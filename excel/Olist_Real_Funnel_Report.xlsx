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tings" sheetId="2" state="visible" r:id="rId2"/>
    <sheet name="Monthly" sheetId="3" state="visible" r:id="rId3"/>
    <sheet name="Channels" sheetId="4" state="visible" r:id="rId4"/>
    <sheet name="Landing Pages" sheetId="5" state="visible" r:id="rId5"/>
    <sheet name="Page x Channel" sheetId="6" state="visible" r:id="rId6"/>
    <sheet name="Time to Close" sheetId="7" state="visible" r:id="rId7"/>
    <sheet name="Closers" sheetId="8" state="visible" r:id="rId8"/>
    <sheet name="Data Quality" sheetId="9" state="visible" r:id="rId9"/>
    <sheet name="MQLs" sheetId="10" state="visible" r:id="rId10"/>
    <sheet name="De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"/>
    <numFmt numFmtId="166" formatCode="yyyy-mm-dd"/>
    <numFmt numFmtId="167" formatCode="0.0%"/>
    <numFmt numFmtId="168" formatCode="+0.0&quot; pp&quot;;-0.0&quot; pp&quot;;0.0&quot; pp&quot;"/>
    <numFmt numFmtId="169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0B2545"/>
      <sz val="18"/>
    </font>
    <font>
      <name val="Arial"/>
      <i val="1"/>
      <color rgb="006B7785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6B7785"/>
      <sz val="9"/>
    </font>
    <font>
      <name val="Arial"/>
      <b val="1"/>
      <color rgb="000000FF"/>
      <sz val="10"/>
    </font>
    <font>
      <name val="Arial"/>
      <color rgb="006B7785"/>
      <sz val="8"/>
    </font>
    <font>
      <name val="Arial"/>
      <b val="1"/>
      <color rgb="0013807A"/>
      <sz val="12"/>
    </font>
    <font>
      <name val="Arial"/>
      <b val="1"/>
      <color rgb="00C62828"/>
      <sz val="12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3807A"/>
      </patternFill>
    </fill>
    <fill>
      <patternFill patternType="solid">
        <fgColor rgb="00FFF4C2"/>
      </patternFill>
    </fill>
    <fill>
      <patternFill patternType="solid">
        <fgColor rgb="00EEF3F8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0" fillId="0" borderId="4" pivotButton="0" quotePrefix="0" xfId="0"/>
    <xf numFmtId="0" fontId="5" fillId="0" borderId="0" pivotButton="0" quotePrefix="0" xfId="0"/>
    <xf numFmtId="166" fontId="7" fillId="4" borderId="1" pivotButton="0" quotePrefix="0" xfId="0"/>
    <xf numFmtId="3" fontId="4" fillId="0" borderId="0" pivotButton="0" quotePrefix="0" xfId="0"/>
    <xf numFmtId="167" fontId="4" fillId="0" borderId="0" pivotButton="0" quotePrefix="0" xfId="0"/>
    <xf numFmtId="166" fontId="4" fillId="0" borderId="0" pivotButton="0" quotePrefix="0" xfId="0"/>
    <xf numFmtId="3" fontId="5" fillId="0" borderId="1" pivotButton="0" quotePrefix="0" xfId="0"/>
    <xf numFmtId="167" fontId="5" fillId="0" borderId="1" pivotButton="0" quotePrefix="0" xfId="0"/>
    <xf numFmtId="168" fontId="5" fillId="0" borderId="1" pivotButton="0" quotePrefix="0" xfId="0"/>
    <xf numFmtId="169" fontId="5" fillId="0" borderId="1" pivotButton="0" quotePrefix="0" xfId="0"/>
    <xf numFmtId="0" fontId="4" fillId="5" borderId="1" pivotButton="0" quotePrefix="0" xfId="0"/>
    <xf numFmtId="3" fontId="4" fillId="5" borderId="1" pivotButton="0" quotePrefix="0" xfId="0"/>
    <xf numFmtId="167" fontId="4" fillId="5" borderId="1" pivotButton="0" quotePrefix="0" xfId="0"/>
    <xf numFmtId="0" fontId="0" fillId="5" borderId="0" pivotButton="0" quotePrefix="0" xfId="0"/>
    <xf numFmtId="0" fontId="8" fillId="0" borderId="1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4" fillId="0" borderId="1" pivotButton="0" quotePrefix="0" xfId="0"/>
    <xf numFmtId="0" fontId="10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Conversion by lead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'Monthly'!D4</f>
            </strRef>
          </tx>
          <spPr>
            <a:solidFill>
              <a:srgbClr val="0B2545"/>
            </a:solidFill>
            <a:ln>
              <a:prstDash val="solid"/>
            </a:ln>
          </spPr>
          <cat>
            <numRef>
              <f>'Monthly'!$A$5:$A$16</f>
            </numRef>
          </cat>
          <val>
            <numRef>
              <f>'Monthly'!$D$5:$D$16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Lead → deal conversion by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'Channels'!E4</f>
            </strRef>
          </tx>
          <spPr>
            <a:solidFill>
              <a:srgbClr val="13807A"/>
            </a:solidFill>
            <a:ln>
              <a:prstDash val="solid"/>
            </a:ln>
          </spPr>
          <cat>
            <numRef>
              <f>'Channels'!$A$5:$A$15</f>
            </numRef>
          </cat>
          <val>
            <numRef>
              <f>'Channels'!$E$5:$E$15</f>
            </numRef>
          </val>
        </ser>
        <dLbls>
          <numFmt formatCode="0.0%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Conversion: top pages vs other pages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'Page x Channel'!C7</f>
            </strRef>
          </tx>
          <spPr>
            <a:solidFill>
              <a:srgbClr val="13807A"/>
            </a:solidFill>
            <a:ln>
              <a:prstDash val="solid"/>
            </a:ln>
          </spPr>
          <cat>
            <numRef>
              <f>'Page x Channel'!$A$8:$A$12</f>
            </numRef>
          </cat>
          <val>
            <numRef>
              <f>'Page x Channel'!$C$8:$C$12</f>
            </numRef>
          </val>
        </ser>
        <ser>
          <idx val="1"/>
          <order val="1"/>
          <tx>
            <strRef>
              <f>'Page x Channel'!E7</f>
            </strRef>
          </tx>
          <spPr>
            <a:solidFill>
              <a:srgbClr val="B8C4CE"/>
            </a:solidFill>
            <a:ln>
              <a:prstDash val="solid"/>
            </a:ln>
          </spPr>
          <cat>
            <numRef>
              <f>'Page x Channel'!$A$8:$A$12</f>
            </numRef>
          </cat>
          <val>
            <numRef>
              <f>'Page x Channel'!$E$8:$E$12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Deals by time to close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 to Close'!D4</f>
            </strRef>
          </tx>
          <spPr>
            <a:solidFill>
              <a:srgbClr val="0B2545"/>
            </a:solidFill>
            <a:ln>
              <a:prstDash val="solid"/>
            </a:ln>
          </spPr>
          <cat>
            <numRef>
              <f>'Time to Close'!$A$5:$A$8</f>
            </numRef>
          </cat>
          <val>
            <numRef>
              <f>'Time to Close'!$D$5:$D$8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F4B400"/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Olist Marketing Funnel – Real Data Report</t>
        </is>
      </c>
    </row>
    <row r="2">
      <c r="A2" s="2" t="inlineStr">
        <is>
          <t>Source: Marketing Funnel by Olist (Kaggle, CC BY-NC-SA 4.0) · analysis by Karan Lodha</t>
        </is>
      </c>
    </row>
    <row r="4" ht="32" customHeight="1">
      <c r="A4" s="3" t="inlineStr">
        <is>
          <t>Sheet</t>
        </is>
      </c>
      <c r="B4" s="3" t="inlineStr">
        <is>
          <t>What it answers</t>
        </is>
      </c>
    </row>
    <row r="5">
      <c r="A5" s="4" t="inlineStr">
        <is>
          <t>Settings</t>
        </is>
      </c>
      <c r="B5" s="5" t="inlineStr">
        <is>
          <t>Analysis window start. Change the yellow cell only.</t>
        </is>
      </c>
    </row>
    <row r="6">
      <c r="A6" s="4" t="inlineStr">
        <is>
          <t>Monthly</t>
        </is>
      </c>
      <c r="B6" s="5" t="inlineStr">
        <is>
          <t>Lead volume and conversion by month – and why 2017 is excluded</t>
        </is>
      </c>
    </row>
    <row r="7">
      <c r="A7" s="4" t="inlineStr">
        <is>
          <t>Channels</t>
        </is>
      </c>
      <c r="B7" s="5" t="inlineStr">
        <is>
          <t>Which marketing channels bring leads that become sellers?</t>
        </is>
      </c>
    </row>
    <row r="8">
      <c r="A8" s="4" t="inlineStr">
        <is>
          <t>Landing Pages</t>
        </is>
      </c>
      <c r="B8" s="5" t="inlineStr">
        <is>
          <t>Do some sign-up pages produce much better leads?</t>
        </is>
      </c>
    </row>
    <row r="9">
      <c r="A9" s="4" t="inlineStr">
        <is>
          <t>Page x Channel</t>
        </is>
      </c>
      <c r="B9" s="5" t="inlineStr">
        <is>
          <t>Is the page effect real, or just better traffic?</t>
        </is>
      </c>
    </row>
    <row r="10">
      <c r="A10" s="4" t="inlineStr">
        <is>
          <t>Time to Close</t>
        </is>
      </c>
      <c r="B10" s="5" t="inlineStr">
        <is>
          <t>How long from first contact to a won deal?</t>
        </is>
      </c>
    </row>
    <row r="11">
      <c r="A11" s="4" t="inlineStr">
        <is>
          <t>Closers</t>
        </is>
      </c>
      <c r="B11" s="5" t="inlineStr">
        <is>
          <t>How dependent are we on a few sales reps?</t>
        </is>
      </c>
    </row>
    <row r="12">
      <c r="A12" s="4" t="inlineStr">
        <is>
          <t>Data Quality</t>
        </is>
      </c>
      <c r="B12" s="5" t="inlineStr">
        <is>
          <t>What we can and can't trust in this data</t>
        </is>
      </c>
    </row>
    <row r="13">
      <c r="A13" s="4" t="inlineStr">
        <is>
          <t>MQLs / Deals</t>
        </is>
      </c>
      <c r="B13" s="5" t="inlineStr">
        <is>
          <t>Raw Kaggle tables. Teal columns on MQLs join each lead to its deal with MATCH/INDEX.</t>
        </is>
      </c>
    </row>
    <row r="16">
      <c r="A16" s="6" t="inlineStr">
        <is>
          <t>Funnel: a marketing qualified lead (MQL) is a seller who filled in a sign-up form; a deal is a seller the sales team signed onto the Olist marketplace.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3807A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14" customWidth="1" min="3" max="3"/>
    <col width="70" customWidth="1" min="4" max="4"/>
  </cols>
  <sheetData>
    <row r="1">
      <c r="A1" s="1" t="inlineStr">
        <is>
          <t>Settings</t>
        </is>
      </c>
    </row>
    <row r="2">
      <c r="A2" s="2" t="inlineStr">
        <is>
          <t>Change the yellow cell; every report sheet recalculates.</t>
        </is>
      </c>
    </row>
    <row r="4" ht="32" customHeight="1">
      <c r="A4" s="3" t="inlineStr">
        <is>
          <t>Setting</t>
        </is>
      </c>
      <c r="B4" s="7" t="n"/>
      <c r="C4" s="3" t="inlineStr">
        <is>
          <t>Value</t>
        </is>
      </c>
      <c r="D4" s="3" t="inlineStr">
        <is>
          <t>Why</t>
        </is>
      </c>
    </row>
    <row r="5">
      <c r="A5" s="8" t="inlineStr">
        <is>
          <t>Analysis window: leads from</t>
        </is>
      </c>
      <c r="C5" s="9" t="n">
        <v>43101</v>
      </c>
      <c r="D5" s="6" t="inlineStr">
        <is>
          <t>Deal data starts Dec 2017, so earlier leads look like they never convert.</t>
        </is>
      </c>
    </row>
    <row r="8">
      <c r="A8" s="8" t="inlineStr">
        <is>
          <t>Leads in window</t>
        </is>
      </c>
      <c r="C8" s="10">
        <f>SUM(MQLs!$K$2:$K$8001)</f>
        <v/>
      </c>
    </row>
    <row r="9">
      <c r="A9" s="8" t="inlineStr">
        <is>
          <t>Deals in window</t>
        </is>
      </c>
      <c r="C9" s="10">
        <f>COUNTIFS(MQLs!$K$2:$K$8001,1,MQLs!$G$2:$G$8001,1)</f>
        <v/>
      </c>
    </row>
    <row r="10">
      <c r="A10" s="8" t="inlineStr">
        <is>
          <t>Conversion in window</t>
        </is>
      </c>
      <c r="C10" s="11">
        <f>C9/C8</f>
        <v/>
      </c>
    </row>
    <row r="11">
      <c r="A11" s="8" t="inlineStr">
        <is>
          <t>Earliest deal in file</t>
        </is>
      </c>
      <c r="C11" s="12">
        <f>MIN(Deals!$E$2:$E$843)</f>
        <v/>
      </c>
    </row>
  </sheetData>
  <mergeCells count="2">
    <mergeCell ref="A4:B4"/>
    <mergeCell ref="A5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3807A"/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2" customWidth="1" min="4" max="4"/>
    <col width="26" customWidth="1" min="5" max="5"/>
  </cols>
  <sheetData>
    <row r="1">
      <c r="A1" s="1" t="inlineStr">
        <is>
          <t>Leads and Conversion by Month</t>
        </is>
      </c>
    </row>
    <row r="2">
      <c r="A2" s="2" t="inlineStr">
        <is>
          <t>Conversion = leads that became a deal / leads</t>
        </is>
      </c>
    </row>
    <row r="4" ht="32" customHeight="1">
      <c r="A4" s="3" t="inlineStr">
        <is>
          <t>Lead month</t>
        </is>
      </c>
      <c r="B4" s="3" t="inlineStr">
        <is>
          <t>Leads</t>
        </is>
      </c>
      <c r="C4" s="3" t="inlineStr">
        <is>
          <t>Deals</t>
        </is>
      </c>
      <c r="D4" s="3" t="inlineStr">
        <is>
          <t>Conversion</t>
        </is>
      </c>
      <c r="E4" s="3" t="inlineStr">
        <is>
          <t>In window?</t>
        </is>
      </c>
    </row>
    <row r="5">
      <c r="A5" s="4" t="inlineStr">
        <is>
          <t>2017-06</t>
        </is>
      </c>
      <c r="B5" s="13">
        <f>COUNTIFS(MQLs!$C$2:$C$8001,$A5)</f>
        <v/>
      </c>
      <c r="C5" s="13">
        <f>COUNTIFS(MQLs!$C$2:$C$8001,$A5,MQLs!$G$2:$G$8001,1)</f>
        <v/>
      </c>
      <c r="D5" s="14">
        <f>IFERROR(C5/B5,0)</f>
        <v/>
      </c>
      <c r="E5" s="5">
        <f>IF(DATEVALUE($A5&amp;"-01")&gt;=Settings!$C$5,"yes","no – deal data incomplete")</f>
        <v/>
      </c>
    </row>
    <row r="6">
      <c r="A6" s="4" t="inlineStr">
        <is>
          <t>2017-07</t>
        </is>
      </c>
      <c r="B6" s="13">
        <f>COUNTIFS(MQLs!$C$2:$C$8001,$A6)</f>
        <v/>
      </c>
      <c r="C6" s="13">
        <f>COUNTIFS(MQLs!$C$2:$C$8001,$A6,MQLs!$G$2:$G$8001,1)</f>
        <v/>
      </c>
      <c r="D6" s="14">
        <f>IFERROR(C6/B6,0)</f>
        <v/>
      </c>
      <c r="E6" s="5">
        <f>IF(DATEVALUE($A6&amp;"-01")&gt;=Settings!$C$5,"yes","no – deal data incomplete")</f>
        <v/>
      </c>
    </row>
    <row r="7">
      <c r="A7" s="4" t="inlineStr">
        <is>
          <t>2017-08</t>
        </is>
      </c>
      <c r="B7" s="13">
        <f>COUNTIFS(MQLs!$C$2:$C$8001,$A7)</f>
        <v/>
      </c>
      <c r="C7" s="13">
        <f>COUNTIFS(MQLs!$C$2:$C$8001,$A7,MQLs!$G$2:$G$8001,1)</f>
        <v/>
      </c>
      <c r="D7" s="14">
        <f>IFERROR(C7/B7,0)</f>
        <v/>
      </c>
      <c r="E7" s="5">
        <f>IF(DATEVALUE($A7&amp;"-01")&gt;=Settings!$C$5,"yes","no – deal data incomplete")</f>
        <v/>
      </c>
    </row>
    <row r="8">
      <c r="A8" s="4" t="inlineStr">
        <is>
          <t>2017-09</t>
        </is>
      </c>
      <c r="B8" s="13">
        <f>COUNTIFS(MQLs!$C$2:$C$8001,$A8)</f>
        <v/>
      </c>
      <c r="C8" s="13">
        <f>COUNTIFS(MQLs!$C$2:$C$8001,$A8,MQLs!$G$2:$G$8001,1)</f>
        <v/>
      </c>
      <c r="D8" s="14">
        <f>IFERROR(C8/B8,0)</f>
        <v/>
      </c>
      <c r="E8" s="5">
        <f>IF(DATEVALUE($A8&amp;"-01")&gt;=Settings!$C$5,"yes","no – deal data incomplete")</f>
        <v/>
      </c>
    </row>
    <row r="9">
      <c r="A9" s="4" t="inlineStr">
        <is>
          <t>2017-10</t>
        </is>
      </c>
      <c r="B9" s="13">
        <f>COUNTIFS(MQLs!$C$2:$C$8001,$A9)</f>
        <v/>
      </c>
      <c r="C9" s="13">
        <f>COUNTIFS(MQLs!$C$2:$C$8001,$A9,MQLs!$G$2:$G$8001,1)</f>
        <v/>
      </c>
      <c r="D9" s="14">
        <f>IFERROR(C9/B9,0)</f>
        <v/>
      </c>
      <c r="E9" s="5">
        <f>IF(DATEVALUE($A9&amp;"-01")&gt;=Settings!$C$5,"yes","no – deal data incomplete")</f>
        <v/>
      </c>
    </row>
    <row r="10">
      <c r="A10" s="4" t="inlineStr">
        <is>
          <t>2017-11</t>
        </is>
      </c>
      <c r="B10" s="13">
        <f>COUNTIFS(MQLs!$C$2:$C$8001,$A10)</f>
        <v/>
      </c>
      <c r="C10" s="13">
        <f>COUNTIFS(MQLs!$C$2:$C$8001,$A10,MQLs!$G$2:$G$8001,1)</f>
        <v/>
      </c>
      <c r="D10" s="14">
        <f>IFERROR(C10/B10,0)</f>
        <v/>
      </c>
      <c r="E10" s="5">
        <f>IF(DATEVALUE($A10&amp;"-01")&gt;=Settings!$C$5,"yes","no – deal data incomplete")</f>
        <v/>
      </c>
    </row>
    <row r="11">
      <c r="A11" s="4" t="inlineStr">
        <is>
          <t>2017-12</t>
        </is>
      </c>
      <c r="B11" s="13">
        <f>COUNTIFS(MQLs!$C$2:$C$8001,$A11)</f>
        <v/>
      </c>
      <c r="C11" s="13">
        <f>COUNTIFS(MQLs!$C$2:$C$8001,$A11,MQLs!$G$2:$G$8001,1)</f>
        <v/>
      </c>
      <c r="D11" s="14">
        <f>IFERROR(C11/B11,0)</f>
        <v/>
      </c>
      <c r="E11" s="5">
        <f>IF(DATEVALUE($A11&amp;"-01")&gt;=Settings!$C$5,"yes","no – deal data incomplete")</f>
        <v/>
      </c>
    </row>
    <row r="12">
      <c r="A12" s="4" t="inlineStr">
        <is>
          <t>2018-01</t>
        </is>
      </c>
      <c r="B12" s="13">
        <f>COUNTIFS(MQLs!$C$2:$C$8001,$A12)</f>
        <v/>
      </c>
      <c r="C12" s="13">
        <f>COUNTIFS(MQLs!$C$2:$C$8001,$A12,MQLs!$G$2:$G$8001,1)</f>
        <v/>
      </c>
      <c r="D12" s="14">
        <f>IFERROR(C12/B12,0)</f>
        <v/>
      </c>
      <c r="E12" s="5">
        <f>IF(DATEVALUE($A12&amp;"-01")&gt;=Settings!$C$5,"yes","no – deal data incomplete")</f>
        <v/>
      </c>
    </row>
    <row r="13">
      <c r="A13" s="4" t="inlineStr">
        <is>
          <t>2018-02</t>
        </is>
      </c>
      <c r="B13" s="13">
        <f>COUNTIFS(MQLs!$C$2:$C$8001,$A13)</f>
        <v/>
      </c>
      <c r="C13" s="13">
        <f>COUNTIFS(MQLs!$C$2:$C$8001,$A13,MQLs!$G$2:$G$8001,1)</f>
        <v/>
      </c>
      <c r="D13" s="14">
        <f>IFERROR(C13/B13,0)</f>
        <v/>
      </c>
      <c r="E13" s="5">
        <f>IF(DATEVALUE($A13&amp;"-01")&gt;=Settings!$C$5,"yes","no – deal data incomplete")</f>
        <v/>
      </c>
    </row>
    <row r="14">
      <c r="A14" s="4" t="inlineStr">
        <is>
          <t>2018-03</t>
        </is>
      </c>
      <c r="B14" s="13">
        <f>COUNTIFS(MQLs!$C$2:$C$8001,$A14)</f>
        <v/>
      </c>
      <c r="C14" s="13">
        <f>COUNTIFS(MQLs!$C$2:$C$8001,$A14,MQLs!$G$2:$G$8001,1)</f>
        <v/>
      </c>
      <c r="D14" s="14">
        <f>IFERROR(C14/B14,0)</f>
        <v/>
      </c>
      <c r="E14" s="5">
        <f>IF(DATEVALUE($A14&amp;"-01")&gt;=Settings!$C$5,"yes","no – deal data incomplete")</f>
        <v/>
      </c>
    </row>
    <row r="15">
      <c r="A15" s="4" t="inlineStr">
        <is>
          <t>2018-04</t>
        </is>
      </c>
      <c r="B15" s="13">
        <f>COUNTIFS(MQLs!$C$2:$C$8001,$A15)</f>
        <v/>
      </c>
      <c r="C15" s="13">
        <f>COUNTIFS(MQLs!$C$2:$C$8001,$A15,MQLs!$G$2:$G$8001,1)</f>
        <v/>
      </c>
      <c r="D15" s="14">
        <f>IFERROR(C15/B15,0)</f>
        <v/>
      </c>
      <c r="E15" s="5">
        <f>IF(DATEVALUE($A15&amp;"-01")&gt;=Settings!$C$5,"yes","no – deal data incomplete")</f>
        <v/>
      </c>
    </row>
    <row r="16">
      <c r="A16" s="4" t="inlineStr">
        <is>
          <t>2018-05</t>
        </is>
      </c>
      <c r="B16" s="13">
        <f>COUNTIFS(MQLs!$C$2:$C$8001,$A16)</f>
        <v/>
      </c>
      <c r="C16" s="13">
        <f>COUNTIFS(MQLs!$C$2:$C$8001,$A16,MQLs!$G$2:$G$8001,1)</f>
        <v/>
      </c>
      <c r="D16" s="14">
        <f>IFERROR(C16/B16,0)</f>
        <v/>
      </c>
      <c r="E16" s="5">
        <f>IF(DATEVALUE($A16&amp;"-01")&gt;=Settings!$C$5,"yes","no – deal data incomplete")</f>
        <v/>
      </c>
    </row>
    <row r="18">
      <c r="A18" s="6" t="inlineStr">
        <is>
          <t>2017 conversion is near zero because the deals file starts in Dec 2017 – a data-extract artefact, not a sales improvement in 2018.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3807A"/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3" customWidth="1" min="3" max="3"/>
    <col width="9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Channel Performance (analysis window)</t>
        </is>
      </c>
    </row>
    <row r="2">
      <c r="A2" s="2" t="inlineStr">
        <is>
          <t>Origin = how the lead found the sign-up page</t>
        </is>
      </c>
    </row>
    <row r="4" ht="32" customHeight="1">
      <c r="A4" s="3" t="inlineStr">
        <is>
          <t>Channel (origin)</t>
        </is>
      </c>
      <c r="B4" s="3" t="inlineStr">
        <is>
          <t>Leads</t>
        </is>
      </c>
      <c r="C4" s="3" t="inlineStr">
        <is>
          <t>Share of leads</t>
        </is>
      </c>
      <c r="D4" s="3" t="inlineStr">
        <is>
          <t>Deals</t>
        </is>
      </c>
      <c r="E4" s="3" t="inlineStr">
        <is>
          <t>Conversion</t>
        </is>
      </c>
      <c r="F4" s="3" t="inlineStr">
        <is>
          <t>vs average</t>
        </is>
      </c>
      <c r="G4" s="3" t="inlineStr">
        <is>
          <t>Avg days to close</t>
        </is>
      </c>
    </row>
    <row r="5">
      <c r="A5" s="4" t="inlineStr">
        <is>
          <t>organic_search</t>
        </is>
      </c>
      <c r="B5" s="13">
        <f>COUNTIFS(MQLs!$E$2:$E$8001,$A5,MQLs!$K$2:$K$8001,1)</f>
        <v/>
      </c>
      <c r="C5" s="14">
        <f>IFERROR(B5/$B$16,0)</f>
        <v/>
      </c>
      <c r="D5" s="13">
        <f>COUNTIFS(MQLs!$E$2:$E$8001,$A5,MQLs!$K$2:$K$8001,1,MQLs!$G$2:$G$8001,1)</f>
        <v/>
      </c>
      <c r="E5" s="14">
        <f>IFERROR(D5/B5,0)</f>
        <v/>
      </c>
      <c r="F5" s="15">
        <f>(E5-$E$16)*100</f>
        <v/>
      </c>
      <c r="G5" s="16">
        <f>IFERROR(AVERAGEIFS(MQLs!$J$2:$J$8001,MQLs!$E$2:$E$8001,$A5,MQLs!$K$2:$K$8001,1,MQLs!$J$2:$J$8001,"&gt;=0"),0)</f>
        <v/>
      </c>
    </row>
    <row r="6">
      <c r="A6" s="4" t="inlineStr">
        <is>
          <t>paid_search</t>
        </is>
      </c>
      <c r="B6" s="13">
        <f>COUNTIFS(MQLs!$E$2:$E$8001,$A6,MQLs!$K$2:$K$8001,1)</f>
        <v/>
      </c>
      <c r="C6" s="14">
        <f>IFERROR(B6/$B$16,0)</f>
        <v/>
      </c>
      <c r="D6" s="13">
        <f>COUNTIFS(MQLs!$E$2:$E$8001,$A6,MQLs!$K$2:$K$8001,1,MQLs!$G$2:$G$8001,1)</f>
        <v/>
      </c>
      <c r="E6" s="14">
        <f>IFERROR(D6/B6,0)</f>
        <v/>
      </c>
      <c r="F6" s="15">
        <f>(E6-$E$16)*100</f>
        <v/>
      </c>
      <c r="G6" s="16">
        <f>IFERROR(AVERAGEIFS(MQLs!$J$2:$J$8001,MQLs!$E$2:$E$8001,$A6,MQLs!$K$2:$K$8001,1,MQLs!$J$2:$J$8001,"&gt;=0"),0)</f>
        <v/>
      </c>
    </row>
    <row r="7">
      <c r="A7" s="4" t="inlineStr">
        <is>
          <t>social</t>
        </is>
      </c>
      <c r="B7" s="13">
        <f>COUNTIFS(MQLs!$E$2:$E$8001,$A7,MQLs!$K$2:$K$8001,1)</f>
        <v/>
      </c>
      <c r="C7" s="14">
        <f>IFERROR(B7/$B$16,0)</f>
        <v/>
      </c>
      <c r="D7" s="13">
        <f>COUNTIFS(MQLs!$E$2:$E$8001,$A7,MQLs!$K$2:$K$8001,1,MQLs!$G$2:$G$8001,1)</f>
        <v/>
      </c>
      <c r="E7" s="14">
        <f>IFERROR(D7/B7,0)</f>
        <v/>
      </c>
      <c r="F7" s="15">
        <f>(E7-$E$16)*100</f>
        <v/>
      </c>
      <c r="G7" s="16">
        <f>IFERROR(AVERAGEIFS(MQLs!$J$2:$J$8001,MQLs!$E$2:$E$8001,$A7,MQLs!$K$2:$K$8001,1,MQLs!$J$2:$J$8001,"&gt;=0"),0)</f>
        <v/>
      </c>
    </row>
    <row r="8">
      <c r="A8" s="4" t="inlineStr">
        <is>
          <t>unknown</t>
        </is>
      </c>
      <c r="B8" s="13">
        <f>COUNTIFS(MQLs!$E$2:$E$8001,$A8,MQLs!$K$2:$K$8001,1)</f>
        <v/>
      </c>
      <c r="C8" s="14">
        <f>IFERROR(B8/$B$16,0)</f>
        <v/>
      </c>
      <c r="D8" s="13">
        <f>COUNTIFS(MQLs!$E$2:$E$8001,$A8,MQLs!$K$2:$K$8001,1,MQLs!$G$2:$G$8001,1)</f>
        <v/>
      </c>
      <c r="E8" s="14">
        <f>IFERROR(D8/B8,0)</f>
        <v/>
      </c>
      <c r="F8" s="15">
        <f>(E8-$E$16)*100</f>
        <v/>
      </c>
      <c r="G8" s="16">
        <f>IFERROR(AVERAGEIFS(MQLs!$J$2:$J$8001,MQLs!$E$2:$E$8001,$A8,MQLs!$K$2:$K$8001,1,MQLs!$J$2:$J$8001,"&gt;=0"),0)</f>
        <v/>
      </c>
    </row>
    <row r="9">
      <c r="A9" s="4" t="inlineStr">
        <is>
          <t>direct_traffic</t>
        </is>
      </c>
      <c r="B9" s="13">
        <f>COUNTIFS(MQLs!$E$2:$E$8001,$A9,MQLs!$K$2:$K$8001,1)</f>
        <v/>
      </c>
      <c r="C9" s="14">
        <f>IFERROR(B9/$B$16,0)</f>
        <v/>
      </c>
      <c r="D9" s="13">
        <f>COUNTIFS(MQLs!$E$2:$E$8001,$A9,MQLs!$K$2:$K$8001,1,MQLs!$G$2:$G$8001,1)</f>
        <v/>
      </c>
      <c r="E9" s="14">
        <f>IFERROR(D9/B9,0)</f>
        <v/>
      </c>
      <c r="F9" s="15">
        <f>(E9-$E$16)*100</f>
        <v/>
      </c>
      <c r="G9" s="16">
        <f>IFERROR(AVERAGEIFS(MQLs!$J$2:$J$8001,MQLs!$E$2:$E$8001,$A9,MQLs!$K$2:$K$8001,1,MQLs!$J$2:$J$8001,"&gt;=0"),0)</f>
        <v/>
      </c>
    </row>
    <row r="10">
      <c r="A10" s="4" t="inlineStr">
        <is>
          <t>email</t>
        </is>
      </c>
      <c r="B10" s="13">
        <f>COUNTIFS(MQLs!$E$2:$E$8001,$A10,MQLs!$K$2:$K$8001,1)</f>
        <v/>
      </c>
      <c r="C10" s="14">
        <f>IFERROR(B10/$B$16,0)</f>
        <v/>
      </c>
      <c r="D10" s="13">
        <f>COUNTIFS(MQLs!$E$2:$E$8001,$A10,MQLs!$K$2:$K$8001,1,MQLs!$G$2:$G$8001,1)</f>
        <v/>
      </c>
      <c r="E10" s="14">
        <f>IFERROR(D10/B10,0)</f>
        <v/>
      </c>
      <c r="F10" s="15">
        <f>(E10-$E$16)*100</f>
        <v/>
      </c>
      <c r="G10" s="16">
        <f>IFERROR(AVERAGEIFS(MQLs!$J$2:$J$8001,MQLs!$E$2:$E$8001,$A10,MQLs!$K$2:$K$8001,1,MQLs!$J$2:$J$8001,"&gt;=0"),0)</f>
        <v/>
      </c>
    </row>
    <row r="11">
      <c r="A11" s="4" t="inlineStr">
        <is>
          <t>referral</t>
        </is>
      </c>
      <c r="B11" s="13">
        <f>COUNTIFS(MQLs!$E$2:$E$8001,$A11,MQLs!$K$2:$K$8001,1)</f>
        <v/>
      </c>
      <c r="C11" s="14">
        <f>IFERROR(B11/$B$16,0)</f>
        <v/>
      </c>
      <c r="D11" s="13">
        <f>COUNTIFS(MQLs!$E$2:$E$8001,$A11,MQLs!$K$2:$K$8001,1,MQLs!$G$2:$G$8001,1)</f>
        <v/>
      </c>
      <c r="E11" s="14">
        <f>IFERROR(D11/B11,0)</f>
        <v/>
      </c>
      <c r="F11" s="15">
        <f>(E11-$E$16)*100</f>
        <v/>
      </c>
      <c r="G11" s="16">
        <f>IFERROR(AVERAGEIFS(MQLs!$J$2:$J$8001,MQLs!$E$2:$E$8001,$A11,MQLs!$K$2:$K$8001,1,MQLs!$J$2:$J$8001,"&gt;=0"),0)</f>
        <v/>
      </c>
    </row>
    <row r="12">
      <c r="A12" s="4" t="inlineStr">
        <is>
          <t>other</t>
        </is>
      </c>
      <c r="B12" s="13">
        <f>COUNTIFS(MQLs!$E$2:$E$8001,$A12,MQLs!$K$2:$K$8001,1)</f>
        <v/>
      </c>
      <c r="C12" s="14">
        <f>IFERROR(B12/$B$16,0)</f>
        <v/>
      </c>
      <c r="D12" s="13">
        <f>COUNTIFS(MQLs!$E$2:$E$8001,$A12,MQLs!$K$2:$K$8001,1,MQLs!$G$2:$G$8001,1)</f>
        <v/>
      </c>
      <c r="E12" s="14">
        <f>IFERROR(D12/B12,0)</f>
        <v/>
      </c>
      <c r="F12" s="15">
        <f>(E12-$E$16)*100</f>
        <v/>
      </c>
      <c r="G12" s="16">
        <f>IFERROR(AVERAGEIFS(MQLs!$J$2:$J$8001,MQLs!$E$2:$E$8001,$A12,MQLs!$K$2:$K$8001,1,MQLs!$J$2:$J$8001,"&gt;=0"),0)</f>
        <v/>
      </c>
    </row>
    <row r="13">
      <c r="A13" s="4" t="inlineStr">
        <is>
          <t>display</t>
        </is>
      </c>
      <c r="B13" s="13">
        <f>COUNTIFS(MQLs!$E$2:$E$8001,$A13,MQLs!$K$2:$K$8001,1)</f>
        <v/>
      </c>
      <c r="C13" s="14">
        <f>IFERROR(B13/$B$16,0)</f>
        <v/>
      </c>
      <c r="D13" s="13">
        <f>COUNTIFS(MQLs!$E$2:$E$8001,$A13,MQLs!$K$2:$K$8001,1,MQLs!$G$2:$G$8001,1)</f>
        <v/>
      </c>
      <c r="E13" s="14">
        <f>IFERROR(D13/B13,0)</f>
        <v/>
      </c>
      <c r="F13" s="15">
        <f>(E13-$E$16)*100</f>
        <v/>
      </c>
      <c r="G13" s="16">
        <f>IFERROR(AVERAGEIFS(MQLs!$J$2:$J$8001,MQLs!$E$2:$E$8001,$A13,MQLs!$K$2:$K$8001,1,MQLs!$J$2:$J$8001,"&gt;=0"),0)</f>
        <v/>
      </c>
    </row>
    <row r="14">
      <c r="A14" s="4" t="inlineStr">
        <is>
          <t>(missing)</t>
        </is>
      </c>
      <c r="B14" s="13">
        <f>COUNTIFS(MQLs!$E$2:$E$8001,$A14,MQLs!$K$2:$K$8001,1)</f>
        <v/>
      </c>
      <c r="C14" s="14">
        <f>IFERROR(B14/$B$16,0)</f>
        <v/>
      </c>
      <c r="D14" s="13">
        <f>COUNTIFS(MQLs!$E$2:$E$8001,$A14,MQLs!$K$2:$K$8001,1,MQLs!$G$2:$G$8001,1)</f>
        <v/>
      </c>
      <c r="E14" s="14">
        <f>IFERROR(D14/B14,0)</f>
        <v/>
      </c>
      <c r="F14" s="15">
        <f>(E14-$E$16)*100</f>
        <v/>
      </c>
      <c r="G14" s="16">
        <f>IFERROR(AVERAGEIFS(MQLs!$J$2:$J$8001,MQLs!$E$2:$E$8001,$A14,MQLs!$K$2:$K$8001,1,MQLs!$J$2:$J$8001,"&gt;=0"),0)</f>
        <v/>
      </c>
    </row>
    <row r="15">
      <c r="A15" s="4" t="inlineStr">
        <is>
          <t>other_publicities</t>
        </is>
      </c>
      <c r="B15" s="13">
        <f>COUNTIFS(MQLs!$E$2:$E$8001,$A15,MQLs!$K$2:$K$8001,1)</f>
        <v/>
      </c>
      <c r="C15" s="14">
        <f>IFERROR(B15/$B$16,0)</f>
        <v/>
      </c>
      <c r="D15" s="13">
        <f>COUNTIFS(MQLs!$E$2:$E$8001,$A15,MQLs!$K$2:$K$8001,1,MQLs!$G$2:$G$8001,1)</f>
        <v/>
      </c>
      <c r="E15" s="14">
        <f>IFERROR(D15/B15,0)</f>
        <v/>
      </c>
      <c r="F15" s="15">
        <f>(E15-$E$16)*100</f>
        <v/>
      </c>
      <c r="G15" s="16">
        <f>IFERROR(AVERAGEIFS(MQLs!$J$2:$J$8001,MQLs!$E$2:$E$8001,$A15,MQLs!$K$2:$K$8001,1,MQLs!$J$2:$J$8001,"&gt;=0"),0)</f>
        <v/>
      </c>
    </row>
    <row r="16">
      <c r="A16" s="17" t="inlineStr">
        <is>
          <t>Total</t>
        </is>
      </c>
      <c r="B16" s="18">
        <f>SUM(B5:B15)</f>
        <v/>
      </c>
      <c r="C16" s="19">
        <f>SUM(C5:C15)</f>
        <v/>
      </c>
      <c r="D16" s="18">
        <f>SUM(D5:D15)</f>
        <v/>
      </c>
      <c r="E16" s="19">
        <f>IFERROR(D16/B16,0)</f>
        <v/>
      </c>
      <c r="F16" s="20" t="n"/>
      <c r="G16" s="20" t="n"/>
    </row>
    <row r="18">
      <c r="A18" s="6" t="inlineStr">
        <is>
          <t>Read: social is 18% of leads but converts at less than half the average; 'unknown' converts best – a tracking gap that hides the best leads.</t>
        </is>
      </c>
    </row>
  </sheetData>
  <conditionalFormatting sqref="F5:F15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3807A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9" customWidth="1" min="3" max="3"/>
    <col width="9" customWidth="1" min="4" max="4"/>
    <col width="12" customWidth="1" min="5" max="5"/>
    <col width="14" customWidth="1" min="6" max="6"/>
  </cols>
  <sheetData>
    <row r="1">
      <c r="A1" s="1" t="inlineStr">
        <is>
          <t>Landing Page Performance (analysis window)</t>
        </is>
      </c>
    </row>
    <row r="2">
      <c r="A2" s="2" t="inlineStr">
        <is>
          <t>The 10 pages with the most leads; the long tail is grouped below</t>
        </is>
      </c>
    </row>
    <row r="4" ht="32" customHeight="1">
      <c r="A4" s="3" t="inlineStr">
        <is>
          <t>Page</t>
        </is>
      </c>
      <c r="B4" s="3" t="inlineStr">
        <is>
          <t>Landing page id</t>
        </is>
      </c>
      <c r="C4" s="3" t="inlineStr">
        <is>
          <t>Leads</t>
        </is>
      </c>
      <c r="D4" s="3" t="inlineStr">
        <is>
          <t>Deals</t>
        </is>
      </c>
      <c r="E4" s="3" t="inlineStr">
        <is>
          <t>Conversion</t>
        </is>
      </c>
      <c r="F4" s="3" t="inlineStr">
        <is>
          <t>Share of leads</t>
        </is>
      </c>
    </row>
    <row r="5">
      <c r="A5" s="4" t="inlineStr">
        <is>
          <t>Page 1</t>
        </is>
      </c>
      <c r="B5" s="21" t="inlineStr">
        <is>
          <t>b76ef37428e6799c421989521c0e5077</t>
        </is>
      </c>
      <c r="C5" s="13">
        <f>COUNTIFS(MQLs!$D$2:$D$8001,$B5,MQLs!$K$2:$K$8001,1)</f>
        <v/>
      </c>
      <c r="D5" s="13">
        <f>COUNTIFS(MQLs!$D$2:$D$8001,$B5,MQLs!$K$2:$K$8001,1,MQLs!$G$2:$G$8001,1)</f>
        <v/>
      </c>
      <c r="E5" s="14">
        <f>IFERROR(D5/C5,0)</f>
        <v/>
      </c>
      <c r="F5" s="14">
        <f>IFERROR(C5/$C$16,0)</f>
        <v/>
      </c>
    </row>
    <row r="6">
      <c r="A6" s="4" t="inlineStr">
        <is>
          <t>Page 2</t>
        </is>
      </c>
      <c r="B6" s="21" t="inlineStr">
        <is>
          <t>22c29808c4f815213303f8933030604c</t>
        </is>
      </c>
      <c r="C6" s="13">
        <f>COUNTIFS(MQLs!$D$2:$D$8001,$B6,MQLs!$K$2:$K$8001,1)</f>
        <v/>
      </c>
      <c r="D6" s="13">
        <f>COUNTIFS(MQLs!$D$2:$D$8001,$B6,MQLs!$K$2:$K$8001,1,MQLs!$G$2:$G$8001,1)</f>
        <v/>
      </c>
      <c r="E6" s="14">
        <f>IFERROR(D6/C6,0)</f>
        <v/>
      </c>
      <c r="F6" s="14">
        <f>IFERROR(C6/$C$16,0)</f>
        <v/>
      </c>
    </row>
    <row r="7">
      <c r="A7" s="4" t="inlineStr">
        <is>
          <t>Page 3</t>
        </is>
      </c>
      <c r="B7" s="21" t="inlineStr">
        <is>
          <t>58326e62183c14b0c03085c33b9fdc44</t>
        </is>
      </c>
      <c r="C7" s="13">
        <f>COUNTIFS(MQLs!$D$2:$D$8001,$B7,MQLs!$K$2:$K$8001,1)</f>
        <v/>
      </c>
      <c r="D7" s="13">
        <f>COUNTIFS(MQLs!$D$2:$D$8001,$B7,MQLs!$K$2:$K$8001,1,MQLs!$G$2:$G$8001,1)</f>
        <v/>
      </c>
      <c r="E7" s="14">
        <f>IFERROR(D7/C7,0)</f>
        <v/>
      </c>
      <c r="F7" s="14">
        <f>IFERROR(C7/$C$16,0)</f>
        <v/>
      </c>
    </row>
    <row r="8">
      <c r="A8" s="4" t="inlineStr">
        <is>
          <t>Page 4</t>
        </is>
      </c>
      <c r="B8" s="21" t="inlineStr">
        <is>
          <t>ce1a65abd0973638f1c887a6efcfa82d</t>
        </is>
      </c>
      <c r="C8" s="13">
        <f>COUNTIFS(MQLs!$D$2:$D$8001,$B8,MQLs!$K$2:$K$8001,1)</f>
        <v/>
      </c>
      <c r="D8" s="13">
        <f>COUNTIFS(MQLs!$D$2:$D$8001,$B8,MQLs!$K$2:$K$8001,1,MQLs!$G$2:$G$8001,1)</f>
        <v/>
      </c>
      <c r="E8" s="14">
        <f>IFERROR(D8/C8,0)</f>
        <v/>
      </c>
      <c r="F8" s="14">
        <f>IFERROR(C8/$C$16,0)</f>
        <v/>
      </c>
    </row>
    <row r="9">
      <c r="A9" s="4" t="inlineStr">
        <is>
          <t>Page 5</t>
        </is>
      </c>
      <c r="B9" s="21" t="inlineStr">
        <is>
          <t>88740e65d5d6b056e0cda098e1ea6313</t>
        </is>
      </c>
      <c r="C9" s="13">
        <f>COUNTIFS(MQLs!$D$2:$D$8001,$B9,MQLs!$K$2:$K$8001,1)</f>
        <v/>
      </c>
      <c r="D9" s="13">
        <f>COUNTIFS(MQLs!$D$2:$D$8001,$B9,MQLs!$K$2:$K$8001,1,MQLs!$G$2:$G$8001,1)</f>
        <v/>
      </c>
      <c r="E9" s="14">
        <f>IFERROR(D9/C9,0)</f>
        <v/>
      </c>
      <c r="F9" s="14">
        <f>IFERROR(C9/$C$16,0)</f>
        <v/>
      </c>
    </row>
    <row r="10">
      <c r="A10" s="4" t="inlineStr">
        <is>
          <t>Page 6</t>
        </is>
      </c>
      <c r="B10" s="21" t="inlineStr">
        <is>
          <t>40dec9f3d5259a3d2dbcdab2114fae47</t>
        </is>
      </c>
      <c r="C10" s="13">
        <f>COUNTIFS(MQLs!$D$2:$D$8001,$B10,MQLs!$K$2:$K$8001,1)</f>
        <v/>
      </c>
      <c r="D10" s="13">
        <f>COUNTIFS(MQLs!$D$2:$D$8001,$B10,MQLs!$K$2:$K$8001,1,MQLs!$G$2:$G$8001,1)</f>
        <v/>
      </c>
      <c r="E10" s="14">
        <f>IFERROR(D10/C10,0)</f>
        <v/>
      </c>
      <c r="F10" s="14">
        <f>IFERROR(C10/$C$16,0)</f>
        <v/>
      </c>
    </row>
    <row r="11">
      <c r="A11" s="4" t="inlineStr">
        <is>
          <t>Page 7</t>
        </is>
      </c>
      <c r="B11" s="21" t="inlineStr">
        <is>
          <t>f017be4dbf86243af5c1ebed0cff36a2</t>
        </is>
      </c>
      <c r="C11" s="13">
        <f>COUNTIFS(MQLs!$D$2:$D$8001,$B11,MQLs!$K$2:$K$8001,1)</f>
        <v/>
      </c>
      <c r="D11" s="13">
        <f>COUNTIFS(MQLs!$D$2:$D$8001,$B11,MQLs!$K$2:$K$8001,1,MQLs!$G$2:$G$8001,1)</f>
        <v/>
      </c>
      <c r="E11" s="14">
        <f>IFERROR(D11/C11,0)</f>
        <v/>
      </c>
      <c r="F11" s="14">
        <f>IFERROR(C11/$C$16,0)</f>
        <v/>
      </c>
    </row>
    <row r="12">
      <c r="A12" s="4" t="inlineStr">
        <is>
          <t>Page 8</t>
        </is>
      </c>
      <c r="B12" s="21" t="inlineStr">
        <is>
          <t>e492ee5eaf1697716985cc6f33f9cd9b</t>
        </is>
      </c>
      <c r="C12" s="13">
        <f>COUNTIFS(MQLs!$D$2:$D$8001,$B12,MQLs!$K$2:$K$8001,1)</f>
        <v/>
      </c>
      <c r="D12" s="13">
        <f>COUNTIFS(MQLs!$D$2:$D$8001,$B12,MQLs!$K$2:$K$8001,1,MQLs!$G$2:$G$8001,1)</f>
        <v/>
      </c>
      <c r="E12" s="14">
        <f>IFERROR(D12/C12,0)</f>
        <v/>
      </c>
      <c r="F12" s="14">
        <f>IFERROR(C12/$C$16,0)</f>
        <v/>
      </c>
    </row>
    <row r="13">
      <c r="A13" s="4" t="inlineStr">
        <is>
          <t>Page 9</t>
        </is>
      </c>
      <c r="B13" s="21" t="inlineStr">
        <is>
          <t>a7982125ff7aa3b2054c6e44f9d28522</t>
        </is>
      </c>
      <c r="C13" s="13">
        <f>COUNTIFS(MQLs!$D$2:$D$8001,$B13,MQLs!$K$2:$K$8001,1)</f>
        <v/>
      </c>
      <c r="D13" s="13">
        <f>COUNTIFS(MQLs!$D$2:$D$8001,$B13,MQLs!$K$2:$K$8001,1,MQLs!$G$2:$G$8001,1)</f>
        <v/>
      </c>
      <c r="E13" s="14">
        <f>IFERROR(D13/C13,0)</f>
        <v/>
      </c>
      <c r="F13" s="14">
        <f>IFERROR(C13/$C$16,0)</f>
        <v/>
      </c>
    </row>
    <row r="14">
      <c r="A14" s="4" t="inlineStr">
        <is>
          <t>Page 10</t>
        </is>
      </c>
      <c r="B14" s="21" t="inlineStr">
        <is>
          <t>73f31a40697cc90a86c1273563ac230e</t>
        </is>
      </c>
      <c r="C14" s="13">
        <f>COUNTIFS(MQLs!$D$2:$D$8001,$B14,MQLs!$K$2:$K$8001,1)</f>
        <v/>
      </c>
      <c r="D14" s="13">
        <f>COUNTIFS(MQLs!$D$2:$D$8001,$B14,MQLs!$K$2:$K$8001,1,MQLs!$G$2:$G$8001,1)</f>
        <v/>
      </c>
      <c r="E14" s="14">
        <f>IFERROR(D14/C14,0)</f>
        <v/>
      </c>
      <c r="F14" s="14">
        <f>IFERROR(C14/$C$16,0)</f>
        <v/>
      </c>
    </row>
    <row r="15">
      <c r="A15" s="4" t="inlineStr">
        <is>
          <t>All other pages</t>
        </is>
      </c>
      <c r="C15" s="13">
        <f>C16-SUM(C5:C14)</f>
        <v/>
      </c>
      <c r="D15" s="13">
        <f>D16-SUM(D5:D14)</f>
        <v/>
      </c>
      <c r="E15" s="14">
        <f>IFERROR(D15/C15,0)</f>
        <v/>
      </c>
      <c r="F15" s="14">
        <f>IFERROR(C15/$C$16,0)</f>
        <v/>
      </c>
    </row>
    <row r="16">
      <c r="A16" s="17" t="inlineStr">
        <is>
          <t>Total</t>
        </is>
      </c>
      <c r="B16" s="20" t="n"/>
      <c r="C16" s="18">
        <f>SUM(MQLs!$K$2:$K$8001)</f>
        <v/>
      </c>
      <c r="D16" s="18">
        <f>COUNTIFS(MQLs!$K$2:$K$8001,1,MQLs!$G$2:$G$8001,1)</f>
        <v/>
      </c>
      <c r="E16" s="19">
        <f>IFERROR(D16/C16,0)</f>
        <v/>
      </c>
      <c r="F16" s="20" t="n"/>
    </row>
    <row r="18">
      <c r="A18" s="6" t="inlineStr">
        <is>
          <t>Pages 1 and 2 convert at ~22% vs ~10% for the rest. See 'Page x Channel' for whether that is the page or the traffic.</t>
        </is>
      </c>
    </row>
  </sheetData>
  <conditionalFormatting sqref="E5:E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3807A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8" customWidth="1" min="4" max="4"/>
    <col width="22" customWidth="1" min="5" max="5"/>
    <col width="12" customWidth="1" min="6" max="6"/>
  </cols>
  <sheetData>
    <row r="1">
      <c r="A1" s="1" t="inlineStr">
        <is>
          <t>Top-2 Pages vs Other Pages, Within Each Channel</t>
        </is>
      </c>
    </row>
    <row r="2">
      <c r="A2" s="2" t="inlineStr">
        <is>
          <t>If the top pages also win inside the same channel, the page itself is the driver</t>
        </is>
      </c>
    </row>
    <row r="4">
      <c r="A4" s="22" t="inlineStr">
        <is>
          <t>Top page 1</t>
        </is>
      </c>
      <c r="B4" s="23" t="inlineStr">
        <is>
          <t>b76ef37428e6799c421989521c0e5077</t>
        </is>
      </c>
    </row>
    <row r="5">
      <c r="A5" s="22" t="inlineStr">
        <is>
          <t>Top page 2</t>
        </is>
      </c>
      <c r="B5" s="23" t="inlineStr">
        <is>
          <t>22c29808c4f815213303f8933030604c</t>
        </is>
      </c>
    </row>
    <row r="7" ht="32" customHeight="1">
      <c r="A7" s="3" t="inlineStr">
        <is>
          <t>Channel</t>
        </is>
      </c>
      <c r="B7" s="3" t="inlineStr">
        <is>
          <t>Leads – top pages</t>
        </is>
      </c>
      <c r="C7" s="3" t="inlineStr">
        <is>
          <t>Conversion – top pages</t>
        </is>
      </c>
      <c r="D7" s="3" t="inlineStr">
        <is>
          <t>Leads – other pages</t>
        </is>
      </c>
      <c r="E7" s="3" t="inlineStr">
        <is>
          <t>Conversion – other pages</t>
        </is>
      </c>
      <c r="F7" s="3" t="inlineStr">
        <is>
          <t>Difference</t>
        </is>
      </c>
    </row>
    <row r="8">
      <c r="A8" s="4" t="inlineStr">
        <is>
          <t>unknown</t>
        </is>
      </c>
      <c r="B8" s="13">
        <f>COUNTIFS(MQLs!$E$2:$E$8001,$A8,MQLs!$K$2:$K$8001,1,MQLs!$D$2:$D$8001,$B$4)+COUNTIFS(MQLs!$E$2:$E$8001,$A8,MQLs!$K$2:$K$8001,1,MQLs!$D$2:$D$8001,$B$5)</f>
        <v/>
      </c>
      <c r="C8" s="14">
        <f>IFERROR((COUNTIFS(MQLs!$E$2:$E$8001,$A8,MQLs!$K$2:$K$8001,1,MQLs!$D$2:$D$8001,$B$4,MQLs!$G$2:$G$8001,1)+COUNTIFS(MQLs!$E$2:$E$8001,$A8,MQLs!$K$2:$K$8001,1,MQLs!$D$2:$D$8001,$B$5,MQLs!$G$2:$G$8001,1))/B8,0)</f>
        <v/>
      </c>
      <c r="D8" s="13">
        <f>COUNTIFS(MQLs!$E$2:$E$8001,$A8,MQLs!$K$2:$K$8001,1)-B8</f>
        <v/>
      </c>
      <c r="E8" s="14">
        <f>IFERROR((COUNTIFS(MQLs!$E$2:$E$8001,$A8,MQLs!$K$2:$K$8001,1,MQLs!$G$2:$G$8001,1)-(COUNTIFS(MQLs!$E$2:$E$8001,$A8,MQLs!$K$2:$K$8001,1,MQLs!$D$2:$D$8001,$B$4,MQLs!$G$2:$G$8001,1)+COUNTIFS(MQLs!$E$2:$E$8001,$A8,MQLs!$K$2:$K$8001,1,MQLs!$D$2:$D$8001,$B$5,MQLs!$G$2:$G$8001,1)))/D8,0)</f>
        <v/>
      </c>
      <c r="F8" s="15">
        <f>(C8-E8)*100</f>
        <v/>
      </c>
    </row>
    <row r="9">
      <c r="A9" s="4" t="inlineStr">
        <is>
          <t>organic_search</t>
        </is>
      </c>
      <c r="B9" s="13">
        <f>COUNTIFS(MQLs!$E$2:$E$8001,$A9,MQLs!$K$2:$K$8001,1,MQLs!$D$2:$D$8001,$B$4)+COUNTIFS(MQLs!$E$2:$E$8001,$A9,MQLs!$K$2:$K$8001,1,MQLs!$D$2:$D$8001,$B$5)</f>
        <v/>
      </c>
      <c r="C9" s="14">
        <f>IFERROR((COUNTIFS(MQLs!$E$2:$E$8001,$A9,MQLs!$K$2:$K$8001,1,MQLs!$D$2:$D$8001,$B$4,MQLs!$G$2:$G$8001,1)+COUNTIFS(MQLs!$E$2:$E$8001,$A9,MQLs!$K$2:$K$8001,1,MQLs!$D$2:$D$8001,$B$5,MQLs!$G$2:$G$8001,1))/B9,0)</f>
        <v/>
      </c>
      <c r="D9" s="13">
        <f>COUNTIFS(MQLs!$E$2:$E$8001,$A9,MQLs!$K$2:$K$8001,1)-B9</f>
        <v/>
      </c>
      <c r="E9" s="14">
        <f>IFERROR((COUNTIFS(MQLs!$E$2:$E$8001,$A9,MQLs!$K$2:$K$8001,1,MQLs!$G$2:$G$8001,1)-(COUNTIFS(MQLs!$E$2:$E$8001,$A9,MQLs!$K$2:$K$8001,1,MQLs!$D$2:$D$8001,$B$4,MQLs!$G$2:$G$8001,1)+COUNTIFS(MQLs!$E$2:$E$8001,$A9,MQLs!$K$2:$K$8001,1,MQLs!$D$2:$D$8001,$B$5,MQLs!$G$2:$G$8001,1)))/D9,0)</f>
        <v/>
      </c>
      <c r="F9" s="15">
        <f>(C9-E9)*100</f>
        <v/>
      </c>
    </row>
    <row r="10">
      <c r="A10" s="4" t="inlineStr">
        <is>
          <t>paid_search</t>
        </is>
      </c>
      <c r="B10" s="13">
        <f>COUNTIFS(MQLs!$E$2:$E$8001,$A10,MQLs!$K$2:$K$8001,1,MQLs!$D$2:$D$8001,$B$4)+COUNTIFS(MQLs!$E$2:$E$8001,$A10,MQLs!$K$2:$K$8001,1,MQLs!$D$2:$D$8001,$B$5)</f>
        <v/>
      </c>
      <c r="C10" s="14">
        <f>IFERROR((COUNTIFS(MQLs!$E$2:$E$8001,$A10,MQLs!$K$2:$K$8001,1,MQLs!$D$2:$D$8001,$B$4,MQLs!$G$2:$G$8001,1)+COUNTIFS(MQLs!$E$2:$E$8001,$A10,MQLs!$K$2:$K$8001,1,MQLs!$D$2:$D$8001,$B$5,MQLs!$G$2:$G$8001,1))/B10,0)</f>
        <v/>
      </c>
      <c r="D10" s="13">
        <f>COUNTIFS(MQLs!$E$2:$E$8001,$A10,MQLs!$K$2:$K$8001,1)-B10</f>
        <v/>
      </c>
      <c r="E10" s="14">
        <f>IFERROR((COUNTIFS(MQLs!$E$2:$E$8001,$A10,MQLs!$K$2:$K$8001,1,MQLs!$G$2:$G$8001,1)-(COUNTIFS(MQLs!$E$2:$E$8001,$A10,MQLs!$K$2:$K$8001,1,MQLs!$D$2:$D$8001,$B$4,MQLs!$G$2:$G$8001,1)+COUNTIFS(MQLs!$E$2:$E$8001,$A10,MQLs!$K$2:$K$8001,1,MQLs!$D$2:$D$8001,$B$5,MQLs!$G$2:$G$8001,1)))/D10,0)</f>
        <v/>
      </c>
      <c r="F10" s="15">
        <f>(C10-E10)*100</f>
        <v/>
      </c>
    </row>
    <row r="11">
      <c r="A11" s="4" t="inlineStr">
        <is>
          <t>direct_traffic</t>
        </is>
      </c>
      <c r="B11" s="13">
        <f>COUNTIFS(MQLs!$E$2:$E$8001,$A11,MQLs!$K$2:$K$8001,1,MQLs!$D$2:$D$8001,$B$4)+COUNTIFS(MQLs!$E$2:$E$8001,$A11,MQLs!$K$2:$K$8001,1,MQLs!$D$2:$D$8001,$B$5)</f>
        <v/>
      </c>
      <c r="C11" s="14">
        <f>IFERROR((COUNTIFS(MQLs!$E$2:$E$8001,$A11,MQLs!$K$2:$K$8001,1,MQLs!$D$2:$D$8001,$B$4,MQLs!$G$2:$G$8001,1)+COUNTIFS(MQLs!$E$2:$E$8001,$A11,MQLs!$K$2:$K$8001,1,MQLs!$D$2:$D$8001,$B$5,MQLs!$G$2:$G$8001,1))/B11,0)</f>
        <v/>
      </c>
      <c r="D11" s="13">
        <f>COUNTIFS(MQLs!$E$2:$E$8001,$A11,MQLs!$K$2:$K$8001,1)-B11</f>
        <v/>
      </c>
      <c r="E11" s="14">
        <f>IFERROR((COUNTIFS(MQLs!$E$2:$E$8001,$A11,MQLs!$K$2:$K$8001,1,MQLs!$G$2:$G$8001,1)-(COUNTIFS(MQLs!$E$2:$E$8001,$A11,MQLs!$K$2:$K$8001,1,MQLs!$D$2:$D$8001,$B$4,MQLs!$G$2:$G$8001,1)+COUNTIFS(MQLs!$E$2:$E$8001,$A11,MQLs!$K$2:$K$8001,1,MQLs!$D$2:$D$8001,$B$5,MQLs!$G$2:$G$8001,1)))/D11,0)</f>
        <v/>
      </c>
      <c r="F11" s="15">
        <f>(C11-E11)*100</f>
        <v/>
      </c>
    </row>
    <row r="12">
      <c r="A12" s="4" t="inlineStr">
        <is>
          <t>referral</t>
        </is>
      </c>
      <c r="B12" s="13">
        <f>COUNTIFS(MQLs!$E$2:$E$8001,$A12,MQLs!$K$2:$K$8001,1,MQLs!$D$2:$D$8001,$B$4)+COUNTIFS(MQLs!$E$2:$E$8001,$A12,MQLs!$K$2:$K$8001,1,MQLs!$D$2:$D$8001,$B$5)</f>
        <v/>
      </c>
      <c r="C12" s="14">
        <f>IFERROR((COUNTIFS(MQLs!$E$2:$E$8001,$A12,MQLs!$K$2:$K$8001,1,MQLs!$D$2:$D$8001,$B$4,MQLs!$G$2:$G$8001,1)+COUNTIFS(MQLs!$E$2:$E$8001,$A12,MQLs!$K$2:$K$8001,1,MQLs!$D$2:$D$8001,$B$5,MQLs!$G$2:$G$8001,1))/B12,0)</f>
        <v/>
      </c>
      <c r="D12" s="13">
        <f>COUNTIFS(MQLs!$E$2:$E$8001,$A12,MQLs!$K$2:$K$8001,1)-B12</f>
        <v/>
      </c>
      <c r="E12" s="14">
        <f>IFERROR((COUNTIFS(MQLs!$E$2:$E$8001,$A12,MQLs!$K$2:$K$8001,1,MQLs!$G$2:$G$8001,1)-(COUNTIFS(MQLs!$E$2:$E$8001,$A12,MQLs!$K$2:$K$8001,1,MQLs!$D$2:$D$8001,$B$4,MQLs!$G$2:$G$8001,1)+COUNTIFS(MQLs!$E$2:$E$8001,$A12,MQLs!$K$2:$K$8001,1,MQLs!$D$2:$D$8001,$B$5,MQLs!$G$2:$G$8001,1)))/D12,0)</f>
        <v/>
      </c>
      <c r="F12" s="15">
        <f>(C12-E12)*100</f>
        <v/>
      </c>
    </row>
    <row r="14">
      <c r="A14" s="6" t="inlineStr">
        <is>
          <t>Top pages win by 10-15 points in organic, direct, referral and unknown traffic, but not in paid search. Next step: A/B test sending organic traffic to the top page.</t>
        </is>
      </c>
    </row>
  </sheetData>
  <conditionalFormatting sqref="F8:F12">
    <cfRule type="dataBar" priority="1">
      <dataBar>
        <cfvo type="num" val="0"/>
        <cfvo type="max"/>
        <color rgb="0063BE7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3807A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9" customWidth="1" min="4" max="4"/>
    <col width="9" customWidth="1" min="5" max="5"/>
    <col width="12" customWidth="1" min="6" max="6"/>
  </cols>
  <sheetData>
    <row r="1">
      <c r="A1" s="1" t="inlineStr">
        <is>
          <t>Time to Close (analysis window)</t>
        </is>
      </c>
    </row>
    <row r="2">
      <c r="A2" s="2" t="inlineStr">
        <is>
          <t>Days from first contact to won deal</t>
        </is>
      </c>
    </row>
    <row r="4" ht="32" customHeight="1">
      <c r="A4" s="3" t="inlineStr">
        <is>
          <t>Time to close</t>
        </is>
      </c>
      <c r="B4" s="3" t="inlineStr">
        <is>
          <t>From (days)</t>
        </is>
      </c>
      <c r="C4" s="3" t="inlineStr">
        <is>
          <t>To (days)</t>
        </is>
      </c>
      <c r="D4" s="3" t="inlineStr">
        <is>
          <t>Deals</t>
        </is>
      </c>
      <c r="E4" s="3" t="inlineStr">
        <is>
          <t>Share</t>
        </is>
      </c>
      <c r="F4" s="3" t="inlineStr">
        <is>
          <t>Cumulative</t>
        </is>
      </c>
    </row>
    <row r="5">
      <c r="A5" s="4" t="inlineStr">
        <is>
          <t>0-7 days</t>
        </is>
      </c>
      <c r="B5" s="13" t="n">
        <v>0</v>
      </c>
      <c r="C5" s="13" t="n">
        <v>7</v>
      </c>
      <c r="D5" s="13">
        <f>COUNTIFS(MQLs!$K$2:$K$8001,1,MQLs!$J$2:$J$8001,"&gt;="&amp;B5,MQLs!$J$2:$J$8001,"&lt;="&amp;C5)</f>
        <v/>
      </c>
      <c r="E5" s="14">
        <f>IFERROR(D5/SUM($D$5:$D$8),0)</f>
        <v/>
      </c>
      <c r="F5" s="14">
        <f>SUM($E$5:E5)</f>
        <v/>
      </c>
    </row>
    <row r="6">
      <c r="A6" s="4" t="inlineStr">
        <is>
          <t>8-30 days</t>
        </is>
      </c>
      <c r="B6" s="13" t="n">
        <v>8</v>
      </c>
      <c r="C6" s="13" t="n">
        <v>30</v>
      </c>
      <c r="D6" s="13">
        <f>COUNTIFS(MQLs!$K$2:$K$8001,1,MQLs!$J$2:$J$8001,"&gt;="&amp;B6,MQLs!$J$2:$J$8001,"&lt;="&amp;C6)</f>
        <v/>
      </c>
      <c r="E6" s="14">
        <f>IFERROR(D6/SUM($D$5:$D$8),0)</f>
        <v/>
      </c>
      <c r="F6" s="14">
        <f>SUM($E$5:E6)</f>
        <v/>
      </c>
    </row>
    <row r="7">
      <c r="A7" s="4" t="inlineStr">
        <is>
          <t>31-90 days</t>
        </is>
      </c>
      <c r="B7" s="13" t="n">
        <v>31</v>
      </c>
      <c r="C7" s="13" t="n">
        <v>90</v>
      </c>
      <c r="D7" s="13">
        <f>COUNTIFS(MQLs!$K$2:$K$8001,1,MQLs!$J$2:$J$8001,"&gt;="&amp;B7,MQLs!$J$2:$J$8001,"&lt;="&amp;C7)</f>
        <v/>
      </c>
      <c r="E7" s="14">
        <f>IFERROR(D7/SUM($D$5:$D$8),0)</f>
        <v/>
      </c>
      <c r="F7" s="14">
        <f>SUM($E$5:E7)</f>
        <v/>
      </c>
    </row>
    <row r="8">
      <c r="A8" s="4" t="inlineStr">
        <is>
          <t>Over 90 days</t>
        </is>
      </c>
      <c r="B8" s="13" t="n">
        <v>91</v>
      </c>
      <c r="C8" s="13" t="n">
        <v>9999</v>
      </c>
      <c r="D8" s="13">
        <f>COUNTIFS(MQLs!$K$2:$K$8001,1,MQLs!$J$2:$J$8001,"&gt;="&amp;B8,MQLs!$J$2:$J$8001,"&lt;="&amp;C8)</f>
        <v/>
      </c>
      <c r="E8" s="14">
        <f>IFERROR(D8/SUM($D$5:$D$8),0)</f>
        <v/>
      </c>
      <c r="F8" s="14">
        <f>SUM($E$5:E8)</f>
        <v/>
      </c>
    </row>
    <row r="10">
      <c r="A10" s="22" t="inlineStr">
        <is>
          <t>Median days to close</t>
        </is>
      </c>
      <c r="D10" s="24">
        <f t="array" ref="D10">MEDIAN(IF((MQLs!$K$2:$K$8001=1)*ISNUMBER(MQLs!$J$2:$J$8001),MQLs!$J$2:$J$8001))</f>
        <v/>
      </c>
    </row>
    <row r="11">
      <c r="A11" s="6" t="inlineStr">
        <is>
          <t>(array formula – in old Excel versions confirm with Ctrl+Shift+Enter)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3807A"/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9" customWidth="1" min="3" max="3"/>
    <col width="9" customWidth="1" min="4" max="4"/>
    <col width="15" customWidth="1" min="5" max="5"/>
  </cols>
  <sheetData>
    <row r="1">
      <c r="A1" s="1" t="inlineStr">
        <is>
          <t>Sales Rep Concentration (analysis window)</t>
        </is>
      </c>
    </row>
    <row r="2">
      <c r="A2" s="2" t="inlineStr">
        <is>
          <t>Deals closed per sales rep (sr_id), largest first – a Pareto view</t>
        </is>
      </c>
    </row>
    <row r="4" ht="32" customHeight="1">
      <c r="A4" s="3" t="inlineStr">
        <is>
          <t>Rank</t>
        </is>
      </c>
      <c r="B4" s="3" t="inlineStr">
        <is>
          <t>Sales rep id</t>
        </is>
      </c>
      <c r="C4" s="3" t="inlineStr">
        <is>
          <t>Deals</t>
        </is>
      </c>
      <c r="D4" s="3" t="inlineStr">
        <is>
          <t>Share</t>
        </is>
      </c>
      <c r="E4" s="3" t="inlineStr">
        <is>
          <t>Cumulative share</t>
        </is>
      </c>
    </row>
    <row r="5">
      <c r="A5" s="25" t="n">
        <v>1</v>
      </c>
      <c r="B5" s="21" t="inlineStr">
        <is>
          <t>4ef15afb4b2723d8f3d81e51ec7afefe</t>
        </is>
      </c>
      <c r="C5" s="13">
        <f>COUNTIFS(MQLs!$I$2:$I$8001,$B5,MQLs!$K$2:$K$8001,1)</f>
        <v/>
      </c>
      <c r="D5" s="14">
        <f>IFERROR(C5/SUM($C$5:$C$25),0)</f>
        <v/>
      </c>
      <c r="E5" s="14">
        <f>SUM($D$5:D5)</f>
        <v/>
      </c>
      <c r="G5" s="22" t="inlineStr">
        <is>
          <t>Reps needed for 50% of deals</t>
        </is>
      </c>
      <c r="J5" s="26">
        <f>COUNTIF(E5:E25,"&lt;0.5")+1</f>
        <v/>
      </c>
    </row>
    <row r="6">
      <c r="A6" s="25" t="n">
        <v>2</v>
      </c>
      <c r="B6" s="21" t="inlineStr">
        <is>
          <t>d3d1e91a157ea7f90548eef82f1955e3</t>
        </is>
      </c>
      <c r="C6" s="13">
        <f>COUNTIFS(MQLs!$I$2:$I$8001,$B6,MQLs!$K$2:$K$8001,1)</f>
        <v/>
      </c>
      <c r="D6" s="14">
        <f>IFERROR(C6/SUM($C$5:$C$25),0)</f>
        <v/>
      </c>
      <c r="E6" s="14">
        <f>SUM($D$5:D6)</f>
        <v/>
      </c>
      <c r="G6" s="22" t="inlineStr">
        <is>
          <t>Total reps with deals</t>
        </is>
      </c>
      <c r="J6" s="22">
        <f>COUNTIF(C5:C25,"&gt;0")</f>
        <v/>
      </c>
    </row>
    <row r="7">
      <c r="A7" s="25" t="n">
        <v>3</v>
      </c>
      <c r="B7" s="21" t="inlineStr">
        <is>
          <t>6565aa9ce3178a5caf6171827af3a9ba</t>
        </is>
      </c>
      <c r="C7" s="13">
        <f>COUNTIFS(MQLs!$I$2:$I$8001,$B7,MQLs!$K$2:$K$8001,1)</f>
        <v/>
      </c>
      <c r="D7" s="14">
        <f>IFERROR(C7/SUM($C$5:$C$25),0)</f>
        <v/>
      </c>
      <c r="E7" s="14">
        <f>SUM($D$5:D7)</f>
        <v/>
      </c>
    </row>
    <row r="8">
      <c r="A8" s="25" t="n">
        <v>4</v>
      </c>
      <c r="B8" s="21" t="inlineStr">
        <is>
          <t>85fc447d336637ba1df43e793199fbc8</t>
        </is>
      </c>
      <c r="C8" s="13">
        <f>COUNTIFS(MQLs!$I$2:$I$8001,$B8,MQLs!$K$2:$K$8001,1)</f>
        <v/>
      </c>
      <c r="D8" s="14">
        <f>IFERROR(C8/SUM($C$5:$C$25),0)</f>
        <v/>
      </c>
      <c r="E8" s="14">
        <f>SUM($D$5:D8)</f>
        <v/>
      </c>
      <c r="G8" s="6" t="inlineStr">
        <is>
          <t>Key-person risk: losing the top rep would remove ~1 in 6 deals.</t>
        </is>
      </c>
    </row>
    <row r="9">
      <c r="A9" s="25" t="n">
        <v>5</v>
      </c>
      <c r="B9" s="21" t="inlineStr">
        <is>
          <t>fbf4aef3f6915dc0c3c97d6812522f6a</t>
        </is>
      </c>
      <c r="C9" s="13">
        <f>COUNTIFS(MQLs!$I$2:$I$8001,$B9,MQLs!$K$2:$K$8001,1)</f>
        <v/>
      </c>
      <c r="D9" s="14">
        <f>IFERROR(C9/SUM($C$5:$C$25),0)</f>
        <v/>
      </c>
      <c r="E9" s="14">
        <f>SUM($D$5:D9)</f>
        <v/>
      </c>
    </row>
    <row r="10">
      <c r="A10" s="25" t="n">
        <v>6</v>
      </c>
      <c r="B10" s="21" t="inlineStr">
        <is>
          <t>2695de1affa7750089c0455f8ce27021</t>
        </is>
      </c>
      <c r="C10" s="13">
        <f>COUNTIFS(MQLs!$I$2:$I$8001,$B10,MQLs!$K$2:$K$8001,1)</f>
        <v/>
      </c>
      <c r="D10" s="14">
        <f>IFERROR(C10/SUM($C$5:$C$25),0)</f>
        <v/>
      </c>
      <c r="E10" s="14">
        <f>SUM($D$5:D10)</f>
        <v/>
      </c>
    </row>
    <row r="11">
      <c r="A11" s="25" t="n">
        <v>7</v>
      </c>
      <c r="B11" s="21" t="inlineStr">
        <is>
          <t>495d4e95a8cf8bbf8b432b612a2aa328</t>
        </is>
      </c>
      <c r="C11" s="13">
        <f>COUNTIFS(MQLs!$I$2:$I$8001,$B11,MQLs!$K$2:$K$8001,1)</f>
        <v/>
      </c>
      <c r="D11" s="14">
        <f>IFERROR(C11/SUM($C$5:$C$25),0)</f>
        <v/>
      </c>
      <c r="E11" s="14">
        <f>SUM($D$5:D11)</f>
        <v/>
      </c>
    </row>
    <row r="12">
      <c r="A12" s="25" t="n">
        <v>8</v>
      </c>
      <c r="B12" s="21" t="inlineStr">
        <is>
          <t>9ae085775a198122c5586fa830ff7f2b</t>
        </is>
      </c>
      <c r="C12" s="13">
        <f>COUNTIFS(MQLs!$I$2:$I$8001,$B12,MQLs!$K$2:$K$8001,1)</f>
        <v/>
      </c>
      <c r="D12" s="14">
        <f>IFERROR(C12/SUM($C$5:$C$25),0)</f>
        <v/>
      </c>
      <c r="E12" s="14">
        <f>SUM($D$5:D12)</f>
        <v/>
      </c>
    </row>
    <row r="13">
      <c r="A13" s="25" t="n">
        <v>9</v>
      </c>
      <c r="B13" s="21" t="inlineStr">
        <is>
          <t>de63de0d10a6012430098db33c679b0b</t>
        </is>
      </c>
      <c r="C13" s="13">
        <f>COUNTIFS(MQLs!$I$2:$I$8001,$B13,MQLs!$K$2:$K$8001,1)</f>
        <v/>
      </c>
      <c r="D13" s="14">
        <f>IFERROR(C13/SUM($C$5:$C$25),0)</f>
        <v/>
      </c>
      <c r="E13" s="14">
        <f>SUM($D$5:D13)</f>
        <v/>
      </c>
    </row>
    <row r="14">
      <c r="A14" s="25" t="n">
        <v>10</v>
      </c>
      <c r="B14" s="21" t="inlineStr">
        <is>
          <t>c638112b43f1d1b86dcabb0da720c901</t>
        </is>
      </c>
      <c r="C14" s="13">
        <f>COUNTIFS(MQLs!$I$2:$I$8001,$B14,MQLs!$K$2:$K$8001,1)</f>
        <v/>
      </c>
      <c r="D14" s="14">
        <f>IFERROR(C14/SUM($C$5:$C$25),0)</f>
        <v/>
      </c>
      <c r="E14" s="14">
        <f>SUM($D$5:D14)</f>
        <v/>
      </c>
    </row>
    <row r="15">
      <c r="A15" s="25" t="n">
        <v>11</v>
      </c>
      <c r="B15" s="21" t="inlineStr">
        <is>
          <t>060c0a26f19f4d66b42e0d8796688490</t>
        </is>
      </c>
      <c r="C15" s="13">
        <f>COUNTIFS(MQLs!$I$2:$I$8001,$B15,MQLs!$K$2:$K$8001,1)</f>
        <v/>
      </c>
      <c r="D15" s="14">
        <f>IFERROR(C15/SUM($C$5:$C$25),0)</f>
        <v/>
      </c>
      <c r="E15" s="14">
        <f>SUM($D$5:D15)</f>
        <v/>
      </c>
    </row>
    <row r="16">
      <c r="A16" s="25" t="n">
        <v>12</v>
      </c>
      <c r="B16" s="21" t="inlineStr">
        <is>
          <t>a8387c01a09e99ce014107505b92388c</t>
        </is>
      </c>
      <c r="C16" s="13">
        <f>COUNTIFS(MQLs!$I$2:$I$8001,$B16,MQLs!$K$2:$K$8001,1)</f>
        <v/>
      </c>
      <c r="D16" s="14">
        <f>IFERROR(C16/SUM($C$5:$C$25),0)</f>
        <v/>
      </c>
      <c r="E16" s="14">
        <f>SUM($D$5:D16)</f>
        <v/>
      </c>
    </row>
    <row r="17">
      <c r="A17" s="25" t="n">
        <v>13</v>
      </c>
      <c r="B17" s="21" t="inlineStr">
        <is>
          <t>068066e24f0c643eb1d089c7dd20cd73</t>
        </is>
      </c>
      <c r="C17" s="13">
        <f>COUNTIFS(MQLs!$I$2:$I$8001,$B17,MQLs!$K$2:$K$8001,1)</f>
        <v/>
      </c>
      <c r="D17" s="14">
        <f>IFERROR(C17/SUM($C$5:$C$25),0)</f>
        <v/>
      </c>
      <c r="E17" s="14">
        <f>SUM($D$5:D17)</f>
        <v/>
      </c>
    </row>
    <row r="18">
      <c r="A18" s="25" t="n">
        <v>14</v>
      </c>
      <c r="B18" s="21" t="inlineStr">
        <is>
          <t>9e4d1098a3b0f5da39b0bc48f9876645</t>
        </is>
      </c>
      <c r="C18" s="13">
        <f>COUNTIFS(MQLs!$I$2:$I$8001,$B18,MQLs!$K$2:$K$8001,1)</f>
        <v/>
      </c>
      <c r="D18" s="14">
        <f>IFERROR(C18/SUM($C$5:$C$25),0)</f>
        <v/>
      </c>
      <c r="E18" s="14">
        <f>SUM($D$5:D18)</f>
        <v/>
      </c>
    </row>
    <row r="19">
      <c r="A19" s="25" t="n">
        <v>15</v>
      </c>
      <c r="B19" s="21" t="inlineStr">
        <is>
          <t>56bf83c4bb35763a51c2baab501b4c67</t>
        </is>
      </c>
      <c r="C19" s="13">
        <f>COUNTIFS(MQLs!$I$2:$I$8001,$B19,MQLs!$K$2:$K$8001,1)</f>
        <v/>
      </c>
      <c r="D19" s="14">
        <f>IFERROR(C19/SUM($C$5:$C$25),0)</f>
        <v/>
      </c>
      <c r="E19" s="14">
        <f>SUM($D$5:D19)</f>
        <v/>
      </c>
    </row>
    <row r="20">
      <c r="A20" s="25" t="n">
        <v>16</v>
      </c>
      <c r="B20" s="21" t="inlineStr">
        <is>
          <t>34d40cdaf94010a1d05b0d6212f9e909</t>
        </is>
      </c>
      <c r="C20" s="13">
        <f>COUNTIFS(MQLs!$I$2:$I$8001,$B20,MQLs!$K$2:$K$8001,1)</f>
        <v/>
      </c>
      <c r="D20" s="14">
        <f>IFERROR(C20/SUM($C$5:$C$25),0)</f>
        <v/>
      </c>
      <c r="E20" s="14">
        <f>SUM($D$5:D20)</f>
        <v/>
      </c>
    </row>
    <row r="21">
      <c r="A21" s="25" t="n">
        <v>17</v>
      </c>
      <c r="B21" s="21" t="inlineStr">
        <is>
          <t>4b339f9567d060bcea4f5136b9f5949e</t>
        </is>
      </c>
      <c r="C21" s="13">
        <f>COUNTIFS(MQLs!$I$2:$I$8001,$B21,MQLs!$K$2:$K$8001,1)</f>
        <v/>
      </c>
      <c r="D21" s="14">
        <f>IFERROR(C21/SUM($C$5:$C$25),0)</f>
        <v/>
      </c>
      <c r="E21" s="14">
        <f>SUM($D$5:D21)</f>
        <v/>
      </c>
    </row>
    <row r="22">
      <c r="A22" s="25" t="n">
        <v>18</v>
      </c>
      <c r="B22" s="21" t="inlineStr">
        <is>
          <t>9749123c950bf8363ace42cb1c2d0815</t>
        </is>
      </c>
      <c r="C22" s="13">
        <f>COUNTIFS(MQLs!$I$2:$I$8001,$B22,MQLs!$K$2:$K$8001,1)</f>
        <v/>
      </c>
      <c r="D22" s="14">
        <f>IFERROR(C22/SUM($C$5:$C$25),0)</f>
        <v/>
      </c>
      <c r="E22" s="14">
        <f>SUM($D$5:D22)</f>
        <v/>
      </c>
    </row>
    <row r="23">
      <c r="A23" s="25" t="n">
        <v>19</v>
      </c>
      <c r="B23" s="21" t="inlineStr">
        <is>
          <t>9d12ef1a7eca3ec58c545c678af7869c</t>
        </is>
      </c>
      <c r="C23" s="13">
        <f>COUNTIFS(MQLs!$I$2:$I$8001,$B23,MQLs!$K$2:$K$8001,1)</f>
        <v/>
      </c>
      <c r="D23" s="14">
        <f>IFERROR(C23/SUM($C$5:$C$25),0)</f>
        <v/>
      </c>
      <c r="E23" s="14">
        <f>SUM($D$5:D23)</f>
        <v/>
      </c>
    </row>
    <row r="24">
      <c r="A24" s="25" t="n">
        <v>20</v>
      </c>
      <c r="B24" s="21" t="inlineStr">
        <is>
          <t>0a0fb2b07d841f84fb6714e35c723075</t>
        </is>
      </c>
      <c r="C24" s="13">
        <f>COUNTIFS(MQLs!$I$2:$I$8001,$B24,MQLs!$K$2:$K$8001,1)</f>
        <v/>
      </c>
      <c r="D24" s="14">
        <f>IFERROR(C24/SUM($C$5:$C$25),0)</f>
        <v/>
      </c>
      <c r="E24" s="14">
        <f>SUM($D$5:D24)</f>
        <v/>
      </c>
    </row>
    <row r="25">
      <c r="A25" s="25" t="n">
        <v>21</v>
      </c>
      <c r="B25" s="21" t="inlineStr">
        <is>
          <t>b90f87164b5f8c2cfa5c8572834dbe3f</t>
        </is>
      </c>
      <c r="C25" s="13">
        <f>COUNTIFS(MQLs!$I$2:$I$8001,$B25,MQLs!$K$2:$K$8001,1)</f>
        <v/>
      </c>
      <c r="D25" s="14">
        <f>IFERROR(C25/SUM($C$5:$C$25),0)</f>
        <v/>
      </c>
      <c r="E25" s="14">
        <f>SUM($D$5:D25)</f>
        <v/>
      </c>
    </row>
  </sheetData>
  <conditionalFormatting sqref="C5:C25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3807A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9" customWidth="1" min="3" max="3"/>
    <col width="55" customWidth="1" min="4" max="4"/>
  </cols>
  <sheetData>
    <row r="1">
      <c r="A1" s="1" t="inlineStr">
        <is>
          <t>Data Quality Checks</t>
        </is>
      </c>
    </row>
    <row r="2">
      <c r="A2" s="2" t="inlineStr">
        <is>
          <t>Real data is never clean – these checks shape the conclusions</t>
        </is>
      </c>
    </row>
    <row r="4" ht="32" customHeight="1">
      <c r="A4" s="3" t="inlineStr">
        <is>
          <t>Check</t>
        </is>
      </c>
      <c r="B4" s="3" t="inlineStr">
        <is>
          <t>Value</t>
        </is>
      </c>
      <c r="C4" s="3" t="inlineStr">
        <is>
          <t>Share</t>
        </is>
      </c>
      <c r="D4" s="3" t="inlineStr">
        <is>
          <t>What it means</t>
        </is>
      </c>
    </row>
    <row r="5">
      <c r="A5" s="4" t="inlineStr">
        <is>
          <t>Leads (MQLs)</t>
        </is>
      </c>
      <c r="B5" s="13">
        <f>COUNTA(MQLs!$A$2:$A$8001)</f>
        <v/>
      </c>
      <c r="C5" s="14" t="n"/>
      <c r="D5" s="5" t="inlineStr">
        <is>
          <t>Jun 2017 – May 2018</t>
        </is>
      </c>
    </row>
    <row r="6">
      <c r="A6" s="4" t="inlineStr">
        <is>
          <t>Deals</t>
        </is>
      </c>
      <c r="B6" s="13">
        <f>COUNTA(Deals!$A$2:$A$843)</f>
        <v/>
      </c>
      <c r="C6" s="14" t="n"/>
      <c r="D6" s="5" t="inlineStr">
        <is>
          <t>Won Dec 2017 – Nov 2018: earlier deals are missing</t>
        </is>
      </c>
    </row>
    <row r="7">
      <c r="A7" s="4" t="inlineStr">
        <is>
          <t>Deals that matched a lead</t>
        </is>
      </c>
      <c r="B7" s="13">
        <f>SUM(MQLs!$G$2:$G$8001)</f>
        <v/>
      </c>
      <c r="C7" s="14">
        <f>B7/B6</f>
        <v/>
      </c>
      <c r="D7" s="5" t="inlineStr">
        <is>
          <t>Should be 100% – join integrity</t>
        </is>
      </c>
    </row>
    <row r="8">
      <c r="A8" s="4" t="inlineStr">
        <is>
          <t>Leads with origin 'unknown' or missing</t>
        </is>
      </c>
      <c r="B8" s="13">
        <f>COUNTIF(MQLs!$E$2:$E$8001,"unknown")+COUNTIF(MQLs!$E$2:$E$8001,"(missing)")</f>
        <v/>
      </c>
      <c r="C8" s="14">
        <f>B8/B5</f>
        <v/>
      </c>
      <c r="D8" s="5" t="inlineStr">
        <is>
          <t>Tracking gap – and these leads convert best</t>
        </is>
      </c>
    </row>
    <row r="9">
      <c r="A9" s="4" t="inlineStr">
        <is>
          <t>Deals won before first contact</t>
        </is>
      </c>
      <c r="B9" s="13">
        <f>COUNTIF(MQLs!$J$2:$J$8001,"&lt;0")</f>
        <v/>
      </c>
      <c r="C9" s="14">
        <f>B9/B6</f>
        <v/>
      </c>
      <c r="D9" s="5" t="inlineStr">
        <is>
          <t>Impossible date – excluded from timing</t>
        </is>
      </c>
    </row>
    <row r="10">
      <c r="A10" s="4" t="inlineStr">
        <is>
          <t>Deals with declared revenue = 0</t>
        </is>
      </c>
      <c r="B10" s="13">
        <f>COUNTIF(Deals!$N$2:$N$843,0)</f>
        <v/>
      </c>
      <c r="C10" s="14">
        <f>B10/B6</f>
        <v/>
      </c>
      <c r="D10" s="5" t="inlineStr">
        <is>
          <t>Revenue field unusable – no value analysis</t>
        </is>
      </c>
    </row>
    <row r="11">
      <c r="A11" s="4" t="inlineStr">
        <is>
          <t>Deals with has_company empty</t>
        </is>
      </c>
      <c r="B11" s="13">
        <f>COUNTBLANK(Deals!$I$2:$I$843)</f>
        <v/>
      </c>
      <c r="C11" s="14">
        <f>B11/B6</f>
        <v/>
      </c>
      <c r="D11" s="5" t="inlineStr">
        <is>
          <t>Field mostly empty – not used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B7785"/>
    <outlinePr summaryBelow="1" summaryRight="1"/>
    <pageSetUpPr/>
  </sheetPr>
  <dimension ref="A1:K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1" customWidth="1" min="3" max="3"/>
    <col width="34" customWidth="1" min="4" max="4"/>
    <col width="16" customWidth="1" min="5" max="5"/>
    <col width="9" customWidth="1" min="6" max="6"/>
    <col width="8" customWidth="1" min="7" max="7"/>
    <col width="12" customWidth="1" min="8" max="8"/>
    <col width="34" customWidth="1" min="9" max="9"/>
    <col width="13" customWidth="1" min="10" max="10"/>
    <col width="10" customWidth="1" min="11" max="11"/>
  </cols>
  <sheetData>
    <row r="1">
      <c r="A1" s="27" t="inlineStr">
        <is>
          <t>mql_id</t>
        </is>
      </c>
      <c r="B1" s="27" t="inlineStr">
        <is>
          <t>first_contact_date</t>
        </is>
      </c>
      <c r="C1" s="27" t="inlineStr">
        <is>
          <t>lead_month</t>
        </is>
      </c>
      <c r="D1" s="27" t="inlineStr">
        <is>
          <t>landing_page_id</t>
        </is>
      </c>
      <c r="E1" s="27" t="inlineStr">
        <is>
          <t>origin</t>
        </is>
      </c>
      <c r="F1" s="28" t="inlineStr">
        <is>
          <t>deal_row</t>
        </is>
      </c>
      <c r="G1" s="28" t="inlineStr">
        <is>
          <t>is_won</t>
        </is>
      </c>
      <c r="H1" s="28" t="inlineStr">
        <is>
          <t>won_date</t>
        </is>
      </c>
      <c r="I1" s="28" t="inlineStr">
        <is>
          <t>sr_id</t>
        </is>
      </c>
      <c r="J1" s="28" t="inlineStr">
        <is>
          <t>days_to_close</t>
        </is>
      </c>
      <c r="K1" s="28" t="inlineStr">
        <is>
          <t>in_window</t>
        </is>
      </c>
    </row>
    <row r="2">
      <c r="A2" t="inlineStr">
        <is>
          <t>dac32acd4db4c29c230538b72f8dd87d</t>
        </is>
      </c>
      <c r="B2" s="29" t="n">
        <v>43132</v>
      </c>
      <c r="C2" t="inlineStr">
        <is>
          <t>2018-02</t>
        </is>
      </c>
      <c r="D2" t="inlineStr">
        <is>
          <t>88740e65d5d6b056e0cda098e1ea6313</t>
        </is>
      </c>
      <c r="E2" t="inlineStr">
        <is>
          <t>social</t>
        </is>
      </c>
      <c r="F2">
        <f>IFERROR(MATCH(A2,Deals!$A$2:$A$843,0),"")</f>
        <v/>
      </c>
      <c r="G2">
        <f>IF(F2="",0,1)</f>
        <v/>
      </c>
      <c r="H2" s="29">
        <f>IF(F2="","",INDEX(Deals!$E$2:$E$843,F2))</f>
        <v/>
      </c>
      <c r="I2">
        <f>IF(F2="","",INDEX(Deals!$D$2:$D$843,F2))</f>
        <v/>
      </c>
      <c r="J2">
        <f>IF(F2="","",INT(H2)-B2)</f>
        <v/>
      </c>
      <c r="K2">
        <f>IF(B2&gt;=Settings!$C$5,1,0)</f>
        <v/>
      </c>
    </row>
    <row r="3">
      <c r="A3" t="inlineStr">
        <is>
          <t>8c18d1de7f67e60dbd64e3c07d7e9d5d</t>
        </is>
      </c>
      <c r="B3" s="29" t="n">
        <v>43028</v>
      </c>
      <c r="C3" t="inlineStr">
        <is>
          <t>2017-10</t>
        </is>
      </c>
      <c r="D3" t="inlineStr">
        <is>
          <t>007f9098284a86ee80ddeb25d53e0af8</t>
        </is>
      </c>
      <c r="E3" t="inlineStr">
        <is>
          <t>paid_search</t>
        </is>
      </c>
      <c r="F3">
        <f>IFERROR(MATCH(A3,Deals!$A$2:$A$843,0),"")</f>
        <v/>
      </c>
      <c r="G3">
        <f>IF(F3="",0,1)</f>
        <v/>
      </c>
      <c r="H3" s="29">
        <f>IF(F3="","",INDEX(Deals!$E$2:$E$843,F3))</f>
        <v/>
      </c>
      <c r="I3">
        <f>IF(F3="","",INDEX(Deals!$D$2:$D$843,F3))</f>
        <v/>
      </c>
      <c r="J3">
        <f>IF(F3="","",INT(H3)-B3)</f>
        <v/>
      </c>
      <c r="K3">
        <f>IF(B3&gt;=Settings!$C$5,1,0)</f>
        <v/>
      </c>
    </row>
    <row r="4">
      <c r="A4" t="inlineStr">
        <is>
          <t>b4bc852d233dfefc5131f593b538befa</t>
        </is>
      </c>
      <c r="B4" s="29" t="n">
        <v>43181</v>
      </c>
      <c r="C4" t="inlineStr">
        <is>
          <t>2018-03</t>
        </is>
      </c>
      <c r="D4" t="inlineStr">
        <is>
          <t>a7982125ff7aa3b2054c6e44f9d28522</t>
        </is>
      </c>
      <c r="E4" t="inlineStr">
        <is>
          <t>organic_search</t>
        </is>
      </c>
      <c r="F4">
        <f>IFERROR(MATCH(A4,Deals!$A$2:$A$843,0),"")</f>
        <v/>
      </c>
      <c r="G4">
        <f>IF(F4="",0,1)</f>
        <v/>
      </c>
      <c r="H4" s="29">
        <f>IF(F4="","",INDEX(Deals!$E$2:$E$843,F4))</f>
        <v/>
      </c>
      <c r="I4">
        <f>IF(F4="","",INDEX(Deals!$D$2:$D$843,F4))</f>
        <v/>
      </c>
      <c r="J4">
        <f>IF(F4="","",INT(H4)-B4)</f>
        <v/>
      </c>
      <c r="K4">
        <f>IF(B4&gt;=Settings!$C$5,1,0)</f>
        <v/>
      </c>
    </row>
    <row r="5">
      <c r="A5" t="inlineStr">
        <is>
          <t>6be030b81c75970747525b843c1ef4f8</t>
        </is>
      </c>
      <c r="B5" s="29" t="n">
        <v>43122</v>
      </c>
      <c r="C5" t="inlineStr">
        <is>
          <t>2018-01</t>
        </is>
      </c>
      <c r="D5" t="inlineStr">
        <is>
          <t>d45d558f0daeecf3cccdffe3c59684aa</t>
        </is>
      </c>
      <c r="E5" t="inlineStr">
        <is>
          <t>email</t>
        </is>
      </c>
      <c r="F5">
        <f>IFERROR(MATCH(A5,Deals!$A$2:$A$843,0),"")</f>
        <v/>
      </c>
      <c r="G5">
        <f>IF(F5="",0,1)</f>
        <v/>
      </c>
      <c r="H5" s="29">
        <f>IF(F5="","",INDEX(Deals!$E$2:$E$843,F5))</f>
        <v/>
      </c>
      <c r="I5">
        <f>IF(F5="","",INDEX(Deals!$D$2:$D$843,F5))</f>
        <v/>
      </c>
      <c r="J5">
        <f>IF(F5="","",INT(H5)-B5)</f>
        <v/>
      </c>
      <c r="K5">
        <f>IF(B5&gt;=Settings!$C$5,1,0)</f>
        <v/>
      </c>
    </row>
    <row r="6">
      <c r="A6" t="inlineStr">
        <is>
          <t>5420aad7fec3549a85876ba1c529bd84</t>
        </is>
      </c>
      <c r="B6" s="29" t="n">
        <v>43152</v>
      </c>
      <c r="C6" t="inlineStr">
        <is>
          <t>2018-02</t>
        </is>
      </c>
      <c r="D6" t="inlineStr">
        <is>
          <t>b48ec5f3b04e9068441002a19df93c6c</t>
        </is>
      </c>
      <c r="E6" t="inlineStr">
        <is>
          <t>organic_search</t>
        </is>
      </c>
      <c r="F6">
        <f>IFERROR(MATCH(A6,Deals!$A$2:$A$843,0),"")</f>
        <v/>
      </c>
      <c r="G6">
        <f>IF(F6="",0,1)</f>
        <v/>
      </c>
      <c r="H6" s="29">
        <f>IF(F6="","",INDEX(Deals!$E$2:$E$843,F6))</f>
        <v/>
      </c>
      <c r="I6">
        <f>IF(F6="","",INDEX(Deals!$D$2:$D$843,F6))</f>
        <v/>
      </c>
      <c r="J6">
        <f>IF(F6="","",INT(H6)-B6)</f>
        <v/>
      </c>
      <c r="K6">
        <f>IF(B6&gt;=Settings!$C$5,1,0)</f>
        <v/>
      </c>
    </row>
    <row r="7">
      <c r="A7" t="inlineStr">
        <is>
          <t>28bdfd5f057764b54c38770f95c69f2f</t>
        </is>
      </c>
      <c r="B7" s="29" t="n">
        <v>43114</v>
      </c>
      <c r="C7" t="inlineStr">
        <is>
          <t>2018-01</t>
        </is>
      </c>
      <c r="D7" t="inlineStr">
        <is>
          <t>22c29808c4f815213303f8933030604c</t>
        </is>
      </c>
      <c r="E7" t="inlineStr">
        <is>
          <t>organic_search</t>
        </is>
      </c>
      <c r="F7">
        <f>IFERROR(MATCH(A7,Deals!$A$2:$A$843,0),"")</f>
        <v/>
      </c>
      <c r="G7">
        <f>IF(F7="",0,1)</f>
        <v/>
      </c>
      <c r="H7" s="29">
        <f>IF(F7="","",INDEX(Deals!$E$2:$E$843,F7))</f>
        <v/>
      </c>
      <c r="I7">
        <f>IF(F7="","",INDEX(Deals!$D$2:$D$843,F7))</f>
        <v/>
      </c>
      <c r="J7">
        <f>IF(F7="","",INT(H7)-B7)</f>
        <v/>
      </c>
      <c r="K7">
        <f>IF(B7&gt;=Settings!$C$5,1,0)</f>
        <v/>
      </c>
    </row>
    <row r="8">
      <c r="A8" t="inlineStr">
        <is>
          <t>126a0d10becbaafcb2e72ce6848cf32c</t>
        </is>
      </c>
      <c r="B8" s="29" t="n">
        <v>43235</v>
      </c>
      <c r="C8" t="inlineStr">
        <is>
          <t>2018-05</t>
        </is>
      </c>
      <c r="D8" t="inlineStr">
        <is>
          <t>6a110e795dd487f1cf8d7583671987af</t>
        </is>
      </c>
      <c r="E8" t="inlineStr">
        <is>
          <t>email</t>
        </is>
      </c>
      <c r="F8">
        <f>IFERROR(MATCH(A8,Deals!$A$2:$A$843,0),"")</f>
        <v/>
      </c>
      <c r="G8">
        <f>IF(F8="",0,1)</f>
        <v/>
      </c>
      <c r="H8" s="29">
        <f>IF(F8="","",INDEX(Deals!$E$2:$E$843,F8))</f>
        <v/>
      </c>
      <c r="I8">
        <f>IF(F8="","",INDEX(Deals!$D$2:$D$843,F8))</f>
        <v/>
      </c>
      <c r="J8">
        <f>IF(F8="","",INT(H8)-B8)</f>
        <v/>
      </c>
      <c r="K8">
        <f>IF(B8&gt;=Settings!$C$5,1,0)</f>
        <v/>
      </c>
    </row>
    <row r="9">
      <c r="A9" t="inlineStr">
        <is>
          <t>f76136f54d14a3345951f25b7932366b</t>
        </is>
      </c>
      <c r="B9" s="29" t="n">
        <v>43244</v>
      </c>
      <c r="C9" t="inlineStr">
        <is>
          <t>2018-05</t>
        </is>
      </c>
      <c r="D9" t="inlineStr">
        <is>
          <t>d51b0d02f063ba1d053db6d97226eec3</t>
        </is>
      </c>
      <c r="E9" t="inlineStr">
        <is>
          <t>email</t>
        </is>
      </c>
      <c r="F9">
        <f>IFERROR(MATCH(A9,Deals!$A$2:$A$843,0),"")</f>
        <v/>
      </c>
      <c r="G9">
        <f>IF(F9="",0,1)</f>
        <v/>
      </c>
      <c r="H9" s="29">
        <f>IF(F9="","",INDEX(Deals!$E$2:$E$843,F9))</f>
        <v/>
      </c>
      <c r="I9">
        <f>IF(F9="","",INDEX(Deals!$D$2:$D$843,F9))</f>
        <v/>
      </c>
      <c r="J9">
        <f>IF(F9="","",INT(H9)-B9)</f>
        <v/>
      </c>
      <c r="K9">
        <f>IF(B9&gt;=Settings!$C$5,1,0)</f>
        <v/>
      </c>
    </row>
    <row r="10">
      <c r="A10" t="inlineStr">
        <is>
          <t>2f838cade4a6012a6cb1016d1d8d95ed</t>
        </is>
      </c>
      <c r="B10" s="29" t="n">
        <v>43049</v>
      </c>
      <c r="C10" t="inlineStr">
        <is>
          <t>2017-11</t>
        </is>
      </c>
      <c r="D10" t="inlineStr">
        <is>
          <t>aeac92c0f5ae22a04ed3b746cce3a1b6</t>
        </is>
      </c>
      <c r="E10" t="inlineStr">
        <is>
          <t>organic_search</t>
        </is>
      </c>
      <c r="F10">
        <f>IFERROR(MATCH(A10,Deals!$A$2:$A$843,0),"")</f>
        <v/>
      </c>
      <c r="G10">
        <f>IF(F10="",0,1)</f>
        <v/>
      </c>
      <c r="H10" s="29">
        <f>IF(F10="","",INDEX(Deals!$E$2:$E$843,F10))</f>
        <v/>
      </c>
      <c r="I10">
        <f>IF(F10="","",INDEX(Deals!$D$2:$D$843,F10))</f>
        <v/>
      </c>
      <c r="J10">
        <f>IF(F10="","",INT(H10)-B10)</f>
        <v/>
      </c>
      <c r="K10">
        <f>IF(B10&gt;=Settings!$C$5,1,0)</f>
        <v/>
      </c>
    </row>
    <row r="11">
      <c r="A11" t="inlineStr">
        <is>
          <t>7281942387a1a0c3f72a50a8b0bb0920</t>
        </is>
      </c>
      <c r="B11" s="29" t="n">
        <v>43094</v>
      </c>
      <c r="C11" t="inlineStr">
        <is>
          <t>2017-12</t>
        </is>
      </c>
      <c r="D11" t="inlineStr">
        <is>
          <t>88740e65d5d6b056e0cda098e1ea6313</t>
        </is>
      </c>
      <c r="E11" t="inlineStr">
        <is>
          <t>social</t>
        </is>
      </c>
      <c r="F11">
        <f>IFERROR(MATCH(A11,Deals!$A$2:$A$843,0),"")</f>
        <v/>
      </c>
      <c r="G11">
        <f>IF(F11="",0,1)</f>
        <v/>
      </c>
      <c r="H11" s="29">
        <f>IF(F11="","",INDEX(Deals!$E$2:$E$843,F11))</f>
        <v/>
      </c>
      <c r="I11">
        <f>IF(F11="","",INDEX(Deals!$D$2:$D$843,F11))</f>
        <v/>
      </c>
      <c r="J11">
        <f>IF(F11="","",INT(H11)-B11)</f>
        <v/>
      </c>
      <c r="K11">
        <f>IF(B11&gt;=Settings!$C$5,1,0)</f>
        <v/>
      </c>
    </row>
    <row r="12">
      <c r="A12" t="inlineStr">
        <is>
          <t>c534e2f89539e866011e1e75adfefbfb</t>
        </is>
      </c>
      <c r="B12" s="29" t="n">
        <v>43124</v>
      </c>
      <c r="C12" t="inlineStr">
        <is>
          <t>2018-01</t>
        </is>
      </c>
      <c r="D12" t="inlineStr">
        <is>
          <t>f017be4dbf86243af5c1ebed0cff36a2</t>
        </is>
      </c>
      <c r="E12" t="inlineStr">
        <is>
          <t>unknown</t>
        </is>
      </c>
      <c r="F12">
        <f>IFERROR(MATCH(A12,Deals!$A$2:$A$843,0),"")</f>
        <v/>
      </c>
      <c r="G12">
        <f>IF(F12="",0,1)</f>
        <v/>
      </c>
      <c r="H12" s="29">
        <f>IF(F12="","",INDEX(Deals!$E$2:$E$843,F12))</f>
        <v/>
      </c>
      <c r="I12">
        <f>IF(F12="","",INDEX(Deals!$D$2:$D$843,F12))</f>
        <v/>
      </c>
      <c r="J12">
        <f>IF(F12="","",INT(H12)-B12)</f>
        <v/>
      </c>
      <c r="K12">
        <f>IF(B12&gt;=Settings!$C$5,1,0)</f>
        <v/>
      </c>
    </row>
    <row r="13">
      <c r="A13" t="inlineStr">
        <is>
          <t>c3764ab3fed8fbf556c87fdeaea744a9</t>
        </is>
      </c>
      <c r="B13" s="29" t="n">
        <v>43220</v>
      </c>
      <c r="C13" t="inlineStr">
        <is>
          <t>2018-04</t>
        </is>
      </c>
      <c r="D13" t="inlineStr">
        <is>
          <t>35c9b150ab36fe584c1f24fd458c453a</t>
        </is>
      </c>
      <c r="E13" t="inlineStr">
        <is>
          <t>paid_search</t>
        </is>
      </c>
      <c r="F13">
        <f>IFERROR(MATCH(A13,Deals!$A$2:$A$843,0),"")</f>
        <v/>
      </c>
      <c r="G13">
        <f>IF(F13="",0,1)</f>
        <v/>
      </c>
      <c r="H13" s="29">
        <f>IF(F13="","",INDEX(Deals!$E$2:$E$843,F13))</f>
        <v/>
      </c>
      <c r="I13">
        <f>IF(F13="","",INDEX(Deals!$D$2:$D$843,F13))</f>
        <v/>
      </c>
      <c r="J13">
        <f>IF(F13="","",INT(H13)-B13)</f>
        <v/>
      </c>
      <c r="K13">
        <f>IF(B13&gt;=Settings!$C$5,1,0)</f>
        <v/>
      </c>
    </row>
    <row r="14">
      <c r="A14" t="inlineStr">
        <is>
          <t>a555fb36b9368110ede0f043dfc3b9a0</t>
        </is>
      </c>
      <c r="B14" s="29" t="n">
        <v>43194</v>
      </c>
      <c r="C14" t="inlineStr">
        <is>
          <t>2018-04</t>
        </is>
      </c>
      <c r="D14" t="inlineStr">
        <is>
          <t>2f08471dfb83baef522f952438a36f6e</t>
        </is>
      </c>
      <c r="E14" t="inlineStr">
        <is>
          <t>referral</t>
        </is>
      </c>
      <c r="F14">
        <f>IFERROR(MATCH(A14,Deals!$A$2:$A$843,0),"")</f>
        <v/>
      </c>
      <c r="G14">
        <f>IF(F14="",0,1)</f>
        <v/>
      </c>
      <c r="H14" s="29">
        <f>IF(F14="","",INDEX(Deals!$E$2:$E$843,F14))</f>
        <v/>
      </c>
      <c r="I14">
        <f>IF(F14="","",INDEX(Deals!$D$2:$D$843,F14))</f>
        <v/>
      </c>
      <c r="J14">
        <f>IF(F14="","",INT(H14)-B14)</f>
        <v/>
      </c>
      <c r="K14">
        <f>IF(B14&gt;=Settings!$C$5,1,0)</f>
        <v/>
      </c>
    </row>
    <row r="15">
      <c r="A15" t="inlineStr">
        <is>
          <t>988c9372560f30a5f28f92640bb2b3da</t>
        </is>
      </c>
      <c r="B15" s="29" t="n">
        <v>43243</v>
      </c>
      <c r="C15" t="inlineStr">
        <is>
          <t>2018-05</t>
        </is>
      </c>
      <c r="D15" t="inlineStr">
        <is>
          <t>73f31a40697cc90a86c1273563ac230e</t>
        </is>
      </c>
      <c r="E15" t="inlineStr">
        <is>
          <t>organic_search</t>
        </is>
      </c>
      <c r="F15">
        <f>IFERROR(MATCH(A15,Deals!$A$2:$A$843,0),"")</f>
        <v/>
      </c>
      <c r="G15">
        <f>IF(F15="",0,1)</f>
        <v/>
      </c>
      <c r="H15" s="29">
        <f>IF(F15="","",INDEX(Deals!$E$2:$E$843,F15))</f>
        <v/>
      </c>
      <c r="I15">
        <f>IF(F15="","",INDEX(Deals!$D$2:$D$843,F15))</f>
        <v/>
      </c>
      <c r="J15">
        <f>IF(F15="","",INT(H15)-B15)</f>
        <v/>
      </c>
      <c r="K15">
        <f>IF(B15&gt;=Settings!$C$5,1,0)</f>
        <v/>
      </c>
    </row>
    <row r="16">
      <c r="A16" t="inlineStr">
        <is>
          <t>327174d3648a2d047e8940d7d15204ca</t>
        </is>
      </c>
      <c r="B16" s="29" t="n">
        <v>43193</v>
      </c>
      <c r="C16" t="inlineStr">
        <is>
          <t>2018-04</t>
        </is>
      </c>
      <c r="D16" t="inlineStr">
        <is>
          <t>1ceb590cd1e00c7ee95220971f82693d</t>
        </is>
      </c>
      <c r="E16" t="inlineStr">
        <is>
          <t>organic_search</t>
        </is>
      </c>
      <c r="F16">
        <f>IFERROR(MATCH(A16,Deals!$A$2:$A$843,0),"")</f>
        <v/>
      </c>
      <c r="G16">
        <f>IF(F16="",0,1)</f>
        <v/>
      </c>
      <c r="H16" s="29">
        <f>IF(F16="","",INDEX(Deals!$E$2:$E$843,F16))</f>
        <v/>
      </c>
      <c r="I16">
        <f>IF(F16="","",INDEX(Deals!$D$2:$D$843,F16))</f>
        <v/>
      </c>
      <c r="J16">
        <f>IF(F16="","",INT(H16)-B16)</f>
        <v/>
      </c>
      <c r="K16">
        <f>IF(B16&gt;=Settings!$C$5,1,0)</f>
        <v/>
      </c>
    </row>
    <row r="17">
      <c r="A17" t="inlineStr">
        <is>
          <t>a5448d7164426cc7f3260a7b2001e3e6</t>
        </is>
      </c>
      <c r="B17" s="29" t="n">
        <v>43077</v>
      </c>
      <c r="C17" t="inlineStr">
        <is>
          <t>2017-12</t>
        </is>
      </c>
      <c r="D17" t="inlineStr">
        <is>
          <t>bdaeb752e5c3caa215ebe04c61e22325</t>
        </is>
      </c>
      <c r="E17" t="inlineStr">
        <is>
          <t>paid_search</t>
        </is>
      </c>
      <c r="F17">
        <f>IFERROR(MATCH(A17,Deals!$A$2:$A$843,0),"")</f>
        <v/>
      </c>
      <c r="G17">
        <f>IF(F17="",0,1)</f>
        <v/>
      </c>
      <c r="H17" s="29">
        <f>IF(F17="","",INDEX(Deals!$E$2:$E$843,F17))</f>
        <v/>
      </c>
      <c r="I17">
        <f>IF(F17="","",INDEX(Deals!$D$2:$D$843,F17))</f>
        <v/>
      </c>
      <c r="J17">
        <f>IF(F17="","",INT(H17)-B17)</f>
        <v/>
      </c>
      <c r="K17">
        <f>IF(B17&gt;=Settings!$C$5,1,0)</f>
        <v/>
      </c>
    </row>
    <row r="18">
      <c r="A18" t="inlineStr">
        <is>
          <t>6dda8f32d9ddc2a9ffe87be7d361a5c9</t>
        </is>
      </c>
      <c r="B18" s="29" t="n">
        <v>43147</v>
      </c>
      <c r="C18" t="inlineStr">
        <is>
          <t>2018-02</t>
        </is>
      </c>
      <c r="D18" t="inlineStr">
        <is>
          <t>b76ef37428e6799c421989521c0e5077</t>
        </is>
      </c>
      <c r="E18" t="inlineStr">
        <is>
          <t>unknown</t>
        </is>
      </c>
      <c r="F18">
        <f>IFERROR(MATCH(A18,Deals!$A$2:$A$843,0),"")</f>
        <v/>
      </c>
      <c r="G18">
        <f>IF(F18="",0,1)</f>
        <v/>
      </c>
      <c r="H18" s="29">
        <f>IF(F18="","",INDEX(Deals!$E$2:$E$843,F18))</f>
        <v/>
      </c>
      <c r="I18">
        <f>IF(F18="","",INDEX(Deals!$D$2:$D$843,F18))</f>
        <v/>
      </c>
      <c r="J18">
        <f>IF(F18="","",INT(H18)-B18)</f>
        <v/>
      </c>
      <c r="K18">
        <f>IF(B18&gt;=Settings!$C$5,1,0)</f>
        <v/>
      </c>
    </row>
    <row r="19">
      <c r="A19" t="inlineStr">
        <is>
          <t>be8f254ef25c5a40ac8b395ed4fc6033</t>
        </is>
      </c>
      <c r="B19" s="29" t="n">
        <v>43113</v>
      </c>
      <c r="C19" t="inlineStr">
        <is>
          <t>2018-01</t>
        </is>
      </c>
      <c r="D19" t="inlineStr">
        <is>
          <t>1d4ddc25ccaa2adeded340b6eda66182</t>
        </is>
      </c>
      <c r="E19" t="inlineStr">
        <is>
          <t>organic_search</t>
        </is>
      </c>
      <c r="F19">
        <f>IFERROR(MATCH(A19,Deals!$A$2:$A$843,0),"")</f>
        <v/>
      </c>
      <c r="G19">
        <f>IF(F19="",0,1)</f>
        <v/>
      </c>
      <c r="H19" s="29">
        <f>IF(F19="","",INDEX(Deals!$E$2:$E$843,F19))</f>
        <v/>
      </c>
      <c r="I19">
        <f>IF(F19="","",INDEX(Deals!$D$2:$D$843,F19))</f>
        <v/>
      </c>
      <c r="J19">
        <f>IF(F19="","",INT(H19)-B19)</f>
        <v/>
      </c>
      <c r="K19">
        <f>IF(B19&gt;=Settings!$C$5,1,0)</f>
        <v/>
      </c>
    </row>
    <row r="20">
      <c r="A20" t="inlineStr">
        <is>
          <t>3183fc21acb07e30098c42484e12d697</t>
        </is>
      </c>
      <c r="B20" s="29" t="n">
        <v>43115</v>
      </c>
      <c r="C20" t="inlineStr">
        <is>
          <t>2018-01</t>
        </is>
      </c>
      <c r="D20" t="inlineStr">
        <is>
          <t>22c29808c4f815213303f8933030604c</t>
        </is>
      </c>
      <c r="E20" t="inlineStr">
        <is>
          <t>direct_traffic</t>
        </is>
      </c>
      <c r="F20">
        <f>IFERROR(MATCH(A20,Deals!$A$2:$A$843,0),"")</f>
        <v/>
      </c>
      <c r="G20">
        <f>IF(F20="",0,1)</f>
        <v/>
      </c>
      <c r="H20" s="29">
        <f>IF(F20="","",INDEX(Deals!$E$2:$E$843,F20))</f>
        <v/>
      </c>
      <c r="I20">
        <f>IF(F20="","",INDEX(Deals!$D$2:$D$843,F20))</f>
        <v/>
      </c>
      <c r="J20">
        <f>IF(F20="","",INT(H20)-B20)</f>
        <v/>
      </c>
      <c r="K20">
        <f>IF(B20&gt;=Settings!$C$5,1,0)</f>
        <v/>
      </c>
    </row>
    <row r="21">
      <c r="A21" t="inlineStr">
        <is>
          <t>8051b43253152a39fe9367c69b79b42b</t>
        </is>
      </c>
      <c r="B21" s="29" t="n">
        <v>43154</v>
      </c>
      <c r="C21" t="inlineStr">
        <is>
          <t>2018-02</t>
        </is>
      </c>
      <c r="D21" t="inlineStr">
        <is>
          <t>a7982125ff7aa3b2054c6e44f9d28522</t>
        </is>
      </c>
      <c r="E21" t="inlineStr">
        <is>
          <t>organic_search</t>
        </is>
      </c>
      <c r="F21">
        <f>IFERROR(MATCH(A21,Deals!$A$2:$A$843,0),"")</f>
        <v/>
      </c>
      <c r="G21">
        <f>IF(F21="",0,1)</f>
        <v/>
      </c>
      <c r="H21" s="29">
        <f>IF(F21="","",INDEX(Deals!$E$2:$E$843,F21))</f>
        <v/>
      </c>
      <c r="I21">
        <f>IF(F21="","",INDEX(Deals!$D$2:$D$843,F21))</f>
        <v/>
      </c>
      <c r="J21">
        <f>IF(F21="","",INT(H21)-B21)</f>
        <v/>
      </c>
      <c r="K21">
        <f>IF(B21&gt;=Settings!$C$5,1,0)</f>
        <v/>
      </c>
    </row>
    <row r="22">
      <c r="A22" t="inlineStr">
        <is>
          <t>443a4c031f05c42f729a1ff2ac219b5a</t>
        </is>
      </c>
      <c r="B22" s="29" t="n">
        <v>42941</v>
      </c>
      <c r="C22" t="inlineStr">
        <is>
          <t>2017-07</t>
        </is>
      </c>
      <c r="D22" t="inlineStr">
        <is>
          <t>3cd2a8301d5395f21cdd3094c9eaa2f4</t>
        </is>
      </c>
      <c r="E22" t="inlineStr">
        <is>
          <t>paid_search</t>
        </is>
      </c>
      <c r="F22">
        <f>IFERROR(MATCH(A22,Deals!$A$2:$A$843,0),"")</f>
        <v/>
      </c>
      <c r="G22">
        <f>IF(F22="",0,1)</f>
        <v/>
      </c>
      <c r="H22" s="29">
        <f>IF(F22="","",INDEX(Deals!$E$2:$E$843,F22))</f>
        <v/>
      </c>
      <c r="I22">
        <f>IF(F22="","",INDEX(Deals!$D$2:$D$843,F22))</f>
        <v/>
      </c>
      <c r="J22">
        <f>IF(F22="","",INT(H22)-B22)</f>
        <v/>
      </c>
      <c r="K22">
        <f>IF(B22&gt;=Settings!$C$5,1,0)</f>
        <v/>
      </c>
    </row>
    <row r="23">
      <c r="A23" t="inlineStr">
        <is>
          <t>e1b036022a6aaa7d187caae163216533</t>
        </is>
      </c>
      <c r="B23" s="29" t="n">
        <v>42929</v>
      </c>
      <c r="C23" t="inlineStr">
        <is>
          <t>2017-07</t>
        </is>
      </c>
      <c r="D23" t="inlineStr">
        <is>
          <t>caef563a428392ddc7807d2a529413b9</t>
        </is>
      </c>
      <c r="E23" t="inlineStr">
        <is>
          <t>organic_search</t>
        </is>
      </c>
      <c r="F23">
        <f>IFERROR(MATCH(A23,Deals!$A$2:$A$843,0),"")</f>
        <v/>
      </c>
      <c r="G23">
        <f>IF(F23="",0,1)</f>
        <v/>
      </c>
      <c r="H23" s="29">
        <f>IF(F23="","",INDEX(Deals!$E$2:$E$843,F23))</f>
        <v/>
      </c>
      <c r="I23">
        <f>IF(F23="","",INDEX(Deals!$D$2:$D$843,F23))</f>
        <v/>
      </c>
      <c r="J23">
        <f>IF(F23="","",INT(H23)-B23)</f>
        <v/>
      </c>
      <c r="K23">
        <f>IF(B23&gt;=Settings!$C$5,1,0)</f>
        <v/>
      </c>
    </row>
    <row r="24">
      <c r="A24" t="inlineStr">
        <is>
          <t>29860f5735fc4987b5f8ef3ee2767847</t>
        </is>
      </c>
      <c r="B24" s="29" t="n">
        <v>43171</v>
      </c>
      <c r="C24" t="inlineStr">
        <is>
          <t>2018-03</t>
        </is>
      </c>
      <c r="D24" t="inlineStr">
        <is>
          <t>a7982125ff7aa3b2054c6e44f9d28522</t>
        </is>
      </c>
      <c r="E24" t="inlineStr">
        <is>
          <t>unknown</t>
        </is>
      </c>
      <c r="F24">
        <f>IFERROR(MATCH(A24,Deals!$A$2:$A$843,0),"")</f>
        <v/>
      </c>
      <c r="G24">
        <f>IF(F24="",0,1)</f>
        <v/>
      </c>
      <c r="H24" s="29">
        <f>IF(F24="","",INDEX(Deals!$E$2:$E$843,F24))</f>
        <v/>
      </c>
      <c r="I24">
        <f>IF(F24="","",INDEX(Deals!$D$2:$D$843,F24))</f>
        <v/>
      </c>
      <c r="J24">
        <f>IF(F24="","",INT(H24)-B24)</f>
        <v/>
      </c>
      <c r="K24">
        <f>IF(B24&gt;=Settings!$C$5,1,0)</f>
        <v/>
      </c>
    </row>
    <row r="25">
      <c r="A25" t="inlineStr">
        <is>
          <t>4bdc2dfb783f8c24c6d0d032a623febc</t>
        </is>
      </c>
      <c r="B25" s="29" t="n">
        <v>43204</v>
      </c>
      <c r="C25" t="inlineStr">
        <is>
          <t>2018-04</t>
        </is>
      </c>
      <c r="D25" t="inlineStr">
        <is>
          <t>22c29808c4f815213303f8933030604c</t>
        </is>
      </c>
      <c r="E25" t="inlineStr">
        <is>
          <t>organic_search</t>
        </is>
      </c>
      <c r="F25">
        <f>IFERROR(MATCH(A25,Deals!$A$2:$A$843,0),"")</f>
        <v/>
      </c>
      <c r="G25">
        <f>IF(F25="",0,1)</f>
        <v/>
      </c>
      <c r="H25" s="29">
        <f>IF(F25="","",INDEX(Deals!$E$2:$E$843,F25))</f>
        <v/>
      </c>
      <c r="I25">
        <f>IF(F25="","",INDEX(Deals!$D$2:$D$843,F25))</f>
        <v/>
      </c>
      <c r="J25">
        <f>IF(F25="","",INT(H25)-B25)</f>
        <v/>
      </c>
      <c r="K25">
        <f>IF(B25&gt;=Settings!$C$5,1,0)</f>
        <v/>
      </c>
    </row>
    <row r="26">
      <c r="A26" t="inlineStr">
        <is>
          <t>6d1ca411fcbc6a21484877d59be651db</t>
        </is>
      </c>
      <c r="B26" s="29" t="n">
        <v>43100</v>
      </c>
      <c r="C26" t="inlineStr">
        <is>
          <t>2017-12</t>
        </is>
      </c>
      <c r="D26" t="inlineStr">
        <is>
          <t>22c29808c4f815213303f8933030604c</t>
        </is>
      </c>
      <c r="E26" t="inlineStr">
        <is>
          <t>display</t>
        </is>
      </c>
      <c r="F26">
        <f>IFERROR(MATCH(A26,Deals!$A$2:$A$843,0),"")</f>
        <v/>
      </c>
      <c r="G26">
        <f>IF(F26="",0,1)</f>
        <v/>
      </c>
      <c r="H26" s="29">
        <f>IF(F26="","",INDEX(Deals!$E$2:$E$843,F26))</f>
        <v/>
      </c>
      <c r="I26">
        <f>IF(F26="","",INDEX(Deals!$D$2:$D$843,F26))</f>
        <v/>
      </c>
      <c r="J26">
        <f>IF(F26="","",INT(H26)-B26)</f>
        <v/>
      </c>
      <c r="K26">
        <f>IF(B26&gt;=Settings!$C$5,1,0)</f>
        <v/>
      </c>
    </row>
    <row r="27">
      <c r="A27" t="inlineStr">
        <is>
          <t>b12b646e693cbf411f8eaae5204ffdfe</t>
        </is>
      </c>
      <c r="B27" s="29" t="n">
        <v>42989</v>
      </c>
      <c r="C27" t="inlineStr">
        <is>
          <t>2017-09</t>
        </is>
      </c>
      <c r="D27" t="inlineStr">
        <is>
          <t>b48ec5f3b04e9068441002a19df93c6c</t>
        </is>
      </c>
      <c r="E27" t="inlineStr">
        <is>
          <t>organic_search</t>
        </is>
      </c>
      <c r="F27">
        <f>IFERROR(MATCH(A27,Deals!$A$2:$A$843,0),"")</f>
        <v/>
      </c>
      <c r="G27">
        <f>IF(F27="",0,1)</f>
        <v/>
      </c>
      <c r="H27" s="29">
        <f>IF(F27="","",INDEX(Deals!$E$2:$E$843,F27))</f>
        <v/>
      </c>
      <c r="I27">
        <f>IF(F27="","",INDEX(Deals!$D$2:$D$843,F27))</f>
        <v/>
      </c>
      <c r="J27">
        <f>IF(F27="","",INT(H27)-B27)</f>
        <v/>
      </c>
      <c r="K27">
        <f>IF(B27&gt;=Settings!$C$5,1,0)</f>
        <v/>
      </c>
    </row>
    <row r="28">
      <c r="A28" t="inlineStr">
        <is>
          <t>e3154fc901362537cc34b26fd18f0f05</t>
        </is>
      </c>
      <c r="B28" s="29" t="n">
        <v>43249</v>
      </c>
      <c r="C28" t="inlineStr">
        <is>
          <t>2018-05</t>
        </is>
      </c>
      <c r="D28" t="inlineStr">
        <is>
          <t>ece960c5dab1a015cc1cb5a419b0c63b</t>
        </is>
      </c>
      <c r="E28" t="inlineStr">
        <is>
          <t>referral</t>
        </is>
      </c>
      <c r="F28">
        <f>IFERROR(MATCH(A28,Deals!$A$2:$A$843,0),"")</f>
        <v/>
      </c>
      <c r="G28">
        <f>IF(F28="",0,1)</f>
        <v/>
      </c>
      <c r="H28" s="29">
        <f>IF(F28="","",INDEX(Deals!$E$2:$E$843,F28))</f>
        <v/>
      </c>
      <c r="I28">
        <f>IF(F28="","",INDEX(Deals!$D$2:$D$843,F28))</f>
        <v/>
      </c>
      <c r="J28">
        <f>IF(F28="","",INT(H28)-B28)</f>
        <v/>
      </c>
      <c r="K28">
        <f>IF(B28&gt;=Settings!$C$5,1,0)</f>
        <v/>
      </c>
    </row>
    <row r="29">
      <c r="A29" t="inlineStr">
        <is>
          <t>f101b87d3b9adb48f2016bf059067ea2</t>
        </is>
      </c>
      <c r="B29" s="29" t="n">
        <v>43222</v>
      </c>
      <c r="C29" t="inlineStr">
        <is>
          <t>2018-05</t>
        </is>
      </c>
      <c r="D29" t="inlineStr">
        <is>
          <t>d83b0d0e48c8447d1d5507a44027a955</t>
        </is>
      </c>
      <c r="E29" t="inlineStr">
        <is>
          <t>organic_search</t>
        </is>
      </c>
      <c r="F29">
        <f>IFERROR(MATCH(A29,Deals!$A$2:$A$843,0),"")</f>
        <v/>
      </c>
      <c r="G29">
        <f>IF(F29="",0,1)</f>
        <v/>
      </c>
      <c r="H29" s="29">
        <f>IF(F29="","",INDEX(Deals!$E$2:$E$843,F29))</f>
        <v/>
      </c>
      <c r="I29">
        <f>IF(F29="","",INDEX(Deals!$D$2:$D$843,F29))</f>
        <v/>
      </c>
      <c r="J29">
        <f>IF(F29="","",INT(H29)-B29)</f>
        <v/>
      </c>
      <c r="K29">
        <f>IF(B29&gt;=Settings!$C$5,1,0)</f>
        <v/>
      </c>
    </row>
    <row r="30">
      <c r="A30" t="inlineStr">
        <is>
          <t>a8b32485ea3dafd7c06f87afe4f7c6d2</t>
        </is>
      </c>
      <c r="B30" s="29" t="n">
        <v>43205</v>
      </c>
      <c r="C30" t="inlineStr">
        <is>
          <t>2018-04</t>
        </is>
      </c>
      <c r="D30" t="inlineStr">
        <is>
          <t>22c29808c4f815213303f8933030604c</t>
        </is>
      </c>
      <c r="E30" t="inlineStr">
        <is>
          <t>social</t>
        </is>
      </c>
      <c r="F30">
        <f>IFERROR(MATCH(A30,Deals!$A$2:$A$843,0),"")</f>
        <v/>
      </c>
      <c r="G30">
        <f>IF(F30="",0,1)</f>
        <v/>
      </c>
      <c r="H30" s="29">
        <f>IF(F30="","",INDEX(Deals!$E$2:$E$843,F30))</f>
        <v/>
      </c>
      <c r="I30">
        <f>IF(F30="","",INDEX(Deals!$D$2:$D$843,F30))</f>
        <v/>
      </c>
      <c r="J30">
        <f>IF(F30="","",INT(H30)-B30)</f>
        <v/>
      </c>
      <c r="K30">
        <f>IF(B30&gt;=Settings!$C$5,1,0)</f>
        <v/>
      </c>
    </row>
    <row r="31">
      <c r="A31" t="inlineStr">
        <is>
          <t>2f0bf07b716733d56ffa0b68cfe3823f</t>
        </is>
      </c>
      <c r="B31" s="29" t="n">
        <v>43228</v>
      </c>
      <c r="C31" t="inlineStr">
        <is>
          <t>2018-05</t>
        </is>
      </c>
      <c r="D31" t="inlineStr">
        <is>
          <t>30534107aa0013db92899c96a1017d0b</t>
        </is>
      </c>
      <c r="E31" t="inlineStr">
        <is>
          <t>social</t>
        </is>
      </c>
      <c r="F31">
        <f>IFERROR(MATCH(A31,Deals!$A$2:$A$843,0),"")</f>
        <v/>
      </c>
      <c r="G31">
        <f>IF(F31="",0,1)</f>
        <v/>
      </c>
      <c r="H31" s="29">
        <f>IF(F31="","",INDEX(Deals!$E$2:$E$843,F31))</f>
        <v/>
      </c>
      <c r="I31">
        <f>IF(F31="","",INDEX(Deals!$D$2:$D$843,F31))</f>
        <v/>
      </c>
      <c r="J31">
        <f>IF(F31="","",INT(H31)-B31)</f>
        <v/>
      </c>
      <c r="K31">
        <f>IF(B31&gt;=Settings!$C$5,1,0)</f>
        <v/>
      </c>
    </row>
    <row r="32">
      <c r="A32" t="inlineStr">
        <is>
          <t>676c0c9be43fd984c92b0ecfdab3c0d9</t>
        </is>
      </c>
      <c r="B32" s="29" t="n">
        <v>43100</v>
      </c>
      <c r="C32" t="inlineStr">
        <is>
          <t>2017-12</t>
        </is>
      </c>
      <c r="D32" t="inlineStr">
        <is>
          <t>15cf89bab2c3163b4f9d8601d108f8b2</t>
        </is>
      </c>
      <c r="E32" t="inlineStr">
        <is>
          <t>display</t>
        </is>
      </c>
      <c r="F32">
        <f>IFERROR(MATCH(A32,Deals!$A$2:$A$843,0),"")</f>
        <v/>
      </c>
      <c r="G32">
        <f>IF(F32="",0,1)</f>
        <v/>
      </c>
      <c r="H32" s="29">
        <f>IF(F32="","",INDEX(Deals!$E$2:$E$843,F32))</f>
        <v/>
      </c>
      <c r="I32">
        <f>IF(F32="","",INDEX(Deals!$D$2:$D$843,F32))</f>
        <v/>
      </c>
      <c r="J32">
        <f>IF(F32="","",INT(H32)-B32)</f>
        <v/>
      </c>
      <c r="K32">
        <f>IF(B32&gt;=Settings!$C$5,1,0)</f>
        <v/>
      </c>
    </row>
    <row r="33">
      <c r="A33" t="inlineStr">
        <is>
          <t>5f62b80e297edbcbfb1bb211062834e9</t>
        </is>
      </c>
      <c r="B33" s="29" t="n">
        <v>43126</v>
      </c>
      <c r="C33" t="inlineStr">
        <is>
          <t>2018-01</t>
        </is>
      </c>
      <c r="D33" t="inlineStr">
        <is>
          <t>22c29808c4f815213303f8933030604c</t>
        </is>
      </c>
      <c r="E33" t="inlineStr">
        <is>
          <t>paid_search</t>
        </is>
      </c>
      <c r="F33">
        <f>IFERROR(MATCH(A33,Deals!$A$2:$A$843,0),"")</f>
        <v/>
      </c>
      <c r="G33">
        <f>IF(F33="",0,1)</f>
        <v/>
      </c>
      <c r="H33" s="29">
        <f>IF(F33="","",INDEX(Deals!$E$2:$E$843,F33))</f>
        <v/>
      </c>
      <c r="I33">
        <f>IF(F33="","",INDEX(Deals!$D$2:$D$843,F33))</f>
        <v/>
      </c>
      <c r="J33">
        <f>IF(F33="","",INT(H33)-B33)</f>
        <v/>
      </c>
      <c r="K33">
        <f>IF(B33&gt;=Settings!$C$5,1,0)</f>
        <v/>
      </c>
    </row>
    <row r="34">
      <c r="A34" t="inlineStr">
        <is>
          <t>b62db8fadd1b177cc5ed1d239d6e2f1e</t>
        </is>
      </c>
      <c r="B34" s="29" t="n">
        <v>43153</v>
      </c>
      <c r="C34" t="inlineStr">
        <is>
          <t>2018-02</t>
        </is>
      </c>
      <c r="D34" t="inlineStr">
        <is>
          <t>a7982125ff7aa3b2054c6e44f9d28522</t>
        </is>
      </c>
      <c r="E34" t="inlineStr">
        <is>
          <t>organic_search</t>
        </is>
      </c>
      <c r="F34">
        <f>IFERROR(MATCH(A34,Deals!$A$2:$A$843,0),"")</f>
        <v/>
      </c>
      <c r="G34">
        <f>IF(F34="",0,1)</f>
        <v/>
      </c>
      <c r="H34" s="29">
        <f>IF(F34="","",INDEX(Deals!$E$2:$E$843,F34))</f>
        <v/>
      </c>
      <c r="I34">
        <f>IF(F34="","",INDEX(Deals!$D$2:$D$843,F34))</f>
        <v/>
      </c>
      <c r="J34">
        <f>IF(F34="","",INT(H34)-B34)</f>
        <v/>
      </c>
      <c r="K34">
        <f>IF(B34&gt;=Settings!$C$5,1,0)</f>
        <v/>
      </c>
    </row>
    <row r="35">
      <c r="A35" t="inlineStr">
        <is>
          <t>f0b8024455e6c0cb3ab7495325afee5c</t>
        </is>
      </c>
      <c r="B35" s="29" t="n">
        <v>43231</v>
      </c>
      <c r="C35" t="inlineStr">
        <is>
          <t>2018-05</t>
        </is>
      </c>
      <c r="D35" t="inlineStr">
        <is>
          <t>58326e62183c14b0c03085c33b9fdc44</t>
        </is>
      </c>
      <c r="E35" t="inlineStr">
        <is>
          <t>social</t>
        </is>
      </c>
      <c r="F35">
        <f>IFERROR(MATCH(A35,Deals!$A$2:$A$843,0),"")</f>
        <v/>
      </c>
      <c r="G35">
        <f>IF(F35="",0,1)</f>
        <v/>
      </c>
      <c r="H35" s="29">
        <f>IF(F35="","",INDEX(Deals!$E$2:$E$843,F35))</f>
        <v/>
      </c>
      <c r="I35">
        <f>IF(F35="","",INDEX(Deals!$D$2:$D$843,F35))</f>
        <v/>
      </c>
      <c r="J35">
        <f>IF(F35="","",INT(H35)-B35)</f>
        <v/>
      </c>
      <c r="K35">
        <f>IF(B35&gt;=Settings!$C$5,1,0)</f>
        <v/>
      </c>
    </row>
    <row r="36">
      <c r="A36" t="inlineStr">
        <is>
          <t>2f20c4826f9fabdb206537363642dd65</t>
        </is>
      </c>
      <c r="B36" s="29" t="n">
        <v>43208</v>
      </c>
      <c r="C36" t="inlineStr">
        <is>
          <t>2018-04</t>
        </is>
      </c>
      <c r="D36" t="inlineStr">
        <is>
          <t>0218f6be0b76aca72ab4d00ee9e8cf10</t>
        </is>
      </c>
      <c r="E36" t="inlineStr">
        <is>
          <t>paid_search</t>
        </is>
      </c>
      <c r="F36">
        <f>IFERROR(MATCH(A36,Deals!$A$2:$A$843,0),"")</f>
        <v/>
      </c>
      <c r="G36">
        <f>IF(F36="",0,1)</f>
        <v/>
      </c>
      <c r="H36" s="29">
        <f>IF(F36="","",INDEX(Deals!$E$2:$E$843,F36))</f>
        <v/>
      </c>
      <c r="I36">
        <f>IF(F36="","",INDEX(Deals!$D$2:$D$843,F36))</f>
        <v/>
      </c>
      <c r="J36">
        <f>IF(F36="","",INT(H36)-B36)</f>
        <v/>
      </c>
      <c r="K36">
        <f>IF(B36&gt;=Settings!$C$5,1,0)</f>
        <v/>
      </c>
    </row>
    <row r="37">
      <c r="A37" t="inlineStr">
        <is>
          <t>65855f77bb6ee720c0a940b9cf8101a9</t>
        </is>
      </c>
      <c r="B37" s="29" t="n">
        <v>43004</v>
      </c>
      <c r="C37" t="inlineStr">
        <is>
          <t>2017-09</t>
        </is>
      </c>
      <c r="D37" t="inlineStr">
        <is>
          <t>e492ee5eaf1697716985cc6f33f9cd9b</t>
        </is>
      </c>
      <c r="E37" t="inlineStr">
        <is>
          <t>referral</t>
        </is>
      </c>
      <c r="F37">
        <f>IFERROR(MATCH(A37,Deals!$A$2:$A$843,0),"")</f>
        <v/>
      </c>
      <c r="G37">
        <f>IF(F37="",0,1)</f>
        <v/>
      </c>
      <c r="H37" s="29">
        <f>IF(F37="","",INDEX(Deals!$E$2:$E$843,F37))</f>
        <v/>
      </c>
      <c r="I37">
        <f>IF(F37="","",INDEX(Deals!$D$2:$D$843,F37))</f>
        <v/>
      </c>
      <c r="J37">
        <f>IF(F37="","",INT(H37)-B37)</f>
        <v/>
      </c>
      <c r="K37">
        <f>IF(B37&gt;=Settings!$C$5,1,0)</f>
        <v/>
      </c>
    </row>
    <row r="38">
      <c r="A38" t="inlineStr">
        <is>
          <t>91ae48805e8e96055d454f043054059b</t>
        </is>
      </c>
      <c r="B38" s="29" t="n">
        <v>43166</v>
      </c>
      <c r="C38" t="inlineStr">
        <is>
          <t>2018-03</t>
        </is>
      </c>
      <c r="D38" t="inlineStr">
        <is>
          <t>f017be4dbf86243af5c1ebed0cff36a2</t>
        </is>
      </c>
      <c r="E38" t="inlineStr">
        <is>
          <t>display</t>
        </is>
      </c>
      <c r="F38">
        <f>IFERROR(MATCH(A38,Deals!$A$2:$A$843,0),"")</f>
        <v/>
      </c>
      <c r="G38">
        <f>IF(F38="",0,1)</f>
        <v/>
      </c>
      <c r="H38" s="29">
        <f>IF(F38="","",INDEX(Deals!$E$2:$E$843,F38))</f>
        <v/>
      </c>
      <c r="I38">
        <f>IF(F38="","",INDEX(Deals!$D$2:$D$843,F38))</f>
        <v/>
      </c>
      <c r="J38">
        <f>IF(F38="","",INT(H38)-B38)</f>
        <v/>
      </c>
      <c r="K38">
        <f>IF(B38&gt;=Settings!$C$5,1,0)</f>
        <v/>
      </c>
    </row>
    <row r="39">
      <c r="A39" t="inlineStr">
        <is>
          <t>899c617012fd3225c396958f91b21f84</t>
        </is>
      </c>
      <c r="B39" s="29" t="n">
        <v>43175</v>
      </c>
      <c r="C39" t="inlineStr">
        <is>
          <t>2018-03</t>
        </is>
      </c>
      <c r="D39" t="inlineStr">
        <is>
          <t>b76ef37428e6799c421989521c0e5077</t>
        </is>
      </c>
      <c r="E39" t="inlineStr">
        <is>
          <t>unknown</t>
        </is>
      </c>
      <c r="F39">
        <f>IFERROR(MATCH(A39,Deals!$A$2:$A$843,0),"")</f>
        <v/>
      </c>
      <c r="G39">
        <f>IF(F39="",0,1)</f>
        <v/>
      </c>
      <c r="H39" s="29">
        <f>IF(F39="","",INDEX(Deals!$E$2:$E$843,F39))</f>
        <v/>
      </c>
      <c r="I39">
        <f>IF(F39="","",INDEX(Deals!$D$2:$D$843,F39))</f>
        <v/>
      </c>
      <c r="J39">
        <f>IF(F39="","",INT(H39)-B39)</f>
        <v/>
      </c>
      <c r="K39">
        <f>IF(B39&gt;=Settings!$C$5,1,0)</f>
        <v/>
      </c>
    </row>
    <row r="40">
      <c r="A40" t="inlineStr">
        <is>
          <t>365aa59e779547d7e081b220f8fa67ac</t>
        </is>
      </c>
      <c r="B40" s="29" t="n">
        <v>43007</v>
      </c>
      <c r="C40" t="inlineStr">
        <is>
          <t>2017-09</t>
        </is>
      </c>
      <c r="D40" t="inlineStr">
        <is>
          <t>f017be4dbf86243af5c1ebed0cff36a2</t>
        </is>
      </c>
      <c r="E40" t="inlineStr">
        <is>
          <t>organic_search</t>
        </is>
      </c>
      <c r="F40">
        <f>IFERROR(MATCH(A40,Deals!$A$2:$A$843,0),"")</f>
        <v/>
      </c>
      <c r="G40">
        <f>IF(F40="",0,1)</f>
        <v/>
      </c>
      <c r="H40" s="29">
        <f>IF(F40="","",INDEX(Deals!$E$2:$E$843,F40))</f>
        <v/>
      </c>
      <c r="I40">
        <f>IF(F40="","",INDEX(Deals!$D$2:$D$843,F40))</f>
        <v/>
      </c>
      <c r="J40">
        <f>IF(F40="","",INT(H40)-B40)</f>
        <v/>
      </c>
      <c r="K40">
        <f>IF(B40&gt;=Settings!$C$5,1,0)</f>
        <v/>
      </c>
    </row>
    <row r="41">
      <c r="A41" t="inlineStr">
        <is>
          <t>f5fee8f7da74f4887f5bcae2bafb6dd6</t>
        </is>
      </c>
      <c r="B41" s="29" t="n">
        <v>43114</v>
      </c>
      <c r="C41" t="inlineStr">
        <is>
          <t>2018-01</t>
        </is>
      </c>
      <c r="D41" t="inlineStr">
        <is>
          <t>22c29808c4f815213303f8933030604c</t>
        </is>
      </c>
      <c r="E41" t="inlineStr">
        <is>
          <t>paid_search</t>
        </is>
      </c>
      <c r="F41">
        <f>IFERROR(MATCH(A41,Deals!$A$2:$A$843,0),"")</f>
        <v/>
      </c>
      <c r="G41">
        <f>IF(F41="",0,1)</f>
        <v/>
      </c>
      <c r="H41" s="29">
        <f>IF(F41="","",INDEX(Deals!$E$2:$E$843,F41))</f>
        <v/>
      </c>
      <c r="I41">
        <f>IF(F41="","",INDEX(Deals!$D$2:$D$843,F41))</f>
        <v/>
      </c>
      <c r="J41">
        <f>IF(F41="","",INT(H41)-B41)</f>
        <v/>
      </c>
      <c r="K41">
        <f>IF(B41&gt;=Settings!$C$5,1,0)</f>
        <v/>
      </c>
    </row>
    <row r="42">
      <c r="A42" t="inlineStr">
        <is>
          <t>82ade9609d9915ca5e830df04b7d90e2</t>
        </is>
      </c>
      <c r="B42" s="29" t="n">
        <v>43103</v>
      </c>
      <c r="C42" t="inlineStr">
        <is>
          <t>2018-01</t>
        </is>
      </c>
      <c r="D42" t="inlineStr">
        <is>
          <t>22c29808c4f815213303f8933030604c</t>
        </is>
      </c>
      <c r="E42" t="inlineStr">
        <is>
          <t>referral</t>
        </is>
      </c>
      <c r="F42">
        <f>IFERROR(MATCH(A42,Deals!$A$2:$A$843,0),"")</f>
        <v/>
      </c>
      <c r="G42">
        <f>IF(F42="",0,1)</f>
        <v/>
      </c>
      <c r="H42" s="29">
        <f>IF(F42="","",INDEX(Deals!$E$2:$E$843,F42))</f>
        <v/>
      </c>
      <c r="I42">
        <f>IF(F42="","",INDEX(Deals!$D$2:$D$843,F42))</f>
        <v/>
      </c>
      <c r="J42">
        <f>IF(F42="","",INT(H42)-B42)</f>
        <v/>
      </c>
      <c r="K42">
        <f>IF(B42&gt;=Settings!$C$5,1,0)</f>
        <v/>
      </c>
    </row>
    <row r="43">
      <c r="A43" t="inlineStr">
        <is>
          <t>1d833a78ef4b542f594ef2cd734e1d14</t>
        </is>
      </c>
      <c r="B43" s="29" t="n">
        <v>43250</v>
      </c>
      <c r="C43" t="inlineStr">
        <is>
          <t>2018-05</t>
        </is>
      </c>
      <c r="D43" t="inlineStr">
        <is>
          <t>d823616cbcb84fff516db22f366caaa5</t>
        </is>
      </c>
      <c r="E43" t="inlineStr">
        <is>
          <t>paid_search</t>
        </is>
      </c>
      <c r="F43">
        <f>IFERROR(MATCH(A43,Deals!$A$2:$A$843,0),"")</f>
        <v/>
      </c>
      <c r="G43">
        <f>IF(F43="",0,1)</f>
        <v/>
      </c>
      <c r="H43" s="29">
        <f>IF(F43="","",INDEX(Deals!$E$2:$E$843,F43))</f>
        <v/>
      </c>
      <c r="I43">
        <f>IF(F43="","",INDEX(Deals!$D$2:$D$843,F43))</f>
        <v/>
      </c>
      <c r="J43">
        <f>IF(F43="","",INT(H43)-B43)</f>
        <v/>
      </c>
      <c r="K43">
        <f>IF(B43&gt;=Settings!$C$5,1,0)</f>
        <v/>
      </c>
    </row>
    <row r="44">
      <c r="A44" t="inlineStr">
        <is>
          <t>9cfc99e322c9ce9f0fcfe1843113b472</t>
        </is>
      </c>
      <c r="B44" s="29" t="n">
        <v>43187</v>
      </c>
      <c r="C44" t="inlineStr">
        <is>
          <t>2018-03</t>
        </is>
      </c>
      <c r="D44" t="inlineStr">
        <is>
          <t>ea0650174e273c41e12002dcdd4708be</t>
        </is>
      </c>
      <c r="E44" t="inlineStr">
        <is>
          <t>direct_traffic</t>
        </is>
      </c>
      <c r="F44">
        <f>IFERROR(MATCH(A44,Deals!$A$2:$A$843,0),"")</f>
        <v/>
      </c>
      <c r="G44">
        <f>IF(F44="",0,1)</f>
        <v/>
      </c>
      <c r="H44" s="29">
        <f>IF(F44="","",INDEX(Deals!$E$2:$E$843,F44))</f>
        <v/>
      </c>
      <c r="I44">
        <f>IF(F44="","",INDEX(Deals!$D$2:$D$843,F44))</f>
        <v/>
      </c>
      <c r="J44">
        <f>IF(F44="","",INT(H44)-B44)</f>
        <v/>
      </c>
      <c r="K44">
        <f>IF(B44&gt;=Settings!$C$5,1,0)</f>
        <v/>
      </c>
    </row>
    <row r="45">
      <c r="A45" t="inlineStr">
        <is>
          <t>2b6319cb1c507418504e28bf285072ee</t>
        </is>
      </c>
      <c r="B45" s="29" t="n">
        <v>43136</v>
      </c>
      <c r="C45" t="inlineStr">
        <is>
          <t>2018-02</t>
        </is>
      </c>
      <c r="D45" t="inlineStr">
        <is>
          <t>f017be4dbf86243af5c1ebed0cff36a2</t>
        </is>
      </c>
      <c r="E45" t="inlineStr">
        <is>
          <t>organic_search</t>
        </is>
      </c>
      <c r="F45">
        <f>IFERROR(MATCH(A45,Deals!$A$2:$A$843,0),"")</f>
        <v/>
      </c>
      <c r="G45">
        <f>IF(F45="",0,1)</f>
        <v/>
      </c>
      <c r="H45" s="29">
        <f>IF(F45="","",INDEX(Deals!$E$2:$E$843,F45))</f>
        <v/>
      </c>
      <c r="I45">
        <f>IF(F45="","",INDEX(Deals!$D$2:$D$843,F45))</f>
        <v/>
      </c>
      <c r="J45">
        <f>IF(F45="","",INT(H45)-B45)</f>
        <v/>
      </c>
      <c r="K45">
        <f>IF(B45&gt;=Settings!$C$5,1,0)</f>
        <v/>
      </c>
    </row>
    <row r="46">
      <c r="A46" t="inlineStr">
        <is>
          <t>4c721b2017d5fb477659ba48277446de</t>
        </is>
      </c>
      <c r="B46" s="29" t="n">
        <v>43148</v>
      </c>
      <c r="C46" t="inlineStr">
        <is>
          <t>2018-02</t>
        </is>
      </c>
      <c r="D46" t="inlineStr">
        <is>
          <t>5209e2e679d32a6619feb6942702fd14</t>
        </is>
      </c>
      <c r="E46" t="inlineStr">
        <is>
          <t>organic_search</t>
        </is>
      </c>
      <c r="F46">
        <f>IFERROR(MATCH(A46,Deals!$A$2:$A$843,0),"")</f>
        <v/>
      </c>
      <c r="G46">
        <f>IF(F46="",0,1)</f>
        <v/>
      </c>
      <c r="H46" s="29">
        <f>IF(F46="","",INDEX(Deals!$E$2:$E$843,F46))</f>
        <v/>
      </c>
      <c r="I46">
        <f>IF(F46="","",INDEX(Deals!$D$2:$D$843,F46))</f>
        <v/>
      </c>
      <c r="J46">
        <f>IF(F46="","",INT(H46)-B46)</f>
        <v/>
      </c>
      <c r="K46">
        <f>IF(B46&gt;=Settings!$C$5,1,0)</f>
        <v/>
      </c>
    </row>
    <row r="47">
      <c r="A47" t="inlineStr">
        <is>
          <t>9cb7b5ea641f6919eec4a49c7957c6e0</t>
        </is>
      </c>
      <c r="B47" s="29" t="n">
        <v>42922</v>
      </c>
      <c r="C47" t="inlineStr">
        <is>
          <t>2017-07</t>
        </is>
      </c>
      <c r="D47" t="inlineStr">
        <is>
          <t>ee3c3bad6ed3eb9d5de56688d1f9c91b</t>
        </is>
      </c>
      <c r="E47" t="inlineStr">
        <is>
          <t>unknown</t>
        </is>
      </c>
      <c r="F47">
        <f>IFERROR(MATCH(A47,Deals!$A$2:$A$843,0),"")</f>
        <v/>
      </c>
      <c r="G47">
        <f>IF(F47="",0,1)</f>
        <v/>
      </c>
      <c r="H47" s="29">
        <f>IF(F47="","",INDEX(Deals!$E$2:$E$843,F47))</f>
        <v/>
      </c>
      <c r="I47">
        <f>IF(F47="","",INDEX(Deals!$D$2:$D$843,F47))</f>
        <v/>
      </c>
      <c r="J47">
        <f>IF(F47="","",INT(H47)-B47)</f>
        <v/>
      </c>
      <c r="K47">
        <f>IF(B47&gt;=Settings!$C$5,1,0)</f>
        <v/>
      </c>
    </row>
    <row r="48">
      <c r="A48" t="inlineStr">
        <is>
          <t>ce8d8333fc3f225ab596b0505fbdb2cf</t>
        </is>
      </c>
      <c r="B48" s="29" t="n">
        <v>43209</v>
      </c>
      <c r="C48" t="inlineStr">
        <is>
          <t>2018-04</t>
        </is>
      </c>
      <c r="D48" t="inlineStr">
        <is>
          <t>58326e62183c14b0c03085c33b9fdc44</t>
        </is>
      </c>
      <c r="E48" t="inlineStr">
        <is>
          <t>social</t>
        </is>
      </c>
      <c r="F48">
        <f>IFERROR(MATCH(A48,Deals!$A$2:$A$843,0),"")</f>
        <v/>
      </c>
      <c r="G48">
        <f>IF(F48="",0,1)</f>
        <v/>
      </c>
      <c r="H48" s="29">
        <f>IF(F48="","",INDEX(Deals!$E$2:$E$843,F48))</f>
        <v/>
      </c>
      <c r="I48">
        <f>IF(F48="","",INDEX(Deals!$D$2:$D$843,F48))</f>
        <v/>
      </c>
      <c r="J48">
        <f>IF(F48="","",INT(H48)-B48)</f>
        <v/>
      </c>
      <c r="K48">
        <f>IF(B48&gt;=Settings!$C$5,1,0)</f>
        <v/>
      </c>
    </row>
    <row r="49">
      <c r="A49" t="inlineStr">
        <is>
          <t>fe629597eb47defc9ff1e96bbd47277c</t>
        </is>
      </c>
      <c r="B49" s="29" t="n">
        <v>43195</v>
      </c>
      <c r="C49" t="inlineStr">
        <is>
          <t>2018-04</t>
        </is>
      </c>
      <c r="D49" t="inlineStr">
        <is>
          <t>22c29808c4f815213303f8933030604c</t>
        </is>
      </c>
      <c r="E49" t="inlineStr">
        <is>
          <t>direct_traffic</t>
        </is>
      </c>
      <c r="F49">
        <f>IFERROR(MATCH(A49,Deals!$A$2:$A$843,0),"")</f>
        <v/>
      </c>
      <c r="G49">
        <f>IF(F49="",0,1)</f>
        <v/>
      </c>
      <c r="H49" s="29">
        <f>IF(F49="","",INDEX(Deals!$E$2:$E$843,F49))</f>
        <v/>
      </c>
      <c r="I49">
        <f>IF(F49="","",INDEX(Deals!$D$2:$D$843,F49))</f>
        <v/>
      </c>
      <c r="J49">
        <f>IF(F49="","",INT(H49)-B49)</f>
        <v/>
      </c>
      <c r="K49">
        <f>IF(B49&gt;=Settings!$C$5,1,0)</f>
        <v/>
      </c>
    </row>
    <row r="50">
      <c r="A50" t="inlineStr">
        <is>
          <t>656b60bbc8395b4e80dc1cc6a3cf1ef2</t>
        </is>
      </c>
      <c r="B50" s="29" t="n">
        <v>43159</v>
      </c>
      <c r="C50" t="inlineStr">
        <is>
          <t>2018-02</t>
        </is>
      </c>
      <c r="D50" t="inlineStr">
        <is>
          <t>b76ef37428e6799c421989521c0e5077</t>
        </is>
      </c>
      <c r="E50" t="inlineStr">
        <is>
          <t>organic_search</t>
        </is>
      </c>
      <c r="F50">
        <f>IFERROR(MATCH(A50,Deals!$A$2:$A$843,0),"")</f>
        <v/>
      </c>
      <c r="G50">
        <f>IF(F50="",0,1)</f>
        <v/>
      </c>
      <c r="H50" s="29">
        <f>IF(F50="","",INDEX(Deals!$E$2:$E$843,F50))</f>
        <v/>
      </c>
      <c r="I50">
        <f>IF(F50="","",INDEX(Deals!$D$2:$D$843,F50))</f>
        <v/>
      </c>
      <c r="J50">
        <f>IF(F50="","",INT(H50)-B50)</f>
        <v/>
      </c>
      <c r="K50">
        <f>IF(B50&gt;=Settings!$C$5,1,0)</f>
        <v/>
      </c>
    </row>
    <row r="51">
      <c r="A51" t="inlineStr">
        <is>
          <t>0e4b276ab6c5b327772e80cc543a0049</t>
        </is>
      </c>
      <c r="B51" s="29" t="n">
        <v>43122</v>
      </c>
      <c r="C51" t="inlineStr">
        <is>
          <t>2018-01</t>
        </is>
      </c>
      <c r="D51" t="inlineStr">
        <is>
          <t>241f79c7a8fe0270f4fb79fcbbcd17ad</t>
        </is>
      </c>
      <c r="E51" t="inlineStr">
        <is>
          <t>paid_search</t>
        </is>
      </c>
      <c r="F51">
        <f>IFERROR(MATCH(A51,Deals!$A$2:$A$843,0),"")</f>
        <v/>
      </c>
      <c r="G51">
        <f>IF(F51="",0,1)</f>
        <v/>
      </c>
      <c r="H51" s="29">
        <f>IF(F51="","",INDEX(Deals!$E$2:$E$843,F51))</f>
        <v/>
      </c>
      <c r="I51">
        <f>IF(F51="","",INDEX(Deals!$D$2:$D$843,F51))</f>
        <v/>
      </c>
      <c r="J51">
        <f>IF(F51="","",INT(H51)-B51)</f>
        <v/>
      </c>
      <c r="K51">
        <f>IF(B51&gt;=Settings!$C$5,1,0)</f>
        <v/>
      </c>
    </row>
    <row r="52">
      <c r="A52" t="inlineStr">
        <is>
          <t>196a347f6fbe48ecb3c53a261119729e</t>
        </is>
      </c>
      <c r="B52" s="29" t="n">
        <v>43027</v>
      </c>
      <c r="C52" t="inlineStr">
        <is>
          <t>2017-10</t>
        </is>
      </c>
      <c r="D52" t="inlineStr">
        <is>
          <t>a5f7caba65f90d45005f62cb85bced39</t>
        </is>
      </c>
      <c r="E52" t="inlineStr">
        <is>
          <t>email</t>
        </is>
      </c>
      <c r="F52">
        <f>IFERROR(MATCH(A52,Deals!$A$2:$A$843,0),"")</f>
        <v/>
      </c>
      <c r="G52">
        <f>IF(F52="",0,1)</f>
        <v/>
      </c>
      <c r="H52" s="29">
        <f>IF(F52="","",INDEX(Deals!$E$2:$E$843,F52))</f>
        <v/>
      </c>
      <c r="I52">
        <f>IF(F52="","",INDEX(Deals!$D$2:$D$843,F52))</f>
        <v/>
      </c>
      <c r="J52">
        <f>IF(F52="","",INT(H52)-B52)</f>
        <v/>
      </c>
      <c r="K52">
        <f>IF(B52&gt;=Settings!$C$5,1,0)</f>
        <v/>
      </c>
    </row>
    <row r="53">
      <c r="A53" t="inlineStr">
        <is>
          <t>312ec7f8d4615d6dd78477a4f581c612</t>
        </is>
      </c>
      <c r="B53" s="29" t="n">
        <v>43018</v>
      </c>
      <c r="C53" t="inlineStr">
        <is>
          <t>2017-10</t>
        </is>
      </c>
      <c r="D53" t="inlineStr">
        <is>
          <t>f98c2bd96ac4a5d9476734e790c91384</t>
        </is>
      </c>
      <c r="E53" t="inlineStr">
        <is>
          <t>paid_search</t>
        </is>
      </c>
      <c r="F53">
        <f>IFERROR(MATCH(A53,Deals!$A$2:$A$843,0),"")</f>
        <v/>
      </c>
      <c r="G53">
        <f>IF(F53="",0,1)</f>
        <v/>
      </c>
      <c r="H53" s="29">
        <f>IF(F53="","",INDEX(Deals!$E$2:$E$843,F53))</f>
        <v/>
      </c>
      <c r="I53">
        <f>IF(F53="","",INDEX(Deals!$D$2:$D$843,F53))</f>
        <v/>
      </c>
      <c r="J53">
        <f>IF(F53="","",INT(H53)-B53)</f>
        <v/>
      </c>
      <c r="K53">
        <f>IF(B53&gt;=Settings!$C$5,1,0)</f>
        <v/>
      </c>
    </row>
    <row r="54">
      <c r="A54" t="inlineStr">
        <is>
          <t>56c25287be94f28752503a1cb341c896</t>
        </is>
      </c>
      <c r="B54" s="29" t="n">
        <v>42954</v>
      </c>
      <c r="C54" t="inlineStr">
        <is>
          <t>2017-08</t>
        </is>
      </c>
      <c r="D54" t="inlineStr">
        <is>
          <t>b76ef37428e6799c421989521c0e5077</t>
        </is>
      </c>
      <c r="E54" t="inlineStr">
        <is>
          <t>organic_search</t>
        </is>
      </c>
      <c r="F54">
        <f>IFERROR(MATCH(A54,Deals!$A$2:$A$843,0),"")</f>
        <v/>
      </c>
      <c r="G54">
        <f>IF(F54="",0,1)</f>
        <v/>
      </c>
      <c r="H54" s="29">
        <f>IF(F54="","",INDEX(Deals!$E$2:$E$843,F54))</f>
        <v/>
      </c>
      <c r="I54">
        <f>IF(F54="","",INDEX(Deals!$D$2:$D$843,F54))</f>
        <v/>
      </c>
      <c r="J54">
        <f>IF(F54="","",INT(H54)-B54)</f>
        <v/>
      </c>
      <c r="K54">
        <f>IF(B54&gt;=Settings!$C$5,1,0)</f>
        <v/>
      </c>
    </row>
    <row r="55">
      <c r="A55" t="inlineStr">
        <is>
          <t>710ba53b0d353329706ee1bedf4b9b39</t>
        </is>
      </c>
      <c r="B55" s="29" t="n">
        <v>42957</v>
      </c>
      <c r="C55" t="inlineStr">
        <is>
          <t>2017-08</t>
        </is>
      </c>
      <c r="D55" t="inlineStr">
        <is>
          <t>ef0b482996664cc1107b9051efd3ca84</t>
        </is>
      </c>
      <c r="E55" t="inlineStr">
        <is>
          <t>organic_search</t>
        </is>
      </c>
      <c r="F55">
        <f>IFERROR(MATCH(A55,Deals!$A$2:$A$843,0),"")</f>
        <v/>
      </c>
      <c r="G55">
        <f>IF(F55="",0,1)</f>
        <v/>
      </c>
      <c r="H55" s="29">
        <f>IF(F55="","",INDEX(Deals!$E$2:$E$843,F55))</f>
        <v/>
      </c>
      <c r="I55">
        <f>IF(F55="","",INDEX(Deals!$D$2:$D$843,F55))</f>
        <v/>
      </c>
      <c r="J55">
        <f>IF(F55="","",INT(H55)-B55)</f>
        <v/>
      </c>
      <c r="K55">
        <f>IF(B55&gt;=Settings!$C$5,1,0)</f>
        <v/>
      </c>
    </row>
    <row r="56">
      <c r="A56" t="inlineStr">
        <is>
          <t>80b7b0e690b99b5246e4b11990fb8184</t>
        </is>
      </c>
      <c r="B56" s="29" t="n">
        <v>42990</v>
      </c>
      <c r="C56" t="inlineStr">
        <is>
          <t>2017-09</t>
        </is>
      </c>
      <c r="D56" t="inlineStr">
        <is>
          <t>87732658ba41d8775e8577df347a64db</t>
        </is>
      </c>
      <c r="E56" t="inlineStr">
        <is>
          <t>social</t>
        </is>
      </c>
      <c r="F56">
        <f>IFERROR(MATCH(A56,Deals!$A$2:$A$843,0),"")</f>
        <v/>
      </c>
      <c r="G56">
        <f>IF(F56="",0,1)</f>
        <v/>
      </c>
      <c r="H56" s="29">
        <f>IF(F56="","",INDEX(Deals!$E$2:$E$843,F56))</f>
        <v/>
      </c>
      <c r="I56">
        <f>IF(F56="","",INDEX(Deals!$D$2:$D$843,F56))</f>
        <v/>
      </c>
      <c r="J56">
        <f>IF(F56="","",INT(H56)-B56)</f>
        <v/>
      </c>
      <c r="K56">
        <f>IF(B56&gt;=Settings!$C$5,1,0)</f>
        <v/>
      </c>
    </row>
    <row r="57">
      <c r="A57" t="inlineStr">
        <is>
          <t>19e733acd3ee9f9362a484e5915c132b</t>
        </is>
      </c>
      <c r="B57" s="29" t="n">
        <v>43165</v>
      </c>
      <c r="C57" t="inlineStr">
        <is>
          <t>2018-03</t>
        </is>
      </c>
      <c r="D57" t="inlineStr">
        <is>
          <t>b76ef37428e6799c421989521c0e5077</t>
        </is>
      </c>
      <c r="E57" t="inlineStr">
        <is>
          <t>unknown</t>
        </is>
      </c>
      <c r="F57">
        <f>IFERROR(MATCH(A57,Deals!$A$2:$A$843,0),"")</f>
        <v/>
      </c>
      <c r="G57">
        <f>IF(F57="",0,1)</f>
        <v/>
      </c>
      <c r="H57" s="29">
        <f>IF(F57="","",INDEX(Deals!$E$2:$E$843,F57))</f>
        <v/>
      </c>
      <c r="I57">
        <f>IF(F57="","",INDEX(Deals!$D$2:$D$843,F57))</f>
        <v/>
      </c>
      <c r="J57">
        <f>IF(F57="","",INT(H57)-B57)</f>
        <v/>
      </c>
      <c r="K57">
        <f>IF(B57&gt;=Settings!$C$5,1,0)</f>
        <v/>
      </c>
    </row>
    <row r="58">
      <c r="A58" t="inlineStr">
        <is>
          <t>b34757e1761fdbe6d687ecf4d698447a</t>
        </is>
      </c>
      <c r="B58" s="29" t="n">
        <v>42926</v>
      </c>
      <c r="C58" t="inlineStr">
        <is>
          <t>2017-07</t>
        </is>
      </c>
      <c r="D58" t="inlineStr">
        <is>
          <t>c2f7f172d3275d27cba772ab70ac3052</t>
        </is>
      </c>
      <c r="E58" t="inlineStr">
        <is>
          <t>social</t>
        </is>
      </c>
      <c r="F58">
        <f>IFERROR(MATCH(A58,Deals!$A$2:$A$843,0),"")</f>
        <v/>
      </c>
      <c r="G58">
        <f>IF(F58="",0,1)</f>
        <v/>
      </c>
      <c r="H58" s="29">
        <f>IF(F58="","",INDEX(Deals!$E$2:$E$843,F58))</f>
        <v/>
      </c>
      <c r="I58">
        <f>IF(F58="","",INDEX(Deals!$D$2:$D$843,F58))</f>
        <v/>
      </c>
      <c r="J58">
        <f>IF(F58="","",INT(H58)-B58)</f>
        <v/>
      </c>
      <c r="K58">
        <f>IF(B58&gt;=Settings!$C$5,1,0)</f>
        <v/>
      </c>
    </row>
    <row r="59">
      <c r="A59" t="inlineStr">
        <is>
          <t>8e7af20b649bd58357ffc4aa7cf5e88f</t>
        </is>
      </c>
      <c r="B59" s="29" t="n">
        <v>43139</v>
      </c>
      <c r="C59" t="inlineStr">
        <is>
          <t>2018-02</t>
        </is>
      </c>
      <c r="D59" t="inlineStr">
        <is>
          <t>88740e65d5d6b056e0cda098e1ea6313</t>
        </is>
      </c>
      <c r="E59" t="inlineStr">
        <is>
          <t>social</t>
        </is>
      </c>
      <c r="F59">
        <f>IFERROR(MATCH(A59,Deals!$A$2:$A$843,0),"")</f>
        <v/>
      </c>
      <c r="G59">
        <f>IF(F59="",0,1)</f>
        <v/>
      </c>
      <c r="H59" s="29">
        <f>IF(F59="","",INDEX(Deals!$E$2:$E$843,F59))</f>
        <v/>
      </c>
      <c r="I59">
        <f>IF(F59="","",INDEX(Deals!$D$2:$D$843,F59))</f>
        <v/>
      </c>
      <c r="J59">
        <f>IF(F59="","",INT(H59)-B59)</f>
        <v/>
      </c>
      <c r="K59">
        <f>IF(B59&gt;=Settings!$C$5,1,0)</f>
        <v/>
      </c>
    </row>
    <row r="60">
      <c r="A60" t="inlineStr">
        <is>
          <t>96add356f09fd7a5941ebb73c114b051</t>
        </is>
      </c>
      <c r="B60" s="29" t="n">
        <v>43110</v>
      </c>
      <c r="C60" t="inlineStr">
        <is>
          <t>2018-01</t>
        </is>
      </c>
      <c r="D60" t="inlineStr">
        <is>
          <t>a56671a54260a44923d32c2f08fad39c</t>
        </is>
      </c>
      <c r="E60" t="inlineStr">
        <is>
          <t>direct_traffic</t>
        </is>
      </c>
      <c r="F60">
        <f>IFERROR(MATCH(A60,Deals!$A$2:$A$843,0),"")</f>
        <v/>
      </c>
      <c r="G60">
        <f>IF(F60="",0,1)</f>
        <v/>
      </c>
      <c r="H60" s="29">
        <f>IF(F60="","",INDEX(Deals!$E$2:$E$843,F60))</f>
        <v/>
      </c>
      <c r="I60">
        <f>IF(F60="","",INDEX(Deals!$D$2:$D$843,F60))</f>
        <v/>
      </c>
      <c r="J60">
        <f>IF(F60="","",INT(H60)-B60)</f>
        <v/>
      </c>
      <c r="K60">
        <f>IF(B60&gt;=Settings!$C$5,1,0)</f>
        <v/>
      </c>
    </row>
    <row r="61">
      <c r="A61" t="inlineStr">
        <is>
          <t>8e952443b19bfc5d0b90e6c4eabcb8fb</t>
        </is>
      </c>
      <c r="B61" s="29" t="n">
        <v>43128</v>
      </c>
      <c r="C61" t="inlineStr">
        <is>
          <t>2018-01</t>
        </is>
      </c>
      <c r="D61" t="inlineStr">
        <is>
          <t>21a104c3279681d9856b8a48723c4fee</t>
        </is>
      </c>
      <c r="E61" t="inlineStr">
        <is>
          <t>(missing)</t>
        </is>
      </c>
      <c r="F61">
        <f>IFERROR(MATCH(A61,Deals!$A$2:$A$843,0),"")</f>
        <v/>
      </c>
      <c r="G61">
        <f>IF(F61="",0,1)</f>
        <v/>
      </c>
      <c r="H61" s="29">
        <f>IF(F61="","",INDEX(Deals!$E$2:$E$843,F61))</f>
        <v/>
      </c>
      <c r="I61">
        <f>IF(F61="","",INDEX(Deals!$D$2:$D$843,F61))</f>
        <v/>
      </c>
      <c r="J61">
        <f>IF(F61="","",INT(H61)-B61)</f>
        <v/>
      </c>
      <c r="K61">
        <f>IF(B61&gt;=Settings!$C$5,1,0)</f>
        <v/>
      </c>
    </row>
    <row r="62">
      <c r="A62" t="inlineStr">
        <is>
          <t>06dc745ebe65fdc0b40a6360a1876967</t>
        </is>
      </c>
      <c r="B62" s="29" t="n">
        <v>43245</v>
      </c>
      <c r="C62" t="inlineStr">
        <is>
          <t>2018-05</t>
        </is>
      </c>
      <c r="D62" t="inlineStr">
        <is>
          <t>58326e62183c14b0c03085c33b9fdc44</t>
        </is>
      </c>
      <c r="E62" t="inlineStr">
        <is>
          <t>social</t>
        </is>
      </c>
      <c r="F62">
        <f>IFERROR(MATCH(A62,Deals!$A$2:$A$843,0),"")</f>
        <v/>
      </c>
      <c r="G62">
        <f>IF(F62="",0,1)</f>
        <v/>
      </c>
      <c r="H62" s="29">
        <f>IF(F62="","",INDEX(Deals!$E$2:$E$843,F62))</f>
        <v/>
      </c>
      <c r="I62">
        <f>IF(F62="","",INDEX(Deals!$D$2:$D$843,F62))</f>
        <v/>
      </c>
      <c r="J62">
        <f>IF(F62="","",INT(H62)-B62)</f>
        <v/>
      </c>
      <c r="K62">
        <f>IF(B62&gt;=Settings!$C$5,1,0)</f>
        <v/>
      </c>
    </row>
    <row r="63">
      <c r="A63" t="inlineStr">
        <is>
          <t>5134cb3d435ee631ad39aaa79f8874d0</t>
        </is>
      </c>
      <c r="B63" s="29" t="n">
        <v>43029</v>
      </c>
      <c r="C63" t="inlineStr">
        <is>
          <t>2017-10</t>
        </is>
      </c>
      <c r="D63" t="inlineStr">
        <is>
          <t>ce1a65abd0973638f1c887a6efcfa82d</t>
        </is>
      </c>
      <c r="E63" t="inlineStr">
        <is>
          <t>direct_traffic</t>
        </is>
      </c>
      <c r="F63">
        <f>IFERROR(MATCH(A63,Deals!$A$2:$A$843,0),"")</f>
        <v/>
      </c>
      <c r="G63">
        <f>IF(F63="",0,1)</f>
        <v/>
      </c>
      <c r="H63" s="29">
        <f>IF(F63="","",INDEX(Deals!$E$2:$E$843,F63))</f>
        <v/>
      </c>
      <c r="I63">
        <f>IF(F63="","",INDEX(Deals!$D$2:$D$843,F63))</f>
        <v/>
      </c>
      <c r="J63">
        <f>IF(F63="","",INT(H63)-B63)</f>
        <v/>
      </c>
      <c r="K63">
        <f>IF(B63&gt;=Settings!$C$5,1,0)</f>
        <v/>
      </c>
    </row>
    <row r="64">
      <c r="A64" t="inlineStr">
        <is>
          <t>5ff3fd94bc09fae5dab3de636b8f130c</t>
        </is>
      </c>
      <c r="B64" s="29" t="n">
        <v>43129</v>
      </c>
      <c r="C64" t="inlineStr">
        <is>
          <t>2018-01</t>
        </is>
      </c>
      <c r="D64" t="inlineStr">
        <is>
          <t>65d9f9d71e562365e8b44037c2888d98</t>
        </is>
      </c>
      <c r="E64" t="inlineStr">
        <is>
          <t>paid_search</t>
        </is>
      </c>
      <c r="F64">
        <f>IFERROR(MATCH(A64,Deals!$A$2:$A$843,0),"")</f>
        <v/>
      </c>
      <c r="G64">
        <f>IF(F64="",0,1)</f>
        <v/>
      </c>
      <c r="H64" s="29">
        <f>IF(F64="","",INDEX(Deals!$E$2:$E$843,F64))</f>
        <v/>
      </c>
      <c r="I64">
        <f>IF(F64="","",INDEX(Deals!$D$2:$D$843,F64))</f>
        <v/>
      </c>
      <c r="J64">
        <f>IF(F64="","",INT(H64)-B64)</f>
        <v/>
      </c>
      <c r="K64">
        <f>IF(B64&gt;=Settings!$C$5,1,0)</f>
        <v/>
      </c>
    </row>
    <row r="65">
      <c r="A65" t="inlineStr">
        <is>
          <t>4cc863f5bb92c44a3936263859171e53</t>
        </is>
      </c>
      <c r="B65" s="29" t="n">
        <v>43229</v>
      </c>
      <c r="C65" t="inlineStr">
        <is>
          <t>2018-05</t>
        </is>
      </c>
      <c r="D65" t="inlineStr">
        <is>
          <t>f80696b73d17fb34f5c4fde157f119d8</t>
        </is>
      </c>
      <c r="E65" t="inlineStr">
        <is>
          <t>other_publicities</t>
        </is>
      </c>
      <c r="F65">
        <f>IFERROR(MATCH(A65,Deals!$A$2:$A$843,0),"")</f>
        <v/>
      </c>
      <c r="G65">
        <f>IF(F65="",0,1)</f>
        <v/>
      </c>
      <c r="H65" s="29">
        <f>IF(F65="","",INDEX(Deals!$E$2:$E$843,F65))</f>
        <v/>
      </c>
      <c r="I65">
        <f>IF(F65="","",INDEX(Deals!$D$2:$D$843,F65))</f>
        <v/>
      </c>
      <c r="J65">
        <f>IF(F65="","",INT(H65)-B65)</f>
        <v/>
      </c>
      <c r="K65">
        <f>IF(B65&gt;=Settings!$C$5,1,0)</f>
        <v/>
      </c>
    </row>
    <row r="66">
      <c r="A66" t="inlineStr">
        <is>
          <t>936c567e63dabf5ab46ed2440f376fc8</t>
        </is>
      </c>
      <c r="B66" s="29" t="n">
        <v>43151</v>
      </c>
      <c r="C66" t="inlineStr">
        <is>
          <t>2018-02</t>
        </is>
      </c>
      <c r="D66" t="inlineStr">
        <is>
          <t>88740e65d5d6b056e0cda098e1ea6313</t>
        </is>
      </c>
      <c r="E66" t="inlineStr">
        <is>
          <t>social</t>
        </is>
      </c>
      <c r="F66">
        <f>IFERROR(MATCH(A66,Deals!$A$2:$A$843,0),"")</f>
        <v/>
      </c>
      <c r="G66">
        <f>IF(F66="",0,1)</f>
        <v/>
      </c>
      <c r="H66" s="29">
        <f>IF(F66="","",INDEX(Deals!$E$2:$E$843,F66))</f>
        <v/>
      </c>
      <c r="I66">
        <f>IF(F66="","",INDEX(Deals!$D$2:$D$843,F66))</f>
        <v/>
      </c>
      <c r="J66">
        <f>IF(F66="","",INT(H66)-B66)</f>
        <v/>
      </c>
      <c r="K66">
        <f>IF(B66&gt;=Settings!$C$5,1,0)</f>
        <v/>
      </c>
    </row>
    <row r="67">
      <c r="A67" t="inlineStr">
        <is>
          <t>1ca6bbff2b5e3a0f442e1407ec1c1654</t>
        </is>
      </c>
      <c r="B67" s="29" t="n">
        <v>43216</v>
      </c>
      <c r="C67" t="inlineStr">
        <is>
          <t>2018-04</t>
        </is>
      </c>
      <c r="D67" t="inlineStr">
        <is>
          <t>ce1a65abd0973638f1c887a6efcfa82d</t>
        </is>
      </c>
      <c r="E67" t="inlineStr">
        <is>
          <t>organic_search</t>
        </is>
      </c>
      <c r="F67">
        <f>IFERROR(MATCH(A67,Deals!$A$2:$A$843,0),"")</f>
        <v/>
      </c>
      <c r="G67">
        <f>IF(F67="",0,1)</f>
        <v/>
      </c>
      <c r="H67" s="29">
        <f>IF(F67="","",INDEX(Deals!$E$2:$E$843,F67))</f>
        <v/>
      </c>
      <c r="I67">
        <f>IF(F67="","",INDEX(Deals!$D$2:$D$843,F67))</f>
        <v/>
      </c>
      <c r="J67">
        <f>IF(F67="","",INT(H67)-B67)</f>
        <v/>
      </c>
      <c r="K67">
        <f>IF(B67&gt;=Settings!$C$5,1,0)</f>
        <v/>
      </c>
    </row>
    <row r="68">
      <c r="A68" t="inlineStr">
        <is>
          <t>c3804daac5b8859f0975d20c9fe3370e</t>
        </is>
      </c>
      <c r="B68" s="29" t="n">
        <v>43105</v>
      </c>
      <c r="C68" t="inlineStr">
        <is>
          <t>2018-01</t>
        </is>
      </c>
      <c r="D68" t="inlineStr">
        <is>
          <t>707541550a71b1e700bbd4cf90677923</t>
        </is>
      </c>
      <c r="E68" t="inlineStr">
        <is>
          <t>organic_search</t>
        </is>
      </c>
      <c r="F68">
        <f>IFERROR(MATCH(A68,Deals!$A$2:$A$843,0),"")</f>
        <v/>
      </c>
      <c r="G68">
        <f>IF(F68="",0,1)</f>
        <v/>
      </c>
      <c r="H68" s="29">
        <f>IF(F68="","",INDEX(Deals!$E$2:$E$843,F68))</f>
        <v/>
      </c>
      <c r="I68">
        <f>IF(F68="","",INDEX(Deals!$D$2:$D$843,F68))</f>
        <v/>
      </c>
      <c r="J68">
        <f>IF(F68="","",INT(H68)-B68)</f>
        <v/>
      </c>
      <c r="K68">
        <f>IF(B68&gt;=Settings!$C$5,1,0)</f>
        <v/>
      </c>
    </row>
    <row r="69">
      <c r="A69" t="inlineStr">
        <is>
          <t>ffe640179b554e295c167a2f6be528e0</t>
        </is>
      </c>
      <c r="B69" s="29" t="n">
        <v>43017</v>
      </c>
      <c r="C69" t="inlineStr">
        <is>
          <t>2017-10</t>
        </is>
      </c>
      <c r="D69" t="inlineStr">
        <is>
          <t>a0fbc0263cb98bdb0d72b9f9f283a172</t>
        </is>
      </c>
      <c r="E69" t="inlineStr">
        <is>
          <t>unknown</t>
        </is>
      </c>
      <c r="F69">
        <f>IFERROR(MATCH(A69,Deals!$A$2:$A$843,0),"")</f>
        <v/>
      </c>
      <c r="G69">
        <f>IF(F69="",0,1)</f>
        <v/>
      </c>
      <c r="H69" s="29">
        <f>IF(F69="","",INDEX(Deals!$E$2:$E$843,F69))</f>
        <v/>
      </c>
      <c r="I69">
        <f>IF(F69="","",INDEX(Deals!$D$2:$D$843,F69))</f>
        <v/>
      </c>
      <c r="J69">
        <f>IF(F69="","",INT(H69)-B69)</f>
        <v/>
      </c>
      <c r="K69">
        <f>IF(B69&gt;=Settings!$C$5,1,0)</f>
        <v/>
      </c>
    </row>
    <row r="70">
      <c r="A70" t="inlineStr">
        <is>
          <t>e66d9dab8705f19bd91b48f1a6bc5487</t>
        </is>
      </c>
      <c r="B70" s="29" t="n">
        <v>43240</v>
      </c>
      <c r="C70" t="inlineStr">
        <is>
          <t>2018-05</t>
        </is>
      </c>
      <c r="D70" t="inlineStr">
        <is>
          <t>22c29808c4f815213303f8933030604c</t>
        </is>
      </c>
      <c r="E70" t="inlineStr">
        <is>
          <t>organic_search</t>
        </is>
      </c>
      <c r="F70">
        <f>IFERROR(MATCH(A70,Deals!$A$2:$A$843,0),"")</f>
        <v/>
      </c>
      <c r="G70">
        <f>IF(F70="",0,1)</f>
        <v/>
      </c>
      <c r="H70" s="29">
        <f>IF(F70="","",INDEX(Deals!$E$2:$E$843,F70))</f>
        <v/>
      </c>
      <c r="I70">
        <f>IF(F70="","",INDEX(Deals!$D$2:$D$843,F70))</f>
        <v/>
      </c>
      <c r="J70">
        <f>IF(F70="","",INT(H70)-B70)</f>
        <v/>
      </c>
      <c r="K70">
        <f>IF(B70&gt;=Settings!$C$5,1,0)</f>
        <v/>
      </c>
    </row>
    <row r="71">
      <c r="A71" t="inlineStr">
        <is>
          <t>8631e5b91354a846f00dbbf16ad94259</t>
        </is>
      </c>
      <c r="B71" s="29" t="n">
        <v>43202</v>
      </c>
      <c r="C71" t="inlineStr">
        <is>
          <t>2018-04</t>
        </is>
      </c>
      <c r="D71" t="inlineStr">
        <is>
          <t>73f31a40697cc90a86c1273563ac230e</t>
        </is>
      </c>
      <c r="E71" t="inlineStr">
        <is>
          <t>other</t>
        </is>
      </c>
      <c r="F71">
        <f>IFERROR(MATCH(A71,Deals!$A$2:$A$843,0),"")</f>
        <v/>
      </c>
      <c r="G71">
        <f>IF(F71="",0,1)</f>
        <v/>
      </c>
      <c r="H71" s="29">
        <f>IF(F71="","",INDEX(Deals!$E$2:$E$843,F71))</f>
        <v/>
      </c>
      <c r="I71">
        <f>IF(F71="","",INDEX(Deals!$D$2:$D$843,F71))</f>
        <v/>
      </c>
      <c r="J71">
        <f>IF(F71="","",INT(H71)-B71)</f>
        <v/>
      </c>
      <c r="K71">
        <f>IF(B71&gt;=Settings!$C$5,1,0)</f>
        <v/>
      </c>
    </row>
    <row r="72">
      <c r="A72" t="inlineStr">
        <is>
          <t>e7cdf7ba8ccaec414712f15d40280d50</t>
        </is>
      </c>
      <c r="B72" s="29" t="n">
        <v>42927</v>
      </c>
      <c r="C72" t="inlineStr">
        <is>
          <t>2017-07</t>
        </is>
      </c>
      <c r="D72" t="inlineStr">
        <is>
          <t>c754e5846c791d26b1c34070c41adf6e</t>
        </is>
      </c>
      <c r="E72" t="inlineStr">
        <is>
          <t>other</t>
        </is>
      </c>
      <c r="F72">
        <f>IFERROR(MATCH(A72,Deals!$A$2:$A$843,0),"")</f>
        <v/>
      </c>
      <c r="G72">
        <f>IF(F72="",0,1)</f>
        <v/>
      </c>
      <c r="H72" s="29">
        <f>IF(F72="","",INDEX(Deals!$E$2:$E$843,F72))</f>
        <v/>
      </c>
      <c r="I72">
        <f>IF(F72="","",INDEX(Deals!$D$2:$D$843,F72))</f>
        <v/>
      </c>
      <c r="J72">
        <f>IF(F72="","",INT(H72)-B72)</f>
        <v/>
      </c>
      <c r="K72">
        <f>IF(B72&gt;=Settings!$C$5,1,0)</f>
        <v/>
      </c>
    </row>
    <row r="73">
      <c r="A73" t="inlineStr">
        <is>
          <t>ac83d3f400e95a5d31e7c59d2743bf73</t>
        </is>
      </c>
      <c r="B73" s="29" t="n">
        <v>42924</v>
      </c>
      <c r="C73" t="inlineStr">
        <is>
          <t>2017-07</t>
        </is>
      </c>
      <c r="D73" t="inlineStr">
        <is>
          <t>30077c17f2ec5010a82e37ad8925b95f</t>
        </is>
      </c>
      <c r="E73" t="inlineStr">
        <is>
          <t>organic_search</t>
        </is>
      </c>
      <c r="F73">
        <f>IFERROR(MATCH(A73,Deals!$A$2:$A$843,0),"")</f>
        <v/>
      </c>
      <c r="G73">
        <f>IF(F73="",0,1)</f>
        <v/>
      </c>
      <c r="H73" s="29">
        <f>IF(F73="","",INDEX(Deals!$E$2:$E$843,F73))</f>
        <v/>
      </c>
      <c r="I73">
        <f>IF(F73="","",INDEX(Deals!$D$2:$D$843,F73))</f>
        <v/>
      </c>
      <c r="J73">
        <f>IF(F73="","",INT(H73)-B73)</f>
        <v/>
      </c>
      <c r="K73">
        <f>IF(B73&gt;=Settings!$C$5,1,0)</f>
        <v/>
      </c>
    </row>
    <row r="74">
      <c r="A74" t="inlineStr">
        <is>
          <t>aa839cfb74f9e5ae2a89572a0093dd58</t>
        </is>
      </c>
      <c r="B74" s="29" t="n">
        <v>43129</v>
      </c>
      <c r="C74" t="inlineStr">
        <is>
          <t>2018-01</t>
        </is>
      </c>
      <c r="D74" t="inlineStr">
        <is>
          <t>88740e65d5d6b056e0cda098e1ea6313</t>
        </is>
      </c>
      <c r="E74" t="inlineStr">
        <is>
          <t>social</t>
        </is>
      </c>
      <c r="F74">
        <f>IFERROR(MATCH(A74,Deals!$A$2:$A$843,0),"")</f>
        <v/>
      </c>
      <c r="G74">
        <f>IF(F74="",0,1)</f>
        <v/>
      </c>
      <c r="H74" s="29">
        <f>IF(F74="","",INDEX(Deals!$E$2:$E$843,F74))</f>
        <v/>
      </c>
      <c r="I74">
        <f>IF(F74="","",INDEX(Deals!$D$2:$D$843,F74))</f>
        <v/>
      </c>
      <c r="J74">
        <f>IF(F74="","",INT(H74)-B74)</f>
        <v/>
      </c>
      <c r="K74">
        <f>IF(B74&gt;=Settings!$C$5,1,0)</f>
        <v/>
      </c>
    </row>
    <row r="75">
      <c r="A75" t="inlineStr">
        <is>
          <t>a51d33efc990731cb31eb6e9bcf79670</t>
        </is>
      </c>
      <c r="B75" s="29" t="n">
        <v>43166</v>
      </c>
      <c r="C75" t="inlineStr">
        <is>
          <t>2018-03</t>
        </is>
      </c>
      <c r="D75" t="inlineStr">
        <is>
          <t>88740e65d5d6b056e0cda098e1ea6313</t>
        </is>
      </c>
      <c r="E75" t="inlineStr">
        <is>
          <t>social</t>
        </is>
      </c>
      <c r="F75">
        <f>IFERROR(MATCH(A75,Deals!$A$2:$A$843,0),"")</f>
        <v/>
      </c>
      <c r="G75">
        <f>IF(F75="",0,1)</f>
        <v/>
      </c>
      <c r="H75" s="29">
        <f>IF(F75="","",INDEX(Deals!$E$2:$E$843,F75))</f>
        <v/>
      </c>
      <c r="I75">
        <f>IF(F75="","",INDEX(Deals!$D$2:$D$843,F75))</f>
        <v/>
      </c>
      <c r="J75">
        <f>IF(F75="","",INT(H75)-B75)</f>
        <v/>
      </c>
      <c r="K75">
        <f>IF(B75&gt;=Settings!$C$5,1,0)</f>
        <v/>
      </c>
    </row>
    <row r="76">
      <c r="A76" t="inlineStr">
        <is>
          <t>280d8c73b56b79f1059539da36c7ae4a</t>
        </is>
      </c>
      <c r="B76" s="29" t="n">
        <v>43231</v>
      </c>
      <c r="C76" t="inlineStr">
        <is>
          <t>2018-05</t>
        </is>
      </c>
      <c r="D76" t="inlineStr">
        <is>
          <t>b76ef37428e6799c421989521c0e5077</t>
        </is>
      </c>
      <c r="E76" t="inlineStr">
        <is>
          <t>(missing)</t>
        </is>
      </c>
      <c r="F76">
        <f>IFERROR(MATCH(A76,Deals!$A$2:$A$843,0),"")</f>
        <v/>
      </c>
      <c r="G76">
        <f>IF(F76="",0,1)</f>
        <v/>
      </c>
      <c r="H76" s="29">
        <f>IF(F76="","",INDEX(Deals!$E$2:$E$843,F76))</f>
        <v/>
      </c>
      <c r="I76">
        <f>IF(F76="","",INDEX(Deals!$D$2:$D$843,F76))</f>
        <v/>
      </c>
      <c r="J76">
        <f>IF(F76="","",INT(H76)-B76)</f>
        <v/>
      </c>
      <c r="K76">
        <f>IF(B76&gt;=Settings!$C$5,1,0)</f>
        <v/>
      </c>
    </row>
    <row r="77">
      <c r="A77" t="inlineStr">
        <is>
          <t>a8de839ca3b50ef2eac03640ccf56afd</t>
        </is>
      </c>
      <c r="B77" s="29" t="n">
        <v>42983</v>
      </c>
      <c r="C77" t="inlineStr">
        <is>
          <t>2017-09</t>
        </is>
      </c>
      <c r="D77" t="inlineStr">
        <is>
          <t>87732658ba41d8775e8577df347a64db</t>
        </is>
      </c>
      <c r="E77" t="inlineStr">
        <is>
          <t>social</t>
        </is>
      </c>
      <c r="F77">
        <f>IFERROR(MATCH(A77,Deals!$A$2:$A$843,0),"")</f>
        <v/>
      </c>
      <c r="G77">
        <f>IF(F77="",0,1)</f>
        <v/>
      </c>
      <c r="H77" s="29">
        <f>IF(F77="","",INDEX(Deals!$E$2:$E$843,F77))</f>
        <v/>
      </c>
      <c r="I77">
        <f>IF(F77="","",INDEX(Deals!$D$2:$D$843,F77))</f>
        <v/>
      </c>
      <c r="J77">
        <f>IF(F77="","",INT(H77)-B77)</f>
        <v/>
      </c>
      <c r="K77">
        <f>IF(B77&gt;=Settings!$C$5,1,0)</f>
        <v/>
      </c>
    </row>
    <row r="78">
      <c r="A78" t="inlineStr">
        <is>
          <t>c2411c0857a5002c42d2b16457deba2f</t>
        </is>
      </c>
      <c r="B78" s="29" t="n">
        <v>42954</v>
      </c>
      <c r="C78" t="inlineStr">
        <is>
          <t>2017-08</t>
        </is>
      </c>
      <c r="D78" t="inlineStr">
        <is>
          <t>22c29808c4f815213303f8933030604c</t>
        </is>
      </c>
      <c r="E78" t="inlineStr">
        <is>
          <t>paid_search</t>
        </is>
      </c>
      <c r="F78">
        <f>IFERROR(MATCH(A78,Deals!$A$2:$A$843,0),"")</f>
        <v/>
      </c>
      <c r="G78">
        <f>IF(F78="",0,1)</f>
        <v/>
      </c>
      <c r="H78" s="29">
        <f>IF(F78="","",INDEX(Deals!$E$2:$E$843,F78))</f>
        <v/>
      </c>
      <c r="I78">
        <f>IF(F78="","",INDEX(Deals!$D$2:$D$843,F78))</f>
        <v/>
      </c>
      <c r="J78">
        <f>IF(F78="","",INT(H78)-B78)</f>
        <v/>
      </c>
      <c r="K78">
        <f>IF(B78&gt;=Settings!$C$5,1,0)</f>
        <v/>
      </c>
    </row>
    <row r="79">
      <c r="A79" t="inlineStr">
        <is>
          <t>2f159dfb71adadd9ed3956f59a97c248</t>
        </is>
      </c>
      <c r="B79" s="29" t="n">
        <v>43245</v>
      </c>
      <c r="C79" t="inlineStr">
        <is>
          <t>2018-05</t>
        </is>
      </c>
      <c r="D79" t="inlineStr">
        <is>
          <t>330b9d44078a1ae5a221d655dcb77afa</t>
        </is>
      </c>
      <c r="E79" t="inlineStr">
        <is>
          <t>email</t>
        </is>
      </c>
      <c r="F79">
        <f>IFERROR(MATCH(A79,Deals!$A$2:$A$843,0),"")</f>
        <v/>
      </c>
      <c r="G79">
        <f>IF(F79="",0,1)</f>
        <v/>
      </c>
      <c r="H79" s="29">
        <f>IF(F79="","",INDEX(Deals!$E$2:$E$843,F79))</f>
        <v/>
      </c>
      <c r="I79">
        <f>IF(F79="","",INDEX(Deals!$D$2:$D$843,F79))</f>
        <v/>
      </c>
      <c r="J79">
        <f>IF(F79="","",INT(H79)-B79)</f>
        <v/>
      </c>
      <c r="K79">
        <f>IF(B79&gt;=Settings!$C$5,1,0)</f>
        <v/>
      </c>
    </row>
    <row r="80">
      <c r="A80" t="inlineStr">
        <is>
          <t>ef4fc148f9ea60330eb0df54b1349a2d</t>
        </is>
      </c>
      <c r="B80" s="29" t="n">
        <v>42974</v>
      </c>
      <c r="C80" t="inlineStr">
        <is>
          <t>2017-08</t>
        </is>
      </c>
      <c r="D80" t="inlineStr">
        <is>
          <t>3cd2a8301d5395f21cdd3094c9eaa2f4</t>
        </is>
      </c>
      <c r="E80" t="inlineStr">
        <is>
          <t>paid_search</t>
        </is>
      </c>
      <c r="F80">
        <f>IFERROR(MATCH(A80,Deals!$A$2:$A$843,0),"")</f>
        <v/>
      </c>
      <c r="G80">
        <f>IF(F80="",0,1)</f>
        <v/>
      </c>
      <c r="H80" s="29">
        <f>IF(F80="","",INDEX(Deals!$E$2:$E$843,F80))</f>
        <v/>
      </c>
      <c r="I80">
        <f>IF(F80="","",INDEX(Deals!$D$2:$D$843,F80))</f>
        <v/>
      </c>
      <c r="J80">
        <f>IF(F80="","",INT(H80)-B80)</f>
        <v/>
      </c>
      <c r="K80">
        <f>IF(B80&gt;=Settings!$C$5,1,0)</f>
        <v/>
      </c>
    </row>
    <row r="81">
      <c r="A81" t="inlineStr">
        <is>
          <t>b94fba7670eeb44dce2a0d8eb790e9f5</t>
        </is>
      </c>
      <c r="B81" s="29" t="n">
        <v>43137</v>
      </c>
      <c r="C81" t="inlineStr">
        <is>
          <t>2018-02</t>
        </is>
      </c>
      <c r="D81" t="inlineStr">
        <is>
          <t>40dec9f3d5259a3d2dbcdab2114fae47</t>
        </is>
      </c>
      <c r="E81" t="inlineStr">
        <is>
          <t>organic_search</t>
        </is>
      </c>
      <c r="F81">
        <f>IFERROR(MATCH(A81,Deals!$A$2:$A$843,0),"")</f>
        <v/>
      </c>
      <c r="G81">
        <f>IF(F81="",0,1)</f>
        <v/>
      </c>
      <c r="H81" s="29">
        <f>IF(F81="","",INDEX(Deals!$E$2:$E$843,F81))</f>
        <v/>
      </c>
      <c r="I81">
        <f>IF(F81="","",INDEX(Deals!$D$2:$D$843,F81))</f>
        <v/>
      </c>
      <c r="J81">
        <f>IF(F81="","",INT(H81)-B81)</f>
        <v/>
      </c>
      <c r="K81">
        <f>IF(B81&gt;=Settings!$C$5,1,0)</f>
        <v/>
      </c>
    </row>
    <row r="82">
      <c r="A82" t="inlineStr">
        <is>
          <t>09ec0f40d1fec53253882a9f9f913cbd</t>
        </is>
      </c>
      <c r="B82" s="29" t="n">
        <v>42971</v>
      </c>
      <c r="C82" t="inlineStr">
        <is>
          <t>2017-08</t>
        </is>
      </c>
      <c r="D82" t="inlineStr">
        <is>
          <t>22c29808c4f815213303f8933030604c</t>
        </is>
      </c>
      <c r="E82" t="inlineStr">
        <is>
          <t>referral</t>
        </is>
      </c>
      <c r="F82">
        <f>IFERROR(MATCH(A82,Deals!$A$2:$A$843,0),"")</f>
        <v/>
      </c>
      <c r="G82">
        <f>IF(F82="",0,1)</f>
        <v/>
      </c>
      <c r="H82" s="29">
        <f>IF(F82="","",INDEX(Deals!$E$2:$E$843,F82))</f>
        <v/>
      </c>
      <c r="I82">
        <f>IF(F82="","",INDEX(Deals!$D$2:$D$843,F82))</f>
        <v/>
      </c>
      <c r="J82">
        <f>IF(F82="","",INT(H82)-B82)</f>
        <v/>
      </c>
      <c r="K82">
        <f>IF(B82&gt;=Settings!$C$5,1,0)</f>
        <v/>
      </c>
    </row>
    <row r="83">
      <c r="A83" t="inlineStr">
        <is>
          <t>38d278dbb9c22bb5190e920ce2ed5fff</t>
        </is>
      </c>
      <c r="B83" s="29" t="n">
        <v>43053</v>
      </c>
      <c r="C83" t="inlineStr">
        <is>
          <t>2017-11</t>
        </is>
      </c>
      <c r="D83" t="inlineStr">
        <is>
          <t>b76ef37428e6799c421989521c0e5077</t>
        </is>
      </c>
      <c r="E83" t="inlineStr">
        <is>
          <t>unknown</t>
        </is>
      </c>
      <c r="F83">
        <f>IFERROR(MATCH(A83,Deals!$A$2:$A$843,0),"")</f>
        <v/>
      </c>
      <c r="G83">
        <f>IF(F83="",0,1)</f>
        <v/>
      </c>
      <c r="H83" s="29">
        <f>IF(F83="","",INDEX(Deals!$E$2:$E$843,F83))</f>
        <v/>
      </c>
      <c r="I83">
        <f>IF(F83="","",INDEX(Deals!$D$2:$D$843,F83))</f>
        <v/>
      </c>
      <c r="J83">
        <f>IF(F83="","",INT(H83)-B83)</f>
        <v/>
      </c>
      <c r="K83">
        <f>IF(B83&gt;=Settings!$C$5,1,0)</f>
        <v/>
      </c>
    </row>
    <row r="84">
      <c r="A84" t="inlineStr">
        <is>
          <t>c3e30ed7ac989117c7e1e719b4ac128f</t>
        </is>
      </c>
      <c r="B84" s="29" t="n">
        <v>43151</v>
      </c>
      <c r="C84" t="inlineStr">
        <is>
          <t>2018-02</t>
        </is>
      </c>
      <c r="D84" t="inlineStr">
        <is>
          <t>e492ee5eaf1697716985cc6f33f9cd9b</t>
        </is>
      </c>
      <c r="E84" t="inlineStr">
        <is>
          <t>direct_traffic</t>
        </is>
      </c>
      <c r="F84">
        <f>IFERROR(MATCH(A84,Deals!$A$2:$A$843,0),"")</f>
        <v/>
      </c>
      <c r="G84">
        <f>IF(F84="",0,1)</f>
        <v/>
      </c>
      <c r="H84" s="29">
        <f>IF(F84="","",INDEX(Deals!$E$2:$E$843,F84))</f>
        <v/>
      </c>
      <c r="I84">
        <f>IF(F84="","",INDEX(Deals!$D$2:$D$843,F84))</f>
        <v/>
      </c>
      <c r="J84">
        <f>IF(F84="","",INT(H84)-B84)</f>
        <v/>
      </c>
      <c r="K84">
        <f>IF(B84&gt;=Settings!$C$5,1,0)</f>
        <v/>
      </c>
    </row>
    <row r="85">
      <c r="A85" t="inlineStr">
        <is>
          <t>437aadef672e77658e88fa71c9bd224c</t>
        </is>
      </c>
      <c r="B85" s="29" t="n">
        <v>43026</v>
      </c>
      <c r="C85" t="inlineStr">
        <is>
          <t>2017-10</t>
        </is>
      </c>
      <c r="D85" t="inlineStr">
        <is>
          <t>b76ef37428e6799c421989521c0e5077</t>
        </is>
      </c>
      <c r="E85" t="inlineStr">
        <is>
          <t>unknown</t>
        </is>
      </c>
      <c r="F85">
        <f>IFERROR(MATCH(A85,Deals!$A$2:$A$843,0),"")</f>
        <v/>
      </c>
      <c r="G85">
        <f>IF(F85="",0,1)</f>
        <v/>
      </c>
      <c r="H85" s="29">
        <f>IF(F85="","",INDEX(Deals!$E$2:$E$843,F85))</f>
        <v/>
      </c>
      <c r="I85">
        <f>IF(F85="","",INDEX(Deals!$D$2:$D$843,F85))</f>
        <v/>
      </c>
      <c r="J85">
        <f>IF(F85="","",INT(H85)-B85)</f>
        <v/>
      </c>
      <c r="K85">
        <f>IF(B85&gt;=Settings!$C$5,1,0)</f>
        <v/>
      </c>
    </row>
    <row r="86">
      <c r="A86" t="inlineStr">
        <is>
          <t>010d18a1aeff169f741b6fe97fdd6a1d</t>
        </is>
      </c>
      <c r="B86" s="29" t="n">
        <v>43130</v>
      </c>
      <c r="C86" t="inlineStr">
        <is>
          <t>2018-01</t>
        </is>
      </c>
      <c r="D86" t="inlineStr">
        <is>
          <t>40dec9f3d5259a3d2dbcdab2114fae47</t>
        </is>
      </c>
      <c r="E86" t="inlineStr">
        <is>
          <t>paid_search</t>
        </is>
      </c>
      <c r="F86">
        <f>IFERROR(MATCH(A86,Deals!$A$2:$A$843,0),"")</f>
        <v/>
      </c>
      <c r="G86">
        <f>IF(F86="",0,1)</f>
        <v/>
      </c>
      <c r="H86" s="29">
        <f>IF(F86="","",INDEX(Deals!$E$2:$E$843,F86))</f>
        <v/>
      </c>
      <c r="I86">
        <f>IF(F86="","",INDEX(Deals!$D$2:$D$843,F86))</f>
        <v/>
      </c>
      <c r="J86">
        <f>IF(F86="","",INT(H86)-B86)</f>
        <v/>
      </c>
      <c r="K86">
        <f>IF(B86&gt;=Settings!$C$5,1,0)</f>
        <v/>
      </c>
    </row>
    <row r="87">
      <c r="A87" t="inlineStr">
        <is>
          <t>9c975e80ae0c16ac742ab69f9750ce6d</t>
        </is>
      </c>
      <c r="B87" s="29" t="n">
        <v>43234</v>
      </c>
      <c r="C87" t="inlineStr">
        <is>
          <t>2018-05</t>
        </is>
      </c>
      <c r="D87" t="inlineStr">
        <is>
          <t>b76ef37428e6799c421989521c0e5077</t>
        </is>
      </c>
      <c r="E87" t="inlineStr">
        <is>
          <t>unknown</t>
        </is>
      </c>
      <c r="F87">
        <f>IFERROR(MATCH(A87,Deals!$A$2:$A$843,0),"")</f>
        <v/>
      </c>
      <c r="G87">
        <f>IF(F87="",0,1)</f>
        <v/>
      </c>
      <c r="H87" s="29">
        <f>IF(F87="","",INDEX(Deals!$E$2:$E$843,F87))</f>
        <v/>
      </c>
      <c r="I87">
        <f>IF(F87="","",INDEX(Deals!$D$2:$D$843,F87))</f>
        <v/>
      </c>
      <c r="J87">
        <f>IF(F87="","",INT(H87)-B87)</f>
        <v/>
      </c>
      <c r="K87">
        <f>IF(B87&gt;=Settings!$C$5,1,0)</f>
        <v/>
      </c>
    </row>
    <row r="88">
      <c r="A88" t="inlineStr">
        <is>
          <t>b02c89251106e1fdd9d92744be9f94f2</t>
        </is>
      </c>
      <c r="B88" s="29" t="n">
        <v>43203</v>
      </c>
      <c r="C88" t="inlineStr">
        <is>
          <t>2018-04</t>
        </is>
      </c>
      <c r="D88" t="inlineStr">
        <is>
          <t>b76ef37428e6799c421989521c0e5077</t>
        </is>
      </c>
      <c r="E88" t="inlineStr">
        <is>
          <t>unknown</t>
        </is>
      </c>
      <c r="F88">
        <f>IFERROR(MATCH(A88,Deals!$A$2:$A$843,0),"")</f>
        <v/>
      </c>
      <c r="G88">
        <f>IF(F88="",0,1)</f>
        <v/>
      </c>
      <c r="H88" s="29">
        <f>IF(F88="","",INDEX(Deals!$E$2:$E$843,F88))</f>
        <v/>
      </c>
      <c r="I88">
        <f>IF(F88="","",INDEX(Deals!$D$2:$D$843,F88))</f>
        <v/>
      </c>
      <c r="J88">
        <f>IF(F88="","",INT(H88)-B88)</f>
        <v/>
      </c>
      <c r="K88">
        <f>IF(B88&gt;=Settings!$C$5,1,0)</f>
        <v/>
      </c>
    </row>
    <row r="89">
      <c r="A89" t="inlineStr">
        <is>
          <t>56acc3070ab7205fcdb09ec5c8071dac</t>
        </is>
      </c>
      <c r="B89" s="29" t="n">
        <v>43024</v>
      </c>
      <c r="C89" t="inlineStr">
        <is>
          <t>2017-10</t>
        </is>
      </c>
      <c r="D89" t="inlineStr">
        <is>
          <t>c6f28f804cf6330e6de735ef6e6fe95c</t>
        </is>
      </c>
      <c r="E89" t="inlineStr">
        <is>
          <t>paid_search</t>
        </is>
      </c>
      <c r="F89">
        <f>IFERROR(MATCH(A89,Deals!$A$2:$A$843,0),"")</f>
        <v/>
      </c>
      <c r="G89">
        <f>IF(F89="",0,1)</f>
        <v/>
      </c>
      <c r="H89" s="29">
        <f>IF(F89="","",INDEX(Deals!$E$2:$E$843,F89))</f>
        <v/>
      </c>
      <c r="I89">
        <f>IF(F89="","",INDEX(Deals!$D$2:$D$843,F89))</f>
        <v/>
      </c>
      <c r="J89">
        <f>IF(F89="","",INT(H89)-B89)</f>
        <v/>
      </c>
      <c r="K89">
        <f>IF(B89&gt;=Settings!$C$5,1,0)</f>
        <v/>
      </c>
    </row>
    <row r="90">
      <c r="A90" t="inlineStr">
        <is>
          <t>3aab3d6ff7ff48ac335703d9125ad2a7</t>
        </is>
      </c>
      <c r="B90" s="29" t="n">
        <v>43063</v>
      </c>
      <c r="C90" t="inlineStr">
        <is>
          <t>2017-11</t>
        </is>
      </c>
      <c r="D90" t="inlineStr">
        <is>
          <t>1722481ac9e5371e5099dea226b5421d</t>
        </is>
      </c>
      <c r="E90" t="inlineStr">
        <is>
          <t>display</t>
        </is>
      </c>
      <c r="F90">
        <f>IFERROR(MATCH(A90,Deals!$A$2:$A$843,0),"")</f>
        <v/>
      </c>
      <c r="G90">
        <f>IF(F90="",0,1)</f>
        <v/>
      </c>
      <c r="H90" s="29">
        <f>IF(F90="","",INDEX(Deals!$E$2:$E$843,F90))</f>
        <v/>
      </c>
      <c r="I90">
        <f>IF(F90="","",INDEX(Deals!$D$2:$D$843,F90))</f>
        <v/>
      </c>
      <c r="J90">
        <f>IF(F90="","",INT(H90)-B90)</f>
        <v/>
      </c>
      <c r="K90">
        <f>IF(B90&gt;=Settings!$C$5,1,0)</f>
        <v/>
      </c>
    </row>
    <row r="91">
      <c r="A91" t="inlineStr">
        <is>
          <t>fc90ef8f569ff0eecfdc2c3860ee64a1</t>
        </is>
      </c>
      <c r="B91" s="29" t="n">
        <v>43183</v>
      </c>
      <c r="C91" t="inlineStr">
        <is>
          <t>2018-03</t>
        </is>
      </c>
      <c r="D91" t="inlineStr">
        <is>
          <t>007f9098284a86ee80ddeb25d53e0af8</t>
        </is>
      </c>
      <c r="E91" t="inlineStr">
        <is>
          <t>paid_search</t>
        </is>
      </c>
      <c r="F91">
        <f>IFERROR(MATCH(A91,Deals!$A$2:$A$843,0),"")</f>
        <v/>
      </c>
      <c r="G91">
        <f>IF(F91="",0,1)</f>
        <v/>
      </c>
      <c r="H91" s="29">
        <f>IF(F91="","",INDEX(Deals!$E$2:$E$843,F91))</f>
        <v/>
      </c>
      <c r="I91">
        <f>IF(F91="","",INDEX(Deals!$D$2:$D$843,F91))</f>
        <v/>
      </c>
      <c r="J91">
        <f>IF(F91="","",INT(H91)-B91)</f>
        <v/>
      </c>
      <c r="K91">
        <f>IF(B91&gt;=Settings!$C$5,1,0)</f>
        <v/>
      </c>
    </row>
    <row r="92">
      <c r="A92" t="inlineStr">
        <is>
          <t>e7a7ba56b1be30e178cd52820e063396</t>
        </is>
      </c>
      <c r="B92" s="29" t="n">
        <v>42993</v>
      </c>
      <c r="C92" t="inlineStr">
        <is>
          <t>2017-09</t>
        </is>
      </c>
      <c r="D92" t="inlineStr">
        <is>
          <t>007f9098284a86ee80ddeb25d53e0af8</t>
        </is>
      </c>
      <c r="E92" t="inlineStr">
        <is>
          <t>paid_search</t>
        </is>
      </c>
      <c r="F92">
        <f>IFERROR(MATCH(A92,Deals!$A$2:$A$843,0),"")</f>
        <v/>
      </c>
      <c r="G92">
        <f>IF(F92="",0,1)</f>
        <v/>
      </c>
      <c r="H92" s="29">
        <f>IF(F92="","",INDEX(Deals!$E$2:$E$843,F92))</f>
        <v/>
      </c>
      <c r="I92">
        <f>IF(F92="","",INDEX(Deals!$D$2:$D$843,F92))</f>
        <v/>
      </c>
      <c r="J92">
        <f>IF(F92="","",INT(H92)-B92)</f>
        <v/>
      </c>
      <c r="K92">
        <f>IF(B92&gt;=Settings!$C$5,1,0)</f>
        <v/>
      </c>
    </row>
    <row r="93">
      <c r="A93" t="inlineStr">
        <is>
          <t>16ff2a6adf8f3b8d2ec7bb6777eac8a0</t>
        </is>
      </c>
      <c r="B93" s="29" t="n">
        <v>43180</v>
      </c>
      <c r="C93" t="inlineStr">
        <is>
          <t>2018-03</t>
        </is>
      </c>
      <c r="D93" t="inlineStr">
        <is>
          <t>ce1a65abd0973638f1c887a6efcfa82d</t>
        </is>
      </c>
      <c r="E93" t="inlineStr">
        <is>
          <t>organic_search</t>
        </is>
      </c>
      <c r="F93">
        <f>IFERROR(MATCH(A93,Deals!$A$2:$A$843,0),"")</f>
        <v/>
      </c>
      <c r="G93">
        <f>IF(F93="",0,1)</f>
        <v/>
      </c>
      <c r="H93" s="29">
        <f>IF(F93="","",INDEX(Deals!$E$2:$E$843,F93))</f>
        <v/>
      </c>
      <c r="I93">
        <f>IF(F93="","",INDEX(Deals!$D$2:$D$843,F93))</f>
        <v/>
      </c>
      <c r="J93">
        <f>IF(F93="","",INT(H93)-B93)</f>
        <v/>
      </c>
      <c r="K93">
        <f>IF(B93&gt;=Settings!$C$5,1,0)</f>
        <v/>
      </c>
    </row>
    <row r="94">
      <c r="A94" t="inlineStr">
        <is>
          <t>65c6cd63f9c7a97d36b6648b1795f35e</t>
        </is>
      </c>
      <c r="B94" s="29" t="n">
        <v>43180</v>
      </c>
      <c r="C94" t="inlineStr">
        <is>
          <t>2018-03</t>
        </is>
      </c>
      <c r="D94" t="inlineStr">
        <is>
          <t>e492ee5eaf1697716985cc6f33f9cd9b</t>
        </is>
      </c>
      <c r="E94" t="inlineStr">
        <is>
          <t>organic_search</t>
        </is>
      </c>
      <c r="F94">
        <f>IFERROR(MATCH(A94,Deals!$A$2:$A$843,0),"")</f>
        <v/>
      </c>
      <c r="G94">
        <f>IF(F94="",0,1)</f>
        <v/>
      </c>
      <c r="H94" s="29">
        <f>IF(F94="","",INDEX(Deals!$E$2:$E$843,F94))</f>
        <v/>
      </c>
      <c r="I94">
        <f>IF(F94="","",INDEX(Deals!$D$2:$D$843,F94))</f>
        <v/>
      </c>
      <c r="J94">
        <f>IF(F94="","",INT(H94)-B94)</f>
        <v/>
      </c>
      <c r="K94">
        <f>IF(B94&gt;=Settings!$C$5,1,0)</f>
        <v/>
      </c>
    </row>
    <row r="95">
      <c r="A95" t="inlineStr">
        <is>
          <t>c24c47dd1b2e9aac64cab553d94a22d7</t>
        </is>
      </c>
      <c r="B95" s="29" t="n">
        <v>43101</v>
      </c>
      <c r="C95" t="inlineStr">
        <is>
          <t>2018-01</t>
        </is>
      </c>
      <c r="D95" t="inlineStr">
        <is>
          <t>40dec9f3d5259a3d2dbcdab2114fae47</t>
        </is>
      </c>
      <c r="E95" t="inlineStr">
        <is>
          <t>referral</t>
        </is>
      </c>
      <c r="F95">
        <f>IFERROR(MATCH(A95,Deals!$A$2:$A$843,0),"")</f>
        <v/>
      </c>
      <c r="G95">
        <f>IF(F95="",0,1)</f>
        <v/>
      </c>
      <c r="H95" s="29">
        <f>IF(F95="","",INDEX(Deals!$E$2:$E$843,F95))</f>
        <v/>
      </c>
      <c r="I95">
        <f>IF(F95="","",INDEX(Deals!$D$2:$D$843,F95))</f>
        <v/>
      </c>
      <c r="J95">
        <f>IF(F95="","",INT(H95)-B95)</f>
        <v/>
      </c>
      <c r="K95">
        <f>IF(B95&gt;=Settings!$C$5,1,0)</f>
        <v/>
      </c>
    </row>
    <row r="96">
      <c r="A96" t="inlineStr">
        <is>
          <t>e8520871e749a7ea9fb362d1805f28be</t>
        </is>
      </c>
      <c r="B96" s="29" t="n">
        <v>43179</v>
      </c>
      <c r="C96" t="inlineStr">
        <is>
          <t>2018-03</t>
        </is>
      </c>
      <c r="D96" t="inlineStr">
        <is>
          <t>65d9f9d71e562365e8b44037c2888d98</t>
        </is>
      </c>
      <c r="E96" t="inlineStr">
        <is>
          <t>direct_traffic</t>
        </is>
      </c>
      <c r="F96">
        <f>IFERROR(MATCH(A96,Deals!$A$2:$A$843,0),"")</f>
        <v/>
      </c>
      <c r="G96">
        <f>IF(F96="",0,1)</f>
        <v/>
      </c>
      <c r="H96" s="29">
        <f>IF(F96="","",INDEX(Deals!$E$2:$E$843,F96))</f>
        <v/>
      </c>
      <c r="I96">
        <f>IF(F96="","",INDEX(Deals!$D$2:$D$843,F96))</f>
        <v/>
      </c>
      <c r="J96">
        <f>IF(F96="","",INT(H96)-B96)</f>
        <v/>
      </c>
      <c r="K96">
        <f>IF(B96&gt;=Settings!$C$5,1,0)</f>
        <v/>
      </c>
    </row>
    <row r="97">
      <c r="A97" t="inlineStr">
        <is>
          <t>f56fd81299f45d30fae410987983d000</t>
        </is>
      </c>
      <c r="B97" s="29" t="n">
        <v>43055</v>
      </c>
      <c r="C97" t="inlineStr">
        <is>
          <t>2017-11</t>
        </is>
      </c>
      <c r="D97" t="inlineStr">
        <is>
          <t>ce1a65abd0973638f1c887a6efcfa82d</t>
        </is>
      </c>
      <c r="E97" t="inlineStr">
        <is>
          <t>organic_search</t>
        </is>
      </c>
      <c r="F97">
        <f>IFERROR(MATCH(A97,Deals!$A$2:$A$843,0),"")</f>
        <v/>
      </c>
      <c r="G97">
        <f>IF(F97="",0,1)</f>
        <v/>
      </c>
      <c r="H97" s="29">
        <f>IF(F97="","",INDEX(Deals!$E$2:$E$843,F97))</f>
        <v/>
      </c>
      <c r="I97">
        <f>IF(F97="","",INDEX(Deals!$D$2:$D$843,F97))</f>
        <v/>
      </c>
      <c r="J97">
        <f>IF(F97="","",INT(H97)-B97)</f>
        <v/>
      </c>
      <c r="K97">
        <f>IF(B97&gt;=Settings!$C$5,1,0)</f>
        <v/>
      </c>
    </row>
    <row r="98">
      <c r="A98" t="inlineStr">
        <is>
          <t>c1ca185ea0fad2ac9c1e9bf8e21c793e</t>
        </is>
      </c>
      <c r="B98" s="29" t="n">
        <v>43210</v>
      </c>
      <c r="C98" t="inlineStr">
        <is>
          <t>2018-04</t>
        </is>
      </c>
      <c r="D98" t="inlineStr">
        <is>
          <t>ce1a65abd0973638f1c887a6efcfa82d</t>
        </is>
      </c>
      <c r="E98" t="inlineStr">
        <is>
          <t>organic_search</t>
        </is>
      </c>
      <c r="F98">
        <f>IFERROR(MATCH(A98,Deals!$A$2:$A$843,0),"")</f>
        <v/>
      </c>
      <c r="G98">
        <f>IF(F98="",0,1)</f>
        <v/>
      </c>
      <c r="H98" s="29">
        <f>IF(F98="","",INDEX(Deals!$E$2:$E$843,F98))</f>
        <v/>
      </c>
      <c r="I98">
        <f>IF(F98="","",INDEX(Deals!$D$2:$D$843,F98))</f>
        <v/>
      </c>
      <c r="J98">
        <f>IF(F98="","",INT(H98)-B98)</f>
        <v/>
      </c>
      <c r="K98">
        <f>IF(B98&gt;=Settings!$C$5,1,0)</f>
        <v/>
      </c>
    </row>
    <row r="99">
      <c r="A99" t="inlineStr">
        <is>
          <t>9078bbd890a90f1aa3c5e8d972394eb6</t>
        </is>
      </c>
      <c r="B99" s="29" t="n">
        <v>43234</v>
      </c>
      <c r="C99" t="inlineStr">
        <is>
          <t>2018-05</t>
        </is>
      </c>
      <c r="D99" t="inlineStr">
        <is>
          <t>a7982125ff7aa3b2054c6e44f9d28522</t>
        </is>
      </c>
      <c r="E99" t="inlineStr">
        <is>
          <t>display</t>
        </is>
      </c>
      <c r="F99">
        <f>IFERROR(MATCH(A99,Deals!$A$2:$A$843,0),"")</f>
        <v/>
      </c>
      <c r="G99">
        <f>IF(F99="",0,1)</f>
        <v/>
      </c>
      <c r="H99" s="29">
        <f>IF(F99="","",INDEX(Deals!$E$2:$E$843,F99))</f>
        <v/>
      </c>
      <c r="I99">
        <f>IF(F99="","",INDEX(Deals!$D$2:$D$843,F99))</f>
        <v/>
      </c>
      <c r="J99">
        <f>IF(F99="","",INT(H99)-B99)</f>
        <v/>
      </c>
      <c r="K99">
        <f>IF(B99&gt;=Settings!$C$5,1,0)</f>
        <v/>
      </c>
    </row>
    <row r="100">
      <c r="A100" t="inlineStr">
        <is>
          <t>a90a37898cc5f2718385a2fb981caaff</t>
        </is>
      </c>
      <c r="B100" s="29" t="n">
        <v>43217</v>
      </c>
      <c r="C100" t="inlineStr">
        <is>
          <t>2018-04</t>
        </is>
      </c>
      <c r="D100" t="inlineStr">
        <is>
          <t>58326e62183c14b0c03085c33b9fdc44</t>
        </is>
      </c>
      <c r="E100" t="inlineStr">
        <is>
          <t>social</t>
        </is>
      </c>
      <c r="F100">
        <f>IFERROR(MATCH(A100,Deals!$A$2:$A$843,0),"")</f>
        <v/>
      </c>
      <c r="G100">
        <f>IF(F100="",0,1)</f>
        <v/>
      </c>
      <c r="H100" s="29">
        <f>IF(F100="","",INDEX(Deals!$E$2:$E$843,F100))</f>
        <v/>
      </c>
      <c r="I100">
        <f>IF(F100="","",INDEX(Deals!$D$2:$D$843,F100))</f>
        <v/>
      </c>
      <c r="J100">
        <f>IF(F100="","",INT(H100)-B100)</f>
        <v/>
      </c>
      <c r="K100">
        <f>IF(B100&gt;=Settings!$C$5,1,0)</f>
        <v/>
      </c>
    </row>
    <row r="101">
      <c r="A101" t="inlineStr">
        <is>
          <t>2f384466a8f3cc12bbd45d984ff77765</t>
        </is>
      </c>
      <c r="B101" s="29" t="n">
        <v>43173</v>
      </c>
      <c r="C101" t="inlineStr">
        <is>
          <t>2018-03</t>
        </is>
      </c>
      <c r="D101" t="inlineStr">
        <is>
          <t>b76ef37428e6799c421989521c0e5077</t>
        </is>
      </c>
      <c r="E101" t="inlineStr">
        <is>
          <t>unknown</t>
        </is>
      </c>
      <c r="F101">
        <f>IFERROR(MATCH(A101,Deals!$A$2:$A$843,0),"")</f>
        <v/>
      </c>
      <c r="G101">
        <f>IF(F101="",0,1)</f>
        <v/>
      </c>
      <c r="H101" s="29">
        <f>IF(F101="","",INDEX(Deals!$E$2:$E$843,F101))</f>
        <v/>
      </c>
      <c r="I101">
        <f>IF(F101="","",INDEX(Deals!$D$2:$D$843,F101))</f>
        <v/>
      </c>
      <c r="J101">
        <f>IF(F101="","",INT(H101)-B101)</f>
        <v/>
      </c>
      <c r="K101">
        <f>IF(B101&gt;=Settings!$C$5,1,0)</f>
        <v/>
      </c>
    </row>
    <row r="102">
      <c r="A102" t="inlineStr">
        <is>
          <t>f63d6b3e439d2ef66cf77266122a88bf</t>
        </is>
      </c>
      <c r="B102" s="29" t="n">
        <v>43194</v>
      </c>
      <c r="C102" t="inlineStr">
        <is>
          <t>2018-04</t>
        </is>
      </c>
      <c r="D102" t="inlineStr">
        <is>
          <t>22c29808c4f815213303f8933030604c</t>
        </is>
      </c>
      <c r="E102" t="inlineStr">
        <is>
          <t>organic_search</t>
        </is>
      </c>
      <c r="F102">
        <f>IFERROR(MATCH(A102,Deals!$A$2:$A$843,0),"")</f>
        <v/>
      </c>
      <c r="G102">
        <f>IF(F102="",0,1)</f>
        <v/>
      </c>
      <c r="H102" s="29">
        <f>IF(F102="","",INDEX(Deals!$E$2:$E$843,F102))</f>
        <v/>
      </c>
      <c r="I102">
        <f>IF(F102="","",INDEX(Deals!$D$2:$D$843,F102))</f>
        <v/>
      </c>
      <c r="J102">
        <f>IF(F102="","",INT(H102)-B102)</f>
        <v/>
      </c>
      <c r="K102">
        <f>IF(B102&gt;=Settings!$C$5,1,0)</f>
        <v/>
      </c>
    </row>
    <row r="103">
      <c r="A103" t="inlineStr">
        <is>
          <t>5afa3c562f5bf2eff62de390e531c25d</t>
        </is>
      </c>
      <c r="B103" s="29" t="n">
        <v>42924</v>
      </c>
      <c r="C103" t="inlineStr">
        <is>
          <t>2017-07</t>
        </is>
      </c>
      <c r="D103" t="inlineStr">
        <is>
          <t>65d9f9d71e562365e8b44037c2888d98</t>
        </is>
      </c>
      <c r="E103" t="inlineStr">
        <is>
          <t>paid_search</t>
        </is>
      </c>
      <c r="F103">
        <f>IFERROR(MATCH(A103,Deals!$A$2:$A$843,0),"")</f>
        <v/>
      </c>
      <c r="G103">
        <f>IF(F103="",0,1)</f>
        <v/>
      </c>
      <c r="H103" s="29">
        <f>IF(F103="","",INDEX(Deals!$E$2:$E$843,F103))</f>
        <v/>
      </c>
      <c r="I103">
        <f>IF(F103="","",INDEX(Deals!$D$2:$D$843,F103))</f>
        <v/>
      </c>
      <c r="J103">
        <f>IF(F103="","",INT(H103)-B103)</f>
        <v/>
      </c>
      <c r="K103">
        <f>IF(B103&gt;=Settings!$C$5,1,0)</f>
        <v/>
      </c>
    </row>
    <row r="104">
      <c r="A104" t="inlineStr">
        <is>
          <t>943344b5f592e157b66b4b2c6843b301</t>
        </is>
      </c>
      <c r="B104" s="29" t="n">
        <v>43137</v>
      </c>
      <c r="C104" t="inlineStr">
        <is>
          <t>2018-02</t>
        </is>
      </c>
      <c r="D104" t="inlineStr">
        <is>
          <t>e492ee5eaf1697716985cc6f33f9cd9b</t>
        </is>
      </c>
      <c r="E104" t="inlineStr">
        <is>
          <t>organic_search</t>
        </is>
      </c>
      <c r="F104">
        <f>IFERROR(MATCH(A104,Deals!$A$2:$A$843,0),"")</f>
        <v/>
      </c>
      <c r="G104">
        <f>IF(F104="",0,1)</f>
        <v/>
      </c>
      <c r="H104" s="29">
        <f>IF(F104="","",INDEX(Deals!$E$2:$E$843,F104))</f>
        <v/>
      </c>
      <c r="I104">
        <f>IF(F104="","",INDEX(Deals!$D$2:$D$843,F104))</f>
        <v/>
      </c>
      <c r="J104">
        <f>IF(F104="","",INT(H104)-B104)</f>
        <v/>
      </c>
      <c r="K104">
        <f>IF(B104&gt;=Settings!$C$5,1,0)</f>
        <v/>
      </c>
    </row>
    <row r="105">
      <c r="A105" t="inlineStr">
        <is>
          <t>13602f4cdec52bd97a46254441b3388d</t>
        </is>
      </c>
      <c r="B105" s="29" t="n">
        <v>43235</v>
      </c>
      <c r="C105" t="inlineStr">
        <is>
          <t>2018-05</t>
        </is>
      </c>
      <c r="D105" t="inlineStr">
        <is>
          <t>f017be4dbf86243af5c1ebed0cff36a2</t>
        </is>
      </c>
      <c r="E105" t="inlineStr">
        <is>
          <t>other_publicities</t>
        </is>
      </c>
      <c r="F105">
        <f>IFERROR(MATCH(A105,Deals!$A$2:$A$843,0),"")</f>
        <v/>
      </c>
      <c r="G105">
        <f>IF(F105="",0,1)</f>
        <v/>
      </c>
      <c r="H105" s="29">
        <f>IF(F105="","",INDEX(Deals!$E$2:$E$843,F105))</f>
        <v/>
      </c>
      <c r="I105">
        <f>IF(F105="","",INDEX(Deals!$D$2:$D$843,F105))</f>
        <v/>
      </c>
      <c r="J105">
        <f>IF(F105="","",INT(H105)-B105)</f>
        <v/>
      </c>
      <c r="K105">
        <f>IF(B105&gt;=Settings!$C$5,1,0)</f>
        <v/>
      </c>
    </row>
    <row r="106">
      <c r="A106" t="inlineStr">
        <is>
          <t>463c7558d4ac8301f0a761f91354aad2</t>
        </is>
      </c>
      <c r="B106" s="29" t="n">
        <v>43047</v>
      </c>
      <c r="C106" t="inlineStr">
        <is>
          <t>2017-11</t>
        </is>
      </c>
      <c r="D106" t="inlineStr">
        <is>
          <t>f98c2bd96ac4a5d9476734e790c91384</t>
        </is>
      </c>
      <c r="E106" t="inlineStr">
        <is>
          <t>unknown</t>
        </is>
      </c>
      <c r="F106">
        <f>IFERROR(MATCH(A106,Deals!$A$2:$A$843,0),"")</f>
        <v/>
      </c>
      <c r="G106">
        <f>IF(F106="",0,1)</f>
        <v/>
      </c>
      <c r="H106" s="29">
        <f>IF(F106="","",INDEX(Deals!$E$2:$E$843,F106))</f>
        <v/>
      </c>
      <c r="I106">
        <f>IF(F106="","",INDEX(Deals!$D$2:$D$843,F106))</f>
        <v/>
      </c>
      <c r="J106">
        <f>IF(F106="","",INT(H106)-B106)</f>
        <v/>
      </c>
      <c r="K106">
        <f>IF(B106&gt;=Settings!$C$5,1,0)</f>
        <v/>
      </c>
    </row>
    <row r="107">
      <c r="A107" t="inlineStr">
        <is>
          <t>4ab9470d39a8977d187d3798564676b3</t>
        </is>
      </c>
      <c r="B107" s="29" t="n">
        <v>43216</v>
      </c>
      <c r="C107" t="inlineStr">
        <is>
          <t>2018-04</t>
        </is>
      </c>
      <c r="D107" t="inlineStr">
        <is>
          <t>e492ee5eaf1697716985cc6f33f9cd9b</t>
        </is>
      </c>
      <c r="E107" t="inlineStr">
        <is>
          <t>organic_search</t>
        </is>
      </c>
      <c r="F107">
        <f>IFERROR(MATCH(A107,Deals!$A$2:$A$843,0),"")</f>
        <v/>
      </c>
      <c r="G107">
        <f>IF(F107="",0,1)</f>
        <v/>
      </c>
      <c r="H107" s="29">
        <f>IF(F107="","",INDEX(Deals!$E$2:$E$843,F107))</f>
        <v/>
      </c>
      <c r="I107">
        <f>IF(F107="","",INDEX(Deals!$D$2:$D$843,F107))</f>
        <v/>
      </c>
      <c r="J107">
        <f>IF(F107="","",INT(H107)-B107)</f>
        <v/>
      </c>
      <c r="K107">
        <f>IF(B107&gt;=Settings!$C$5,1,0)</f>
        <v/>
      </c>
    </row>
    <row r="108">
      <c r="A108" t="inlineStr">
        <is>
          <t>2dbebc911a1207004e14e56b7a083fc6</t>
        </is>
      </c>
      <c r="B108" s="29" t="n">
        <v>43216</v>
      </c>
      <c r="C108" t="inlineStr">
        <is>
          <t>2018-04</t>
        </is>
      </c>
      <c r="D108" t="inlineStr">
        <is>
          <t>f017be4dbf86243af5c1ebed0cff36a2</t>
        </is>
      </c>
      <c r="E108" t="inlineStr">
        <is>
          <t>organic_search</t>
        </is>
      </c>
      <c r="F108">
        <f>IFERROR(MATCH(A108,Deals!$A$2:$A$843,0),"")</f>
        <v/>
      </c>
      <c r="G108">
        <f>IF(F108="",0,1)</f>
        <v/>
      </c>
      <c r="H108" s="29">
        <f>IF(F108="","",INDEX(Deals!$E$2:$E$843,F108))</f>
        <v/>
      </c>
      <c r="I108">
        <f>IF(F108="","",INDEX(Deals!$D$2:$D$843,F108))</f>
        <v/>
      </c>
      <c r="J108">
        <f>IF(F108="","",INT(H108)-B108)</f>
        <v/>
      </c>
      <c r="K108">
        <f>IF(B108&gt;=Settings!$C$5,1,0)</f>
        <v/>
      </c>
    </row>
    <row r="109">
      <c r="A109" t="inlineStr">
        <is>
          <t>955ae0c84845908d3b53f191436ec1f1</t>
        </is>
      </c>
      <c r="B109" s="29" t="n">
        <v>43217</v>
      </c>
      <c r="C109" t="inlineStr">
        <is>
          <t>2018-04</t>
        </is>
      </c>
      <c r="D109" t="inlineStr">
        <is>
          <t>30534107aa0013db92899c96a1017d0b</t>
        </is>
      </c>
      <c r="E109" t="inlineStr">
        <is>
          <t>social</t>
        </is>
      </c>
      <c r="F109">
        <f>IFERROR(MATCH(A109,Deals!$A$2:$A$843,0),"")</f>
        <v/>
      </c>
      <c r="G109">
        <f>IF(F109="",0,1)</f>
        <v/>
      </c>
      <c r="H109" s="29">
        <f>IF(F109="","",INDEX(Deals!$E$2:$E$843,F109))</f>
        <v/>
      </c>
      <c r="I109">
        <f>IF(F109="","",INDEX(Deals!$D$2:$D$843,F109))</f>
        <v/>
      </c>
      <c r="J109">
        <f>IF(F109="","",INT(H109)-B109)</f>
        <v/>
      </c>
      <c r="K109">
        <f>IF(B109&gt;=Settings!$C$5,1,0)</f>
        <v/>
      </c>
    </row>
    <row r="110">
      <c r="A110" t="inlineStr">
        <is>
          <t>4ce4011e6bdfd15319697206ae16ea7f</t>
        </is>
      </c>
      <c r="B110" s="29" t="n">
        <v>43108</v>
      </c>
      <c r="C110" t="inlineStr">
        <is>
          <t>2018-01</t>
        </is>
      </c>
      <c r="D110" t="inlineStr">
        <is>
          <t>99b00c6e27db383d844d1763dbcbfe06</t>
        </is>
      </c>
      <c r="E110" t="inlineStr">
        <is>
          <t>organic_search</t>
        </is>
      </c>
      <c r="F110">
        <f>IFERROR(MATCH(A110,Deals!$A$2:$A$843,0),"")</f>
        <v/>
      </c>
      <c r="G110">
        <f>IF(F110="",0,1)</f>
        <v/>
      </c>
      <c r="H110" s="29">
        <f>IF(F110="","",INDEX(Deals!$E$2:$E$843,F110))</f>
        <v/>
      </c>
      <c r="I110">
        <f>IF(F110="","",INDEX(Deals!$D$2:$D$843,F110))</f>
        <v/>
      </c>
      <c r="J110">
        <f>IF(F110="","",INT(H110)-B110)</f>
        <v/>
      </c>
      <c r="K110">
        <f>IF(B110&gt;=Settings!$C$5,1,0)</f>
        <v/>
      </c>
    </row>
    <row r="111">
      <c r="A111" t="inlineStr">
        <is>
          <t>f5a6556225bb4e85ce5be5dda9d05b8a</t>
        </is>
      </c>
      <c r="B111" s="29" t="n">
        <v>43213</v>
      </c>
      <c r="C111" t="inlineStr">
        <is>
          <t>2018-04</t>
        </is>
      </c>
      <c r="D111" t="inlineStr">
        <is>
          <t>40dec9f3d5259a3d2dbcdab2114fae47</t>
        </is>
      </c>
      <c r="E111" t="inlineStr">
        <is>
          <t>paid_search</t>
        </is>
      </c>
      <c r="F111">
        <f>IFERROR(MATCH(A111,Deals!$A$2:$A$843,0),"")</f>
        <v/>
      </c>
      <c r="G111">
        <f>IF(F111="",0,1)</f>
        <v/>
      </c>
      <c r="H111" s="29">
        <f>IF(F111="","",INDEX(Deals!$E$2:$E$843,F111))</f>
        <v/>
      </c>
      <c r="I111">
        <f>IF(F111="","",INDEX(Deals!$D$2:$D$843,F111))</f>
        <v/>
      </c>
      <c r="J111">
        <f>IF(F111="","",INT(H111)-B111)</f>
        <v/>
      </c>
      <c r="K111">
        <f>IF(B111&gt;=Settings!$C$5,1,0)</f>
        <v/>
      </c>
    </row>
    <row r="112">
      <c r="A112" t="inlineStr">
        <is>
          <t>0173e8d8b1d94a355b440fb67388f532</t>
        </is>
      </c>
      <c r="B112" s="29" t="n">
        <v>43026</v>
      </c>
      <c r="C112" t="inlineStr">
        <is>
          <t>2017-10</t>
        </is>
      </c>
      <c r="D112" t="inlineStr">
        <is>
          <t>007f9098284a86ee80ddeb25d53e0af8</t>
        </is>
      </c>
      <c r="E112" t="inlineStr">
        <is>
          <t>paid_search</t>
        </is>
      </c>
      <c r="F112">
        <f>IFERROR(MATCH(A112,Deals!$A$2:$A$843,0),"")</f>
        <v/>
      </c>
      <c r="G112">
        <f>IF(F112="",0,1)</f>
        <v/>
      </c>
      <c r="H112" s="29">
        <f>IF(F112="","",INDEX(Deals!$E$2:$E$843,F112))</f>
        <v/>
      </c>
      <c r="I112">
        <f>IF(F112="","",INDEX(Deals!$D$2:$D$843,F112))</f>
        <v/>
      </c>
      <c r="J112">
        <f>IF(F112="","",INT(H112)-B112)</f>
        <v/>
      </c>
      <c r="K112">
        <f>IF(B112&gt;=Settings!$C$5,1,0)</f>
        <v/>
      </c>
    </row>
    <row r="113">
      <c r="A113" t="inlineStr">
        <is>
          <t>04e85c80a49b7b5a54537facf38a28b8</t>
        </is>
      </c>
      <c r="B113" s="29" t="n">
        <v>43034</v>
      </c>
      <c r="C113" t="inlineStr">
        <is>
          <t>2017-10</t>
        </is>
      </c>
      <c r="D113" t="inlineStr">
        <is>
          <t>88740e65d5d6b056e0cda098e1ea6313</t>
        </is>
      </c>
      <c r="E113" t="inlineStr">
        <is>
          <t>social</t>
        </is>
      </c>
      <c r="F113">
        <f>IFERROR(MATCH(A113,Deals!$A$2:$A$843,0),"")</f>
        <v/>
      </c>
      <c r="G113">
        <f>IF(F113="",0,1)</f>
        <v/>
      </c>
      <c r="H113" s="29">
        <f>IF(F113="","",INDEX(Deals!$E$2:$E$843,F113))</f>
        <v/>
      </c>
      <c r="I113">
        <f>IF(F113="","",INDEX(Deals!$D$2:$D$843,F113))</f>
        <v/>
      </c>
      <c r="J113">
        <f>IF(F113="","",INT(H113)-B113)</f>
        <v/>
      </c>
      <c r="K113">
        <f>IF(B113&gt;=Settings!$C$5,1,0)</f>
        <v/>
      </c>
    </row>
    <row r="114">
      <c r="A114" t="inlineStr">
        <is>
          <t>af2de23c98a456d8fe1171e3e0395e32</t>
        </is>
      </c>
      <c r="B114" s="29" t="n">
        <v>43222</v>
      </c>
      <c r="C114" t="inlineStr">
        <is>
          <t>2018-05</t>
        </is>
      </c>
      <c r="D114" t="inlineStr">
        <is>
          <t>f017be4dbf86243af5c1ebed0cff36a2</t>
        </is>
      </c>
      <c r="E114" t="inlineStr">
        <is>
          <t>organic_search</t>
        </is>
      </c>
      <c r="F114">
        <f>IFERROR(MATCH(A114,Deals!$A$2:$A$843,0),"")</f>
        <v/>
      </c>
      <c r="G114">
        <f>IF(F114="",0,1)</f>
        <v/>
      </c>
      <c r="H114" s="29">
        <f>IF(F114="","",INDEX(Deals!$E$2:$E$843,F114))</f>
        <v/>
      </c>
      <c r="I114">
        <f>IF(F114="","",INDEX(Deals!$D$2:$D$843,F114))</f>
        <v/>
      </c>
      <c r="J114">
        <f>IF(F114="","",INT(H114)-B114)</f>
        <v/>
      </c>
      <c r="K114">
        <f>IF(B114&gt;=Settings!$C$5,1,0)</f>
        <v/>
      </c>
    </row>
    <row r="115">
      <c r="A115" t="inlineStr">
        <is>
          <t>a1950012395742fd71f4fdd4cba9414e</t>
        </is>
      </c>
      <c r="B115" s="29" t="n">
        <v>42969</v>
      </c>
      <c r="C115" t="inlineStr">
        <is>
          <t>2017-08</t>
        </is>
      </c>
      <c r="D115" t="inlineStr">
        <is>
          <t>8a003712c92f483cef1dcb70635ebc7a</t>
        </is>
      </c>
      <c r="E115" t="inlineStr">
        <is>
          <t>email</t>
        </is>
      </c>
      <c r="F115">
        <f>IFERROR(MATCH(A115,Deals!$A$2:$A$843,0),"")</f>
        <v/>
      </c>
      <c r="G115">
        <f>IF(F115="",0,1)</f>
        <v/>
      </c>
      <c r="H115" s="29">
        <f>IF(F115="","",INDEX(Deals!$E$2:$E$843,F115))</f>
        <v/>
      </c>
      <c r="I115">
        <f>IF(F115="","",INDEX(Deals!$D$2:$D$843,F115))</f>
        <v/>
      </c>
      <c r="J115">
        <f>IF(F115="","",INT(H115)-B115)</f>
        <v/>
      </c>
      <c r="K115">
        <f>IF(B115&gt;=Settings!$C$5,1,0)</f>
        <v/>
      </c>
    </row>
    <row r="116">
      <c r="A116" t="inlineStr">
        <is>
          <t>2538ccba4cdbde6974a7a6a61c7d8f24</t>
        </is>
      </c>
      <c r="B116" s="29" t="n">
        <v>43192</v>
      </c>
      <c r="C116" t="inlineStr">
        <is>
          <t>2018-04</t>
        </is>
      </c>
      <c r="D116" t="inlineStr">
        <is>
          <t>01850876d34b43494b5f9879c366877b</t>
        </is>
      </c>
      <c r="E116" t="inlineStr">
        <is>
          <t>unknown</t>
        </is>
      </c>
      <c r="F116">
        <f>IFERROR(MATCH(A116,Deals!$A$2:$A$843,0),"")</f>
        <v/>
      </c>
      <c r="G116">
        <f>IF(F116="",0,1)</f>
        <v/>
      </c>
      <c r="H116" s="29">
        <f>IF(F116="","",INDEX(Deals!$E$2:$E$843,F116))</f>
        <v/>
      </c>
      <c r="I116">
        <f>IF(F116="","",INDEX(Deals!$D$2:$D$843,F116))</f>
        <v/>
      </c>
      <c r="J116">
        <f>IF(F116="","",INT(H116)-B116)</f>
        <v/>
      </c>
      <c r="K116">
        <f>IF(B116&gt;=Settings!$C$5,1,0)</f>
        <v/>
      </c>
    </row>
    <row r="117">
      <c r="A117" t="inlineStr">
        <is>
          <t>95fcfe6012d7851f874cde5d3cb7e980</t>
        </is>
      </c>
      <c r="B117" s="29" t="n">
        <v>43117</v>
      </c>
      <c r="C117" t="inlineStr">
        <is>
          <t>2018-01</t>
        </is>
      </c>
      <c r="D117" t="inlineStr">
        <is>
          <t>864a3926849a5f8043323b1a6ef0fb26</t>
        </is>
      </c>
      <c r="E117" t="inlineStr">
        <is>
          <t>paid_search</t>
        </is>
      </c>
      <c r="F117">
        <f>IFERROR(MATCH(A117,Deals!$A$2:$A$843,0),"")</f>
        <v/>
      </c>
      <c r="G117">
        <f>IF(F117="",0,1)</f>
        <v/>
      </c>
      <c r="H117" s="29">
        <f>IF(F117="","",INDEX(Deals!$E$2:$E$843,F117))</f>
        <v/>
      </c>
      <c r="I117">
        <f>IF(F117="","",INDEX(Deals!$D$2:$D$843,F117))</f>
        <v/>
      </c>
      <c r="J117">
        <f>IF(F117="","",INT(H117)-B117)</f>
        <v/>
      </c>
      <c r="K117">
        <f>IF(B117&gt;=Settings!$C$5,1,0)</f>
        <v/>
      </c>
    </row>
    <row r="118">
      <c r="A118" t="inlineStr">
        <is>
          <t>065940d7612634b4e81f593f6ce19418</t>
        </is>
      </c>
      <c r="B118" s="29" t="n">
        <v>43127</v>
      </c>
      <c r="C118" t="inlineStr">
        <is>
          <t>2018-01</t>
        </is>
      </c>
      <c r="D118" t="inlineStr">
        <is>
          <t>40dec9f3d5259a3d2dbcdab2114fae47</t>
        </is>
      </c>
      <c r="E118" t="inlineStr">
        <is>
          <t>paid_search</t>
        </is>
      </c>
      <c r="F118">
        <f>IFERROR(MATCH(A118,Deals!$A$2:$A$843,0),"")</f>
        <v/>
      </c>
      <c r="G118">
        <f>IF(F118="",0,1)</f>
        <v/>
      </c>
      <c r="H118" s="29">
        <f>IF(F118="","",INDEX(Deals!$E$2:$E$843,F118))</f>
        <v/>
      </c>
      <c r="I118">
        <f>IF(F118="","",INDEX(Deals!$D$2:$D$843,F118))</f>
        <v/>
      </c>
      <c r="J118">
        <f>IF(F118="","",INT(H118)-B118)</f>
        <v/>
      </c>
      <c r="K118">
        <f>IF(B118&gt;=Settings!$C$5,1,0)</f>
        <v/>
      </c>
    </row>
    <row r="119">
      <c r="A119" t="inlineStr">
        <is>
          <t>d802a3e63c700493242d9d104389c7df</t>
        </is>
      </c>
      <c r="B119" s="29" t="n">
        <v>42990</v>
      </c>
      <c r="C119" t="inlineStr">
        <is>
          <t>2017-09</t>
        </is>
      </c>
      <c r="D119" t="inlineStr">
        <is>
          <t>6323b8a5b98bfda127cb1cdfd4a40fbb</t>
        </is>
      </c>
      <c r="E119" t="inlineStr">
        <is>
          <t>email</t>
        </is>
      </c>
      <c r="F119">
        <f>IFERROR(MATCH(A119,Deals!$A$2:$A$843,0),"")</f>
        <v/>
      </c>
      <c r="G119">
        <f>IF(F119="",0,1)</f>
        <v/>
      </c>
      <c r="H119" s="29">
        <f>IF(F119="","",INDEX(Deals!$E$2:$E$843,F119))</f>
        <v/>
      </c>
      <c r="I119">
        <f>IF(F119="","",INDEX(Deals!$D$2:$D$843,F119))</f>
        <v/>
      </c>
      <c r="J119">
        <f>IF(F119="","",INT(H119)-B119)</f>
        <v/>
      </c>
      <c r="K119">
        <f>IF(B119&gt;=Settings!$C$5,1,0)</f>
        <v/>
      </c>
    </row>
    <row r="120">
      <c r="A120" t="inlineStr">
        <is>
          <t>309eabc665c773760a1c0e4e318df2ad</t>
        </is>
      </c>
      <c r="B120" s="29" t="n">
        <v>43219</v>
      </c>
      <c r="C120" t="inlineStr">
        <is>
          <t>2018-04</t>
        </is>
      </c>
      <c r="D120" t="inlineStr">
        <is>
          <t>22c29808c4f815213303f8933030604c</t>
        </is>
      </c>
      <c r="E120" t="inlineStr">
        <is>
          <t>organic_search</t>
        </is>
      </c>
      <c r="F120">
        <f>IFERROR(MATCH(A120,Deals!$A$2:$A$843,0),"")</f>
        <v/>
      </c>
      <c r="G120">
        <f>IF(F120="",0,1)</f>
        <v/>
      </c>
      <c r="H120" s="29">
        <f>IF(F120="","",INDEX(Deals!$E$2:$E$843,F120))</f>
        <v/>
      </c>
      <c r="I120">
        <f>IF(F120="","",INDEX(Deals!$D$2:$D$843,F120))</f>
        <v/>
      </c>
      <c r="J120">
        <f>IF(F120="","",INT(H120)-B120)</f>
        <v/>
      </c>
      <c r="K120">
        <f>IF(B120&gt;=Settings!$C$5,1,0)</f>
        <v/>
      </c>
    </row>
    <row r="121">
      <c r="A121" t="inlineStr">
        <is>
          <t>71d54f4b09795d02cbc6959c1145e886</t>
        </is>
      </c>
      <c r="B121" s="29" t="n">
        <v>42930</v>
      </c>
      <c r="C121" t="inlineStr">
        <is>
          <t>2017-07</t>
        </is>
      </c>
      <c r="D121" t="inlineStr">
        <is>
          <t>5ce25abc7206b8285aa756867eb2c590</t>
        </is>
      </c>
      <c r="E121" t="inlineStr">
        <is>
          <t>display</t>
        </is>
      </c>
      <c r="F121">
        <f>IFERROR(MATCH(A121,Deals!$A$2:$A$843,0),"")</f>
        <v/>
      </c>
      <c r="G121">
        <f>IF(F121="",0,1)</f>
        <v/>
      </c>
      <c r="H121" s="29">
        <f>IF(F121="","",INDEX(Deals!$E$2:$E$843,F121))</f>
        <v/>
      </c>
      <c r="I121">
        <f>IF(F121="","",INDEX(Deals!$D$2:$D$843,F121))</f>
        <v/>
      </c>
      <c r="J121">
        <f>IF(F121="","",INT(H121)-B121)</f>
        <v/>
      </c>
      <c r="K121">
        <f>IF(B121&gt;=Settings!$C$5,1,0)</f>
        <v/>
      </c>
    </row>
    <row r="122">
      <c r="A122" t="inlineStr">
        <is>
          <t>42c089a7e6899fe52a40bbbf7148e4e2</t>
        </is>
      </c>
      <c r="B122" s="29" t="n">
        <v>43063</v>
      </c>
      <c r="C122" t="inlineStr">
        <is>
          <t>2017-11</t>
        </is>
      </c>
      <c r="D122" t="inlineStr">
        <is>
          <t>1722481ac9e5371e5099dea226b5421d</t>
        </is>
      </c>
      <c r="E122" t="inlineStr">
        <is>
          <t>organic_search</t>
        </is>
      </c>
      <c r="F122">
        <f>IFERROR(MATCH(A122,Deals!$A$2:$A$843,0),"")</f>
        <v/>
      </c>
      <c r="G122">
        <f>IF(F122="",0,1)</f>
        <v/>
      </c>
      <c r="H122" s="29">
        <f>IF(F122="","",INDEX(Deals!$E$2:$E$843,F122))</f>
        <v/>
      </c>
      <c r="I122">
        <f>IF(F122="","",INDEX(Deals!$D$2:$D$843,F122))</f>
        <v/>
      </c>
      <c r="J122">
        <f>IF(F122="","",INT(H122)-B122)</f>
        <v/>
      </c>
      <c r="K122">
        <f>IF(B122&gt;=Settings!$C$5,1,0)</f>
        <v/>
      </c>
    </row>
    <row r="123">
      <c r="A123" t="inlineStr">
        <is>
          <t>232049f5aff15800ce41a9a7c4cf6730</t>
        </is>
      </c>
      <c r="B123" s="29" t="n">
        <v>43152</v>
      </c>
      <c r="C123" t="inlineStr">
        <is>
          <t>2018-02</t>
        </is>
      </c>
      <c r="D123" t="inlineStr">
        <is>
          <t>22c29808c4f815213303f8933030604c</t>
        </is>
      </c>
      <c r="E123" t="inlineStr">
        <is>
          <t>social</t>
        </is>
      </c>
      <c r="F123">
        <f>IFERROR(MATCH(A123,Deals!$A$2:$A$843,0),"")</f>
        <v/>
      </c>
      <c r="G123">
        <f>IF(F123="",0,1)</f>
        <v/>
      </c>
      <c r="H123" s="29">
        <f>IF(F123="","",INDEX(Deals!$E$2:$E$843,F123))</f>
        <v/>
      </c>
      <c r="I123">
        <f>IF(F123="","",INDEX(Deals!$D$2:$D$843,F123))</f>
        <v/>
      </c>
      <c r="J123">
        <f>IF(F123="","",INT(H123)-B123)</f>
        <v/>
      </c>
      <c r="K123">
        <f>IF(B123&gt;=Settings!$C$5,1,0)</f>
        <v/>
      </c>
    </row>
    <row r="124">
      <c r="A124" t="inlineStr">
        <is>
          <t>9221cc350ac177eee820422285504985</t>
        </is>
      </c>
      <c r="B124" s="29" t="n">
        <v>43225</v>
      </c>
      <c r="C124" t="inlineStr">
        <is>
          <t>2018-05</t>
        </is>
      </c>
      <c r="D124" t="inlineStr">
        <is>
          <t>58326e62183c14b0c03085c33b9fdc44</t>
        </is>
      </c>
      <c r="E124" t="inlineStr">
        <is>
          <t>social</t>
        </is>
      </c>
      <c r="F124">
        <f>IFERROR(MATCH(A124,Deals!$A$2:$A$843,0),"")</f>
        <v/>
      </c>
      <c r="G124">
        <f>IF(F124="",0,1)</f>
        <v/>
      </c>
      <c r="H124" s="29">
        <f>IF(F124="","",INDEX(Deals!$E$2:$E$843,F124))</f>
        <v/>
      </c>
      <c r="I124">
        <f>IF(F124="","",INDEX(Deals!$D$2:$D$843,F124))</f>
        <v/>
      </c>
      <c r="J124">
        <f>IF(F124="","",INT(H124)-B124)</f>
        <v/>
      </c>
      <c r="K124">
        <f>IF(B124&gt;=Settings!$C$5,1,0)</f>
        <v/>
      </c>
    </row>
    <row r="125">
      <c r="A125" t="inlineStr">
        <is>
          <t>0138fa79ed7cc7113e031e4ac11bd26a</t>
        </is>
      </c>
      <c r="B125" s="29" t="n">
        <v>42923</v>
      </c>
      <c r="C125" t="inlineStr">
        <is>
          <t>2017-07</t>
        </is>
      </c>
      <c r="D125" t="inlineStr">
        <is>
          <t>22c29808c4f815213303f8933030604c</t>
        </is>
      </c>
      <c r="E125" t="inlineStr">
        <is>
          <t>(missing)</t>
        </is>
      </c>
      <c r="F125">
        <f>IFERROR(MATCH(A125,Deals!$A$2:$A$843,0),"")</f>
        <v/>
      </c>
      <c r="G125">
        <f>IF(F125="",0,1)</f>
        <v/>
      </c>
      <c r="H125" s="29">
        <f>IF(F125="","",INDEX(Deals!$E$2:$E$843,F125))</f>
        <v/>
      </c>
      <c r="I125">
        <f>IF(F125="","",INDEX(Deals!$D$2:$D$843,F125))</f>
        <v/>
      </c>
      <c r="J125">
        <f>IF(F125="","",INT(H125)-B125)</f>
        <v/>
      </c>
      <c r="K125">
        <f>IF(B125&gt;=Settings!$C$5,1,0)</f>
        <v/>
      </c>
    </row>
    <row r="126">
      <c r="A126" t="inlineStr">
        <is>
          <t>78d78a6d9952bcd96e3394f8f3c7c89d</t>
        </is>
      </c>
      <c r="B126" s="29" t="n">
        <v>43136</v>
      </c>
      <c r="C126" t="inlineStr">
        <is>
          <t>2018-02</t>
        </is>
      </c>
      <c r="D126" t="inlineStr">
        <is>
          <t>b76ef37428e6799c421989521c0e5077</t>
        </is>
      </c>
      <c r="E126" t="inlineStr">
        <is>
          <t>unknown</t>
        </is>
      </c>
      <c r="F126">
        <f>IFERROR(MATCH(A126,Deals!$A$2:$A$843,0),"")</f>
        <v/>
      </c>
      <c r="G126">
        <f>IF(F126="",0,1)</f>
        <v/>
      </c>
      <c r="H126" s="29">
        <f>IF(F126="","",INDEX(Deals!$E$2:$E$843,F126))</f>
        <v/>
      </c>
      <c r="I126">
        <f>IF(F126="","",INDEX(Deals!$D$2:$D$843,F126))</f>
        <v/>
      </c>
      <c r="J126">
        <f>IF(F126="","",INT(H126)-B126)</f>
        <v/>
      </c>
      <c r="K126">
        <f>IF(B126&gt;=Settings!$C$5,1,0)</f>
        <v/>
      </c>
    </row>
    <row r="127">
      <c r="A127" t="inlineStr">
        <is>
          <t>de5217ec03f9420c3a82973ef073279b</t>
        </is>
      </c>
      <c r="B127" s="29" t="n">
        <v>43181</v>
      </c>
      <c r="C127" t="inlineStr">
        <is>
          <t>2018-03</t>
        </is>
      </c>
      <c r="D127" t="inlineStr">
        <is>
          <t>241f79c7a8fe0270f4fb79fcbbcd17ad</t>
        </is>
      </c>
      <c r="E127" t="inlineStr">
        <is>
          <t>paid_search</t>
        </is>
      </c>
      <c r="F127">
        <f>IFERROR(MATCH(A127,Deals!$A$2:$A$843,0),"")</f>
        <v/>
      </c>
      <c r="G127">
        <f>IF(F127="",0,1)</f>
        <v/>
      </c>
      <c r="H127" s="29">
        <f>IF(F127="","",INDEX(Deals!$E$2:$E$843,F127))</f>
        <v/>
      </c>
      <c r="I127">
        <f>IF(F127="","",INDEX(Deals!$D$2:$D$843,F127))</f>
        <v/>
      </c>
      <c r="J127">
        <f>IF(F127="","",INT(H127)-B127)</f>
        <v/>
      </c>
      <c r="K127">
        <f>IF(B127&gt;=Settings!$C$5,1,0)</f>
        <v/>
      </c>
    </row>
    <row r="128">
      <c r="A128" t="inlineStr">
        <is>
          <t>e8432fb72c61c9066957124e5a420a05</t>
        </is>
      </c>
      <c r="B128" s="29" t="n">
        <v>43017</v>
      </c>
      <c r="C128" t="inlineStr">
        <is>
          <t>2017-10</t>
        </is>
      </c>
      <c r="D128" t="inlineStr">
        <is>
          <t>1722481ac9e5371e5099dea226b5421d</t>
        </is>
      </c>
      <c r="E128" t="inlineStr">
        <is>
          <t>(missing)</t>
        </is>
      </c>
      <c r="F128">
        <f>IFERROR(MATCH(A128,Deals!$A$2:$A$843,0),"")</f>
        <v/>
      </c>
      <c r="G128">
        <f>IF(F128="",0,1)</f>
        <v/>
      </c>
      <c r="H128" s="29">
        <f>IF(F128="","",INDEX(Deals!$E$2:$E$843,F128))</f>
        <v/>
      </c>
      <c r="I128">
        <f>IF(F128="","",INDEX(Deals!$D$2:$D$843,F128))</f>
        <v/>
      </c>
      <c r="J128">
        <f>IF(F128="","",INT(H128)-B128)</f>
        <v/>
      </c>
      <c r="K128">
        <f>IF(B128&gt;=Settings!$C$5,1,0)</f>
        <v/>
      </c>
    </row>
    <row r="129">
      <c r="A129" t="inlineStr">
        <is>
          <t>ffc87aa6d02f68087d1978176980b783</t>
        </is>
      </c>
      <c r="B129" s="29" t="n">
        <v>43114</v>
      </c>
      <c r="C129" t="inlineStr">
        <is>
          <t>2018-01</t>
        </is>
      </c>
      <c r="D129" t="inlineStr">
        <is>
          <t>22c29808c4f815213303f8933030604c</t>
        </is>
      </c>
      <c r="E129" t="inlineStr">
        <is>
          <t>referral</t>
        </is>
      </c>
      <c r="F129">
        <f>IFERROR(MATCH(A129,Deals!$A$2:$A$843,0),"")</f>
        <v/>
      </c>
      <c r="G129">
        <f>IF(F129="",0,1)</f>
        <v/>
      </c>
      <c r="H129" s="29">
        <f>IF(F129="","",INDEX(Deals!$E$2:$E$843,F129))</f>
        <v/>
      </c>
      <c r="I129">
        <f>IF(F129="","",INDEX(Deals!$D$2:$D$843,F129))</f>
        <v/>
      </c>
      <c r="J129">
        <f>IF(F129="","",INT(H129)-B129)</f>
        <v/>
      </c>
      <c r="K129">
        <f>IF(B129&gt;=Settings!$C$5,1,0)</f>
        <v/>
      </c>
    </row>
    <row r="130">
      <c r="A130" t="inlineStr">
        <is>
          <t>b34c9107f787d3a7ac13ba69ce65434d</t>
        </is>
      </c>
      <c r="B130" s="29" t="n">
        <v>42936</v>
      </c>
      <c r="C130" t="inlineStr">
        <is>
          <t>2017-07</t>
        </is>
      </c>
      <c r="D130" t="inlineStr">
        <is>
          <t>5ce25abc7206b8285aa756867eb2c590</t>
        </is>
      </c>
      <c r="E130" t="inlineStr">
        <is>
          <t>display</t>
        </is>
      </c>
      <c r="F130">
        <f>IFERROR(MATCH(A130,Deals!$A$2:$A$843,0),"")</f>
        <v/>
      </c>
      <c r="G130">
        <f>IF(F130="",0,1)</f>
        <v/>
      </c>
      <c r="H130" s="29">
        <f>IF(F130="","",INDEX(Deals!$E$2:$E$843,F130))</f>
        <v/>
      </c>
      <c r="I130">
        <f>IF(F130="","",INDEX(Deals!$D$2:$D$843,F130))</f>
        <v/>
      </c>
      <c r="J130">
        <f>IF(F130="","",INT(H130)-B130)</f>
        <v/>
      </c>
      <c r="K130">
        <f>IF(B130&gt;=Settings!$C$5,1,0)</f>
        <v/>
      </c>
    </row>
    <row r="131">
      <c r="A131" t="inlineStr">
        <is>
          <t>4e4e70d504b4c0006c8287dedc99d0fc</t>
        </is>
      </c>
      <c r="B131" s="29" t="n">
        <v>43135</v>
      </c>
      <c r="C131" t="inlineStr">
        <is>
          <t>2018-02</t>
        </is>
      </c>
      <c r="D131" t="inlineStr">
        <is>
          <t>88740e65d5d6b056e0cda098e1ea6313</t>
        </is>
      </c>
      <c r="E131" t="inlineStr">
        <is>
          <t>social</t>
        </is>
      </c>
      <c r="F131">
        <f>IFERROR(MATCH(A131,Deals!$A$2:$A$843,0),"")</f>
        <v/>
      </c>
      <c r="G131">
        <f>IF(F131="",0,1)</f>
        <v/>
      </c>
      <c r="H131" s="29">
        <f>IF(F131="","",INDEX(Deals!$E$2:$E$843,F131))</f>
        <v/>
      </c>
      <c r="I131">
        <f>IF(F131="","",INDEX(Deals!$D$2:$D$843,F131))</f>
        <v/>
      </c>
      <c r="J131">
        <f>IF(F131="","",INT(H131)-B131)</f>
        <v/>
      </c>
      <c r="K131">
        <f>IF(B131&gt;=Settings!$C$5,1,0)</f>
        <v/>
      </c>
    </row>
    <row r="132">
      <c r="A132" t="inlineStr">
        <is>
          <t>303d834ae7ba59a8233f9b0bd60998fe</t>
        </is>
      </c>
      <c r="B132" s="29" t="n">
        <v>43204</v>
      </c>
      <c r="C132" t="inlineStr">
        <is>
          <t>2018-04</t>
        </is>
      </c>
      <c r="D132" t="inlineStr">
        <is>
          <t>58326e62183c14b0c03085c33b9fdc44</t>
        </is>
      </c>
      <c r="E132" t="inlineStr">
        <is>
          <t>social</t>
        </is>
      </c>
      <c r="F132">
        <f>IFERROR(MATCH(A132,Deals!$A$2:$A$843,0),"")</f>
        <v/>
      </c>
      <c r="G132">
        <f>IF(F132="",0,1)</f>
        <v/>
      </c>
      <c r="H132" s="29">
        <f>IF(F132="","",INDEX(Deals!$E$2:$E$843,F132))</f>
        <v/>
      </c>
      <c r="I132">
        <f>IF(F132="","",INDEX(Deals!$D$2:$D$843,F132))</f>
        <v/>
      </c>
      <c r="J132">
        <f>IF(F132="","",INT(H132)-B132)</f>
        <v/>
      </c>
      <c r="K132">
        <f>IF(B132&gt;=Settings!$C$5,1,0)</f>
        <v/>
      </c>
    </row>
    <row r="133">
      <c r="A133" t="inlineStr">
        <is>
          <t>b19589a2ef8be9a8f2f3bace66d77e77</t>
        </is>
      </c>
      <c r="B133" s="29" t="n">
        <v>43035</v>
      </c>
      <c r="C133" t="inlineStr">
        <is>
          <t>2017-10</t>
        </is>
      </c>
      <c r="D133" t="inlineStr">
        <is>
          <t>e492ee5eaf1697716985cc6f33f9cd9b</t>
        </is>
      </c>
      <c r="E133" t="inlineStr">
        <is>
          <t>other</t>
        </is>
      </c>
      <c r="F133">
        <f>IFERROR(MATCH(A133,Deals!$A$2:$A$843,0),"")</f>
        <v/>
      </c>
      <c r="G133">
        <f>IF(F133="",0,1)</f>
        <v/>
      </c>
      <c r="H133" s="29">
        <f>IF(F133="","",INDEX(Deals!$E$2:$E$843,F133))</f>
        <v/>
      </c>
      <c r="I133">
        <f>IF(F133="","",INDEX(Deals!$D$2:$D$843,F133))</f>
        <v/>
      </c>
      <c r="J133">
        <f>IF(F133="","",INT(H133)-B133)</f>
        <v/>
      </c>
      <c r="K133">
        <f>IF(B133&gt;=Settings!$C$5,1,0)</f>
        <v/>
      </c>
    </row>
    <row r="134">
      <c r="A134" t="inlineStr">
        <is>
          <t>2f54574b6d12a25b2129c3466f9979fa</t>
        </is>
      </c>
      <c r="B134" s="29" t="n">
        <v>43199</v>
      </c>
      <c r="C134" t="inlineStr">
        <is>
          <t>2018-04</t>
        </is>
      </c>
      <c r="D134" t="inlineStr">
        <is>
          <t>b76ef37428e6799c421989521c0e5077</t>
        </is>
      </c>
      <c r="E134" t="inlineStr">
        <is>
          <t>paid_search</t>
        </is>
      </c>
      <c r="F134">
        <f>IFERROR(MATCH(A134,Deals!$A$2:$A$843,0),"")</f>
        <v/>
      </c>
      <c r="G134">
        <f>IF(F134="",0,1)</f>
        <v/>
      </c>
      <c r="H134" s="29">
        <f>IF(F134="","",INDEX(Deals!$E$2:$E$843,F134))</f>
        <v/>
      </c>
      <c r="I134">
        <f>IF(F134="","",INDEX(Deals!$D$2:$D$843,F134))</f>
        <v/>
      </c>
      <c r="J134">
        <f>IF(F134="","",INT(H134)-B134)</f>
        <v/>
      </c>
      <c r="K134">
        <f>IF(B134&gt;=Settings!$C$5,1,0)</f>
        <v/>
      </c>
    </row>
    <row r="135">
      <c r="A135" t="inlineStr">
        <is>
          <t>408a9c4a79800232ac656249af3162eb</t>
        </is>
      </c>
      <c r="B135" s="29" t="n">
        <v>43152</v>
      </c>
      <c r="C135" t="inlineStr">
        <is>
          <t>2018-02</t>
        </is>
      </c>
      <c r="D135" t="inlineStr">
        <is>
          <t>b6885f18d203a61176418c1fb3764815</t>
        </is>
      </c>
      <c r="E135" t="inlineStr">
        <is>
          <t>paid_search</t>
        </is>
      </c>
      <c r="F135">
        <f>IFERROR(MATCH(A135,Deals!$A$2:$A$843,0),"")</f>
        <v/>
      </c>
      <c r="G135">
        <f>IF(F135="",0,1)</f>
        <v/>
      </c>
      <c r="H135" s="29">
        <f>IF(F135="","",INDEX(Deals!$E$2:$E$843,F135))</f>
        <v/>
      </c>
      <c r="I135">
        <f>IF(F135="","",INDEX(Deals!$D$2:$D$843,F135))</f>
        <v/>
      </c>
      <c r="J135">
        <f>IF(F135="","",INT(H135)-B135)</f>
        <v/>
      </c>
      <c r="K135">
        <f>IF(B135&gt;=Settings!$C$5,1,0)</f>
        <v/>
      </c>
    </row>
    <row r="136">
      <c r="A136" t="inlineStr">
        <is>
          <t>c52caddded0b8beec90aa67a3b812622</t>
        </is>
      </c>
      <c r="B136" s="29" t="n">
        <v>43201</v>
      </c>
      <c r="C136" t="inlineStr">
        <is>
          <t>2018-04</t>
        </is>
      </c>
      <c r="D136" t="inlineStr">
        <is>
          <t>b76ef37428e6799c421989521c0e5077</t>
        </is>
      </c>
      <c r="E136" t="inlineStr">
        <is>
          <t>unknown</t>
        </is>
      </c>
      <c r="F136">
        <f>IFERROR(MATCH(A136,Deals!$A$2:$A$843,0),"")</f>
        <v/>
      </c>
      <c r="G136">
        <f>IF(F136="",0,1)</f>
        <v/>
      </c>
      <c r="H136" s="29">
        <f>IF(F136="","",INDEX(Deals!$E$2:$E$843,F136))</f>
        <v/>
      </c>
      <c r="I136">
        <f>IF(F136="","",INDEX(Deals!$D$2:$D$843,F136))</f>
        <v/>
      </c>
      <c r="J136">
        <f>IF(F136="","",INT(H136)-B136)</f>
        <v/>
      </c>
      <c r="K136">
        <f>IF(B136&gt;=Settings!$C$5,1,0)</f>
        <v/>
      </c>
    </row>
    <row r="137">
      <c r="A137" t="inlineStr">
        <is>
          <t>e1b0e6b958ea38f4dae5f9d24730ef05</t>
        </is>
      </c>
      <c r="B137" s="29" t="n">
        <v>42959</v>
      </c>
      <c r="C137" t="inlineStr">
        <is>
          <t>2017-08</t>
        </is>
      </c>
      <c r="D137" t="inlineStr">
        <is>
          <t>87732658ba41d8775e8577df347a64db</t>
        </is>
      </c>
      <c r="E137" t="inlineStr">
        <is>
          <t>social</t>
        </is>
      </c>
      <c r="F137">
        <f>IFERROR(MATCH(A137,Deals!$A$2:$A$843,0),"")</f>
        <v/>
      </c>
      <c r="G137">
        <f>IF(F137="",0,1)</f>
        <v/>
      </c>
      <c r="H137" s="29">
        <f>IF(F137="","",INDEX(Deals!$E$2:$E$843,F137))</f>
        <v/>
      </c>
      <c r="I137">
        <f>IF(F137="","",INDEX(Deals!$D$2:$D$843,F137))</f>
        <v/>
      </c>
      <c r="J137">
        <f>IF(F137="","",INT(H137)-B137)</f>
        <v/>
      </c>
      <c r="K137">
        <f>IF(B137&gt;=Settings!$C$5,1,0)</f>
        <v/>
      </c>
    </row>
    <row r="138">
      <c r="A138" t="inlineStr">
        <is>
          <t>88fc9401f1a0964149d7659b140c39c7</t>
        </is>
      </c>
      <c r="B138" s="29" t="n">
        <v>43168</v>
      </c>
      <c r="C138" t="inlineStr">
        <is>
          <t>2018-03</t>
        </is>
      </c>
      <c r="D138" t="inlineStr">
        <is>
          <t>686e82dd914f82d16ef05415f4419d4f</t>
        </is>
      </c>
      <c r="E138" t="inlineStr">
        <is>
          <t>unknown</t>
        </is>
      </c>
      <c r="F138">
        <f>IFERROR(MATCH(A138,Deals!$A$2:$A$843,0),"")</f>
        <v/>
      </c>
      <c r="G138">
        <f>IF(F138="",0,1)</f>
        <v/>
      </c>
      <c r="H138" s="29">
        <f>IF(F138="","",INDEX(Deals!$E$2:$E$843,F138))</f>
        <v/>
      </c>
      <c r="I138">
        <f>IF(F138="","",INDEX(Deals!$D$2:$D$843,F138))</f>
        <v/>
      </c>
      <c r="J138">
        <f>IF(F138="","",INT(H138)-B138)</f>
        <v/>
      </c>
      <c r="K138">
        <f>IF(B138&gt;=Settings!$C$5,1,0)</f>
        <v/>
      </c>
    </row>
    <row r="139">
      <c r="A139" t="inlineStr">
        <is>
          <t>ecb369befefc67e57056c2c89ab1af20</t>
        </is>
      </c>
      <c r="B139" s="29" t="n">
        <v>43167</v>
      </c>
      <c r="C139" t="inlineStr">
        <is>
          <t>2018-03</t>
        </is>
      </c>
      <c r="D139" t="inlineStr">
        <is>
          <t>da14b7e2eb0d1eecf65abbd05a31c87d</t>
        </is>
      </c>
      <c r="E139" t="inlineStr">
        <is>
          <t>display</t>
        </is>
      </c>
      <c r="F139">
        <f>IFERROR(MATCH(A139,Deals!$A$2:$A$843,0),"")</f>
        <v/>
      </c>
      <c r="G139">
        <f>IF(F139="",0,1)</f>
        <v/>
      </c>
      <c r="H139" s="29">
        <f>IF(F139="","",INDEX(Deals!$E$2:$E$843,F139))</f>
        <v/>
      </c>
      <c r="I139">
        <f>IF(F139="","",INDEX(Deals!$D$2:$D$843,F139))</f>
        <v/>
      </c>
      <c r="J139">
        <f>IF(F139="","",INT(H139)-B139)</f>
        <v/>
      </c>
      <c r="K139">
        <f>IF(B139&gt;=Settings!$C$5,1,0)</f>
        <v/>
      </c>
    </row>
    <row r="140">
      <c r="A140" t="inlineStr">
        <is>
          <t>d94500cbf74c4ea234acc780c04913a2</t>
        </is>
      </c>
      <c r="B140" s="29" t="n">
        <v>43235</v>
      </c>
      <c r="C140" t="inlineStr">
        <is>
          <t>2018-05</t>
        </is>
      </c>
      <c r="D140" t="inlineStr">
        <is>
          <t>58326e62183c14b0c03085c33b9fdc44</t>
        </is>
      </c>
      <c r="E140" t="inlineStr">
        <is>
          <t>social</t>
        </is>
      </c>
      <c r="F140">
        <f>IFERROR(MATCH(A140,Deals!$A$2:$A$843,0),"")</f>
        <v/>
      </c>
      <c r="G140">
        <f>IF(F140="",0,1)</f>
        <v/>
      </c>
      <c r="H140" s="29">
        <f>IF(F140="","",INDEX(Deals!$E$2:$E$843,F140))</f>
        <v/>
      </c>
      <c r="I140">
        <f>IF(F140="","",INDEX(Deals!$D$2:$D$843,F140))</f>
        <v/>
      </c>
      <c r="J140">
        <f>IF(F140="","",INT(H140)-B140)</f>
        <v/>
      </c>
      <c r="K140">
        <f>IF(B140&gt;=Settings!$C$5,1,0)</f>
        <v/>
      </c>
    </row>
    <row r="141">
      <c r="A141" t="inlineStr">
        <is>
          <t>24a0f25cbb04c099f7ad15dfb0447ba1</t>
        </is>
      </c>
      <c r="B141" s="29" t="n">
        <v>43213</v>
      </c>
      <c r="C141" t="inlineStr">
        <is>
          <t>2018-04</t>
        </is>
      </c>
      <c r="D141" t="inlineStr">
        <is>
          <t>73fec6021437e723ff5adae8dff89e23</t>
        </is>
      </c>
      <c r="E141" t="inlineStr">
        <is>
          <t>social</t>
        </is>
      </c>
      <c r="F141">
        <f>IFERROR(MATCH(A141,Deals!$A$2:$A$843,0),"")</f>
        <v/>
      </c>
      <c r="G141">
        <f>IF(F141="",0,1)</f>
        <v/>
      </c>
      <c r="H141" s="29">
        <f>IF(F141="","",INDEX(Deals!$E$2:$E$843,F141))</f>
        <v/>
      </c>
      <c r="I141">
        <f>IF(F141="","",INDEX(Deals!$D$2:$D$843,F141))</f>
        <v/>
      </c>
      <c r="J141">
        <f>IF(F141="","",INT(H141)-B141)</f>
        <v/>
      </c>
      <c r="K141">
        <f>IF(B141&gt;=Settings!$C$5,1,0)</f>
        <v/>
      </c>
    </row>
    <row r="142">
      <c r="A142" t="inlineStr">
        <is>
          <t>550087d2dcb6ff5567452f2efcadb8c4</t>
        </is>
      </c>
      <c r="B142" s="29" t="n">
        <v>43236</v>
      </c>
      <c r="C142" t="inlineStr">
        <is>
          <t>2018-05</t>
        </is>
      </c>
      <c r="D142" t="inlineStr">
        <is>
          <t>9fa37f5177115156b1814ffc237402a6</t>
        </is>
      </c>
      <c r="E142" t="inlineStr">
        <is>
          <t>paid_search</t>
        </is>
      </c>
      <c r="F142">
        <f>IFERROR(MATCH(A142,Deals!$A$2:$A$843,0),"")</f>
        <v/>
      </c>
      <c r="G142">
        <f>IF(F142="",0,1)</f>
        <v/>
      </c>
      <c r="H142" s="29">
        <f>IF(F142="","",INDEX(Deals!$E$2:$E$843,F142))</f>
        <v/>
      </c>
      <c r="I142">
        <f>IF(F142="","",INDEX(Deals!$D$2:$D$843,F142))</f>
        <v/>
      </c>
      <c r="J142">
        <f>IF(F142="","",INT(H142)-B142)</f>
        <v/>
      </c>
      <c r="K142">
        <f>IF(B142&gt;=Settings!$C$5,1,0)</f>
        <v/>
      </c>
    </row>
    <row r="143">
      <c r="A143" t="inlineStr">
        <is>
          <t>b3e31e79453990477407f7baa2c27d70</t>
        </is>
      </c>
      <c r="B143" s="29" t="n">
        <v>43150</v>
      </c>
      <c r="C143" t="inlineStr">
        <is>
          <t>2018-02</t>
        </is>
      </c>
      <c r="D143" t="inlineStr">
        <is>
          <t>5da54625ee0a9560dc9b9b9f6ccb03d0</t>
        </is>
      </c>
      <c r="E143" t="inlineStr">
        <is>
          <t>email</t>
        </is>
      </c>
      <c r="F143">
        <f>IFERROR(MATCH(A143,Deals!$A$2:$A$843,0),"")</f>
        <v/>
      </c>
      <c r="G143">
        <f>IF(F143="",0,1)</f>
        <v/>
      </c>
      <c r="H143" s="29">
        <f>IF(F143="","",INDEX(Deals!$E$2:$E$843,F143))</f>
        <v/>
      </c>
      <c r="I143">
        <f>IF(F143="","",INDEX(Deals!$D$2:$D$843,F143))</f>
        <v/>
      </c>
      <c r="J143">
        <f>IF(F143="","",INT(H143)-B143)</f>
        <v/>
      </c>
      <c r="K143">
        <f>IF(B143&gt;=Settings!$C$5,1,0)</f>
        <v/>
      </c>
    </row>
    <row r="144">
      <c r="A144" t="inlineStr">
        <is>
          <t>3f54048b64be285aa15f4347fa284817</t>
        </is>
      </c>
      <c r="B144" s="29" t="n">
        <v>43207</v>
      </c>
      <c r="C144" t="inlineStr">
        <is>
          <t>2018-04</t>
        </is>
      </c>
      <c r="D144" t="inlineStr">
        <is>
          <t>b250fcac4a31f0677417f892ef87f02d</t>
        </is>
      </c>
      <c r="E144" t="inlineStr">
        <is>
          <t>email</t>
        </is>
      </c>
      <c r="F144">
        <f>IFERROR(MATCH(A144,Deals!$A$2:$A$843,0),"")</f>
        <v/>
      </c>
      <c r="G144">
        <f>IF(F144="",0,1)</f>
        <v/>
      </c>
      <c r="H144" s="29">
        <f>IF(F144="","",INDEX(Deals!$E$2:$E$843,F144))</f>
        <v/>
      </c>
      <c r="I144">
        <f>IF(F144="","",INDEX(Deals!$D$2:$D$843,F144))</f>
        <v/>
      </c>
      <c r="J144">
        <f>IF(F144="","",INT(H144)-B144)</f>
        <v/>
      </c>
      <c r="K144">
        <f>IF(B144&gt;=Settings!$C$5,1,0)</f>
        <v/>
      </c>
    </row>
    <row r="145">
      <c r="A145" t="inlineStr">
        <is>
          <t>84094c9f8dc82c57cae08d3cd0acb96f</t>
        </is>
      </c>
      <c r="B145" s="29" t="n">
        <v>43218</v>
      </c>
      <c r="C145" t="inlineStr">
        <is>
          <t>2018-04</t>
        </is>
      </c>
      <c r="D145" t="inlineStr">
        <is>
          <t>30534107aa0013db92899c96a1017d0b</t>
        </is>
      </c>
      <c r="E145" t="inlineStr">
        <is>
          <t>social</t>
        </is>
      </c>
      <c r="F145">
        <f>IFERROR(MATCH(A145,Deals!$A$2:$A$843,0),"")</f>
        <v/>
      </c>
      <c r="G145">
        <f>IF(F145="",0,1)</f>
        <v/>
      </c>
      <c r="H145" s="29">
        <f>IF(F145="","",INDEX(Deals!$E$2:$E$843,F145))</f>
        <v/>
      </c>
      <c r="I145">
        <f>IF(F145="","",INDEX(Deals!$D$2:$D$843,F145))</f>
        <v/>
      </c>
      <c r="J145">
        <f>IF(F145="","",INT(H145)-B145)</f>
        <v/>
      </c>
      <c r="K145">
        <f>IF(B145&gt;=Settings!$C$5,1,0)</f>
        <v/>
      </c>
    </row>
    <row r="146">
      <c r="A146" t="inlineStr">
        <is>
          <t>dc26c5197ace46abe960095b7a46a8e9</t>
        </is>
      </c>
      <c r="B146" s="29" t="n">
        <v>43083</v>
      </c>
      <c r="C146" t="inlineStr">
        <is>
          <t>2017-12</t>
        </is>
      </c>
      <c r="D146" t="inlineStr">
        <is>
          <t>caef563a428392ddc7807d2a529413b9</t>
        </is>
      </c>
      <c r="E146" t="inlineStr">
        <is>
          <t>direct_traffic</t>
        </is>
      </c>
      <c r="F146">
        <f>IFERROR(MATCH(A146,Deals!$A$2:$A$843,0),"")</f>
        <v/>
      </c>
      <c r="G146">
        <f>IF(F146="",0,1)</f>
        <v/>
      </c>
      <c r="H146" s="29">
        <f>IF(F146="","",INDEX(Deals!$E$2:$E$843,F146))</f>
        <v/>
      </c>
      <c r="I146">
        <f>IF(F146="","",INDEX(Deals!$D$2:$D$843,F146))</f>
        <v/>
      </c>
      <c r="J146">
        <f>IF(F146="","",INT(H146)-B146)</f>
        <v/>
      </c>
      <c r="K146">
        <f>IF(B146&gt;=Settings!$C$5,1,0)</f>
        <v/>
      </c>
    </row>
    <row r="147">
      <c r="A147" t="inlineStr">
        <is>
          <t>f9e00dc9c33ce95e5a4645771b81bc1d</t>
        </is>
      </c>
      <c r="B147" s="29" t="n">
        <v>43052</v>
      </c>
      <c r="C147" t="inlineStr">
        <is>
          <t>2017-11</t>
        </is>
      </c>
      <c r="D147" t="inlineStr">
        <is>
          <t>fd660f5d9a62d444c76191307b3a0514</t>
        </is>
      </c>
      <c r="E147" t="inlineStr">
        <is>
          <t>email</t>
        </is>
      </c>
      <c r="F147">
        <f>IFERROR(MATCH(A147,Deals!$A$2:$A$843,0),"")</f>
        <v/>
      </c>
      <c r="G147">
        <f>IF(F147="",0,1)</f>
        <v/>
      </c>
      <c r="H147" s="29">
        <f>IF(F147="","",INDEX(Deals!$E$2:$E$843,F147))</f>
        <v/>
      </c>
      <c r="I147">
        <f>IF(F147="","",INDEX(Deals!$D$2:$D$843,F147))</f>
        <v/>
      </c>
      <c r="J147">
        <f>IF(F147="","",INT(H147)-B147)</f>
        <v/>
      </c>
      <c r="K147">
        <f>IF(B147&gt;=Settings!$C$5,1,0)</f>
        <v/>
      </c>
    </row>
    <row r="148">
      <c r="A148" t="inlineStr">
        <is>
          <t>cac06d4ace00a7b39564429b57e07a72</t>
        </is>
      </c>
      <c r="B148" s="29" t="n">
        <v>43147</v>
      </c>
      <c r="C148" t="inlineStr">
        <is>
          <t>2018-02</t>
        </is>
      </c>
      <c r="D148" t="inlineStr">
        <is>
          <t>65d9f9d71e562365e8b44037c2888d98</t>
        </is>
      </c>
      <c r="E148" t="inlineStr">
        <is>
          <t>paid_search</t>
        </is>
      </c>
      <c r="F148">
        <f>IFERROR(MATCH(A148,Deals!$A$2:$A$843,0),"")</f>
        <v/>
      </c>
      <c r="G148">
        <f>IF(F148="",0,1)</f>
        <v/>
      </c>
      <c r="H148" s="29">
        <f>IF(F148="","",INDEX(Deals!$E$2:$E$843,F148))</f>
        <v/>
      </c>
      <c r="I148">
        <f>IF(F148="","",INDEX(Deals!$D$2:$D$843,F148))</f>
        <v/>
      </c>
      <c r="J148">
        <f>IF(F148="","",INT(H148)-B148)</f>
        <v/>
      </c>
      <c r="K148">
        <f>IF(B148&gt;=Settings!$C$5,1,0)</f>
        <v/>
      </c>
    </row>
    <row r="149">
      <c r="A149" t="inlineStr">
        <is>
          <t>c556184b3fe2087834850b68fa435cee</t>
        </is>
      </c>
      <c r="B149" s="29" t="n">
        <v>43205</v>
      </c>
      <c r="C149" t="inlineStr">
        <is>
          <t>2018-04</t>
        </is>
      </c>
      <c r="D149" t="inlineStr">
        <is>
          <t>22c29808c4f815213303f8933030604c</t>
        </is>
      </c>
      <c r="E149" t="inlineStr">
        <is>
          <t>direct_traffic</t>
        </is>
      </c>
      <c r="F149">
        <f>IFERROR(MATCH(A149,Deals!$A$2:$A$843,0),"")</f>
        <v/>
      </c>
      <c r="G149">
        <f>IF(F149="",0,1)</f>
        <v/>
      </c>
      <c r="H149" s="29">
        <f>IF(F149="","",INDEX(Deals!$E$2:$E$843,F149))</f>
        <v/>
      </c>
      <c r="I149">
        <f>IF(F149="","",INDEX(Deals!$D$2:$D$843,F149))</f>
        <v/>
      </c>
      <c r="J149">
        <f>IF(F149="","",INT(H149)-B149)</f>
        <v/>
      </c>
      <c r="K149">
        <f>IF(B149&gt;=Settings!$C$5,1,0)</f>
        <v/>
      </c>
    </row>
    <row r="150">
      <c r="A150" t="inlineStr">
        <is>
          <t>d256e49359ddb82dc0659cb2061cb2ee</t>
        </is>
      </c>
      <c r="B150" s="29" t="n">
        <v>43131</v>
      </c>
      <c r="C150" t="inlineStr">
        <is>
          <t>2018-01</t>
        </is>
      </c>
      <c r="D150" t="inlineStr">
        <is>
          <t>22c29808c4f815213303f8933030604c</t>
        </is>
      </c>
      <c r="E150" t="inlineStr">
        <is>
          <t>organic_search</t>
        </is>
      </c>
      <c r="F150">
        <f>IFERROR(MATCH(A150,Deals!$A$2:$A$843,0),"")</f>
        <v/>
      </c>
      <c r="G150">
        <f>IF(F150="",0,1)</f>
        <v/>
      </c>
      <c r="H150" s="29">
        <f>IF(F150="","",INDEX(Deals!$E$2:$E$843,F150))</f>
        <v/>
      </c>
      <c r="I150">
        <f>IF(F150="","",INDEX(Deals!$D$2:$D$843,F150))</f>
        <v/>
      </c>
      <c r="J150">
        <f>IF(F150="","",INT(H150)-B150)</f>
        <v/>
      </c>
      <c r="K150">
        <f>IF(B150&gt;=Settings!$C$5,1,0)</f>
        <v/>
      </c>
    </row>
    <row r="151">
      <c r="A151" t="inlineStr">
        <is>
          <t>740bddcc602c597abda096a90ebb476a</t>
        </is>
      </c>
      <c r="B151" s="29" t="n">
        <v>43180</v>
      </c>
      <c r="C151" t="inlineStr">
        <is>
          <t>2018-03</t>
        </is>
      </c>
      <c r="D151" t="inlineStr">
        <is>
          <t>40dec9f3d5259a3d2dbcdab2114fae47</t>
        </is>
      </c>
      <c r="E151" t="inlineStr">
        <is>
          <t>paid_search</t>
        </is>
      </c>
      <c r="F151">
        <f>IFERROR(MATCH(A151,Deals!$A$2:$A$843,0),"")</f>
        <v/>
      </c>
      <c r="G151">
        <f>IF(F151="",0,1)</f>
        <v/>
      </c>
      <c r="H151" s="29">
        <f>IF(F151="","",INDEX(Deals!$E$2:$E$843,F151))</f>
        <v/>
      </c>
      <c r="I151">
        <f>IF(F151="","",INDEX(Deals!$D$2:$D$843,F151))</f>
        <v/>
      </c>
      <c r="J151">
        <f>IF(F151="","",INT(H151)-B151)</f>
        <v/>
      </c>
      <c r="K151">
        <f>IF(B151&gt;=Settings!$C$5,1,0)</f>
        <v/>
      </c>
    </row>
    <row r="152">
      <c r="A152" t="inlineStr">
        <is>
          <t>3eed6d27b0b2dd008c1be88cce8245fc</t>
        </is>
      </c>
      <c r="B152" s="29" t="n">
        <v>43231</v>
      </c>
      <c r="C152" t="inlineStr">
        <is>
          <t>2018-05</t>
        </is>
      </c>
      <c r="D152" t="inlineStr">
        <is>
          <t>58326e62183c14b0c03085c33b9fdc44</t>
        </is>
      </c>
      <c r="E152" t="inlineStr">
        <is>
          <t>social</t>
        </is>
      </c>
      <c r="F152">
        <f>IFERROR(MATCH(A152,Deals!$A$2:$A$843,0),"")</f>
        <v/>
      </c>
      <c r="G152">
        <f>IF(F152="",0,1)</f>
        <v/>
      </c>
      <c r="H152" s="29">
        <f>IF(F152="","",INDEX(Deals!$E$2:$E$843,F152))</f>
        <v/>
      </c>
      <c r="I152">
        <f>IF(F152="","",INDEX(Deals!$D$2:$D$843,F152))</f>
        <v/>
      </c>
      <c r="J152">
        <f>IF(F152="","",INT(H152)-B152)</f>
        <v/>
      </c>
      <c r="K152">
        <f>IF(B152&gt;=Settings!$C$5,1,0)</f>
        <v/>
      </c>
    </row>
    <row r="153">
      <c r="A153" t="inlineStr">
        <is>
          <t>27424f3a283c39027eb12a690d4b6d39</t>
        </is>
      </c>
      <c r="B153" s="29" t="n">
        <v>43119</v>
      </c>
      <c r="C153" t="inlineStr">
        <is>
          <t>2018-01</t>
        </is>
      </c>
      <c r="D153" t="inlineStr">
        <is>
          <t>87d670b00a8db612286ba8419cf82e83</t>
        </is>
      </c>
      <c r="E153" t="inlineStr">
        <is>
          <t>social</t>
        </is>
      </c>
      <c r="F153">
        <f>IFERROR(MATCH(A153,Deals!$A$2:$A$843,0),"")</f>
        <v/>
      </c>
      <c r="G153">
        <f>IF(F153="",0,1)</f>
        <v/>
      </c>
      <c r="H153" s="29">
        <f>IF(F153="","",INDEX(Deals!$E$2:$E$843,F153))</f>
        <v/>
      </c>
      <c r="I153">
        <f>IF(F153="","",INDEX(Deals!$D$2:$D$843,F153))</f>
        <v/>
      </c>
      <c r="J153">
        <f>IF(F153="","",INT(H153)-B153)</f>
        <v/>
      </c>
      <c r="K153">
        <f>IF(B153&gt;=Settings!$C$5,1,0)</f>
        <v/>
      </c>
    </row>
    <row r="154">
      <c r="A154" t="inlineStr">
        <is>
          <t>8155cf9d25c763ee101e424ec5cac948</t>
        </is>
      </c>
      <c r="B154" s="29" t="n">
        <v>43195</v>
      </c>
      <c r="C154" t="inlineStr">
        <is>
          <t>2018-04</t>
        </is>
      </c>
      <c r="D154" t="inlineStr">
        <is>
          <t>c70eb6fb5bd6e939b0d5ef32f21f61e8</t>
        </is>
      </c>
      <c r="E154" t="inlineStr">
        <is>
          <t>direct_traffic</t>
        </is>
      </c>
      <c r="F154">
        <f>IFERROR(MATCH(A154,Deals!$A$2:$A$843,0),"")</f>
        <v/>
      </c>
      <c r="G154">
        <f>IF(F154="",0,1)</f>
        <v/>
      </c>
      <c r="H154" s="29">
        <f>IF(F154="","",INDEX(Deals!$E$2:$E$843,F154))</f>
        <v/>
      </c>
      <c r="I154">
        <f>IF(F154="","",INDEX(Deals!$D$2:$D$843,F154))</f>
        <v/>
      </c>
      <c r="J154">
        <f>IF(F154="","",INT(H154)-B154)</f>
        <v/>
      </c>
      <c r="K154">
        <f>IF(B154&gt;=Settings!$C$5,1,0)</f>
        <v/>
      </c>
    </row>
    <row r="155">
      <c r="A155" t="inlineStr">
        <is>
          <t>d3cc126a20cc1d4c30246461bd4424bb</t>
        </is>
      </c>
      <c r="B155" s="29" t="n">
        <v>43102</v>
      </c>
      <c r="C155" t="inlineStr">
        <is>
          <t>2018-01</t>
        </is>
      </c>
      <c r="D155" t="inlineStr">
        <is>
          <t>88740e65d5d6b056e0cda098e1ea6313</t>
        </is>
      </c>
      <c r="E155" t="inlineStr">
        <is>
          <t>social</t>
        </is>
      </c>
      <c r="F155">
        <f>IFERROR(MATCH(A155,Deals!$A$2:$A$843,0),"")</f>
        <v/>
      </c>
      <c r="G155">
        <f>IF(F155="",0,1)</f>
        <v/>
      </c>
      <c r="H155" s="29">
        <f>IF(F155="","",INDEX(Deals!$E$2:$E$843,F155))</f>
        <v/>
      </c>
      <c r="I155">
        <f>IF(F155="","",INDEX(Deals!$D$2:$D$843,F155))</f>
        <v/>
      </c>
      <c r="J155">
        <f>IF(F155="","",INT(H155)-B155)</f>
        <v/>
      </c>
      <c r="K155">
        <f>IF(B155&gt;=Settings!$C$5,1,0)</f>
        <v/>
      </c>
    </row>
    <row r="156">
      <c r="A156" t="inlineStr">
        <is>
          <t>6e4fd1f8d7082b92ba9842ab88aab57e</t>
        </is>
      </c>
      <c r="B156" s="29" t="n">
        <v>43114</v>
      </c>
      <c r="C156" t="inlineStr">
        <is>
          <t>2018-01</t>
        </is>
      </c>
      <c r="D156" t="inlineStr">
        <is>
          <t>ce1a65abd0973638f1c887a6efcfa82d</t>
        </is>
      </c>
      <c r="E156" t="inlineStr">
        <is>
          <t>organic_search</t>
        </is>
      </c>
      <c r="F156">
        <f>IFERROR(MATCH(A156,Deals!$A$2:$A$843,0),"")</f>
        <v/>
      </c>
      <c r="G156">
        <f>IF(F156="",0,1)</f>
        <v/>
      </c>
      <c r="H156" s="29">
        <f>IF(F156="","",INDEX(Deals!$E$2:$E$843,F156))</f>
        <v/>
      </c>
      <c r="I156">
        <f>IF(F156="","",INDEX(Deals!$D$2:$D$843,F156))</f>
        <v/>
      </c>
      <c r="J156">
        <f>IF(F156="","",INT(H156)-B156)</f>
        <v/>
      </c>
      <c r="K156">
        <f>IF(B156&gt;=Settings!$C$5,1,0)</f>
        <v/>
      </c>
    </row>
    <row r="157">
      <c r="A157" t="inlineStr">
        <is>
          <t>4a64e3c8f85fa662586e8998b3a9bb77</t>
        </is>
      </c>
      <c r="B157" s="29" t="n">
        <v>43165</v>
      </c>
      <c r="C157" t="inlineStr">
        <is>
          <t>2018-03</t>
        </is>
      </c>
      <c r="D157" t="inlineStr">
        <is>
          <t>22c29808c4f815213303f8933030604c</t>
        </is>
      </c>
      <c r="E157" t="inlineStr">
        <is>
          <t>direct_traffic</t>
        </is>
      </c>
      <c r="F157">
        <f>IFERROR(MATCH(A157,Deals!$A$2:$A$843,0),"")</f>
        <v/>
      </c>
      <c r="G157">
        <f>IF(F157="",0,1)</f>
        <v/>
      </c>
      <c r="H157" s="29">
        <f>IF(F157="","",INDEX(Deals!$E$2:$E$843,F157))</f>
        <v/>
      </c>
      <c r="I157">
        <f>IF(F157="","",INDEX(Deals!$D$2:$D$843,F157))</f>
        <v/>
      </c>
      <c r="J157">
        <f>IF(F157="","",INT(H157)-B157)</f>
        <v/>
      </c>
      <c r="K157">
        <f>IF(B157&gt;=Settings!$C$5,1,0)</f>
        <v/>
      </c>
    </row>
    <row r="158">
      <c r="A158" t="inlineStr">
        <is>
          <t>eea86d31fb5dda6d18f0e716591310c4</t>
        </is>
      </c>
      <c r="B158" s="29" t="n">
        <v>43172</v>
      </c>
      <c r="C158" t="inlineStr">
        <is>
          <t>2018-03</t>
        </is>
      </c>
      <c r="D158" t="inlineStr">
        <is>
          <t>daa9619c6f8ed06d059265dca0f9257f</t>
        </is>
      </c>
      <c r="E158" t="inlineStr">
        <is>
          <t>email</t>
        </is>
      </c>
      <c r="F158">
        <f>IFERROR(MATCH(A158,Deals!$A$2:$A$843,0),"")</f>
        <v/>
      </c>
      <c r="G158">
        <f>IF(F158="",0,1)</f>
        <v/>
      </c>
      <c r="H158" s="29">
        <f>IF(F158="","",INDEX(Deals!$E$2:$E$843,F158))</f>
        <v/>
      </c>
      <c r="I158">
        <f>IF(F158="","",INDEX(Deals!$D$2:$D$843,F158))</f>
        <v/>
      </c>
      <c r="J158">
        <f>IF(F158="","",INT(H158)-B158)</f>
        <v/>
      </c>
      <c r="K158">
        <f>IF(B158&gt;=Settings!$C$5,1,0)</f>
        <v/>
      </c>
    </row>
    <row r="159">
      <c r="A159" t="inlineStr">
        <is>
          <t>f0d4c58768543ca9483599f6f9410980</t>
        </is>
      </c>
      <c r="B159" s="29" t="n">
        <v>43194</v>
      </c>
      <c r="C159" t="inlineStr">
        <is>
          <t>2018-04</t>
        </is>
      </c>
      <c r="D159" t="inlineStr">
        <is>
          <t>58326e62183c14b0c03085c33b9fdc44</t>
        </is>
      </c>
      <c r="E159" t="inlineStr">
        <is>
          <t>social</t>
        </is>
      </c>
      <c r="F159">
        <f>IFERROR(MATCH(A159,Deals!$A$2:$A$843,0),"")</f>
        <v/>
      </c>
      <c r="G159">
        <f>IF(F159="",0,1)</f>
        <v/>
      </c>
      <c r="H159" s="29">
        <f>IF(F159="","",INDEX(Deals!$E$2:$E$843,F159))</f>
        <v/>
      </c>
      <c r="I159">
        <f>IF(F159="","",INDEX(Deals!$D$2:$D$843,F159))</f>
        <v/>
      </c>
      <c r="J159">
        <f>IF(F159="","",INT(H159)-B159)</f>
        <v/>
      </c>
      <c r="K159">
        <f>IF(B159&gt;=Settings!$C$5,1,0)</f>
        <v/>
      </c>
    </row>
    <row r="160">
      <c r="A160" t="inlineStr">
        <is>
          <t>6ba667e88fcf8fa9c8d633ca5f198a48</t>
        </is>
      </c>
      <c r="B160" s="29" t="n">
        <v>43052</v>
      </c>
      <c r="C160" t="inlineStr">
        <is>
          <t>2017-11</t>
        </is>
      </c>
      <c r="D160" t="inlineStr">
        <is>
          <t>fd660f5d9a62d444c76191307b3a0514</t>
        </is>
      </c>
      <c r="E160" t="inlineStr">
        <is>
          <t>email</t>
        </is>
      </c>
      <c r="F160">
        <f>IFERROR(MATCH(A160,Deals!$A$2:$A$843,0),"")</f>
        <v/>
      </c>
      <c r="G160">
        <f>IF(F160="",0,1)</f>
        <v/>
      </c>
      <c r="H160" s="29">
        <f>IF(F160="","",INDEX(Deals!$E$2:$E$843,F160))</f>
        <v/>
      </c>
      <c r="I160">
        <f>IF(F160="","",INDEX(Deals!$D$2:$D$843,F160))</f>
        <v/>
      </c>
      <c r="J160">
        <f>IF(F160="","",INT(H160)-B160)</f>
        <v/>
      </c>
      <c r="K160">
        <f>IF(B160&gt;=Settings!$C$5,1,0)</f>
        <v/>
      </c>
    </row>
    <row r="161">
      <c r="A161" t="inlineStr">
        <is>
          <t>b20ec3227487235bbe4117ced1337719</t>
        </is>
      </c>
      <c r="B161" s="29" t="n">
        <v>43177</v>
      </c>
      <c r="C161" t="inlineStr">
        <is>
          <t>2018-03</t>
        </is>
      </c>
      <c r="D161" t="inlineStr">
        <is>
          <t>c35447dcd1a50b2e2ee3184be602b597</t>
        </is>
      </c>
      <c r="E161" t="inlineStr">
        <is>
          <t>social</t>
        </is>
      </c>
      <c r="F161">
        <f>IFERROR(MATCH(A161,Deals!$A$2:$A$843,0),"")</f>
        <v/>
      </c>
      <c r="G161">
        <f>IF(F161="",0,1)</f>
        <v/>
      </c>
      <c r="H161" s="29">
        <f>IF(F161="","",INDEX(Deals!$E$2:$E$843,F161))</f>
        <v/>
      </c>
      <c r="I161">
        <f>IF(F161="","",INDEX(Deals!$D$2:$D$843,F161))</f>
        <v/>
      </c>
      <c r="J161">
        <f>IF(F161="","",INT(H161)-B161)</f>
        <v/>
      </c>
      <c r="K161">
        <f>IF(B161&gt;=Settings!$C$5,1,0)</f>
        <v/>
      </c>
    </row>
    <row r="162">
      <c r="A162" t="inlineStr">
        <is>
          <t>051c04b3816292c5145c6fe53c025719</t>
        </is>
      </c>
      <c r="B162" s="29" t="n">
        <v>43069</v>
      </c>
      <c r="C162" t="inlineStr">
        <is>
          <t>2017-11</t>
        </is>
      </c>
      <c r="D162" t="inlineStr">
        <is>
          <t>b76ef37428e6799c421989521c0e5077</t>
        </is>
      </c>
      <c r="E162" t="inlineStr">
        <is>
          <t>social</t>
        </is>
      </c>
      <c r="F162">
        <f>IFERROR(MATCH(A162,Deals!$A$2:$A$843,0),"")</f>
        <v/>
      </c>
      <c r="G162">
        <f>IF(F162="",0,1)</f>
        <v/>
      </c>
      <c r="H162" s="29">
        <f>IF(F162="","",INDEX(Deals!$E$2:$E$843,F162))</f>
        <v/>
      </c>
      <c r="I162">
        <f>IF(F162="","",INDEX(Deals!$D$2:$D$843,F162))</f>
        <v/>
      </c>
      <c r="J162">
        <f>IF(F162="","",INT(H162)-B162)</f>
        <v/>
      </c>
      <c r="K162">
        <f>IF(B162&gt;=Settings!$C$5,1,0)</f>
        <v/>
      </c>
    </row>
    <row r="163">
      <c r="A163" t="inlineStr">
        <is>
          <t>dc377cb284d45f3425140456dd4cceef</t>
        </is>
      </c>
      <c r="B163" s="29" t="n">
        <v>43110</v>
      </c>
      <c r="C163" t="inlineStr">
        <is>
          <t>2018-01</t>
        </is>
      </c>
      <c r="D163" t="inlineStr">
        <is>
          <t>b76ef37428e6799c421989521c0e5077</t>
        </is>
      </c>
      <c r="E163" t="inlineStr">
        <is>
          <t>unknown</t>
        </is>
      </c>
      <c r="F163">
        <f>IFERROR(MATCH(A163,Deals!$A$2:$A$843,0),"")</f>
        <v/>
      </c>
      <c r="G163">
        <f>IF(F163="",0,1)</f>
        <v/>
      </c>
      <c r="H163" s="29">
        <f>IF(F163="","",INDEX(Deals!$E$2:$E$843,F163))</f>
        <v/>
      </c>
      <c r="I163">
        <f>IF(F163="","",INDEX(Deals!$D$2:$D$843,F163))</f>
        <v/>
      </c>
      <c r="J163">
        <f>IF(F163="","",INT(H163)-B163)</f>
        <v/>
      </c>
      <c r="K163">
        <f>IF(B163&gt;=Settings!$C$5,1,0)</f>
        <v/>
      </c>
    </row>
    <row r="164">
      <c r="A164" t="inlineStr">
        <is>
          <t>567d9451c6f346cf203e6143455a6653</t>
        </is>
      </c>
      <c r="B164" s="29" t="n">
        <v>43191</v>
      </c>
      <c r="C164" t="inlineStr">
        <is>
          <t>2018-04</t>
        </is>
      </c>
      <c r="D164" t="inlineStr">
        <is>
          <t>22c29808c4f815213303f8933030604c</t>
        </is>
      </c>
      <c r="E164" t="inlineStr">
        <is>
          <t>organic_search</t>
        </is>
      </c>
      <c r="F164">
        <f>IFERROR(MATCH(A164,Deals!$A$2:$A$843,0),"")</f>
        <v/>
      </c>
      <c r="G164">
        <f>IF(F164="",0,1)</f>
        <v/>
      </c>
      <c r="H164" s="29">
        <f>IF(F164="","",INDEX(Deals!$E$2:$E$843,F164))</f>
        <v/>
      </c>
      <c r="I164">
        <f>IF(F164="","",INDEX(Deals!$D$2:$D$843,F164))</f>
        <v/>
      </c>
      <c r="J164">
        <f>IF(F164="","",INT(H164)-B164)</f>
        <v/>
      </c>
      <c r="K164">
        <f>IF(B164&gt;=Settings!$C$5,1,0)</f>
        <v/>
      </c>
    </row>
    <row r="165">
      <c r="A165" t="inlineStr">
        <is>
          <t>a835b85d71f258f45c97a98864ad067b</t>
        </is>
      </c>
      <c r="B165" s="29" t="n">
        <v>42997</v>
      </c>
      <c r="C165" t="inlineStr">
        <is>
          <t>2017-09</t>
        </is>
      </c>
      <c r="D165" t="inlineStr">
        <is>
          <t>241f79c7a8fe0270f4fb79fcbbcd17ad</t>
        </is>
      </c>
      <c r="E165" t="inlineStr">
        <is>
          <t>direct_traffic</t>
        </is>
      </c>
      <c r="F165">
        <f>IFERROR(MATCH(A165,Deals!$A$2:$A$843,0),"")</f>
        <v/>
      </c>
      <c r="G165">
        <f>IF(F165="",0,1)</f>
        <v/>
      </c>
      <c r="H165" s="29">
        <f>IF(F165="","",INDEX(Deals!$E$2:$E$843,F165))</f>
        <v/>
      </c>
      <c r="I165">
        <f>IF(F165="","",INDEX(Deals!$D$2:$D$843,F165))</f>
        <v/>
      </c>
      <c r="J165">
        <f>IF(F165="","",INT(H165)-B165)</f>
        <v/>
      </c>
      <c r="K165">
        <f>IF(B165&gt;=Settings!$C$5,1,0)</f>
        <v/>
      </c>
    </row>
    <row r="166">
      <c r="A166" t="inlineStr">
        <is>
          <t>5003a4ae7ba6a9b3f0eb6b463cf09aeb</t>
        </is>
      </c>
      <c r="B166" s="29" t="n">
        <v>43202</v>
      </c>
      <c r="C166" t="inlineStr">
        <is>
          <t>2018-04</t>
        </is>
      </c>
      <c r="D166" t="inlineStr">
        <is>
          <t>36b6e21a46b7b35a459bed735785772a</t>
        </is>
      </c>
      <c r="E166" t="inlineStr">
        <is>
          <t>organic_search</t>
        </is>
      </c>
      <c r="F166">
        <f>IFERROR(MATCH(A166,Deals!$A$2:$A$843,0),"")</f>
        <v/>
      </c>
      <c r="G166">
        <f>IF(F166="",0,1)</f>
        <v/>
      </c>
      <c r="H166" s="29">
        <f>IF(F166="","",INDEX(Deals!$E$2:$E$843,F166))</f>
        <v/>
      </c>
      <c r="I166">
        <f>IF(F166="","",INDEX(Deals!$D$2:$D$843,F166))</f>
        <v/>
      </c>
      <c r="J166">
        <f>IF(F166="","",INT(H166)-B166)</f>
        <v/>
      </c>
      <c r="K166">
        <f>IF(B166&gt;=Settings!$C$5,1,0)</f>
        <v/>
      </c>
    </row>
    <row r="167">
      <c r="A167" t="inlineStr">
        <is>
          <t>d2d0cd4ce0710569cf620c2a4f598aa8</t>
        </is>
      </c>
      <c r="B167" s="29" t="n">
        <v>43125</v>
      </c>
      <c r="C167" t="inlineStr">
        <is>
          <t>2018-01</t>
        </is>
      </c>
      <c r="D167" t="inlineStr">
        <is>
          <t>40dec9f3d5259a3d2dbcdab2114fae47</t>
        </is>
      </c>
      <c r="E167" t="inlineStr">
        <is>
          <t>paid_search</t>
        </is>
      </c>
      <c r="F167">
        <f>IFERROR(MATCH(A167,Deals!$A$2:$A$843,0),"")</f>
        <v/>
      </c>
      <c r="G167">
        <f>IF(F167="",0,1)</f>
        <v/>
      </c>
      <c r="H167" s="29">
        <f>IF(F167="","",INDEX(Deals!$E$2:$E$843,F167))</f>
        <v/>
      </c>
      <c r="I167">
        <f>IF(F167="","",INDEX(Deals!$D$2:$D$843,F167))</f>
        <v/>
      </c>
      <c r="J167">
        <f>IF(F167="","",INT(H167)-B167)</f>
        <v/>
      </c>
      <c r="K167">
        <f>IF(B167&gt;=Settings!$C$5,1,0)</f>
        <v/>
      </c>
    </row>
    <row r="168">
      <c r="A168" t="inlineStr">
        <is>
          <t>67455a0673f5cf26deae5b270c003e83</t>
        </is>
      </c>
      <c r="B168" s="29" t="n">
        <v>43123</v>
      </c>
      <c r="C168" t="inlineStr">
        <is>
          <t>2018-01</t>
        </is>
      </c>
      <c r="D168" t="inlineStr">
        <is>
          <t>30077c17f2ec5010a82e37ad8925b95f</t>
        </is>
      </c>
      <c r="E168" t="inlineStr">
        <is>
          <t>direct_traffic</t>
        </is>
      </c>
      <c r="F168">
        <f>IFERROR(MATCH(A168,Deals!$A$2:$A$843,0),"")</f>
        <v/>
      </c>
      <c r="G168">
        <f>IF(F168="",0,1)</f>
        <v/>
      </c>
      <c r="H168" s="29">
        <f>IF(F168="","",INDEX(Deals!$E$2:$E$843,F168))</f>
        <v/>
      </c>
      <c r="I168">
        <f>IF(F168="","",INDEX(Deals!$D$2:$D$843,F168))</f>
        <v/>
      </c>
      <c r="J168">
        <f>IF(F168="","",INT(H168)-B168)</f>
        <v/>
      </c>
      <c r="K168">
        <f>IF(B168&gt;=Settings!$C$5,1,0)</f>
        <v/>
      </c>
    </row>
    <row r="169">
      <c r="A169" t="inlineStr">
        <is>
          <t>9bcdf1b62703e7e48976eb9dd86ebb3e</t>
        </is>
      </c>
      <c r="B169" s="29" t="n">
        <v>43158</v>
      </c>
      <c r="C169" t="inlineStr">
        <is>
          <t>2018-02</t>
        </is>
      </c>
      <c r="D169" t="inlineStr">
        <is>
          <t>30077c17f2ec5010a82e37ad8925b95f</t>
        </is>
      </c>
      <c r="E169" t="inlineStr">
        <is>
          <t>referral</t>
        </is>
      </c>
      <c r="F169">
        <f>IFERROR(MATCH(A169,Deals!$A$2:$A$843,0),"")</f>
        <v/>
      </c>
      <c r="G169">
        <f>IF(F169="",0,1)</f>
        <v/>
      </c>
      <c r="H169" s="29">
        <f>IF(F169="","",INDEX(Deals!$E$2:$E$843,F169))</f>
        <v/>
      </c>
      <c r="I169">
        <f>IF(F169="","",INDEX(Deals!$D$2:$D$843,F169))</f>
        <v/>
      </c>
      <c r="J169">
        <f>IF(F169="","",INT(H169)-B169)</f>
        <v/>
      </c>
      <c r="K169">
        <f>IF(B169&gt;=Settings!$C$5,1,0)</f>
        <v/>
      </c>
    </row>
    <row r="170">
      <c r="A170" t="inlineStr">
        <is>
          <t>7b889da86fa368b083e6b41f1c879fa9</t>
        </is>
      </c>
      <c r="B170" s="29" t="n">
        <v>42933</v>
      </c>
      <c r="C170" t="inlineStr">
        <is>
          <t>2017-07</t>
        </is>
      </c>
      <c r="D170" t="inlineStr">
        <is>
          <t>f4cb9c7b1dc31afca77d4896d2ae8d4b</t>
        </is>
      </c>
      <c r="E170" t="inlineStr">
        <is>
          <t>organic_search</t>
        </is>
      </c>
      <c r="F170">
        <f>IFERROR(MATCH(A170,Deals!$A$2:$A$843,0),"")</f>
        <v/>
      </c>
      <c r="G170">
        <f>IF(F170="",0,1)</f>
        <v/>
      </c>
      <c r="H170" s="29">
        <f>IF(F170="","",INDEX(Deals!$E$2:$E$843,F170))</f>
        <v/>
      </c>
      <c r="I170">
        <f>IF(F170="","",INDEX(Deals!$D$2:$D$843,F170))</f>
        <v/>
      </c>
      <c r="J170">
        <f>IF(F170="","",INT(H170)-B170)</f>
        <v/>
      </c>
      <c r="K170">
        <f>IF(B170&gt;=Settings!$C$5,1,0)</f>
        <v/>
      </c>
    </row>
    <row r="171">
      <c r="A171" t="inlineStr">
        <is>
          <t>4e253f59ce72377038ab855694e4903c</t>
        </is>
      </c>
      <c r="B171" s="29" t="n">
        <v>43191</v>
      </c>
      <c r="C171" t="inlineStr">
        <is>
          <t>2018-04</t>
        </is>
      </c>
      <c r="D171" t="inlineStr">
        <is>
          <t>a77dcf0bf420ced5e37baae9b5daffa4</t>
        </is>
      </c>
      <c r="E171" t="inlineStr">
        <is>
          <t>social</t>
        </is>
      </c>
      <c r="F171">
        <f>IFERROR(MATCH(A171,Deals!$A$2:$A$843,0),"")</f>
        <v/>
      </c>
      <c r="G171">
        <f>IF(F171="",0,1)</f>
        <v/>
      </c>
      <c r="H171" s="29">
        <f>IF(F171="","",INDEX(Deals!$E$2:$E$843,F171))</f>
        <v/>
      </c>
      <c r="I171">
        <f>IF(F171="","",INDEX(Deals!$D$2:$D$843,F171))</f>
        <v/>
      </c>
      <c r="J171">
        <f>IF(F171="","",INT(H171)-B171)</f>
        <v/>
      </c>
      <c r="K171">
        <f>IF(B171&gt;=Settings!$C$5,1,0)</f>
        <v/>
      </c>
    </row>
    <row r="172">
      <c r="A172" t="inlineStr">
        <is>
          <t>84ea3a7910c3ca971d4718adf0f707f2</t>
        </is>
      </c>
      <c r="B172" s="29" t="n">
        <v>43213</v>
      </c>
      <c r="C172" t="inlineStr">
        <is>
          <t>2018-04</t>
        </is>
      </c>
      <c r="D172" t="inlineStr">
        <is>
          <t>22c29808c4f815213303f8933030604c</t>
        </is>
      </c>
      <c r="E172" t="inlineStr">
        <is>
          <t>direct_traffic</t>
        </is>
      </c>
      <c r="F172">
        <f>IFERROR(MATCH(A172,Deals!$A$2:$A$843,0),"")</f>
        <v/>
      </c>
      <c r="G172">
        <f>IF(F172="",0,1)</f>
        <v/>
      </c>
      <c r="H172" s="29">
        <f>IF(F172="","",INDEX(Deals!$E$2:$E$843,F172))</f>
        <v/>
      </c>
      <c r="I172">
        <f>IF(F172="","",INDEX(Deals!$D$2:$D$843,F172))</f>
        <v/>
      </c>
      <c r="J172">
        <f>IF(F172="","",INT(H172)-B172)</f>
        <v/>
      </c>
      <c r="K172">
        <f>IF(B172&gt;=Settings!$C$5,1,0)</f>
        <v/>
      </c>
    </row>
    <row r="173">
      <c r="A173" t="inlineStr">
        <is>
          <t>5a9fa2197c5e405543c00bd501751082</t>
        </is>
      </c>
      <c r="B173" s="29" t="n">
        <v>43119</v>
      </c>
      <c r="C173" t="inlineStr">
        <is>
          <t>2018-01</t>
        </is>
      </c>
      <c r="D173" t="inlineStr">
        <is>
          <t>22c29808c4f815213303f8933030604c</t>
        </is>
      </c>
      <c r="E173" t="inlineStr">
        <is>
          <t>display</t>
        </is>
      </c>
      <c r="F173">
        <f>IFERROR(MATCH(A173,Deals!$A$2:$A$843,0),"")</f>
        <v/>
      </c>
      <c r="G173">
        <f>IF(F173="",0,1)</f>
        <v/>
      </c>
      <c r="H173" s="29">
        <f>IF(F173="","",INDEX(Deals!$E$2:$E$843,F173))</f>
        <v/>
      </c>
      <c r="I173">
        <f>IF(F173="","",INDEX(Deals!$D$2:$D$843,F173))</f>
        <v/>
      </c>
      <c r="J173">
        <f>IF(F173="","",INT(H173)-B173)</f>
        <v/>
      </c>
      <c r="K173">
        <f>IF(B173&gt;=Settings!$C$5,1,0)</f>
        <v/>
      </c>
    </row>
    <row r="174">
      <c r="A174" t="inlineStr">
        <is>
          <t>ebb72d4bfba370aecb29bc7519c9dac2</t>
        </is>
      </c>
      <c r="B174" s="29" t="n">
        <v>43013</v>
      </c>
      <c r="C174" t="inlineStr">
        <is>
          <t>2017-10</t>
        </is>
      </c>
      <c r="D174" t="inlineStr">
        <is>
          <t>a56671a54260a44923d32c2f08fad39c</t>
        </is>
      </c>
      <c r="E174" t="inlineStr">
        <is>
          <t>paid_search</t>
        </is>
      </c>
      <c r="F174">
        <f>IFERROR(MATCH(A174,Deals!$A$2:$A$843,0),"")</f>
        <v/>
      </c>
      <c r="G174">
        <f>IF(F174="",0,1)</f>
        <v/>
      </c>
      <c r="H174" s="29">
        <f>IF(F174="","",INDEX(Deals!$E$2:$E$843,F174))</f>
        <v/>
      </c>
      <c r="I174">
        <f>IF(F174="","",INDEX(Deals!$D$2:$D$843,F174))</f>
        <v/>
      </c>
      <c r="J174">
        <f>IF(F174="","",INT(H174)-B174)</f>
        <v/>
      </c>
      <c r="K174">
        <f>IF(B174&gt;=Settings!$C$5,1,0)</f>
        <v/>
      </c>
    </row>
    <row r="175">
      <c r="A175" t="inlineStr">
        <is>
          <t>216cbd05fb1918ba700506718cd8d915</t>
        </is>
      </c>
      <c r="B175" s="29" t="n">
        <v>42957</v>
      </c>
      <c r="C175" t="inlineStr">
        <is>
          <t>2017-08</t>
        </is>
      </c>
      <c r="D175" t="inlineStr">
        <is>
          <t>87732658ba41d8775e8577df347a64db</t>
        </is>
      </c>
      <c r="E175" t="inlineStr">
        <is>
          <t>social</t>
        </is>
      </c>
      <c r="F175">
        <f>IFERROR(MATCH(A175,Deals!$A$2:$A$843,0),"")</f>
        <v/>
      </c>
      <c r="G175">
        <f>IF(F175="",0,1)</f>
        <v/>
      </c>
      <c r="H175" s="29">
        <f>IF(F175="","",INDEX(Deals!$E$2:$E$843,F175))</f>
        <v/>
      </c>
      <c r="I175">
        <f>IF(F175="","",INDEX(Deals!$D$2:$D$843,F175))</f>
        <v/>
      </c>
      <c r="J175">
        <f>IF(F175="","",INT(H175)-B175)</f>
        <v/>
      </c>
      <c r="K175">
        <f>IF(B175&gt;=Settings!$C$5,1,0)</f>
        <v/>
      </c>
    </row>
    <row r="176">
      <c r="A176" t="inlineStr">
        <is>
          <t>ff7909ee83a27657cc43a3d5dad7c4e3</t>
        </is>
      </c>
      <c r="B176" s="29" t="n">
        <v>43151</v>
      </c>
      <c r="C176" t="inlineStr">
        <is>
          <t>2018-02</t>
        </is>
      </c>
      <c r="D176" t="inlineStr">
        <is>
          <t>d1905a1a023dc637956eff9364c5765e</t>
        </is>
      </c>
      <c r="E176" t="inlineStr">
        <is>
          <t>paid_search</t>
        </is>
      </c>
      <c r="F176">
        <f>IFERROR(MATCH(A176,Deals!$A$2:$A$843,0),"")</f>
        <v/>
      </c>
      <c r="G176">
        <f>IF(F176="",0,1)</f>
        <v/>
      </c>
      <c r="H176" s="29">
        <f>IF(F176="","",INDEX(Deals!$E$2:$E$843,F176))</f>
        <v/>
      </c>
      <c r="I176">
        <f>IF(F176="","",INDEX(Deals!$D$2:$D$843,F176))</f>
        <v/>
      </c>
      <c r="J176">
        <f>IF(F176="","",INT(H176)-B176)</f>
        <v/>
      </c>
      <c r="K176">
        <f>IF(B176&gt;=Settings!$C$5,1,0)</f>
        <v/>
      </c>
    </row>
    <row r="177">
      <c r="A177" t="inlineStr">
        <is>
          <t>a9ff8314bd4af3bf87c9037dceceff53</t>
        </is>
      </c>
      <c r="B177" s="29" t="n">
        <v>43110</v>
      </c>
      <c r="C177" t="inlineStr">
        <is>
          <t>2018-01</t>
        </is>
      </c>
      <c r="D177" t="inlineStr">
        <is>
          <t>241f79c7a8fe0270f4fb79fcbbcd17ad</t>
        </is>
      </c>
      <c r="E177" t="inlineStr">
        <is>
          <t>paid_search</t>
        </is>
      </c>
      <c r="F177">
        <f>IFERROR(MATCH(A177,Deals!$A$2:$A$843,0),"")</f>
        <v/>
      </c>
      <c r="G177">
        <f>IF(F177="",0,1)</f>
        <v/>
      </c>
      <c r="H177" s="29">
        <f>IF(F177="","",INDEX(Deals!$E$2:$E$843,F177))</f>
        <v/>
      </c>
      <c r="I177">
        <f>IF(F177="","",INDEX(Deals!$D$2:$D$843,F177))</f>
        <v/>
      </c>
      <c r="J177">
        <f>IF(F177="","",INT(H177)-B177)</f>
        <v/>
      </c>
      <c r="K177">
        <f>IF(B177&gt;=Settings!$C$5,1,0)</f>
        <v/>
      </c>
    </row>
    <row r="178">
      <c r="A178" t="inlineStr">
        <is>
          <t>01262c816d03a88372753fac1d70f02d</t>
        </is>
      </c>
      <c r="B178" s="29" t="n">
        <v>43110</v>
      </c>
      <c r="C178" t="inlineStr">
        <is>
          <t>2018-01</t>
        </is>
      </c>
      <c r="D178" t="inlineStr">
        <is>
          <t>22c29808c4f815213303f8933030604c</t>
        </is>
      </c>
      <c r="E178" t="inlineStr">
        <is>
          <t>organic_search</t>
        </is>
      </c>
      <c r="F178">
        <f>IFERROR(MATCH(A178,Deals!$A$2:$A$843,0),"")</f>
        <v/>
      </c>
      <c r="G178">
        <f>IF(F178="",0,1)</f>
        <v/>
      </c>
      <c r="H178" s="29">
        <f>IF(F178="","",INDEX(Deals!$E$2:$E$843,F178))</f>
        <v/>
      </c>
      <c r="I178">
        <f>IF(F178="","",INDEX(Deals!$D$2:$D$843,F178))</f>
        <v/>
      </c>
      <c r="J178">
        <f>IF(F178="","",INT(H178)-B178)</f>
        <v/>
      </c>
      <c r="K178">
        <f>IF(B178&gt;=Settings!$C$5,1,0)</f>
        <v/>
      </c>
    </row>
    <row r="179">
      <c r="A179" t="inlineStr">
        <is>
          <t>6e61e57c1a5ea6fa42bf249242440e91</t>
        </is>
      </c>
      <c r="B179" s="29" t="n">
        <v>43188</v>
      </c>
      <c r="C179" t="inlineStr">
        <is>
          <t>2018-03</t>
        </is>
      </c>
      <c r="D179" t="inlineStr">
        <is>
          <t>4b0974ddecd83fd34439a7312a609824</t>
        </is>
      </c>
      <c r="E179" t="inlineStr">
        <is>
          <t>paid_search</t>
        </is>
      </c>
      <c r="F179">
        <f>IFERROR(MATCH(A179,Deals!$A$2:$A$843,0),"")</f>
        <v/>
      </c>
      <c r="G179">
        <f>IF(F179="",0,1)</f>
        <v/>
      </c>
      <c r="H179" s="29">
        <f>IF(F179="","",INDEX(Deals!$E$2:$E$843,F179))</f>
        <v/>
      </c>
      <c r="I179">
        <f>IF(F179="","",INDEX(Deals!$D$2:$D$843,F179))</f>
        <v/>
      </c>
      <c r="J179">
        <f>IF(F179="","",INT(H179)-B179)</f>
        <v/>
      </c>
      <c r="K179">
        <f>IF(B179&gt;=Settings!$C$5,1,0)</f>
        <v/>
      </c>
    </row>
    <row r="180">
      <c r="A180" t="inlineStr">
        <is>
          <t>8f1eb4568b6b9604a802e083eaf45f51</t>
        </is>
      </c>
      <c r="B180" s="29" t="n">
        <v>43112</v>
      </c>
      <c r="C180" t="inlineStr">
        <is>
          <t>2018-01</t>
        </is>
      </c>
      <c r="D180" t="inlineStr">
        <is>
          <t>88740e65d5d6b056e0cda098e1ea6313</t>
        </is>
      </c>
      <c r="E180" t="inlineStr">
        <is>
          <t>social</t>
        </is>
      </c>
      <c r="F180">
        <f>IFERROR(MATCH(A180,Deals!$A$2:$A$843,0),"")</f>
        <v/>
      </c>
      <c r="G180">
        <f>IF(F180="",0,1)</f>
        <v/>
      </c>
      <c r="H180" s="29">
        <f>IF(F180="","",INDEX(Deals!$E$2:$E$843,F180))</f>
        <v/>
      </c>
      <c r="I180">
        <f>IF(F180="","",INDEX(Deals!$D$2:$D$843,F180))</f>
        <v/>
      </c>
      <c r="J180">
        <f>IF(F180="","",INT(H180)-B180)</f>
        <v/>
      </c>
      <c r="K180">
        <f>IF(B180&gt;=Settings!$C$5,1,0)</f>
        <v/>
      </c>
    </row>
    <row r="181">
      <c r="A181" t="inlineStr">
        <is>
          <t>595f10559cc4d7492e70cdd9ed00ba42</t>
        </is>
      </c>
      <c r="B181" s="29" t="n">
        <v>43202</v>
      </c>
      <c r="C181" t="inlineStr">
        <is>
          <t>2018-04</t>
        </is>
      </c>
      <c r="D181" t="inlineStr">
        <is>
          <t>36120633c8737035fbabf079082f4ec1</t>
        </is>
      </c>
      <c r="E181" t="inlineStr">
        <is>
          <t>unknown</t>
        </is>
      </c>
      <c r="F181">
        <f>IFERROR(MATCH(A181,Deals!$A$2:$A$843,0),"")</f>
        <v/>
      </c>
      <c r="G181">
        <f>IF(F181="",0,1)</f>
        <v/>
      </c>
      <c r="H181" s="29">
        <f>IF(F181="","",INDEX(Deals!$E$2:$E$843,F181))</f>
        <v/>
      </c>
      <c r="I181">
        <f>IF(F181="","",INDEX(Deals!$D$2:$D$843,F181))</f>
        <v/>
      </c>
      <c r="J181">
        <f>IF(F181="","",INT(H181)-B181)</f>
        <v/>
      </c>
      <c r="K181">
        <f>IF(B181&gt;=Settings!$C$5,1,0)</f>
        <v/>
      </c>
    </row>
    <row r="182">
      <c r="A182" t="inlineStr">
        <is>
          <t>4259f88ec5599c3e58266f349beceb45</t>
        </is>
      </c>
      <c r="B182" s="29" t="n">
        <v>43231</v>
      </c>
      <c r="C182" t="inlineStr">
        <is>
          <t>2018-05</t>
        </is>
      </c>
      <c r="D182" t="inlineStr">
        <is>
          <t>9fa37f5177115156b1814ffc237402a6</t>
        </is>
      </c>
      <c r="E182" t="inlineStr">
        <is>
          <t>paid_search</t>
        </is>
      </c>
      <c r="F182">
        <f>IFERROR(MATCH(A182,Deals!$A$2:$A$843,0),"")</f>
        <v/>
      </c>
      <c r="G182">
        <f>IF(F182="",0,1)</f>
        <v/>
      </c>
      <c r="H182" s="29">
        <f>IF(F182="","",INDEX(Deals!$E$2:$E$843,F182))</f>
        <v/>
      </c>
      <c r="I182">
        <f>IF(F182="","",INDEX(Deals!$D$2:$D$843,F182))</f>
        <v/>
      </c>
      <c r="J182">
        <f>IF(F182="","",INT(H182)-B182)</f>
        <v/>
      </c>
      <c r="K182">
        <f>IF(B182&gt;=Settings!$C$5,1,0)</f>
        <v/>
      </c>
    </row>
    <row r="183">
      <c r="A183" t="inlineStr">
        <is>
          <t>78d3e5766f355ed5b69199a2df00382b</t>
        </is>
      </c>
      <c r="B183" s="29" t="n">
        <v>43243</v>
      </c>
      <c r="C183" t="inlineStr">
        <is>
          <t>2018-05</t>
        </is>
      </c>
      <c r="D183" t="inlineStr">
        <is>
          <t>1f2ef44bd62ca960c9391166cae6fd3c</t>
        </is>
      </c>
      <c r="E183" t="inlineStr">
        <is>
          <t>email</t>
        </is>
      </c>
      <c r="F183">
        <f>IFERROR(MATCH(A183,Deals!$A$2:$A$843,0),"")</f>
        <v/>
      </c>
      <c r="G183">
        <f>IF(F183="",0,1)</f>
        <v/>
      </c>
      <c r="H183" s="29">
        <f>IF(F183="","",INDEX(Deals!$E$2:$E$843,F183))</f>
        <v/>
      </c>
      <c r="I183">
        <f>IF(F183="","",INDEX(Deals!$D$2:$D$843,F183))</f>
        <v/>
      </c>
      <c r="J183">
        <f>IF(F183="","",INT(H183)-B183)</f>
        <v/>
      </c>
      <c r="K183">
        <f>IF(B183&gt;=Settings!$C$5,1,0)</f>
        <v/>
      </c>
    </row>
    <row r="184">
      <c r="A184" t="inlineStr">
        <is>
          <t>388823cb9249d4cebc9d677a99e1d79d</t>
        </is>
      </c>
      <c r="B184" s="29" t="n">
        <v>43031</v>
      </c>
      <c r="C184" t="inlineStr">
        <is>
          <t>2017-10</t>
        </is>
      </c>
      <c r="D184" t="inlineStr">
        <is>
          <t>e492ee5eaf1697716985cc6f33f9cd9b</t>
        </is>
      </c>
      <c r="E184" t="inlineStr">
        <is>
          <t>referral</t>
        </is>
      </c>
      <c r="F184">
        <f>IFERROR(MATCH(A184,Deals!$A$2:$A$843,0),"")</f>
        <v/>
      </c>
      <c r="G184">
        <f>IF(F184="",0,1)</f>
        <v/>
      </c>
      <c r="H184" s="29">
        <f>IF(F184="","",INDEX(Deals!$E$2:$E$843,F184))</f>
        <v/>
      </c>
      <c r="I184">
        <f>IF(F184="","",INDEX(Deals!$D$2:$D$843,F184))</f>
        <v/>
      </c>
      <c r="J184">
        <f>IF(F184="","",INT(H184)-B184)</f>
        <v/>
      </c>
      <c r="K184">
        <f>IF(B184&gt;=Settings!$C$5,1,0)</f>
        <v/>
      </c>
    </row>
    <row r="185">
      <c r="A185" t="inlineStr">
        <is>
          <t>d3edd466842655ec6dc7ac0590baf52d</t>
        </is>
      </c>
      <c r="B185" s="29" t="n">
        <v>43003</v>
      </c>
      <c r="C185" t="inlineStr">
        <is>
          <t>2017-09</t>
        </is>
      </c>
      <c r="D185" t="inlineStr">
        <is>
          <t>733adfe409c752b5c200bf23fa2f22d0</t>
        </is>
      </c>
      <c r="E185" t="inlineStr">
        <is>
          <t>paid_search</t>
        </is>
      </c>
      <c r="F185">
        <f>IFERROR(MATCH(A185,Deals!$A$2:$A$843,0),"")</f>
        <v/>
      </c>
      <c r="G185">
        <f>IF(F185="",0,1)</f>
        <v/>
      </c>
      <c r="H185" s="29">
        <f>IF(F185="","",INDEX(Deals!$E$2:$E$843,F185))</f>
        <v/>
      </c>
      <c r="I185">
        <f>IF(F185="","",INDEX(Deals!$D$2:$D$843,F185))</f>
        <v/>
      </c>
      <c r="J185">
        <f>IF(F185="","",INT(H185)-B185)</f>
        <v/>
      </c>
      <c r="K185">
        <f>IF(B185&gt;=Settings!$C$5,1,0)</f>
        <v/>
      </c>
    </row>
    <row r="186">
      <c r="A186" t="inlineStr">
        <is>
          <t>8a91157161fc4306d68471c4773a41dd</t>
        </is>
      </c>
      <c r="B186" s="29" t="n">
        <v>43160</v>
      </c>
      <c r="C186" t="inlineStr">
        <is>
          <t>2018-03</t>
        </is>
      </c>
      <c r="D186" t="inlineStr">
        <is>
          <t>313edefdee4adcd34e8cbec1854ba5a9</t>
        </is>
      </c>
      <c r="E186" t="inlineStr">
        <is>
          <t>email</t>
        </is>
      </c>
      <c r="F186">
        <f>IFERROR(MATCH(A186,Deals!$A$2:$A$843,0),"")</f>
        <v/>
      </c>
      <c r="G186">
        <f>IF(F186="",0,1)</f>
        <v/>
      </c>
      <c r="H186" s="29">
        <f>IF(F186="","",INDEX(Deals!$E$2:$E$843,F186))</f>
        <v/>
      </c>
      <c r="I186">
        <f>IF(F186="","",INDEX(Deals!$D$2:$D$843,F186))</f>
        <v/>
      </c>
      <c r="J186">
        <f>IF(F186="","",INT(H186)-B186)</f>
        <v/>
      </c>
      <c r="K186">
        <f>IF(B186&gt;=Settings!$C$5,1,0)</f>
        <v/>
      </c>
    </row>
    <row r="187">
      <c r="A187" t="inlineStr">
        <is>
          <t>ba08e773374e74b0609b9668df3cd163</t>
        </is>
      </c>
      <c r="B187" s="29" t="n">
        <v>43122</v>
      </c>
      <c r="C187" t="inlineStr">
        <is>
          <t>2018-01</t>
        </is>
      </c>
      <c r="D187" t="inlineStr">
        <is>
          <t>fbc24da54d531c6204ae2d17b1090bb1</t>
        </is>
      </c>
      <c r="E187" t="inlineStr">
        <is>
          <t>paid_search</t>
        </is>
      </c>
      <c r="F187">
        <f>IFERROR(MATCH(A187,Deals!$A$2:$A$843,0),"")</f>
        <v/>
      </c>
      <c r="G187">
        <f>IF(F187="",0,1)</f>
        <v/>
      </c>
      <c r="H187" s="29">
        <f>IF(F187="","",INDEX(Deals!$E$2:$E$843,F187))</f>
        <v/>
      </c>
      <c r="I187">
        <f>IF(F187="","",INDEX(Deals!$D$2:$D$843,F187))</f>
        <v/>
      </c>
      <c r="J187">
        <f>IF(F187="","",INT(H187)-B187)</f>
        <v/>
      </c>
      <c r="K187">
        <f>IF(B187&gt;=Settings!$C$5,1,0)</f>
        <v/>
      </c>
    </row>
    <row r="188">
      <c r="A188" t="inlineStr">
        <is>
          <t>7bd93a032fe572ca1d65f0ea7ee5c0b5</t>
        </is>
      </c>
      <c r="B188" s="29" t="n">
        <v>43107</v>
      </c>
      <c r="C188" t="inlineStr">
        <is>
          <t>2018-01</t>
        </is>
      </c>
      <c r="D188" t="inlineStr">
        <is>
          <t>73f31a40697cc90a86c1273563ac230e</t>
        </is>
      </c>
      <c r="E188" t="inlineStr">
        <is>
          <t>direct_traffic</t>
        </is>
      </c>
      <c r="F188">
        <f>IFERROR(MATCH(A188,Deals!$A$2:$A$843,0),"")</f>
        <v/>
      </c>
      <c r="G188">
        <f>IF(F188="",0,1)</f>
        <v/>
      </c>
      <c r="H188" s="29">
        <f>IF(F188="","",INDEX(Deals!$E$2:$E$843,F188))</f>
        <v/>
      </c>
      <c r="I188">
        <f>IF(F188="","",INDEX(Deals!$D$2:$D$843,F188))</f>
        <v/>
      </c>
      <c r="J188">
        <f>IF(F188="","",INT(H188)-B188)</f>
        <v/>
      </c>
      <c r="K188">
        <f>IF(B188&gt;=Settings!$C$5,1,0)</f>
        <v/>
      </c>
    </row>
    <row r="189">
      <c r="A189" t="inlineStr">
        <is>
          <t>50c8932f79e0369ac94e06e9c6bd86e5</t>
        </is>
      </c>
      <c r="B189" s="29" t="n">
        <v>43186</v>
      </c>
      <c r="C189" t="inlineStr">
        <is>
          <t>2018-03</t>
        </is>
      </c>
      <c r="D189" t="inlineStr">
        <is>
          <t>b76ef37428e6799c421989521c0e5077</t>
        </is>
      </c>
      <c r="E189" t="inlineStr">
        <is>
          <t>unknown</t>
        </is>
      </c>
      <c r="F189">
        <f>IFERROR(MATCH(A189,Deals!$A$2:$A$843,0),"")</f>
        <v/>
      </c>
      <c r="G189">
        <f>IF(F189="",0,1)</f>
        <v/>
      </c>
      <c r="H189" s="29">
        <f>IF(F189="","",INDEX(Deals!$E$2:$E$843,F189))</f>
        <v/>
      </c>
      <c r="I189">
        <f>IF(F189="","",INDEX(Deals!$D$2:$D$843,F189))</f>
        <v/>
      </c>
      <c r="J189">
        <f>IF(F189="","",INT(H189)-B189)</f>
        <v/>
      </c>
      <c r="K189">
        <f>IF(B189&gt;=Settings!$C$5,1,0)</f>
        <v/>
      </c>
    </row>
    <row r="190">
      <c r="A190" t="inlineStr">
        <is>
          <t>3348eb92c98456b4ef8930705f073148</t>
        </is>
      </c>
      <c r="B190" s="29" t="n">
        <v>43125</v>
      </c>
      <c r="C190" t="inlineStr">
        <is>
          <t>2018-01</t>
        </is>
      </c>
      <c r="D190" t="inlineStr">
        <is>
          <t>dcdbbb0bb43f5c9ea457a8363db87e73</t>
        </is>
      </c>
      <c r="E190" t="inlineStr">
        <is>
          <t>organic_search</t>
        </is>
      </c>
      <c r="F190">
        <f>IFERROR(MATCH(A190,Deals!$A$2:$A$843,0),"")</f>
        <v/>
      </c>
      <c r="G190">
        <f>IF(F190="",0,1)</f>
        <v/>
      </c>
      <c r="H190" s="29">
        <f>IF(F190="","",INDEX(Deals!$E$2:$E$843,F190))</f>
        <v/>
      </c>
      <c r="I190">
        <f>IF(F190="","",INDEX(Deals!$D$2:$D$843,F190))</f>
        <v/>
      </c>
      <c r="J190">
        <f>IF(F190="","",INT(H190)-B190)</f>
        <v/>
      </c>
      <c r="K190">
        <f>IF(B190&gt;=Settings!$C$5,1,0)</f>
        <v/>
      </c>
    </row>
    <row r="191">
      <c r="A191" t="inlineStr">
        <is>
          <t>c4a6424fad3db0bab7b55785a0c6680d</t>
        </is>
      </c>
      <c r="B191" s="29" t="n">
        <v>43108</v>
      </c>
      <c r="C191" t="inlineStr">
        <is>
          <t>2018-01</t>
        </is>
      </c>
      <c r="D191" t="inlineStr">
        <is>
          <t>5209e2e679d32a6619feb6942702fd14</t>
        </is>
      </c>
      <c r="E191" t="inlineStr">
        <is>
          <t>organic_search</t>
        </is>
      </c>
      <c r="F191">
        <f>IFERROR(MATCH(A191,Deals!$A$2:$A$843,0),"")</f>
        <v/>
      </c>
      <c r="G191">
        <f>IF(F191="",0,1)</f>
        <v/>
      </c>
      <c r="H191" s="29">
        <f>IF(F191="","",INDEX(Deals!$E$2:$E$843,F191))</f>
        <v/>
      </c>
      <c r="I191">
        <f>IF(F191="","",INDEX(Deals!$D$2:$D$843,F191))</f>
        <v/>
      </c>
      <c r="J191">
        <f>IF(F191="","",INT(H191)-B191)</f>
        <v/>
      </c>
      <c r="K191">
        <f>IF(B191&gt;=Settings!$C$5,1,0)</f>
        <v/>
      </c>
    </row>
    <row r="192">
      <c r="A192" t="inlineStr">
        <is>
          <t>58d2090ece6d4b4a64b9af4763e6661b</t>
        </is>
      </c>
      <c r="B192" s="29" t="n">
        <v>43195</v>
      </c>
      <c r="C192" t="inlineStr">
        <is>
          <t>2018-04</t>
        </is>
      </c>
      <c r="D192" t="inlineStr">
        <is>
          <t>22c29808c4f815213303f8933030604c</t>
        </is>
      </c>
      <c r="E192" t="inlineStr">
        <is>
          <t>organic_search</t>
        </is>
      </c>
      <c r="F192">
        <f>IFERROR(MATCH(A192,Deals!$A$2:$A$843,0),"")</f>
        <v/>
      </c>
      <c r="G192">
        <f>IF(F192="",0,1)</f>
        <v/>
      </c>
      <c r="H192" s="29">
        <f>IF(F192="","",INDEX(Deals!$E$2:$E$843,F192))</f>
        <v/>
      </c>
      <c r="I192">
        <f>IF(F192="","",INDEX(Deals!$D$2:$D$843,F192))</f>
        <v/>
      </c>
      <c r="J192">
        <f>IF(F192="","",INT(H192)-B192)</f>
        <v/>
      </c>
      <c r="K192">
        <f>IF(B192&gt;=Settings!$C$5,1,0)</f>
        <v/>
      </c>
    </row>
    <row r="193">
      <c r="A193" t="inlineStr">
        <is>
          <t>21ec62fa8ae57a1439eec4f09c704806</t>
        </is>
      </c>
      <c r="B193" s="29" t="n">
        <v>43242</v>
      </c>
      <c r="C193" t="inlineStr">
        <is>
          <t>2018-05</t>
        </is>
      </c>
      <c r="D193" t="inlineStr">
        <is>
          <t>e42a14209c69c3e9cc6b042620465f12</t>
        </is>
      </c>
      <c r="E193" t="inlineStr">
        <is>
          <t>email</t>
        </is>
      </c>
      <c r="F193">
        <f>IFERROR(MATCH(A193,Deals!$A$2:$A$843,0),"")</f>
        <v/>
      </c>
      <c r="G193">
        <f>IF(F193="",0,1)</f>
        <v/>
      </c>
      <c r="H193" s="29">
        <f>IF(F193="","",INDEX(Deals!$E$2:$E$843,F193))</f>
        <v/>
      </c>
      <c r="I193">
        <f>IF(F193="","",INDEX(Deals!$D$2:$D$843,F193))</f>
        <v/>
      </c>
      <c r="J193">
        <f>IF(F193="","",INT(H193)-B193)</f>
        <v/>
      </c>
      <c r="K193">
        <f>IF(B193&gt;=Settings!$C$5,1,0)</f>
        <v/>
      </c>
    </row>
    <row r="194">
      <c r="A194" t="inlineStr">
        <is>
          <t>ab11f58a6bf7036a656364b0ba68fb74</t>
        </is>
      </c>
      <c r="B194" s="29" t="n">
        <v>43195</v>
      </c>
      <c r="C194" t="inlineStr">
        <is>
          <t>2018-04</t>
        </is>
      </c>
      <c r="D194" t="inlineStr">
        <is>
          <t>1ceb590cd1e00c7ee95220971f82693d</t>
        </is>
      </c>
      <c r="E194" t="inlineStr">
        <is>
          <t>paid_search</t>
        </is>
      </c>
      <c r="F194">
        <f>IFERROR(MATCH(A194,Deals!$A$2:$A$843,0),"")</f>
        <v/>
      </c>
      <c r="G194">
        <f>IF(F194="",0,1)</f>
        <v/>
      </c>
      <c r="H194" s="29">
        <f>IF(F194="","",INDEX(Deals!$E$2:$E$843,F194))</f>
        <v/>
      </c>
      <c r="I194">
        <f>IF(F194="","",INDEX(Deals!$D$2:$D$843,F194))</f>
        <v/>
      </c>
      <c r="J194">
        <f>IF(F194="","",INT(H194)-B194)</f>
        <v/>
      </c>
      <c r="K194">
        <f>IF(B194&gt;=Settings!$C$5,1,0)</f>
        <v/>
      </c>
    </row>
    <row r="195">
      <c r="A195" t="inlineStr">
        <is>
          <t>11c3bc83e4a0ecfb01176e866d97435f</t>
        </is>
      </c>
      <c r="B195" s="29" t="n">
        <v>43112</v>
      </c>
      <c r="C195" t="inlineStr">
        <is>
          <t>2018-01</t>
        </is>
      </c>
      <c r="D195" t="inlineStr">
        <is>
          <t>88740e65d5d6b056e0cda098e1ea6313</t>
        </is>
      </c>
      <c r="E195" t="inlineStr">
        <is>
          <t>social</t>
        </is>
      </c>
      <c r="F195">
        <f>IFERROR(MATCH(A195,Deals!$A$2:$A$843,0),"")</f>
        <v/>
      </c>
      <c r="G195">
        <f>IF(F195="",0,1)</f>
        <v/>
      </c>
      <c r="H195" s="29">
        <f>IF(F195="","",INDEX(Deals!$E$2:$E$843,F195))</f>
        <v/>
      </c>
      <c r="I195">
        <f>IF(F195="","",INDEX(Deals!$D$2:$D$843,F195))</f>
        <v/>
      </c>
      <c r="J195">
        <f>IF(F195="","",INT(H195)-B195)</f>
        <v/>
      </c>
      <c r="K195">
        <f>IF(B195&gt;=Settings!$C$5,1,0)</f>
        <v/>
      </c>
    </row>
    <row r="196">
      <c r="A196" t="inlineStr">
        <is>
          <t>c858c3ad63668cb33842d65de826d804</t>
        </is>
      </c>
      <c r="B196" s="29" t="n">
        <v>43185</v>
      </c>
      <c r="C196" t="inlineStr">
        <is>
          <t>2018-03</t>
        </is>
      </c>
      <c r="D196" t="inlineStr">
        <is>
          <t>22c29808c4f815213303f8933030604c</t>
        </is>
      </c>
      <c r="E196" t="inlineStr">
        <is>
          <t>direct_traffic</t>
        </is>
      </c>
      <c r="F196">
        <f>IFERROR(MATCH(A196,Deals!$A$2:$A$843,0),"")</f>
        <v/>
      </c>
      <c r="G196">
        <f>IF(F196="",0,1)</f>
        <v/>
      </c>
      <c r="H196" s="29">
        <f>IF(F196="","",INDEX(Deals!$E$2:$E$843,F196))</f>
        <v/>
      </c>
      <c r="I196">
        <f>IF(F196="","",INDEX(Deals!$D$2:$D$843,F196))</f>
        <v/>
      </c>
      <c r="J196">
        <f>IF(F196="","",INT(H196)-B196)</f>
        <v/>
      </c>
      <c r="K196">
        <f>IF(B196&gt;=Settings!$C$5,1,0)</f>
        <v/>
      </c>
    </row>
    <row r="197">
      <c r="A197" t="inlineStr">
        <is>
          <t>d3b5cb5dec3aa02af6dd16a5738b6b04</t>
        </is>
      </c>
      <c r="B197" s="29" t="n">
        <v>43246</v>
      </c>
      <c r="C197" t="inlineStr">
        <is>
          <t>2018-05</t>
        </is>
      </c>
      <c r="D197" t="inlineStr">
        <is>
          <t>fb58285f6f6c4e504dfa628de116cae8</t>
        </is>
      </c>
      <c r="E197" t="inlineStr">
        <is>
          <t>email</t>
        </is>
      </c>
      <c r="F197">
        <f>IFERROR(MATCH(A197,Deals!$A$2:$A$843,0),"")</f>
        <v/>
      </c>
      <c r="G197">
        <f>IF(F197="",0,1)</f>
        <v/>
      </c>
      <c r="H197" s="29">
        <f>IF(F197="","",INDEX(Deals!$E$2:$E$843,F197))</f>
        <v/>
      </c>
      <c r="I197">
        <f>IF(F197="","",INDEX(Deals!$D$2:$D$843,F197))</f>
        <v/>
      </c>
      <c r="J197">
        <f>IF(F197="","",INT(H197)-B197)</f>
        <v/>
      </c>
      <c r="K197">
        <f>IF(B197&gt;=Settings!$C$5,1,0)</f>
        <v/>
      </c>
    </row>
    <row r="198">
      <c r="A198" t="inlineStr">
        <is>
          <t>472a3b0078de94d9743715bad1d9fb90</t>
        </is>
      </c>
      <c r="B198" s="29" t="n">
        <v>43248</v>
      </c>
      <c r="C198" t="inlineStr">
        <is>
          <t>2018-05</t>
        </is>
      </c>
      <c r="D198" t="inlineStr">
        <is>
          <t>346137f3e0157d94372d1cafc5675908</t>
        </is>
      </c>
      <c r="E198" t="inlineStr">
        <is>
          <t>paid_search</t>
        </is>
      </c>
      <c r="F198">
        <f>IFERROR(MATCH(A198,Deals!$A$2:$A$843,0),"")</f>
        <v/>
      </c>
      <c r="G198">
        <f>IF(F198="",0,1)</f>
        <v/>
      </c>
      <c r="H198" s="29">
        <f>IF(F198="","",INDEX(Deals!$E$2:$E$843,F198))</f>
        <v/>
      </c>
      <c r="I198">
        <f>IF(F198="","",INDEX(Deals!$D$2:$D$843,F198))</f>
        <v/>
      </c>
      <c r="J198">
        <f>IF(F198="","",INT(H198)-B198)</f>
        <v/>
      </c>
      <c r="K198">
        <f>IF(B198&gt;=Settings!$C$5,1,0)</f>
        <v/>
      </c>
    </row>
    <row r="199">
      <c r="A199" t="inlineStr">
        <is>
          <t>9d120ada9eb2da286352159f945234ef</t>
        </is>
      </c>
      <c r="B199" s="29" t="n">
        <v>43159</v>
      </c>
      <c r="C199" t="inlineStr">
        <is>
          <t>2018-02</t>
        </is>
      </c>
      <c r="D199" t="inlineStr">
        <is>
          <t>1694e838dffa97f640fcfa35e86e438e</t>
        </is>
      </c>
      <c r="E199" t="inlineStr">
        <is>
          <t>referral</t>
        </is>
      </c>
      <c r="F199">
        <f>IFERROR(MATCH(A199,Deals!$A$2:$A$843,0),"")</f>
        <v/>
      </c>
      <c r="G199">
        <f>IF(F199="",0,1)</f>
        <v/>
      </c>
      <c r="H199" s="29">
        <f>IF(F199="","",INDEX(Deals!$E$2:$E$843,F199))</f>
        <v/>
      </c>
      <c r="I199">
        <f>IF(F199="","",INDEX(Deals!$D$2:$D$843,F199))</f>
        <v/>
      </c>
      <c r="J199">
        <f>IF(F199="","",INT(H199)-B199)</f>
        <v/>
      </c>
      <c r="K199">
        <f>IF(B199&gt;=Settings!$C$5,1,0)</f>
        <v/>
      </c>
    </row>
    <row r="200">
      <c r="A200" t="inlineStr">
        <is>
          <t>3de3b7d9e1ec9e717cf6f5182c9546ad</t>
        </is>
      </c>
      <c r="B200" s="29" t="n">
        <v>43113</v>
      </c>
      <c r="C200" t="inlineStr">
        <is>
          <t>2018-01</t>
        </is>
      </c>
      <c r="D200" t="inlineStr">
        <is>
          <t>e492ee5eaf1697716985cc6f33f9cd9b</t>
        </is>
      </c>
      <c r="E200" t="inlineStr">
        <is>
          <t>organic_search</t>
        </is>
      </c>
      <c r="F200">
        <f>IFERROR(MATCH(A200,Deals!$A$2:$A$843,0),"")</f>
        <v/>
      </c>
      <c r="G200">
        <f>IF(F200="",0,1)</f>
        <v/>
      </c>
      <c r="H200" s="29">
        <f>IF(F200="","",INDEX(Deals!$E$2:$E$843,F200))</f>
        <v/>
      </c>
      <c r="I200">
        <f>IF(F200="","",INDEX(Deals!$D$2:$D$843,F200))</f>
        <v/>
      </c>
      <c r="J200">
        <f>IF(F200="","",INT(H200)-B200)</f>
        <v/>
      </c>
      <c r="K200">
        <f>IF(B200&gt;=Settings!$C$5,1,0)</f>
        <v/>
      </c>
    </row>
    <row r="201">
      <c r="A201" t="inlineStr">
        <is>
          <t>d60c24a3d320c44bcd724270bc61f703</t>
        </is>
      </c>
      <c r="B201" s="29" t="n">
        <v>43147</v>
      </c>
      <c r="C201" t="inlineStr">
        <is>
          <t>2018-02</t>
        </is>
      </c>
      <c r="D201" t="inlineStr">
        <is>
          <t>88740e65d5d6b056e0cda098e1ea6313</t>
        </is>
      </c>
      <c r="E201" t="inlineStr">
        <is>
          <t>social</t>
        </is>
      </c>
      <c r="F201">
        <f>IFERROR(MATCH(A201,Deals!$A$2:$A$843,0),"")</f>
        <v/>
      </c>
      <c r="G201">
        <f>IF(F201="",0,1)</f>
        <v/>
      </c>
      <c r="H201" s="29">
        <f>IF(F201="","",INDEX(Deals!$E$2:$E$843,F201))</f>
        <v/>
      </c>
      <c r="I201">
        <f>IF(F201="","",INDEX(Deals!$D$2:$D$843,F201))</f>
        <v/>
      </c>
      <c r="J201">
        <f>IF(F201="","",INT(H201)-B201)</f>
        <v/>
      </c>
      <c r="K201">
        <f>IF(B201&gt;=Settings!$C$5,1,0)</f>
        <v/>
      </c>
    </row>
    <row r="202">
      <c r="A202" t="inlineStr">
        <is>
          <t>d7de8d1ac85f7464b6f972987b047296</t>
        </is>
      </c>
      <c r="B202" s="29" t="n">
        <v>43203</v>
      </c>
      <c r="C202" t="inlineStr">
        <is>
          <t>2018-04</t>
        </is>
      </c>
      <c r="D202" t="inlineStr">
        <is>
          <t>5ecb50153794666e90bc04c0076b7834</t>
        </is>
      </c>
      <c r="E202" t="inlineStr">
        <is>
          <t>paid_search</t>
        </is>
      </c>
      <c r="F202">
        <f>IFERROR(MATCH(A202,Deals!$A$2:$A$843,0),"")</f>
        <v/>
      </c>
      <c r="G202">
        <f>IF(F202="",0,1)</f>
        <v/>
      </c>
      <c r="H202" s="29">
        <f>IF(F202="","",INDEX(Deals!$E$2:$E$843,F202))</f>
        <v/>
      </c>
      <c r="I202">
        <f>IF(F202="","",INDEX(Deals!$D$2:$D$843,F202))</f>
        <v/>
      </c>
      <c r="J202">
        <f>IF(F202="","",INT(H202)-B202)</f>
        <v/>
      </c>
      <c r="K202">
        <f>IF(B202&gt;=Settings!$C$5,1,0)</f>
        <v/>
      </c>
    </row>
    <row r="203">
      <c r="A203" t="inlineStr">
        <is>
          <t>f3ed1977e3554ea76e333ff63ff2e940</t>
        </is>
      </c>
      <c r="B203" s="29" t="n">
        <v>43229</v>
      </c>
      <c r="C203" t="inlineStr">
        <is>
          <t>2018-05</t>
        </is>
      </c>
      <c r="D203" t="inlineStr">
        <is>
          <t>58326e62183c14b0c03085c33b9fdc44</t>
        </is>
      </c>
      <c r="E203" t="inlineStr">
        <is>
          <t>social</t>
        </is>
      </c>
      <c r="F203">
        <f>IFERROR(MATCH(A203,Deals!$A$2:$A$843,0),"")</f>
        <v/>
      </c>
      <c r="G203">
        <f>IF(F203="",0,1)</f>
        <v/>
      </c>
      <c r="H203" s="29">
        <f>IF(F203="","",INDEX(Deals!$E$2:$E$843,F203))</f>
        <v/>
      </c>
      <c r="I203">
        <f>IF(F203="","",INDEX(Deals!$D$2:$D$843,F203))</f>
        <v/>
      </c>
      <c r="J203">
        <f>IF(F203="","",INT(H203)-B203)</f>
        <v/>
      </c>
      <c r="K203">
        <f>IF(B203&gt;=Settings!$C$5,1,0)</f>
        <v/>
      </c>
    </row>
    <row r="204">
      <c r="A204" t="inlineStr">
        <is>
          <t>648065d6b81ecfa8cc16a36a1aadb0a1</t>
        </is>
      </c>
      <c r="B204" s="29" t="n">
        <v>43217</v>
      </c>
      <c r="C204" t="inlineStr">
        <is>
          <t>2018-04</t>
        </is>
      </c>
      <c r="D204" t="inlineStr">
        <is>
          <t>22c29808c4f815213303f8933030604c</t>
        </is>
      </c>
      <c r="E204" t="inlineStr">
        <is>
          <t>direct_traffic</t>
        </is>
      </c>
      <c r="F204">
        <f>IFERROR(MATCH(A204,Deals!$A$2:$A$843,0),"")</f>
        <v/>
      </c>
      <c r="G204">
        <f>IF(F204="",0,1)</f>
        <v/>
      </c>
      <c r="H204" s="29">
        <f>IF(F204="","",INDEX(Deals!$E$2:$E$843,F204))</f>
        <v/>
      </c>
      <c r="I204">
        <f>IF(F204="","",INDEX(Deals!$D$2:$D$843,F204))</f>
        <v/>
      </c>
      <c r="J204">
        <f>IF(F204="","",INT(H204)-B204)</f>
        <v/>
      </c>
      <c r="K204">
        <f>IF(B204&gt;=Settings!$C$5,1,0)</f>
        <v/>
      </c>
    </row>
    <row r="205">
      <c r="A205" t="inlineStr">
        <is>
          <t>c89fb04b571d162cd3719a4b06ec8422</t>
        </is>
      </c>
      <c r="B205" s="29" t="n">
        <v>43175</v>
      </c>
      <c r="C205" t="inlineStr">
        <is>
          <t>2018-03</t>
        </is>
      </c>
      <c r="D205" t="inlineStr">
        <is>
          <t>15cf89bab2c3163b4f9d8601d108f8b2</t>
        </is>
      </c>
      <c r="E205" t="inlineStr">
        <is>
          <t>organic_search</t>
        </is>
      </c>
      <c r="F205">
        <f>IFERROR(MATCH(A205,Deals!$A$2:$A$843,0),"")</f>
        <v/>
      </c>
      <c r="G205">
        <f>IF(F205="",0,1)</f>
        <v/>
      </c>
      <c r="H205" s="29">
        <f>IF(F205="","",INDEX(Deals!$E$2:$E$843,F205))</f>
        <v/>
      </c>
      <c r="I205">
        <f>IF(F205="","",INDEX(Deals!$D$2:$D$843,F205))</f>
        <v/>
      </c>
      <c r="J205">
        <f>IF(F205="","",INT(H205)-B205)</f>
        <v/>
      </c>
      <c r="K205">
        <f>IF(B205&gt;=Settings!$C$5,1,0)</f>
        <v/>
      </c>
    </row>
    <row r="206">
      <c r="A206" t="inlineStr">
        <is>
          <t>f87153f5ba67f0dfc90e9e562afc430e</t>
        </is>
      </c>
      <c r="B206" s="29" t="n">
        <v>43200</v>
      </c>
      <c r="C206" t="inlineStr">
        <is>
          <t>2018-04</t>
        </is>
      </c>
      <c r="D206" t="inlineStr">
        <is>
          <t>58326e62183c14b0c03085c33b9fdc44</t>
        </is>
      </c>
      <c r="E206" t="inlineStr">
        <is>
          <t>social</t>
        </is>
      </c>
      <c r="F206">
        <f>IFERROR(MATCH(A206,Deals!$A$2:$A$843,0),"")</f>
        <v/>
      </c>
      <c r="G206">
        <f>IF(F206="",0,1)</f>
        <v/>
      </c>
      <c r="H206" s="29">
        <f>IF(F206="","",INDEX(Deals!$E$2:$E$843,F206))</f>
        <v/>
      </c>
      <c r="I206">
        <f>IF(F206="","",INDEX(Deals!$D$2:$D$843,F206))</f>
        <v/>
      </c>
      <c r="J206">
        <f>IF(F206="","",INT(H206)-B206)</f>
        <v/>
      </c>
      <c r="K206">
        <f>IF(B206&gt;=Settings!$C$5,1,0)</f>
        <v/>
      </c>
    </row>
    <row r="207">
      <c r="A207" t="inlineStr">
        <is>
          <t>be8e18628d3b1e19f8f9eb2ae7d913ca</t>
        </is>
      </c>
      <c r="B207" s="29" t="n">
        <v>43015</v>
      </c>
      <c r="C207" t="inlineStr">
        <is>
          <t>2017-10</t>
        </is>
      </c>
      <c r="D207" t="inlineStr">
        <is>
          <t>e492ee5eaf1697716985cc6f33f9cd9b</t>
        </is>
      </c>
      <c r="E207" t="inlineStr">
        <is>
          <t>display</t>
        </is>
      </c>
      <c r="F207">
        <f>IFERROR(MATCH(A207,Deals!$A$2:$A$843,0),"")</f>
        <v/>
      </c>
      <c r="G207">
        <f>IF(F207="",0,1)</f>
        <v/>
      </c>
      <c r="H207" s="29">
        <f>IF(F207="","",INDEX(Deals!$E$2:$E$843,F207))</f>
        <v/>
      </c>
      <c r="I207">
        <f>IF(F207="","",INDEX(Deals!$D$2:$D$843,F207))</f>
        <v/>
      </c>
      <c r="J207">
        <f>IF(F207="","",INT(H207)-B207)</f>
        <v/>
      </c>
      <c r="K207">
        <f>IF(B207&gt;=Settings!$C$5,1,0)</f>
        <v/>
      </c>
    </row>
    <row r="208">
      <c r="A208" t="inlineStr">
        <is>
          <t>de3358cacdad583d84eb857858d15771</t>
        </is>
      </c>
      <c r="B208" s="29" t="n">
        <v>43075</v>
      </c>
      <c r="C208" t="inlineStr">
        <is>
          <t>2017-12</t>
        </is>
      </c>
      <c r="D208" t="inlineStr">
        <is>
          <t>22c29808c4f815213303f8933030604c</t>
        </is>
      </c>
      <c r="E208" t="inlineStr">
        <is>
          <t>organic_search</t>
        </is>
      </c>
      <c r="F208">
        <f>IFERROR(MATCH(A208,Deals!$A$2:$A$843,0),"")</f>
        <v/>
      </c>
      <c r="G208">
        <f>IF(F208="",0,1)</f>
        <v/>
      </c>
      <c r="H208" s="29">
        <f>IF(F208="","",INDEX(Deals!$E$2:$E$843,F208))</f>
        <v/>
      </c>
      <c r="I208">
        <f>IF(F208="","",INDEX(Deals!$D$2:$D$843,F208))</f>
        <v/>
      </c>
      <c r="J208">
        <f>IF(F208="","",INT(H208)-B208)</f>
        <v/>
      </c>
      <c r="K208">
        <f>IF(B208&gt;=Settings!$C$5,1,0)</f>
        <v/>
      </c>
    </row>
    <row r="209">
      <c r="A209" t="inlineStr">
        <is>
          <t>f0a864c2092c2885179523674f580428</t>
        </is>
      </c>
      <c r="B209" s="29" t="n">
        <v>43203</v>
      </c>
      <c r="C209" t="inlineStr">
        <is>
          <t>2018-04</t>
        </is>
      </c>
      <c r="D209" t="inlineStr">
        <is>
          <t>58326e62183c14b0c03085c33b9fdc44</t>
        </is>
      </c>
      <c r="E209" t="inlineStr">
        <is>
          <t>social</t>
        </is>
      </c>
      <c r="F209">
        <f>IFERROR(MATCH(A209,Deals!$A$2:$A$843,0),"")</f>
        <v/>
      </c>
      <c r="G209">
        <f>IF(F209="",0,1)</f>
        <v/>
      </c>
      <c r="H209" s="29">
        <f>IF(F209="","",INDEX(Deals!$E$2:$E$843,F209))</f>
        <v/>
      </c>
      <c r="I209">
        <f>IF(F209="","",INDEX(Deals!$D$2:$D$843,F209))</f>
        <v/>
      </c>
      <c r="J209">
        <f>IF(F209="","",INT(H209)-B209)</f>
        <v/>
      </c>
      <c r="K209">
        <f>IF(B209&gt;=Settings!$C$5,1,0)</f>
        <v/>
      </c>
    </row>
    <row r="210">
      <c r="A210" t="inlineStr">
        <is>
          <t>a1c0274ecb47b9b7c3b3f97ae6756cd3</t>
        </is>
      </c>
      <c r="B210" s="29" t="n">
        <v>43175</v>
      </c>
      <c r="C210" t="inlineStr">
        <is>
          <t>2018-03</t>
        </is>
      </c>
      <c r="D210" t="inlineStr">
        <is>
          <t>ce1a65abd0973638f1c887a6efcfa82d</t>
        </is>
      </c>
      <c r="E210" t="inlineStr">
        <is>
          <t>organic_search</t>
        </is>
      </c>
      <c r="F210">
        <f>IFERROR(MATCH(A210,Deals!$A$2:$A$843,0),"")</f>
        <v/>
      </c>
      <c r="G210">
        <f>IF(F210="",0,1)</f>
        <v/>
      </c>
      <c r="H210" s="29">
        <f>IF(F210="","",INDEX(Deals!$E$2:$E$843,F210))</f>
        <v/>
      </c>
      <c r="I210">
        <f>IF(F210="","",INDEX(Deals!$D$2:$D$843,F210))</f>
        <v/>
      </c>
      <c r="J210">
        <f>IF(F210="","",INT(H210)-B210)</f>
        <v/>
      </c>
      <c r="K210">
        <f>IF(B210&gt;=Settings!$C$5,1,0)</f>
        <v/>
      </c>
    </row>
    <row r="211">
      <c r="A211" t="inlineStr">
        <is>
          <t>fd8b568e665b8506d640290c654c51c7</t>
        </is>
      </c>
      <c r="B211" s="29" t="n">
        <v>43227</v>
      </c>
      <c r="C211" t="inlineStr">
        <is>
          <t>2018-05</t>
        </is>
      </c>
      <c r="D211" t="inlineStr">
        <is>
          <t>22c29808c4f815213303f8933030604c</t>
        </is>
      </c>
      <c r="E211" t="inlineStr">
        <is>
          <t>organic_search</t>
        </is>
      </c>
      <c r="F211">
        <f>IFERROR(MATCH(A211,Deals!$A$2:$A$843,0),"")</f>
        <v/>
      </c>
      <c r="G211">
        <f>IF(F211="",0,1)</f>
        <v/>
      </c>
      <c r="H211" s="29">
        <f>IF(F211="","",INDEX(Deals!$E$2:$E$843,F211))</f>
        <v/>
      </c>
      <c r="I211">
        <f>IF(F211="","",INDEX(Deals!$D$2:$D$843,F211))</f>
        <v/>
      </c>
      <c r="J211">
        <f>IF(F211="","",INT(H211)-B211)</f>
        <v/>
      </c>
      <c r="K211">
        <f>IF(B211&gt;=Settings!$C$5,1,0)</f>
        <v/>
      </c>
    </row>
    <row r="212">
      <c r="A212" t="inlineStr">
        <is>
          <t>b65e747fd66bfc23a11308b8f52dad94</t>
        </is>
      </c>
      <c r="B212" s="29" t="n">
        <v>42947</v>
      </c>
      <c r="C212" t="inlineStr">
        <is>
          <t>2017-07</t>
        </is>
      </c>
      <c r="D212" t="inlineStr">
        <is>
          <t>c70eb6fb5bd6e939b0d5ef32f21f61e8</t>
        </is>
      </c>
      <c r="E212" t="inlineStr">
        <is>
          <t>unknown</t>
        </is>
      </c>
      <c r="F212">
        <f>IFERROR(MATCH(A212,Deals!$A$2:$A$843,0),"")</f>
        <v/>
      </c>
      <c r="G212">
        <f>IF(F212="",0,1)</f>
        <v/>
      </c>
      <c r="H212" s="29">
        <f>IF(F212="","",INDEX(Deals!$E$2:$E$843,F212))</f>
        <v/>
      </c>
      <c r="I212">
        <f>IF(F212="","",INDEX(Deals!$D$2:$D$843,F212))</f>
        <v/>
      </c>
      <c r="J212">
        <f>IF(F212="","",INT(H212)-B212)</f>
        <v/>
      </c>
      <c r="K212">
        <f>IF(B212&gt;=Settings!$C$5,1,0)</f>
        <v/>
      </c>
    </row>
    <row r="213">
      <c r="A213" t="inlineStr">
        <is>
          <t>84f11ceb99dafe222dde3767eb4fe663</t>
        </is>
      </c>
      <c r="B213" s="29" t="n">
        <v>43185</v>
      </c>
      <c r="C213" t="inlineStr">
        <is>
          <t>2018-03</t>
        </is>
      </c>
      <c r="D213" t="inlineStr">
        <is>
          <t>d5559420f79579b9aa701a202c4bc7eb</t>
        </is>
      </c>
      <c r="E213" t="inlineStr">
        <is>
          <t>(missing)</t>
        </is>
      </c>
      <c r="F213">
        <f>IFERROR(MATCH(A213,Deals!$A$2:$A$843,0),"")</f>
        <v/>
      </c>
      <c r="G213">
        <f>IF(F213="",0,1)</f>
        <v/>
      </c>
      <c r="H213" s="29">
        <f>IF(F213="","",INDEX(Deals!$E$2:$E$843,F213))</f>
        <v/>
      </c>
      <c r="I213">
        <f>IF(F213="","",INDEX(Deals!$D$2:$D$843,F213))</f>
        <v/>
      </c>
      <c r="J213">
        <f>IF(F213="","",INT(H213)-B213)</f>
        <v/>
      </c>
      <c r="K213">
        <f>IF(B213&gt;=Settings!$C$5,1,0)</f>
        <v/>
      </c>
    </row>
    <row r="214">
      <c r="A214" t="inlineStr">
        <is>
          <t>5bae7561597d0a52e9b41ca506b33302</t>
        </is>
      </c>
      <c r="B214" s="29" t="n">
        <v>43170</v>
      </c>
      <c r="C214" t="inlineStr">
        <is>
          <t>2018-03</t>
        </is>
      </c>
      <c r="D214" t="inlineStr">
        <is>
          <t>ce1a65abd0973638f1c887a6efcfa82d</t>
        </is>
      </c>
      <c r="E214" t="inlineStr">
        <is>
          <t>organic_search</t>
        </is>
      </c>
      <c r="F214">
        <f>IFERROR(MATCH(A214,Deals!$A$2:$A$843,0),"")</f>
        <v/>
      </c>
      <c r="G214">
        <f>IF(F214="",0,1)</f>
        <v/>
      </c>
      <c r="H214" s="29">
        <f>IF(F214="","",INDEX(Deals!$E$2:$E$843,F214))</f>
        <v/>
      </c>
      <c r="I214">
        <f>IF(F214="","",INDEX(Deals!$D$2:$D$843,F214))</f>
        <v/>
      </c>
      <c r="J214">
        <f>IF(F214="","",INT(H214)-B214)</f>
        <v/>
      </c>
      <c r="K214">
        <f>IF(B214&gt;=Settings!$C$5,1,0)</f>
        <v/>
      </c>
    </row>
    <row r="215">
      <c r="A215" t="inlineStr">
        <is>
          <t>308aa0735742812f56e74349bb84c3e8</t>
        </is>
      </c>
      <c r="B215" s="29" t="n">
        <v>43227</v>
      </c>
      <c r="C215" t="inlineStr">
        <is>
          <t>2018-05</t>
        </is>
      </c>
      <c r="D215" t="inlineStr">
        <is>
          <t>30534107aa0013db92899c96a1017d0b</t>
        </is>
      </c>
      <c r="E215" t="inlineStr">
        <is>
          <t>social</t>
        </is>
      </c>
      <c r="F215">
        <f>IFERROR(MATCH(A215,Deals!$A$2:$A$843,0),"")</f>
        <v/>
      </c>
      <c r="G215">
        <f>IF(F215="",0,1)</f>
        <v/>
      </c>
      <c r="H215" s="29">
        <f>IF(F215="","",INDEX(Deals!$E$2:$E$843,F215))</f>
        <v/>
      </c>
      <c r="I215">
        <f>IF(F215="","",INDEX(Deals!$D$2:$D$843,F215))</f>
        <v/>
      </c>
      <c r="J215">
        <f>IF(F215="","",INT(H215)-B215)</f>
        <v/>
      </c>
      <c r="K215">
        <f>IF(B215&gt;=Settings!$C$5,1,0)</f>
        <v/>
      </c>
    </row>
    <row r="216">
      <c r="A216" t="inlineStr">
        <is>
          <t>17e2f490c88a85e1a0872d7e5431e374</t>
        </is>
      </c>
      <c r="B216" s="29" t="n">
        <v>43105</v>
      </c>
      <c r="C216" t="inlineStr">
        <is>
          <t>2018-01</t>
        </is>
      </c>
      <c r="D216" t="inlineStr">
        <is>
          <t>22c29808c4f815213303f8933030604c</t>
        </is>
      </c>
      <c r="E216" t="inlineStr">
        <is>
          <t>organic_search</t>
        </is>
      </c>
      <c r="F216">
        <f>IFERROR(MATCH(A216,Deals!$A$2:$A$843,0),"")</f>
        <v/>
      </c>
      <c r="G216">
        <f>IF(F216="",0,1)</f>
        <v/>
      </c>
      <c r="H216" s="29">
        <f>IF(F216="","",INDEX(Deals!$E$2:$E$843,F216))</f>
        <v/>
      </c>
      <c r="I216">
        <f>IF(F216="","",INDEX(Deals!$D$2:$D$843,F216))</f>
        <v/>
      </c>
      <c r="J216">
        <f>IF(F216="","",INT(H216)-B216)</f>
        <v/>
      </c>
      <c r="K216">
        <f>IF(B216&gt;=Settings!$C$5,1,0)</f>
        <v/>
      </c>
    </row>
    <row r="217">
      <c r="A217" t="inlineStr">
        <is>
          <t>bae38661a27f6228ba38c36e766ed769</t>
        </is>
      </c>
      <c r="B217" s="29" t="n">
        <v>43149</v>
      </c>
      <c r="C217" t="inlineStr">
        <is>
          <t>2018-02</t>
        </is>
      </c>
      <c r="D217" t="inlineStr">
        <is>
          <t>88740e65d5d6b056e0cda098e1ea6313</t>
        </is>
      </c>
      <c r="E217" t="inlineStr">
        <is>
          <t>social</t>
        </is>
      </c>
      <c r="F217">
        <f>IFERROR(MATCH(A217,Deals!$A$2:$A$843,0),"")</f>
        <v/>
      </c>
      <c r="G217">
        <f>IF(F217="",0,1)</f>
        <v/>
      </c>
      <c r="H217" s="29">
        <f>IF(F217="","",INDEX(Deals!$E$2:$E$843,F217))</f>
        <v/>
      </c>
      <c r="I217">
        <f>IF(F217="","",INDEX(Deals!$D$2:$D$843,F217))</f>
        <v/>
      </c>
      <c r="J217">
        <f>IF(F217="","",INT(H217)-B217)</f>
        <v/>
      </c>
      <c r="K217">
        <f>IF(B217&gt;=Settings!$C$5,1,0)</f>
        <v/>
      </c>
    </row>
    <row r="218">
      <c r="A218" t="inlineStr">
        <is>
          <t>ac10e665742d961d630f9d86307dd3b5</t>
        </is>
      </c>
      <c r="B218" s="29" t="n">
        <v>43195</v>
      </c>
      <c r="C218" t="inlineStr">
        <is>
          <t>2018-04</t>
        </is>
      </c>
      <c r="D218" t="inlineStr">
        <is>
          <t>22c29808c4f815213303f8933030604c</t>
        </is>
      </c>
      <c r="E218" t="inlineStr">
        <is>
          <t>paid_search</t>
        </is>
      </c>
      <c r="F218">
        <f>IFERROR(MATCH(A218,Deals!$A$2:$A$843,0),"")</f>
        <v/>
      </c>
      <c r="G218">
        <f>IF(F218="",0,1)</f>
        <v/>
      </c>
      <c r="H218" s="29">
        <f>IF(F218="","",INDEX(Deals!$E$2:$E$843,F218))</f>
        <v/>
      </c>
      <c r="I218">
        <f>IF(F218="","",INDEX(Deals!$D$2:$D$843,F218))</f>
        <v/>
      </c>
      <c r="J218">
        <f>IF(F218="","",INT(H218)-B218)</f>
        <v/>
      </c>
      <c r="K218">
        <f>IF(B218&gt;=Settings!$C$5,1,0)</f>
        <v/>
      </c>
    </row>
    <row r="219">
      <c r="A219" t="inlineStr">
        <is>
          <t>263674f3b69459e3f1d42bccb8996777</t>
        </is>
      </c>
      <c r="B219" s="29" t="n">
        <v>42974</v>
      </c>
      <c r="C219" t="inlineStr">
        <is>
          <t>2017-08</t>
        </is>
      </c>
      <c r="D219" t="inlineStr">
        <is>
          <t>0f25be78376bbbaba8553051e980b83c</t>
        </is>
      </c>
      <c r="E219" t="inlineStr">
        <is>
          <t>social</t>
        </is>
      </c>
      <c r="F219">
        <f>IFERROR(MATCH(A219,Deals!$A$2:$A$843,0),"")</f>
        <v/>
      </c>
      <c r="G219">
        <f>IF(F219="",0,1)</f>
        <v/>
      </c>
      <c r="H219" s="29">
        <f>IF(F219="","",INDEX(Deals!$E$2:$E$843,F219))</f>
        <v/>
      </c>
      <c r="I219">
        <f>IF(F219="","",INDEX(Deals!$D$2:$D$843,F219))</f>
        <v/>
      </c>
      <c r="J219">
        <f>IF(F219="","",INT(H219)-B219)</f>
        <v/>
      </c>
      <c r="K219">
        <f>IF(B219&gt;=Settings!$C$5,1,0)</f>
        <v/>
      </c>
    </row>
    <row r="220">
      <c r="A220" t="inlineStr">
        <is>
          <t>c02235a55d85edfd632c1b009cbea94c</t>
        </is>
      </c>
      <c r="B220" s="29" t="n">
        <v>43039</v>
      </c>
      <c r="C220" t="inlineStr">
        <is>
          <t>2017-10</t>
        </is>
      </c>
      <c r="D220" t="inlineStr">
        <is>
          <t>22c29808c4f815213303f8933030604c</t>
        </is>
      </c>
      <c r="E220" t="inlineStr">
        <is>
          <t>unknown</t>
        </is>
      </c>
      <c r="F220">
        <f>IFERROR(MATCH(A220,Deals!$A$2:$A$843,0),"")</f>
        <v/>
      </c>
      <c r="G220">
        <f>IF(F220="",0,1)</f>
        <v/>
      </c>
      <c r="H220" s="29">
        <f>IF(F220="","",INDEX(Deals!$E$2:$E$843,F220))</f>
        <v/>
      </c>
      <c r="I220">
        <f>IF(F220="","",INDEX(Deals!$D$2:$D$843,F220))</f>
        <v/>
      </c>
      <c r="J220">
        <f>IF(F220="","",INT(H220)-B220)</f>
        <v/>
      </c>
      <c r="K220">
        <f>IF(B220&gt;=Settings!$C$5,1,0)</f>
        <v/>
      </c>
    </row>
    <row r="221">
      <c r="A221" t="inlineStr">
        <is>
          <t>450b97a48568c3118ff397f73abe4e4a</t>
        </is>
      </c>
      <c r="B221" s="29" t="n">
        <v>43193</v>
      </c>
      <c r="C221" t="inlineStr">
        <is>
          <t>2018-04</t>
        </is>
      </c>
      <c r="D221" t="inlineStr">
        <is>
          <t>2f08471dfb83baef522f952438a36f6e</t>
        </is>
      </c>
      <c r="E221" t="inlineStr">
        <is>
          <t>referral</t>
        </is>
      </c>
      <c r="F221">
        <f>IFERROR(MATCH(A221,Deals!$A$2:$A$843,0),"")</f>
        <v/>
      </c>
      <c r="G221">
        <f>IF(F221="",0,1)</f>
        <v/>
      </c>
      <c r="H221" s="29">
        <f>IF(F221="","",INDEX(Deals!$E$2:$E$843,F221))</f>
        <v/>
      </c>
      <c r="I221">
        <f>IF(F221="","",INDEX(Deals!$D$2:$D$843,F221))</f>
        <v/>
      </c>
      <c r="J221">
        <f>IF(F221="","",INT(H221)-B221)</f>
        <v/>
      </c>
      <c r="K221">
        <f>IF(B221&gt;=Settings!$C$5,1,0)</f>
        <v/>
      </c>
    </row>
    <row r="222">
      <c r="A222" t="inlineStr">
        <is>
          <t>227e69e4b6f590bf169f5d1eb993ebf7</t>
        </is>
      </c>
      <c r="B222" s="29" t="n">
        <v>43151</v>
      </c>
      <c r="C222" t="inlineStr">
        <is>
          <t>2018-02</t>
        </is>
      </c>
      <c r="D222" t="inlineStr">
        <is>
          <t>b76ef37428e6799c421989521c0e5077</t>
        </is>
      </c>
      <c r="E222" t="inlineStr">
        <is>
          <t>unknown</t>
        </is>
      </c>
      <c r="F222">
        <f>IFERROR(MATCH(A222,Deals!$A$2:$A$843,0),"")</f>
        <v/>
      </c>
      <c r="G222">
        <f>IF(F222="",0,1)</f>
        <v/>
      </c>
      <c r="H222" s="29">
        <f>IF(F222="","",INDEX(Deals!$E$2:$E$843,F222))</f>
        <v/>
      </c>
      <c r="I222">
        <f>IF(F222="","",INDEX(Deals!$D$2:$D$843,F222))</f>
        <v/>
      </c>
      <c r="J222">
        <f>IF(F222="","",INT(H222)-B222)</f>
        <v/>
      </c>
      <c r="K222">
        <f>IF(B222&gt;=Settings!$C$5,1,0)</f>
        <v/>
      </c>
    </row>
    <row r="223">
      <c r="A223" t="inlineStr">
        <is>
          <t>17d6278aaf26be24980654e102a111fc</t>
        </is>
      </c>
      <c r="B223" s="29" t="n">
        <v>43208</v>
      </c>
      <c r="C223" t="inlineStr">
        <is>
          <t>2018-04</t>
        </is>
      </c>
      <c r="D223" t="inlineStr">
        <is>
          <t>15cf89bab2c3163b4f9d8601d108f8b2</t>
        </is>
      </c>
      <c r="E223" t="inlineStr">
        <is>
          <t>other</t>
        </is>
      </c>
      <c r="F223">
        <f>IFERROR(MATCH(A223,Deals!$A$2:$A$843,0),"")</f>
        <v/>
      </c>
      <c r="G223">
        <f>IF(F223="",0,1)</f>
        <v/>
      </c>
      <c r="H223" s="29">
        <f>IF(F223="","",INDEX(Deals!$E$2:$E$843,F223))</f>
        <v/>
      </c>
      <c r="I223">
        <f>IF(F223="","",INDEX(Deals!$D$2:$D$843,F223))</f>
        <v/>
      </c>
      <c r="J223">
        <f>IF(F223="","",INT(H223)-B223)</f>
        <v/>
      </c>
      <c r="K223">
        <f>IF(B223&gt;=Settings!$C$5,1,0)</f>
        <v/>
      </c>
    </row>
    <row r="224">
      <c r="A224" t="inlineStr">
        <is>
          <t>a082c0a47eb5379353243b15bf77c560</t>
        </is>
      </c>
      <c r="B224" s="29" t="n">
        <v>42984</v>
      </c>
      <c r="C224" t="inlineStr">
        <is>
          <t>2017-09</t>
        </is>
      </c>
      <c r="D224" t="inlineStr">
        <is>
          <t>97338d2165e7d6d9bc1348573a405642</t>
        </is>
      </c>
      <c r="E224" t="inlineStr">
        <is>
          <t>referral</t>
        </is>
      </c>
      <c r="F224">
        <f>IFERROR(MATCH(A224,Deals!$A$2:$A$843,0),"")</f>
        <v/>
      </c>
      <c r="G224">
        <f>IF(F224="",0,1)</f>
        <v/>
      </c>
      <c r="H224" s="29">
        <f>IF(F224="","",INDEX(Deals!$E$2:$E$843,F224))</f>
        <v/>
      </c>
      <c r="I224">
        <f>IF(F224="","",INDEX(Deals!$D$2:$D$843,F224))</f>
        <v/>
      </c>
      <c r="J224">
        <f>IF(F224="","",INT(H224)-B224)</f>
        <v/>
      </c>
      <c r="K224">
        <f>IF(B224&gt;=Settings!$C$5,1,0)</f>
        <v/>
      </c>
    </row>
    <row r="225">
      <c r="A225" t="inlineStr">
        <is>
          <t>99ba5c4097c6b8fef5ed774a1a6714b8</t>
        </is>
      </c>
      <c r="B225" s="29" t="n">
        <v>43246</v>
      </c>
      <c r="C225" t="inlineStr">
        <is>
          <t>2018-05</t>
        </is>
      </c>
      <c r="D225" t="inlineStr">
        <is>
          <t>58326e62183c14b0c03085c33b9fdc44</t>
        </is>
      </c>
      <c r="E225" t="inlineStr">
        <is>
          <t>(missing)</t>
        </is>
      </c>
      <c r="F225">
        <f>IFERROR(MATCH(A225,Deals!$A$2:$A$843,0),"")</f>
        <v/>
      </c>
      <c r="G225">
        <f>IF(F225="",0,1)</f>
        <v/>
      </c>
      <c r="H225" s="29">
        <f>IF(F225="","",INDEX(Deals!$E$2:$E$843,F225))</f>
        <v/>
      </c>
      <c r="I225">
        <f>IF(F225="","",INDEX(Deals!$D$2:$D$843,F225))</f>
        <v/>
      </c>
      <c r="J225">
        <f>IF(F225="","",INT(H225)-B225)</f>
        <v/>
      </c>
      <c r="K225">
        <f>IF(B225&gt;=Settings!$C$5,1,0)</f>
        <v/>
      </c>
    </row>
    <row r="226">
      <c r="A226" t="inlineStr">
        <is>
          <t>012849d3021dca5ddefa4d967324caeb</t>
        </is>
      </c>
      <c r="B226" s="29" t="n">
        <v>43232</v>
      </c>
      <c r="C226" t="inlineStr">
        <is>
          <t>2018-05</t>
        </is>
      </c>
      <c r="D226" t="inlineStr">
        <is>
          <t>22c29808c4f815213303f8933030604c</t>
        </is>
      </c>
      <c r="E226" t="inlineStr">
        <is>
          <t>social</t>
        </is>
      </c>
      <c r="F226">
        <f>IFERROR(MATCH(A226,Deals!$A$2:$A$843,0),"")</f>
        <v/>
      </c>
      <c r="G226">
        <f>IF(F226="",0,1)</f>
        <v/>
      </c>
      <c r="H226" s="29">
        <f>IF(F226="","",INDEX(Deals!$E$2:$E$843,F226))</f>
        <v/>
      </c>
      <c r="I226">
        <f>IF(F226="","",INDEX(Deals!$D$2:$D$843,F226))</f>
        <v/>
      </c>
      <c r="J226">
        <f>IF(F226="","",INT(H226)-B226)</f>
        <v/>
      </c>
      <c r="K226">
        <f>IF(B226&gt;=Settings!$C$5,1,0)</f>
        <v/>
      </c>
    </row>
    <row r="227">
      <c r="A227" t="inlineStr">
        <is>
          <t>9878253904482726e741460a99adba86</t>
        </is>
      </c>
      <c r="B227" s="29" t="n">
        <v>43122</v>
      </c>
      <c r="C227" t="inlineStr">
        <is>
          <t>2018-01</t>
        </is>
      </c>
      <c r="D227" t="inlineStr">
        <is>
          <t>22c29808c4f815213303f8933030604c</t>
        </is>
      </c>
      <c r="E227" t="inlineStr">
        <is>
          <t>organic_search</t>
        </is>
      </c>
      <c r="F227">
        <f>IFERROR(MATCH(A227,Deals!$A$2:$A$843,0),"")</f>
        <v/>
      </c>
      <c r="G227">
        <f>IF(F227="",0,1)</f>
        <v/>
      </c>
      <c r="H227" s="29">
        <f>IF(F227="","",INDEX(Deals!$E$2:$E$843,F227))</f>
        <v/>
      </c>
      <c r="I227">
        <f>IF(F227="","",INDEX(Deals!$D$2:$D$843,F227))</f>
        <v/>
      </c>
      <c r="J227">
        <f>IF(F227="","",INT(H227)-B227)</f>
        <v/>
      </c>
      <c r="K227">
        <f>IF(B227&gt;=Settings!$C$5,1,0)</f>
        <v/>
      </c>
    </row>
    <row r="228">
      <c r="A228" t="inlineStr">
        <is>
          <t>4f7ef7308c8eb7e5e3730a15a66c0fb3</t>
        </is>
      </c>
      <c r="B228" s="29" t="n">
        <v>43014</v>
      </c>
      <c r="C228" t="inlineStr">
        <is>
          <t>2017-10</t>
        </is>
      </c>
      <c r="D228" t="inlineStr">
        <is>
          <t>1722481ac9e5371e5099dea226b5421d</t>
        </is>
      </c>
      <c r="E228" t="inlineStr">
        <is>
          <t>paid_search</t>
        </is>
      </c>
      <c r="F228">
        <f>IFERROR(MATCH(A228,Deals!$A$2:$A$843,0),"")</f>
        <v/>
      </c>
      <c r="G228">
        <f>IF(F228="",0,1)</f>
        <v/>
      </c>
      <c r="H228" s="29">
        <f>IF(F228="","",INDEX(Deals!$E$2:$E$843,F228))</f>
        <v/>
      </c>
      <c r="I228">
        <f>IF(F228="","",INDEX(Deals!$D$2:$D$843,F228))</f>
        <v/>
      </c>
      <c r="J228">
        <f>IF(F228="","",INT(H228)-B228)</f>
        <v/>
      </c>
      <c r="K228">
        <f>IF(B228&gt;=Settings!$C$5,1,0)</f>
        <v/>
      </c>
    </row>
    <row r="229">
      <c r="A229" t="inlineStr">
        <is>
          <t>b9121f1db9d4771da790da05438d0e05</t>
        </is>
      </c>
      <c r="B229" s="29" t="n">
        <v>43251</v>
      </c>
      <c r="C229" t="inlineStr">
        <is>
          <t>2018-05</t>
        </is>
      </c>
      <c r="D229" t="inlineStr">
        <is>
          <t>b76ef37428e6799c421989521c0e5077</t>
        </is>
      </c>
      <c r="E229" t="inlineStr">
        <is>
          <t>organic_search</t>
        </is>
      </c>
      <c r="F229">
        <f>IFERROR(MATCH(A229,Deals!$A$2:$A$843,0),"")</f>
        <v/>
      </c>
      <c r="G229">
        <f>IF(F229="",0,1)</f>
        <v/>
      </c>
      <c r="H229" s="29">
        <f>IF(F229="","",INDEX(Deals!$E$2:$E$843,F229))</f>
        <v/>
      </c>
      <c r="I229">
        <f>IF(F229="","",INDEX(Deals!$D$2:$D$843,F229))</f>
        <v/>
      </c>
      <c r="J229">
        <f>IF(F229="","",INT(H229)-B229)</f>
        <v/>
      </c>
      <c r="K229">
        <f>IF(B229&gt;=Settings!$C$5,1,0)</f>
        <v/>
      </c>
    </row>
    <row r="230">
      <c r="A230" t="inlineStr">
        <is>
          <t>daceb01279633a581b12e34aa3653c6e</t>
        </is>
      </c>
      <c r="B230" s="29" t="n">
        <v>43118</v>
      </c>
      <c r="C230" t="inlineStr">
        <is>
          <t>2018-01</t>
        </is>
      </c>
      <c r="D230" t="inlineStr">
        <is>
          <t>ce1a65abd0973638f1c887a6efcfa82d</t>
        </is>
      </c>
      <c r="E230" t="inlineStr">
        <is>
          <t>organic_search</t>
        </is>
      </c>
      <c r="F230">
        <f>IFERROR(MATCH(A230,Deals!$A$2:$A$843,0),"")</f>
        <v/>
      </c>
      <c r="G230">
        <f>IF(F230="",0,1)</f>
        <v/>
      </c>
      <c r="H230" s="29">
        <f>IF(F230="","",INDEX(Deals!$E$2:$E$843,F230))</f>
        <v/>
      </c>
      <c r="I230">
        <f>IF(F230="","",INDEX(Deals!$D$2:$D$843,F230))</f>
        <v/>
      </c>
      <c r="J230">
        <f>IF(F230="","",INT(H230)-B230)</f>
        <v/>
      </c>
      <c r="K230">
        <f>IF(B230&gt;=Settings!$C$5,1,0)</f>
        <v/>
      </c>
    </row>
    <row r="231">
      <c r="A231" t="inlineStr">
        <is>
          <t>93f97410020f1aeb261aa376df54f44d</t>
        </is>
      </c>
      <c r="B231" s="29" t="n">
        <v>42937</v>
      </c>
      <c r="C231" t="inlineStr">
        <is>
          <t>2017-07</t>
        </is>
      </c>
      <c r="D231" t="inlineStr">
        <is>
          <t>bddebc4f4d44106c427bd00695840e64</t>
        </is>
      </c>
      <c r="E231" t="inlineStr">
        <is>
          <t>other</t>
        </is>
      </c>
      <c r="F231">
        <f>IFERROR(MATCH(A231,Deals!$A$2:$A$843,0),"")</f>
        <v/>
      </c>
      <c r="G231">
        <f>IF(F231="",0,1)</f>
        <v/>
      </c>
      <c r="H231" s="29">
        <f>IF(F231="","",INDEX(Deals!$E$2:$E$843,F231))</f>
        <v/>
      </c>
      <c r="I231">
        <f>IF(F231="","",INDEX(Deals!$D$2:$D$843,F231))</f>
        <v/>
      </c>
      <c r="J231">
        <f>IF(F231="","",INT(H231)-B231)</f>
        <v/>
      </c>
      <c r="K231">
        <f>IF(B231&gt;=Settings!$C$5,1,0)</f>
        <v/>
      </c>
    </row>
    <row r="232">
      <c r="A232" t="inlineStr">
        <is>
          <t>ed3d878bf23177e7075ce07578841047</t>
        </is>
      </c>
      <c r="B232" s="29" t="n">
        <v>43229</v>
      </c>
      <c r="C232" t="inlineStr">
        <is>
          <t>2018-05</t>
        </is>
      </c>
      <c r="D232" t="inlineStr">
        <is>
          <t>22c29808c4f815213303f8933030604c</t>
        </is>
      </c>
      <c r="E232" t="inlineStr">
        <is>
          <t>organic_search</t>
        </is>
      </c>
      <c r="F232">
        <f>IFERROR(MATCH(A232,Deals!$A$2:$A$843,0),"")</f>
        <v/>
      </c>
      <c r="G232">
        <f>IF(F232="",0,1)</f>
        <v/>
      </c>
      <c r="H232" s="29">
        <f>IF(F232="","",INDEX(Deals!$E$2:$E$843,F232))</f>
        <v/>
      </c>
      <c r="I232">
        <f>IF(F232="","",INDEX(Deals!$D$2:$D$843,F232))</f>
        <v/>
      </c>
      <c r="J232">
        <f>IF(F232="","",INT(H232)-B232)</f>
        <v/>
      </c>
      <c r="K232">
        <f>IF(B232&gt;=Settings!$C$5,1,0)</f>
        <v/>
      </c>
    </row>
    <row r="233">
      <c r="A233" t="inlineStr">
        <is>
          <t>27e5a42dc357dc9ec3ef7366ac382854</t>
        </is>
      </c>
      <c r="B233" s="29" t="n">
        <v>43206</v>
      </c>
      <c r="C233" t="inlineStr">
        <is>
          <t>2018-04</t>
        </is>
      </c>
      <c r="D233" t="inlineStr">
        <is>
          <t>58326e62183c14b0c03085c33b9fdc44</t>
        </is>
      </c>
      <c r="E233" t="inlineStr">
        <is>
          <t>social</t>
        </is>
      </c>
      <c r="F233">
        <f>IFERROR(MATCH(A233,Deals!$A$2:$A$843,0),"")</f>
        <v/>
      </c>
      <c r="G233">
        <f>IF(F233="",0,1)</f>
        <v/>
      </c>
      <c r="H233" s="29">
        <f>IF(F233="","",INDEX(Deals!$E$2:$E$843,F233))</f>
        <v/>
      </c>
      <c r="I233">
        <f>IF(F233="","",INDEX(Deals!$D$2:$D$843,F233))</f>
        <v/>
      </c>
      <c r="J233">
        <f>IF(F233="","",INT(H233)-B233)</f>
        <v/>
      </c>
      <c r="K233">
        <f>IF(B233&gt;=Settings!$C$5,1,0)</f>
        <v/>
      </c>
    </row>
    <row r="234">
      <c r="A234" t="inlineStr">
        <is>
          <t>c3d01570a1a71215cb64c07a96727e26</t>
        </is>
      </c>
      <c r="B234" s="29" t="n">
        <v>43237</v>
      </c>
      <c r="C234" t="inlineStr">
        <is>
          <t>2018-05</t>
        </is>
      </c>
      <c r="D234" t="inlineStr">
        <is>
          <t>e492ee5eaf1697716985cc6f33f9cd9b</t>
        </is>
      </c>
      <c r="E234" t="inlineStr">
        <is>
          <t>other</t>
        </is>
      </c>
      <c r="F234">
        <f>IFERROR(MATCH(A234,Deals!$A$2:$A$843,0),"")</f>
        <v/>
      </c>
      <c r="G234">
        <f>IF(F234="",0,1)</f>
        <v/>
      </c>
      <c r="H234" s="29">
        <f>IF(F234="","",INDEX(Deals!$E$2:$E$843,F234))</f>
        <v/>
      </c>
      <c r="I234">
        <f>IF(F234="","",INDEX(Deals!$D$2:$D$843,F234))</f>
        <v/>
      </c>
      <c r="J234">
        <f>IF(F234="","",INT(H234)-B234)</f>
        <v/>
      </c>
      <c r="K234">
        <f>IF(B234&gt;=Settings!$C$5,1,0)</f>
        <v/>
      </c>
    </row>
    <row r="235">
      <c r="A235" t="inlineStr">
        <is>
          <t>ad0ca0bad566bac4acce21e459b10e16</t>
        </is>
      </c>
      <c r="B235" s="29" t="n">
        <v>43052</v>
      </c>
      <c r="C235" t="inlineStr">
        <is>
          <t>2017-11</t>
        </is>
      </c>
      <c r="D235" t="inlineStr">
        <is>
          <t>fd660f5d9a62d444c76191307b3a0514</t>
        </is>
      </c>
      <c r="E235" t="inlineStr">
        <is>
          <t>email</t>
        </is>
      </c>
      <c r="F235">
        <f>IFERROR(MATCH(A235,Deals!$A$2:$A$843,0),"")</f>
        <v/>
      </c>
      <c r="G235">
        <f>IF(F235="",0,1)</f>
        <v/>
      </c>
      <c r="H235" s="29">
        <f>IF(F235="","",INDEX(Deals!$E$2:$E$843,F235))</f>
        <v/>
      </c>
      <c r="I235">
        <f>IF(F235="","",INDEX(Deals!$D$2:$D$843,F235))</f>
        <v/>
      </c>
      <c r="J235">
        <f>IF(F235="","",INT(H235)-B235)</f>
        <v/>
      </c>
      <c r="K235">
        <f>IF(B235&gt;=Settings!$C$5,1,0)</f>
        <v/>
      </c>
    </row>
    <row r="236">
      <c r="A236" t="inlineStr">
        <is>
          <t>119ce5d79e3c006a9e46967bff271cb2</t>
        </is>
      </c>
      <c r="B236" s="29" t="n">
        <v>43244</v>
      </c>
      <c r="C236" t="inlineStr">
        <is>
          <t>2018-05</t>
        </is>
      </c>
      <c r="D236" t="inlineStr">
        <is>
          <t>22c29808c4f815213303f8933030604c</t>
        </is>
      </c>
      <c r="E236" t="inlineStr">
        <is>
          <t>organic_search</t>
        </is>
      </c>
      <c r="F236">
        <f>IFERROR(MATCH(A236,Deals!$A$2:$A$843,0),"")</f>
        <v/>
      </c>
      <c r="G236">
        <f>IF(F236="",0,1)</f>
        <v/>
      </c>
      <c r="H236" s="29">
        <f>IF(F236="","",INDEX(Deals!$E$2:$E$843,F236))</f>
        <v/>
      </c>
      <c r="I236">
        <f>IF(F236="","",INDEX(Deals!$D$2:$D$843,F236))</f>
        <v/>
      </c>
      <c r="J236">
        <f>IF(F236="","",INT(H236)-B236)</f>
        <v/>
      </c>
      <c r="K236">
        <f>IF(B236&gt;=Settings!$C$5,1,0)</f>
        <v/>
      </c>
    </row>
    <row r="237">
      <c r="A237" t="inlineStr">
        <is>
          <t>6c489ad0aa78ee6e196e8406aea36aae</t>
        </is>
      </c>
      <c r="B237" s="29" t="n">
        <v>43222</v>
      </c>
      <c r="C237" t="inlineStr">
        <is>
          <t>2018-05</t>
        </is>
      </c>
      <c r="D237" t="inlineStr">
        <is>
          <t>40dec9f3d5259a3d2dbcdab2114fae47</t>
        </is>
      </c>
      <c r="E237" t="inlineStr">
        <is>
          <t>organic_search</t>
        </is>
      </c>
      <c r="F237">
        <f>IFERROR(MATCH(A237,Deals!$A$2:$A$843,0),"")</f>
        <v/>
      </c>
      <c r="G237">
        <f>IF(F237="",0,1)</f>
        <v/>
      </c>
      <c r="H237" s="29">
        <f>IF(F237="","",INDEX(Deals!$E$2:$E$843,F237))</f>
        <v/>
      </c>
      <c r="I237">
        <f>IF(F237="","",INDEX(Deals!$D$2:$D$843,F237))</f>
        <v/>
      </c>
      <c r="J237">
        <f>IF(F237="","",INT(H237)-B237)</f>
        <v/>
      </c>
      <c r="K237">
        <f>IF(B237&gt;=Settings!$C$5,1,0)</f>
        <v/>
      </c>
    </row>
    <row r="238">
      <c r="A238" t="inlineStr">
        <is>
          <t>781a0d5b385137b6e05971f024a4d4f1</t>
        </is>
      </c>
      <c r="B238" s="29" t="n">
        <v>43223</v>
      </c>
      <c r="C238" t="inlineStr">
        <is>
          <t>2018-05</t>
        </is>
      </c>
      <c r="D238" t="inlineStr">
        <is>
          <t>30534107aa0013db92899c96a1017d0b</t>
        </is>
      </c>
      <c r="E238" t="inlineStr">
        <is>
          <t>social</t>
        </is>
      </c>
      <c r="F238">
        <f>IFERROR(MATCH(A238,Deals!$A$2:$A$843,0),"")</f>
        <v/>
      </c>
      <c r="G238">
        <f>IF(F238="",0,1)</f>
        <v/>
      </c>
      <c r="H238" s="29">
        <f>IF(F238="","",INDEX(Deals!$E$2:$E$843,F238))</f>
        <v/>
      </c>
      <c r="I238">
        <f>IF(F238="","",INDEX(Deals!$D$2:$D$843,F238))</f>
        <v/>
      </c>
      <c r="J238">
        <f>IF(F238="","",INT(H238)-B238)</f>
        <v/>
      </c>
      <c r="K238">
        <f>IF(B238&gt;=Settings!$C$5,1,0)</f>
        <v/>
      </c>
    </row>
    <row r="239">
      <c r="A239" t="inlineStr">
        <is>
          <t>5fd89bebd9cf4213e2b78e174d6f9c49</t>
        </is>
      </c>
      <c r="B239" s="29" t="n">
        <v>43194</v>
      </c>
      <c r="C239" t="inlineStr">
        <is>
          <t>2018-04</t>
        </is>
      </c>
      <c r="D239" t="inlineStr">
        <is>
          <t>649b7b8b46b254497e92038d88f6ced8</t>
        </is>
      </c>
      <c r="E239" t="inlineStr">
        <is>
          <t>social</t>
        </is>
      </c>
      <c r="F239">
        <f>IFERROR(MATCH(A239,Deals!$A$2:$A$843,0),"")</f>
        <v/>
      </c>
      <c r="G239">
        <f>IF(F239="",0,1)</f>
        <v/>
      </c>
      <c r="H239" s="29">
        <f>IF(F239="","",INDEX(Deals!$E$2:$E$843,F239))</f>
        <v/>
      </c>
      <c r="I239">
        <f>IF(F239="","",INDEX(Deals!$D$2:$D$843,F239))</f>
        <v/>
      </c>
      <c r="J239">
        <f>IF(F239="","",INT(H239)-B239)</f>
        <v/>
      </c>
      <c r="K239">
        <f>IF(B239&gt;=Settings!$C$5,1,0)</f>
        <v/>
      </c>
    </row>
    <row r="240">
      <c r="A240" t="inlineStr">
        <is>
          <t>f6b192564928a1348da491c4987e08c4</t>
        </is>
      </c>
      <c r="B240" s="29" t="n">
        <v>43132</v>
      </c>
      <c r="C240" t="inlineStr">
        <is>
          <t>2018-02</t>
        </is>
      </c>
      <c r="D240" t="inlineStr">
        <is>
          <t>b76ef37428e6799c421989521c0e5077</t>
        </is>
      </c>
      <c r="E240" t="inlineStr">
        <is>
          <t>unknown</t>
        </is>
      </c>
      <c r="F240">
        <f>IFERROR(MATCH(A240,Deals!$A$2:$A$843,0),"")</f>
        <v/>
      </c>
      <c r="G240">
        <f>IF(F240="",0,1)</f>
        <v/>
      </c>
      <c r="H240" s="29">
        <f>IF(F240="","",INDEX(Deals!$E$2:$E$843,F240))</f>
        <v/>
      </c>
      <c r="I240">
        <f>IF(F240="","",INDEX(Deals!$D$2:$D$843,F240))</f>
        <v/>
      </c>
      <c r="J240">
        <f>IF(F240="","",INT(H240)-B240)</f>
        <v/>
      </c>
      <c r="K240">
        <f>IF(B240&gt;=Settings!$C$5,1,0)</f>
        <v/>
      </c>
    </row>
    <row r="241">
      <c r="A241" t="inlineStr">
        <is>
          <t>1f4e960dc47c49ab5c2a495e00055f64</t>
        </is>
      </c>
      <c r="B241" s="29" t="n">
        <v>43084</v>
      </c>
      <c r="C241" t="inlineStr">
        <is>
          <t>2017-12</t>
        </is>
      </c>
      <c r="D241" t="inlineStr">
        <is>
          <t>40dec9f3d5259a3d2dbcdab2114fae47</t>
        </is>
      </c>
      <c r="E241" t="inlineStr">
        <is>
          <t>organic_search</t>
        </is>
      </c>
      <c r="F241">
        <f>IFERROR(MATCH(A241,Deals!$A$2:$A$843,0),"")</f>
        <v/>
      </c>
      <c r="G241">
        <f>IF(F241="",0,1)</f>
        <v/>
      </c>
      <c r="H241" s="29">
        <f>IF(F241="","",INDEX(Deals!$E$2:$E$843,F241))</f>
        <v/>
      </c>
      <c r="I241">
        <f>IF(F241="","",INDEX(Deals!$D$2:$D$843,F241))</f>
        <v/>
      </c>
      <c r="J241">
        <f>IF(F241="","",INT(H241)-B241)</f>
        <v/>
      </c>
      <c r="K241">
        <f>IF(B241&gt;=Settings!$C$5,1,0)</f>
        <v/>
      </c>
    </row>
    <row r="242">
      <c r="A242" t="inlineStr">
        <is>
          <t>0f09698017af107026ad0b0be011fa73</t>
        </is>
      </c>
      <c r="B242" s="29" t="n">
        <v>42979</v>
      </c>
      <c r="C242" t="inlineStr">
        <is>
          <t>2017-09</t>
        </is>
      </c>
      <c r="D242" t="inlineStr">
        <is>
          <t>3cd2a8301d5395f21cdd3094c9eaa2f4</t>
        </is>
      </c>
      <c r="E242" t="inlineStr">
        <is>
          <t>unknown</t>
        </is>
      </c>
      <c r="F242">
        <f>IFERROR(MATCH(A242,Deals!$A$2:$A$843,0),"")</f>
        <v/>
      </c>
      <c r="G242">
        <f>IF(F242="",0,1)</f>
        <v/>
      </c>
      <c r="H242" s="29">
        <f>IF(F242="","",INDEX(Deals!$E$2:$E$843,F242))</f>
        <v/>
      </c>
      <c r="I242">
        <f>IF(F242="","",INDEX(Deals!$D$2:$D$843,F242))</f>
        <v/>
      </c>
      <c r="J242">
        <f>IF(F242="","",INT(H242)-B242)</f>
        <v/>
      </c>
      <c r="K242">
        <f>IF(B242&gt;=Settings!$C$5,1,0)</f>
        <v/>
      </c>
    </row>
    <row r="243">
      <c r="A243" t="inlineStr">
        <is>
          <t>98ca71ddc4a8306c1f822ae5123be344</t>
        </is>
      </c>
      <c r="B243" s="29" t="n">
        <v>43185</v>
      </c>
      <c r="C243" t="inlineStr">
        <is>
          <t>2018-03</t>
        </is>
      </c>
      <c r="D243" t="inlineStr">
        <is>
          <t>b76ef37428e6799c421989521c0e5077</t>
        </is>
      </c>
      <c r="E243" t="inlineStr">
        <is>
          <t>unknown</t>
        </is>
      </c>
      <c r="F243">
        <f>IFERROR(MATCH(A243,Deals!$A$2:$A$843,0),"")</f>
        <v/>
      </c>
      <c r="G243">
        <f>IF(F243="",0,1)</f>
        <v/>
      </c>
      <c r="H243" s="29">
        <f>IF(F243="","",INDEX(Deals!$E$2:$E$843,F243))</f>
        <v/>
      </c>
      <c r="I243">
        <f>IF(F243="","",INDEX(Deals!$D$2:$D$843,F243))</f>
        <v/>
      </c>
      <c r="J243">
        <f>IF(F243="","",INT(H243)-B243)</f>
        <v/>
      </c>
      <c r="K243">
        <f>IF(B243&gt;=Settings!$C$5,1,0)</f>
        <v/>
      </c>
    </row>
    <row r="244">
      <c r="A244" t="inlineStr">
        <is>
          <t>c8dd7f060ba06a66113c6fa328cc0dcb</t>
        </is>
      </c>
      <c r="B244" s="29" t="n">
        <v>43165</v>
      </c>
      <c r="C244" t="inlineStr">
        <is>
          <t>2018-03</t>
        </is>
      </c>
      <c r="D244" t="inlineStr">
        <is>
          <t>88740e65d5d6b056e0cda098e1ea6313</t>
        </is>
      </c>
      <c r="E244" t="inlineStr">
        <is>
          <t>social</t>
        </is>
      </c>
      <c r="F244">
        <f>IFERROR(MATCH(A244,Deals!$A$2:$A$843,0),"")</f>
        <v/>
      </c>
      <c r="G244">
        <f>IF(F244="",0,1)</f>
        <v/>
      </c>
      <c r="H244" s="29">
        <f>IF(F244="","",INDEX(Deals!$E$2:$E$843,F244))</f>
        <v/>
      </c>
      <c r="I244">
        <f>IF(F244="","",INDEX(Deals!$D$2:$D$843,F244))</f>
        <v/>
      </c>
      <c r="J244">
        <f>IF(F244="","",INT(H244)-B244)</f>
        <v/>
      </c>
      <c r="K244">
        <f>IF(B244&gt;=Settings!$C$5,1,0)</f>
        <v/>
      </c>
    </row>
    <row r="245">
      <c r="A245" t="inlineStr">
        <is>
          <t>37d5fa050fb58c769c3d89b398687e73</t>
        </is>
      </c>
      <c r="B245" s="29" t="n">
        <v>43067</v>
      </c>
      <c r="C245" t="inlineStr">
        <is>
          <t>2017-11</t>
        </is>
      </c>
      <c r="D245" t="inlineStr">
        <is>
          <t>22c29808c4f815213303f8933030604c</t>
        </is>
      </c>
      <c r="E245" t="inlineStr">
        <is>
          <t>paid_search</t>
        </is>
      </c>
      <c r="F245">
        <f>IFERROR(MATCH(A245,Deals!$A$2:$A$843,0),"")</f>
        <v/>
      </c>
      <c r="G245">
        <f>IF(F245="",0,1)</f>
        <v/>
      </c>
      <c r="H245" s="29">
        <f>IF(F245="","",INDEX(Deals!$E$2:$E$843,F245))</f>
        <v/>
      </c>
      <c r="I245">
        <f>IF(F245="","",INDEX(Deals!$D$2:$D$843,F245))</f>
        <v/>
      </c>
      <c r="J245">
        <f>IF(F245="","",INT(H245)-B245)</f>
        <v/>
      </c>
      <c r="K245">
        <f>IF(B245&gt;=Settings!$C$5,1,0)</f>
        <v/>
      </c>
    </row>
    <row r="246">
      <c r="A246" t="inlineStr">
        <is>
          <t>05d287893f5f083739da863da2c4b6f8</t>
        </is>
      </c>
      <c r="B246" s="29" t="n">
        <v>43188</v>
      </c>
      <c r="C246" t="inlineStr">
        <is>
          <t>2018-03</t>
        </is>
      </c>
      <c r="D246" t="inlineStr">
        <is>
          <t>58326e62183c14b0c03085c33b9fdc44</t>
        </is>
      </c>
      <c r="E246" t="inlineStr">
        <is>
          <t>social</t>
        </is>
      </c>
      <c r="F246">
        <f>IFERROR(MATCH(A246,Deals!$A$2:$A$843,0),"")</f>
        <v/>
      </c>
      <c r="G246">
        <f>IF(F246="",0,1)</f>
        <v/>
      </c>
      <c r="H246" s="29">
        <f>IF(F246="","",INDEX(Deals!$E$2:$E$843,F246))</f>
        <v/>
      </c>
      <c r="I246">
        <f>IF(F246="","",INDEX(Deals!$D$2:$D$843,F246))</f>
        <v/>
      </c>
      <c r="J246">
        <f>IF(F246="","",INT(H246)-B246)</f>
        <v/>
      </c>
      <c r="K246">
        <f>IF(B246&gt;=Settings!$C$5,1,0)</f>
        <v/>
      </c>
    </row>
    <row r="247">
      <c r="A247" t="inlineStr">
        <is>
          <t>4f5a7f55aa8a4a5f912df8eda4602239</t>
        </is>
      </c>
      <c r="B247" s="29" t="n">
        <v>43104</v>
      </c>
      <c r="C247" t="inlineStr">
        <is>
          <t>2018-01</t>
        </is>
      </c>
      <c r="D247" t="inlineStr">
        <is>
          <t>88740e65d5d6b056e0cda098e1ea6313</t>
        </is>
      </c>
      <c r="E247" t="inlineStr">
        <is>
          <t>social</t>
        </is>
      </c>
      <c r="F247">
        <f>IFERROR(MATCH(A247,Deals!$A$2:$A$843,0),"")</f>
        <v/>
      </c>
      <c r="G247">
        <f>IF(F247="",0,1)</f>
        <v/>
      </c>
      <c r="H247" s="29">
        <f>IF(F247="","",INDEX(Deals!$E$2:$E$843,F247))</f>
        <v/>
      </c>
      <c r="I247">
        <f>IF(F247="","",INDEX(Deals!$D$2:$D$843,F247))</f>
        <v/>
      </c>
      <c r="J247">
        <f>IF(F247="","",INT(H247)-B247)</f>
        <v/>
      </c>
      <c r="K247">
        <f>IF(B247&gt;=Settings!$C$5,1,0)</f>
        <v/>
      </c>
    </row>
    <row r="248">
      <c r="A248" t="inlineStr">
        <is>
          <t>50a695191ac05ad0599f69269cb8ce78</t>
        </is>
      </c>
      <c r="B248" s="29" t="n">
        <v>43157</v>
      </c>
      <c r="C248" t="inlineStr">
        <is>
          <t>2018-02</t>
        </is>
      </c>
      <c r="D248" t="inlineStr">
        <is>
          <t>682c403426855d4a7612ff724efb404a</t>
        </is>
      </c>
      <c r="E248" t="inlineStr">
        <is>
          <t>unknown</t>
        </is>
      </c>
      <c r="F248">
        <f>IFERROR(MATCH(A248,Deals!$A$2:$A$843,0),"")</f>
        <v/>
      </c>
      <c r="G248">
        <f>IF(F248="",0,1)</f>
        <v/>
      </c>
      <c r="H248" s="29">
        <f>IF(F248="","",INDEX(Deals!$E$2:$E$843,F248))</f>
        <v/>
      </c>
      <c r="I248">
        <f>IF(F248="","",INDEX(Deals!$D$2:$D$843,F248))</f>
        <v/>
      </c>
      <c r="J248">
        <f>IF(F248="","",INT(H248)-B248)</f>
        <v/>
      </c>
      <c r="K248">
        <f>IF(B248&gt;=Settings!$C$5,1,0)</f>
        <v/>
      </c>
    </row>
    <row r="249">
      <c r="A249" t="inlineStr">
        <is>
          <t>3f616bcb8ecb6fad8367737ff0cbcf81</t>
        </is>
      </c>
      <c r="B249" s="29" t="n">
        <v>43130</v>
      </c>
      <c r="C249" t="inlineStr">
        <is>
          <t>2018-01</t>
        </is>
      </c>
      <c r="D249" t="inlineStr">
        <is>
          <t>88740e65d5d6b056e0cda098e1ea6313</t>
        </is>
      </c>
      <c r="E249" t="inlineStr">
        <is>
          <t>social</t>
        </is>
      </c>
      <c r="F249">
        <f>IFERROR(MATCH(A249,Deals!$A$2:$A$843,0),"")</f>
        <v/>
      </c>
      <c r="G249">
        <f>IF(F249="",0,1)</f>
        <v/>
      </c>
      <c r="H249" s="29">
        <f>IF(F249="","",INDEX(Deals!$E$2:$E$843,F249))</f>
        <v/>
      </c>
      <c r="I249">
        <f>IF(F249="","",INDEX(Deals!$D$2:$D$843,F249))</f>
        <v/>
      </c>
      <c r="J249">
        <f>IF(F249="","",INT(H249)-B249)</f>
        <v/>
      </c>
      <c r="K249">
        <f>IF(B249&gt;=Settings!$C$5,1,0)</f>
        <v/>
      </c>
    </row>
    <row r="250">
      <c r="A250" t="inlineStr">
        <is>
          <t>fa4dbc17e5005a96e83003e98cea1340</t>
        </is>
      </c>
      <c r="B250" s="29" t="n">
        <v>43011</v>
      </c>
      <c r="C250" t="inlineStr">
        <is>
          <t>2017-10</t>
        </is>
      </c>
      <c r="D250" t="inlineStr">
        <is>
          <t>007f9098284a86ee80ddeb25d53e0af8</t>
        </is>
      </c>
      <c r="E250" t="inlineStr">
        <is>
          <t>paid_search</t>
        </is>
      </c>
      <c r="F250">
        <f>IFERROR(MATCH(A250,Deals!$A$2:$A$843,0),"")</f>
        <v/>
      </c>
      <c r="G250">
        <f>IF(F250="",0,1)</f>
        <v/>
      </c>
      <c r="H250" s="29">
        <f>IF(F250="","",INDEX(Deals!$E$2:$E$843,F250))</f>
        <v/>
      </c>
      <c r="I250">
        <f>IF(F250="","",INDEX(Deals!$D$2:$D$843,F250))</f>
        <v/>
      </c>
      <c r="J250">
        <f>IF(F250="","",INT(H250)-B250)</f>
        <v/>
      </c>
      <c r="K250">
        <f>IF(B250&gt;=Settings!$C$5,1,0)</f>
        <v/>
      </c>
    </row>
    <row r="251">
      <c r="A251" t="inlineStr">
        <is>
          <t>6077a0d6025b48d2191714d5813492a8</t>
        </is>
      </c>
      <c r="B251" s="29" t="n">
        <v>43242</v>
      </c>
      <c r="C251" t="inlineStr">
        <is>
          <t>2018-05</t>
        </is>
      </c>
      <c r="D251" t="inlineStr">
        <is>
          <t>d51b0d02f063ba1d053db6d97226eec3</t>
        </is>
      </c>
      <c r="E251" t="inlineStr">
        <is>
          <t>email</t>
        </is>
      </c>
      <c r="F251">
        <f>IFERROR(MATCH(A251,Deals!$A$2:$A$843,0),"")</f>
        <v/>
      </c>
      <c r="G251">
        <f>IF(F251="",0,1)</f>
        <v/>
      </c>
      <c r="H251" s="29">
        <f>IF(F251="","",INDEX(Deals!$E$2:$E$843,F251))</f>
        <v/>
      </c>
      <c r="I251">
        <f>IF(F251="","",INDEX(Deals!$D$2:$D$843,F251))</f>
        <v/>
      </c>
      <c r="J251">
        <f>IF(F251="","",INT(H251)-B251)</f>
        <v/>
      </c>
      <c r="K251">
        <f>IF(B251&gt;=Settings!$C$5,1,0)</f>
        <v/>
      </c>
    </row>
    <row r="252">
      <c r="A252" t="inlineStr">
        <is>
          <t>385166c2515d9fb7d6e7901f20adf8f6</t>
        </is>
      </c>
      <c r="B252" s="29" t="n">
        <v>43014</v>
      </c>
      <c r="C252" t="inlineStr">
        <is>
          <t>2017-10</t>
        </is>
      </c>
      <c r="D252" t="inlineStr">
        <is>
          <t>e492ee5eaf1697716985cc6f33f9cd9b</t>
        </is>
      </c>
      <c r="E252" t="inlineStr">
        <is>
          <t>paid_search</t>
        </is>
      </c>
      <c r="F252">
        <f>IFERROR(MATCH(A252,Deals!$A$2:$A$843,0),"")</f>
        <v/>
      </c>
      <c r="G252">
        <f>IF(F252="",0,1)</f>
        <v/>
      </c>
      <c r="H252" s="29">
        <f>IF(F252="","",INDEX(Deals!$E$2:$E$843,F252))</f>
        <v/>
      </c>
      <c r="I252">
        <f>IF(F252="","",INDEX(Deals!$D$2:$D$843,F252))</f>
        <v/>
      </c>
      <c r="J252">
        <f>IF(F252="","",INT(H252)-B252)</f>
        <v/>
      </c>
      <c r="K252">
        <f>IF(B252&gt;=Settings!$C$5,1,0)</f>
        <v/>
      </c>
    </row>
    <row r="253">
      <c r="A253" t="inlineStr">
        <is>
          <t>485c9dd9f966911391e65c4f24f46abe</t>
        </is>
      </c>
      <c r="B253" s="29" t="n">
        <v>43195</v>
      </c>
      <c r="C253" t="inlineStr">
        <is>
          <t>2018-04</t>
        </is>
      </c>
      <c r="D253" t="inlineStr">
        <is>
          <t>ce1a65abd0973638f1c887a6efcfa82d</t>
        </is>
      </c>
      <c r="E253" t="inlineStr">
        <is>
          <t>organic_search</t>
        </is>
      </c>
      <c r="F253">
        <f>IFERROR(MATCH(A253,Deals!$A$2:$A$843,0),"")</f>
        <v/>
      </c>
      <c r="G253">
        <f>IF(F253="",0,1)</f>
        <v/>
      </c>
      <c r="H253" s="29">
        <f>IF(F253="","",INDEX(Deals!$E$2:$E$843,F253))</f>
        <v/>
      </c>
      <c r="I253">
        <f>IF(F253="","",INDEX(Deals!$D$2:$D$843,F253))</f>
        <v/>
      </c>
      <c r="J253">
        <f>IF(F253="","",INT(H253)-B253)</f>
        <v/>
      </c>
      <c r="K253">
        <f>IF(B253&gt;=Settings!$C$5,1,0)</f>
        <v/>
      </c>
    </row>
    <row r="254">
      <c r="A254" t="inlineStr">
        <is>
          <t>fc64004dee3fa6dec3cf0a018f64f1cd</t>
        </is>
      </c>
      <c r="B254" s="29" t="n">
        <v>43136</v>
      </c>
      <c r="C254" t="inlineStr">
        <is>
          <t>2018-02</t>
        </is>
      </c>
      <c r="D254" t="inlineStr">
        <is>
          <t>b76ef37428e6799c421989521c0e5077</t>
        </is>
      </c>
      <c r="E254" t="inlineStr">
        <is>
          <t>organic_search</t>
        </is>
      </c>
      <c r="F254">
        <f>IFERROR(MATCH(A254,Deals!$A$2:$A$843,0),"")</f>
        <v/>
      </c>
      <c r="G254">
        <f>IF(F254="",0,1)</f>
        <v/>
      </c>
      <c r="H254" s="29">
        <f>IF(F254="","",INDEX(Deals!$E$2:$E$843,F254))</f>
        <v/>
      </c>
      <c r="I254">
        <f>IF(F254="","",INDEX(Deals!$D$2:$D$843,F254))</f>
        <v/>
      </c>
      <c r="J254">
        <f>IF(F254="","",INT(H254)-B254)</f>
        <v/>
      </c>
      <c r="K254">
        <f>IF(B254&gt;=Settings!$C$5,1,0)</f>
        <v/>
      </c>
    </row>
    <row r="255">
      <c r="A255" t="inlineStr">
        <is>
          <t>02cf7b95eaf630256990316ef6d5bcb3</t>
        </is>
      </c>
      <c r="B255" s="29" t="n">
        <v>43039</v>
      </c>
      <c r="C255" t="inlineStr">
        <is>
          <t>2017-10</t>
        </is>
      </c>
      <c r="D255" t="inlineStr">
        <is>
          <t>82ce7345d29d3003d376f9382fc0eba0</t>
        </is>
      </c>
      <c r="E255" t="inlineStr">
        <is>
          <t>paid_search</t>
        </is>
      </c>
      <c r="F255">
        <f>IFERROR(MATCH(A255,Deals!$A$2:$A$843,0),"")</f>
        <v/>
      </c>
      <c r="G255">
        <f>IF(F255="",0,1)</f>
        <v/>
      </c>
      <c r="H255" s="29">
        <f>IF(F255="","",INDEX(Deals!$E$2:$E$843,F255))</f>
        <v/>
      </c>
      <c r="I255">
        <f>IF(F255="","",INDEX(Deals!$D$2:$D$843,F255))</f>
        <v/>
      </c>
      <c r="J255">
        <f>IF(F255="","",INT(H255)-B255)</f>
        <v/>
      </c>
      <c r="K255">
        <f>IF(B255&gt;=Settings!$C$5,1,0)</f>
        <v/>
      </c>
    </row>
    <row r="256">
      <c r="A256" t="inlineStr">
        <is>
          <t>fcac261edd107969dab8b6254f7716df</t>
        </is>
      </c>
      <c r="B256" s="29" t="n">
        <v>43203</v>
      </c>
      <c r="C256" t="inlineStr">
        <is>
          <t>2018-04</t>
        </is>
      </c>
      <c r="D256" t="inlineStr">
        <is>
          <t>0b353d6bc27566f1d238313c33d95f56</t>
        </is>
      </c>
      <c r="E256" t="inlineStr">
        <is>
          <t>paid_search</t>
        </is>
      </c>
      <c r="F256">
        <f>IFERROR(MATCH(A256,Deals!$A$2:$A$843,0),"")</f>
        <v/>
      </c>
      <c r="G256">
        <f>IF(F256="",0,1)</f>
        <v/>
      </c>
      <c r="H256" s="29">
        <f>IF(F256="","",INDEX(Deals!$E$2:$E$843,F256))</f>
        <v/>
      </c>
      <c r="I256">
        <f>IF(F256="","",INDEX(Deals!$D$2:$D$843,F256))</f>
        <v/>
      </c>
      <c r="J256">
        <f>IF(F256="","",INT(H256)-B256)</f>
        <v/>
      </c>
      <c r="K256">
        <f>IF(B256&gt;=Settings!$C$5,1,0)</f>
        <v/>
      </c>
    </row>
    <row r="257">
      <c r="A257" t="inlineStr">
        <is>
          <t>1c4196d0ff7fe4e94bdca98fb251bc25</t>
        </is>
      </c>
      <c r="B257" s="29" t="n">
        <v>43210</v>
      </c>
      <c r="C257" t="inlineStr">
        <is>
          <t>2018-04</t>
        </is>
      </c>
      <c r="D257" t="inlineStr">
        <is>
          <t>22c29808c4f815213303f8933030604c</t>
        </is>
      </c>
      <c r="E257" t="inlineStr">
        <is>
          <t>organic_search</t>
        </is>
      </c>
      <c r="F257">
        <f>IFERROR(MATCH(A257,Deals!$A$2:$A$843,0),"")</f>
        <v/>
      </c>
      <c r="G257">
        <f>IF(F257="",0,1)</f>
        <v/>
      </c>
      <c r="H257" s="29">
        <f>IF(F257="","",INDEX(Deals!$E$2:$E$843,F257))</f>
        <v/>
      </c>
      <c r="I257">
        <f>IF(F257="","",INDEX(Deals!$D$2:$D$843,F257))</f>
        <v/>
      </c>
      <c r="J257">
        <f>IF(F257="","",INT(H257)-B257)</f>
        <v/>
      </c>
      <c r="K257">
        <f>IF(B257&gt;=Settings!$C$5,1,0)</f>
        <v/>
      </c>
    </row>
    <row r="258">
      <c r="A258" t="inlineStr">
        <is>
          <t>d4aa3819fa81ce7edefa6cd564645656</t>
        </is>
      </c>
      <c r="B258" s="29" t="n">
        <v>43236</v>
      </c>
      <c r="C258" t="inlineStr">
        <is>
          <t>2018-05</t>
        </is>
      </c>
      <c r="D258" t="inlineStr">
        <is>
          <t>58326e62183c14b0c03085c33b9fdc44</t>
        </is>
      </c>
      <c r="E258" t="inlineStr">
        <is>
          <t>social</t>
        </is>
      </c>
      <c r="F258">
        <f>IFERROR(MATCH(A258,Deals!$A$2:$A$843,0),"")</f>
        <v/>
      </c>
      <c r="G258">
        <f>IF(F258="",0,1)</f>
        <v/>
      </c>
      <c r="H258" s="29">
        <f>IF(F258="","",INDEX(Deals!$E$2:$E$843,F258))</f>
        <v/>
      </c>
      <c r="I258">
        <f>IF(F258="","",INDEX(Deals!$D$2:$D$843,F258))</f>
        <v/>
      </c>
      <c r="J258">
        <f>IF(F258="","",INT(H258)-B258)</f>
        <v/>
      </c>
      <c r="K258">
        <f>IF(B258&gt;=Settings!$C$5,1,0)</f>
        <v/>
      </c>
    </row>
    <row r="259">
      <c r="A259" t="inlineStr">
        <is>
          <t>0b97be8b4b408a3a0780a32e0a143a7f</t>
        </is>
      </c>
      <c r="B259" s="29" t="n">
        <v>43122</v>
      </c>
      <c r="C259" t="inlineStr">
        <is>
          <t>2018-01</t>
        </is>
      </c>
      <c r="D259" t="inlineStr">
        <is>
          <t>b76ef37428e6799c421989521c0e5077</t>
        </is>
      </c>
      <c r="E259" t="inlineStr">
        <is>
          <t>unknown</t>
        </is>
      </c>
      <c r="F259">
        <f>IFERROR(MATCH(A259,Deals!$A$2:$A$843,0),"")</f>
        <v/>
      </c>
      <c r="G259">
        <f>IF(F259="",0,1)</f>
        <v/>
      </c>
      <c r="H259" s="29">
        <f>IF(F259="","",INDEX(Deals!$E$2:$E$843,F259))</f>
        <v/>
      </c>
      <c r="I259">
        <f>IF(F259="","",INDEX(Deals!$D$2:$D$843,F259))</f>
        <v/>
      </c>
      <c r="J259">
        <f>IF(F259="","",INT(H259)-B259)</f>
        <v/>
      </c>
      <c r="K259">
        <f>IF(B259&gt;=Settings!$C$5,1,0)</f>
        <v/>
      </c>
    </row>
    <row r="260">
      <c r="A260" t="inlineStr">
        <is>
          <t>666c2c266ab32178f0a6e523a5be1475</t>
        </is>
      </c>
      <c r="B260" s="29" t="n">
        <v>43144</v>
      </c>
      <c r="C260" t="inlineStr">
        <is>
          <t>2018-02</t>
        </is>
      </c>
      <c r="D260" t="inlineStr">
        <is>
          <t>88740e65d5d6b056e0cda098e1ea6313</t>
        </is>
      </c>
      <c r="E260" t="inlineStr">
        <is>
          <t>social</t>
        </is>
      </c>
      <c r="F260">
        <f>IFERROR(MATCH(A260,Deals!$A$2:$A$843,0),"")</f>
        <v/>
      </c>
      <c r="G260">
        <f>IF(F260="",0,1)</f>
        <v/>
      </c>
      <c r="H260" s="29">
        <f>IF(F260="","",INDEX(Deals!$E$2:$E$843,F260))</f>
        <v/>
      </c>
      <c r="I260">
        <f>IF(F260="","",INDEX(Deals!$D$2:$D$843,F260))</f>
        <v/>
      </c>
      <c r="J260">
        <f>IF(F260="","",INT(H260)-B260)</f>
        <v/>
      </c>
      <c r="K260">
        <f>IF(B260&gt;=Settings!$C$5,1,0)</f>
        <v/>
      </c>
    </row>
    <row r="261">
      <c r="A261" t="inlineStr">
        <is>
          <t>8d5679179e529f9ed2dfd332a526f51f</t>
        </is>
      </c>
      <c r="B261" s="29" t="n">
        <v>43203</v>
      </c>
      <c r="C261" t="inlineStr">
        <is>
          <t>2018-04</t>
        </is>
      </c>
      <c r="D261" t="inlineStr">
        <is>
          <t>58326e62183c14b0c03085c33b9fdc44</t>
        </is>
      </c>
      <c r="E261" t="inlineStr">
        <is>
          <t>social</t>
        </is>
      </c>
      <c r="F261">
        <f>IFERROR(MATCH(A261,Deals!$A$2:$A$843,0),"")</f>
        <v/>
      </c>
      <c r="G261">
        <f>IF(F261="",0,1)</f>
        <v/>
      </c>
      <c r="H261" s="29">
        <f>IF(F261="","",INDEX(Deals!$E$2:$E$843,F261))</f>
        <v/>
      </c>
      <c r="I261">
        <f>IF(F261="","",INDEX(Deals!$D$2:$D$843,F261))</f>
        <v/>
      </c>
      <c r="J261">
        <f>IF(F261="","",INT(H261)-B261)</f>
        <v/>
      </c>
      <c r="K261">
        <f>IF(B261&gt;=Settings!$C$5,1,0)</f>
        <v/>
      </c>
    </row>
    <row r="262">
      <c r="A262" t="inlineStr">
        <is>
          <t>53db20e7751970e0f8af8902cd7aad34</t>
        </is>
      </c>
      <c r="B262" s="29" t="n">
        <v>43048</v>
      </c>
      <c r="C262" t="inlineStr">
        <is>
          <t>2017-11</t>
        </is>
      </c>
      <c r="D262" t="inlineStr">
        <is>
          <t>22c29808c4f815213303f8933030604c</t>
        </is>
      </c>
      <c r="E262" t="inlineStr">
        <is>
          <t>organic_search</t>
        </is>
      </c>
      <c r="F262">
        <f>IFERROR(MATCH(A262,Deals!$A$2:$A$843,0),"")</f>
        <v/>
      </c>
      <c r="G262">
        <f>IF(F262="",0,1)</f>
        <v/>
      </c>
      <c r="H262" s="29">
        <f>IF(F262="","",INDEX(Deals!$E$2:$E$843,F262))</f>
        <v/>
      </c>
      <c r="I262">
        <f>IF(F262="","",INDEX(Deals!$D$2:$D$843,F262))</f>
        <v/>
      </c>
      <c r="J262">
        <f>IF(F262="","",INT(H262)-B262)</f>
        <v/>
      </c>
      <c r="K262">
        <f>IF(B262&gt;=Settings!$C$5,1,0)</f>
        <v/>
      </c>
    </row>
    <row r="263">
      <c r="A263" t="inlineStr">
        <is>
          <t>1c866cbb2df9ad14941c2f7d1ee0b027</t>
        </is>
      </c>
      <c r="B263" s="29" t="n">
        <v>43179</v>
      </c>
      <c r="C263" t="inlineStr">
        <is>
          <t>2018-03</t>
        </is>
      </c>
      <c r="D263" t="inlineStr">
        <is>
          <t>22c29808c4f815213303f8933030604c</t>
        </is>
      </c>
      <c r="E263" t="inlineStr">
        <is>
          <t>paid_search</t>
        </is>
      </c>
      <c r="F263">
        <f>IFERROR(MATCH(A263,Deals!$A$2:$A$843,0),"")</f>
        <v/>
      </c>
      <c r="G263">
        <f>IF(F263="",0,1)</f>
        <v/>
      </c>
      <c r="H263" s="29">
        <f>IF(F263="","",INDEX(Deals!$E$2:$E$843,F263))</f>
        <v/>
      </c>
      <c r="I263">
        <f>IF(F263="","",INDEX(Deals!$D$2:$D$843,F263))</f>
        <v/>
      </c>
      <c r="J263">
        <f>IF(F263="","",INT(H263)-B263)</f>
        <v/>
      </c>
      <c r="K263">
        <f>IF(B263&gt;=Settings!$C$5,1,0)</f>
        <v/>
      </c>
    </row>
    <row r="264">
      <c r="A264" t="inlineStr">
        <is>
          <t>4bc2d171e7cff7fa3c2c4bd0bf5dabc4</t>
        </is>
      </c>
      <c r="B264" s="29" t="n">
        <v>42943</v>
      </c>
      <c r="C264" t="inlineStr">
        <is>
          <t>2017-07</t>
        </is>
      </c>
      <c r="D264" t="inlineStr">
        <is>
          <t>6404292b0f9a5594edf14be71ce4c221</t>
        </is>
      </c>
      <c r="E264" t="inlineStr">
        <is>
          <t>(missing)</t>
        </is>
      </c>
      <c r="F264">
        <f>IFERROR(MATCH(A264,Deals!$A$2:$A$843,0),"")</f>
        <v/>
      </c>
      <c r="G264">
        <f>IF(F264="",0,1)</f>
        <v/>
      </c>
      <c r="H264" s="29">
        <f>IF(F264="","",INDEX(Deals!$E$2:$E$843,F264))</f>
        <v/>
      </c>
      <c r="I264">
        <f>IF(F264="","",INDEX(Deals!$D$2:$D$843,F264))</f>
        <v/>
      </c>
      <c r="J264">
        <f>IF(F264="","",INT(H264)-B264)</f>
        <v/>
      </c>
      <c r="K264">
        <f>IF(B264&gt;=Settings!$C$5,1,0)</f>
        <v/>
      </c>
    </row>
    <row r="265">
      <c r="A265" t="inlineStr">
        <is>
          <t>cfefe028584e7a3f406e1096e7daaaff</t>
        </is>
      </c>
      <c r="B265" s="29" t="n">
        <v>43002</v>
      </c>
      <c r="C265" t="inlineStr">
        <is>
          <t>2017-09</t>
        </is>
      </c>
      <c r="D265" t="inlineStr">
        <is>
          <t>83ccc33d426eab8a3db70bd15aba46b8</t>
        </is>
      </c>
      <c r="E265" t="inlineStr">
        <is>
          <t>direct_traffic</t>
        </is>
      </c>
      <c r="F265">
        <f>IFERROR(MATCH(A265,Deals!$A$2:$A$843,0),"")</f>
        <v/>
      </c>
      <c r="G265">
        <f>IF(F265="",0,1)</f>
        <v/>
      </c>
      <c r="H265" s="29">
        <f>IF(F265="","",INDEX(Deals!$E$2:$E$843,F265))</f>
        <v/>
      </c>
      <c r="I265">
        <f>IF(F265="","",INDEX(Deals!$D$2:$D$843,F265))</f>
        <v/>
      </c>
      <c r="J265">
        <f>IF(F265="","",INT(H265)-B265)</f>
        <v/>
      </c>
      <c r="K265">
        <f>IF(B265&gt;=Settings!$C$5,1,0)</f>
        <v/>
      </c>
    </row>
    <row r="266">
      <c r="A266" t="inlineStr">
        <is>
          <t>977f18da3bd9a7e87b4642054cd03f91</t>
        </is>
      </c>
      <c r="B266" s="29" t="n">
        <v>43181</v>
      </c>
      <c r="C266" t="inlineStr">
        <is>
          <t>2018-03</t>
        </is>
      </c>
      <c r="D266" t="inlineStr">
        <is>
          <t>22c29808c4f815213303f8933030604c</t>
        </is>
      </c>
      <c r="E266" t="inlineStr">
        <is>
          <t>direct_traffic</t>
        </is>
      </c>
      <c r="F266">
        <f>IFERROR(MATCH(A266,Deals!$A$2:$A$843,0),"")</f>
        <v/>
      </c>
      <c r="G266">
        <f>IF(F266="",0,1)</f>
        <v/>
      </c>
      <c r="H266" s="29">
        <f>IF(F266="","",INDEX(Deals!$E$2:$E$843,F266))</f>
        <v/>
      </c>
      <c r="I266">
        <f>IF(F266="","",INDEX(Deals!$D$2:$D$843,F266))</f>
        <v/>
      </c>
      <c r="J266">
        <f>IF(F266="","",INT(H266)-B266)</f>
        <v/>
      </c>
      <c r="K266">
        <f>IF(B266&gt;=Settings!$C$5,1,0)</f>
        <v/>
      </c>
    </row>
    <row r="267">
      <c r="A267" t="inlineStr">
        <is>
          <t>dfeb99cdfcf6f7fc01785f979eff8ea3</t>
        </is>
      </c>
      <c r="B267" s="29" t="n">
        <v>43194</v>
      </c>
      <c r="C267" t="inlineStr">
        <is>
          <t>2018-04</t>
        </is>
      </c>
      <c r="D267" t="inlineStr">
        <is>
          <t>22218292bcb562cf33f2342d57952479</t>
        </is>
      </c>
      <c r="E267" t="inlineStr">
        <is>
          <t>email</t>
        </is>
      </c>
      <c r="F267">
        <f>IFERROR(MATCH(A267,Deals!$A$2:$A$843,0),"")</f>
        <v/>
      </c>
      <c r="G267">
        <f>IF(F267="",0,1)</f>
        <v/>
      </c>
      <c r="H267" s="29">
        <f>IF(F267="","",INDEX(Deals!$E$2:$E$843,F267))</f>
        <v/>
      </c>
      <c r="I267">
        <f>IF(F267="","",INDEX(Deals!$D$2:$D$843,F267))</f>
        <v/>
      </c>
      <c r="J267">
        <f>IF(F267="","",INT(H267)-B267)</f>
        <v/>
      </c>
      <c r="K267">
        <f>IF(B267&gt;=Settings!$C$5,1,0)</f>
        <v/>
      </c>
    </row>
    <row r="268">
      <c r="A268" t="inlineStr">
        <is>
          <t>46c4e6a9d4e1392f1f86747329e15ab0</t>
        </is>
      </c>
      <c r="B268" s="29" t="n">
        <v>42950</v>
      </c>
      <c r="C268" t="inlineStr">
        <is>
          <t>2017-08</t>
        </is>
      </c>
      <c r="D268" t="inlineStr">
        <is>
          <t>1722481ac9e5371e5099dea226b5421d</t>
        </is>
      </c>
      <c r="E268" t="inlineStr">
        <is>
          <t>organic_search</t>
        </is>
      </c>
      <c r="F268">
        <f>IFERROR(MATCH(A268,Deals!$A$2:$A$843,0),"")</f>
        <v/>
      </c>
      <c r="G268">
        <f>IF(F268="",0,1)</f>
        <v/>
      </c>
      <c r="H268" s="29">
        <f>IF(F268="","",INDEX(Deals!$E$2:$E$843,F268))</f>
        <v/>
      </c>
      <c r="I268">
        <f>IF(F268="","",INDEX(Deals!$D$2:$D$843,F268))</f>
        <v/>
      </c>
      <c r="J268">
        <f>IF(F268="","",INT(H268)-B268)</f>
        <v/>
      </c>
      <c r="K268">
        <f>IF(B268&gt;=Settings!$C$5,1,0)</f>
        <v/>
      </c>
    </row>
    <row r="269">
      <c r="A269" t="inlineStr">
        <is>
          <t>2552a7b886c1710f36be92ac29b1362d</t>
        </is>
      </c>
      <c r="B269" s="29" t="n">
        <v>43109</v>
      </c>
      <c r="C269" t="inlineStr">
        <is>
          <t>2018-01</t>
        </is>
      </c>
      <c r="D269" t="inlineStr">
        <is>
          <t>b76ef37428e6799c421989521c0e5077</t>
        </is>
      </c>
      <c r="E269" t="inlineStr">
        <is>
          <t>unknown</t>
        </is>
      </c>
      <c r="F269">
        <f>IFERROR(MATCH(A269,Deals!$A$2:$A$843,0),"")</f>
        <v/>
      </c>
      <c r="G269">
        <f>IF(F269="",0,1)</f>
        <v/>
      </c>
      <c r="H269" s="29">
        <f>IF(F269="","",INDEX(Deals!$E$2:$E$843,F269))</f>
        <v/>
      </c>
      <c r="I269">
        <f>IF(F269="","",INDEX(Deals!$D$2:$D$843,F269))</f>
        <v/>
      </c>
      <c r="J269">
        <f>IF(F269="","",INT(H269)-B269)</f>
        <v/>
      </c>
      <c r="K269">
        <f>IF(B269&gt;=Settings!$C$5,1,0)</f>
        <v/>
      </c>
    </row>
    <row r="270">
      <c r="A270" t="inlineStr">
        <is>
          <t>8e507f1b8fd82c2bfae43b8f3cb66ba0</t>
        </is>
      </c>
      <c r="B270" s="29" t="n">
        <v>43244</v>
      </c>
      <c r="C270" t="inlineStr">
        <is>
          <t>2018-05</t>
        </is>
      </c>
      <c r="D270" t="inlineStr">
        <is>
          <t>b76ef37428e6799c421989521c0e5077</t>
        </is>
      </c>
      <c r="E270" t="inlineStr">
        <is>
          <t>unknown</t>
        </is>
      </c>
      <c r="F270">
        <f>IFERROR(MATCH(A270,Deals!$A$2:$A$843,0),"")</f>
        <v/>
      </c>
      <c r="G270">
        <f>IF(F270="",0,1)</f>
        <v/>
      </c>
      <c r="H270" s="29">
        <f>IF(F270="","",INDEX(Deals!$E$2:$E$843,F270))</f>
        <v/>
      </c>
      <c r="I270">
        <f>IF(F270="","",INDEX(Deals!$D$2:$D$843,F270))</f>
        <v/>
      </c>
      <c r="J270">
        <f>IF(F270="","",INT(H270)-B270)</f>
        <v/>
      </c>
      <c r="K270">
        <f>IF(B270&gt;=Settings!$C$5,1,0)</f>
        <v/>
      </c>
    </row>
    <row r="271">
      <c r="A271" t="inlineStr">
        <is>
          <t>af5ac7432f2b60611a2b2081da85bdc0</t>
        </is>
      </c>
      <c r="B271" s="29" t="n">
        <v>43035</v>
      </c>
      <c r="C271" t="inlineStr">
        <is>
          <t>2017-10</t>
        </is>
      </c>
      <c r="D271" t="inlineStr">
        <is>
          <t>88740e65d5d6b056e0cda098e1ea6313</t>
        </is>
      </c>
      <c r="E271" t="inlineStr">
        <is>
          <t>paid_search</t>
        </is>
      </c>
      <c r="F271">
        <f>IFERROR(MATCH(A271,Deals!$A$2:$A$843,0),"")</f>
        <v/>
      </c>
      <c r="G271">
        <f>IF(F271="",0,1)</f>
        <v/>
      </c>
      <c r="H271" s="29">
        <f>IF(F271="","",INDEX(Deals!$E$2:$E$843,F271))</f>
        <v/>
      </c>
      <c r="I271">
        <f>IF(F271="","",INDEX(Deals!$D$2:$D$843,F271))</f>
        <v/>
      </c>
      <c r="J271">
        <f>IF(F271="","",INT(H271)-B271)</f>
        <v/>
      </c>
      <c r="K271">
        <f>IF(B271&gt;=Settings!$C$5,1,0)</f>
        <v/>
      </c>
    </row>
    <row r="272">
      <c r="A272" t="inlineStr">
        <is>
          <t>6a94e24f5ca3ea4ec201480618095de8</t>
        </is>
      </c>
      <c r="B272" s="29" t="n">
        <v>43169</v>
      </c>
      <c r="C272" t="inlineStr">
        <is>
          <t>2018-03</t>
        </is>
      </c>
      <c r="D272" t="inlineStr">
        <is>
          <t>241f79c7a8fe0270f4fb79fcbbcd17ad</t>
        </is>
      </c>
      <c r="E272" t="inlineStr">
        <is>
          <t>paid_search</t>
        </is>
      </c>
      <c r="F272">
        <f>IFERROR(MATCH(A272,Deals!$A$2:$A$843,0),"")</f>
        <v/>
      </c>
      <c r="G272">
        <f>IF(F272="",0,1)</f>
        <v/>
      </c>
      <c r="H272" s="29">
        <f>IF(F272="","",INDEX(Deals!$E$2:$E$843,F272))</f>
        <v/>
      </c>
      <c r="I272">
        <f>IF(F272="","",INDEX(Deals!$D$2:$D$843,F272))</f>
        <v/>
      </c>
      <c r="J272">
        <f>IF(F272="","",INT(H272)-B272)</f>
        <v/>
      </c>
      <c r="K272">
        <f>IF(B272&gt;=Settings!$C$5,1,0)</f>
        <v/>
      </c>
    </row>
    <row r="273">
      <c r="A273" t="inlineStr">
        <is>
          <t>59c0665c39a2bb9c8776d66f4e8b8f66</t>
        </is>
      </c>
      <c r="B273" s="29" t="n">
        <v>43110</v>
      </c>
      <c r="C273" t="inlineStr">
        <is>
          <t>2018-01</t>
        </is>
      </c>
      <c r="D273" t="inlineStr">
        <is>
          <t>30077c17f2ec5010a82e37ad8925b95f</t>
        </is>
      </c>
      <c r="E273" t="inlineStr">
        <is>
          <t>direct_traffic</t>
        </is>
      </c>
      <c r="F273">
        <f>IFERROR(MATCH(A273,Deals!$A$2:$A$843,0),"")</f>
        <v/>
      </c>
      <c r="G273">
        <f>IF(F273="",0,1)</f>
        <v/>
      </c>
      <c r="H273" s="29">
        <f>IF(F273="","",INDEX(Deals!$E$2:$E$843,F273))</f>
        <v/>
      </c>
      <c r="I273">
        <f>IF(F273="","",INDEX(Deals!$D$2:$D$843,F273))</f>
        <v/>
      </c>
      <c r="J273">
        <f>IF(F273="","",INT(H273)-B273)</f>
        <v/>
      </c>
      <c r="K273">
        <f>IF(B273&gt;=Settings!$C$5,1,0)</f>
        <v/>
      </c>
    </row>
    <row r="274">
      <c r="A274" t="inlineStr">
        <is>
          <t>4424206bb5705836a4bced27f9dfa350</t>
        </is>
      </c>
      <c r="B274" s="29" t="n">
        <v>43010</v>
      </c>
      <c r="C274" t="inlineStr">
        <is>
          <t>2017-10</t>
        </is>
      </c>
      <c r="D274" t="inlineStr">
        <is>
          <t>ff3416719616ad4921acb8c74e21d6f0</t>
        </is>
      </c>
      <c r="E274" t="inlineStr">
        <is>
          <t>referral</t>
        </is>
      </c>
      <c r="F274">
        <f>IFERROR(MATCH(A274,Deals!$A$2:$A$843,0),"")</f>
        <v/>
      </c>
      <c r="G274">
        <f>IF(F274="",0,1)</f>
        <v/>
      </c>
      <c r="H274" s="29">
        <f>IF(F274="","",INDEX(Deals!$E$2:$E$843,F274))</f>
        <v/>
      </c>
      <c r="I274">
        <f>IF(F274="","",INDEX(Deals!$D$2:$D$843,F274))</f>
        <v/>
      </c>
      <c r="J274">
        <f>IF(F274="","",INT(H274)-B274)</f>
        <v/>
      </c>
      <c r="K274">
        <f>IF(B274&gt;=Settings!$C$5,1,0)</f>
        <v/>
      </c>
    </row>
    <row r="275">
      <c r="A275" t="inlineStr">
        <is>
          <t>a060a959e2593a9036a4a9a449f9b304</t>
        </is>
      </c>
      <c r="B275" s="29" t="n">
        <v>43027</v>
      </c>
      <c r="C275" t="inlineStr">
        <is>
          <t>2017-10</t>
        </is>
      </c>
      <c r="D275" t="inlineStr">
        <is>
          <t>721e54f5ec9978339e69dd3601713456</t>
        </is>
      </c>
      <c r="E275" t="inlineStr">
        <is>
          <t>organic_search</t>
        </is>
      </c>
      <c r="F275">
        <f>IFERROR(MATCH(A275,Deals!$A$2:$A$843,0),"")</f>
        <v/>
      </c>
      <c r="G275">
        <f>IF(F275="",0,1)</f>
        <v/>
      </c>
      <c r="H275" s="29">
        <f>IF(F275="","",INDEX(Deals!$E$2:$E$843,F275))</f>
        <v/>
      </c>
      <c r="I275">
        <f>IF(F275="","",INDEX(Deals!$D$2:$D$843,F275))</f>
        <v/>
      </c>
      <c r="J275">
        <f>IF(F275="","",INT(H275)-B275)</f>
        <v/>
      </c>
      <c r="K275">
        <f>IF(B275&gt;=Settings!$C$5,1,0)</f>
        <v/>
      </c>
    </row>
    <row r="276">
      <c r="A276" t="inlineStr">
        <is>
          <t>8bc33f5058873fd28b557a2ba59a8795</t>
        </is>
      </c>
      <c r="B276" s="29" t="n">
        <v>43204</v>
      </c>
      <c r="C276" t="inlineStr">
        <is>
          <t>2018-04</t>
        </is>
      </c>
      <c r="D276" t="inlineStr">
        <is>
          <t>649b7b8b46b254497e92038d88f6ced8</t>
        </is>
      </c>
      <c r="E276" t="inlineStr">
        <is>
          <t>social</t>
        </is>
      </c>
      <c r="F276">
        <f>IFERROR(MATCH(A276,Deals!$A$2:$A$843,0),"")</f>
        <v/>
      </c>
      <c r="G276">
        <f>IF(F276="",0,1)</f>
        <v/>
      </c>
      <c r="H276" s="29">
        <f>IF(F276="","",INDEX(Deals!$E$2:$E$843,F276))</f>
        <v/>
      </c>
      <c r="I276">
        <f>IF(F276="","",INDEX(Deals!$D$2:$D$843,F276))</f>
        <v/>
      </c>
      <c r="J276">
        <f>IF(F276="","",INT(H276)-B276)</f>
        <v/>
      </c>
      <c r="K276">
        <f>IF(B276&gt;=Settings!$C$5,1,0)</f>
        <v/>
      </c>
    </row>
    <row r="277">
      <c r="A277" t="inlineStr">
        <is>
          <t>66e2c22dd0d2d4bac4dbba93ce68e639</t>
        </is>
      </c>
      <c r="B277" s="29" t="n">
        <v>43110</v>
      </c>
      <c r="C277" t="inlineStr">
        <is>
          <t>2018-01</t>
        </is>
      </c>
      <c r="D277" t="inlineStr">
        <is>
          <t>b76ef37428e6799c421989521c0e5077</t>
        </is>
      </c>
      <c r="E277" t="inlineStr">
        <is>
          <t>unknown</t>
        </is>
      </c>
      <c r="F277">
        <f>IFERROR(MATCH(A277,Deals!$A$2:$A$843,0),"")</f>
        <v/>
      </c>
      <c r="G277">
        <f>IF(F277="",0,1)</f>
        <v/>
      </c>
      <c r="H277" s="29">
        <f>IF(F277="","",INDEX(Deals!$E$2:$E$843,F277))</f>
        <v/>
      </c>
      <c r="I277">
        <f>IF(F277="","",INDEX(Deals!$D$2:$D$843,F277))</f>
        <v/>
      </c>
      <c r="J277">
        <f>IF(F277="","",INT(H277)-B277)</f>
        <v/>
      </c>
      <c r="K277">
        <f>IF(B277&gt;=Settings!$C$5,1,0)</f>
        <v/>
      </c>
    </row>
    <row r="278">
      <c r="A278" t="inlineStr">
        <is>
          <t>f4829b9504d0ec0985719d9a7e2455a2</t>
        </is>
      </c>
      <c r="B278" s="29" t="n">
        <v>43209</v>
      </c>
      <c r="C278" t="inlineStr">
        <is>
          <t>2018-04</t>
        </is>
      </c>
      <c r="D278" t="inlineStr">
        <is>
          <t>e534a08b23c682d94859d0ab860bd57a</t>
        </is>
      </c>
      <c r="E278" t="inlineStr">
        <is>
          <t>email</t>
        </is>
      </c>
      <c r="F278">
        <f>IFERROR(MATCH(A278,Deals!$A$2:$A$843,0),"")</f>
        <v/>
      </c>
      <c r="G278">
        <f>IF(F278="",0,1)</f>
        <v/>
      </c>
      <c r="H278" s="29">
        <f>IF(F278="","",INDEX(Deals!$E$2:$E$843,F278))</f>
        <v/>
      </c>
      <c r="I278">
        <f>IF(F278="","",INDEX(Deals!$D$2:$D$843,F278))</f>
        <v/>
      </c>
      <c r="J278">
        <f>IF(F278="","",INT(H278)-B278)</f>
        <v/>
      </c>
      <c r="K278">
        <f>IF(B278&gt;=Settings!$C$5,1,0)</f>
        <v/>
      </c>
    </row>
    <row r="279">
      <c r="A279" t="inlineStr">
        <is>
          <t>fa9032f8af3c9bd9029241db3cc8a38b</t>
        </is>
      </c>
      <c r="B279" s="29" t="n">
        <v>43245</v>
      </c>
      <c r="C279" t="inlineStr">
        <is>
          <t>2018-05</t>
        </is>
      </c>
      <c r="D279" t="inlineStr">
        <is>
          <t>35c9b150ab36fe584c1f24fd458c453a</t>
        </is>
      </c>
      <c r="E279" t="inlineStr">
        <is>
          <t>paid_search</t>
        </is>
      </c>
      <c r="F279">
        <f>IFERROR(MATCH(A279,Deals!$A$2:$A$843,0),"")</f>
        <v/>
      </c>
      <c r="G279">
        <f>IF(F279="",0,1)</f>
        <v/>
      </c>
      <c r="H279" s="29">
        <f>IF(F279="","",INDEX(Deals!$E$2:$E$843,F279))</f>
        <v/>
      </c>
      <c r="I279">
        <f>IF(F279="","",INDEX(Deals!$D$2:$D$843,F279))</f>
        <v/>
      </c>
      <c r="J279">
        <f>IF(F279="","",INT(H279)-B279)</f>
        <v/>
      </c>
      <c r="K279">
        <f>IF(B279&gt;=Settings!$C$5,1,0)</f>
        <v/>
      </c>
    </row>
    <row r="280">
      <c r="A280" t="inlineStr">
        <is>
          <t>4151b0029636a1c55afcce9283ac7902</t>
        </is>
      </c>
      <c r="B280" s="29" t="n">
        <v>43136</v>
      </c>
      <c r="C280" t="inlineStr">
        <is>
          <t>2018-02</t>
        </is>
      </c>
      <c r="D280" t="inlineStr">
        <is>
          <t>22c29808c4f815213303f8933030604c</t>
        </is>
      </c>
      <c r="E280" t="inlineStr">
        <is>
          <t>organic_search</t>
        </is>
      </c>
      <c r="F280">
        <f>IFERROR(MATCH(A280,Deals!$A$2:$A$843,0),"")</f>
        <v/>
      </c>
      <c r="G280">
        <f>IF(F280="",0,1)</f>
        <v/>
      </c>
      <c r="H280" s="29">
        <f>IF(F280="","",INDEX(Deals!$E$2:$E$843,F280))</f>
        <v/>
      </c>
      <c r="I280">
        <f>IF(F280="","",INDEX(Deals!$D$2:$D$843,F280))</f>
        <v/>
      </c>
      <c r="J280">
        <f>IF(F280="","",INT(H280)-B280)</f>
        <v/>
      </c>
      <c r="K280">
        <f>IF(B280&gt;=Settings!$C$5,1,0)</f>
        <v/>
      </c>
    </row>
    <row r="281">
      <c r="A281" t="inlineStr">
        <is>
          <t>d8eab7a13d4255428253eef1b2e64b0d</t>
        </is>
      </c>
      <c r="B281" s="29" t="n">
        <v>42932</v>
      </c>
      <c r="C281" t="inlineStr">
        <is>
          <t>2017-07</t>
        </is>
      </c>
      <c r="D281" t="inlineStr">
        <is>
          <t>ee3c3bad6ed3eb9d5de56688d1f9c91b</t>
        </is>
      </c>
      <c r="E281" t="inlineStr">
        <is>
          <t>referral</t>
        </is>
      </c>
      <c r="F281">
        <f>IFERROR(MATCH(A281,Deals!$A$2:$A$843,0),"")</f>
        <v/>
      </c>
      <c r="G281">
        <f>IF(F281="",0,1)</f>
        <v/>
      </c>
      <c r="H281" s="29">
        <f>IF(F281="","",INDEX(Deals!$E$2:$E$843,F281))</f>
        <v/>
      </c>
      <c r="I281">
        <f>IF(F281="","",INDEX(Deals!$D$2:$D$843,F281))</f>
        <v/>
      </c>
      <c r="J281">
        <f>IF(F281="","",INT(H281)-B281)</f>
        <v/>
      </c>
      <c r="K281">
        <f>IF(B281&gt;=Settings!$C$5,1,0)</f>
        <v/>
      </c>
    </row>
    <row r="282">
      <c r="A282" t="inlineStr">
        <is>
          <t>e13538a1556c413f59514438a436b1fa</t>
        </is>
      </c>
      <c r="B282" s="29" t="n">
        <v>43201</v>
      </c>
      <c r="C282" t="inlineStr">
        <is>
          <t>2018-04</t>
        </is>
      </c>
      <c r="D282" t="inlineStr">
        <is>
          <t>ce1a65abd0973638f1c887a6efcfa82d</t>
        </is>
      </c>
      <c r="E282" t="inlineStr">
        <is>
          <t>unknown</t>
        </is>
      </c>
      <c r="F282">
        <f>IFERROR(MATCH(A282,Deals!$A$2:$A$843,0),"")</f>
        <v/>
      </c>
      <c r="G282">
        <f>IF(F282="",0,1)</f>
        <v/>
      </c>
      <c r="H282" s="29">
        <f>IF(F282="","",INDEX(Deals!$E$2:$E$843,F282))</f>
        <v/>
      </c>
      <c r="I282">
        <f>IF(F282="","",INDEX(Deals!$D$2:$D$843,F282))</f>
        <v/>
      </c>
      <c r="J282">
        <f>IF(F282="","",INT(H282)-B282)</f>
        <v/>
      </c>
      <c r="K282">
        <f>IF(B282&gt;=Settings!$C$5,1,0)</f>
        <v/>
      </c>
    </row>
    <row r="283">
      <c r="A283" t="inlineStr">
        <is>
          <t>b5ab45423ffb576accdb554b967cdad5</t>
        </is>
      </c>
      <c r="B283" s="29" t="n">
        <v>43131</v>
      </c>
      <c r="C283" t="inlineStr">
        <is>
          <t>2018-01</t>
        </is>
      </c>
      <c r="D283" t="inlineStr">
        <is>
          <t>b6cd08ac77c501fd6857f7916d2c24f3</t>
        </is>
      </c>
      <c r="E283" t="inlineStr">
        <is>
          <t>email</t>
        </is>
      </c>
      <c r="F283">
        <f>IFERROR(MATCH(A283,Deals!$A$2:$A$843,0),"")</f>
        <v/>
      </c>
      <c r="G283">
        <f>IF(F283="",0,1)</f>
        <v/>
      </c>
      <c r="H283" s="29">
        <f>IF(F283="","",INDEX(Deals!$E$2:$E$843,F283))</f>
        <v/>
      </c>
      <c r="I283">
        <f>IF(F283="","",INDEX(Deals!$D$2:$D$843,F283))</f>
        <v/>
      </c>
      <c r="J283">
        <f>IF(F283="","",INT(H283)-B283)</f>
        <v/>
      </c>
      <c r="K283">
        <f>IF(B283&gt;=Settings!$C$5,1,0)</f>
        <v/>
      </c>
    </row>
    <row r="284">
      <c r="A284" t="inlineStr">
        <is>
          <t>fc4166d1b1e192f650ee2d807b54c943</t>
        </is>
      </c>
      <c r="B284" s="29" t="n">
        <v>43116</v>
      </c>
      <c r="C284" t="inlineStr">
        <is>
          <t>2018-01</t>
        </is>
      </c>
      <c r="D284" t="inlineStr">
        <is>
          <t>88740e65d5d6b056e0cda098e1ea6313</t>
        </is>
      </c>
      <c r="E284" t="inlineStr">
        <is>
          <t>social</t>
        </is>
      </c>
      <c r="F284">
        <f>IFERROR(MATCH(A284,Deals!$A$2:$A$843,0),"")</f>
        <v/>
      </c>
      <c r="G284">
        <f>IF(F284="",0,1)</f>
        <v/>
      </c>
      <c r="H284" s="29">
        <f>IF(F284="","",INDEX(Deals!$E$2:$E$843,F284))</f>
        <v/>
      </c>
      <c r="I284">
        <f>IF(F284="","",INDEX(Deals!$D$2:$D$843,F284))</f>
        <v/>
      </c>
      <c r="J284">
        <f>IF(F284="","",INT(H284)-B284)</f>
        <v/>
      </c>
      <c r="K284">
        <f>IF(B284&gt;=Settings!$C$5,1,0)</f>
        <v/>
      </c>
    </row>
    <row r="285">
      <c r="A285" t="inlineStr">
        <is>
          <t>e129fb3798d317171dc9bd7d2cb43de3</t>
        </is>
      </c>
      <c r="B285" s="29" t="n">
        <v>43135</v>
      </c>
      <c r="C285" t="inlineStr">
        <is>
          <t>2018-02</t>
        </is>
      </c>
      <c r="D285" t="inlineStr">
        <is>
          <t>ce1a65abd0973638f1c887a6efcfa82d</t>
        </is>
      </c>
      <c r="E285" t="inlineStr">
        <is>
          <t>organic_search</t>
        </is>
      </c>
      <c r="F285">
        <f>IFERROR(MATCH(A285,Deals!$A$2:$A$843,0),"")</f>
        <v/>
      </c>
      <c r="G285">
        <f>IF(F285="",0,1)</f>
        <v/>
      </c>
      <c r="H285" s="29">
        <f>IF(F285="","",INDEX(Deals!$E$2:$E$843,F285))</f>
        <v/>
      </c>
      <c r="I285">
        <f>IF(F285="","",INDEX(Deals!$D$2:$D$843,F285))</f>
        <v/>
      </c>
      <c r="J285">
        <f>IF(F285="","",INT(H285)-B285)</f>
        <v/>
      </c>
      <c r="K285">
        <f>IF(B285&gt;=Settings!$C$5,1,0)</f>
        <v/>
      </c>
    </row>
    <row r="286">
      <c r="A286" t="inlineStr">
        <is>
          <t>965ebc53a9938fc4cabbc213f8091bfe</t>
        </is>
      </c>
      <c r="B286" s="29" t="n">
        <v>43053</v>
      </c>
      <c r="C286" t="inlineStr">
        <is>
          <t>2017-11</t>
        </is>
      </c>
      <c r="D286" t="inlineStr">
        <is>
          <t>22c29808c4f815213303f8933030604c</t>
        </is>
      </c>
      <c r="E286" t="inlineStr">
        <is>
          <t>organic_search</t>
        </is>
      </c>
      <c r="F286">
        <f>IFERROR(MATCH(A286,Deals!$A$2:$A$843,0),"")</f>
        <v/>
      </c>
      <c r="G286">
        <f>IF(F286="",0,1)</f>
        <v/>
      </c>
      <c r="H286" s="29">
        <f>IF(F286="","",INDEX(Deals!$E$2:$E$843,F286))</f>
        <v/>
      </c>
      <c r="I286">
        <f>IF(F286="","",INDEX(Deals!$D$2:$D$843,F286))</f>
        <v/>
      </c>
      <c r="J286">
        <f>IF(F286="","",INT(H286)-B286)</f>
        <v/>
      </c>
      <c r="K286">
        <f>IF(B286&gt;=Settings!$C$5,1,0)</f>
        <v/>
      </c>
    </row>
    <row r="287">
      <c r="A287" t="inlineStr">
        <is>
          <t>948293861c909e3437577b0388302346</t>
        </is>
      </c>
      <c r="B287" s="29" t="n">
        <v>43112</v>
      </c>
      <c r="C287" t="inlineStr">
        <is>
          <t>2018-01</t>
        </is>
      </c>
      <c r="D287" t="inlineStr">
        <is>
          <t>b76ef37428e6799c421989521c0e5077</t>
        </is>
      </c>
      <c r="E287" t="inlineStr">
        <is>
          <t>unknown</t>
        </is>
      </c>
      <c r="F287">
        <f>IFERROR(MATCH(A287,Deals!$A$2:$A$843,0),"")</f>
        <v/>
      </c>
      <c r="G287">
        <f>IF(F287="",0,1)</f>
        <v/>
      </c>
      <c r="H287" s="29">
        <f>IF(F287="","",INDEX(Deals!$E$2:$E$843,F287))</f>
        <v/>
      </c>
      <c r="I287">
        <f>IF(F287="","",INDEX(Deals!$D$2:$D$843,F287))</f>
        <v/>
      </c>
      <c r="J287">
        <f>IF(F287="","",INT(H287)-B287)</f>
        <v/>
      </c>
      <c r="K287">
        <f>IF(B287&gt;=Settings!$C$5,1,0)</f>
        <v/>
      </c>
    </row>
    <row r="288">
      <c r="A288" t="inlineStr">
        <is>
          <t>676a5420f160ad3e229d508cd3aefb1f</t>
        </is>
      </c>
      <c r="B288" s="29" t="n">
        <v>43100</v>
      </c>
      <c r="C288" t="inlineStr">
        <is>
          <t>2017-12</t>
        </is>
      </c>
      <c r="D288" t="inlineStr">
        <is>
          <t>88740e65d5d6b056e0cda098e1ea6313</t>
        </is>
      </c>
      <c r="E288" t="inlineStr">
        <is>
          <t>social</t>
        </is>
      </c>
      <c r="F288">
        <f>IFERROR(MATCH(A288,Deals!$A$2:$A$843,0),"")</f>
        <v/>
      </c>
      <c r="G288">
        <f>IF(F288="",0,1)</f>
        <v/>
      </c>
      <c r="H288" s="29">
        <f>IF(F288="","",INDEX(Deals!$E$2:$E$843,F288))</f>
        <v/>
      </c>
      <c r="I288">
        <f>IF(F288="","",INDEX(Deals!$D$2:$D$843,F288))</f>
        <v/>
      </c>
      <c r="J288">
        <f>IF(F288="","",INT(H288)-B288)</f>
        <v/>
      </c>
      <c r="K288">
        <f>IF(B288&gt;=Settings!$C$5,1,0)</f>
        <v/>
      </c>
    </row>
    <row r="289">
      <c r="A289" t="inlineStr">
        <is>
          <t>2a6d26dfcf166f3e15e7bfeaaf8e55e0</t>
        </is>
      </c>
      <c r="B289" s="29" t="n">
        <v>43125</v>
      </c>
      <c r="C289" t="inlineStr">
        <is>
          <t>2018-01</t>
        </is>
      </c>
      <c r="D289" t="inlineStr">
        <is>
          <t>da14b7e2eb0d1eecf65abbd05a31c87d</t>
        </is>
      </c>
      <c r="E289" t="inlineStr">
        <is>
          <t>organic_search</t>
        </is>
      </c>
      <c r="F289">
        <f>IFERROR(MATCH(A289,Deals!$A$2:$A$843,0),"")</f>
        <v/>
      </c>
      <c r="G289">
        <f>IF(F289="",0,1)</f>
        <v/>
      </c>
      <c r="H289" s="29">
        <f>IF(F289="","",INDEX(Deals!$E$2:$E$843,F289))</f>
        <v/>
      </c>
      <c r="I289">
        <f>IF(F289="","",INDEX(Deals!$D$2:$D$843,F289))</f>
        <v/>
      </c>
      <c r="J289">
        <f>IF(F289="","",INT(H289)-B289)</f>
        <v/>
      </c>
      <c r="K289">
        <f>IF(B289&gt;=Settings!$C$5,1,0)</f>
        <v/>
      </c>
    </row>
    <row r="290">
      <c r="A290" t="inlineStr">
        <is>
          <t>85e43237b3fb87d881c757f44f1b0357</t>
        </is>
      </c>
      <c r="B290" s="29" t="n">
        <v>43185</v>
      </c>
      <c r="C290" t="inlineStr">
        <is>
          <t>2018-03</t>
        </is>
      </c>
      <c r="D290" t="inlineStr">
        <is>
          <t>40dec9f3d5259a3d2dbcdab2114fae47</t>
        </is>
      </c>
      <c r="E290" t="inlineStr">
        <is>
          <t>paid_search</t>
        </is>
      </c>
      <c r="F290">
        <f>IFERROR(MATCH(A290,Deals!$A$2:$A$843,0),"")</f>
        <v/>
      </c>
      <c r="G290">
        <f>IF(F290="",0,1)</f>
        <v/>
      </c>
      <c r="H290" s="29">
        <f>IF(F290="","",INDEX(Deals!$E$2:$E$843,F290))</f>
        <v/>
      </c>
      <c r="I290">
        <f>IF(F290="","",INDEX(Deals!$D$2:$D$843,F290))</f>
        <v/>
      </c>
      <c r="J290">
        <f>IF(F290="","",INT(H290)-B290)</f>
        <v/>
      </c>
      <c r="K290">
        <f>IF(B290&gt;=Settings!$C$5,1,0)</f>
        <v/>
      </c>
    </row>
    <row r="291">
      <c r="A291" t="inlineStr">
        <is>
          <t>71de73700199314daad7658522640fa5</t>
        </is>
      </c>
      <c r="B291" s="29" t="n">
        <v>43218</v>
      </c>
      <c r="C291" t="inlineStr">
        <is>
          <t>2018-04</t>
        </is>
      </c>
      <c r="D291" t="inlineStr">
        <is>
          <t>c494978688ccf66ad9fad3d6a3338c22</t>
        </is>
      </c>
      <c r="E291" t="inlineStr">
        <is>
          <t>social</t>
        </is>
      </c>
      <c r="F291">
        <f>IFERROR(MATCH(A291,Deals!$A$2:$A$843,0),"")</f>
        <v/>
      </c>
      <c r="G291">
        <f>IF(F291="",0,1)</f>
        <v/>
      </c>
      <c r="H291" s="29">
        <f>IF(F291="","",INDEX(Deals!$E$2:$E$843,F291))</f>
        <v/>
      </c>
      <c r="I291">
        <f>IF(F291="","",INDEX(Deals!$D$2:$D$843,F291))</f>
        <v/>
      </c>
      <c r="J291">
        <f>IF(F291="","",INT(H291)-B291)</f>
        <v/>
      </c>
      <c r="K291">
        <f>IF(B291&gt;=Settings!$C$5,1,0)</f>
        <v/>
      </c>
    </row>
    <row r="292">
      <c r="A292" t="inlineStr">
        <is>
          <t>2252b347a04841cf0c35467a47d2cc29</t>
        </is>
      </c>
      <c r="B292" s="29" t="n">
        <v>43245</v>
      </c>
      <c r="C292" t="inlineStr">
        <is>
          <t>2018-05</t>
        </is>
      </c>
      <c r="D292" t="inlineStr">
        <is>
          <t>35c9b150ab36fe584c1f24fd458c453a</t>
        </is>
      </c>
      <c r="E292" t="inlineStr">
        <is>
          <t>paid_search</t>
        </is>
      </c>
      <c r="F292">
        <f>IFERROR(MATCH(A292,Deals!$A$2:$A$843,0),"")</f>
        <v/>
      </c>
      <c r="G292">
        <f>IF(F292="",0,1)</f>
        <v/>
      </c>
      <c r="H292" s="29">
        <f>IF(F292="","",INDEX(Deals!$E$2:$E$843,F292))</f>
        <v/>
      </c>
      <c r="I292">
        <f>IF(F292="","",INDEX(Deals!$D$2:$D$843,F292))</f>
        <v/>
      </c>
      <c r="J292">
        <f>IF(F292="","",INT(H292)-B292)</f>
        <v/>
      </c>
      <c r="K292">
        <f>IF(B292&gt;=Settings!$C$5,1,0)</f>
        <v/>
      </c>
    </row>
    <row r="293">
      <c r="A293" t="inlineStr">
        <is>
          <t>2a305437dff38f3b83f52900567a91ed</t>
        </is>
      </c>
      <c r="B293" s="29" t="n">
        <v>42962</v>
      </c>
      <c r="C293" t="inlineStr">
        <is>
          <t>2017-08</t>
        </is>
      </c>
      <c r="D293" t="inlineStr">
        <is>
          <t>f017be4dbf86243af5c1ebed0cff36a2</t>
        </is>
      </c>
      <c r="E293" t="inlineStr">
        <is>
          <t>organic_search</t>
        </is>
      </c>
      <c r="F293">
        <f>IFERROR(MATCH(A293,Deals!$A$2:$A$843,0),"")</f>
        <v/>
      </c>
      <c r="G293">
        <f>IF(F293="",0,1)</f>
        <v/>
      </c>
      <c r="H293" s="29">
        <f>IF(F293="","",INDEX(Deals!$E$2:$E$843,F293))</f>
        <v/>
      </c>
      <c r="I293">
        <f>IF(F293="","",INDEX(Deals!$D$2:$D$843,F293))</f>
        <v/>
      </c>
      <c r="J293">
        <f>IF(F293="","",INT(H293)-B293)</f>
        <v/>
      </c>
      <c r="K293">
        <f>IF(B293&gt;=Settings!$C$5,1,0)</f>
        <v/>
      </c>
    </row>
    <row r="294">
      <c r="A294" t="inlineStr">
        <is>
          <t>173e097f39844e299a745824e4c90e04</t>
        </is>
      </c>
      <c r="B294" s="29" t="n">
        <v>43244</v>
      </c>
      <c r="C294" t="inlineStr">
        <is>
          <t>2018-05</t>
        </is>
      </c>
      <c r="D294" t="inlineStr">
        <is>
          <t>22c29808c4f815213303f8933030604c</t>
        </is>
      </c>
      <c r="E294" t="inlineStr">
        <is>
          <t>organic_search</t>
        </is>
      </c>
      <c r="F294">
        <f>IFERROR(MATCH(A294,Deals!$A$2:$A$843,0),"")</f>
        <v/>
      </c>
      <c r="G294">
        <f>IF(F294="",0,1)</f>
        <v/>
      </c>
      <c r="H294" s="29">
        <f>IF(F294="","",INDEX(Deals!$E$2:$E$843,F294))</f>
        <v/>
      </c>
      <c r="I294">
        <f>IF(F294="","",INDEX(Deals!$D$2:$D$843,F294))</f>
        <v/>
      </c>
      <c r="J294">
        <f>IF(F294="","",INT(H294)-B294)</f>
        <v/>
      </c>
      <c r="K294">
        <f>IF(B294&gt;=Settings!$C$5,1,0)</f>
        <v/>
      </c>
    </row>
    <row r="295">
      <c r="A295" t="inlineStr">
        <is>
          <t>a2ee868039973701dbacf41a3c5af4ba</t>
        </is>
      </c>
      <c r="B295" s="29" t="n">
        <v>42978</v>
      </c>
      <c r="C295" t="inlineStr">
        <is>
          <t>2017-08</t>
        </is>
      </c>
      <c r="D295" t="inlineStr">
        <is>
          <t>b76ef37428e6799c421989521c0e5077</t>
        </is>
      </c>
      <c r="E295" t="inlineStr">
        <is>
          <t>social</t>
        </is>
      </c>
      <c r="F295">
        <f>IFERROR(MATCH(A295,Deals!$A$2:$A$843,0),"")</f>
        <v/>
      </c>
      <c r="G295">
        <f>IF(F295="",0,1)</f>
        <v/>
      </c>
      <c r="H295" s="29">
        <f>IF(F295="","",INDEX(Deals!$E$2:$E$843,F295))</f>
        <v/>
      </c>
      <c r="I295">
        <f>IF(F295="","",INDEX(Deals!$D$2:$D$843,F295))</f>
        <v/>
      </c>
      <c r="J295">
        <f>IF(F295="","",INT(H295)-B295)</f>
        <v/>
      </c>
      <c r="K295">
        <f>IF(B295&gt;=Settings!$C$5,1,0)</f>
        <v/>
      </c>
    </row>
    <row r="296">
      <c r="A296" t="inlineStr">
        <is>
          <t>d21f9fc127b9849fddfaf59354916108</t>
        </is>
      </c>
      <c r="B296" s="29" t="n">
        <v>43192</v>
      </c>
      <c r="C296" t="inlineStr">
        <is>
          <t>2018-04</t>
        </is>
      </c>
      <c r="D296" t="inlineStr">
        <is>
          <t>b6885f18d203a61176418c1fb3764815</t>
        </is>
      </c>
      <c r="E296" t="inlineStr">
        <is>
          <t>paid_search</t>
        </is>
      </c>
      <c r="F296">
        <f>IFERROR(MATCH(A296,Deals!$A$2:$A$843,0),"")</f>
        <v/>
      </c>
      <c r="G296">
        <f>IF(F296="",0,1)</f>
        <v/>
      </c>
      <c r="H296" s="29">
        <f>IF(F296="","",INDEX(Deals!$E$2:$E$843,F296))</f>
        <v/>
      </c>
      <c r="I296">
        <f>IF(F296="","",INDEX(Deals!$D$2:$D$843,F296))</f>
        <v/>
      </c>
      <c r="J296">
        <f>IF(F296="","",INT(H296)-B296)</f>
        <v/>
      </c>
      <c r="K296">
        <f>IF(B296&gt;=Settings!$C$5,1,0)</f>
        <v/>
      </c>
    </row>
    <row r="297">
      <c r="A297" t="inlineStr">
        <is>
          <t>7db4802a643d0f1c44c58047d03b81fc</t>
        </is>
      </c>
      <c r="B297" s="29" t="n">
        <v>43143</v>
      </c>
      <c r="C297" t="inlineStr">
        <is>
          <t>2018-02</t>
        </is>
      </c>
      <c r="D297" t="inlineStr">
        <is>
          <t>40dec9f3d5259a3d2dbcdab2114fae47</t>
        </is>
      </c>
      <c r="E297" t="inlineStr">
        <is>
          <t>referral</t>
        </is>
      </c>
      <c r="F297">
        <f>IFERROR(MATCH(A297,Deals!$A$2:$A$843,0),"")</f>
        <v/>
      </c>
      <c r="G297">
        <f>IF(F297="",0,1)</f>
        <v/>
      </c>
      <c r="H297" s="29">
        <f>IF(F297="","",INDEX(Deals!$E$2:$E$843,F297))</f>
        <v/>
      </c>
      <c r="I297">
        <f>IF(F297="","",INDEX(Deals!$D$2:$D$843,F297))</f>
        <v/>
      </c>
      <c r="J297">
        <f>IF(F297="","",INT(H297)-B297)</f>
        <v/>
      </c>
      <c r="K297">
        <f>IF(B297&gt;=Settings!$C$5,1,0)</f>
        <v/>
      </c>
    </row>
    <row r="298">
      <c r="A298" t="inlineStr">
        <is>
          <t>f14155e842ad13c13a8025b93e6803e3</t>
        </is>
      </c>
      <c r="B298" s="29" t="n">
        <v>43150</v>
      </c>
      <c r="C298" t="inlineStr">
        <is>
          <t>2018-02</t>
        </is>
      </c>
      <c r="D298" t="inlineStr">
        <is>
          <t>36120633c8737035fbabf079082f4ec1</t>
        </is>
      </c>
      <c r="E298" t="inlineStr">
        <is>
          <t>referral</t>
        </is>
      </c>
      <c r="F298">
        <f>IFERROR(MATCH(A298,Deals!$A$2:$A$843,0),"")</f>
        <v/>
      </c>
      <c r="G298">
        <f>IF(F298="",0,1)</f>
        <v/>
      </c>
      <c r="H298" s="29">
        <f>IF(F298="","",INDEX(Deals!$E$2:$E$843,F298))</f>
        <v/>
      </c>
      <c r="I298">
        <f>IF(F298="","",INDEX(Deals!$D$2:$D$843,F298))</f>
        <v/>
      </c>
      <c r="J298">
        <f>IF(F298="","",INT(H298)-B298)</f>
        <v/>
      </c>
      <c r="K298">
        <f>IF(B298&gt;=Settings!$C$5,1,0)</f>
        <v/>
      </c>
    </row>
    <row r="299">
      <c r="A299" t="inlineStr">
        <is>
          <t>5a15c204653a7a3c7f4d7b5a353761b9</t>
        </is>
      </c>
      <c r="B299" s="29" t="n">
        <v>43232</v>
      </c>
      <c r="C299" t="inlineStr">
        <is>
          <t>2018-05</t>
        </is>
      </c>
      <c r="D299" t="inlineStr">
        <is>
          <t>ce1a65abd0973638f1c887a6efcfa82d</t>
        </is>
      </c>
      <c r="E299" t="inlineStr">
        <is>
          <t>organic_search</t>
        </is>
      </c>
      <c r="F299">
        <f>IFERROR(MATCH(A299,Deals!$A$2:$A$843,0),"")</f>
        <v/>
      </c>
      <c r="G299">
        <f>IF(F299="",0,1)</f>
        <v/>
      </c>
      <c r="H299" s="29">
        <f>IF(F299="","",INDEX(Deals!$E$2:$E$843,F299))</f>
        <v/>
      </c>
      <c r="I299">
        <f>IF(F299="","",INDEX(Deals!$D$2:$D$843,F299))</f>
        <v/>
      </c>
      <c r="J299">
        <f>IF(F299="","",INT(H299)-B299)</f>
        <v/>
      </c>
      <c r="K299">
        <f>IF(B299&gt;=Settings!$C$5,1,0)</f>
        <v/>
      </c>
    </row>
    <row r="300">
      <c r="A300" t="inlineStr">
        <is>
          <t>0e496a795b47fd07c94a87ad94ac683d</t>
        </is>
      </c>
      <c r="B300" s="29" t="n">
        <v>43039</v>
      </c>
      <c r="C300" t="inlineStr">
        <is>
          <t>2017-10</t>
        </is>
      </c>
      <c r="D300" t="inlineStr">
        <is>
          <t>22c29808c4f815213303f8933030604c</t>
        </is>
      </c>
      <c r="E300" t="inlineStr">
        <is>
          <t>paid_search</t>
        </is>
      </c>
      <c r="F300">
        <f>IFERROR(MATCH(A300,Deals!$A$2:$A$843,0),"")</f>
        <v/>
      </c>
      <c r="G300">
        <f>IF(F300="",0,1)</f>
        <v/>
      </c>
      <c r="H300" s="29">
        <f>IF(F300="","",INDEX(Deals!$E$2:$E$843,F300))</f>
        <v/>
      </c>
      <c r="I300">
        <f>IF(F300="","",INDEX(Deals!$D$2:$D$843,F300))</f>
        <v/>
      </c>
      <c r="J300">
        <f>IF(F300="","",INT(H300)-B300)</f>
        <v/>
      </c>
      <c r="K300">
        <f>IF(B300&gt;=Settings!$C$5,1,0)</f>
        <v/>
      </c>
    </row>
    <row r="301">
      <c r="A301" t="inlineStr">
        <is>
          <t>cb3c4b398451886d42bcf2fcccfb3ec0</t>
        </is>
      </c>
      <c r="B301" s="29" t="n">
        <v>43160</v>
      </c>
      <c r="C301" t="inlineStr">
        <is>
          <t>2018-03</t>
        </is>
      </c>
      <c r="D301" t="inlineStr">
        <is>
          <t>b76ef37428e6799c421989521c0e5077</t>
        </is>
      </c>
      <c r="E301" t="inlineStr">
        <is>
          <t>unknown</t>
        </is>
      </c>
      <c r="F301">
        <f>IFERROR(MATCH(A301,Deals!$A$2:$A$843,0),"")</f>
        <v/>
      </c>
      <c r="G301">
        <f>IF(F301="",0,1)</f>
        <v/>
      </c>
      <c r="H301" s="29">
        <f>IF(F301="","",INDEX(Deals!$E$2:$E$843,F301))</f>
        <v/>
      </c>
      <c r="I301">
        <f>IF(F301="","",INDEX(Deals!$D$2:$D$843,F301))</f>
        <v/>
      </c>
      <c r="J301">
        <f>IF(F301="","",INT(H301)-B301)</f>
        <v/>
      </c>
      <c r="K301">
        <f>IF(B301&gt;=Settings!$C$5,1,0)</f>
        <v/>
      </c>
    </row>
    <row r="302">
      <c r="A302" t="inlineStr">
        <is>
          <t>14f5c9b660813801b453b5903af18ca7</t>
        </is>
      </c>
      <c r="B302" s="29" t="n">
        <v>42952</v>
      </c>
      <c r="C302" t="inlineStr">
        <is>
          <t>2017-08</t>
        </is>
      </c>
      <c r="D302" t="inlineStr">
        <is>
          <t>909e333f8f23574f93115bd3d402e202</t>
        </is>
      </c>
      <c r="E302" t="inlineStr">
        <is>
          <t>organic_search</t>
        </is>
      </c>
      <c r="F302">
        <f>IFERROR(MATCH(A302,Deals!$A$2:$A$843,0),"")</f>
        <v/>
      </c>
      <c r="G302">
        <f>IF(F302="",0,1)</f>
        <v/>
      </c>
      <c r="H302" s="29">
        <f>IF(F302="","",INDEX(Deals!$E$2:$E$843,F302))</f>
        <v/>
      </c>
      <c r="I302">
        <f>IF(F302="","",INDEX(Deals!$D$2:$D$843,F302))</f>
        <v/>
      </c>
      <c r="J302">
        <f>IF(F302="","",INT(H302)-B302)</f>
        <v/>
      </c>
      <c r="K302">
        <f>IF(B302&gt;=Settings!$C$5,1,0)</f>
        <v/>
      </c>
    </row>
    <row r="303">
      <c r="A303" t="inlineStr">
        <is>
          <t>33326cedeb66cb0ac593d182ccd68bd0</t>
        </is>
      </c>
      <c r="B303" s="29" t="n">
        <v>43210</v>
      </c>
      <c r="C303" t="inlineStr">
        <is>
          <t>2018-04</t>
        </is>
      </c>
      <c r="D303" t="inlineStr">
        <is>
          <t>f017be4dbf86243af5c1ebed0cff36a2</t>
        </is>
      </c>
      <c r="E303" t="inlineStr">
        <is>
          <t>organic_search</t>
        </is>
      </c>
      <c r="F303">
        <f>IFERROR(MATCH(A303,Deals!$A$2:$A$843,0),"")</f>
        <v/>
      </c>
      <c r="G303">
        <f>IF(F303="",0,1)</f>
        <v/>
      </c>
      <c r="H303" s="29">
        <f>IF(F303="","",INDEX(Deals!$E$2:$E$843,F303))</f>
        <v/>
      </c>
      <c r="I303">
        <f>IF(F303="","",INDEX(Deals!$D$2:$D$843,F303))</f>
        <v/>
      </c>
      <c r="J303">
        <f>IF(F303="","",INT(H303)-B303)</f>
        <v/>
      </c>
      <c r="K303">
        <f>IF(B303&gt;=Settings!$C$5,1,0)</f>
        <v/>
      </c>
    </row>
    <row r="304">
      <c r="A304" t="inlineStr">
        <is>
          <t>10becf01d442fc47e00f8d7737cebc86</t>
        </is>
      </c>
      <c r="B304" s="29" t="n">
        <v>43108</v>
      </c>
      <c r="C304" t="inlineStr">
        <is>
          <t>2018-01</t>
        </is>
      </c>
      <c r="D304" t="inlineStr">
        <is>
          <t>f017be4dbf86243af5c1ebed0cff36a2</t>
        </is>
      </c>
      <c r="E304" t="inlineStr">
        <is>
          <t>organic_search</t>
        </is>
      </c>
      <c r="F304">
        <f>IFERROR(MATCH(A304,Deals!$A$2:$A$843,0),"")</f>
        <v/>
      </c>
      <c r="G304">
        <f>IF(F304="",0,1)</f>
        <v/>
      </c>
      <c r="H304" s="29">
        <f>IF(F304="","",INDEX(Deals!$E$2:$E$843,F304))</f>
        <v/>
      </c>
      <c r="I304">
        <f>IF(F304="","",INDEX(Deals!$D$2:$D$843,F304))</f>
        <v/>
      </c>
      <c r="J304">
        <f>IF(F304="","",INT(H304)-B304)</f>
        <v/>
      </c>
      <c r="K304">
        <f>IF(B304&gt;=Settings!$C$5,1,0)</f>
        <v/>
      </c>
    </row>
    <row r="305">
      <c r="A305" t="inlineStr">
        <is>
          <t>1274aec8ad9b0ae128e3c7ed01b3bd0a</t>
        </is>
      </c>
      <c r="B305" s="29" t="n">
        <v>43235</v>
      </c>
      <c r="C305" t="inlineStr">
        <is>
          <t>2018-05</t>
        </is>
      </c>
      <c r="D305" t="inlineStr">
        <is>
          <t>1ceb590cd1e00c7ee95220971f82693d</t>
        </is>
      </c>
      <c r="E305" t="inlineStr">
        <is>
          <t>unknown</t>
        </is>
      </c>
      <c r="F305">
        <f>IFERROR(MATCH(A305,Deals!$A$2:$A$843,0),"")</f>
        <v/>
      </c>
      <c r="G305">
        <f>IF(F305="",0,1)</f>
        <v/>
      </c>
      <c r="H305" s="29">
        <f>IF(F305="","",INDEX(Deals!$E$2:$E$843,F305))</f>
        <v/>
      </c>
      <c r="I305">
        <f>IF(F305="","",INDEX(Deals!$D$2:$D$843,F305))</f>
        <v/>
      </c>
      <c r="J305">
        <f>IF(F305="","",INT(H305)-B305)</f>
        <v/>
      </c>
      <c r="K305">
        <f>IF(B305&gt;=Settings!$C$5,1,0)</f>
        <v/>
      </c>
    </row>
    <row r="306">
      <c r="A306" t="inlineStr">
        <is>
          <t>2e428b7bc6471fe638cb2aee110b8032</t>
        </is>
      </c>
      <c r="B306" s="29" t="n">
        <v>43118</v>
      </c>
      <c r="C306" t="inlineStr">
        <is>
          <t>2018-01</t>
        </is>
      </c>
      <c r="D306" t="inlineStr">
        <is>
          <t>4aab772aeb9833c170d8ea5413e02eac</t>
        </is>
      </c>
      <c r="E306" t="inlineStr">
        <is>
          <t>unknown</t>
        </is>
      </c>
      <c r="F306">
        <f>IFERROR(MATCH(A306,Deals!$A$2:$A$843,0),"")</f>
        <v/>
      </c>
      <c r="G306">
        <f>IF(F306="",0,1)</f>
        <v/>
      </c>
      <c r="H306" s="29">
        <f>IF(F306="","",INDEX(Deals!$E$2:$E$843,F306))</f>
        <v/>
      </c>
      <c r="I306">
        <f>IF(F306="","",INDEX(Deals!$D$2:$D$843,F306))</f>
        <v/>
      </c>
      <c r="J306">
        <f>IF(F306="","",INT(H306)-B306)</f>
        <v/>
      </c>
      <c r="K306">
        <f>IF(B306&gt;=Settings!$C$5,1,0)</f>
        <v/>
      </c>
    </row>
    <row r="307">
      <c r="A307" t="inlineStr">
        <is>
          <t>876c3685305c9c95d755a248bc538757</t>
        </is>
      </c>
      <c r="B307" s="29" t="n">
        <v>43200</v>
      </c>
      <c r="C307" t="inlineStr">
        <is>
          <t>2018-04</t>
        </is>
      </c>
      <c r="D307" t="inlineStr">
        <is>
          <t>40dec9f3d5259a3d2dbcdab2114fae47</t>
        </is>
      </c>
      <c r="E307" t="inlineStr">
        <is>
          <t>paid_search</t>
        </is>
      </c>
      <c r="F307">
        <f>IFERROR(MATCH(A307,Deals!$A$2:$A$843,0),"")</f>
        <v/>
      </c>
      <c r="G307">
        <f>IF(F307="",0,1)</f>
        <v/>
      </c>
      <c r="H307" s="29">
        <f>IF(F307="","",INDEX(Deals!$E$2:$E$843,F307))</f>
        <v/>
      </c>
      <c r="I307">
        <f>IF(F307="","",INDEX(Deals!$D$2:$D$843,F307))</f>
        <v/>
      </c>
      <c r="J307">
        <f>IF(F307="","",INT(H307)-B307)</f>
        <v/>
      </c>
      <c r="K307">
        <f>IF(B307&gt;=Settings!$C$5,1,0)</f>
        <v/>
      </c>
    </row>
    <row r="308">
      <c r="A308" t="inlineStr">
        <is>
          <t>9a8da182a6185560f43cda94c19017eb</t>
        </is>
      </c>
      <c r="B308" s="29" t="n">
        <v>43248</v>
      </c>
      <c r="C308" t="inlineStr">
        <is>
          <t>2018-05</t>
        </is>
      </c>
      <c r="D308" t="inlineStr">
        <is>
          <t>ce1a65abd0973638f1c887a6efcfa82d</t>
        </is>
      </c>
      <c r="E308" t="inlineStr">
        <is>
          <t>organic_search</t>
        </is>
      </c>
      <c r="F308">
        <f>IFERROR(MATCH(A308,Deals!$A$2:$A$843,0),"")</f>
        <v/>
      </c>
      <c r="G308">
        <f>IF(F308="",0,1)</f>
        <v/>
      </c>
      <c r="H308" s="29">
        <f>IF(F308="","",INDEX(Deals!$E$2:$E$843,F308))</f>
        <v/>
      </c>
      <c r="I308">
        <f>IF(F308="","",INDEX(Deals!$D$2:$D$843,F308))</f>
        <v/>
      </c>
      <c r="J308">
        <f>IF(F308="","",INT(H308)-B308)</f>
        <v/>
      </c>
      <c r="K308">
        <f>IF(B308&gt;=Settings!$C$5,1,0)</f>
        <v/>
      </c>
    </row>
    <row r="309">
      <c r="A309" t="inlineStr">
        <is>
          <t>9ce2e101957dc53e3e89cc8e1599aa60</t>
        </is>
      </c>
      <c r="B309" s="29" t="n">
        <v>43202</v>
      </c>
      <c r="C309" t="inlineStr">
        <is>
          <t>2018-04</t>
        </is>
      </c>
      <c r="D309" t="inlineStr">
        <is>
          <t>df99f969c517db441d373ae68b2955c9</t>
        </is>
      </c>
      <c r="E309" t="inlineStr">
        <is>
          <t>paid_search</t>
        </is>
      </c>
      <c r="F309">
        <f>IFERROR(MATCH(A309,Deals!$A$2:$A$843,0),"")</f>
        <v/>
      </c>
      <c r="G309">
        <f>IF(F309="",0,1)</f>
        <v/>
      </c>
      <c r="H309" s="29">
        <f>IF(F309="","",INDEX(Deals!$E$2:$E$843,F309))</f>
        <v/>
      </c>
      <c r="I309">
        <f>IF(F309="","",INDEX(Deals!$D$2:$D$843,F309))</f>
        <v/>
      </c>
      <c r="J309">
        <f>IF(F309="","",INT(H309)-B309)</f>
        <v/>
      </c>
      <c r="K309">
        <f>IF(B309&gt;=Settings!$C$5,1,0)</f>
        <v/>
      </c>
    </row>
    <row r="310">
      <c r="A310" t="inlineStr">
        <is>
          <t>32b586f1cd4f9b692394beb92839893f</t>
        </is>
      </c>
      <c r="B310" s="29" t="n">
        <v>43237</v>
      </c>
      <c r="C310" t="inlineStr">
        <is>
          <t>2018-05</t>
        </is>
      </c>
      <c r="D310" t="inlineStr">
        <is>
          <t>f017be4dbf86243af5c1ebed0cff36a2</t>
        </is>
      </c>
      <c r="E310" t="inlineStr">
        <is>
          <t>direct_traffic</t>
        </is>
      </c>
      <c r="F310">
        <f>IFERROR(MATCH(A310,Deals!$A$2:$A$843,0),"")</f>
        <v/>
      </c>
      <c r="G310">
        <f>IF(F310="",0,1)</f>
        <v/>
      </c>
      <c r="H310" s="29">
        <f>IF(F310="","",INDEX(Deals!$E$2:$E$843,F310))</f>
        <v/>
      </c>
      <c r="I310">
        <f>IF(F310="","",INDEX(Deals!$D$2:$D$843,F310))</f>
        <v/>
      </c>
      <c r="J310">
        <f>IF(F310="","",INT(H310)-B310)</f>
        <v/>
      </c>
      <c r="K310">
        <f>IF(B310&gt;=Settings!$C$5,1,0)</f>
        <v/>
      </c>
    </row>
    <row r="311">
      <c r="A311" t="inlineStr">
        <is>
          <t>79183395bdfe7ed1995bec9ac7f4390c</t>
        </is>
      </c>
      <c r="B311" s="29" t="n">
        <v>43098</v>
      </c>
      <c r="C311" t="inlineStr">
        <is>
          <t>2017-12</t>
        </is>
      </c>
      <c r="D311" t="inlineStr">
        <is>
          <t>b817df3a69949ef27ed885bfcbfd5125</t>
        </is>
      </c>
      <c r="E311" t="inlineStr">
        <is>
          <t>organic_search</t>
        </is>
      </c>
      <c r="F311">
        <f>IFERROR(MATCH(A311,Deals!$A$2:$A$843,0),"")</f>
        <v/>
      </c>
      <c r="G311">
        <f>IF(F311="",0,1)</f>
        <v/>
      </c>
      <c r="H311" s="29">
        <f>IF(F311="","",INDEX(Deals!$E$2:$E$843,F311))</f>
        <v/>
      </c>
      <c r="I311">
        <f>IF(F311="","",INDEX(Deals!$D$2:$D$843,F311))</f>
        <v/>
      </c>
      <c r="J311">
        <f>IF(F311="","",INT(H311)-B311)</f>
        <v/>
      </c>
      <c r="K311">
        <f>IF(B311&gt;=Settings!$C$5,1,0)</f>
        <v/>
      </c>
    </row>
    <row r="312">
      <c r="A312" t="inlineStr">
        <is>
          <t>9a6b65aedf8177783035f3a53ca21ed1</t>
        </is>
      </c>
      <c r="B312" s="29" t="n">
        <v>43201</v>
      </c>
      <c r="C312" t="inlineStr">
        <is>
          <t>2018-04</t>
        </is>
      </c>
      <c r="D312" t="inlineStr">
        <is>
          <t>8515f4df7468489ed6bced112f86e360</t>
        </is>
      </c>
      <c r="E312" t="inlineStr">
        <is>
          <t>organic_search</t>
        </is>
      </c>
      <c r="F312">
        <f>IFERROR(MATCH(A312,Deals!$A$2:$A$843,0),"")</f>
        <v/>
      </c>
      <c r="G312">
        <f>IF(F312="",0,1)</f>
        <v/>
      </c>
      <c r="H312" s="29">
        <f>IF(F312="","",INDEX(Deals!$E$2:$E$843,F312))</f>
        <v/>
      </c>
      <c r="I312">
        <f>IF(F312="","",INDEX(Deals!$D$2:$D$843,F312))</f>
        <v/>
      </c>
      <c r="J312">
        <f>IF(F312="","",INT(H312)-B312)</f>
        <v/>
      </c>
      <c r="K312">
        <f>IF(B312&gt;=Settings!$C$5,1,0)</f>
        <v/>
      </c>
    </row>
    <row r="313">
      <c r="A313" t="inlineStr">
        <is>
          <t>7e94cbdb257cdd17c06f5ccf9daf9ce0</t>
        </is>
      </c>
      <c r="B313" s="29" t="n">
        <v>43179</v>
      </c>
      <c r="C313" t="inlineStr">
        <is>
          <t>2018-03</t>
        </is>
      </c>
      <c r="D313" t="inlineStr">
        <is>
          <t>0b37d43dbde6452cdd94c17bf61a88e4</t>
        </is>
      </c>
      <c r="E313" t="inlineStr">
        <is>
          <t>direct_traffic</t>
        </is>
      </c>
      <c r="F313">
        <f>IFERROR(MATCH(A313,Deals!$A$2:$A$843,0),"")</f>
        <v/>
      </c>
      <c r="G313">
        <f>IF(F313="",0,1)</f>
        <v/>
      </c>
      <c r="H313" s="29">
        <f>IF(F313="","",INDEX(Deals!$E$2:$E$843,F313))</f>
        <v/>
      </c>
      <c r="I313">
        <f>IF(F313="","",INDEX(Deals!$D$2:$D$843,F313))</f>
        <v/>
      </c>
      <c r="J313">
        <f>IF(F313="","",INT(H313)-B313)</f>
        <v/>
      </c>
      <c r="K313">
        <f>IF(B313&gt;=Settings!$C$5,1,0)</f>
        <v/>
      </c>
    </row>
    <row r="314">
      <c r="A314" t="inlineStr">
        <is>
          <t>0ecf4782361ab6e015c2cb6784e211f6</t>
        </is>
      </c>
      <c r="B314" s="29" t="n">
        <v>43239</v>
      </c>
      <c r="C314" t="inlineStr">
        <is>
          <t>2018-05</t>
        </is>
      </c>
      <c r="D314" t="inlineStr">
        <is>
          <t>58326e62183c14b0c03085c33b9fdc44</t>
        </is>
      </c>
      <c r="E314" t="inlineStr">
        <is>
          <t>social</t>
        </is>
      </c>
      <c r="F314">
        <f>IFERROR(MATCH(A314,Deals!$A$2:$A$843,0),"")</f>
        <v/>
      </c>
      <c r="G314">
        <f>IF(F314="",0,1)</f>
        <v/>
      </c>
      <c r="H314" s="29">
        <f>IF(F314="","",INDEX(Deals!$E$2:$E$843,F314))</f>
        <v/>
      </c>
      <c r="I314">
        <f>IF(F314="","",INDEX(Deals!$D$2:$D$843,F314))</f>
        <v/>
      </c>
      <c r="J314">
        <f>IF(F314="","",INT(H314)-B314)</f>
        <v/>
      </c>
      <c r="K314">
        <f>IF(B314&gt;=Settings!$C$5,1,0)</f>
        <v/>
      </c>
    </row>
    <row r="315">
      <c r="A315" t="inlineStr">
        <is>
          <t>ca6cc20b7975bca8f90ec5fefb85d650</t>
        </is>
      </c>
      <c r="B315" s="29" t="n">
        <v>43136</v>
      </c>
      <c r="C315" t="inlineStr">
        <is>
          <t>2018-02</t>
        </is>
      </c>
      <c r="D315" t="inlineStr">
        <is>
          <t>b76ef37428e6799c421989521c0e5077</t>
        </is>
      </c>
      <c r="E315" t="inlineStr">
        <is>
          <t>unknown</t>
        </is>
      </c>
      <c r="F315">
        <f>IFERROR(MATCH(A315,Deals!$A$2:$A$843,0),"")</f>
        <v/>
      </c>
      <c r="G315">
        <f>IF(F315="",0,1)</f>
        <v/>
      </c>
      <c r="H315" s="29">
        <f>IF(F315="","",INDEX(Deals!$E$2:$E$843,F315))</f>
        <v/>
      </c>
      <c r="I315">
        <f>IF(F315="","",INDEX(Deals!$D$2:$D$843,F315))</f>
        <v/>
      </c>
      <c r="J315">
        <f>IF(F315="","",INT(H315)-B315)</f>
        <v/>
      </c>
      <c r="K315">
        <f>IF(B315&gt;=Settings!$C$5,1,0)</f>
        <v/>
      </c>
    </row>
    <row r="316">
      <c r="A316" t="inlineStr">
        <is>
          <t>4bb1ec1ff58ad39558e8468054bfc469</t>
        </is>
      </c>
      <c r="B316" s="29" t="n">
        <v>43113</v>
      </c>
      <c r="C316" t="inlineStr">
        <is>
          <t>2018-01</t>
        </is>
      </c>
      <c r="D316" t="inlineStr">
        <is>
          <t>22c29808c4f815213303f8933030604c</t>
        </is>
      </c>
      <c r="E316" t="inlineStr">
        <is>
          <t>organic_search</t>
        </is>
      </c>
      <c r="F316">
        <f>IFERROR(MATCH(A316,Deals!$A$2:$A$843,0),"")</f>
        <v/>
      </c>
      <c r="G316">
        <f>IF(F316="",0,1)</f>
        <v/>
      </c>
      <c r="H316" s="29">
        <f>IF(F316="","",INDEX(Deals!$E$2:$E$843,F316))</f>
        <v/>
      </c>
      <c r="I316">
        <f>IF(F316="","",INDEX(Deals!$D$2:$D$843,F316))</f>
        <v/>
      </c>
      <c r="J316">
        <f>IF(F316="","",INT(H316)-B316)</f>
        <v/>
      </c>
      <c r="K316">
        <f>IF(B316&gt;=Settings!$C$5,1,0)</f>
        <v/>
      </c>
    </row>
    <row r="317">
      <c r="A317" t="inlineStr">
        <is>
          <t>bf3c81428767d81d5d6907315cb587ee</t>
        </is>
      </c>
      <c r="B317" s="29" t="n">
        <v>43173</v>
      </c>
      <c r="C317" t="inlineStr">
        <is>
          <t>2018-03</t>
        </is>
      </c>
      <c r="D317" t="inlineStr">
        <is>
          <t>36120633c8737035fbabf079082f4ec1</t>
        </is>
      </c>
      <c r="E317" t="inlineStr">
        <is>
          <t>referral</t>
        </is>
      </c>
      <c r="F317">
        <f>IFERROR(MATCH(A317,Deals!$A$2:$A$843,0),"")</f>
        <v/>
      </c>
      <c r="G317">
        <f>IF(F317="",0,1)</f>
        <v/>
      </c>
      <c r="H317" s="29">
        <f>IF(F317="","",INDEX(Deals!$E$2:$E$843,F317))</f>
        <v/>
      </c>
      <c r="I317">
        <f>IF(F317="","",INDEX(Deals!$D$2:$D$843,F317))</f>
        <v/>
      </c>
      <c r="J317">
        <f>IF(F317="","",INT(H317)-B317)</f>
        <v/>
      </c>
      <c r="K317">
        <f>IF(B317&gt;=Settings!$C$5,1,0)</f>
        <v/>
      </c>
    </row>
    <row r="318">
      <c r="A318" t="inlineStr">
        <is>
          <t>84938d56e120e9646c900a13a97a8e29</t>
        </is>
      </c>
      <c r="B318" s="29" t="n">
        <v>43171</v>
      </c>
      <c r="C318" t="inlineStr">
        <is>
          <t>2018-03</t>
        </is>
      </c>
      <c r="D318" t="inlineStr">
        <is>
          <t>73f31a40697cc90a86c1273563ac230e</t>
        </is>
      </c>
      <c r="E318" t="inlineStr">
        <is>
          <t>other</t>
        </is>
      </c>
      <c r="F318">
        <f>IFERROR(MATCH(A318,Deals!$A$2:$A$843,0),"")</f>
        <v/>
      </c>
      <c r="G318">
        <f>IF(F318="",0,1)</f>
        <v/>
      </c>
      <c r="H318" s="29">
        <f>IF(F318="","",INDEX(Deals!$E$2:$E$843,F318))</f>
        <v/>
      </c>
      <c r="I318">
        <f>IF(F318="","",INDEX(Deals!$D$2:$D$843,F318))</f>
        <v/>
      </c>
      <c r="J318">
        <f>IF(F318="","",INT(H318)-B318)</f>
        <v/>
      </c>
      <c r="K318">
        <f>IF(B318&gt;=Settings!$C$5,1,0)</f>
        <v/>
      </c>
    </row>
    <row r="319">
      <c r="A319" t="inlineStr">
        <is>
          <t>9aed5f6c4e7930b325c5e4ae3b95c606</t>
        </is>
      </c>
      <c r="B319" s="29" t="n">
        <v>43109</v>
      </c>
      <c r="C319" t="inlineStr">
        <is>
          <t>2018-01</t>
        </is>
      </c>
      <c r="D319" t="inlineStr">
        <is>
          <t>ce1a65abd0973638f1c887a6efcfa82d</t>
        </is>
      </c>
      <c r="E319" t="inlineStr">
        <is>
          <t>organic_search</t>
        </is>
      </c>
      <c r="F319">
        <f>IFERROR(MATCH(A319,Deals!$A$2:$A$843,0),"")</f>
        <v/>
      </c>
      <c r="G319">
        <f>IF(F319="",0,1)</f>
        <v/>
      </c>
      <c r="H319" s="29">
        <f>IF(F319="","",INDEX(Deals!$E$2:$E$843,F319))</f>
        <v/>
      </c>
      <c r="I319">
        <f>IF(F319="","",INDEX(Deals!$D$2:$D$843,F319))</f>
        <v/>
      </c>
      <c r="J319">
        <f>IF(F319="","",INT(H319)-B319)</f>
        <v/>
      </c>
      <c r="K319">
        <f>IF(B319&gt;=Settings!$C$5,1,0)</f>
        <v/>
      </c>
    </row>
    <row r="320">
      <c r="A320" t="inlineStr">
        <is>
          <t>572c4588735cdf3f37ebf333b8af21da</t>
        </is>
      </c>
      <c r="B320" s="29" t="n">
        <v>43121</v>
      </c>
      <c r="C320" t="inlineStr">
        <is>
          <t>2018-01</t>
        </is>
      </c>
      <c r="D320" t="inlineStr">
        <is>
          <t>733adfe409c752b5c200bf23fa2f22d0</t>
        </is>
      </c>
      <c r="E320" t="inlineStr">
        <is>
          <t>paid_search</t>
        </is>
      </c>
      <c r="F320">
        <f>IFERROR(MATCH(A320,Deals!$A$2:$A$843,0),"")</f>
        <v/>
      </c>
      <c r="G320">
        <f>IF(F320="",0,1)</f>
        <v/>
      </c>
      <c r="H320" s="29">
        <f>IF(F320="","",INDEX(Deals!$E$2:$E$843,F320))</f>
        <v/>
      </c>
      <c r="I320">
        <f>IF(F320="","",INDEX(Deals!$D$2:$D$843,F320))</f>
        <v/>
      </c>
      <c r="J320">
        <f>IF(F320="","",INT(H320)-B320)</f>
        <v/>
      </c>
      <c r="K320">
        <f>IF(B320&gt;=Settings!$C$5,1,0)</f>
        <v/>
      </c>
    </row>
    <row r="321">
      <c r="A321" t="inlineStr">
        <is>
          <t>1df51bfdf508045bda96f0d958cd2304</t>
        </is>
      </c>
      <c r="B321" s="29" t="n">
        <v>43234</v>
      </c>
      <c r="C321" t="inlineStr">
        <is>
          <t>2018-05</t>
        </is>
      </c>
      <c r="D321" t="inlineStr">
        <is>
          <t>bfd05fa9f9fe2aedee539951a84f2aaf</t>
        </is>
      </c>
      <c r="E321" t="inlineStr">
        <is>
          <t>paid_search</t>
        </is>
      </c>
      <c r="F321">
        <f>IFERROR(MATCH(A321,Deals!$A$2:$A$843,0),"")</f>
        <v/>
      </c>
      <c r="G321">
        <f>IF(F321="",0,1)</f>
        <v/>
      </c>
      <c r="H321" s="29">
        <f>IF(F321="","",INDEX(Deals!$E$2:$E$843,F321))</f>
        <v/>
      </c>
      <c r="I321">
        <f>IF(F321="","",INDEX(Deals!$D$2:$D$843,F321))</f>
        <v/>
      </c>
      <c r="J321">
        <f>IF(F321="","",INT(H321)-B321)</f>
        <v/>
      </c>
      <c r="K321">
        <f>IF(B321&gt;=Settings!$C$5,1,0)</f>
        <v/>
      </c>
    </row>
    <row r="322">
      <c r="A322" t="inlineStr">
        <is>
          <t>7da40ff2a805afdf21de807946db633e</t>
        </is>
      </c>
      <c r="B322" s="29" t="n">
        <v>43185</v>
      </c>
      <c r="C322" t="inlineStr">
        <is>
          <t>2018-03</t>
        </is>
      </c>
      <c r="D322" t="inlineStr">
        <is>
          <t>dd6f55db3947b0aeaadb65a610334799</t>
        </is>
      </c>
      <c r="E322" t="inlineStr">
        <is>
          <t>referral</t>
        </is>
      </c>
      <c r="F322">
        <f>IFERROR(MATCH(A322,Deals!$A$2:$A$843,0),"")</f>
        <v/>
      </c>
      <c r="G322">
        <f>IF(F322="",0,1)</f>
        <v/>
      </c>
      <c r="H322" s="29">
        <f>IF(F322="","",INDEX(Deals!$E$2:$E$843,F322))</f>
        <v/>
      </c>
      <c r="I322">
        <f>IF(F322="","",INDEX(Deals!$D$2:$D$843,F322))</f>
        <v/>
      </c>
      <c r="J322">
        <f>IF(F322="","",INT(H322)-B322)</f>
        <v/>
      </c>
      <c r="K322">
        <f>IF(B322&gt;=Settings!$C$5,1,0)</f>
        <v/>
      </c>
    </row>
    <row r="323">
      <c r="A323" t="inlineStr">
        <is>
          <t>896477f8366bf6686fbe26170b963aab</t>
        </is>
      </c>
      <c r="B323" s="29" t="n">
        <v>43250</v>
      </c>
      <c r="C323" t="inlineStr">
        <is>
          <t>2018-05</t>
        </is>
      </c>
      <c r="D323" t="inlineStr">
        <is>
          <t>909e333f8f23574f93115bd3d402e202</t>
        </is>
      </c>
      <c r="E323" t="inlineStr">
        <is>
          <t>organic_search</t>
        </is>
      </c>
      <c r="F323">
        <f>IFERROR(MATCH(A323,Deals!$A$2:$A$843,0),"")</f>
        <v/>
      </c>
      <c r="G323">
        <f>IF(F323="",0,1)</f>
        <v/>
      </c>
      <c r="H323" s="29">
        <f>IF(F323="","",INDEX(Deals!$E$2:$E$843,F323))</f>
        <v/>
      </c>
      <c r="I323">
        <f>IF(F323="","",INDEX(Deals!$D$2:$D$843,F323))</f>
        <v/>
      </c>
      <c r="J323">
        <f>IF(F323="","",INT(H323)-B323)</f>
        <v/>
      </c>
      <c r="K323">
        <f>IF(B323&gt;=Settings!$C$5,1,0)</f>
        <v/>
      </c>
    </row>
    <row r="324">
      <c r="A324" t="inlineStr">
        <is>
          <t>b2c74b6da800cc1e5843266f1e2ed397</t>
        </is>
      </c>
      <c r="B324" s="29" t="n">
        <v>43067</v>
      </c>
      <c r="C324" t="inlineStr">
        <is>
          <t>2017-11</t>
        </is>
      </c>
      <c r="D324" t="inlineStr">
        <is>
          <t>1722481ac9e5371e5099dea226b5421d</t>
        </is>
      </c>
      <c r="E324" t="inlineStr">
        <is>
          <t>social</t>
        </is>
      </c>
      <c r="F324">
        <f>IFERROR(MATCH(A324,Deals!$A$2:$A$843,0),"")</f>
        <v/>
      </c>
      <c r="G324">
        <f>IF(F324="",0,1)</f>
        <v/>
      </c>
      <c r="H324" s="29">
        <f>IF(F324="","",INDEX(Deals!$E$2:$E$843,F324))</f>
        <v/>
      </c>
      <c r="I324">
        <f>IF(F324="","",INDEX(Deals!$D$2:$D$843,F324))</f>
        <v/>
      </c>
      <c r="J324">
        <f>IF(F324="","",INT(H324)-B324)</f>
        <v/>
      </c>
      <c r="K324">
        <f>IF(B324&gt;=Settings!$C$5,1,0)</f>
        <v/>
      </c>
    </row>
    <row r="325">
      <c r="A325" t="inlineStr">
        <is>
          <t>3998f40ab605512d599d8b96550e084d</t>
        </is>
      </c>
      <c r="B325" s="29" t="n">
        <v>43197</v>
      </c>
      <c r="C325" t="inlineStr">
        <is>
          <t>2018-04</t>
        </is>
      </c>
      <c r="D325" t="inlineStr">
        <is>
          <t>6b30a13289b856b66874b3838f177744</t>
        </is>
      </c>
      <c r="E325" t="inlineStr">
        <is>
          <t>referral</t>
        </is>
      </c>
      <c r="F325">
        <f>IFERROR(MATCH(A325,Deals!$A$2:$A$843,0),"")</f>
        <v/>
      </c>
      <c r="G325">
        <f>IF(F325="",0,1)</f>
        <v/>
      </c>
      <c r="H325" s="29">
        <f>IF(F325="","",INDEX(Deals!$E$2:$E$843,F325))</f>
        <v/>
      </c>
      <c r="I325">
        <f>IF(F325="","",INDEX(Deals!$D$2:$D$843,F325))</f>
        <v/>
      </c>
      <c r="J325">
        <f>IF(F325="","",INT(H325)-B325)</f>
        <v/>
      </c>
      <c r="K325">
        <f>IF(B325&gt;=Settings!$C$5,1,0)</f>
        <v/>
      </c>
    </row>
    <row r="326">
      <c r="A326" t="inlineStr">
        <is>
          <t>85c018bd6f55029030e522d8abc257ee</t>
        </is>
      </c>
      <c r="B326" s="29" t="n">
        <v>43099</v>
      </c>
      <c r="C326" t="inlineStr">
        <is>
          <t>2017-12</t>
        </is>
      </c>
      <c r="D326" t="inlineStr">
        <is>
          <t>d83b0d0e48c8447d1d5507a44027a955</t>
        </is>
      </c>
      <c r="E326" t="inlineStr">
        <is>
          <t>organic_search</t>
        </is>
      </c>
      <c r="F326">
        <f>IFERROR(MATCH(A326,Deals!$A$2:$A$843,0),"")</f>
        <v/>
      </c>
      <c r="G326">
        <f>IF(F326="",0,1)</f>
        <v/>
      </c>
      <c r="H326" s="29">
        <f>IF(F326="","",INDEX(Deals!$E$2:$E$843,F326))</f>
        <v/>
      </c>
      <c r="I326">
        <f>IF(F326="","",INDEX(Deals!$D$2:$D$843,F326))</f>
        <v/>
      </c>
      <c r="J326">
        <f>IF(F326="","",INT(H326)-B326)</f>
        <v/>
      </c>
      <c r="K326">
        <f>IF(B326&gt;=Settings!$C$5,1,0)</f>
        <v/>
      </c>
    </row>
    <row r="327">
      <c r="A327" t="inlineStr">
        <is>
          <t>3d0eeba9fbf04877c4a4508a64a744e7</t>
        </is>
      </c>
      <c r="B327" s="29" t="n">
        <v>43172</v>
      </c>
      <c r="C327" t="inlineStr">
        <is>
          <t>2018-03</t>
        </is>
      </c>
      <c r="D327" t="inlineStr">
        <is>
          <t>88740e65d5d6b056e0cda098e1ea6313</t>
        </is>
      </c>
      <c r="E327" t="inlineStr">
        <is>
          <t>social</t>
        </is>
      </c>
      <c r="F327">
        <f>IFERROR(MATCH(A327,Deals!$A$2:$A$843,0),"")</f>
        <v/>
      </c>
      <c r="G327">
        <f>IF(F327="",0,1)</f>
        <v/>
      </c>
      <c r="H327" s="29">
        <f>IF(F327="","",INDEX(Deals!$E$2:$E$843,F327))</f>
        <v/>
      </c>
      <c r="I327">
        <f>IF(F327="","",INDEX(Deals!$D$2:$D$843,F327))</f>
        <v/>
      </c>
      <c r="J327">
        <f>IF(F327="","",INT(H327)-B327)</f>
        <v/>
      </c>
      <c r="K327">
        <f>IF(B327&gt;=Settings!$C$5,1,0)</f>
        <v/>
      </c>
    </row>
    <row r="328">
      <c r="A328" t="inlineStr">
        <is>
          <t>a3cc79744b9531687efac69c127a109c</t>
        </is>
      </c>
      <c r="B328" s="29" t="n">
        <v>43117</v>
      </c>
      <c r="C328" t="inlineStr">
        <is>
          <t>2018-01</t>
        </is>
      </c>
      <c r="D328" t="inlineStr">
        <is>
          <t>21a104c3279681d9856b8a48723c4fee</t>
        </is>
      </c>
      <c r="E328" t="inlineStr">
        <is>
          <t>email</t>
        </is>
      </c>
      <c r="F328">
        <f>IFERROR(MATCH(A328,Deals!$A$2:$A$843,0),"")</f>
        <v/>
      </c>
      <c r="G328">
        <f>IF(F328="",0,1)</f>
        <v/>
      </c>
      <c r="H328" s="29">
        <f>IF(F328="","",INDEX(Deals!$E$2:$E$843,F328))</f>
        <v/>
      </c>
      <c r="I328">
        <f>IF(F328="","",INDEX(Deals!$D$2:$D$843,F328))</f>
        <v/>
      </c>
      <c r="J328">
        <f>IF(F328="","",INT(H328)-B328)</f>
        <v/>
      </c>
      <c r="K328">
        <f>IF(B328&gt;=Settings!$C$5,1,0)</f>
        <v/>
      </c>
    </row>
    <row r="329">
      <c r="A329" t="inlineStr">
        <is>
          <t>41e915bdc1287ca29865bcfb89f7d9ac</t>
        </is>
      </c>
      <c r="B329" s="29" t="n">
        <v>43089</v>
      </c>
      <c r="C329" t="inlineStr">
        <is>
          <t>2017-12</t>
        </is>
      </c>
      <c r="D329" t="inlineStr">
        <is>
          <t>40dec9f3d5259a3d2dbcdab2114fae47</t>
        </is>
      </c>
      <c r="E329" t="inlineStr">
        <is>
          <t>paid_search</t>
        </is>
      </c>
      <c r="F329">
        <f>IFERROR(MATCH(A329,Deals!$A$2:$A$843,0),"")</f>
        <v/>
      </c>
      <c r="G329">
        <f>IF(F329="",0,1)</f>
        <v/>
      </c>
      <c r="H329" s="29">
        <f>IF(F329="","",INDEX(Deals!$E$2:$E$843,F329))</f>
        <v/>
      </c>
      <c r="I329">
        <f>IF(F329="","",INDEX(Deals!$D$2:$D$843,F329))</f>
        <v/>
      </c>
      <c r="J329">
        <f>IF(F329="","",INT(H329)-B329)</f>
        <v/>
      </c>
      <c r="K329">
        <f>IF(B329&gt;=Settings!$C$5,1,0)</f>
        <v/>
      </c>
    </row>
    <row r="330">
      <c r="A330" t="inlineStr">
        <is>
          <t>2df4048783c862151dba71e1c66fabf5</t>
        </is>
      </c>
      <c r="B330" s="29" t="n">
        <v>43199</v>
      </c>
      <c r="C330" t="inlineStr">
        <is>
          <t>2018-04</t>
        </is>
      </c>
      <c r="D330" t="inlineStr">
        <is>
          <t>b217afa2c1f4cb502423005639878f6d</t>
        </is>
      </c>
      <c r="E330" t="inlineStr">
        <is>
          <t>paid_search</t>
        </is>
      </c>
      <c r="F330">
        <f>IFERROR(MATCH(A330,Deals!$A$2:$A$843,0),"")</f>
        <v/>
      </c>
      <c r="G330">
        <f>IF(F330="",0,1)</f>
        <v/>
      </c>
      <c r="H330" s="29">
        <f>IF(F330="","",INDEX(Deals!$E$2:$E$843,F330))</f>
        <v/>
      </c>
      <c r="I330">
        <f>IF(F330="","",INDEX(Deals!$D$2:$D$843,F330))</f>
        <v/>
      </c>
      <c r="J330">
        <f>IF(F330="","",INT(H330)-B330)</f>
        <v/>
      </c>
      <c r="K330">
        <f>IF(B330&gt;=Settings!$C$5,1,0)</f>
        <v/>
      </c>
    </row>
    <row r="331">
      <c r="A331" t="inlineStr">
        <is>
          <t>2fe2b2d2da35bcee61d38adc72c9877b</t>
        </is>
      </c>
      <c r="B331" s="29" t="n">
        <v>43103</v>
      </c>
      <c r="C331" t="inlineStr">
        <is>
          <t>2018-01</t>
        </is>
      </c>
      <c r="D331" t="inlineStr">
        <is>
          <t>21a104c3279681d9856b8a48723c4fee</t>
        </is>
      </c>
      <c r="E331" t="inlineStr">
        <is>
          <t>email</t>
        </is>
      </c>
      <c r="F331">
        <f>IFERROR(MATCH(A331,Deals!$A$2:$A$843,0),"")</f>
        <v/>
      </c>
      <c r="G331">
        <f>IF(F331="",0,1)</f>
        <v/>
      </c>
      <c r="H331" s="29">
        <f>IF(F331="","",INDEX(Deals!$E$2:$E$843,F331))</f>
        <v/>
      </c>
      <c r="I331">
        <f>IF(F331="","",INDEX(Deals!$D$2:$D$843,F331))</f>
        <v/>
      </c>
      <c r="J331">
        <f>IF(F331="","",INT(H331)-B331)</f>
        <v/>
      </c>
      <c r="K331">
        <f>IF(B331&gt;=Settings!$C$5,1,0)</f>
        <v/>
      </c>
    </row>
    <row r="332">
      <c r="A332" t="inlineStr">
        <is>
          <t>a8b402fa085758e3b374316a8095aeb7</t>
        </is>
      </c>
      <c r="B332" s="29" t="n">
        <v>43145</v>
      </c>
      <c r="C332" t="inlineStr">
        <is>
          <t>2018-02</t>
        </is>
      </c>
      <c r="D332" t="inlineStr">
        <is>
          <t>b76ef37428e6799c421989521c0e5077</t>
        </is>
      </c>
      <c r="E332" t="inlineStr">
        <is>
          <t>unknown</t>
        </is>
      </c>
      <c r="F332">
        <f>IFERROR(MATCH(A332,Deals!$A$2:$A$843,0),"")</f>
        <v/>
      </c>
      <c r="G332">
        <f>IF(F332="",0,1)</f>
        <v/>
      </c>
      <c r="H332" s="29">
        <f>IF(F332="","",INDEX(Deals!$E$2:$E$843,F332))</f>
        <v/>
      </c>
      <c r="I332">
        <f>IF(F332="","",INDEX(Deals!$D$2:$D$843,F332))</f>
        <v/>
      </c>
      <c r="J332">
        <f>IF(F332="","",INT(H332)-B332)</f>
        <v/>
      </c>
      <c r="K332">
        <f>IF(B332&gt;=Settings!$C$5,1,0)</f>
        <v/>
      </c>
    </row>
    <row r="333">
      <c r="A333" t="inlineStr">
        <is>
          <t>9c5e3b9262fb2d25dccd1013fa892390</t>
        </is>
      </c>
      <c r="B333" s="29" t="n">
        <v>43113</v>
      </c>
      <c r="C333" t="inlineStr">
        <is>
          <t>2018-01</t>
        </is>
      </c>
      <c r="D333" t="inlineStr">
        <is>
          <t>0218f6be0b76aca72ab4d00ee9e8cf10</t>
        </is>
      </c>
      <c r="E333" t="inlineStr">
        <is>
          <t>organic_search</t>
        </is>
      </c>
      <c r="F333">
        <f>IFERROR(MATCH(A333,Deals!$A$2:$A$843,0),"")</f>
        <v/>
      </c>
      <c r="G333">
        <f>IF(F333="",0,1)</f>
        <v/>
      </c>
      <c r="H333" s="29">
        <f>IF(F333="","",INDEX(Deals!$E$2:$E$843,F333))</f>
        <v/>
      </c>
      <c r="I333">
        <f>IF(F333="","",INDEX(Deals!$D$2:$D$843,F333))</f>
        <v/>
      </c>
      <c r="J333">
        <f>IF(F333="","",INT(H333)-B333)</f>
        <v/>
      </c>
      <c r="K333">
        <f>IF(B333&gt;=Settings!$C$5,1,0)</f>
        <v/>
      </c>
    </row>
    <row r="334">
      <c r="A334" t="inlineStr">
        <is>
          <t>2d22e9d2d9a9c6d9b5b484af696a00ba</t>
        </is>
      </c>
      <c r="B334" s="29" t="n">
        <v>43168</v>
      </c>
      <c r="C334" t="inlineStr">
        <is>
          <t>2018-03</t>
        </is>
      </c>
      <c r="D334" t="inlineStr">
        <is>
          <t>88740e65d5d6b056e0cda098e1ea6313</t>
        </is>
      </c>
      <c r="E334" t="inlineStr">
        <is>
          <t>email</t>
        </is>
      </c>
      <c r="F334">
        <f>IFERROR(MATCH(A334,Deals!$A$2:$A$843,0),"")</f>
        <v/>
      </c>
      <c r="G334">
        <f>IF(F334="",0,1)</f>
        <v/>
      </c>
      <c r="H334" s="29">
        <f>IF(F334="","",INDEX(Deals!$E$2:$E$843,F334))</f>
        <v/>
      </c>
      <c r="I334">
        <f>IF(F334="","",INDEX(Deals!$D$2:$D$843,F334))</f>
        <v/>
      </c>
      <c r="J334">
        <f>IF(F334="","",INT(H334)-B334)</f>
        <v/>
      </c>
      <c r="K334">
        <f>IF(B334&gt;=Settings!$C$5,1,0)</f>
        <v/>
      </c>
    </row>
    <row r="335">
      <c r="A335" t="inlineStr">
        <is>
          <t>f61cdbe6c7ec2049160dbb993d0702b5</t>
        </is>
      </c>
      <c r="B335" s="29" t="n">
        <v>43131</v>
      </c>
      <c r="C335" t="inlineStr">
        <is>
          <t>2018-01</t>
        </is>
      </c>
      <c r="D335" t="inlineStr">
        <is>
          <t>e492ee5eaf1697716985cc6f33f9cd9b</t>
        </is>
      </c>
      <c r="E335" t="inlineStr">
        <is>
          <t>social</t>
        </is>
      </c>
      <c r="F335">
        <f>IFERROR(MATCH(A335,Deals!$A$2:$A$843,0),"")</f>
        <v/>
      </c>
      <c r="G335">
        <f>IF(F335="",0,1)</f>
        <v/>
      </c>
      <c r="H335" s="29">
        <f>IF(F335="","",INDEX(Deals!$E$2:$E$843,F335))</f>
        <v/>
      </c>
      <c r="I335">
        <f>IF(F335="","",INDEX(Deals!$D$2:$D$843,F335))</f>
        <v/>
      </c>
      <c r="J335">
        <f>IF(F335="","",INT(H335)-B335)</f>
        <v/>
      </c>
      <c r="K335">
        <f>IF(B335&gt;=Settings!$C$5,1,0)</f>
        <v/>
      </c>
    </row>
    <row r="336">
      <c r="A336" t="inlineStr">
        <is>
          <t>9b316a2cacfb19a4e8dcf917278bd816</t>
        </is>
      </c>
      <c r="B336" s="29" t="n">
        <v>43055</v>
      </c>
      <c r="C336" t="inlineStr">
        <is>
          <t>2017-11</t>
        </is>
      </c>
      <c r="D336" t="inlineStr">
        <is>
          <t>88740e65d5d6b056e0cda098e1ea6313</t>
        </is>
      </c>
      <c r="E336" t="inlineStr">
        <is>
          <t>social</t>
        </is>
      </c>
      <c r="F336">
        <f>IFERROR(MATCH(A336,Deals!$A$2:$A$843,0),"")</f>
        <v/>
      </c>
      <c r="G336">
        <f>IF(F336="",0,1)</f>
        <v/>
      </c>
      <c r="H336" s="29">
        <f>IF(F336="","",INDEX(Deals!$E$2:$E$843,F336))</f>
        <v/>
      </c>
      <c r="I336">
        <f>IF(F336="","",INDEX(Deals!$D$2:$D$843,F336))</f>
        <v/>
      </c>
      <c r="J336">
        <f>IF(F336="","",INT(H336)-B336)</f>
        <v/>
      </c>
      <c r="K336">
        <f>IF(B336&gt;=Settings!$C$5,1,0)</f>
        <v/>
      </c>
    </row>
    <row r="337">
      <c r="A337" t="inlineStr">
        <is>
          <t>009523565f11c6c933850f411b71acf6</t>
        </is>
      </c>
      <c r="B337" s="29" t="n">
        <v>43102</v>
      </c>
      <c r="C337" t="inlineStr">
        <is>
          <t>2018-01</t>
        </is>
      </c>
      <c r="D337" t="inlineStr">
        <is>
          <t>a7982125ff7aa3b2054c6e44f9d28522</t>
        </is>
      </c>
      <c r="E337" t="inlineStr">
        <is>
          <t>organic_search</t>
        </is>
      </c>
      <c r="F337">
        <f>IFERROR(MATCH(A337,Deals!$A$2:$A$843,0),"")</f>
        <v/>
      </c>
      <c r="G337">
        <f>IF(F337="",0,1)</f>
        <v/>
      </c>
      <c r="H337" s="29">
        <f>IF(F337="","",INDEX(Deals!$E$2:$E$843,F337))</f>
        <v/>
      </c>
      <c r="I337">
        <f>IF(F337="","",INDEX(Deals!$D$2:$D$843,F337))</f>
        <v/>
      </c>
      <c r="J337">
        <f>IF(F337="","",INT(H337)-B337)</f>
        <v/>
      </c>
      <c r="K337">
        <f>IF(B337&gt;=Settings!$C$5,1,0)</f>
        <v/>
      </c>
    </row>
    <row r="338">
      <c r="A338" t="inlineStr">
        <is>
          <t>d5fe8b674699f542537c1694284ea239</t>
        </is>
      </c>
      <c r="B338" s="29" t="n">
        <v>43113</v>
      </c>
      <c r="C338" t="inlineStr">
        <is>
          <t>2018-01</t>
        </is>
      </c>
      <c r="D338" t="inlineStr">
        <is>
          <t>0218f6be0b76aca72ab4d00ee9e8cf10</t>
        </is>
      </c>
      <c r="E338" t="inlineStr">
        <is>
          <t>organic_search</t>
        </is>
      </c>
      <c r="F338">
        <f>IFERROR(MATCH(A338,Deals!$A$2:$A$843,0),"")</f>
        <v/>
      </c>
      <c r="G338">
        <f>IF(F338="",0,1)</f>
        <v/>
      </c>
      <c r="H338" s="29">
        <f>IF(F338="","",INDEX(Deals!$E$2:$E$843,F338))</f>
        <v/>
      </c>
      <c r="I338">
        <f>IF(F338="","",INDEX(Deals!$D$2:$D$843,F338))</f>
        <v/>
      </c>
      <c r="J338">
        <f>IF(F338="","",INT(H338)-B338)</f>
        <v/>
      </c>
      <c r="K338">
        <f>IF(B338&gt;=Settings!$C$5,1,0)</f>
        <v/>
      </c>
    </row>
    <row r="339">
      <c r="A339" t="inlineStr">
        <is>
          <t>71b1f7deb752aa14e2168e080eccc306</t>
        </is>
      </c>
      <c r="B339" s="29" t="n">
        <v>43033</v>
      </c>
      <c r="C339" t="inlineStr">
        <is>
          <t>2017-10</t>
        </is>
      </c>
      <c r="D339" t="inlineStr">
        <is>
          <t>ef0b482996664cc1107b9051efd3ca84</t>
        </is>
      </c>
      <c r="E339" t="inlineStr">
        <is>
          <t>organic_search</t>
        </is>
      </c>
      <c r="F339">
        <f>IFERROR(MATCH(A339,Deals!$A$2:$A$843,0),"")</f>
        <v/>
      </c>
      <c r="G339">
        <f>IF(F339="",0,1)</f>
        <v/>
      </c>
      <c r="H339" s="29">
        <f>IF(F339="","",INDEX(Deals!$E$2:$E$843,F339))</f>
        <v/>
      </c>
      <c r="I339">
        <f>IF(F339="","",INDEX(Deals!$D$2:$D$843,F339))</f>
        <v/>
      </c>
      <c r="J339">
        <f>IF(F339="","",INT(H339)-B339)</f>
        <v/>
      </c>
      <c r="K339">
        <f>IF(B339&gt;=Settings!$C$5,1,0)</f>
        <v/>
      </c>
    </row>
    <row r="340">
      <c r="A340" t="inlineStr">
        <is>
          <t>697a66357bec1e44ce8828e6872df81a</t>
        </is>
      </c>
      <c r="B340" s="29" t="n">
        <v>43112</v>
      </c>
      <c r="C340" t="inlineStr">
        <is>
          <t>2018-01</t>
        </is>
      </c>
      <c r="D340" t="inlineStr">
        <is>
          <t>b76ef37428e6799c421989521c0e5077</t>
        </is>
      </c>
      <c r="E340" t="inlineStr">
        <is>
          <t>email</t>
        </is>
      </c>
      <c r="F340">
        <f>IFERROR(MATCH(A340,Deals!$A$2:$A$843,0),"")</f>
        <v/>
      </c>
      <c r="G340">
        <f>IF(F340="",0,1)</f>
        <v/>
      </c>
      <c r="H340" s="29">
        <f>IF(F340="","",INDEX(Deals!$E$2:$E$843,F340))</f>
        <v/>
      </c>
      <c r="I340">
        <f>IF(F340="","",INDEX(Deals!$D$2:$D$843,F340))</f>
        <v/>
      </c>
      <c r="J340">
        <f>IF(F340="","",INT(H340)-B340)</f>
        <v/>
      </c>
      <c r="K340">
        <f>IF(B340&gt;=Settings!$C$5,1,0)</f>
        <v/>
      </c>
    </row>
    <row r="341">
      <c r="A341" t="inlineStr">
        <is>
          <t>9cdbcc9724d284c630cf44c29ba6270a</t>
        </is>
      </c>
      <c r="B341" s="29" t="n">
        <v>43199</v>
      </c>
      <c r="C341" t="inlineStr">
        <is>
          <t>2018-04</t>
        </is>
      </c>
      <c r="D341" t="inlineStr">
        <is>
          <t>22c29808c4f815213303f8933030604c</t>
        </is>
      </c>
      <c r="E341" t="inlineStr">
        <is>
          <t>paid_search</t>
        </is>
      </c>
      <c r="F341">
        <f>IFERROR(MATCH(A341,Deals!$A$2:$A$843,0),"")</f>
        <v/>
      </c>
      <c r="G341">
        <f>IF(F341="",0,1)</f>
        <v/>
      </c>
      <c r="H341" s="29">
        <f>IF(F341="","",INDEX(Deals!$E$2:$E$843,F341))</f>
        <v/>
      </c>
      <c r="I341">
        <f>IF(F341="","",INDEX(Deals!$D$2:$D$843,F341))</f>
        <v/>
      </c>
      <c r="J341">
        <f>IF(F341="","",INT(H341)-B341)</f>
        <v/>
      </c>
      <c r="K341">
        <f>IF(B341&gt;=Settings!$C$5,1,0)</f>
        <v/>
      </c>
    </row>
    <row r="342">
      <c r="A342" t="inlineStr">
        <is>
          <t>d334ba52f9051d625363551c6dd564e6</t>
        </is>
      </c>
      <c r="B342" s="29" t="n">
        <v>43202</v>
      </c>
      <c r="C342" t="inlineStr">
        <is>
          <t>2018-04</t>
        </is>
      </c>
      <c r="D342" t="inlineStr">
        <is>
          <t>9496ccbb759ca86ff2b76adb4f7672a6</t>
        </is>
      </c>
      <c r="E342" t="inlineStr">
        <is>
          <t>unknown</t>
        </is>
      </c>
      <c r="F342">
        <f>IFERROR(MATCH(A342,Deals!$A$2:$A$843,0),"")</f>
        <v/>
      </c>
      <c r="G342">
        <f>IF(F342="",0,1)</f>
        <v/>
      </c>
      <c r="H342" s="29">
        <f>IF(F342="","",INDEX(Deals!$E$2:$E$843,F342))</f>
        <v/>
      </c>
      <c r="I342">
        <f>IF(F342="","",INDEX(Deals!$D$2:$D$843,F342))</f>
        <v/>
      </c>
      <c r="J342">
        <f>IF(F342="","",INT(H342)-B342)</f>
        <v/>
      </c>
      <c r="K342">
        <f>IF(B342&gt;=Settings!$C$5,1,0)</f>
        <v/>
      </c>
    </row>
    <row r="343">
      <c r="A343" t="inlineStr">
        <is>
          <t>1ca029f8d52a7b0cf97a4e2b09ae4042</t>
        </is>
      </c>
      <c r="B343" s="29" t="n">
        <v>43057</v>
      </c>
      <c r="C343" t="inlineStr">
        <is>
          <t>2017-11</t>
        </is>
      </c>
      <c r="D343" t="inlineStr">
        <is>
          <t>ce1a65abd0973638f1c887a6efcfa82d</t>
        </is>
      </c>
      <c r="E343" t="inlineStr">
        <is>
          <t>organic_search</t>
        </is>
      </c>
      <c r="F343">
        <f>IFERROR(MATCH(A343,Deals!$A$2:$A$843,0),"")</f>
        <v/>
      </c>
      <c r="G343">
        <f>IF(F343="",0,1)</f>
        <v/>
      </c>
      <c r="H343" s="29">
        <f>IF(F343="","",INDEX(Deals!$E$2:$E$843,F343))</f>
        <v/>
      </c>
      <c r="I343">
        <f>IF(F343="","",INDEX(Deals!$D$2:$D$843,F343))</f>
        <v/>
      </c>
      <c r="J343">
        <f>IF(F343="","",INT(H343)-B343)</f>
        <v/>
      </c>
      <c r="K343">
        <f>IF(B343&gt;=Settings!$C$5,1,0)</f>
        <v/>
      </c>
    </row>
    <row r="344">
      <c r="A344" t="inlineStr">
        <is>
          <t>23414d42e8f06e0c336782b0069ef22f</t>
        </is>
      </c>
      <c r="B344" s="29" t="n">
        <v>43193</v>
      </c>
      <c r="C344" t="inlineStr">
        <is>
          <t>2018-04</t>
        </is>
      </c>
      <c r="D344" t="inlineStr">
        <is>
          <t>58326e62183c14b0c03085c33b9fdc44</t>
        </is>
      </c>
      <c r="E344" t="inlineStr">
        <is>
          <t>social</t>
        </is>
      </c>
      <c r="F344">
        <f>IFERROR(MATCH(A344,Deals!$A$2:$A$843,0),"")</f>
        <v/>
      </c>
      <c r="G344">
        <f>IF(F344="",0,1)</f>
        <v/>
      </c>
      <c r="H344" s="29">
        <f>IF(F344="","",INDEX(Deals!$E$2:$E$843,F344))</f>
        <v/>
      </c>
      <c r="I344">
        <f>IF(F344="","",INDEX(Deals!$D$2:$D$843,F344))</f>
        <v/>
      </c>
      <c r="J344">
        <f>IF(F344="","",INT(H344)-B344)</f>
        <v/>
      </c>
      <c r="K344">
        <f>IF(B344&gt;=Settings!$C$5,1,0)</f>
        <v/>
      </c>
    </row>
    <row r="345">
      <c r="A345" t="inlineStr">
        <is>
          <t>ca03af8849850be6800c4ac485573b74</t>
        </is>
      </c>
      <c r="B345" s="29" t="n">
        <v>43229</v>
      </c>
      <c r="C345" t="inlineStr">
        <is>
          <t>2018-05</t>
        </is>
      </c>
      <c r="D345" t="inlineStr">
        <is>
          <t>22c29808c4f815213303f8933030604c</t>
        </is>
      </c>
      <c r="E345" t="inlineStr">
        <is>
          <t>organic_search</t>
        </is>
      </c>
      <c r="F345">
        <f>IFERROR(MATCH(A345,Deals!$A$2:$A$843,0),"")</f>
        <v/>
      </c>
      <c r="G345">
        <f>IF(F345="",0,1)</f>
        <v/>
      </c>
      <c r="H345" s="29">
        <f>IF(F345="","",INDEX(Deals!$E$2:$E$843,F345))</f>
        <v/>
      </c>
      <c r="I345">
        <f>IF(F345="","",INDEX(Deals!$D$2:$D$843,F345))</f>
        <v/>
      </c>
      <c r="J345">
        <f>IF(F345="","",INT(H345)-B345)</f>
        <v/>
      </c>
      <c r="K345">
        <f>IF(B345&gt;=Settings!$C$5,1,0)</f>
        <v/>
      </c>
    </row>
    <row r="346">
      <c r="A346" t="inlineStr">
        <is>
          <t>c34eb63cd098bf4be03d53462d7ecba2</t>
        </is>
      </c>
      <c r="B346" s="29" t="n">
        <v>43169</v>
      </c>
      <c r="C346" t="inlineStr">
        <is>
          <t>2018-03</t>
        </is>
      </c>
      <c r="D346" t="inlineStr">
        <is>
          <t>22c29808c4f815213303f8933030604c</t>
        </is>
      </c>
      <c r="E346" t="inlineStr">
        <is>
          <t>unknown</t>
        </is>
      </c>
      <c r="F346">
        <f>IFERROR(MATCH(A346,Deals!$A$2:$A$843,0),"")</f>
        <v/>
      </c>
      <c r="G346">
        <f>IF(F346="",0,1)</f>
        <v/>
      </c>
      <c r="H346" s="29">
        <f>IF(F346="","",INDEX(Deals!$E$2:$E$843,F346))</f>
        <v/>
      </c>
      <c r="I346">
        <f>IF(F346="","",INDEX(Deals!$D$2:$D$843,F346))</f>
        <v/>
      </c>
      <c r="J346">
        <f>IF(F346="","",INT(H346)-B346)</f>
        <v/>
      </c>
      <c r="K346">
        <f>IF(B346&gt;=Settings!$C$5,1,0)</f>
        <v/>
      </c>
    </row>
    <row r="347">
      <c r="A347" t="inlineStr">
        <is>
          <t>17c7fa4c1f220efcfa8201d8e834c0ca</t>
        </is>
      </c>
      <c r="B347" s="29" t="n">
        <v>43199</v>
      </c>
      <c r="C347" t="inlineStr">
        <is>
          <t>2018-04</t>
        </is>
      </c>
      <c r="D347" t="inlineStr">
        <is>
          <t>ce1a65abd0973638f1c887a6efcfa82d</t>
        </is>
      </c>
      <c r="E347" t="inlineStr">
        <is>
          <t>paid_search</t>
        </is>
      </c>
      <c r="F347">
        <f>IFERROR(MATCH(A347,Deals!$A$2:$A$843,0),"")</f>
        <v/>
      </c>
      <c r="G347">
        <f>IF(F347="",0,1)</f>
        <v/>
      </c>
      <c r="H347" s="29">
        <f>IF(F347="","",INDEX(Deals!$E$2:$E$843,F347))</f>
        <v/>
      </c>
      <c r="I347">
        <f>IF(F347="","",INDEX(Deals!$D$2:$D$843,F347))</f>
        <v/>
      </c>
      <c r="J347">
        <f>IF(F347="","",INT(H347)-B347)</f>
        <v/>
      </c>
      <c r="K347">
        <f>IF(B347&gt;=Settings!$C$5,1,0)</f>
        <v/>
      </c>
    </row>
    <row r="348">
      <c r="A348" t="inlineStr">
        <is>
          <t>39e42960b233b6999d195eae85d7290b</t>
        </is>
      </c>
      <c r="B348" s="29" t="n">
        <v>43185</v>
      </c>
      <c r="C348" t="inlineStr">
        <is>
          <t>2018-03</t>
        </is>
      </c>
      <c r="D348" t="inlineStr">
        <is>
          <t>b76ef37428e6799c421989521c0e5077</t>
        </is>
      </c>
      <c r="E348" t="inlineStr">
        <is>
          <t>organic_search</t>
        </is>
      </c>
      <c r="F348">
        <f>IFERROR(MATCH(A348,Deals!$A$2:$A$843,0),"")</f>
        <v/>
      </c>
      <c r="G348">
        <f>IF(F348="",0,1)</f>
        <v/>
      </c>
      <c r="H348" s="29">
        <f>IF(F348="","",INDEX(Deals!$E$2:$E$843,F348))</f>
        <v/>
      </c>
      <c r="I348">
        <f>IF(F348="","",INDEX(Deals!$D$2:$D$843,F348))</f>
        <v/>
      </c>
      <c r="J348">
        <f>IF(F348="","",INT(H348)-B348)</f>
        <v/>
      </c>
      <c r="K348">
        <f>IF(B348&gt;=Settings!$C$5,1,0)</f>
        <v/>
      </c>
    </row>
    <row r="349">
      <c r="A349" t="inlineStr">
        <is>
          <t>a0f6825d01e9cb9eecbaca4589bff5ae</t>
        </is>
      </c>
      <c r="B349" s="29" t="n">
        <v>43055</v>
      </c>
      <c r="C349" t="inlineStr">
        <is>
          <t>2017-11</t>
        </is>
      </c>
      <c r="D349" t="inlineStr">
        <is>
          <t>fd660f5d9a62d444c76191307b3a0514</t>
        </is>
      </c>
      <c r="E349" t="inlineStr">
        <is>
          <t>paid_search</t>
        </is>
      </c>
      <c r="F349">
        <f>IFERROR(MATCH(A349,Deals!$A$2:$A$843,0),"")</f>
        <v/>
      </c>
      <c r="G349">
        <f>IF(F349="",0,1)</f>
        <v/>
      </c>
      <c r="H349" s="29">
        <f>IF(F349="","",INDEX(Deals!$E$2:$E$843,F349))</f>
        <v/>
      </c>
      <c r="I349">
        <f>IF(F349="","",INDEX(Deals!$D$2:$D$843,F349))</f>
        <v/>
      </c>
      <c r="J349">
        <f>IF(F349="","",INT(H349)-B349)</f>
        <v/>
      </c>
      <c r="K349">
        <f>IF(B349&gt;=Settings!$C$5,1,0)</f>
        <v/>
      </c>
    </row>
    <row r="350">
      <c r="A350" t="inlineStr">
        <is>
          <t>f473cce8e1fe128830d36a2c5216b213</t>
        </is>
      </c>
      <c r="B350" s="29" t="n">
        <v>43235</v>
      </c>
      <c r="C350" t="inlineStr">
        <is>
          <t>2018-05</t>
        </is>
      </c>
      <c r="D350" t="inlineStr">
        <is>
          <t>330b9d44078a1ae5a221d655dcb77afa</t>
        </is>
      </c>
      <c r="E350" t="inlineStr">
        <is>
          <t>organic_search</t>
        </is>
      </c>
      <c r="F350">
        <f>IFERROR(MATCH(A350,Deals!$A$2:$A$843,0),"")</f>
        <v/>
      </c>
      <c r="G350">
        <f>IF(F350="",0,1)</f>
        <v/>
      </c>
      <c r="H350" s="29">
        <f>IF(F350="","",INDEX(Deals!$E$2:$E$843,F350))</f>
        <v/>
      </c>
      <c r="I350">
        <f>IF(F350="","",INDEX(Deals!$D$2:$D$843,F350))</f>
        <v/>
      </c>
      <c r="J350">
        <f>IF(F350="","",INT(H350)-B350)</f>
        <v/>
      </c>
      <c r="K350">
        <f>IF(B350&gt;=Settings!$C$5,1,0)</f>
        <v/>
      </c>
    </row>
    <row r="351">
      <c r="A351" t="inlineStr">
        <is>
          <t>bc6ed32af5e74a9eae9accaab95902fd</t>
        </is>
      </c>
      <c r="B351" s="29" t="n">
        <v>43168</v>
      </c>
      <c r="C351" t="inlineStr">
        <is>
          <t>2018-03</t>
        </is>
      </c>
      <c r="D351" t="inlineStr">
        <is>
          <t>88740e65d5d6b056e0cda098e1ea6313</t>
        </is>
      </c>
      <c r="E351" t="inlineStr">
        <is>
          <t>social</t>
        </is>
      </c>
      <c r="F351">
        <f>IFERROR(MATCH(A351,Deals!$A$2:$A$843,0),"")</f>
        <v/>
      </c>
      <c r="G351">
        <f>IF(F351="",0,1)</f>
        <v/>
      </c>
      <c r="H351" s="29">
        <f>IF(F351="","",INDEX(Deals!$E$2:$E$843,F351))</f>
        <v/>
      </c>
      <c r="I351">
        <f>IF(F351="","",INDEX(Deals!$D$2:$D$843,F351))</f>
        <v/>
      </c>
      <c r="J351">
        <f>IF(F351="","",INT(H351)-B351)</f>
        <v/>
      </c>
      <c r="K351">
        <f>IF(B351&gt;=Settings!$C$5,1,0)</f>
        <v/>
      </c>
    </row>
    <row r="352">
      <c r="A352" t="inlineStr">
        <is>
          <t>ee5e316ecc89554a4609fa2f56eb3ca5</t>
        </is>
      </c>
      <c r="B352" s="29" t="n">
        <v>43220</v>
      </c>
      <c r="C352" t="inlineStr">
        <is>
          <t>2018-04</t>
        </is>
      </c>
      <c r="D352" t="inlineStr">
        <is>
          <t>35c9b150ab36fe584c1f24fd458c453a</t>
        </is>
      </c>
      <c r="E352" t="inlineStr">
        <is>
          <t>organic_search</t>
        </is>
      </c>
      <c r="F352">
        <f>IFERROR(MATCH(A352,Deals!$A$2:$A$843,0),"")</f>
        <v/>
      </c>
      <c r="G352">
        <f>IF(F352="",0,1)</f>
        <v/>
      </c>
      <c r="H352" s="29">
        <f>IF(F352="","",INDEX(Deals!$E$2:$E$843,F352))</f>
        <v/>
      </c>
      <c r="I352">
        <f>IF(F352="","",INDEX(Deals!$D$2:$D$843,F352))</f>
        <v/>
      </c>
      <c r="J352">
        <f>IF(F352="","",INT(H352)-B352)</f>
        <v/>
      </c>
      <c r="K352">
        <f>IF(B352&gt;=Settings!$C$5,1,0)</f>
        <v/>
      </c>
    </row>
    <row r="353">
      <c r="A353" t="inlineStr">
        <is>
          <t>5efb0f62e1610132b3e348846cb307f0</t>
        </is>
      </c>
      <c r="B353" s="29" t="n">
        <v>43229</v>
      </c>
      <c r="C353" t="inlineStr">
        <is>
          <t>2018-05</t>
        </is>
      </c>
      <c r="D353" t="inlineStr">
        <is>
          <t>b76ef37428e6799c421989521c0e5077</t>
        </is>
      </c>
      <c r="E353" t="inlineStr">
        <is>
          <t>organic_search</t>
        </is>
      </c>
      <c r="F353">
        <f>IFERROR(MATCH(A353,Deals!$A$2:$A$843,0),"")</f>
        <v/>
      </c>
      <c r="G353">
        <f>IF(F353="",0,1)</f>
        <v/>
      </c>
      <c r="H353" s="29">
        <f>IF(F353="","",INDEX(Deals!$E$2:$E$843,F353))</f>
        <v/>
      </c>
      <c r="I353">
        <f>IF(F353="","",INDEX(Deals!$D$2:$D$843,F353))</f>
        <v/>
      </c>
      <c r="J353">
        <f>IF(F353="","",INT(H353)-B353)</f>
        <v/>
      </c>
      <c r="K353">
        <f>IF(B353&gt;=Settings!$C$5,1,0)</f>
        <v/>
      </c>
    </row>
    <row r="354">
      <c r="A354" t="inlineStr">
        <is>
          <t>bdb253b49526c46fc0002d521a469b20</t>
        </is>
      </c>
      <c r="B354" s="29" t="n">
        <v>43206</v>
      </c>
      <c r="C354" t="inlineStr">
        <is>
          <t>2018-04</t>
        </is>
      </c>
      <c r="D354" t="inlineStr">
        <is>
          <t>36120633c8737035fbabf079082f4ec1</t>
        </is>
      </c>
      <c r="E354" t="inlineStr">
        <is>
          <t>direct_traffic</t>
        </is>
      </c>
      <c r="F354">
        <f>IFERROR(MATCH(A354,Deals!$A$2:$A$843,0),"")</f>
        <v/>
      </c>
      <c r="G354">
        <f>IF(F354="",0,1)</f>
        <v/>
      </c>
      <c r="H354" s="29">
        <f>IF(F354="","",INDEX(Deals!$E$2:$E$843,F354))</f>
        <v/>
      </c>
      <c r="I354">
        <f>IF(F354="","",INDEX(Deals!$D$2:$D$843,F354))</f>
        <v/>
      </c>
      <c r="J354">
        <f>IF(F354="","",INT(H354)-B354)</f>
        <v/>
      </c>
      <c r="K354">
        <f>IF(B354&gt;=Settings!$C$5,1,0)</f>
        <v/>
      </c>
    </row>
    <row r="355">
      <c r="A355" t="inlineStr">
        <is>
          <t>ff36b41817811eaa7d22ac0b6b435c77</t>
        </is>
      </c>
      <c r="B355" s="29" t="n">
        <v>43182</v>
      </c>
      <c r="C355" t="inlineStr">
        <is>
          <t>2018-03</t>
        </is>
      </c>
      <c r="D355" t="inlineStr">
        <is>
          <t>7fa6214d82e911d070f51ef79381b956</t>
        </is>
      </c>
      <c r="E355" t="inlineStr">
        <is>
          <t>organic_search</t>
        </is>
      </c>
      <c r="F355">
        <f>IFERROR(MATCH(A355,Deals!$A$2:$A$843,0),"")</f>
        <v/>
      </c>
      <c r="G355">
        <f>IF(F355="",0,1)</f>
        <v/>
      </c>
      <c r="H355" s="29">
        <f>IF(F355="","",INDEX(Deals!$E$2:$E$843,F355))</f>
        <v/>
      </c>
      <c r="I355">
        <f>IF(F355="","",INDEX(Deals!$D$2:$D$843,F355))</f>
        <v/>
      </c>
      <c r="J355">
        <f>IF(F355="","",INT(H355)-B355)</f>
        <v/>
      </c>
      <c r="K355">
        <f>IF(B355&gt;=Settings!$C$5,1,0)</f>
        <v/>
      </c>
    </row>
    <row r="356">
      <c r="A356" t="inlineStr">
        <is>
          <t>19e3cf8b3c580aa7d8eb4d405fd3951b</t>
        </is>
      </c>
      <c r="B356" s="29" t="n">
        <v>43123</v>
      </c>
      <c r="C356" t="inlineStr">
        <is>
          <t>2018-01</t>
        </is>
      </c>
      <c r="D356" t="inlineStr">
        <is>
          <t>21a104c3279681d9856b8a48723c4fee</t>
        </is>
      </c>
      <c r="E356" t="inlineStr">
        <is>
          <t>other</t>
        </is>
      </c>
      <c r="F356">
        <f>IFERROR(MATCH(A356,Deals!$A$2:$A$843,0),"")</f>
        <v/>
      </c>
      <c r="G356">
        <f>IF(F356="",0,1)</f>
        <v/>
      </c>
      <c r="H356" s="29">
        <f>IF(F356="","",INDEX(Deals!$E$2:$E$843,F356))</f>
        <v/>
      </c>
      <c r="I356">
        <f>IF(F356="","",INDEX(Deals!$D$2:$D$843,F356))</f>
        <v/>
      </c>
      <c r="J356">
        <f>IF(F356="","",INT(H356)-B356)</f>
        <v/>
      </c>
      <c r="K356">
        <f>IF(B356&gt;=Settings!$C$5,1,0)</f>
        <v/>
      </c>
    </row>
    <row r="357">
      <c r="A357" t="inlineStr">
        <is>
          <t>59f807bae2fef0c6f451c5b365c57a7d</t>
        </is>
      </c>
      <c r="B357" s="29" t="n">
        <v>43183</v>
      </c>
      <c r="C357" t="inlineStr">
        <is>
          <t>2018-03</t>
        </is>
      </c>
      <c r="D357" t="inlineStr">
        <is>
          <t>22c29808c4f815213303f8933030604c</t>
        </is>
      </c>
      <c r="E357" t="inlineStr">
        <is>
          <t>organic_search</t>
        </is>
      </c>
      <c r="F357">
        <f>IFERROR(MATCH(A357,Deals!$A$2:$A$843,0),"")</f>
        <v/>
      </c>
      <c r="G357">
        <f>IF(F357="",0,1)</f>
        <v/>
      </c>
      <c r="H357" s="29">
        <f>IF(F357="","",INDEX(Deals!$E$2:$E$843,F357))</f>
        <v/>
      </c>
      <c r="I357">
        <f>IF(F357="","",INDEX(Deals!$D$2:$D$843,F357))</f>
        <v/>
      </c>
      <c r="J357">
        <f>IF(F357="","",INT(H357)-B357)</f>
        <v/>
      </c>
      <c r="K357">
        <f>IF(B357&gt;=Settings!$C$5,1,0)</f>
        <v/>
      </c>
    </row>
    <row r="358">
      <c r="A358" t="inlineStr">
        <is>
          <t>564d821b70f17d228316b4584180987c</t>
        </is>
      </c>
      <c r="B358" s="29" t="n">
        <v>43237</v>
      </c>
      <c r="C358" t="inlineStr">
        <is>
          <t>2018-05</t>
        </is>
      </c>
      <c r="D358" t="inlineStr">
        <is>
          <t>a0fbc0263cb98bdb0d72b9f9f283a172</t>
        </is>
      </c>
      <c r="E358" t="inlineStr">
        <is>
          <t>paid_search</t>
        </is>
      </c>
      <c r="F358">
        <f>IFERROR(MATCH(A358,Deals!$A$2:$A$843,0),"")</f>
        <v/>
      </c>
      <c r="G358">
        <f>IF(F358="",0,1)</f>
        <v/>
      </c>
      <c r="H358" s="29">
        <f>IF(F358="","",INDEX(Deals!$E$2:$E$843,F358))</f>
        <v/>
      </c>
      <c r="I358">
        <f>IF(F358="","",INDEX(Deals!$D$2:$D$843,F358))</f>
        <v/>
      </c>
      <c r="J358">
        <f>IF(F358="","",INT(H358)-B358)</f>
        <v/>
      </c>
      <c r="K358">
        <f>IF(B358&gt;=Settings!$C$5,1,0)</f>
        <v/>
      </c>
    </row>
    <row r="359">
      <c r="A359" t="inlineStr">
        <is>
          <t>9d73c511c577700b0c7a8bc05e3a2b08</t>
        </is>
      </c>
      <c r="B359" s="29" t="n">
        <v>43185</v>
      </c>
      <c r="C359" t="inlineStr">
        <is>
          <t>2018-03</t>
        </is>
      </c>
      <c r="D359" t="inlineStr">
        <is>
          <t>40dec9f3d5259a3d2dbcdab2114fae47</t>
        </is>
      </c>
      <c r="E359" t="inlineStr">
        <is>
          <t>email</t>
        </is>
      </c>
      <c r="F359">
        <f>IFERROR(MATCH(A359,Deals!$A$2:$A$843,0),"")</f>
        <v/>
      </c>
      <c r="G359">
        <f>IF(F359="",0,1)</f>
        <v/>
      </c>
      <c r="H359" s="29">
        <f>IF(F359="","",INDEX(Deals!$E$2:$E$843,F359))</f>
        <v/>
      </c>
      <c r="I359">
        <f>IF(F359="","",INDEX(Deals!$D$2:$D$843,F359))</f>
        <v/>
      </c>
      <c r="J359">
        <f>IF(F359="","",INT(H359)-B359)</f>
        <v/>
      </c>
      <c r="K359">
        <f>IF(B359&gt;=Settings!$C$5,1,0)</f>
        <v/>
      </c>
    </row>
    <row r="360">
      <c r="A360" t="inlineStr">
        <is>
          <t>890b79afd491c5448a12afa41458c240</t>
        </is>
      </c>
      <c r="B360" s="29" t="n">
        <v>43185</v>
      </c>
      <c r="C360" t="inlineStr">
        <is>
          <t>2018-03</t>
        </is>
      </c>
      <c r="D360" t="inlineStr">
        <is>
          <t>c494978688ccf66ad9fad3d6a3338c22</t>
        </is>
      </c>
      <c r="E360" t="inlineStr">
        <is>
          <t>organic_search</t>
        </is>
      </c>
      <c r="F360">
        <f>IFERROR(MATCH(A360,Deals!$A$2:$A$843,0),"")</f>
        <v/>
      </c>
      <c r="G360">
        <f>IF(F360="",0,1)</f>
        <v/>
      </c>
      <c r="H360" s="29">
        <f>IF(F360="","",INDEX(Deals!$E$2:$E$843,F360))</f>
        <v/>
      </c>
      <c r="I360">
        <f>IF(F360="","",INDEX(Deals!$D$2:$D$843,F360))</f>
        <v/>
      </c>
      <c r="J360">
        <f>IF(F360="","",INT(H360)-B360)</f>
        <v/>
      </c>
      <c r="K360">
        <f>IF(B360&gt;=Settings!$C$5,1,0)</f>
        <v/>
      </c>
    </row>
    <row r="361">
      <c r="A361" t="inlineStr">
        <is>
          <t>0db6221b4c53369646ff603fcaa8981d</t>
        </is>
      </c>
      <c r="B361" s="29" t="n">
        <v>43153</v>
      </c>
      <c r="C361" t="inlineStr">
        <is>
          <t>2018-02</t>
        </is>
      </c>
      <c r="D361" t="inlineStr">
        <is>
          <t>2228a43ac0bc372e25f9569e69fc9015</t>
        </is>
      </c>
      <c r="E361" t="inlineStr">
        <is>
          <t>direct_traffic</t>
        </is>
      </c>
      <c r="F361">
        <f>IFERROR(MATCH(A361,Deals!$A$2:$A$843,0),"")</f>
        <v/>
      </c>
      <c r="G361">
        <f>IF(F361="",0,1)</f>
        <v/>
      </c>
      <c r="H361" s="29">
        <f>IF(F361="","",INDEX(Deals!$E$2:$E$843,F361))</f>
        <v/>
      </c>
      <c r="I361">
        <f>IF(F361="","",INDEX(Deals!$D$2:$D$843,F361))</f>
        <v/>
      </c>
      <c r="J361">
        <f>IF(F361="","",INT(H361)-B361)</f>
        <v/>
      </c>
      <c r="K361">
        <f>IF(B361&gt;=Settings!$C$5,1,0)</f>
        <v/>
      </c>
    </row>
    <row r="362">
      <c r="A362" t="inlineStr">
        <is>
          <t>435c432b351913966c38108cf077eafe</t>
        </is>
      </c>
      <c r="B362" s="29" t="n">
        <v>43199</v>
      </c>
      <c r="C362" t="inlineStr">
        <is>
          <t>2018-04</t>
        </is>
      </c>
      <c r="D362" t="inlineStr">
        <is>
          <t>58326e62183c14b0c03085c33b9fdc44</t>
        </is>
      </c>
      <c r="E362" t="inlineStr">
        <is>
          <t>social</t>
        </is>
      </c>
      <c r="F362">
        <f>IFERROR(MATCH(A362,Deals!$A$2:$A$843,0),"")</f>
        <v/>
      </c>
      <c r="G362">
        <f>IF(F362="",0,1)</f>
        <v/>
      </c>
      <c r="H362" s="29">
        <f>IF(F362="","",INDEX(Deals!$E$2:$E$843,F362))</f>
        <v/>
      </c>
      <c r="I362">
        <f>IF(F362="","",INDEX(Deals!$D$2:$D$843,F362))</f>
        <v/>
      </c>
      <c r="J362">
        <f>IF(F362="","",INT(H362)-B362)</f>
        <v/>
      </c>
      <c r="K362">
        <f>IF(B362&gt;=Settings!$C$5,1,0)</f>
        <v/>
      </c>
    </row>
    <row r="363">
      <c r="A363" t="inlineStr">
        <is>
          <t>31482ea3105f2635db24a0077677930f</t>
        </is>
      </c>
      <c r="B363" s="29" t="n">
        <v>43129</v>
      </c>
      <c r="C363" t="inlineStr">
        <is>
          <t>2018-01</t>
        </is>
      </c>
      <c r="D363" t="inlineStr">
        <is>
          <t>88740e65d5d6b056e0cda098e1ea6313</t>
        </is>
      </c>
      <c r="E363" t="inlineStr">
        <is>
          <t>other_publicities</t>
        </is>
      </c>
      <c r="F363">
        <f>IFERROR(MATCH(A363,Deals!$A$2:$A$843,0),"")</f>
        <v/>
      </c>
      <c r="G363">
        <f>IF(F363="",0,1)</f>
        <v/>
      </c>
      <c r="H363" s="29">
        <f>IF(F363="","",INDEX(Deals!$E$2:$E$843,F363))</f>
        <v/>
      </c>
      <c r="I363">
        <f>IF(F363="","",INDEX(Deals!$D$2:$D$843,F363))</f>
        <v/>
      </c>
      <c r="J363">
        <f>IF(F363="","",INT(H363)-B363)</f>
        <v/>
      </c>
      <c r="K363">
        <f>IF(B363&gt;=Settings!$C$5,1,0)</f>
        <v/>
      </c>
    </row>
    <row r="364">
      <c r="A364" t="inlineStr">
        <is>
          <t>1abe906bf341f73128069e81bb1d0907</t>
        </is>
      </c>
      <c r="B364" s="29" t="n">
        <v>43154</v>
      </c>
      <c r="C364" t="inlineStr">
        <is>
          <t>2018-02</t>
        </is>
      </c>
      <c r="D364" t="inlineStr">
        <is>
          <t>f017be4dbf86243af5c1ebed0cff36a2</t>
        </is>
      </c>
      <c r="E364" t="inlineStr">
        <is>
          <t>organic_search</t>
        </is>
      </c>
      <c r="F364">
        <f>IFERROR(MATCH(A364,Deals!$A$2:$A$843,0),"")</f>
        <v/>
      </c>
      <c r="G364">
        <f>IF(F364="",0,1)</f>
        <v/>
      </c>
      <c r="H364" s="29">
        <f>IF(F364="","",INDEX(Deals!$E$2:$E$843,F364))</f>
        <v/>
      </c>
      <c r="I364">
        <f>IF(F364="","",INDEX(Deals!$D$2:$D$843,F364))</f>
        <v/>
      </c>
      <c r="J364">
        <f>IF(F364="","",INT(H364)-B364)</f>
        <v/>
      </c>
      <c r="K364">
        <f>IF(B364&gt;=Settings!$C$5,1,0)</f>
        <v/>
      </c>
    </row>
    <row r="365">
      <c r="A365" t="inlineStr">
        <is>
          <t>1f06d3acecd32c5394bf8ba9911d66ea</t>
        </is>
      </c>
      <c r="B365" s="29" t="n">
        <v>42991</v>
      </c>
      <c r="C365" t="inlineStr">
        <is>
          <t>2017-09</t>
        </is>
      </c>
      <c r="D365" t="inlineStr">
        <is>
          <t>22c29808c4f815213303f8933030604c</t>
        </is>
      </c>
      <c r="E365" t="inlineStr">
        <is>
          <t>organic_search</t>
        </is>
      </c>
      <c r="F365">
        <f>IFERROR(MATCH(A365,Deals!$A$2:$A$843,0),"")</f>
        <v/>
      </c>
      <c r="G365">
        <f>IF(F365="",0,1)</f>
        <v/>
      </c>
      <c r="H365" s="29">
        <f>IF(F365="","",INDEX(Deals!$E$2:$E$843,F365))</f>
        <v/>
      </c>
      <c r="I365">
        <f>IF(F365="","",INDEX(Deals!$D$2:$D$843,F365))</f>
        <v/>
      </c>
      <c r="J365">
        <f>IF(F365="","",INT(H365)-B365)</f>
        <v/>
      </c>
      <c r="K365">
        <f>IF(B365&gt;=Settings!$C$5,1,0)</f>
        <v/>
      </c>
    </row>
    <row r="366">
      <c r="A366" t="inlineStr">
        <is>
          <t>e428d5580f729d23e6070e43c492e424</t>
        </is>
      </c>
      <c r="B366" s="29" t="n">
        <v>43181</v>
      </c>
      <c r="C366" t="inlineStr">
        <is>
          <t>2018-03</t>
        </is>
      </c>
      <c r="D366" t="inlineStr">
        <is>
          <t>0b9430edcbf2d9a95148c806af2b6699</t>
        </is>
      </c>
      <c r="E366" t="inlineStr">
        <is>
          <t>unknown</t>
        </is>
      </c>
      <c r="F366">
        <f>IFERROR(MATCH(A366,Deals!$A$2:$A$843,0),"")</f>
        <v/>
      </c>
      <c r="G366">
        <f>IF(F366="",0,1)</f>
        <v/>
      </c>
      <c r="H366" s="29">
        <f>IF(F366="","",INDEX(Deals!$E$2:$E$843,F366))</f>
        <v/>
      </c>
      <c r="I366">
        <f>IF(F366="","",INDEX(Deals!$D$2:$D$843,F366))</f>
        <v/>
      </c>
      <c r="J366">
        <f>IF(F366="","",INT(H366)-B366)</f>
        <v/>
      </c>
      <c r="K366">
        <f>IF(B366&gt;=Settings!$C$5,1,0)</f>
        <v/>
      </c>
    </row>
    <row r="367">
      <c r="A367" t="inlineStr">
        <is>
          <t>55ae21ea938d436617a8bddffede5e3d</t>
        </is>
      </c>
      <c r="B367" s="29" t="n">
        <v>42949</v>
      </c>
      <c r="C367" t="inlineStr">
        <is>
          <t>2017-08</t>
        </is>
      </c>
      <c r="D367" t="inlineStr">
        <is>
          <t>dcb589befb0d245279c49c137d0afbb9</t>
        </is>
      </c>
      <c r="E367" t="inlineStr">
        <is>
          <t>organic_search</t>
        </is>
      </c>
      <c r="F367">
        <f>IFERROR(MATCH(A367,Deals!$A$2:$A$843,0),"")</f>
        <v/>
      </c>
      <c r="G367">
        <f>IF(F367="",0,1)</f>
        <v/>
      </c>
      <c r="H367" s="29">
        <f>IF(F367="","",INDEX(Deals!$E$2:$E$843,F367))</f>
        <v/>
      </c>
      <c r="I367">
        <f>IF(F367="","",INDEX(Deals!$D$2:$D$843,F367))</f>
        <v/>
      </c>
      <c r="J367">
        <f>IF(F367="","",INT(H367)-B367)</f>
        <v/>
      </c>
      <c r="K367">
        <f>IF(B367&gt;=Settings!$C$5,1,0)</f>
        <v/>
      </c>
    </row>
    <row r="368">
      <c r="A368" t="inlineStr">
        <is>
          <t>e3c91316d8f28b18d96869aebbb7c3ec</t>
        </is>
      </c>
      <c r="B368" s="29" t="n">
        <v>43236</v>
      </c>
      <c r="C368" t="inlineStr">
        <is>
          <t>2018-05</t>
        </is>
      </c>
      <c r="D368" t="inlineStr">
        <is>
          <t>0b9430edcbf2d9a95148c806af2b6699</t>
        </is>
      </c>
      <c r="E368" t="inlineStr">
        <is>
          <t>organic_search</t>
        </is>
      </c>
      <c r="F368">
        <f>IFERROR(MATCH(A368,Deals!$A$2:$A$843,0),"")</f>
        <v/>
      </c>
      <c r="G368">
        <f>IF(F368="",0,1)</f>
        <v/>
      </c>
      <c r="H368" s="29">
        <f>IF(F368="","",INDEX(Deals!$E$2:$E$843,F368))</f>
        <v/>
      </c>
      <c r="I368">
        <f>IF(F368="","",INDEX(Deals!$D$2:$D$843,F368))</f>
        <v/>
      </c>
      <c r="J368">
        <f>IF(F368="","",INT(H368)-B368)</f>
        <v/>
      </c>
      <c r="K368">
        <f>IF(B368&gt;=Settings!$C$5,1,0)</f>
        <v/>
      </c>
    </row>
    <row r="369">
      <c r="A369" t="inlineStr">
        <is>
          <t>92420e6fbfb1ab3ecd4bc48b3bfe904b</t>
        </is>
      </c>
      <c r="B369" s="29" t="n">
        <v>43158</v>
      </c>
      <c r="C369" t="inlineStr">
        <is>
          <t>2018-02</t>
        </is>
      </c>
      <c r="D369" t="inlineStr">
        <is>
          <t>b76ef37428e6799c421989521c0e5077</t>
        </is>
      </c>
      <c r="E369" t="inlineStr">
        <is>
          <t>unknown</t>
        </is>
      </c>
      <c r="F369">
        <f>IFERROR(MATCH(A369,Deals!$A$2:$A$843,0),"")</f>
        <v/>
      </c>
      <c r="G369">
        <f>IF(F369="",0,1)</f>
        <v/>
      </c>
      <c r="H369" s="29">
        <f>IF(F369="","",INDEX(Deals!$E$2:$E$843,F369))</f>
        <v/>
      </c>
      <c r="I369">
        <f>IF(F369="","",INDEX(Deals!$D$2:$D$843,F369))</f>
        <v/>
      </c>
      <c r="J369">
        <f>IF(F369="","",INT(H369)-B369)</f>
        <v/>
      </c>
      <c r="K369">
        <f>IF(B369&gt;=Settings!$C$5,1,0)</f>
        <v/>
      </c>
    </row>
    <row r="370">
      <c r="A370" t="inlineStr">
        <is>
          <t>5b6e8759af7b231482ca0b70b92ed709</t>
        </is>
      </c>
      <c r="B370" s="29" t="n">
        <v>43222</v>
      </c>
      <c r="C370" t="inlineStr">
        <is>
          <t>2018-05</t>
        </is>
      </c>
      <c r="D370" t="inlineStr">
        <is>
          <t>40dec9f3d5259a3d2dbcdab2114fae47</t>
        </is>
      </c>
      <c r="E370" t="inlineStr">
        <is>
          <t>paid_search</t>
        </is>
      </c>
      <c r="F370">
        <f>IFERROR(MATCH(A370,Deals!$A$2:$A$843,0),"")</f>
        <v/>
      </c>
      <c r="G370">
        <f>IF(F370="",0,1)</f>
        <v/>
      </c>
      <c r="H370" s="29">
        <f>IF(F370="","",INDEX(Deals!$E$2:$E$843,F370))</f>
        <v/>
      </c>
      <c r="I370">
        <f>IF(F370="","",INDEX(Deals!$D$2:$D$843,F370))</f>
        <v/>
      </c>
      <c r="J370">
        <f>IF(F370="","",INT(H370)-B370)</f>
        <v/>
      </c>
      <c r="K370">
        <f>IF(B370&gt;=Settings!$C$5,1,0)</f>
        <v/>
      </c>
    </row>
    <row r="371">
      <c r="A371" t="inlineStr">
        <is>
          <t>51ac44a07a22f44b4ae0895fdcf9e317</t>
        </is>
      </c>
      <c r="B371" s="29" t="n">
        <v>43238</v>
      </c>
      <c r="C371" t="inlineStr">
        <is>
          <t>2018-05</t>
        </is>
      </c>
      <c r="D371" t="inlineStr">
        <is>
          <t>e492ee5eaf1697716985cc6f33f9cd9b</t>
        </is>
      </c>
      <c r="E371" t="inlineStr">
        <is>
          <t>paid_search</t>
        </is>
      </c>
      <c r="F371">
        <f>IFERROR(MATCH(A371,Deals!$A$2:$A$843,0),"")</f>
        <v/>
      </c>
      <c r="G371">
        <f>IF(F371="",0,1)</f>
        <v/>
      </c>
      <c r="H371" s="29">
        <f>IF(F371="","",INDEX(Deals!$E$2:$E$843,F371))</f>
        <v/>
      </c>
      <c r="I371">
        <f>IF(F371="","",INDEX(Deals!$D$2:$D$843,F371))</f>
        <v/>
      </c>
      <c r="J371">
        <f>IF(F371="","",INT(H371)-B371)</f>
        <v/>
      </c>
      <c r="K371">
        <f>IF(B371&gt;=Settings!$C$5,1,0)</f>
        <v/>
      </c>
    </row>
    <row r="372">
      <c r="A372" t="inlineStr">
        <is>
          <t>32aa5f339eb718e348e7a33c1749b2d3</t>
        </is>
      </c>
      <c r="B372" s="29" t="n">
        <v>43044</v>
      </c>
      <c r="C372" t="inlineStr">
        <is>
          <t>2017-11</t>
        </is>
      </c>
      <c r="D372" t="inlineStr">
        <is>
          <t>88740e65d5d6b056e0cda098e1ea6313</t>
        </is>
      </c>
      <c r="E372" t="inlineStr">
        <is>
          <t>referral</t>
        </is>
      </c>
      <c r="F372">
        <f>IFERROR(MATCH(A372,Deals!$A$2:$A$843,0),"")</f>
        <v/>
      </c>
      <c r="G372">
        <f>IF(F372="",0,1)</f>
        <v/>
      </c>
      <c r="H372" s="29">
        <f>IF(F372="","",INDEX(Deals!$E$2:$E$843,F372))</f>
        <v/>
      </c>
      <c r="I372">
        <f>IF(F372="","",INDEX(Deals!$D$2:$D$843,F372))</f>
        <v/>
      </c>
      <c r="J372">
        <f>IF(F372="","",INT(H372)-B372)</f>
        <v/>
      </c>
      <c r="K372">
        <f>IF(B372&gt;=Settings!$C$5,1,0)</f>
        <v/>
      </c>
    </row>
    <row r="373">
      <c r="A373" t="inlineStr">
        <is>
          <t>b776976221e2566daf2ed005621f615c</t>
        </is>
      </c>
      <c r="B373" s="29" t="n">
        <v>43206</v>
      </c>
      <c r="C373" t="inlineStr">
        <is>
          <t>2018-04</t>
        </is>
      </c>
      <c r="D373" t="inlineStr">
        <is>
          <t>22c29808c4f815213303f8933030604c</t>
        </is>
      </c>
      <c r="E373" t="inlineStr">
        <is>
          <t>social</t>
        </is>
      </c>
      <c r="F373">
        <f>IFERROR(MATCH(A373,Deals!$A$2:$A$843,0),"")</f>
        <v/>
      </c>
      <c r="G373">
        <f>IF(F373="",0,1)</f>
        <v/>
      </c>
      <c r="H373" s="29">
        <f>IF(F373="","",INDEX(Deals!$E$2:$E$843,F373))</f>
        <v/>
      </c>
      <c r="I373">
        <f>IF(F373="","",INDEX(Deals!$D$2:$D$843,F373))</f>
        <v/>
      </c>
      <c r="J373">
        <f>IF(F373="","",INT(H373)-B373)</f>
        <v/>
      </c>
      <c r="K373">
        <f>IF(B373&gt;=Settings!$C$5,1,0)</f>
        <v/>
      </c>
    </row>
    <row r="374">
      <c r="A374" t="inlineStr">
        <is>
          <t>b56a4eea3b495db226888f2f89e7678f</t>
        </is>
      </c>
      <c r="B374" s="29" t="n">
        <v>43217</v>
      </c>
      <c r="C374" t="inlineStr">
        <is>
          <t>2018-04</t>
        </is>
      </c>
      <c r="D374" t="inlineStr">
        <is>
          <t>447cabeecc99dc245cb42be7122cba9e</t>
        </is>
      </c>
      <c r="E374" t="inlineStr">
        <is>
          <t>organic_search</t>
        </is>
      </c>
      <c r="F374">
        <f>IFERROR(MATCH(A374,Deals!$A$2:$A$843,0),"")</f>
        <v/>
      </c>
      <c r="G374">
        <f>IF(F374="",0,1)</f>
        <v/>
      </c>
      <c r="H374" s="29">
        <f>IF(F374="","",INDEX(Deals!$E$2:$E$843,F374))</f>
        <v/>
      </c>
      <c r="I374">
        <f>IF(F374="","",INDEX(Deals!$D$2:$D$843,F374))</f>
        <v/>
      </c>
      <c r="J374">
        <f>IF(F374="","",INT(H374)-B374)</f>
        <v/>
      </c>
      <c r="K374">
        <f>IF(B374&gt;=Settings!$C$5,1,0)</f>
        <v/>
      </c>
    </row>
    <row r="375">
      <c r="A375" t="inlineStr">
        <is>
          <t>b38700450d76fa2e5c3498b9218b9bc6</t>
        </is>
      </c>
      <c r="B375" s="29" t="n">
        <v>43125</v>
      </c>
      <c r="C375" t="inlineStr">
        <is>
          <t>2018-01</t>
        </is>
      </c>
      <c r="D375" t="inlineStr">
        <is>
          <t>da14b7e2eb0d1eecf65abbd05a31c87d</t>
        </is>
      </c>
      <c r="E375" t="inlineStr">
        <is>
          <t>paid_search</t>
        </is>
      </c>
      <c r="F375">
        <f>IFERROR(MATCH(A375,Deals!$A$2:$A$843,0),"")</f>
        <v/>
      </c>
      <c r="G375">
        <f>IF(F375="",0,1)</f>
        <v/>
      </c>
      <c r="H375" s="29">
        <f>IF(F375="","",INDEX(Deals!$E$2:$E$843,F375))</f>
        <v/>
      </c>
      <c r="I375">
        <f>IF(F375="","",INDEX(Deals!$D$2:$D$843,F375))</f>
        <v/>
      </c>
      <c r="J375">
        <f>IF(F375="","",INT(H375)-B375)</f>
        <v/>
      </c>
      <c r="K375">
        <f>IF(B375&gt;=Settings!$C$5,1,0)</f>
        <v/>
      </c>
    </row>
    <row r="376">
      <c r="A376" t="inlineStr">
        <is>
          <t>fee1ab5aff95824daa15eca2b4415fac</t>
        </is>
      </c>
      <c r="B376" s="29" t="n">
        <v>43154</v>
      </c>
      <c r="C376" t="inlineStr">
        <is>
          <t>2018-02</t>
        </is>
      </c>
      <c r="D376" t="inlineStr">
        <is>
          <t>0218f6be0b76aca72ab4d00ee9e8cf10</t>
        </is>
      </c>
      <c r="E376" t="inlineStr">
        <is>
          <t>direct_traffic</t>
        </is>
      </c>
      <c r="F376">
        <f>IFERROR(MATCH(A376,Deals!$A$2:$A$843,0),"")</f>
        <v/>
      </c>
      <c r="G376">
        <f>IF(F376="",0,1)</f>
        <v/>
      </c>
      <c r="H376" s="29">
        <f>IF(F376="","",INDEX(Deals!$E$2:$E$843,F376))</f>
        <v/>
      </c>
      <c r="I376">
        <f>IF(F376="","",INDEX(Deals!$D$2:$D$843,F376))</f>
        <v/>
      </c>
      <c r="J376">
        <f>IF(F376="","",INT(H376)-B376)</f>
        <v/>
      </c>
      <c r="K376">
        <f>IF(B376&gt;=Settings!$C$5,1,0)</f>
        <v/>
      </c>
    </row>
    <row r="377">
      <c r="A377" t="inlineStr">
        <is>
          <t>bff56f6293a72deab400353bd7bee9b0</t>
        </is>
      </c>
      <c r="B377" s="29" t="n">
        <v>43249</v>
      </c>
      <c r="C377" t="inlineStr">
        <is>
          <t>2018-05</t>
        </is>
      </c>
      <c r="D377" t="inlineStr">
        <is>
          <t>22c29808c4f815213303f8933030604c</t>
        </is>
      </c>
      <c r="E377" t="inlineStr">
        <is>
          <t>organic_search</t>
        </is>
      </c>
      <c r="F377">
        <f>IFERROR(MATCH(A377,Deals!$A$2:$A$843,0),"")</f>
        <v/>
      </c>
      <c r="G377">
        <f>IF(F377="",0,1)</f>
        <v/>
      </c>
      <c r="H377" s="29">
        <f>IF(F377="","",INDEX(Deals!$E$2:$E$843,F377))</f>
        <v/>
      </c>
      <c r="I377">
        <f>IF(F377="","",INDEX(Deals!$D$2:$D$843,F377))</f>
        <v/>
      </c>
      <c r="J377">
        <f>IF(F377="","",INT(H377)-B377)</f>
        <v/>
      </c>
      <c r="K377">
        <f>IF(B377&gt;=Settings!$C$5,1,0)</f>
        <v/>
      </c>
    </row>
    <row r="378">
      <c r="A378" t="inlineStr">
        <is>
          <t>72e81de94dfc0373b006ca75e9c851a1</t>
        </is>
      </c>
      <c r="B378" s="29" t="n">
        <v>43152</v>
      </c>
      <c r="C378" t="inlineStr">
        <is>
          <t>2018-02</t>
        </is>
      </c>
      <c r="D378" t="inlineStr">
        <is>
          <t>241f79c7a8fe0270f4fb79fcbbcd17ad</t>
        </is>
      </c>
      <c r="E378" t="inlineStr">
        <is>
          <t>paid_search</t>
        </is>
      </c>
      <c r="F378">
        <f>IFERROR(MATCH(A378,Deals!$A$2:$A$843,0),"")</f>
        <v/>
      </c>
      <c r="G378">
        <f>IF(F378="",0,1)</f>
        <v/>
      </c>
      <c r="H378" s="29">
        <f>IF(F378="","",INDEX(Deals!$E$2:$E$843,F378))</f>
        <v/>
      </c>
      <c r="I378">
        <f>IF(F378="","",INDEX(Deals!$D$2:$D$843,F378))</f>
        <v/>
      </c>
      <c r="J378">
        <f>IF(F378="","",INT(H378)-B378)</f>
        <v/>
      </c>
      <c r="K378">
        <f>IF(B378&gt;=Settings!$C$5,1,0)</f>
        <v/>
      </c>
    </row>
    <row r="379">
      <c r="A379" t="inlineStr">
        <is>
          <t>1a3005b7edd159af4eb9c4fca0bb8767</t>
        </is>
      </c>
      <c r="B379" s="29" t="n">
        <v>43227</v>
      </c>
      <c r="C379" t="inlineStr">
        <is>
          <t>2018-05</t>
        </is>
      </c>
      <c r="D379" t="inlineStr">
        <is>
          <t>35c9b150ab36fe584c1f24fd458c453a</t>
        </is>
      </c>
      <c r="E379" t="inlineStr">
        <is>
          <t>paid_search</t>
        </is>
      </c>
      <c r="F379">
        <f>IFERROR(MATCH(A379,Deals!$A$2:$A$843,0),"")</f>
        <v/>
      </c>
      <c r="G379">
        <f>IF(F379="",0,1)</f>
        <v/>
      </c>
      <c r="H379" s="29">
        <f>IF(F379="","",INDEX(Deals!$E$2:$E$843,F379))</f>
        <v/>
      </c>
      <c r="I379">
        <f>IF(F379="","",INDEX(Deals!$D$2:$D$843,F379))</f>
        <v/>
      </c>
      <c r="J379">
        <f>IF(F379="","",INT(H379)-B379)</f>
        <v/>
      </c>
      <c r="K379">
        <f>IF(B379&gt;=Settings!$C$5,1,0)</f>
        <v/>
      </c>
    </row>
    <row r="380">
      <c r="A380" t="inlineStr">
        <is>
          <t>a1341c517cd50c93bf46e2c545a9b7af</t>
        </is>
      </c>
      <c r="B380" s="29" t="n">
        <v>43142</v>
      </c>
      <c r="C380" t="inlineStr">
        <is>
          <t>2018-02</t>
        </is>
      </c>
      <c r="D380" t="inlineStr">
        <is>
          <t>88740e65d5d6b056e0cda098e1ea6313</t>
        </is>
      </c>
      <c r="E380" t="inlineStr">
        <is>
          <t>social</t>
        </is>
      </c>
      <c r="F380">
        <f>IFERROR(MATCH(A380,Deals!$A$2:$A$843,0),"")</f>
        <v/>
      </c>
      <c r="G380">
        <f>IF(F380="",0,1)</f>
        <v/>
      </c>
      <c r="H380" s="29">
        <f>IF(F380="","",INDEX(Deals!$E$2:$E$843,F380))</f>
        <v/>
      </c>
      <c r="I380">
        <f>IF(F380="","",INDEX(Deals!$D$2:$D$843,F380))</f>
        <v/>
      </c>
      <c r="J380">
        <f>IF(F380="","",INT(H380)-B380)</f>
        <v/>
      </c>
      <c r="K380">
        <f>IF(B380&gt;=Settings!$C$5,1,0)</f>
        <v/>
      </c>
    </row>
    <row r="381">
      <c r="A381" t="inlineStr">
        <is>
          <t>810f7353315b00a2900edf778bd426c9</t>
        </is>
      </c>
      <c r="B381" s="29" t="n">
        <v>43124</v>
      </c>
      <c r="C381" t="inlineStr">
        <is>
          <t>2018-01</t>
        </is>
      </c>
      <c r="D381" t="inlineStr">
        <is>
          <t>22c29808c4f815213303f8933030604c</t>
        </is>
      </c>
      <c r="E381" t="inlineStr">
        <is>
          <t>organic_search</t>
        </is>
      </c>
      <c r="F381">
        <f>IFERROR(MATCH(A381,Deals!$A$2:$A$843,0),"")</f>
        <v/>
      </c>
      <c r="G381">
        <f>IF(F381="",0,1)</f>
        <v/>
      </c>
      <c r="H381" s="29">
        <f>IF(F381="","",INDEX(Deals!$E$2:$E$843,F381))</f>
        <v/>
      </c>
      <c r="I381">
        <f>IF(F381="","",INDEX(Deals!$D$2:$D$843,F381))</f>
        <v/>
      </c>
      <c r="J381">
        <f>IF(F381="","",INT(H381)-B381)</f>
        <v/>
      </c>
      <c r="K381">
        <f>IF(B381&gt;=Settings!$C$5,1,0)</f>
        <v/>
      </c>
    </row>
    <row r="382">
      <c r="A382" t="inlineStr">
        <is>
          <t>985638dc60b4effd06b091e80f0b42eb</t>
        </is>
      </c>
      <c r="B382" s="29" t="n">
        <v>43010</v>
      </c>
      <c r="C382" t="inlineStr">
        <is>
          <t>2017-10</t>
        </is>
      </c>
      <c r="D382" t="inlineStr">
        <is>
          <t>f4cb9c7b1dc31afca77d4896d2ae8d4b</t>
        </is>
      </c>
      <c r="E382" t="inlineStr">
        <is>
          <t>organic_search</t>
        </is>
      </c>
      <c r="F382">
        <f>IFERROR(MATCH(A382,Deals!$A$2:$A$843,0),"")</f>
        <v/>
      </c>
      <c r="G382">
        <f>IF(F382="",0,1)</f>
        <v/>
      </c>
      <c r="H382" s="29">
        <f>IF(F382="","",INDEX(Deals!$E$2:$E$843,F382))</f>
        <v/>
      </c>
      <c r="I382">
        <f>IF(F382="","",INDEX(Deals!$D$2:$D$843,F382))</f>
        <v/>
      </c>
      <c r="J382">
        <f>IF(F382="","",INT(H382)-B382)</f>
        <v/>
      </c>
      <c r="K382">
        <f>IF(B382&gt;=Settings!$C$5,1,0)</f>
        <v/>
      </c>
    </row>
    <row r="383">
      <c r="A383" t="inlineStr">
        <is>
          <t>8760d018b44febe1c3bbed05489bf9f2</t>
        </is>
      </c>
      <c r="B383" s="29" t="n">
        <v>43000</v>
      </c>
      <c r="C383" t="inlineStr">
        <is>
          <t>2017-09</t>
        </is>
      </c>
      <c r="D383" t="inlineStr">
        <is>
          <t>ee3c3bad6ed3eb9d5de56688d1f9c91b</t>
        </is>
      </c>
      <c r="E383" t="inlineStr">
        <is>
          <t>unknown</t>
        </is>
      </c>
      <c r="F383">
        <f>IFERROR(MATCH(A383,Deals!$A$2:$A$843,0),"")</f>
        <v/>
      </c>
      <c r="G383">
        <f>IF(F383="",0,1)</f>
        <v/>
      </c>
      <c r="H383" s="29">
        <f>IF(F383="","",INDEX(Deals!$E$2:$E$843,F383))</f>
        <v/>
      </c>
      <c r="I383">
        <f>IF(F383="","",INDEX(Deals!$D$2:$D$843,F383))</f>
        <v/>
      </c>
      <c r="J383">
        <f>IF(F383="","",INT(H383)-B383)</f>
        <v/>
      </c>
      <c r="K383">
        <f>IF(B383&gt;=Settings!$C$5,1,0)</f>
        <v/>
      </c>
    </row>
    <row r="384">
      <c r="A384" t="inlineStr">
        <is>
          <t>f78b6f0004f7094edb7e9a63cdabbe9c</t>
        </is>
      </c>
      <c r="B384" s="29" t="n">
        <v>43010</v>
      </c>
      <c r="C384" t="inlineStr">
        <is>
          <t>2017-10</t>
        </is>
      </c>
      <c r="D384" t="inlineStr">
        <is>
          <t>733adfe409c752b5c200bf23fa2f22d0</t>
        </is>
      </c>
      <c r="E384" t="inlineStr">
        <is>
          <t>paid_search</t>
        </is>
      </c>
      <c r="F384">
        <f>IFERROR(MATCH(A384,Deals!$A$2:$A$843,0),"")</f>
        <v/>
      </c>
      <c r="G384">
        <f>IF(F384="",0,1)</f>
        <v/>
      </c>
      <c r="H384" s="29">
        <f>IF(F384="","",INDEX(Deals!$E$2:$E$843,F384))</f>
        <v/>
      </c>
      <c r="I384">
        <f>IF(F384="","",INDEX(Deals!$D$2:$D$843,F384))</f>
        <v/>
      </c>
      <c r="J384">
        <f>IF(F384="","",INT(H384)-B384)</f>
        <v/>
      </c>
      <c r="K384">
        <f>IF(B384&gt;=Settings!$C$5,1,0)</f>
        <v/>
      </c>
    </row>
    <row r="385">
      <c r="A385" t="inlineStr">
        <is>
          <t>ef86e2c126d3fbb45783c5ccd26daed2</t>
        </is>
      </c>
      <c r="B385" s="29" t="n">
        <v>42948</v>
      </c>
      <c r="C385" t="inlineStr">
        <is>
          <t>2017-08</t>
        </is>
      </c>
      <c r="D385" t="inlineStr">
        <is>
          <t>1722481ac9e5371e5099dea226b5421d</t>
        </is>
      </c>
      <c r="E385" t="inlineStr">
        <is>
          <t>organic_search</t>
        </is>
      </c>
      <c r="F385">
        <f>IFERROR(MATCH(A385,Deals!$A$2:$A$843,0),"")</f>
        <v/>
      </c>
      <c r="G385">
        <f>IF(F385="",0,1)</f>
        <v/>
      </c>
      <c r="H385" s="29">
        <f>IF(F385="","",INDEX(Deals!$E$2:$E$843,F385))</f>
        <v/>
      </c>
      <c r="I385">
        <f>IF(F385="","",INDEX(Deals!$D$2:$D$843,F385))</f>
        <v/>
      </c>
      <c r="J385">
        <f>IF(F385="","",INT(H385)-B385)</f>
        <v/>
      </c>
      <c r="K385">
        <f>IF(B385&gt;=Settings!$C$5,1,0)</f>
        <v/>
      </c>
    </row>
    <row r="386">
      <c r="A386" t="inlineStr">
        <is>
          <t>8b8cd5cadbd34b4c7e7be2eaf8457e3f</t>
        </is>
      </c>
      <c r="B386" s="29" t="n">
        <v>43128</v>
      </c>
      <c r="C386" t="inlineStr">
        <is>
          <t>2018-01</t>
        </is>
      </c>
      <c r="D386" t="inlineStr">
        <is>
          <t>22c29808c4f815213303f8933030604c</t>
        </is>
      </c>
      <c r="E386" t="inlineStr">
        <is>
          <t>organic_search</t>
        </is>
      </c>
      <c r="F386">
        <f>IFERROR(MATCH(A386,Deals!$A$2:$A$843,0),"")</f>
        <v/>
      </c>
      <c r="G386">
        <f>IF(F386="",0,1)</f>
        <v/>
      </c>
      <c r="H386" s="29">
        <f>IF(F386="","",INDEX(Deals!$E$2:$E$843,F386))</f>
        <v/>
      </c>
      <c r="I386">
        <f>IF(F386="","",INDEX(Deals!$D$2:$D$843,F386))</f>
        <v/>
      </c>
      <c r="J386">
        <f>IF(F386="","",INT(H386)-B386)</f>
        <v/>
      </c>
      <c r="K386">
        <f>IF(B386&gt;=Settings!$C$5,1,0)</f>
        <v/>
      </c>
    </row>
    <row r="387">
      <c r="A387" t="inlineStr">
        <is>
          <t>4699df1b3d138637154b348ac946c963</t>
        </is>
      </c>
      <c r="B387" s="29" t="n">
        <v>42991</v>
      </c>
      <c r="C387" t="inlineStr">
        <is>
          <t>2017-09</t>
        </is>
      </c>
      <c r="D387" t="inlineStr">
        <is>
          <t>298895230612f85f0742434fc434ad10</t>
        </is>
      </c>
      <c r="E387" t="inlineStr">
        <is>
          <t>email</t>
        </is>
      </c>
      <c r="F387">
        <f>IFERROR(MATCH(A387,Deals!$A$2:$A$843,0),"")</f>
        <v/>
      </c>
      <c r="G387">
        <f>IF(F387="",0,1)</f>
        <v/>
      </c>
      <c r="H387" s="29">
        <f>IF(F387="","",INDEX(Deals!$E$2:$E$843,F387))</f>
        <v/>
      </c>
      <c r="I387">
        <f>IF(F387="","",INDEX(Deals!$D$2:$D$843,F387))</f>
        <v/>
      </c>
      <c r="J387">
        <f>IF(F387="","",INT(H387)-B387)</f>
        <v/>
      </c>
      <c r="K387">
        <f>IF(B387&gt;=Settings!$C$5,1,0)</f>
        <v/>
      </c>
    </row>
    <row r="388">
      <c r="A388" t="inlineStr">
        <is>
          <t>1cbfa9c878ef8692c1ae21e4cfa11000</t>
        </is>
      </c>
      <c r="B388" s="29" t="n">
        <v>43245</v>
      </c>
      <c r="C388" t="inlineStr">
        <is>
          <t>2018-05</t>
        </is>
      </c>
      <c r="D388" t="inlineStr">
        <is>
          <t>40dec9f3d5259a3d2dbcdab2114fae47</t>
        </is>
      </c>
      <c r="E388" t="inlineStr">
        <is>
          <t>paid_search</t>
        </is>
      </c>
      <c r="F388">
        <f>IFERROR(MATCH(A388,Deals!$A$2:$A$843,0),"")</f>
        <v/>
      </c>
      <c r="G388">
        <f>IF(F388="",0,1)</f>
        <v/>
      </c>
      <c r="H388" s="29">
        <f>IF(F388="","",INDEX(Deals!$E$2:$E$843,F388))</f>
        <v/>
      </c>
      <c r="I388">
        <f>IF(F388="","",INDEX(Deals!$D$2:$D$843,F388))</f>
        <v/>
      </c>
      <c r="J388">
        <f>IF(F388="","",INT(H388)-B388)</f>
        <v/>
      </c>
      <c r="K388">
        <f>IF(B388&gt;=Settings!$C$5,1,0)</f>
        <v/>
      </c>
    </row>
    <row r="389">
      <c r="A389" t="inlineStr">
        <is>
          <t>14d1fed69baf86c2a545c990bbfefcf8</t>
        </is>
      </c>
      <c r="B389" s="29" t="n">
        <v>43202</v>
      </c>
      <c r="C389" t="inlineStr">
        <is>
          <t>2018-04</t>
        </is>
      </c>
      <c r="D389" t="inlineStr">
        <is>
          <t>dd6f55db3947b0aeaadb65a610334799</t>
        </is>
      </c>
      <c r="E389" t="inlineStr">
        <is>
          <t>direct_traffic</t>
        </is>
      </c>
      <c r="F389">
        <f>IFERROR(MATCH(A389,Deals!$A$2:$A$843,0),"")</f>
        <v/>
      </c>
      <c r="G389">
        <f>IF(F389="",0,1)</f>
        <v/>
      </c>
      <c r="H389" s="29">
        <f>IF(F389="","",INDEX(Deals!$E$2:$E$843,F389))</f>
        <v/>
      </c>
      <c r="I389">
        <f>IF(F389="","",INDEX(Deals!$D$2:$D$843,F389))</f>
        <v/>
      </c>
      <c r="J389">
        <f>IF(F389="","",INT(H389)-B389)</f>
        <v/>
      </c>
      <c r="K389">
        <f>IF(B389&gt;=Settings!$C$5,1,0)</f>
        <v/>
      </c>
    </row>
    <row r="390">
      <c r="A390" t="inlineStr">
        <is>
          <t>40ac95aeec79dd0944f40d8d4525fc9b</t>
        </is>
      </c>
      <c r="B390" s="29" t="n">
        <v>43120</v>
      </c>
      <c r="C390" t="inlineStr">
        <is>
          <t>2018-01</t>
        </is>
      </c>
      <c r="D390" t="inlineStr">
        <is>
          <t>88740e65d5d6b056e0cda098e1ea6313</t>
        </is>
      </c>
      <c r="E390" t="inlineStr">
        <is>
          <t>social</t>
        </is>
      </c>
      <c r="F390">
        <f>IFERROR(MATCH(A390,Deals!$A$2:$A$843,0),"")</f>
        <v/>
      </c>
      <c r="G390">
        <f>IF(F390="",0,1)</f>
        <v/>
      </c>
      <c r="H390" s="29">
        <f>IF(F390="","",INDEX(Deals!$E$2:$E$843,F390))</f>
        <v/>
      </c>
      <c r="I390">
        <f>IF(F390="","",INDEX(Deals!$D$2:$D$843,F390))</f>
        <v/>
      </c>
      <c r="J390">
        <f>IF(F390="","",INT(H390)-B390)</f>
        <v/>
      </c>
      <c r="K390">
        <f>IF(B390&gt;=Settings!$C$5,1,0)</f>
        <v/>
      </c>
    </row>
    <row r="391">
      <c r="A391" t="inlineStr">
        <is>
          <t>9ad5546678148565e647bff60c2e7163</t>
        </is>
      </c>
      <c r="B391" s="29" t="n">
        <v>43222</v>
      </c>
      <c r="C391" t="inlineStr">
        <is>
          <t>2018-05</t>
        </is>
      </c>
      <c r="D391" t="inlineStr">
        <is>
          <t>15cf89bab2c3163b4f9d8601d108f8b2</t>
        </is>
      </c>
      <c r="E391" t="inlineStr">
        <is>
          <t>direct_traffic</t>
        </is>
      </c>
      <c r="F391">
        <f>IFERROR(MATCH(A391,Deals!$A$2:$A$843,0),"")</f>
        <v/>
      </c>
      <c r="G391">
        <f>IF(F391="",0,1)</f>
        <v/>
      </c>
      <c r="H391" s="29">
        <f>IF(F391="","",INDEX(Deals!$E$2:$E$843,F391))</f>
        <v/>
      </c>
      <c r="I391">
        <f>IF(F391="","",INDEX(Deals!$D$2:$D$843,F391))</f>
        <v/>
      </c>
      <c r="J391">
        <f>IF(F391="","",INT(H391)-B391)</f>
        <v/>
      </c>
      <c r="K391">
        <f>IF(B391&gt;=Settings!$C$5,1,0)</f>
        <v/>
      </c>
    </row>
    <row r="392">
      <c r="A392" t="inlineStr">
        <is>
          <t>94778b74bc99272da819df9eb2148d40</t>
        </is>
      </c>
      <c r="B392" s="29" t="n">
        <v>43103</v>
      </c>
      <c r="C392" t="inlineStr">
        <is>
          <t>2018-01</t>
        </is>
      </c>
      <c r="D392" t="inlineStr">
        <is>
          <t>241f79c7a8fe0270f4fb79fcbbcd17ad</t>
        </is>
      </c>
      <c r="E392" t="inlineStr">
        <is>
          <t>paid_search</t>
        </is>
      </c>
      <c r="F392">
        <f>IFERROR(MATCH(A392,Deals!$A$2:$A$843,0),"")</f>
        <v/>
      </c>
      <c r="G392">
        <f>IF(F392="",0,1)</f>
        <v/>
      </c>
      <c r="H392" s="29">
        <f>IF(F392="","",INDEX(Deals!$E$2:$E$843,F392))</f>
        <v/>
      </c>
      <c r="I392">
        <f>IF(F392="","",INDEX(Deals!$D$2:$D$843,F392))</f>
        <v/>
      </c>
      <c r="J392">
        <f>IF(F392="","",INT(H392)-B392)</f>
        <v/>
      </c>
      <c r="K392">
        <f>IF(B392&gt;=Settings!$C$5,1,0)</f>
        <v/>
      </c>
    </row>
    <row r="393">
      <c r="A393" t="inlineStr">
        <is>
          <t>fcf21509b5dd8503aa090c93bbc8eb2c</t>
        </is>
      </c>
      <c r="B393" s="29" t="n">
        <v>43178</v>
      </c>
      <c r="C393" t="inlineStr">
        <is>
          <t>2018-03</t>
        </is>
      </c>
      <c r="D393" t="inlineStr">
        <is>
          <t>58326e62183c14b0c03085c33b9fdc44</t>
        </is>
      </c>
      <c r="E393" t="inlineStr">
        <is>
          <t>social</t>
        </is>
      </c>
      <c r="F393">
        <f>IFERROR(MATCH(A393,Deals!$A$2:$A$843,0),"")</f>
        <v/>
      </c>
      <c r="G393">
        <f>IF(F393="",0,1)</f>
        <v/>
      </c>
      <c r="H393" s="29">
        <f>IF(F393="","",INDEX(Deals!$E$2:$E$843,F393))</f>
        <v/>
      </c>
      <c r="I393">
        <f>IF(F393="","",INDEX(Deals!$D$2:$D$843,F393))</f>
        <v/>
      </c>
      <c r="J393">
        <f>IF(F393="","",INT(H393)-B393)</f>
        <v/>
      </c>
      <c r="K393">
        <f>IF(B393&gt;=Settings!$C$5,1,0)</f>
        <v/>
      </c>
    </row>
    <row r="394">
      <c r="A394" t="inlineStr">
        <is>
          <t>207e384185cf2f7e2f4e1b2cedada218</t>
        </is>
      </c>
      <c r="B394" s="29" t="n">
        <v>43242</v>
      </c>
      <c r="C394" t="inlineStr">
        <is>
          <t>2018-05</t>
        </is>
      </c>
      <c r="D394" t="inlineStr">
        <is>
          <t>ef8fd2bd651e9bede81dfb6e45480793</t>
        </is>
      </c>
      <c r="E394" t="inlineStr">
        <is>
          <t>email</t>
        </is>
      </c>
      <c r="F394">
        <f>IFERROR(MATCH(A394,Deals!$A$2:$A$843,0),"")</f>
        <v/>
      </c>
      <c r="G394">
        <f>IF(F394="",0,1)</f>
        <v/>
      </c>
      <c r="H394" s="29">
        <f>IF(F394="","",INDEX(Deals!$E$2:$E$843,F394))</f>
        <v/>
      </c>
      <c r="I394">
        <f>IF(F394="","",INDEX(Deals!$D$2:$D$843,F394))</f>
        <v/>
      </c>
      <c r="J394">
        <f>IF(F394="","",INT(H394)-B394)</f>
        <v/>
      </c>
      <c r="K394">
        <f>IF(B394&gt;=Settings!$C$5,1,0)</f>
        <v/>
      </c>
    </row>
    <row r="395">
      <c r="A395" t="inlineStr">
        <is>
          <t>f1a84b794dcaf73675acbceef4b3f0a0</t>
        </is>
      </c>
      <c r="B395" s="29" t="n">
        <v>43132</v>
      </c>
      <c r="C395" t="inlineStr">
        <is>
          <t>2018-02</t>
        </is>
      </c>
      <c r="D395" t="inlineStr">
        <is>
          <t>22c29808c4f815213303f8933030604c</t>
        </is>
      </c>
      <c r="E395" t="inlineStr">
        <is>
          <t>organic_search</t>
        </is>
      </c>
      <c r="F395">
        <f>IFERROR(MATCH(A395,Deals!$A$2:$A$843,0),"")</f>
        <v/>
      </c>
      <c r="G395">
        <f>IF(F395="",0,1)</f>
        <v/>
      </c>
      <c r="H395" s="29">
        <f>IF(F395="","",INDEX(Deals!$E$2:$E$843,F395))</f>
        <v/>
      </c>
      <c r="I395">
        <f>IF(F395="","",INDEX(Deals!$D$2:$D$843,F395))</f>
        <v/>
      </c>
      <c r="J395">
        <f>IF(F395="","",INT(H395)-B395)</f>
        <v/>
      </c>
      <c r="K395">
        <f>IF(B395&gt;=Settings!$C$5,1,0)</f>
        <v/>
      </c>
    </row>
    <row r="396">
      <c r="A396" t="inlineStr">
        <is>
          <t>2562e666dd1a56d065589ec818bda84c</t>
        </is>
      </c>
      <c r="B396" s="29" t="n">
        <v>42935</v>
      </c>
      <c r="C396" t="inlineStr">
        <is>
          <t>2017-07</t>
        </is>
      </c>
      <c r="D396" t="inlineStr">
        <is>
          <t>63a22f10d1d63d25eaf970d6a9c9df2a</t>
        </is>
      </c>
      <c r="E396" t="inlineStr">
        <is>
          <t>email</t>
        </is>
      </c>
      <c r="F396">
        <f>IFERROR(MATCH(A396,Deals!$A$2:$A$843,0),"")</f>
        <v/>
      </c>
      <c r="G396">
        <f>IF(F396="",0,1)</f>
        <v/>
      </c>
      <c r="H396" s="29">
        <f>IF(F396="","",INDEX(Deals!$E$2:$E$843,F396))</f>
        <v/>
      </c>
      <c r="I396">
        <f>IF(F396="","",INDEX(Deals!$D$2:$D$843,F396))</f>
        <v/>
      </c>
      <c r="J396">
        <f>IF(F396="","",INT(H396)-B396)</f>
        <v/>
      </c>
      <c r="K396">
        <f>IF(B396&gt;=Settings!$C$5,1,0)</f>
        <v/>
      </c>
    </row>
    <row r="397">
      <c r="A397" t="inlineStr">
        <is>
          <t>241393669823fc88e479a88090df91c6</t>
        </is>
      </c>
      <c r="B397" s="29" t="n">
        <v>43014</v>
      </c>
      <c r="C397" t="inlineStr">
        <is>
          <t>2017-10</t>
        </is>
      </c>
      <c r="D397" t="inlineStr">
        <is>
          <t>b76ef37428e6799c421989521c0e5077</t>
        </is>
      </c>
      <c r="E397" t="inlineStr">
        <is>
          <t>paid_search</t>
        </is>
      </c>
      <c r="F397">
        <f>IFERROR(MATCH(A397,Deals!$A$2:$A$843,0),"")</f>
        <v/>
      </c>
      <c r="G397">
        <f>IF(F397="",0,1)</f>
        <v/>
      </c>
      <c r="H397" s="29">
        <f>IF(F397="","",INDEX(Deals!$E$2:$E$843,F397))</f>
        <v/>
      </c>
      <c r="I397">
        <f>IF(F397="","",INDEX(Deals!$D$2:$D$843,F397))</f>
        <v/>
      </c>
      <c r="J397">
        <f>IF(F397="","",INT(H397)-B397)</f>
        <v/>
      </c>
      <c r="K397">
        <f>IF(B397&gt;=Settings!$C$5,1,0)</f>
        <v/>
      </c>
    </row>
    <row r="398">
      <c r="A398" t="inlineStr">
        <is>
          <t>60f867113bb0db6350f596add02dec5f</t>
        </is>
      </c>
      <c r="B398" s="29" t="n">
        <v>43217</v>
      </c>
      <c r="C398" t="inlineStr">
        <is>
          <t>2018-04</t>
        </is>
      </c>
      <c r="D398" t="inlineStr">
        <is>
          <t>58326e62183c14b0c03085c33b9fdc44</t>
        </is>
      </c>
      <c r="E398" t="inlineStr">
        <is>
          <t>social</t>
        </is>
      </c>
      <c r="F398">
        <f>IFERROR(MATCH(A398,Deals!$A$2:$A$843,0),"")</f>
        <v/>
      </c>
      <c r="G398">
        <f>IF(F398="",0,1)</f>
        <v/>
      </c>
      <c r="H398" s="29">
        <f>IF(F398="","",INDEX(Deals!$E$2:$E$843,F398))</f>
        <v/>
      </c>
      <c r="I398">
        <f>IF(F398="","",INDEX(Deals!$D$2:$D$843,F398))</f>
        <v/>
      </c>
      <c r="J398">
        <f>IF(F398="","",INT(H398)-B398)</f>
        <v/>
      </c>
      <c r="K398">
        <f>IF(B398&gt;=Settings!$C$5,1,0)</f>
        <v/>
      </c>
    </row>
    <row r="399">
      <c r="A399" t="inlineStr">
        <is>
          <t>4467c5ebcc8206601625e713d31605f9</t>
        </is>
      </c>
      <c r="B399" s="29" t="n">
        <v>42976</v>
      </c>
      <c r="C399" t="inlineStr">
        <is>
          <t>2017-08</t>
        </is>
      </c>
      <c r="D399" t="inlineStr">
        <is>
          <t>7fa6214d82e911d070f51ef79381b956</t>
        </is>
      </c>
      <c r="E399" t="inlineStr">
        <is>
          <t>direct_traffic</t>
        </is>
      </c>
      <c r="F399">
        <f>IFERROR(MATCH(A399,Deals!$A$2:$A$843,0),"")</f>
        <v/>
      </c>
      <c r="G399">
        <f>IF(F399="",0,1)</f>
        <v/>
      </c>
      <c r="H399" s="29">
        <f>IF(F399="","",INDEX(Deals!$E$2:$E$843,F399))</f>
        <v/>
      </c>
      <c r="I399">
        <f>IF(F399="","",INDEX(Deals!$D$2:$D$843,F399))</f>
        <v/>
      </c>
      <c r="J399">
        <f>IF(F399="","",INT(H399)-B399)</f>
        <v/>
      </c>
      <c r="K399">
        <f>IF(B399&gt;=Settings!$C$5,1,0)</f>
        <v/>
      </c>
    </row>
    <row r="400">
      <c r="A400" t="inlineStr">
        <is>
          <t>39169088cafa898f69c7bad07a3b09b0</t>
        </is>
      </c>
      <c r="B400" s="29" t="n">
        <v>43238</v>
      </c>
      <c r="C400" t="inlineStr">
        <is>
          <t>2018-05</t>
        </is>
      </c>
      <c r="D400" t="inlineStr">
        <is>
          <t>27cd3540bace1f4a4b2bc6d319b0553c</t>
        </is>
      </c>
      <c r="E400" t="inlineStr">
        <is>
          <t>other_publicities</t>
        </is>
      </c>
      <c r="F400">
        <f>IFERROR(MATCH(A400,Deals!$A$2:$A$843,0),"")</f>
        <v/>
      </c>
      <c r="G400">
        <f>IF(F400="",0,1)</f>
        <v/>
      </c>
      <c r="H400" s="29">
        <f>IF(F400="","",INDEX(Deals!$E$2:$E$843,F400))</f>
        <v/>
      </c>
      <c r="I400">
        <f>IF(F400="","",INDEX(Deals!$D$2:$D$843,F400))</f>
        <v/>
      </c>
      <c r="J400">
        <f>IF(F400="","",INT(H400)-B400)</f>
        <v/>
      </c>
      <c r="K400">
        <f>IF(B400&gt;=Settings!$C$5,1,0)</f>
        <v/>
      </c>
    </row>
    <row r="401">
      <c r="A401" t="inlineStr">
        <is>
          <t>66f870cbf6b7ef5d6d1c8a3d4671e775</t>
        </is>
      </c>
      <c r="B401" s="29" t="n">
        <v>42978</v>
      </c>
      <c r="C401" t="inlineStr">
        <is>
          <t>2017-08</t>
        </is>
      </c>
      <c r="D401" t="inlineStr">
        <is>
          <t>22c29808c4f815213303f8933030604c</t>
        </is>
      </c>
      <c r="E401" t="inlineStr">
        <is>
          <t>organic_search</t>
        </is>
      </c>
      <c r="F401">
        <f>IFERROR(MATCH(A401,Deals!$A$2:$A$843,0),"")</f>
        <v/>
      </c>
      <c r="G401">
        <f>IF(F401="",0,1)</f>
        <v/>
      </c>
      <c r="H401" s="29">
        <f>IF(F401="","",INDEX(Deals!$E$2:$E$843,F401))</f>
        <v/>
      </c>
      <c r="I401">
        <f>IF(F401="","",INDEX(Deals!$D$2:$D$843,F401))</f>
        <v/>
      </c>
      <c r="J401">
        <f>IF(F401="","",INT(H401)-B401)</f>
        <v/>
      </c>
      <c r="K401">
        <f>IF(B401&gt;=Settings!$C$5,1,0)</f>
        <v/>
      </c>
    </row>
    <row r="402">
      <c r="A402" t="inlineStr">
        <is>
          <t>73ead3de69a5f3dbe5e6010b87e68727</t>
        </is>
      </c>
      <c r="B402" s="29" t="n">
        <v>43034</v>
      </c>
      <c r="C402" t="inlineStr">
        <is>
          <t>2017-10</t>
        </is>
      </c>
      <c r="D402" t="inlineStr">
        <is>
          <t>4513838e626b499f475f9b488d177c55</t>
        </is>
      </c>
      <c r="E402" t="inlineStr">
        <is>
          <t>paid_search</t>
        </is>
      </c>
      <c r="F402">
        <f>IFERROR(MATCH(A402,Deals!$A$2:$A$843,0),"")</f>
        <v/>
      </c>
      <c r="G402">
        <f>IF(F402="",0,1)</f>
        <v/>
      </c>
      <c r="H402" s="29">
        <f>IF(F402="","",INDEX(Deals!$E$2:$E$843,F402))</f>
        <v/>
      </c>
      <c r="I402">
        <f>IF(F402="","",INDEX(Deals!$D$2:$D$843,F402))</f>
        <v/>
      </c>
      <c r="J402">
        <f>IF(F402="","",INT(H402)-B402)</f>
        <v/>
      </c>
      <c r="K402">
        <f>IF(B402&gt;=Settings!$C$5,1,0)</f>
        <v/>
      </c>
    </row>
    <row r="403">
      <c r="A403" t="inlineStr">
        <is>
          <t>3f20872cfee4278dba7b3c0d18d370f8</t>
        </is>
      </c>
      <c r="B403" s="29" t="n">
        <v>43042</v>
      </c>
      <c r="C403" t="inlineStr">
        <is>
          <t>2017-11</t>
        </is>
      </c>
      <c r="D403" t="inlineStr">
        <is>
          <t>88740e65d5d6b056e0cda098e1ea6313</t>
        </is>
      </c>
      <c r="E403" t="inlineStr">
        <is>
          <t>social</t>
        </is>
      </c>
      <c r="F403">
        <f>IFERROR(MATCH(A403,Deals!$A$2:$A$843,0),"")</f>
        <v/>
      </c>
      <c r="G403">
        <f>IF(F403="",0,1)</f>
        <v/>
      </c>
      <c r="H403" s="29">
        <f>IF(F403="","",INDEX(Deals!$E$2:$E$843,F403))</f>
        <v/>
      </c>
      <c r="I403">
        <f>IF(F403="","",INDEX(Deals!$D$2:$D$843,F403))</f>
        <v/>
      </c>
      <c r="J403">
        <f>IF(F403="","",INT(H403)-B403)</f>
        <v/>
      </c>
      <c r="K403">
        <f>IF(B403&gt;=Settings!$C$5,1,0)</f>
        <v/>
      </c>
    </row>
    <row r="404">
      <c r="A404" t="inlineStr">
        <is>
          <t>aa8dca2cf6b330e41c6da43a5beea921</t>
        </is>
      </c>
      <c r="B404" s="29" t="n">
        <v>43173</v>
      </c>
      <c r="C404" t="inlineStr">
        <is>
          <t>2018-03</t>
        </is>
      </c>
      <c r="D404" t="inlineStr">
        <is>
          <t>b76ef37428e6799c421989521c0e5077</t>
        </is>
      </c>
      <c r="E404" t="inlineStr">
        <is>
          <t>unknown</t>
        </is>
      </c>
      <c r="F404">
        <f>IFERROR(MATCH(A404,Deals!$A$2:$A$843,0),"")</f>
        <v/>
      </c>
      <c r="G404">
        <f>IF(F404="",0,1)</f>
        <v/>
      </c>
      <c r="H404" s="29">
        <f>IF(F404="","",INDEX(Deals!$E$2:$E$843,F404))</f>
        <v/>
      </c>
      <c r="I404">
        <f>IF(F404="","",INDEX(Deals!$D$2:$D$843,F404))</f>
        <v/>
      </c>
      <c r="J404">
        <f>IF(F404="","",INT(H404)-B404)</f>
        <v/>
      </c>
      <c r="K404">
        <f>IF(B404&gt;=Settings!$C$5,1,0)</f>
        <v/>
      </c>
    </row>
    <row r="405">
      <c r="A405" t="inlineStr">
        <is>
          <t>76607c8d892045f92be8094007e338f5</t>
        </is>
      </c>
      <c r="B405" s="29" t="n">
        <v>42989</v>
      </c>
      <c r="C405" t="inlineStr">
        <is>
          <t>2017-09</t>
        </is>
      </c>
      <c r="D405" t="inlineStr">
        <is>
          <t>87732658ba41d8775e8577df347a64db</t>
        </is>
      </c>
      <c r="E405" t="inlineStr">
        <is>
          <t>social</t>
        </is>
      </c>
      <c r="F405">
        <f>IFERROR(MATCH(A405,Deals!$A$2:$A$843,0),"")</f>
        <v/>
      </c>
      <c r="G405">
        <f>IF(F405="",0,1)</f>
        <v/>
      </c>
      <c r="H405" s="29">
        <f>IF(F405="","",INDEX(Deals!$E$2:$E$843,F405))</f>
        <v/>
      </c>
      <c r="I405">
        <f>IF(F405="","",INDEX(Deals!$D$2:$D$843,F405))</f>
        <v/>
      </c>
      <c r="J405">
        <f>IF(F405="","",INT(H405)-B405)</f>
        <v/>
      </c>
      <c r="K405">
        <f>IF(B405&gt;=Settings!$C$5,1,0)</f>
        <v/>
      </c>
    </row>
    <row r="406">
      <c r="A406" t="inlineStr">
        <is>
          <t>da2c9b4ce3910da210c419517ee72bf0</t>
        </is>
      </c>
      <c r="B406" s="29" t="n">
        <v>43152</v>
      </c>
      <c r="C406" t="inlineStr">
        <is>
          <t>2018-02</t>
        </is>
      </c>
      <c r="D406" t="inlineStr">
        <is>
          <t>22c29808c4f815213303f8933030604c</t>
        </is>
      </c>
      <c r="E406" t="inlineStr">
        <is>
          <t>direct_traffic</t>
        </is>
      </c>
      <c r="F406">
        <f>IFERROR(MATCH(A406,Deals!$A$2:$A$843,0),"")</f>
        <v/>
      </c>
      <c r="G406">
        <f>IF(F406="",0,1)</f>
        <v/>
      </c>
      <c r="H406" s="29">
        <f>IF(F406="","",INDEX(Deals!$E$2:$E$843,F406))</f>
        <v/>
      </c>
      <c r="I406">
        <f>IF(F406="","",INDEX(Deals!$D$2:$D$843,F406))</f>
        <v/>
      </c>
      <c r="J406">
        <f>IF(F406="","",INT(H406)-B406)</f>
        <v/>
      </c>
      <c r="K406">
        <f>IF(B406&gt;=Settings!$C$5,1,0)</f>
        <v/>
      </c>
    </row>
    <row r="407">
      <c r="A407" t="inlineStr">
        <is>
          <t>be71b27fdddb8a0fded30cb6f268bb02</t>
        </is>
      </c>
      <c r="B407" s="29" t="n">
        <v>43181</v>
      </c>
      <c r="C407" t="inlineStr">
        <is>
          <t>2018-03</t>
        </is>
      </c>
      <c r="D407" t="inlineStr">
        <is>
          <t>b76ef37428e6799c421989521c0e5077</t>
        </is>
      </c>
      <c r="E407" t="inlineStr">
        <is>
          <t>organic_search</t>
        </is>
      </c>
      <c r="F407">
        <f>IFERROR(MATCH(A407,Deals!$A$2:$A$843,0),"")</f>
        <v/>
      </c>
      <c r="G407">
        <f>IF(F407="",0,1)</f>
        <v/>
      </c>
      <c r="H407" s="29">
        <f>IF(F407="","",INDEX(Deals!$E$2:$E$843,F407))</f>
        <v/>
      </c>
      <c r="I407">
        <f>IF(F407="","",INDEX(Deals!$D$2:$D$843,F407))</f>
        <v/>
      </c>
      <c r="J407">
        <f>IF(F407="","",INT(H407)-B407)</f>
        <v/>
      </c>
      <c r="K407">
        <f>IF(B407&gt;=Settings!$C$5,1,0)</f>
        <v/>
      </c>
    </row>
    <row r="408">
      <c r="A408" t="inlineStr">
        <is>
          <t>a2b45e7eaa7a1376c3fb1b13fd31620b</t>
        </is>
      </c>
      <c r="B408" s="29" t="n">
        <v>43168</v>
      </c>
      <c r="C408" t="inlineStr">
        <is>
          <t>2018-03</t>
        </is>
      </c>
      <c r="D408" t="inlineStr">
        <is>
          <t>b76ef37428e6799c421989521c0e5077</t>
        </is>
      </c>
      <c r="E408" t="inlineStr">
        <is>
          <t>unknown</t>
        </is>
      </c>
      <c r="F408">
        <f>IFERROR(MATCH(A408,Deals!$A$2:$A$843,0),"")</f>
        <v/>
      </c>
      <c r="G408">
        <f>IF(F408="",0,1)</f>
        <v/>
      </c>
      <c r="H408" s="29">
        <f>IF(F408="","",INDEX(Deals!$E$2:$E$843,F408))</f>
        <v/>
      </c>
      <c r="I408">
        <f>IF(F408="","",INDEX(Deals!$D$2:$D$843,F408))</f>
        <v/>
      </c>
      <c r="J408">
        <f>IF(F408="","",INT(H408)-B408)</f>
        <v/>
      </c>
      <c r="K408">
        <f>IF(B408&gt;=Settings!$C$5,1,0)</f>
        <v/>
      </c>
    </row>
    <row r="409">
      <c r="A409" t="inlineStr">
        <is>
          <t>e1b0f4a84e4310226c204b496b77bbe0</t>
        </is>
      </c>
      <c r="B409" s="29" t="n">
        <v>43236</v>
      </c>
      <c r="C409" t="inlineStr">
        <is>
          <t>2018-05</t>
        </is>
      </c>
      <c r="D409" t="inlineStr">
        <is>
          <t>6a110e795dd487f1cf8d7583671987af</t>
        </is>
      </c>
      <c r="E409" t="inlineStr">
        <is>
          <t>unknown</t>
        </is>
      </c>
      <c r="F409">
        <f>IFERROR(MATCH(A409,Deals!$A$2:$A$843,0),"")</f>
        <v/>
      </c>
      <c r="G409">
        <f>IF(F409="",0,1)</f>
        <v/>
      </c>
      <c r="H409" s="29">
        <f>IF(F409="","",INDEX(Deals!$E$2:$E$843,F409))</f>
        <v/>
      </c>
      <c r="I409">
        <f>IF(F409="","",INDEX(Deals!$D$2:$D$843,F409))</f>
        <v/>
      </c>
      <c r="J409">
        <f>IF(F409="","",INT(H409)-B409)</f>
        <v/>
      </c>
      <c r="K409">
        <f>IF(B409&gt;=Settings!$C$5,1,0)</f>
        <v/>
      </c>
    </row>
    <row r="410">
      <c r="A410" t="inlineStr">
        <is>
          <t>b055fc7de322786cd9ddc996cb6e72ff</t>
        </is>
      </c>
      <c r="B410" s="29" t="n">
        <v>43155</v>
      </c>
      <c r="C410" t="inlineStr">
        <is>
          <t>2018-02</t>
        </is>
      </c>
      <c r="D410" t="inlineStr">
        <is>
          <t>22c29808c4f815213303f8933030604c</t>
        </is>
      </c>
      <c r="E410" t="inlineStr">
        <is>
          <t>organic_search</t>
        </is>
      </c>
      <c r="F410">
        <f>IFERROR(MATCH(A410,Deals!$A$2:$A$843,0),"")</f>
        <v/>
      </c>
      <c r="G410">
        <f>IF(F410="",0,1)</f>
        <v/>
      </c>
      <c r="H410" s="29">
        <f>IF(F410="","",INDEX(Deals!$E$2:$E$843,F410))</f>
        <v/>
      </c>
      <c r="I410">
        <f>IF(F410="","",INDEX(Deals!$D$2:$D$843,F410))</f>
        <v/>
      </c>
      <c r="J410">
        <f>IF(F410="","",INT(H410)-B410)</f>
        <v/>
      </c>
      <c r="K410">
        <f>IF(B410&gt;=Settings!$C$5,1,0)</f>
        <v/>
      </c>
    </row>
    <row r="411">
      <c r="A411" t="inlineStr">
        <is>
          <t>10acafbe80055fee601cb0244efcb4ac</t>
        </is>
      </c>
      <c r="B411" s="29" t="n">
        <v>43248</v>
      </c>
      <c r="C411" t="inlineStr">
        <is>
          <t>2018-05</t>
        </is>
      </c>
      <c r="D411" t="inlineStr">
        <is>
          <t>4e82dd1f6d00626bda0723eef0a269a6</t>
        </is>
      </c>
      <c r="E411" t="inlineStr">
        <is>
          <t>organic_search</t>
        </is>
      </c>
      <c r="F411">
        <f>IFERROR(MATCH(A411,Deals!$A$2:$A$843,0),"")</f>
        <v/>
      </c>
      <c r="G411">
        <f>IF(F411="",0,1)</f>
        <v/>
      </c>
      <c r="H411" s="29">
        <f>IF(F411="","",INDEX(Deals!$E$2:$E$843,F411))</f>
        <v/>
      </c>
      <c r="I411">
        <f>IF(F411="","",INDEX(Deals!$D$2:$D$843,F411))</f>
        <v/>
      </c>
      <c r="J411">
        <f>IF(F411="","",INT(H411)-B411)</f>
        <v/>
      </c>
      <c r="K411">
        <f>IF(B411&gt;=Settings!$C$5,1,0)</f>
        <v/>
      </c>
    </row>
    <row r="412">
      <c r="A412" t="inlineStr">
        <is>
          <t>642d5e6a547f92f86e531984aac1aa95</t>
        </is>
      </c>
      <c r="B412" s="29" t="n">
        <v>43205</v>
      </c>
      <c r="C412" t="inlineStr">
        <is>
          <t>2018-04</t>
        </is>
      </c>
      <c r="D412" t="inlineStr">
        <is>
          <t>58326e62183c14b0c03085c33b9fdc44</t>
        </is>
      </c>
      <c r="E412" t="inlineStr">
        <is>
          <t>social</t>
        </is>
      </c>
      <c r="F412">
        <f>IFERROR(MATCH(A412,Deals!$A$2:$A$843,0),"")</f>
        <v/>
      </c>
      <c r="G412">
        <f>IF(F412="",0,1)</f>
        <v/>
      </c>
      <c r="H412" s="29">
        <f>IF(F412="","",INDEX(Deals!$E$2:$E$843,F412))</f>
        <v/>
      </c>
      <c r="I412">
        <f>IF(F412="","",INDEX(Deals!$D$2:$D$843,F412))</f>
        <v/>
      </c>
      <c r="J412">
        <f>IF(F412="","",INT(H412)-B412)</f>
        <v/>
      </c>
      <c r="K412">
        <f>IF(B412&gt;=Settings!$C$5,1,0)</f>
        <v/>
      </c>
    </row>
    <row r="413">
      <c r="A413" t="inlineStr">
        <is>
          <t>6f1ae1357113c65a43d47829739fe4be</t>
        </is>
      </c>
      <c r="B413" s="29" t="n">
        <v>43070</v>
      </c>
      <c r="C413" t="inlineStr">
        <is>
          <t>2017-12</t>
        </is>
      </c>
      <c r="D413" t="inlineStr">
        <is>
          <t>88740e65d5d6b056e0cda098e1ea6313</t>
        </is>
      </c>
      <c r="E413" t="inlineStr">
        <is>
          <t>social</t>
        </is>
      </c>
      <c r="F413">
        <f>IFERROR(MATCH(A413,Deals!$A$2:$A$843,0),"")</f>
        <v/>
      </c>
      <c r="G413">
        <f>IF(F413="",0,1)</f>
        <v/>
      </c>
      <c r="H413" s="29">
        <f>IF(F413="","",INDEX(Deals!$E$2:$E$843,F413))</f>
        <v/>
      </c>
      <c r="I413">
        <f>IF(F413="","",INDEX(Deals!$D$2:$D$843,F413))</f>
        <v/>
      </c>
      <c r="J413">
        <f>IF(F413="","",INT(H413)-B413)</f>
        <v/>
      </c>
      <c r="K413">
        <f>IF(B413&gt;=Settings!$C$5,1,0)</f>
        <v/>
      </c>
    </row>
    <row r="414">
      <c r="A414" t="inlineStr">
        <is>
          <t>f5b21c9f2784b783794b8c8a9f522d7e</t>
        </is>
      </c>
      <c r="B414" s="29" t="n">
        <v>43158</v>
      </c>
      <c r="C414" t="inlineStr">
        <is>
          <t>2018-02</t>
        </is>
      </c>
      <c r="D414" t="inlineStr">
        <is>
          <t>245b65531b938a173db059ad8f034482</t>
        </is>
      </c>
      <c r="E414" t="inlineStr">
        <is>
          <t>organic_search</t>
        </is>
      </c>
      <c r="F414">
        <f>IFERROR(MATCH(A414,Deals!$A$2:$A$843,0),"")</f>
        <v/>
      </c>
      <c r="G414">
        <f>IF(F414="",0,1)</f>
        <v/>
      </c>
      <c r="H414" s="29">
        <f>IF(F414="","",INDEX(Deals!$E$2:$E$843,F414))</f>
        <v/>
      </c>
      <c r="I414">
        <f>IF(F414="","",INDEX(Deals!$D$2:$D$843,F414))</f>
        <v/>
      </c>
      <c r="J414">
        <f>IF(F414="","",INT(H414)-B414)</f>
        <v/>
      </c>
      <c r="K414">
        <f>IF(B414&gt;=Settings!$C$5,1,0)</f>
        <v/>
      </c>
    </row>
    <row r="415">
      <c r="A415" t="inlineStr">
        <is>
          <t>1c232b7104ba423457cad015f7bb42c8</t>
        </is>
      </c>
      <c r="B415" s="29" t="n">
        <v>42986</v>
      </c>
      <c r="C415" t="inlineStr">
        <is>
          <t>2017-09</t>
        </is>
      </c>
      <c r="D415" t="inlineStr">
        <is>
          <t>214b0943d4ad794c4086cf7e38785ef2</t>
        </is>
      </c>
      <c r="E415" t="inlineStr">
        <is>
          <t>paid_search</t>
        </is>
      </c>
      <c r="F415">
        <f>IFERROR(MATCH(A415,Deals!$A$2:$A$843,0),"")</f>
        <v/>
      </c>
      <c r="G415">
        <f>IF(F415="",0,1)</f>
        <v/>
      </c>
      <c r="H415" s="29">
        <f>IF(F415="","",INDEX(Deals!$E$2:$E$843,F415))</f>
        <v/>
      </c>
      <c r="I415">
        <f>IF(F415="","",INDEX(Deals!$D$2:$D$843,F415))</f>
        <v/>
      </c>
      <c r="J415">
        <f>IF(F415="","",INT(H415)-B415)</f>
        <v/>
      </c>
      <c r="K415">
        <f>IF(B415&gt;=Settings!$C$5,1,0)</f>
        <v/>
      </c>
    </row>
    <row r="416">
      <c r="A416" t="inlineStr">
        <is>
          <t>dbda8f25d0b2e3b1d3712ac08963fadb</t>
        </is>
      </c>
      <c r="B416" s="29" t="n">
        <v>43222</v>
      </c>
      <c r="C416" t="inlineStr">
        <is>
          <t>2018-05</t>
        </is>
      </c>
      <c r="D416" t="inlineStr">
        <is>
          <t>f80696b73d17fb34f5c4fde157f119d8</t>
        </is>
      </c>
      <c r="E416" t="inlineStr">
        <is>
          <t>paid_search</t>
        </is>
      </c>
      <c r="F416">
        <f>IFERROR(MATCH(A416,Deals!$A$2:$A$843,0),"")</f>
        <v/>
      </c>
      <c r="G416">
        <f>IF(F416="",0,1)</f>
        <v/>
      </c>
      <c r="H416" s="29">
        <f>IF(F416="","",INDEX(Deals!$E$2:$E$843,F416))</f>
        <v/>
      </c>
      <c r="I416">
        <f>IF(F416="","",INDEX(Deals!$D$2:$D$843,F416))</f>
        <v/>
      </c>
      <c r="J416">
        <f>IF(F416="","",INT(H416)-B416)</f>
        <v/>
      </c>
      <c r="K416">
        <f>IF(B416&gt;=Settings!$C$5,1,0)</f>
        <v/>
      </c>
    </row>
    <row r="417">
      <c r="A417" t="inlineStr">
        <is>
          <t>8118a0ab4c07a91814ac5df70cbbaad5</t>
        </is>
      </c>
      <c r="B417" s="29" t="n">
        <v>43243</v>
      </c>
      <c r="C417" t="inlineStr">
        <is>
          <t>2018-05</t>
        </is>
      </c>
      <c r="D417" t="inlineStr">
        <is>
          <t>58326e62183c14b0c03085c33b9fdc44</t>
        </is>
      </c>
      <c r="E417" t="inlineStr">
        <is>
          <t>social</t>
        </is>
      </c>
      <c r="F417">
        <f>IFERROR(MATCH(A417,Deals!$A$2:$A$843,0),"")</f>
        <v/>
      </c>
      <c r="G417">
        <f>IF(F417="",0,1)</f>
        <v/>
      </c>
      <c r="H417" s="29">
        <f>IF(F417="","",INDEX(Deals!$E$2:$E$843,F417))</f>
        <v/>
      </c>
      <c r="I417">
        <f>IF(F417="","",INDEX(Deals!$D$2:$D$843,F417))</f>
        <v/>
      </c>
      <c r="J417">
        <f>IF(F417="","",INT(H417)-B417)</f>
        <v/>
      </c>
      <c r="K417">
        <f>IF(B417&gt;=Settings!$C$5,1,0)</f>
        <v/>
      </c>
    </row>
    <row r="418">
      <c r="A418" t="inlineStr">
        <is>
          <t>8267e42a188d644a113e0ef3e6e32020</t>
        </is>
      </c>
      <c r="B418" s="29" t="n">
        <v>43159</v>
      </c>
      <c r="C418" t="inlineStr">
        <is>
          <t>2018-02</t>
        </is>
      </c>
      <c r="D418" t="inlineStr">
        <is>
          <t>0b37d43dbde6452cdd94c17bf61a88e4</t>
        </is>
      </c>
      <c r="E418" t="inlineStr">
        <is>
          <t>organic_search</t>
        </is>
      </c>
      <c r="F418">
        <f>IFERROR(MATCH(A418,Deals!$A$2:$A$843,0),"")</f>
        <v/>
      </c>
      <c r="G418">
        <f>IF(F418="",0,1)</f>
        <v/>
      </c>
      <c r="H418" s="29">
        <f>IF(F418="","",INDEX(Deals!$E$2:$E$843,F418))</f>
        <v/>
      </c>
      <c r="I418">
        <f>IF(F418="","",INDEX(Deals!$D$2:$D$843,F418))</f>
        <v/>
      </c>
      <c r="J418">
        <f>IF(F418="","",INT(H418)-B418)</f>
        <v/>
      </c>
      <c r="K418">
        <f>IF(B418&gt;=Settings!$C$5,1,0)</f>
        <v/>
      </c>
    </row>
    <row r="419">
      <c r="A419" t="inlineStr">
        <is>
          <t>55e666f6c1d818430f1a5ddcca4ab724</t>
        </is>
      </c>
      <c r="B419" s="29" t="n">
        <v>43222</v>
      </c>
      <c r="C419" t="inlineStr">
        <is>
          <t>2018-05</t>
        </is>
      </c>
      <c r="D419" t="inlineStr">
        <is>
          <t>e42a14209c69c3e9cc6b042620465f12</t>
        </is>
      </c>
      <c r="E419" t="inlineStr">
        <is>
          <t>email</t>
        </is>
      </c>
      <c r="F419">
        <f>IFERROR(MATCH(A419,Deals!$A$2:$A$843,0),"")</f>
        <v/>
      </c>
      <c r="G419">
        <f>IF(F419="",0,1)</f>
        <v/>
      </c>
      <c r="H419" s="29">
        <f>IF(F419="","",INDEX(Deals!$E$2:$E$843,F419))</f>
        <v/>
      </c>
      <c r="I419">
        <f>IF(F419="","",INDEX(Deals!$D$2:$D$843,F419))</f>
        <v/>
      </c>
      <c r="J419">
        <f>IF(F419="","",INT(H419)-B419)</f>
        <v/>
      </c>
      <c r="K419">
        <f>IF(B419&gt;=Settings!$C$5,1,0)</f>
        <v/>
      </c>
    </row>
    <row r="420">
      <c r="A420" t="inlineStr">
        <is>
          <t>82034d7a5bdc3b8a2d2d08e9c9ab5c8c</t>
        </is>
      </c>
      <c r="B420" s="29" t="n">
        <v>43014</v>
      </c>
      <c r="C420" t="inlineStr">
        <is>
          <t>2017-10</t>
        </is>
      </c>
      <c r="D420" t="inlineStr">
        <is>
          <t>007f9098284a86ee80ddeb25d53e0af8</t>
        </is>
      </c>
      <c r="E420" t="inlineStr">
        <is>
          <t>paid_search</t>
        </is>
      </c>
      <c r="F420">
        <f>IFERROR(MATCH(A420,Deals!$A$2:$A$843,0),"")</f>
        <v/>
      </c>
      <c r="G420">
        <f>IF(F420="",0,1)</f>
        <v/>
      </c>
      <c r="H420" s="29">
        <f>IF(F420="","",INDEX(Deals!$E$2:$E$843,F420))</f>
        <v/>
      </c>
      <c r="I420">
        <f>IF(F420="","",INDEX(Deals!$D$2:$D$843,F420))</f>
        <v/>
      </c>
      <c r="J420">
        <f>IF(F420="","",INT(H420)-B420)</f>
        <v/>
      </c>
      <c r="K420">
        <f>IF(B420&gt;=Settings!$C$5,1,0)</f>
        <v/>
      </c>
    </row>
    <row r="421">
      <c r="A421" t="inlineStr">
        <is>
          <t>06eba2d012953dea388012e907110fc4</t>
        </is>
      </c>
      <c r="B421" s="29" t="n">
        <v>43010</v>
      </c>
      <c r="C421" t="inlineStr">
        <is>
          <t>2017-10</t>
        </is>
      </c>
      <c r="D421" t="inlineStr">
        <is>
          <t>22c29808c4f815213303f8933030604c</t>
        </is>
      </c>
      <c r="E421" t="inlineStr">
        <is>
          <t>organic_search</t>
        </is>
      </c>
      <c r="F421">
        <f>IFERROR(MATCH(A421,Deals!$A$2:$A$843,0),"")</f>
        <v/>
      </c>
      <c r="G421">
        <f>IF(F421="",0,1)</f>
        <v/>
      </c>
      <c r="H421" s="29">
        <f>IF(F421="","",INDEX(Deals!$E$2:$E$843,F421))</f>
        <v/>
      </c>
      <c r="I421">
        <f>IF(F421="","",INDEX(Deals!$D$2:$D$843,F421))</f>
        <v/>
      </c>
      <c r="J421">
        <f>IF(F421="","",INT(H421)-B421)</f>
        <v/>
      </c>
      <c r="K421">
        <f>IF(B421&gt;=Settings!$C$5,1,0)</f>
        <v/>
      </c>
    </row>
    <row r="422">
      <c r="A422" t="inlineStr">
        <is>
          <t>a8d2884db49e0769ad4a0b8dce2e143c</t>
        </is>
      </c>
      <c r="B422" s="29" t="n">
        <v>43160</v>
      </c>
      <c r="C422" t="inlineStr">
        <is>
          <t>2018-03</t>
        </is>
      </c>
      <c r="D422" t="inlineStr">
        <is>
          <t>b76ef37428e6799c421989521c0e5077</t>
        </is>
      </c>
      <c r="E422" t="inlineStr">
        <is>
          <t>unknown</t>
        </is>
      </c>
      <c r="F422">
        <f>IFERROR(MATCH(A422,Deals!$A$2:$A$843,0),"")</f>
        <v/>
      </c>
      <c r="G422">
        <f>IF(F422="",0,1)</f>
        <v/>
      </c>
      <c r="H422" s="29">
        <f>IF(F422="","",INDEX(Deals!$E$2:$E$843,F422))</f>
        <v/>
      </c>
      <c r="I422">
        <f>IF(F422="","",INDEX(Deals!$D$2:$D$843,F422))</f>
        <v/>
      </c>
      <c r="J422">
        <f>IF(F422="","",INT(H422)-B422)</f>
        <v/>
      </c>
      <c r="K422">
        <f>IF(B422&gt;=Settings!$C$5,1,0)</f>
        <v/>
      </c>
    </row>
    <row r="423">
      <c r="A423" t="inlineStr">
        <is>
          <t>d955b97b28c2966211c9de2fe22fefbd</t>
        </is>
      </c>
      <c r="B423" s="29" t="n">
        <v>43104</v>
      </c>
      <c r="C423" t="inlineStr">
        <is>
          <t>2018-01</t>
        </is>
      </c>
      <c r="D423" t="inlineStr">
        <is>
          <t>a0fbc0263cb98bdb0d72b9f9f283a172</t>
        </is>
      </c>
      <c r="E423" t="inlineStr">
        <is>
          <t>direct_traffic</t>
        </is>
      </c>
      <c r="F423">
        <f>IFERROR(MATCH(A423,Deals!$A$2:$A$843,0),"")</f>
        <v/>
      </c>
      <c r="G423">
        <f>IF(F423="",0,1)</f>
        <v/>
      </c>
      <c r="H423" s="29">
        <f>IF(F423="","",INDEX(Deals!$E$2:$E$843,F423))</f>
        <v/>
      </c>
      <c r="I423">
        <f>IF(F423="","",INDEX(Deals!$D$2:$D$843,F423))</f>
        <v/>
      </c>
      <c r="J423">
        <f>IF(F423="","",INT(H423)-B423)</f>
        <v/>
      </c>
      <c r="K423">
        <f>IF(B423&gt;=Settings!$C$5,1,0)</f>
        <v/>
      </c>
    </row>
    <row r="424">
      <c r="A424" t="inlineStr">
        <is>
          <t>8e7aec754122752b363723f8ea82b77d</t>
        </is>
      </c>
      <c r="B424" s="29" t="n">
        <v>43179</v>
      </c>
      <c r="C424" t="inlineStr">
        <is>
          <t>2018-03</t>
        </is>
      </c>
      <c r="D424" t="inlineStr">
        <is>
          <t>22c29808c4f815213303f8933030604c</t>
        </is>
      </c>
      <c r="E424" t="inlineStr">
        <is>
          <t>organic_search</t>
        </is>
      </c>
      <c r="F424">
        <f>IFERROR(MATCH(A424,Deals!$A$2:$A$843,0),"")</f>
        <v/>
      </c>
      <c r="G424">
        <f>IF(F424="",0,1)</f>
        <v/>
      </c>
      <c r="H424" s="29">
        <f>IF(F424="","",INDEX(Deals!$E$2:$E$843,F424))</f>
        <v/>
      </c>
      <c r="I424">
        <f>IF(F424="","",INDEX(Deals!$D$2:$D$843,F424))</f>
        <v/>
      </c>
      <c r="J424">
        <f>IF(F424="","",INT(H424)-B424)</f>
        <v/>
      </c>
      <c r="K424">
        <f>IF(B424&gt;=Settings!$C$5,1,0)</f>
        <v/>
      </c>
    </row>
    <row r="425">
      <c r="A425" t="inlineStr">
        <is>
          <t>29c5509d98ea56c71fcf591468c48f4f</t>
        </is>
      </c>
      <c r="B425" s="29" t="n">
        <v>42922</v>
      </c>
      <c r="C425" t="inlineStr">
        <is>
          <t>2017-07</t>
        </is>
      </c>
      <c r="D425" t="inlineStr">
        <is>
          <t>872eb32141128a5320bfe7b8cf80fc14</t>
        </is>
      </c>
      <c r="E425" t="inlineStr">
        <is>
          <t>organic_search</t>
        </is>
      </c>
      <c r="F425">
        <f>IFERROR(MATCH(A425,Deals!$A$2:$A$843,0),"")</f>
        <v/>
      </c>
      <c r="G425">
        <f>IF(F425="",0,1)</f>
        <v/>
      </c>
      <c r="H425" s="29">
        <f>IF(F425="","",INDEX(Deals!$E$2:$E$843,F425))</f>
        <v/>
      </c>
      <c r="I425">
        <f>IF(F425="","",INDEX(Deals!$D$2:$D$843,F425))</f>
        <v/>
      </c>
      <c r="J425">
        <f>IF(F425="","",INT(H425)-B425)</f>
        <v/>
      </c>
      <c r="K425">
        <f>IF(B425&gt;=Settings!$C$5,1,0)</f>
        <v/>
      </c>
    </row>
    <row r="426">
      <c r="A426" t="inlineStr">
        <is>
          <t>2ddf61febb5ca292e2da638ac260b10e</t>
        </is>
      </c>
      <c r="B426" s="29" t="n">
        <v>43175</v>
      </c>
      <c r="C426" t="inlineStr">
        <is>
          <t>2018-03</t>
        </is>
      </c>
      <c r="D426" t="inlineStr">
        <is>
          <t>e492ee5eaf1697716985cc6f33f9cd9b</t>
        </is>
      </c>
      <c r="E426" t="inlineStr">
        <is>
          <t>organic_search</t>
        </is>
      </c>
      <c r="F426">
        <f>IFERROR(MATCH(A426,Deals!$A$2:$A$843,0),"")</f>
        <v/>
      </c>
      <c r="G426">
        <f>IF(F426="",0,1)</f>
        <v/>
      </c>
      <c r="H426" s="29">
        <f>IF(F426="","",INDEX(Deals!$E$2:$E$843,F426))</f>
        <v/>
      </c>
      <c r="I426">
        <f>IF(F426="","",INDEX(Deals!$D$2:$D$843,F426))</f>
        <v/>
      </c>
      <c r="J426">
        <f>IF(F426="","",INT(H426)-B426)</f>
        <v/>
      </c>
      <c r="K426">
        <f>IF(B426&gt;=Settings!$C$5,1,0)</f>
        <v/>
      </c>
    </row>
    <row r="427">
      <c r="A427" t="inlineStr">
        <is>
          <t>0e99e5c4db845c8325ab6f2aa9f3278d</t>
        </is>
      </c>
      <c r="B427" s="29" t="n">
        <v>43199</v>
      </c>
      <c r="C427" t="inlineStr">
        <is>
          <t>2018-04</t>
        </is>
      </c>
      <c r="D427" t="inlineStr">
        <is>
          <t>57d5edb1844a746128fd1274524b94c7</t>
        </is>
      </c>
      <c r="E427" t="inlineStr">
        <is>
          <t>social</t>
        </is>
      </c>
      <c r="F427">
        <f>IFERROR(MATCH(A427,Deals!$A$2:$A$843,0),"")</f>
        <v/>
      </c>
      <c r="G427">
        <f>IF(F427="",0,1)</f>
        <v/>
      </c>
      <c r="H427" s="29">
        <f>IF(F427="","",INDEX(Deals!$E$2:$E$843,F427))</f>
        <v/>
      </c>
      <c r="I427">
        <f>IF(F427="","",INDEX(Deals!$D$2:$D$843,F427))</f>
        <v/>
      </c>
      <c r="J427">
        <f>IF(F427="","",INT(H427)-B427)</f>
        <v/>
      </c>
      <c r="K427">
        <f>IF(B427&gt;=Settings!$C$5,1,0)</f>
        <v/>
      </c>
    </row>
    <row r="428">
      <c r="A428" t="inlineStr">
        <is>
          <t>3498327ae8564a1191c4243b38616bf7</t>
        </is>
      </c>
      <c r="B428" s="29" t="n">
        <v>43238</v>
      </c>
      <c r="C428" t="inlineStr">
        <is>
          <t>2018-05</t>
        </is>
      </c>
      <c r="D428" t="inlineStr">
        <is>
          <t>1ceb590cd1e00c7ee95220971f82693d</t>
        </is>
      </c>
      <c r="E428" t="inlineStr">
        <is>
          <t>paid_search</t>
        </is>
      </c>
      <c r="F428">
        <f>IFERROR(MATCH(A428,Deals!$A$2:$A$843,0),"")</f>
        <v/>
      </c>
      <c r="G428">
        <f>IF(F428="",0,1)</f>
        <v/>
      </c>
      <c r="H428" s="29">
        <f>IF(F428="","",INDEX(Deals!$E$2:$E$843,F428))</f>
        <v/>
      </c>
      <c r="I428">
        <f>IF(F428="","",INDEX(Deals!$D$2:$D$843,F428))</f>
        <v/>
      </c>
      <c r="J428">
        <f>IF(F428="","",INT(H428)-B428)</f>
        <v/>
      </c>
      <c r="K428">
        <f>IF(B428&gt;=Settings!$C$5,1,0)</f>
        <v/>
      </c>
    </row>
    <row r="429">
      <c r="A429" t="inlineStr">
        <is>
          <t>86800fe41915de0ec2b86fe688662acd</t>
        </is>
      </c>
      <c r="B429" s="29" t="n">
        <v>43110</v>
      </c>
      <c r="C429" t="inlineStr">
        <is>
          <t>2018-01</t>
        </is>
      </c>
      <c r="D429" t="inlineStr">
        <is>
          <t>58f8c0a253663304e348e81298bc255e</t>
        </is>
      </c>
      <c r="E429" t="inlineStr">
        <is>
          <t>paid_search</t>
        </is>
      </c>
      <c r="F429">
        <f>IFERROR(MATCH(A429,Deals!$A$2:$A$843,0),"")</f>
        <v/>
      </c>
      <c r="G429">
        <f>IF(F429="",0,1)</f>
        <v/>
      </c>
      <c r="H429" s="29">
        <f>IF(F429="","",INDEX(Deals!$E$2:$E$843,F429))</f>
        <v/>
      </c>
      <c r="I429">
        <f>IF(F429="","",INDEX(Deals!$D$2:$D$843,F429))</f>
        <v/>
      </c>
      <c r="J429">
        <f>IF(F429="","",INT(H429)-B429)</f>
        <v/>
      </c>
      <c r="K429">
        <f>IF(B429&gt;=Settings!$C$5,1,0)</f>
        <v/>
      </c>
    </row>
    <row r="430">
      <c r="A430" t="inlineStr">
        <is>
          <t>4dad26de916a6570f06503163a4ab660</t>
        </is>
      </c>
      <c r="B430" s="29" t="n">
        <v>43157</v>
      </c>
      <c r="C430" t="inlineStr">
        <is>
          <t>2018-02</t>
        </is>
      </c>
      <c r="D430" t="inlineStr">
        <is>
          <t>3a21003b9294a4eec831bac080494843</t>
        </is>
      </c>
      <c r="E430" t="inlineStr">
        <is>
          <t>organic_search</t>
        </is>
      </c>
      <c r="F430">
        <f>IFERROR(MATCH(A430,Deals!$A$2:$A$843,0),"")</f>
        <v/>
      </c>
      <c r="G430">
        <f>IF(F430="",0,1)</f>
        <v/>
      </c>
      <c r="H430" s="29">
        <f>IF(F430="","",INDEX(Deals!$E$2:$E$843,F430))</f>
        <v/>
      </c>
      <c r="I430">
        <f>IF(F430="","",INDEX(Deals!$D$2:$D$843,F430))</f>
        <v/>
      </c>
      <c r="J430">
        <f>IF(F430="","",INT(H430)-B430)</f>
        <v/>
      </c>
      <c r="K430">
        <f>IF(B430&gt;=Settings!$C$5,1,0)</f>
        <v/>
      </c>
    </row>
    <row r="431">
      <c r="A431" t="inlineStr">
        <is>
          <t>21cdf688f400d856a6f3a37f87db1eae</t>
        </is>
      </c>
      <c r="B431" s="29" t="n">
        <v>43139</v>
      </c>
      <c r="C431" t="inlineStr">
        <is>
          <t>2018-02</t>
        </is>
      </c>
      <c r="D431" t="inlineStr">
        <is>
          <t>15cf89bab2c3163b4f9d8601d108f8b2</t>
        </is>
      </c>
      <c r="E431" t="inlineStr">
        <is>
          <t>direct_traffic</t>
        </is>
      </c>
      <c r="F431">
        <f>IFERROR(MATCH(A431,Deals!$A$2:$A$843,0),"")</f>
        <v/>
      </c>
      <c r="G431">
        <f>IF(F431="",0,1)</f>
        <v/>
      </c>
      <c r="H431" s="29">
        <f>IF(F431="","",INDEX(Deals!$E$2:$E$843,F431))</f>
        <v/>
      </c>
      <c r="I431">
        <f>IF(F431="","",INDEX(Deals!$D$2:$D$843,F431))</f>
        <v/>
      </c>
      <c r="J431">
        <f>IF(F431="","",INT(H431)-B431)</f>
        <v/>
      </c>
      <c r="K431">
        <f>IF(B431&gt;=Settings!$C$5,1,0)</f>
        <v/>
      </c>
    </row>
    <row r="432">
      <c r="A432" t="inlineStr">
        <is>
          <t>d38446cc4f5c0bef25d2270f9db29985</t>
        </is>
      </c>
      <c r="B432" s="29" t="n">
        <v>42989</v>
      </c>
      <c r="C432" t="inlineStr">
        <is>
          <t>2017-09</t>
        </is>
      </c>
      <c r="D432" t="inlineStr">
        <is>
          <t>e0d33c8fbfd9fe342f3449b6391b7edc</t>
        </is>
      </c>
      <c r="E432" t="inlineStr">
        <is>
          <t>other</t>
        </is>
      </c>
      <c r="F432">
        <f>IFERROR(MATCH(A432,Deals!$A$2:$A$843,0),"")</f>
        <v/>
      </c>
      <c r="G432">
        <f>IF(F432="",0,1)</f>
        <v/>
      </c>
      <c r="H432" s="29">
        <f>IF(F432="","",INDEX(Deals!$E$2:$E$843,F432))</f>
        <v/>
      </c>
      <c r="I432">
        <f>IF(F432="","",INDEX(Deals!$D$2:$D$843,F432))</f>
        <v/>
      </c>
      <c r="J432">
        <f>IF(F432="","",INT(H432)-B432)</f>
        <v/>
      </c>
      <c r="K432">
        <f>IF(B432&gt;=Settings!$C$5,1,0)</f>
        <v/>
      </c>
    </row>
    <row r="433">
      <c r="A433" t="inlineStr">
        <is>
          <t>56d271e961fd402f9b0fee53fbaa9ee9</t>
        </is>
      </c>
      <c r="B433" s="29" t="n">
        <v>43117</v>
      </c>
      <c r="C433" t="inlineStr">
        <is>
          <t>2018-01</t>
        </is>
      </c>
      <c r="D433" t="inlineStr">
        <is>
          <t>b76ef37428e6799c421989521c0e5077</t>
        </is>
      </c>
      <c r="E433" t="inlineStr">
        <is>
          <t>organic_search</t>
        </is>
      </c>
      <c r="F433">
        <f>IFERROR(MATCH(A433,Deals!$A$2:$A$843,0),"")</f>
        <v/>
      </c>
      <c r="G433">
        <f>IF(F433="",0,1)</f>
        <v/>
      </c>
      <c r="H433" s="29">
        <f>IF(F433="","",INDEX(Deals!$E$2:$E$843,F433))</f>
        <v/>
      </c>
      <c r="I433">
        <f>IF(F433="","",INDEX(Deals!$D$2:$D$843,F433))</f>
        <v/>
      </c>
      <c r="J433">
        <f>IF(F433="","",INT(H433)-B433)</f>
        <v/>
      </c>
      <c r="K433">
        <f>IF(B433&gt;=Settings!$C$5,1,0)</f>
        <v/>
      </c>
    </row>
    <row r="434">
      <c r="A434" t="inlineStr">
        <is>
          <t>5f783681c04fe0eca6ff5bb7838f1107</t>
        </is>
      </c>
      <c r="B434" s="29" t="n">
        <v>43148</v>
      </c>
      <c r="C434" t="inlineStr">
        <is>
          <t>2018-02</t>
        </is>
      </c>
      <c r="D434" t="inlineStr">
        <is>
          <t>88740e65d5d6b056e0cda098e1ea6313</t>
        </is>
      </c>
      <c r="E434" t="inlineStr">
        <is>
          <t>social</t>
        </is>
      </c>
      <c r="F434">
        <f>IFERROR(MATCH(A434,Deals!$A$2:$A$843,0),"")</f>
        <v/>
      </c>
      <c r="G434">
        <f>IF(F434="",0,1)</f>
        <v/>
      </c>
      <c r="H434" s="29">
        <f>IF(F434="","",INDEX(Deals!$E$2:$E$843,F434))</f>
        <v/>
      </c>
      <c r="I434">
        <f>IF(F434="","",INDEX(Deals!$D$2:$D$843,F434))</f>
        <v/>
      </c>
      <c r="J434">
        <f>IF(F434="","",INT(H434)-B434)</f>
        <v/>
      </c>
      <c r="K434">
        <f>IF(B434&gt;=Settings!$C$5,1,0)</f>
        <v/>
      </c>
    </row>
    <row r="435">
      <c r="A435" t="inlineStr">
        <is>
          <t>1d7cc0f1d0b54eac3609c5222246595b</t>
        </is>
      </c>
      <c r="B435" s="29" t="n">
        <v>43116</v>
      </c>
      <c r="C435" t="inlineStr">
        <is>
          <t>2018-01</t>
        </is>
      </c>
      <c r="D435" t="inlineStr">
        <is>
          <t>b76ef37428e6799c421989521c0e5077</t>
        </is>
      </c>
      <c r="E435" t="inlineStr">
        <is>
          <t>unknown</t>
        </is>
      </c>
      <c r="F435">
        <f>IFERROR(MATCH(A435,Deals!$A$2:$A$843,0),"")</f>
        <v/>
      </c>
      <c r="G435">
        <f>IF(F435="",0,1)</f>
        <v/>
      </c>
      <c r="H435" s="29">
        <f>IF(F435="","",INDEX(Deals!$E$2:$E$843,F435))</f>
        <v/>
      </c>
      <c r="I435">
        <f>IF(F435="","",INDEX(Deals!$D$2:$D$843,F435))</f>
        <v/>
      </c>
      <c r="J435">
        <f>IF(F435="","",INT(H435)-B435)</f>
        <v/>
      </c>
      <c r="K435">
        <f>IF(B435&gt;=Settings!$C$5,1,0)</f>
        <v/>
      </c>
    </row>
    <row r="436">
      <c r="A436" t="inlineStr">
        <is>
          <t>0bbad026ecced8f94b4e8c04ef16f62d</t>
        </is>
      </c>
      <c r="B436" s="29" t="n">
        <v>43052</v>
      </c>
      <c r="C436" t="inlineStr">
        <is>
          <t>2017-11</t>
        </is>
      </c>
      <c r="D436" t="inlineStr">
        <is>
          <t>fd660f5d9a62d444c76191307b3a0514</t>
        </is>
      </c>
      <c r="E436" t="inlineStr">
        <is>
          <t>email</t>
        </is>
      </c>
      <c r="F436">
        <f>IFERROR(MATCH(A436,Deals!$A$2:$A$843,0),"")</f>
        <v/>
      </c>
      <c r="G436">
        <f>IF(F436="",0,1)</f>
        <v/>
      </c>
      <c r="H436" s="29">
        <f>IF(F436="","",INDEX(Deals!$E$2:$E$843,F436))</f>
        <v/>
      </c>
      <c r="I436">
        <f>IF(F436="","",INDEX(Deals!$D$2:$D$843,F436))</f>
        <v/>
      </c>
      <c r="J436">
        <f>IF(F436="","",INT(H436)-B436)</f>
        <v/>
      </c>
      <c r="K436">
        <f>IF(B436&gt;=Settings!$C$5,1,0)</f>
        <v/>
      </c>
    </row>
    <row r="437">
      <c r="A437" t="inlineStr">
        <is>
          <t>69a00482c2cdb3143b81404c6258f316</t>
        </is>
      </c>
      <c r="B437" s="29" t="n">
        <v>42977</v>
      </c>
      <c r="C437" t="inlineStr">
        <is>
          <t>2017-08</t>
        </is>
      </c>
      <c r="D437" t="inlineStr">
        <is>
          <t>22c29808c4f815213303f8933030604c</t>
        </is>
      </c>
      <c r="E437" t="inlineStr">
        <is>
          <t>unknown</t>
        </is>
      </c>
      <c r="F437">
        <f>IFERROR(MATCH(A437,Deals!$A$2:$A$843,0),"")</f>
        <v/>
      </c>
      <c r="G437">
        <f>IF(F437="",0,1)</f>
        <v/>
      </c>
      <c r="H437" s="29">
        <f>IF(F437="","",INDEX(Deals!$E$2:$E$843,F437))</f>
        <v/>
      </c>
      <c r="I437">
        <f>IF(F437="","",INDEX(Deals!$D$2:$D$843,F437))</f>
        <v/>
      </c>
      <c r="J437">
        <f>IF(F437="","",INT(H437)-B437)</f>
        <v/>
      </c>
      <c r="K437">
        <f>IF(B437&gt;=Settings!$C$5,1,0)</f>
        <v/>
      </c>
    </row>
    <row r="438">
      <c r="A438" t="inlineStr">
        <is>
          <t>7148b36cd53dca251b2311494f5732af</t>
        </is>
      </c>
      <c r="B438" s="29" t="n">
        <v>43107</v>
      </c>
      <c r="C438" t="inlineStr">
        <is>
          <t>2018-01</t>
        </is>
      </c>
      <c r="D438" t="inlineStr">
        <is>
          <t>b6cd08ac77c501fd6857f7916d2c24f3</t>
        </is>
      </c>
      <c r="E438" t="inlineStr">
        <is>
          <t>organic_search</t>
        </is>
      </c>
      <c r="F438">
        <f>IFERROR(MATCH(A438,Deals!$A$2:$A$843,0),"")</f>
        <v/>
      </c>
      <c r="G438">
        <f>IF(F438="",0,1)</f>
        <v/>
      </c>
      <c r="H438" s="29">
        <f>IF(F438="","",INDEX(Deals!$E$2:$E$843,F438))</f>
        <v/>
      </c>
      <c r="I438">
        <f>IF(F438="","",INDEX(Deals!$D$2:$D$843,F438))</f>
        <v/>
      </c>
      <c r="J438">
        <f>IF(F438="","",INT(H438)-B438)</f>
        <v/>
      </c>
      <c r="K438">
        <f>IF(B438&gt;=Settings!$C$5,1,0)</f>
        <v/>
      </c>
    </row>
    <row r="439">
      <c r="A439" t="inlineStr">
        <is>
          <t>77529156285dd3c81748b9da3671a9a1</t>
        </is>
      </c>
      <c r="B439" s="29" t="n">
        <v>43010</v>
      </c>
      <c r="C439" t="inlineStr">
        <is>
          <t>2017-10</t>
        </is>
      </c>
      <c r="D439" t="inlineStr">
        <is>
          <t>1722481ac9e5371e5099dea226b5421d</t>
        </is>
      </c>
      <c r="E439" t="inlineStr">
        <is>
          <t>paid_search</t>
        </is>
      </c>
      <c r="F439">
        <f>IFERROR(MATCH(A439,Deals!$A$2:$A$843,0),"")</f>
        <v/>
      </c>
      <c r="G439">
        <f>IF(F439="",0,1)</f>
        <v/>
      </c>
      <c r="H439" s="29">
        <f>IF(F439="","",INDEX(Deals!$E$2:$E$843,F439))</f>
        <v/>
      </c>
      <c r="I439">
        <f>IF(F439="","",INDEX(Deals!$D$2:$D$843,F439))</f>
        <v/>
      </c>
      <c r="J439">
        <f>IF(F439="","",INT(H439)-B439)</f>
        <v/>
      </c>
      <c r="K439">
        <f>IF(B439&gt;=Settings!$C$5,1,0)</f>
        <v/>
      </c>
    </row>
    <row r="440">
      <c r="A440" t="inlineStr">
        <is>
          <t>4c219c46862037687b97c645d0eee717</t>
        </is>
      </c>
      <c r="B440" s="29" t="n">
        <v>42948</v>
      </c>
      <c r="C440" t="inlineStr">
        <is>
          <t>2017-08</t>
        </is>
      </c>
      <c r="D440" t="inlineStr">
        <is>
          <t>3cd2a8301d5395f21cdd3094c9eaa2f4</t>
        </is>
      </c>
      <c r="E440" t="inlineStr">
        <is>
          <t>paid_search</t>
        </is>
      </c>
      <c r="F440">
        <f>IFERROR(MATCH(A440,Deals!$A$2:$A$843,0),"")</f>
        <v/>
      </c>
      <c r="G440">
        <f>IF(F440="",0,1)</f>
        <v/>
      </c>
      <c r="H440" s="29">
        <f>IF(F440="","",INDEX(Deals!$E$2:$E$843,F440))</f>
        <v/>
      </c>
      <c r="I440">
        <f>IF(F440="","",INDEX(Deals!$D$2:$D$843,F440))</f>
        <v/>
      </c>
      <c r="J440">
        <f>IF(F440="","",INT(H440)-B440)</f>
        <v/>
      </c>
      <c r="K440">
        <f>IF(B440&gt;=Settings!$C$5,1,0)</f>
        <v/>
      </c>
    </row>
    <row r="441">
      <c r="A441" t="inlineStr">
        <is>
          <t>b012acb72edd7cfd750f75dfc2e37d7f</t>
        </is>
      </c>
      <c r="B441" s="29" t="n">
        <v>43221</v>
      </c>
      <c r="C441" t="inlineStr">
        <is>
          <t>2018-05</t>
        </is>
      </c>
      <c r="D441" t="inlineStr">
        <is>
          <t>30534107aa0013db92899c96a1017d0b</t>
        </is>
      </c>
      <c r="E441" t="inlineStr">
        <is>
          <t>social</t>
        </is>
      </c>
      <c r="F441">
        <f>IFERROR(MATCH(A441,Deals!$A$2:$A$843,0),"")</f>
        <v/>
      </c>
      <c r="G441">
        <f>IF(F441="",0,1)</f>
        <v/>
      </c>
      <c r="H441" s="29">
        <f>IF(F441="","",INDEX(Deals!$E$2:$E$843,F441))</f>
        <v/>
      </c>
      <c r="I441">
        <f>IF(F441="","",INDEX(Deals!$D$2:$D$843,F441))</f>
        <v/>
      </c>
      <c r="J441">
        <f>IF(F441="","",INT(H441)-B441)</f>
        <v/>
      </c>
      <c r="K441">
        <f>IF(B441&gt;=Settings!$C$5,1,0)</f>
        <v/>
      </c>
    </row>
    <row r="442">
      <c r="A442" t="inlineStr">
        <is>
          <t>9c135cab8c2f1452503440db201a9d61</t>
        </is>
      </c>
      <c r="B442" s="29" t="n">
        <v>43172</v>
      </c>
      <c r="C442" t="inlineStr">
        <is>
          <t>2018-03</t>
        </is>
      </c>
      <c r="D442" t="inlineStr">
        <is>
          <t>b76ef37428e6799c421989521c0e5077</t>
        </is>
      </c>
      <c r="E442" t="inlineStr">
        <is>
          <t>organic_search</t>
        </is>
      </c>
      <c r="F442">
        <f>IFERROR(MATCH(A442,Deals!$A$2:$A$843,0),"")</f>
        <v/>
      </c>
      <c r="G442">
        <f>IF(F442="",0,1)</f>
        <v/>
      </c>
      <c r="H442" s="29">
        <f>IF(F442="","",INDEX(Deals!$E$2:$E$843,F442))</f>
        <v/>
      </c>
      <c r="I442">
        <f>IF(F442="","",INDEX(Deals!$D$2:$D$843,F442))</f>
        <v/>
      </c>
      <c r="J442">
        <f>IF(F442="","",INT(H442)-B442)</f>
        <v/>
      </c>
      <c r="K442">
        <f>IF(B442&gt;=Settings!$C$5,1,0)</f>
        <v/>
      </c>
    </row>
    <row r="443">
      <c r="A443" t="inlineStr">
        <is>
          <t>177e32c9135cbd89ce90cb7cebf0270c</t>
        </is>
      </c>
      <c r="B443" s="29" t="n">
        <v>43131</v>
      </c>
      <c r="C443" t="inlineStr">
        <is>
          <t>2018-01</t>
        </is>
      </c>
      <c r="D443" t="inlineStr">
        <is>
          <t>15cf89bab2c3163b4f9d8601d108f8b2</t>
        </is>
      </c>
      <c r="E443" t="inlineStr">
        <is>
          <t>email</t>
        </is>
      </c>
      <c r="F443">
        <f>IFERROR(MATCH(A443,Deals!$A$2:$A$843,0),"")</f>
        <v/>
      </c>
      <c r="G443">
        <f>IF(F443="",0,1)</f>
        <v/>
      </c>
      <c r="H443" s="29">
        <f>IF(F443="","",INDEX(Deals!$E$2:$E$843,F443))</f>
        <v/>
      </c>
      <c r="I443">
        <f>IF(F443="","",INDEX(Deals!$D$2:$D$843,F443))</f>
        <v/>
      </c>
      <c r="J443">
        <f>IF(F443="","",INT(H443)-B443)</f>
        <v/>
      </c>
      <c r="K443">
        <f>IF(B443&gt;=Settings!$C$5,1,0)</f>
        <v/>
      </c>
    </row>
    <row r="444">
      <c r="A444" t="inlineStr">
        <is>
          <t>e05641a720572ccd068ba6a8ef9ff632</t>
        </is>
      </c>
      <c r="B444" s="29" t="n">
        <v>43167</v>
      </c>
      <c r="C444" t="inlineStr">
        <is>
          <t>2018-03</t>
        </is>
      </c>
      <c r="D444" t="inlineStr">
        <is>
          <t>ce1a65abd0973638f1c887a6efcfa82d</t>
        </is>
      </c>
      <c r="E444" t="inlineStr">
        <is>
          <t>direct_traffic</t>
        </is>
      </c>
      <c r="F444">
        <f>IFERROR(MATCH(A444,Deals!$A$2:$A$843,0),"")</f>
        <v/>
      </c>
      <c r="G444">
        <f>IF(F444="",0,1)</f>
        <v/>
      </c>
      <c r="H444" s="29">
        <f>IF(F444="","",INDEX(Deals!$E$2:$E$843,F444))</f>
        <v/>
      </c>
      <c r="I444">
        <f>IF(F444="","",INDEX(Deals!$D$2:$D$843,F444))</f>
        <v/>
      </c>
      <c r="J444">
        <f>IF(F444="","",INT(H444)-B444)</f>
        <v/>
      </c>
      <c r="K444">
        <f>IF(B444&gt;=Settings!$C$5,1,0)</f>
        <v/>
      </c>
    </row>
    <row r="445">
      <c r="A445" t="inlineStr">
        <is>
          <t>47ebca2644fd2a35105cb3ab82a1d297</t>
        </is>
      </c>
      <c r="B445" s="29" t="n">
        <v>43208</v>
      </c>
      <c r="C445" t="inlineStr">
        <is>
          <t>2018-04</t>
        </is>
      </c>
      <c r="D445" t="inlineStr">
        <is>
          <t>358adb2fee9a122549618e46925a00a5</t>
        </is>
      </c>
      <c r="E445" t="inlineStr">
        <is>
          <t>other</t>
        </is>
      </c>
      <c r="F445">
        <f>IFERROR(MATCH(A445,Deals!$A$2:$A$843,0),"")</f>
        <v/>
      </c>
      <c r="G445">
        <f>IF(F445="",0,1)</f>
        <v/>
      </c>
      <c r="H445" s="29">
        <f>IF(F445="","",INDEX(Deals!$E$2:$E$843,F445))</f>
        <v/>
      </c>
      <c r="I445">
        <f>IF(F445="","",INDEX(Deals!$D$2:$D$843,F445))</f>
        <v/>
      </c>
      <c r="J445">
        <f>IF(F445="","",INT(H445)-B445)</f>
        <v/>
      </c>
      <c r="K445">
        <f>IF(B445&gt;=Settings!$C$5,1,0)</f>
        <v/>
      </c>
    </row>
    <row r="446">
      <c r="A446" t="inlineStr">
        <is>
          <t>4bad5bff81a6c882200496950260a6e1</t>
        </is>
      </c>
      <c r="B446" s="29" t="n">
        <v>43157</v>
      </c>
      <c r="C446" t="inlineStr">
        <is>
          <t>2018-02</t>
        </is>
      </c>
      <c r="D446" t="inlineStr">
        <is>
          <t>0e5a178e3cd2368607f3e72f46140476</t>
        </is>
      </c>
      <c r="E446" t="inlineStr">
        <is>
          <t>email</t>
        </is>
      </c>
      <c r="F446">
        <f>IFERROR(MATCH(A446,Deals!$A$2:$A$843,0),"")</f>
        <v/>
      </c>
      <c r="G446">
        <f>IF(F446="",0,1)</f>
        <v/>
      </c>
      <c r="H446" s="29">
        <f>IF(F446="","",INDEX(Deals!$E$2:$E$843,F446))</f>
        <v/>
      </c>
      <c r="I446">
        <f>IF(F446="","",INDEX(Deals!$D$2:$D$843,F446))</f>
        <v/>
      </c>
      <c r="J446">
        <f>IF(F446="","",INT(H446)-B446)</f>
        <v/>
      </c>
      <c r="K446">
        <f>IF(B446&gt;=Settings!$C$5,1,0)</f>
        <v/>
      </c>
    </row>
    <row r="447">
      <c r="A447" t="inlineStr">
        <is>
          <t>13664bf071fb4c82a02b57d546b8a90e</t>
        </is>
      </c>
      <c r="B447" s="29" t="n">
        <v>43185</v>
      </c>
      <c r="C447" t="inlineStr">
        <is>
          <t>2018-03</t>
        </is>
      </c>
      <c r="D447" t="inlineStr">
        <is>
          <t>58326e62183c14b0c03085c33b9fdc44</t>
        </is>
      </c>
      <c r="E447" t="inlineStr">
        <is>
          <t>direct_traffic</t>
        </is>
      </c>
      <c r="F447">
        <f>IFERROR(MATCH(A447,Deals!$A$2:$A$843,0),"")</f>
        <v/>
      </c>
      <c r="G447">
        <f>IF(F447="",0,1)</f>
        <v/>
      </c>
      <c r="H447" s="29">
        <f>IF(F447="","",INDEX(Deals!$E$2:$E$843,F447))</f>
        <v/>
      </c>
      <c r="I447">
        <f>IF(F447="","",INDEX(Deals!$D$2:$D$843,F447))</f>
        <v/>
      </c>
      <c r="J447">
        <f>IF(F447="","",INT(H447)-B447)</f>
        <v/>
      </c>
      <c r="K447">
        <f>IF(B447&gt;=Settings!$C$5,1,0)</f>
        <v/>
      </c>
    </row>
    <row r="448">
      <c r="A448" t="inlineStr">
        <is>
          <t>e39c7820c3f76ef8ad4854ee4e2342c6</t>
        </is>
      </c>
      <c r="B448" s="29" t="n">
        <v>43214</v>
      </c>
      <c r="C448" t="inlineStr">
        <is>
          <t>2018-04</t>
        </is>
      </c>
      <c r="D448" t="inlineStr">
        <is>
          <t>58326e62183c14b0c03085c33b9fdc44</t>
        </is>
      </c>
      <c r="E448" t="inlineStr">
        <is>
          <t>social</t>
        </is>
      </c>
      <c r="F448">
        <f>IFERROR(MATCH(A448,Deals!$A$2:$A$843,0),"")</f>
        <v/>
      </c>
      <c r="G448">
        <f>IF(F448="",0,1)</f>
        <v/>
      </c>
      <c r="H448" s="29">
        <f>IF(F448="","",INDEX(Deals!$E$2:$E$843,F448))</f>
        <v/>
      </c>
      <c r="I448">
        <f>IF(F448="","",INDEX(Deals!$D$2:$D$843,F448))</f>
        <v/>
      </c>
      <c r="J448">
        <f>IF(F448="","",INT(H448)-B448)</f>
        <v/>
      </c>
      <c r="K448">
        <f>IF(B448&gt;=Settings!$C$5,1,0)</f>
        <v/>
      </c>
    </row>
    <row r="449">
      <c r="A449" t="inlineStr">
        <is>
          <t>82513eee71dec51bc9af7c445ed3add5</t>
        </is>
      </c>
      <c r="B449" s="29" t="n">
        <v>43243</v>
      </c>
      <c r="C449" t="inlineStr">
        <is>
          <t>2018-05</t>
        </is>
      </c>
      <c r="D449" t="inlineStr">
        <is>
          <t>a7982125ff7aa3b2054c6e44f9d28522</t>
        </is>
      </c>
      <c r="E449" t="inlineStr">
        <is>
          <t>organic_search</t>
        </is>
      </c>
      <c r="F449">
        <f>IFERROR(MATCH(A449,Deals!$A$2:$A$843,0),"")</f>
        <v/>
      </c>
      <c r="G449">
        <f>IF(F449="",0,1)</f>
        <v/>
      </c>
      <c r="H449" s="29">
        <f>IF(F449="","",INDEX(Deals!$E$2:$E$843,F449))</f>
        <v/>
      </c>
      <c r="I449">
        <f>IF(F449="","",INDEX(Deals!$D$2:$D$843,F449))</f>
        <v/>
      </c>
      <c r="J449">
        <f>IF(F449="","",INT(H449)-B449)</f>
        <v/>
      </c>
      <c r="K449">
        <f>IF(B449&gt;=Settings!$C$5,1,0)</f>
        <v/>
      </c>
    </row>
    <row r="450">
      <c r="A450" t="inlineStr">
        <is>
          <t>f1291fd5dfbeaea377eaad66b2623961</t>
        </is>
      </c>
      <c r="B450" s="29" t="n">
        <v>43130</v>
      </c>
      <c r="C450" t="inlineStr">
        <is>
          <t>2018-01</t>
        </is>
      </c>
      <c r="D450" t="inlineStr">
        <is>
          <t>1e884e3078d9978e216a027ecd57fb34</t>
        </is>
      </c>
      <c r="E450" t="inlineStr">
        <is>
          <t>unknown</t>
        </is>
      </c>
      <c r="F450">
        <f>IFERROR(MATCH(A450,Deals!$A$2:$A$843,0),"")</f>
        <v/>
      </c>
      <c r="G450">
        <f>IF(F450="",0,1)</f>
        <v/>
      </c>
      <c r="H450" s="29">
        <f>IF(F450="","",INDEX(Deals!$E$2:$E$843,F450))</f>
        <v/>
      </c>
      <c r="I450">
        <f>IF(F450="","",INDEX(Deals!$D$2:$D$843,F450))</f>
        <v/>
      </c>
      <c r="J450">
        <f>IF(F450="","",INT(H450)-B450)</f>
        <v/>
      </c>
      <c r="K450">
        <f>IF(B450&gt;=Settings!$C$5,1,0)</f>
        <v/>
      </c>
    </row>
    <row r="451">
      <c r="A451" t="inlineStr">
        <is>
          <t>9d0231d43ebb66349e1bd614cba89796</t>
        </is>
      </c>
      <c r="B451" s="29" t="n">
        <v>42990</v>
      </c>
      <c r="C451" t="inlineStr">
        <is>
          <t>2017-09</t>
        </is>
      </c>
      <c r="D451" t="inlineStr">
        <is>
          <t>f017be4dbf86243af5c1ebed0cff36a2</t>
        </is>
      </c>
      <c r="E451" t="inlineStr">
        <is>
          <t>organic_search</t>
        </is>
      </c>
      <c r="F451">
        <f>IFERROR(MATCH(A451,Deals!$A$2:$A$843,0),"")</f>
        <v/>
      </c>
      <c r="G451">
        <f>IF(F451="",0,1)</f>
        <v/>
      </c>
      <c r="H451" s="29">
        <f>IF(F451="","",INDEX(Deals!$E$2:$E$843,F451))</f>
        <v/>
      </c>
      <c r="I451">
        <f>IF(F451="","",INDEX(Deals!$D$2:$D$843,F451))</f>
        <v/>
      </c>
      <c r="J451">
        <f>IF(F451="","",INT(H451)-B451)</f>
        <v/>
      </c>
      <c r="K451">
        <f>IF(B451&gt;=Settings!$C$5,1,0)</f>
        <v/>
      </c>
    </row>
    <row r="452">
      <c r="A452" t="inlineStr">
        <is>
          <t>59a58382d7d556e4857553efb76c4bd2</t>
        </is>
      </c>
      <c r="B452" s="29" t="n">
        <v>43209</v>
      </c>
      <c r="C452" t="inlineStr">
        <is>
          <t>2018-04</t>
        </is>
      </c>
      <c r="D452" t="inlineStr">
        <is>
          <t>e534a08b23c682d94859d0ab860bd57a</t>
        </is>
      </c>
      <c r="E452" t="inlineStr">
        <is>
          <t>display</t>
        </is>
      </c>
      <c r="F452">
        <f>IFERROR(MATCH(A452,Deals!$A$2:$A$843,0),"")</f>
        <v/>
      </c>
      <c r="G452">
        <f>IF(F452="",0,1)</f>
        <v/>
      </c>
      <c r="H452" s="29">
        <f>IF(F452="","",INDEX(Deals!$E$2:$E$843,F452))</f>
        <v/>
      </c>
      <c r="I452">
        <f>IF(F452="","",INDEX(Deals!$D$2:$D$843,F452))</f>
        <v/>
      </c>
      <c r="J452">
        <f>IF(F452="","",INT(H452)-B452)</f>
        <v/>
      </c>
      <c r="K452">
        <f>IF(B452&gt;=Settings!$C$5,1,0)</f>
        <v/>
      </c>
    </row>
    <row r="453">
      <c r="A453" t="inlineStr">
        <is>
          <t>78f9eb91b8c7b3b3967fab18283ec614</t>
        </is>
      </c>
      <c r="B453" s="29" t="n">
        <v>43196</v>
      </c>
      <c r="C453" t="inlineStr">
        <is>
          <t>2018-04</t>
        </is>
      </c>
      <c r="D453" t="inlineStr">
        <is>
          <t>649b7b8b46b254497e92038d88f6ced8</t>
        </is>
      </c>
      <c r="E453" t="inlineStr">
        <is>
          <t>social</t>
        </is>
      </c>
      <c r="F453">
        <f>IFERROR(MATCH(A453,Deals!$A$2:$A$843,0),"")</f>
        <v/>
      </c>
      <c r="G453">
        <f>IF(F453="",0,1)</f>
        <v/>
      </c>
      <c r="H453" s="29">
        <f>IF(F453="","",INDEX(Deals!$E$2:$E$843,F453))</f>
        <v/>
      </c>
      <c r="I453">
        <f>IF(F453="","",INDEX(Deals!$D$2:$D$843,F453))</f>
        <v/>
      </c>
      <c r="J453">
        <f>IF(F453="","",INT(H453)-B453)</f>
        <v/>
      </c>
      <c r="K453">
        <f>IF(B453&gt;=Settings!$C$5,1,0)</f>
        <v/>
      </c>
    </row>
    <row r="454">
      <c r="A454" t="inlineStr">
        <is>
          <t>2cd87e114bd85a69b9d295e52e82460a</t>
        </is>
      </c>
      <c r="B454" s="29" t="n">
        <v>43059</v>
      </c>
      <c r="C454" t="inlineStr">
        <is>
          <t>2017-11</t>
        </is>
      </c>
      <c r="D454" t="inlineStr">
        <is>
          <t>1722481ac9e5371e5099dea226b5421d</t>
        </is>
      </c>
      <c r="E454" t="inlineStr">
        <is>
          <t>social</t>
        </is>
      </c>
      <c r="F454">
        <f>IFERROR(MATCH(A454,Deals!$A$2:$A$843,0),"")</f>
        <v/>
      </c>
      <c r="G454">
        <f>IF(F454="",0,1)</f>
        <v/>
      </c>
      <c r="H454" s="29">
        <f>IF(F454="","",INDEX(Deals!$E$2:$E$843,F454))</f>
        <v/>
      </c>
      <c r="I454">
        <f>IF(F454="","",INDEX(Deals!$D$2:$D$843,F454))</f>
        <v/>
      </c>
      <c r="J454">
        <f>IF(F454="","",INT(H454)-B454)</f>
        <v/>
      </c>
      <c r="K454">
        <f>IF(B454&gt;=Settings!$C$5,1,0)</f>
        <v/>
      </c>
    </row>
    <row r="455">
      <c r="A455" t="inlineStr">
        <is>
          <t>45a44284115503af7ecdc4e477ef271a</t>
        </is>
      </c>
      <c r="B455" s="29" t="n">
        <v>43181</v>
      </c>
      <c r="C455" t="inlineStr">
        <is>
          <t>2018-03</t>
        </is>
      </c>
      <c r="D455" t="inlineStr">
        <is>
          <t>b76ef37428e6799c421989521c0e5077</t>
        </is>
      </c>
      <c r="E455" t="inlineStr">
        <is>
          <t>unknown</t>
        </is>
      </c>
      <c r="F455">
        <f>IFERROR(MATCH(A455,Deals!$A$2:$A$843,0),"")</f>
        <v/>
      </c>
      <c r="G455">
        <f>IF(F455="",0,1)</f>
        <v/>
      </c>
      <c r="H455" s="29">
        <f>IF(F455="","",INDEX(Deals!$E$2:$E$843,F455))</f>
        <v/>
      </c>
      <c r="I455">
        <f>IF(F455="","",INDEX(Deals!$D$2:$D$843,F455))</f>
        <v/>
      </c>
      <c r="J455">
        <f>IF(F455="","",INT(H455)-B455)</f>
        <v/>
      </c>
      <c r="K455">
        <f>IF(B455&gt;=Settings!$C$5,1,0)</f>
        <v/>
      </c>
    </row>
    <row r="456">
      <c r="A456" t="inlineStr">
        <is>
          <t>8d2dc7dfd445269bda25fb479ff8b3d9</t>
        </is>
      </c>
      <c r="B456" s="29" t="n">
        <v>43206</v>
      </c>
      <c r="C456" t="inlineStr">
        <is>
          <t>2018-04</t>
        </is>
      </c>
      <c r="D456" t="inlineStr">
        <is>
          <t>5209e2e679d32a6619feb6942702fd14</t>
        </is>
      </c>
      <c r="E456" t="inlineStr">
        <is>
          <t>organic_search</t>
        </is>
      </c>
      <c r="F456">
        <f>IFERROR(MATCH(A456,Deals!$A$2:$A$843,0),"")</f>
        <v/>
      </c>
      <c r="G456">
        <f>IF(F456="",0,1)</f>
        <v/>
      </c>
      <c r="H456" s="29">
        <f>IF(F456="","",INDEX(Deals!$E$2:$E$843,F456))</f>
        <v/>
      </c>
      <c r="I456">
        <f>IF(F456="","",INDEX(Deals!$D$2:$D$843,F456))</f>
        <v/>
      </c>
      <c r="J456">
        <f>IF(F456="","",INT(H456)-B456)</f>
        <v/>
      </c>
      <c r="K456">
        <f>IF(B456&gt;=Settings!$C$5,1,0)</f>
        <v/>
      </c>
    </row>
    <row r="457">
      <c r="A457" t="inlineStr">
        <is>
          <t>1cc7c66acd638596b303e700788afe91</t>
        </is>
      </c>
      <c r="B457" s="29" t="n">
        <v>43194</v>
      </c>
      <c r="C457" t="inlineStr">
        <is>
          <t>2018-04</t>
        </is>
      </c>
      <c r="D457" t="inlineStr">
        <is>
          <t>1ceb590cd1e00c7ee95220971f82693d</t>
        </is>
      </c>
      <c r="E457" t="inlineStr">
        <is>
          <t>paid_search</t>
        </is>
      </c>
      <c r="F457">
        <f>IFERROR(MATCH(A457,Deals!$A$2:$A$843,0),"")</f>
        <v/>
      </c>
      <c r="G457">
        <f>IF(F457="",0,1)</f>
        <v/>
      </c>
      <c r="H457" s="29">
        <f>IF(F457="","",INDEX(Deals!$E$2:$E$843,F457))</f>
        <v/>
      </c>
      <c r="I457">
        <f>IF(F457="","",INDEX(Deals!$D$2:$D$843,F457))</f>
        <v/>
      </c>
      <c r="J457">
        <f>IF(F457="","",INT(H457)-B457)</f>
        <v/>
      </c>
      <c r="K457">
        <f>IF(B457&gt;=Settings!$C$5,1,0)</f>
        <v/>
      </c>
    </row>
    <row r="458">
      <c r="A458" t="inlineStr">
        <is>
          <t>107806e82bffd4cdb17bf1cbe7378646</t>
        </is>
      </c>
      <c r="B458" s="29" t="n">
        <v>43209</v>
      </c>
      <c r="C458" t="inlineStr">
        <is>
          <t>2018-04</t>
        </is>
      </c>
      <c r="D458" t="inlineStr">
        <is>
          <t>6511fd3ad2fc59d7f907bf22b13d19e3</t>
        </is>
      </c>
      <c r="E458" t="inlineStr">
        <is>
          <t>referral</t>
        </is>
      </c>
      <c r="F458">
        <f>IFERROR(MATCH(A458,Deals!$A$2:$A$843,0),"")</f>
        <v/>
      </c>
      <c r="G458">
        <f>IF(F458="",0,1)</f>
        <v/>
      </c>
      <c r="H458" s="29">
        <f>IF(F458="","",INDEX(Deals!$E$2:$E$843,F458))</f>
        <v/>
      </c>
      <c r="I458">
        <f>IF(F458="","",INDEX(Deals!$D$2:$D$843,F458))</f>
        <v/>
      </c>
      <c r="J458">
        <f>IF(F458="","",INT(H458)-B458)</f>
        <v/>
      </c>
      <c r="K458">
        <f>IF(B458&gt;=Settings!$C$5,1,0)</f>
        <v/>
      </c>
    </row>
    <row r="459">
      <c r="A459" t="inlineStr">
        <is>
          <t>f9a442c5dc2c53cac406bd330c16a63b</t>
        </is>
      </c>
      <c r="B459" s="29" t="n">
        <v>43154</v>
      </c>
      <c r="C459" t="inlineStr">
        <is>
          <t>2018-02</t>
        </is>
      </c>
      <c r="D459" t="inlineStr">
        <is>
          <t>73f31a40697cc90a86c1273563ac230e</t>
        </is>
      </c>
      <c r="E459" t="inlineStr">
        <is>
          <t>other</t>
        </is>
      </c>
      <c r="F459">
        <f>IFERROR(MATCH(A459,Deals!$A$2:$A$843,0),"")</f>
        <v/>
      </c>
      <c r="G459">
        <f>IF(F459="",0,1)</f>
        <v/>
      </c>
      <c r="H459" s="29">
        <f>IF(F459="","",INDEX(Deals!$E$2:$E$843,F459))</f>
        <v/>
      </c>
      <c r="I459">
        <f>IF(F459="","",INDEX(Deals!$D$2:$D$843,F459))</f>
        <v/>
      </c>
      <c r="J459">
        <f>IF(F459="","",INT(H459)-B459)</f>
        <v/>
      </c>
      <c r="K459">
        <f>IF(B459&gt;=Settings!$C$5,1,0)</f>
        <v/>
      </c>
    </row>
    <row r="460">
      <c r="A460" t="inlineStr">
        <is>
          <t>fd87b82ce8683ddd634754c0d6bf0745</t>
        </is>
      </c>
      <c r="B460" s="29" t="n">
        <v>43117</v>
      </c>
      <c r="C460" t="inlineStr">
        <is>
          <t>2018-01</t>
        </is>
      </c>
      <c r="D460" t="inlineStr">
        <is>
          <t>e492ee5eaf1697716985cc6f33f9cd9b</t>
        </is>
      </c>
      <c r="E460" t="inlineStr">
        <is>
          <t>unknown</t>
        </is>
      </c>
      <c r="F460">
        <f>IFERROR(MATCH(A460,Deals!$A$2:$A$843,0),"")</f>
        <v/>
      </c>
      <c r="G460">
        <f>IF(F460="",0,1)</f>
        <v/>
      </c>
      <c r="H460" s="29">
        <f>IF(F460="","",INDEX(Deals!$E$2:$E$843,F460))</f>
        <v/>
      </c>
      <c r="I460">
        <f>IF(F460="","",INDEX(Deals!$D$2:$D$843,F460))</f>
        <v/>
      </c>
      <c r="J460">
        <f>IF(F460="","",INT(H460)-B460)</f>
        <v/>
      </c>
      <c r="K460">
        <f>IF(B460&gt;=Settings!$C$5,1,0)</f>
        <v/>
      </c>
    </row>
    <row r="461">
      <c r="A461" t="inlineStr">
        <is>
          <t>7723b5164ece9e1c2e0b00c313fca49c</t>
        </is>
      </c>
      <c r="B461" s="29" t="n">
        <v>43192</v>
      </c>
      <c r="C461" t="inlineStr">
        <is>
          <t>2018-04</t>
        </is>
      </c>
      <c r="D461" t="inlineStr">
        <is>
          <t>b76ef37428e6799c421989521c0e5077</t>
        </is>
      </c>
      <c r="E461" t="inlineStr">
        <is>
          <t>unknown</t>
        </is>
      </c>
      <c r="F461">
        <f>IFERROR(MATCH(A461,Deals!$A$2:$A$843,0),"")</f>
        <v/>
      </c>
      <c r="G461">
        <f>IF(F461="",0,1)</f>
        <v/>
      </c>
      <c r="H461" s="29">
        <f>IF(F461="","",INDEX(Deals!$E$2:$E$843,F461))</f>
        <v/>
      </c>
      <c r="I461">
        <f>IF(F461="","",INDEX(Deals!$D$2:$D$843,F461))</f>
        <v/>
      </c>
      <c r="J461">
        <f>IF(F461="","",INT(H461)-B461)</f>
        <v/>
      </c>
      <c r="K461">
        <f>IF(B461&gt;=Settings!$C$5,1,0)</f>
        <v/>
      </c>
    </row>
    <row r="462">
      <c r="A462" t="inlineStr">
        <is>
          <t>4a2ad15a73d498efa82cc2893a52d08e</t>
        </is>
      </c>
      <c r="B462" s="29" t="n">
        <v>43115</v>
      </c>
      <c r="C462" t="inlineStr">
        <is>
          <t>2018-01</t>
        </is>
      </c>
      <c r="D462" t="inlineStr">
        <is>
          <t>b76ef37428e6799c421989521c0e5077</t>
        </is>
      </c>
      <c r="E462" t="inlineStr">
        <is>
          <t>paid_search</t>
        </is>
      </c>
      <c r="F462">
        <f>IFERROR(MATCH(A462,Deals!$A$2:$A$843,0),"")</f>
        <v/>
      </c>
      <c r="G462">
        <f>IF(F462="",0,1)</f>
        <v/>
      </c>
      <c r="H462" s="29">
        <f>IF(F462="","",INDEX(Deals!$E$2:$E$843,F462))</f>
        <v/>
      </c>
      <c r="I462">
        <f>IF(F462="","",INDEX(Deals!$D$2:$D$843,F462))</f>
        <v/>
      </c>
      <c r="J462">
        <f>IF(F462="","",INT(H462)-B462)</f>
        <v/>
      </c>
      <c r="K462">
        <f>IF(B462&gt;=Settings!$C$5,1,0)</f>
        <v/>
      </c>
    </row>
    <row r="463">
      <c r="A463" t="inlineStr">
        <is>
          <t>dfce7d6d89ecb0e319bba7219d4addb8</t>
        </is>
      </c>
      <c r="B463" s="29" t="n">
        <v>43200</v>
      </c>
      <c r="C463" t="inlineStr">
        <is>
          <t>2018-04</t>
        </is>
      </c>
      <c r="D463" t="inlineStr">
        <is>
          <t>22c29808c4f815213303f8933030604c</t>
        </is>
      </c>
      <c r="E463" t="inlineStr">
        <is>
          <t>social</t>
        </is>
      </c>
      <c r="F463">
        <f>IFERROR(MATCH(A463,Deals!$A$2:$A$843,0),"")</f>
        <v/>
      </c>
      <c r="G463">
        <f>IF(F463="",0,1)</f>
        <v/>
      </c>
      <c r="H463" s="29">
        <f>IF(F463="","",INDEX(Deals!$E$2:$E$843,F463))</f>
        <v/>
      </c>
      <c r="I463">
        <f>IF(F463="","",INDEX(Deals!$D$2:$D$843,F463))</f>
        <v/>
      </c>
      <c r="J463">
        <f>IF(F463="","",INT(H463)-B463)</f>
        <v/>
      </c>
      <c r="K463">
        <f>IF(B463&gt;=Settings!$C$5,1,0)</f>
        <v/>
      </c>
    </row>
    <row r="464">
      <c r="A464" t="inlineStr">
        <is>
          <t>b9a5bb0159ab00fa62f31e5c956eac14</t>
        </is>
      </c>
      <c r="B464" s="29" t="n">
        <v>43053</v>
      </c>
      <c r="C464" t="inlineStr">
        <is>
          <t>2017-11</t>
        </is>
      </c>
      <c r="D464" t="inlineStr">
        <is>
          <t>b76ef37428e6799c421989521c0e5077</t>
        </is>
      </c>
      <c r="E464" t="inlineStr">
        <is>
          <t>unknown</t>
        </is>
      </c>
      <c r="F464">
        <f>IFERROR(MATCH(A464,Deals!$A$2:$A$843,0),"")</f>
        <v/>
      </c>
      <c r="G464">
        <f>IF(F464="",0,1)</f>
        <v/>
      </c>
      <c r="H464" s="29">
        <f>IF(F464="","",INDEX(Deals!$E$2:$E$843,F464))</f>
        <v/>
      </c>
      <c r="I464">
        <f>IF(F464="","",INDEX(Deals!$D$2:$D$843,F464))</f>
        <v/>
      </c>
      <c r="J464">
        <f>IF(F464="","",INT(H464)-B464)</f>
        <v/>
      </c>
      <c r="K464">
        <f>IF(B464&gt;=Settings!$C$5,1,0)</f>
        <v/>
      </c>
    </row>
    <row r="465">
      <c r="A465" t="inlineStr">
        <is>
          <t>6724698ce52c3d8c0f4ded9c1b6d5dc8</t>
        </is>
      </c>
      <c r="B465" s="29" t="n">
        <v>43231</v>
      </c>
      <c r="C465" t="inlineStr">
        <is>
          <t>2018-05</t>
        </is>
      </c>
      <c r="D465" t="inlineStr">
        <is>
          <t>358adb2fee9a122549618e46925a00a5</t>
        </is>
      </c>
      <c r="E465" t="inlineStr">
        <is>
          <t>unknown</t>
        </is>
      </c>
      <c r="F465">
        <f>IFERROR(MATCH(A465,Deals!$A$2:$A$843,0),"")</f>
        <v/>
      </c>
      <c r="G465">
        <f>IF(F465="",0,1)</f>
        <v/>
      </c>
      <c r="H465" s="29">
        <f>IF(F465="","",INDEX(Deals!$E$2:$E$843,F465))</f>
        <v/>
      </c>
      <c r="I465">
        <f>IF(F465="","",INDEX(Deals!$D$2:$D$843,F465))</f>
        <v/>
      </c>
      <c r="J465">
        <f>IF(F465="","",INT(H465)-B465)</f>
        <v/>
      </c>
      <c r="K465">
        <f>IF(B465&gt;=Settings!$C$5,1,0)</f>
        <v/>
      </c>
    </row>
    <row r="466">
      <c r="A466" t="inlineStr">
        <is>
          <t>09d1187c908982525d7590e89f672f9e</t>
        </is>
      </c>
      <c r="B466" s="29" t="n">
        <v>43158</v>
      </c>
      <c r="C466" t="inlineStr">
        <is>
          <t>2018-02</t>
        </is>
      </c>
      <c r="D466" t="inlineStr">
        <is>
          <t>40dec9f3d5259a3d2dbcdab2114fae47</t>
        </is>
      </c>
      <c r="E466" t="inlineStr">
        <is>
          <t>paid_search</t>
        </is>
      </c>
      <c r="F466">
        <f>IFERROR(MATCH(A466,Deals!$A$2:$A$843,0),"")</f>
        <v/>
      </c>
      <c r="G466">
        <f>IF(F466="",0,1)</f>
        <v/>
      </c>
      <c r="H466" s="29">
        <f>IF(F466="","",INDEX(Deals!$E$2:$E$843,F466))</f>
        <v/>
      </c>
      <c r="I466">
        <f>IF(F466="","",INDEX(Deals!$D$2:$D$843,F466))</f>
        <v/>
      </c>
      <c r="J466">
        <f>IF(F466="","",INT(H466)-B466)</f>
        <v/>
      </c>
      <c r="K466">
        <f>IF(B466&gt;=Settings!$C$5,1,0)</f>
        <v/>
      </c>
    </row>
    <row r="467">
      <c r="A467" t="inlineStr">
        <is>
          <t>1d204b4ef7a2a8bd9fd6897da68c9866</t>
        </is>
      </c>
      <c r="B467" s="29" t="n">
        <v>43236</v>
      </c>
      <c r="C467" t="inlineStr">
        <is>
          <t>2018-05</t>
        </is>
      </c>
      <c r="D467" t="inlineStr">
        <is>
          <t>6a110e795dd487f1cf8d7583671987af</t>
        </is>
      </c>
      <c r="E467" t="inlineStr">
        <is>
          <t>email</t>
        </is>
      </c>
      <c r="F467">
        <f>IFERROR(MATCH(A467,Deals!$A$2:$A$843,0),"")</f>
        <v/>
      </c>
      <c r="G467">
        <f>IF(F467="",0,1)</f>
        <v/>
      </c>
      <c r="H467" s="29">
        <f>IF(F467="","",INDEX(Deals!$E$2:$E$843,F467))</f>
        <v/>
      </c>
      <c r="I467">
        <f>IF(F467="","",INDEX(Deals!$D$2:$D$843,F467))</f>
        <v/>
      </c>
      <c r="J467">
        <f>IF(F467="","",INT(H467)-B467)</f>
        <v/>
      </c>
      <c r="K467">
        <f>IF(B467&gt;=Settings!$C$5,1,0)</f>
        <v/>
      </c>
    </row>
    <row r="468">
      <c r="A468" t="inlineStr">
        <is>
          <t>301d01984fa7dce86bab6d4d613b6678</t>
        </is>
      </c>
      <c r="B468" s="29" t="n">
        <v>43041</v>
      </c>
      <c r="C468" t="inlineStr">
        <is>
          <t>2017-11</t>
        </is>
      </c>
      <c r="D468" t="inlineStr">
        <is>
          <t>7fa6214d82e911d070f51ef79381b956</t>
        </is>
      </c>
      <c r="E468" t="inlineStr">
        <is>
          <t>direct_traffic</t>
        </is>
      </c>
      <c r="F468">
        <f>IFERROR(MATCH(A468,Deals!$A$2:$A$843,0),"")</f>
        <v/>
      </c>
      <c r="G468">
        <f>IF(F468="",0,1)</f>
        <v/>
      </c>
      <c r="H468" s="29">
        <f>IF(F468="","",INDEX(Deals!$E$2:$E$843,F468))</f>
        <v/>
      </c>
      <c r="I468">
        <f>IF(F468="","",INDEX(Deals!$D$2:$D$843,F468))</f>
        <v/>
      </c>
      <c r="J468">
        <f>IF(F468="","",INT(H468)-B468)</f>
        <v/>
      </c>
      <c r="K468">
        <f>IF(B468&gt;=Settings!$C$5,1,0)</f>
        <v/>
      </c>
    </row>
    <row r="469">
      <c r="A469" t="inlineStr">
        <is>
          <t>8a25bede3b5425bb5e4dc62c66937ef0</t>
        </is>
      </c>
      <c r="B469" s="29" t="n">
        <v>43052</v>
      </c>
      <c r="C469" t="inlineStr">
        <is>
          <t>2017-11</t>
        </is>
      </c>
      <c r="D469" t="inlineStr">
        <is>
          <t>f98c2bd96ac4a5d9476734e790c91384</t>
        </is>
      </c>
      <c r="E469" t="inlineStr">
        <is>
          <t>paid_search</t>
        </is>
      </c>
      <c r="F469">
        <f>IFERROR(MATCH(A469,Deals!$A$2:$A$843,0),"")</f>
        <v/>
      </c>
      <c r="G469">
        <f>IF(F469="",0,1)</f>
        <v/>
      </c>
      <c r="H469" s="29">
        <f>IF(F469="","",INDEX(Deals!$E$2:$E$843,F469))</f>
        <v/>
      </c>
      <c r="I469">
        <f>IF(F469="","",INDEX(Deals!$D$2:$D$843,F469))</f>
        <v/>
      </c>
      <c r="J469">
        <f>IF(F469="","",INT(H469)-B469)</f>
        <v/>
      </c>
      <c r="K469">
        <f>IF(B469&gt;=Settings!$C$5,1,0)</f>
        <v/>
      </c>
    </row>
    <row r="470">
      <c r="A470" t="inlineStr">
        <is>
          <t>44cc3bcbd1ab8ca953a84ec52398a16d</t>
        </is>
      </c>
      <c r="B470" s="29" t="n">
        <v>43249</v>
      </c>
      <c r="C470" t="inlineStr">
        <is>
          <t>2018-05</t>
        </is>
      </c>
      <c r="D470" t="inlineStr">
        <is>
          <t>a7982125ff7aa3b2054c6e44f9d28522</t>
        </is>
      </c>
      <c r="E470" t="inlineStr">
        <is>
          <t>organic_search</t>
        </is>
      </c>
      <c r="F470">
        <f>IFERROR(MATCH(A470,Deals!$A$2:$A$843,0),"")</f>
        <v/>
      </c>
      <c r="G470">
        <f>IF(F470="",0,1)</f>
        <v/>
      </c>
      <c r="H470" s="29">
        <f>IF(F470="","",INDEX(Deals!$E$2:$E$843,F470))</f>
        <v/>
      </c>
      <c r="I470">
        <f>IF(F470="","",INDEX(Deals!$D$2:$D$843,F470))</f>
        <v/>
      </c>
      <c r="J470">
        <f>IF(F470="","",INT(H470)-B470)</f>
        <v/>
      </c>
      <c r="K470">
        <f>IF(B470&gt;=Settings!$C$5,1,0)</f>
        <v/>
      </c>
    </row>
    <row r="471">
      <c r="A471" t="inlineStr">
        <is>
          <t>baa0ceb9d3bf8583d22479f67f86d67d</t>
        </is>
      </c>
      <c r="B471" s="29" t="n">
        <v>43010</v>
      </c>
      <c r="C471" t="inlineStr">
        <is>
          <t>2017-10</t>
        </is>
      </c>
      <c r="D471" t="inlineStr">
        <is>
          <t>1722481ac9e5371e5099dea226b5421d</t>
        </is>
      </c>
      <c r="E471" t="inlineStr">
        <is>
          <t>organic_search</t>
        </is>
      </c>
      <c r="F471">
        <f>IFERROR(MATCH(A471,Deals!$A$2:$A$843,0),"")</f>
        <v/>
      </c>
      <c r="G471">
        <f>IF(F471="",0,1)</f>
        <v/>
      </c>
      <c r="H471" s="29">
        <f>IF(F471="","",INDEX(Deals!$E$2:$E$843,F471))</f>
        <v/>
      </c>
      <c r="I471">
        <f>IF(F471="","",INDEX(Deals!$D$2:$D$843,F471))</f>
        <v/>
      </c>
      <c r="J471">
        <f>IF(F471="","",INT(H471)-B471)</f>
        <v/>
      </c>
      <c r="K471">
        <f>IF(B471&gt;=Settings!$C$5,1,0)</f>
        <v/>
      </c>
    </row>
    <row r="472">
      <c r="A472" t="inlineStr">
        <is>
          <t>48300fd42032d6e6256e9ee006555ce9</t>
        </is>
      </c>
      <c r="B472" s="29" t="n">
        <v>43235</v>
      </c>
      <c r="C472" t="inlineStr">
        <is>
          <t>2018-05</t>
        </is>
      </c>
      <c r="D472" t="inlineStr">
        <is>
          <t>35c9b150ab36fe584c1f24fd458c453a</t>
        </is>
      </c>
      <c r="E472" t="inlineStr">
        <is>
          <t>direct_traffic</t>
        </is>
      </c>
      <c r="F472">
        <f>IFERROR(MATCH(A472,Deals!$A$2:$A$843,0),"")</f>
        <v/>
      </c>
      <c r="G472">
        <f>IF(F472="",0,1)</f>
        <v/>
      </c>
      <c r="H472" s="29">
        <f>IF(F472="","",INDEX(Deals!$E$2:$E$843,F472))</f>
        <v/>
      </c>
      <c r="I472">
        <f>IF(F472="","",INDEX(Deals!$D$2:$D$843,F472))</f>
        <v/>
      </c>
      <c r="J472">
        <f>IF(F472="","",INT(H472)-B472)</f>
        <v/>
      </c>
      <c r="K472">
        <f>IF(B472&gt;=Settings!$C$5,1,0)</f>
        <v/>
      </c>
    </row>
    <row r="473">
      <c r="A473" t="inlineStr">
        <is>
          <t>f2fcaff2a0108d79b786b9a6d289a8ae</t>
        </is>
      </c>
      <c r="B473" s="29" t="n">
        <v>43216</v>
      </c>
      <c r="C473" t="inlineStr">
        <is>
          <t>2018-04</t>
        </is>
      </c>
      <c r="D473" t="inlineStr">
        <is>
          <t>b76ef37428e6799c421989521c0e5077</t>
        </is>
      </c>
      <c r="E473" t="inlineStr">
        <is>
          <t>organic_search</t>
        </is>
      </c>
      <c r="F473">
        <f>IFERROR(MATCH(A473,Deals!$A$2:$A$843,0),"")</f>
        <v/>
      </c>
      <c r="G473">
        <f>IF(F473="",0,1)</f>
        <v/>
      </c>
      <c r="H473" s="29">
        <f>IF(F473="","",INDEX(Deals!$E$2:$E$843,F473))</f>
        <v/>
      </c>
      <c r="I473">
        <f>IF(F473="","",INDEX(Deals!$D$2:$D$843,F473))</f>
        <v/>
      </c>
      <c r="J473">
        <f>IF(F473="","",INT(H473)-B473)</f>
        <v/>
      </c>
      <c r="K473">
        <f>IF(B473&gt;=Settings!$C$5,1,0)</f>
        <v/>
      </c>
    </row>
    <row r="474">
      <c r="A474" t="inlineStr">
        <is>
          <t>fa6c3d0bdf9ad7f29094d15c8b054e85</t>
        </is>
      </c>
      <c r="B474" s="29" t="n">
        <v>43196</v>
      </c>
      <c r="C474" t="inlineStr">
        <is>
          <t>2018-04</t>
        </is>
      </c>
      <c r="D474" t="inlineStr">
        <is>
          <t>1ceb590cd1e00c7ee95220971f82693d</t>
        </is>
      </c>
      <c r="E474" t="inlineStr">
        <is>
          <t>unknown</t>
        </is>
      </c>
      <c r="F474">
        <f>IFERROR(MATCH(A474,Deals!$A$2:$A$843,0),"")</f>
        <v/>
      </c>
      <c r="G474">
        <f>IF(F474="",0,1)</f>
        <v/>
      </c>
      <c r="H474" s="29">
        <f>IF(F474="","",INDEX(Deals!$E$2:$E$843,F474))</f>
        <v/>
      </c>
      <c r="I474">
        <f>IF(F474="","",INDEX(Deals!$D$2:$D$843,F474))</f>
        <v/>
      </c>
      <c r="J474">
        <f>IF(F474="","",INT(H474)-B474)</f>
        <v/>
      </c>
      <c r="K474">
        <f>IF(B474&gt;=Settings!$C$5,1,0)</f>
        <v/>
      </c>
    </row>
    <row r="475">
      <c r="A475" t="inlineStr">
        <is>
          <t>caca633d466787a2605a386d6cd58cec</t>
        </is>
      </c>
      <c r="B475" s="29" t="n">
        <v>43143</v>
      </c>
      <c r="C475" t="inlineStr">
        <is>
          <t>2018-02</t>
        </is>
      </c>
      <c r="D475" t="inlineStr">
        <is>
          <t>40dec9f3d5259a3d2dbcdab2114fae47</t>
        </is>
      </c>
      <c r="E475" t="inlineStr">
        <is>
          <t>paid_search</t>
        </is>
      </c>
      <c r="F475">
        <f>IFERROR(MATCH(A475,Deals!$A$2:$A$843,0),"")</f>
        <v/>
      </c>
      <c r="G475">
        <f>IF(F475="",0,1)</f>
        <v/>
      </c>
      <c r="H475" s="29">
        <f>IF(F475="","",INDEX(Deals!$E$2:$E$843,F475))</f>
        <v/>
      </c>
      <c r="I475">
        <f>IF(F475="","",INDEX(Deals!$D$2:$D$843,F475))</f>
        <v/>
      </c>
      <c r="J475">
        <f>IF(F475="","",INT(H475)-B475)</f>
        <v/>
      </c>
      <c r="K475">
        <f>IF(B475&gt;=Settings!$C$5,1,0)</f>
        <v/>
      </c>
    </row>
    <row r="476">
      <c r="A476" t="inlineStr">
        <is>
          <t>4328ad1978e9bcb7b297600e3019a5a6</t>
        </is>
      </c>
      <c r="B476" s="29" t="n">
        <v>43053</v>
      </c>
      <c r="C476" t="inlineStr">
        <is>
          <t>2017-11</t>
        </is>
      </c>
      <c r="D476" t="inlineStr">
        <is>
          <t>fd660f5d9a62d444c76191307b3a0514</t>
        </is>
      </c>
      <c r="E476" t="inlineStr">
        <is>
          <t>direct_traffic</t>
        </is>
      </c>
      <c r="F476">
        <f>IFERROR(MATCH(A476,Deals!$A$2:$A$843,0),"")</f>
        <v/>
      </c>
      <c r="G476">
        <f>IF(F476="",0,1)</f>
        <v/>
      </c>
      <c r="H476" s="29">
        <f>IF(F476="","",INDEX(Deals!$E$2:$E$843,F476))</f>
        <v/>
      </c>
      <c r="I476">
        <f>IF(F476="","",INDEX(Deals!$D$2:$D$843,F476))</f>
        <v/>
      </c>
      <c r="J476">
        <f>IF(F476="","",INT(H476)-B476)</f>
        <v/>
      </c>
      <c r="K476">
        <f>IF(B476&gt;=Settings!$C$5,1,0)</f>
        <v/>
      </c>
    </row>
    <row r="477">
      <c r="A477" t="inlineStr">
        <is>
          <t>da4add037901e5a56c457a74cac7c36b</t>
        </is>
      </c>
      <c r="B477" s="29" t="n">
        <v>43216</v>
      </c>
      <c r="C477" t="inlineStr">
        <is>
          <t>2018-04</t>
        </is>
      </c>
      <c r="D477" t="inlineStr">
        <is>
          <t>73f31a40697cc90a86c1273563ac230e</t>
        </is>
      </c>
      <c r="E477" t="inlineStr">
        <is>
          <t>other</t>
        </is>
      </c>
      <c r="F477">
        <f>IFERROR(MATCH(A477,Deals!$A$2:$A$843,0),"")</f>
        <v/>
      </c>
      <c r="G477">
        <f>IF(F477="",0,1)</f>
        <v/>
      </c>
      <c r="H477" s="29">
        <f>IF(F477="","",INDEX(Deals!$E$2:$E$843,F477))</f>
        <v/>
      </c>
      <c r="I477">
        <f>IF(F477="","",INDEX(Deals!$D$2:$D$843,F477))</f>
        <v/>
      </c>
      <c r="J477">
        <f>IF(F477="","",INT(H477)-B477)</f>
        <v/>
      </c>
      <c r="K477">
        <f>IF(B477&gt;=Settings!$C$5,1,0)</f>
        <v/>
      </c>
    </row>
    <row r="478">
      <c r="A478" t="inlineStr">
        <is>
          <t>cb836769232f3d822643080cba2b2425</t>
        </is>
      </c>
      <c r="B478" s="29" t="n">
        <v>43179</v>
      </c>
      <c r="C478" t="inlineStr">
        <is>
          <t>2018-03</t>
        </is>
      </c>
      <c r="D478" t="inlineStr">
        <is>
          <t>e492ee5eaf1697716985cc6f33f9cd9b</t>
        </is>
      </c>
      <c r="E478" t="inlineStr">
        <is>
          <t>unknown</t>
        </is>
      </c>
      <c r="F478">
        <f>IFERROR(MATCH(A478,Deals!$A$2:$A$843,0),"")</f>
        <v/>
      </c>
      <c r="G478">
        <f>IF(F478="",0,1)</f>
        <v/>
      </c>
      <c r="H478" s="29">
        <f>IF(F478="","",INDEX(Deals!$E$2:$E$843,F478))</f>
        <v/>
      </c>
      <c r="I478">
        <f>IF(F478="","",INDEX(Deals!$D$2:$D$843,F478))</f>
        <v/>
      </c>
      <c r="J478">
        <f>IF(F478="","",INT(H478)-B478)</f>
        <v/>
      </c>
      <c r="K478">
        <f>IF(B478&gt;=Settings!$C$5,1,0)</f>
        <v/>
      </c>
    </row>
    <row r="479">
      <c r="A479" t="inlineStr">
        <is>
          <t>e3826792969cafc67d6c3668de89ab20</t>
        </is>
      </c>
      <c r="B479" s="29" t="n">
        <v>43251</v>
      </c>
      <c r="C479" t="inlineStr">
        <is>
          <t>2018-05</t>
        </is>
      </c>
      <c r="D479" t="inlineStr">
        <is>
          <t>dd6f55db3947b0aeaadb65a610334799</t>
        </is>
      </c>
      <c r="E479" t="inlineStr">
        <is>
          <t>direct_traffic</t>
        </is>
      </c>
      <c r="F479">
        <f>IFERROR(MATCH(A479,Deals!$A$2:$A$843,0),"")</f>
        <v/>
      </c>
      <c r="G479">
        <f>IF(F479="",0,1)</f>
        <v/>
      </c>
      <c r="H479" s="29">
        <f>IF(F479="","",INDEX(Deals!$E$2:$E$843,F479))</f>
        <v/>
      </c>
      <c r="I479">
        <f>IF(F479="","",INDEX(Deals!$D$2:$D$843,F479))</f>
        <v/>
      </c>
      <c r="J479">
        <f>IF(F479="","",INT(H479)-B479)</f>
        <v/>
      </c>
      <c r="K479">
        <f>IF(B479&gt;=Settings!$C$5,1,0)</f>
        <v/>
      </c>
    </row>
    <row r="480">
      <c r="A480" t="inlineStr">
        <is>
          <t>3b0de458c502917011cdb5292f078c7a</t>
        </is>
      </c>
      <c r="B480" s="29" t="n">
        <v>42922</v>
      </c>
      <c r="C480" t="inlineStr">
        <is>
          <t>2017-07</t>
        </is>
      </c>
      <c r="D480" t="inlineStr">
        <is>
          <t>51ecca024748b4439e473ec446c0bef5</t>
        </is>
      </c>
      <c r="E480" t="inlineStr">
        <is>
          <t>direct_traffic</t>
        </is>
      </c>
      <c r="F480">
        <f>IFERROR(MATCH(A480,Deals!$A$2:$A$843,0),"")</f>
        <v/>
      </c>
      <c r="G480">
        <f>IF(F480="",0,1)</f>
        <v/>
      </c>
      <c r="H480" s="29">
        <f>IF(F480="","",INDEX(Deals!$E$2:$E$843,F480))</f>
        <v/>
      </c>
      <c r="I480">
        <f>IF(F480="","",INDEX(Deals!$D$2:$D$843,F480))</f>
        <v/>
      </c>
      <c r="J480">
        <f>IF(F480="","",INT(H480)-B480)</f>
        <v/>
      </c>
      <c r="K480">
        <f>IF(B480&gt;=Settings!$C$5,1,0)</f>
        <v/>
      </c>
    </row>
    <row r="481">
      <c r="A481" t="inlineStr">
        <is>
          <t>2bf8d1a826659708a87d010f056ef59c</t>
        </is>
      </c>
      <c r="B481" s="29" t="n">
        <v>43199</v>
      </c>
      <c r="C481" t="inlineStr">
        <is>
          <t>2018-04</t>
        </is>
      </c>
      <c r="D481" t="inlineStr">
        <is>
          <t>65c9e96d17d8d12bc0ad3b2cde0bb8b7</t>
        </is>
      </c>
      <c r="E481" t="inlineStr">
        <is>
          <t>direct_traffic</t>
        </is>
      </c>
      <c r="F481">
        <f>IFERROR(MATCH(A481,Deals!$A$2:$A$843,0),"")</f>
        <v/>
      </c>
      <c r="G481">
        <f>IF(F481="",0,1)</f>
        <v/>
      </c>
      <c r="H481" s="29">
        <f>IF(F481="","",INDEX(Deals!$E$2:$E$843,F481))</f>
        <v/>
      </c>
      <c r="I481">
        <f>IF(F481="","",INDEX(Deals!$D$2:$D$843,F481))</f>
        <v/>
      </c>
      <c r="J481">
        <f>IF(F481="","",INT(H481)-B481)</f>
        <v/>
      </c>
      <c r="K481">
        <f>IF(B481&gt;=Settings!$C$5,1,0)</f>
        <v/>
      </c>
    </row>
    <row r="482">
      <c r="A482" t="inlineStr">
        <is>
          <t>ba71bc595c120fca125dce3352c9ea5b</t>
        </is>
      </c>
      <c r="B482" s="29" t="n">
        <v>43213</v>
      </c>
      <c r="C482" t="inlineStr">
        <is>
          <t>2018-04</t>
        </is>
      </c>
      <c r="D482" t="inlineStr">
        <is>
          <t>22c29808c4f815213303f8933030604c</t>
        </is>
      </c>
      <c r="E482" t="inlineStr">
        <is>
          <t>paid_search</t>
        </is>
      </c>
      <c r="F482">
        <f>IFERROR(MATCH(A482,Deals!$A$2:$A$843,0),"")</f>
        <v/>
      </c>
      <c r="G482">
        <f>IF(F482="",0,1)</f>
        <v/>
      </c>
      <c r="H482" s="29">
        <f>IF(F482="","",INDEX(Deals!$E$2:$E$843,F482))</f>
        <v/>
      </c>
      <c r="I482">
        <f>IF(F482="","",INDEX(Deals!$D$2:$D$843,F482))</f>
        <v/>
      </c>
      <c r="J482">
        <f>IF(F482="","",INT(H482)-B482)</f>
        <v/>
      </c>
      <c r="K482">
        <f>IF(B482&gt;=Settings!$C$5,1,0)</f>
        <v/>
      </c>
    </row>
    <row r="483">
      <c r="A483" t="inlineStr">
        <is>
          <t>89d60498bc014d32f5ba7f6d17a55d5c</t>
        </is>
      </c>
      <c r="B483" s="29" t="n">
        <v>43151</v>
      </c>
      <c r="C483" t="inlineStr">
        <is>
          <t>2018-02</t>
        </is>
      </c>
      <c r="D483" t="inlineStr">
        <is>
          <t>15cf89bab2c3163b4f9d8601d108f8b2</t>
        </is>
      </c>
      <c r="E483" t="inlineStr">
        <is>
          <t>organic_search</t>
        </is>
      </c>
      <c r="F483">
        <f>IFERROR(MATCH(A483,Deals!$A$2:$A$843,0),"")</f>
        <v/>
      </c>
      <c r="G483">
        <f>IF(F483="",0,1)</f>
        <v/>
      </c>
      <c r="H483" s="29">
        <f>IF(F483="","",INDEX(Deals!$E$2:$E$843,F483))</f>
        <v/>
      </c>
      <c r="I483">
        <f>IF(F483="","",INDEX(Deals!$D$2:$D$843,F483))</f>
        <v/>
      </c>
      <c r="J483">
        <f>IF(F483="","",INT(H483)-B483)</f>
        <v/>
      </c>
      <c r="K483">
        <f>IF(B483&gt;=Settings!$C$5,1,0)</f>
        <v/>
      </c>
    </row>
    <row r="484">
      <c r="A484" t="inlineStr">
        <is>
          <t>8a51062fb336239020a78ebbe33dca50</t>
        </is>
      </c>
      <c r="B484" s="29" t="n">
        <v>42997</v>
      </c>
      <c r="C484" t="inlineStr">
        <is>
          <t>2017-09</t>
        </is>
      </c>
      <c r="D484" t="inlineStr">
        <is>
          <t>65d9f9d71e562365e8b44037c2888d98</t>
        </is>
      </c>
      <c r="E484" t="inlineStr">
        <is>
          <t>paid_search</t>
        </is>
      </c>
      <c r="F484">
        <f>IFERROR(MATCH(A484,Deals!$A$2:$A$843,0),"")</f>
        <v/>
      </c>
      <c r="G484">
        <f>IF(F484="",0,1)</f>
        <v/>
      </c>
      <c r="H484" s="29">
        <f>IF(F484="","",INDEX(Deals!$E$2:$E$843,F484))</f>
        <v/>
      </c>
      <c r="I484">
        <f>IF(F484="","",INDEX(Deals!$D$2:$D$843,F484))</f>
        <v/>
      </c>
      <c r="J484">
        <f>IF(F484="","",INT(H484)-B484)</f>
        <v/>
      </c>
      <c r="K484">
        <f>IF(B484&gt;=Settings!$C$5,1,0)</f>
        <v/>
      </c>
    </row>
    <row r="485">
      <c r="A485" t="inlineStr">
        <is>
          <t>4a15b66881d8ee302b6e324e1080f523</t>
        </is>
      </c>
      <c r="B485" s="29" t="n">
        <v>43147</v>
      </c>
      <c r="C485" t="inlineStr">
        <is>
          <t>2018-02</t>
        </is>
      </c>
      <c r="D485" t="inlineStr">
        <is>
          <t>ce1a65abd0973638f1c887a6efcfa82d</t>
        </is>
      </c>
      <c r="E485" t="inlineStr">
        <is>
          <t>organic_search</t>
        </is>
      </c>
      <c r="F485">
        <f>IFERROR(MATCH(A485,Deals!$A$2:$A$843,0),"")</f>
        <v/>
      </c>
      <c r="G485">
        <f>IF(F485="",0,1)</f>
        <v/>
      </c>
      <c r="H485" s="29">
        <f>IF(F485="","",INDEX(Deals!$E$2:$E$843,F485))</f>
        <v/>
      </c>
      <c r="I485">
        <f>IF(F485="","",INDEX(Deals!$D$2:$D$843,F485))</f>
        <v/>
      </c>
      <c r="J485">
        <f>IF(F485="","",INT(H485)-B485)</f>
        <v/>
      </c>
      <c r="K485">
        <f>IF(B485&gt;=Settings!$C$5,1,0)</f>
        <v/>
      </c>
    </row>
    <row r="486">
      <c r="A486" t="inlineStr">
        <is>
          <t>aefa7025bcfe229ea24ac03fc9035a56</t>
        </is>
      </c>
      <c r="B486" s="29" t="n">
        <v>43227</v>
      </c>
      <c r="C486" t="inlineStr">
        <is>
          <t>2018-05</t>
        </is>
      </c>
      <c r="D486" t="inlineStr">
        <is>
          <t>30534107aa0013db92899c96a1017d0b</t>
        </is>
      </c>
      <c r="E486" t="inlineStr">
        <is>
          <t>social</t>
        </is>
      </c>
      <c r="F486">
        <f>IFERROR(MATCH(A486,Deals!$A$2:$A$843,0),"")</f>
        <v/>
      </c>
      <c r="G486">
        <f>IF(F486="",0,1)</f>
        <v/>
      </c>
      <c r="H486" s="29">
        <f>IF(F486="","",INDEX(Deals!$E$2:$E$843,F486))</f>
        <v/>
      </c>
      <c r="I486">
        <f>IF(F486="","",INDEX(Deals!$D$2:$D$843,F486))</f>
        <v/>
      </c>
      <c r="J486">
        <f>IF(F486="","",INT(H486)-B486)</f>
        <v/>
      </c>
      <c r="K486">
        <f>IF(B486&gt;=Settings!$C$5,1,0)</f>
        <v/>
      </c>
    </row>
    <row r="487">
      <c r="A487" t="inlineStr">
        <is>
          <t>a3d95233ab20928f0a5afe5e8b781bb7</t>
        </is>
      </c>
      <c r="B487" s="29" t="n">
        <v>43173</v>
      </c>
      <c r="C487" t="inlineStr">
        <is>
          <t>2018-03</t>
        </is>
      </c>
      <c r="D487" t="inlineStr">
        <is>
          <t>88740e65d5d6b056e0cda098e1ea6313</t>
        </is>
      </c>
      <c r="E487" t="inlineStr">
        <is>
          <t>social</t>
        </is>
      </c>
      <c r="F487">
        <f>IFERROR(MATCH(A487,Deals!$A$2:$A$843,0),"")</f>
        <v/>
      </c>
      <c r="G487">
        <f>IF(F487="",0,1)</f>
        <v/>
      </c>
      <c r="H487" s="29">
        <f>IF(F487="","",INDEX(Deals!$E$2:$E$843,F487))</f>
        <v/>
      </c>
      <c r="I487">
        <f>IF(F487="","",INDEX(Deals!$D$2:$D$843,F487))</f>
        <v/>
      </c>
      <c r="J487">
        <f>IF(F487="","",INT(H487)-B487)</f>
        <v/>
      </c>
      <c r="K487">
        <f>IF(B487&gt;=Settings!$C$5,1,0)</f>
        <v/>
      </c>
    </row>
    <row r="488">
      <c r="A488" t="inlineStr">
        <is>
          <t>44ddf432eb6704a14abb1e3445a52436</t>
        </is>
      </c>
      <c r="B488" s="29" t="n">
        <v>43134</v>
      </c>
      <c r="C488" t="inlineStr">
        <is>
          <t>2018-02</t>
        </is>
      </c>
      <c r="D488" t="inlineStr">
        <is>
          <t>40dec9f3d5259a3d2dbcdab2114fae47</t>
        </is>
      </c>
      <c r="E488" t="inlineStr">
        <is>
          <t>paid_search</t>
        </is>
      </c>
      <c r="F488">
        <f>IFERROR(MATCH(A488,Deals!$A$2:$A$843,0),"")</f>
        <v/>
      </c>
      <c r="G488">
        <f>IF(F488="",0,1)</f>
        <v/>
      </c>
      <c r="H488" s="29">
        <f>IF(F488="","",INDEX(Deals!$E$2:$E$843,F488))</f>
        <v/>
      </c>
      <c r="I488">
        <f>IF(F488="","",INDEX(Deals!$D$2:$D$843,F488))</f>
        <v/>
      </c>
      <c r="J488">
        <f>IF(F488="","",INT(H488)-B488)</f>
        <v/>
      </c>
      <c r="K488">
        <f>IF(B488&gt;=Settings!$C$5,1,0)</f>
        <v/>
      </c>
    </row>
    <row r="489">
      <c r="A489" t="inlineStr">
        <is>
          <t>2e2992d94a06495495a1a0f62ecd9f58</t>
        </is>
      </c>
      <c r="B489" s="29" t="n">
        <v>43153</v>
      </c>
      <c r="C489" t="inlineStr">
        <is>
          <t>2018-02</t>
        </is>
      </c>
      <c r="D489" t="inlineStr">
        <is>
          <t>fbc24da54d531c6204ae2d17b1090bb1</t>
        </is>
      </c>
      <c r="E489" t="inlineStr">
        <is>
          <t>paid_search</t>
        </is>
      </c>
      <c r="F489">
        <f>IFERROR(MATCH(A489,Deals!$A$2:$A$843,0),"")</f>
        <v/>
      </c>
      <c r="G489">
        <f>IF(F489="",0,1)</f>
        <v/>
      </c>
      <c r="H489" s="29">
        <f>IF(F489="","",INDEX(Deals!$E$2:$E$843,F489))</f>
        <v/>
      </c>
      <c r="I489">
        <f>IF(F489="","",INDEX(Deals!$D$2:$D$843,F489))</f>
        <v/>
      </c>
      <c r="J489">
        <f>IF(F489="","",INT(H489)-B489)</f>
        <v/>
      </c>
      <c r="K489">
        <f>IF(B489&gt;=Settings!$C$5,1,0)</f>
        <v/>
      </c>
    </row>
    <row r="490">
      <c r="A490" t="inlineStr">
        <is>
          <t>5b97f793636f8baec3ff8cd0ebf5c33c</t>
        </is>
      </c>
      <c r="B490" s="29" t="n">
        <v>43159</v>
      </c>
      <c r="C490" t="inlineStr">
        <is>
          <t>2018-02</t>
        </is>
      </c>
      <c r="D490" t="inlineStr">
        <is>
          <t>e492ee5eaf1697716985cc6f33f9cd9b</t>
        </is>
      </c>
      <c r="E490" t="inlineStr">
        <is>
          <t>other_publicities</t>
        </is>
      </c>
      <c r="F490">
        <f>IFERROR(MATCH(A490,Deals!$A$2:$A$843,0),"")</f>
        <v/>
      </c>
      <c r="G490">
        <f>IF(F490="",0,1)</f>
        <v/>
      </c>
      <c r="H490" s="29">
        <f>IF(F490="","",INDEX(Deals!$E$2:$E$843,F490))</f>
        <v/>
      </c>
      <c r="I490">
        <f>IF(F490="","",INDEX(Deals!$D$2:$D$843,F490))</f>
        <v/>
      </c>
      <c r="J490">
        <f>IF(F490="","",INT(H490)-B490)</f>
        <v/>
      </c>
      <c r="K490">
        <f>IF(B490&gt;=Settings!$C$5,1,0)</f>
        <v/>
      </c>
    </row>
    <row r="491">
      <c r="A491" t="inlineStr">
        <is>
          <t>51edcfc8df66cc438e0903f7a5e8a1f0</t>
        </is>
      </c>
      <c r="B491" s="29" t="n">
        <v>43194</v>
      </c>
      <c r="C491" t="inlineStr">
        <is>
          <t>2018-04</t>
        </is>
      </c>
      <c r="D491" t="inlineStr">
        <is>
          <t>0edc241702f5e6c046cbdbc4b5ef6a13</t>
        </is>
      </c>
      <c r="E491" t="inlineStr">
        <is>
          <t>organic_search</t>
        </is>
      </c>
      <c r="F491">
        <f>IFERROR(MATCH(A491,Deals!$A$2:$A$843,0),"")</f>
        <v/>
      </c>
      <c r="G491">
        <f>IF(F491="",0,1)</f>
        <v/>
      </c>
      <c r="H491" s="29">
        <f>IF(F491="","",INDEX(Deals!$E$2:$E$843,F491))</f>
        <v/>
      </c>
      <c r="I491">
        <f>IF(F491="","",INDEX(Deals!$D$2:$D$843,F491))</f>
        <v/>
      </c>
      <c r="J491">
        <f>IF(F491="","",INT(H491)-B491)</f>
        <v/>
      </c>
      <c r="K491">
        <f>IF(B491&gt;=Settings!$C$5,1,0)</f>
        <v/>
      </c>
    </row>
    <row r="492">
      <c r="A492" t="inlineStr">
        <is>
          <t>f1543ed948fae345d291eea0a5968985</t>
        </is>
      </c>
      <c r="B492" s="29" t="n">
        <v>42923</v>
      </c>
      <c r="C492" t="inlineStr">
        <is>
          <t>2017-07</t>
        </is>
      </c>
      <c r="D492" t="inlineStr">
        <is>
          <t>909e333f8f23574f93115bd3d402e202</t>
        </is>
      </c>
      <c r="E492" t="inlineStr">
        <is>
          <t>unknown</t>
        </is>
      </c>
      <c r="F492">
        <f>IFERROR(MATCH(A492,Deals!$A$2:$A$843,0),"")</f>
        <v/>
      </c>
      <c r="G492">
        <f>IF(F492="",0,1)</f>
        <v/>
      </c>
      <c r="H492" s="29">
        <f>IF(F492="","",INDEX(Deals!$E$2:$E$843,F492))</f>
        <v/>
      </c>
      <c r="I492">
        <f>IF(F492="","",INDEX(Deals!$D$2:$D$843,F492))</f>
        <v/>
      </c>
      <c r="J492">
        <f>IF(F492="","",INT(H492)-B492)</f>
        <v/>
      </c>
      <c r="K492">
        <f>IF(B492&gt;=Settings!$C$5,1,0)</f>
        <v/>
      </c>
    </row>
    <row r="493">
      <c r="A493" t="inlineStr">
        <is>
          <t>3bd078bc98f2cc8083b6fd77dd5eb006</t>
        </is>
      </c>
      <c r="B493" s="29" t="n">
        <v>43221</v>
      </c>
      <c r="C493" t="inlineStr">
        <is>
          <t>2018-05</t>
        </is>
      </c>
      <c r="D493" t="inlineStr">
        <is>
          <t>b76ef37428e6799c421989521c0e5077</t>
        </is>
      </c>
      <c r="E493" t="inlineStr">
        <is>
          <t>unknown</t>
        </is>
      </c>
      <c r="F493">
        <f>IFERROR(MATCH(A493,Deals!$A$2:$A$843,0),"")</f>
        <v/>
      </c>
      <c r="G493">
        <f>IF(F493="",0,1)</f>
        <v/>
      </c>
      <c r="H493" s="29">
        <f>IF(F493="","",INDEX(Deals!$E$2:$E$843,F493))</f>
        <v/>
      </c>
      <c r="I493">
        <f>IF(F493="","",INDEX(Deals!$D$2:$D$843,F493))</f>
        <v/>
      </c>
      <c r="J493">
        <f>IF(F493="","",INT(H493)-B493)</f>
        <v/>
      </c>
      <c r="K493">
        <f>IF(B493&gt;=Settings!$C$5,1,0)</f>
        <v/>
      </c>
    </row>
    <row r="494">
      <c r="A494" t="inlineStr">
        <is>
          <t>66b89e3f3e7e090a9a3c294329b421bd</t>
        </is>
      </c>
      <c r="B494" s="29" t="n">
        <v>43068</v>
      </c>
      <c r="C494" t="inlineStr">
        <is>
          <t>2017-11</t>
        </is>
      </c>
      <c r="D494" t="inlineStr">
        <is>
          <t>58f8c0a253663304e348e81298bc255e</t>
        </is>
      </c>
      <c r="E494" t="inlineStr">
        <is>
          <t>email</t>
        </is>
      </c>
      <c r="F494">
        <f>IFERROR(MATCH(A494,Deals!$A$2:$A$843,0),"")</f>
        <v/>
      </c>
      <c r="G494">
        <f>IF(F494="",0,1)</f>
        <v/>
      </c>
      <c r="H494" s="29">
        <f>IF(F494="","",INDEX(Deals!$E$2:$E$843,F494))</f>
        <v/>
      </c>
      <c r="I494">
        <f>IF(F494="","",INDEX(Deals!$D$2:$D$843,F494))</f>
        <v/>
      </c>
      <c r="J494">
        <f>IF(F494="","",INT(H494)-B494)</f>
        <v/>
      </c>
      <c r="K494">
        <f>IF(B494&gt;=Settings!$C$5,1,0)</f>
        <v/>
      </c>
    </row>
    <row r="495">
      <c r="A495" t="inlineStr">
        <is>
          <t>95938bd687b287423c514deeae8bf4f1</t>
        </is>
      </c>
      <c r="B495" s="29" t="n">
        <v>43180</v>
      </c>
      <c r="C495" t="inlineStr">
        <is>
          <t>2018-03</t>
        </is>
      </c>
      <c r="D495" t="inlineStr">
        <is>
          <t>a7982125ff7aa3b2054c6e44f9d28522</t>
        </is>
      </c>
      <c r="E495" t="inlineStr">
        <is>
          <t>organic_search</t>
        </is>
      </c>
      <c r="F495">
        <f>IFERROR(MATCH(A495,Deals!$A$2:$A$843,0),"")</f>
        <v/>
      </c>
      <c r="G495">
        <f>IF(F495="",0,1)</f>
        <v/>
      </c>
      <c r="H495" s="29">
        <f>IF(F495="","",INDEX(Deals!$E$2:$E$843,F495))</f>
        <v/>
      </c>
      <c r="I495">
        <f>IF(F495="","",INDEX(Deals!$D$2:$D$843,F495))</f>
        <v/>
      </c>
      <c r="J495">
        <f>IF(F495="","",INT(H495)-B495)</f>
        <v/>
      </c>
      <c r="K495">
        <f>IF(B495&gt;=Settings!$C$5,1,0)</f>
        <v/>
      </c>
    </row>
    <row r="496">
      <c r="A496" t="inlineStr">
        <is>
          <t>8a6f7bff61eadc7c53c8a91cbc98b656</t>
        </is>
      </c>
      <c r="B496" s="29" t="n">
        <v>43250</v>
      </c>
      <c r="C496" t="inlineStr">
        <is>
          <t>2018-05</t>
        </is>
      </c>
      <c r="D496" t="inlineStr">
        <is>
          <t>30534107aa0013db92899c96a1017d0b</t>
        </is>
      </c>
      <c r="E496" t="inlineStr">
        <is>
          <t>social</t>
        </is>
      </c>
      <c r="F496">
        <f>IFERROR(MATCH(A496,Deals!$A$2:$A$843,0),"")</f>
        <v/>
      </c>
      <c r="G496">
        <f>IF(F496="",0,1)</f>
        <v/>
      </c>
      <c r="H496" s="29">
        <f>IF(F496="","",INDEX(Deals!$E$2:$E$843,F496))</f>
        <v/>
      </c>
      <c r="I496">
        <f>IF(F496="","",INDEX(Deals!$D$2:$D$843,F496))</f>
        <v/>
      </c>
      <c r="J496">
        <f>IF(F496="","",INT(H496)-B496)</f>
        <v/>
      </c>
      <c r="K496">
        <f>IF(B496&gt;=Settings!$C$5,1,0)</f>
        <v/>
      </c>
    </row>
    <row r="497">
      <c r="A497" t="inlineStr">
        <is>
          <t>023e6ab858003d6ff00592486941ba1c</t>
        </is>
      </c>
      <c r="B497" s="29" t="n">
        <v>43175</v>
      </c>
      <c r="C497" t="inlineStr">
        <is>
          <t>2018-03</t>
        </is>
      </c>
      <c r="D497" t="inlineStr">
        <is>
          <t>b48ec5f3b04e9068441002a19df93c6c</t>
        </is>
      </c>
      <c r="E497" t="inlineStr">
        <is>
          <t>direct_traffic</t>
        </is>
      </c>
      <c r="F497">
        <f>IFERROR(MATCH(A497,Deals!$A$2:$A$843,0),"")</f>
        <v/>
      </c>
      <c r="G497">
        <f>IF(F497="",0,1)</f>
        <v/>
      </c>
      <c r="H497" s="29">
        <f>IF(F497="","",INDEX(Deals!$E$2:$E$843,F497))</f>
        <v/>
      </c>
      <c r="I497">
        <f>IF(F497="","",INDEX(Deals!$D$2:$D$843,F497))</f>
        <v/>
      </c>
      <c r="J497">
        <f>IF(F497="","",INT(H497)-B497)</f>
        <v/>
      </c>
      <c r="K497">
        <f>IF(B497&gt;=Settings!$C$5,1,0)</f>
        <v/>
      </c>
    </row>
    <row r="498">
      <c r="A498" t="inlineStr">
        <is>
          <t>87d76d9c72d0b437182d4c27536b43c2</t>
        </is>
      </c>
      <c r="B498" s="29" t="n">
        <v>42990</v>
      </c>
      <c r="C498" t="inlineStr">
        <is>
          <t>2017-09</t>
        </is>
      </c>
      <c r="D498" t="inlineStr">
        <is>
          <t>22c29808c4f815213303f8933030604c</t>
        </is>
      </c>
      <c r="E498" t="inlineStr">
        <is>
          <t>direct_traffic</t>
        </is>
      </c>
      <c r="F498">
        <f>IFERROR(MATCH(A498,Deals!$A$2:$A$843,0),"")</f>
        <v/>
      </c>
      <c r="G498">
        <f>IF(F498="",0,1)</f>
        <v/>
      </c>
      <c r="H498" s="29">
        <f>IF(F498="","",INDEX(Deals!$E$2:$E$843,F498))</f>
        <v/>
      </c>
      <c r="I498">
        <f>IF(F498="","",INDEX(Deals!$D$2:$D$843,F498))</f>
        <v/>
      </c>
      <c r="J498">
        <f>IF(F498="","",INT(H498)-B498)</f>
        <v/>
      </c>
      <c r="K498">
        <f>IF(B498&gt;=Settings!$C$5,1,0)</f>
        <v/>
      </c>
    </row>
    <row r="499">
      <c r="A499" t="inlineStr">
        <is>
          <t>fa757d4df53d4143d09ec8064b630ac0</t>
        </is>
      </c>
      <c r="B499" s="29" t="n">
        <v>43210</v>
      </c>
      <c r="C499" t="inlineStr">
        <is>
          <t>2018-04</t>
        </is>
      </c>
      <c r="D499" t="inlineStr">
        <is>
          <t>42a2a1be58277f162c18bad69bcc544f</t>
        </is>
      </c>
      <c r="E499" t="inlineStr">
        <is>
          <t>organic_search</t>
        </is>
      </c>
      <c r="F499">
        <f>IFERROR(MATCH(A499,Deals!$A$2:$A$843,0),"")</f>
        <v/>
      </c>
      <c r="G499">
        <f>IF(F499="",0,1)</f>
        <v/>
      </c>
      <c r="H499" s="29">
        <f>IF(F499="","",INDEX(Deals!$E$2:$E$843,F499))</f>
        <v/>
      </c>
      <c r="I499">
        <f>IF(F499="","",INDEX(Deals!$D$2:$D$843,F499))</f>
        <v/>
      </c>
      <c r="J499">
        <f>IF(F499="","",INT(H499)-B499)</f>
        <v/>
      </c>
      <c r="K499">
        <f>IF(B499&gt;=Settings!$C$5,1,0)</f>
        <v/>
      </c>
    </row>
    <row r="500">
      <c r="A500" t="inlineStr">
        <is>
          <t>7673db7ecdcf90a19bdf92b9da1bb193</t>
        </is>
      </c>
      <c r="B500" s="29" t="n">
        <v>43139</v>
      </c>
      <c r="C500" t="inlineStr">
        <is>
          <t>2018-02</t>
        </is>
      </c>
      <c r="D500" t="inlineStr">
        <is>
          <t>22c29808c4f815213303f8933030604c</t>
        </is>
      </c>
      <c r="E500" t="inlineStr">
        <is>
          <t>organic_search</t>
        </is>
      </c>
      <c r="F500">
        <f>IFERROR(MATCH(A500,Deals!$A$2:$A$843,0),"")</f>
        <v/>
      </c>
      <c r="G500">
        <f>IF(F500="",0,1)</f>
        <v/>
      </c>
      <c r="H500" s="29">
        <f>IF(F500="","",INDEX(Deals!$E$2:$E$843,F500))</f>
        <v/>
      </c>
      <c r="I500">
        <f>IF(F500="","",INDEX(Deals!$D$2:$D$843,F500))</f>
        <v/>
      </c>
      <c r="J500">
        <f>IF(F500="","",INT(H500)-B500)</f>
        <v/>
      </c>
      <c r="K500">
        <f>IF(B500&gt;=Settings!$C$5,1,0)</f>
        <v/>
      </c>
    </row>
    <row r="501">
      <c r="A501" t="inlineStr">
        <is>
          <t>127f75906618c4a0d33d9188ac6df110</t>
        </is>
      </c>
      <c r="B501" s="29" t="n">
        <v>43148</v>
      </c>
      <c r="C501" t="inlineStr">
        <is>
          <t>2018-02</t>
        </is>
      </c>
      <c r="D501" t="inlineStr">
        <is>
          <t>88740e65d5d6b056e0cda098e1ea6313</t>
        </is>
      </c>
      <c r="E501" t="inlineStr">
        <is>
          <t>social</t>
        </is>
      </c>
      <c r="F501">
        <f>IFERROR(MATCH(A501,Deals!$A$2:$A$843,0),"")</f>
        <v/>
      </c>
      <c r="G501">
        <f>IF(F501="",0,1)</f>
        <v/>
      </c>
      <c r="H501" s="29">
        <f>IF(F501="","",INDEX(Deals!$E$2:$E$843,F501))</f>
        <v/>
      </c>
      <c r="I501">
        <f>IF(F501="","",INDEX(Deals!$D$2:$D$843,F501))</f>
        <v/>
      </c>
      <c r="J501">
        <f>IF(F501="","",INT(H501)-B501)</f>
        <v/>
      </c>
      <c r="K501">
        <f>IF(B501&gt;=Settings!$C$5,1,0)</f>
        <v/>
      </c>
    </row>
    <row r="502">
      <c r="A502" t="inlineStr">
        <is>
          <t>aa6a3c8aa592b5d8bdded3b1f8206538</t>
        </is>
      </c>
      <c r="B502" s="29" t="n">
        <v>43215</v>
      </c>
      <c r="C502" t="inlineStr">
        <is>
          <t>2018-04</t>
        </is>
      </c>
      <c r="D502" t="inlineStr">
        <is>
          <t>5da54625ee0a9560dc9b9b9f6ccb03d0</t>
        </is>
      </c>
      <c r="E502" t="inlineStr">
        <is>
          <t>paid_search</t>
        </is>
      </c>
      <c r="F502">
        <f>IFERROR(MATCH(A502,Deals!$A$2:$A$843,0),"")</f>
        <v/>
      </c>
      <c r="G502">
        <f>IF(F502="",0,1)</f>
        <v/>
      </c>
      <c r="H502" s="29">
        <f>IF(F502="","",INDEX(Deals!$E$2:$E$843,F502))</f>
        <v/>
      </c>
      <c r="I502">
        <f>IF(F502="","",INDEX(Deals!$D$2:$D$843,F502))</f>
        <v/>
      </c>
      <c r="J502">
        <f>IF(F502="","",INT(H502)-B502)</f>
        <v/>
      </c>
      <c r="K502">
        <f>IF(B502&gt;=Settings!$C$5,1,0)</f>
        <v/>
      </c>
    </row>
    <row r="503">
      <c r="A503" t="inlineStr">
        <is>
          <t>228205019b79a1a8101b261c10df7ecd</t>
        </is>
      </c>
      <c r="B503" s="29" t="n">
        <v>42950</v>
      </c>
      <c r="C503" t="inlineStr">
        <is>
          <t>2017-08</t>
        </is>
      </c>
      <c r="D503" t="inlineStr">
        <is>
          <t>3b86d7e8c33da2767ad2af9782f383d5</t>
        </is>
      </c>
      <c r="E503" t="inlineStr">
        <is>
          <t>unknown</t>
        </is>
      </c>
      <c r="F503">
        <f>IFERROR(MATCH(A503,Deals!$A$2:$A$843,0),"")</f>
        <v/>
      </c>
      <c r="G503">
        <f>IF(F503="",0,1)</f>
        <v/>
      </c>
      <c r="H503" s="29">
        <f>IF(F503="","",INDEX(Deals!$E$2:$E$843,F503))</f>
        <v/>
      </c>
      <c r="I503">
        <f>IF(F503="","",INDEX(Deals!$D$2:$D$843,F503))</f>
        <v/>
      </c>
      <c r="J503">
        <f>IF(F503="","",INT(H503)-B503)</f>
        <v/>
      </c>
      <c r="K503">
        <f>IF(B503&gt;=Settings!$C$5,1,0)</f>
        <v/>
      </c>
    </row>
    <row r="504">
      <c r="A504" t="inlineStr">
        <is>
          <t>4e746882294308d42eeed71ba0aacbf8</t>
        </is>
      </c>
      <c r="B504" s="29" t="n">
        <v>43013</v>
      </c>
      <c r="C504" t="inlineStr">
        <is>
          <t>2017-10</t>
        </is>
      </c>
      <c r="D504" t="inlineStr">
        <is>
          <t>b76ef37428e6799c421989521c0e5077</t>
        </is>
      </c>
      <c r="E504" t="inlineStr">
        <is>
          <t>unknown</t>
        </is>
      </c>
      <c r="F504">
        <f>IFERROR(MATCH(A504,Deals!$A$2:$A$843,0),"")</f>
        <v/>
      </c>
      <c r="G504">
        <f>IF(F504="",0,1)</f>
        <v/>
      </c>
      <c r="H504" s="29">
        <f>IF(F504="","",INDEX(Deals!$E$2:$E$843,F504))</f>
        <v/>
      </c>
      <c r="I504">
        <f>IF(F504="","",INDEX(Deals!$D$2:$D$843,F504))</f>
        <v/>
      </c>
      <c r="J504">
        <f>IF(F504="","",INT(H504)-B504)</f>
        <v/>
      </c>
      <c r="K504">
        <f>IF(B504&gt;=Settings!$C$5,1,0)</f>
        <v/>
      </c>
    </row>
    <row r="505">
      <c r="A505" t="inlineStr">
        <is>
          <t>33649064cd253288159fcd9af5277e3d</t>
        </is>
      </c>
      <c r="B505" s="29" t="n">
        <v>42936</v>
      </c>
      <c r="C505" t="inlineStr">
        <is>
          <t>2017-07</t>
        </is>
      </c>
      <c r="D505" t="inlineStr">
        <is>
          <t>898cd726567d811ec9166b950696f511</t>
        </is>
      </c>
      <c r="E505" t="inlineStr">
        <is>
          <t>organic_search</t>
        </is>
      </c>
      <c r="F505">
        <f>IFERROR(MATCH(A505,Deals!$A$2:$A$843,0),"")</f>
        <v/>
      </c>
      <c r="G505">
        <f>IF(F505="",0,1)</f>
        <v/>
      </c>
      <c r="H505" s="29">
        <f>IF(F505="","",INDEX(Deals!$E$2:$E$843,F505))</f>
        <v/>
      </c>
      <c r="I505">
        <f>IF(F505="","",INDEX(Deals!$D$2:$D$843,F505))</f>
        <v/>
      </c>
      <c r="J505">
        <f>IF(F505="","",INT(H505)-B505)</f>
        <v/>
      </c>
      <c r="K505">
        <f>IF(B505&gt;=Settings!$C$5,1,0)</f>
        <v/>
      </c>
    </row>
    <row r="506">
      <c r="A506" t="inlineStr">
        <is>
          <t>9fee399594eedea998f1a940c8f0e280</t>
        </is>
      </c>
      <c r="B506" s="29" t="n">
        <v>43035</v>
      </c>
      <c r="C506" t="inlineStr">
        <is>
          <t>2017-10</t>
        </is>
      </c>
      <c r="D506" t="inlineStr">
        <is>
          <t>21a104c3279681d9856b8a48723c4fee</t>
        </is>
      </c>
      <c r="E506" t="inlineStr">
        <is>
          <t>unknown</t>
        </is>
      </c>
      <c r="F506">
        <f>IFERROR(MATCH(A506,Deals!$A$2:$A$843,0),"")</f>
        <v/>
      </c>
      <c r="G506">
        <f>IF(F506="",0,1)</f>
        <v/>
      </c>
      <c r="H506" s="29">
        <f>IF(F506="","",INDEX(Deals!$E$2:$E$843,F506))</f>
        <v/>
      </c>
      <c r="I506">
        <f>IF(F506="","",INDEX(Deals!$D$2:$D$843,F506))</f>
        <v/>
      </c>
      <c r="J506">
        <f>IF(F506="","",INT(H506)-B506)</f>
        <v/>
      </c>
      <c r="K506">
        <f>IF(B506&gt;=Settings!$C$5,1,0)</f>
        <v/>
      </c>
    </row>
    <row r="507">
      <c r="A507" t="inlineStr">
        <is>
          <t>4ff7acc3af759d2b27ba34a457c41932</t>
        </is>
      </c>
      <c r="B507" s="29" t="n">
        <v>43196</v>
      </c>
      <c r="C507" t="inlineStr">
        <is>
          <t>2018-04</t>
        </is>
      </c>
      <c r="D507" t="inlineStr">
        <is>
          <t>a7982125ff7aa3b2054c6e44f9d28522</t>
        </is>
      </c>
      <c r="E507" t="inlineStr">
        <is>
          <t>display</t>
        </is>
      </c>
      <c r="F507">
        <f>IFERROR(MATCH(A507,Deals!$A$2:$A$843,0),"")</f>
        <v/>
      </c>
      <c r="G507">
        <f>IF(F507="",0,1)</f>
        <v/>
      </c>
      <c r="H507" s="29">
        <f>IF(F507="","",INDEX(Deals!$E$2:$E$843,F507))</f>
        <v/>
      </c>
      <c r="I507">
        <f>IF(F507="","",INDEX(Deals!$D$2:$D$843,F507))</f>
        <v/>
      </c>
      <c r="J507">
        <f>IF(F507="","",INT(H507)-B507)</f>
        <v/>
      </c>
      <c r="K507">
        <f>IF(B507&gt;=Settings!$C$5,1,0)</f>
        <v/>
      </c>
    </row>
    <row r="508">
      <c r="A508" t="inlineStr">
        <is>
          <t>ad991d32eb17e17007e63268f19944b6</t>
        </is>
      </c>
      <c r="B508" s="29" t="n">
        <v>43104</v>
      </c>
      <c r="C508" t="inlineStr">
        <is>
          <t>2018-01</t>
        </is>
      </c>
      <c r="D508" t="inlineStr">
        <is>
          <t>73f31a40697cc90a86c1273563ac230e</t>
        </is>
      </c>
      <c r="E508" t="inlineStr">
        <is>
          <t>other</t>
        </is>
      </c>
      <c r="F508">
        <f>IFERROR(MATCH(A508,Deals!$A$2:$A$843,0),"")</f>
        <v/>
      </c>
      <c r="G508">
        <f>IF(F508="",0,1)</f>
        <v/>
      </c>
      <c r="H508" s="29">
        <f>IF(F508="","",INDEX(Deals!$E$2:$E$843,F508))</f>
        <v/>
      </c>
      <c r="I508">
        <f>IF(F508="","",INDEX(Deals!$D$2:$D$843,F508))</f>
        <v/>
      </c>
      <c r="J508">
        <f>IF(F508="","",INT(H508)-B508)</f>
        <v/>
      </c>
      <c r="K508">
        <f>IF(B508&gt;=Settings!$C$5,1,0)</f>
        <v/>
      </c>
    </row>
    <row r="509">
      <c r="A509" t="inlineStr">
        <is>
          <t>4754d8f63266be774e77a7268383769c</t>
        </is>
      </c>
      <c r="B509" s="29" t="n">
        <v>43193</v>
      </c>
      <c r="C509" t="inlineStr">
        <is>
          <t>2018-04</t>
        </is>
      </c>
      <c r="D509" t="inlineStr">
        <is>
          <t>58326e62183c14b0c03085c33b9fdc44</t>
        </is>
      </c>
      <c r="E509" t="inlineStr">
        <is>
          <t>social</t>
        </is>
      </c>
      <c r="F509">
        <f>IFERROR(MATCH(A509,Deals!$A$2:$A$843,0),"")</f>
        <v/>
      </c>
      <c r="G509">
        <f>IF(F509="",0,1)</f>
        <v/>
      </c>
      <c r="H509" s="29">
        <f>IF(F509="","",INDEX(Deals!$E$2:$E$843,F509))</f>
        <v/>
      </c>
      <c r="I509">
        <f>IF(F509="","",INDEX(Deals!$D$2:$D$843,F509))</f>
        <v/>
      </c>
      <c r="J509">
        <f>IF(F509="","",INT(H509)-B509)</f>
        <v/>
      </c>
      <c r="K509">
        <f>IF(B509&gt;=Settings!$C$5,1,0)</f>
        <v/>
      </c>
    </row>
    <row r="510">
      <c r="A510" t="inlineStr">
        <is>
          <t>20fcec0873b39b4df3df34140d77d6e7</t>
        </is>
      </c>
      <c r="B510" s="29" t="n">
        <v>43112</v>
      </c>
      <c r="C510" t="inlineStr">
        <is>
          <t>2018-01</t>
        </is>
      </c>
      <c r="D510" t="inlineStr">
        <is>
          <t>22c29808c4f815213303f8933030604c</t>
        </is>
      </c>
      <c r="E510" t="inlineStr">
        <is>
          <t>organic_search</t>
        </is>
      </c>
      <c r="F510">
        <f>IFERROR(MATCH(A510,Deals!$A$2:$A$843,0),"")</f>
        <v/>
      </c>
      <c r="G510">
        <f>IF(F510="",0,1)</f>
        <v/>
      </c>
      <c r="H510" s="29">
        <f>IF(F510="","",INDEX(Deals!$E$2:$E$843,F510))</f>
        <v/>
      </c>
      <c r="I510">
        <f>IF(F510="","",INDEX(Deals!$D$2:$D$843,F510))</f>
        <v/>
      </c>
      <c r="J510">
        <f>IF(F510="","",INT(H510)-B510)</f>
        <v/>
      </c>
      <c r="K510">
        <f>IF(B510&gt;=Settings!$C$5,1,0)</f>
        <v/>
      </c>
    </row>
    <row r="511">
      <c r="A511" t="inlineStr">
        <is>
          <t>bd9fb5bbd181adfbe45160a602053aaf</t>
        </is>
      </c>
      <c r="B511" s="29" t="n">
        <v>43194</v>
      </c>
      <c r="C511" t="inlineStr">
        <is>
          <t>2018-04</t>
        </is>
      </c>
      <c r="D511" t="inlineStr">
        <is>
          <t>0218f6be0b76aca72ab4d00ee9e8cf10</t>
        </is>
      </c>
      <c r="E511" t="inlineStr">
        <is>
          <t>organic_search</t>
        </is>
      </c>
      <c r="F511">
        <f>IFERROR(MATCH(A511,Deals!$A$2:$A$843,0),"")</f>
        <v/>
      </c>
      <c r="G511">
        <f>IF(F511="",0,1)</f>
        <v/>
      </c>
      <c r="H511" s="29">
        <f>IF(F511="","",INDEX(Deals!$E$2:$E$843,F511))</f>
        <v/>
      </c>
      <c r="I511">
        <f>IF(F511="","",INDEX(Deals!$D$2:$D$843,F511))</f>
        <v/>
      </c>
      <c r="J511">
        <f>IF(F511="","",INT(H511)-B511)</f>
        <v/>
      </c>
      <c r="K511">
        <f>IF(B511&gt;=Settings!$C$5,1,0)</f>
        <v/>
      </c>
    </row>
    <row r="512">
      <c r="A512" t="inlineStr">
        <is>
          <t>bb4df4040cf296bb8e3e4e090827da37</t>
        </is>
      </c>
      <c r="B512" s="29" t="n">
        <v>43087</v>
      </c>
      <c r="C512" t="inlineStr">
        <is>
          <t>2017-12</t>
        </is>
      </c>
      <c r="D512" t="inlineStr">
        <is>
          <t>de6d03557a0274d452fc442797717b8a</t>
        </is>
      </c>
      <c r="E512" t="inlineStr">
        <is>
          <t>paid_search</t>
        </is>
      </c>
      <c r="F512">
        <f>IFERROR(MATCH(A512,Deals!$A$2:$A$843,0),"")</f>
        <v/>
      </c>
      <c r="G512">
        <f>IF(F512="",0,1)</f>
        <v/>
      </c>
      <c r="H512" s="29">
        <f>IF(F512="","",INDEX(Deals!$E$2:$E$843,F512))</f>
        <v/>
      </c>
      <c r="I512">
        <f>IF(F512="","",INDEX(Deals!$D$2:$D$843,F512))</f>
        <v/>
      </c>
      <c r="J512">
        <f>IF(F512="","",INT(H512)-B512)</f>
        <v/>
      </c>
      <c r="K512">
        <f>IF(B512&gt;=Settings!$C$5,1,0)</f>
        <v/>
      </c>
    </row>
    <row r="513">
      <c r="A513" t="inlineStr">
        <is>
          <t>9e2820cf5cac004ea701f2a1b891cac3</t>
        </is>
      </c>
      <c r="B513" s="29" t="n">
        <v>43045</v>
      </c>
      <c r="C513" t="inlineStr">
        <is>
          <t>2017-11</t>
        </is>
      </c>
      <c r="D513" t="inlineStr">
        <is>
          <t>214b0943d4ad794c4086cf7e38785ef2</t>
        </is>
      </c>
      <c r="E513" t="inlineStr">
        <is>
          <t>referral</t>
        </is>
      </c>
      <c r="F513">
        <f>IFERROR(MATCH(A513,Deals!$A$2:$A$843,0),"")</f>
        <v/>
      </c>
      <c r="G513">
        <f>IF(F513="",0,1)</f>
        <v/>
      </c>
      <c r="H513" s="29">
        <f>IF(F513="","",INDEX(Deals!$E$2:$E$843,F513))</f>
        <v/>
      </c>
      <c r="I513">
        <f>IF(F513="","",INDEX(Deals!$D$2:$D$843,F513))</f>
        <v/>
      </c>
      <c r="J513">
        <f>IF(F513="","",INT(H513)-B513)</f>
        <v/>
      </c>
      <c r="K513">
        <f>IF(B513&gt;=Settings!$C$5,1,0)</f>
        <v/>
      </c>
    </row>
    <row r="514">
      <c r="A514" t="inlineStr">
        <is>
          <t>3fd7223c089a80a2ec2f18722d3d3456</t>
        </is>
      </c>
      <c r="B514" s="29" t="n">
        <v>43152</v>
      </c>
      <c r="C514" t="inlineStr">
        <is>
          <t>2018-02</t>
        </is>
      </c>
      <c r="D514" t="inlineStr">
        <is>
          <t>22c29808c4f815213303f8933030604c</t>
        </is>
      </c>
      <c r="E514" t="inlineStr">
        <is>
          <t>paid_search</t>
        </is>
      </c>
      <c r="F514">
        <f>IFERROR(MATCH(A514,Deals!$A$2:$A$843,0),"")</f>
        <v/>
      </c>
      <c r="G514">
        <f>IF(F514="",0,1)</f>
        <v/>
      </c>
      <c r="H514" s="29">
        <f>IF(F514="","",INDEX(Deals!$E$2:$E$843,F514))</f>
        <v/>
      </c>
      <c r="I514">
        <f>IF(F514="","",INDEX(Deals!$D$2:$D$843,F514))</f>
        <v/>
      </c>
      <c r="J514">
        <f>IF(F514="","",INT(H514)-B514)</f>
        <v/>
      </c>
      <c r="K514">
        <f>IF(B514&gt;=Settings!$C$5,1,0)</f>
        <v/>
      </c>
    </row>
    <row r="515">
      <c r="A515" t="inlineStr">
        <is>
          <t>573748cf0c5fc9964b24ad2ee2134b23</t>
        </is>
      </c>
      <c r="B515" s="29" t="n">
        <v>43039</v>
      </c>
      <c r="C515" t="inlineStr">
        <is>
          <t>2017-10</t>
        </is>
      </c>
      <c r="D515" t="inlineStr">
        <is>
          <t>1722481ac9e5371e5099dea226b5421d</t>
        </is>
      </c>
      <c r="E515" t="inlineStr">
        <is>
          <t>paid_search</t>
        </is>
      </c>
      <c r="F515">
        <f>IFERROR(MATCH(A515,Deals!$A$2:$A$843,0),"")</f>
        <v/>
      </c>
      <c r="G515">
        <f>IF(F515="",0,1)</f>
        <v/>
      </c>
      <c r="H515" s="29">
        <f>IF(F515="","",INDEX(Deals!$E$2:$E$843,F515))</f>
        <v/>
      </c>
      <c r="I515">
        <f>IF(F515="","",INDEX(Deals!$D$2:$D$843,F515))</f>
        <v/>
      </c>
      <c r="J515">
        <f>IF(F515="","",INT(H515)-B515)</f>
        <v/>
      </c>
      <c r="K515">
        <f>IF(B515&gt;=Settings!$C$5,1,0)</f>
        <v/>
      </c>
    </row>
    <row r="516">
      <c r="A516" t="inlineStr">
        <is>
          <t>0f7f9b5535079ff1dd10737feb5e1ce3</t>
        </is>
      </c>
      <c r="B516" s="29" t="n">
        <v>42968</v>
      </c>
      <c r="C516" t="inlineStr">
        <is>
          <t>2017-08</t>
        </is>
      </c>
      <c r="D516" t="inlineStr">
        <is>
          <t>3cd2a8301d5395f21cdd3094c9eaa2f4</t>
        </is>
      </c>
      <c r="E516" t="inlineStr">
        <is>
          <t>paid_search</t>
        </is>
      </c>
      <c r="F516">
        <f>IFERROR(MATCH(A516,Deals!$A$2:$A$843,0),"")</f>
        <v/>
      </c>
      <c r="G516">
        <f>IF(F516="",0,1)</f>
        <v/>
      </c>
      <c r="H516" s="29">
        <f>IF(F516="","",INDEX(Deals!$E$2:$E$843,F516))</f>
        <v/>
      </c>
      <c r="I516">
        <f>IF(F516="","",INDEX(Deals!$D$2:$D$843,F516))</f>
        <v/>
      </c>
      <c r="J516">
        <f>IF(F516="","",INT(H516)-B516)</f>
        <v/>
      </c>
      <c r="K516">
        <f>IF(B516&gt;=Settings!$C$5,1,0)</f>
        <v/>
      </c>
    </row>
    <row r="517">
      <c r="A517" t="inlineStr">
        <is>
          <t>8adcbdcc53c6a9e4a177848a8e275dd2</t>
        </is>
      </c>
      <c r="B517" s="29" t="n">
        <v>43131</v>
      </c>
      <c r="C517" t="inlineStr">
        <is>
          <t>2018-01</t>
        </is>
      </c>
      <c r="D517" t="inlineStr">
        <is>
          <t>73f31a40697cc90a86c1273563ac230e</t>
        </is>
      </c>
      <c r="E517" t="inlineStr">
        <is>
          <t>other</t>
        </is>
      </c>
      <c r="F517">
        <f>IFERROR(MATCH(A517,Deals!$A$2:$A$843,0),"")</f>
        <v/>
      </c>
      <c r="G517">
        <f>IF(F517="",0,1)</f>
        <v/>
      </c>
      <c r="H517" s="29">
        <f>IF(F517="","",INDEX(Deals!$E$2:$E$843,F517))</f>
        <v/>
      </c>
      <c r="I517">
        <f>IF(F517="","",INDEX(Deals!$D$2:$D$843,F517))</f>
        <v/>
      </c>
      <c r="J517">
        <f>IF(F517="","",INT(H517)-B517)</f>
        <v/>
      </c>
      <c r="K517">
        <f>IF(B517&gt;=Settings!$C$5,1,0)</f>
        <v/>
      </c>
    </row>
    <row r="518">
      <c r="A518" t="inlineStr">
        <is>
          <t>c6a46ef8d0ecdc66ea2c403bff93e5a9</t>
        </is>
      </c>
      <c r="B518" s="29" t="n">
        <v>43107</v>
      </c>
      <c r="C518" t="inlineStr">
        <is>
          <t>2018-01</t>
        </is>
      </c>
      <c r="D518" t="inlineStr">
        <is>
          <t>88740e65d5d6b056e0cda098e1ea6313</t>
        </is>
      </c>
      <c r="E518" t="inlineStr">
        <is>
          <t>social</t>
        </is>
      </c>
      <c r="F518">
        <f>IFERROR(MATCH(A518,Deals!$A$2:$A$843,0),"")</f>
        <v/>
      </c>
      <c r="G518">
        <f>IF(F518="",0,1)</f>
        <v/>
      </c>
      <c r="H518" s="29">
        <f>IF(F518="","",INDEX(Deals!$E$2:$E$843,F518))</f>
        <v/>
      </c>
      <c r="I518">
        <f>IF(F518="","",INDEX(Deals!$D$2:$D$843,F518))</f>
        <v/>
      </c>
      <c r="J518">
        <f>IF(F518="","",INT(H518)-B518)</f>
        <v/>
      </c>
      <c r="K518">
        <f>IF(B518&gt;=Settings!$C$5,1,0)</f>
        <v/>
      </c>
    </row>
    <row r="519">
      <c r="A519" t="inlineStr">
        <is>
          <t>7cf3a0e4045dc8e6b2aea2319ae903f8</t>
        </is>
      </c>
      <c r="B519" s="29" t="n">
        <v>43230</v>
      </c>
      <c r="C519" t="inlineStr">
        <is>
          <t>2018-05</t>
        </is>
      </c>
      <c r="D519" t="inlineStr">
        <is>
          <t>22c29808c4f815213303f8933030604c</t>
        </is>
      </c>
      <c r="E519" t="inlineStr">
        <is>
          <t>organic_search</t>
        </is>
      </c>
      <c r="F519">
        <f>IFERROR(MATCH(A519,Deals!$A$2:$A$843,0),"")</f>
        <v/>
      </c>
      <c r="G519">
        <f>IF(F519="",0,1)</f>
        <v/>
      </c>
      <c r="H519" s="29">
        <f>IF(F519="","",INDEX(Deals!$E$2:$E$843,F519))</f>
        <v/>
      </c>
      <c r="I519">
        <f>IF(F519="","",INDEX(Deals!$D$2:$D$843,F519))</f>
        <v/>
      </c>
      <c r="J519">
        <f>IF(F519="","",INT(H519)-B519)</f>
        <v/>
      </c>
      <c r="K519">
        <f>IF(B519&gt;=Settings!$C$5,1,0)</f>
        <v/>
      </c>
    </row>
    <row r="520">
      <c r="A520" t="inlineStr">
        <is>
          <t>981ede722a7928b3e9be985ada35c910</t>
        </is>
      </c>
      <c r="B520" s="29" t="n">
        <v>43228</v>
      </c>
      <c r="C520" t="inlineStr">
        <is>
          <t>2018-05</t>
        </is>
      </c>
      <c r="D520" t="inlineStr">
        <is>
          <t>e492ee5eaf1697716985cc6f33f9cd9b</t>
        </is>
      </c>
      <c r="E520" t="inlineStr">
        <is>
          <t>email</t>
        </is>
      </c>
      <c r="F520">
        <f>IFERROR(MATCH(A520,Deals!$A$2:$A$843,0),"")</f>
        <v/>
      </c>
      <c r="G520">
        <f>IF(F520="",0,1)</f>
        <v/>
      </c>
      <c r="H520" s="29">
        <f>IF(F520="","",INDEX(Deals!$E$2:$E$843,F520))</f>
        <v/>
      </c>
      <c r="I520">
        <f>IF(F520="","",INDEX(Deals!$D$2:$D$843,F520))</f>
        <v/>
      </c>
      <c r="J520">
        <f>IF(F520="","",INT(H520)-B520)</f>
        <v/>
      </c>
      <c r="K520">
        <f>IF(B520&gt;=Settings!$C$5,1,0)</f>
        <v/>
      </c>
    </row>
    <row r="521">
      <c r="A521" t="inlineStr">
        <is>
          <t>c05a1a7ec49bc3608c9c8cbf57f331a6</t>
        </is>
      </c>
      <c r="B521" s="29" t="n">
        <v>43228</v>
      </c>
      <c r="C521" t="inlineStr">
        <is>
          <t>2018-05</t>
        </is>
      </c>
      <c r="D521" t="inlineStr">
        <is>
          <t>7fa6214d82e911d070f51ef79381b956</t>
        </is>
      </c>
      <c r="E521" t="inlineStr">
        <is>
          <t>organic_search</t>
        </is>
      </c>
      <c r="F521">
        <f>IFERROR(MATCH(A521,Deals!$A$2:$A$843,0),"")</f>
        <v/>
      </c>
      <c r="G521">
        <f>IF(F521="",0,1)</f>
        <v/>
      </c>
      <c r="H521" s="29">
        <f>IF(F521="","",INDEX(Deals!$E$2:$E$843,F521))</f>
        <v/>
      </c>
      <c r="I521">
        <f>IF(F521="","",INDEX(Deals!$D$2:$D$843,F521))</f>
        <v/>
      </c>
      <c r="J521">
        <f>IF(F521="","",INT(H521)-B521)</f>
        <v/>
      </c>
      <c r="K521">
        <f>IF(B521&gt;=Settings!$C$5,1,0)</f>
        <v/>
      </c>
    </row>
    <row r="522">
      <c r="A522" t="inlineStr">
        <is>
          <t>d499871897037516f52fb1042946e4a9</t>
        </is>
      </c>
      <c r="B522" s="29" t="n">
        <v>43018</v>
      </c>
      <c r="C522" t="inlineStr">
        <is>
          <t>2017-10</t>
        </is>
      </c>
      <c r="D522" t="inlineStr">
        <is>
          <t>88740e65d5d6b056e0cda098e1ea6313</t>
        </is>
      </c>
      <c r="E522" t="inlineStr">
        <is>
          <t>social</t>
        </is>
      </c>
      <c r="F522">
        <f>IFERROR(MATCH(A522,Deals!$A$2:$A$843,0),"")</f>
        <v/>
      </c>
      <c r="G522">
        <f>IF(F522="",0,1)</f>
        <v/>
      </c>
      <c r="H522" s="29">
        <f>IF(F522="","",INDEX(Deals!$E$2:$E$843,F522))</f>
        <v/>
      </c>
      <c r="I522">
        <f>IF(F522="","",INDEX(Deals!$D$2:$D$843,F522))</f>
        <v/>
      </c>
      <c r="J522">
        <f>IF(F522="","",INT(H522)-B522)</f>
        <v/>
      </c>
      <c r="K522">
        <f>IF(B522&gt;=Settings!$C$5,1,0)</f>
        <v/>
      </c>
    </row>
    <row r="523">
      <c r="A523" t="inlineStr">
        <is>
          <t>5f38506e1ff65db7ecfd5d2086402935</t>
        </is>
      </c>
      <c r="B523" s="29" t="n">
        <v>43215</v>
      </c>
      <c r="C523" t="inlineStr">
        <is>
          <t>2018-04</t>
        </is>
      </c>
      <c r="D523" t="inlineStr">
        <is>
          <t>f80696b73d17fb34f5c4fde157f119d8</t>
        </is>
      </c>
      <c r="E523" t="inlineStr">
        <is>
          <t>organic_search</t>
        </is>
      </c>
      <c r="F523">
        <f>IFERROR(MATCH(A523,Deals!$A$2:$A$843,0),"")</f>
        <v/>
      </c>
      <c r="G523">
        <f>IF(F523="",0,1)</f>
        <v/>
      </c>
      <c r="H523" s="29">
        <f>IF(F523="","",INDEX(Deals!$E$2:$E$843,F523))</f>
        <v/>
      </c>
      <c r="I523">
        <f>IF(F523="","",INDEX(Deals!$D$2:$D$843,F523))</f>
        <v/>
      </c>
      <c r="J523">
        <f>IF(F523="","",INT(H523)-B523)</f>
        <v/>
      </c>
      <c r="K523">
        <f>IF(B523&gt;=Settings!$C$5,1,0)</f>
        <v/>
      </c>
    </row>
    <row r="524">
      <c r="A524" t="inlineStr">
        <is>
          <t>f99a72007a596c9a9ad595af3ef7a0d5</t>
        </is>
      </c>
      <c r="B524" s="29" t="n">
        <v>43134</v>
      </c>
      <c r="C524" t="inlineStr">
        <is>
          <t>2018-02</t>
        </is>
      </c>
      <c r="D524" t="inlineStr">
        <is>
          <t>65d9f9d71e562365e8b44037c2888d98</t>
        </is>
      </c>
      <c r="E524" t="inlineStr">
        <is>
          <t>paid_search</t>
        </is>
      </c>
      <c r="F524">
        <f>IFERROR(MATCH(A524,Deals!$A$2:$A$843,0),"")</f>
        <v/>
      </c>
      <c r="G524">
        <f>IF(F524="",0,1)</f>
        <v/>
      </c>
      <c r="H524" s="29">
        <f>IF(F524="","",INDEX(Deals!$E$2:$E$843,F524))</f>
        <v/>
      </c>
      <c r="I524">
        <f>IF(F524="","",INDEX(Deals!$D$2:$D$843,F524))</f>
        <v/>
      </c>
      <c r="J524">
        <f>IF(F524="","",INT(H524)-B524)</f>
        <v/>
      </c>
      <c r="K524">
        <f>IF(B524&gt;=Settings!$C$5,1,0)</f>
        <v/>
      </c>
    </row>
    <row r="525">
      <c r="A525" t="inlineStr">
        <is>
          <t>a88e6ae496f56ff050ee2d01b3df0896</t>
        </is>
      </c>
      <c r="B525" s="29" t="n">
        <v>43104</v>
      </c>
      <c r="C525" t="inlineStr">
        <is>
          <t>2018-01</t>
        </is>
      </c>
      <c r="D525" t="inlineStr">
        <is>
          <t>bdaeb752e5c3caa215ebe04c61e22325</t>
        </is>
      </c>
      <c r="E525" t="inlineStr">
        <is>
          <t>paid_search</t>
        </is>
      </c>
      <c r="F525">
        <f>IFERROR(MATCH(A525,Deals!$A$2:$A$843,0),"")</f>
        <v/>
      </c>
      <c r="G525">
        <f>IF(F525="",0,1)</f>
        <v/>
      </c>
      <c r="H525" s="29">
        <f>IF(F525="","",INDEX(Deals!$E$2:$E$843,F525))</f>
        <v/>
      </c>
      <c r="I525">
        <f>IF(F525="","",INDEX(Deals!$D$2:$D$843,F525))</f>
        <v/>
      </c>
      <c r="J525">
        <f>IF(F525="","",INT(H525)-B525)</f>
        <v/>
      </c>
      <c r="K525">
        <f>IF(B525&gt;=Settings!$C$5,1,0)</f>
        <v/>
      </c>
    </row>
    <row r="526">
      <c r="A526" t="inlineStr">
        <is>
          <t>71124d1fd1c8bb0d2998f92d8619b169</t>
        </is>
      </c>
      <c r="B526" s="29" t="n">
        <v>43200</v>
      </c>
      <c r="C526" t="inlineStr">
        <is>
          <t>2018-04</t>
        </is>
      </c>
      <c r="D526" t="inlineStr">
        <is>
          <t>872eb32141128a5320bfe7b8cf80fc14</t>
        </is>
      </c>
      <c r="E526" t="inlineStr">
        <is>
          <t>organic_search</t>
        </is>
      </c>
      <c r="F526">
        <f>IFERROR(MATCH(A526,Deals!$A$2:$A$843,0),"")</f>
        <v/>
      </c>
      <c r="G526">
        <f>IF(F526="",0,1)</f>
        <v/>
      </c>
      <c r="H526" s="29">
        <f>IF(F526="","",INDEX(Deals!$E$2:$E$843,F526))</f>
        <v/>
      </c>
      <c r="I526">
        <f>IF(F526="","",INDEX(Deals!$D$2:$D$843,F526))</f>
        <v/>
      </c>
      <c r="J526">
        <f>IF(F526="","",INT(H526)-B526)</f>
        <v/>
      </c>
      <c r="K526">
        <f>IF(B526&gt;=Settings!$C$5,1,0)</f>
        <v/>
      </c>
    </row>
    <row r="527">
      <c r="A527" t="inlineStr">
        <is>
          <t>4db3b4270aca22aa23c78c4acf712915</t>
        </is>
      </c>
      <c r="B527" s="29" t="n">
        <v>42946</v>
      </c>
      <c r="C527" t="inlineStr">
        <is>
          <t>2017-07</t>
        </is>
      </c>
      <c r="D527" t="inlineStr">
        <is>
          <t>7eb40e4e44fef8bff604b621119446c7</t>
        </is>
      </c>
      <c r="E527" t="inlineStr">
        <is>
          <t>display</t>
        </is>
      </c>
      <c r="F527">
        <f>IFERROR(MATCH(A527,Deals!$A$2:$A$843,0),"")</f>
        <v/>
      </c>
      <c r="G527">
        <f>IF(F527="",0,1)</f>
        <v/>
      </c>
      <c r="H527" s="29">
        <f>IF(F527="","",INDEX(Deals!$E$2:$E$843,F527))</f>
        <v/>
      </c>
      <c r="I527">
        <f>IF(F527="","",INDEX(Deals!$D$2:$D$843,F527))</f>
        <v/>
      </c>
      <c r="J527">
        <f>IF(F527="","",INT(H527)-B527)</f>
        <v/>
      </c>
      <c r="K527">
        <f>IF(B527&gt;=Settings!$C$5,1,0)</f>
        <v/>
      </c>
    </row>
    <row r="528">
      <c r="A528" t="inlineStr">
        <is>
          <t>0df5f890a1147ef1d1852fc6527e9c61</t>
        </is>
      </c>
      <c r="B528" s="29" t="n">
        <v>43231</v>
      </c>
      <c r="C528" t="inlineStr">
        <is>
          <t>2018-05</t>
        </is>
      </c>
      <c r="D528" t="inlineStr">
        <is>
          <t>c2f7f172d3275d27cba772ab70ac3052</t>
        </is>
      </c>
      <c r="E528" t="inlineStr">
        <is>
          <t>organic_search</t>
        </is>
      </c>
      <c r="F528">
        <f>IFERROR(MATCH(A528,Deals!$A$2:$A$843,0),"")</f>
        <v/>
      </c>
      <c r="G528">
        <f>IF(F528="",0,1)</f>
        <v/>
      </c>
      <c r="H528" s="29">
        <f>IF(F528="","",INDEX(Deals!$E$2:$E$843,F528))</f>
        <v/>
      </c>
      <c r="I528">
        <f>IF(F528="","",INDEX(Deals!$D$2:$D$843,F528))</f>
        <v/>
      </c>
      <c r="J528">
        <f>IF(F528="","",INT(H528)-B528)</f>
        <v/>
      </c>
      <c r="K528">
        <f>IF(B528&gt;=Settings!$C$5,1,0)</f>
        <v/>
      </c>
    </row>
    <row r="529">
      <c r="A529" t="inlineStr">
        <is>
          <t>f275c3f63affaa9fd3251140a5578ee6</t>
        </is>
      </c>
      <c r="B529" s="29" t="n">
        <v>43133</v>
      </c>
      <c r="C529" t="inlineStr">
        <is>
          <t>2018-02</t>
        </is>
      </c>
      <c r="D529" t="inlineStr">
        <is>
          <t>ce1a65abd0973638f1c887a6efcfa82d</t>
        </is>
      </c>
      <c r="E529" t="inlineStr">
        <is>
          <t>direct_traffic</t>
        </is>
      </c>
      <c r="F529">
        <f>IFERROR(MATCH(A529,Deals!$A$2:$A$843,0),"")</f>
        <v/>
      </c>
      <c r="G529">
        <f>IF(F529="",0,1)</f>
        <v/>
      </c>
      <c r="H529" s="29">
        <f>IF(F529="","",INDEX(Deals!$E$2:$E$843,F529))</f>
        <v/>
      </c>
      <c r="I529">
        <f>IF(F529="","",INDEX(Deals!$D$2:$D$843,F529))</f>
        <v/>
      </c>
      <c r="J529">
        <f>IF(F529="","",INT(H529)-B529)</f>
        <v/>
      </c>
      <c r="K529">
        <f>IF(B529&gt;=Settings!$C$5,1,0)</f>
        <v/>
      </c>
    </row>
    <row r="530">
      <c r="A530" t="inlineStr">
        <is>
          <t>be9c28bfc4fbc30379fca89b71026787</t>
        </is>
      </c>
      <c r="B530" s="29" t="n">
        <v>43152</v>
      </c>
      <c r="C530" t="inlineStr">
        <is>
          <t>2018-02</t>
        </is>
      </c>
      <c r="D530" t="inlineStr">
        <is>
          <t>73f31a40697cc90a86c1273563ac230e</t>
        </is>
      </c>
      <c r="E530" t="inlineStr">
        <is>
          <t>other</t>
        </is>
      </c>
      <c r="F530">
        <f>IFERROR(MATCH(A530,Deals!$A$2:$A$843,0),"")</f>
        <v/>
      </c>
      <c r="G530">
        <f>IF(F530="",0,1)</f>
        <v/>
      </c>
      <c r="H530" s="29">
        <f>IF(F530="","",INDEX(Deals!$E$2:$E$843,F530))</f>
        <v/>
      </c>
      <c r="I530">
        <f>IF(F530="","",INDEX(Deals!$D$2:$D$843,F530))</f>
        <v/>
      </c>
      <c r="J530">
        <f>IF(F530="","",INT(H530)-B530)</f>
        <v/>
      </c>
      <c r="K530">
        <f>IF(B530&gt;=Settings!$C$5,1,0)</f>
        <v/>
      </c>
    </row>
    <row r="531">
      <c r="A531" t="inlineStr">
        <is>
          <t>d9cd172570d87a489155b135f3fee210</t>
        </is>
      </c>
      <c r="B531" s="29" t="n">
        <v>43007</v>
      </c>
      <c r="C531" t="inlineStr">
        <is>
          <t>2017-09</t>
        </is>
      </c>
      <c r="D531" t="inlineStr">
        <is>
          <t>87732658ba41d8775e8577df347a64db</t>
        </is>
      </c>
      <c r="E531" t="inlineStr">
        <is>
          <t>social</t>
        </is>
      </c>
      <c r="F531">
        <f>IFERROR(MATCH(A531,Deals!$A$2:$A$843,0),"")</f>
        <v/>
      </c>
      <c r="G531">
        <f>IF(F531="",0,1)</f>
        <v/>
      </c>
      <c r="H531" s="29">
        <f>IF(F531="","",INDEX(Deals!$E$2:$E$843,F531))</f>
        <v/>
      </c>
      <c r="I531">
        <f>IF(F531="","",INDEX(Deals!$D$2:$D$843,F531))</f>
        <v/>
      </c>
      <c r="J531">
        <f>IF(F531="","",INT(H531)-B531)</f>
        <v/>
      </c>
      <c r="K531">
        <f>IF(B531&gt;=Settings!$C$5,1,0)</f>
        <v/>
      </c>
    </row>
    <row r="532">
      <c r="A532" t="inlineStr">
        <is>
          <t>4672ece7941687220057152719a5e448</t>
        </is>
      </c>
      <c r="B532" s="29" t="n">
        <v>43119</v>
      </c>
      <c r="C532" t="inlineStr">
        <is>
          <t>2018-01</t>
        </is>
      </c>
      <c r="D532" t="inlineStr">
        <is>
          <t>22c29808c4f815213303f8933030604c</t>
        </is>
      </c>
      <c r="E532" t="inlineStr">
        <is>
          <t>organic_search</t>
        </is>
      </c>
      <c r="F532">
        <f>IFERROR(MATCH(A532,Deals!$A$2:$A$843,0),"")</f>
        <v/>
      </c>
      <c r="G532">
        <f>IF(F532="",0,1)</f>
        <v/>
      </c>
      <c r="H532" s="29">
        <f>IF(F532="","",INDEX(Deals!$E$2:$E$843,F532))</f>
        <v/>
      </c>
      <c r="I532">
        <f>IF(F532="","",INDEX(Deals!$D$2:$D$843,F532))</f>
        <v/>
      </c>
      <c r="J532">
        <f>IF(F532="","",INT(H532)-B532)</f>
        <v/>
      </c>
      <c r="K532">
        <f>IF(B532&gt;=Settings!$C$5,1,0)</f>
        <v/>
      </c>
    </row>
    <row r="533">
      <c r="A533" t="inlineStr">
        <is>
          <t>4703fca5bd695de77eb2fe6728cfceba</t>
        </is>
      </c>
      <c r="B533" s="29" t="n">
        <v>43045</v>
      </c>
      <c r="C533" t="inlineStr">
        <is>
          <t>2017-11</t>
        </is>
      </c>
      <c r="D533" t="inlineStr">
        <is>
          <t>007f9098284a86ee80ddeb25d53e0af8</t>
        </is>
      </c>
      <c r="E533" t="inlineStr">
        <is>
          <t>paid_search</t>
        </is>
      </c>
      <c r="F533">
        <f>IFERROR(MATCH(A533,Deals!$A$2:$A$843,0),"")</f>
        <v/>
      </c>
      <c r="G533">
        <f>IF(F533="",0,1)</f>
        <v/>
      </c>
      <c r="H533" s="29">
        <f>IF(F533="","",INDEX(Deals!$E$2:$E$843,F533))</f>
        <v/>
      </c>
      <c r="I533">
        <f>IF(F533="","",INDEX(Deals!$D$2:$D$843,F533))</f>
        <v/>
      </c>
      <c r="J533">
        <f>IF(F533="","",INT(H533)-B533)</f>
        <v/>
      </c>
      <c r="K533">
        <f>IF(B533&gt;=Settings!$C$5,1,0)</f>
        <v/>
      </c>
    </row>
    <row r="534">
      <c r="A534" t="inlineStr">
        <is>
          <t>e63d3a30502eec110b0a2f0659774b2d</t>
        </is>
      </c>
      <c r="B534" s="29" t="n">
        <v>43188</v>
      </c>
      <c r="C534" t="inlineStr">
        <is>
          <t>2018-03</t>
        </is>
      </c>
      <c r="D534" t="inlineStr">
        <is>
          <t>ea0650174e273c41e12002dcdd4708be</t>
        </is>
      </c>
      <c r="E534" t="inlineStr">
        <is>
          <t>paid_search</t>
        </is>
      </c>
      <c r="F534">
        <f>IFERROR(MATCH(A534,Deals!$A$2:$A$843,0),"")</f>
        <v/>
      </c>
      <c r="G534">
        <f>IF(F534="",0,1)</f>
        <v/>
      </c>
      <c r="H534" s="29">
        <f>IF(F534="","",INDEX(Deals!$E$2:$E$843,F534))</f>
        <v/>
      </c>
      <c r="I534">
        <f>IF(F534="","",INDEX(Deals!$D$2:$D$843,F534))</f>
        <v/>
      </c>
      <c r="J534">
        <f>IF(F534="","",INT(H534)-B534)</f>
        <v/>
      </c>
      <c r="K534">
        <f>IF(B534&gt;=Settings!$C$5,1,0)</f>
        <v/>
      </c>
    </row>
    <row r="535">
      <c r="A535" t="inlineStr">
        <is>
          <t>285dbe36b6cab6c192769b2d22d9150a</t>
        </is>
      </c>
      <c r="B535" s="29" t="n">
        <v>43102</v>
      </c>
      <c r="C535" t="inlineStr">
        <is>
          <t>2018-01</t>
        </is>
      </c>
      <c r="D535" t="inlineStr">
        <is>
          <t>21a104c3279681d9856b8a48723c4fee</t>
        </is>
      </c>
      <c r="E535" t="inlineStr">
        <is>
          <t>unknown</t>
        </is>
      </c>
      <c r="F535">
        <f>IFERROR(MATCH(A535,Deals!$A$2:$A$843,0),"")</f>
        <v/>
      </c>
      <c r="G535">
        <f>IF(F535="",0,1)</f>
        <v/>
      </c>
      <c r="H535" s="29">
        <f>IF(F535="","",INDEX(Deals!$E$2:$E$843,F535))</f>
        <v/>
      </c>
      <c r="I535">
        <f>IF(F535="","",INDEX(Deals!$D$2:$D$843,F535))</f>
        <v/>
      </c>
      <c r="J535">
        <f>IF(F535="","",INT(H535)-B535)</f>
        <v/>
      </c>
      <c r="K535">
        <f>IF(B535&gt;=Settings!$C$5,1,0)</f>
        <v/>
      </c>
    </row>
    <row r="536">
      <c r="A536" t="inlineStr">
        <is>
          <t>bbd5901c24b54f8de73557dc4c264c53</t>
        </is>
      </c>
      <c r="B536" s="29" t="n">
        <v>42993</v>
      </c>
      <c r="C536" t="inlineStr">
        <is>
          <t>2017-09</t>
        </is>
      </c>
      <c r="D536" t="inlineStr">
        <is>
          <t>87732658ba41d8775e8577df347a64db</t>
        </is>
      </c>
      <c r="E536" t="inlineStr">
        <is>
          <t>social</t>
        </is>
      </c>
      <c r="F536">
        <f>IFERROR(MATCH(A536,Deals!$A$2:$A$843,0),"")</f>
        <v/>
      </c>
      <c r="G536">
        <f>IF(F536="",0,1)</f>
        <v/>
      </c>
      <c r="H536" s="29">
        <f>IF(F536="","",INDEX(Deals!$E$2:$E$843,F536))</f>
        <v/>
      </c>
      <c r="I536">
        <f>IF(F536="","",INDEX(Deals!$D$2:$D$843,F536))</f>
        <v/>
      </c>
      <c r="J536">
        <f>IF(F536="","",INT(H536)-B536)</f>
        <v/>
      </c>
      <c r="K536">
        <f>IF(B536&gt;=Settings!$C$5,1,0)</f>
        <v/>
      </c>
    </row>
    <row r="537">
      <c r="A537" t="inlineStr">
        <is>
          <t>cdc10a8cf689568562f9f73cd4f483bd</t>
        </is>
      </c>
      <c r="B537" s="29" t="n">
        <v>43173</v>
      </c>
      <c r="C537" t="inlineStr">
        <is>
          <t>2018-03</t>
        </is>
      </c>
      <c r="D537" t="inlineStr">
        <is>
          <t>73f31a40697cc90a86c1273563ac230e</t>
        </is>
      </c>
      <c r="E537" t="inlineStr">
        <is>
          <t>other</t>
        </is>
      </c>
      <c r="F537">
        <f>IFERROR(MATCH(A537,Deals!$A$2:$A$843,0),"")</f>
        <v/>
      </c>
      <c r="G537">
        <f>IF(F537="",0,1)</f>
        <v/>
      </c>
      <c r="H537" s="29">
        <f>IF(F537="","",INDEX(Deals!$E$2:$E$843,F537))</f>
        <v/>
      </c>
      <c r="I537">
        <f>IF(F537="","",INDEX(Deals!$D$2:$D$843,F537))</f>
        <v/>
      </c>
      <c r="J537">
        <f>IF(F537="","",INT(H537)-B537)</f>
        <v/>
      </c>
      <c r="K537">
        <f>IF(B537&gt;=Settings!$C$5,1,0)</f>
        <v/>
      </c>
    </row>
    <row r="538">
      <c r="A538" t="inlineStr">
        <is>
          <t>0a1643cb73c25878cc845d5594059afe</t>
        </is>
      </c>
      <c r="B538" s="29" t="n">
        <v>43207</v>
      </c>
      <c r="C538" t="inlineStr">
        <is>
          <t>2018-04</t>
        </is>
      </c>
      <c r="D538" t="inlineStr">
        <is>
          <t>22c29808c4f815213303f8933030604c</t>
        </is>
      </c>
      <c r="E538" t="inlineStr">
        <is>
          <t>organic_search</t>
        </is>
      </c>
      <c r="F538">
        <f>IFERROR(MATCH(A538,Deals!$A$2:$A$843,0),"")</f>
        <v/>
      </c>
      <c r="G538">
        <f>IF(F538="",0,1)</f>
        <v/>
      </c>
      <c r="H538" s="29">
        <f>IF(F538="","",INDEX(Deals!$E$2:$E$843,F538))</f>
        <v/>
      </c>
      <c r="I538">
        <f>IF(F538="","",INDEX(Deals!$D$2:$D$843,F538))</f>
        <v/>
      </c>
      <c r="J538">
        <f>IF(F538="","",INT(H538)-B538)</f>
        <v/>
      </c>
      <c r="K538">
        <f>IF(B538&gt;=Settings!$C$5,1,0)</f>
        <v/>
      </c>
    </row>
    <row r="539">
      <c r="A539" t="inlineStr">
        <is>
          <t>9a4f82e5701102ac04970b46f099044f</t>
        </is>
      </c>
      <c r="B539" s="29" t="n">
        <v>43190</v>
      </c>
      <c r="C539" t="inlineStr">
        <is>
          <t>2018-03</t>
        </is>
      </c>
      <c r="D539" t="inlineStr">
        <is>
          <t>aafc43d934a043b451b1dc5a61943a6b</t>
        </is>
      </c>
      <c r="E539" t="inlineStr">
        <is>
          <t>organic_search</t>
        </is>
      </c>
      <c r="F539">
        <f>IFERROR(MATCH(A539,Deals!$A$2:$A$843,0),"")</f>
        <v/>
      </c>
      <c r="G539">
        <f>IF(F539="",0,1)</f>
        <v/>
      </c>
      <c r="H539" s="29">
        <f>IF(F539="","",INDEX(Deals!$E$2:$E$843,F539))</f>
        <v/>
      </c>
      <c r="I539">
        <f>IF(F539="","",INDEX(Deals!$D$2:$D$843,F539))</f>
        <v/>
      </c>
      <c r="J539">
        <f>IF(F539="","",INT(H539)-B539)</f>
        <v/>
      </c>
      <c r="K539">
        <f>IF(B539&gt;=Settings!$C$5,1,0)</f>
        <v/>
      </c>
    </row>
    <row r="540">
      <c r="A540" t="inlineStr">
        <is>
          <t>0c71f0a8c36a3212e6569e6186febd41</t>
        </is>
      </c>
      <c r="B540" s="29" t="n">
        <v>42941</v>
      </c>
      <c r="C540" t="inlineStr">
        <is>
          <t>2017-07</t>
        </is>
      </c>
      <c r="D540" t="inlineStr">
        <is>
          <t>0218f6be0b76aca72ab4d00ee9e8cf10</t>
        </is>
      </c>
      <c r="E540" t="inlineStr">
        <is>
          <t>paid_search</t>
        </is>
      </c>
      <c r="F540">
        <f>IFERROR(MATCH(A540,Deals!$A$2:$A$843,0),"")</f>
        <v/>
      </c>
      <c r="G540">
        <f>IF(F540="",0,1)</f>
        <v/>
      </c>
      <c r="H540" s="29">
        <f>IF(F540="","",INDEX(Deals!$E$2:$E$843,F540))</f>
        <v/>
      </c>
      <c r="I540">
        <f>IF(F540="","",INDEX(Deals!$D$2:$D$843,F540))</f>
        <v/>
      </c>
      <c r="J540">
        <f>IF(F540="","",INT(H540)-B540)</f>
        <v/>
      </c>
      <c r="K540">
        <f>IF(B540&gt;=Settings!$C$5,1,0)</f>
        <v/>
      </c>
    </row>
    <row r="541">
      <c r="A541" t="inlineStr">
        <is>
          <t>ffbab8235ddc5c0290ecd6ceccc0a61a</t>
        </is>
      </c>
      <c r="B541" s="29" t="n">
        <v>43091</v>
      </c>
      <c r="C541" t="inlineStr">
        <is>
          <t>2017-12</t>
        </is>
      </c>
      <c r="D541" t="inlineStr">
        <is>
          <t>40dec9f3d5259a3d2dbcdab2114fae47</t>
        </is>
      </c>
      <c r="E541" t="inlineStr">
        <is>
          <t>paid_search</t>
        </is>
      </c>
      <c r="F541">
        <f>IFERROR(MATCH(A541,Deals!$A$2:$A$843,0),"")</f>
        <v/>
      </c>
      <c r="G541">
        <f>IF(F541="",0,1)</f>
        <v/>
      </c>
      <c r="H541" s="29">
        <f>IF(F541="","",INDEX(Deals!$E$2:$E$843,F541))</f>
        <v/>
      </c>
      <c r="I541">
        <f>IF(F541="","",INDEX(Deals!$D$2:$D$843,F541))</f>
        <v/>
      </c>
      <c r="J541">
        <f>IF(F541="","",INT(H541)-B541)</f>
        <v/>
      </c>
      <c r="K541">
        <f>IF(B541&gt;=Settings!$C$5,1,0)</f>
        <v/>
      </c>
    </row>
    <row r="542">
      <c r="A542" t="inlineStr">
        <is>
          <t>bdd8ed95b54e6d5e0a2a642e70fe40b2</t>
        </is>
      </c>
      <c r="B542" s="29" t="n">
        <v>43202</v>
      </c>
      <c r="C542" t="inlineStr">
        <is>
          <t>2018-04</t>
        </is>
      </c>
      <c r="D542" t="inlineStr">
        <is>
          <t>b76ef37428e6799c421989521c0e5077</t>
        </is>
      </c>
      <c r="E542" t="inlineStr">
        <is>
          <t>paid_search</t>
        </is>
      </c>
      <c r="F542">
        <f>IFERROR(MATCH(A542,Deals!$A$2:$A$843,0),"")</f>
        <v/>
      </c>
      <c r="G542">
        <f>IF(F542="",0,1)</f>
        <v/>
      </c>
      <c r="H542" s="29">
        <f>IF(F542="","",INDEX(Deals!$E$2:$E$843,F542))</f>
        <v/>
      </c>
      <c r="I542">
        <f>IF(F542="","",INDEX(Deals!$D$2:$D$843,F542))</f>
        <v/>
      </c>
      <c r="J542">
        <f>IF(F542="","",INT(H542)-B542)</f>
        <v/>
      </c>
      <c r="K542">
        <f>IF(B542&gt;=Settings!$C$5,1,0)</f>
        <v/>
      </c>
    </row>
    <row r="543">
      <c r="A543" t="inlineStr">
        <is>
          <t>2043d2a8fa2208b4c5f19bc6d5a94320</t>
        </is>
      </c>
      <c r="B543" s="29" t="n">
        <v>43051</v>
      </c>
      <c r="C543" t="inlineStr">
        <is>
          <t>2017-11</t>
        </is>
      </c>
      <c r="D543" t="inlineStr">
        <is>
          <t>a7982125ff7aa3b2054c6e44f9d28522</t>
        </is>
      </c>
      <c r="E543" t="inlineStr">
        <is>
          <t>organic_search</t>
        </is>
      </c>
      <c r="F543">
        <f>IFERROR(MATCH(A543,Deals!$A$2:$A$843,0),"")</f>
        <v/>
      </c>
      <c r="G543">
        <f>IF(F543="",0,1)</f>
        <v/>
      </c>
      <c r="H543" s="29">
        <f>IF(F543="","",INDEX(Deals!$E$2:$E$843,F543))</f>
        <v/>
      </c>
      <c r="I543">
        <f>IF(F543="","",INDEX(Deals!$D$2:$D$843,F543))</f>
        <v/>
      </c>
      <c r="J543">
        <f>IF(F543="","",INT(H543)-B543)</f>
        <v/>
      </c>
      <c r="K543">
        <f>IF(B543&gt;=Settings!$C$5,1,0)</f>
        <v/>
      </c>
    </row>
    <row r="544">
      <c r="A544" t="inlineStr">
        <is>
          <t>e1c3d70c85702d16041f30678c9c2ba3</t>
        </is>
      </c>
      <c r="B544" s="29" t="n">
        <v>43245</v>
      </c>
      <c r="C544" t="inlineStr">
        <is>
          <t>2018-05</t>
        </is>
      </c>
      <c r="D544" t="inlineStr">
        <is>
          <t>b76ef37428e6799c421989521c0e5077</t>
        </is>
      </c>
      <c r="E544" t="inlineStr">
        <is>
          <t>unknown</t>
        </is>
      </c>
      <c r="F544">
        <f>IFERROR(MATCH(A544,Deals!$A$2:$A$843,0),"")</f>
        <v/>
      </c>
      <c r="G544">
        <f>IF(F544="",0,1)</f>
        <v/>
      </c>
      <c r="H544" s="29">
        <f>IF(F544="","",INDEX(Deals!$E$2:$E$843,F544))</f>
        <v/>
      </c>
      <c r="I544">
        <f>IF(F544="","",INDEX(Deals!$D$2:$D$843,F544))</f>
        <v/>
      </c>
      <c r="J544">
        <f>IF(F544="","",INT(H544)-B544)</f>
        <v/>
      </c>
      <c r="K544">
        <f>IF(B544&gt;=Settings!$C$5,1,0)</f>
        <v/>
      </c>
    </row>
    <row r="545">
      <c r="A545" t="inlineStr">
        <is>
          <t>c04c93a41c414f2801d74c3d5a063a34</t>
        </is>
      </c>
      <c r="B545" s="29" t="n">
        <v>43209</v>
      </c>
      <c r="C545" t="inlineStr">
        <is>
          <t>2018-04</t>
        </is>
      </c>
      <c r="D545" t="inlineStr">
        <is>
          <t>40dec9f3d5259a3d2dbcdab2114fae47</t>
        </is>
      </c>
      <c r="E545" t="inlineStr">
        <is>
          <t>organic_search</t>
        </is>
      </c>
      <c r="F545">
        <f>IFERROR(MATCH(A545,Deals!$A$2:$A$843,0),"")</f>
        <v/>
      </c>
      <c r="G545">
        <f>IF(F545="",0,1)</f>
        <v/>
      </c>
      <c r="H545" s="29">
        <f>IF(F545="","",INDEX(Deals!$E$2:$E$843,F545))</f>
        <v/>
      </c>
      <c r="I545">
        <f>IF(F545="","",INDEX(Deals!$D$2:$D$843,F545))</f>
        <v/>
      </c>
      <c r="J545">
        <f>IF(F545="","",INT(H545)-B545)</f>
        <v/>
      </c>
      <c r="K545">
        <f>IF(B545&gt;=Settings!$C$5,1,0)</f>
        <v/>
      </c>
    </row>
    <row r="546">
      <c r="A546" t="inlineStr">
        <is>
          <t>67ded3008683c4d2ffb93650e5944fb4</t>
        </is>
      </c>
      <c r="B546" s="29" t="n">
        <v>43083</v>
      </c>
      <c r="C546" t="inlineStr">
        <is>
          <t>2017-12</t>
        </is>
      </c>
      <c r="D546" t="inlineStr">
        <is>
          <t>22c29808c4f815213303f8933030604c</t>
        </is>
      </c>
      <c r="E546" t="inlineStr">
        <is>
          <t>organic_search</t>
        </is>
      </c>
      <c r="F546">
        <f>IFERROR(MATCH(A546,Deals!$A$2:$A$843,0),"")</f>
        <v/>
      </c>
      <c r="G546">
        <f>IF(F546="",0,1)</f>
        <v/>
      </c>
      <c r="H546" s="29">
        <f>IF(F546="","",INDEX(Deals!$E$2:$E$843,F546))</f>
        <v/>
      </c>
      <c r="I546">
        <f>IF(F546="","",INDEX(Deals!$D$2:$D$843,F546))</f>
        <v/>
      </c>
      <c r="J546">
        <f>IF(F546="","",INT(H546)-B546)</f>
        <v/>
      </c>
      <c r="K546">
        <f>IF(B546&gt;=Settings!$C$5,1,0)</f>
        <v/>
      </c>
    </row>
    <row r="547">
      <c r="A547" t="inlineStr">
        <is>
          <t>5103dc11e9d8ccf5c2c0dd2a6254a7a4</t>
        </is>
      </c>
      <c r="B547" s="29" t="n">
        <v>42996</v>
      </c>
      <c r="C547" t="inlineStr">
        <is>
          <t>2017-09</t>
        </is>
      </c>
      <c r="D547" t="inlineStr">
        <is>
          <t>87732658ba41d8775e8577df347a64db</t>
        </is>
      </c>
      <c r="E547" t="inlineStr">
        <is>
          <t>social</t>
        </is>
      </c>
      <c r="F547">
        <f>IFERROR(MATCH(A547,Deals!$A$2:$A$843,0),"")</f>
        <v/>
      </c>
      <c r="G547">
        <f>IF(F547="",0,1)</f>
        <v/>
      </c>
      <c r="H547" s="29">
        <f>IF(F547="","",INDEX(Deals!$E$2:$E$843,F547))</f>
        <v/>
      </c>
      <c r="I547">
        <f>IF(F547="","",INDEX(Deals!$D$2:$D$843,F547))</f>
        <v/>
      </c>
      <c r="J547">
        <f>IF(F547="","",INT(H547)-B547)</f>
        <v/>
      </c>
      <c r="K547">
        <f>IF(B547&gt;=Settings!$C$5,1,0)</f>
        <v/>
      </c>
    </row>
    <row r="548">
      <c r="A548" t="inlineStr">
        <is>
          <t>d1cb4bd2c18fe96d6f82f7b60d4aa0a0</t>
        </is>
      </c>
      <c r="B548" s="29" t="n">
        <v>43062</v>
      </c>
      <c r="C548" t="inlineStr">
        <is>
          <t>2017-11</t>
        </is>
      </c>
      <c r="D548" t="inlineStr">
        <is>
          <t>bddebc4f4d44106c427bd00695840e64</t>
        </is>
      </c>
      <c r="E548" t="inlineStr">
        <is>
          <t>direct_traffic</t>
        </is>
      </c>
      <c r="F548">
        <f>IFERROR(MATCH(A548,Deals!$A$2:$A$843,0),"")</f>
        <v/>
      </c>
      <c r="G548">
        <f>IF(F548="",0,1)</f>
        <v/>
      </c>
      <c r="H548" s="29">
        <f>IF(F548="","",INDEX(Deals!$E$2:$E$843,F548))</f>
        <v/>
      </c>
      <c r="I548">
        <f>IF(F548="","",INDEX(Deals!$D$2:$D$843,F548))</f>
        <v/>
      </c>
      <c r="J548">
        <f>IF(F548="","",INT(H548)-B548)</f>
        <v/>
      </c>
      <c r="K548">
        <f>IF(B548&gt;=Settings!$C$5,1,0)</f>
        <v/>
      </c>
    </row>
    <row r="549">
      <c r="A549" t="inlineStr">
        <is>
          <t>ab243ac315c8f9c55254cbafe079b3c5</t>
        </is>
      </c>
      <c r="B549" s="29" t="n">
        <v>42952</v>
      </c>
      <c r="C549" t="inlineStr">
        <is>
          <t>2017-08</t>
        </is>
      </c>
      <c r="D549" t="inlineStr">
        <is>
          <t>b6885f18d203a61176418c1fb3764815</t>
        </is>
      </c>
      <c r="E549" t="inlineStr">
        <is>
          <t>paid_search</t>
        </is>
      </c>
      <c r="F549">
        <f>IFERROR(MATCH(A549,Deals!$A$2:$A$843,0),"")</f>
        <v/>
      </c>
      <c r="G549">
        <f>IF(F549="",0,1)</f>
        <v/>
      </c>
      <c r="H549" s="29">
        <f>IF(F549="","",INDEX(Deals!$E$2:$E$843,F549))</f>
        <v/>
      </c>
      <c r="I549">
        <f>IF(F549="","",INDEX(Deals!$D$2:$D$843,F549))</f>
        <v/>
      </c>
      <c r="J549">
        <f>IF(F549="","",INT(H549)-B549)</f>
        <v/>
      </c>
      <c r="K549">
        <f>IF(B549&gt;=Settings!$C$5,1,0)</f>
        <v/>
      </c>
    </row>
    <row r="550">
      <c r="A550" t="inlineStr">
        <is>
          <t>849db8ef492a08f7469cf0bdcecbc22e</t>
        </is>
      </c>
      <c r="B550" s="29" t="n">
        <v>43160</v>
      </c>
      <c r="C550" t="inlineStr">
        <is>
          <t>2018-03</t>
        </is>
      </c>
      <c r="D550" t="inlineStr">
        <is>
          <t>22c29808c4f815213303f8933030604c</t>
        </is>
      </c>
      <c r="E550" t="inlineStr">
        <is>
          <t>organic_search</t>
        </is>
      </c>
      <c r="F550">
        <f>IFERROR(MATCH(A550,Deals!$A$2:$A$843,0),"")</f>
        <v/>
      </c>
      <c r="G550">
        <f>IF(F550="",0,1)</f>
        <v/>
      </c>
      <c r="H550" s="29">
        <f>IF(F550="","",INDEX(Deals!$E$2:$E$843,F550))</f>
        <v/>
      </c>
      <c r="I550">
        <f>IF(F550="","",INDEX(Deals!$D$2:$D$843,F550))</f>
        <v/>
      </c>
      <c r="J550">
        <f>IF(F550="","",INT(H550)-B550)</f>
        <v/>
      </c>
      <c r="K550">
        <f>IF(B550&gt;=Settings!$C$5,1,0)</f>
        <v/>
      </c>
    </row>
    <row r="551">
      <c r="A551" t="inlineStr">
        <is>
          <t>3a1f43d84d14dbfe63867595caff9b93</t>
        </is>
      </c>
      <c r="B551" s="29" t="n">
        <v>43237</v>
      </c>
      <c r="C551" t="inlineStr">
        <is>
          <t>2018-05</t>
        </is>
      </c>
      <c r="D551" t="inlineStr">
        <is>
          <t>22c29808c4f815213303f8933030604c</t>
        </is>
      </c>
      <c r="E551" t="inlineStr">
        <is>
          <t>social</t>
        </is>
      </c>
      <c r="F551">
        <f>IFERROR(MATCH(A551,Deals!$A$2:$A$843,0),"")</f>
        <v/>
      </c>
      <c r="G551">
        <f>IF(F551="",0,1)</f>
        <v/>
      </c>
      <c r="H551" s="29">
        <f>IF(F551="","",INDEX(Deals!$E$2:$E$843,F551))</f>
        <v/>
      </c>
      <c r="I551">
        <f>IF(F551="","",INDEX(Deals!$D$2:$D$843,F551))</f>
        <v/>
      </c>
      <c r="J551">
        <f>IF(F551="","",INT(H551)-B551)</f>
        <v/>
      </c>
      <c r="K551">
        <f>IF(B551&gt;=Settings!$C$5,1,0)</f>
        <v/>
      </c>
    </row>
    <row r="552">
      <c r="A552" t="inlineStr">
        <is>
          <t>92c7eacf759c266a7663d63876d84223</t>
        </is>
      </c>
      <c r="B552" s="29" t="n">
        <v>43186</v>
      </c>
      <c r="C552" t="inlineStr">
        <is>
          <t>2018-03</t>
        </is>
      </c>
      <c r="D552" t="inlineStr">
        <is>
          <t>b76ef37428e6799c421989521c0e5077</t>
        </is>
      </c>
      <c r="E552" t="inlineStr">
        <is>
          <t>unknown</t>
        </is>
      </c>
      <c r="F552">
        <f>IFERROR(MATCH(A552,Deals!$A$2:$A$843,0),"")</f>
        <v/>
      </c>
      <c r="G552">
        <f>IF(F552="",0,1)</f>
        <v/>
      </c>
      <c r="H552" s="29">
        <f>IF(F552="","",INDEX(Deals!$E$2:$E$843,F552))</f>
        <v/>
      </c>
      <c r="I552">
        <f>IF(F552="","",INDEX(Deals!$D$2:$D$843,F552))</f>
        <v/>
      </c>
      <c r="J552">
        <f>IF(F552="","",INT(H552)-B552)</f>
        <v/>
      </c>
      <c r="K552">
        <f>IF(B552&gt;=Settings!$C$5,1,0)</f>
        <v/>
      </c>
    </row>
    <row r="553">
      <c r="A553" t="inlineStr">
        <is>
          <t>53087acd60be68abef4c92b984f833f2</t>
        </is>
      </c>
      <c r="B553" s="29" t="n">
        <v>43059</v>
      </c>
      <c r="C553" t="inlineStr">
        <is>
          <t>2017-11</t>
        </is>
      </c>
      <c r="D553" t="inlineStr">
        <is>
          <t>88740e65d5d6b056e0cda098e1ea6313</t>
        </is>
      </c>
      <c r="E553" t="inlineStr">
        <is>
          <t>social</t>
        </is>
      </c>
      <c r="F553">
        <f>IFERROR(MATCH(A553,Deals!$A$2:$A$843,0),"")</f>
        <v/>
      </c>
      <c r="G553">
        <f>IF(F553="",0,1)</f>
        <v/>
      </c>
      <c r="H553" s="29">
        <f>IF(F553="","",INDEX(Deals!$E$2:$E$843,F553))</f>
        <v/>
      </c>
      <c r="I553">
        <f>IF(F553="","",INDEX(Deals!$D$2:$D$843,F553))</f>
        <v/>
      </c>
      <c r="J553">
        <f>IF(F553="","",INT(H553)-B553)</f>
        <v/>
      </c>
      <c r="K553">
        <f>IF(B553&gt;=Settings!$C$5,1,0)</f>
        <v/>
      </c>
    </row>
    <row r="554">
      <c r="A554" t="inlineStr">
        <is>
          <t>4504a21322621ea6e8b2af2f6564e81a</t>
        </is>
      </c>
      <c r="B554" s="29" t="n">
        <v>42962</v>
      </c>
      <c r="C554" t="inlineStr">
        <is>
          <t>2017-08</t>
        </is>
      </c>
      <c r="D554" t="inlineStr">
        <is>
          <t>e492ee5eaf1697716985cc6f33f9cd9b</t>
        </is>
      </c>
      <c r="E554" t="inlineStr">
        <is>
          <t>organic_search</t>
        </is>
      </c>
      <c r="F554">
        <f>IFERROR(MATCH(A554,Deals!$A$2:$A$843,0),"")</f>
        <v/>
      </c>
      <c r="G554">
        <f>IF(F554="",0,1)</f>
        <v/>
      </c>
      <c r="H554" s="29">
        <f>IF(F554="","",INDEX(Deals!$E$2:$E$843,F554))</f>
        <v/>
      </c>
      <c r="I554">
        <f>IF(F554="","",INDEX(Deals!$D$2:$D$843,F554))</f>
        <v/>
      </c>
      <c r="J554">
        <f>IF(F554="","",INT(H554)-B554)</f>
        <v/>
      </c>
      <c r="K554">
        <f>IF(B554&gt;=Settings!$C$5,1,0)</f>
        <v/>
      </c>
    </row>
    <row r="555">
      <c r="A555" t="inlineStr">
        <is>
          <t>005b0c27e7224dabb8c1c7346ceea228</t>
        </is>
      </c>
      <c r="B555" s="29" t="n">
        <v>42992</v>
      </c>
      <c r="C555" t="inlineStr">
        <is>
          <t>2017-09</t>
        </is>
      </c>
      <c r="D555" t="inlineStr">
        <is>
          <t>298895230612f85f0742434fc434ad10</t>
        </is>
      </c>
      <c r="E555" t="inlineStr">
        <is>
          <t>email</t>
        </is>
      </c>
      <c r="F555">
        <f>IFERROR(MATCH(A555,Deals!$A$2:$A$843,0),"")</f>
        <v/>
      </c>
      <c r="G555">
        <f>IF(F555="",0,1)</f>
        <v/>
      </c>
      <c r="H555" s="29">
        <f>IF(F555="","",INDEX(Deals!$E$2:$E$843,F555))</f>
        <v/>
      </c>
      <c r="I555">
        <f>IF(F555="","",INDEX(Deals!$D$2:$D$843,F555))</f>
        <v/>
      </c>
      <c r="J555">
        <f>IF(F555="","",INT(H555)-B555)</f>
        <v/>
      </c>
      <c r="K555">
        <f>IF(B555&gt;=Settings!$C$5,1,0)</f>
        <v/>
      </c>
    </row>
    <row r="556">
      <c r="A556" t="inlineStr">
        <is>
          <t>d9020d9a5ca6747225528d00572ac845</t>
        </is>
      </c>
      <c r="B556" s="29" t="n">
        <v>43200</v>
      </c>
      <c r="C556" t="inlineStr">
        <is>
          <t>2018-04</t>
        </is>
      </c>
      <c r="D556" t="inlineStr">
        <is>
          <t>37cf94070e940a694969304de58debe1</t>
        </is>
      </c>
      <c r="E556" t="inlineStr">
        <is>
          <t>paid_search</t>
        </is>
      </c>
      <c r="F556">
        <f>IFERROR(MATCH(A556,Deals!$A$2:$A$843,0),"")</f>
        <v/>
      </c>
      <c r="G556">
        <f>IF(F556="",0,1)</f>
        <v/>
      </c>
      <c r="H556" s="29">
        <f>IF(F556="","",INDEX(Deals!$E$2:$E$843,F556))</f>
        <v/>
      </c>
      <c r="I556">
        <f>IF(F556="","",INDEX(Deals!$D$2:$D$843,F556))</f>
        <v/>
      </c>
      <c r="J556">
        <f>IF(F556="","",INT(H556)-B556)</f>
        <v/>
      </c>
      <c r="K556">
        <f>IF(B556&gt;=Settings!$C$5,1,0)</f>
        <v/>
      </c>
    </row>
    <row r="557">
      <c r="A557" t="inlineStr">
        <is>
          <t>f72a53e19c3310188cedd074226312c9</t>
        </is>
      </c>
      <c r="B557" s="29" t="n">
        <v>43213</v>
      </c>
      <c r="C557" t="inlineStr">
        <is>
          <t>2018-04</t>
        </is>
      </c>
      <c r="D557" t="inlineStr">
        <is>
          <t>7fa6214d82e911d070f51ef79381b956</t>
        </is>
      </c>
      <c r="E557" t="inlineStr">
        <is>
          <t>direct_traffic</t>
        </is>
      </c>
      <c r="F557">
        <f>IFERROR(MATCH(A557,Deals!$A$2:$A$843,0),"")</f>
        <v/>
      </c>
      <c r="G557">
        <f>IF(F557="",0,1)</f>
        <v/>
      </c>
      <c r="H557" s="29">
        <f>IF(F557="","",INDEX(Deals!$E$2:$E$843,F557))</f>
        <v/>
      </c>
      <c r="I557">
        <f>IF(F557="","",INDEX(Deals!$D$2:$D$843,F557))</f>
        <v/>
      </c>
      <c r="J557">
        <f>IF(F557="","",INT(H557)-B557)</f>
        <v/>
      </c>
      <c r="K557">
        <f>IF(B557&gt;=Settings!$C$5,1,0)</f>
        <v/>
      </c>
    </row>
    <row r="558">
      <c r="A558" t="inlineStr">
        <is>
          <t>5f74f8625f41c155c6437067d78ca25e</t>
        </is>
      </c>
      <c r="B558" s="29" t="n">
        <v>43135</v>
      </c>
      <c r="C558" t="inlineStr">
        <is>
          <t>2018-02</t>
        </is>
      </c>
      <c r="D558" t="inlineStr">
        <is>
          <t>88740e65d5d6b056e0cda098e1ea6313</t>
        </is>
      </c>
      <c r="E558" t="inlineStr">
        <is>
          <t>social</t>
        </is>
      </c>
      <c r="F558">
        <f>IFERROR(MATCH(A558,Deals!$A$2:$A$843,0),"")</f>
        <v/>
      </c>
      <c r="G558">
        <f>IF(F558="",0,1)</f>
        <v/>
      </c>
      <c r="H558" s="29">
        <f>IF(F558="","",INDEX(Deals!$E$2:$E$843,F558))</f>
        <v/>
      </c>
      <c r="I558">
        <f>IF(F558="","",INDEX(Deals!$D$2:$D$843,F558))</f>
        <v/>
      </c>
      <c r="J558">
        <f>IF(F558="","",INT(H558)-B558)</f>
        <v/>
      </c>
      <c r="K558">
        <f>IF(B558&gt;=Settings!$C$5,1,0)</f>
        <v/>
      </c>
    </row>
    <row r="559">
      <c r="A559" t="inlineStr">
        <is>
          <t>54b827599268bd42f5c04f317a0e0cf5</t>
        </is>
      </c>
      <c r="B559" s="29" t="n">
        <v>43194</v>
      </c>
      <c r="C559" t="inlineStr">
        <is>
          <t>2018-04</t>
        </is>
      </c>
      <c r="D559" t="inlineStr">
        <is>
          <t>ce1a65abd0973638f1c887a6efcfa82d</t>
        </is>
      </c>
      <c r="E559" t="inlineStr">
        <is>
          <t>organic_search</t>
        </is>
      </c>
      <c r="F559">
        <f>IFERROR(MATCH(A559,Deals!$A$2:$A$843,0),"")</f>
        <v/>
      </c>
      <c r="G559">
        <f>IF(F559="",0,1)</f>
        <v/>
      </c>
      <c r="H559" s="29">
        <f>IF(F559="","",INDEX(Deals!$E$2:$E$843,F559))</f>
        <v/>
      </c>
      <c r="I559">
        <f>IF(F559="","",INDEX(Deals!$D$2:$D$843,F559))</f>
        <v/>
      </c>
      <c r="J559">
        <f>IF(F559="","",INT(H559)-B559)</f>
        <v/>
      </c>
      <c r="K559">
        <f>IF(B559&gt;=Settings!$C$5,1,0)</f>
        <v/>
      </c>
    </row>
    <row r="560">
      <c r="A560" t="inlineStr">
        <is>
          <t>46fdfe1db7a6965ac41dee2308681ae1</t>
        </is>
      </c>
      <c r="B560" s="29" t="n">
        <v>43030</v>
      </c>
      <c r="C560" t="inlineStr">
        <is>
          <t>2017-10</t>
        </is>
      </c>
      <c r="D560" t="inlineStr">
        <is>
          <t>88740e65d5d6b056e0cda098e1ea6313</t>
        </is>
      </c>
      <c r="E560" t="inlineStr">
        <is>
          <t>social</t>
        </is>
      </c>
      <c r="F560">
        <f>IFERROR(MATCH(A560,Deals!$A$2:$A$843,0),"")</f>
        <v/>
      </c>
      <c r="G560">
        <f>IF(F560="",0,1)</f>
        <v/>
      </c>
      <c r="H560" s="29">
        <f>IF(F560="","",INDEX(Deals!$E$2:$E$843,F560))</f>
        <v/>
      </c>
      <c r="I560">
        <f>IF(F560="","",INDEX(Deals!$D$2:$D$843,F560))</f>
        <v/>
      </c>
      <c r="J560">
        <f>IF(F560="","",INT(H560)-B560)</f>
        <v/>
      </c>
      <c r="K560">
        <f>IF(B560&gt;=Settings!$C$5,1,0)</f>
        <v/>
      </c>
    </row>
    <row r="561">
      <c r="A561" t="inlineStr">
        <is>
          <t>3d9ca0e905163e9904d2f172e96ae8c8</t>
        </is>
      </c>
      <c r="B561" s="29" t="n">
        <v>43139</v>
      </c>
      <c r="C561" t="inlineStr">
        <is>
          <t>2018-02</t>
        </is>
      </c>
      <c r="D561" t="inlineStr">
        <is>
          <t>b76ef37428e6799c421989521c0e5077</t>
        </is>
      </c>
      <c r="E561" t="inlineStr">
        <is>
          <t>unknown</t>
        </is>
      </c>
      <c r="F561">
        <f>IFERROR(MATCH(A561,Deals!$A$2:$A$843,0),"")</f>
        <v/>
      </c>
      <c r="G561">
        <f>IF(F561="",0,1)</f>
        <v/>
      </c>
      <c r="H561" s="29">
        <f>IF(F561="","",INDEX(Deals!$E$2:$E$843,F561))</f>
        <v/>
      </c>
      <c r="I561">
        <f>IF(F561="","",INDEX(Deals!$D$2:$D$843,F561))</f>
        <v/>
      </c>
      <c r="J561">
        <f>IF(F561="","",INT(H561)-B561)</f>
        <v/>
      </c>
      <c r="K561">
        <f>IF(B561&gt;=Settings!$C$5,1,0)</f>
        <v/>
      </c>
    </row>
    <row r="562">
      <c r="A562" t="inlineStr">
        <is>
          <t>65f4d68a152bcdfb558e48afafe24a0a</t>
        </is>
      </c>
      <c r="B562" s="29" t="n">
        <v>43122</v>
      </c>
      <c r="C562" t="inlineStr">
        <is>
          <t>2018-01</t>
        </is>
      </c>
      <c r="D562" t="inlineStr">
        <is>
          <t>d45d558f0daeecf3cccdffe3c59684aa</t>
        </is>
      </c>
      <c r="E562" t="inlineStr">
        <is>
          <t>other</t>
        </is>
      </c>
      <c r="F562">
        <f>IFERROR(MATCH(A562,Deals!$A$2:$A$843,0),"")</f>
        <v/>
      </c>
      <c r="G562">
        <f>IF(F562="",0,1)</f>
        <v/>
      </c>
      <c r="H562" s="29">
        <f>IF(F562="","",INDEX(Deals!$E$2:$E$843,F562))</f>
        <v/>
      </c>
      <c r="I562">
        <f>IF(F562="","",INDEX(Deals!$D$2:$D$843,F562))</f>
        <v/>
      </c>
      <c r="J562">
        <f>IF(F562="","",INT(H562)-B562)</f>
        <v/>
      </c>
      <c r="K562">
        <f>IF(B562&gt;=Settings!$C$5,1,0)</f>
        <v/>
      </c>
    </row>
    <row r="563">
      <c r="A563" t="inlineStr">
        <is>
          <t>a376ac5ee112e4c8553fc20504bdbc3c</t>
        </is>
      </c>
      <c r="B563" s="29" t="n">
        <v>43087</v>
      </c>
      <c r="C563" t="inlineStr">
        <is>
          <t>2017-12</t>
        </is>
      </c>
      <c r="D563" t="inlineStr">
        <is>
          <t>e42a14209c69c3e9cc6b042620465f12</t>
        </is>
      </c>
      <c r="E563" t="inlineStr">
        <is>
          <t>email</t>
        </is>
      </c>
      <c r="F563">
        <f>IFERROR(MATCH(A563,Deals!$A$2:$A$843,0),"")</f>
        <v/>
      </c>
      <c r="G563">
        <f>IF(F563="",0,1)</f>
        <v/>
      </c>
      <c r="H563" s="29">
        <f>IF(F563="","",INDEX(Deals!$E$2:$E$843,F563))</f>
        <v/>
      </c>
      <c r="I563">
        <f>IF(F563="","",INDEX(Deals!$D$2:$D$843,F563))</f>
        <v/>
      </c>
      <c r="J563">
        <f>IF(F563="","",INT(H563)-B563)</f>
        <v/>
      </c>
      <c r="K563">
        <f>IF(B563&gt;=Settings!$C$5,1,0)</f>
        <v/>
      </c>
    </row>
    <row r="564">
      <c r="A564" t="inlineStr">
        <is>
          <t>42a95a86a589b3e37d7e9a739821b11a</t>
        </is>
      </c>
      <c r="B564" s="29" t="n">
        <v>43247</v>
      </c>
      <c r="C564" t="inlineStr">
        <is>
          <t>2018-05</t>
        </is>
      </c>
      <c r="D564" t="inlineStr">
        <is>
          <t>a6daba667aa785424adbf4ae4848f753</t>
        </is>
      </c>
      <c r="E564" t="inlineStr">
        <is>
          <t>organic_search</t>
        </is>
      </c>
      <c r="F564">
        <f>IFERROR(MATCH(A564,Deals!$A$2:$A$843,0),"")</f>
        <v/>
      </c>
      <c r="G564">
        <f>IF(F564="",0,1)</f>
        <v/>
      </c>
      <c r="H564" s="29">
        <f>IF(F564="","",INDEX(Deals!$E$2:$E$843,F564))</f>
        <v/>
      </c>
      <c r="I564">
        <f>IF(F564="","",INDEX(Deals!$D$2:$D$843,F564))</f>
        <v/>
      </c>
      <c r="J564">
        <f>IF(F564="","",INT(H564)-B564)</f>
        <v/>
      </c>
      <c r="K564">
        <f>IF(B564&gt;=Settings!$C$5,1,0)</f>
        <v/>
      </c>
    </row>
    <row r="565">
      <c r="A565" t="inlineStr">
        <is>
          <t>d25814a309be54d1d2279a4ff921ea28</t>
        </is>
      </c>
      <c r="B565" s="29" t="n">
        <v>43156</v>
      </c>
      <c r="C565" t="inlineStr">
        <is>
          <t>2018-02</t>
        </is>
      </c>
      <c r="D565" t="inlineStr">
        <is>
          <t>88740e65d5d6b056e0cda098e1ea6313</t>
        </is>
      </c>
      <c r="E565" t="inlineStr">
        <is>
          <t>social</t>
        </is>
      </c>
      <c r="F565">
        <f>IFERROR(MATCH(A565,Deals!$A$2:$A$843,0),"")</f>
        <v/>
      </c>
      <c r="G565">
        <f>IF(F565="",0,1)</f>
        <v/>
      </c>
      <c r="H565" s="29">
        <f>IF(F565="","",INDEX(Deals!$E$2:$E$843,F565))</f>
        <v/>
      </c>
      <c r="I565">
        <f>IF(F565="","",INDEX(Deals!$D$2:$D$843,F565))</f>
        <v/>
      </c>
      <c r="J565">
        <f>IF(F565="","",INT(H565)-B565)</f>
        <v/>
      </c>
      <c r="K565">
        <f>IF(B565&gt;=Settings!$C$5,1,0)</f>
        <v/>
      </c>
    </row>
    <row r="566">
      <c r="A566" t="inlineStr">
        <is>
          <t>e3ed7cb7b47e4079cb9fef895846b3e2</t>
        </is>
      </c>
      <c r="B566" s="29" t="n">
        <v>43185</v>
      </c>
      <c r="C566" t="inlineStr">
        <is>
          <t>2018-03</t>
        </is>
      </c>
      <c r="D566" t="inlineStr">
        <is>
          <t>58326e62183c14b0c03085c33b9fdc44</t>
        </is>
      </c>
      <c r="E566" t="inlineStr">
        <is>
          <t>social</t>
        </is>
      </c>
      <c r="F566">
        <f>IFERROR(MATCH(A566,Deals!$A$2:$A$843,0),"")</f>
        <v/>
      </c>
      <c r="G566">
        <f>IF(F566="",0,1)</f>
        <v/>
      </c>
      <c r="H566" s="29">
        <f>IF(F566="","",INDEX(Deals!$E$2:$E$843,F566))</f>
        <v/>
      </c>
      <c r="I566">
        <f>IF(F566="","",INDEX(Deals!$D$2:$D$843,F566))</f>
        <v/>
      </c>
      <c r="J566">
        <f>IF(F566="","",INT(H566)-B566)</f>
        <v/>
      </c>
      <c r="K566">
        <f>IF(B566&gt;=Settings!$C$5,1,0)</f>
        <v/>
      </c>
    </row>
    <row r="567">
      <c r="A567" t="inlineStr">
        <is>
          <t>5c6ad0665a39798966cb1827da181daf</t>
        </is>
      </c>
      <c r="B567" s="29" t="n">
        <v>43130</v>
      </c>
      <c r="C567" t="inlineStr">
        <is>
          <t>2018-01</t>
        </is>
      </c>
      <c r="D567" t="inlineStr">
        <is>
          <t>88740e65d5d6b056e0cda098e1ea6313</t>
        </is>
      </c>
      <c r="E567" t="inlineStr">
        <is>
          <t>social</t>
        </is>
      </c>
      <c r="F567">
        <f>IFERROR(MATCH(A567,Deals!$A$2:$A$843,0),"")</f>
        <v/>
      </c>
      <c r="G567">
        <f>IF(F567="",0,1)</f>
        <v/>
      </c>
      <c r="H567" s="29">
        <f>IF(F567="","",INDEX(Deals!$E$2:$E$843,F567))</f>
        <v/>
      </c>
      <c r="I567">
        <f>IF(F567="","",INDEX(Deals!$D$2:$D$843,F567))</f>
        <v/>
      </c>
      <c r="J567">
        <f>IF(F567="","",INT(H567)-B567)</f>
        <v/>
      </c>
      <c r="K567">
        <f>IF(B567&gt;=Settings!$C$5,1,0)</f>
        <v/>
      </c>
    </row>
    <row r="568">
      <c r="A568" t="inlineStr">
        <is>
          <t>afdef57f55877167686754f14886a0de</t>
        </is>
      </c>
      <c r="B568" s="29" t="n">
        <v>43056</v>
      </c>
      <c r="C568" t="inlineStr">
        <is>
          <t>2017-11</t>
        </is>
      </c>
      <c r="D568" t="inlineStr">
        <is>
          <t>f98c2bd96ac4a5d9476734e790c91384</t>
        </is>
      </c>
      <c r="E568" t="inlineStr">
        <is>
          <t>email</t>
        </is>
      </c>
      <c r="F568">
        <f>IFERROR(MATCH(A568,Deals!$A$2:$A$843,0),"")</f>
        <v/>
      </c>
      <c r="G568">
        <f>IF(F568="",0,1)</f>
        <v/>
      </c>
      <c r="H568" s="29">
        <f>IF(F568="","",INDEX(Deals!$E$2:$E$843,F568))</f>
        <v/>
      </c>
      <c r="I568">
        <f>IF(F568="","",INDEX(Deals!$D$2:$D$843,F568))</f>
        <v/>
      </c>
      <c r="J568">
        <f>IF(F568="","",INT(H568)-B568)</f>
        <v/>
      </c>
      <c r="K568">
        <f>IF(B568&gt;=Settings!$C$5,1,0)</f>
        <v/>
      </c>
    </row>
    <row r="569">
      <c r="A569" t="inlineStr">
        <is>
          <t>861288f2a22d00fd516d7d104c7349da</t>
        </is>
      </c>
      <c r="B569" s="29" t="n">
        <v>43121</v>
      </c>
      <c r="C569" t="inlineStr">
        <is>
          <t>2018-01</t>
        </is>
      </c>
      <c r="D569" t="inlineStr">
        <is>
          <t>f4cb9c7b1dc31afca77d4896d2ae8d4b</t>
        </is>
      </c>
      <c r="E569" t="inlineStr">
        <is>
          <t>organic_search</t>
        </is>
      </c>
      <c r="F569">
        <f>IFERROR(MATCH(A569,Deals!$A$2:$A$843,0),"")</f>
        <v/>
      </c>
      <c r="G569">
        <f>IF(F569="",0,1)</f>
        <v/>
      </c>
      <c r="H569" s="29">
        <f>IF(F569="","",INDEX(Deals!$E$2:$E$843,F569))</f>
        <v/>
      </c>
      <c r="I569">
        <f>IF(F569="","",INDEX(Deals!$D$2:$D$843,F569))</f>
        <v/>
      </c>
      <c r="J569">
        <f>IF(F569="","",INT(H569)-B569)</f>
        <v/>
      </c>
      <c r="K569">
        <f>IF(B569&gt;=Settings!$C$5,1,0)</f>
        <v/>
      </c>
    </row>
    <row r="570">
      <c r="A570" t="inlineStr">
        <is>
          <t>abb4b1c0c6cda71595f6aedfb3f81bbe</t>
        </is>
      </c>
      <c r="B570" s="29" t="n">
        <v>42950</v>
      </c>
      <c r="C570" t="inlineStr">
        <is>
          <t>2017-08</t>
        </is>
      </c>
      <c r="D570" t="inlineStr">
        <is>
          <t>a6ad0162dbe1182cd73e783d0ec1ffcf</t>
        </is>
      </c>
      <c r="E570" t="inlineStr">
        <is>
          <t>paid_search</t>
        </is>
      </c>
      <c r="F570">
        <f>IFERROR(MATCH(A570,Deals!$A$2:$A$843,0),"")</f>
        <v/>
      </c>
      <c r="G570">
        <f>IF(F570="",0,1)</f>
        <v/>
      </c>
      <c r="H570" s="29">
        <f>IF(F570="","",INDEX(Deals!$E$2:$E$843,F570))</f>
        <v/>
      </c>
      <c r="I570">
        <f>IF(F570="","",INDEX(Deals!$D$2:$D$843,F570))</f>
        <v/>
      </c>
      <c r="J570">
        <f>IF(F570="","",INT(H570)-B570)</f>
        <v/>
      </c>
      <c r="K570">
        <f>IF(B570&gt;=Settings!$C$5,1,0)</f>
        <v/>
      </c>
    </row>
    <row r="571">
      <c r="A571" t="inlineStr">
        <is>
          <t>feba0fc3e2bca1b304abb0a033cb92ea</t>
        </is>
      </c>
      <c r="B571" s="29" t="n">
        <v>43236</v>
      </c>
      <c r="C571" t="inlineStr">
        <is>
          <t>2018-05</t>
        </is>
      </c>
      <c r="D571" t="inlineStr">
        <is>
          <t>22c29808c4f815213303f8933030604c</t>
        </is>
      </c>
      <c r="E571" t="inlineStr">
        <is>
          <t>organic_search</t>
        </is>
      </c>
      <c r="F571">
        <f>IFERROR(MATCH(A571,Deals!$A$2:$A$843,0),"")</f>
        <v/>
      </c>
      <c r="G571">
        <f>IF(F571="",0,1)</f>
        <v/>
      </c>
      <c r="H571" s="29">
        <f>IF(F571="","",INDEX(Deals!$E$2:$E$843,F571))</f>
        <v/>
      </c>
      <c r="I571">
        <f>IF(F571="","",INDEX(Deals!$D$2:$D$843,F571))</f>
        <v/>
      </c>
      <c r="J571">
        <f>IF(F571="","",INT(H571)-B571)</f>
        <v/>
      </c>
      <c r="K571">
        <f>IF(B571&gt;=Settings!$C$5,1,0)</f>
        <v/>
      </c>
    </row>
    <row r="572">
      <c r="A572" t="inlineStr">
        <is>
          <t>5c4ca203172b06327998724484e5c720</t>
        </is>
      </c>
      <c r="B572" s="29" t="n">
        <v>43040</v>
      </c>
      <c r="C572" t="inlineStr">
        <is>
          <t>2017-11</t>
        </is>
      </c>
      <c r="D572" t="inlineStr">
        <is>
          <t>1722481ac9e5371e5099dea226b5421d</t>
        </is>
      </c>
      <c r="E572" t="inlineStr">
        <is>
          <t>organic_search</t>
        </is>
      </c>
      <c r="F572">
        <f>IFERROR(MATCH(A572,Deals!$A$2:$A$843,0),"")</f>
        <v/>
      </c>
      <c r="G572">
        <f>IF(F572="",0,1)</f>
        <v/>
      </c>
      <c r="H572" s="29">
        <f>IF(F572="","",INDEX(Deals!$E$2:$E$843,F572))</f>
        <v/>
      </c>
      <c r="I572">
        <f>IF(F572="","",INDEX(Deals!$D$2:$D$843,F572))</f>
        <v/>
      </c>
      <c r="J572">
        <f>IF(F572="","",INT(H572)-B572)</f>
        <v/>
      </c>
      <c r="K572">
        <f>IF(B572&gt;=Settings!$C$5,1,0)</f>
        <v/>
      </c>
    </row>
    <row r="573">
      <c r="A573" t="inlineStr">
        <is>
          <t>cfdb837185d240f5ac2271882e295c23</t>
        </is>
      </c>
      <c r="B573" s="29" t="n">
        <v>42933</v>
      </c>
      <c r="C573" t="inlineStr">
        <is>
          <t>2017-07</t>
        </is>
      </c>
      <c r="D573" t="inlineStr">
        <is>
          <t>b48ec5f3b04e9068441002a19df93c6c</t>
        </is>
      </c>
      <c r="E573" t="inlineStr">
        <is>
          <t>direct_traffic</t>
        </is>
      </c>
      <c r="F573">
        <f>IFERROR(MATCH(A573,Deals!$A$2:$A$843,0),"")</f>
        <v/>
      </c>
      <c r="G573">
        <f>IF(F573="",0,1)</f>
        <v/>
      </c>
      <c r="H573" s="29">
        <f>IF(F573="","",INDEX(Deals!$E$2:$E$843,F573))</f>
        <v/>
      </c>
      <c r="I573">
        <f>IF(F573="","",INDEX(Deals!$D$2:$D$843,F573))</f>
        <v/>
      </c>
      <c r="J573">
        <f>IF(F573="","",INT(H573)-B573)</f>
        <v/>
      </c>
      <c r="K573">
        <f>IF(B573&gt;=Settings!$C$5,1,0)</f>
        <v/>
      </c>
    </row>
    <row r="574">
      <c r="A574" t="inlineStr">
        <is>
          <t>b6e16e5df709e3386d7df8c34dccb1d2</t>
        </is>
      </c>
      <c r="B574" s="29" t="n">
        <v>43004</v>
      </c>
      <c r="C574" t="inlineStr">
        <is>
          <t>2017-09</t>
        </is>
      </c>
      <c r="D574" t="inlineStr">
        <is>
          <t>c70eb6fb5bd6e939b0d5ef32f21f61e8</t>
        </is>
      </c>
      <c r="E574" t="inlineStr">
        <is>
          <t>direct_traffic</t>
        </is>
      </c>
      <c r="F574">
        <f>IFERROR(MATCH(A574,Deals!$A$2:$A$843,0),"")</f>
        <v/>
      </c>
      <c r="G574">
        <f>IF(F574="",0,1)</f>
        <v/>
      </c>
      <c r="H574" s="29">
        <f>IF(F574="","",INDEX(Deals!$E$2:$E$843,F574))</f>
        <v/>
      </c>
      <c r="I574">
        <f>IF(F574="","",INDEX(Deals!$D$2:$D$843,F574))</f>
        <v/>
      </c>
      <c r="J574">
        <f>IF(F574="","",INT(H574)-B574)</f>
        <v/>
      </c>
      <c r="K574">
        <f>IF(B574&gt;=Settings!$C$5,1,0)</f>
        <v/>
      </c>
    </row>
    <row r="575">
      <c r="A575" t="inlineStr">
        <is>
          <t>75d26d22ba86382e216cf0f2ddd92745</t>
        </is>
      </c>
      <c r="B575" s="29" t="n">
        <v>43132</v>
      </c>
      <c r="C575" t="inlineStr">
        <is>
          <t>2018-02</t>
        </is>
      </c>
      <c r="D575" t="inlineStr">
        <is>
          <t>56be022a42b70a9b7e51755d3e3a4f22</t>
        </is>
      </c>
      <c r="E575" t="inlineStr">
        <is>
          <t>email</t>
        </is>
      </c>
      <c r="F575">
        <f>IFERROR(MATCH(A575,Deals!$A$2:$A$843,0),"")</f>
        <v/>
      </c>
      <c r="G575">
        <f>IF(F575="",0,1)</f>
        <v/>
      </c>
      <c r="H575" s="29">
        <f>IF(F575="","",INDEX(Deals!$E$2:$E$843,F575))</f>
        <v/>
      </c>
      <c r="I575">
        <f>IF(F575="","",INDEX(Deals!$D$2:$D$843,F575))</f>
        <v/>
      </c>
      <c r="J575">
        <f>IF(F575="","",INT(H575)-B575)</f>
        <v/>
      </c>
      <c r="K575">
        <f>IF(B575&gt;=Settings!$C$5,1,0)</f>
        <v/>
      </c>
    </row>
    <row r="576">
      <c r="A576" t="inlineStr">
        <is>
          <t>a6835971b07994243412ed59f9c5f310</t>
        </is>
      </c>
      <c r="B576" s="29" t="n">
        <v>43193</v>
      </c>
      <c r="C576" t="inlineStr">
        <is>
          <t>2018-04</t>
        </is>
      </c>
      <c r="D576" t="inlineStr">
        <is>
          <t>58326e62183c14b0c03085c33b9fdc44</t>
        </is>
      </c>
      <c r="E576" t="inlineStr">
        <is>
          <t>social</t>
        </is>
      </c>
      <c r="F576">
        <f>IFERROR(MATCH(A576,Deals!$A$2:$A$843,0),"")</f>
        <v/>
      </c>
      <c r="G576">
        <f>IF(F576="",0,1)</f>
        <v/>
      </c>
      <c r="H576" s="29">
        <f>IF(F576="","",INDEX(Deals!$E$2:$E$843,F576))</f>
        <v/>
      </c>
      <c r="I576">
        <f>IF(F576="","",INDEX(Deals!$D$2:$D$843,F576))</f>
        <v/>
      </c>
      <c r="J576">
        <f>IF(F576="","",INT(H576)-B576)</f>
        <v/>
      </c>
      <c r="K576">
        <f>IF(B576&gt;=Settings!$C$5,1,0)</f>
        <v/>
      </c>
    </row>
    <row r="577">
      <c r="A577" t="inlineStr">
        <is>
          <t>b44f35d2d7e1ffa2ac7aef78062d9587</t>
        </is>
      </c>
      <c r="B577" s="29" t="n">
        <v>43146</v>
      </c>
      <c r="C577" t="inlineStr">
        <is>
          <t>2018-02</t>
        </is>
      </c>
      <c r="D577" t="inlineStr">
        <is>
          <t>88740e65d5d6b056e0cda098e1ea6313</t>
        </is>
      </c>
      <c r="E577" t="inlineStr">
        <is>
          <t>social</t>
        </is>
      </c>
      <c r="F577">
        <f>IFERROR(MATCH(A577,Deals!$A$2:$A$843,0),"")</f>
        <v/>
      </c>
      <c r="G577">
        <f>IF(F577="",0,1)</f>
        <v/>
      </c>
      <c r="H577" s="29">
        <f>IF(F577="","",INDEX(Deals!$E$2:$E$843,F577))</f>
        <v/>
      </c>
      <c r="I577">
        <f>IF(F577="","",INDEX(Deals!$D$2:$D$843,F577))</f>
        <v/>
      </c>
      <c r="J577">
        <f>IF(F577="","",INT(H577)-B577)</f>
        <v/>
      </c>
      <c r="K577">
        <f>IF(B577&gt;=Settings!$C$5,1,0)</f>
        <v/>
      </c>
    </row>
    <row r="578">
      <c r="A578" t="inlineStr">
        <is>
          <t>83fe595a07a8da38ace7d7f82b749d4d</t>
        </is>
      </c>
      <c r="B578" s="29" t="n">
        <v>43167</v>
      </c>
      <c r="C578" t="inlineStr">
        <is>
          <t>2018-03</t>
        </is>
      </c>
      <c r="D578" t="inlineStr">
        <is>
          <t>ce1a65abd0973638f1c887a6efcfa82d</t>
        </is>
      </c>
      <c r="E578" t="inlineStr">
        <is>
          <t>organic_search</t>
        </is>
      </c>
      <c r="F578">
        <f>IFERROR(MATCH(A578,Deals!$A$2:$A$843,0),"")</f>
        <v/>
      </c>
      <c r="G578">
        <f>IF(F578="",0,1)</f>
        <v/>
      </c>
      <c r="H578" s="29">
        <f>IF(F578="","",INDEX(Deals!$E$2:$E$843,F578))</f>
        <v/>
      </c>
      <c r="I578">
        <f>IF(F578="","",INDEX(Deals!$D$2:$D$843,F578))</f>
        <v/>
      </c>
      <c r="J578">
        <f>IF(F578="","",INT(H578)-B578)</f>
        <v/>
      </c>
      <c r="K578">
        <f>IF(B578&gt;=Settings!$C$5,1,0)</f>
        <v/>
      </c>
    </row>
    <row r="579">
      <c r="A579" t="inlineStr">
        <is>
          <t>49494b2411c66c20b40c26a64449eb44</t>
        </is>
      </c>
      <c r="B579" s="29" t="n">
        <v>43229</v>
      </c>
      <c r="C579" t="inlineStr">
        <is>
          <t>2018-05</t>
        </is>
      </c>
      <c r="D579" t="inlineStr">
        <is>
          <t>22c29808c4f815213303f8933030604c</t>
        </is>
      </c>
      <c r="E579" t="inlineStr">
        <is>
          <t>organic_search</t>
        </is>
      </c>
      <c r="F579">
        <f>IFERROR(MATCH(A579,Deals!$A$2:$A$843,0),"")</f>
        <v/>
      </c>
      <c r="G579">
        <f>IF(F579="",0,1)</f>
        <v/>
      </c>
      <c r="H579" s="29">
        <f>IF(F579="","",INDEX(Deals!$E$2:$E$843,F579))</f>
        <v/>
      </c>
      <c r="I579">
        <f>IF(F579="","",INDEX(Deals!$D$2:$D$843,F579))</f>
        <v/>
      </c>
      <c r="J579">
        <f>IF(F579="","",INT(H579)-B579)</f>
        <v/>
      </c>
      <c r="K579">
        <f>IF(B579&gt;=Settings!$C$5,1,0)</f>
        <v/>
      </c>
    </row>
    <row r="580">
      <c r="A580" t="inlineStr">
        <is>
          <t>c4c38a34e7a5cabb2449a3a281c207bd</t>
        </is>
      </c>
      <c r="B580" s="29" t="n">
        <v>43214</v>
      </c>
      <c r="C580" t="inlineStr">
        <is>
          <t>2018-04</t>
        </is>
      </c>
      <c r="D580" t="inlineStr">
        <is>
          <t>58326e62183c14b0c03085c33b9fdc44</t>
        </is>
      </c>
      <c r="E580" t="inlineStr">
        <is>
          <t>social</t>
        </is>
      </c>
      <c r="F580">
        <f>IFERROR(MATCH(A580,Deals!$A$2:$A$843,0),"")</f>
        <v/>
      </c>
      <c r="G580">
        <f>IF(F580="",0,1)</f>
        <v/>
      </c>
      <c r="H580" s="29">
        <f>IF(F580="","",INDEX(Deals!$E$2:$E$843,F580))</f>
        <v/>
      </c>
      <c r="I580">
        <f>IF(F580="","",INDEX(Deals!$D$2:$D$843,F580))</f>
        <v/>
      </c>
      <c r="J580">
        <f>IF(F580="","",INT(H580)-B580)</f>
        <v/>
      </c>
      <c r="K580">
        <f>IF(B580&gt;=Settings!$C$5,1,0)</f>
        <v/>
      </c>
    </row>
    <row r="581">
      <c r="A581" t="inlineStr">
        <is>
          <t>db6a549038935d2a7a39962afa560b10</t>
        </is>
      </c>
      <c r="B581" s="29" t="n">
        <v>43197</v>
      </c>
      <c r="C581" t="inlineStr">
        <is>
          <t>2018-04</t>
        </is>
      </c>
      <c r="D581" t="inlineStr">
        <is>
          <t>649b7b8b46b254497e92038d88f6ced8</t>
        </is>
      </c>
      <c r="E581" t="inlineStr">
        <is>
          <t>social</t>
        </is>
      </c>
      <c r="F581">
        <f>IFERROR(MATCH(A581,Deals!$A$2:$A$843,0),"")</f>
        <v/>
      </c>
      <c r="G581">
        <f>IF(F581="",0,1)</f>
        <v/>
      </c>
      <c r="H581" s="29">
        <f>IF(F581="","",INDEX(Deals!$E$2:$E$843,F581))</f>
        <v/>
      </c>
      <c r="I581">
        <f>IF(F581="","",INDEX(Deals!$D$2:$D$843,F581))</f>
        <v/>
      </c>
      <c r="J581">
        <f>IF(F581="","",INT(H581)-B581)</f>
        <v/>
      </c>
      <c r="K581">
        <f>IF(B581&gt;=Settings!$C$5,1,0)</f>
        <v/>
      </c>
    </row>
    <row r="582">
      <c r="A582" t="inlineStr">
        <is>
          <t>5270662c66e89672a771bf6f8b050389</t>
        </is>
      </c>
      <c r="B582" s="29" t="n">
        <v>43152</v>
      </c>
      <c r="C582" t="inlineStr">
        <is>
          <t>2018-02</t>
        </is>
      </c>
      <c r="D582" t="inlineStr">
        <is>
          <t>73f31a40697cc90a86c1273563ac230e</t>
        </is>
      </c>
      <c r="E582" t="inlineStr">
        <is>
          <t>other</t>
        </is>
      </c>
      <c r="F582">
        <f>IFERROR(MATCH(A582,Deals!$A$2:$A$843,0),"")</f>
        <v/>
      </c>
      <c r="G582">
        <f>IF(F582="",0,1)</f>
        <v/>
      </c>
      <c r="H582" s="29">
        <f>IF(F582="","",INDEX(Deals!$E$2:$E$843,F582))</f>
        <v/>
      </c>
      <c r="I582">
        <f>IF(F582="","",INDEX(Deals!$D$2:$D$843,F582))</f>
        <v/>
      </c>
      <c r="J582">
        <f>IF(F582="","",INT(H582)-B582)</f>
        <v/>
      </c>
      <c r="K582">
        <f>IF(B582&gt;=Settings!$C$5,1,0)</f>
        <v/>
      </c>
    </row>
    <row r="583">
      <c r="A583" t="inlineStr">
        <is>
          <t>413e4eb37de01f40522e28ecdc268639</t>
        </is>
      </c>
      <c r="B583" s="29" t="n">
        <v>43112</v>
      </c>
      <c r="C583" t="inlineStr">
        <is>
          <t>2018-01</t>
        </is>
      </c>
      <c r="D583" t="inlineStr">
        <is>
          <t>22c29808c4f815213303f8933030604c</t>
        </is>
      </c>
      <c r="E583" t="inlineStr">
        <is>
          <t>unknown</t>
        </is>
      </c>
      <c r="F583">
        <f>IFERROR(MATCH(A583,Deals!$A$2:$A$843,0),"")</f>
        <v/>
      </c>
      <c r="G583">
        <f>IF(F583="",0,1)</f>
        <v/>
      </c>
      <c r="H583" s="29">
        <f>IF(F583="","",INDEX(Deals!$E$2:$E$843,F583))</f>
        <v/>
      </c>
      <c r="I583">
        <f>IF(F583="","",INDEX(Deals!$D$2:$D$843,F583))</f>
        <v/>
      </c>
      <c r="J583">
        <f>IF(F583="","",INT(H583)-B583)</f>
        <v/>
      </c>
      <c r="K583">
        <f>IF(B583&gt;=Settings!$C$5,1,0)</f>
        <v/>
      </c>
    </row>
    <row r="584">
      <c r="A584" t="inlineStr">
        <is>
          <t>bc8dc2e92112275da59ba352aa5070c3</t>
        </is>
      </c>
      <c r="B584" s="29" t="n">
        <v>43131</v>
      </c>
      <c r="C584" t="inlineStr">
        <is>
          <t>2018-01</t>
        </is>
      </c>
      <c r="D584" t="inlineStr">
        <is>
          <t>88740e65d5d6b056e0cda098e1ea6313</t>
        </is>
      </c>
      <c r="E584" t="inlineStr">
        <is>
          <t>social</t>
        </is>
      </c>
      <c r="F584">
        <f>IFERROR(MATCH(A584,Deals!$A$2:$A$843,0),"")</f>
        <v/>
      </c>
      <c r="G584">
        <f>IF(F584="",0,1)</f>
        <v/>
      </c>
      <c r="H584" s="29">
        <f>IF(F584="","",INDEX(Deals!$E$2:$E$843,F584))</f>
        <v/>
      </c>
      <c r="I584">
        <f>IF(F584="","",INDEX(Deals!$D$2:$D$843,F584))</f>
        <v/>
      </c>
      <c r="J584">
        <f>IF(F584="","",INT(H584)-B584)</f>
        <v/>
      </c>
      <c r="K584">
        <f>IF(B584&gt;=Settings!$C$5,1,0)</f>
        <v/>
      </c>
    </row>
    <row r="585">
      <c r="A585" t="inlineStr">
        <is>
          <t>723d8c61fce870c3474d080313a4a2fd</t>
        </is>
      </c>
      <c r="B585" s="29" t="n">
        <v>43248</v>
      </c>
      <c r="C585" t="inlineStr">
        <is>
          <t>2018-05</t>
        </is>
      </c>
      <c r="D585" t="inlineStr">
        <is>
          <t>22c29808c4f815213303f8933030604c</t>
        </is>
      </c>
      <c r="E585" t="inlineStr">
        <is>
          <t>organic_search</t>
        </is>
      </c>
      <c r="F585">
        <f>IFERROR(MATCH(A585,Deals!$A$2:$A$843,0),"")</f>
        <v/>
      </c>
      <c r="G585">
        <f>IF(F585="",0,1)</f>
        <v/>
      </c>
      <c r="H585" s="29">
        <f>IF(F585="","",INDEX(Deals!$E$2:$E$843,F585))</f>
        <v/>
      </c>
      <c r="I585">
        <f>IF(F585="","",INDEX(Deals!$D$2:$D$843,F585))</f>
        <v/>
      </c>
      <c r="J585">
        <f>IF(F585="","",INT(H585)-B585)</f>
        <v/>
      </c>
      <c r="K585">
        <f>IF(B585&gt;=Settings!$C$5,1,0)</f>
        <v/>
      </c>
    </row>
    <row r="586">
      <c r="A586" t="inlineStr">
        <is>
          <t>c1e598764329cc9c377ef1d029be8ceb</t>
        </is>
      </c>
      <c r="B586" s="29" t="n">
        <v>43135</v>
      </c>
      <c r="C586" t="inlineStr">
        <is>
          <t>2018-02</t>
        </is>
      </c>
      <c r="D586" t="inlineStr">
        <is>
          <t>22c29808c4f815213303f8933030604c</t>
        </is>
      </c>
      <c r="E586" t="inlineStr">
        <is>
          <t>organic_search</t>
        </is>
      </c>
      <c r="F586">
        <f>IFERROR(MATCH(A586,Deals!$A$2:$A$843,0),"")</f>
        <v/>
      </c>
      <c r="G586">
        <f>IF(F586="",0,1)</f>
        <v/>
      </c>
      <c r="H586" s="29">
        <f>IF(F586="","",INDEX(Deals!$E$2:$E$843,F586))</f>
        <v/>
      </c>
      <c r="I586">
        <f>IF(F586="","",INDEX(Deals!$D$2:$D$843,F586))</f>
        <v/>
      </c>
      <c r="J586">
        <f>IF(F586="","",INT(H586)-B586)</f>
        <v/>
      </c>
      <c r="K586">
        <f>IF(B586&gt;=Settings!$C$5,1,0)</f>
        <v/>
      </c>
    </row>
    <row r="587">
      <c r="A587" t="inlineStr">
        <is>
          <t>eae5f13231cdefd8f5af75ceceee1401</t>
        </is>
      </c>
      <c r="B587" s="29" t="n">
        <v>43158</v>
      </c>
      <c r="C587" t="inlineStr">
        <is>
          <t>2018-02</t>
        </is>
      </c>
      <c r="D587" t="inlineStr">
        <is>
          <t>b76ef37428e6799c421989521c0e5077</t>
        </is>
      </c>
      <c r="E587" t="inlineStr">
        <is>
          <t>unknown</t>
        </is>
      </c>
      <c r="F587">
        <f>IFERROR(MATCH(A587,Deals!$A$2:$A$843,0),"")</f>
        <v/>
      </c>
      <c r="G587">
        <f>IF(F587="",0,1)</f>
        <v/>
      </c>
      <c r="H587" s="29">
        <f>IF(F587="","",INDEX(Deals!$E$2:$E$843,F587))</f>
        <v/>
      </c>
      <c r="I587">
        <f>IF(F587="","",INDEX(Deals!$D$2:$D$843,F587))</f>
        <v/>
      </c>
      <c r="J587">
        <f>IF(F587="","",INT(H587)-B587)</f>
        <v/>
      </c>
      <c r="K587">
        <f>IF(B587&gt;=Settings!$C$5,1,0)</f>
        <v/>
      </c>
    </row>
    <row r="588">
      <c r="A588" t="inlineStr">
        <is>
          <t>0a463a86a89e8ba060c74ca5474cb432</t>
        </is>
      </c>
      <c r="B588" s="29" t="n">
        <v>43174</v>
      </c>
      <c r="C588" t="inlineStr">
        <is>
          <t>2018-03</t>
        </is>
      </c>
      <c r="D588" t="inlineStr">
        <is>
          <t>f017be4dbf86243af5c1ebed0cff36a2</t>
        </is>
      </c>
      <c r="E588" t="inlineStr">
        <is>
          <t>referral</t>
        </is>
      </c>
      <c r="F588">
        <f>IFERROR(MATCH(A588,Deals!$A$2:$A$843,0),"")</f>
        <v/>
      </c>
      <c r="G588">
        <f>IF(F588="",0,1)</f>
        <v/>
      </c>
      <c r="H588" s="29">
        <f>IF(F588="","",INDEX(Deals!$E$2:$E$843,F588))</f>
        <v/>
      </c>
      <c r="I588">
        <f>IF(F588="","",INDEX(Deals!$D$2:$D$843,F588))</f>
        <v/>
      </c>
      <c r="J588">
        <f>IF(F588="","",INT(H588)-B588)</f>
        <v/>
      </c>
      <c r="K588">
        <f>IF(B588&gt;=Settings!$C$5,1,0)</f>
        <v/>
      </c>
    </row>
    <row r="589">
      <c r="A589" t="inlineStr">
        <is>
          <t>4db72518160c7a7cdf49b12d7b6e5aa1</t>
        </is>
      </c>
      <c r="B589" s="29" t="n">
        <v>43143</v>
      </c>
      <c r="C589" t="inlineStr">
        <is>
          <t>2018-02</t>
        </is>
      </c>
      <c r="D589" t="inlineStr">
        <is>
          <t>ef0b482996664cc1107b9051efd3ca84</t>
        </is>
      </c>
      <c r="E589" t="inlineStr">
        <is>
          <t>email</t>
        </is>
      </c>
      <c r="F589">
        <f>IFERROR(MATCH(A589,Deals!$A$2:$A$843,0),"")</f>
        <v/>
      </c>
      <c r="G589">
        <f>IF(F589="",0,1)</f>
        <v/>
      </c>
      <c r="H589" s="29">
        <f>IF(F589="","",INDEX(Deals!$E$2:$E$843,F589))</f>
        <v/>
      </c>
      <c r="I589">
        <f>IF(F589="","",INDEX(Deals!$D$2:$D$843,F589))</f>
        <v/>
      </c>
      <c r="J589">
        <f>IF(F589="","",INT(H589)-B589)</f>
        <v/>
      </c>
      <c r="K589">
        <f>IF(B589&gt;=Settings!$C$5,1,0)</f>
        <v/>
      </c>
    </row>
    <row r="590">
      <c r="A590" t="inlineStr">
        <is>
          <t>60e592a5e2c587d823db52392ff1591f</t>
        </is>
      </c>
      <c r="B590" s="29" t="n">
        <v>43208</v>
      </c>
      <c r="C590" t="inlineStr">
        <is>
          <t>2018-04</t>
        </is>
      </c>
      <c r="D590" t="inlineStr">
        <is>
          <t>4e82dd1f6d00626bda0723eef0a269a6</t>
        </is>
      </c>
      <c r="E590" t="inlineStr">
        <is>
          <t>direct_traffic</t>
        </is>
      </c>
      <c r="F590">
        <f>IFERROR(MATCH(A590,Deals!$A$2:$A$843,0),"")</f>
        <v/>
      </c>
      <c r="G590">
        <f>IF(F590="",0,1)</f>
        <v/>
      </c>
      <c r="H590" s="29">
        <f>IF(F590="","",INDEX(Deals!$E$2:$E$843,F590))</f>
        <v/>
      </c>
      <c r="I590">
        <f>IF(F590="","",INDEX(Deals!$D$2:$D$843,F590))</f>
        <v/>
      </c>
      <c r="J590">
        <f>IF(F590="","",INT(H590)-B590)</f>
        <v/>
      </c>
      <c r="K590">
        <f>IF(B590&gt;=Settings!$C$5,1,0)</f>
        <v/>
      </c>
    </row>
    <row r="591">
      <c r="A591" t="inlineStr">
        <is>
          <t>a22769dce23753889a437fb442c647db</t>
        </is>
      </c>
      <c r="B591" s="29" t="n">
        <v>43243</v>
      </c>
      <c r="C591" t="inlineStr">
        <is>
          <t>2018-05</t>
        </is>
      </c>
      <c r="D591" t="inlineStr">
        <is>
          <t>22c29808c4f815213303f8933030604c</t>
        </is>
      </c>
      <c r="E591" t="inlineStr">
        <is>
          <t>organic_search</t>
        </is>
      </c>
      <c r="F591">
        <f>IFERROR(MATCH(A591,Deals!$A$2:$A$843,0),"")</f>
        <v/>
      </c>
      <c r="G591">
        <f>IF(F591="",0,1)</f>
        <v/>
      </c>
      <c r="H591" s="29">
        <f>IF(F591="","",INDEX(Deals!$E$2:$E$843,F591))</f>
        <v/>
      </c>
      <c r="I591">
        <f>IF(F591="","",INDEX(Deals!$D$2:$D$843,F591))</f>
        <v/>
      </c>
      <c r="J591">
        <f>IF(F591="","",INT(H591)-B591)</f>
        <v/>
      </c>
      <c r="K591">
        <f>IF(B591&gt;=Settings!$C$5,1,0)</f>
        <v/>
      </c>
    </row>
    <row r="592">
      <c r="A592" t="inlineStr">
        <is>
          <t>974aa39be46f0ba832c70a2bcf9b816c</t>
        </is>
      </c>
      <c r="B592" s="29" t="n">
        <v>43110</v>
      </c>
      <c r="C592" t="inlineStr">
        <is>
          <t>2018-01</t>
        </is>
      </c>
      <c r="D592" t="inlineStr">
        <is>
          <t>65d9f9d71e562365e8b44037c2888d98</t>
        </is>
      </c>
      <c r="E592" t="inlineStr">
        <is>
          <t>paid_search</t>
        </is>
      </c>
      <c r="F592">
        <f>IFERROR(MATCH(A592,Deals!$A$2:$A$843,0),"")</f>
        <v/>
      </c>
      <c r="G592">
        <f>IF(F592="",0,1)</f>
        <v/>
      </c>
      <c r="H592" s="29">
        <f>IF(F592="","",INDEX(Deals!$E$2:$E$843,F592))</f>
        <v/>
      </c>
      <c r="I592">
        <f>IF(F592="","",INDEX(Deals!$D$2:$D$843,F592))</f>
        <v/>
      </c>
      <c r="J592">
        <f>IF(F592="","",INT(H592)-B592)</f>
        <v/>
      </c>
      <c r="K592">
        <f>IF(B592&gt;=Settings!$C$5,1,0)</f>
        <v/>
      </c>
    </row>
    <row r="593">
      <c r="A593" t="inlineStr">
        <is>
          <t>10f7bc59e8bff1be33feb09b6c07be1f</t>
        </is>
      </c>
      <c r="B593" s="29" t="n">
        <v>43223</v>
      </c>
      <c r="C593" t="inlineStr">
        <is>
          <t>2018-05</t>
        </is>
      </c>
      <c r="D593" t="inlineStr">
        <is>
          <t>30534107aa0013db92899c96a1017d0b</t>
        </is>
      </c>
      <c r="E593" t="inlineStr">
        <is>
          <t>social</t>
        </is>
      </c>
      <c r="F593">
        <f>IFERROR(MATCH(A593,Deals!$A$2:$A$843,0),"")</f>
        <v/>
      </c>
      <c r="G593">
        <f>IF(F593="",0,1)</f>
        <v/>
      </c>
      <c r="H593" s="29">
        <f>IF(F593="","",INDEX(Deals!$E$2:$E$843,F593))</f>
        <v/>
      </c>
      <c r="I593">
        <f>IF(F593="","",INDEX(Deals!$D$2:$D$843,F593))</f>
        <v/>
      </c>
      <c r="J593">
        <f>IF(F593="","",INT(H593)-B593)</f>
        <v/>
      </c>
      <c r="K593">
        <f>IF(B593&gt;=Settings!$C$5,1,0)</f>
        <v/>
      </c>
    </row>
    <row r="594">
      <c r="A594" t="inlineStr">
        <is>
          <t>9cca8d684240e24dd459f2d439fae30c</t>
        </is>
      </c>
      <c r="B594" s="29" t="n">
        <v>43145</v>
      </c>
      <c r="C594" t="inlineStr">
        <is>
          <t>2018-02</t>
        </is>
      </c>
      <c r="D594" t="inlineStr">
        <is>
          <t>b76ef37428e6799c421989521c0e5077</t>
        </is>
      </c>
      <c r="E594" t="inlineStr">
        <is>
          <t>unknown</t>
        </is>
      </c>
      <c r="F594">
        <f>IFERROR(MATCH(A594,Deals!$A$2:$A$843,0),"")</f>
        <v/>
      </c>
      <c r="G594">
        <f>IF(F594="",0,1)</f>
        <v/>
      </c>
      <c r="H594" s="29">
        <f>IF(F594="","",INDEX(Deals!$E$2:$E$843,F594))</f>
        <v/>
      </c>
      <c r="I594">
        <f>IF(F594="","",INDEX(Deals!$D$2:$D$843,F594))</f>
        <v/>
      </c>
      <c r="J594">
        <f>IF(F594="","",INT(H594)-B594)</f>
        <v/>
      </c>
      <c r="K594">
        <f>IF(B594&gt;=Settings!$C$5,1,0)</f>
        <v/>
      </c>
    </row>
    <row r="595">
      <c r="A595" t="inlineStr">
        <is>
          <t>3a00f5cdee3c1c6053e7b45e1a50fc9e</t>
        </is>
      </c>
      <c r="B595" s="29" t="n">
        <v>43164</v>
      </c>
      <c r="C595" t="inlineStr">
        <is>
          <t>2018-03</t>
        </is>
      </c>
      <c r="D595" t="inlineStr">
        <is>
          <t>b76ef37428e6799c421989521c0e5077</t>
        </is>
      </c>
      <c r="E595" t="inlineStr">
        <is>
          <t>unknown</t>
        </is>
      </c>
      <c r="F595">
        <f>IFERROR(MATCH(A595,Deals!$A$2:$A$843,0),"")</f>
        <v/>
      </c>
      <c r="G595">
        <f>IF(F595="",0,1)</f>
        <v/>
      </c>
      <c r="H595" s="29">
        <f>IF(F595="","",INDEX(Deals!$E$2:$E$843,F595))</f>
        <v/>
      </c>
      <c r="I595">
        <f>IF(F595="","",INDEX(Deals!$D$2:$D$843,F595))</f>
        <v/>
      </c>
      <c r="J595">
        <f>IF(F595="","",INT(H595)-B595)</f>
        <v/>
      </c>
      <c r="K595">
        <f>IF(B595&gt;=Settings!$C$5,1,0)</f>
        <v/>
      </c>
    </row>
    <row r="596">
      <c r="A596" t="inlineStr">
        <is>
          <t>2d032e6b2c84336f25b57e1fc21f6feb</t>
        </is>
      </c>
      <c r="B596" s="29" t="n">
        <v>43207</v>
      </c>
      <c r="C596" t="inlineStr">
        <is>
          <t>2018-04</t>
        </is>
      </c>
      <c r="D596" t="inlineStr">
        <is>
          <t>d75a2371281f42d607be43b08bd74905</t>
        </is>
      </c>
      <c r="E596" t="inlineStr">
        <is>
          <t>direct_traffic</t>
        </is>
      </c>
      <c r="F596">
        <f>IFERROR(MATCH(A596,Deals!$A$2:$A$843,0),"")</f>
        <v/>
      </c>
      <c r="G596">
        <f>IF(F596="",0,1)</f>
        <v/>
      </c>
      <c r="H596" s="29">
        <f>IF(F596="","",INDEX(Deals!$E$2:$E$843,F596))</f>
        <v/>
      </c>
      <c r="I596">
        <f>IF(F596="","",INDEX(Deals!$D$2:$D$843,F596))</f>
        <v/>
      </c>
      <c r="J596">
        <f>IF(F596="","",INT(H596)-B596)</f>
        <v/>
      </c>
      <c r="K596">
        <f>IF(B596&gt;=Settings!$C$5,1,0)</f>
        <v/>
      </c>
    </row>
    <row r="597">
      <c r="A597" t="inlineStr">
        <is>
          <t>acfb944f17391575205a32619e3f9d37</t>
        </is>
      </c>
      <c r="B597" s="29" t="n">
        <v>43014</v>
      </c>
      <c r="C597" t="inlineStr">
        <is>
          <t>2017-10</t>
        </is>
      </c>
      <c r="D597" t="inlineStr">
        <is>
          <t>65d9f9d71e562365e8b44037c2888d98</t>
        </is>
      </c>
      <c r="E597" t="inlineStr">
        <is>
          <t>organic_search</t>
        </is>
      </c>
      <c r="F597">
        <f>IFERROR(MATCH(A597,Deals!$A$2:$A$843,0),"")</f>
        <v/>
      </c>
      <c r="G597">
        <f>IF(F597="",0,1)</f>
        <v/>
      </c>
      <c r="H597" s="29">
        <f>IF(F597="","",INDEX(Deals!$E$2:$E$843,F597))</f>
        <v/>
      </c>
      <c r="I597">
        <f>IF(F597="","",INDEX(Deals!$D$2:$D$843,F597))</f>
        <v/>
      </c>
      <c r="J597">
        <f>IF(F597="","",INT(H597)-B597)</f>
        <v/>
      </c>
      <c r="K597">
        <f>IF(B597&gt;=Settings!$C$5,1,0)</f>
        <v/>
      </c>
    </row>
    <row r="598">
      <c r="A598" t="inlineStr">
        <is>
          <t>e9fb2eda3d9c55a0d89c98d6c54b5b3e</t>
        </is>
      </c>
      <c r="B598" s="29" t="n">
        <v>43217</v>
      </c>
      <c r="C598" t="inlineStr">
        <is>
          <t>2018-04</t>
        </is>
      </c>
      <c r="D598" t="inlineStr">
        <is>
          <t>966098efaef7a4d665be6b0cb617541b</t>
        </is>
      </c>
      <c r="E598" t="inlineStr">
        <is>
          <t>(missing)</t>
        </is>
      </c>
      <c r="F598">
        <f>IFERROR(MATCH(A598,Deals!$A$2:$A$843,0),"")</f>
        <v/>
      </c>
      <c r="G598">
        <f>IF(F598="",0,1)</f>
        <v/>
      </c>
      <c r="H598" s="29">
        <f>IF(F598="","",INDEX(Deals!$E$2:$E$843,F598))</f>
        <v/>
      </c>
      <c r="I598">
        <f>IF(F598="","",INDEX(Deals!$D$2:$D$843,F598))</f>
        <v/>
      </c>
      <c r="J598">
        <f>IF(F598="","",INT(H598)-B598)</f>
        <v/>
      </c>
      <c r="K598">
        <f>IF(B598&gt;=Settings!$C$5,1,0)</f>
        <v/>
      </c>
    </row>
    <row r="599">
      <c r="A599" t="inlineStr">
        <is>
          <t>0e98729842c746b65e68c204d5c17c2a</t>
        </is>
      </c>
      <c r="B599" s="29" t="n">
        <v>43099</v>
      </c>
      <c r="C599" t="inlineStr">
        <is>
          <t>2017-12</t>
        </is>
      </c>
      <c r="D599" t="inlineStr">
        <is>
          <t>88740e65d5d6b056e0cda098e1ea6313</t>
        </is>
      </c>
      <c r="E599" t="inlineStr">
        <is>
          <t>social</t>
        </is>
      </c>
      <c r="F599">
        <f>IFERROR(MATCH(A599,Deals!$A$2:$A$843,0),"")</f>
        <v/>
      </c>
      <c r="G599">
        <f>IF(F599="",0,1)</f>
        <v/>
      </c>
      <c r="H599" s="29">
        <f>IF(F599="","",INDEX(Deals!$E$2:$E$843,F599))</f>
        <v/>
      </c>
      <c r="I599">
        <f>IF(F599="","",INDEX(Deals!$D$2:$D$843,F599))</f>
        <v/>
      </c>
      <c r="J599">
        <f>IF(F599="","",INT(H599)-B599)</f>
        <v/>
      </c>
      <c r="K599">
        <f>IF(B599&gt;=Settings!$C$5,1,0)</f>
        <v/>
      </c>
    </row>
    <row r="600">
      <c r="A600" t="inlineStr">
        <is>
          <t>e0a30be9b1b30f4d56a2f1e1e760e536</t>
        </is>
      </c>
      <c r="B600" s="29" t="n">
        <v>43075</v>
      </c>
      <c r="C600" t="inlineStr">
        <is>
          <t>2017-12</t>
        </is>
      </c>
      <c r="D600" t="inlineStr">
        <is>
          <t>f98c2bd96ac4a5d9476734e790c91384</t>
        </is>
      </c>
      <c r="E600" t="inlineStr">
        <is>
          <t>(missing)</t>
        </is>
      </c>
      <c r="F600">
        <f>IFERROR(MATCH(A600,Deals!$A$2:$A$843,0),"")</f>
        <v/>
      </c>
      <c r="G600">
        <f>IF(F600="",0,1)</f>
        <v/>
      </c>
      <c r="H600" s="29">
        <f>IF(F600="","",INDEX(Deals!$E$2:$E$843,F600))</f>
        <v/>
      </c>
      <c r="I600">
        <f>IF(F600="","",INDEX(Deals!$D$2:$D$843,F600))</f>
        <v/>
      </c>
      <c r="J600">
        <f>IF(F600="","",INT(H600)-B600)</f>
        <v/>
      </c>
      <c r="K600">
        <f>IF(B600&gt;=Settings!$C$5,1,0)</f>
        <v/>
      </c>
    </row>
    <row r="601">
      <c r="A601" t="inlineStr">
        <is>
          <t>c4fa856e631d52fce97c4eb37d17bb19</t>
        </is>
      </c>
      <c r="B601" s="29" t="n">
        <v>42975</v>
      </c>
      <c r="C601" t="inlineStr">
        <is>
          <t>2017-08</t>
        </is>
      </c>
      <c r="D601" t="inlineStr">
        <is>
          <t>3cd2a8301d5395f21cdd3094c9eaa2f4</t>
        </is>
      </c>
      <c r="E601" t="inlineStr">
        <is>
          <t>paid_search</t>
        </is>
      </c>
      <c r="F601">
        <f>IFERROR(MATCH(A601,Deals!$A$2:$A$843,0),"")</f>
        <v/>
      </c>
      <c r="G601">
        <f>IF(F601="",0,1)</f>
        <v/>
      </c>
      <c r="H601" s="29">
        <f>IF(F601="","",INDEX(Deals!$E$2:$E$843,F601))</f>
        <v/>
      </c>
      <c r="I601">
        <f>IF(F601="","",INDEX(Deals!$D$2:$D$843,F601))</f>
        <v/>
      </c>
      <c r="J601">
        <f>IF(F601="","",INT(H601)-B601)</f>
        <v/>
      </c>
      <c r="K601">
        <f>IF(B601&gt;=Settings!$C$5,1,0)</f>
        <v/>
      </c>
    </row>
    <row r="602">
      <c r="A602" t="inlineStr">
        <is>
          <t>956d72455bdee25732b0f1966ddec813</t>
        </is>
      </c>
      <c r="B602" s="29" t="n">
        <v>43014</v>
      </c>
      <c r="C602" t="inlineStr">
        <is>
          <t>2017-10</t>
        </is>
      </c>
      <c r="D602" t="inlineStr">
        <is>
          <t>a7982125ff7aa3b2054c6e44f9d28522</t>
        </is>
      </c>
      <c r="E602" t="inlineStr">
        <is>
          <t>paid_search</t>
        </is>
      </c>
      <c r="F602">
        <f>IFERROR(MATCH(A602,Deals!$A$2:$A$843,0),"")</f>
        <v/>
      </c>
      <c r="G602">
        <f>IF(F602="",0,1)</f>
        <v/>
      </c>
      <c r="H602" s="29">
        <f>IF(F602="","",INDEX(Deals!$E$2:$E$843,F602))</f>
        <v/>
      </c>
      <c r="I602">
        <f>IF(F602="","",INDEX(Deals!$D$2:$D$843,F602))</f>
        <v/>
      </c>
      <c r="J602">
        <f>IF(F602="","",INT(H602)-B602)</f>
        <v/>
      </c>
      <c r="K602">
        <f>IF(B602&gt;=Settings!$C$5,1,0)</f>
        <v/>
      </c>
    </row>
    <row r="603">
      <c r="A603" t="inlineStr">
        <is>
          <t>816f29f7fcace6a71651550c57d8705e</t>
        </is>
      </c>
      <c r="B603" s="29" t="n">
        <v>43060</v>
      </c>
      <c r="C603" t="inlineStr">
        <is>
          <t>2017-11</t>
        </is>
      </c>
      <c r="D603" t="inlineStr">
        <is>
          <t>b76ef37428e6799c421989521c0e5077</t>
        </is>
      </c>
      <c r="E603" t="inlineStr">
        <is>
          <t>unknown</t>
        </is>
      </c>
      <c r="F603">
        <f>IFERROR(MATCH(A603,Deals!$A$2:$A$843,0),"")</f>
        <v/>
      </c>
      <c r="G603">
        <f>IF(F603="",0,1)</f>
        <v/>
      </c>
      <c r="H603" s="29">
        <f>IF(F603="","",INDEX(Deals!$E$2:$E$843,F603))</f>
        <v/>
      </c>
      <c r="I603">
        <f>IF(F603="","",INDEX(Deals!$D$2:$D$843,F603))</f>
        <v/>
      </c>
      <c r="J603">
        <f>IF(F603="","",INT(H603)-B603)</f>
        <v/>
      </c>
      <c r="K603">
        <f>IF(B603&gt;=Settings!$C$5,1,0)</f>
        <v/>
      </c>
    </row>
    <row r="604">
      <c r="A604" t="inlineStr">
        <is>
          <t>0d99b130d767e50e22b528261ffe5550</t>
        </is>
      </c>
      <c r="B604" s="29" t="n">
        <v>43249</v>
      </c>
      <c r="C604" t="inlineStr">
        <is>
          <t>2018-05</t>
        </is>
      </c>
      <c r="D604" t="inlineStr">
        <is>
          <t>22c29808c4f815213303f8933030604c</t>
        </is>
      </c>
      <c r="E604" t="inlineStr">
        <is>
          <t>organic_search</t>
        </is>
      </c>
      <c r="F604">
        <f>IFERROR(MATCH(A604,Deals!$A$2:$A$843,0),"")</f>
        <v/>
      </c>
      <c r="G604">
        <f>IF(F604="",0,1)</f>
        <v/>
      </c>
      <c r="H604" s="29">
        <f>IF(F604="","",INDEX(Deals!$E$2:$E$843,F604))</f>
        <v/>
      </c>
      <c r="I604">
        <f>IF(F604="","",INDEX(Deals!$D$2:$D$843,F604))</f>
        <v/>
      </c>
      <c r="J604">
        <f>IF(F604="","",INT(H604)-B604)</f>
        <v/>
      </c>
      <c r="K604">
        <f>IF(B604&gt;=Settings!$C$5,1,0)</f>
        <v/>
      </c>
    </row>
    <row r="605">
      <c r="A605" t="inlineStr">
        <is>
          <t>3b988312366f22d4a782aee759e58e6c</t>
        </is>
      </c>
      <c r="B605" s="29" t="n">
        <v>43241</v>
      </c>
      <c r="C605" t="inlineStr">
        <is>
          <t>2018-05</t>
        </is>
      </c>
      <c r="D605" t="inlineStr">
        <is>
          <t>ce1a65abd0973638f1c887a6efcfa82d</t>
        </is>
      </c>
      <c r="E605" t="inlineStr">
        <is>
          <t>direct_traffic</t>
        </is>
      </c>
      <c r="F605">
        <f>IFERROR(MATCH(A605,Deals!$A$2:$A$843,0),"")</f>
        <v/>
      </c>
      <c r="G605">
        <f>IF(F605="",0,1)</f>
        <v/>
      </c>
      <c r="H605" s="29">
        <f>IF(F605="","",INDEX(Deals!$E$2:$E$843,F605))</f>
        <v/>
      </c>
      <c r="I605">
        <f>IF(F605="","",INDEX(Deals!$D$2:$D$843,F605))</f>
        <v/>
      </c>
      <c r="J605">
        <f>IF(F605="","",INT(H605)-B605)</f>
        <v/>
      </c>
      <c r="K605">
        <f>IF(B605&gt;=Settings!$C$5,1,0)</f>
        <v/>
      </c>
    </row>
    <row r="606">
      <c r="A606" t="inlineStr">
        <is>
          <t>a2bf11a5cc1a2b5a58a0549dbd66fb37</t>
        </is>
      </c>
      <c r="B606" s="29" t="n">
        <v>43151</v>
      </c>
      <c r="C606" t="inlineStr">
        <is>
          <t>2018-02</t>
        </is>
      </c>
      <c r="D606" t="inlineStr">
        <is>
          <t>b76ef37428e6799c421989521c0e5077</t>
        </is>
      </c>
      <c r="E606" t="inlineStr">
        <is>
          <t>unknown</t>
        </is>
      </c>
      <c r="F606">
        <f>IFERROR(MATCH(A606,Deals!$A$2:$A$843,0),"")</f>
        <v/>
      </c>
      <c r="G606">
        <f>IF(F606="",0,1)</f>
        <v/>
      </c>
      <c r="H606" s="29">
        <f>IF(F606="","",INDEX(Deals!$E$2:$E$843,F606))</f>
        <v/>
      </c>
      <c r="I606">
        <f>IF(F606="","",INDEX(Deals!$D$2:$D$843,F606))</f>
        <v/>
      </c>
      <c r="J606">
        <f>IF(F606="","",INT(H606)-B606)</f>
        <v/>
      </c>
      <c r="K606">
        <f>IF(B606&gt;=Settings!$C$5,1,0)</f>
        <v/>
      </c>
    </row>
    <row r="607">
      <c r="A607" t="inlineStr">
        <is>
          <t>83db1518c5bd4e9bf12fdf97de0d29fc</t>
        </is>
      </c>
      <c r="B607" s="29" t="n">
        <v>43129</v>
      </c>
      <c r="C607" t="inlineStr">
        <is>
          <t>2018-01</t>
        </is>
      </c>
      <c r="D607" t="inlineStr">
        <is>
          <t>88740e65d5d6b056e0cda098e1ea6313</t>
        </is>
      </c>
      <c r="E607" t="inlineStr">
        <is>
          <t>social</t>
        </is>
      </c>
      <c r="F607">
        <f>IFERROR(MATCH(A607,Deals!$A$2:$A$843,0),"")</f>
        <v/>
      </c>
      <c r="G607">
        <f>IF(F607="",0,1)</f>
        <v/>
      </c>
      <c r="H607" s="29">
        <f>IF(F607="","",INDEX(Deals!$E$2:$E$843,F607))</f>
        <v/>
      </c>
      <c r="I607">
        <f>IF(F607="","",INDEX(Deals!$D$2:$D$843,F607))</f>
        <v/>
      </c>
      <c r="J607">
        <f>IF(F607="","",INT(H607)-B607)</f>
        <v/>
      </c>
      <c r="K607">
        <f>IF(B607&gt;=Settings!$C$5,1,0)</f>
        <v/>
      </c>
    </row>
    <row r="608">
      <c r="A608" t="inlineStr">
        <is>
          <t>ca586d5ec745e3d9f7b31e948c8f5f4a</t>
        </is>
      </c>
      <c r="B608" s="29" t="n">
        <v>43108</v>
      </c>
      <c r="C608" t="inlineStr">
        <is>
          <t>2018-01</t>
        </is>
      </c>
      <c r="D608" t="inlineStr">
        <is>
          <t>a7982125ff7aa3b2054c6e44f9d28522</t>
        </is>
      </c>
      <c r="E608" t="inlineStr">
        <is>
          <t>display</t>
        </is>
      </c>
      <c r="F608">
        <f>IFERROR(MATCH(A608,Deals!$A$2:$A$843,0),"")</f>
        <v/>
      </c>
      <c r="G608">
        <f>IF(F608="",0,1)</f>
        <v/>
      </c>
      <c r="H608" s="29">
        <f>IF(F608="","",INDEX(Deals!$E$2:$E$843,F608))</f>
        <v/>
      </c>
      <c r="I608">
        <f>IF(F608="","",INDEX(Deals!$D$2:$D$843,F608))</f>
        <v/>
      </c>
      <c r="J608">
        <f>IF(F608="","",INT(H608)-B608)</f>
        <v/>
      </c>
      <c r="K608">
        <f>IF(B608&gt;=Settings!$C$5,1,0)</f>
        <v/>
      </c>
    </row>
    <row r="609">
      <c r="A609" t="inlineStr">
        <is>
          <t>de845b1e6c1a63150b5123dbb7fb32e1</t>
        </is>
      </c>
      <c r="B609" s="29" t="n">
        <v>43098</v>
      </c>
      <c r="C609" t="inlineStr">
        <is>
          <t>2017-12</t>
        </is>
      </c>
      <c r="D609" t="inlineStr">
        <is>
          <t>ce1a65abd0973638f1c887a6efcfa82d</t>
        </is>
      </c>
      <c r="E609" t="inlineStr">
        <is>
          <t>organic_search</t>
        </is>
      </c>
      <c r="F609">
        <f>IFERROR(MATCH(A609,Deals!$A$2:$A$843,0),"")</f>
        <v/>
      </c>
      <c r="G609">
        <f>IF(F609="",0,1)</f>
        <v/>
      </c>
      <c r="H609" s="29">
        <f>IF(F609="","",INDEX(Deals!$E$2:$E$843,F609))</f>
        <v/>
      </c>
      <c r="I609">
        <f>IF(F609="","",INDEX(Deals!$D$2:$D$843,F609))</f>
        <v/>
      </c>
      <c r="J609">
        <f>IF(F609="","",INT(H609)-B609)</f>
        <v/>
      </c>
      <c r="K609">
        <f>IF(B609&gt;=Settings!$C$5,1,0)</f>
        <v/>
      </c>
    </row>
    <row r="610">
      <c r="A610" t="inlineStr">
        <is>
          <t>1b159dc50cad7253d6c91bc03c2bf33c</t>
        </is>
      </c>
      <c r="B610" s="29" t="n">
        <v>42984</v>
      </c>
      <c r="C610" t="inlineStr">
        <is>
          <t>2017-09</t>
        </is>
      </c>
      <c r="D610" t="inlineStr">
        <is>
          <t>0d43fc5a5096c416d3b7b492564293da</t>
        </is>
      </c>
      <c r="E610" t="inlineStr">
        <is>
          <t>organic_search</t>
        </is>
      </c>
      <c r="F610">
        <f>IFERROR(MATCH(A610,Deals!$A$2:$A$843,0),"")</f>
        <v/>
      </c>
      <c r="G610">
        <f>IF(F610="",0,1)</f>
        <v/>
      </c>
      <c r="H610" s="29">
        <f>IF(F610="","",INDEX(Deals!$E$2:$E$843,F610))</f>
        <v/>
      </c>
      <c r="I610">
        <f>IF(F610="","",INDEX(Deals!$D$2:$D$843,F610))</f>
        <v/>
      </c>
      <c r="J610">
        <f>IF(F610="","",INT(H610)-B610)</f>
        <v/>
      </c>
      <c r="K610">
        <f>IF(B610&gt;=Settings!$C$5,1,0)</f>
        <v/>
      </c>
    </row>
    <row r="611">
      <c r="A611" t="inlineStr">
        <is>
          <t>19321216090a45a21c65ee8ea8cdddbc</t>
        </is>
      </c>
      <c r="B611" s="29" t="n">
        <v>43193</v>
      </c>
      <c r="C611" t="inlineStr">
        <is>
          <t>2018-04</t>
        </is>
      </c>
      <c r="D611" t="inlineStr">
        <is>
          <t>dcdbbb0bb43f5c9ea457a8363db87e73</t>
        </is>
      </c>
      <c r="E611" t="inlineStr">
        <is>
          <t>email</t>
        </is>
      </c>
      <c r="F611">
        <f>IFERROR(MATCH(A611,Deals!$A$2:$A$843,0),"")</f>
        <v/>
      </c>
      <c r="G611">
        <f>IF(F611="",0,1)</f>
        <v/>
      </c>
      <c r="H611" s="29">
        <f>IF(F611="","",INDEX(Deals!$E$2:$E$843,F611))</f>
        <v/>
      </c>
      <c r="I611">
        <f>IF(F611="","",INDEX(Deals!$D$2:$D$843,F611))</f>
        <v/>
      </c>
      <c r="J611">
        <f>IF(F611="","",INT(H611)-B611)</f>
        <v/>
      </c>
      <c r="K611">
        <f>IF(B611&gt;=Settings!$C$5,1,0)</f>
        <v/>
      </c>
    </row>
    <row r="612">
      <c r="A612" t="inlineStr">
        <is>
          <t>46ee5b0bf6c6c26a155a09dee995d97d</t>
        </is>
      </c>
      <c r="B612" s="29" t="n">
        <v>43228</v>
      </c>
      <c r="C612" t="inlineStr">
        <is>
          <t>2018-05</t>
        </is>
      </c>
      <c r="D612" t="inlineStr">
        <is>
          <t>21a104c3279681d9856b8a48723c4fee</t>
        </is>
      </c>
      <c r="E612" t="inlineStr">
        <is>
          <t>email</t>
        </is>
      </c>
      <c r="F612">
        <f>IFERROR(MATCH(A612,Deals!$A$2:$A$843,0),"")</f>
        <v/>
      </c>
      <c r="G612">
        <f>IF(F612="",0,1)</f>
        <v/>
      </c>
      <c r="H612" s="29">
        <f>IF(F612="","",INDEX(Deals!$E$2:$E$843,F612))</f>
        <v/>
      </c>
      <c r="I612">
        <f>IF(F612="","",INDEX(Deals!$D$2:$D$843,F612))</f>
        <v/>
      </c>
      <c r="J612">
        <f>IF(F612="","",INT(H612)-B612)</f>
        <v/>
      </c>
      <c r="K612">
        <f>IF(B612&gt;=Settings!$C$5,1,0)</f>
        <v/>
      </c>
    </row>
    <row r="613">
      <c r="A613" t="inlineStr">
        <is>
          <t>5ffefd34956046c3be2e104f4e47f3dc</t>
        </is>
      </c>
      <c r="B613" s="29" t="n">
        <v>43060</v>
      </c>
      <c r="C613" t="inlineStr">
        <is>
          <t>2017-11</t>
        </is>
      </c>
      <c r="D613" t="inlineStr">
        <is>
          <t>21a104c3279681d9856b8a48723c4fee</t>
        </is>
      </c>
      <c r="E613" t="inlineStr">
        <is>
          <t>organic_search</t>
        </is>
      </c>
      <c r="F613">
        <f>IFERROR(MATCH(A613,Deals!$A$2:$A$843,0),"")</f>
        <v/>
      </c>
      <c r="G613">
        <f>IF(F613="",0,1)</f>
        <v/>
      </c>
      <c r="H613" s="29">
        <f>IF(F613="","",INDEX(Deals!$E$2:$E$843,F613))</f>
        <v/>
      </c>
      <c r="I613">
        <f>IF(F613="","",INDEX(Deals!$D$2:$D$843,F613))</f>
        <v/>
      </c>
      <c r="J613">
        <f>IF(F613="","",INT(H613)-B613)</f>
        <v/>
      </c>
      <c r="K613">
        <f>IF(B613&gt;=Settings!$C$5,1,0)</f>
        <v/>
      </c>
    </row>
    <row r="614">
      <c r="A614" t="inlineStr">
        <is>
          <t>5361754d7fa731dc4608adc1ec4c335f</t>
        </is>
      </c>
      <c r="B614" s="29" t="n">
        <v>43031</v>
      </c>
      <c r="C614" t="inlineStr">
        <is>
          <t>2017-10</t>
        </is>
      </c>
      <c r="D614" t="inlineStr">
        <is>
          <t>a7982125ff7aa3b2054c6e44f9d28522</t>
        </is>
      </c>
      <c r="E614" t="inlineStr">
        <is>
          <t>organic_search</t>
        </is>
      </c>
      <c r="F614">
        <f>IFERROR(MATCH(A614,Deals!$A$2:$A$843,0),"")</f>
        <v/>
      </c>
      <c r="G614">
        <f>IF(F614="",0,1)</f>
        <v/>
      </c>
      <c r="H614" s="29">
        <f>IF(F614="","",INDEX(Deals!$E$2:$E$843,F614))</f>
        <v/>
      </c>
      <c r="I614">
        <f>IF(F614="","",INDEX(Deals!$D$2:$D$843,F614))</f>
        <v/>
      </c>
      <c r="J614">
        <f>IF(F614="","",INT(H614)-B614)</f>
        <v/>
      </c>
      <c r="K614">
        <f>IF(B614&gt;=Settings!$C$5,1,0)</f>
        <v/>
      </c>
    </row>
    <row r="615">
      <c r="A615" t="inlineStr">
        <is>
          <t>aae86d5288085041f684fca44422f4ca</t>
        </is>
      </c>
      <c r="B615" s="29" t="n">
        <v>43228</v>
      </c>
      <c r="C615" t="inlineStr">
        <is>
          <t>2018-05</t>
        </is>
      </c>
      <c r="D615" t="inlineStr">
        <is>
          <t>82028478fef3ab881990e8d1fb24ba3a</t>
        </is>
      </c>
      <c r="E615" t="inlineStr">
        <is>
          <t>email</t>
        </is>
      </c>
      <c r="F615">
        <f>IFERROR(MATCH(A615,Deals!$A$2:$A$843,0),"")</f>
        <v/>
      </c>
      <c r="G615">
        <f>IF(F615="",0,1)</f>
        <v/>
      </c>
      <c r="H615" s="29">
        <f>IF(F615="","",INDEX(Deals!$E$2:$E$843,F615))</f>
        <v/>
      </c>
      <c r="I615">
        <f>IF(F615="","",INDEX(Deals!$D$2:$D$843,F615))</f>
        <v/>
      </c>
      <c r="J615">
        <f>IF(F615="","",INT(H615)-B615)</f>
        <v/>
      </c>
      <c r="K615">
        <f>IF(B615&gt;=Settings!$C$5,1,0)</f>
        <v/>
      </c>
    </row>
    <row r="616">
      <c r="A616" t="inlineStr">
        <is>
          <t>e245fc8cc5805e79d2791d96c953e6c3</t>
        </is>
      </c>
      <c r="B616" s="29" t="n">
        <v>43227</v>
      </c>
      <c r="C616" t="inlineStr">
        <is>
          <t>2018-05</t>
        </is>
      </c>
      <c r="D616" t="inlineStr">
        <is>
          <t>a7982125ff7aa3b2054c6e44f9d28522</t>
        </is>
      </c>
      <c r="E616" t="inlineStr">
        <is>
          <t>organic_search</t>
        </is>
      </c>
      <c r="F616">
        <f>IFERROR(MATCH(A616,Deals!$A$2:$A$843,0),"")</f>
        <v/>
      </c>
      <c r="G616">
        <f>IF(F616="",0,1)</f>
        <v/>
      </c>
      <c r="H616" s="29">
        <f>IF(F616="","",INDEX(Deals!$E$2:$E$843,F616))</f>
        <v/>
      </c>
      <c r="I616">
        <f>IF(F616="","",INDEX(Deals!$D$2:$D$843,F616))</f>
        <v/>
      </c>
      <c r="J616">
        <f>IF(F616="","",INT(H616)-B616)</f>
        <v/>
      </c>
      <c r="K616">
        <f>IF(B616&gt;=Settings!$C$5,1,0)</f>
        <v/>
      </c>
    </row>
    <row r="617">
      <c r="A617" t="inlineStr">
        <is>
          <t>ef41987246843c2a90083b63504be497</t>
        </is>
      </c>
      <c r="B617" s="29" t="n">
        <v>43236</v>
      </c>
      <c r="C617" t="inlineStr">
        <is>
          <t>2018-05</t>
        </is>
      </c>
      <c r="D617" t="inlineStr">
        <is>
          <t>6a110e795dd487f1cf8d7583671987af</t>
        </is>
      </c>
      <c r="E617" t="inlineStr">
        <is>
          <t>email</t>
        </is>
      </c>
      <c r="F617">
        <f>IFERROR(MATCH(A617,Deals!$A$2:$A$843,0),"")</f>
        <v/>
      </c>
      <c r="G617">
        <f>IF(F617="",0,1)</f>
        <v/>
      </c>
      <c r="H617" s="29">
        <f>IF(F617="","",INDEX(Deals!$E$2:$E$843,F617))</f>
        <v/>
      </c>
      <c r="I617">
        <f>IF(F617="","",INDEX(Deals!$D$2:$D$843,F617))</f>
        <v/>
      </c>
      <c r="J617">
        <f>IF(F617="","",INT(H617)-B617)</f>
        <v/>
      </c>
      <c r="K617">
        <f>IF(B617&gt;=Settings!$C$5,1,0)</f>
        <v/>
      </c>
    </row>
    <row r="618">
      <c r="A618" t="inlineStr">
        <is>
          <t>7c9ac4388867d4cc3f1cf9c05ad7e944</t>
        </is>
      </c>
      <c r="B618" s="29" t="n">
        <v>43166</v>
      </c>
      <c r="C618" t="inlineStr">
        <is>
          <t>2018-03</t>
        </is>
      </c>
      <c r="D618" t="inlineStr">
        <is>
          <t>40dec9f3d5259a3d2dbcdab2114fae47</t>
        </is>
      </c>
      <c r="E618" t="inlineStr">
        <is>
          <t>paid_search</t>
        </is>
      </c>
      <c r="F618">
        <f>IFERROR(MATCH(A618,Deals!$A$2:$A$843,0),"")</f>
        <v/>
      </c>
      <c r="G618">
        <f>IF(F618="",0,1)</f>
        <v/>
      </c>
      <c r="H618" s="29">
        <f>IF(F618="","",INDEX(Deals!$E$2:$E$843,F618))</f>
        <v/>
      </c>
      <c r="I618">
        <f>IF(F618="","",INDEX(Deals!$D$2:$D$843,F618))</f>
        <v/>
      </c>
      <c r="J618">
        <f>IF(F618="","",INT(H618)-B618)</f>
        <v/>
      </c>
      <c r="K618">
        <f>IF(B618&gt;=Settings!$C$5,1,0)</f>
        <v/>
      </c>
    </row>
    <row r="619">
      <c r="A619" t="inlineStr">
        <is>
          <t>9f13a20090198429dc55bc098d4463e5</t>
        </is>
      </c>
      <c r="B619" s="29" t="n">
        <v>43050</v>
      </c>
      <c r="C619" t="inlineStr">
        <is>
          <t>2017-11</t>
        </is>
      </c>
      <c r="D619" t="inlineStr">
        <is>
          <t>88740e65d5d6b056e0cda098e1ea6313</t>
        </is>
      </c>
      <c r="E619" t="inlineStr">
        <is>
          <t>social</t>
        </is>
      </c>
      <c r="F619">
        <f>IFERROR(MATCH(A619,Deals!$A$2:$A$843,0),"")</f>
        <v/>
      </c>
      <c r="G619">
        <f>IF(F619="",0,1)</f>
        <v/>
      </c>
      <c r="H619" s="29">
        <f>IF(F619="","",INDEX(Deals!$E$2:$E$843,F619))</f>
        <v/>
      </c>
      <c r="I619">
        <f>IF(F619="","",INDEX(Deals!$D$2:$D$843,F619))</f>
        <v/>
      </c>
      <c r="J619">
        <f>IF(F619="","",INT(H619)-B619)</f>
        <v/>
      </c>
      <c r="K619">
        <f>IF(B619&gt;=Settings!$C$5,1,0)</f>
        <v/>
      </c>
    </row>
    <row r="620">
      <c r="A620" t="inlineStr">
        <is>
          <t>601ae8e23680421562ed64634e9fe39e</t>
        </is>
      </c>
      <c r="B620" s="29" t="n">
        <v>43202</v>
      </c>
      <c r="C620" t="inlineStr">
        <is>
          <t>2018-04</t>
        </is>
      </c>
      <c r="D620" t="inlineStr">
        <is>
          <t>58326e62183c14b0c03085c33b9fdc44</t>
        </is>
      </c>
      <c r="E620" t="inlineStr">
        <is>
          <t>social</t>
        </is>
      </c>
      <c r="F620">
        <f>IFERROR(MATCH(A620,Deals!$A$2:$A$843,0),"")</f>
        <v/>
      </c>
      <c r="G620">
        <f>IF(F620="",0,1)</f>
        <v/>
      </c>
      <c r="H620" s="29">
        <f>IF(F620="","",INDEX(Deals!$E$2:$E$843,F620))</f>
        <v/>
      </c>
      <c r="I620">
        <f>IF(F620="","",INDEX(Deals!$D$2:$D$843,F620))</f>
        <v/>
      </c>
      <c r="J620">
        <f>IF(F620="","",INT(H620)-B620)</f>
        <v/>
      </c>
      <c r="K620">
        <f>IF(B620&gt;=Settings!$C$5,1,0)</f>
        <v/>
      </c>
    </row>
    <row r="621">
      <c r="A621" t="inlineStr">
        <is>
          <t>085e0bffd51efe0e0b96e5f50a18a300</t>
        </is>
      </c>
      <c r="B621" s="29" t="n">
        <v>43237</v>
      </c>
      <c r="C621" t="inlineStr">
        <is>
          <t>2018-05</t>
        </is>
      </c>
      <c r="D621" t="inlineStr">
        <is>
          <t>27cd3540bace1f4a4b2bc6d319b0553c</t>
        </is>
      </c>
      <c r="E621" t="inlineStr">
        <is>
          <t>paid_search</t>
        </is>
      </c>
      <c r="F621">
        <f>IFERROR(MATCH(A621,Deals!$A$2:$A$843,0),"")</f>
        <v/>
      </c>
      <c r="G621">
        <f>IF(F621="",0,1)</f>
        <v/>
      </c>
      <c r="H621" s="29">
        <f>IF(F621="","",INDEX(Deals!$E$2:$E$843,F621))</f>
        <v/>
      </c>
      <c r="I621">
        <f>IF(F621="","",INDEX(Deals!$D$2:$D$843,F621))</f>
        <v/>
      </c>
      <c r="J621">
        <f>IF(F621="","",INT(H621)-B621)</f>
        <v/>
      </c>
      <c r="K621">
        <f>IF(B621&gt;=Settings!$C$5,1,0)</f>
        <v/>
      </c>
    </row>
    <row r="622">
      <c r="A622" t="inlineStr">
        <is>
          <t>f9cf9ae3220a49d08fc3d463c5802025</t>
        </is>
      </c>
      <c r="B622" s="29" t="n">
        <v>43028</v>
      </c>
      <c r="C622" t="inlineStr">
        <is>
          <t>2017-10</t>
        </is>
      </c>
      <c r="D622" t="inlineStr">
        <is>
          <t>88740e65d5d6b056e0cda098e1ea6313</t>
        </is>
      </c>
      <c r="E622" t="inlineStr">
        <is>
          <t>social</t>
        </is>
      </c>
      <c r="F622">
        <f>IFERROR(MATCH(A622,Deals!$A$2:$A$843,0),"")</f>
        <v/>
      </c>
      <c r="G622">
        <f>IF(F622="",0,1)</f>
        <v/>
      </c>
      <c r="H622" s="29">
        <f>IF(F622="","",INDEX(Deals!$E$2:$E$843,F622))</f>
        <v/>
      </c>
      <c r="I622">
        <f>IF(F622="","",INDEX(Deals!$D$2:$D$843,F622))</f>
        <v/>
      </c>
      <c r="J622">
        <f>IF(F622="","",INT(H622)-B622)</f>
        <v/>
      </c>
      <c r="K622">
        <f>IF(B622&gt;=Settings!$C$5,1,0)</f>
        <v/>
      </c>
    </row>
    <row r="623">
      <c r="A623" t="inlineStr">
        <is>
          <t>0c904197b5d9590404403a50f1b3cac8</t>
        </is>
      </c>
      <c r="B623" s="29" t="n">
        <v>43134</v>
      </c>
      <c r="C623" t="inlineStr">
        <is>
          <t>2018-02</t>
        </is>
      </c>
      <c r="D623" t="inlineStr">
        <is>
          <t>88740e65d5d6b056e0cda098e1ea6313</t>
        </is>
      </c>
      <c r="E623" t="inlineStr">
        <is>
          <t>social</t>
        </is>
      </c>
      <c r="F623">
        <f>IFERROR(MATCH(A623,Deals!$A$2:$A$843,0),"")</f>
        <v/>
      </c>
      <c r="G623">
        <f>IF(F623="",0,1)</f>
        <v/>
      </c>
      <c r="H623" s="29">
        <f>IF(F623="","",INDEX(Deals!$E$2:$E$843,F623))</f>
        <v/>
      </c>
      <c r="I623">
        <f>IF(F623="","",INDEX(Deals!$D$2:$D$843,F623))</f>
        <v/>
      </c>
      <c r="J623">
        <f>IF(F623="","",INT(H623)-B623)</f>
        <v/>
      </c>
      <c r="K623">
        <f>IF(B623&gt;=Settings!$C$5,1,0)</f>
        <v/>
      </c>
    </row>
    <row r="624">
      <c r="A624" t="inlineStr">
        <is>
          <t>a67f145ffbfc4cc5533ed460f7b6faac</t>
        </is>
      </c>
      <c r="B624" s="29" t="n">
        <v>43006</v>
      </c>
      <c r="C624" t="inlineStr">
        <is>
          <t>2017-09</t>
        </is>
      </c>
      <c r="D624" t="inlineStr">
        <is>
          <t>f92b00f4abed4326fcb772ad3f732f5d</t>
        </is>
      </c>
      <c r="E624" t="inlineStr">
        <is>
          <t>paid_search</t>
        </is>
      </c>
      <c r="F624">
        <f>IFERROR(MATCH(A624,Deals!$A$2:$A$843,0),"")</f>
        <v/>
      </c>
      <c r="G624">
        <f>IF(F624="",0,1)</f>
        <v/>
      </c>
      <c r="H624" s="29">
        <f>IF(F624="","",INDEX(Deals!$E$2:$E$843,F624))</f>
        <v/>
      </c>
      <c r="I624">
        <f>IF(F624="","",INDEX(Deals!$D$2:$D$843,F624))</f>
        <v/>
      </c>
      <c r="J624">
        <f>IF(F624="","",INT(H624)-B624)</f>
        <v/>
      </c>
      <c r="K624">
        <f>IF(B624&gt;=Settings!$C$5,1,0)</f>
        <v/>
      </c>
    </row>
    <row r="625">
      <c r="A625" t="inlineStr">
        <is>
          <t>b7574793f15c6db2537254b5732da315</t>
        </is>
      </c>
      <c r="B625" s="29" t="n">
        <v>43025</v>
      </c>
      <c r="C625" t="inlineStr">
        <is>
          <t>2017-10</t>
        </is>
      </c>
      <c r="D625" t="inlineStr">
        <is>
          <t>30077c17f2ec5010a82e37ad8925b95f</t>
        </is>
      </c>
      <c r="E625" t="inlineStr">
        <is>
          <t>unknown</t>
        </is>
      </c>
      <c r="F625">
        <f>IFERROR(MATCH(A625,Deals!$A$2:$A$843,0),"")</f>
        <v/>
      </c>
      <c r="G625">
        <f>IF(F625="",0,1)</f>
        <v/>
      </c>
      <c r="H625" s="29">
        <f>IF(F625="","",INDEX(Deals!$E$2:$E$843,F625))</f>
        <v/>
      </c>
      <c r="I625">
        <f>IF(F625="","",INDEX(Deals!$D$2:$D$843,F625))</f>
        <v/>
      </c>
      <c r="J625">
        <f>IF(F625="","",INT(H625)-B625)</f>
        <v/>
      </c>
      <c r="K625">
        <f>IF(B625&gt;=Settings!$C$5,1,0)</f>
        <v/>
      </c>
    </row>
    <row r="626">
      <c r="A626" t="inlineStr">
        <is>
          <t>8837549f7a615a62e4198bf3a3f4d373</t>
        </is>
      </c>
      <c r="B626" s="29" t="n">
        <v>43140</v>
      </c>
      <c r="C626" t="inlineStr">
        <is>
          <t>2018-02</t>
        </is>
      </c>
      <c r="D626" t="inlineStr">
        <is>
          <t>b76ef37428e6799c421989521c0e5077</t>
        </is>
      </c>
      <c r="E626" t="inlineStr">
        <is>
          <t>direct_traffic</t>
        </is>
      </c>
      <c r="F626">
        <f>IFERROR(MATCH(A626,Deals!$A$2:$A$843,0),"")</f>
        <v/>
      </c>
      <c r="G626">
        <f>IF(F626="",0,1)</f>
        <v/>
      </c>
      <c r="H626" s="29">
        <f>IF(F626="","",INDEX(Deals!$E$2:$E$843,F626))</f>
        <v/>
      </c>
      <c r="I626">
        <f>IF(F626="","",INDEX(Deals!$D$2:$D$843,F626))</f>
        <v/>
      </c>
      <c r="J626">
        <f>IF(F626="","",INT(H626)-B626)</f>
        <v/>
      </c>
      <c r="K626">
        <f>IF(B626&gt;=Settings!$C$5,1,0)</f>
        <v/>
      </c>
    </row>
    <row r="627">
      <c r="A627" t="inlineStr">
        <is>
          <t>cfed54c41318d9b704a1ec1b884218b1</t>
        </is>
      </c>
      <c r="B627" s="29" t="n">
        <v>43111</v>
      </c>
      <c r="C627" t="inlineStr">
        <is>
          <t>2018-01</t>
        </is>
      </c>
      <c r="D627" t="inlineStr">
        <is>
          <t>22c29808c4f815213303f8933030604c</t>
        </is>
      </c>
      <c r="E627" t="inlineStr">
        <is>
          <t>unknown</t>
        </is>
      </c>
      <c r="F627">
        <f>IFERROR(MATCH(A627,Deals!$A$2:$A$843,0),"")</f>
        <v/>
      </c>
      <c r="G627">
        <f>IF(F627="",0,1)</f>
        <v/>
      </c>
      <c r="H627" s="29">
        <f>IF(F627="","",INDEX(Deals!$E$2:$E$843,F627))</f>
        <v/>
      </c>
      <c r="I627">
        <f>IF(F627="","",INDEX(Deals!$D$2:$D$843,F627))</f>
        <v/>
      </c>
      <c r="J627">
        <f>IF(F627="","",INT(H627)-B627)</f>
        <v/>
      </c>
      <c r="K627">
        <f>IF(B627&gt;=Settings!$C$5,1,0)</f>
        <v/>
      </c>
    </row>
    <row r="628">
      <c r="A628" t="inlineStr">
        <is>
          <t>a809dc00968793d620e4aa35255f09e4</t>
        </is>
      </c>
      <c r="B628" s="29" t="n">
        <v>42926</v>
      </c>
      <c r="C628" t="inlineStr">
        <is>
          <t>2017-07</t>
        </is>
      </c>
      <c r="D628" t="inlineStr">
        <is>
          <t>c79bafc4a099ff23e3bab1534797fb45</t>
        </is>
      </c>
      <c r="E628" t="inlineStr">
        <is>
          <t>paid_search</t>
        </is>
      </c>
      <c r="F628">
        <f>IFERROR(MATCH(A628,Deals!$A$2:$A$843,0),"")</f>
        <v/>
      </c>
      <c r="G628">
        <f>IF(F628="",0,1)</f>
        <v/>
      </c>
      <c r="H628" s="29">
        <f>IF(F628="","",INDEX(Deals!$E$2:$E$843,F628))</f>
        <v/>
      </c>
      <c r="I628">
        <f>IF(F628="","",INDEX(Deals!$D$2:$D$843,F628))</f>
        <v/>
      </c>
      <c r="J628">
        <f>IF(F628="","",INT(H628)-B628)</f>
        <v/>
      </c>
      <c r="K628">
        <f>IF(B628&gt;=Settings!$C$5,1,0)</f>
        <v/>
      </c>
    </row>
    <row r="629">
      <c r="A629" t="inlineStr">
        <is>
          <t>66677f4c83ce59b19db2071d55955e96</t>
        </is>
      </c>
      <c r="B629" s="29" t="n">
        <v>43131</v>
      </c>
      <c r="C629" t="inlineStr">
        <is>
          <t>2018-01</t>
        </is>
      </c>
      <c r="D629" t="inlineStr">
        <is>
          <t>d83b0d0e48c8447d1d5507a44027a955</t>
        </is>
      </c>
      <c r="E629" t="inlineStr">
        <is>
          <t>organic_search</t>
        </is>
      </c>
      <c r="F629">
        <f>IFERROR(MATCH(A629,Deals!$A$2:$A$843,0),"")</f>
        <v/>
      </c>
      <c r="G629">
        <f>IF(F629="",0,1)</f>
        <v/>
      </c>
      <c r="H629" s="29">
        <f>IF(F629="","",INDEX(Deals!$E$2:$E$843,F629))</f>
        <v/>
      </c>
      <c r="I629">
        <f>IF(F629="","",INDEX(Deals!$D$2:$D$843,F629))</f>
        <v/>
      </c>
      <c r="J629">
        <f>IF(F629="","",INT(H629)-B629)</f>
        <v/>
      </c>
      <c r="K629">
        <f>IF(B629&gt;=Settings!$C$5,1,0)</f>
        <v/>
      </c>
    </row>
    <row r="630">
      <c r="A630" t="inlineStr">
        <is>
          <t>26564f3030e36772879721d72586da37</t>
        </is>
      </c>
      <c r="B630" s="29" t="n">
        <v>43213</v>
      </c>
      <c r="C630" t="inlineStr">
        <is>
          <t>2018-04</t>
        </is>
      </c>
      <c r="D630" t="inlineStr">
        <is>
          <t>649b7b8b46b254497e92038d88f6ced8</t>
        </is>
      </c>
      <c r="E630" t="inlineStr">
        <is>
          <t>social</t>
        </is>
      </c>
      <c r="F630">
        <f>IFERROR(MATCH(A630,Deals!$A$2:$A$843,0),"")</f>
        <v/>
      </c>
      <c r="G630">
        <f>IF(F630="",0,1)</f>
        <v/>
      </c>
      <c r="H630" s="29">
        <f>IF(F630="","",INDEX(Deals!$E$2:$E$843,F630))</f>
        <v/>
      </c>
      <c r="I630">
        <f>IF(F630="","",INDEX(Deals!$D$2:$D$843,F630))</f>
        <v/>
      </c>
      <c r="J630">
        <f>IF(F630="","",INT(H630)-B630)</f>
        <v/>
      </c>
      <c r="K630">
        <f>IF(B630&gt;=Settings!$C$5,1,0)</f>
        <v/>
      </c>
    </row>
    <row r="631">
      <c r="A631" t="inlineStr">
        <is>
          <t>2a085e05b575fb1e26aed5121433ecfd</t>
        </is>
      </c>
      <c r="B631" s="29" t="n">
        <v>43181</v>
      </c>
      <c r="C631" t="inlineStr">
        <is>
          <t>2018-03</t>
        </is>
      </c>
      <c r="D631" t="inlineStr">
        <is>
          <t>65d9f9d71e562365e8b44037c2888d98</t>
        </is>
      </c>
      <c r="E631" t="inlineStr">
        <is>
          <t>paid_search</t>
        </is>
      </c>
      <c r="F631">
        <f>IFERROR(MATCH(A631,Deals!$A$2:$A$843,0),"")</f>
        <v/>
      </c>
      <c r="G631">
        <f>IF(F631="",0,1)</f>
        <v/>
      </c>
      <c r="H631" s="29">
        <f>IF(F631="","",INDEX(Deals!$E$2:$E$843,F631))</f>
        <v/>
      </c>
      <c r="I631">
        <f>IF(F631="","",INDEX(Deals!$D$2:$D$843,F631))</f>
        <v/>
      </c>
      <c r="J631">
        <f>IF(F631="","",INT(H631)-B631)</f>
        <v/>
      </c>
      <c r="K631">
        <f>IF(B631&gt;=Settings!$C$5,1,0)</f>
        <v/>
      </c>
    </row>
    <row r="632">
      <c r="A632" t="inlineStr">
        <is>
          <t>9442a913d4ec91707fa1fac69ec73e0b</t>
        </is>
      </c>
      <c r="B632" s="29" t="n">
        <v>43117</v>
      </c>
      <c r="C632" t="inlineStr">
        <is>
          <t>2018-01</t>
        </is>
      </c>
      <c r="D632" t="inlineStr">
        <is>
          <t>b76ef37428e6799c421989521c0e5077</t>
        </is>
      </c>
      <c r="E632" t="inlineStr">
        <is>
          <t>organic_search</t>
        </is>
      </c>
      <c r="F632">
        <f>IFERROR(MATCH(A632,Deals!$A$2:$A$843,0),"")</f>
        <v/>
      </c>
      <c r="G632">
        <f>IF(F632="",0,1)</f>
        <v/>
      </c>
      <c r="H632" s="29">
        <f>IF(F632="","",INDEX(Deals!$E$2:$E$843,F632))</f>
        <v/>
      </c>
      <c r="I632">
        <f>IF(F632="","",INDEX(Deals!$D$2:$D$843,F632))</f>
        <v/>
      </c>
      <c r="J632">
        <f>IF(F632="","",INT(H632)-B632)</f>
        <v/>
      </c>
      <c r="K632">
        <f>IF(B632&gt;=Settings!$C$5,1,0)</f>
        <v/>
      </c>
    </row>
    <row r="633">
      <c r="A633" t="inlineStr">
        <is>
          <t>29c08ec2725d8cc323fdd68147a40703</t>
        </is>
      </c>
      <c r="B633" s="29" t="n">
        <v>43118</v>
      </c>
      <c r="C633" t="inlineStr">
        <is>
          <t>2018-01</t>
        </is>
      </c>
      <c r="D633" t="inlineStr">
        <is>
          <t>872eb32141128a5320bfe7b8cf80fc14</t>
        </is>
      </c>
      <c r="E633" t="inlineStr">
        <is>
          <t>organic_search</t>
        </is>
      </c>
      <c r="F633">
        <f>IFERROR(MATCH(A633,Deals!$A$2:$A$843,0),"")</f>
        <v/>
      </c>
      <c r="G633">
        <f>IF(F633="",0,1)</f>
        <v/>
      </c>
      <c r="H633" s="29">
        <f>IF(F633="","",INDEX(Deals!$E$2:$E$843,F633))</f>
        <v/>
      </c>
      <c r="I633">
        <f>IF(F633="","",INDEX(Deals!$D$2:$D$843,F633))</f>
        <v/>
      </c>
      <c r="J633">
        <f>IF(F633="","",INT(H633)-B633)</f>
        <v/>
      </c>
      <c r="K633">
        <f>IF(B633&gt;=Settings!$C$5,1,0)</f>
        <v/>
      </c>
    </row>
    <row r="634">
      <c r="A634" t="inlineStr">
        <is>
          <t>f79a914cd32a325350dc879760b7d36b</t>
        </is>
      </c>
      <c r="B634" s="29" t="n">
        <v>43227</v>
      </c>
      <c r="C634" t="inlineStr">
        <is>
          <t>2018-05</t>
        </is>
      </c>
      <c r="D634" t="inlineStr">
        <is>
          <t>58326e62183c14b0c03085c33b9fdc44</t>
        </is>
      </c>
      <c r="E634" t="inlineStr">
        <is>
          <t>social</t>
        </is>
      </c>
      <c r="F634">
        <f>IFERROR(MATCH(A634,Deals!$A$2:$A$843,0),"")</f>
        <v/>
      </c>
      <c r="G634">
        <f>IF(F634="",0,1)</f>
        <v/>
      </c>
      <c r="H634" s="29">
        <f>IF(F634="","",INDEX(Deals!$E$2:$E$843,F634))</f>
        <v/>
      </c>
      <c r="I634">
        <f>IF(F634="","",INDEX(Deals!$D$2:$D$843,F634))</f>
        <v/>
      </c>
      <c r="J634">
        <f>IF(F634="","",INT(H634)-B634)</f>
        <v/>
      </c>
      <c r="K634">
        <f>IF(B634&gt;=Settings!$C$5,1,0)</f>
        <v/>
      </c>
    </row>
    <row r="635">
      <c r="A635" t="inlineStr">
        <is>
          <t>8402c8d4a177b4e6c0913290cc746382</t>
        </is>
      </c>
      <c r="B635" s="29" t="n">
        <v>43152</v>
      </c>
      <c r="C635" t="inlineStr">
        <is>
          <t>2018-02</t>
        </is>
      </c>
      <c r="D635" t="inlineStr">
        <is>
          <t>721e54f5ec9978339e69dd3601713456</t>
        </is>
      </c>
      <c r="E635" t="inlineStr">
        <is>
          <t>paid_search</t>
        </is>
      </c>
      <c r="F635">
        <f>IFERROR(MATCH(A635,Deals!$A$2:$A$843,0),"")</f>
        <v/>
      </c>
      <c r="G635">
        <f>IF(F635="",0,1)</f>
        <v/>
      </c>
      <c r="H635" s="29">
        <f>IF(F635="","",INDEX(Deals!$E$2:$E$843,F635))</f>
        <v/>
      </c>
      <c r="I635">
        <f>IF(F635="","",INDEX(Deals!$D$2:$D$843,F635))</f>
        <v/>
      </c>
      <c r="J635">
        <f>IF(F635="","",INT(H635)-B635)</f>
        <v/>
      </c>
      <c r="K635">
        <f>IF(B635&gt;=Settings!$C$5,1,0)</f>
        <v/>
      </c>
    </row>
    <row r="636">
      <c r="A636" t="inlineStr">
        <is>
          <t>df99a9d6cc000373e17a294faad492a7</t>
        </is>
      </c>
      <c r="B636" s="29" t="n">
        <v>43214</v>
      </c>
      <c r="C636" t="inlineStr">
        <is>
          <t>2018-04</t>
        </is>
      </c>
      <c r="D636" t="inlineStr">
        <is>
          <t>58326e62183c14b0c03085c33b9fdc44</t>
        </is>
      </c>
      <c r="E636" t="inlineStr">
        <is>
          <t>social</t>
        </is>
      </c>
      <c r="F636">
        <f>IFERROR(MATCH(A636,Deals!$A$2:$A$843,0),"")</f>
        <v/>
      </c>
      <c r="G636">
        <f>IF(F636="",0,1)</f>
        <v/>
      </c>
      <c r="H636" s="29">
        <f>IF(F636="","",INDEX(Deals!$E$2:$E$843,F636))</f>
        <v/>
      </c>
      <c r="I636">
        <f>IF(F636="","",INDEX(Deals!$D$2:$D$843,F636))</f>
        <v/>
      </c>
      <c r="J636">
        <f>IF(F636="","",INT(H636)-B636)</f>
        <v/>
      </c>
      <c r="K636">
        <f>IF(B636&gt;=Settings!$C$5,1,0)</f>
        <v/>
      </c>
    </row>
    <row r="637">
      <c r="A637" t="inlineStr">
        <is>
          <t>3972e092cea10a097976fa81c328e816</t>
        </is>
      </c>
      <c r="B637" s="29" t="n">
        <v>43180</v>
      </c>
      <c r="C637" t="inlineStr">
        <is>
          <t>2018-03</t>
        </is>
      </c>
      <c r="D637" t="inlineStr">
        <is>
          <t>b76ef37428e6799c421989521c0e5077</t>
        </is>
      </c>
      <c r="E637" t="inlineStr">
        <is>
          <t>unknown</t>
        </is>
      </c>
      <c r="F637">
        <f>IFERROR(MATCH(A637,Deals!$A$2:$A$843,0),"")</f>
        <v/>
      </c>
      <c r="G637">
        <f>IF(F637="",0,1)</f>
        <v/>
      </c>
      <c r="H637" s="29">
        <f>IF(F637="","",INDEX(Deals!$E$2:$E$843,F637))</f>
        <v/>
      </c>
      <c r="I637">
        <f>IF(F637="","",INDEX(Deals!$D$2:$D$843,F637))</f>
        <v/>
      </c>
      <c r="J637">
        <f>IF(F637="","",INT(H637)-B637)</f>
        <v/>
      </c>
      <c r="K637">
        <f>IF(B637&gt;=Settings!$C$5,1,0)</f>
        <v/>
      </c>
    </row>
    <row r="638">
      <c r="A638" t="inlineStr">
        <is>
          <t>12fab7a1d259efd5295bbbceadb09f81</t>
        </is>
      </c>
      <c r="B638" s="29" t="n">
        <v>43200</v>
      </c>
      <c r="C638" t="inlineStr">
        <is>
          <t>2018-04</t>
        </is>
      </c>
      <c r="D638" t="inlineStr">
        <is>
          <t>22c29808c4f815213303f8933030604c</t>
        </is>
      </c>
      <c r="E638" t="inlineStr">
        <is>
          <t>organic_search</t>
        </is>
      </c>
      <c r="F638">
        <f>IFERROR(MATCH(A638,Deals!$A$2:$A$843,0),"")</f>
        <v/>
      </c>
      <c r="G638">
        <f>IF(F638="",0,1)</f>
        <v/>
      </c>
      <c r="H638" s="29">
        <f>IF(F638="","",INDEX(Deals!$E$2:$E$843,F638))</f>
        <v/>
      </c>
      <c r="I638">
        <f>IF(F638="","",INDEX(Deals!$D$2:$D$843,F638))</f>
        <v/>
      </c>
      <c r="J638">
        <f>IF(F638="","",INT(H638)-B638)</f>
        <v/>
      </c>
      <c r="K638">
        <f>IF(B638&gt;=Settings!$C$5,1,0)</f>
        <v/>
      </c>
    </row>
    <row r="639">
      <c r="A639" t="inlineStr">
        <is>
          <t>a19be16e356ec7af4662e553cc740906</t>
        </is>
      </c>
      <c r="B639" s="29" t="n">
        <v>43117</v>
      </c>
      <c r="C639" t="inlineStr">
        <is>
          <t>2018-01</t>
        </is>
      </c>
      <c r="D639" t="inlineStr">
        <is>
          <t>99b00c6e27db383d844d1763dbcbfe06</t>
        </is>
      </c>
      <c r="E639" t="inlineStr">
        <is>
          <t>direct_traffic</t>
        </is>
      </c>
      <c r="F639">
        <f>IFERROR(MATCH(A639,Deals!$A$2:$A$843,0),"")</f>
        <v/>
      </c>
      <c r="G639">
        <f>IF(F639="",0,1)</f>
        <v/>
      </c>
      <c r="H639" s="29">
        <f>IF(F639="","",INDEX(Deals!$E$2:$E$843,F639))</f>
        <v/>
      </c>
      <c r="I639">
        <f>IF(F639="","",INDEX(Deals!$D$2:$D$843,F639))</f>
        <v/>
      </c>
      <c r="J639">
        <f>IF(F639="","",INT(H639)-B639)</f>
        <v/>
      </c>
      <c r="K639">
        <f>IF(B639&gt;=Settings!$C$5,1,0)</f>
        <v/>
      </c>
    </row>
    <row r="640">
      <c r="A640" t="inlineStr">
        <is>
          <t>40d1075be60b9feb074947fb019cc6b4</t>
        </is>
      </c>
      <c r="B640" s="29" t="n">
        <v>43195</v>
      </c>
      <c r="C640" t="inlineStr">
        <is>
          <t>2018-04</t>
        </is>
      </c>
      <c r="D640" t="inlineStr">
        <is>
          <t>c70eb6fb5bd6e939b0d5ef32f21f61e8</t>
        </is>
      </c>
      <c r="E640" t="inlineStr">
        <is>
          <t>(missing)</t>
        </is>
      </c>
      <c r="F640">
        <f>IFERROR(MATCH(A640,Deals!$A$2:$A$843,0),"")</f>
        <v/>
      </c>
      <c r="G640">
        <f>IF(F640="",0,1)</f>
        <v/>
      </c>
      <c r="H640" s="29">
        <f>IF(F640="","",INDEX(Deals!$E$2:$E$843,F640))</f>
        <v/>
      </c>
      <c r="I640">
        <f>IF(F640="","",INDEX(Deals!$D$2:$D$843,F640))</f>
        <v/>
      </c>
      <c r="J640">
        <f>IF(F640="","",INT(H640)-B640)</f>
        <v/>
      </c>
      <c r="K640">
        <f>IF(B640&gt;=Settings!$C$5,1,0)</f>
        <v/>
      </c>
    </row>
    <row r="641">
      <c r="A641" t="inlineStr">
        <is>
          <t>e834628a514af2290509181bf4348c6d</t>
        </is>
      </c>
      <c r="B641" s="29" t="n">
        <v>42982</v>
      </c>
      <c r="C641" t="inlineStr">
        <is>
          <t>2017-09</t>
        </is>
      </c>
      <c r="D641" t="inlineStr">
        <is>
          <t>22c29808c4f815213303f8933030604c</t>
        </is>
      </c>
      <c r="E641" t="inlineStr">
        <is>
          <t>organic_search</t>
        </is>
      </c>
      <c r="F641">
        <f>IFERROR(MATCH(A641,Deals!$A$2:$A$843,0),"")</f>
        <v/>
      </c>
      <c r="G641">
        <f>IF(F641="",0,1)</f>
        <v/>
      </c>
      <c r="H641" s="29">
        <f>IF(F641="","",INDEX(Deals!$E$2:$E$843,F641))</f>
        <v/>
      </c>
      <c r="I641">
        <f>IF(F641="","",INDEX(Deals!$D$2:$D$843,F641))</f>
        <v/>
      </c>
      <c r="J641">
        <f>IF(F641="","",INT(H641)-B641)</f>
        <v/>
      </c>
      <c r="K641">
        <f>IF(B641&gt;=Settings!$C$5,1,0)</f>
        <v/>
      </c>
    </row>
    <row r="642">
      <c r="A642" t="inlineStr">
        <is>
          <t>ea7436bc091539714e3f2f5d209aca12</t>
        </is>
      </c>
      <c r="B642" s="29" t="n">
        <v>43229</v>
      </c>
      <c r="C642" t="inlineStr">
        <is>
          <t>2018-05</t>
        </is>
      </c>
      <c r="D642" t="inlineStr">
        <is>
          <t>ce1a65abd0973638f1c887a6efcfa82d</t>
        </is>
      </c>
      <c r="E642" t="inlineStr">
        <is>
          <t>organic_search</t>
        </is>
      </c>
      <c r="F642">
        <f>IFERROR(MATCH(A642,Deals!$A$2:$A$843,0),"")</f>
        <v/>
      </c>
      <c r="G642">
        <f>IF(F642="",0,1)</f>
        <v/>
      </c>
      <c r="H642" s="29">
        <f>IF(F642="","",INDEX(Deals!$E$2:$E$843,F642))</f>
        <v/>
      </c>
      <c r="I642">
        <f>IF(F642="","",INDEX(Deals!$D$2:$D$843,F642))</f>
        <v/>
      </c>
      <c r="J642">
        <f>IF(F642="","",INT(H642)-B642)</f>
        <v/>
      </c>
      <c r="K642">
        <f>IF(B642&gt;=Settings!$C$5,1,0)</f>
        <v/>
      </c>
    </row>
    <row r="643">
      <c r="A643" t="inlineStr">
        <is>
          <t>2c5d0b35798bffadf8f67ef0af84d183</t>
        </is>
      </c>
      <c r="B643" s="29" t="n">
        <v>43182</v>
      </c>
      <c r="C643" t="inlineStr">
        <is>
          <t>2018-03</t>
        </is>
      </c>
      <c r="D643" t="inlineStr">
        <is>
          <t>b76ef37428e6799c421989521c0e5077</t>
        </is>
      </c>
      <c r="E643" t="inlineStr">
        <is>
          <t>unknown</t>
        </is>
      </c>
      <c r="F643">
        <f>IFERROR(MATCH(A643,Deals!$A$2:$A$843,0),"")</f>
        <v/>
      </c>
      <c r="G643">
        <f>IF(F643="",0,1)</f>
        <v/>
      </c>
      <c r="H643" s="29">
        <f>IF(F643="","",INDEX(Deals!$E$2:$E$843,F643))</f>
        <v/>
      </c>
      <c r="I643">
        <f>IF(F643="","",INDEX(Deals!$D$2:$D$843,F643))</f>
        <v/>
      </c>
      <c r="J643">
        <f>IF(F643="","",INT(H643)-B643)</f>
        <v/>
      </c>
      <c r="K643">
        <f>IF(B643&gt;=Settings!$C$5,1,0)</f>
        <v/>
      </c>
    </row>
    <row r="644">
      <c r="A644" t="inlineStr">
        <is>
          <t>44d6a44972bcfc29db930352e523d452</t>
        </is>
      </c>
      <c r="B644" s="29" t="n">
        <v>43171</v>
      </c>
      <c r="C644" t="inlineStr">
        <is>
          <t>2018-03</t>
        </is>
      </c>
      <c r="D644" t="inlineStr">
        <is>
          <t>da14b7e2eb0d1eecf65abbd05a31c87d</t>
        </is>
      </c>
      <c r="E644" t="inlineStr">
        <is>
          <t>organic_search</t>
        </is>
      </c>
      <c r="F644">
        <f>IFERROR(MATCH(A644,Deals!$A$2:$A$843,0),"")</f>
        <v/>
      </c>
      <c r="G644">
        <f>IF(F644="",0,1)</f>
        <v/>
      </c>
      <c r="H644" s="29">
        <f>IF(F644="","",INDEX(Deals!$E$2:$E$843,F644))</f>
        <v/>
      </c>
      <c r="I644">
        <f>IF(F644="","",INDEX(Deals!$D$2:$D$843,F644))</f>
        <v/>
      </c>
      <c r="J644">
        <f>IF(F644="","",INT(H644)-B644)</f>
        <v/>
      </c>
      <c r="K644">
        <f>IF(B644&gt;=Settings!$C$5,1,0)</f>
        <v/>
      </c>
    </row>
    <row r="645">
      <c r="A645" t="inlineStr">
        <is>
          <t>297e6e1f21723046a8c1115ec1a8b8a7</t>
        </is>
      </c>
      <c r="B645" s="29" t="n">
        <v>42922</v>
      </c>
      <c r="C645" t="inlineStr">
        <is>
          <t>2017-07</t>
        </is>
      </c>
      <c r="D645" t="inlineStr">
        <is>
          <t>186132bda8b5f41c7dc834d063745d19</t>
        </is>
      </c>
      <c r="E645" t="inlineStr">
        <is>
          <t>paid_search</t>
        </is>
      </c>
      <c r="F645">
        <f>IFERROR(MATCH(A645,Deals!$A$2:$A$843,0),"")</f>
        <v/>
      </c>
      <c r="G645">
        <f>IF(F645="",0,1)</f>
        <v/>
      </c>
      <c r="H645" s="29">
        <f>IF(F645="","",INDEX(Deals!$E$2:$E$843,F645))</f>
        <v/>
      </c>
      <c r="I645">
        <f>IF(F645="","",INDEX(Deals!$D$2:$D$843,F645))</f>
        <v/>
      </c>
      <c r="J645">
        <f>IF(F645="","",INT(H645)-B645)</f>
        <v/>
      </c>
      <c r="K645">
        <f>IF(B645&gt;=Settings!$C$5,1,0)</f>
        <v/>
      </c>
    </row>
    <row r="646">
      <c r="A646" t="inlineStr">
        <is>
          <t>018a80ae81cfc70723bc64b08215ef11</t>
        </is>
      </c>
      <c r="B646" s="29" t="n">
        <v>42982</v>
      </c>
      <c r="C646" t="inlineStr">
        <is>
          <t>2017-09</t>
        </is>
      </c>
      <c r="D646" t="inlineStr">
        <is>
          <t>b76ef37428e6799c421989521c0e5077</t>
        </is>
      </c>
      <c r="E646" t="inlineStr">
        <is>
          <t>unknown</t>
        </is>
      </c>
      <c r="F646">
        <f>IFERROR(MATCH(A646,Deals!$A$2:$A$843,0),"")</f>
        <v/>
      </c>
      <c r="G646">
        <f>IF(F646="",0,1)</f>
        <v/>
      </c>
      <c r="H646" s="29">
        <f>IF(F646="","",INDEX(Deals!$E$2:$E$843,F646))</f>
        <v/>
      </c>
      <c r="I646">
        <f>IF(F646="","",INDEX(Deals!$D$2:$D$843,F646))</f>
        <v/>
      </c>
      <c r="J646">
        <f>IF(F646="","",INT(H646)-B646)</f>
        <v/>
      </c>
      <c r="K646">
        <f>IF(B646&gt;=Settings!$C$5,1,0)</f>
        <v/>
      </c>
    </row>
    <row r="647">
      <c r="A647" t="inlineStr">
        <is>
          <t>ff0ff1ca67906b0ffaef9f6eaff010c6</t>
        </is>
      </c>
      <c r="B647" s="29" t="n">
        <v>43167</v>
      </c>
      <c r="C647" t="inlineStr">
        <is>
          <t>2018-03</t>
        </is>
      </c>
      <c r="D647" t="inlineStr">
        <is>
          <t>a7982125ff7aa3b2054c6e44f9d28522</t>
        </is>
      </c>
      <c r="E647" t="inlineStr">
        <is>
          <t>organic_search</t>
        </is>
      </c>
      <c r="F647">
        <f>IFERROR(MATCH(A647,Deals!$A$2:$A$843,0),"")</f>
        <v/>
      </c>
      <c r="G647">
        <f>IF(F647="",0,1)</f>
        <v/>
      </c>
      <c r="H647" s="29">
        <f>IF(F647="","",INDEX(Deals!$E$2:$E$843,F647))</f>
        <v/>
      </c>
      <c r="I647">
        <f>IF(F647="","",INDEX(Deals!$D$2:$D$843,F647))</f>
        <v/>
      </c>
      <c r="J647">
        <f>IF(F647="","",INT(H647)-B647)</f>
        <v/>
      </c>
      <c r="K647">
        <f>IF(B647&gt;=Settings!$C$5,1,0)</f>
        <v/>
      </c>
    </row>
    <row r="648">
      <c r="A648" t="inlineStr">
        <is>
          <t>bb0975dd4c51e80f5a597fff07ba83bb</t>
        </is>
      </c>
      <c r="B648" s="29" t="n">
        <v>43209</v>
      </c>
      <c r="C648" t="inlineStr">
        <is>
          <t>2018-04</t>
        </is>
      </c>
      <c r="D648" t="inlineStr">
        <is>
          <t>e492ee5eaf1697716985cc6f33f9cd9b</t>
        </is>
      </c>
      <c r="E648" t="inlineStr">
        <is>
          <t>referral</t>
        </is>
      </c>
      <c r="F648">
        <f>IFERROR(MATCH(A648,Deals!$A$2:$A$843,0),"")</f>
        <v/>
      </c>
      <c r="G648">
        <f>IF(F648="",0,1)</f>
        <v/>
      </c>
      <c r="H648" s="29">
        <f>IF(F648="","",INDEX(Deals!$E$2:$E$843,F648))</f>
        <v/>
      </c>
      <c r="I648">
        <f>IF(F648="","",INDEX(Deals!$D$2:$D$843,F648))</f>
        <v/>
      </c>
      <c r="J648">
        <f>IF(F648="","",INT(H648)-B648)</f>
        <v/>
      </c>
      <c r="K648">
        <f>IF(B648&gt;=Settings!$C$5,1,0)</f>
        <v/>
      </c>
    </row>
    <row r="649">
      <c r="A649" t="inlineStr">
        <is>
          <t>d207678f6407819552de1a052f26a501</t>
        </is>
      </c>
      <c r="B649" s="29" t="n">
        <v>43065</v>
      </c>
      <c r="C649" t="inlineStr">
        <is>
          <t>2017-11</t>
        </is>
      </c>
      <c r="D649" t="inlineStr">
        <is>
          <t>22c29808c4f815213303f8933030604c</t>
        </is>
      </c>
      <c r="E649" t="inlineStr">
        <is>
          <t>unknown</t>
        </is>
      </c>
      <c r="F649">
        <f>IFERROR(MATCH(A649,Deals!$A$2:$A$843,0),"")</f>
        <v/>
      </c>
      <c r="G649">
        <f>IF(F649="",0,1)</f>
        <v/>
      </c>
      <c r="H649" s="29">
        <f>IF(F649="","",INDEX(Deals!$E$2:$E$843,F649))</f>
        <v/>
      </c>
      <c r="I649">
        <f>IF(F649="","",INDEX(Deals!$D$2:$D$843,F649))</f>
        <v/>
      </c>
      <c r="J649">
        <f>IF(F649="","",INT(H649)-B649)</f>
        <v/>
      </c>
      <c r="K649">
        <f>IF(B649&gt;=Settings!$C$5,1,0)</f>
        <v/>
      </c>
    </row>
    <row r="650">
      <c r="A650" t="inlineStr">
        <is>
          <t>82b0316fe69238ba989ffb36122e5325</t>
        </is>
      </c>
      <c r="B650" s="29" t="n">
        <v>43145</v>
      </c>
      <c r="C650" t="inlineStr">
        <is>
          <t>2018-02</t>
        </is>
      </c>
      <c r="D650" t="inlineStr">
        <is>
          <t>22c29808c4f815213303f8933030604c</t>
        </is>
      </c>
      <c r="E650" t="inlineStr">
        <is>
          <t>organic_search</t>
        </is>
      </c>
      <c r="F650">
        <f>IFERROR(MATCH(A650,Deals!$A$2:$A$843,0),"")</f>
        <v/>
      </c>
      <c r="G650">
        <f>IF(F650="",0,1)</f>
        <v/>
      </c>
      <c r="H650" s="29">
        <f>IF(F650="","",INDEX(Deals!$E$2:$E$843,F650))</f>
        <v/>
      </c>
      <c r="I650">
        <f>IF(F650="","",INDEX(Deals!$D$2:$D$843,F650))</f>
        <v/>
      </c>
      <c r="J650">
        <f>IF(F650="","",INT(H650)-B650)</f>
        <v/>
      </c>
      <c r="K650">
        <f>IF(B650&gt;=Settings!$C$5,1,0)</f>
        <v/>
      </c>
    </row>
    <row r="651">
      <c r="A651" t="inlineStr">
        <is>
          <t>b73ed4d64cca3fb0e022a0204ec16f4e</t>
        </is>
      </c>
      <c r="B651" s="29" t="n">
        <v>43217</v>
      </c>
      <c r="C651" t="inlineStr">
        <is>
          <t>2018-04</t>
        </is>
      </c>
      <c r="D651" t="inlineStr">
        <is>
          <t>92bd5f77d493a36dac9bddb66d1b9dbf</t>
        </is>
      </c>
      <c r="E651" t="inlineStr">
        <is>
          <t>organic_search</t>
        </is>
      </c>
      <c r="F651">
        <f>IFERROR(MATCH(A651,Deals!$A$2:$A$843,0),"")</f>
        <v/>
      </c>
      <c r="G651">
        <f>IF(F651="",0,1)</f>
        <v/>
      </c>
      <c r="H651" s="29">
        <f>IF(F651="","",INDEX(Deals!$E$2:$E$843,F651))</f>
        <v/>
      </c>
      <c r="I651">
        <f>IF(F651="","",INDEX(Deals!$D$2:$D$843,F651))</f>
        <v/>
      </c>
      <c r="J651">
        <f>IF(F651="","",INT(H651)-B651)</f>
        <v/>
      </c>
      <c r="K651">
        <f>IF(B651&gt;=Settings!$C$5,1,0)</f>
        <v/>
      </c>
    </row>
    <row r="652">
      <c r="A652" t="inlineStr">
        <is>
          <t>b9c6e101e384887cb30714d10ced8778</t>
        </is>
      </c>
      <c r="B652" s="29" t="n">
        <v>43153</v>
      </c>
      <c r="C652" t="inlineStr">
        <is>
          <t>2018-02</t>
        </is>
      </c>
      <c r="D652" t="inlineStr">
        <is>
          <t>36120633c8737035fbabf079082f4ec1</t>
        </is>
      </c>
      <c r="E652" t="inlineStr">
        <is>
          <t>paid_search</t>
        </is>
      </c>
      <c r="F652">
        <f>IFERROR(MATCH(A652,Deals!$A$2:$A$843,0),"")</f>
        <v/>
      </c>
      <c r="G652">
        <f>IF(F652="",0,1)</f>
        <v/>
      </c>
      <c r="H652" s="29">
        <f>IF(F652="","",INDEX(Deals!$E$2:$E$843,F652))</f>
        <v/>
      </c>
      <c r="I652">
        <f>IF(F652="","",INDEX(Deals!$D$2:$D$843,F652))</f>
        <v/>
      </c>
      <c r="J652">
        <f>IF(F652="","",INT(H652)-B652)</f>
        <v/>
      </c>
      <c r="K652">
        <f>IF(B652&gt;=Settings!$C$5,1,0)</f>
        <v/>
      </c>
    </row>
    <row r="653">
      <c r="A653" t="inlineStr">
        <is>
          <t>cb5ee661c68128229cbc049927193fff</t>
        </is>
      </c>
      <c r="B653" s="29" t="n">
        <v>43220</v>
      </c>
      <c r="C653" t="inlineStr">
        <is>
          <t>2018-04</t>
        </is>
      </c>
      <c r="D653" t="inlineStr">
        <is>
          <t>1d4ddc25ccaa2adeded340b6eda66182</t>
        </is>
      </c>
      <c r="E653" t="inlineStr">
        <is>
          <t>organic_search</t>
        </is>
      </c>
      <c r="F653">
        <f>IFERROR(MATCH(A653,Deals!$A$2:$A$843,0),"")</f>
        <v/>
      </c>
      <c r="G653">
        <f>IF(F653="",0,1)</f>
        <v/>
      </c>
      <c r="H653" s="29">
        <f>IF(F653="","",INDEX(Deals!$E$2:$E$843,F653))</f>
        <v/>
      </c>
      <c r="I653">
        <f>IF(F653="","",INDEX(Deals!$D$2:$D$843,F653))</f>
        <v/>
      </c>
      <c r="J653">
        <f>IF(F653="","",INT(H653)-B653)</f>
        <v/>
      </c>
      <c r="K653">
        <f>IF(B653&gt;=Settings!$C$5,1,0)</f>
        <v/>
      </c>
    </row>
    <row r="654">
      <c r="A654" t="inlineStr">
        <is>
          <t>30e920df8099c4feb835211451c3aa62</t>
        </is>
      </c>
      <c r="B654" s="29" t="n">
        <v>43059</v>
      </c>
      <c r="C654" t="inlineStr">
        <is>
          <t>2017-11</t>
        </is>
      </c>
      <c r="D654" t="inlineStr">
        <is>
          <t>8d25d9ae4ed5f78b8614b81350173e99</t>
        </is>
      </c>
      <c r="E654" t="inlineStr">
        <is>
          <t>unknown</t>
        </is>
      </c>
      <c r="F654">
        <f>IFERROR(MATCH(A654,Deals!$A$2:$A$843,0),"")</f>
        <v/>
      </c>
      <c r="G654">
        <f>IF(F654="",0,1)</f>
        <v/>
      </c>
      <c r="H654" s="29">
        <f>IF(F654="","",INDEX(Deals!$E$2:$E$843,F654))</f>
        <v/>
      </c>
      <c r="I654">
        <f>IF(F654="","",INDEX(Deals!$D$2:$D$843,F654))</f>
        <v/>
      </c>
      <c r="J654">
        <f>IF(F654="","",INT(H654)-B654)</f>
        <v/>
      </c>
      <c r="K654">
        <f>IF(B654&gt;=Settings!$C$5,1,0)</f>
        <v/>
      </c>
    </row>
    <row r="655">
      <c r="A655" t="inlineStr">
        <is>
          <t>b5464187e768a1db895e5df954d66a04</t>
        </is>
      </c>
      <c r="B655" s="29" t="n">
        <v>43123</v>
      </c>
      <c r="C655" t="inlineStr">
        <is>
          <t>2018-01</t>
        </is>
      </c>
      <c r="D655" t="inlineStr">
        <is>
          <t>ce1a65abd0973638f1c887a6efcfa82d</t>
        </is>
      </c>
      <c r="E655" t="inlineStr">
        <is>
          <t>email</t>
        </is>
      </c>
      <c r="F655">
        <f>IFERROR(MATCH(A655,Deals!$A$2:$A$843,0),"")</f>
        <v/>
      </c>
      <c r="G655">
        <f>IF(F655="",0,1)</f>
        <v/>
      </c>
      <c r="H655" s="29">
        <f>IF(F655="","",INDEX(Deals!$E$2:$E$843,F655))</f>
        <v/>
      </c>
      <c r="I655">
        <f>IF(F655="","",INDEX(Deals!$D$2:$D$843,F655))</f>
        <v/>
      </c>
      <c r="J655">
        <f>IF(F655="","",INT(H655)-B655)</f>
        <v/>
      </c>
      <c r="K655">
        <f>IF(B655&gt;=Settings!$C$5,1,0)</f>
        <v/>
      </c>
    </row>
    <row r="656">
      <c r="A656" t="inlineStr">
        <is>
          <t>8f9b9fd0f3d4fdb8e07c3c7b1640d9b7</t>
        </is>
      </c>
      <c r="B656" s="29" t="n">
        <v>43028</v>
      </c>
      <c r="C656" t="inlineStr">
        <is>
          <t>2017-10</t>
        </is>
      </c>
      <c r="D656" t="inlineStr">
        <is>
          <t>1722481ac9e5371e5099dea226b5421d</t>
        </is>
      </c>
      <c r="E656" t="inlineStr">
        <is>
          <t>paid_search</t>
        </is>
      </c>
      <c r="F656">
        <f>IFERROR(MATCH(A656,Deals!$A$2:$A$843,0),"")</f>
        <v/>
      </c>
      <c r="G656">
        <f>IF(F656="",0,1)</f>
        <v/>
      </c>
      <c r="H656" s="29">
        <f>IF(F656="","",INDEX(Deals!$E$2:$E$843,F656))</f>
        <v/>
      </c>
      <c r="I656">
        <f>IF(F656="","",INDEX(Deals!$D$2:$D$843,F656))</f>
        <v/>
      </c>
      <c r="J656">
        <f>IF(F656="","",INT(H656)-B656)</f>
        <v/>
      </c>
      <c r="K656">
        <f>IF(B656&gt;=Settings!$C$5,1,0)</f>
        <v/>
      </c>
    </row>
    <row r="657">
      <c r="A657" t="inlineStr">
        <is>
          <t>e5860ae00103b3869a25d940345bf0fd</t>
        </is>
      </c>
      <c r="B657" s="29" t="n">
        <v>43200</v>
      </c>
      <c r="C657" t="inlineStr">
        <is>
          <t>2018-04</t>
        </is>
      </c>
      <c r="D657" t="inlineStr">
        <is>
          <t>b76ef37428e6799c421989521c0e5077</t>
        </is>
      </c>
      <c r="E657" t="inlineStr">
        <is>
          <t>unknown</t>
        </is>
      </c>
      <c r="F657">
        <f>IFERROR(MATCH(A657,Deals!$A$2:$A$843,0),"")</f>
        <v/>
      </c>
      <c r="G657">
        <f>IF(F657="",0,1)</f>
        <v/>
      </c>
      <c r="H657" s="29">
        <f>IF(F657="","",INDEX(Deals!$E$2:$E$843,F657))</f>
        <v/>
      </c>
      <c r="I657">
        <f>IF(F657="","",INDEX(Deals!$D$2:$D$843,F657))</f>
        <v/>
      </c>
      <c r="J657">
        <f>IF(F657="","",INT(H657)-B657)</f>
        <v/>
      </c>
      <c r="K657">
        <f>IF(B657&gt;=Settings!$C$5,1,0)</f>
        <v/>
      </c>
    </row>
    <row r="658">
      <c r="A658" t="inlineStr">
        <is>
          <t>7f3998170c5afdabcf87fa6e94c293ae</t>
        </is>
      </c>
      <c r="B658" s="29" t="n">
        <v>43152</v>
      </c>
      <c r="C658" t="inlineStr">
        <is>
          <t>2018-02</t>
        </is>
      </c>
      <c r="D658" t="inlineStr">
        <is>
          <t>b76ef37428e6799c421989521c0e5077</t>
        </is>
      </c>
      <c r="E658" t="inlineStr">
        <is>
          <t>unknown</t>
        </is>
      </c>
      <c r="F658">
        <f>IFERROR(MATCH(A658,Deals!$A$2:$A$843,0),"")</f>
        <v/>
      </c>
      <c r="G658">
        <f>IF(F658="",0,1)</f>
        <v/>
      </c>
      <c r="H658" s="29">
        <f>IF(F658="","",INDEX(Deals!$E$2:$E$843,F658))</f>
        <v/>
      </c>
      <c r="I658">
        <f>IF(F658="","",INDEX(Deals!$D$2:$D$843,F658))</f>
        <v/>
      </c>
      <c r="J658">
        <f>IF(F658="","",INT(H658)-B658)</f>
        <v/>
      </c>
      <c r="K658">
        <f>IF(B658&gt;=Settings!$C$5,1,0)</f>
        <v/>
      </c>
    </row>
    <row r="659">
      <c r="A659" t="inlineStr">
        <is>
          <t>d5ebe74a7011130268619bc3822b5563</t>
        </is>
      </c>
      <c r="B659" s="29" t="n">
        <v>43247</v>
      </c>
      <c r="C659" t="inlineStr">
        <is>
          <t>2018-05</t>
        </is>
      </c>
      <c r="D659" t="inlineStr">
        <is>
          <t>22c29808c4f815213303f8933030604c</t>
        </is>
      </c>
      <c r="E659" t="inlineStr">
        <is>
          <t>organic_search</t>
        </is>
      </c>
      <c r="F659">
        <f>IFERROR(MATCH(A659,Deals!$A$2:$A$843,0),"")</f>
        <v/>
      </c>
      <c r="G659">
        <f>IF(F659="",0,1)</f>
        <v/>
      </c>
      <c r="H659" s="29">
        <f>IF(F659="","",INDEX(Deals!$E$2:$E$843,F659))</f>
        <v/>
      </c>
      <c r="I659">
        <f>IF(F659="","",INDEX(Deals!$D$2:$D$843,F659))</f>
        <v/>
      </c>
      <c r="J659">
        <f>IF(F659="","",INT(H659)-B659)</f>
        <v/>
      </c>
      <c r="K659">
        <f>IF(B659&gt;=Settings!$C$5,1,0)</f>
        <v/>
      </c>
    </row>
    <row r="660">
      <c r="A660" t="inlineStr">
        <is>
          <t>f883e0d24a78b0f05da41c6dab3c54bb</t>
        </is>
      </c>
      <c r="B660" s="29" t="n">
        <v>42963</v>
      </c>
      <c r="C660" t="inlineStr">
        <is>
          <t>2017-08</t>
        </is>
      </c>
      <c r="D660" t="inlineStr">
        <is>
          <t>128d8c3f32b8aa66b5bcbe4e26dfc78d</t>
        </is>
      </c>
      <c r="E660" t="inlineStr">
        <is>
          <t>referral</t>
        </is>
      </c>
      <c r="F660">
        <f>IFERROR(MATCH(A660,Deals!$A$2:$A$843,0),"")</f>
        <v/>
      </c>
      <c r="G660">
        <f>IF(F660="",0,1)</f>
        <v/>
      </c>
      <c r="H660" s="29">
        <f>IF(F660="","",INDEX(Deals!$E$2:$E$843,F660))</f>
        <v/>
      </c>
      <c r="I660">
        <f>IF(F660="","",INDEX(Deals!$D$2:$D$843,F660))</f>
        <v/>
      </c>
      <c r="J660">
        <f>IF(F660="","",INT(H660)-B660)</f>
        <v/>
      </c>
      <c r="K660">
        <f>IF(B660&gt;=Settings!$C$5,1,0)</f>
        <v/>
      </c>
    </row>
    <row r="661">
      <c r="A661" t="inlineStr">
        <is>
          <t>83fe2aabfbd180be2c8afde7a22b2fc4</t>
        </is>
      </c>
      <c r="B661" s="29" t="n">
        <v>43154</v>
      </c>
      <c r="C661" t="inlineStr">
        <is>
          <t>2018-02</t>
        </is>
      </c>
      <c r="D661" t="inlineStr">
        <is>
          <t>e492ee5eaf1697716985cc6f33f9cd9b</t>
        </is>
      </c>
      <c r="E661" t="inlineStr">
        <is>
          <t>email</t>
        </is>
      </c>
      <c r="F661">
        <f>IFERROR(MATCH(A661,Deals!$A$2:$A$843,0),"")</f>
        <v/>
      </c>
      <c r="G661">
        <f>IF(F661="",0,1)</f>
        <v/>
      </c>
      <c r="H661" s="29">
        <f>IF(F661="","",INDEX(Deals!$E$2:$E$843,F661))</f>
        <v/>
      </c>
      <c r="I661">
        <f>IF(F661="","",INDEX(Deals!$D$2:$D$843,F661))</f>
        <v/>
      </c>
      <c r="J661">
        <f>IF(F661="","",INT(H661)-B661)</f>
        <v/>
      </c>
      <c r="K661">
        <f>IF(B661&gt;=Settings!$C$5,1,0)</f>
        <v/>
      </c>
    </row>
    <row r="662">
      <c r="A662" t="inlineStr">
        <is>
          <t>09dc7e8aaf2f29da382df8717f41a8b1</t>
        </is>
      </c>
      <c r="B662" s="29" t="n">
        <v>42997</v>
      </c>
      <c r="C662" t="inlineStr">
        <is>
          <t>2017-09</t>
        </is>
      </c>
      <c r="D662" t="inlineStr">
        <is>
          <t>dd6f55db3947b0aeaadb65a610334799</t>
        </is>
      </c>
      <c r="E662" t="inlineStr">
        <is>
          <t>email</t>
        </is>
      </c>
      <c r="F662">
        <f>IFERROR(MATCH(A662,Deals!$A$2:$A$843,0),"")</f>
        <v/>
      </c>
      <c r="G662">
        <f>IF(F662="",0,1)</f>
        <v/>
      </c>
      <c r="H662" s="29">
        <f>IF(F662="","",INDEX(Deals!$E$2:$E$843,F662))</f>
        <v/>
      </c>
      <c r="I662">
        <f>IF(F662="","",INDEX(Deals!$D$2:$D$843,F662))</f>
        <v/>
      </c>
      <c r="J662">
        <f>IF(F662="","",INT(H662)-B662)</f>
        <v/>
      </c>
      <c r="K662">
        <f>IF(B662&gt;=Settings!$C$5,1,0)</f>
        <v/>
      </c>
    </row>
    <row r="663">
      <c r="A663" t="inlineStr">
        <is>
          <t>e57a4a2b55f6084e09524a37d5e46f93</t>
        </is>
      </c>
      <c r="B663" s="29" t="n">
        <v>43146</v>
      </c>
      <c r="C663" t="inlineStr">
        <is>
          <t>2018-02</t>
        </is>
      </c>
      <c r="D663" t="inlineStr">
        <is>
          <t>88740e65d5d6b056e0cda098e1ea6313</t>
        </is>
      </c>
      <c r="E663" t="inlineStr">
        <is>
          <t>social</t>
        </is>
      </c>
      <c r="F663">
        <f>IFERROR(MATCH(A663,Deals!$A$2:$A$843,0),"")</f>
        <v/>
      </c>
      <c r="G663">
        <f>IF(F663="",0,1)</f>
        <v/>
      </c>
      <c r="H663" s="29">
        <f>IF(F663="","",INDEX(Deals!$E$2:$E$843,F663))</f>
        <v/>
      </c>
      <c r="I663">
        <f>IF(F663="","",INDEX(Deals!$D$2:$D$843,F663))</f>
        <v/>
      </c>
      <c r="J663">
        <f>IF(F663="","",INT(H663)-B663)</f>
        <v/>
      </c>
      <c r="K663">
        <f>IF(B663&gt;=Settings!$C$5,1,0)</f>
        <v/>
      </c>
    </row>
    <row r="664">
      <c r="A664" t="inlineStr">
        <is>
          <t>25875b7c6f21696893cbceb4210b9b50</t>
        </is>
      </c>
      <c r="B664" s="29" t="n">
        <v>43237</v>
      </c>
      <c r="C664" t="inlineStr">
        <is>
          <t>2018-05</t>
        </is>
      </c>
      <c r="D664" t="inlineStr">
        <is>
          <t>22c29808c4f815213303f8933030604c</t>
        </is>
      </c>
      <c r="E664" t="inlineStr">
        <is>
          <t>organic_search</t>
        </is>
      </c>
      <c r="F664">
        <f>IFERROR(MATCH(A664,Deals!$A$2:$A$843,0),"")</f>
        <v/>
      </c>
      <c r="G664">
        <f>IF(F664="",0,1)</f>
        <v/>
      </c>
      <c r="H664" s="29">
        <f>IF(F664="","",INDEX(Deals!$E$2:$E$843,F664))</f>
        <v/>
      </c>
      <c r="I664">
        <f>IF(F664="","",INDEX(Deals!$D$2:$D$843,F664))</f>
        <v/>
      </c>
      <c r="J664">
        <f>IF(F664="","",INT(H664)-B664)</f>
        <v/>
      </c>
      <c r="K664">
        <f>IF(B664&gt;=Settings!$C$5,1,0)</f>
        <v/>
      </c>
    </row>
    <row r="665">
      <c r="A665" t="inlineStr">
        <is>
          <t>4ffd6130f73d7f56bbb4945039a91131</t>
        </is>
      </c>
      <c r="B665" s="29" t="n">
        <v>43248</v>
      </c>
      <c r="C665" t="inlineStr">
        <is>
          <t>2018-05</t>
        </is>
      </c>
      <c r="D665" t="inlineStr">
        <is>
          <t>58326e62183c14b0c03085c33b9fdc44</t>
        </is>
      </c>
      <c r="E665" t="inlineStr">
        <is>
          <t>social</t>
        </is>
      </c>
      <c r="F665">
        <f>IFERROR(MATCH(A665,Deals!$A$2:$A$843,0),"")</f>
        <v/>
      </c>
      <c r="G665">
        <f>IF(F665="",0,1)</f>
        <v/>
      </c>
      <c r="H665" s="29">
        <f>IF(F665="","",INDEX(Deals!$E$2:$E$843,F665))</f>
        <v/>
      </c>
      <c r="I665">
        <f>IF(F665="","",INDEX(Deals!$D$2:$D$843,F665))</f>
        <v/>
      </c>
      <c r="J665">
        <f>IF(F665="","",INT(H665)-B665)</f>
        <v/>
      </c>
      <c r="K665">
        <f>IF(B665&gt;=Settings!$C$5,1,0)</f>
        <v/>
      </c>
    </row>
    <row r="666">
      <c r="A666" t="inlineStr">
        <is>
          <t>79da9938d61a8bb4ddeead82d229441a</t>
        </is>
      </c>
      <c r="B666" s="29" t="n">
        <v>42984</v>
      </c>
      <c r="C666" t="inlineStr">
        <is>
          <t>2017-09</t>
        </is>
      </c>
      <c r="D666" t="inlineStr">
        <is>
          <t>c555aa36478386fdf85a2d0ca5cd0ff8</t>
        </is>
      </c>
      <c r="E666" t="inlineStr">
        <is>
          <t>unknown</t>
        </is>
      </c>
      <c r="F666">
        <f>IFERROR(MATCH(A666,Deals!$A$2:$A$843,0),"")</f>
        <v/>
      </c>
      <c r="G666">
        <f>IF(F666="",0,1)</f>
        <v/>
      </c>
      <c r="H666" s="29">
        <f>IF(F666="","",INDEX(Deals!$E$2:$E$843,F666))</f>
        <v/>
      </c>
      <c r="I666">
        <f>IF(F666="","",INDEX(Deals!$D$2:$D$843,F666))</f>
        <v/>
      </c>
      <c r="J666">
        <f>IF(F666="","",INT(H666)-B666)</f>
        <v/>
      </c>
      <c r="K666">
        <f>IF(B666&gt;=Settings!$C$5,1,0)</f>
        <v/>
      </c>
    </row>
    <row r="667">
      <c r="A667" t="inlineStr">
        <is>
          <t>014c073ef65e4a7ef73acd61cf606164</t>
        </is>
      </c>
      <c r="B667" s="29" t="n">
        <v>43181</v>
      </c>
      <c r="C667" t="inlineStr">
        <is>
          <t>2018-03</t>
        </is>
      </c>
      <c r="D667" t="inlineStr">
        <is>
          <t>b76ef37428e6799c421989521c0e5077</t>
        </is>
      </c>
      <c r="E667" t="inlineStr">
        <is>
          <t>unknown</t>
        </is>
      </c>
      <c r="F667">
        <f>IFERROR(MATCH(A667,Deals!$A$2:$A$843,0),"")</f>
        <v/>
      </c>
      <c r="G667">
        <f>IF(F667="",0,1)</f>
        <v/>
      </c>
      <c r="H667" s="29">
        <f>IF(F667="","",INDEX(Deals!$E$2:$E$843,F667))</f>
        <v/>
      </c>
      <c r="I667">
        <f>IF(F667="","",INDEX(Deals!$D$2:$D$843,F667))</f>
        <v/>
      </c>
      <c r="J667">
        <f>IF(F667="","",INT(H667)-B667)</f>
        <v/>
      </c>
      <c r="K667">
        <f>IF(B667&gt;=Settings!$C$5,1,0)</f>
        <v/>
      </c>
    </row>
    <row r="668">
      <c r="A668" t="inlineStr">
        <is>
          <t>3a91a097116d6c8b32d41e0c81dd1e9c</t>
        </is>
      </c>
      <c r="B668" s="29" t="n">
        <v>43195</v>
      </c>
      <c r="C668" t="inlineStr">
        <is>
          <t>2018-04</t>
        </is>
      </c>
      <c r="D668" t="inlineStr">
        <is>
          <t>f017be4dbf86243af5c1ebed0cff36a2</t>
        </is>
      </c>
      <c r="E668" t="inlineStr">
        <is>
          <t>organic_search</t>
        </is>
      </c>
      <c r="F668">
        <f>IFERROR(MATCH(A668,Deals!$A$2:$A$843,0),"")</f>
        <v/>
      </c>
      <c r="G668">
        <f>IF(F668="",0,1)</f>
        <v/>
      </c>
      <c r="H668" s="29">
        <f>IF(F668="","",INDEX(Deals!$E$2:$E$843,F668))</f>
        <v/>
      </c>
      <c r="I668">
        <f>IF(F668="","",INDEX(Deals!$D$2:$D$843,F668))</f>
        <v/>
      </c>
      <c r="J668">
        <f>IF(F668="","",INT(H668)-B668)</f>
        <v/>
      </c>
      <c r="K668">
        <f>IF(B668&gt;=Settings!$C$5,1,0)</f>
        <v/>
      </c>
    </row>
    <row r="669">
      <c r="A669" t="inlineStr">
        <is>
          <t>496c8bef8a3f40de71a47b3509aada52</t>
        </is>
      </c>
      <c r="B669" s="29" t="n">
        <v>43220</v>
      </c>
      <c r="C669" t="inlineStr">
        <is>
          <t>2018-04</t>
        </is>
      </c>
      <c r="D669" t="inlineStr">
        <is>
          <t>30534107aa0013db92899c96a1017d0b</t>
        </is>
      </c>
      <c r="E669" t="inlineStr">
        <is>
          <t>social</t>
        </is>
      </c>
      <c r="F669">
        <f>IFERROR(MATCH(A669,Deals!$A$2:$A$843,0),"")</f>
        <v/>
      </c>
      <c r="G669">
        <f>IF(F669="",0,1)</f>
        <v/>
      </c>
      <c r="H669" s="29">
        <f>IF(F669="","",INDEX(Deals!$E$2:$E$843,F669))</f>
        <v/>
      </c>
      <c r="I669">
        <f>IF(F669="","",INDEX(Deals!$D$2:$D$843,F669))</f>
        <v/>
      </c>
      <c r="J669">
        <f>IF(F669="","",INT(H669)-B669)</f>
        <v/>
      </c>
      <c r="K669">
        <f>IF(B669&gt;=Settings!$C$5,1,0)</f>
        <v/>
      </c>
    </row>
    <row r="670">
      <c r="A670" t="inlineStr">
        <is>
          <t>40578fbf4c594ee242e5cd224b077c10</t>
        </is>
      </c>
      <c r="B670" s="29" t="n">
        <v>43189</v>
      </c>
      <c r="C670" t="inlineStr">
        <is>
          <t>2018-03</t>
        </is>
      </c>
      <c r="D670" t="inlineStr">
        <is>
          <t>cf747f07a385ddb157f79df52898ab14</t>
        </is>
      </c>
      <c r="E670" t="inlineStr">
        <is>
          <t>email</t>
        </is>
      </c>
      <c r="F670">
        <f>IFERROR(MATCH(A670,Deals!$A$2:$A$843,0),"")</f>
        <v/>
      </c>
      <c r="G670">
        <f>IF(F670="",0,1)</f>
        <v/>
      </c>
      <c r="H670" s="29">
        <f>IF(F670="","",INDEX(Deals!$E$2:$E$843,F670))</f>
        <v/>
      </c>
      <c r="I670">
        <f>IF(F670="","",INDEX(Deals!$D$2:$D$843,F670))</f>
        <v/>
      </c>
      <c r="J670">
        <f>IF(F670="","",INT(H670)-B670)</f>
        <v/>
      </c>
      <c r="K670">
        <f>IF(B670&gt;=Settings!$C$5,1,0)</f>
        <v/>
      </c>
    </row>
    <row r="671">
      <c r="A671" t="inlineStr">
        <is>
          <t>d45121855efb5fa759a01b8def4ebe31</t>
        </is>
      </c>
      <c r="B671" s="29" t="n">
        <v>43176</v>
      </c>
      <c r="C671" t="inlineStr">
        <is>
          <t>2018-03</t>
        </is>
      </c>
      <c r="D671" t="inlineStr">
        <is>
          <t>e492ee5eaf1697716985cc6f33f9cd9b</t>
        </is>
      </c>
      <c r="E671" t="inlineStr">
        <is>
          <t>social</t>
        </is>
      </c>
      <c r="F671">
        <f>IFERROR(MATCH(A671,Deals!$A$2:$A$843,0),"")</f>
        <v/>
      </c>
      <c r="G671">
        <f>IF(F671="",0,1)</f>
        <v/>
      </c>
      <c r="H671" s="29">
        <f>IF(F671="","",INDEX(Deals!$E$2:$E$843,F671))</f>
        <v/>
      </c>
      <c r="I671">
        <f>IF(F671="","",INDEX(Deals!$D$2:$D$843,F671))</f>
        <v/>
      </c>
      <c r="J671">
        <f>IF(F671="","",INT(H671)-B671)</f>
        <v/>
      </c>
      <c r="K671">
        <f>IF(B671&gt;=Settings!$C$5,1,0)</f>
        <v/>
      </c>
    </row>
    <row r="672">
      <c r="A672" t="inlineStr">
        <is>
          <t>21b87da0b5e900224d034469833d5fe5</t>
        </is>
      </c>
      <c r="B672" s="29" t="n">
        <v>43190</v>
      </c>
      <c r="C672" t="inlineStr">
        <is>
          <t>2018-03</t>
        </is>
      </c>
      <c r="D672" t="inlineStr">
        <is>
          <t>58326e62183c14b0c03085c33b9fdc44</t>
        </is>
      </c>
      <c r="E672" t="inlineStr">
        <is>
          <t>social</t>
        </is>
      </c>
      <c r="F672">
        <f>IFERROR(MATCH(A672,Deals!$A$2:$A$843,0),"")</f>
        <v/>
      </c>
      <c r="G672">
        <f>IF(F672="",0,1)</f>
        <v/>
      </c>
      <c r="H672" s="29">
        <f>IF(F672="","",INDEX(Deals!$E$2:$E$843,F672))</f>
        <v/>
      </c>
      <c r="I672">
        <f>IF(F672="","",INDEX(Deals!$D$2:$D$843,F672))</f>
        <v/>
      </c>
      <c r="J672">
        <f>IF(F672="","",INT(H672)-B672)</f>
        <v/>
      </c>
      <c r="K672">
        <f>IF(B672&gt;=Settings!$C$5,1,0)</f>
        <v/>
      </c>
    </row>
    <row r="673">
      <c r="A673" t="inlineStr">
        <is>
          <t>869984f8baf167efc8123bf85fc1ccb4</t>
        </is>
      </c>
      <c r="B673" s="29" t="n">
        <v>42971</v>
      </c>
      <c r="C673" t="inlineStr">
        <is>
          <t>2017-08</t>
        </is>
      </c>
      <c r="D673" t="inlineStr">
        <is>
          <t>b76ef37428e6799c421989521c0e5077</t>
        </is>
      </c>
      <c r="E673" t="inlineStr">
        <is>
          <t>organic_search</t>
        </is>
      </c>
      <c r="F673">
        <f>IFERROR(MATCH(A673,Deals!$A$2:$A$843,0),"")</f>
        <v/>
      </c>
      <c r="G673">
        <f>IF(F673="",0,1)</f>
        <v/>
      </c>
      <c r="H673" s="29">
        <f>IF(F673="","",INDEX(Deals!$E$2:$E$843,F673))</f>
        <v/>
      </c>
      <c r="I673">
        <f>IF(F673="","",INDEX(Deals!$D$2:$D$843,F673))</f>
        <v/>
      </c>
      <c r="J673">
        <f>IF(F673="","",INT(H673)-B673)</f>
        <v/>
      </c>
      <c r="K673">
        <f>IF(B673&gt;=Settings!$C$5,1,0)</f>
        <v/>
      </c>
    </row>
    <row r="674">
      <c r="A674" t="inlineStr">
        <is>
          <t>97d01cde59d6cca7a0900f52c09e5f2a</t>
        </is>
      </c>
      <c r="B674" s="29" t="n">
        <v>43181</v>
      </c>
      <c r="C674" t="inlineStr">
        <is>
          <t>2018-03</t>
        </is>
      </c>
      <c r="D674" t="inlineStr">
        <is>
          <t>22c29808c4f815213303f8933030604c</t>
        </is>
      </c>
      <c r="E674" t="inlineStr">
        <is>
          <t>organic_search</t>
        </is>
      </c>
      <c r="F674">
        <f>IFERROR(MATCH(A674,Deals!$A$2:$A$843,0),"")</f>
        <v/>
      </c>
      <c r="G674">
        <f>IF(F674="",0,1)</f>
        <v/>
      </c>
      <c r="H674" s="29">
        <f>IF(F674="","",INDEX(Deals!$E$2:$E$843,F674))</f>
        <v/>
      </c>
      <c r="I674">
        <f>IF(F674="","",INDEX(Deals!$D$2:$D$843,F674))</f>
        <v/>
      </c>
      <c r="J674">
        <f>IF(F674="","",INT(H674)-B674)</f>
        <v/>
      </c>
      <c r="K674">
        <f>IF(B674&gt;=Settings!$C$5,1,0)</f>
        <v/>
      </c>
    </row>
    <row r="675">
      <c r="A675" t="inlineStr">
        <is>
          <t>1030d227d3fe9ed0555666c4ffd14ab1</t>
        </is>
      </c>
      <c r="B675" s="29" t="n">
        <v>43141</v>
      </c>
      <c r="C675" t="inlineStr">
        <is>
          <t>2018-02</t>
        </is>
      </c>
      <c r="D675" t="inlineStr">
        <is>
          <t>88740e65d5d6b056e0cda098e1ea6313</t>
        </is>
      </c>
      <c r="E675" t="inlineStr">
        <is>
          <t>social</t>
        </is>
      </c>
      <c r="F675">
        <f>IFERROR(MATCH(A675,Deals!$A$2:$A$843,0),"")</f>
        <v/>
      </c>
      <c r="G675">
        <f>IF(F675="",0,1)</f>
        <v/>
      </c>
      <c r="H675" s="29">
        <f>IF(F675="","",INDEX(Deals!$E$2:$E$843,F675))</f>
        <v/>
      </c>
      <c r="I675">
        <f>IF(F675="","",INDEX(Deals!$D$2:$D$843,F675))</f>
        <v/>
      </c>
      <c r="J675">
        <f>IF(F675="","",INT(H675)-B675)</f>
        <v/>
      </c>
      <c r="K675">
        <f>IF(B675&gt;=Settings!$C$5,1,0)</f>
        <v/>
      </c>
    </row>
    <row r="676">
      <c r="A676" t="inlineStr">
        <is>
          <t>21d60b7b1e00ab1732ee88f3baa63cbb</t>
        </is>
      </c>
      <c r="B676" s="29" t="n">
        <v>43182</v>
      </c>
      <c r="C676" t="inlineStr">
        <is>
          <t>2018-03</t>
        </is>
      </c>
      <c r="D676" t="inlineStr">
        <is>
          <t>a5155c8274e4b6d13fe0db420a60a287</t>
        </is>
      </c>
      <c r="E676" t="inlineStr">
        <is>
          <t>unknown</t>
        </is>
      </c>
      <c r="F676">
        <f>IFERROR(MATCH(A676,Deals!$A$2:$A$843,0),"")</f>
        <v/>
      </c>
      <c r="G676">
        <f>IF(F676="",0,1)</f>
        <v/>
      </c>
      <c r="H676" s="29">
        <f>IF(F676="","",INDEX(Deals!$E$2:$E$843,F676))</f>
        <v/>
      </c>
      <c r="I676">
        <f>IF(F676="","",INDEX(Deals!$D$2:$D$843,F676))</f>
        <v/>
      </c>
      <c r="J676">
        <f>IF(F676="","",INT(H676)-B676)</f>
        <v/>
      </c>
      <c r="K676">
        <f>IF(B676&gt;=Settings!$C$5,1,0)</f>
        <v/>
      </c>
    </row>
    <row r="677">
      <c r="A677" t="inlineStr">
        <is>
          <t>1c69de363482d0cbc9b6da97cb49757a</t>
        </is>
      </c>
      <c r="B677" s="29" t="n">
        <v>43203</v>
      </c>
      <c r="C677" t="inlineStr">
        <is>
          <t>2018-04</t>
        </is>
      </c>
      <c r="D677" t="inlineStr">
        <is>
          <t>22c29808c4f815213303f8933030604c</t>
        </is>
      </c>
      <c r="E677" t="inlineStr">
        <is>
          <t>organic_search</t>
        </is>
      </c>
      <c r="F677">
        <f>IFERROR(MATCH(A677,Deals!$A$2:$A$843,0),"")</f>
        <v/>
      </c>
      <c r="G677">
        <f>IF(F677="",0,1)</f>
        <v/>
      </c>
      <c r="H677" s="29">
        <f>IF(F677="","",INDEX(Deals!$E$2:$E$843,F677))</f>
        <v/>
      </c>
      <c r="I677">
        <f>IF(F677="","",INDEX(Deals!$D$2:$D$843,F677))</f>
        <v/>
      </c>
      <c r="J677">
        <f>IF(F677="","",INT(H677)-B677)</f>
        <v/>
      </c>
      <c r="K677">
        <f>IF(B677&gt;=Settings!$C$5,1,0)</f>
        <v/>
      </c>
    </row>
    <row r="678">
      <c r="A678" t="inlineStr">
        <is>
          <t>6b73a98e257202fa19d25ef28645ac30</t>
        </is>
      </c>
      <c r="B678" s="29" t="n">
        <v>43167</v>
      </c>
      <c r="C678" t="inlineStr">
        <is>
          <t>2018-03</t>
        </is>
      </c>
      <c r="D678" t="inlineStr">
        <is>
          <t>22c29808c4f815213303f8933030604c</t>
        </is>
      </c>
      <c r="E678" t="inlineStr">
        <is>
          <t>email</t>
        </is>
      </c>
      <c r="F678">
        <f>IFERROR(MATCH(A678,Deals!$A$2:$A$843,0),"")</f>
        <v/>
      </c>
      <c r="G678">
        <f>IF(F678="",0,1)</f>
        <v/>
      </c>
      <c r="H678" s="29">
        <f>IF(F678="","",INDEX(Deals!$E$2:$E$843,F678))</f>
        <v/>
      </c>
      <c r="I678">
        <f>IF(F678="","",INDEX(Deals!$D$2:$D$843,F678))</f>
        <v/>
      </c>
      <c r="J678">
        <f>IF(F678="","",INT(H678)-B678)</f>
        <v/>
      </c>
      <c r="K678">
        <f>IF(B678&gt;=Settings!$C$5,1,0)</f>
        <v/>
      </c>
    </row>
    <row r="679">
      <c r="A679" t="inlineStr">
        <is>
          <t>415ae4e297c08fd8790a5b1e1ba8482e</t>
        </is>
      </c>
      <c r="B679" s="29" t="n">
        <v>43201</v>
      </c>
      <c r="C679" t="inlineStr">
        <is>
          <t>2018-04</t>
        </is>
      </c>
      <c r="D679" t="inlineStr">
        <is>
          <t>22c29808c4f815213303f8933030604c</t>
        </is>
      </c>
      <c r="E679" t="inlineStr">
        <is>
          <t>paid_search</t>
        </is>
      </c>
      <c r="F679">
        <f>IFERROR(MATCH(A679,Deals!$A$2:$A$843,0),"")</f>
        <v/>
      </c>
      <c r="G679">
        <f>IF(F679="",0,1)</f>
        <v/>
      </c>
      <c r="H679" s="29">
        <f>IF(F679="","",INDEX(Deals!$E$2:$E$843,F679))</f>
        <v/>
      </c>
      <c r="I679">
        <f>IF(F679="","",INDEX(Deals!$D$2:$D$843,F679))</f>
        <v/>
      </c>
      <c r="J679">
        <f>IF(F679="","",INT(H679)-B679)</f>
        <v/>
      </c>
      <c r="K679">
        <f>IF(B679&gt;=Settings!$C$5,1,0)</f>
        <v/>
      </c>
    </row>
    <row r="680">
      <c r="A680" t="inlineStr">
        <is>
          <t>67605804c28e1815f6a7fd60b111160d</t>
        </is>
      </c>
      <c r="B680" s="29" t="n">
        <v>43238</v>
      </c>
      <c r="C680" t="inlineStr">
        <is>
          <t>2018-05</t>
        </is>
      </c>
      <c r="D680" t="inlineStr">
        <is>
          <t>6a110e795dd487f1cf8d7583671987af</t>
        </is>
      </c>
      <c r="E680" t="inlineStr">
        <is>
          <t>email</t>
        </is>
      </c>
      <c r="F680">
        <f>IFERROR(MATCH(A680,Deals!$A$2:$A$843,0),"")</f>
        <v/>
      </c>
      <c r="G680">
        <f>IF(F680="",0,1)</f>
        <v/>
      </c>
      <c r="H680" s="29">
        <f>IF(F680="","",INDEX(Deals!$E$2:$E$843,F680))</f>
        <v/>
      </c>
      <c r="I680">
        <f>IF(F680="","",INDEX(Deals!$D$2:$D$843,F680))</f>
        <v/>
      </c>
      <c r="J680">
        <f>IF(F680="","",INT(H680)-B680)</f>
        <v/>
      </c>
      <c r="K680">
        <f>IF(B680&gt;=Settings!$C$5,1,0)</f>
        <v/>
      </c>
    </row>
    <row r="681">
      <c r="A681" t="inlineStr">
        <is>
          <t>a63cc7c9ad9178c5b1dd3cbca0ce4ea7</t>
        </is>
      </c>
      <c r="B681" s="29" t="n">
        <v>43143</v>
      </c>
      <c r="C681" t="inlineStr">
        <is>
          <t>2018-02</t>
        </is>
      </c>
      <c r="D681" t="inlineStr">
        <is>
          <t>22c29808c4f815213303f8933030604c</t>
        </is>
      </c>
      <c r="E681" t="inlineStr">
        <is>
          <t>direct_traffic</t>
        </is>
      </c>
      <c r="F681">
        <f>IFERROR(MATCH(A681,Deals!$A$2:$A$843,0),"")</f>
        <v/>
      </c>
      <c r="G681">
        <f>IF(F681="",0,1)</f>
        <v/>
      </c>
      <c r="H681" s="29">
        <f>IF(F681="","",INDEX(Deals!$E$2:$E$843,F681))</f>
        <v/>
      </c>
      <c r="I681">
        <f>IF(F681="","",INDEX(Deals!$D$2:$D$843,F681))</f>
        <v/>
      </c>
      <c r="J681">
        <f>IF(F681="","",INT(H681)-B681)</f>
        <v/>
      </c>
      <c r="K681">
        <f>IF(B681&gt;=Settings!$C$5,1,0)</f>
        <v/>
      </c>
    </row>
    <row r="682">
      <c r="A682" t="inlineStr">
        <is>
          <t>397dcbbb8a93272b66300d4126b4f9e9</t>
        </is>
      </c>
      <c r="B682" s="29" t="n">
        <v>42963</v>
      </c>
      <c r="C682" t="inlineStr">
        <is>
          <t>2017-08</t>
        </is>
      </c>
      <c r="D682" t="inlineStr">
        <is>
          <t>57d5edb1844a746128fd1274524b94c7</t>
        </is>
      </c>
      <c r="E682" t="inlineStr">
        <is>
          <t>organic_search</t>
        </is>
      </c>
      <c r="F682">
        <f>IFERROR(MATCH(A682,Deals!$A$2:$A$843,0),"")</f>
        <v/>
      </c>
      <c r="G682">
        <f>IF(F682="",0,1)</f>
        <v/>
      </c>
      <c r="H682" s="29">
        <f>IF(F682="","",INDEX(Deals!$E$2:$E$843,F682))</f>
        <v/>
      </c>
      <c r="I682">
        <f>IF(F682="","",INDEX(Deals!$D$2:$D$843,F682))</f>
        <v/>
      </c>
      <c r="J682">
        <f>IF(F682="","",INT(H682)-B682)</f>
        <v/>
      </c>
      <c r="K682">
        <f>IF(B682&gt;=Settings!$C$5,1,0)</f>
        <v/>
      </c>
    </row>
    <row r="683">
      <c r="A683" t="inlineStr">
        <is>
          <t>a55b94066766f2d29fc22a3bb52d78f6</t>
        </is>
      </c>
      <c r="B683" s="29" t="n">
        <v>43149</v>
      </c>
      <c r="C683" t="inlineStr">
        <is>
          <t>2018-02</t>
        </is>
      </c>
      <c r="D683" t="inlineStr">
        <is>
          <t>40dec9f3d5259a3d2dbcdab2114fae47</t>
        </is>
      </c>
      <c r="E683" t="inlineStr">
        <is>
          <t>paid_search</t>
        </is>
      </c>
      <c r="F683">
        <f>IFERROR(MATCH(A683,Deals!$A$2:$A$843,0),"")</f>
        <v/>
      </c>
      <c r="G683">
        <f>IF(F683="",0,1)</f>
        <v/>
      </c>
      <c r="H683" s="29">
        <f>IF(F683="","",INDEX(Deals!$E$2:$E$843,F683))</f>
        <v/>
      </c>
      <c r="I683">
        <f>IF(F683="","",INDEX(Deals!$D$2:$D$843,F683))</f>
        <v/>
      </c>
      <c r="J683">
        <f>IF(F683="","",INT(H683)-B683)</f>
        <v/>
      </c>
      <c r="K683">
        <f>IF(B683&gt;=Settings!$C$5,1,0)</f>
        <v/>
      </c>
    </row>
    <row r="684">
      <c r="A684" t="inlineStr">
        <is>
          <t>f5da97d441cd42b0b26c10145b71a923</t>
        </is>
      </c>
      <c r="B684" s="29" t="n">
        <v>43201</v>
      </c>
      <c r="C684" t="inlineStr">
        <is>
          <t>2018-04</t>
        </is>
      </c>
      <c r="D684" t="inlineStr">
        <is>
          <t>b76ef37428e6799c421989521c0e5077</t>
        </is>
      </c>
      <c r="E684" t="inlineStr">
        <is>
          <t>unknown</t>
        </is>
      </c>
      <c r="F684">
        <f>IFERROR(MATCH(A684,Deals!$A$2:$A$843,0),"")</f>
        <v/>
      </c>
      <c r="G684">
        <f>IF(F684="",0,1)</f>
        <v/>
      </c>
      <c r="H684" s="29">
        <f>IF(F684="","",INDEX(Deals!$E$2:$E$843,F684))</f>
        <v/>
      </c>
      <c r="I684">
        <f>IF(F684="","",INDEX(Deals!$D$2:$D$843,F684))</f>
        <v/>
      </c>
      <c r="J684">
        <f>IF(F684="","",INT(H684)-B684)</f>
        <v/>
      </c>
      <c r="K684">
        <f>IF(B684&gt;=Settings!$C$5,1,0)</f>
        <v/>
      </c>
    </row>
    <row r="685">
      <c r="A685" t="inlineStr">
        <is>
          <t>175f9f6b6c231ae5de90058948f6228c</t>
        </is>
      </c>
      <c r="B685" s="29" t="n">
        <v>43154</v>
      </c>
      <c r="C685" t="inlineStr">
        <is>
          <t>2018-02</t>
        </is>
      </c>
      <c r="D685" t="inlineStr">
        <is>
          <t>54d5e01ab35155d4bd8cf723fc6f04a0</t>
        </is>
      </c>
      <c r="E685" t="inlineStr">
        <is>
          <t>referral</t>
        </is>
      </c>
      <c r="F685">
        <f>IFERROR(MATCH(A685,Deals!$A$2:$A$843,0),"")</f>
        <v/>
      </c>
      <c r="G685">
        <f>IF(F685="",0,1)</f>
        <v/>
      </c>
      <c r="H685" s="29">
        <f>IF(F685="","",INDEX(Deals!$E$2:$E$843,F685))</f>
        <v/>
      </c>
      <c r="I685">
        <f>IF(F685="","",INDEX(Deals!$D$2:$D$843,F685))</f>
        <v/>
      </c>
      <c r="J685">
        <f>IF(F685="","",INT(H685)-B685)</f>
        <v/>
      </c>
      <c r="K685">
        <f>IF(B685&gt;=Settings!$C$5,1,0)</f>
        <v/>
      </c>
    </row>
    <row r="686">
      <c r="A686" t="inlineStr">
        <is>
          <t>31bcaa3b65a96372618e75f612347515</t>
        </is>
      </c>
      <c r="B686" s="29" t="n">
        <v>43217</v>
      </c>
      <c r="C686" t="inlineStr">
        <is>
          <t>2018-04</t>
        </is>
      </c>
      <c r="D686" t="inlineStr">
        <is>
          <t>b76ef37428e6799c421989521c0e5077</t>
        </is>
      </c>
      <c r="E686" t="inlineStr">
        <is>
          <t>paid_search</t>
        </is>
      </c>
      <c r="F686">
        <f>IFERROR(MATCH(A686,Deals!$A$2:$A$843,0),"")</f>
        <v/>
      </c>
      <c r="G686">
        <f>IF(F686="",0,1)</f>
        <v/>
      </c>
      <c r="H686" s="29">
        <f>IF(F686="","",INDEX(Deals!$E$2:$E$843,F686))</f>
        <v/>
      </c>
      <c r="I686">
        <f>IF(F686="","",INDEX(Deals!$D$2:$D$843,F686))</f>
        <v/>
      </c>
      <c r="J686">
        <f>IF(F686="","",INT(H686)-B686)</f>
        <v/>
      </c>
      <c r="K686">
        <f>IF(B686&gt;=Settings!$C$5,1,0)</f>
        <v/>
      </c>
    </row>
    <row r="687">
      <c r="A687" t="inlineStr">
        <is>
          <t>91e953e1309b38a7ce01e4a62fb42d08</t>
        </is>
      </c>
      <c r="B687" s="29" t="n">
        <v>43208</v>
      </c>
      <c r="C687" t="inlineStr">
        <is>
          <t>2018-04</t>
        </is>
      </c>
      <c r="D687" t="inlineStr">
        <is>
          <t>e534a08b23c682d94859d0ab860bd57a</t>
        </is>
      </c>
      <c r="E687" t="inlineStr">
        <is>
          <t>organic_search</t>
        </is>
      </c>
      <c r="F687">
        <f>IFERROR(MATCH(A687,Deals!$A$2:$A$843,0),"")</f>
        <v/>
      </c>
      <c r="G687">
        <f>IF(F687="",0,1)</f>
        <v/>
      </c>
      <c r="H687" s="29">
        <f>IF(F687="","",INDEX(Deals!$E$2:$E$843,F687))</f>
        <v/>
      </c>
      <c r="I687">
        <f>IF(F687="","",INDEX(Deals!$D$2:$D$843,F687))</f>
        <v/>
      </c>
      <c r="J687">
        <f>IF(F687="","",INT(H687)-B687)</f>
        <v/>
      </c>
      <c r="K687">
        <f>IF(B687&gt;=Settings!$C$5,1,0)</f>
        <v/>
      </c>
    </row>
    <row r="688">
      <c r="A688" t="inlineStr">
        <is>
          <t>92719f14dfebda38d8999dff58073c44</t>
        </is>
      </c>
      <c r="B688" s="29" t="n">
        <v>43200</v>
      </c>
      <c r="C688" t="inlineStr">
        <is>
          <t>2018-04</t>
        </is>
      </c>
      <c r="D688" t="inlineStr">
        <is>
          <t>ce1a65abd0973638f1c887a6efcfa82d</t>
        </is>
      </c>
      <c r="E688" t="inlineStr">
        <is>
          <t>direct_traffic</t>
        </is>
      </c>
      <c r="F688">
        <f>IFERROR(MATCH(A688,Deals!$A$2:$A$843,0),"")</f>
        <v/>
      </c>
      <c r="G688">
        <f>IF(F688="",0,1)</f>
        <v/>
      </c>
      <c r="H688" s="29">
        <f>IF(F688="","",INDEX(Deals!$E$2:$E$843,F688))</f>
        <v/>
      </c>
      <c r="I688">
        <f>IF(F688="","",INDEX(Deals!$D$2:$D$843,F688))</f>
        <v/>
      </c>
      <c r="J688">
        <f>IF(F688="","",INT(H688)-B688)</f>
        <v/>
      </c>
      <c r="K688">
        <f>IF(B688&gt;=Settings!$C$5,1,0)</f>
        <v/>
      </c>
    </row>
    <row r="689">
      <c r="A689" t="inlineStr">
        <is>
          <t>8e0c5ad3b0edbdad9151b03cce7344d8</t>
        </is>
      </c>
      <c r="B689" s="29" t="n">
        <v>43111</v>
      </c>
      <c r="C689" t="inlineStr">
        <is>
          <t>2018-01</t>
        </is>
      </c>
      <c r="D689" t="inlineStr">
        <is>
          <t>b76ef37428e6799c421989521c0e5077</t>
        </is>
      </c>
      <c r="E689" t="inlineStr">
        <is>
          <t>unknown</t>
        </is>
      </c>
      <c r="F689">
        <f>IFERROR(MATCH(A689,Deals!$A$2:$A$843,0),"")</f>
        <v/>
      </c>
      <c r="G689">
        <f>IF(F689="",0,1)</f>
        <v/>
      </c>
      <c r="H689" s="29">
        <f>IF(F689="","",INDEX(Deals!$E$2:$E$843,F689))</f>
        <v/>
      </c>
      <c r="I689">
        <f>IF(F689="","",INDEX(Deals!$D$2:$D$843,F689))</f>
        <v/>
      </c>
      <c r="J689">
        <f>IF(F689="","",INT(H689)-B689)</f>
        <v/>
      </c>
      <c r="K689">
        <f>IF(B689&gt;=Settings!$C$5,1,0)</f>
        <v/>
      </c>
    </row>
    <row r="690">
      <c r="A690" t="inlineStr">
        <is>
          <t>45c2d3411b9139f5c37b5041aad1ff9b</t>
        </is>
      </c>
      <c r="B690" s="29" t="n">
        <v>42947</v>
      </c>
      <c r="C690" t="inlineStr">
        <is>
          <t>2017-07</t>
        </is>
      </c>
      <c r="D690" t="inlineStr">
        <is>
          <t>a7982125ff7aa3b2054c6e44f9d28522</t>
        </is>
      </c>
      <c r="E690" t="inlineStr">
        <is>
          <t>direct_traffic</t>
        </is>
      </c>
      <c r="F690">
        <f>IFERROR(MATCH(A690,Deals!$A$2:$A$843,0),"")</f>
        <v/>
      </c>
      <c r="G690">
        <f>IF(F690="",0,1)</f>
        <v/>
      </c>
      <c r="H690" s="29">
        <f>IF(F690="","",INDEX(Deals!$E$2:$E$843,F690))</f>
        <v/>
      </c>
      <c r="I690">
        <f>IF(F690="","",INDEX(Deals!$D$2:$D$843,F690))</f>
        <v/>
      </c>
      <c r="J690">
        <f>IF(F690="","",INT(H690)-B690)</f>
        <v/>
      </c>
      <c r="K690">
        <f>IF(B690&gt;=Settings!$C$5,1,0)</f>
        <v/>
      </c>
    </row>
    <row r="691">
      <c r="A691" t="inlineStr">
        <is>
          <t>db31b813b676603e5e69fcb94de42686</t>
        </is>
      </c>
      <c r="B691" s="29" t="n">
        <v>43215</v>
      </c>
      <c r="C691" t="inlineStr">
        <is>
          <t>2018-04</t>
        </is>
      </c>
      <c r="D691" t="inlineStr">
        <is>
          <t>f80696b73d17fb34f5c4fde157f119d8</t>
        </is>
      </c>
      <c r="E691" t="inlineStr">
        <is>
          <t>referral</t>
        </is>
      </c>
      <c r="F691">
        <f>IFERROR(MATCH(A691,Deals!$A$2:$A$843,0),"")</f>
        <v/>
      </c>
      <c r="G691">
        <f>IF(F691="",0,1)</f>
        <v/>
      </c>
      <c r="H691" s="29">
        <f>IF(F691="","",INDEX(Deals!$E$2:$E$843,F691))</f>
        <v/>
      </c>
      <c r="I691">
        <f>IF(F691="","",INDEX(Deals!$D$2:$D$843,F691))</f>
        <v/>
      </c>
      <c r="J691">
        <f>IF(F691="","",INT(H691)-B691)</f>
        <v/>
      </c>
      <c r="K691">
        <f>IF(B691&gt;=Settings!$C$5,1,0)</f>
        <v/>
      </c>
    </row>
    <row r="692">
      <c r="A692" t="inlineStr">
        <is>
          <t>978f19a896d0dbcd035a1ee019510d07</t>
        </is>
      </c>
      <c r="B692" s="29" t="n">
        <v>43150</v>
      </c>
      <c r="C692" t="inlineStr">
        <is>
          <t>2018-02</t>
        </is>
      </c>
      <c r="D692" t="inlineStr">
        <is>
          <t>88740e65d5d6b056e0cda098e1ea6313</t>
        </is>
      </c>
      <c r="E692" t="inlineStr">
        <is>
          <t>social</t>
        </is>
      </c>
      <c r="F692">
        <f>IFERROR(MATCH(A692,Deals!$A$2:$A$843,0),"")</f>
        <v/>
      </c>
      <c r="G692">
        <f>IF(F692="",0,1)</f>
        <v/>
      </c>
      <c r="H692" s="29">
        <f>IF(F692="","",INDEX(Deals!$E$2:$E$843,F692))</f>
        <v/>
      </c>
      <c r="I692">
        <f>IF(F692="","",INDEX(Deals!$D$2:$D$843,F692))</f>
        <v/>
      </c>
      <c r="J692">
        <f>IF(F692="","",INT(H692)-B692)</f>
        <v/>
      </c>
      <c r="K692">
        <f>IF(B692&gt;=Settings!$C$5,1,0)</f>
        <v/>
      </c>
    </row>
    <row r="693">
      <c r="A693" t="inlineStr">
        <is>
          <t>3d22394c88a8a55ffd228fc505045645</t>
        </is>
      </c>
      <c r="B693" s="29" t="n">
        <v>43144</v>
      </c>
      <c r="C693" t="inlineStr">
        <is>
          <t>2018-02</t>
        </is>
      </c>
      <c r="D693" t="inlineStr">
        <is>
          <t>40dec9f3d5259a3d2dbcdab2114fae47</t>
        </is>
      </c>
      <c r="E693" t="inlineStr">
        <is>
          <t>paid_search</t>
        </is>
      </c>
      <c r="F693">
        <f>IFERROR(MATCH(A693,Deals!$A$2:$A$843,0),"")</f>
        <v/>
      </c>
      <c r="G693">
        <f>IF(F693="",0,1)</f>
        <v/>
      </c>
      <c r="H693" s="29">
        <f>IF(F693="","",INDEX(Deals!$E$2:$E$843,F693))</f>
        <v/>
      </c>
      <c r="I693">
        <f>IF(F693="","",INDEX(Deals!$D$2:$D$843,F693))</f>
        <v/>
      </c>
      <c r="J693">
        <f>IF(F693="","",INT(H693)-B693)</f>
        <v/>
      </c>
      <c r="K693">
        <f>IF(B693&gt;=Settings!$C$5,1,0)</f>
        <v/>
      </c>
    </row>
    <row r="694">
      <c r="A694" t="inlineStr">
        <is>
          <t>c4a8744c537cc4c5c147292d6ca84144</t>
        </is>
      </c>
      <c r="B694" s="29" t="n">
        <v>43230</v>
      </c>
      <c r="C694" t="inlineStr">
        <is>
          <t>2018-05</t>
        </is>
      </c>
      <c r="D694" t="inlineStr">
        <is>
          <t>f017be4dbf86243af5c1ebed0cff36a2</t>
        </is>
      </c>
      <c r="E694" t="inlineStr">
        <is>
          <t>organic_search</t>
        </is>
      </c>
      <c r="F694">
        <f>IFERROR(MATCH(A694,Deals!$A$2:$A$843,0),"")</f>
        <v/>
      </c>
      <c r="G694">
        <f>IF(F694="",0,1)</f>
        <v/>
      </c>
      <c r="H694" s="29">
        <f>IF(F694="","",INDEX(Deals!$E$2:$E$843,F694))</f>
        <v/>
      </c>
      <c r="I694">
        <f>IF(F694="","",INDEX(Deals!$D$2:$D$843,F694))</f>
        <v/>
      </c>
      <c r="J694">
        <f>IF(F694="","",INT(H694)-B694)</f>
        <v/>
      </c>
      <c r="K694">
        <f>IF(B694&gt;=Settings!$C$5,1,0)</f>
        <v/>
      </c>
    </row>
    <row r="695">
      <c r="A695" t="inlineStr">
        <is>
          <t>fd759db147415e8a49d1ed0dfdd22f81</t>
        </is>
      </c>
      <c r="B695" s="29" t="n">
        <v>43215</v>
      </c>
      <c r="C695" t="inlineStr">
        <is>
          <t>2018-04</t>
        </is>
      </c>
      <c r="D695" t="inlineStr">
        <is>
          <t>f80696b73d17fb34f5c4fde157f119d8</t>
        </is>
      </c>
      <c r="E695" t="inlineStr">
        <is>
          <t>direct_traffic</t>
        </is>
      </c>
      <c r="F695">
        <f>IFERROR(MATCH(A695,Deals!$A$2:$A$843,0),"")</f>
        <v/>
      </c>
      <c r="G695">
        <f>IF(F695="",0,1)</f>
        <v/>
      </c>
      <c r="H695" s="29">
        <f>IF(F695="","",INDEX(Deals!$E$2:$E$843,F695))</f>
        <v/>
      </c>
      <c r="I695">
        <f>IF(F695="","",INDEX(Deals!$D$2:$D$843,F695))</f>
        <v/>
      </c>
      <c r="J695">
        <f>IF(F695="","",INT(H695)-B695)</f>
        <v/>
      </c>
      <c r="K695">
        <f>IF(B695&gt;=Settings!$C$5,1,0)</f>
        <v/>
      </c>
    </row>
    <row r="696">
      <c r="A696" t="inlineStr">
        <is>
          <t>9558be539e988fbb9df02fcd4dffbad7</t>
        </is>
      </c>
      <c r="B696" s="29" t="n">
        <v>43131</v>
      </c>
      <c r="C696" t="inlineStr">
        <is>
          <t>2018-01</t>
        </is>
      </c>
      <c r="D696" t="inlineStr">
        <is>
          <t>73f31a40697cc90a86c1273563ac230e</t>
        </is>
      </c>
      <c r="E696" t="inlineStr">
        <is>
          <t>other</t>
        </is>
      </c>
      <c r="F696">
        <f>IFERROR(MATCH(A696,Deals!$A$2:$A$843,0),"")</f>
        <v/>
      </c>
      <c r="G696">
        <f>IF(F696="",0,1)</f>
        <v/>
      </c>
      <c r="H696" s="29">
        <f>IF(F696="","",INDEX(Deals!$E$2:$E$843,F696))</f>
        <v/>
      </c>
      <c r="I696">
        <f>IF(F696="","",INDEX(Deals!$D$2:$D$843,F696))</f>
        <v/>
      </c>
      <c r="J696">
        <f>IF(F696="","",INT(H696)-B696)</f>
        <v/>
      </c>
      <c r="K696">
        <f>IF(B696&gt;=Settings!$C$5,1,0)</f>
        <v/>
      </c>
    </row>
    <row r="697">
      <c r="A697" t="inlineStr">
        <is>
          <t>ab8d64834d9fad5ce41a3f03c67f8d0a</t>
        </is>
      </c>
      <c r="B697" s="29" t="n">
        <v>43238</v>
      </c>
      <c r="C697" t="inlineStr">
        <is>
          <t>2018-05</t>
        </is>
      </c>
      <c r="D697" t="inlineStr">
        <is>
          <t>b76ef37428e6799c421989521c0e5077</t>
        </is>
      </c>
      <c r="E697" t="inlineStr">
        <is>
          <t>unknown</t>
        </is>
      </c>
      <c r="F697">
        <f>IFERROR(MATCH(A697,Deals!$A$2:$A$843,0),"")</f>
        <v/>
      </c>
      <c r="G697">
        <f>IF(F697="",0,1)</f>
        <v/>
      </c>
      <c r="H697" s="29">
        <f>IF(F697="","",INDEX(Deals!$E$2:$E$843,F697))</f>
        <v/>
      </c>
      <c r="I697">
        <f>IF(F697="","",INDEX(Deals!$D$2:$D$843,F697))</f>
        <v/>
      </c>
      <c r="J697">
        <f>IF(F697="","",INT(H697)-B697)</f>
        <v/>
      </c>
      <c r="K697">
        <f>IF(B697&gt;=Settings!$C$5,1,0)</f>
        <v/>
      </c>
    </row>
    <row r="698">
      <c r="A698" t="inlineStr">
        <is>
          <t>0a30a29822b9ea4efaa92d60a93c78cb</t>
        </is>
      </c>
      <c r="B698" s="29" t="n">
        <v>43211</v>
      </c>
      <c r="C698" t="inlineStr">
        <is>
          <t>2018-04</t>
        </is>
      </c>
      <c r="D698" t="inlineStr">
        <is>
          <t>ce1a65abd0973638f1c887a6efcfa82d</t>
        </is>
      </c>
      <c r="E698" t="inlineStr">
        <is>
          <t>paid_search</t>
        </is>
      </c>
      <c r="F698">
        <f>IFERROR(MATCH(A698,Deals!$A$2:$A$843,0),"")</f>
        <v/>
      </c>
      <c r="G698">
        <f>IF(F698="",0,1)</f>
        <v/>
      </c>
      <c r="H698" s="29">
        <f>IF(F698="","",INDEX(Deals!$E$2:$E$843,F698))</f>
        <v/>
      </c>
      <c r="I698">
        <f>IF(F698="","",INDEX(Deals!$D$2:$D$843,F698))</f>
        <v/>
      </c>
      <c r="J698">
        <f>IF(F698="","",INT(H698)-B698)</f>
        <v/>
      </c>
      <c r="K698">
        <f>IF(B698&gt;=Settings!$C$5,1,0)</f>
        <v/>
      </c>
    </row>
    <row r="699">
      <c r="A699" t="inlineStr">
        <is>
          <t>85a3e572a7b6fb6583d3a3106d77bcca</t>
        </is>
      </c>
      <c r="B699" s="29" t="n">
        <v>43157</v>
      </c>
      <c r="C699" t="inlineStr">
        <is>
          <t>2018-02</t>
        </is>
      </c>
      <c r="D699" t="inlineStr">
        <is>
          <t>0e5a178e3cd2368607f3e72f46140476</t>
        </is>
      </c>
      <c r="E699" t="inlineStr">
        <is>
          <t>unknown</t>
        </is>
      </c>
      <c r="F699">
        <f>IFERROR(MATCH(A699,Deals!$A$2:$A$843,0),"")</f>
        <v/>
      </c>
      <c r="G699">
        <f>IF(F699="",0,1)</f>
        <v/>
      </c>
      <c r="H699" s="29">
        <f>IF(F699="","",INDEX(Deals!$E$2:$E$843,F699))</f>
        <v/>
      </c>
      <c r="I699">
        <f>IF(F699="","",INDEX(Deals!$D$2:$D$843,F699))</f>
        <v/>
      </c>
      <c r="J699">
        <f>IF(F699="","",INT(H699)-B699)</f>
        <v/>
      </c>
      <c r="K699">
        <f>IF(B699&gt;=Settings!$C$5,1,0)</f>
        <v/>
      </c>
    </row>
    <row r="700">
      <c r="A700" t="inlineStr">
        <is>
          <t>221445456dc0741b4debab4d0594e541</t>
        </is>
      </c>
      <c r="B700" s="29" t="n">
        <v>43174</v>
      </c>
      <c r="C700" t="inlineStr">
        <is>
          <t>2018-03</t>
        </is>
      </c>
      <c r="D700" t="inlineStr">
        <is>
          <t>a7982125ff7aa3b2054c6e44f9d28522</t>
        </is>
      </c>
      <c r="E700" t="inlineStr">
        <is>
          <t>organic_search</t>
        </is>
      </c>
      <c r="F700">
        <f>IFERROR(MATCH(A700,Deals!$A$2:$A$843,0),"")</f>
        <v/>
      </c>
      <c r="G700">
        <f>IF(F700="",0,1)</f>
        <v/>
      </c>
      <c r="H700" s="29">
        <f>IF(F700="","",INDEX(Deals!$E$2:$E$843,F700))</f>
        <v/>
      </c>
      <c r="I700">
        <f>IF(F700="","",INDEX(Deals!$D$2:$D$843,F700))</f>
        <v/>
      </c>
      <c r="J700">
        <f>IF(F700="","",INT(H700)-B700)</f>
        <v/>
      </c>
      <c r="K700">
        <f>IF(B700&gt;=Settings!$C$5,1,0)</f>
        <v/>
      </c>
    </row>
    <row r="701">
      <c r="A701" t="inlineStr">
        <is>
          <t>a07e9aab49fb5729e20495ab2d91f959</t>
        </is>
      </c>
      <c r="B701" s="29" t="n">
        <v>43166</v>
      </c>
      <c r="C701" t="inlineStr">
        <is>
          <t>2018-03</t>
        </is>
      </c>
      <c r="D701" t="inlineStr">
        <is>
          <t>36120633c8737035fbabf079082f4ec1</t>
        </is>
      </c>
      <c r="E701" t="inlineStr">
        <is>
          <t>organic_search</t>
        </is>
      </c>
      <c r="F701">
        <f>IFERROR(MATCH(A701,Deals!$A$2:$A$843,0),"")</f>
        <v/>
      </c>
      <c r="G701">
        <f>IF(F701="",0,1)</f>
        <v/>
      </c>
      <c r="H701" s="29">
        <f>IF(F701="","",INDEX(Deals!$E$2:$E$843,F701))</f>
        <v/>
      </c>
      <c r="I701">
        <f>IF(F701="","",INDEX(Deals!$D$2:$D$843,F701))</f>
        <v/>
      </c>
      <c r="J701">
        <f>IF(F701="","",INT(H701)-B701)</f>
        <v/>
      </c>
      <c r="K701">
        <f>IF(B701&gt;=Settings!$C$5,1,0)</f>
        <v/>
      </c>
    </row>
    <row r="702">
      <c r="A702" t="inlineStr">
        <is>
          <t>5606841d6295e59995516e3c3342d452</t>
        </is>
      </c>
      <c r="B702" s="29" t="n">
        <v>43192</v>
      </c>
      <c r="C702" t="inlineStr">
        <is>
          <t>2018-04</t>
        </is>
      </c>
      <c r="D702" t="inlineStr">
        <is>
          <t>b76ef37428e6799c421989521c0e5077</t>
        </is>
      </c>
      <c r="E702" t="inlineStr">
        <is>
          <t>paid_search</t>
        </is>
      </c>
      <c r="F702">
        <f>IFERROR(MATCH(A702,Deals!$A$2:$A$843,0),"")</f>
        <v/>
      </c>
      <c r="G702">
        <f>IF(F702="",0,1)</f>
        <v/>
      </c>
      <c r="H702" s="29">
        <f>IF(F702="","",INDEX(Deals!$E$2:$E$843,F702))</f>
        <v/>
      </c>
      <c r="I702">
        <f>IF(F702="","",INDEX(Deals!$D$2:$D$843,F702))</f>
        <v/>
      </c>
      <c r="J702">
        <f>IF(F702="","",INT(H702)-B702)</f>
        <v/>
      </c>
      <c r="K702">
        <f>IF(B702&gt;=Settings!$C$5,1,0)</f>
        <v/>
      </c>
    </row>
    <row r="703">
      <c r="A703" t="inlineStr">
        <is>
          <t>dc076eb055ef5f8a60a41b6195e9f329</t>
        </is>
      </c>
      <c r="B703" s="29" t="n">
        <v>42959</v>
      </c>
      <c r="C703" t="inlineStr">
        <is>
          <t>2017-08</t>
        </is>
      </c>
      <c r="D703" t="inlineStr">
        <is>
          <t>b76ef37428e6799c421989521c0e5077</t>
        </is>
      </c>
      <c r="E703" t="inlineStr">
        <is>
          <t>organic_search</t>
        </is>
      </c>
      <c r="F703">
        <f>IFERROR(MATCH(A703,Deals!$A$2:$A$843,0),"")</f>
        <v/>
      </c>
      <c r="G703">
        <f>IF(F703="",0,1)</f>
        <v/>
      </c>
      <c r="H703" s="29">
        <f>IF(F703="","",INDEX(Deals!$E$2:$E$843,F703))</f>
        <v/>
      </c>
      <c r="I703">
        <f>IF(F703="","",INDEX(Deals!$D$2:$D$843,F703))</f>
        <v/>
      </c>
      <c r="J703">
        <f>IF(F703="","",INT(H703)-B703)</f>
        <v/>
      </c>
      <c r="K703">
        <f>IF(B703&gt;=Settings!$C$5,1,0)</f>
        <v/>
      </c>
    </row>
    <row r="704">
      <c r="A704" t="inlineStr">
        <is>
          <t>db67066cdd8d037e71380d61b1be18ef</t>
        </is>
      </c>
      <c r="B704" s="29" t="n">
        <v>43241</v>
      </c>
      <c r="C704" t="inlineStr">
        <is>
          <t>2018-05</t>
        </is>
      </c>
      <c r="D704" t="inlineStr">
        <is>
          <t>b76ef37428e6799c421989521c0e5077</t>
        </is>
      </c>
      <c r="E704" t="inlineStr">
        <is>
          <t>unknown</t>
        </is>
      </c>
      <c r="F704">
        <f>IFERROR(MATCH(A704,Deals!$A$2:$A$843,0),"")</f>
        <v/>
      </c>
      <c r="G704">
        <f>IF(F704="",0,1)</f>
        <v/>
      </c>
      <c r="H704" s="29">
        <f>IF(F704="","",INDEX(Deals!$E$2:$E$843,F704))</f>
        <v/>
      </c>
      <c r="I704">
        <f>IF(F704="","",INDEX(Deals!$D$2:$D$843,F704))</f>
        <v/>
      </c>
      <c r="J704">
        <f>IF(F704="","",INT(H704)-B704)</f>
        <v/>
      </c>
      <c r="K704">
        <f>IF(B704&gt;=Settings!$C$5,1,0)</f>
        <v/>
      </c>
    </row>
    <row r="705">
      <c r="A705" t="inlineStr">
        <is>
          <t>657ad4f3e2afdf70f27fe834691fb65a</t>
        </is>
      </c>
      <c r="B705" s="29" t="n">
        <v>43068</v>
      </c>
      <c r="C705" t="inlineStr">
        <is>
          <t>2017-11</t>
        </is>
      </c>
      <c r="D705" t="inlineStr">
        <is>
          <t>da1a335179b8a9784d5733c7c7ada254</t>
        </is>
      </c>
      <c r="E705" t="inlineStr">
        <is>
          <t>(missing)</t>
        </is>
      </c>
      <c r="F705">
        <f>IFERROR(MATCH(A705,Deals!$A$2:$A$843,0),"")</f>
        <v/>
      </c>
      <c r="G705">
        <f>IF(F705="",0,1)</f>
        <v/>
      </c>
      <c r="H705" s="29">
        <f>IF(F705="","",INDEX(Deals!$E$2:$E$843,F705))</f>
        <v/>
      </c>
      <c r="I705">
        <f>IF(F705="","",INDEX(Deals!$D$2:$D$843,F705))</f>
        <v/>
      </c>
      <c r="J705">
        <f>IF(F705="","",INT(H705)-B705)</f>
        <v/>
      </c>
      <c r="K705">
        <f>IF(B705&gt;=Settings!$C$5,1,0)</f>
        <v/>
      </c>
    </row>
    <row r="706">
      <c r="A706" t="inlineStr">
        <is>
          <t>c14c96851ed657b8510e02b8d9b534bc</t>
        </is>
      </c>
      <c r="B706" s="29" t="n">
        <v>43133</v>
      </c>
      <c r="C706" t="inlineStr">
        <is>
          <t>2018-02</t>
        </is>
      </c>
      <c r="D706" t="inlineStr">
        <is>
          <t>b76ef37428e6799c421989521c0e5077</t>
        </is>
      </c>
      <c r="E706" t="inlineStr">
        <is>
          <t>direct_traffic</t>
        </is>
      </c>
      <c r="F706">
        <f>IFERROR(MATCH(A706,Deals!$A$2:$A$843,0),"")</f>
        <v/>
      </c>
      <c r="G706">
        <f>IF(F706="",0,1)</f>
        <v/>
      </c>
      <c r="H706" s="29">
        <f>IF(F706="","",INDEX(Deals!$E$2:$E$843,F706))</f>
        <v/>
      </c>
      <c r="I706">
        <f>IF(F706="","",INDEX(Deals!$D$2:$D$843,F706))</f>
        <v/>
      </c>
      <c r="J706">
        <f>IF(F706="","",INT(H706)-B706)</f>
        <v/>
      </c>
      <c r="K706">
        <f>IF(B706&gt;=Settings!$C$5,1,0)</f>
        <v/>
      </c>
    </row>
    <row r="707">
      <c r="A707" t="inlineStr">
        <is>
          <t>08f4d6c8bd47ff6e797433afbe91ae3b</t>
        </is>
      </c>
      <c r="B707" s="29" t="n">
        <v>43223</v>
      </c>
      <c r="C707" t="inlineStr">
        <is>
          <t>2018-05</t>
        </is>
      </c>
      <c r="D707" t="inlineStr">
        <is>
          <t>ce1a65abd0973638f1c887a6efcfa82d</t>
        </is>
      </c>
      <c r="E707" t="inlineStr">
        <is>
          <t>unknown</t>
        </is>
      </c>
      <c r="F707">
        <f>IFERROR(MATCH(A707,Deals!$A$2:$A$843,0),"")</f>
        <v/>
      </c>
      <c r="G707">
        <f>IF(F707="",0,1)</f>
        <v/>
      </c>
      <c r="H707" s="29">
        <f>IF(F707="","",INDEX(Deals!$E$2:$E$843,F707))</f>
        <v/>
      </c>
      <c r="I707">
        <f>IF(F707="","",INDEX(Deals!$D$2:$D$843,F707))</f>
        <v/>
      </c>
      <c r="J707">
        <f>IF(F707="","",INT(H707)-B707)</f>
        <v/>
      </c>
      <c r="K707">
        <f>IF(B707&gt;=Settings!$C$5,1,0)</f>
        <v/>
      </c>
    </row>
    <row r="708">
      <c r="A708" t="inlineStr">
        <is>
          <t>bbf96de4c6f2f00573a56c0bec2a1cbb</t>
        </is>
      </c>
      <c r="B708" s="29" t="n">
        <v>43208</v>
      </c>
      <c r="C708" t="inlineStr">
        <is>
          <t>2018-04</t>
        </is>
      </c>
      <c r="D708" t="inlineStr">
        <is>
          <t>58326e62183c14b0c03085c33b9fdc44</t>
        </is>
      </c>
      <c r="E708" t="inlineStr">
        <is>
          <t>direct_traffic</t>
        </is>
      </c>
      <c r="F708">
        <f>IFERROR(MATCH(A708,Deals!$A$2:$A$843,0),"")</f>
        <v/>
      </c>
      <c r="G708">
        <f>IF(F708="",0,1)</f>
        <v/>
      </c>
      <c r="H708" s="29">
        <f>IF(F708="","",INDEX(Deals!$E$2:$E$843,F708))</f>
        <v/>
      </c>
      <c r="I708">
        <f>IF(F708="","",INDEX(Deals!$D$2:$D$843,F708))</f>
        <v/>
      </c>
      <c r="J708">
        <f>IF(F708="","",INT(H708)-B708)</f>
        <v/>
      </c>
      <c r="K708">
        <f>IF(B708&gt;=Settings!$C$5,1,0)</f>
        <v/>
      </c>
    </row>
    <row r="709">
      <c r="A709" t="inlineStr">
        <is>
          <t>56747caf8c3f5eefb7657b3f3a105c2c</t>
        </is>
      </c>
      <c r="B709" s="29" t="n">
        <v>43199</v>
      </c>
      <c r="C709" t="inlineStr">
        <is>
          <t>2018-04</t>
        </is>
      </c>
      <c r="D709" t="inlineStr">
        <is>
          <t>908dad5b22342480f5cc055b8dd55e7e</t>
        </is>
      </c>
      <c r="E709" t="inlineStr">
        <is>
          <t>social</t>
        </is>
      </c>
      <c r="F709">
        <f>IFERROR(MATCH(A709,Deals!$A$2:$A$843,0),"")</f>
        <v/>
      </c>
      <c r="G709">
        <f>IF(F709="",0,1)</f>
        <v/>
      </c>
      <c r="H709" s="29">
        <f>IF(F709="","",INDEX(Deals!$E$2:$E$843,F709))</f>
        <v/>
      </c>
      <c r="I709">
        <f>IF(F709="","",INDEX(Deals!$D$2:$D$843,F709))</f>
        <v/>
      </c>
      <c r="J709">
        <f>IF(F709="","",INT(H709)-B709)</f>
        <v/>
      </c>
      <c r="K709">
        <f>IF(B709&gt;=Settings!$C$5,1,0)</f>
        <v/>
      </c>
    </row>
    <row r="710">
      <c r="A710" t="inlineStr">
        <is>
          <t>feccf7d1ccb03f33026fbdf6c7b7d110</t>
        </is>
      </c>
      <c r="B710" s="29" t="n">
        <v>42962</v>
      </c>
      <c r="C710" t="inlineStr">
        <is>
          <t>2017-08</t>
        </is>
      </c>
      <c r="D710" t="inlineStr">
        <is>
          <t>87732658ba41d8775e8577df347a64db</t>
        </is>
      </c>
      <c r="E710" t="inlineStr">
        <is>
          <t>social</t>
        </is>
      </c>
      <c r="F710">
        <f>IFERROR(MATCH(A710,Deals!$A$2:$A$843,0),"")</f>
        <v/>
      </c>
      <c r="G710">
        <f>IF(F710="",0,1)</f>
        <v/>
      </c>
      <c r="H710" s="29">
        <f>IF(F710="","",INDEX(Deals!$E$2:$E$843,F710))</f>
        <v/>
      </c>
      <c r="I710">
        <f>IF(F710="","",INDEX(Deals!$D$2:$D$843,F710))</f>
        <v/>
      </c>
      <c r="J710">
        <f>IF(F710="","",INT(H710)-B710)</f>
        <v/>
      </c>
      <c r="K710">
        <f>IF(B710&gt;=Settings!$C$5,1,0)</f>
        <v/>
      </c>
    </row>
    <row r="711">
      <c r="A711" t="inlineStr">
        <is>
          <t>2cc7645821fa3f2560b783faed98646b</t>
        </is>
      </c>
      <c r="B711" s="29" t="n">
        <v>43249</v>
      </c>
      <c r="C711" t="inlineStr">
        <is>
          <t>2018-05</t>
        </is>
      </c>
      <c r="D711" t="inlineStr">
        <is>
          <t>68f817c510c978e3a3a7474ad2aeb75c</t>
        </is>
      </c>
      <c r="E711" t="inlineStr">
        <is>
          <t>paid_search</t>
        </is>
      </c>
      <c r="F711">
        <f>IFERROR(MATCH(A711,Deals!$A$2:$A$843,0),"")</f>
        <v/>
      </c>
      <c r="G711">
        <f>IF(F711="",0,1)</f>
        <v/>
      </c>
      <c r="H711" s="29">
        <f>IF(F711="","",INDEX(Deals!$E$2:$E$843,F711))</f>
        <v/>
      </c>
      <c r="I711">
        <f>IF(F711="","",INDEX(Deals!$D$2:$D$843,F711))</f>
        <v/>
      </c>
      <c r="J711">
        <f>IF(F711="","",INT(H711)-B711)</f>
        <v/>
      </c>
      <c r="K711">
        <f>IF(B711&gt;=Settings!$C$5,1,0)</f>
        <v/>
      </c>
    </row>
    <row r="712">
      <c r="A712" t="inlineStr">
        <is>
          <t>e5b565ee90394bde9f504d9c6ef027d1</t>
        </is>
      </c>
      <c r="B712" s="29" t="n">
        <v>42966</v>
      </c>
      <c r="C712" t="inlineStr">
        <is>
          <t>2017-08</t>
        </is>
      </c>
      <c r="D712" t="inlineStr">
        <is>
          <t>5209e2e679d32a6619feb6942702fd14</t>
        </is>
      </c>
      <c r="E712" t="inlineStr">
        <is>
          <t>organic_search</t>
        </is>
      </c>
      <c r="F712">
        <f>IFERROR(MATCH(A712,Deals!$A$2:$A$843,0),"")</f>
        <v/>
      </c>
      <c r="G712">
        <f>IF(F712="",0,1)</f>
        <v/>
      </c>
      <c r="H712" s="29">
        <f>IF(F712="","",INDEX(Deals!$E$2:$E$843,F712))</f>
        <v/>
      </c>
      <c r="I712">
        <f>IF(F712="","",INDEX(Deals!$D$2:$D$843,F712))</f>
        <v/>
      </c>
      <c r="J712">
        <f>IF(F712="","",INT(H712)-B712)</f>
        <v/>
      </c>
      <c r="K712">
        <f>IF(B712&gt;=Settings!$C$5,1,0)</f>
        <v/>
      </c>
    </row>
    <row r="713">
      <c r="A713" t="inlineStr">
        <is>
          <t>b6094ce2d81a4ceef4996f3f0ea04635</t>
        </is>
      </c>
      <c r="B713" s="29" t="n">
        <v>43146</v>
      </c>
      <c r="C713" t="inlineStr">
        <is>
          <t>2018-02</t>
        </is>
      </c>
      <c r="D713" t="inlineStr">
        <is>
          <t>88740e65d5d6b056e0cda098e1ea6313</t>
        </is>
      </c>
      <c r="E713" t="inlineStr">
        <is>
          <t>social</t>
        </is>
      </c>
      <c r="F713">
        <f>IFERROR(MATCH(A713,Deals!$A$2:$A$843,0),"")</f>
        <v/>
      </c>
      <c r="G713">
        <f>IF(F713="",0,1)</f>
        <v/>
      </c>
      <c r="H713" s="29">
        <f>IF(F713="","",INDEX(Deals!$E$2:$E$843,F713))</f>
        <v/>
      </c>
      <c r="I713">
        <f>IF(F713="","",INDEX(Deals!$D$2:$D$843,F713))</f>
        <v/>
      </c>
      <c r="J713">
        <f>IF(F713="","",INT(H713)-B713)</f>
        <v/>
      </c>
      <c r="K713">
        <f>IF(B713&gt;=Settings!$C$5,1,0)</f>
        <v/>
      </c>
    </row>
    <row r="714">
      <c r="A714" t="inlineStr">
        <is>
          <t>21b203a02c91d5272135dbbebe6afc00</t>
        </is>
      </c>
      <c r="B714" s="29" t="n">
        <v>43138</v>
      </c>
      <c r="C714" t="inlineStr">
        <is>
          <t>2018-02</t>
        </is>
      </c>
      <c r="D714" t="inlineStr">
        <is>
          <t>733adfe409c752b5c200bf23fa2f22d0</t>
        </is>
      </c>
      <c r="E714" t="inlineStr">
        <is>
          <t>paid_search</t>
        </is>
      </c>
      <c r="F714">
        <f>IFERROR(MATCH(A714,Deals!$A$2:$A$843,0),"")</f>
        <v/>
      </c>
      <c r="G714">
        <f>IF(F714="",0,1)</f>
        <v/>
      </c>
      <c r="H714" s="29">
        <f>IF(F714="","",INDEX(Deals!$E$2:$E$843,F714))</f>
        <v/>
      </c>
      <c r="I714">
        <f>IF(F714="","",INDEX(Deals!$D$2:$D$843,F714))</f>
        <v/>
      </c>
      <c r="J714">
        <f>IF(F714="","",INT(H714)-B714)</f>
        <v/>
      </c>
      <c r="K714">
        <f>IF(B714&gt;=Settings!$C$5,1,0)</f>
        <v/>
      </c>
    </row>
    <row r="715">
      <c r="A715" t="inlineStr">
        <is>
          <t>fd86085221addaf63ba670a35e027acf</t>
        </is>
      </c>
      <c r="B715" s="29" t="n">
        <v>42996</v>
      </c>
      <c r="C715" t="inlineStr">
        <is>
          <t>2017-09</t>
        </is>
      </c>
      <c r="D715" t="inlineStr">
        <is>
          <t>dd6f55db3947b0aeaadb65a610334799</t>
        </is>
      </c>
      <c r="E715" t="inlineStr">
        <is>
          <t>email</t>
        </is>
      </c>
      <c r="F715">
        <f>IFERROR(MATCH(A715,Deals!$A$2:$A$843,0),"")</f>
        <v/>
      </c>
      <c r="G715">
        <f>IF(F715="",0,1)</f>
        <v/>
      </c>
      <c r="H715" s="29">
        <f>IF(F715="","",INDEX(Deals!$E$2:$E$843,F715))</f>
        <v/>
      </c>
      <c r="I715">
        <f>IF(F715="","",INDEX(Deals!$D$2:$D$843,F715))</f>
        <v/>
      </c>
      <c r="J715">
        <f>IF(F715="","",INT(H715)-B715)</f>
        <v/>
      </c>
      <c r="K715">
        <f>IF(B715&gt;=Settings!$C$5,1,0)</f>
        <v/>
      </c>
    </row>
    <row r="716">
      <c r="A716" t="inlineStr">
        <is>
          <t>f7ce934a42554260ad8225c18d2b61c1</t>
        </is>
      </c>
      <c r="B716" s="29" t="n">
        <v>43188</v>
      </c>
      <c r="C716" t="inlineStr">
        <is>
          <t>2018-03</t>
        </is>
      </c>
      <c r="D716" t="inlineStr">
        <is>
          <t>dd6f55db3947b0aeaadb65a610334799</t>
        </is>
      </c>
      <c r="E716" t="inlineStr">
        <is>
          <t>organic_search</t>
        </is>
      </c>
      <c r="F716">
        <f>IFERROR(MATCH(A716,Deals!$A$2:$A$843,0),"")</f>
        <v/>
      </c>
      <c r="G716">
        <f>IF(F716="",0,1)</f>
        <v/>
      </c>
      <c r="H716" s="29">
        <f>IF(F716="","",INDEX(Deals!$E$2:$E$843,F716))</f>
        <v/>
      </c>
      <c r="I716">
        <f>IF(F716="","",INDEX(Deals!$D$2:$D$843,F716))</f>
        <v/>
      </c>
      <c r="J716">
        <f>IF(F716="","",INT(H716)-B716)</f>
        <v/>
      </c>
      <c r="K716">
        <f>IF(B716&gt;=Settings!$C$5,1,0)</f>
        <v/>
      </c>
    </row>
    <row r="717">
      <c r="A717" t="inlineStr">
        <is>
          <t>95569a10706dbb75839b8200a084dc1b</t>
        </is>
      </c>
      <c r="B717" s="29" t="n">
        <v>43183</v>
      </c>
      <c r="C717" t="inlineStr">
        <is>
          <t>2018-03</t>
        </is>
      </c>
      <c r="D717" t="inlineStr">
        <is>
          <t>bdaeb752e5c3caa215ebe04c61e22325</t>
        </is>
      </c>
      <c r="E717" t="inlineStr">
        <is>
          <t>organic_search</t>
        </is>
      </c>
      <c r="F717">
        <f>IFERROR(MATCH(A717,Deals!$A$2:$A$843,0),"")</f>
        <v/>
      </c>
      <c r="G717">
        <f>IF(F717="",0,1)</f>
        <v/>
      </c>
      <c r="H717" s="29">
        <f>IF(F717="","",INDEX(Deals!$E$2:$E$843,F717))</f>
        <v/>
      </c>
      <c r="I717">
        <f>IF(F717="","",INDEX(Deals!$D$2:$D$843,F717))</f>
        <v/>
      </c>
      <c r="J717">
        <f>IF(F717="","",INT(H717)-B717)</f>
        <v/>
      </c>
      <c r="K717">
        <f>IF(B717&gt;=Settings!$C$5,1,0)</f>
        <v/>
      </c>
    </row>
    <row r="718">
      <c r="A718" t="inlineStr">
        <is>
          <t>455465a1662bafac8a32155d1e96ec97</t>
        </is>
      </c>
      <c r="B718" s="29" t="n">
        <v>43125</v>
      </c>
      <c r="C718" t="inlineStr">
        <is>
          <t>2018-01</t>
        </is>
      </c>
      <c r="D718" t="inlineStr">
        <is>
          <t>f017be4dbf86243af5c1ebed0cff36a2</t>
        </is>
      </c>
      <c r="E718" t="inlineStr">
        <is>
          <t>email</t>
        </is>
      </c>
      <c r="F718">
        <f>IFERROR(MATCH(A718,Deals!$A$2:$A$843,0),"")</f>
        <v/>
      </c>
      <c r="G718">
        <f>IF(F718="",0,1)</f>
        <v/>
      </c>
      <c r="H718" s="29">
        <f>IF(F718="","",INDEX(Deals!$E$2:$E$843,F718))</f>
        <v/>
      </c>
      <c r="I718">
        <f>IF(F718="","",INDEX(Deals!$D$2:$D$843,F718))</f>
        <v/>
      </c>
      <c r="J718">
        <f>IF(F718="","",INT(H718)-B718)</f>
        <v/>
      </c>
      <c r="K718">
        <f>IF(B718&gt;=Settings!$C$5,1,0)</f>
        <v/>
      </c>
    </row>
    <row r="719">
      <c r="A719" t="inlineStr">
        <is>
          <t>dcda4faf1ee68fd824f9bdefc41b8e19</t>
        </is>
      </c>
      <c r="B719" s="29" t="n">
        <v>43240</v>
      </c>
      <c r="C719" t="inlineStr">
        <is>
          <t>2018-05</t>
        </is>
      </c>
      <c r="D719" t="inlineStr">
        <is>
          <t>58326e62183c14b0c03085c33b9fdc44</t>
        </is>
      </c>
      <c r="E719" t="inlineStr">
        <is>
          <t>organic_search</t>
        </is>
      </c>
      <c r="F719">
        <f>IFERROR(MATCH(A719,Deals!$A$2:$A$843,0),"")</f>
        <v/>
      </c>
      <c r="G719">
        <f>IF(F719="",0,1)</f>
        <v/>
      </c>
      <c r="H719" s="29">
        <f>IF(F719="","",INDEX(Deals!$E$2:$E$843,F719))</f>
        <v/>
      </c>
      <c r="I719">
        <f>IF(F719="","",INDEX(Deals!$D$2:$D$843,F719))</f>
        <v/>
      </c>
      <c r="J719">
        <f>IF(F719="","",INT(H719)-B719)</f>
        <v/>
      </c>
      <c r="K719">
        <f>IF(B719&gt;=Settings!$C$5,1,0)</f>
        <v/>
      </c>
    </row>
    <row r="720">
      <c r="A720" t="inlineStr">
        <is>
          <t>682e8ae60182137d74d90ada9e0947d8</t>
        </is>
      </c>
      <c r="B720" s="29" t="n">
        <v>43153</v>
      </c>
      <c r="C720" t="inlineStr">
        <is>
          <t>2018-02</t>
        </is>
      </c>
      <c r="D720" t="inlineStr">
        <is>
          <t>2228a43ac0bc372e25f9569e69fc9015</t>
        </is>
      </c>
      <c r="E720" t="inlineStr">
        <is>
          <t>paid_search</t>
        </is>
      </c>
      <c r="F720">
        <f>IFERROR(MATCH(A720,Deals!$A$2:$A$843,0),"")</f>
        <v/>
      </c>
      <c r="G720">
        <f>IF(F720="",0,1)</f>
        <v/>
      </c>
      <c r="H720" s="29">
        <f>IF(F720="","",INDEX(Deals!$E$2:$E$843,F720))</f>
        <v/>
      </c>
      <c r="I720">
        <f>IF(F720="","",INDEX(Deals!$D$2:$D$843,F720))</f>
        <v/>
      </c>
      <c r="J720">
        <f>IF(F720="","",INT(H720)-B720)</f>
        <v/>
      </c>
      <c r="K720">
        <f>IF(B720&gt;=Settings!$C$5,1,0)</f>
        <v/>
      </c>
    </row>
    <row r="721">
      <c r="A721" t="inlineStr">
        <is>
          <t>a1f82b2345f91a09a524f048a6c1fdae</t>
        </is>
      </c>
      <c r="B721" s="29" t="n">
        <v>43084</v>
      </c>
      <c r="C721" t="inlineStr">
        <is>
          <t>2017-12</t>
        </is>
      </c>
      <c r="D721" t="inlineStr">
        <is>
          <t>e492ee5eaf1697716985cc6f33f9cd9b</t>
        </is>
      </c>
      <c r="E721" t="inlineStr">
        <is>
          <t>organic_search</t>
        </is>
      </c>
      <c r="F721">
        <f>IFERROR(MATCH(A721,Deals!$A$2:$A$843,0),"")</f>
        <v/>
      </c>
      <c r="G721">
        <f>IF(F721="",0,1)</f>
        <v/>
      </c>
      <c r="H721" s="29">
        <f>IF(F721="","",INDEX(Deals!$E$2:$E$843,F721))</f>
        <v/>
      </c>
      <c r="I721">
        <f>IF(F721="","",INDEX(Deals!$D$2:$D$843,F721))</f>
        <v/>
      </c>
      <c r="J721">
        <f>IF(F721="","",INT(H721)-B721)</f>
        <v/>
      </c>
      <c r="K721">
        <f>IF(B721&gt;=Settings!$C$5,1,0)</f>
        <v/>
      </c>
    </row>
    <row r="722">
      <c r="A722" t="inlineStr">
        <is>
          <t>77abef21c838da55e14ffc88016ce91f</t>
        </is>
      </c>
      <c r="B722" s="29" t="n">
        <v>43105</v>
      </c>
      <c r="C722" t="inlineStr">
        <is>
          <t>2018-01</t>
        </is>
      </c>
      <c r="D722" t="inlineStr">
        <is>
          <t>22c29808c4f815213303f8933030604c</t>
        </is>
      </c>
      <c r="E722" t="inlineStr">
        <is>
          <t>organic_search</t>
        </is>
      </c>
      <c r="F722">
        <f>IFERROR(MATCH(A722,Deals!$A$2:$A$843,0),"")</f>
        <v/>
      </c>
      <c r="G722">
        <f>IF(F722="",0,1)</f>
        <v/>
      </c>
      <c r="H722" s="29">
        <f>IF(F722="","",INDEX(Deals!$E$2:$E$843,F722))</f>
        <v/>
      </c>
      <c r="I722">
        <f>IF(F722="","",INDEX(Deals!$D$2:$D$843,F722))</f>
        <v/>
      </c>
      <c r="J722">
        <f>IF(F722="","",INT(H722)-B722)</f>
        <v/>
      </c>
      <c r="K722">
        <f>IF(B722&gt;=Settings!$C$5,1,0)</f>
        <v/>
      </c>
    </row>
    <row r="723">
      <c r="A723" t="inlineStr">
        <is>
          <t>f59dbeb3532bf7cc85d40f97588c8a80</t>
        </is>
      </c>
      <c r="B723" s="29" t="n">
        <v>43187</v>
      </c>
      <c r="C723" t="inlineStr">
        <is>
          <t>2018-03</t>
        </is>
      </c>
      <c r="D723" t="inlineStr">
        <is>
          <t>b76ef37428e6799c421989521c0e5077</t>
        </is>
      </c>
      <c r="E723" t="inlineStr">
        <is>
          <t>unknown</t>
        </is>
      </c>
      <c r="F723">
        <f>IFERROR(MATCH(A723,Deals!$A$2:$A$843,0),"")</f>
        <v/>
      </c>
      <c r="G723">
        <f>IF(F723="",0,1)</f>
        <v/>
      </c>
      <c r="H723" s="29">
        <f>IF(F723="","",INDEX(Deals!$E$2:$E$843,F723))</f>
        <v/>
      </c>
      <c r="I723">
        <f>IF(F723="","",INDEX(Deals!$D$2:$D$843,F723))</f>
        <v/>
      </c>
      <c r="J723">
        <f>IF(F723="","",INT(H723)-B723)</f>
        <v/>
      </c>
      <c r="K723">
        <f>IF(B723&gt;=Settings!$C$5,1,0)</f>
        <v/>
      </c>
    </row>
    <row r="724">
      <c r="A724" t="inlineStr">
        <is>
          <t>e14062d430df9303453e4d25fadfe4ee</t>
        </is>
      </c>
      <c r="B724" s="29" t="n">
        <v>43104</v>
      </c>
      <c r="C724" t="inlineStr">
        <is>
          <t>2018-01</t>
        </is>
      </c>
      <c r="D724" t="inlineStr">
        <is>
          <t>88740e65d5d6b056e0cda098e1ea6313</t>
        </is>
      </c>
      <c r="E724" t="inlineStr">
        <is>
          <t>social</t>
        </is>
      </c>
      <c r="F724">
        <f>IFERROR(MATCH(A724,Deals!$A$2:$A$843,0),"")</f>
        <v/>
      </c>
      <c r="G724">
        <f>IF(F724="",0,1)</f>
        <v/>
      </c>
      <c r="H724" s="29">
        <f>IF(F724="","",INDEX(Deals!$E$2:$E$843,F724))</f>
        <v/>
      </c>
      <c r="I724">
        <f>IF(F724="","",INDEX(Deals!$D$2:$D$843,F724))</f>
        <v/>
      </c>
      <c r="J724">
        <f>IF(F724="","",INT(H724)-B724)</f>
        <v/>
      </c>
      <c r="K724">
        <f>IF(B724&gt;=Settings!$C$5,1,0)</f>
        <v/>
      </c>
    </row>
    <row r="725">
      <c r="A725" t="inlineStr">
        <is>
          <t>6d070738b274ed8c45fba848a4a3760b</t>
        </is>
      </c>
      <c r="B725" s="29" t="n">
        <v>43242</v>
      </c>
      <c r="C725" t="inlineStr">
        <is>
          <t>2018-05</t>
        </is>
      </c>
      <c r="D725" t="inlineStr">
        <is>
          <t>ce1a65abd0973638f1c887a6efcfa82d</t>
        </is>
      </c>
      <c r="E725" t="inlineStr">
        <is>
          <t>organic_search</t>
        </is>
      </c>
      <c r="F725">
        <f>IFERROR(MATCH(A725,Deals!$A$2:$A$843,0),"")</f>
        <v/>
      </c>
      <c r="G725">
        <f>IF(F725="",0,1)</f>
        <v/>
      </c>
      <c r="H725" s="29">
        <f>IF(F725="","",INDEX(Deals!$E$2:$E$843,F725))</f>
        <v/>
      </c>
      <c r="I725">
        <f>IF(F725="","",INDEX(Deals!$D$2:$D$843,F725))</f>
        <v/>
      </c>
      <c r="J725">
        <f>IF(F725="","",INT(H725)-B725)</f>
        <v/>
      </c>
      <c r="K725">
        <f>IF(B725&gt;=Settings!$C$5,1,0)</f>
        <v/>
      </c>
    </row>
    <row r="726">
      <c r="A726" t="inlineStr">
        <is>
          <t>5cb11dbc049a66ffd24a5c7c3fa416a8</t>
        </is>
      </c>
      <c r="B726" s="29" t="n">
        <v>43172</v>
      </c>
      <c r="C726" t="inlineStr">
        <is>
          <t>2018-03</t>
        </is>
      </c>
      <c r="D726" t="inlineStr">
        <is>
          <t>4e82dd1f6d00626bda0723eef0a269a6</t>
        </is>
      </c>
      <c r="E726" t="inlineStr">
        <is>
          <t>organic_search</t>
        </is>
      </c>
      <c r="F726">
        <f>IFERROR(MATCH(A726,Deals!$A$2:$A$843,0),"")</f>
        <v/>
      </c>
      <c r="G726">
        <f>IF(F726="",0,1)</f>
        <v/>
      </c>
      <c r="H726" s="29">
        <f>IF(F726="","",INDEX(Deals!$E$2:$E$843,F726))</f>
        <v/>
      </c>
      <c r="I726">
        <f>IF(F726="","",INDEX(Deals!$D$2:$D$843,F726))</f>
        <v/>
      </c>
      <c r="J726">
        <f>IF(F726="","",INT(H726)-B726)</f>
        <v/>
      </c>
      <c r="K726">
        <f>IF(B726&gt;=Settings!$C$5,1,0)</f>
        <v/>
      </c>
    </row>
    <row r="727">
      <c r="A727" t="inlineStr">
        <is>
          <t>46d9834fa62209a6504b2aabe46d7bfb</t>
        </is>
      </c>
      <c r="B727" s="29" t="n">
        <v>43147</v>
      </c>
      <c r="C727" t="inlineStr">
        <is>
          <t>2018-02</t>
        </is>
      </c>
      <c r="D727" t="inlineStr">
        <is>
          <t>22c29808c4f815213303f8933030604c</t>
        </is>
      </c>
      <c r="E727" t="inlineStr">
        <is>
          <t>organic_search</t>
        </is>
      </c>
      <c r="F727">
        <f>IFERROR(MATCH(A727,Deals!$A$2:$A$843,0),"")</f>
        <v/>
      </c>
      <c r="G727">
        <f>IF(F727="",0,1)</f>
        <v/>
      </c>
      <c r="H727" s="29">
        <f>IF(F727="","",INDEX(Deals!$E$2:$E$843,F727))</f>
        <v/>
      </c>
      <c r="I727">
        <f>IF(F727="","",INDEX(Deals!$D$2:$D$843,F727))</f>
        <v/>
      </c>
      <c r="J727">
        <f>IF(F727="","",INT(H727)-B727)</f>
        <v/>
      </c>
      <c r="K727">
        <f>IF(B727&gt;=Settings!$C$5,1,0)</f>
        <v/>
      </c>
    </row>
    <row r="728">
      <c r="A728" t="inlineStr">
        <is>
          <t>dcba2fa3e89f266557014c55f42cb61e</t>
        </is>
      </c>
      <c r="B728" s="29" t="n">
        <v>43241</v>
      </c>
      <c r="C728" t="inlineStr">
        <is>
          <t>2018-05</t>
        </is>
      </c>
      <c r="D728" t="inlineStr">
        <is>
          <t>22c29808c4f815213303f8933030604c</t>
        </is>
      </c>
      <c r="E728" t="inlineStr">
        <is>
          <t>organic_search</t>
        </is>
      </c>
      <c r="F728">
        <f>IFERROR(MATCH(A728,Deals!$A$2:$A$843,0),"")</f>
        <v/>
      </c>
      <c r="G728">
        <f>IF(F728="",0,1)</f>
        <v/>
      </c>
      <c r="H728" s="29">
        <f>IF(F728="","",INDEX(Deals!$E$2:$E$843,F728))</f>
        <v/>
      </c>
      <c r="I728">
        <f>IF(F728="","",INDEX(Deals!$D$2:$D$843,F728))</f>
        <v/>
      </c>
      <c r="J728">
        <f>IF(F728="","",INT(H728)-B728)</f>
        <v/>
      </c>
      <c r="K728">
        <f>IF(B728&gt;=Settings!$C$5,1,0)</f>
        <v/>
      </c>
    </row>
    <row r="729">
      <c r="A729" t="inlineStr">
        <is>
          <t>009ff90f082aaa9fcd6e14caf65c7cc6</t>
        </is>
      </c>
      <c r="B729" s="29" t="n">
        <v>43178</v>
      </c>
      <c r="C729" t="inlineStr">
        <is>
          <t>2018-03</t>
        </is>
      </c>
      <c r="D729" t="inlineStr">
        <is>
          <t>4aab772aeb9833c170d8ea5413e02eac</t>
        </is>
      </c>
      <c r="E729" t="inlineStr">
        <is>
          <t>paid_search</t>
        </is>
      </c>
      <c r="F729">
        <f>IFERROR(MATCH(A729,Deals!$A$2:$A$843,0),"")</f>
        <v/>
      </c>
      <c r="G729">
        <f>IF(F729="",0,1)</f>
        <v/>
      </c>
      <c r="H729" s="29">
        <f>IF(F729="","",INDEX(Deals!$E$2:$E$843,F729))</f>
        <v/>
      </c>
      <c r="I729">
        <f>IF(F729="","",INDEX(Deals!$D$2:$D$843,F729))</f>
        <v/>
      </c>
      <c r="J729">
        <f>IF(F729="","",INT(H729)-B729)</f>
        <v/>
      </c>
      <c r="K729">
        <f>IF(B729&gt;=Settings!$C$5,1,0)</f>
        <v/>
      </c>
    </row>
    <row r="730">
      <c r="A730" t="inlineStr">
        <is>
          <t>27ddb8d522a2dc74e89687bd357db5a0</t>
        </is>
      </c>
      <c r="B730" s="29" t="n">
        <v>43058</v>
      </c>
      <c r="C730" t="inlineStr">
        <is>
          <t>2017-11</t>
        </is>
      </c>
      <c r="D730" t="inlineStr">
        <is>
          <t>22c29808c4f815213303f8933030604c</t>
        </is>
      </c>
      <c r="E730" t="inlineStr">
        <is>
          <t>paid_search</t>
        </is>
      </c>
      <c r="F730">
        <f>IFERROR(MATCH(A730,Deals!$A$2:$A$843,0),"")</f>
        <v/>
      </c>
      <c r="G730">
        <f>IF(F730="",0,1)</f>
        <v/>
      </c>
      <c r="H730" s="29">
        <f>IF(F730="","",INDEX(Deals!$E$2:$E$843,F730))</f>
        <v/>
      </c>
      <c r="I730">
        <f>IF(F730="","",INDEX(Deals!$D$2:$D$843,F730))</f>
        <v/>
      </c>
      <c r="J730">
        <f>IF(F730="","",INT(H730)-B730)</f>
        <v/>
      </c>
      <c r="K730">
        <f>IF(B730&gt;=Settings!$C$5,1,0)</f>
        <v/>
      </c>
    </row>
    <row r="731">
      <c r="A731" t="inlineStr">
        <is>
          <t>437d2c4de406d5e46cb45e9802811f31</t>
        </is>
      </c>
      <c r="B731" s="29" t="n">
        <v>43113</v>
      </c>
      <c r="C731" t="inlineStr">
        <is>
          <t>2018-01</t>
        </is>
      </c>
      <c r="D731" t="inlineStr">
        <is>
          <t>d83b0d0e48c8447d1d5507a44027a955</t>
        </is>
      </c>
      <c r="E731" t="inlineStr">
        <is>
          <t>paid_search</t>
        </is>
      </c>
      <c r="F731">
        <f>IFERROR(MATCH(A731,Deals!$A$2:$A$843,0),"")</f>
        <v/>
      </c>
      <c r="G731">
        <f>IF(F731="",0,1)</f>
        <v/>
      </c>
      <c r="H731" s="29">
        <f>IF(F731="","",INDEX(Deals!$E$2:$E$843,F731))</f>
        <v/>
      </c>
      <c r="I731">
        <f>IF(F731="","",INDEX(Deals!$D$2:$D$843,F731))</f>
        <v/>
      </c>
      <c r="J731">
        <f>IF(F731="","",INT(H731)-B731)</f>
        <v/>
      </c>
      <c r="K731">
        <f>IF(B731&gt;=Settings!$C$5,1,0)</f>
        <v/>
      </c>
    </row>
    <row r="732">
      <c r="A732" t="inlineStr">
        <is>
          <t>a83ba92c936f454cd9f11ef686461365</t>
        </is>
      </c>
      <c r="B732" s="29" t="n">
        <v>43227</v>
      </c>
      <c r="C732" t="inlineStr">
        <is>
          <t>2018-05</t>
        </is>
      </c>
      <c r="D732" t="inlineStr">
        <is>
          <t>a7982125ff7aa3b2054c6e44f9d28522</t>
        </is>
      </c>
      <c r="E732" t="inlineStr">
        <is>
          <t>organic_search</t>
        </is>
      </c>
      <c r="F732">
        <f>IFERROR(MATCH(A732,Deals!$A$2:$A$843,0),"")</f>
        <v/>
      </c>
      <c r="G732">
        <f>IF(F732="",0,1)</f>
        <v/>
      </c>
      <c r="H732" s="29">
        <f>IF(F732="","",INDEX(Deals!$E$2:$E$843,F732))</f>
        <v/>
      </c>
      <c r="I732">
        <f>IF(F732="","",INDEX(Deals!$D$2:$D$843,F732))</f>
        <v/>
      </c>
      <c r="J732">
        <f>IF(F732="","",INT(H732)-B732)</f>
        <v/>
      </c>
      <c r="K732">
        <f>IF(B732&gt;=Settings!$C$5,1,0)</f>
        <v/>
      </c>
    </row>
    <row r="733">
      <c r="A733" t="inlineStr">
        <is>
          <t>5698620bc382e43590e89eefc3097d3e</t>
        </is>
      </c>
      <c r="B733" s="29" t="n">
        <v>43041</v>
      </c>
      <c r="C733" t="inlineStr">
        <is>
          <t>2017-11</t>
        </is>
      </c>
      <c r="D733" t="inlineStr">
        <is>
          <t>21a104c3279681d9856b8a48723c4fee</t>
        </is>
      </c>
      <c r="E733" t="inlineStr">
        <is>
          <t>unknown</t>
        </is>
      </c>
      <c r="F733">
        <f>IFERROR(MATCH(A733,Deals!$A$2:$A$843,0),"")</f>
        <v/>
      </c>
      <c r="G733">
        <f>IF(F733="",0,1)</f>
        <v/>
      </c>
      <c r="H733" s="29">
        <f>IF(F733="","",INDEX(Deals!$E$2:$E$843,F733))</f>
        <v/>
      </c>
      <c r="I733">
        <f>IF(F733="","",INDEX(Deals!$D$2:$D$843,F733))</f>
        <v/>
      </c>
      <c r="J733">
        <f>IF(F733="","",INT(H733)-B733)</f>
        <v/>
      </c>
      <c r="K733">
        <f>IF(B733&gt;=Settings!$C$5,1,0)</f>
        <v/>
      </c>
    </row>
    <row r="734">
      <c r="A734" t="inlineStr">
        <is>
          <t>26a9c7ab6107b61166fbbc7e64756a1f</t>
        </is>
      </c>
      <c r="B734" s="29" t="n">
        <v>43168</v>
      </c>
      <c r="C734" t="inlineStr">
        <is>
          <t>2018-03</t>
        </is>
      </c>
      <c r="D734" t="inlineStr">
        <is>
          <t>65d9f9d71e562365e8b44037c2888d98</t>
        </is>
      </c>
      <c r="E734" t="inlineStr">
        <is>
          <t>paid_search</t>
        </is>
      </c>
      <c r="F734">
        <f>IFERROR(MATCH(A734,Deals!$A$2:$A$843,0),"")</f>
        <v/>
      </c>
      <c r="G734">
        <f>IF(F734="",0,1)</f>
        <v/>
      </c>
      <c r="H734" s="29">
        <f>IF(F734="","",INDEX(Deals!$E$2:$E$843,F734))</f>
        <v/>
      </c>
      <c r="I734">
        <f>IF(F734="","",INDEX(Deals!$D$2:$D$843,F734))</f>
        <v/>
      </c>
      <c r="J734">
        <f>IF(F734="","",INT(H734)-B734)</f>
        <v/>
      </c>
      <c r="K734">
        <f>IF(B734&gt;=Settings!$C$5,1,0)</f>
        <v/>
      </c>
    </row>
    <row r="735">
      <c r="A735" t="inlineStr">
        <is>
          <t>83c46dd0894e3f13d449e8bc543a4a37</t>
        </is>
      </c>
      <c r="B735" s="29" t="n">
        <v>43167</v>
      </c>
      <c r="C735" t="inlineStr">
        <is>
          <t>2018-03</t>
        </is>
      </c>
      <c r="D735" t="inlineStr">
        <is>
          <t>40dec9f3d5259a3d2dbcdab2114fae47</t>
        </is>
      </c>
      <c r="E735" t="inlineStr">
        <is>
          <t>paid_search</t>
        </is>
      </c>
      <c r="F735">
        <f>IFERROR(MATCH(A735,Deals!$A$2:$A$843,0),"")</f>
        <v/>
      </c>
      <c r="G735">
        <f>IF(F735="",0,1)</f>
        <v/>
      </c>
      <c r="H735" s="29">
        <f>IF(F735="","",INDEX(Deals!$E$2:$E$843,F735))</f>
        <v/>
      </c>
      <c r="I735">
        <f>IF(F735="","",INDEX(Deals!$D$2:$D$843,F735))</f>
        <v/>
      </c>
      <c r="J735">
        <f>IF(F735="","",INT(H735)-B735)</f>
        <v/>
      </c>
      <c r="K735">
        <f>IF(B735&gt;=Settings!$C$5,1,0)</f>
        <v/>
      </c>
    </row>
    <row r="736">
      <c r="A736" t="inlineStr">
        <is>
          <t>328170a8c1c0460e8710bd970dd0ec4f</t>
        </is>
      </c>
      <c r="B736" s="29" t="n">
        <v>43161</v>
      </c>
      <c r="C736" t="inlineStr">
        <is>
          <t>2018-03</t>
        </is>
      </c>
      <c r="D736" t="inlineStr">
        <is>
          <t>65d9f9d71e562365e8b44037c2888d98</t>
        </is>
      </c>
      <c r="E736" t="inlineStr">
        <is>
          <t>paid_search</t>
        </is>
      </c>
      <c r="F736">
        <f>IFERROR(MATCH(A736,Deals!$A$2:$A$843,0),"")</f>
        <v/>
      </c>
      <c r="G736">
        <f>IF(F736="",0,1)</f>
        <v/>
      </c>
      <c r="H736" s="29">
        <f>IF(F736="","",INDEX(Deals!$E$2:$E$843,F736))</f>
        <v/>
      </c>
      <c r="I736">
        <f>IF(F736="","",INDEX(Deals!$D$2:$D$843,F736))</f>
        <v/>
      </c>
      <c r="J736">
        <f>IF(F736="","",INT(H736)-B736)</f>
        <v/>
      </c>
      <c r="K736">
        <f>IF(B736&gt;=Settings!$C$5,1,0)</f>
        <v/>
      </c>
    </row>
    <row r="737">
      <c r="A737" t="inlineStr">
        <is>
          <t>3a019cd8c7a1346a415470e8717f0da2</t>
        </is>
      </c>
      <c r="B737" s="29" t="n">
        <v>43241</v>
      </c>
      <c r="C737" t="inlineStr">
        <is>
          <t>2018-05</t>
        </is>
      </c>
      <c r="D737" t="inlineStr">
        <is>
          <t>431a558885d03bf98bc3747f78cdfab7</t>
        </is>
      </c>
      <c r="E737" t="inlineStr">
        <is>
          <t>organic_search</t>
        </is>
      </c>
      <c r="F737">
        <f>IFERROR(MATCH(A737,Deals!$A$2:$A$843,0),"")</f>
        <v/>
      </c>
      <c r="G737">
        <f>IF(F737="",0,1)</f>
        <v/>
      </c>
      <c r="H737" s="29">
        <f>IF(F737="","",INDEX(Deals!$E$2:$E$843,F737))</f>
        <v/>
      </c>
      <c r="I737">
        <f>IF(F737="","",INDEX(Deals!$D$2:$D$843,F737))</f>
        <v/>
      </c>
      <c r="J737">
        <f>IF(F737="","",INT(H737)-B737)</f>
        <v/>
      </c>
      <c r="K737">
        <f>IF(B737&gt;=Settings!$C$5,1,0)</f>
        <v/>
      </c>
    </row>
    <row r="738">
      <c r="A738" t="inlineStr">
        <is>
          <t>85410779053820c804ddc69ae4a48d9d</t>
        </is>
      </c>
      <c r="B738" s="29" t="n">
        <v>43192</v>
      </c>
      <c r="C738" t="inlineStr">
        <is>
          <t>2018-04</t>
        </is>
      </c>
      <c r="D738" t="inlineStr">
        <is>
          <t>8edd4451e41e482b32035dd8e8400ff4</t>
        </is>
      </c>
      <c r="E738" t="inlineStr">
        <is>
          <t>(missing)</t>
        </is>
      </c>
      <c r="F738">
        <f>IFERROR(MATCH(A738,Deals!$A$2:$A$843,0),"")</f>
        <v/>
      </c>
      <c r="G738">
        <f>IF(F738="",0,1)</f>
        <v/>
      </c>
      <c r="H738" s="29">
        <f>IF(F738="","",INDEX(Deals!$E$2:$E$843,F738))</f>
        <v/>
      </c>
      <c r="I738">
        <f>IF(F738="","",INDEX(Deals!$D$2:$D$843,F738))</f>
        <v/>
      </c>
      <c r="J738">
        <f>IF(F738="","",INT(H738)-B738)</f>
        <v/>
      </c>
      <c r="K738">
        <f>IF(B738&gt;=Settings!$C$5,1,0)</f>
        <v/>
      </c>
    </row>
    <row r="739">
      <c r="A739" t="inlineStr">
        <is>
          <t>524e7d08e755cc664226b3d4b8660cd7</t>
        </is>
      </c>
      <c r="B739" s="29" t="n">
        <v>42989</v>
      </c>
      <c r="C739" t="inlineStr">
        <is>
          <t>2017-09</t>
        </is>
      </c>
      <c r="D739" t="inlineStr">
        <is>
          <t>6323b8a5b98bfda127cb1cdfd4a40fbb</t>
        </is>
      </c>
      <c r="E739" t="inlineStr">
        <is>
          <t>email</t>
        </is>
      </c>
      <c r="F739">
        <f>IFERROR(MATCH(A739,Deals!$A$2:$A$843,0),"")</f>
        <v/>
      </c>
      <c r="G739">
        <f>IF(F739="",0,1)</f>
        <v/>
      </c>
      <c r="H739" s="29">
        <f>IF(F739="","",INDEX(Deals!$E$2:$E$843,F739))</f>
        <v/>
      </c>
      <c r="I739">
        <f>IF(F739="","",INDEX(Deals!$D$2:$D$843,F739))</f>
        <v/>
      </c>
      <c r="J739">
        <f>IF(F739="","",INT(H739)-B739)</f>
        <v/>
      </c>
      <c r="K739">
        <f>IF(B739&gt;=Settings!$C$5,1,0)</f>
        <v/>
      </c>
    </row>
    <row r="740">
      <c r="A740" t="inlineStr">
        <is>
          <t>9926b3ed9e0bc20b2ed7f32711b8b45f</t>
        </is>
      </c>
      <c r="B740" s="29" t="n">
        <v>43164</v>
      </c>
      <c r="C740" t="inlineStr">
        <is>
          <t>2018-03</t>
        </is>
      </c>
      <c r="D740" t="inlineStr">
        <is>
          <t>88740e65d5d6b056e0cda098e1ea6313</t>
        </is>
      </c>
      <c r="E740" t="inlineStr">
        <is>
          <t>social</t>
        </is>
      </c>
      <c r="F740">
        <f>IFERROR(MATCH(A740,Deals!$A$2:$A$843,0),"")</f>
        <v/>
      </c>
      <c r="G740">
        <f>IF(F740="",0,1)</f>
        <v/>
      </c>
      <c r="H740" s="29">
        <f>IF(F740="","",INDEX(Deals!$E$2:$E$843,F740))</f>
        <v/>
      </c>
      <c r="I740">
        <f>IF(F740="","",INDEX(Deals!$D$2:$D$843,F740))</f>
        <v/>
      </c>
      <c r="J740">
        <f>IF(F740="","",INT(H740)-B740)</f>
        <v/>
      </c>
      <c r="K740">
        <f>IF(B740&gt;=Settings!$C$5,1,0)</f>
        <v/>
      </c>
    </row>
    <row r="741">
      <c r="A741" t="inlineStr">
        <is>
          <t>6f3d1557dc7fdf6f8ea0ca4a0cc502d5</t>
        </is>
      </c>
      <c r="B741" s="29" t="n">
        <v>43245</v>
      </c>
      <c r="C741" t="inlineStr">
        <is>
          <t>2018-05</t>
        </is>
      </c>
      <c r="D741" t="inlineStr">
        <is>
          <t>ce1a65abd0973638f1c887a6efcfa82d</t>
        </is>
      </c>
      <c r="E741" t="inlineStr">
        <is>
          <t>paid_search</t>
        </is>
      </c>
      <c r="F741">
        <f>IFERROR(MATCH(A741,Deals!$A$2:$A$843,0),"")</f>
        <v/>
      </c>
      <c r="G741">
        <f>IF(F741="",0,1)</f>
        <v/>
      </c>
      <c r="H741" s="29">
        <f>IF(F741="","",INDEX(Deals!$E$2:$E$843,F741))</f>
        <v/>
      </c>
      <c r="I741">
        <f>IF(F741="","",INDEX(Deals!$D$2:$D$843,F741))</f>
        <v/>
      </c>
      <c r="J741">
        <f>IF(F741="","",INT(H741)-B741)</f>
        <v/>
      </c>
      <c r="K741">
        <f>IF(B741&gt;=Settings!$C$5,1,0)</f>
        <v/>
      </c>
    </row>
    <row r="742">
      <c r="A742" t="inlineStr">
        <is>
          <t>bcffdc3d0dc34e21090d052d44e3eb2d</t>
        </is>
      </c>
      <c r="B742" s="29" t="n">
        <v>43053</v>
      </c>
      <c r="C742" t="inlineStr">
        <is>
          <t>2017-11</t>
        </is>
      </c>
      <c r="D742" t="inlineStr">
        <is>
          <t>f03e241af08912ba7ffb65d69b0eb4d9</t>
        </is>
      </c>
      <c r="E742" t="inlineStr">
        <is>
          <t>organic_search</t>
        </is>
      </c>
      <c r="F742">
        <f>IFERROR(MATCH(A742,Deals!$A$2:$A$843,0),"")</f>
        <v/>
      </c>
      <c r="G742">
        <f>IF(F742="",0,1)</f>
        <v/>
      </c>
      <c r="H742" s="29">
        <f>IF(F742="","",INDEX(Deals!$E$2:$E$843,F742))</f>
        <v/>
      </c>
      <c r="I742">
        <f>IF(F742="","",INDEX(Deals!$D$2:$D$843,F742))</f>
        <v/>
      </c>
      <c r="J742">
        <f>IF(F742="","",INT(H742)-B742)</f>
        <v/>
      </c>
      <c r="K742">
        <f>IF(B742&gt;=Settings!$C$5,1,0)</f>
        <v/>
      </c>
    </row>
    <row r="743">
      <c r="A743" t="inlineStr">
        <is>
          <t>de3236d15ff4ded7ef475b2f04b0bba3</t>
        </is>
      </c>
      <c r="B743" s="29" t="n">
        <v>43125</v>
      </c>
      <c r="C743" t="inlineStr">
        <is>
          <t>2018-01</t>
        </is>
      </c>
      <c r="D743" t="inlineStr">
        <is>
          <t>ce1a65abd0973638f1c887a6efcfa82d</t>
        </is>
      </c>
      <c r="E743" t="inlineStr">
        <is>
          <t>organic_search</t>
        </is>
      </c>
      <c r="F743">
        <f>IFERROR(MATCH(A743,Deals!$A$2:$A$843,0),"")</f>
        <v/>
      </c>
      <c r="G743">
        <f>IF(F743="",0,1)</f>
        <v/>
      </c>
      <c r="H743" s="29">
        <f>IF(F743="","",INDEX(Deals!$E$2:$E$843,F743))</f>
        <v/>
      </c>
      <c r="I743">
        <f>IF(F743="","",INDEX(Deals!$D$2:$D$843,F743))</f>
        <v/>
      </c>
      <c r="J743">
        <f>IF(F743="","",INT(H743)-B743)</f>
        <v/>
      </c>
      <c r="K743">
        <f>IF(B743&gt;=Settings!$C$5,1,0)</f>
        <v/>
      </c>
    </row>
    <row r="744">
      <c r="A744" t="inlineStr">
        <is>
          <t>f32fabfd1b93d08674ebf1784ea8f3fa</t>
        </is>
      </c>
      <c r="B744" s="29" t="n">
        <v>43003</v>
      </c>
      <c r="C744" t="inlineStr">
        <is>
          <t>2017-09</t>
        </is>
      </c>
      <c r="D744" t="inlineStr">
        <is>
          <t>ef0b482996664cc1107b9051efd3ca84</t>
        </is>
      </c>
      <c r="E744" t="inlineStr">
        <is>
          <t>organic_search</t>
        </is>
      </c>
      <c r="F744">
        <f>IFERROR(MATCH(A744,Deals!$A$2:$A$843,0),"")</f>
        <v/>
      </c>
      <c r="G744">
        <f>IF(F744="",0,1)</f>
        <v/>
      </c>
      <c r="H744" s="29">
        <f>IF(F744="","",INDEX(Deals!$E$2:$E$843,F744))</f>
        <v/>
      </c>
      <c r="I744">
        <f>IF(F744="","",INDEX(Deals!$D$2:$D$843,F744))</f>
        <v/>
      </c>
      <c r="J744">
        <f>IF(F744="","",INT(H744)-B744)</f>
        <v/>
      </c>
      <c r="K744">
        <f>IF(B744&gt;=Settings!$C$5,1,0)</f>
        <v/>
      </c>
    </row>
    <row r="745">
      <c r="A745" t="inlineStr">
        <is>
          <t>86f7d456aa5848c284f7940bdecdef5d</t>
        </is>
      </c>
      <c r="B745" s="29" t="n">
        <v>43223</v>
      </c>
      <c r="C745" t="inlineStr">
        <is>
          <t>2018-05</t>
        </is>
      </c>
      <c r="D745" t="inlineStr">
        <is>
          <t>9fa37f5177115156b1814ffc237402a6</t>
        </is>
      </c>
      <c r="E745" t="inlineStr">
        <is>
          <t>paid_search</t>
        </is>
      </c>
      <c r="F745">
        <f>IFERROR(MATCH(A745,Deals!$A$2:$A$843,0),"")</f>
        <v/>
      </c>
      <c r="G745">
        <f>IF(F745="",0,1)</f>
        <v/>
      </c>
      <c r="H745" s="29">
        <f>IF(F745="","",INDEX(Deals!$E$2:$E$843,F745))</f>
        <v/>
      </c>
      <c r="I745">
        <f>IF(F745="","",INDEX(Deals!$D$2:$D$843,F745))</f>
        <v/>
      </c>
      <c r="J745">
        <f>IF(F745="","",INT(H745)-B745)</f>
        <v/>
      </c>
      <c r="K745">
        <f>IF(B745&gt;=Settings!$C$5,1,0)</f>
        <v/>
      </c>
    </row>
    <row r="746">
      <c r="A746" t="inlineStr">
        <is>
          <t>5bb3c32aa0d036401034b38ce37cd827</t>
        </is>
      </c>
      <c r="B746" s="29" t="n">
        <v>43222</v>
      </c>
      <c r="C746" t="inlineStr">
        <is>
          <t>2018-05</t>
        </is>
      </c>
      <c r="D746" t="inlineStr">
        <is>
          <t>2f08471dfb83baef522f952438a36f6e</t>
        </is>
      </c>
      <c r="E746" t="inlineStr">
        <is>
          <t>organic_search</t>
        </is>
      </c>
      <c r="F746">
        <f>IFERROR(MATCH(A746,Deals!$A$2:$A$843,0),"")</f>
        <v/>
      </c>
      <c r="G746">
        <f>IF(F746="",0,1)</f>
        <v/>
      </c>
      <c r="H746" s="29">
        <f>IF(F746="","",INDEX(Deals!$E$2:$E$843,F746))</f>
        <v/>
      </c>
      <c r="I746">
        <f>IF(F746="","",INDEX(Deals!$D$2:$D$843,F746))</f>
        <v/>
      </c>
      <c r="J746">
        <f>IF(F746="","",INT(H746)-B746)</f>
        <v/>
      </c>
      <c r="K746">
        <f>IF(B746&gt;=Settings!$C$5,1,0)</f>
        <v/>
      </c>
    </row>
    <row r="747">
      <c r="A747" t="inlineStr">
        <is>
          <t>c328a6a2f28f2a749d76855533a60490</t>
        </is>
      </c>
      <c r="B747" s="29" t="n">
        <v>43249</v>
      </c>
      <c r="C747" t="inlineStr">
        <is>
          <t>2018-05</t>
        </is>
      </c>
      <c r="D747" t="inlineStr">
        <is>
          <t>b76ef37428e6799c421989521c0e5077</t>
        </is>
      </c>
      <c r="E747" t="inlineStr">
        <is>
          <t>unknown</t>
        </is>
      </c>
      <c r="F747">
        <f>IFERROR(MATCH(A747,Deals!$A$2:$A$843,0),"")</f>
        <v/>
      </c>
      <c r="G747">
        <f>IF(F747="",0,1)</f>
        <v/>
      </c>
      <c r="H747" s="29">
        <f>IF(F747="","",INDEX(Deals!$E$2:$E$843,F747))</f>
        <v/>
      </c>
      <c r="I747">
        <f>IF(F747="","",INDEX(Deals!$D$2:$D$843,F747))</f>
        <v/>
      </c>
      <c r="J747">
        <f>IF(F747="","",INT(H747)-B747)</f>
        <v/>
      </c>
      <c r="K747">
        <f>IF(B747&gt;=Settings!$C$5,1,0)</f>
        <v/>
      </c>
    </row>
    <row r="748">
      <c r="A748" t="inlineStr">
        <is>
          <t>f804411d398dd198bf24e255a639e4c4</t>
        </is>
      </c>
      <c r="B748" s="29" t="n">
        <v>43026</v>
      </c>
      <c r="C748" t="inlineStr">
        <is>
          <t>2017-10</t>
        </is>
      </c>
      <c r="D748" t="inlineStr">
        <is>
          <t>c05f0fd41e79d7811221253e0d4eadc8</t>
        </is>
      </c>
      <c r="E748" t="inlineStr">
        <is>
          <t>organic_search</t>
        </is>
      </c>
      <c r="F748">
        <f>IFERROR(MATCH(A748,Deals!$A$2:$A$843,0),"")</f>
        <v/>
      </c>
      <c r="G748">
        <f>IF(F748="",0,1)</f>
        <v/>
      </c>
      <c r="H748" s="29">
        <f>IF(F748="","",INDEX(Deals!$E$2:$E$843,F748))</f>
        <v/>
      </c>
      <c r="I748">
        <f>IF(F748="","",INDEX(Deals!$D$2:$D$843,F748))</f>
        <v/>
      </c>
      <c r="J748">
        <f>IF(F748="","",INT(H748)-B748)</f>
        <v/>
      </c>
      <c r="K748">
        <f>IF(B748&gt;=Settings!$C$5,1,0)</f>
        <v/>
      </c>
    </row>
    <row r="749">
      <c r="A749" t="inlineStr">
        <is>
          <t>f2b08f23d02d5fff247a41982d44f02e</t>
        </is>
      </c>
      <c r="B749" s="29" t="n">
        <v>43244</v>
      </c>
      <c r="C749" t="inlineStr">
        <is>
          <t>2018-05</t>
        </is>
      </c>
      <c r="D749" t="inlineStr">
        <is>
          <t>58326e62183c14b0c03085c33b9fdc44</t>
        </is>
      </c>
      <c r="E749" t="inlineStr">
        <is>
          <t>social</t>
        </is>
      </c>
      <c r="F749">
        <f>IFERROR(MATCH(A749,Deals!$A$2:$A$843,0),"")</f>
        <v/>
      </c>
      <c r="G749">
        <f>IF(F749="",0,1)</f>
        <v/>
      </c>
      <c r="H749" s="29">
        <f>IF(F749="","",INDEX(Deals!$E$2:$E$843,F749))</f>
        <v/>
      </c>
      <c r="I749">
        <f>IF(F749="","",INDEX(Deals!$D$2:$D$843,F749))</f>
        <v/>
      </c>
      <c r="J749">
        <f>IF(F749="","",INT(H749)-B749)</f>
        <v/>
      </c>
      <c r="K749">
        <f>IF(B749&gt;=Settings!$C$5,1,0)</f>
        <v/>
      </c>
    </row>
    <row r="750">
      <c r="A750" t="inlineStr">
        <is>
          <t>adf61af6bf17e13d368bb0c47452b4f7</t>
        </is>
      </c>
      <c r="B750" s="29" t="n">
        <v>43222</v>
      </c>
      <c r="C750" t="inlineStr">
        <is>
          <t>2018-05</t>
        </is>
      </c>
      <c r="D750" t="inlineStr">
        <is>
          <t>0218f6be0b76aca72ab4d00ee9e8cf10</t>
        </is>
      </c>
      <c r="E750" t="inlineStr">
        <is>
          <t>organic_search</t>
        </is>
      </c>
      <c r="F750">
        <f>IFERROR(MATCH(A750,Deals!$A$2:$A$843,0),"")</f>
        <v/>
      </c>
      <c r="G750">
        <f>IF(F750="",0,1)</f>
        <v/>
      </c>
      <c r="H750" s="29">
        <f>IF(F750="","",INDEX(Deals!$E$2:$E$843,F750))</f>
        <v/>
      </c>
      <c r="I750">
        <f>IF(F750="","",INDEX(Deals!$D$2:$D$843,F750))</f>
        <v/>
      </c>
      <c r="J750">
        <f>IF(F750="","",INT(H750)-B750)</f>
        <v/>
      </c>
      <c r="K750">
        <f>IF(B750&gt;=Settings!$C$5,1,0)</f>
        <v/>
      </c>
    </row>
    <row r="751">
      <c r="A751" t="inlineStr">
        <is>
          <t>29b97ecc5839e61efb7bdc25e979d8c6</t>
        </is>
      </c>
      <c r="B751" s="29" t="n">
        <v>43194</v>
      </c>
      <c r="C751" t="inlineStr">
        <is>
          <t>2018-04</t>
        </is>
      </c>
      <c r="D751" t="inlineStr">
        <is>
          <t>58326e62183c14b0c03085c33b9fdc44</t>
        </is>
      </c>
      <c r="E751" t="inlineStr">
        <is>
          <t>social</t>
        </is>
      </c>
      <c r="F751">
        <f>IFERROR(MATCH(A751,Deals!$A$2:$A$843,0),"")</f>
        <v/>
      </c>
      <c r="G751">
        <f>IF(F751="",0,1)</f>
        <v/>
      </c>
      <c r="H751" s="29">
        <f>IF(F751="","",INDEX(Deals!$E$2:$E$843,F751))</f>
        <v/>
      </c>
      <c r="I751">
        <f>IF(F751="","",INDEX(Deals!$D$2:$D$843,F751))</f>
        <v/>
      </c>
      <c r="J751">
        <f>IF(F751="","",INT(H751)-B751)</f>
        <v/>
      </c>
      <c r="K751">
        <f>IF(B751&gt;=Settings!$C$5,1,0)</f>
        <v/>
      </c>
    </row>
    <row r="752">
      <c r="A752" t="inlineStr">
        <is>
          <t>d95a83ec34cfd0b4f0bcac275a26913a</t>
        </is>
      </c>
      <c r="B752" s="29" t="n">
        <v>43154</v>
      </c>
      <c r="C752" t="inlineStr">
        <is>
          <t>2018-02</t>
        </is>
      </c>
      <c r="D752" t="inlineStr">
        <is>
          <t>e492ee5eaf1697716985cc6f33f9cd9b</t>
        </is>
      </c>
      <c r="E752" t="inlineStr">
        <is>
          <t>unknown</t>
        </is>
      </c>
      <c r="F752">
        <f>IFERROR(MATCH(A752,Deals!$A$2:$A$843,0),"")</f>
        <v/>
      </c>
      <c r="G752">
        <f>IF(F752="",0,1)</f>
        <v/>
      </c>
      <c r="H752" s="29">
        <f>IF(F752="","",INDEX(Deals!$E$2:$E$843,F752))</f>
        <v/>
      </c>
      <c r="I752">
        <f>IF(F752="","",INDEX(Deals!$D$2:$D$843,F752))</f>
        <v/>
      </c>
      <c r="J752">
        <f>IF(F752="","",INT(H752)-B752)</f>
        <v/>
      </c>
      <c r="K752">
        <f>IF(B752&gt;=Settings!$C$5,1,0)</f>
        <v/>
      </c>
    </row>
    <row r="753">
      <c r="A753" t="inlineStr">
        <is>
          <t>c5e0299714bda49d29f444c4ac527453</t>
        </is>
      </c>
      <c r="B753" s="29" t="n">
        <v>43062</v>
      </c>
      <c r="C753" t="inlineStr">
        <is>
          <t>2017-11</t>
        </is>
      </c>
      <c r="D753" t="inlineStr">
        <is>
          <t>f017be4dbf86243af5c1ebed0cff36a2</t>
        </is>
      </c>
      <c r="E753" t="inlineStr">
        <is>
          <t>organic_search</t>
        </is>
      </c>
      <c r="F753">
        <f>IFERROR(MATCH(A753,Deals!$A$2:$A$843,0),"")</f>
        <v/>
      </c>
      <c r="G753">
        <f>IF(F753="",0,1)</f>
        <v/>
      </c>
      <c r="H753" s="29">
        <f>IF(F753="","",INDEX(Deals!$E$2:$E$843,F753))</f>
        <v/>
      </c>
      <c r="I753">
        <f>IF(F753="","",INDEX(Deals!$D$2:$D$843,F753))</f>
        <v/>
      </c>
      <c r="J753">
        <f>IF(F753="","",INT(H753)-B753)</f>
        <v/>
      </c>
      <c r="K753">
        <f>IF(B753&gt;=Settings!$C$5,1,0)</f>
        <v/>
      </c>
    </row>
    <row r="754">
      <c r="A754" t="inlineStr">
        <is>
          <t>c51bf93c175bd56cd3b60081377ab356</t>
        </is>
      </c>
      <c r="B754" s="29" t="n">
        <v>43235</v>
      </c>
      <c r="C754" t="inlineStr">
        <is>
          <t>2018-05</t>
        </is>
      </c>
      <c r="D754" t="inlineStr">
        <is>
          <t>e492ee5eaf1697716985cc6f33f9cd9b</t>
        </is>
      </c>
      <c r="E754" t="inlineStr">
        <is>
          <t>email</t>
        </is>
      </c>
      <c r="F754">
        <f>IFERROR(MATCH(A754,Deals!$A$2:$A$843,0),"")</f>
        <v/>
      </c>
      <c r="G754">
        <f>IF(F754="",0,1)</f>
        <v/>
      </c>
      <c r="H754" s="29">
        <f>IF(F754="","",INDEX(Deals!$E$2:$E$843,F754))</f>
        <v/>
      </c>
      <c r="I754">
        <f>IF(F754="","",INDEX(Deals!$D$2:$D$843,F754))</f>
        <v/>
      </c>
      <c r="J754">
        <f>IF(F754="","",INT(H754)-B754)</f>
        <v/>
      </c>
      <c r="K754">
        <f>IF(B754&gt;=Settings!$C$5,1,0)</f>
        <v/>
      </c>
    </row>
    <row r="755">
      <c r="A755" t="inlineStr">
        <is>
          <t>ea9bfa88b4322f8cc046e06cfd8c8856</t>
        </is>
      </c>
      <c r="B755" s="29" t="n">
        <v>43222</v>
      </c>
      <c r="C755" t="inlineStr">
        <is>
          <t>2018-05</t>
        </is>
      </c>
      <c r="D755" t="inlineStr">
        <is>
          <t>30534107aa0013db92899c96a1017d0b</t>
        </is>
      </c>
      <c r="E755" t="inlineStr">
        <is>
          <t>social</t>
        </is>
      </c>
      <c r="F755">
        <f>IFERROR(MATCH(A755,Deals!$A$2:$A$843,0),"")</f>
        <v/>
      </c>
      <c r="G755">
        <f>IF(F755="",0,1)</f>
        <v/>
      </c>
      <c r="H755" s="29">
        <f>IF(F755="","",INDEX(Deals!$E$2:$E$843,F755))</f>
        <v/>
      </c>
      <c r="I755">
        <f>IF(F755="","",INDEX(Deals!$D$2:$D$843,F755))</f>
        <v/>
      </c>
      <c r="J755">
        <f>IF(F755="","",INT(H755)-B755)</f>
        <v/>
      </c>
      <c r="K755">
        <f>IF(B755&gt;=Settings!$C$5,1,0)</f>
        <v/>
      </c>
    </row>
    <row r="756">
      <c r="A756" t="inlineStr">
        <is>
          <t>f486fd86b3fdbf6f4f365d49c2bbe29a</t>
        </is>
      </c>
      <c r="B756" s="29" t="n">
        <v>43198</v>
      </c>
      <c r="C756" t="inlineStr">
        <is>
          <t>2018-04</t>
        </is>
      </c>
      <c r="D756" t="inlineStr">
        <is>
          <t>22c29808c4f815213303f8933030604c</t>
        </is>
      </c>
      <c r="E756" t="inlineStr">
        <is>
          <t>organic_search</t>
        </is>
      </c>
      <c r="F756">
        <f>IFERROR(MATCH(A756,Deals!$A$2:$A$843,0),"")</f>
        <v/>
      </c>
      <c r="G756">
        <f>IF(F756="",0,1)</f>
        <v/>
      </c>
      <c r="H756" s="29">
        <f>IF(F756="","",INDEX(Deals!$E$2:$E$843,F756))</f>
        <v/>
      </c>
      <c r="I756">
        <f>IF(F756="","",INDEX(Deals!$D$2:$D$843,F756))</f>
        <v/>
      </c>
      <c r="J756">
        <f>IF(F756="","",INT(H756)-B756)</f>
        <v/>
      </c>
      <c r="K756">
        <f>IF(B756&gt;=Settings!$C$5,1,0)</f>
        <v/>
      </c>
    </row>
    <row r="757">
      <c r="A757" t="inlineStr">
        <is>
          <t>c73758de686279f745639eb7f81f6c51</t>
        </is>
      </c>
      <c r="B757" s="29" t="n">
        <v>43164</v>
      </c>
      <c r="C757" t="inlineStr">
        <is>
          <t>2018-03</t>
        </is>
      </c>
      <c r="D757" t="inlineStr">
        <is>
          <t>c39dcc27f640ca6303e0b82341c871c8</t>
        </is>
      </c>
      <c r="E757" t="inlineStr">
        <is>
          <t>paid_search</t>
        </is>
      </c>
      <c r="F757">
        <f>IFERROR(MATCH(A757,Deals!$A$2:$A$843,0),"")</f>
        <v/>
      </c>
      <c r="G757">
        <f>IF(F757="",0,1)</f>
        <v/>
      </c>
      <c r="H757" s="29">
        <f>IF(F757="","",INDEX(Deals!$E$2:$E$843,F757))</f>
        <v/>
      </c>
      <c r="I757">
        <f>IF(F757="","",INDEX(Deals!$D$2:$D$843,F757))</f>
        <v/>
      </c>
      <c r="J757">
        <f>IF(F757="","",INT(H757)-B757)</f>
        <v/>
      </c>
      <c r="K757">
        <f>IF(B757&gt;=Settings!$C$5,1,0)</f>
        <v/>
      </c>
    </row>
    <row r="758">
      <c r="A758" t="inlineStr">
        <is>
          <t>a9eea24ba5eb9664c1341d21cf78476e</t>
        </is>
      </c>
      <c r="B758" s="29" t="n">
        <v>43045</v>
      </c>
      <c r="C758" t="inlineStr">
        <is>
          <t>2017-11</t>
        </is>
      </c>
      <c r="D758" t="inlineStr">
        <is>
          <t>b76ef37428e6799c421989521c0e5077</t>
        </is>
      </c>
      <c r="E758" t="inlineStr">
        <is>
          <t>unknown</t>
        </is>
      </c>
      <c r="F758">
        <f>IFERROR(MATCH(A758,Deals!$A$2:$A$843,0),"")</f>
        <v/>
      </c>
      <c r="G758">
        <f>IF(F758="",0,1)</f>
        <v/>
      </c>
      <c r="H758" s="29">
        <f>IF(F758="","",INDEX(Deals!$E$2:$E$843,F758))</f>
        <v/>
      </c>
      <c r="I758">
        <f>IF(F758="","",INDEX(Deals!$D$2:$D$843,F758))</f>
        <v/>
      </c>
      <c r="J758">
        <f>IF(F758="","",INT(H758)-B758)</f>
        <v/>
      </c>
      <c r="K758">
        <f>IF(B758&gt;=Settings!$C$5,1,0)</f>
        <v/>
      </c>
    </row>
    <row r="759">
      <c r="A759" t="inlineStr">
        <is>
          <t>8f921645a776c79989438af2d2808085</t>
        </is>
      </c>
      <c r="B759" s="29" t="n">
        <v>43174</v>
      </c>
      <c r="C759" t="inlineStr">
        <is>
          <t>2018-03</t>
        </is>
      </c>
      <c r="D759" t="inlineStr">
        <is>
          <t>83bfeb1d106df88a2cde0965999161f0</t>
        </is>
      </c>
      <c r="E759" t="inlineStr">
        <is>
          <t>organic_search</t>
        </is>
      </c>
      <c r="F759">
        <f>IFERROR(MATCH(A759,Deals!$A$2:$A$843,0),"")</f>
        <v/>
      </c>
      <c r="G759">
        <f>IF(F759="",0,1)</f>
        <v/>
      </c>
      <c r="H759" s="29">
        <f>IF(F759="","",INDEX(Deals!$E$2:$E$843,F759))</f>
        <v/>
      </c>
      <c r="I759">
        <f>IF(F759="","",INDEX(Deals!$D$2:$D$843,F759))</f>
        <v/>
      </c>
      <c r="J759">
        <f>IF(F759="","",INT(H759)-B759)</f>
        <v/>
      </c>
      <c r="K759">
        <f>IF(B759&gt;=Settings!$C$5,1,0)</f>
        <v/>
      </c>
    </row>
    <row r="760">
      <c r="A760" t="inlineStr">
        <is>
          <t>5c1f56de3cc4f3e811115eb99836b35f</t>
        </is>
      </c>
      <c r="B760" s="29" t="n">
        <v>43107</v>
      </c>
      <c r="C760" t="inlineStr">
        <is>
          <t>2018-01</t>
        </is>
      </c>
      <c r="D760" t="inlineStr">
        <is>
          <t>88740e65d5d6b056e0cda098e1ea6313</t>
        </is>
      </c>
      <c r="E760" t="inlineStr">
        <is>
          <t>social</t>
        </is>
      </c>
      <c r="F760">
        <f>IFERROR(MATCH(A760,Deals!$A$2:$A$843,0),"")</f>
        <v/>
      </c>
      <c r="G760">
        <f>IF(F760="",0,1)</f>
        <v/>
      </c>
      <c r="H760" s="29">
        <f>IF(F760="","",INDEX(Deals!$E$2:$E$843,F760))</f>
        <v/>
      </c>
      <c r="I760">
        <f>IF(F760="","",INDEX(Deals!$D$2:$D$843,F760))</f>
        <v/>
      </c>
      <c r="J760">
        <f>IF(F760="","",INT(H760)-B760)</f>
        <v/>
      </c>
      <c r="K760">
        <f>IF(B760&gt;=Settings!$C$5,1,0)</f>
        <v/>
      </c>
    </row>
    <row r="761">
      <c r="A761" t="inlineStr">
        <is>
          <t>013154403b9d27634b2ce368eadbe1ca</t>
        </is>
      </c>
      <c r="B761" s="29" t="n">
        <v>43235</v>
      </c>
      <c r="C761" t="inlineStr">
        <is>
          <t>2018-05</t>
        </is>
      </c>
      <c r="D761" t="inlineStr">
        <is>
          <t>22c29808c4f815213303f8933030604c</t>
        </is>
      </c>
      <c r="E761" t="inlineStr">
        <is>
          <t>organic_search</t>
        </is>
      </c>
      <c r="F761">
        <f>IFERROR(MATCH(A761,Deals!$A$2:$A$843,0),"")</f>
        <v/>
      </c>
      <c r="G761">
        <f>IF(F761="",0,1)</f>
        <v/>
      </c>
      <c r="H761" s="29">
        <f>IF(F761="","",INDEX(Deals!$E$2:$E$843,F761))</f>
        <v/>
      </c>
      <c r="I761">
        <f>IF(F761="","",INDEX(Deals!$D$2:$D$843,F761))</f>
        <v/>
      </c>
      <c r="J761">
        <f>IF(F761="","",INT(H761)-B761)</f>
        <v/>
      </c>
      <c r="K761">
        <f>IF(B761&gt;=Settings!$C$5,1,0)</f>
        <v/>
      </c>
    </row>
    <row r="762">
      <c r="A762" t="inlineStr">
        <is>
          <t>a7290c5bd7bc2aaa7ea2b6c957ef639b</t>
        </is>
      </c>
      <c r="B762" s="29" t="n">
        <v>42981</v>
      </c>
      <c r="C762" t="inlineStr">
        <is>
          <t>2017-09</t>
        </is>
      </c>
      <c r="D762" t="inlineStr">
        <is>
          <t>22c29808c4f815213303f8933030604c</t>
        </is>
      </c>
      <c r="E762" t="inlineStr">
        <is>
          <t>direct_traffic</t>
        </is>
      </c>
      <c r="F762">
        <f>IFERROR(MATCH(A762,Deals!$A$2:$A$843,0),"")</f>
        <v/>
      </c>
      <c r="G762">
        <f>IF(F762="",0,1)</f>
        <v/>
      </c>
      <c r="H762" s="29">
        <f>IF(F762="","",INDEX(Deals!$E$2:$E$843,F762))</f>
        <v/>
      </c>
      <c r="I762">
        <f>IF(F762="","",INDEX(Deals!$D$2:$D$843,F762))</f>
        <v/>
      </c>
      <c r="J762">
        <f>IF(F762="","",INT(H762)-B762)</f>
        <v/>
      </c>
      <c r="K762">
        <f>IF(B762&gt;=Settings!$C$5,1,0)</f>
        <v/>
      </c>
    </row>
    <row r="763">
      <c r="A763" t="inlineStr">
        <is>
          <t>97388f939a25aa3982d259411d298b00</t>
        </is>
      </c>
      <c r="B763" s="29" t="n">
        <v>43063</v>
      </c>
      <c r="C763" t="inlineStr">
        <is>
          <t>2017-11</t>
        </is>
      </c>
      <c r="D763" t="inlineStr">
        <is>
          <t>4aab772aeb9833c170d8ea5413e02eac</t>
        </is>
      </c>
      <c r="E763" t="inlineStr">
        <is>
          <t>paid_search</t>
        </is>
      </c>
      <c r="F763">
        <f>IFERROR(MATCH(A763,Deals!$A$2:$A$843,0),"")</f>
        <v/>
      </c>
      <c r="G763">
        <f>IF(F763="",0,1)</f>
        <v/>
      </c>
      <c r="H763" s="29">
        <f>IF(F763="","",INDEX(Deals!$E$2:$E$843,F763))</f>
        <v/>
      </c>
      <c r="I763">
        <f>IF(F763="","",INDEX(Deals!$D$2:$D$843,F763))</f>
        <v/>
      </c>
      <c r="J763">
        <f>IF(F763="","",INT(H763)-B763)</f>
        <v/>
      </c>
      <c r="K763">
        <f>IF(B763&gt;=Settings!$C$5,1,0)</f>
        <v/>
      </c>
    </row>
    <row r="764">
      <c r="A764" t="inlineStr">
        <is>
          <t>086a623619d8a698167d225ba8a1abee</t>
        </is>
      </c>
      <c r="B764" s="29" t="n">
        <v>43038</v>
      </c>
      <c r="C764" t="inlineStr">
        <is>
          <t>2017-10</t>
        </is>
      </c>
      <c r="D764" t="inlineStr">
        <is>
          <t>21a104c3279681d9856b8a48723c4fee</t>
        </is>
      </c>
      <c r="E764" t="inlineStr">
        <is>
          <t>unknown</t>
        </is>
      </c>
      <c r="F764">
        <f>IFERROR(MATCH(A764,Deals!$A$2:$A$843,0),"")</f>
        <v/>
      </c>
      <c r="G764">
        <f>IF(F764="",0,1)</f>
        <v/>
      </c>
      <c r="H764" s="29">
        <f>IF(F764="","",INDEX(Deals!$E$2:$E$843,F764))</f>
        <v/>
      </c>
      <c r="I764">
        <f>IF(F764="","",INDEX(Deals!$D$2:$D$843,F764))</f>
        <v/>
      </c>
      <c r="J764">
        <f>IF(F764="","",INT(H764)-B764)</f>
        <v/>
      </c>
      <c r="K764">
        <f>IF(B764&gt;=Settings!$C$5,1,0)</f>
        <v/>
      </c>
    </row>
    <row r="765">
      <c r="A765" t="inlineStr">
        <is>
          <t>b82d949cf4a38f15b1297f97b82d0a77</t>
        </is>
      </c>
      <c r="B765" s="29" t="n">
        <v>43098</v>
      </c>
      <c r="C765" t="inlineStr">
        <is>
          <t>2017-12</t>
        </is>
      </c>
      <c r="D765" t="inlineStr">
        <is>
          <t>73f31a40697cc90a86c1273563ac230e</t>
        </is>
      </c>
      <c r="E765" t="inlineStr">
        <is>
          <t>referral</t>
        </is>
      </c>
      <c r="F765">
        <f>IFERROR(MATCH(A765,Deals!$A$2:$A$843,0),"")</f>
        <v/>
      </c>
      <c r="G765">
        <f>IF(F765="",0,1)</f>
        <v/>
      </c>
      <c r="H765" s="29">
        <f>IF(F765="","",INDEX(Deals!$E$2:$E$843,F765))</f>
        <v/>
      </c>
      <c r="I765">
        <f>IF(F765="","",INDEX(Deals!$D$2:$D$843,F765))</f>
        <v/>
      </c>
      <c r="J765">
        <f>IF(F765="","",INT(H765)-B765)</f>
        <v/>
      </c>
      <c r="K765">
        <f>IF(B765&gt;=Settings!$C$5,1,0)</f>
        <v/>
      </c>
    </row>
    <row r="766">
      <c r="A766" t="inlineStr">
        <is>
          <t>4a125a89bffe4545e9e5181a18cfd77f</t>
        </is>
      </c>
      <c r="B766" s="29" t="n">
        <v>43056</v>
      </c>
      <c r="C766" t="inlineStr">
        <is>
          <t>2017-11</t>
        </is>
      </c>
      <c r="D766" t="inlineStr">
        <is>
          <t>4aab772aeb9833c170d8ea5413e02eac</t>
        </is>
      </c>
      <c r="E766" t="inlineStr">
        <is>
          <t>paid_search</t>
        </is>
      </c>
      <c r="F766">
        <f>IFERROR(MATCH(A766,Deals!$A$2:$A$843,0),"")</f>
        <v/>
      </c>
      <c r="G766">
        <f>IF(F766="",0,1)</f>
        <v/>
      </c>
      <c r="H766" s="29">
        <f>IF(F766="","",INDEX(Deals!$E$2:$E$843,F766))</f>
        <v/>
      </c>
      <c r="I766">
        <f>IF(F766="","",INDEX(Deals!$D$2:$D$843,F766))</f>
        <v/>
      </c>
      <c r="J766">
        <f>IF(F766="","",INT(H766)-B766)</f>
        <v/>
      </c>
      <c r="K766">
        <f>IF(B766&gt;=Settings!$C$5,1,0)</f>
        <v/>
      </c>
    </row>
    <row r="767">
      <c r="A767" t="inlineStr">
        <is>
          <t>07dff1c212adc8715af99f05137ac2c4</t>
        </is>
      </c>
      <c r="B767" s="29" t="n">
        <v>43175</v>
      </c>
      <c r="C767" t="inlineStr">
        <is>
          <t>2018-03</t>
        </is>
      </c>
      <c r="D767" t="inlineStr">
        <is>
          <t>e492ee5eaf1697716985cc6f33f9cd9b</t>
        </is>
      </c>
      <c r="E767" t="inlineStr">
        <is>
          <t>referral</t>
        </is>
      </c>
      <c r="F767">
        <f>IFERROR(MATCH(A767,Deals!$A$2:$A$843,0),"")</f>
        <v/>
      </c>
      <c r="G767">
        <f>IF(F767="",0,1)</f>
        <v/>
      </c>
      <c r="H767" s="29">
        <f>IF(F767="","",INDEX(Deals!$E$2:$E$843,F767))</f>
        <v/>
      </c>
      <c r="I767">
        <f>IF(F767="","",INDEX(Deals!$D$2:$D$843,F767))</f>
        <v/>
      </c>
      <c r="J767">
        <f>IF(F767="","",INT(H767)-B767)</f>
        <v/>
      </c>
      <c r="K767">
        <f>IF(B767&gt;=Settings!$C$5,1,0)</f>
        <v/>
      </c>
    </row>
    <row r="768">
      <c r="A768" t="inlineStr">
        <is>
          <t>8d6be534a8bdd08e11efe57c6ce3dd21</t>
        </is>
      </c>
      <c r="B768" s="29" t="n">
        <v>43195</v>
      </c>
      <c r="C768" t="inlineStr">
        <is>
          <t>2018-04</t>
        </is>
      </c>
      <c r="D768" t="inlineStr">
        <is>
          <t>22c29808c4f815213303f8933030604c</t>
        </is>
      </c>
      <c r="E768" t="inlineStr">
        <is>
          <t>organic_search</t>
        </is>
      </c>
      <c r="F768">
        <f>IFERROR(MATCH(A768,Deals!$A$2:$A$843,0),"")</f>
        <v/>
      </c>
      <c r="G768">
        <f>IF(F768="",0,1)</f>
        <v/>
      </c>
      <c r="H768" s="29">
        <f>IF(F768="","",INDEX(Deals!$E$2:$E$843,F768))</f>
        <v/>
      </c>
      <c r="I768">
        <f>IF(F768="","",INDEX(Deals!$D$2:$D$843,F768))</f>
        <v/>
      </c>
      <c r="J768">
        <f>IF(F768="","",INT(H768)-B768)</f>
        <v/>
      </c>
      <c r="K768">
        <f>IF(B768&gt;=Settings!$C$5,1,0)</f>
        <v/>
      </c>
    </row>
    <row r="769">
      <c r="A769" t="inlineStr">
        <is>
          <t>4979feabd6097fb6100fd36c3c32aae0</t>
        </is>
      </c>
      <c r="B769" s="29" t="n">
        <v>43145</v>
      </c>
      <c r="C769" t="inlineStr">
        <is>
          <t>2018-02</t>
        </is>
      </c>
      <c r="D769" t="inlineStr">
        <is>
          <t>1e884e3078d9978e216a027ecd57fb34</t>
        </is>
      </c>
      <c r="E769" t="inlineStr">
        <is>
          <t>direct_traffic</t>
        </is>
      </c>
      <c r="F769">
        <f>IFERROR(MATCH(A769,Deals!$A$2:$A$843,0),"")</f>
        <v/>
      </c>
      <c r="G769">
        <f>IF(F769="",0,1)</f>
        <v/>
      </c>
      <c r="H769" s="29">
        <f>IF(F769="","",INDEX(Deals!$E$2:$E$843,F769))</f>
        <v/>
      </c>
      <c r="I769">
        <f>IF(F769="","",INDEX(Deals!$D$2:$D$843,F769))</f>
        <v/>
      </c>
      <c r="J769">
        <f>IF(F769="","",INT(H769)-B769)</f>
        <v/>
      </c>
      <c r="K769">
        <f>IF(B769&gt;=Settings!$C$5,1,0)</f>
        <v/>
      </c>
    </row>
    <row r="770">
      <c r="A770" t="inlineStr">
        <is>
          <t>5985e72b3752e4749926885db1b45be4</t>
        </is>
      </c>
      <c r="B770" s="29" t="n">
        <v>43123</v>
      </c>
      <c r="C770" t="inlineStr">
        <is>
          <t>2018-01</t>
        </is>
      </c>
      <c r="D770" t="inlineStr">
        <is>
          <t>b76ef37428e6799c421989521c0e5077</t>
        </is>
      </c>
      <c r="E770" t="inlineStr">
        <is>
          <t>unknown</t>
        </is>
      </c>
      <c r="F770">
        <f>IFERROR(MATCH(A770,Deals!$A$2:$A$843,0),"")</f>
        <v/>
      </c>
      <c r="G770">
        <f>IF(F770="",0,1)</f>
        <v/>
      </c>
      <c r="H770" s="29">
        <f>IF(F770="","",INDEX(Deals!$E$2:$E$843,F770))</f>
        <v/>
      </c>
      <c r="I770">
        <f>IF(F770="","",INDEX(Deals!$D$2:$D$843,F770))</f>
        <v/>
      </c>
      <c r="J770">
        <f>IF(F770="","",INT(H770)-B770)</f>
        <v/>
      </c>
      <c r="K770">
        <f>IF(B770&gt;=Settings!$C$5,1,0)</f>
        <v/>
      </c>
    </row>
    <row r="771">
      <c r="A771" t="inlineStr">
        <is>
          <t>f7a39d7f475d5bab53e733ce5d5519f7</t>
        </is>
      </c>
      <c r="B771" s="29" t="n">
        <v>42937</v>
      </c>
      <c r="C771" t="inlineStr">
        <is>
          <t>2017-07</t>
        </is>
      </c>
      <c r="D771" t="inlineStr">
        <is>
          <t>91dbdf987124ca09b297bd87f06b5e64</t>
        </is>
      </c>
      <c r="E771" t="inlineStr">
        <is>
          <t>organic_search</t>
        </is>
      </c>
      <c r="F771">
        <f>IFERROR(MATCH(A771,Deals!$A$2:$A$843,0),"")</f>
        <v/>
      </c>
      <c r="G771">
        <f>IF(F771="",0,1)</f>
        <v/>
      </c>
      <c r="H771" s="29">
        <f>IF(F771="","",INDEX(Deals!$E$2:$E$843,F771))</f>
        <v/>
      </c>
      <c r="I771">
        <f>IF(F771="","",INDEX(Deals!$D$2:$D$843,F771))</f>
        <v/>
      </c>
      <c r="J771">
        <f>IF(F771="","",INT(H771)-B771)</f>
        <v/>
      </c>
      <c r="K771">
        <f>IF(B771&gt;=Settings!$C$5,1,0)</f>
        <v/>
      </c>
    </row>
    <row r="772">
      <c r="A772" t="inlineStr">
        <is>
          <t>198179f602593e2fd985dc1063e15e0e</t>
        </is>
      </c>
      <c r="B772" s="29" t="n">
        <v>42991</v>
      </c>
      <c r="C772" t="inlineStr">
        <is>
          <t>2017-09</t>
        </is>
      </c>
      <c r="D772" t="inlineStr">
        <is>
          <t>298895230612f85f0742434fc434ad10</t>
        </is>
      </c>
      <c r="E772" t="inlineStr">
        <is>
          <t>email</t>
        </is>
      </c>
      <c r="F772">
        <f>IFERROR(MATCH(A772,Deals!$A$2:$A$843,0),"")</f>
        <v/>
      </c>
      <c r="G772">
        <f>IF(F772="",0,1)</f>
        <v/>
      </c>
      <c r="H772" s="29">
        <f>IF(F772="","",INDEX(Deals!$E$2:$E$843,F772))</f>
        <v/>
      </c>
      <c r="I772">
        <f>IF(F772="","",INDEX(Deals!$D$2:$D$843,F772))</f>
        <v/>
      </c>
      <c r="J772">
        <f>IF(F772="","",INT(H772)-B772)</f>
        <v/>
      </c>
      <c r="K772">
        <f>IF(B772&gt;=Settings!$C$5,1,0)</f>
        <v/>
      </c>
    </row>
    <row r="773">
      <c r="A773" t="inlineStr">
        <is>
          <t>9de06c877e449aa8dfc4f4c7987ddaa8</t>
        </is>
      </c>
      <c r="B773" s="29" t="n">
        <v>43235</v>
      </c>
      <c r="C773" t="inlineStr">
        <is>
          <t>2018-05</t>
        </is>
      </c>
      <c r="D773" t="inlineStr">
        <is>
          <t>b76ef37428e6799c421989521c0e5077</t>
        </is>
      </c>
      <c r="E773" t="inlineStr">
        <is>
          <t>unknown</t>
        </is>
      </c>
      <c r="F773">
        <f>IFERROR(MATCH(A773,Deals!$A$2:$A$843,0),"")</f>
        <v/>
      </c>
      <c r="G773">
        <f>IF(F773="",0,1)</f>
        <v/>
      </c>
      <c r="H773" s="29">
        <f>IF(F773="","",INDEX(Deals!$E$2:$E$843,F773))</f>
        <v/>
      </c>
      <c r="I773">
        <f>IF(F773="","",INDEX(Deals!$D$2:$D$843,F773))</f>
        <v/>
      </c>
      <c r="J773">
        <f>IF(F773="","",INT(H773)-B773)</f>
        <v/>
      </c>
      <c r="K773">
        <f>IF(B773&gt;=Settings!$C$5,1,0)</f>
        <v/>
      </c>
    </row>
    <row r="774">
      <c r="A774" t="inlineStr">
        <is>
          <t>fcccb4e7caa070417729cdb35bb71918</t>
        </is>
      </c>
      <c r="B774" s="29" t="n">
        <v>43039</v>
      </c>
      <c r="C774" t="inlineStr">
        <is>
          <t>2017-10</t>
        </is>
      </c>
      <c r="D774" t="inlineStr">
        <is>
          <t>60ea0bbb4ee471b6b99e8b892847a8db</t>
        </is>
      </c>
      <c r="E774" t="inlineStr">
        <is>
          <t>paid_search</t>
        </is>
      </c>
      <c r="F774">
        <f>IFERROR(MATCH(A774,Deals!$A$2:$A$843,0),"")</f>
        <v/>
      </c>
      <c r="G774">
        <f>IF(F774="",0,1)</f>
        <v/>
      </c>
      <c r="H774" s="29">
        <f>IF(F774="","",INDEX(Deals!$E$2:$E$843,F774))</f>
        <v/>
      </c>
      <c r="I774">
        <f>IF(F774="","",INDEX(Deals!$D$2:$D$843,F774))</f>
        <v/>
      </c>
      <c r="J774">
        <f>IF(F774="","",INT(H774)-B774)</f>
        <v/>
      </c>
      <c r="K774">
        <f>IF(B774&gt;=Settings!$C$5,1,0)</f>
        <v/>
      </c>
    </row>
    <row r="775">
      <c r="A775" t="inlineStr">
        <is>
          <t>af16b3104c83b6039dfe070f8792abf0</t>
        </is>
      </c>
      <c r="B775" s="29" t="n">
        <v>43221</v>
      </c>
      <c r="C775" t="inlineStr">
        <is>
          <t>2018-05</t>
        </is>
      </c>
      <c r="D775" t="inlineStr">
        <is>
          <t>30534107aa0013db92899c96a1017d0b</t>
        </is>
      </c>
      <c r="E775" t="inlineStr">
        <is>
          <t>social</t>
        </is>
      </c>
      <c r="F775">
        <f>IFERROR(MATCH(A775,Deals!$A$2:$A$843,0),"")</f>
        <v/>
      </c>
      <c r="G775">
        <f>IF(F775="",0,1)</f>
        <v/>
      </c>
      <c r="H775" s="29">
        <f>IF(F775="","",INDEX(Deals!$E$2:$E$843,F775))</f>
        <v/>
      </c>
      <c r="I775">
        <f>IF(F775="","",INDEX(Deals!$D$2:$D$843,F775))</f>
        <v/>
      </c>
      <c r="J775">
        <f>IF(F775="","",INT(H775)-B775)</f>
        <v/>
      </c>
      <c r="K775">
        <f>IF(B775&gt;=Settings!$C$5,1,0)</f>
        <v/>
      </c>
    </row>
    <row r="776">
      <c r="A776" t="inlineStr">
        <is>
          <t>6feb1ebd75919b550ce9f8ac09e242cf</t>
        </is>
      </c>
      <c r="B776" s="29" t="n">
        <v>43230</v>
      </c>
      <c r="C776" t="inlineStr">
        <is>
          <t>2018-05</t>
        </is>
      </c>
      <c r="D776" t="inlineStr">
        <is>
          <t>9fa37f5177115156b1814ffc237402a6</t>
        </is>
      </c>
      <c r="E776" t="inlineStr">
        <is>
          <t>paid_search</t>
        </is>
      </c>
      <c r="F776">
        <f>IFERROR(MATCH(A776,Deals!$A$2:$A$843,0),"")</f>
        <v/>
      </c>
      <c r="G776">
        <f>IF(F776="",0,1)</f>
        <v/>
      </c>
      <c r="H776" s="29">
        <f>IF(F776="","",INDEX(Deals!$E$2:$E$843,F776))</f>
        <v/>
      </c>
      <c r="I776">
        <f>IF(F776="","",INDEX(Deals!$D$2:$D$843,F776))</f>
        <v/>
      </c>
      <c r="J776">
        <f>IF(F776="","",INT(H776)-B776)</f>
        <v/>
      </c>
      <c r="K776">
        <f>IF(B776&gt;=Settings!$C$5,1,0)</f>
        <v/>
      </c>
    </row>
    <row r="777">
      <c r="A777" t="inlineStr">
        <is>
          <t>717d08a84121310b4393bb0f398377e0</t>
        </is>
      </c>
      <c r="B777" s="29" t="n">
        <v>43215</v>
      </c>
      <c r="C777" t="inlineStr">
        <is>
          <t>2018-04</t>
        </is>
      </c>
      <c r="D777" t="inlineStr">
        <is>
          <t>22c29808c4f815213303f8933030604c</t>
        </is>
      </c>
      <c r="E777" t="inlineStr">
        <is>
          <t>unknown</t>
        </is>
      </c>
      <c r="F777">
        <f>IFERROR(MATCH(A777,Deals!$A$2:$A$843,0),"")</f>
        <v/>
      </c>
      <c r="G777">
        <f>IF(F777="",0,1)</f>
        <v/>
      </c>
      <c r="H777" s="29">
        <f>IF(F777="","",INDEX(Deals!$E$2:$E$843,F777))</f>
        <v/>
      </c>
      <c r="I777">
        <f>IF(F777="","",INDEX(Deals!$D$2:$D$843,F777))</f>
        <v/>
      </c>
      <c r="J777">
        <f>IF(F777="","",INT(H777)-B777)</f>
        <v/>
      </c>
      <c r="K777">
        <f>IF(B777&gt;=Settings!$C$5,1,0)</f>
        <v/>
      </c>
    </row>
    <row r="778">
      <c r="A778" t="inlineStr">
        <is>
          <t>ed087a7d6c3ecbd9ee310830ee8de037</t>
        </is>
      </c>
      <c r="B778" s="29" t="n">
        <v>43030</v>
      </c>
      <c r="C778" t="inlineStr">
        <is>
          <t>2017-10</t>
        </is>
      </c>
      <c r="D778" t="inlineStr">
        <is>
          <t>b6885f18d203a61176418c1fb3764815</t>
        </is>
      </c>
      <c r="E778" t="inlineStr">
        <is>
          <t>paid_search</t>
        </is>
      </c>
      <c r="F778">
        <f>IFERROR(MATCH(A778,Deals!$A$2:$A$843,0),"")</f>
        <v/>
      </c>
      <c r="G778">
        <f>IF(F778="",0,1)</f>
        <v/>
      </c>
      <c r="H778" s="29">
        <f>IF(F778="","",INDEX(Deals!$E$2:$E$843,F778))</f>
        <v/>
      </c>
      <c r="I778">
        <f>IF(F778="","",INDEX(Deals!$D$2:$D$843,F778))</f>
        <v/>
      </c>
      <c r="J778">
        <f>IF(F778="","",INT(H778)-B778)</f>
        <v/>
      </c>
      <c r="K778">
        <f>IF(B778&gt;=Settings!$C$5,1,0)</f>
        <v/>
      </c>
    </row>
    <row r="779">
      <c r="A779" t="inlineStr">
        <is>
          <t>309e3fb6c98132ad9065bbadfe5c2319</t>
        </is>
      </c>
      <c r="B779" s="29" t="n">
        <v>42966</v>
      </c>
      <c r="C779" t="inlineStr">
        <is>
          <t>2017-08</t>
        </is>
      </c>
      <c r="D779" t="inlineStr">
        <is>
          <t>f017be4dbf86243af5c1ebed0cff36a2</t>
        </is>
      </c>
      <c r="E779" t="inlineStr">
        <is>
          <t>organic_search</t>
        </is>
      </c>
      <c r="F779">
        <f>IFERROR(MATCH(A779,Deals!$A$2:$A$843,0),"")</f>
        <v/>
      </c>
      <c r="G779">
        <f>IF(F779="",0,1)</f>
        <v/>
      </c>
      <c r="H779" s="29">
        <f>IF(F779="","",INDEX(Deals!$E$2:$E$843,F779))</f>
        <v/>
      </c>
      <c r="I779">
        <f>IF(F779="","",INDEX(Deals!$D$2:$D$843,F779))</f>
        <v/>
      </c>
      <c r="J779">
        <f>IF(F779="","",INT(H779)-B779)</f>
        <v/>
      </c>
      <c r="K779">
        <f>IF(B779&gt;=Settings!$C$5,1,0)</f>
        <v/>
      </c>
    </row>
    <row r="780">
      <c r="A780" t="inlineStr">
        <is>
          <t>9b5d7c532f524acbb13114a74e3ff9f4</t>
        </is>
      </c>
      <c r="B780" s="29" t="n">
        <v>43203</v>
      </c>
      <c r="C780" t="inlineStr">
        <is>
          <t>2018-04</t>
        </is>
      </c>
      <c r="D780" t="inlineStr">
        <is>
          <t>46bd119220c8bf61324669b1d82203ac</t>
        </is>
      </c>
      <c r="E780" t="inlineStr">
        <is>
          <t>other</t>
        </is>
      </c>
      <c r="F780">
        <f>IFERROR(MATCH(A780,Deals!$A$2:$A$843,0),"")</f>
        <v/>
      </c>
      <c r="G780">
        <f>IF(F780="",0,1)</f>
        <v/>
      </c>
      <c r="H780" s="29">
        <f>IF(F780="","",INDEX(Deals!$E$2:$E$843,F780))</f>
        <v/>
      </c>
      <c r="I780">
        <f>IF(F780="","",INDEX(Deals!$D$2:$D$843,F780))</f>
        <v/>
      </c>
      <c r="J780">
        <f>IF(F780="","",INT(H780)-B780)</f>
        <v/>
      </c>
      <c r="K780">
        <f>IF(B780&gt;=Settings!$C$5,1,0)</f>
        <v/>
      </c>
    </row>
    <row r="781">
      <c r="A781" t="inlineStr">
        <is>
          <t>0714a81e02d3a314211b75189131a72a</t>
        </is>
      </c>
      <c r="B781" s="29" t="n">
        <v>43231</v>
      </c>
      <c r="C781" t="inlineStr">
        <is>
          <t>2018-05</t>
        </is>
      </c>
      <c r="D781" t="inlineStr">
        <is>
          <t>58326e62183c14b0c03085c33b9fdc44</t>
        </is>
      </c>
      <c r="E781" t="inlineStr">
        <is>
          <t>social</t>
        </is>
      </c>
      <c r="F781">
        <f>IFERROR(MATCH(A781,Deals!$A$2:$A$843,0),"")</f>
        <v/>
      </c>
      <c r="G781">
        <f>IF(F781="",0,1)</f>
        <v/>
      </c>
      <c r="H781" s="29">
        <f>IF(F781="","",INDEX(Deals!$E$2:$E$843,F781))</f>
        <v/>
      </c>
      <c r="I781">
        <f>IF(F781="","",INDEX(Deals!$D$2:$D$843,F781))</f>
        <v/>
      </c>
      <c r="J781">
        <f>IF(F781="","",INT(H781)-B781)</f>
        <v/>
      </c>
      <c r="K781">
        <f>IF(B781&gt;=Settings!$C$5,1,0)</f>
        <v/>
      </c>
    </row>
    <row r="782">
      <c r="A782" t="inlineStr">
        <is>
          <t>f9ac72d331adc4ee35df9dc97761c61e</t>
        </is>
      </c>
      <c r="B782" s="29" t="n">
        <v>43064</v>
      </c>
      <c r="C782" t="inlineStr">
        <is>
          <t>2017-11</t>
        </is>
      </c>
      <c r="D782" t="inlineStr">
        <is>
          <t>22c29808c4f815213303f8933030604c</t>
        </is>
      </c>
      <c r="E782" t="inlineStr">
        <is>
          <t>paid_search</t>
        </is>
      </c>
      <c r="F782">
        <f>IFERROR(MATCH(A782,Deals!$A$2:$A$843,0),"")</f>
        <v/>
      </c>
      <c r="G782">
        <f>IF(F782="",0,1)</f>
        <v/>
      </c>
      <c r="H782" s="29">
        <f>IF(F782="","",INDEX(Deals!$E$2:$E$843,F782))</f>
        <v/>
      </c>
      <c r="I782">
        <f>IF(F782="","",INDEX(Deals!$D$2:$D$843,F782))</f>
        <v/>
      </c>
      <c r="J782">
        <f>IF(F782="","",INT(H782)-B782)</f>
        <v/>
      </c>
      <c r="K782">
        <f>IF(B782&gt;=Settings!$C$5,1,0)</f>
        <v/>
      </c>
    </row>
    <row r="783">
      <c r="A783" t="inlineStr">
        <is>
          <t>4e9e522510b41cda61ce6460b460fec3</t>
        </is>
      </c>
      <c r="B783" s="29" t="n">
        <v>43165</v>
      </c>
      <c r="C783" t="inlineStr">
        <is>
          <t>2018-03</t>
        </is>
      </c>
      <c r="D783" t="inlineStr">
        <is>
          <t>e492ee5eaf1697716985cc6f33f9cd9b</t>
        </is>
      </c>
      <c r="E783" t="inlineStr">
        <is>
          <t>direct_traffic</t>
        </is>
      </c>
      <c r="F783">
        <f>IFERROR(MATCH(A783,Deals!$A$2:$A$843,0),"")</f>
        <v/>
      </c>
      <c r="G783">
        <f>IF(F783="",0,1)</f>
        <v/>
      </c>
      <c r="H783" s="29">
        <f>IF(F783="","",INDEX(Deals!$E$2:$E$843,F783))</f>
        <v/>
      </c>
      <c r="I783">
        <f>IF(F783="","",INDEX(Deals!$D$2:$D$843,F783))</f>
        <v/>
      </c>
      <c r="J783">
        <f>IF(F783="","",INT(H783)-B783)</f>
        <v/>
      </c>
      <c r="K783">
        <f>IF(B783&gt;=Settings!$C$5,1,0)</f>
        <v/>
      </c>
    </row>
    <row r="784">
      <c r="A784" t="inlineStr">
        <is>
          <t>c8b5fb4ce4ccff1891d74672239e6e01</t>
        </is>
      </c>
      <c r="B784" s="29" t="n">
        <v>43195</v>
      </c>
      <c r="C784" t="inlineStr">
        <is>
          <t>2018-04</t>
        </is>
      </c>
      <c r="D784" t="inlineStr">
        <is>
          <t>d823616cbcb84fff516db22f366caaa5</t>
        </is>
      </c>
      <c r="E784" t="inlineStr">
        <is>
          <t>paid_search</t>
        </is>
      </c>
      <c r="F784">
        <f>IFERROR(MATCH(A784,Deals!$A$2:$A$843,0),"")</f>
        <v/>
      </c>
      <c r="G784">
        <f>IF(F784="",0,1)</f>
        <v/>
      </c>
      <c r="H784" s="29">
        <f>IF(F784="","",INDEX(Deals!$E$2:$E$843,F784))</f>
        <v/>
      </c>
      <c r="I784">
        <f>IF(F784="","",INDEX(Deals!$D$2:$D$843,F784))</f>
        <v/>
      </c>
      <c r="J784">
        <f>IF(F784="","",INT(H784)-B784)</f>
        <v/>
      </c>
      <c r="K784">
        <f>IF(B784&gt;=Settings!$C$5,1,0)</f>
        <v/>
      </c>
    </row>
    <row r="785">
      <c r="A785" t="inlineStr">
        <is>
          <t>f09244841ecac452935357c024c55e65</t>
        </is>
      </c>
      <c r="B785" s="29" t="n">
        <v>43162</v>
      </c>
      <c r="C785" t="inlineStr">
        <is>
          <t>2018-03</t>
        </is>
      </c>
      <c r="D785" t="inlineStr">
        <is>
          <t>73fec6021437e723ff5adae8dff89e23</t>
        </is>
      </c>
      <c r="E785" t="inlineStr">
        <is>
          <t>paid_search</t>
        </is>
      </c>
      <c r="F785">
        <f>IFERROR(MATCH(A785,Deals!$A$2:$A$843,0),"")</f>
        <v/>
      </c>
      <c r="G785">
        <f>IF(F785="",0,1)</f>
        <v/>
      </c>
      <c r="H785" s="29">
        <f>IF(F785="","",INDEX(Deals!$E$2:$E$843,F785))</f>
        <v/>
      </c>
      <c r="I785">
        <f>IF(F785="","",INDEX(Deals!$D$2:$D$843,F785))</f>
        <v/>
      </c>
      <c r="J785">
        <f>IF(F785="","",INT(H785)-B785)</f>
        <v/>
      </c>
      <c r="K785">
        <f>IF(B785&gt;=Settings!$C$5,1,0)</f>
        <v/>
      </c>
    </row>
    <row r="786">
      <c r="A786" t="inlineStr">
        <is>
          <t>34005deb3eddd8787abaa56e1febced6</t>
        </is>
      </c>
      <c r="B786" s="29" t="n">
        <v>43042</v>
      </c>
      <c r="C786" t="inlineStr">
        <is>
          <t>2017-11</t>
        </is>
      </c>
      <c r="D786" t="inlineStr">
        <is>
          <t>909e333f8f23574f93115bd3d402e202</t>
        </is>
      </c>
      <c r="E786" t="inlineStr">
        <is>
          <t>email</t>
        </is>
      </c>
      <c r="F786">
        <f>IFERROR(MATCH(A786,Deals!$A$2:$A$843,0),"")</f>
        <v/>
      </c>
      <c r="G786">
        <f>IF(F786="",0,1)</f>
        <v/>
      </c>
      <c r="H786" s="29">
        <f>IF(F786="","",INDEX(Deals!$E$2:$E$843,F786))</f>
        <v/>
      </c>
      <c r="I786">
        <f>IF(F786="","",INDEX(Deals!$D$2:$D$843,F786))</f>
        <v/>
      </c>
      <c r="J786">
        <f>IF(F786="","",INT(H786)-B786)</f>
        <v/>
      </c>
      <c r="K786">
        <f>IF(B786&gt;=Settings!$C$5,1,0)</f>
        <v/>
      </c>
    </row>
    <row r="787">
      <c r="A787" t="inlineStr">
        <is>
          <t>2f096f9c5b7e2483fcc661e9ca9a24ec</t>
        </is>
      </c>
      <c r="B787" s="29" t="n">
        <v>43251</v>
      </c>
      <c r="C787" t="inlineStr">
        <is>
          <t>2018-05</t>
        </is>
      </c>
      <c r="D787" t="inlineStr">
        <is>
          <t>fa6f59a21825d841e307151460fb0302</t>
        </is>
      </c>
      <c r="E787" t="inlineStr">
        <is>
          <t>unknown</t>
        </is>
      </c>
      <c r="F787">
        <f>IFERROR(MATCH(A787,Deals!$A$2:$A$843,0),"")</f>
        <v/>
      </c>
      <c r="G787">
        <f>IF(F787="",0,1)</f>
        <v/>
      </c>
      <c r="H787" s="29">
        <f>IF(F787="","",INDEX(Deals!$E$2:$E$843,F787))</f>
        <v/>
      </c>
      <c r="I787">
        <f>IF(F787="","",INDEX(Deals!$D$2:$D$843,F787))</f>
        <v/>
      </c>
      <c r="J787">
        <f>IF(F787="","",INT(H787)-B787)</f>
        <v/>
      </c>
      <c r="K787">
        <f>IF(B787&gt;=Settings!$C$5,1,0)</f>
        <v/>
      </c>
    </row>
    <row r="788">
      <c r="A788" t="inlineStr">
        <is>
          <t>94eedebf6923d613525b288f05d9e3c2</t>
        </is>
      </c>
      <c r="B788" s="29" t="n">
        <v>43095</v>
      </c>
      <c r="C788" t="inlineStr">
        <is>
          <t>2017-12</t>
        </is>
      </c>
      <c r="D788" t="inlineStr">
        <is>
          <t>21a104c3279681d9856b8a48723c4fee</t>
        </is>
      </c>
      <c r="E788" t="inlineStr">
        <is>
          <t>organic_search</t>
        </is>
      </c>
      <c r="F788">
        <f>IFERROR(MATCH(A788,Deals!$A$2:$A$843,0),"")</f>
        <v/>
      </c>
      <c r="G788">
        <f>IF(F788="",0,1)</f>
        <v/>
      </c>
      <c r="H788" s="29">
        <f>IF(F788="","",INDEX(Deals!$E$2:$E$843,F788))</f>
        <v/>
      </c>
      <c r="I788">
        <f>IF(F788="","",INDEX(Deals!$D$2:$D$843,F788))</f>
        <v/>
      </c>
      <c r="J788">
        <f>IF(F788="","",INT(H788)-B788)</f>
        <v/>
      </c>
      <c r="K788">
        <f>IF(B788&gt;=Settings!$C$5,1,0)</f>
        <v/>
      </c>
    </row>
    <row r="789">
      <c r="A789" t="inlineStr">
        <is>
          <t>e03b5dacc18a5945d81f8e97be4b64a3</t>
        </is>
      </c>
      <c r="B789" s="29" t="n">
        <v>43180</v>
      </c>
      <c r="C789" t="inlineStr">
        <is>
          <t>2018-03</t>
        </is>
      </c>
      <c r="D789" t="inlineStr">
        <is>
          <t>da14b7e2eb0d1eecf65abbd05a31c87d</t>
        </is>
      </c>
      <c r="E789" t="inlineStr">
        <is>
          <t>email</t>
        </is>
      </c>
      <c r="F789">
        <f>IFERROR(MATCH(A789,Deals!$A$2:$A$843,0),"")</f>
        <v/>
      </c>
      <c r="G789">
        <f>IF(F789="",0,1)</f>
        <v/>
      </c>
      <c r="H789" s="29">
        <f>IF(F789="","",INDEX(Deals!$E$2:$E$843,F789))</f>
        <v/>
      </c>
      <c r="I789">
        <f>IF(F789="","",INDEX(Deals!$D$2:$D$843,F789))</f>
        <v/>
      </c>
      <c r="J789">
        <f>IF(F789="","",INT(H789)-B789)</f>
        <v/>
      </c>
      <c r="K789">
        <f>IF(B789&gt;=Settings!$C$5,1,0)</f>
        <v/>
      </c>
    </row>
    <row r="790">
      <c r="A790" t="inlineStr">
        <is>
          <t>b66974d1cb6b6a61dc2d659ff795410d</t>
        </is>
      </c>
      <c r="B790" s="29" t="n">
        <v>43062</v>
      </c>
      <c r="C790" t="inlineStr">
        <is>
          <t>2017-11</t>
        </is>
      </c>
      <c r="D790" t="inlineStr">
        <is>
          <t>b76ef37428e6799c421989521c0e5077</t>
        </is>
      </c>
      <c r="E790" t="inlineStr">
        <is>
          <t>organic_search</t>
        </is>
      </c>
      <c r="F790">
        <f>IFERROR(MATCH(A790,Deals!$A$2:$A$843,0),"")</f>
        <v/>
      </c>
      <c r="G790">
        <f>IF(F790="",0,1)</f>
        <v/>
      </c>
      <c r="H790" s="29">
        <f>IF(F790="","",INDEX(Deals!$E$2:$E$843,F790))</f>
        <v/>
      </c>
      <c r="I790">
        <f>IF(F790="","",INDEX(Deals!$D$2:$D$843,F790))</f>
        <v/>
      </c>
      <c r="J790">
        <f>IF(F790="","",INT(H790)-B790)</f>
        <v/>
      </c>
      <c r="K790">
        <f>IF(B790&gt;=Settings!$C$5,1,0)</f>
        <v/>
      </c>
    </row>
    <row r="791">
      <c r="A791" t="inlineStr">
        <is>
          <t>048bb2f901e2c6f99bc9d26b78b47129</t>
        </is>
      </c>
      <c r="B791" s="29" t="n">
        <v>43244</v>
      </c>
      <c r="C791" t="inlineStr">
        <is>
          <t>2018-05</t>
        </is>
      </c>
      <c r="D791" t="inlineStr">
        <is>
          <t>40dec9f3d5259a3d2dbcdab2114fae47</t>
        </is>
      </c>
      <c r="E791" t="inlineStr">
        <is>
          <t>paid_search</t>
        </is>
      </c>
      <c r="F791">
        <f>IFERROR(MATCH(A791,Deals!$A$2:$A$843,0),"")</f>
        <v/>
      </c>
      <c r="G791">
        <f>IF(F791="",0,1)</f>
        <v/>
      </c>
      <c r="H791" s="29">
        <f>IF(F791="","",INDEX(Deals!$E$2:$E$843,F791))</f>
        <v/>
      </c>
      <c r="I791">
        <f>IF(F791="","",INDEX(Deals!$D$2:$D$843,F791))</f>
        <v/>
      </c>
      <c r="J791">
        <f>IF(F791="","",INT(H791)-B791)</f>
        <v/>
      </c>
      <c r="K791">
        <f>IF(B791&gt;=Settings!$C$5,1,0)</f>
        <v/>
      </c>
    </row>
    <row r="792">
      <c r="A792" t="inlineStr">
        <is>
          <t>a0e862b5c2de0352aeb851d943e6046c</t>
        </is>
      </c>
      <c r="B792" s="29" t="n">
        <v>43014</v>
      </c>
      <c r="C792" t="inlineStr">
        <is>
          <t>2017-10</t>
        </is>
      </c>
      <c r="D792" t="inlineStr">
        <is>
          <t>007f9098284a86ee80ddeb25d53e0af8</t>
        </is>
      </c>
      <c r="E792" t="inlineStr">
        <is>
          <t>paid_search</t>
        </is>
      </c>
      <c r="F792">
        <f>IFERROR(MATCH(A792,Deals!$A$2:$A$843,0),"")</f>
        <v/>
      </c>
      <c r="G792">
        <f>IF(F792="",0,1)</f>
        <v/>
      </c>
      <c r="H792" s="29">
        <f>IF(F792="","",INDEX(Deals!$E$2:$E$843,F792))</f>
        <v/>
      </c>
      <c r="I792">
        <f>IF(F792="","",INDEX(Deals!$D$2:$D$843,F792))</f>
        <v/>
      </c>
      <c r="J792">
        <f>IF(F792="","",INT(H792)-B792)</f>
        <v/>
      </c>
      <c r="K792">
        <f>IF(B792&gt;=Settings!$C$5,1,0)</f>
        <v/>
      </c>
    </row>
    <row r="793">
      <c r="A793" t="inlineStr">
        <is>
          <t>c42af68f28d516c05caf4ef35a6c4b0c</t>
        </is>
      </c>
      <c r="B793" s="29" t="n">
        <v>42955</v>
      </c>
      <c r="C793" t="inlineStr">
        <is>
          <t>2017-08</t>
        </is>
      </c>
      <c r="D793" t="inlineStr">
        <is>
          <t>f017be4dbf86243af5c1ebed0cff36a2</t>
        </is>
      </c>
      <c r="E793" t="inlineStr">
        <is>
          <t>social</t>
        </is>
      </c>
      <c r="F793">
        <f>IFERROR(MATCH(A793,Deals!$A$2:$A$843,0),"")</f>
        <v/>
      </c>
      <c r="G793">
        <f>IF(F793="",0,1)</f>
        <v/>
      </c>
      <c r="H793" s="29">
        <f>IF(F793="","",INDEX(Deals!$E$2:$E$843,F793))</f>
        <v/>
      </c>
      <c r="I793">
        <f>IF(F793="","",INDEX(Deals!$D$2:$D$843,F793))</f>
        <v/>
      </c>
      <c r="J793">
        <f>IF(F793="","",INT(H793)-B793)</f>
        <v/>
      </c>
      <c r="K793">
        <f>IF(B793&gt;=Settings!$C$5,1,0)</f>
        <v/>
      </c>
    </row>
    <row r="794">
      <c r="A794" t="inlineStr">
        <is>
          <t>a7ccec2053fd3f95bade291c40ae428c</t>
        </is>
      </c>
      <c r="B794" s="29" t="n">
        <v>42982</v>
      </c>
      <c r="C794" t="inlineStr">
        <is>
          <t>2017-09</t>
        </is>
      </c>
      <c r="D794" t="inlineStr">
        <is>
          <t>c555aa36478386fdf85a2d0ca5cd0ff8</t>
        </is>
      </c>
      <c r="E794" t="inlineStr">
        <is>
          <t>unknown</t>
        </is>
      </c>
      <c r="F794">
        <f>IFERROR(MATCH(A794,Deals!$A$2:$A$843,0),"")</f>
        <v/>
      </c>
      <c r="G794">
        <f>IF(F794="",0,1)</f>
        <v/>
      </c>
      <c r="H794" s="29">
        <f>IF(F794="","",INDEX(Deals!$E$2:$E$843,F794))</f>
        <v/>
      </c>
      <c r="I794">
        <f>IF(F794="","",INDEX(Deals!$D$2:$D$843,F794))</f>
        <v/>
      </c>
      <c r="J794">
        <f>IF(F794="","",INT(H794)-B794)</f>
        <v/>
      </c>
      <c r="K794">
        <f>IF(B794&gt;=Settings!$C$5,1,0)</f>
        <v/>
      </c>
    </row>
    <row r="795">
      <c r="A795" t="inlineStr">
        <is>
          <t>78d936bf02c85bb88a22952a506ace4c</t>
        </is>
      </c>
      <c r="B795" s="29" t="n">
        <v>43227</v>
      </c>
      <c r="C795" t="inlineStr">
        <is>
          <t>2018-05</t>
        </is>
      </c>
      <c r="D795" t="inlineStr">
        <is>
          <t>58326e62183c14b0c03085c33b9fdc44</t>
        </is>
      </c>
      <c r="E795" t="inlineStr">
        <is>
          <t>social</t>
        </is>
      </c>
      <c r="F795">
        <f>IFERROR(MATCH(A795,Deals!$A$2:$A$843,0),"")</f>
        <v/>
      </c>
      <c r="G795">
        <f>IF(F795="",0,1)</f>
        <v/>
      </c>
      <c r="H795" s="29">
        <f>IF(F795="","",INDEX(Deals!$E$2:$E$843,F795))</f>
        <v/>
      </c>
      <c r="I795">
        <f>IF(F795="","",INDEX(Deals!$D$2:$D$843,F795))</f>
        <v/>
      </c>
      <c r="J795">
        <f>IF(F795="","",INT(H795)-B795)</f>
        <v/>
      </c>
      <c r="K795">
        <f>IF(B795&gt;=Settings!$C$5,1,0)</f>
        <v/>
      </c>
    </row>
    <row r="796">
      <c r="A796" t="inlineStr">
        <is>
          <t>66376c393ba5faa7b07d3d4a0c7e3d02</t>
        </is>
      </c>
      <c r="B796" s="29" t="n">
        <v>43205</v>
      </c>
      <c r="C796" t="inlineStr">
        <is>
          <t>2018-04</t>
        </is>
      </c>
      <c r="D796" t="inlineStr">
        <is>
          <t>58326e62183c14b0c03085c33b9fdc44</t>
        </is>
      </c>
      <c r="E796" t="inlineStr">
        <is>
          <t>social</t>
        </is>
      </c>
      <c r="F796">
        <f>IFERROR(MATCH(A796,Deals!$A$2:$A$843,0),"")</f>
        <v/>
      </c>
      <c r="G796">
        <f>IF(F796="",0,1)</f>
        <v/>
      </c>
      <c r="H796" s="29">
        <f>IF(F796="","",INDEX(Deals!$E$2:$E$843,F796))</f>
        <v/>
      </c>
      <c r="I796">
        <f>IF(F796="","",INDEX(Deals!$D$2:$D$843,F796))</f>
        <v/>
      </c>
      <c r="J796">
        <f>IF(F796="","",INT(H796)-B796)</f>
        <v/>
      </c>
      <c r="K796">
        <f>IF(B796&gt;=Settings!$C$5,1,0)</f>
        <v/>
      </c>
    </row>
    <row r="797">
      <c r="A797" t="inlineStr">
        <is>
          <t>363b27721bc30b0327f475f174615752</t>
        </is>
      </c>
      <c r="B797" s="29" t="n">
        <v>43150</v>
      </c>
      <c r="C797" t="inlineStr">
        <is>
          <t>2018-02</t>
        </is>
      </c>
      <c r="D797" t="inlineStr">
        <is>
          <t>b6885f18d203a61176418c1fb3764815</t>
        </is>
      </c>
      <c r="E797" t="inlineStr">
        <is>
          <t>organic_search</t>
        </is>
      </c>
      <c r="F797">
        <f>IFERROR(MATCH(A797,Deals!$A$2:$A$843,0),"")</f>
        <v/>
      </c>
      <c r="G797">
        <f>IF(F797="",0,1)</f>
        <v/>
      </c>
      <c r="H797" s="29">
        <f>IF(F797="","",INDEX(Deals!$E$2:$E$843,F797))</f>
        <v/>
      </c>
      <c r="I797">
        <f>IF(F797="","",INDEX(Deals!$D$2:$D$843,F797))</f>
        <v/>
      </c>
      <c r="J797">
        <f>IF(F797="","",INT(H797)-B797)</f>
        <v/>
      </c>
      <c r="K797">
        <f>IF(B797&gt;=Settings!$C$5,1,0)</f>
        <v/>
      </c>
    </row>
    <row r="798">
      <c r="A798" t="inlineStr">
        <is>
          <t>d2e0cd9827a0e602372279400b09c4f5</t>
        </is>
      </c>
      <c r="B798" s="29" t="n">
        <v>42979</v>
      </c>
      <c r="C798" t="inlineStr">
        <is>
          <t>2017-09</t>
        </is>
      </c>
      <c r="D798" t="inlineStr">
        <is>
          <t>87732658ba41d8775e8577df347a64db</t>
        </is>
      </c>
      <c r="E798" t="inlineStr">
        <is>
          <t>unknown</t>
        </is>
      </c>
      <c r="F798">
        <f>IFERROR(MATCH(A798,Deals!$A$2:$A$843,0),"")</f>
        <v/>
      </c>
      <c r="G798">
        <f>IF(F798="",0,1)</f>
        <v/>
      </c>
      <c r="H798" s="29">
        <f>IF(F798="","",INDEX(Deals!$E$2:$E$843,F798))</f>
        <v/>
      </c>
      <c r="I798">
        <f>IF(F798="","",INDEX(Deals!$D$2:$D$843,F798))</f>
        <v/>
      </c>
      <c r="J798">
        <f>IF(F798="","",INT(H798)-B798)</f>
        <v/>
      </c>
      <c r="K798">
        <f>IF(B798&gt;=Settings!$C$5,1,0)</f>
        <v/>
      </c>
    </row>
    <row r="799">
      <c r="A799" t="inlineStr">
        <is>
          <t>c91d989c82b339a78ce0c05964eb2aaf</t>
        </is>
      </c>
      <c r="B799" s="29" t="n">
        <v>43122</v>
      </c>
      <c r="C799" t="inlineStr">
        <is>
          <t>2018-01</t>
        </is>
      </c>
      <c r="D799" t="inlineStr">
        <is>
          <t>22c29808c4f815213303f8933030604c</t>
        </is>
      </c>
      <c r="E799" t="inlineStr">
        <is>
          <t>organic_search</t>
        </is>
      </c>
      <c r="F799">
        <f>IFERROR(MATCH(A799,Deals!$A$2:$A$843,0),"")</f>
        <v/>
      </c>
      <c r="G799">
        <f>IF(F799="",0,1)</f>
        <v/>
      </c>
      <c r="H799" s="29">
        <f>IF(F799="","",INDEX(Deals!$E$2:$E$843,F799))</f>
        <v/>
      </c>
      <c r="I799">
        <f>IF(F799="","",INDEX(Deals!$D$2:$D$843,F799))</f>
        <v/>
      </c>
      <c r="J799">
        <f>IF(F799="","",INT(H799)-B799)</f>
        <v/>
      </c>
      <c r="K799">
        <f>IF(B799&gt;=Settings!$C$5,1,0)</f>
        <v/>
      </c>
    </row>
    <row r="800">
      <c r="A800" t="inlineStr">
        <is>
          <t>275a5602cd91a468a0e10c226a03a39c</t>
        </is>
      </c>
      <c r="B800" s="29" t="n">
        <v>43133</v>
      </c>
      <c r="C800" t="inlineStr">
        <is>
          <t>2018-02</t>
        </is>
      </c>
      <c r="D800" t="inlineStr">
        <is>
          <t>a7982125ff7aa3b2054c6e44f9d28522</t>
        </is>
      </c>
      <c r="E800" t="inlineStr">
        <is>
          <t>organic_search</t>
        </is>
      </c>
      <c r="F800">
        <f>IFERROR(MATCH(A800,Deals!$A$2:$A$843,0),"")</f>
        <v/>
      </c>
      <c r="G800">
        <f>IF(F800="",0,1)</f>
        <v/>
      </c>
      <c r="H800" s="29">
        <f>IF(F800="","",INDEX(Deals!$E$2:$E$843,F800))</f>
        <v/>
      </c>
      <c r="I800">
        <f>IF(F800="","",INDEX(Deals!$D$2:$D$843,F800))</f>
        <v/>
      </c>
      <c r="J800">
        <f>IF(F800="","",INT(H800)-B800)</f>
        <v/>
      </c>
      <c r="K800">
        <f>IF(B800&gt;=Settings!$C$5,1,0)</f>
        <v/>
      </c>
    </row>
    <row r="801">
      <c r="A801" t="inlineStr">
        <is>
          <t>7f2f38601e18f8d94fad2b8e237cc1a7</t>
        </is>
      </c>
      <c r="B801" s="29" t="n">
        <v>43125</v>
      </c>
      <c r="C801" t="inlineStr">
        <is>
          <t>2018-01</t>
        </is>
      </c>
      <c r="D801" t="inlineStr">
        <is>
          <t>a7982125ff7aa3b2054c6e44f9d28522</t>
        </is>
      </c>
      <c r="E801" t="inlineStr">
        <is>
          <t>direct_traffic</t>
        </is>
      </c>
      <c r="F801">
        <f>IFERROR(MATCH(A801,Deals!$A$2:$A$843,0),"")</f>
        <v/>
      </c>
      <c r="G801">
        <f>IF(F801="",0,1)</f>
        <v/>
      </c>
      <c r="H801" s="29">
        <f>IF(F801="","",INDEX(Deals!$E$2:$E$843,F801))</f>
        <v/>
      </c>
      <c r="I801">
        <f>IF(F801="","",INDEX(Deals!$D$2:$D$843,F801))</f>
        <v/>
      </c>
      <c r="J801">
        <f>IF(F801="","",INT(H801)-B801)</f>
        <v/>
      </c>
      <c r="K801">
        <f>IF(B801&gt;=Settings!$C$5,1,0)</f>
        <v/>
      </c>
    </row>
    <row r="802">
      <c r="A802" t="inlineStr">
        <is>
          <t>f343eeaff25ce857c412a552c4f160d6</t>
        </is>
      </c>
      <c r="B802" s="29" t="n">
        <v>42944</v>
      </c>
      <c r="C802" t="inlineStr">
        <is>
          <t>2017-07</t>
        </is>
      </c>
      <c r="D802" t="inlineStr">
        <is>
          <t>0218f6be0b76aca72ab4d00ee9e8cf10</t>
        </is>
      </c>
      <c r="E802" t="inlineStr">
        <is>
          <t>paid_search</t>
        </is>
      </c>
      <c r="F802">
        <f>IFERROR(MATCH(A802,Deals!$A$2:$A$843,0),"")</f>
        <v/>
      </c>
      <c r="G802">
        <f>IF(F802="",0,1)</f>
        <v/>
      </c>
      <c r="H802" s="29">
        <f>IF(F802="","",INDEX(Deals!$E$2:$E$843,F802))</f>
        <v/>
      </c>
      <c r="I802">
        <f>IF(F802="","",INDEX(Deals!$D$2:$D$843,F802))</f>
        <v/>
      </c>
      <c r="J802">
        <f>IF(F802="","",INT(H802)-B802)</f>
        <v/>
      </c>
      <c r="K802">
        <f>IF(B802&gt;=Settings!$C$5,1,0)</f>
        <v/>
      </c>
    </row>
    <row r="803">
      <c r="A803" t="inlineStr">
        <is>
          <t>d312e6a8dd81e4a0fca59ebc3915e5e0</t>
        </is>
      </c>
      <c r="B803" s="29" t="n">
        <v>43116</v>
      </c>
      <c r="C803" t="inlineStr">
        <is>
          <t>2018-01</t>
        </is>
      </c>
      <c r="D803" t="inlineStr">
        <is>
          <t>241f79c7a8fe0270f4fb79fcbbcd17ad</t>
        </is>
      </c>
      <c r="E803" t="inlineStr">
        <is>
          <t>paid_search</t>
        </is>
      </c>
      <c r="F803">
        <f>IFERROR(MATCH(A803,Deals!$A$2:$A$843,0),"")</f>
        <v/>
      </c>
      <c r="G803">
        <f>IF(F803="",0,1)</f>
        <v/>
      </c>
      <c r="H803" s="29">
        <f>IF(F803="","",INDEX(Deals!$E$2:$E$843,F803))</f>
        <v/>
      </c>
      <c r="I803">
        <f>IF(F803="","",INDEX(Deals!$D$2:$D$843,F803))</f>
        <v/>
      </c>
      <c r="J803">
        <f>IF(F803="","",INT(H803)-B803)</f>
        <v/>
      </c>
      <c r="K803">
        <f>IF(B803&gt;=Settings!$C$5,1,0)</f>
        <v/>
      </c>
    </row>
    <row r="804">
      <c r="A804" t="inlineStr">
        <is>
          <t>e2d6345be0924a744fdca3fb01c3b313</t>
        </is>
      </c>
      <c r="B804" s="29" t="n">
        <v>43147</v>
      </c>
      <c r="C804" t="inlineStr">
        <is>
          <t>2018-02</t>
        </is>
      </c>
      <c r="D804" t="inlineStr">
        <is>
          <t>f017be4dbf86243af5c1ebed0cff36a2</t>
        </is>
      </c>
      <c r="E804" t="inlineStr">
        <is>
          <t>email</t>
        </is>
      </c>
      <c r="F804">
        <f>IFERROR(MATCH(A804,Deals!$A$2:$A$843,0),"")</f>
        <v/>
      </c>
      <c r="G804">
        <f>IF(F804="",0,1)</f>
        <v/>
      </c>
      <c r="H804" s="29">
        <f>IF(F804="","",INDEX(Deals!$E$2:$E$843,F804))</f>
        <v/>
      </c>
      <c r="I804">
        <f>IF(F804="","",INDEX(Deals!$D$2:$D$843,F804))</f>
        <v/>
      </c>
      <c r="J804">
        <f>IF(F804="","",INT(H804)-B804)</f>
        <v/>
      </c>
      <c r="K804">
        <f>IF(B804&gt;=Settings!$C$5,1,0)</f>
        <v/>
      </c>
    </row>
    <row r="805">
      <c r="A805" t="inlineStr">
        <is>
          <t>b4049a148eacf5ac3b5eac7c67e85758</t>
        </is>
      </c>
      <c r="B805" s="29" t="n">
        <v>42924</v>
      </c>
      <c r="C805" t="inlineStr">
        <is>
          <t>2017-07</t>
        </is>
      </c>
      <c r="D805" t="inlineStr">
        <is>
          <t>76d33b7836dd4396f9dd310392f570f8</t>
        </is>
      </c>
      <c r="E805" t="inlineStr">
        <is>
          <t>referral</t>
        </is>
      </c>
      <c r="F805">
        <f>IFERROR(MATCH(A805,Deals!$A$2:$A$843,0),"")</f>
        <v/>
      </c>
      <c r="G805">
        <f>IF(F805="",0,1)</f>
        <v/>
      </c>
      <c r="H805" s="29">
        <f>IF(F805="","",INDEX(Deals!$E$2:$E$843,F805))</f>
        <v/>
      </c>
      <c r="I805">
        <f>IF(F805="","",INDEX(Deals!$D$2:$D$843,F805))</f>
        <v/>
      </c>
      <c r="J805">
        <f>IF(F805="","",INT(H805)-B805)</f>
        <v/>
      </c>
      <c r="K805">
        <f>IF(B805&gt;=Settings!$C$5,1,0)</f>
        <v/>
      </c>
    </row>
    <row r="806">
      <c r="A806" t="inlineStr">
        <is>
          <t>fe1e7a6ec9a1b0684752d2f5c02677dd</t>
        </is>
      </c>
      <c r="B806" s="29" t="n">
        <v>43219</v>
      </c>
      <c r="C806" t="inlineStr">
        <is>
          <t>2018-04</t>
        </is>
      </c>
      <c r="D806" t="inlineStr">
        <is>
          <t>a7982125ff7aa3b2054c6e44f9d28522</t>
        </is>
      </c>
      <c r="E806" t="inlineStr">
        <is>
          <t>organic_search</t>
        </is>
      </c>
      <c r="F806">
        <f>IFERROR(MATCH(A806,Deals!$A$2:$A$843,0),"")</f>
        <v/>
      </c>
      <c r="G806">
        <f>IF(F806="",0,1)</f>
        <v/>
      </c>
      <c r="H806" s="29">
        <f>IF(F806="","",INDEX(Deals!$E$2:$E$843,F806))</f>
        <v/>
      </c>
      <c r="I806">
        <f>IF(F806="","",INDEX(Deals!$D$2:$D$843,F806))</f>
        <v/>
      </c>
      <c r="J806">
        <f>IF(F806="","",INT(H806)-B806)</f>
        <v/>
      </c>
      <c r="K806">
        <f>IF(B806&gt;=Settings!$C$5,1,0)</f>
        <v/>
      </c>
    </row>
    <row r="807">
      <c r="A807" t="inlineStr">
        <is>
          <t>b0f169f34a2db30bedfd6604058ebc4b</t>
        </is>
      </c>
      <c r="B807" s="29" t="n">
        <v>42977</v>
      </c>
      <c r="C807" t="inlineStr">
        <is>
          <t>2017-08</t>
        </is>
      </c>
      <c r="D807" t="inlineStr">
        <is>
          <t>3cd2a8301d5395f21cdd3094c9eaa2f4</t>
        </is>
      </c>
      <c r="E807" t="inlineStr">
        <is>
          <t>paid_search</t>
        </is>
      </c>
      <c r="F807">
        <f>IFERROR(MATCH(A807,Deals!$A$2:$A$843,0),"")</f>
        <v/>
      </c>
      <c r="G807">
        <f>IF(F807="",0,1)</f>
        <v/>
      </c>
      <c r="H807" s="29">
        <f>IF(F807="","",INDEX(Deals!$E$2:$E$843,F807))</f>
        <v/>
      </c>
      <c r="I807">
        <f>IF(F807="","",INDEX(Deals!$D$2:$D$843,F807))</f>
        <v/>
      </c>
      <c r="J807">
        <f>IF(F807="","",INT(H807)-B807)</f>
        <v/>
      </c>
      <c r="K807">
        <f>IF(B807&gt;=Settings!$C$5,1,0)</f>
        <v/>
      </c>
    </row>
    <row r="808">
      <c r="A808" t="inlineStr">
        <is>
          <t>f1f904947b93e2b75be65a0930d1b695</t>
        </is>
      </c>
      <c r="B808" s="29" t="n">
        <v>43182</v>
      </c>
      <c r="C808" t="inlineStr">
        <is>
          <t>2018-03</t>
        </is>
      </c>
      <c r="D808" t="inlineStr">
        <is>
          <t>58326e62183c14b0c03085c33b9fdc44</t>
        </is>
      </c>
      <c r="E808" t="inlineStr">
        <is>
          <t>social</t>
        </is>
      </c>
      <c r="F808">
        <f>IFERROR(MATCH(A808,Deals!$A$2:$A$843,0),"")</f>
        <v/>
      </c>
      <c r="G808">
        <f>IF(F808="",0,1)</f>
        <v/>
      </c>
      <c r="H808" s="29">
        <f>IF(F808="","",INDEX(Deals!$E$2:$E$843,F808))</f>
        <v/>
      </c>
      <c r="I808">
        <f>IF(F808="","",INDEX(Deals!$D$2:$D$843,F808))</f>
        <v/>
      </c>
      <c r="J808">
        <f>IF(F808="","",INT(H808)-B808)</f>
        <v/>
      </c>
      <c r="K808">
        <f>IF(B808&gt;=Settings!$C$5,1,0)</f>
        <v/>
      </c>
    </row>
    <row r="809">
      <c r="A809" t="inlineStr">
        <is>
          <t>7a0d62e6941200656929bab75aa209bf</t>
        </is>
      </c>
      <c r="B809" s="29" t="n">
        <v>43034</v>
      </c>
      <c r="C809" t="inlineStr">
        <is>
          <t>2017-10</t>
        </is>
      </c>
      <c r="D809" t="inlineStr">
        <is>
          <t>b76ef37428e6799c421989521c0e5077</t>
        </is>
      </c>
      <c r="E809" t="inlineStr">
        <is>
          <t>display</t>
        </is>
      </c>
      <c r="F809">
        <f>IFERROR(MATCH(A809,Deals!$A$2:$A$843,0),"")</f>
        <v/>
      </c>
      <c r="G809">
        <f>IF(F809="",0,1)</f>
        <v/>
      </c>
      <c r="H809" s="29">
        <f>IF(F809="","",INDEX(Deals!$E$2:$E$843,F809))</f>
        <v/>
      </c>
      <c r="I809">
        <f>IF(F809="","",INDEX(Deals!$D$2:$D$843,F809))</f>
        <v/>
      </c>
      <c r="J809">
        <f>IF(F809="","",INT(H809)-B809)</f>
        <v/>
      </c>
      <c r="K809">
        <f>IF(B809&gt;=Settings!$C$5,1,0)</f>
        <v/>
      </c>
    </row>
    <row r="810">
      <c r="A810" t="inlineStr">
        <is>
          <t>75b3ef7f6b2e155c5ff3a5b2c32fed80</t>
        </is>
      </c>
      <c r="B810" s="29" t="n">
        <v>43193</v>
      </c>
      <c r="C810" t="inlineStr">
        <is>
          <t>2018-04</t>
        </is>
      </c>
      <c r="D810" t="inlineStr">
        <is>
          <t>f017be4dbf86243af5c1ebed0cff36a2</t>
        </is>
      </c>
      <c r="E810" t="inlineStr">
        <is>
          <t>organic_search</t>
        </is>
      </c>
      <c r="F810">
        <f>IFERROR(MATCH(A810,Deals!$A$2:$A$843,0),"")</f>
        <v/>
      </c>
      <c r="G810">
        <f>IF(F810="",0,1)</f>
        <v/>
      </c>
      <c r="H810" s="29">
        <f>IF(F810="","",INDEX(Deals!$E$2:$E$843,F810))</f>
        <v/>
      </c>
      <c r="I810">
        <f>IF(F810="","",INDEX(Deals!$D$2:$D$843,F810))</f>
        <v/>
      </c>
      <c r="J810">
        <f>IF(F810="","",INT(H810)-B810)</f>
        <v/>
      </c>
      <c r="K810">
        <f>IF(B810&gt;=Settings!$C$5,1,0)</f>
        <v/>
      </c>
    </row>
    <row r="811">
      <c r="A811" t="inlineStr">
        <is>
          <t>b9e0d988ef324486f2affe24640a10ab</t>
        </is>
      </c>
      <c r="B811" s="29" t="n">
        <v>43108</v>
      </c>
      <c r="C811" t="inlineStr">
        <is>
          <t>2018-01</t>
        </is>
      </c>
      <c r="D811" t="inlineStr">
        <is>
          <t>b76ef37428e6799c421989521c0e5077</t>
        </is>
      </c>
      <c r="E811" t="inlineStr">
        <is>
          <t>unknown</t>
        </is>
      </c>
      <c r="F811">
        <f>IFERROR(MATCH(A811,Deals!$A$2:$A$843,0),"")</f>
        <v/>
      </c>
      <c r="G811">
        <f>IF(F811="",0,1)</f>
        <v/>
      </c>
      <c r="H811" s="29">
        <f>IF(F811="","",INDEX(Deals!$E$2:$E$843,F811))</f>
        <v/>
      </c>
      <c r="I811">
        <f>IF(F811="","",INDEX(Deals!$D$2:$D$843,F811))</f>
        <v/>
      </c>
      <c r="J811">
        <f>IF(F811="","",INT(H811)-B811)</f>
        <v/>
      </c>
      <c r="K811">
        <f>IF(B811&gt;=Settings!$C$5,1,0)</f>
        <v/>
      </c>
    </row>
    <row r="812">
      <c r="A812" t="inlineStr">
        <is>
          <t>112c3ef9284e248052b90399d61b4e06</t>
        </is>
      </c>
      <c r="B812" s="29" t="n">
        <v>42947</v>
      </c>
      <c r="C812" t="inlineStr">
        <is>
          <t>2017-07</t>
        </is>
      </c>
      <c r="D812" t="inlineStr">
        <is>
          <t>3b86d7e8c33da2767ad2af9782f383d5</t>
        </is>
      </c>
      <c r="E812" t="inlineStr">
        <is>
          <t>unknown</t>
        </is>
      </c>
      <c r="F812">
        <f>IFERROR(MATCH(A812,Deals!$A$2:$A$843,0),"")</f>
        <v/>
      </c>
      <c r="G812">
        <f>IF(F812="",0,1)</f>
        <v/>
      </c>
      <c r="H812" s="29">
        <f>IF(F812="","",INDEX(Deals!$E$2:$E$843,F812))</f>
        <v/>
      </c>
      <c r="I812">
        <f>IF(F812="","",INDEX(Deals!$D$2:$D$843,F812))</f>
        <v/>
      </c>
      <c r="J812">
        <f>IF(F812="","",INT(H812)-B812)</f>
        <v/>
      </c>
      <c r="K812">
        <f>IF(B812&gt;=Settings!$C$5,1,0)</f>
        <v/>
      </c>
    </row>
    <row r="813">
      <c r="A813" t="inlineStr">
        <is>
          <t>b0e9bec72fddebfe8676e0f509ab99be</t>
        </is>
      </c>
      <c r="B813" s="29" t="n">
        <v>43201</v>
      </c>
      <c r="C813" t="inlineStr">
        <is>
          <t>2018-04</t>
        </is>
      </c>
      <c r="D813" t="inlineStr">
        <is>
          <t>b76ef37428e6799c421989521c0e5077</t>
        </is>
      </c>
      <c r="E813" t="inlineStr">
        <is>
          <t>direct_traffic</t>
        </is>
      </c>
      <c r="F813">
        <f>IFERROR(MATCH(A813,Deals!$A$2:$A$843,0),"")</f>
        <v/>
      </c>
      <c r="G813">
        <f>IF(F813="",0,1)</f>
        <v/>
      </c>
      <c r="H813" s="29">
        <f>IF(F813="","",INDEX(Deals!$E$2:$E$843,F813))</f>
        <v/>
      </c>
      <c r="I813">
        <f>IF(F813="","",INDEX(Deals!$D$2:$D$843,F813))</f>
        <v/>
      </c>
      <c r="J813">
        <f>IF(F813="","",INT(H813)-B813)</f>
        <v/>
      </c>
      <c r="K813">
        <f>IF(B813&gt;=Settings!$C$5,1,0)</f>
        <v/>
      </c>
    </row>
    <row r="814">
      <c r="A814" t="inlineStr">
        <is>
          <t>8b38db7d180d173e34d94e7cf4f29206</t>
        </is>
      </c>
      <c r="B814" s="29" t="n">
        <v>43231</v>
      </c>
      <c r="C814" t="inlineStr">
        <is>
          <t>2018-05</t>
        </is>
      </c>
      <c r="D814" t="inlineStr">
        <is>
          <t>b76ef37428e6799c421989521c0e5077</t>
        </is>
      </c>
      <c r="E814" t="inlineStr">
        <is>
          <t>unknown</t>
        </is>
      </c>
      <c r="F814">
        <f>IFERROR(MATCH(A814,Deals!$A$2:$A$843,0),"")</f>
        <v/>
      </c>
      <c r="G814">
        <f>IF(F814="",0,1)</f>
        <v/>
      </c>
      <c r="H814" s="29">
        <f>IF(F814="","",INDEX(Deals!$E$2:$E$843,F814))</f>
        <v/>
      </c>
      <c r="I814">
        <f>IF(F814="","",INDEX(Deals!$D$2:$D$843,F814))</f>
        <v/>
      </c>
      <c r="J814">
        <f>IF(F814="","",INT(H814)-B814)</f>
        <v/>
      </c>
      <c r="K814">
        <f>IF(B814&gt;=Settings!$C$5,1,0)</f>
        <v/>
      </c>
    </row>
    <row r="815">
      <c r="A815" t="inlineStr">
        <is>
          <t>259d4db69e0d371dac1dfc193b5afaba</t>
        </is>
      </c>
      <c r="B815" s="29" t="n">
        <v>43200</v>
      </c>
      <c r="C815" t="inlineStr">
        <is>
          <t>2018-04</t>
        </is>
      </c>
      <c r="D815" t="inlineStr">
        <is>
          <t>58326e62183c14b0c03085c33b9fdc44</t>
        </is>
      </c>
      <c r="E815" t="inlineStr">
        <is>
          <t>social</t>
        </is>
      </c>
      <c r="F815">
        <f>IFERROR(MATCH(A815,Deals!$A$2:$A$843,0),"")</f>
        <v/>
      </c>
      <c r="G815">
        <f>IF(F815="",0,1)</f>
        <v/>
      </c>
      <c r="H815" s="29">
        <f>IF(F815="","",INDEX(Deals!$E$2:$E$843,F815))</f>
        <v/>
      </c>
      <c r="I815">
        <f>IF(F815="","",INDEX(Deals!$D$2:$D$843,F815))</f>
        <v/>
      </c>
      <c r="J815">
        <f>IF(F815="","",INT(H815)-B815)</f>
        <v/>
      </c>
      <c r="K815">
        <f>IF(B815&gt;=Settings!$C$5,1,0)</f>
        <v/>
      </c>
    </row>
    <row r="816">
      <c r="A816" t="inlineStr">
        <is>
          <t>86db00ea09965c14268bcb96bfa6f834</t>
        </is>
      </c>
      <c r="B816" s="29" t="n">
        <v>43248</v>
      </c>
      <c r="C816" t="inlineStr">
        <is>
          <t>2018-05</t>
        </is>
      </c>
      <c r="D816" t="inlineStr">
        <is>
          <t>58326e62183c14b0c03085c33b9fdc44</t>
        </is>
      </c>
      <c r="E816" t="inlineStr">
        <is>
          <t>social</t>
        </is>
      </c>
      <c r="F816">
        <f>IFERROR(MATCH(A816,Deals!$A$2:$A$843,0),"")</f>
        <v/>
      </c>
      <c r="G816">
        <f>IF(F816="",0,1)</f>
        <v/>
      </c>
      <c r="H816" s="29">
        <f>IF(F816="","",INDEX(Deals!$E$2:$E$843,F816))</f>
        <v/>
      </c>
      <c r="I816">
        <f>IF(F816="","",INDEX(Deals!$D$2:$D$843,F816))</f>
        <v/>
      </c>
      <c r="J816">
        <f>IF(F816="","",INT(H816)-B816)</f>
        <v/>
      </c>
      <c r="K816">
        <f>IF(B816&gt;=Settings!$C$5,1,0)</f>
        <v/>
      </c>
    </row>
    <row r="817">
      <c r="A817" t="inlineStr">
        <is>
          <t>b6ac971e55bee482346a196c2a82365a</t>
        </is>
      </c>
      <c r="B817" s="29" t="n">
        <v>43210</v>
      </c>
      <c r="C817" t="inlineStr">
        <is>
          <t>2018-04</t>
        </is>
      </c>
      <c r="D817" t="inlineStr">
        <is>
          <t>58326e62183c14b0c03085c33b9fdc44</t>
        </is>
      </c>
      <c r="E817" t="inlineStr">
        <is>
          <t>social</t>
        </is>
      </c>
      <c r="F817">
        <f>IFERROR(MATCH(A817,Deals!$A$2:$A$843,0),"")</f>
        <v/>
      </c>
      <c r="G817">
        <f>IF(F817="",0,1)</f>
        <v/>
      </c>
      <c r="H817" s="29">
        <f>IF(F817="","",INDEX(Deals!$E$2:$E$843,F817))</f>
        <v/>
      </c>
      <c r="I817">
        <f>IF(F817="","",INDEX(Deals!$D$2:$D$843,F817))</f>
        <v/>
      </c>
      <c r="J817">
        <f>IF(F817="","",INT(H817)-B817)</f>
        <v/>
      </c>
      <c r="K817">
        <f>IF(B817&gt;=Settings!$C$5,1,0)</f>
        <v/>
      </c>
    </row>
    <row r="818">
      <c r="A818" t="inlineStr">
        <is>
          <t>973f838d28efef823e04555387a25924</t>
        </is>
      </c>
      <c r="B818" s="29" t="n">
        <v>43196</v>
      </c>
      <c r="C818" t="inlineStr">
        <is>
          <t>2018-04</t>
        </is>
      </c>
      <c r="D818" t="inlineStr">
        <is>
          <t>22c29808c4f815213303f8933030604c</t>
        </is>
      </c>
      <c r="E818" t="inlineStr">
        <is>
          <t>direct_traffic</t>
        </is>
      </c>
      <c r="F818">
        <f>IFERROR(MATCH(A818,Deals!$A$2:$A$843,0),"")</f>
        <v/>
      </c>
      <c r="G818">
        <f>IF(F818="",0,1)</f>
        <v/>
      </c>
      <c r="H818" s="29">
        <f>IF(F818="","",INDEX(Deals!$E$2:$E$843,F818))</f>
        <v/>
      </c>
      <c r="I818">
        <f>IF(F818="","",INDEX(Deals!$D$2:$D$843,F818))</f>
        <v/>
      </c>
      <c r="J818">
        <f>IF(F818="","",INT(H818)-B818)</f>
        <v/>
      </c>
      <c r="K818">
        <f>IF(B818&gt;=Settings!$C$5,1,0)</f>
        <v/>
      </c>
    </row>
    <row r="819">
      <c r="A819" t="inlineStr">
        <is>
          <t>356333e7a96d35ff0f200107a9317e15</t>
        </is>
      </c>
      <c r="B819" s="29" t="n">
        <v>43188</v>
      </c>
      <c r="C819" t="inlineStr">
        <is>
          <t>2018-03</t>
        </is>
      </c>
      <c r="D819" t="inlineStr">
        <is>
          <t>007f9098284a86ee80ddeb25d53e0af8</t>
        </is>
      </c>
      <c r="E819" t="inlineStr">
        <is>
          <t>paid_search</t>
        </is>
      </c>
      <c r="F819">
        <f>IFERROR(MATCH(A819,Deals!$A$2:$A$843,0),"")</f>
        <v/>
      </c>
      <c r="G819">
        <f>IF(F819="",0,1)</f>
        <v/>
      </c>
      <c r="H819" s="29">
        <f>IF(F819="","",INDEX(Deals!$E$2:$E$843,F819))</f>
        <v/>
      </c>
      <c r="I819">
        <f>IF(F819="","",INDEX(Deals!$D$2:$D$843,F819))</f>
        <v/>
      </c>
      <c r="J819">
        <f>IF(F819="","",INT(H819)-B819)</f>
        <v/>
      </c>
      <c r="K819">
        <f>IF(B819&gt;=Settings!$C$5,1,0)</f>
        <v/>
      </c>
    </row>
    <row r="820">
      <c r="A820" t="inlineStr">
        <is>
          <t>4127060f9834214ff4f97985c6227cfd</t>
        </is>
      </c>
      <c r="B820" s="29" t="n">
        <v>43146</v>
      </c>
      <c r="C820" t="inlineStr">
        <is>
          <t>2018-02</t>
        </is>
      </c>
      <c r="D820" t="inlineStr">
        <is>
          <t>b76ef37428e6799c421989521c0e5077</t>
        </is>
      </c>
      <c r="E820" t="inlineStr">
        <is>
          <t>organic_search</t>
        </is>
      </c>
      <c r="F820">
        <f>IFERROR(MATCH(A820,Deals!$A$2:$A$843,0),"")</f>
        <v/>
      </c>
      <c r="G820">
        <f>IF(F820="",0,1)</f>
        <v/>
      </c>
      <c r="H820" s="29">
        <f>IF(F820="","",INDEX(Deals!$E$2:$E$843,F820))</f>
        <v/>
      </c>
      <c r="I820">
        <f>IF(F820="","",INDEX(Deals!$D$2:$D$843,F820))</f>
        <v/>
      </c>
      <c r="J820">
        <f>IF(F820="","",INT(H820)-B820)</f>
        <v/>
      </c>
      <c r="K820">
        <f>IF(B820&gt;=Settings!$C$5,1,0)</f>
        <v/>
      </c>
    </row>
    <row r="821">
      <c r="A821" t="inlineStr">
        <is>
          <t>a727afed2900c4a8b9d5d393a691419a</t>
        </is>
      </c>
      <c r="B821" s="29" t="n">
        <v>43220</v>
      </c>
      <c r="C821" t="inlineStr">
        <is>
          <t>2018-04</t>
        </is>
      </c>
      <c r="D821" t="inlineStr">
        <is>
          <t>0218f6be0b76aca72ab4d00ee9e8cf10</t>
        </is>
      </c>
      <c r="E821" t="inlineStr">
        <is>
          <t>organic_search</t>
        </is>
      </c>
      <c r="F821">
        <f>IFERROR(MATCH(A821,Deals!$A$2:$A$843,0),"")</f>
        <v/>
      </c>
      <c r="G821">
        <f>IF(F821="",0,1)</f>
        <v/>
      </c>
      <c r="H821" s="29">
        <f>IF(F821="","",INDEX(Deals!$E$2:$E$843,F821))</f>
        <v/>
      </c>
      <c r="I821">
        <f>IF(F821="","",INDEX(Deals!$D$2:$D$843,F821))</f>
        <v/>
      </c>
      <c r="J821">
        <f>IF(F821="","",INT(H821)-B821)</f>
        <v/>
      </c>
      <c r="K821">
        <f>IF(B821&gt;=Settings!$C$5,1,0)</f>
        <v/>
      </c>
    </row>
    <row r="822">
      <c r="A822" t="inlineStr">
        <is>
          <t>58caf27a48e7930aefd5437298d64a70</t>
        </is>
      </c>
      <c r="B822" s="29" t="n">
        <v>43182</v>
      </c>
      <c r="C822" t="inlineStr">
        <is>
          <t>2018-03</t>
        </is>
      </c>
      <c r="D822" t="inlineStr">
        <is>
          <t>65d9f9d71e562365e8b44037c2888d98</t>
        </is>
      </c>
      <c r="E822" t="inlineStr">
        <is>
          <t>paid_search</t>
        </is>
      </c>
      <c r="F822">
        <f>IFERROR(MATCH(A822,Deals!$A$2:$A$843,0),"")</f>
        <v/>
      </c>
      <c r="G822">
        <f>IF(F822="",0,1)</f>
        <v/>
      </c>
      <c r="H822" s="29">
        <f>IF(F822="","",INDEX(Deals!$E$2:$E$843,F822))</f>
        <v/>
      </c>
      <c r="I822">
        <f>IF(F822="","",INDEX(Deals!$D$2:$D$843,F822))</f>
        <v/>
      </c>
      <c r="J822">
        <f>IF(F822="","",INT(H822)-B822)</f>
        <v/>
      </c>
      <c r="K822">
        <f>IF(B822&gt;=Settings!$C$5,1,0)</f>
        <v/>
      </c>
    </row>
    <row r="823">
      <c r="A823" t="inlineStr">
        <is>
          <t>7882b4948eeadbe1bdc31c45f7ba7687</t>
        </is>
      </c>
      <c r="B823" s="29" t="n">
        <v>43161</v>
      </c>
      <c r="C823" t="inlineStr">
        <is>
          <t>2018-03</t>
        </is>
      </c>
      <c r="D823" t="inlineStr">
        <is>
          <t>b5740085c06d098b773bfb41b7122229</t>
        </is>
      </c>
      <c r="E823" t="inlineStr">
        <is>
          <t>direct_traffic</t>
        </is>
      </c>
      <c r="F823">
        <f>IFERROR(MATCH(A823,Deals!$A$2:$A$843,0),"")</f>
        <v/>
      </c>
      <c r="G823">
        <f>IF(F823="",0,1)</f>
        <v/>
      </c>
      <c r="H823" s="29">
        <f>IF(F823="","",INDEX(Deals!$E$2:$E$843,F823))</f>
        <v/>
      </c>
      <c r="I823">
        <f>IF(F823="","",INDEX(Deals!$D$2:$D$843,F823))</f>
        <v/>
      </c>
      <c r="J823">
        <f>IF(F823="","",INT(H823)-B823)</f>
        <v/>
      </c>
      <c r="K823">
        <f>IF(B823&gt;=Settings!$C$5,1,0)</f>
        <v/>
      </c>
    </row>
    <row r="824">
      <c r="A824" t="inlineStr">
        <is>
          <t>d9efa6e0a8cba54f51b61621ed310a37</t>
        </is>
      </c>
      <c r="B824" s="29" t="n">
        <v>43060</v>
      </c>
      <c r="C824" t="inlineStr">
        <is>
          <t>2017-11</t>
        </is>
      </c>
      <c r="D824" t="inlineStr">
        <is>
          <t>b76ef37428e6799c421989521c0e5077</t>
        </is>
      </c>
      <c r="E824" t="inlineStr">
        <is>
          <t>unknown</t>
        </is>
      </c>
      <c r="F824">
        <f>IFERROR(MATCH(A824,Deals!$A$2:$A$843,0),"")</f>
        <v/>
      </c>
      <c r="G824">
        <f>IF(F824="",0,1)</f>
        <v/>
      </c>
      <c r="H824" s="29">
        <f>IF(F824="","",INDEX(Deals!$E$2:$E$843,F824))</f>
        <v/>
      </c>
      <c r="I824">
        <f>IF(F824="","",INDEX(Deals!$D$2:$D$843,F824))</f>
        <v/>
      </c>
      <c r="J824">
        <f>IF(F824="","",INT(H824)-B824)</f>
        <v/>
      </c>
      <c r="K824">
        <f>IF(B824&gt;=Settings!$C$5,1,0)</f>
        <v/>
      </c>
    </row>
    <row r="825">
      <c r="A825" t="inlineStr">
        <is>
          <t>a2196b8476c66511b2155498ee241e75</t>
        </is>
      </c>
      <c r="B825" s="29" t="n">
        <v>43208</v>
      </c>
      <c r="C825" t="inlineStr">
        <is>
          <t>2018-04</t>
        </is>
      </c>
      <c r="D825" t="inlineStr">
        <is>
          <t>46bd119220c8bf61324669b1d82203ac</t>
        </is>
      </c>
      <c r="E825" t="inlineStr">
        <is>
          <t>organic_search</t>
        </is>
      </c>
      <c r="F825">
        <f>IFERROR(MATCH(A825,Deals!$A$2:$A$843,0),"")</f>
        <v/>
      </c>
      <c r="G825">
        <f>IF(F825="",0,1)</f>
        <v/>
      </c>
      <c r="H825" s="29">
        <f>IF(F825="","",INDEX(Deals!$E$2:$E$843,F825))</f>
        <v/>
      </c>
      <c r="I825">
        <f>IF(F825="","",INDEX(Deals!$D$2:$D$843,F825))</f>
        <v/>
      </c>
      <c r="J825">
        <f>IF(F825="","",INT(H825)-B825)</f>
        <v/>
      </c>
      <c r="K825">
        <f>IF(B825&gt;=Settings!$C$5,1,0)</f>
        <v/>
      </c>
    </row>
    <row r="826">
      <c r="A826" t="inlineStr">
        <is>
          <t>1550809bafe5147e0d9e0e8b44455bc1</t>
        </is>
      </c>
      <c r="B826" s="29" t="n">
        <v>43225</v>
      </c>
      <c r="C826" t="inlineStr">
        <is>
          <t>2018-05</t>
        </is>
      </c>
      <c r="D826" t="inlineStr">
        <is>
          <t>9fa37f5177115156b1814ffc237402a6</t>
        </is>
      </c>
      <c r="E826" t="inlineStr">
        <is>
          <t>paid_search</t>
        </is>
      </c>
      <c r="F826">
        <f>IFERROR(MATCH(A826,Deals!$A$2:$A$843,0),"")</f>
        <v/>
      </c>
      <c r="G826">
        <f>IF(F826="",0,1)</f>
        <v/>
      </c>
      <c r="H826" s="29">
        <f>IF(F826="","",INDEX(Deals!$E$2:$E$843,F826))</f>
        <v/>
      </c>
      <c r="I826">
        <f>IF(F826="","",INDEX(Deals!$D$2:$D$843,F826))</f>
        <v/>
      </c>
      <c r="J826">
        <f>IF(F826="","",INT(H826)-B826)</f>
        <v/>
      </c>
      <c r="K826">
        <f>IF(B826&gt;=Settings!$C$5,1,0)</f>
        <v/>
      </c>
    </row>
    <row r="827">
      <c r="A827" t="inlineStr">
        <is>
          <t>b8f0029125f1f6745f9d8fa1b6704c9f</t>
        </is>
      </c>
      <c r="B827" s="29" t="n">
        <v>43182</v>
      </c>
      <c r="C827" t="inlineStr">
        <is>
          <t>2018-03</t>
        </is>
      </c>
      <c r="D827" t="inlineStr">
        <is>
          <t>ce1a65abd0973638f1c887a6efcfa82d</t>
        </is>
      </c>
      <c r="E827" t="inlineStr">
        <is>
          <t>organic_search</t>
        </is>
      </c>
      <c r="F827">
        <f>IFERROR(MATCH(A827,Deals!$A$2:$A$843,0),"")</f>
        <v/>
      </c>
      <c r="G827">
        <f>IF(F827="",0,1)</f>
        <v/>
      </c>
      <c r="H827" s="29">
        <f>IF(F827="","",INDEX(Deals!$E$2:$E$843,F827))</f>
        <v/>
      </c>
      <c r="I827">
        <f>IF(F827="","",INDEX(Deals!$D$2:$D$843,F827))</f>
        <v/>
      </c>
      <c r="J827">
        <f>IF(F827="","",INT(H827)-B827)</f>
        <v/>
      </c>
      <c r="K827">
        <f>IF(B827&gt;=Settings!$C$5,1,0)</f>
        <v/>
      </c>
    </row>
    <row r="828">
      <c r="A828" t="inlineStr">
        <is>
          <t>e47810d3bcc6fb73d2c868287ed890a2</t>
        </is>
      </c>
      <c r="B828" s="29" t="n">
        <v>43251</v>
      </c>
      <c r="C828" t="inlineStr">
        <is>
          <t>2018-05</t>
        </is>
      </c>
      <c r="D828" t="inlineStr">
        <is>
          <t>6265f632e27ca4d14268e0cb91ebc4a4</t>
        </is>
      </c>
      <c r="E828" t="inlineStr">
        <is>
          <t>organic_search</t>
        </is>
      </c>
      <c r="F828">
        <f>IFERROR(MATCH(A828,Deals!$A$2:$A$843,0),"")</f>
        <v/>
      </c>
      <c r="G828">
        <f>IF(F828="",0,1)</f>
        <v/>
      </c>
      <c r="H828" s="29">
        <f>IF(F828="","",INDEX(Deals!$E$2:$E$843,F828))</f>
        <v/>
      </c>
      <c r="I828">
        <f>IF(F828="","",INDEX(Deals!$D$2:$D$843,F828))</f>
        <v/>
      </c>
      <c r="J828">
        <f>IF(F828="","",INT(H828)-B828)</f>
        <v/>
      </c>
      <c r="K828">
        <f>IF(B828&gt;=Settings!$C$5,1,0)</f>
        <v/>
      </c>
    </row>
    <row r="829">
      <c r="A829" t="inlineStr">
        <is>
          <t>2d69a2b7a27852c89b6bcafc83d1ec72</t>
        </is>
      </c>
      <c r="B829" s="29" t="n">
        <v>42963</v>
      </c>
      <c r="C829" t="inlineStr">
        <is>
          <t>2017-08</t>
        </is>
      </c>
      <c r="D829" t="inlineStr">
        <is>
          <t>e492ee5eaf1697716985cc6f33f9cd9b</t>
        </is>
      </c>
      <c r="E829" t="inlineStr">
        <is>
          <t>unknown</t>
        </is>
      </c>
      <c r="F829">
        <f>IFERROR(MATCH(A829,Deals!$A$2:$A$843,0),"")</f>
        <v/>
      </c>
      <c r="G829">
        <f>IF(F829="",0,1)</f>
        <v/>
      </c>
      <c r="H829" s="29">
        <f>IF(F829="","",INDEX(Deals!$E$2:$E$843,F829))</f>
        <v/>
      </c>
      <c r="I829">
        <f>IF(F829="","",INDEX(Deals!$D$2:$D$843,F829))</f>
        <v/>
      </c>
      <c r="J829">
        <f>IF(F829="","",INT(H829)-B829)</f>
        <v/>
      </c>
      <c r="K829">
        <f>IF(B829&gt;=Settings!$C$5,1,0)</f>
        <v/>
      </c>
    </row>
    <row r="830">
      <c r="A830" t="inlineStr">
        <is>
          <t>2b094148a9d10109b903715267c4dd14</t>
        </is>
      </c>
      <c r="B830" s="29" t="n">
        <v>43159</v>
      </c>
      <c r="C830" t="inlineStr">
        <is>
          <t>2018-02</t>
        </is>
      </c>
      <c r="D830" t="inlineStr">
        <is>
          <t>b76ef37428e6799c421989521c0e5077</t>
        </is>
      </c>
      <c r="E830" t="inlineStr">
        <is>
          <t>unknown</t>
        </is>
      </c>
      <c r="F830">
        <f>IFERROR(MATCH(A830,Deals!$A$2:$A$843,0),"")</f>
        <v/>
      </c>
      <c r="G830">
        <f>IF(F830="",0,1)</f>
        <v/>
      </c>
      <c r="H830" s="29">
        <f>IF(F830="","",INDEX(Deals!$E$2:$E$843,F830))</f>
        <v/>
      </c>
      <c r="I830">
        <f>IF(F830="","",INDEX(Deals!$D$2:$D$843,F830))</f>
        <v/>
      </c>
      <c r="J830">
        <f>IF(F830="","",INT(H830)-B830)</f>
        <v/>
      </c>
      <c r="K830">
        <f>IF(B830&gt;=Settings!$C$5,1,0)</f>
        <v/>
      </c>
    </row>
    <row r="831">
      <c r="A831" t="inlineStr">
        <is>
          <t>aef2cbc9b4a4f13c44f4cd77c09c1f03</t>
        </is>
      </c>
      <c r="B831" s="29" t="n">
        <v>43202</v>
      </c>
      <c r="C831" t="inlineStr">
        <is>
          <t>2018-04</t>
        </is>
      </c>
      <c r="D831" t="inlineStr">
        <is>
          <t>b76ef37428e6799c421989521c0e5077</t>
        </is>
      </c>
      <c r="E831" t="inlineStr">
        <is>
          <t>unknown</t>
        </is>
      </c>
      <c r="F831">
        <f>IFERROR(MATCH(A831,Deals!$A$2:$A$843,0),"")</f>
        <v/>
      </c>
      <c r="G831">
        <f>IF(F831="",0,1)</f>
        <v/>
      </c>
      <c r="H831" s="29">
        <f>IF(F831="","",INDEX(Deals!$E$2:$E$843,F831))</f>
        <v/>
      </c>
      <c r="I831">
        <f>IF(F831="","",INDEX(Deals!$D$2:$D$843,F831))</f>
        <v/>
      </c>
      <c r="J831">
        <f>IF(F831="","",INT(H831)-B831)</f>
        <v/>
      </c>
      <c r="K831">
        <f>IF(B831&gt;=Settings!$C$5,1,0)</f>
        <v/>
      </c>
    </row>
    <row r="832">
      <c r="A832" t="inlineStr">
        <is>
          <t>e5f15cc640c8a7408103dd190ced966c</t>
        </is>
      </c>
      <c r="B832" s="29" t="n">
        <v>43103</v>
      </c>
      <c r="C832" t="inlineStr">
        <is>
          <t>2018-01</t>
        </is>
      </c>
      <c r="D832" t="inlineStr">
        <is>
          <t>b76ef37428e6799c421989521c0e5077</t>
        </is>
      </c>
      <c r="E832" t="inlineStr">
        <is>
          <t>unknown</t>
        </is>
      </c>
      <c r="F832">
        <f>IFERROR(MATCH(A832,Deals!$A$2:$A$843,0),"")</f>
        <v/>
      </c>
      <c r="G832">
        <f>IF(F832="",0,1)</f>
        <v/>
      </c>
      <c r="H832" s="29">
        <f>IF(F832="","",INDEX(Deals!$E$2:$E$843,F832))</f>
        <v/>
      </c>
      <c r="I832">
        <f>IF(F832="","",INDEX(Deals!$D$2:$D$843,F832))</f>
        <v/>
      </c>
      <c r="J832">
        <f>IF(F832="","",INT(H832)-B832)</f>
        <v/>
      </c>
      <c r="K832">
        <f>IF(B832&gt;=Settings!$C$5,1,0)</f>
        <v/>
      </c>
    </row>
    <row r="833">
      <c r="A833" t="inlineStr">
        <is>
          <t>7b81c4f46d031aa280f8293efa226a9b</t>
        </is>
      </c>
      <c r="B833" s="29" t="n">
        <v>42942</v>
      </c>
      <c r="C833" t="inlineStr">
        <is>
          <t>2017-07</t>
        </is>
      </c>
      <c r="D833" t="inlineStr">
        <is>
          <t>91dbdf987124ca09b297bd87f06b5e64</t>
        </is>
      </c>
      <c r="E833" t="inlineStr">
        <is>
          <t>unknown</t>
        </is>
      </c>
      <c r="F833">
        <f>IFERROR(MATCH(A833,Deals!$A$2:$A$843,0),"")</f>
        <v/>
      </c>
      <c r="G833">
        <f>IF(F833="",0,1)</f>
        <v/>
      </c>
      <c r="H833" s="29">
        <f>IF(F833="","",INDEX(Deals!$E$2:$E$843,F833))</f>
        <v/>
      </c>
      <c r="I833">
        <f>IF(F833="","",INDEX(Deals!$D$2:$D$843,F833))</f>
        <v/>
      </c>
      <c r="J833">
        <f>IF(F833="","",INT(H833)-B833)</f>
        <v/>
      </c>
      <c r="K833">
        <f>IF(B833&gt;=Settings!$C$5,1,0)</f>
        <v/>
      </c>
    </row>
    <row r="834">
      <c r="A834" t="inlineStr">
        <is>
          <t>0a27b0193970757955db1cae7efb9c3a</t>
        </is>
      </c>
      <c r="B834" s="29" t="n">
        <v>42920</v>
      </c>
      <c r="C834" t="inlineStr">
        <is>
          <t>2017-07</t>
        </is>
      </c>
      <c r="D834" t="inlineStr">
        <is>
          <t>c016fd3539eb32d58ae4dca01b4a2061</t>
        </is>
      </c>
      <c r="E834" t="inlineStr">
        <is>
          <t>display</t>
        </is>
      </c>
      <c r="F834">
        <f>IFERROR(MATCH(A834,Deals!$A$2:$A$843,0),"")</f>
        <v/>
      </c>
      <c r="G834">
        <f>IF(F834="",0,1)</f>
        <v/>
      </c>
      <c r="H834" s="29">
        <f>IF(F834="","",INDEX(Deals!$E$2:$E$843,F834))</f>
        <v/>
      </c>
      <c r="I834">
        <f>IF(F834="","",INDEX(Deals!$D$2:$D$843,F834))</f>
        <v/>
      </c>
      <c r="J834">
        <f>IF(F834="","",INT(H834)-B834)</f>
        <v/>
      </c>
      <c r="K834">
        <f>IF(B834&gt;=Settings!$C$5,1,0)</f>
        <v/>
      </c>
    </row>
    <row r="835">
      <c r="A835" t="inlineStr">
        <is>
          <t>6745a5fdd380986045b26e7da5749c43</t>
        </is>
      </c>
      <c r="B835" s="29" t="n">
        <v>43250</v>
      </c>
      <c r="C835" t="inlineStr">
        <is>
          <t>2018-05</t>
        </is>
      </c>
      <c r="D835" t="inlineStr">
        <is>
          <t>22c29808c4f815213303f8933030604c</t>
        </is>
      </c>
      <c r="E835" t="inlineStr">
        <is>
          <t>paid_search</t>
        </is>
      </c>
      <c r="F835">
        <f>IFERROR(MATCH(A835,Deals!$A$2:$A$843,0),"")</f>
        <v/>
      </c>
      <c r="G835">
        <f>IF(F835="",0,1)</f>
        <v/>
      </c>
      <c r="H835" s="29">
        <f>IF(F835="","",INDEX(Deals!$E$2:$E$843,F835))</f>
        <v/>
      </c>
      <c r="I835">
        <f>IF(F835="","",INDEX(Deals!$D$2:$D$843,F835))</f>
        <v/>
      </c>
      <c r="J835">
        <f>IF(F835="","",INT(H835)-B835)</f>
        <v/>
      </c>
      <c r="K835">
        <f>IF(B835&gt;=Settings!$C$5,1,0)</f>
        <v/>
      </c>
    </row>
    <row r="836">
      <c r="A836" t="inlineStr">
        <is>
          <t>ad2aea3bbd1050e84e2a0f0b9fdeea1d</t>
        </is>
      </c>
      <c r="B836" s="29" t="n">
        <v>43018</v>
      </c>
      <c r="C836" t="inlineStr">
        <is>
          <t>2017-10</t>
        </is>
      </c>
      <c r="D836" t="inlineStr">
        <is>
          <t>22c29808c4f815213303f8933030604c</t>
        </is>
      </c>
      <c r="E836" t="inlineStr">
        <is>
          <t>paid_search</t>
        </is>
      </c>
      <c r="F836">
        <f>IFERROR(MATCH(A836,Deals!$A$2:$A$843,0),"")</f>
        <v/>
      </c>
      <c r="G836">
        <f>IF(F836="",0,1)</f>
        <v/>
      </c>
      <c r="H836" s="29">
        <f>IF(F836="","",INDEX(Deals!$E$2:$E$843,F836))</f>
        <v/>
      </c>
      <c r="I836">
        <f>IF(F836="","",INDEX(Deals!$D$2:$D$843,F836))</f>
        <v/>
      </c>
      <c r="J836">
        <f>IF(F836="","",INT(H836)-B836)</f>
        <v/>
      </c>
      <c r="K836">
        <f>IF(B836&gt;=Settings!$C$5,1,0)</f>
        <v/>
      </c>
    </row>
    <row r="837">
      <c r="A837" t="inlineStr">
        <is>
          <t>e25bf3c43cedb0dc08164d55cdff9f01</t>
        </is>
      </c>
      <c r="B837" s="29" t="n">
        <v>43103</v>
      </c>
      <c r="C837" t="inlineStr">
        <is>
          <t>2018-01</t>
        </is>
      </c>
      <c r="D837" t="inlineStr">
        <is>
          <t>b76ef37428e6799c421989521c0e5077</t>
        </is>
      </c>
      <c r="E837" t="inlineStr">
        <is>
          <t>social</t>
        </is>
      </c>
      <c r="F837">
        <f>IFERROR(MATCH(A837,Deals!$A$2:$A$843,0),"")</f>
        <v/>
      </c>
      <c r="G837">
        <f>IF(F837="",0,1)</f>
        <v/>
      </c>
      <c r="H837" s="29">
        <f>IF(F837="","",INDEX(Deals!$E$2:$E$843,F837))</f>
        <v/>
      </c>
      <c r="I837">
        <f>IF(F837="","",INDEX(Deals!$D$2:$D$843,F837))</f>
        <v/>
      </c>
      <c r="J837">
        <f>IF(F837="","",INT(H837)-B837)</f>
        <v/>
      </c>
      <c r="K837">
        <f>IF(B837&gt;=Settings!$C$5,1,0)</f>
        <v/>
      </c>
    </row>
    <row r="838">
      <c r="A838" t="inlineStr">
        <is>
          <t>a10118110deab18a25a4a3cb5cae6bb5</t>
        </is>
      </c>
      <c r="B838" s="29" t="n">
        <v>42941</v>
      </c>
      <c r="C838" t="inlineStr">
        <is>
          <t>2017-07</t>
        </is>
      </c>
      <c r="D838" t="inlineStr">
        <is>
          <t>e964a0b7ce20d152c6ecc57c706d6291</t>
        </is>
      </c>
      <c r="E838" t="inlineStr">
        <is>
          <t>organic_search</t>
        </is>
      </c>
      <c r="F838">
        <f>IFERROR(MATCH(A838,Deals!$A$2:$A$843,0),"")</f>
        <v/>
      </c>
      <c r="G838">
        <f>IF(F838="",0,1)</f>
        <v/>
      </c>
      <c r="H838" s="29">
        <f>IF(F838="","",INDEX(Deals!$E$2:$E$843,F838))</f>
        <v/>
      </c>
      <c r="I838">
        <f>IF(F838="","",INDEX(Deals!$D$2:$D$843,F838))</f>
        <v/>
      </c>
      <c r="J838">
        <f>IF(F838="","",INT(H838)-B838)</f>
        <v/>
      </c>
      <c r="K838">
        <f>IF(B838&gt;=Settings!$C$5,1,0)</f>
        <v/>
      </c>
    </row>
    <row r="839">
      <c r="A839" t="inlineStr">
        <is>
          <t>a15880813bd2f137e9f6922cbb7255bf</t>
        </is>
      </c>
      <c r="B839" s="29" t="n">
        <v>43179</v>
      </c>
      <c r="C839" t="inlineStr">
        <is>
          <t>2018-03</t>
        </is>
      </c>
      <c r="D839" t="inlineStr">
        <is>
          <t>e492ee5eaf1697716985cc6f33f9cd9b</t>
        </is>
      </c>
      <c r="E839" t="inlineStr">
        <is>
          <t>paid_search</t>
        </is>
      </c>
      <c r="F839">
        <f>IFERROR(MATCH(A839,Deals!$A$2:$A$843,0),"")</f>
        <v/>
      </c>
      <c r="G839">
        <f>IF(F839="",0,1)</f>
        <v/>
      </c>
      <c r="H839" s="29">
        <f>IF(F839="","",INDEX(Deals!$E$2:$E$843,F839))</f>
        <v/>
      </c>
      <c r="I839">
        <f>IF(F839="","",INDEX(Deals!$D$2:$D$843,F839))</f>
        <v/>
      </c>
      <c r="J839">
        <f>IF(F839="","",INT(H839)-B839)</f>
        <v/>
      </c>
      <c r="K839">
        <f>IF(B839&gt;=Settings!$C$5,1,0)</f>
        <v/>
      </c>
    </row>
    <row r="840">
      <c r="A840" t="inlineStr">
        <is>
          <t>346a524a3ac60a706ba4f27f7c2a6475</t>
        </is>
      </c>
      <c r="B840" s="29" t="n">
        <v>43096</v>
      </c>
      <c r="C840" t="inlineStr">
        <is>
          <t>2017-12</t>
        </is>
      </c>
      <c r="D840" t="inlineStr">
        <is>
          <t>a0fbc0263cb98bdb0d72b9f9f283a172</t>
        </is>
      </c>
      <c r="E840" t="inlineStr">
        <is>
          <t>paid_search</t>
        </is>
      </c>
      <c r="F840">
        <f>IFERROR(MATCH(A840,Deals!$A$2:$A$843,0),"")</f>
        <v/>
      </c>
      <c r="G840">
        <f>IF(F840="",0,1)</f>
        <v/>
      </c>
      <c r="H840" s="29">
        <f>IF(F840="","",INDEX(Deals!$E$2:$E$843,F840))</f>
        <v/>
      </c>
      <c r="I840">
        <f>IF(F840="","",INDEX(Deals!$D$2:$D$843,F840))</f>
        <v/>
      </c>
      <c r="J840">
        <f>IF(F840="","",INT(H840)-B840)</f>
        <v/>
      </c>
      <c r="K840">
        <f>IF(B840&gt;=Settings!$C$5,1,0)</f>
        <v/>
      </c>
    </row>
    <row r="841">
      <c r="A841" t="inlineStr">
        <is>
          <t>8b33ab221257b074d1d967042ad1d9d0</t>
        </is>
      </c>
      <c r="B841" s="29" t="n">
        <v>43113</v>
      </c>
      <c r="C841" t="inlineStr">
        <is>
          <t>2018-01</t>
        </is>
      </c>
      <c r="D841" t="inlineStr">
        <is>
          <t>f017be4dbf86243af5c1ebed0cff36a2</t>
        </is>
      </c>
      <c r="E841" t="inlineStr">
        <is>
          <t>organic_search</t>
        </is>
      </c>
      <c r="F841">
        <f>IFERROR(MATCH(A841,Deals!$A$2:$A$843,0),"")</f>
        <v/>
      </c>
      <c r="G841">
        <f>IF(F841="",0,1)</f>
        <v/>
      </c>
      <c r="H841" s="29">
        <f>IF(F841="","",INDEX(Deals!$E$2:$E$843,F841))</f>
        <v/>
      </c>
      <c r="I841">
        <f>IF(F841="","",INDEX(Deals!$D$2:$D$843,F841))</f>
        <v/>
      </c>
      <c r="J841">
        <f>IF(F841="","",INT(H841)-B841)</f>
        <v/>
      </c>
      <c r="K841">
        <f>IF(B841&gt;=Settings!$C$5,1,0)</f>
        <v/>
      </c>
    </row>
    <row r="842">
      <c r="A842" t="inlineStr">
        <is>
          <t>75e7422d583d668ff30498f5e81d133f</t>
        </is>
      </c>
      <c r="B842" s="29" t="n">
        <v>43141</v>
      </c>
      <c r="C842" t="inlineStr">
        <is>
          <t>2018-02</t>
        </is>
      </c>
      <c r="D842" t="inlineStr">
        <is>
          <t>22c29808c4f815213303f8933030604c</t>
        </is>
      </c>
      <c r="E842" t="inlineStr">
        <is>
          <t>organic_search</t>
        </is>
      </c>
      <c r="F842">
        <f>IFERROR(MATCH(A842,Deals!$A$2:$A$843,0),"")</f>
        <v/>
      </c>
      <c r="G842">
        <f>IF(F842="",0,1)</f>
        <v/>
      </c>
      <c r="H842" s="29">
        <f>IF(F842="","",INDEX(Deals!$E$2:$E$843,F842))</f>
        <v/>
      </c>
      <c r="I842">
        <f>IF(F842="","",INDEX(Deals!$D$2:$D$843,F842))</f>
        <v/>
      </c>
      <c r="J842">
        <f>IF(F842="","",INT(H842)-B842)</f>
        <v/>
      </c>
      <c r="K842">
        <f>IF(B842&gt;=Settings!$C$5,1,0)</f>
        <v/>
      </c>
    </row>
    <row r="843">
      <c r="A843" t="inlineStr">
        <is>
          <t>ffb7ac22255bd36e37fe1185603892fc</t>
        </is>
      </c>
      <c r="B843" s="29" t="n">
        <v>43175</v>
      </c>
      <c r="C843" t="inlineStr">
        <is>
          <t>2018-03</t>
        </is>
      </c>
      <c r="D843" t="inlineStr">
        <is>
          <t>b76ef37428e6799c421989521c0e5077</t>
        </is>
      </c>
      <c r="E843" t="inlineStr">
        <is>
          <t>paid_search</t>
        </is>
      </c>
      <c r="F843">
        <f>IFERROR(MATCH(A843,Deals!$A$2:$A$843,0),"")</f>
        <v/>
      </c>
      <c r="G843">
        <f>IF(F843="",0,1)</f>
        <v/>
      </c>
      <c r="H843" s="29">
        <f>IF(F843="","",INDEX(Deals!$E$2:$E$843,F843))</f>
        <v/>
      </c>
      <c r="I843">
        <f>IF(F843="","",INDEX(Deals!$D$2:$D$843,F843))</f>
        <v/>
      </c>
      <c r="J843">
        <f>IF(F843="","",INT(H843)-B843)</f>
        <v/>
      </c>
      <c r="K843">
        <f>IF(B843&gt;=Settings!$C$5,1,0)</f>
        <v/>
      </c>
    </row>
    <row r="844">
      <c r="A844" t="inlineStr">
        <is>
          <t>30627d0d71028dbab2dfc4335ba3ad32</t>
        </is>
      </c>
      <c r="B844" s="29" t="n">
        <v>43127</v>
      </c>
      <c r="C844" t="inlineStr">
        <is>
          <t>2018-01</t>
        </is>
      </c>
      <c r="D844" t="inlineStr">
        <is>
          <t>f017be4dbf86243af5c1ebed0cff36a2</t>
        </is>
      </c>
      <c r="E844" t="inlineStr">
        <is>
          <t>social</t>
        </is>
      </c>
      <c r="F844">
        <f>IFERROR(MATCH(A844,Deals!$A$2:$A$843,0),"")</f>
        <v/>
      </c>
      <c r="G844">
        <f>IF(F844="",0,1)</f>
        <v/>
      </c>
      <c r="H844" s="29">
        <f>IF(F844="","",INDEX(Deals!$E$2:$E$843,F844))</f>
        <v/>
      </c>
      <c r="I844">
        <f>IF(F844="","",INDEX(Deals!$D$2:$D$843,F844))</f>
        <v/>
      </c>
      <c r="J844">
        <f>IF(F844="","",INT(H844)-B844)</f>
        <v/>
      </c>
      <c r="K844">
        <f>IF(B844&gt;=Settings!$C$5,1,0)</f>
        <v/>
      </c>
    </row>
    <row r="845">
      <c r="A845" t="inlineStr">
        <is>
          <t>461dfd2f6d3d6f36725ac423a51c6130</t>
        </is>
      </c>
      <c r="B845" s="29" t="n">
        <v>43063</v>
      </c>
      <c r="C845" t="inlineStr">
        <is>
          <t>2017-11</t>
        </is>
      </c>
      <c r="D845" t="inlineStr">
        <is>
          <t>5da54625ee0a9560dc9b9b9f6ccb03d0</t>
        </is>
      </c>
      <c r="E845" t="inlineStr">
        <is>
          <t>paid_search</t>
        </is>
      </c>
      <c r="F845">
        <f>IFERROR(MATCH(A845,Deals!$A$2:$A$843,0),"")</f>
        <v/>
      </c>
      <c r="G845">
        <f>IF(F845="",0,1)</f>
        <v/>
      </c>
      <c r="H845" s="29">
        <f>IF(F845="","",INDEX(Deals!$E$2:$E$843,F845))</f>
        <v/>
      </c>
      <c r="I845">
        <f>IF(F845="","",INDEX(Deals!$D$2:$D$843,F845))</f>
        <v/>
      </c>
      <c r="J845">
        <f>IF(F845="","",INT(H845)-B845)</f>
        <v/>
      </c>
      <c r="K845">
        <f>IF(B845&gt;=Settings!$C$5,1,0)</f>
        <v/>
      </c>
    </row>
    <row r="846">
      <c r="A846" t="inlineStr">
        <is>
          <t>72cfa54adabf75a36f18185567aa8ea1</t>
        </is>
      </c>
      <c r="B846" s="29" t="n">
        <v>43150</v>
      </c>
      <c r="C846" t="inlineStr">
        <is>
          <t>2018-02</t>
        </is>
      </c>
      <c r="D846" t="inlineStr">
        <is>
          <t>b76ef37428e6799c421989521c0e5077</t>
        </is>
      </c>
      <c r="E846" t="inlineStr">
        <is>
          <t>unknown</t>
        </is>
      </c>
      <c r="F846">
        <f>IFERROR(MATCH(A846,Deals!$A$2:$A$843,0),"")</f>
        <v/>
      </c>
      <c r="G846">
        <f>IF(F846="",0,1)</f>
        <v/>
      </c>
      <c r="H846" s="29">
        <f>IF(F846="","",INDEX(Deals!$E$2:$E$843,F846))</f>
        <v/>
      </c>
      <c r="I846">
        <f>IF(F846="","",INDEX(Deals!$D$2:$D$843,F846))</f>
        <v/>
      </c>
      <c r="J846">
        <f>IF(F846="","",INT(H846)-B846)</f>
        <v/>
      </c>
      <c r="K846">
        <f>IF(B846&gt;=Settings!$C$5,1,0)</f>
        <v/>
      </c>
    </row>
    <row r="847">
      <c r="A847" t="inlineStr">
        <is>
          <t>1366e1015bac7aa81e30e421c14c0a7c</t>
        </is>
      </c>
      <c r="B847" s="29" t="n">
        <v>43071</v>
      </c>
      <c r="C847" t="inlineStr">
        <is>
          <t>2017-12</t>
        </is>
      </c>
      <c r="D847" t="inlineStr">
        <is>
          <t>22c29808c4f815213303f8933030604c</t>
        </is>
      </c>
      <c r="E847" t="inlineStr">
        <is>
          <t>organic_search</t>
        </is>
      </c>
      <c r="F847">
        <f>IFERROR(MATCH(A847,Deals!$A$2:$A$843,0),"")</f>
        <v/>
      </c>
      <c r="G847">
        <f>IF(F847="",0,1)</f>
        <v/>
      </c>
      <c r="H847" s="29">
        <f>IF(F847="","",INDEX(Deals!$E$2:$E$843,F847))</f>
        <v/>
      </c>
      <c r="I847">
        <f>IF(F847="","",INDEX(Deals!$D$2:$D$843,F847))</f>
        <v/>
      </c>
      <c r="J847">
        <f>IF(F847="","",INT(H847)-B847)</f>
        <v/>
      </c>
      <c r="K847">
        <f>IF(B847&gt;=Settings!$C$5,1,0)</f>
        <v/>
      </c>
    </row>
    <row r="848">
      <c r="A848" t="inlineStr">
        <is>
          <t>c7567e4dd48114e82ef45702ccbc06c5</t>
        </is>
      </c>
      <c r="B848" s="29" t="n">
        <v>42945</v>
      </c>
      <c r="C848" t="inlineStr">
        <is>
          <t>2017-07</t>
        </is>
      </c>
      <c r="D848" t="inlineStr">
        <is>
          <t>7eb40e4e44fef8bff604b621119446c7</t>
        </is>
      </c>
      <c r="E848" t="inlineStr">
        <is>
          <t>social</t>
        </is>
      </c>
      <c r="F848">
        <f>IFERROR(MATCH(A848,Deals!$A$2:$A$843,0),"")</f>
        <v/>
      </c>
      <c r="G848">
        <f>IF(F848="",0,1)</f>
        <v/>
      </c>
      <c r="H848" s="29">
        <f>IF(F848="","",INDEX(Deals!$E$2:$E$843,F848))</f>
        <v/>
      </c>
      <c r="I848">
        <f>IF(F848="","",INDEX(Deals!$D$2:$D$843,F848))</f>
        <v/>
      </c>
      <c r="J848">
        <f>IF(F848="","",INT(H848)-B848)</f>
        <v/>
      </c>
      <c r="K848">
        <f>IF(B848&gt;=Settings!$C$5,1,0)</f>
        <v/>
      </c>
    </row>
    <row r="849">
      <c r="A849" t="inlineStr">
        <is>
          <t>c99d191b82af960a7bfab48a035d2f8b</t>
        </is>
      </c>
      <c r="B849" s="29" t="n">
        <v>43129</v>
      </c>
      <c r="C849" t="inlineStr">
        <is>
          <t>2018-01</t>
        </is>
      </c>
      <c r="D849" t="inlineStr">
        <is>
          <t>f017be4dbf86243af5c1ebed0cff36a2</t>
        </is>
      </c>
      <c r="E849" t="inlineStr">
        <is>
          <t>organic_search</t>
        </is>
      </c>
      <c r="F849">
        <f>IFERROR(MATCH(A849,Deals!$A$2:$A$843,0),"")</f>
        <v/>
      </c>
      <c r="G849">
        <f>IF(F849="",0,1)</f>
        <v/>
      </c>
      <c r="H849" s="29">
        <f>IF(F849="","",INDEX(Deals!$E$2:$E$843,F849))</f>
        <v/>
      </c>
      <c r="I849">
        <f>IF(F849="","",INDEX(Deals!$D$2:$D$843,F849))</f>
        <v/>
      </c>
      <c r="J849">
        <f>IF(F849="","",INT(H849)-B849)</f>
        <v/>
      </c>
      <c r="K849">
        <f>IF(B849&gt;=Settings!$C$5,1,0)</f>
        <v/>
      </c>
    </row>
    <row r="850">
      <c r="A850" t="inlineStr">
        <is>
          <t>1762dbc29d6d9babac1c267cc49352a7</t>
        </is>
      </c>
      <c r="B850" s="29" t="n">
        <v>43112</v>
      </c>
      <c r="C850" t="inlineStr">
        <is>
          <t>2018-01</t>
        </is>
      </c>
      <c r="D850" t="inlineStr">
        <is>
          <t>40dec9f3d5259a3d2dbcdab2114fae47</t>
        </is>
      </c>
      <c r="E850" t="inlineStr">
        <is>
          <t>paid_search</t>
        </is>
      </c>
      <c r="F850">
        <f>IFERROR(MATCH(A850,Deals!$A$2:$A$843,0),"")</f>
        <v/>
      </c>
      <c r="G850">
        <f>IF(F850="",0,1)</f>
        <v/>
      </c>
      <c r="H850" s="29">
        <f>IF(F850="","",INDEX(Deals!$E$2:$E$843,F850))</f>
        <v/>
      </c>
      <c r="I850">
        <f>IF(F850="","",INDEX(Deals!$D$2:$D$843,F850))</f>
        <v/>
      </c>
      <c r="J850">
        <f>IF(F850="","",INT(H850)-B850)</f>
        <v/>
      </c>
      <c r="K850">
        <f>IF(B850&gt;=Settings!$C$5,1,0)</f>
        <v/>
      </c>
    </row>
    <row r="851">
      <c r="A851" t="inlineStr">
        <is>
          <t>290db70122024b966676c5ca55e67d21</t>
        </is>
      </c>
      <c r="B851" s="29" t="n">
        <v>43119</v>
      </c>
      <c r="C851" t="inlineStr">
        <is>
          <t>2018-01</t>
        </is>
      </c>
      <c r="D851" t="inlineStr">
        <is>
          <t>73f31a40697cc90a86c1273563ac230e</t>
        </is>
      </c>
      <c r="E851" t="inlineStr">
        <is>
          <t>other</t>
        </is>
      </c>
      <c r="F851">
        <f>IFERROR(MATCH(A851,Deals!$A$2:$A$843,0),"")</f>
        <v/>
      </c>
      <c r="G851">
        <f>IF(F851="",0,1)</f>
        <v/>
      </c>
      <c r="H851" s="29">
        <f>IF(F851="","",INDEX(Deals!$E$2:$E$843,F851))</f>
        <v/>
      </c>
      <c r="I851">
        <f>IF(F851="","",INDEX(Deals!$D$2:$D$843,F851))</f>
        <v/>
      </c>
      <c r="J851">
        <f>IF(F851="","",INT(H851)-B851)</f>
        <v/>
      </c>
      <c r="K851">
        <f>IF(B851&gt;=Settings!$C$5,1,0)</f>
        <v/>
      </c>
    </row>
    <row r="852">
      <c r="A852" t="inlineStr">
        <is>
          <t>55803f966202bb45829744de092b2f02</t>
        </is>
      </c>
      <c r="B852" s="29" t="n">
        <v>43227</v>
      </c>
      <c r="C852" t="inlineStr">
        <is>
          <t>2018-05</t>
        </is>
      </c>
      <c r="D852" t="inlineStr">
        <is>
          <t>ce1a65abd0973638f1c887a6efcfa82d</t>
        </is>
      </c>
      <c r="E852" t="inlineStr">
        <is>
          <t>paid_search</t>
        </is>
      </c>
      <c r="F852">
        <f>IFERROR(MATCH(A852,Deals!$A$2:$A$843,0),"")</f>
        <v/>
      </c>
      <c r="G852">
        <f>IF(F852="",0,1)</f>
        <v/>
      </c>
      <c r="H852" s="29">
        <f>IF(F852="","",INDEX(Deals!$E$2:$E$843,F852))</f>
        <v/>
      </c>
      <c r="I852">
        <f>IF(F852="","",INDEX(Deals!$D$2:$D$843,F852))</f>
        <v/>
      </c>
      <c r="J852">
        <f>IF(F852="","",INT(H852)-B852)</f>
        <v/>
      </c>
      <c r="K852">
        <f>IF(B852&gt;=Settings!$C$5,1,0)</f>
        <v/>
      </c>
    </row>
    <row r="853">
      <c r="A853" t="inlineStr">
        <is>
          <t>978c1e23fffde1ea092c5102de17a9ad</t>
        </is>
      </c>
      <c r="B853" s="29" t="n">
        <v>43210</v>
      </c>
      <c r="C853" t="inlineStr">
        <is>
          <t>2018-04</t>
        </is>
      </c>
      <c r="D853" t="inlineStr">
        <is>
          <t>22c29808c4f815213303f8933030604c</t>
        </is>
      </c>
      <c r="E853" t="inlineStr">
        <is>
          <t>organic_search</t>
        </is>
      </c>
      <c r="F853">
        <f>IFERROR(MATCH(A853,Deals!$A$2:$A$843,0),"")</f>
        <v/>
      </c>
      <c r="G853">
        <f>IF(F853="",0,1)</f>
        <v/>
      </c>
      <c r="H853" s="29">
        <f>IF(F853="","",INDEX(Deals!$E$2:$E$843,F853))</f>
        <v/>
      </c>
      <c r="I853">
        <f>IF(F853="","",INDEX(Deals!$D$2:$D$843,F853))</f>
        <v/>
      </c>
      <c r="J853">
        <f>IF(F853="","",INT(H853)-B853)</f>
        <v/>
      </c>
      <c r="K853">
        <f>IF(B853&gt;=Settings!$C$5,1,0)</f>
        <v/>
      </c>
    </row>
    <row r="854">
      <c r="A854" t="inlineStr">
        <is>
          <t>169d604b03277538918ae404ac1c7563</t>
        </is>
      </c>
      <c r="B854" s="29" t="n">
        <v>43166</v>
      </c>
      <c r="C854" t="inlineStr">
        <is>
          <t>2018-03</t>
        </is>
      </c>
      <c r="D854" t="inlineStr">
        <is>
          <t>241f79c7a8fe0270f4fb79fcbbcd17ad</t>
        </is>
      </c>
      <c r="E854" t="inlineStr">
        <is>
          <t>paid_search</t>
        </is>
      </c>
      <c r="F854">
        <f>IFERROR(MATCH(A854,Deals!$A$2:$A$843,0),"")</f>
        <v/>
      </c>
      <c r="G854">
        <f>IF(F854="",0,1)</f>
        <v/>
      </c>
      <c r="H854" s="29">
        <f>IF(F854="","",INDEX(Deals!$E$2:$E$843,F854))</f>
        <v/>
      </c>
      <c r="I854">
        <f>IF(F854="","",INDEX(Deals!$D$2:$D$843,F854))</f>
        <v/>
      </c>
      <c r="J854">
        <f>IF(F854="","",INT(H854)-B854)</f>
        <v/>
      </c>
      <c r="K854">
        <f>IF(B854&gt;=Settings!$C$5,1,0)</f>
        <v/>
      </c>
    </row>
    <row r="855">
      <c r="A855" t="inlineStr">
        <is>
          <t>a8d83990b2b2f804f8e53c0b7ddec7b0</t>
        </is>
      </c>
      <c r="B855" s="29" t="n">
        <v>43200</v>
      </c>
      <c r="C855" t="inlineStr">
        <is>
          <t>2018-04</t>
        </is>
      </c>
      <c r="D855" t="inlineStr">
        <is>
          <t>f017be4dbf86243af5c1ebed0cff36a2</t>
        </is>
      </c>
      <c r="E855" t="inlineStr">
        <is>
          <t>organic_search</t>
        </is>
      </c>
      <c r="F855">
        <f>IFERROR(MATCH(A855,Deals!$A$2:$A$843,0),"")</f>
        <v/>
      </c>
      <c r="G855">
        <f>IF(F855="",0,1)</f>
        <v/>
      </c>
      <c r="H855" s="29">
        <f>IF(F855="","",INDEX(Deals!$E$2:$E$843,F855))</f>
        <v/>
      </c>
      <c r="I855">
        <f>IF(F855="","",INDEX(Deals!$D$2:$D$843,F855))</f>
        <v/>
      </c>
      <c r="J855">
        <f>IF(F855="","",INT(H855)-B855)</f>
        <v/>
      </c>
      <c r="K855">
        <f>IF(B855&gt;=Settings!$C$5,1,0)</f>
        <v/>
      </c>
    </row>
    <row r="856">
      <c r="A856" t="inlineStr">
        <is>
          <t>3bcc8997df233ab581f30dd65f14698c</t>
        </is>
      </c>
      <c r="B856" s="29" t="n">
        <v>43201</v>
      </c>
      <c r="C856" t="inlineStr">
        <is>
          <t>2018-04</t>
        </is>
      </c>
      <c r="D856" t="inlineStr">
        <is>
          <t>04a75b75d5f4f3a16b0178fbe382da00</t>
        </is>
      </c>
      <c r="E856" t="inlineStr">
        <is>
          <t>unknown</t>
        </is>
      </c>
      <c r="F856">
        <f>IFERROR(MATCH(A856,Deals!$A$2:$A$843,0),"")</f>
        <v/>
      </c>
      <c r="G856">
        <f>IF(F856="",0,1)</f>
        <v/>
      </c>
      <c r="H856" s="29">
        <f>IF(F856="","",INDEX(Deals!$E$2:$E$843,F856))</f>
        <v/>
      </c>
      <c r="I856">
        <f>IF(F856="","",INDEX(Deals!$D$2:$D$843,F856))</f>
        <v/>
      </c>
      <c r="J856">
        <f>IF(F856="","",INT(H856)-B856)</f>
        <v/>
      </c>
      <c r="K856">
        <f>IF(B856&gt;=Settings!$C$5,1,0)</f>
        <v/>
      </c>
    </row>
    <row r="857">
      <c r="A857" t="inlineStr">
        <is>
          <t>11f9561f8cf5af78b81f69e21f3b5dac</t>
        </is>
      </c>
      <c r="B857" s="29" t="n">
        <v>43217</v>
      </c>
      <c r="C857" t="inlineStr">
        <is>
          <t>2018-04</t>
        </is>
      </c>
      <c r="D857" t="inlineStr">
        <is>
          <t>909e333f8f23574f93115bd3d402e202</t>
        </is>
      </c>
      <c r="E857" t="inlineStr">
        <is>
          <t>organic_search</t>
        </is>
      </c>
      <c r="F857">
        <f>IFERROR(MATCH(A857,Deals!$A$2:$A$843,0),"")</f>
        <v/>
      </c>
      <c r="G857">
        <f>IF(F857="",0,1)</f>
        <v/>
      </c>
      <c r="H857" s="29">
        <f>IF(F857="","",INDEX(Deals!$E$2:$E$843,F857))</f>
        <v/>
      </c>
      <c r="I857">
        <f>IF(F857="","",INDEX(Deals!$D$2:$D$843,F857))</f>
        <v/>
      </c>
      <c r="J857">
        <f>IF(F857="","",INT(H857)-B857)</f>
        <v/>
      </c>
      <c r="K857">
        <f>IF(B857&gt;=Settings!$C$5,1,0)</f>
        <v/>
      </c>
    </row>
    <row r="858">
      <c r="A858" t="inlineStr">
        <is>
          <t>75fb85412ecc9c9f7ffaea255d37156d</t>
        </is>
      </c>
      <c r="B858" s="29" t="n">
        <v>43186</v>
      </c>
      <c r="C858" t="inlineStr">
        <is>
          <t>2018-03</t>
        </is>
      </c>
      <c r="D858" t="inlineStr">
        <is>
          <t>ce1a65abd0973638f1c887a6efcfa82d</t>
        </is>
      </c>
      <c r="E858" t="inlineStr">
        <is>
          <t>direct_traffic</t>
        </is>
      </c>
      <c r="F858">
        <f>IFERROR(MATCH(A858,Deals!$A$2:$A$843,0),"")</f>
        <v/>
      </c>
      <c r="G858">
        <f>IF(F858="",0,1)</f>
        <v/>
      </c>
      <c r="H858" s="29">
        <f>IF(F858="","",INDEX(Deals!$E$2:$E$843,F858))</f>
        <v/>
      </c>
      <c r="I858">
        <f>IF(F858="","",INDEX(Deals!$D$2:$D$843,F858))</f>
        <v/>
      </c>
      <c r="J858">
        <f>IF(F858="","",INT(H858)-B858)</f>
        <v/>
      </c>
      <c r="K858">
        <f>IF(B858&gt;=Settings!$C$5,1,0)</f>
        <v/>
      </c>
    </row>
    <row r="859">
      <c r="A859" t="inlineStr">
        <is>
          <t>6530afc263e3e7b336571433b7dc1266</t>
        </is>
      </c>
      <c r="B859" s="29" t="n">
        <v>43113</v>
      </c>
      <c r="C859" t="inlineStr">
        <is>
          <t>2018-01</t>
        </is>
      </c>
      <c r="D859" t="inlineStr">
        <is>
          <t>40dec9f3d5259a3d2dbcdab2114fae47</t>
        </is>
      </c>
      <c r="E859" t="inlineStr">
        <is>
          <t>paid_search</t>
        </is>
      </c>
      <c r="F859">
        <f>IFERROR(MATCH(A859,Deals!$A$2:$A$843,0),"")</f>
        <v/>
      </c>
      <c r="G859">
        <f>IF(F859="",0,1)</f>
        <v/>
      </c>
      <c r="H859" s="29">
        <f>IF(F859="","",INDEX(Deals!$E$2:$E$843,F859))</f>
        <v/>
      </c>
      <c r="I859">
        <f>IF(F859="","",INDEX(Deals!$D$2:$D$843,F859))</f>
        <v/>
      </c>
      <c r="J859">
        <f>IF(F859="","",INT(H859)-B859)</f>
        <v/>
      </c>
      <c r="K859">
        <f>IF(B859&gt;=Settings!$C$5,1,0)</f>
        <v/>
      </c>
    </row>
    <row r="860">
      <c r="A860" t="inlineStr">
        <is>
          <t>862090b94c4637688088941f122041df</t>
        </is>
      </c>
      <c r="B860" s="29" t="n">
        <v>43104</v>
      </c>
      <c r="C860" t="inlineStr">
        <is>
          <t>2018-01</t>
        </is>
      </c>
      <c r="D860" t="inlineStr">
        <is>
          <t>b76ef37428e6799c421989521c0e5077</t>
        </is>
      </c>
      <c r="E860" t="inlineStr">
        <is>
          <t>unknown</t>
        </is>
      </c>
      <c r="F860">
        <f>IFERROR(MATCH(A860,Deals!$A$2:$A$843,0),"")</f>
        <v/>
      </c>
      <c r="G860">
        <f>IF(F860="",0,1)</f>
        <v/>
      </c>
      <c r="H860" s="29">
        <f>IF(F860="","",INDEX(Deals!$E$2:$E$843,F860))</f>
        <v/>
      </c>
      <c r="I860">
        <f>IF(F860="","",INDEX(Deals!$D$2:$D$843,F860))</f>
        <v/>
      </c>
      <c r="J860">
        <f>IF(F860="","",INT(H860)-B860)</f>
        <v/>
      </c>
      <c r="K860">
        <f>IF(B860&gt;=Settings!$C$5,1,0)</f>
        <v/>
      </c>
    </row>
    <row r="861">
      <c r="A861" t="inlineStr">
        <is>
          <t>16e74256ed61ce3a8d436b7d5e56d5bb</t>
        </is>
      </c>
      <c r="B861" s="29" t="n">
        <v>43201</v>
      </c>
      <c r="C861" t="inlineStr">
        <is>
          <t>2018-04</t>
        </is>
      </c>
      <c r="D861" t="inlineStr">
        <is>
          <t>b76ef37428e6799c421989521c0e5077</t>
        </is>
      </c>
      <c r="E861" t="inlineStr">
        <is>
          <t>unknown</t>
        </is>
      </c>
      <c r="F861">
        <f>IFERROR(MATCH(A861,Deals!$A$2:$A$843,0),"")</f>
        <v/>
      </c>
      <c r="G861">
        <f>IF(F861="",0,1)</f>
        <v/>
      </c>
      <c r="H861" s="29">
        <f>IF(F861="","",INDEX(Deals!$E$2:$E$843,F861))</f>
        <v/>
      </c>
      <c r="I861">
        <f>IF(F861="","",INDEX(Deals!$D$2:$D$843,F861))</f>
        <v/>
      </c>
      <c r="J861">
        <f>IF(F861="","",INT(H861)-B861)</f>
        <v/>
      </c>
      <c r="K861">
        <f>IF(B861&gt;=Settings!$C$5,1,0)</f>
        <v/>
      </c>
    </row>
    <row r="862">
      <c r="A862" t="inlineStr">
        <is>
          <t>0098df6528e402d2ee740ec568c27967</t>
        </is>
      </c>
      <c r="B862" s="29" t="n">
        <v>43124</v>
      </c>
      <c r="C862" t="inlineStr">
        <is>
          <t>2018-01</t>
        </is>
      </c>
      <c r="D862" t="inlineStr">
        <is>
          <t>da14b7e2eb0d1eecf65abbd05a31c87d</t>
        </is>
      </c>
      <c r="E862" t="inlineStr">
        <is>
          <t>email</t>
        </is>
      </c>
      <c r="F862">
        <f>IFERROR(MATCH(A862,Deals!$A$2:$A$843,0),"")</f>
        <v/>
      </c>
      <c r="G862">
        <f>IF(F862="",0,1)</f>
        <v/>
      </c>
      <c r="H862" s="29">
        <f>IF(F862="","",INDEX(Deals!$E$2:$E$843,F862))</f>
        <v/>
      </c>
      <c r="I862">
        <f>IF(F862="","",INDEX(Deals!$D$2:$D$843,F862))</f>
        <v/>
      </c>
      <c r="J862">
        <f>IF(F862="","",INT(H862)-B862)</f>
        <v/>
      </c>
      <c r="K862">
        <f>IF(B862&gt;=Settings!$C$5,1,0)</f>
        <v/>
      </c>
    </row>
    <row r="863">
      <c r="A863" t="inlineStr">
        <is>
          <t>50db11aa262d58e9515e117bf6edebcc</t>
        </is>
      </c>
      <c r="B863" s="29" t="n">
        <v>43198</v>
      </c>
      <c r="C863" t="inlineStr">
        <is>
          <t>2018-04</t>
        </is>
      </c>
      <c r="D863" t="inlineStr">
        <is>
          <t>649b7b8b46b254497e92038d88f6ced8</t>
        </is>
      </c>
      <c r="E863" t="inlineStr">
        <is>
          <t>social</t>
        </is>
      </c>
      <c r="F863">
        <f>IFERROR(MATCH(A863,Deals!$A$2:$A$843,0),"")</f>
        <v/>
      </c>
      <c r="G863">
        <f>IF(F863="",0,1)</f>
        <v/>
      </c>
      <c r="H863" s="29">
        <f>IF(F863="","",INDEX(Deals!$E$2:$E$843,F863))</f>
        <v/>
      </c>
      <c r="I863">
        <f>IF(F863="","",INDEX(Deals!$D$2:$D$843,F863))</f>
        <v/>
      </c>
      <c r="J863">
        <f>IF(F863="","",INT(H863)-B863)</f>
        <v/>
      </c>
      <c r="K863">
        <f>IF(B863&gt;=Settings!$C$5,1,0)</f>
        <v/>
      </c>
    </row>
    <row r="864">
      <c r="A864" t="inlineStr">
        <is>
          <t>2b9a3dc9e24557b457a54df977f21cd1</t>
        </is>
      </c>
      <c r="B864" s="29" t="n">
        <v>43132</v>
      </c>
      <c r="C864" t="inlineStr">
        <is>
          <t>2018-02</t>
        </is>
      </c>
      <c r="D864" t="inlineStr">
        <is>
          <t>b76ef37428e6799c421989521c0e5077</t>
        </is>
      </c>
      <c r="E864" t="inlineStr">
        <is>
          <t>organic_search</t>
        </is>
      </c>
      <c r="F864">
        <f>IFERROR(MATCH(A864,Deals!$A$2:$A$843,0),"")</f>
        <v/>
      </c>
      <c r="G864">
        <f>IF(F864="",0,1)</f>
        <v/>
      </c>
      <c r="H864" s="29">
        <f>IF(F864="","",INDEX(Deals!$E$2:$E$843,F864))</f>
        <v/>
      </c>
      <c r="I864">
        <f>IF(F864="","",INDEX(Deals!$D$2:$D$843,F864))</f>
        <v/>
      </c>
      <c r="J864">
        <f>IF(F864="","",INT(H864)-B864)</f>
        <v/>
      </c>
      <c r="K864">
        <f>IF(B864&gt;=Settings!$C$5,1,0)</f>
        <v/>
      </c>
    </row>
    <row r="865">
      <c r="A865" t="inlineStr">
        <is>
          <t>1c97011ef06a98042c1f735107ede8eb</t>
        </is>
      </c>
      <c r="B865" s="29" t="n">
        <v>43194</v>
      </c>
      <c r="C865" t="inlineStr">
        <is>
          <t>2018-04</t>
        </is>
      </c>
      <c r="D865" t="inlineStr">
        <is>
          <t>f017be4dbf86243af5c1ebed0cff36a2</t>
        </is>
      </c>
      <c r="E865" t="inlineStr">
        <is>
          <t>paid_search</t>
        </is>
      </c>
      <c r="F865">
        <f>IFERROR(MATCH(A865,Deals!$A$2:$A$843,0),"")</f>
        <v/>
      </c>
      <c r="G865">
        <f>IF(F865="",0,1)</f>
        <v/>
      </c>
      <c r="H865" s="29">
        <f>IF(F865="","",INDEX(Deals!$E$2:$E$843,F865))</f>
        <v/>
      </c>
      <c r="I865">
        <f>IF(F865="","",INDEX(Deals!$D$2:$D$843,F865))</f>
        <v/>
      </c>
      <c r="J865">
        <f>IF(F865="","",INT(H865)-B865)</f>
        <v/>
      </c>
      <c r="K865">
        <f>IF(B865&gt;=Settings!$C$5,1,0)</f>
        <v/>
      </c>
    </row>
    <row r="866">
      <c r="A866" t="inlineStr">
        <is>
          <t>5bd7f2feff1f11170a507fcd0c0e9734</t>
        </is>
      </c>
      <c r="B866" s="29" t="n">
        <v>43017</v>
      </c>
      <c r="C866" t="inlineStr">
        <is>
          <t>2017-10</t>
        </is>
      </c>
      <c r="D866" t="inlineStr">
        <is>
          <t>a7982125ff7aa3b2054c6e44f9d28522</t>
        </is>
      </c>
      <c r="E866" t="inlineStr">
        <is>
          <t>direct_traffic</t>
        </is>
      </c>
      <c r="F866">
        <f>IFERROR(MATCH(A866,Deals!$A$2:$A$843,0),"")</f>
        <v/>
      </c>
      <c r="G866">
        <f>IF(F866="",0,1)</f>
        <v/>
      </c>
      <c r="H866" s="29">
        <f>IF(F866="","",INDEX(Deals!$E$2:$E$843,F866))</f>
        <v/>
      </c>
      <c r="I866">
        <f>IF(F866="","",INDEX(Deals!$D$2:$D$843,F866))</f>
        <v/>
      </c>
      <c r="J866">
        <f>IF(F866="","",INT(H866)-B866)</f>
        <v/>
      </c>
      <c r="K866">
        <f>IF(B866&gt;=Settings!$C$5,1,0)</f>
        <v/>
      </c>
    </row>
    <row r="867">
      <c r="A867" t="inlineStr">
        <is>
          <t>eda5fe1762293c38fb40f42774a274c4</t>
        </is>
      </c>
      <c r="B867" s="29" t="n">
        <v>43208</v>
      </c>
      <c r="C867" t="inlineStr">
        <is>
          <t>2018-04</t>
        </is>
      </c>
      <c r="D867" t="inlineStr">
        <is>
          <t>22c29808c4f815213303f8933030604c</t>
        </is>
      </c>
      <c r="E867" t="inlineStr">
        <is>
          <t>social</t>
        </is>
      </c>
      <c r="F867">
        <f>IFERROR(MATCH(A867,Deals!$A$2:$A$843,0),"")</f>
        <v/>
      </c>
      <c r="G867">
        <f>IF(F867="",0,1)</f>
        <v/>
      </c>
      <c r="H867" s="29">
        <f>IF(F867="","",INDEX(Deals!$E$2:$E$843,F867))</f>
        <v/>
      </c>
      <c r="I867">
        <f>IF(F867="","",INDEX(Deals!$D$2:$D$843,F867))</f>
        <v/>
      </c>
      <c r="J867">
        <f>IF(F867="","",INT(H867)-B867)</f>
        <v/>
      </c>
      <c r="K867">
        <f>IF(B867&gt;=Settings!$C$5,1,0)</f>
        <v/>
      </c>
    </row>
    <row r="868">
      <c r="A868" t="inlineStr">
        <is>
          <t>e4d389f76e3864155803e570df25c060</t>
        </is>
      </c>
      <c r="B868" s="29" t="n">
        <v>43052</v>
      </c>
      <c r="C868" t="inlineStr">
        <is>
          <t>2017-11</t>
        </is>
      </c>
      <c r="D868" t="inlineStr">
        <is>
          <t>f03e241af08912ba7ffb65d69b0eb4d9</t>
        </is>
      </c>
      <c r="E868" t="inlineStr">
        <is>
          <t>unknown</t>
        </is>
      </c>
      <c r="F868">
        <f>IFERROR(MATCH(A868,Deals!$A$2:$A$843,0),"")</f>
        <v/>
      </c>
      <c r="G868">
        <f>IF(F868="",0,1)</f>
        <v/>
      </c>
      <c r="H868" s="29">
        <f>IF(F868="","",INDEX(Deals!$E$2:$E$843,F868))</f>
        <v/>
      </c>
      <c r="I868">
        <f>IF(F868="","",INDEX(Deals!$D$2:$D$843,F868))</f>
        <v/>
      </c>
      <c r="J868">
        <f>IF(F868="","",INT(H868)-B868)</f>
        <v/>
      </c>
      <c r="K868">
        <f>IF(B868&gt;=Settings!$C$5,1,0)</f>
        <v/>
      </c>
    </row>
    <row r="869">
      <c r="A869" t="inlineStr">
        <is>
          <t>5105a11a2ab1ae9d7515e9ba9178d15e</t>
        </is>
      </c>
      <c r="B869" s="29" t="n">
        <v>43035</v>
      </c>
      <c r="C869" t="inlineStr">
        <is>
          <t>2017-10</t>
        </is>
      </c>
      <c r="D869" t="inlineStr">
        <is>
          <t>22c29808c4f815213303f8933030604c</t>
        </is>
      </c>
      <c r="E869" t="inlineStr">
        <is>
          <t>paid_search</t>
        </is>
      </c>
      <c r="F869">
        <f>IFERROR(MATCH(A869,Deals!$A$2:$A$843,0),"")</f>
        <v/>
      </c>
      <c r="G869">
        <f>IF(F869="",0,1)</f>
        <v/>
      </c>
      <c r="H869" s="29">
        <f>IF(F869="","",INDEX(Deals!$E$2:$E$843,F869))</f>
        <v/>
      </c>
      <c r="I869">
        <f>IF(F869="","",INDEX(Deals!$D$2:$D$843,F869))</f>
        <v/>
      </c>
      <c r="J869">
        <f>IF(F869="","",INT(H869)-B869)</f>
        <v/>
      </c>
      <c r="K869">
        <f>IF(B869&gt;=Settings!$C$5,1,0)</f>
        <v/>
      </c>
    </row>
    <row r="870">
      <c r="A870" t="inlineStr">
        <is>
          <t>15bfa7afabd1570846f5aa93a08b6503</t>
        </is>
      </c>
      <c r="B870" s="29" t="n">
        <v>42948</v>
      </c>
      <c r="C870" t="inlineStr">
        <is>
          <t>2017-08</t>
        </is>
      </c>
      <c r="D870" t="inlineStr">
        <is>
          <t>e492ee5eaf1697716985cc6f33f9cd9b</t>
        </is>
      </c>
      <c r="E870" t="inlineStr">
        <is>
          <t>referral</t>
        </is>
      </c>
      <c r="F870">
        <f>IFERROR(MATCH(A870,Deals!$A$2:$A$843,0),"")</f>
        <v/>
      </c>
      <c r="G870">
        <f>IF(F870="",0,1)</f>
        <v/>
      </c>
      <c r="H870" s="29">
        <f>IF(F870="","",INDEX(Deals!$E$2:$E$843,F870))</f>
        <v/>
      </c>
      <c r="I870">
        <f>IF(F870="","",INDEX(Deals!$D$2:$D$843,F870))</f>
        <v/>
      </c>
      <c r="J870">
        <f>IF(F870="","",INT(H870)-B870)</f>
        <v/>
      </c>
      <c r="K870">
        <f>IF(B870&gt;=Settings!$C$5,1,0)</f>
        <v/>
      </c>
    </row>
    <row r="871">
      <c r="A871" t="inlineStr">
        <is>
          <t>bbe5f8f0ea71bc8a0b91e1307e3f74ab</t>
        </is>
      </c>
      <c r="B871" s="29" t="n">
        <v>43245</v>
      </c>
      <c r="C871" t="inlineStr">
        <is>
          <t>2018-05</t>
        </is>
      </c>
      <c r="D871" t="inlineStr">
        <is>
          <t>58326e62183c14b0c03085c33b9fdc44</t>
        </is>
      </c>
      <c r="E871" t="inlineStr">
        <is>
          <t>social</t>
        </is>
      </c>
      <c r="F871">
        <f>IFERROR(MATCH(A871,Deals!$A$2:$A$843,0),"")</f>
        <v/>
      </c>
      <c r="G871">
        <f>IF(F871="",0,1)</f>
        <v/>
      </c>
      <c r="H871" s="29">
        <f>IF(F871="","",INDEX(Deals!$E$2:$E$843,F871))</f>
        <v/>
      </c>
      <c r="I871">
        <f>IF(F871="","",INDEX(Deals!$D$2:$D$843,F871))</f>
        <v/>
      </c>
      <c r="J871">
        <f>IF(F871="","",INT(H871)-B871)</f>
        <v/>
      </c>
      <c r="K871">
        <f>IF(B871&gt;=Settings!$C$5,1,0)</f>
        <v/>
      </c>
    </row>
    <row r="872">
      <c r="A872" t="inlineStr">
        <is>
          <t>3cdd5d87d8de847170314268ced43126</t>
        </is>
      </c>
      <c r="B872" s="29" t="n">
        <v>43249</v>
      </c>
      <c r="C872" t="inlineStr">
        <is>
          <t>2018-05</t>
        </is>
      </c>
      <c r="D872" t="inlineStr">
        <is>
          <t>58326e62183c14b0c03085c33b9fdc44</t>
        </is>
      </c>
      <c r="E872" t="inlineStr">
        <is>
          <t>social</t>
        </is>
      </c>
      <c r="F872">
        <f>IFERROR(MATCH(A872,Deals!$A$2:$A$843,0),"")</f>
        <v/>
      </c>
      <c r="G872">
        <f>IF(F872="",0,1)</f>
        <v/>
      </c>
      <c r="H872" s="29">
        <f>IF(F872="","",INDEX(Deals!$E$2:$E$843,F872))</f>
        <v/>
      </c>
      <c r="I872">
        <f>IF(F872="","",INDEX(Deals!$D$2:$D$843,F872))</f>
        <v/>
      </c>
      <c r="J872">
        <f>IF(F872="","",INT(H872)-B872)</f>
        <v/>
      </c>
      <c r="K872">
        <f>IF(B872&gt;=Settings!$C$5,1,0)</f>
        <v/>
      </c>
    </row>
    <row r="873">
      <c r="A873" t="inlineStr">
        <is>
          <t>7ad0732636df966fa9dbf2ced5eb721d</t>
        </is>
      </c>
      <c r="B873" s="29" t="n">
        <v>43156</v>
      </c>
      <c r="C873" t="inlineStr">
        <is>
          <t>2018-02</t>
        </is>
      </c>
      <c r="D873" t="inlineStr">
        <is>
          <t>0b37d43dbde6452cdd94c17bf61a88e4</t>
        </is>
      </c>
      <c r="E873" t="inlineStr">
        <is>
          <t>direct_traffic</t>
        </is>
      </c>
      <c r="F873">
        <f>IFERROR(MATCH(A873,Deals!$A$2:$A$843,0),"")</f>
        <v/>
      </c>
      <c r="G873">
        <f>IF(F873="",0,1)</f>
        <v/>
      </c>
      <c r="H873" s="29">
        <f>IF(F873="","",INDEX(Deals!$E$2:$E$843,F873))</f>
        <v/>
      </c>
      <c r="I873">
        <f>IF(F873="","",INDEX(Deals!$D$2:$D$843,F873))</f>
        <v/>
      </c>
      <c r="J873">
        <f>IF(F873="","",INT(H873)-B873)</f>
        <v/>
      </c>
      <c r="K873">
        <f>IF(B873&gt;=Settings!$C$5,1,0)</f>
        <v/>
      </c>
    </row>
    <row r="874">
      <c r="A874" t="inlineStr">
        <is>
          <t>45402d4ff8981a182dcfc4813600961f</t>
        </is>
      </c>
      <c r="B874" s="29" t="n">
        <v>42950</v>
      </c>
      <c r="C874" t="inlineStr">
        <is>
          <t>2017-08</t>
        </is>
      </c>
      <c r="D874" t="inlineStr">
        <is>
          <t>c70eb6fb5bd6e939b0d5ef32f21f61e8</t>
        </is>
      </c>
      <c r="E874" t="inlineStr">
        <is>
          <t>direct_traffic</t>
        </is>
      </c>
      <c r="F874">
        <f>IFERROR(MATCH(A874,Deals!$A$2:$A$843,0),"")</f>
        <v/>
      </c>
      <c r="G874">
        <f>IF(F874="",0,1)</f>
        <v/>
      </c>
      <c r="H874" s="29">
        <f>IF(F874="","",INDEX(Deals!$E$2:$E$843,F874))</f>
        <v/>
      </c>
      <c r="I874">
        <f>IF(F874="","",INDEX(Deals!$D$2:$D$843,F874))</f>
        <v/>
      </c>
      <c r="J874">
        <f>IF(F874="","",INT(H874)-B874)</f>
        <v/>
      </c>
      <c r="K874">
        <f>IF(B874&gt;=Settings!$C$5,1,0)</f>
        <v/>
      </c>
    </row>
    <row r="875">
      <c r="A875" t="inlineStr">
        <is>
          <t>bc385735bef9ffc1374561fa59c09f1c</t>
        </is>
      </c>
      <c r="B875" s="29" t="n">
        <v>43209</v>
      </c>
      <c r="C875" t="inlineStr">
        <is>
          <t>2018-04</t>
        </is>
      </c>
      <c r="D875" t="inlineStr">
        <is>
          <t>ce1a65abd0973638f1c887a6efcfa82d</t>
        </is>
      </c>
      <c r="E875" t="inlineStr">
        <is>
          <t>organic_search</t>
        </is>
      </c>
      <c r="F875">
        <f>IFERROR(MATCH(A875,Deals!$A$2:$A$843,0),"")</f>
        <v/>
      </c>
      <c r="G875">
        <f>IF(F875="",0,1)</f>
        <v/>
      </c>
      <c r="H875" s="29">
        <f>IF(F875="","",INDEX(Deals!$E$2:$E$843,F875))</f>
        <v/>
      </c>
      <c r="I875">
        <f>IF(F875="","",INDEX(Deals!$D$2:$D$843,F875))</f>
        <v/>
      </c>
      <c r="J875">
        <f>IF(F875="","",INT(H875)-B875)</f>
        <v/>
      </c>
      <c r="K875">
        <f>IF(B875&gt;=Settings!$C$5,1,0)</f>
        <v/>
      </c>
    </row>
    <row r="876">
      <c r="A876" t="inlineStr">
        <is>
          <t>26ec59f975f3c0091b154025dc43a226</t>
        </is>
      </c>
      <c r="B876" s="29" t="n">
        <v>43229</v>
      </c>
      <c r="C876" t="inlineStr">
        <is>
          <t>2018-05</t>
        </is>
      </c>
      <c r="D876" t="inlineStr">
        <is>
          <t>58326e62183c14b0c03085c33b9fdc44</t>
        </is>
      </c>
      <c r="E876" t="inlineStr">
        <is>
          <t>social</t>
        </is>
      </c>
      <c r="F876">
        <f>IFERROR(MATCH(A876,Deals!$A$2:$A$843,0),"")</f>
        <v/>
      </c>
      <c r="G876">
        <f>IF(F876="",0,1)</f>
        <v/>
      </c>
      <c r="H876" s="29">
        <f>IF(F876="","",INDEX(Deals!$E$2:$E$843,F876))</f>
        <v/>
      </c>
      <c r="I876">
        <f>IF(F876="","",INDEX(Deals!$D$2:$D$843,F876))</f>
        <v/>
      </c>
      <c r="J876">
        <f>IF(F876="","",INT(H876)-B876)</f>
        <v/>
      </c>
      <c r="K876">
        <f>IF(B876&gt;=Settings!$C$5,1,0)</f>
        <v/>
      </c>
    </row>
    <row r="877">
      <c r="A877" t="inlineStr">
        <is>
          <t>40d91fc632f712a7132d439f390087b3</t>
        </is>
      </c>
      <c r="B877" s="29" t="n">
        <v>43230</v>
      </c>
      <c r="C877" t="inlineStr">
        <is>
          <t>2018-05</t>
        </is>
      </c>
      <c r="D877" t="inlineStr">
        <is>
          <t>7fa6214d82e911d070f51ef79381b956</t>
        </is>
      </c>
      <c r="E877" t="inlineStr">
        <is>
          <t>direct_traffic</t>
        </is>
      </c>
      <c r="F877">
        <f>IFERROR(MATCH(A877,Deals!$A$2:$A$843,0),"")</f>
        <v/>
      </c>
      <c r="G877">
        <f>IF(F877="",0,1)</f>
        <v/>
      </c>
      <c r="H877" s="29">
        <f>IF(F877="","",INDEX(Deals!$E$2:$E$843,F877))</f>
        <v/>
      </c>
      <c r="I877">
        <f>IF(F877="","",INDEX(Deals!$D$2:$D$843,F877))</f>
        <v/>
      </c>
      <c r="J877">
        <f>IF(F877="","",INT(H877)-B877)</f>
        <v/>
      </c>
      <c r="K877">
        <f>IF(B877&gt;=Settings!$C$5,1,0)</f>
        <v/>
      </c>
    </row>
    <row r="878">
      <c r="A878" t="inlineStr">
        <is>
          <t>33ba731f56849d09c6ba6947245b1df9</t>
        </is>
      </c>
      <c r="B878" s="29" t="n">
        <v>43116</v>
      </c>
      <c r="C878" t="inlineStr">
        <is>
          <t>2018-01</t>
        </is>
      </c>
      <c r="D878" t="inlineStr">
        <is>
          <t>e492ee5eaf1697716985cc6f33f9cd9b</t>
        </is>
      </c>
      <c r="E878" t="inlineStr">
        <is>
          <t>organic_search</t>
        </is>
      </c>
      <c r="F878">
        <f>IFERROR(MATCH(A878,Deals!$A$2:$A$843,0),"")</f>
        <v/>
      </c>
      <c r="G878">
        <f>IF(F878="",0,1)</f>
        <v/>
      </c>
      <c r="H878" s="29">
        <f>IF(F878="","",INDEX(Deals!$E$2:$E$843,F878))</f>
        <v/>
      </c>
      <c r="I878">
        <f>IF(F878="","",INDEX(Deals!$D$2:$D$843,F878))</f>
        <v/>
      </c>
      <c r="J878">
        <f>IF(F878="","",INT(H878)-B878)</f>
        <v/>
      </c>
      <c r="K878">
        <f>IF(B878&gt;=Settings!$C$5,1,0)</f>
        <v/>
      </c>
    </row>
    <row r="879">
      <c r="A879" t="inlineStr">
        <is>
          <t>afac78e614dac1a1470030ea55c08eef</t>
        </is>
      </c>
      <c r="B879" s="29" t="n">
        <v>43137</v>
      </c>
      <c r="C879" t="inlineStr">
        <is>
          <t>2018-02</t>
        </is>
      </c>
      <c r="D879" t="inlineStr">
        <is>
          <t>22c29808c4f815213303f8933030604c</t>
        </is>
      </c>
      <c r="E879" t="inlineStr">
        <is>
          <t>paid_search</t>
        </is>
      </c>
      <c r="F879">
        <f>IFERROR(MATCH(A879,Deals!$A$2:$A$843,0),"")</f>
        <v/>
      </c>
      <c r="G879">
        <f>IF(F879="",0,1)</f>
        <v/>
      </c>
      <c r="H879" s="29">
        <f>IF(F879="","",INDEX(Deals!$E$2:$E$843,F879))</f>
        <v/>
      </c>
      <c r="I879">
        <f>IF(F879="","",INDEX(Deals!$D$2:$D$843,F879))</f>
        <v/>
      </c>
      <c r="J879">
        <f>IF(F879="","",INT(H879)-B879)</f>
        <v/>
      </c>
      <c r="K879">
        <f>IF(B879&gt;=Settings!$C$5,1,0)</f>
        <v/>
      </c>
    </row>
    <row r="880">
      <c r="A880" t="inlineStr">
        <is>
          <t>e0d4257499d364fe49a49c0f4a7b5380</t>
        </is>
      </c>
      <c r="B880" s="29" t="n">
        <v>43232</v>
      </c>
      <c r="C880" t="inlineStr">
        <is>
          <t>2018-05</t>
        </is>
      </c>
      <c r="D880" t="inlineStr">
        <is>
          <t>58326e62183c14b0c03085c33b9fdc44</t>
        </is>
      </c>
      <c r="E880" t="inlineStr">
        <is>
          <t>social</t>
        </is>
      </c>
      <c r="F880">
        <f>IFERROR(MATCH(A880,Deals!$A$2:$A$843,0),"")</f>
        <v/>
      </c>
      <c r="G880">
        <f>IF(F880="",0,1)</f>
        <v/>
      </c>
      <c r="H880" s="29">
        <f>IF(F880="","",INDEX(Deals!$E$2:$E$843,F880))</f>
        <v/>
      </c>
      <c r="I880">
        <f>IF(F880="","",INDEX(Deals!$D$2:$D$843,F880))</f>
        <v/>
      </c>
      <c r="J880">
        <f>IF(F880="","",INT(H880)-B880)</f>
        <v/>
      </c>
      <c r="K880">
        <f>IF(B880&gt;=Settings!$C$5,1,0)</f>
        <v/>
      </c>
    </row>
    <row r="881">
      <c r="A881" t="inlineStr">
        <is>
          <t>3210b2894c0c5903d6ebffa089adb2ba</t>
        </is>
      </c>
      <c r="B881" s="29" t="n">
        <v>43137</v>
      </c>
      <c r="C881" t="inlineStr">
        <is>
          <t>2018-02</t>
        </is>
      </c>
      <c r="D881" t="inlineStr">
        <is>
          <t>b76ef37428e6799c421989521c0e5077</t>
        </is>
      </c>
      <c r="E881" t="inlineStr">
        <is>
          <t>unknown</t>
        </is>
      </c>
      <c r="F881">
        <f>IFERROR(MATCH(A881,Deals!$A$2:$A$843,0),"")</f>
        <v/>
      </c>
      <c r="G881">
        <f>IF(F881="",0,1)</f>
        <v/>
      </c>
      <c r="H881" s="29">
        <f>IF(F881="","",INDEX(Deals!$E$2:$E$843,F881))</f>
        <v/>
      </c>
      <c r="I881">
        <f>IF(F881="","",INDEX(Deals!$D$2:$D$843,F881))</f>
        <v/>
      </c>
      <c r="J881">
        <f>IF(F881="","",INT(H881)-B881)</f>
        <v/>
      </c>
      <c r="K881">
        <f>IF(B881&gt;=Settings!$C$5,1,0)</f>
        <v/>
      </c>
    </row>
    <row r="882">
      <c r="A882" t="inlineStr">
        <is>
          <t>6022410d9c4a0f83f8f2717b50f6a51f</t>
        </is>
      </c>
      <c r="B882" s="29" t="n">
        <v>43033</v>
      </c>
      <c r="C882" t="inlineStr">
        <is>
          <t>2017-10</t>
        </is>
      </c>
      <c r="D882" t="inlineStr">
        <is>
          <t>c05f0fd41e79d7811221253e0d4eadc8</t>
        </is>
      </c>
      <c r="E882" t="inlineStr">
        <is>
          <t>organic_search</t>
        </is>
      </c>
      <c r="F882">
        <f>IFERROR(MATCH(A882,Deals!$A$2:$A$843,0),"")</f>
        <v/>
      </c>
      <c r="G882">
        <f>IF(F882="",0,1)</f>
        <v/>
      </c>
      <c r="H882" s="29">
        <f>IF(F882="","",INDEX(Deals!$E$2:$E$843,F882))</f>
        <v/>
      </c>
      <c r="I882">
        <f>IF(F882="","",INDEX(Deals!$D$2:$D$843,F882))</f>
        <v/>
      </c>
      <c r="J882">
        <f>IF(F882="","",INT(H882)-B882)</f>
        <v/>
      </c>
      <c r="K882">
        <f>IF(B882&gt;=Settings!$C$5,1,0)</f>
        <v/>
      </c>
    </row>
    <row r="883">
      <c r="A883" t="inlineStr">
        <is>
          <t>cea2057aa773cb64e04f7a0bfae95f51</t>
        </is>
      </c>
      <c r="B883" s="29" t="n">
        <v>43152</v>
      </c>
      <c r="C883" t="inlineStr">
        <is>
          <t>2018-02</t>
        </is>
      </c>
      <c r="D883" t="inlineStr">
        <is>
          <t>36120633c8737035fbabf079082f4ec1</t>
        </is>
      </c>
      <c r="E883" t="inlineStr">
        <is>
          <t>unknown</t>
        </is>
      </c>
      <c r="F883">
        <f>IFERROR(MATCH(A883,Deals!$A$2:$A$843,0),"")</f>
        <v/>
      </c>
      <c r="G883">
        <f>IF(F883="",0,1)</f>
        <v/>
      </c>
      <c r="H883" s="29">
        <f>IF(F883="","",INDEX(Deals!$E$2:$E$843,F883))</f>
        <v/>
      </c>
      <c r="I883">
        <f>IF(F883="","",INDEX(Deals!$D$2:$D$843,F883))</f>
        <v/>
      </c>
      <c r="J883">
        <f>IF(F883="","",INT(H883)-B883)</f>
        <v/>
      </c>
      <c r="K883">
        <f>IF(B883&gt;=Settings!$C$5,1,0)</f>
        <v/>
      </c>
    </row>
    <row r="884">
      <c r="A884" t="inlineStr">
        <is>
          <t>f60244ec97d110c8e60e2eace9617a74</t>
        </is>
      </c>
      <c r="B884" s="29" t="n">
        <v>43159</v>
      </c>
      <c r="C884" t="inlineStr">
        <is>
          <t>2018-02</t>
        </is>
      </c>
      <c r="D884" t="inlineStr">
        <is>
          <t>7fa6214d82e911d070f51ef79381b956</t>
        </is>
      </c>
      <c r="E884" t="inlineStr">
        <is>
          <t>organic_search</t>
        </is>
      </c>
      <c r="F884">
        <f>IFERROR(MATCH(A884,Deals!$A$2:$A$843,0),"")</f>
        <v/>
      </c>
      <c r="G884">
        <f>IF(F884="",0,1)</f>
        <v/>
      </c>
      <c r="H884" s="29">
        <f>IF(F884="","",INDEX(Deals!$E$2:$E$843,F884))</f>
        <v/>
      </c>
      <c r="I884">
        <f>IF(F884="","",INDEX(Deals!$D$2:$D$843,F884))</f>
        <v/>
      </c>
      <c r="J884">
        <f>IF(F884="","",INT(H884)-B884)</f>
        <v/>
      </c>
      <c r="K884">
        <f>IF(B884&gt;=Settings!$C$5,1,0)</f>
        <v/>
      </c>
    </row>
    <row r="885">
      <c r="A885" t="inlineStr">
        <is>
          <t>404fad250f9e44794bad565785d71bfc</t>
        </is>
      </c>
      <c r="B885" s="29" t="n">
        <v>43006</v>
      </c>
      <c r="C885" t="inlineStr">
        <is>
          <t>2017-09</t>
        </is>
      </c>
      <c r="D885" t="inlineStr">
        <is>
          <t>4e82dd1f6d00626bda0723eef0a269a6</t>
        </is>
      </c>
      <c r="E885" t="inlineStr">
        <is>
          <t>organic_search</t>
        </is>
      </c>
      <c r="F885">
        <f>IFERROR(MATCH(A885,Deals!$A$2:$A$843,0),"")</f>
        <v/>
      </c>
      <c r="G885">
        <f>IF(F885="",0,1)</f>
        <v/>
      </c>
      <c r="H885" s="29">
        <f>IF(F885="","",INDEX(Deals!$E$2:$E$843,F885))</f>
        <v/>
      </c>
      <c r="I885">
        <f>IF(F885="","",INDEX(Deals!$D$2:$D$843,F885))</f>
        <v/>
      </c>
      <c r="J885">
        <f>IF(F885="","",INT(H885)-B885)</f>
        <v/>
      </c>
      <c r="K885">
        <f>IF(B885&gt;=Settings!$C$5,1,0)</f>
        <v/>
      </c>
    </row>
    <row r="886">
      <c r="A886" t="inlineStr">
        <is>
          <t>230bf796d713db7832df3bda27c44978</t>
        </is>
      </c>
      <c r="B886" s="29" t="n">
        <v>43131</v>
      </c>
      <c r="C886" t="inlineStr">
        <is>
          <t>2018-01</t>
        </is>
      </c>
      <c r="D886" t="inlineStr">
        <is>
          <t>b6cd08ac77c501fd6857f7916d2c24f3</t>
        </is>
      </c>
      <c r="E886" t="inlineStr">
        <is>
          <t>social</t>
        </is>
      </c>
      <c r="F886">
        <f>IFERROR(MATCH(A886,Deals!$A$2:$A$843,0),"")</f>
        <v/>
      </c>
      <c r="G886">
        <f>IF(F886="",0,1)</f>
        <v/>
      </c>
      <c r="H886" s="29">
        <f>IF(F886="","",INDEX(Deals!$E$2:$E$843,F886))</f>
        <v/>
      </c>
      <c r="I886">
        <f>IF(F886="","",INDEX(Deals!$D$2:$D$843,F886))</f>
        <v/>
      </c>
      <c r="J886">
        <f>IF(F886="","",INT(H886)-B886)</f>
        <v/>
      </c>
      <c r="K886">
        <f>IF(B886&gt;=Settings!$C$5,1,0)</f>
        <v/>
      </c>
    </row>
    <row r="887">
      <c r="A887" t="inlineStr">
        <is>
          <t>50d0d501abae70eb194840597d4586b7</t>
        </is>
      </c>
      <c r="B887" s="29" t="n">
        <v>43175</v>
      </c>
      <c r="C887" t="inlineStr">
        <is>
          <t>2018-03</t>
        </is>
      </c>
      <c r="D887" t="inlineStr">
        <is>
          <t>de49b5a73de3b19b3339700fe733886c</t>
        </is>
      </c>
      <c r="E887" t="inlineStr">
        <is>
          <t>unknown</t>
        </is>
      </c>
      <c r="F887">
        <f>IFERROR(MATCH(A887,Deals!$A$2:$A$843,0),"")</f>
        <v/>
      </c>
      <c r="G887">
        <f>IF(F887="",0,1)</f>
        <v/>
      </c>
      <c r="H887" s="29">
        <f>IF(F887="","",INDEX(Deals!$E$2:$E$843,F887))</f>
        <v/>
      </c>
      <c r="I887">
        <f>IF(F887="","",INDEX(Deals!$D$2:$D$843,F887))</f>
        <v/>
      </c>
      <c r="J887">
        <f>IF(F887="","",INT(H887)-B887)</f>
        <v/>
      </c>
      <c r="K887">
        <f>IF(B887&gt;=Settings!$C$5,1,0)</f>
        <v/>
      </c>
    </row>
    <row r="888">
      <c r="A888" t="inlineStr">
        <is>
          <t>5d156163616be03a50d2a546fa2068b2</t>
        </is>
      </c>
      <c r="B888" s="29" t="n">
        <v>43173</v>
      </c>
      <c r="C888" t="inlineStr">
        <is>
          <t>2018-03</t>
        </is>
      </c>
      <c r="D888" t="inlineStr">
        <is>
          <t>b76ef37428e6799c421989521c0e5077</t>
        </is>
      </c>
      <c r="E888" t="inlineStr">
        <is>
          <t>unknown</t>
        </is>
      </c>
      <c r="F888">
        <f>IFERROR(MATCH(A888,Deals!$A$2:$A$843,0),"")</f>
        <v/>
      </c>
      <c r="G888">
        <f>IF(F888="",0,1)</f>
        <v/>
      </c>
      <c r="H888" s="29">
        <f>IF(F888="","",INDEX(Deals!$E$2:$E$843,F888))</f>
        <v/>
      </c>
      <c r="I888">
        <f>IF(F888="","",INDEX(Deals!$D$2:$D$843,F888))</f>
        <v/>
      </c>
      <c r="J888">
        <f>IF(F888="","",INT(H888)-B888)</f>
        <v/>
      </c>
      <c r="K888">
        <f>IF(B888&gt;=Settings!$C$5,1,0)</f>
        <v/>
      </c>
    </row>
    <row r="889">
      <c r="A889" t="inlineStr">
        <is>
          <t>1ef127809b52c45cab60e2f03589d8eb</t>
        </is>
      </c>
      <c r="B889" s="29" t="n">
        <v>43244</v>
      </c>
      <c r="C889" t="inlineStr">
        <is>
          <t>2018-05</t>
        </is>
      </c>
      <c r="D889" t="inlineStr">
        <is>
          <t>22c29808c4f815213303f8933030604c</t>
        </is>
      </c>
      <c r="E889" t="inlineStr">
        <is>
          <t>paid_search</t>
        </is>
      </c>
      <c r="F889">
        <f>IFERROR(MATCH(A889,Deals!$A$2:$A$843,0),"")</f>
        <v/>
      </c>
      <c r="G889">
        <f>IF(F889="",0,1)</f>
        <v/>
      </c>
      <c r="H889" s="29">
        <f>IF(F889="","",INDEX(Deals!$E$2:$E$843,F889))</f>
        <v/>
      </c>
      <c r="I889">
        <f>IF(F889="","",INDEX(Deals!$D$2:$D$843,F889))</f>
        <v/>
      </c>
      <c r="J889">
        <f>IF(F889="","",INT(H889)-B889)</f>
        <v/>
      </c>
      <c r="K889">
        <f>IF(B889&gt;=Settings!$C$5,1,0)</f>
        <v/>
      </c>
    </row>
    <row r="890">
      <c r="A890" t="inlineStr">
        <is>
          <t>9f2dab581c42e1381065d4d6dbd75d1a</t>
        </is>
      </c>
      <c r="B890" s="29" t="n">
        <v>43181</v>
      </c>
      <c r="C890" t="inlineStr">
        <is>
          <t>2018-03</t>
        </is>
      </c>
      <c r="D890" t="inlineStr">
        <is>
          <t>ce1a65abd0973638f1c887a6efcfa82d</t>
        </is>
      </c>
      <c r="E890" t="inlineStr">
        <is>
          <t>organic_search</t>
        </is>
      </c>
      <c r="F890">
        <f>IFERROR(MATCH(A890,Deals!$A$2:$A$843,0),"")</f>
        <v/>
      </c>
      <c r="G890">
        <f>IF(F890="",0,1)</f>
        <v/>
      </c>
      <c r="H890" s="29">
        <f>IF(F890="","",INDEX(Deals!$E$2:$E$843,F890))</f>
        <v/>
      </c>
      <c r="I890">
        <f>IF(F890="","",INDEX(Deals!$D$2:$D$843,F890))</f>
        <v/>
      </c>
      <c r="J890">
        <f>IF(F890="","",INT(H890)-B890)</f>
        <v/>
      </c>
      <c r="K890">
        <f>IF(B890&gt;=Settings!$C$5,1,0)</f>
        <v/>
      </c>
    </row>
    <row r="891">
      <c r="A891" t="inlineStr">
        <is>
          <t>3c2039db61fe90adf34f25f38deb893a</t>
        </is>
      </c>
      <c r="B891" s="29" t="n">
        <v>42998</v>
      </c>
      <c r="C891" t="inlineStr">
        <is>
          <t>2017-09</t>
        </is>
      </c>
      <c r="D891" t="inlineStr">
        <is>
          <t>ce1a65abd0973638f1c887a6efcfa82d</t>
        </is>
      </c>
      <c r="E891" t="inlineStr">
        <is>
          <t>paid_search</t>
        </is>
      </c>
      <c r="F891">
        <f>IFERROR(MATCH(A891,Deals!$A$2:$A$843,0),"")</f>
        <v/>
      </c>
      <c r="G891">
        <f>IF(F891="",0,1)</f>
        <v/>
      </c>
      <c r="H891" s="29">
        <f>IF(F891="","",INDEX(Deals!$E$2:$E$843,F891))</f>
        <v/>
      </c>
      <c r="I891">
        <f>IF(F891="","",INDEX(Deals!$D$2:$D$843,F891))</f>
        <v/>
      </c>
      <c r="J891">
        <f>IF(F891="","",INT(H891)-B891)</f>
        <v/>
      </c>
      <c r="K891">
        <f>IF(B891&gt;=Settings!$C$5,1,0)</f>
        <v/>
      </c>
    </row>
    <row r="892">
      <c r="A892" t="inlineStr">
        <is>
          <t>d0b2ef3bdc9ed0fce3d672ec52dc9c00</t>
        </is>
      </c>
      <c r="B892" s="29" t="n">
        <v>43164</v>
      </c>
      <c r="C892" t="inlineStr">
        <is>
          <t>2018-03</t>
        </is>
      </c>
      <c r="D892" t="inlineStr">
        <is>
          <t>b76ef37428e6799c421989521c0e5077</t>
        </is>
      </c>
      <c r="E892" t="inlineStr">
        <is>
          <t>unknown</t>
        </is>
      </c>
      <c r="F892">
        <f>IFERROR(MATCH(A892,Deals!$A$2:$A$843,0),"")</f>
        <v/>
      </c>
      <c r="G892">
        <f>IF(F892="",0,1)</f>
        <v/>
      </c>
      <c r="H892" s="29">
        <f>IF(F892="","",INDEX(Deals!$E$2:$E$843,F892))</f>
        <v/>
      </c>
      <c r="I892">
        <f>IF(F892="","",INDEX(Deals!$D$2:$D$843,F892))</f>
        <v/>
      </c>
      <c r="J892">
        <f>IF(F892="","",INT(H892)-B892)</f>
        <v/>
      </c>
      <c r="K892">
        <f>IF(B892&gt;=Settings!$C$5,1,0)</f>
        <v/>
      </c>
    </row>
    <row r="893">
      <c r="A893" t="inlineStr">
        <is>
          <t>ddd3ac78a14a615e003287228c6ecff0</t>
        </is>
      </c>
      <c r="B893" s="29" t="n">
        <v>43034</v>
      </c>
      <c r="C893" t="inlineStr">
        <is>
          <t>2017-10</t>
        </is>
      </c>
      <c r="D893" t="inlineStr">
        <is>
          <t>4513838e626b499f475f9b488d177c55</t>
        </is>
      </c>
      <c r="E893" t="inlineStr">
        <is>
          <t>paid_search</t>
        </is>
      </c>
      <c r="F893">
        <f>IFERROR(MATCH(A893,Deals!$A$2:$A$843,0),"")</f>
        <v/>
      </c>
      <c r="G893">
        <f>IF(F893="",0,1)</f>
        <v/>
      </c>
      <c r="H893" s="29">
        <f>IF(F893="","",INDEX(Deals!$E$2:$E$843,F893))</f>
        <v/>
      </c>
      <c r="I893">
        <f>IF(F893="","",INDEX(Deals!$D$2:$D$843,F893))</f>
        <v/>
      </c>
      <c r="J893">
        <f>IF(F893="","",INT(H893)-B893)</f>
        <v/>
      </c>
      <c r="K893">
        <f>IF(B893&gt;=Settings!$C$5,1,0)</f>
        <v/>
      </c>
    </row>
    <row r="894">
      <c r="A894" t="inlineStr">
        <is>
          <t>05c0ea71086013588050cb7762de5385</t>
        </is>
      </c>
      <c r="B894" s="29" t="n">
        <v>43133</v>
      </c>
      <c r="C894" t="inlineStr">
        <is>
          <t>2018-02</t>
        </is>
      </c>
      <c r="D894" t="inlineStr">
        <is>
          <t>40dec9f3d5259a3d2dbcdab2114fae47</t>
        </is>
      </c>
      <c r="E894" t="inlineStr">
        <is>
          <t>paid_search</t>
        </is>
      </c>
      <c r="F894">
        <f>IFERROR(MATCH(A894,Deals!$A$2:$A$843,0),"")</f>
        <v/>
      </c>
      <c r="G894">
        <f>IF(F894="",0,1)</f>
        <v/>
      </c>
      <c r="H894" s="29">
        <f>IF(F894="","",INDEX(Deals!$E$2:$E$843,F894))</f>
        <v/>
      </c>
      <c r="I894">
        <f>IF(F894="","",INDEX(Deals!$D$2:$D$843,F894))</f>
        <v/>
      </c>
      <c r="J894">
        <f>IF(F894="","",INT(H894)-B894)</f>
        <v/>
      </c>
      <c r="K894">
        <f>IF(B894&gt;=Settings!$C$5,1,0)</f>
        <v/>
      </c>
    </row>
    <row r="895">
      <c r="A895" t="inlineStr">
        <is>
          <t>ae3957e98c48990c5f6448c1db3a0627</t>
        </is>
      </c>
      <c r="B895" s="29" t="n">
        <v>43234</v>
      </c>
      <c r="C895" t="inlineStr">
        <is>
          <t>2018-05</t>
        </is>
      </c>
      <c r="D895" t="inlineStr">
        <is>
          <t>b76ef37428e6799c421989521c0e5077</t>
        </is>
      </c>
      <c r="E895" t="inlineStr">
        <is>
          <t>unknown</t>
        </is>
      </c>
      <c r="F895">
        <f>IFERROR(MATCH(A895,Deals!$A$2:$A$843,0),"")</f>
        <v/>
      </c>
      <c r="G895">
        <f>IF(F895="",0,1)</f>
        <v/>
      </c>
      <c r="H895" s="29">
        <f>IF(F895="","",INDEX(Deals!$E$2:$E$843,F895))</f>
        <v/>
      </c>
      <c r="I895">
        <f>IF(F895="","",INDEX(Deals!$D$2:$D$843,F895))</f>
        <v/>
      </c>
      <c r="J895">
        <f>IF(F895="","",INT(H895)-B895)</f>
        <v/>
      </c>
      <c r="K895">
        <f>IF(B895&gt;=Settings!$C$5,1,0)</f>
        <v/>
      </c>
    </row>
    <row r="896">
      <c r="A896" t="inlineStr">
        <is>
          <t>b03d078b859d32d6b12b3e491acaf978</t>
        </is>
      </c>
      <c r="B896" s="29" t="n">
        <v>42944</v>
      </c>
      <c r="C896" t="inlineStr">
        <is>
          <t>2017-07</t>
        </is>
      </c>
      <c r="D896" t="inlineStr">
        <is>
          <t>65d9f9d71e562365e8b44037c2888d98</t>
        </is>
      </c>
      <c r="E896" t="inlineStr">
        <is>
          <t>paid_search</t>
        </is>
      </c>
      <c r="F896">
        <f>IFERROR(MATCH(A896,Deals!$A$2:$A$843,0),"")</f>
        <v/>
      </c>
      <c r="G896">
        <f>IF(F896="",0,1)</f>
        <v/>
      </c>
      <c r="H896" s="29">
        <f>IF(F896="","",INDEX(Deals!$E$2:$E$843,F896))</f>
        <v/>
      </c>
      <c r="I896">
        <f>IF(F896="","",INDEX(Deals!$D$2:$D$843,F896))</f>
        <v/>
      </c>
      <c r="J896">
        <f>IF(F896="","",INT(H896)-B896)</f>
        <v/>
      </c>
      <c r="K896">
        <f>IF(B896&gt;=Settings!$C$5,1,0)</f>
        <v/>
      </c>
    </row>
    <row r="897">
      <c r="A897" t="inlineStr">
        <is>
          <t>d096df64444d0d19256d35a7194b3692</t>
        </is>
      </c>
      <c r="B897" s="29" t="n">
        <v>43208</v>
      </c>
      <c r="C897" t="inlineStr">
        <is>
          <t>2018-04</t>
        </is>
      </c>
      <c r="D897" t="inlineStr">
        <is>
          <t>40dec9f3d5259a3d2dbcdab2114fae47</t>
        </is>
      </c>
      <c r="E897" t="inlineStr">
        <is>
          <t>paid_search</t>
        </is>
      </c>
      <c r="F897">
        <f>IFERROR(MATCH(A897,Deals!$A$2:$A$843,0),"")</f>
        <v/>
      </c>
      <c r="G897">
        <f>IF(F897="",0,1)</f>
        <v/>
      </c>
      <c r="H897" s="29">
        <f>IF(F897="","",INDEX(Deals!$E$2:$E$843,F897))</f>
        <v/>
      </c>
      <c r="I897">
        <f>IF(F897="","",INDEX(Deals!$D$2:$D$843,F897))</f>
        <v/>
      </c>
      <c r="J897">
        <f>IF(F897="","",INT(H897)-B897)</f>
        <v/>
      </c>
      <c r="K897">
        <f>IF(B897&gt;=Settings!$C$5,1,0)</f>
        <v/>
      </c>
    </row>
    <row r="898">
      <c r="A898" t="inlineStr">
        <is>
          <t>496515dec2a1c280f145f6ccb34851fb</t>
        </is>
      </c>
      <c r="B898" s="29" t="n">
        <v>43216</v>
      </c>
      <c r="C898" t="inlineStr">
        <is>
          <t>2018-04</t>
        </is>
      </c>
      <c r="D898" t="inlineStr">
        <is>
          <t>3f3196b43b4af9aafbe878f6a1bbc7bd</t>
        </is>
      </c>
      <c r="E898" t="inlineStr">
        <is>
          <t>unknown</t>
        </is>
      </c>
      <c r="F898">
        <f>IFERROR(MATCH(A898,Deals!$A$2:$A$843,0),"")</f>
        <v/>
      </c>
      <c r="G898">
        <f>IF(F898="",0,1)</f>
        <v/>
      </c>
      <c r="H898" s="29">
        <f>IF(F898="","",INDEX(Deals!$E$2:$E$843,F898))</f>
        <v/>
      </c>
      <c r="I898">
        <f>IF(F898="","",INDEX(Deals!$D$2:$D$843,F898))</f>
        <v/>
      </c>
      <c r="J898">
        <f>IF(F898="","",INT(H898)-B898)</f>
        <v/>
      </c>
      <c r="K898">
        <f>IF(B898&gt;=Settings!$C$5,1,0)</f>
        <v/>
      </c>
    </row>
    <row r="899">
      <c r="A899" t="inlineStr">
        <is>
          <t>5952ec3c4ee2b4cef6e2ca4e131a54eb</t>
        </is>
      </c>
      <c r="B899" s="29" t="n">
        <v>43071</v>
      </c>
      <c r="C899" t="inlineStr">
        <is>
          <t>2017-12</t>
        </is>
      </c>
      <c r="D899" t="inlineStr">
        <is>
          <t>22c29808c4f815213303f8933030604c</t>
        </is>
      </c>
      <c r="E899" t="inlineStr">
        <is>
          <t>direct_traffic</t>
        </is>
      </c>
      <c r="F899">
        <f>IFERROR(MATCH(A899,Deals!$A$2:$A$843,0),"")</f>
        <v/>
      </c>
      <c r="G899">
        <f>IF(F899="",0,1)</f>
        <v/>
      </c>
      <c r="H899" s="29">
        <f>IF(F899="","",INDEX(Deals!$E$2:$E$843,F899))</f>
        <v/>
      </c>
      <c r="I899">
        <f>IF(F899="","",INDEX(Deals!$D$2:$D$843,F899))</f>
        <v/>
      </c>
      <c r="J899">
        <f>IF(F899="","",INT(H899)-B899)</f>
        <v/>
      </c>
      <c r="K899">
        <f>IF(B899&gt;=Settings!$C$5,1,0)</f>
        <v/>
      </c>
    </row>
    <row r="900">
      <c r="A900" t="inlineStr">
        <is>
          <t>d7b34cc18c3b1c0a53acf0987d834a31</t>
        </is>
      </c>
      <c r="B900" s="29" t="n">
        <v>43157</v>
      </c>
      <c r="C900" t="inlineStr">
        <is>
          <t>2018-02</t>
        </is>
      </c>
      <c r="D900" t="inlineStr">
        <is>
          <t>0e5a178e3cd2368607f3e72f46140476</t>
        </is>
      </c>
      <c r="E900" t="inlineStr">
        <is>
          <t>email</t>
        </is>
      </c>
      <c r="F900">
        <f>IFERROR(MATCH(A900,Deals!$A$2:$A$843,0),"")</f>
        <v/>
      </c>
      <c r="G900">
        <f>IF(F900="",0,1)</f>
        <v/>
      </c>
      <c r="H900" s="29">
        <f>IF(F900="","",INDEX(Deals!$E$2:$E$843,F900))</f>
        <v/>
      </c>
      <c r="I900">
        <f>IF(F900="","",INDEX(Deals!$D$2:$D$843,F900))</f>
        <v/>
      </c>
      <c r="J900">
        <f>IF(F900="","",INT(H900)-B900)</f>
        <v/>
      </c>
      <c r="K900">
        <f>IF(B900&gt;=Settings!$C$5,1,0)</f>
        <v/>
      </c>
    </row>
    <row r="901">
      <c r="A901" t="inlineStr">
        <is>
          <t>8eb100008e421f50e5928029cef07c4e</t>
        </is>
      </c>
      <c r="B901" s="29" t="n">
        <v>43199</v>
      </c>
      <c r="C901" t="inlineStr">
        <is>
          <t>2018-04</t>
        </is>
      </c>
      <c r="D901" t="inlineStr">
        <is>
          <t>58326e62183c14b0c03085c33b9fdc44</t>
        </is>
      </c>
      <c r="E901" t="inlineStr">
        <is>
          <t>social</t>
        </is>
      </c>
      <c r="F901">
        <f>IFERROR(MATCH(A901,Deals!$A$2:$A$843,0),"")</f>
        <v/>
      </c>
      <c r="G901">
        <f>IF(F901="",0,1)</f>
        <v/>
      </c>
      <c r="H901" s="29">
        <f>IF(F901="","",INDEX(Deals!$E$2:$E$843,F901))</f>
        <v/>
      </c>
      <c r="I901">
        <f>IF(F901="","",INDEX(Deals!$D$2:$D$843,F901))</f>
        <v/>
      </c>
      <c r="J901">
        <f>IF(F901="","",INT(H901)-B901)</f>
        <v/>
      </c>
      <c r="K901">
        <f>IF(B901&gt;=Settings!$C$5,1,0)</f>
        <v/>
      </c>
    </row>
    <row r="902">
      <c r="A902" t="inlineStr">
        <is>
          <t>6631b5b5d6b9c2e370c06d79f5a6807f</t>
        </is>
      </c>
      <c r="B902" s="29" t="n">
        <v>43202</v>
      </c>
      <c r="C902" t="inlineStr">
        <is>
          <t>2018-04</t>
        </is>
      </c>
      <c r="D902" t="inlineStr">
        <is>
          <t>ce1a65abd0973638f1c887a6efcfa82d</t>
        </is>
      </c>
      <c r="E902" t="inlineStr">
        <is>
          <t>organic_search</t>
        </is>
      </c>
      <c r="F902">
        <f>IFERROR(MATCH(A902,Deals!$A$2:$A$843,0),"")</f>
        <v/>
      </c>
      <c r="G902">
        <f>IF(F902="",0,1)</f>
        <v/>
      </c>
      <c r="H902" s="29">
        <f>IF(F902="","",INDEX(Deals!$E$2:$E$843,F902))</f>
        <v/>
      </c>
      <c r="I902">
        <f>IF(F902="","",INDEX(Deals!$D$2:$D$843,F902))</f>
        <v/>
      </c>
      <c r="J902">
        <f>IF(F902="","",INT(H902)-B902)</f>
        <v/>
      </c>
      <c r="K902">
        <f>IF(B902&gt;=Settings!$C$5,1,0)</f>
        <v/>
      </c>
    </row>
    <row r="903">
      <c r="A903" t="inlineStr">
        <is>
          <t>17c77fd570aa86b74387fae66d9d4edd</t>
        </is>
      </c>
      <c r="B903" s="29" t="n">
        <v>43104</v>
      </c>
      <c r="C903" t="inlineStr">
        <is>
          <t>2018-01</t>
        </is>
      </c>
      <c r="D903" t="inlineStr">
        <is>
          <t>22c29808c4f815213303f8933030604c</t>
        </is>
      </c>
      <c r="E903" t="inlineStr">
        <is>
          <t>unknown</t>
        </is>
      </c>
      <c r="F903">
        <f>IFERROR(MATCH(A903,Deals!$A$2:$A$843,0),"")</f>
        <v/>
      </c>
      <c r="G903">
        <f>IF(F903="",0,1)</f>
        <v/>
      </c>
      <c r="H903" s="29">
        <f>IF(F903="","",INDEX(Deals!$E$2:$E$843,F903))</f>
        <v/>
      </c>
      <c r="I903">
        <f>IF(F903="","",INDEX(Deals!$D$2:$D$843,F903))</f>
        <v/>
      </c>
      <c r="J903">
        <f>IF(F903="","",INT(H903)-B903)</f>
        <v/>
      </c>
      <c r="K903">
        <f>IF(B903&gt;=Settings!$C$5,1,0)</f>
        <v/>
      </c>
    </row>
    <row r="904">
      <c r="A904" t="inlineStr">
        <is>
          <t>7ea51fd2f0dd47dff6eb12321e54e9b0</t>
        </is>
      </c>
      <c r="B904" s="29" t="n">
        <v>43119</v>
      </c>
      <c r="C904" t="inlineStr">
        <is>
          <t>2018-01</t>
        </is>
      </c>
      <c r="D904" t="inlineStr">
        <is>
          <t>241f79c7a8fe0270f4fb79fcbbcd17ad</t>
        </is>
      </c>
      <c r="E904" t="inlineStr">
        <is>
          <t>paid_search</t>
        </is>
      </c>
      <c r="F904">
        <f>IFERROR(MATCH(A904,Deals!$A$2:$A$843,0),"")</f>
        <v/>
      </c>
      <c r="G904">
        <f>IF(F904="",0,1)</f>
        <v/>
      </c>
      <c r="H904" s="29">
        <f>IF(F904="","",INDEX(Deals!$E$2:$E$843,F904))</f>
        <v/>
      </c>
      <c r="I904">
        <f>IF(F904="","",INDEX(Deals!$D$2:$D$843,F904))</f>
        <v/>
      </c>
      <c r="J904">
        <f>IF(F904="","",INT(H904)-B904)</f>
        <v/>
      </c>
      <c r="K904">
        <f>IF(B904&gt;=Settings!$C$5,1,0)</f>
        <v/>
      </c>
    </row>
    <row r="905">
      <c r="A905" t="inlineStr">
        <is>
          <t>1cccb6d5cd38e1c3e19e5bcaa50b13ab</t>
        </is>
      </c>
      <c r="B905" s="29" t="n">
        <v>43038</v>
      </c>
      <c r="C905" t="inlineStr">
        <is>
          <t>2017-10</t>
        </is>
      </c>
      <c r="D905" t="inlineStr">
        <is>
          <t>f98c2bd96ac4a5d9476734e790c91384</t>
        </is>
      </c>
      <c r="E905" t="inlineStr">
        <is>
          <t>organic_search</t>
        </is>
      </c>
      <c r="F905">
        <f>IFERROR(MATCH(A905,Deals!$A$2:$A$843,0),"")</f>
        <v/>
      </c>
      <c r="G905">
        <f>IF(F905="",0,1)</f>
        <v/>
      </c>
      <c r="H905" s="29">
        <f>IF(F905="","",INDEX(Deals!$E$2:$E$843,F905))</f>
        <v/>
      </c>
      <c r="I905">
        <f>IF(F905="","",INDEX(Deals!$D$2:$D$843,F905))</f>
        <v/>
      </c>
      <c r="J905">
        <f>IF(F905="","",INT(H905)-B905)</f>
        <v/>
      </c>
      <c r="K905">
        <f>IF(B905&gt;=Settings!$C$5,1,0)</f>
        <v/>
      </c>
    </row>
    <row r="906">
      <c r="A906" t="inlineStr">
        <is>
          <t>edd2289fd0896ff85ee28cd771391c8a</t>
        </is>
      </c>
      <c r="B906" s="29" t="n">
        <v>43248</v>
      </c>
      <c r="C906" t="inlineStr">
        <is>
          <t>2018-05</t>
        </is>
      </c>
      <c r="D906" t="inlineStr">
        <is>
          <t>fb58285f6f6c4e504dfa628de116cae8</t>
        </is>
      </c>
      <c r="E906" t="inlineStr">
        <is>
          <t>organic_search</t>
        </is>
      </c>
      <c r="F906">
        <f>IFERROR(MATCH(A906,Deals!$A$2:$A$843,0),"")</f>
        <v/>
      </c>
      <c r="G906">
        <f>IF(F906="",0,1)</f>
        <v/>
      </c>
      <c r="H906" s="29">
        <f>IF(F906="","",INDEX(Deals!$E$2:$E$843,F906))</f>
        <v/>
      </c>
      <c r="I906">
        <f>IF(F906="","",INDEX(Deals!$D$2:$D$843,F906))</f>
        <v/>
      </c>
      <c r="J906">
        <f>IF(F906="","",INT(H906)-B906)</f>
        <v/>
      </c>
      <c r="K906">
        <f>IF(B906&gt;=Settings!$C$5,1,0)</f>
        <v/>
      </c>
    </row>
    <row r="907">
      <c r="A907" t="inlineStr">
        <is>
          <t>cc4ec90b270b9f1de8dc2d8864425252</t>
        </is>
      </c>
      <c r="B907" s="29" t="n">
        <v>43216</v>
      </c>
      <c r="C907" t="inlineStr">
        <is>
          <t>2018-04</t>
        </is>
      </c>
      <c r="D907" t="inlineStr">
        <is>
          <t>22c29808c4f815213303f8933030604c</t>
        </is>
      </c>
      <c r="E907" t="inlineStr">
        <is>
          <t>email</t>
        </is>
      </c>
      <c r="F907">
        <f>IFERROR(MATCH(A907,Deals!$A$2:$A$843,0),"")</f>
        <v/>
      </c>
      <c r="G907">
        <f>IF(F907="",0,1)</f>
        <v/>
      </c>
      <c r="H907" s="29">
        <f>IF(F907="","",INDEX(Deals!$E$2:$E$843,F907))</f>
        <v/>
      </c>
      <c r="I907">
        <f>IF(F907="","",INDEX(Deals!$D$2:$D$843,F907))</f>
        <v/>
      </c>
      <c r="J907">
        <f>IF(F907="","",INT(H907)-B907)</f>
        <v/>
      </c>
      <c r="K907">
        <f>IF(B907&gt;=Settings!$C$5,1,0)</f>
        <v/>
      </c>
    </row>
    <row r="908">
      <c r="A908" t="inlineStr">
        <is>
          <t>00da3036c4f9e0858880633f661aaf27</t>
        </is>
      </c>
      <c r="B908" s="29" t="n">
        <v>43221</v>
      </c>
      <c r="C908" t="inlineStr">
        <is>
          <t>2018-05</t>
        </is>
      </c>
      <c r="D908" t="inlineStr">
        <is>
          <t>58326e62183c14b0c03085c33b9fdc44</t>
        </is>
      </c>
      <c r="E908" t="inlineStr">
        <is>
          <t>social</t>
        </is>
      </c>
      <c r="F908">
        <f>IFERROR(MATCH(A908,Deals!$A$2:$A$843,0),"")</f>
        <v/>
      </c>
      <c r="G908">
        <f>IF(F908="",0,1)</f>
        <v/>
      </c>
      <c r="H908" s="29">
        <f>IF(F908="","",INDEX(Deals!$E$2:$E$843,F908))</f>
        <v/>
      </c>
      <c r="I908">
        <f>IF(F908="","",INDEX(Deals!$D$2:$D$843,F908))</f>
        <v/>
      </c>
      <c r="J908">
        <f>IF(F908="","",INT(H908)-B908)</f>
        <v/>
      </c>
      <c r="K908">
        <f>IF(B908&gt;=Settings!$C$5,1,0)</f>
        <v/>
      </c>
    </row>
    <row r="909">
      <c r="A909" t="inlineStr">
        <is>
          <t>f0b314f185b80cf35d986e298db53fe3</t>
        </is>
      </c>
      <c r="B909" s="29" t="n">
        <v>43208</v>
      </c>
      <c r="C909" t="inlineStr">
        <is>
          <t>2018-04</t>
        </is>
      </c>
      <c r="D909" t="inlineStr">
        <is>
          <t>b76ef37428e6799c421989521c0e5077</t>
        </is>
      </c>
      <c r="E909" t="inlineStr">
        <is>
          <t>unknown</t>
        </is>
      </c>
      <c r="F909">
        <f>IFERROR(MATCH(A909,Deals!$A$2:$A$843,0),"")</f>
        <v/>
      </c>
      <c r="G909">
        <f>IF(F909="",0,1)</f>
        <v/>
      </c>
      <c r="H909" s="29">
        <f>IF(F909="","",INDEX(Deals!$E$2:$E$843,F909))</f>
        <v/>
      </c>
      <c r="I909">
        <f>IF(F909="","",INDEX(Deals!$D$2:$D$843,F909))</f>
        <v/>
      </c>
      <c r="J909">
        <f>IF(F909="","",INT(H909)-B909)</f>
        <v/>
      </c>
      <c r="K909">
        <f>IF(B909&gt;=Settings!$C$5,1,0)</f>
        <v/>
      </c>
    </row>
    <row r="910">
      <c r="A910" t="inlineStr">
        <is>
          <t>50db8f7c19b932be1685af9bdcce5542</t>
        </is>
      </c>
      <c r="B910" s="29" t="n">
        <v>43140</v>
      </c>
      <c r="C910" t="inlineStr">
        <is>
          <t>2018-02</t>
        </is>
      </c>
      <c r="D910" t="inlineStr">
        <is>
          <t>b76ef37428e6799c421989521c0e5077</t>
        </is>
      </c>
      <c r="E910" t="inlineStr">
        <is>
          <t>unknown</t>
        </is>
      </c>
      <c r="F910">
        <f>IFERROR(MATCH(A910,Deals!$A$2:$A$843,0),"")</f>
        <v/>
      </c>
      <c r="G910">
        <f>IF(F910="",0,1)</f>
        <v/>
      </c>
      <c r="H910" s="29">
        <f>IF(F910="","",INDEX(Deals!$E$2:$E$843,F910))</f>
        <v/>
      </c>
      <c r="I910">
        <f>IF(F910="","",INDEX(Deals!$D$2:$D$843,F910))</f>
        <v/>
      </c>
      <c r="J910">
        <f>IF(F910="","",INT(H910)-B910)</f>
        <v/>
      </c>
      <c r="K910">
        <f>IF(B910&gt;=Settings!$C$5,1,0)</f>
        <v/>
      </c>
    </row>
    <row r="911">
      <c r="A911" t="inlineStr">
        <is>
          <t>e66b1a672cde79b5b85580e3ae0d4ee6</t>
        </is>
      </c>
      <c r="B911" s="29" t="n">
        <v>43117</v>
      </c>
      <c r="C911" t="inlineStr">
        <is>
          <t>2018-01</t>
        </is>
      </c>
      <c r="D911" t="inlineStr">
        <is>
          <t>c30d0b4337fd05444a3fe502562508d1</t>
        </is>
      </c>
      <c r="E911" t="inlineStr">
        <is>
          <t>organic_search</t>
        </is>
      </c>
      <c r="F911">
        <f>IFERROR(MATCH(A911,Deals!$A$2:$A$843,0),"")</f>
        <v/>
      </c>
      <c r="G911">
        <f>IF(F911="",0,1)</f>
        <v/>
      </c>
      <c r="H911" s="29">
        <f>IF(F911="","",INDEX(Deals!$E$2:$E$843,F911))</f>
        <v/>
      </c>
      <c r="I911">
        <f>IF(F911="","",INDEX(Deals!$D$2:$D$843,F911))</f>
        <v/>
      </c>
      <c r="J911">
        <f>IF(F911="","",INT(H911)-B911)</f>
        <v/>
      </c>
      <c r="K911">
        <f>IF(B911&gt;=Settings!$C$5,1,0)</f>
        <v/>
      </c>
    </row>
    <row r="912">
      <c r="A912" t="inlineStr">
        <is>
          <t>4d33696e6c41cca92b4cda58b63fc5f8</t>
        </is>
      </c>
      <c r="B912" s="29" t="n">
        <v>43031</v>
      </c>
      <c r="C912" t="inlineStr">
        <is>
          <t>2017-10</t>
        </is>
      </c>
      <c r="D912" t="inlineStr">
        <is>
          <t>c05f0fd41e79d7811221253e0d4eadc8</t>
        </is>
      </c>
      <c r="E912" t="inlineStr">
        <is>
          <t>referral</t>
        </is>
      </c>
      <c r="F912">
        <f>IFERROR(MATCH(A912,Deals!$A$2:$A$843,0),"")</f>
        <v/>
      </c>
      <c r="G912">
        <f>IF(F912="",0,1)</f>
        <v/>
      </c>
      <c r="H912" s="29">
        <f>IF(F912="","",INDEX(Deals!$E$2:$E$843,F912))</f>
        <v/>
      </c>
      <c r="I912">
        <f>IF(F912="","",INDEX(Deals!$D$2:$D$843,F912))</f>
        <v/>
      </c>
      <c r="J912">
        <f>IF(F912="","",INT(H912)-B912)</f>
        <v/>
      </c>
      <c r="K912">
        <f>IF(B912&gt;=Settings!$C$5,1,0)</f>
        <v/>
      </c>
    </row>
    <row r="913">
      <c r="A913" t="inlineStr">
        <is>
          <t>24d8bb61f5e86f7cbee14fc015f3ef91</t>
        </is>
      </c>
      <c r="B913" s="29" t="n">
        <v>43171</v>
      </c>
      <c r="C913" t="inlineStr">
        <is>
          <t>2018-03</t>
        </is>
      </c>
      <c r="D913" t="inlineStr">
        <is>
          <t>b217afa2c1f4cb502423005639878f6d</t>
        </is>
      </c>
      <c r="E913" t="inlineStr">
        <is>
          <t>paid_search</t>
        </is>
      </c>
      <c r="F913">
        <f>IFERROR(MATCH(A913,Deals!$A$2:$A$843,0),"")</f>
        <v/>
      </c>
      <c r="G913">
        <f>IF(F913="",0,1)</f>
        <v/>
      </c>
      <c r="H913" s="29">
        <f>IF(F913="","",INDEX(Deals!$E$2:$E$843,F913))</f>
        <v/>
      </c>
      <c r="I913">
        <f>IF(F913="","",INDEX(Deals!$D$2:$D$843,F913))</f>
        <v/>
      </c>
      <c r="J913">
        <f>IF(F913="","",INT(H913)-B913)</f>
        <v/>
      </c>
      <c r="K913">
        <f>IF(B913&gt;=Settings!$C$5,1,0)</f>
        <v/>
      </c>
    </row>
    <row r="914">
      <c r="A914" t="inlineStr">
        <is>
          <t>902a621ebb8a96c516d34a58334eb0ee</t>
        </is>
      </c>
      <c r="B914" s="29" t="n">
        <v>43024</v>
      </c>
      <c r="C914" t="inlineStr">
        <is>
          <t>2017-10</t>
        </is>
      </c>
      <c r="D914" t="inlineStr">
        <is>
          <t>b76ef37428e6799c421989521c0e5077</t>
        </is>
      </c>
      <c r="E914" t="inlineStr">
        <is>
          <t>unknown</t>
        </is>
      </c>
      <c r="F914">
        <f>IFERROR(MATCH(A914,Deals!$A$2:$A$843,0),"")</f>
        <v/>
      </c>
      <c r="G914">
        <f>IF(F914="",0,1)</f>
        <v/>
      </c>
      <c r="H914" s="29">
        <f>IF(F914="","",INDEX(Deals!$E$2:$E$843,F914))</f>
        <v/>
      </c>
      <c r="I914">
        <f>IF(F914="","",INDEX(Deals!$D$2:$D$843,F914))</f>
        <v/>
      </c>
      <c r="J914">
        <f>IF(F914="","",INT(H914)-B914)</f>
        <v/>
      </c>
      <c r="K914">
        <f>IF(B914&gt;=Settings!$C$5,1,0)</f>
        <v/>
      </c>
    </row>
    <row r="915">
      <c r="A915" t="inlineStr">
        <is>
          <t>a1ad46372861ecf61fdab04c7bf5082e</t>
        </is>
      </c>
      <c r="B915" s="29" t="n">
        <v>43152</v>
      </c>
      <c r="C915" t="inlineStr">
        <is>
          <t>2018-02</t>
        </is>
      </c>
      <c r="D915" t="inlineStr">
        <is>
          <t>146e076b71a6ca8c31b34191182a313a</t>
        </is>
      </c>
      <c r="E915" t="inlineStr">
        <is>
          <t>unknown</t>
        </is>
      </c>
      <c r="F915">
        <f>IFERROR(MATCH(A915,Deals!$A$2:$A$843,0),"")</f>
        <v/>
      </c>
      <c r="G915">
        <f>IF(F915="",0,1)</f>
        <v/>
      </c>
      <c r="H915" s="29">
        <f>IF(F915="","",INDEX(Deals!$E$2:$E$843,F915))</f>
        <v/>
      </c>
      <c r="I915">
        <f>IF(F915="","",INDEX(Deals!$D$2:$D$843,F915))</f>
        <v/>
      </c>
      <c r="J915">
        <f>IF(F915="","",INT(H915)-B915)</f>
        <v/>
      </c>
      <c r="K915">
        <f>IF(B915&gt;=Settings!$C$5,1,0)</f>
        <v/>
      </c>
    </row>
    <row r="916">
      <c r="A916" t="inlineStr">
        <is>
          <t>4c86f3bbcab249f879058d1825887571</t>
        </is>
      </c>
      <c r="B916" s="29" t="n">
        <v>42922</v>
      </c>
      <c r="C916" t="inlineStr">
        <is>
          <t>2017-07</t>
        </is>
      </c>
      <c r="D916" t="inlineStr">
        <is>
          <t>51ecca024748b4439e473ec446c0bef5</t>
        </is>
      </c>
      <c r="E916" t="inlineStr">
        <is>
          <t>other</t>
        </is>
      </c>
      <c r="F916">
        <f>IFERROR(MATCH(A916,Deals!$A$2:$A$843,0),"")</f>
        <v/>
      </c>
      <c r="G916">
        <f>IF(F916="",0,1)</f>
        <v/>
      </c>
      <c r="H916" s="29">
        <f>IF(F916="","",INDEX(Deals!$E$2:$E$843,F916))</f>
        <v/>
      </c>
      <c r="I916">
        <f>IF(F916="","",INDEX(Deals!$D$2:$D$843,F916))</f>
        <v/>
      </c>
      <c r="J916">
        <f>IF(F916="","",INT(H916)-B916)</f>
        <v/>
      </c>
      <c r="K916">
        <f>IF(B916&gt;=Settings!$C$5,1,0)</f>
        <v/>
      </c>
    </row>
    <row r="917">
      <c r="A917" t="inlineStr">
        <is>
          <t>04a7dfa903d6e9fe93d5ad37913ad5ff</t>
        </is>
      </c>
      <c r="B917" s="29" t="n">
        <v>43117</v>
      </c>
      <c r="C917" t="inlineStr">
        <is>
          <t>2018-01</t>
        </is>
      </c>
      <c r="D917" t="inlineStr">
        <is>
          <t>c30d0b4337fd05444a3fe502562508d1</t>
        </is>
      </c>
      <c r="E917" t="inlineStr">
        <is>
          <t>email</t>
        </is>
      </c>
      <c r="F917">
        <f>IFERROR(MATCH(A917,Deals!$A$2:$A$843,0),"")</f>
        <v/>
      </c>
      <c r="G917">
        <f>IF(F917="",0,1)</f>
        <v/>
      </c>
      <c r="H917" s="29">
        <f>IF(F917="","",INDEX(Deals!$E$2:$E$843,F917))</f>
        <v/>
      </c>
      <c r="I917">
        <f>IF(F917="","",INDEX(Deals!$D$2:$D$843,F917))</f>
        <v/>
      </c>
      <c r="J917">
        <f>IF(F917="","",INT(H917)-B917)</f>
        <v/>
      </c>
      <c r="K917">
        <f>IF(B917&gt;=Settings!$C$5,1,0)</f>
        <v/>
      </c>
    </row>
    <row r="918">
      <c r="A918" t="inlineStr">
        <is>
          <t>37a02e4012f8ec6fc59da19e05d983e3</t>
        </is>
      </c>
      <c r="B918" s="29" t="n">
        <v>43185</v>
      </c>
      <c r="C918" t="inlineStr">
        <is>
          <t>2018-03</t>
        </is>
      </c>
      <c r="D918" t="inlineStr">
        <is>
          <t>b76ef37428e6799c421989521c0e5077</t>
        </is>
      </c>
      <c r="E918" t="inlineStr">
        <is>
          <t>organic_search</t>
        </is>
      </c>
      <c r="F918">
        <f>IFERROR(MATCH(A918,Deals!$A$2:$A$843,0),"")</f>
        <v/>
      </c>
      <c r="G918">
        <f>IF(F918="",0,1)</f>
        <v/>
      </c>
      <c r="H918" s="29">
        <f>IF(F918="","",INDEX(Deals!$E$2:$E$843,F918))</f>
        <v/>
      </c>
      <c r="I918">
        <f>IF(F918="","",INDEX(Deals!$D$2:$D$843,F918))</f>
        <v/>
      </c>
      <c r="J918">
        <f>IF(F918="","",INT(H918)-B918)</f>
        <v/>
      </c>
      <c r="K918">
        <f>IF(B918&gt;=Settings!$C$5,1,0)</f>
        <v/>
      </c>
    </row>
    <row r="919">
      <c r="A919" t="inlineStr">
        <is>
          <t>7893b5468710641ad87f8b4aa1b8777d</t>
        </is>
      </c>
      <c r="B919" s="29" t="n">
        <v>43178</v>
      </c>
      <c r="C919" t="inlineStr">
        <is>
          <t>2018-03</t>
        </is>
      </c>
      <c r="D919" t="inlineStr">
        <is>
          <t>22c29808c4f815213303f8933030604c</t>
        </is>
      </c>
      <c r="E919" t="inlineStr">
        <is>
          <t>organic_search</t>
        </is>
      </c>
      <c r="F919">
        <f>IFERROR(MATCH(A919,Deals!$A$2:$A$843,0),"")</f>
        <v/>
      </c>
      <c r="G919">
        <f>IF(F919="",0,1)</f>
        <v/>
      </c>
      <c r="H919" s="29">
        <f>IF(F919="","",INDEX(Deals!$E$2:$E$843,F919))</f>
        <v/>
      </c>
      <c r="I919">
        <f>IF(F919="","",INDEX(Deals!$D$2:$D$843,F919))</f>
        <v/>
      </c>
      <c r="J919">
        <f>IF(F919="","",INT(H919)-B919)</f>
        <v/>
      </c>
      <c r="K919">
        <f>IF(B919&gt;=Settings!$C$5,1,0)</f>
        <v/>
      </c>
    </row>
    <row r="920">
      <c r="A920" t="inlineStr">
        <is>
          <t>bb82a22ca4d20daaa9794e3d540fbae4</t>
        </is>
      </c>
      <c r="B920" s="29" t="n">
        <v>43249</v>
      </c>
      <c r="C920" t="inlineStr">
        <is>
          <t>2018-05</t>
        </is>
      </c>
      <c r="D920" t="inlineStr">
        <is>
          <t>b76ef37428e6799c421989521c0e5077</t>
        </is>
      </c>
      <c r="E920" t="inlineStr">
        <is>
          <t>unknown</t>
        </is>
      </c>
      <c r="F920">
        <f>IFERROR(MATCH(A920,Deals!$A$2:$A$843,0),"")</f>
        <v/>
      </c>
      <c r="G920">
        <f>IF(F920="",0,1)</f>
        <v/>
      </c>
      <c r="H920" s="29">
        <f>IF(F920="","",INDEX(Deals!$E$2:$E$843,F920))</f>
        <v/>
      </c>
      <c r="I920">
        <f>IF(F920="","",INDEX(Deals!$D$2:$D$843,F920))</f>
        <v/>
      </c>
      <c r="J920">
        <f>IF(F920="","",INT(H920)-B920)</f>
        <v/>
      </c>
      <c r="K920">
        <f>IF(B920&gt;=Settings!$C$5,1,0)</f>
        <v/>
      </c>
    </row>
    <row r="921">
      <c r="A921" t="inlineStr">
        <is>
          <t>5cdc523d03ffbf758669c99bfa179412</t>
        </is>
      </c>
      <c r="B921" s="29" t="n">
        <v>43185</v>
      </c>
      <c r="C921" t="inlineStr">
        <is>
          <t>2018-03</t>
        </is>
      </c>
      <c r="D921" t="inlineStr">
        <is>
          <t>e492ee5eaf1697716985cc6f33f9cd9b</t>
        </is>
      </c>
      <c r="E921" t="inlineStr">
        <is>
          <t>referral</t>
        </is>
      </c>
      <c r="F921">
        <f>IFERROR(MATCH(A921,Deals!$A$2:$A$843,0),"")</f>
        <v/>
      </c>
      <c r="G921">
        <f>IF(F921="",0,1)</f>
        <v/>
      </c>
      <c r="H921" s="29">
        <f>IF(F921="","",INDEX(Deals!$E$2:$E$843,F921))</f>
        <v/>
      </c>
      <c r="I921">
        <f>IF(F921="","",INDEX(Deals!$D$2:$D$843,F921))</f>
        <v/>
      </c>
      <c r="J921">
        <f>IF(F921="","",INT(H921)-B921)</f>
        <v/>
      </c>
      <c r="K921">
        <f>IF(B921&gt;=Settings!$C$5,1,0)</f>
        <v/>
      </c>
    </row>
    <row r="922">
      <c r="A922" t="inlineStr">
        <is>
          <t>93ef614de3d8b9d2c590399c13ba8ca5</t>
        </is>
      </c>
      <c r="B922" s="29" t="n">
        <v>43119</v>
      </c>
      <c r="C922" t="inlineStr">
        <is>
          <t>2018-01</t>
        </is>
      </c>
      <c r="D922" t="inlineStr">
        <is>
          <t>7b8106a8b4d2982573b70980cbb01e9d</t>
        </is>
      </c>
      <c r="E922" t="inlineStr">
        <is>
          <t>direct_traffic</t>
        </is>
      </c>
      <c r="F922">
        <f>IFERROR(MATCH(A922,Deals!$A$2:$A$843,0),"")</f>
        <v/>
      </c>
      <c r="G922">
        <f>IF(F922="",0,1)</f>
        <v/>
      </c>
      <c r="H922" s="29">
        <f>IF(F922="","",INDEX(Deals!$E$2:$E$843,F922))</f>
        <v/>
      </c>
      <c r="I922">
        <f>IF(F922="","",INDEX(Deals!$D$2:$D$843,F922))</f>
        <v/>
      </c>
      <c r="J922">
        <f>IF(F922="","",INT(H922)-B922)</f>
        <v/>
      </c>
      <c r="K922">
        <f>IF(B922&gt;=Settings!$C$5,1,0)</f>
        <v/>
      </c>
    </row>
    <row r="923">
      <c r="A923" t="inlineStr">
        <is>
          <t>629cbc850fdffd979db78d9d37b2bab1</t>
        </is>
      </c>
      <c r="B923" s="29" t="n">
        <v>43217</v>
      </c>
      <c r="C923" t="inlineStr">
        <is>
          <t>2018-04</t>
        </is>
      </c>
      <c r="D923" t="inlineStr">
        <is>
          <t>5dc848e7dd9418dffe183215b8ff0bc1</t>
        </is>
      </c>
      <c r="E923" t="inlineStr">
        <is>
          <t>direct_traffic</t>
        </is>
      </c>
      <c r="F923">
        <f>IFERROR(MATCH(A923,Deals!$A$2:$A$843,0),"")</f>
        <v/>
      </c>
      <c r="G923">
        <f>IF(F923="",0,1)</f>
        <v/>
      </c>
      <c r="H923" s="29">
        <f>IF(F923="","",INDEX(Deals!$E$2:$E$843,F923))</f>
        <v/>
      </c>
      <c r="I923">
        <f>IF(F923="","",INDEX(Deals!$D$2:$D$843,F923))</f>
        <v/>
      </c>
      <c r="J923">
        <f>IF(F923="","",INT(H923)-B923)</f>
        <v/>
      </c>
      <c r="K923">
        <f>IF(B923&gt;=Settings!$C$5,1,0)</f>
        <v/>
      </c>
    </row>
    <row r="924">
      <c r="A924" t="inlineStr">
        <is>
          <t>ff4776b449efb88b35fbf6187af9771e</t>
        </is>
      </c>
      <c r="B924" s="29" t="n">
        <v>43062</v>
      </c>
      <c r="C924" t="inlineStr">
        <is>
          <t>2017-11</t>
        </is>
      </c>
      <c r="D924" t="inlineStr">
        <is>
          <t>88740e65d5d6b056e0cda098e1ea6313</t>
        </is>
      </c>
      <c r="E924" t="inlineStr">
        <is>
          <t>social</t>
        </is>
      </c>
      <c r="F924">
        <f>IFERROR(MATCH(A924,Deals!$A$2:$A$843,0),"")</f>
        <v/>
      </c>
      <c r="G924">
        <f>IF(F924="",0,1)</f>
        <v/>
      </c>
      <c r="H924" s="29">
        <f>IF(F924="","",INDEX(Deals!$E$2:$E$843,F924))</f>
        <v/>
      </c>
      <c r="I924">
        <f>IF(F924="","",INDEX(Deals!$D$2:$D$843,F924))</f>
        <v/>
      </c>
      <c r="J924">
        <f>IF(F924="","",INT(H924)-B924)</f>
        <v/>
      </c>
      <c r="K924">
        <f>IF(B924&gt;=Settings!$C$5,1,0)</f>
        <v/>
      </c>
    </row>
    <row r="925">
      <c r="A925" t="inlineStr">
        <is>
          <t>3f5cd3a48812c9fd54fba7f63d556f3e</t>
        </is>
      </c>
      <c r="B925" s="29" t="n">
        <v>42934</v>
      </c>
      <c r="C925" t="inlineStr">
        <is>
          <t>2017-07</t>
        </is>
      </c>
      <c r="D925" t="inlineStr">
        <is>
          <t>2e84ebc35438eb47630f2fae4218c9c7</t>
        </is>
      </c>
      <c r="E925" t="inlineStr">
        <is>
          <t>social</t>
        </is>
      </c>
      <c r="F925">
        <f>IFERROR(MATCH(A925,Deals!$A$2:$A$843,0),"")</f>
        <v/>
      </c>
      <c r="G925">
        <f>IF(F925="",0,1)</f>
        <v/>
      </c>
      <c r="H925" s="29">
        <f>IF(F925="","",INDEX(Deals!$E$2:$E$843,F925))</f>
        <v/>
      </c>
      <c r="I925">
        <f>IF(F925="","",INDEX(Deals!$D$2:$D$843,F925))</f>
        <v/>
      </c>
      <c r="J925">
        <f>IF(F925="","",INT(H925)-B925)</f>
        <v/>
      </c>
      <c r="K925">
        <f>IF(B925&gt;=Settings!$C$5,1,0)</f>
        <v/>
      </c>
    </row>
    <row r="926">
      <c r="A926" t="inlineStr">
        <is>
          <t>403965e22c311cf3c37ebc98554b1ece</t>
        </is>
      </c>
      <c r="B926" s="29" t="n">
        <v>43222</v>
      </c>
      <c r="C926" t="inlineStr">
        <is>
          <t>2018-05</t>
        </is>
      </c>
      <c r="D926" t="inlineStr">
        <is>
          <t>a0fbc0263cb98bdb0d72b9f9f283a172</t>
        </is>
      </c>
      <c r="E926" t="inlineStr">
        <is>
          <t>paid_search</t>
        </is>
      </c>
      <c r="F926">
        <f>IFERROR(MATCH(A926,Deals!$A$2:$A$843,0),"")</f>
        <v/>
      </c>
      <c r="G926">
        <f>IF(F926="",0,1)</f>
        <v/>
      </c>
      <c r="H926" s="29">
        <f>IF(F926="","",INDEX(Deals!$E$2:$E$843,F926))</f>
        <v/>
      </c>
      <c r="I926">
        <f>IF(F926="","",INDEX(Deals!$D$2:$D$843,F926))</f>
        <v/>
      </c>
      <c r="J926">
        <f>IF(F926="","",INT(H926)-B926)</f>
        <v/>
      </c>
      <c r="K926">
        <f>IF(B926&gt;=Settings!$C$5,1,0)</f>
        <v/>
      </c>
    </row>
    <row r="927">
      <c r="A927" t="inlineStr">
        <is>
          <t>7dcf8773e0db912ac8a9bd8914aed99e</t>
        </is>
      </c>
      <c r="B927" s="29" t="n">
        <v>42982</v>
      </c>
      <c r="C927" t="inlineStr">
        <is>
          <t>2017-09</t>
        </is>
      </c>
      <c r="D927" t="inlineStr">
        <is>
          <t>6323b8a5b98bfda127cb1cdfd4a40fbb</t>
        </is>
      </c>
      <c r="E927" t="inlineStr">
        <is>
          <t>unknown</t>
        </is>
      </c>
      <c r="F927">
        <f>IFERROR(MATCH(A927,Deals!$A$2:$A$843,0),"")</f>
        <v/>
      </c>
      <c r="G927">
        <f>IF(F927="",0,1)</f>
        <v/>
      </c>
      <c r="H927" s="29">
        <f>IF(F927="","",INDEX(Deals!$E$2:$E$843,F927))</f>
        <v/>
      </c>
      <c r="I927">
        <f>IF(F927="","",INDEX(Deals!$D$2:$D$843,F927))</f>
        <v/>
      </c>
      <c r="J927">
        <f>IF(F927="","",INT(H927)-B927)</f>
        <v/>
      </c>
      <c r="K927">
        <f>IF(B927&gt;=Settings!$C$5,1,0)</f>
        <v/>
      </c>
    </row>
    <row r="928">
      <c r="A928" t="inlineStr">
        <is>
          <t>a82596c6fd3ed643b18a2a942eb6ddc9</t>
        </is>
      </c>
      <c r="B928" s="29" t="n">
        <v>43119</v>
      </c>
      <c r="C928" t="inlineStr">
        <is>
          <t>2018-01</t>
        </is>
      </c>
      <c r="D928" t="inlineStr">
        <is>
          <t>ce1a65abd0973638f1c887a6efcfa82d</t>
        </is>
      </c>
      <c r="E928" t="inlineStr">
        <is>
          <t>paid_search</t>
        </is>
      </c>
      <c r="F928">
        <f>IFERROR(MATCH(A928,Deals!$A$2:$A$843,0),"")</f>
        <v/>
      </c>
      <c r="G928">
        <f>IF(F928="",0,1)</f>
        <v/>
      </c>
      <c r="H928" s="29">
        <f>IF(F928="","",INDEX(Deals!$E$2:$E$843,F928))</f>
        <v/>
      </c>
      <c r="I928">
        <f>IF(F928="","",INDEX(Deals!$D$2:$D$843,F928))</f>
        <v/>
      </c>
      <c r="J928">
        <f>IF(F928="","",INT(H928)-B928)</f>
        <v/>
      </c>
      <c r="K928">
        <f>IF(B928&gt;=Settings!$C$5,1,0)</f>
        <v/>
      </c>
    </row>
    <row r="929">
      <c r="A929" t="inlineStr">
        <is>
          <t>6eb92cc1c99e196f336ba3faeb39e406</t>
        </is>
      </c>
      <c r="B929" s="29" t="n">
        <v>43222</v>
      </c>
      <c r="C929" t="inlineStr">
        <is>
          <t>2018-05</t>
        </is>
      </c>
      <c r="D929" t="inlineStr">
        <is>
          <t>58326e62183c14b0c03085c33b9fdc44</t>
        </is>
      </c>
      <c r="E929" t="inlineStr">
        <is>
          <t>social</t>
        </is>
      </c>
      <c r="F929">
        <f>IFERROR(MATCH(A929,Deals!$A$2:$A$843,0),"")</f>
        <v/>
      </c>
      <c r="G929">
        <f>IF(F929="",0,1)</f>
        <v/>
      </c>
      <c r="H929" s="29">
        <f>IF(F929="","",INDEX(Deals!$E$2:$E$843,F929))</f>
        <v/>
      </c>
      <c r="I929">
        <f>IF(F929="","",INDEX(Deals!$D$2:$D$843,F929))</f>
        <v/>
      </c>
      <c r="J929">
        <f>IF(F929="","",INT(H929)-B929)</f>
        <v/>
      </c>
      <c r="K929">
        <f>IF(B929&gt;=Settings!$C$5,1,0)</f>
        <v/>
      </c>
    </row>
    <row r="930">
      <c r="A930" t="inlineStr">
        <is>
          <t>5f19ffe2f1b27b4672e5f7ff2a51af5c</t>
        </is>
      </c>
      <c r="B930" s="29" t="n">
        <v>43093</v>
      </c>
      <c r="C930" t="inlineStr">
        <is>
          <t>2017-12</t>
        </is>
      </c>
      <c r="D930" t="inlineStr">
        <is>
          <t>909e333f8f23574f93115bd3d402e202</t>
        </is>
      </c>
      <c r="E930" t="inlineStr">
        <is>
          <t>organic_search</t>
        </is>
      </c>
      <c r="F930">
        <f>IFERROR(MATCH(A930,Deals!$A$2:$A$843,0),"")</f>
        <v/>
      </c>
      <c r="G930">
        <f>IF(F930="",0,1)</f>
        <v/>
      </c>
      <c r="H930" s="29">
        <f>IF(F930="","",INDEX(Deals!$E$2:$E$843,F930))</f>
        <v/>
      </c>
      <c r="I930">
        <f>IF(F930="","",INDEX(Deals!$D$2:$D$843,F930))</f>
        <v/>
      </c>
      <c r="J930">
        <f>IF(F930="","",INT(H930)-B930)</f>
        <v/>
      </c>
      <c r="K930">
        <f>IF(B930&gt;=Settings!$C$5,1,0)</f>
        <v/>
      </c>
    </row>
    <row r="931">
      <c r="A931" t="inlineStr">
        <is>
          <t>895b30f8db1d2f84563ead6d70006610</t>
        </is>
      </c>
      <c r="B931" s="29" t="n">
        <v>43248</v>
      </c>
      <c r="C931" t="inlineStr">
        <is>
          <t>2018-05</t>
        </is>
      </c>
      <c r="D931" t="inlineStr">
        <is>
          <t>73f31a40697cc90a86c1273563ac230e</t>
        </is>
      </c>
      <c r="E931" t="inlineStr">
        <is>
          <t>other</t>
        </is>
      </c>
      <c r="F931">
        <f>IFERROR(MATCH(A931,Deals!$A$2:$A$843,0),"")</f>
        <v/>
      </c>
      <c r="G931">
        <f>IF(F931="",0,1)</f>
        <v/>
      </c>
      <c r="H931" s="29">
        <f>IF(F931="","",INDEX(Deals!$E$2:$E$843,F931))</f>
        <v/>
      </c>
      <c r="I931">
        <f>IF(F931="","",INDEX(Deals!$D$2:$D$843,F931))</f>
        <v/>
      </c>
      <c r="J931">
        <f>IF(F931="","",INT(H931)-B931)</f>
        <v/>
      </c>
      <c r="K931">
        <f>IF(B931&gt;=Settings!$C$5,1,0)</f>
        <v/>
      </c>
    </row>
    <row r="932">
      <c r="A932" t="inlineStr">
        <is>
          <t>1757d9028d955d5b9b82e1b42cca0ef1</t>
        </is>
      </c>
      <c r="B932" s="29" t="n">
        <v>43185</v>
      </c>
      <c r="C932" t="inlineStr">
        <is>
          <t>2018-03</t>
        </is>
      </c>
      <c r="D932" t="inlineStr">
        <is>
          <t>22c29808c4f815213303f8933030604c</t>
        </is>
      </c>
      <c r="E932" t="inlineStr">
        <is>
          <t>referral</t>
        </is>
      </c>
      <c r="F932">
        <f>IFERROR(MATCH(A932,Deals!$A$2:$A$843,0),"")</f>
        <v/>
      </c>
      <c r="G932">
        <f>IF(F932="",0,1)</f>
        <v/>
      </c>
      <c r="H932" s="29">
        <f>IF(F932="","",INDEX(Deals!$E$2:$E$843,F932))</f>
        <v/>
      </c>
      <c r="I932">
        <f>IF(F932="","",INDEX(Deals!$D$2:$D$843,F932))</f>
        <v/>
      </c>
      <c r="J932">
        <f>IF(F932="","",INT(H932)-B932)</f>
        <v/>
      </c>
      <c r="K932">
        <f>IF(B932&gt;=Settings!$C$5,1,0)</f>
        <v/>
      </c>
    </row>
    <row r="933">
      <c r="A933" t="inlineStr">
        <is>
          <t>bb4ea12f999f3e1c0df45ab2983be5df</t>
        </is>
      </c>
      <c r="B933" s="29" t="n">
        <v>42947</v>
      </c>
      <c r="C933" t="inlineStr">
        <is>
          <t>2017-07</t>
        </is>
      </c>
      <c r="D933" t="inlineStr">
        <is>
          <t>f017be4dbf86243af5c1ebed0cff36a2</t>
        </is>
      </c>
      <c r="E933" t="inlineStr">
        <is>
          <t>email</t>
        </is>
      </c>
      <c r="F933">
        <f>IFERROR(MATCH(A933,Deals!$A$2:$A$843,0),"")</f>
        <v/>
      </c>
      <c r="G933">
        <f>IF(F933="",0,1)</f>
        <v/>
      </c>
      <c r="H933" s="29">
        <f>IF(F933="","",INDEX(Deals!$E$2:$E$843,F933))</f>
        <v/>
      </c>
      <c r="I933">
        <f>IF(F933="","",INDEX(Deals!$D$2:$D$843,F933))</f>
        <v/>
      </c>
      <c r="J933">
        <f>IF(F933="","",INT(H933)-B933)</f>
        <v/>
      </c>
      <c r="K933">
        <f>IF(B933&gt;=Settings!$C$5,1,0)</f>
        <v/>
      </c>
    </row>
    <row r="934">
      <c r="A934" t="inlineStr">
        <is>
          <t>24f964b60f64963fc3cdd10f611fb33d</t>
        </is>
      </c>
      <c r="B934" s="29" t="n">
        <v>43122</v>
      </c>
      <c r="C934" t="inlineStr">
        <is>
          <t>2018-01</t>
        </is>
      </c>
      <c r="D934" t="inlineStr">
        <is>
          <t>b6885f18d203a61176418c1fb3764815</t>
        </is>
      </c>
      <c r="E934" t="inlineStr">
        <is>
          <t>organic_search</t>
        </is>
      </c>
      <c r="F934">
        <f>IFERROR(MATCH(A934,Deals!$A$2:$A$843,0),"")</f>
        <v/>
      </c>
      <c r="G934">
        <f>IF(F934="",0,1)</f>
        <v/>
      </c>
      <c r="H934" s="29">
        <f>IF(F934="","",INDEX(Deals!$E$2:$E$843,F934))</f>
        <v/>
      </c>
      <c r="I934">
        <f>IF(F934="","",INDEX(Deals!$D$2:$D$843,F934))</f>
        <v/>
      </c>
      <c r="J934">
        <f>IF(F934="","",INT(H934)-B934)</f>
        <v/>
      </c>
      <c r="K934">
        <f>IF(B934&gt;=Settings!$C$5,1,0)</f>
        <v/>
      </c>
    </row>
    <row r="935">
      <c r="A935" t="inlineStr">
        <is>
          <t>1b08dce51a8c1681b8d7f4b86cc9717b</t>
        </is>
      </c>
      <c r="B935" s="29" t="n">
        <v>43240</v>
      </c>
      <c r="C935" t="inlineStr">
        <is>
          <t>2018-05</t>
        </is>
      </c>
      <c r="D935" t="inlineStr">
        <is>
          <t>7fa6214d82e911d070f51ef79381b956</t>
        </is>
      </c>
      <c r="E935" t="inlineStr">
        <is>
          <t>paid_search</t>
        </is>
      </c>
      <c r="F935">
        <f>IFERROR(MATCH(A935,Deals!$A$2:$A$843,0),"")</f>
        <v/>
      </c>
      <c r="G935">
        <f>IF(F935="",0,1)</f>
        <v/>
      </c>
      <c r="H935" s="29">
        <f>IF(F935="","",INDEX(Deals!$E$2:$E$843,F935))</f>
        <v/>
      </c>
      <c r="I935">
        <f>IF(F935="","",INDEX(Deals!$D$2:$D$843,F935))</f>
        <v/>
      </c>
      <c r="J935">
        <f>IF(F935="","",INT(H935)-B935)</f>
        <v/>
      </c>
      <c r="K935">
        <f>IF(B935&gt;=Settings!$C$5,1,0)</f>
        <v/>
      </c>
    </row>
    <row r="936">
      <c r="A936" t="inlineStr">
        <is>
          <t>36f6d5bde803873f6bffe9949f258935</t>
        </is>
      </c>
      <c r="B936" s="29" t="n">
        <v>43152</v>
      </c>
      <c r="C936" t="inlineStr">
        <is>
          <t>2018-02</t>
        </is>
      </c>
      <c r="D936" t="inlineStr">
        <is>
          <t>22c29808c4f815213303f8933030604c</t>
        </is>
      </c>
      <c r="E936" t="inlineStr">
        <is>
          <t>direct_traffic</t>
        </is>
      </c>
      <c r="F936">
        <f>IFERROR(MATCH(A936,Deals!$A$2:$A$843,0),"")</f>
        <v/>
      </c>
      <c r="G936">
        <f>IF(F936="",0,1)</f>
        <v/>
      </c>
      <c r="H936" s="29">
        <f>IF(F936="","",INDEX(Deals!$E$2:$E$843,F936))</f>
        <v/>
      </c>
      <c r="I936">
        <f>IF(F936="","",INDEX(Deals!$D$2:$D$843,F936))</f>
        <v/>
      </c>
      <c r="J936">
        <f>IF(F936="","",INT(H936)-B936)</f>
        <v/>
      </c>
      <c r="K936">
        <f>IF(B936&gt;=Settings!$C$5,1,0)</f>
        <v/>
      </c>
    </row>
    <row r="937">
      <c r="A937" t="inlineStr">
        <is>
          <t>6948fe29bc5c515c2c99aac111cbd38c</t>
        </is>
      </c>
      <c r="B937" s="29" t="n">
        <v>43235</v>
      </c>
      <c r="C937" t="inlineStr">
        <is>
          <t>2018-05</t>
        </is>
      </c>
      <c r="D937" t="inlineStr">
        <is>
          <t>58326e62183c14b0c03085c33b9fdc44</t>
        </is>
      </c>
      <c r="E937" t="inlineStr">
        <is>
          <t>social</t>
        </is>
      </c>
      <c r="F937">
        <f>IFERROR(MATCH(A937,Deals!$A$2:$A$843,0),"")</f>
        <v/>
      </c>
      <c r="G937">
        <f>IF(F937="",0,1)</f>
        <v/>
      </c>
      <c r="H937" s="29">
        <f>IF(F937="","",INDEX(Deals!$E$2:$E$843,F937))</f>
        <v/>
      </c>
      <c r="I937">
        <f>IF(F937="","",INDEX(Deals!$D$2:$D$843,F937))</f>
        <v/>
      </c>
      <c r="J937">
        <f>IF(F937="","",INT(H937)-B937)</f>
        <v/>
      </c>
      <c r="K937">
        <f>IF(B937&gt;=Settings!$C$5,1,0)</f>
        <v/>
      </c>
    </row>
    <row r="938">
      <c r="A938" t="inlineStr">
        <is>
          <t>4ddc45a9de1065695a90e87be37471c0</t>
        </is>
      </c>
      <c r="B938" s="29" t="n">
        <v>43195</v>
      </c>
      <c r="C938" t="inlineStr">
        <is>
          <t>2018-04</t>
        </is>
      </c>
      <c r="D938" t="inlineStr">
        <is>
          <t>1ceb590cd1e00c7ee95220971f82693d</t>
        </is>
      </c>
      <c r="E938" t="inlineStr">
        <is>
          <t>organic_search</t>
        </is>
      </c>
      <c r="F938">
        <f>IFERROR(MATCH(A938,Deals!$A$2:$A$843,0),"")</f>
        <v/>
      </c>
      <c r="G938">
        <f>IF(F938="",0,1)</f>
        <v/>
      </c>
      <c r="H938" s="29">
        <f>IF(F938="","",INDEX(Deals!$E$2:$E$843,F938))</f>
        <v/>
      </c>
      <c r="I938">
        <f>IF(F938="","",INDEX(Deals!$D$2:$D$843,F938))</f>
        <v/>
      </c>
      <c r="J938">
        <f>IF(F938="","",INT(H938)-B938)</f>
        <v/>
      </c>
      <c r="K938">
        <f>IF(B938&gt;=Settings!$C$5,1,0)</f>
        <v/>
      </c>
    </row>
    <row r="939">
      <c r="A939" t="inlineStr">
        <is>
          <t>92d96da583b3bf0ca7d61ab3b3aba04b</t>
        </is>
      </c>
      <c r="B939" s="29" t="n">
        <v>43052</v>
      </c>
      <c r="C939" t="inlineStr">
        <is>
          <t>2017-11</t>
        </is>
      </c>
      <c r="D939" t="inlineStr">
        <is>
          <t>e492ee5eaf1697716985cc6f33f9cd9b</t>
        </is>
      </c>
      <c r="E939" t="inlineStr">
        <is>
          <t>other</t>
        </is>
      </c>
      <c r="F939">
        <f>IFERROR(MATCH(A939,Deals!$A$2:$A$843,0),"")</f>
        <v/>
      </c>
      <c r="G939">
        <f>IF(F939="",0,1)</f>
        <v/>
      </c>
      <c r="H939" s="29">
        <f>IF(F939="","",INDEX(Deals!$E$2:$E$843,F939))</f>
        <v/>
      </c>
      <c r="I939">
        <f>IF(F939="","",INDEX(Deals!$D$2:$D$843,F939))</f>
        <v/>
      </c>
      <c r="J939">
        <f>IF(F939="","",INT(H939)-B939)</f>
        <v/>
      </c>
      <c r="K939">
        <f>IF(B939&gt;=Settings!$C$5,1,0)</f>
        <v/>
      </c>
    </row>
    <row r="940">
      <c r="A940" t="inlineStr">
        <is>
          <t>b28fefe9233a0ac0c53fc319b7efd173</t>
        </is>
      </c>
      <c r="B940" s="29" t="n">
        <v>43152</v>
      </c>
      <c r="C940" t="inlineStr">
        <is>
          <t>2018-02</t>
        </is>
      </c>
      <c r="D940" t="inlineStr">
        <is>
          <t>c70eb6fb5bd6e939b0d5ef32f21f61e8</t>
        </is>
      </c>
      <c r="E940" t="inlineStr">
        <is>
          <t>direct_traffic</t>
        </is>
      </c>
      <c r="F940">
        <f>IFERROR(MATCH(A940,Deals!$A$2:$A$843,0),"")</f>
        <v/>
      </c>
      <c r="G940">
        <f>IF(F940="",0,1)</f>
        <v/>
      </c>
      <c r="H940" s="29">
        <f>IF(F940="","",INDEX(Deals!$E$2:$E$843,F940))</f>
        <v/>
      </c>
      <c r="I940">
        <f>IF(F940="","",INDEX(Deals!$D$2:$D$843,F940))</f>
        <v/>
      </c>
      <c r="J940">
        <f>IF(F940="","",INT(H940)-B940)</f>
        <v/>
      </c>
      <c r="K940">
        <f>IF(B940&gt;=Settings!$C$5,1,0)</f>
        <v/>
      </c>
    </row>
    <row r="941">
      <c r="A941" t="inlineStr">
        <is>
          <t>d471ba80482c93d408c57f0974b23a1e</t>
        </is>
      </c>
      <c r="B941" s="29" t="n">
        <v>43157</v>
      </c>
      <c r="C941" t="inlineStr">
        <is>
          <t>2018-02</t>
        </is>
      </c>
      <c r="D941" t="inlineStr">
        <is>
          <t>5e63931027e6805374c67e5988189028</t>
        </is>
      </c>
      <c r="E941" t="inlineStr">
        <is>
          <t>organic_search</t>
        </is>
      </c>
      <c r="F941">
        <f>IFERROR(MATCH(A941,Deals!$A$2:$A$843,0),"")</f>
        <v/>
      </c>
      <c r="G941">
        <f>IF(F941="",0,1)</f>
        <v/>
      </c>
      <c r="H941" s="29">
        <f>IF(F941="","",INDEX(Deals!$E$2:$E$843,F941))</f>
        <v/>
      </c>
      <c r="I941">
        <f>IF(F941="","",INDEX(Deals!$D$2:$D$843,F941))</f>
        <v/>
      </c>
      <c r="J941">
        <f>IF(F941="","",INT(H941)-B941)</f>
        <v/>
      </c>
      <c r="K941">
        <f>IF(B941&gt;=Settings!$C$5,1,0)</f>
        <v/>
      </c>
    </row>
    <row r="942">
      <c r="A942" t="inlineStr">
        <is>
          <t>33349564c6c0e03cbffb25daa4306146</t>
        </is>
      </c>
      <c r="B942" s="29" t="n">
        <v>43031</v>
      </c>
      <c r="C942" t="inlineStr">
        <is>
          <t>2017-10</t>
        </is>
      </c>
      <c r="D942" t="inlineStr">
        <is>
          <t>1722481ac9e5371e5099dea226b5421d</t>
        </is>
      </c>
      <c r="E942" t="inlineStr">
        <is>
          <t>organic_search</t>
        </is>
      </c>
      <c r="F942">
        <f>IFERROR(MATCH(A942,Deals!$A$2:$A$843,0),"")</f>
        <v/>
      </c>
      <c r="G942">
        <f>IF(F942="",0,1)</f>
        <v/>
      </c>
      <c r="H942" s="29">
        <f>IF(F942="","",INDEX(Deals!$E$2:$E$843,F942))</f>
        <v/>
      </c>
      <c r="I942">
        <f>IF(F942="","",INDEX(Deals!$D$2:$D$843,F942))</f>
        <v/>
      </c>
      <c r="J942">
        <f>IF(F942="","",INT(H942)-B942)</f>
        <v/>
      </c>
      <c r="K942">
        <f>IF(B942&gt;=Settings!$C$5,1,0)</f>
        <v/>
      </c>
    </row>
    <row r="943">
      <c r="A943" t="inlineStr">
        <is>
          <t>cab0c1402ec2d5a5301511ab089a08bf</t>
        </is>
      </c>
      <c r="B943" s="29" t="n">
        <v>43234</v>
      </c>
      <c r="C943" t="inlineStr">
        <is>
          <t>2018-05</t>
        </is>
      </c>
      <c r="D943" t="inlineStr">
        <is>
          <t>ce1a65abd0973638f1c887a6efcfa82d</t>
        </is>
      </c>
      <c r="E943" t="inlineStr">
        <is>
          <t>organic_search</t>
        </is>
      </c>
      <c r="F943">
        <f>IFERROR(MATCH(A943,Deals!$A$2:$A$843,0),"")</f>
        <v/>
      </c>
      <c r="G943">
        <f>IF(F943="",0,1)</f>
        <v/>
      </c>
      <c r="H943" s="29">
        <f>IF(F943="","",INDEX(Deals!$E$2:$E$843,F943))</f>
        <v/>
      </c>
      <c r="I943">
        <f>IF(F943="","",INDEX(Deals!$D$2:$D$843,F943))</f>
        <v/>
      </c>
      <c r="J943">
        <f>IF(F943="","",INT(H943)-B943)</f>
        <v/>
      </c>
      <c r="K943">
        <f>IF(B943&gt;=Settings!$C$5,1,0)</f>
        <v/>
      </c>
    </row>
    <row r="944">
      <c r="A944" t="inlineStr">
        <is>
          <t>9717b5c8bd4b8dc15925b7d42a7a9c0d</t>
        </is>
      </c>
      <c r="B944" s="29" t="n">
        <v>43007</v>
      </c>
      <c r="C944" t="inlineStr">
        <is>
          <t>2017-09</t>
        </is>
      </c>
      <c r="D944" t="inlineStr">
        <is>
          <t>e492ee5eaf1697716985cc6f33f9cd9b</t>
        </is>
      </c>
      <c r="E944" t="inlineStr">
        <is>
          <t>paid_search</t>
        </is>
      </c>
      <c r="F944">
        <f>IFERROR(MATCH(A944,Deals!$A$2:$A$843,0),"")</f>
        <v/>
      </c>
      <c r="G944">
        <f>IF(F944="",0,1)</f>
        <v/>
      </c>
      <c r="H944" s="29">
        <f>IF(F944="","",INDEX(Deals!$E$2:$E$843,F944))</f>
        <v/>
      </c>
      <c r="I944">
        <f>IF(F944="","",INDEX(Deals!$D$2:$D$843,F944))</f>
        <v/>
      </c>
      <c r="J944">
        <f>IF(F944="","",INT(H944)-B944)</f>
        <v/>
      </c>
      <c r="K944">
        <f>IF(B944&gt;=Settings!$C$5,1,0)</f>
        <v/>
      </c>
    </row>
    <row r="945">
      <c r="A945" t="inlineStr">
        <is>
          <t>55a2471ff102d6ea6bd23c81aafdfd43</t>
        </is>
      </c>
      <c r="B945" s="29" t="n">
        <v>43045</v>
      </c>
      <c r="C945" t="inlineStr">
        <is>
          <t>2017-11</t>
        </is>
      </c>
      <c r="D945" t="inlineStr">
        <is>
          <t>b76ef37428e6799c421989521c0e5077</t>
        </is>
      </c>
      <c r="E945" t="inlineStr">
        <is>
          <t>unknown</t>
        </is>
      </c>
      <c r="F945">
        <f>IFERROR(MATCH(A945,Deals!$A$2:$A$843,0),"")</f>
        <v/>
      </c>
      <c r="G945">
        <f>IF(F945="",0,1)</f>
        <v/>
      </c>
      <c r="H945" s="29">
        <f>IF(F945="","",INDEX(Deals!$E$2:$E$843,F945))</f>
        <v/>
      </c>
      <c r="I945">
        <f>IF(F945="","",INDEX(Deals!$D$2:$D$843,F945))</f>
        <v/>
      </c>
      <c r="J945">
        <f>IF(F945="","",INT(H945)-B945)</f>
        <v/>
      </c>
      <c r="K945">
        <f>IF(B945&gt;=Settings!$C$5,1,0)</f>
        <v/>
      </c>
    </row>
    <row r="946">
      <c r="A946" t="inlineStr">
        <is>
          <t>63394a27949763b1e3b3673c4d5e61f9</t>
        </is>
      </c>
      <c r="B946" s="29" t="n">
        <v>43236</v>
      </c>
      <c r="C946" t="inlineStr">
        <is>
          <t>2018-05</t>
        </is>
      </c>
      <c r="D946" t="inlineStr">
        <is>
          <t>a6daba667aa785424adbf4ae4848f753</t>
        </is>
      </c>
      <c r="E946" t="inlineStr">
        <is>
          <t>organic_search</t>
        </is>
      </c>
      <c r="F946">
        <f>IFERROR(MATCH(A946,Deals!$A$2:$A$843,0),"")</f>
        <v/>
      </c>
      <c r="G946">
        <f>IF(F946="",0,1)</f>
        <v/>
      </c>
      <c r="H946" s="29">
        <f>IF(F946="","",INDEX(Deals!$E$2:$E$843,F946))</f>
        <v/>
      </c>
      <c r="I946">
        <f>IF(F946="","",INDEX(Deals!$D$2:$D$843,F946))</f>
        <v/>
      </c>
      <c r="J946">
        <f>IF(F946="","",INT(H946)-B946)</f>
        <v/>
      </c>
      <c r="K946">
        <f>IF(B946&gt;=Settings!$C$5,1,0)</f>
        <v/>
      </c>
    </row>
    <row r="947">
      <c r="A947" t="inlineStr">
        <is>
          <t>26ca4566b6f8f55b3e3f3c3017cf9ea5</t>
        </is>
      </c>
      <c r="B947" s="29" t="n">
        <v>43236</v>
      </c>
      <c r="C947" t="inlineStr">
        <is>
          <t>2018-05</t>
        </is>
      </c>
      <c r="D947" t="inlineStr">
        <is>
          <t>46bd119220c8bf61324669b1d82203ac</t>
        </is>
      </c>
      <c r="E947" t="inlineStr">
        <is>
          <t>other</t>
        </is>
      </c>
      <c r="F947">
        <f>IFERROR(MATCH(A947,Deals!$A$2:$A$843,0),"")</f>
        <v/>
      </c>
      <c r="G947">
        <f>IF(F947="",0,1)</f>
        <v/>
      </c>
      <c r="H947" s="29">
        <f>IF(F947="","",INDEX(Deals!$E$2:$E$843,F947))</f>
        <v/>
      </c>
      <c r="I947">
        <f>IF(F947="","",INDEX(Deals!$D$2:$D$843,F947))</f>
        <v/>
      </c>
      <c r="J947">
        <f>IF(F947="","",INT(H947)-B947)</f>
        <v/>
      </c>
      <c r="K947">
        <f>IF(B947&gt;=Settings!$C$5,1,0)</f>
        <v/>
      </c>
    </row>
    <row r="948">
      <c r="A948" t="inlineStr">
        <is>
          <t>af5f1871fc32857b6d868452b4addac7</t>
        </is>
      </c>
      <c r="B948" s="29" t="n">
        <v>43136</v>
      </c>
      <c r="C948" t="inlineStr">
        <is>
          <t>2018-02</t>
        </is>
      </c>
      <c r="D948" t="inlineStr">
        <is>
          <t>88740e65d5d6b056e0cda098e1ea6313</t>
        </is>
      </c>
      <c r="E948" t="inlineStr">
        <is>
          <t>social</t>
        </is>
      </c>
      <c r="F948">
        <f>IFERROR(MATCH(A948,Deals!$A$2:$A$843,0),"")</f>
        <v/>
      </c>
      <c r="G948">
        <f>IF(F948="",0,1)</f>
        <v/>
      </c>
      <c r="H948" s="29">
        <f>IF(F948="","",INDEX(Deals!$E$2:$E$843,F948))</f>
        <v/>
      </c>
      <c r="I948">
        <f>IF(F948="","",INDEX(Deals!$D$2:$D$843,F948))</f>
        <v/>
      </c>
      <c r="J948">
        <f>IF(F948="","",INT(H948)-B948)</f>
        <v/>
      </c>
      <c r="K948">
        <f>IF(B948&gt;=Settings!$C$5,1,0)</f>
        <v/>
      </c>
    </row>
    <row r="949">
      <c r="A949" t="inlineStr">
        <is>
          <t>db6524c4a8064e962d4872a08ce72ade</t>
        </is>
      </c>
      <c r="B949" s="29" t="n">
        <v>43153</v>
      </c>
      <c r="C949" t="inlineStr">
        <is>
          <t>2018-02</t>
        </is>
      </c>
      <c r="D949" t="inlineStr">
        <is>
          <t>22c29808c4f815213303f8933030604c</t>
        </is>
      </c>
      <c r="E949" t="inlineStr">
        <is>
          <t>organic_search</t>
        </is>
      </c>
      <c r="F949">
        <f>IFERROR(MATCH(A949,Deals!$A$2:$A$843,0),"")</f>
        <v/>
      </c>
      <c r="G949">
        <f>IF(F949="",0,1)</f>
        <v/>
      </c>
      <c r="H949" s="29">
        <f>IF(F949="","",INDEX(Deals!$E$2:$E$843,F949))</f>
        <v/>
      </c>
      <c r="I949">
        <f>IF(F949="","",INDEX(Deals!$D$2:$D$843,F949))</f>
        <v/>
      </c>
      <c r="J949">
        <f>IF(F949="","",INT(H949)-B949)</f>
        <v/>
      </c>
      <c r="K949">
        <f>IF(B949&gt;=Settings!$C$5,1,0)</f>
        <v/>
      </c>
    </row>
    <row r="950">
      <c r="A950" t="inlineStr">
        <is>
          <t>c1e000f0f70af6da22b19b49d4b24c70</t>
        </is>
      </c>
      <c r="B950" s="29" t="n">
        <v>43200</v>
      </c>
      <c r="C950" t="inlineStr">
        <is>
          <t>2018-04</t>
        </is>
      </c>
      <c r="D950" t="inlineStr">
        <is>
          <t>22c29808c4f815213303f8933030604c</t>
        </is>
      </c>
      <c r="E950" t="inlineStr">
        <is>
          <t>organic_search</t>
        </is>
      </c>
      <c r="F950">
        <f>IFERROR(MATCH(A950,Deals!$A$2:$A$843,0),"")</f>
        <v/>
      </c>
      <c r="G950">
        <f>IF(F950="",0,1)</f>
        <v/>
      </c>
      <c r="H950" s="29">
        <f>IF(F950="","",INDEX(Deals!$E$2:$E$843,F950))</f>
        <v/>
      </c>
      <c r="I950">
        <f>IF(F950="","",INDEX(Deals!$D$2:$D$843,F950))</f>
        <v/>
      </c>
      <c r="J950">
        <f>IF(F950="","",INT(H950)-B950)</f>
        <v/>
      </c>
      <c r="K950">
        <f>IF(B950&gt;=Settings!$C$5,1,0)</f>
        <v/>
      </c>
    </row>
    <row r="951">
      <c r="A951" t="inlineStr">
        <is>
          <t>1ef3fd934ccdc49332e769d5fe78898c</t>
        </is>
      </c>
      <c r="B951" s="29" t="n">
        <v>42992</v>
      </c>
      <c r="C951" t="inlineStr">
        <is>
          <t>2017-09</t>
        </is>
      </c>
      <c r="D951" t="inlineStr">
        <is>
          <t>bddebc4f4d44106c427bd00695840e64</t>
        </is>
      </c>
      <c r="E951" t="inlineStr">
        <is>
          <t>email</t>
        </is>
      </c>
      <c r="F951">
        <f>IFERROR(MATCH(A951,Deals!$A$2:$A$843,0),"")</f>
        <v/>
      </c>
      <c r="G951">
        <f>IF(F951="",0,1)</f>
        <v/>
      </c>
      <c r="H951" s="29">
        <f>IF(F951="","",INDEX(Deals!$E$2:$E$843,F951))</f>
        <v/>
      </c>
      <c r="I951">
        <f>IF(F951="","",INDEX(Deals!$D$2:$D$843,F951))</f>
        <v/>
      </c>
      <c r="J951">
        <f>IF(F951="","",INT(H951)-B951)</f>
        <v/>
      </c>
      <c r="K951">
        <f>IF(B951&gt;=Settings!$C$5,1,0)</f>
        <v/>
      </c>
    </row>
    <row r="952">
      <c r="A952" t="inlineStr">
        <is>
          <t>d5e542d0cb4e169047663d1992d70b9d</t>
        </is>
      </c>
      <c r="B952" s="29" t="n">
        <v>43117</v>
      </c>
      <c r="C952" t="inlineStr">
        <is>
          <t>2018-01</t>
        </is>
      </c>
      <c r="D952" t="inlineStr">
        <is>
          <t>22c29808c4f815213303f8933030604c</t>
        </is>
      </c>
      <c r="E952" t="inlineStr">
        <is>
          <t>organic_search</t>
        </is>
      </c>
      <c r="F952">
        <f>IFERROR(MATCH(A952,Deals!$A$2:$A$843,0),"")</f>
        <v/>
      </c>
      <c r="G952">
        <f>IF(F952="",0,1)</f>
        <v/>
      </c>
      <c r="H952" s="29">
        <f>IF(F952="","",INDEX(Deals!$E$2:$E$843,F952))</f>
        <v/>
      </c>
      <c r="I952">
        <f>IF(F952="","",INDEX(Deals!$D$2:$D$843,F952))</f>
        <v/>
      </c>
      <c r="J952">
        <f>IF(F952="","",INT(H952)-B952)</f>
        <v/>
      </c>
      <c r="K952">
        <f>IF(B952&gt;=Settings!$C$5,1,0)</f>
        <v/>
      </c>
    </row>
    <row r="953">
      <c r="A953" t="inlineStr">
        <is>
          <t>4a7cdecb36f1883e327ca80148e25aa1</t>
        </is>
      </c>
      <c r="B953" s="29" t="n">
        <v>43173</v>
      </c>
      <c r="C953" t="inlineStr">
        <is>
          <t>2018-03</t>
        </is>
      </c>
      <c r="D953" t="inlineStr">
        <is>
          <t>b76ef37428e6799c421989521c0e5077</t>
        </is>
      </c>
      <c r="E953" t="inlineStr">
        <is>
          <t>organic_search</t>
        </is>
      </c>
      <c r="F953">
        <f>IFERROR(MATCH(A953,Deals!$A$2:$A$843,0),"")</f>
        <v/>
      </c>
      <c r="G953">
        <f>IF(F953="",0,1)</f>
        <v/>
      </c>
      <c r="H953" s="29">
        <f>IF(F953="","",INDEX(Deals!$E$2:$E$843,F953))</f>
        <v/>
      </c>
      <c r="I953">
        <f>IF(F953="","",INDEX(Deals!$D$2:$D$843,F953))</f>
        <v/>
      </c>
      <c r="J953">
        <f>IF(F953="","",INT(H953)-B953)</f>
        <v/>
      </c>
      <c r="K953">
        <f>IF(B953&gt;=Settings!$C$5,1,0)</f>
        <v/>
      </c>
    </row>
    <row r="954">
      <c r="A954" t="inlineStr">
        <is>
          <t>5e0ea6610737837cc0769d4ea0551596</t>
        </is>
      </c>
      <c r="B954" s="29" t="n">
        <v>43199</v>
      </c>
      <c r="C954" t="inlineStr">
        <is>
          <t>2018-04</t>
        </is>
      </c>
      <c r="D954" t="inlineStr">
        <is>
          <t>a77dcf0bf420ced5e37baae9b5daffa4</t>
        </is>
      </c>
      <c r="E954" t="inlineStr">
        <is>
          <t>social</t>
        </is>
      </c>
      <c r="F954">
        <f>IFERROR(MATCH(A954,Deals!$A$2:$A$843,0),"")</f>
        <v/>
      </c>
      <c r="G954">
        <f>IF(F954="",0,1)</f>
        <v/>
      </c>
      <c r="H954" s="29">
        <f>IF(F954="","",INDEX(Deals!$E$2:$E$843,F954))</f>
        <v/>
      </c>
      <c r="I954">
        <f>IF(F954="","",INDEX(Deals!$D$2:$D$843,F954))</f>
        <v/>
      </c>
      <c r="J954">
        <f>IF(F954="","",INT(H954)-B954)</f>
        <v/>
      </c>
      <c r="K954">
        <f>IF(B954&gt;=Settings!$C$5,1,0)</f>
        <v/>
      </c>
    </row>
    <row r="955">
      <c r="A955" t="inlineStr">
        <is>
          <t>c228e05a162982e790422967519ea890</t>
        </is>
      </c>
      <c r="B955" s="29" t="n">
        <v>43250</v>
      </c>
      <c r="C955" t="inlineStr">
        <is>
          <t>2018-05</t>
        </is>
      </c>
      <c r="D955" t="inlineStr">
        <is>
          <t>b76ef37428e6799c421989521c0e5077</t>
        </is>
      </c>
      <c r="E955" t="inlineStr">
        <is>
          <t>other</t>
        </is>
      </c>
      <c r="F955">
        <f>IFERROR(MATCH(A955,Deals!$A$2:$A$843,0),"")</f>
        <v/>
      </c>
      <c r="G955">
        <f>IF(F955="",0,1)</f>
        <v/>
      </c>
      <c r="H955" s="29">
        <f>IF(F955="","",INDEX(Deals!$E$2:$E$843,F955))</f>
        <v/>
      </c>
      <c r="I955">
        <f>IF(F955="","",INDEX(Deals!$D$2:$D$843,F955))</f>
        <v/>
      </c>
      <c r="J955">
        <f>IF(F955="","",INT(H955)-B955)</f>
        <v/>
      </c>
      <c r="K955">
        <f>IF(B955&gt;=Settings!$C$5,1,0)</f>
        <v/>
      </c>
    </row>
    <row r="956">
      <c r="A956" t="inlineStr">
        <is>
          <t>463305739b212edcd50d4df28ea21663</t>
        </is>
      </c>
      <c r="B956" s="29" t="n">
        <v>43174</v>
      </c>
      <c r="C956" t="inlineStr">
        <is>
          <t>2018-03</t>
        </is>
      </c>
      <c r="D956" t="inlineStr">
        <is>
          <t>330b9d44078a1ae5a221d655dcb77afa</t>
        </is>
      </c>
      <c r="E956" t="inlineStr">
        <is>
          <t>email</t>
        </is>
      </c>
      <c r="F956">
        <f>IFERROR(MATCH(A956,Deals!$A$2:$A$843,0),"")</f>
        <v/>
      </c>
      <c r="G956">
        <f>IF(F956="",0,1)</f>
        <v/>
      </c>
      <c r="H956" s="29">
        <f>IF(F956="","",INDEX(Deals!$E$2:$E$843,F956))</f>
        <v/>
      </c>
      <c r="I956">
        <f>IF(F956="","",INDEX(Deals!$D$2:$D$843,F956))</f>
        <v/>
      </c>
      <c r="J956">
        <f>IF(F956="","",INT(H956)-B956)</f>
        <v/>
      </c>
      <c r="K956">
        <f>IF(B956&gt;=Settings!$C$5,1,0)</f>
        <v/>
      </c>
    </row>
    <row r="957">
      <c r="A957" t="inlineStr">
        <is>
          <t>21de0cb3f150ce7676be632a53580651</t>
        </is>
      </c>
      <c r="B957" s="29" t="n">
        <v>43199</v>
      </c>
      <c r="C957" t="inlineStr">
        <is>
          <t>2018-04</t>
        </is>
      </c>
      <c r="D957" t="inlineStr">
        <is>
          <t>dfeed5742a04ec1bfc9f9593b880aa12</t>
        </is>
      </c>
      <c r="E957" t="inlineStr">
        <is>
          <t>organic_search</t>
        </is>
      </c>
      <c r="F957">
        <f>IFERROR(MATCH(A957,Deals!$A$2:$A$843,0),"")</f>
        <v/>
      </c>
      <c r="G957">
        <f>IF(F957="",0,1)</f>
        <v/>
      </c>
      <c r="H957" s="29">
        <f>IF(F957="","",INDEX(Deals!$E$2:$E$843,F957))</f>
        <v/>
      </c>
      <c r="I957">
        <f>IF(F957="","",INDEX(Deals!$D$2:$D$843,F957))</f>
        <v/>
      </c>
      <c r="J957">
        <f>IF(F957="","",INT(H957)-B957)</f>
        <v/>
      </c>
      <c r="K957">
        <f>IF(B957&gt;=Settings!$C$5,1,0)</f>
        <v/>
      </c>
    </row>
    <row r="958">
      <c r="A958" t="inlineStr">
        <is>
          <t>105aac7339ea6074ed9d912c0d10d67e</t>
        </is>
      </c>
      <c r="B958" s="29" t="n">
        <v>43122</v>
      </c>
      <c r="C958" t="inlineStr">
        <is>
          <t>2018-01</t>
        </is>
      </c>
      <c r="D958" t="inlineStr">
        <is>
          <t>d45d558f0daeecf3cccdffe3c59684aa</t>
        </is>
      </c>
      <c r="E958" t="inlineStr">
        <is>
          <t>email</t>
        </is>
      </c>
      <c r="F958">
        <f>IFERROR(MATCH(A958,Deals!$A$2:$A$843,0),"")</f>
        <v/>
      </c>
      <c r="G958">
        <f>IF(F958="",0,1)</f>
        <v/>
      </c>
      <c r="H958" s="29">
        <f>IF(F958="","",INDEX(Deals!$E$2:$E$843,F958))</f>
        <v/>
      </c>
      <c r="I958">
        <f>IF(F958="","",INDEX(Deals!$D$2:$D$843,F958))</f>
        <v/>
      </c>
      <c r="J958">
        <f>IF(F958="","",INT(H958)-B958)</f>
        <v/>
      </c>
      <c r="K958">
        <f>IF(B958&gt;=Settings!$C$5,1,0)</f>
        <v/>
      </c>
    </row>
    <row r="959">
      <c r="A959" t="inlineStr">
        <is>
          <t>e93e6ba172e4c6aa479e17761815cc85</t>
        </is>
      </c>
      <c r="B959" s="29" t="n">
        <v>43067</v>
      </c>
      <c r="C959" t="inlineStr">
        <is>
          <t>2017-11</t>
        </is>
      </c>
      <c r="D959" t="inlineStr">
        <is>
          <t>b76ef37428e6799c421989521c0e5077</t>
        </is>
      </c>
      <c r="E959" t="inlineStr">
        <is>
          <t>social</t>
        </is>
      </c>
      <c r="F959">
        <f>IFERROR(MATCH(A959,Deals!$A$2:$A$843,0),"")</f>
        <v/>
      </c>
      <c r="G959">
        <f>IF(F959="",0,1)</f>
        <v/>
      </c>
      <c r="H959" s="29">
        <f>IF(F959="","",INDEX(Deals!$E$2:$E$843,F959))</f>
        <v/>
      </c>
      <c r="I959">
        <f>IF(F959="","",INDEX(Deals!$D$2:$D$843,F959))</f>
        <v/>
      </c>
      <c r="J959">
        <f>IF(F959="","",INT(H959)-B959)</f>
        <v/>
      </c>
      <c r="K959">
        <f>IF(B959&gt;=Settings!$C$5,1,0)</f>
        <v/>
      </c>
    </row>
    <row r="960">
      <c r="A960" t="inlineStr">
        <is>
          <t>d2c1295f655a2d436edda96084211820</t>
        </is>
      </c>
      <c r="B960" s="29" t="n">
        <v>43222</v>
      </c>
      <c r="C960" t="inlineStr">
        <is>
          <t>2018-05</t>
        </is>
      </c>
      <c r="D960" t="inlineStr">
        <is>
          <t>e42a14209c69c3e9cc6b042620465f12</t>
        </is>
      </c>
      <c r="E960" t="inlineStr">
        <is>
          <t>email</t>
        </is>
      </c>
      <c r="F960">
        <f>IFERROR(MATCH(A960,Deals!$A$2:$A$843,0),"")</f>
        <v/>
      </c>
      <c r="G960">
        <f>IF(F960="",0,1)</f>
        <v/>
      </c>
      <c r="H960" s="29">
        <f>IF(F960="","",INDEX(Deals!$E$2:$E$843,F960))</f>
        <v/>
      </c>
      <c r="I960">
        <f>IF(F960="","",INDEX(Deals!$D$2:$D$843,F960))</f>
        <v/>
      </c>
      <c r="J960">
        <f>IF(F960="","",INT(H960)-B960)</f>
        <v/>
      </c>
      <c r="K960">
        <f>IF(B960&gt;=Settings!$C$5,1,0)</f>
        <v/>
      </c>
    </row>
    <row r="961">
      <c r="A961" t="inlineStr">
        <is>
          <t>34f37c5fa2c142604f077d13f75523b9</t>
        </is>
      </c>
      <c r="B961" s="29" t="n">
        <v>43192</v>
      </c>
      <c r="C961" t="inlineStr">
        <is>
          <t>2018-04</t>
        </is>
      </c>
      <c r="D961" t="inlineStr">
        <is>
          <t>36120633c8737035fbabf079082f4ec1</t>
        </is>
      </c>
      <c r="E961" t="inlineStr">
        <is>
          <t>direct_traffic</t>
        </is>
      </c>
      <c r="F961">
        <f>IFERROR(MATCH(A961,Deals!$A$2:$A$843,0),"")</f>
        <v/>
      </c>
      <c r="G961">
        <f>IF(F961="",0,1)</f>
        <v/>
      </c>
      <c r="H961" s="29">
        <f>IF(F961="","",INDEX(Deals!$E$2:$E$843,F961))</f>
        <v/>
      </c>
      <c r="I961">
        <f>IF(F961="","",INDEX(Deals!$D$2:$D$843,F961))</f>
        <v/>
      </c>
      <c r="J961">
        <f>IF(F961="","",INT(H961)-B961)</f>
        <v/>
      </c>
      <c r="K961">
        <f>IF(B961&gt;=Settings!$C$5,1,0)</f>
        <v/>
      </c>
    </row>
    <row r="962">
      <c r="A962" t="inlineStr">
        <is>
          <t>506f8a18fcde16165fdd041fed015cf1</t>
        </is>
      </c>
      <c r="B962" s="29" t="n">
        <v>43183</v>
      </c>
      <c r="C962" t="inlineStr">
        <is>
          <t>2018-03</t>
        </is>
      </c>
      <c r="D962" t="inlineStr">
        <is>
          <t>58326e62183c14b0c03085c33b9fdc44</t>
        </is>
      </c>
      <c r="E962" t="inlineStr">
        <is>
          <t>social</t>
        </is>
      </c>
      <c r="F962">
        <f>IFERROR(MATCH(A962,Deals!$A$2:$A$843,0),"")</f>
        <v/>
      </c>
      <c r="G962">
        <f>IF(F962="",0,1)</f>
        <v/>
      </c>
      <c r="H962" s="29">
        <f>IF(F962="","",INDEX(Deals!$E$2:$E$843,F962))</f>
        <v/>
      </c>
      <c r="I962">
        <f>IF(F962="","",INDEX(Deals!$D$2:$D$843,F962))</f>
        <v/>
      </c>
      <c r="J962">
        <f>IF(F962="","",INT(H962)-B962)</f>
        <v/>
      </c>
      <c r="K962">
        <f>IF(B962&gt;=Settings!$C$5,1,0)</f>
        <v/>
      </c>
    </row>
    <row r="963">
      <c r="A963" t="inlineStr">
        <is>
          <t>adc30bf749ee156b113a1e1dab27f91a</t>
        </is>
      </c>
      <c r="B963" s="29" t="n">
        <v>43194</v>
      </c>
      <c r="C963" t="inlineStr">
        <is>
          <t>2018-04</t>
        </is>
      </c>
      <c r="D963" t="inlineStr">
        <is>
          <t>ce1a65abd0973638f1c887a6efcfa82d</t>
        </is>
      </c>
      <c r="E963" t="inlineStr">
        <is>
          <t>organic_search</t>
        </is>
      </c>
      <c r="F963">
        <f>IFERROR(MATCH(A963,Deals!$A$2:$A$843,0),"")</f>
        <v/>
      </c>
      <c r="G963">
        <f>IF(F963="",0,1)</f>
        <v/>
      </c>
      <c r="H963" s="29">
        <f>IF(F963="","",INDEX(Deals!$E$2:$E$843,F963))</f>
        <v/>
      </c>
      <c r="I963">
        <f>IF(F963="","",INDEX(Deals!$D$2:$D$843,F963))</f>
        <v/>
      </c>
      <c r="J963">
        <f>IF(F963="","",INT(H963)-B963)</f>
        <v/>
      </c>
      <c r="K963">
        <f>IF(B963&gt;=Settings!$C$5,1,0)</f>
        <v/>
      </c>
    </row>
    <row r="964">
      <c r="A964" t="inlineStr">
        <is>
          <t>1cfef7cfd8d26b1ecb8b0eccca6366ca</t>
        </is>
      </c>
      <c r="B964" s="29" t="n">
        <v>43124</v>
      </c>
      <c r="C964" t="inlineStr">
        <is>
          <t>2018-01</t>
        </is>
      </c>
      <c r="D964" t="inlineStr">
        <is>
          <t>b76ef37428e6799c421989521c0e5077</t>
        </is>
      </c>
      <c r="E964" t="inlineStr">
        <is>
          <t>unknown</t>
        </is>
      </c>
      <c r="F964">
        <f>IFERROR(MATCH(A964,Deals!$A$2:$A$843,0),"")</f>
        <v/>
      </c>
      <c r="G964">
        <f>IF(F964="",0,1)</f>
        <v/>
      </c>
      <c r="H964" s="29">
        <f>IF(F964="","",INDEX(Deals!$E$2:$E$843,F964))</f>
        <v/>
      </c>
      <c r="I964">
        <f>IF(F964="","",INDEX(Deals!$D$2:$D$843,F964))</f>
        <v/>
      </c>
      <c r="J964">
        <f>IF(F964="","",INT(H964)-B964)</f>
        <v/>
      </c>
      <c r="K964">
        <f>IF(B964&gt;=Settings!$C$5,1,0)</f>
        <v/>
      </c>
    </row>
    <row r="965">
      <c r="A965" t="inlineStr">
        <is>
          <t>7f306704b558d9577d8c9059f208ab6e</t>
        </is>
      </c>
      <c r="B965" s="29" t="n">
        <v>43131</v>
      </c>
      <c r="C965" t="inlineStr">
        <is>
          <t>2018-01</t>
        </is>
      </c>
      <c r="D965" t="inlineStr">
        <is>
          <t>88740e65d5d6b056e0cda098e1ea6313</t>
        </is>
      </c>
      <c r="E965" t="inlineStr">
        <is>
          <t>social</t>
        </is>
      </c>
      <c r="F965">
        <f>IFERROR(MATCH(A965,Deals!$A$2:$A$843,0),"")</f>
        <v/>
      </c>
      <c r="G965">
        <f>IF(F965="",0,1)</f>
        <v/>
      </c>
      <c r="H965" s="29">
        <f>IF(F965="","",INDEX(Deals!$E$2:$E$843,F965))</f>
        <v/>
      </c>
      <c r="I965">
        <f>IF(F965="","",INDEX(Deals!$D$2:$D$843,F965))</f>
        <v/>
      </c>
      <c r="J965">
        <f>IF(F965="","",INT(H965)-B965)</f>
        <v/>
      </c>
      <c r="K965">
        <f>IF(B965&gt;=Settings!$C$5,1,0)</f>
        <v/>
      </c>
    </row>
    <row r="966">
      <c r="A966" t="inlineStr">
        <is>
          <t>ae959a9413c2d11d535aadcb3ae82f1b</t>
        </is>
      </c>
      <c r="B966" s="29" t="n">
        <v>43208</v>
      </c>
      <c r="C966" t="inlineStr">
        <is>
          <t>2018-04</t>
        </is>
      </c>
      <c r="D966" t="inlineStr">
        <is>
          <t>b76ef37428e6799c421989521c0e5077</t>
        </is>
      </c>
      <c r="E966" t="inlineStr">
        <is>
          <t>unknown</t>
        </is>
      </c>
      <c r="F966">
        <f>IFERROR(MATCH(A966,Deals!$A$2:$A$843,0),"")</f>
        <v/>
      </c>
      <c r="G966">
        <f>IF(F966="",0,1)</f>
        <v/>
      </c>
      <c r="H966" s="29">
        <f>IF(F966="","",INDEX(Deals!$E$2:$E$843,F966))</f>
        <v/>
      </c>
      <c r="I966">
        <f>IF(F966="","",INDEX(Deals!$D$2:$D$843,F966))</f>
        <v/>
      </c>
      <c r="J966">
        <f>IF(F966="","",INT(H966)-B966)</f>
        <v/>
      </c>
      <c r="K966">
        <f>IF(B966&gt;=Settings!$C$5,1,0)</f>
        <v/>
      </c>
    </row>
    <row r="967">
      <c r="A967" t="inlineStr">
        <is>
          <t>0bdfd4449d186fec3afb907865fad651</t>
        </is>
      </c>
      <c r="B967" s="29" t="n">
        <v>43186</v>
      </c>
      <c r="C967" t="inlineStr">
        <is>
          <t>2018-03</t>
        </is>
      </c>
      <c r="D967" t="inlineStr">
        <is>
          <t>58326e62183c14b0c03085c33b9fdc44</t>
        </is>
      </c>
      <c r="E967" t="inlineStr">
        <is>
          <t>social</t>
        </is>
      </c>
      <c r="F967">
        <f>IFERROR(MATCH(A967,Deals!$A$2:$A$843,0),"")</f>
        <v/>
      </c>
      <c r="G967">
        <f>IF(F967="",0,1)</f>
        <v/>
      </c>
      <c r="H967" s="29">
        <f>IF(F967="","",INDEX(Deals!$E$2:$E$843,F967))</f>
        <v/>
      </c>
      <c r="I967">
        <f>IF(F967="","",INDEX(Deals!$D$2:$D$843,F967))</f>
        <v/>
      </c>
      <c r="J967">
        <f>IF(F967="","",INT(H967)-B967)</f>
        <v/>
      </c>
      <c r="K967">
        <f>IF(B967&gt;=Settings!$C$5,1,0)</f>
        <v/>
      </c>
    </row>
    <row r="968">
      <c r="A968" t="inlineStr">
        <is>
          <t>15a5c746ca97f09ab5927dd5b40ca139</t>
        </is>
      </c>
      <c r="B968" s="29" t="n">
        <v>43244</v>
      </c>
      <c r="C968" t="inlineStr">
        <is>
          <t>2018-05</t>
        </is>
      </c>
      <c r="D968" t="inlineStr">
        <is>
          <t>e492ee5eaf1697716985cc6f33f9cd9b</t>
        </is>
      </c>
      <c r="E968" t="inlineStr">
        <is>
          <t>organic_search</t>
        </is>
      </c>
      <c r="F968">
        <f>IFERROR(MATCH(A968,Deals!$A$2:$A$843,0),"")</f>
        <v/>
      </c>
      <c r="G968">
        <f>IF(F968="",0,1)</f>
        <v/>
      </c>
      <c r="H968" s="29">
        <f>IF(F968="","",INDEX(Deals!$E$2:$E$843,F968))</f>
        <v/>
      </c>
      <c r="I968">
        <f>IF(F968="","",INDEX(Deals!$D$2:$D$843,F968))</f>
        <v/>
      </c>
      <c r="J968">
        <f>IF(F968="","",INT(H968)-B968)</f>
        <v/>
      </c>
      <c r="K968">
        <f>IF(B968&gt;=Settings!$C$5,1,0)</f>
        <v/>
      </c>
    </row>
    <row r="969">
      <c r="A969" t="inlineStr">
        <is>
          <t>091079d1b3a9ba6ebd800051147f6010</t>
        </is>
      </c>
      <c r="B969" s="29" t="n">
        <v>43063</v>
      </c>
      <c r="C969" t="inlineStr">
        <is>
          <t>2017-11</t>
        </is>
      </c>
      <c r="D969" t="inlineStr">
        <is>
          <t>22c29808c4f815213303f8933030604c</t>
        </is>
      </c>
      <c r="E969" t="inlineStr">
        <is>
          <t>paid_search</t>
        </is>
      </c>
      <c r="F969">
        <f>IFERROR(MATCH(A969,Deals!$A$2:$A$843,0),"")</f>
        <v/>
      </c>
      <c r="G969">
        <f>IF(F969="",0,1)</f>
        <v/>
      </c>
      <c r="H969" s="29">
        <f>IF(F969="","",INDEX(Deals!$E$2:$E$843,F969))</f>
        <v/>
      </c>
      <c r="I969">
        <f>IF(F969="","",INDEX(Deals!$D$2:$D$843,F969))</f>
        <v/>
      </c>
      <c r="J969">
        <f>IF(F969="","",INT(H969)-B969)</f>
        <v/>
      </c>
      <c r="K969">
        <f>IF(B969&gt;=Settings!$C$5,1,0)</f>
        <v/>
      </c>
    </row>
    <row r="970">
      <c r="A970" t="inlineStr">
        <is>
          <t>23b6ccd661757295a41abd6a7ee3ac2d</t>
        </is>
      </c>
      <c r="B970" s="29" t="n">
        <v>43110</v>
      </c>
      <c r="C970" t="inlineStr">
        <is>
          <t>2018-01</t>
        </is>
      </c>
      <c r="D970" t="inlineStr">
        <is>
          <t>88740e65d5d6b056e0cda098e1ea6313</t>
        </is>
      </c>
      <c r="E970" t="inlineStr">
        <is>
          <t>social</t>
        </is>
      </c>
      <c r="F970">
        <f>IFERROR(MATCH(A970,Deals!$A$2:$A$843,0),"")</f>
        <v/>
      </c>
      <c r="G970">
        <f>IF(F970="",0,1)</f>
        <v/>
      </c>
      <c r="H970" s="29">
        <f>IF(F970="","",INDEX(Deals!$E$2:$E$843,F970))</f>
        <v/>
      </c>
      <c r="I970">
        <f>IF(F970="","",INDEX(Deals!$D$2:$D$843,F970))</f>
        <v/>
      </c>
      <c r="J970">
        <f>IF(F970="","",INT(H970)-B970)</f>
        <v/>
      </c>
      <c r="K970">
        <f>IF(B970&gt;=Settings!$C$5,1,0)</f>
        <v/>
      </c>
    </row>
    <row r="971">
      <c r="A971" t="inlineStr">
        <is>
          <t>2a0cd96109ce91ee405ae528cf582e19</t>
        </is>
      </c>
      <c r="B971" s="29" t="n">
        <v>43006</v>
      </c>
      <c r="C971" t="inlineStr">
        <is>
          <t>2017-09</t>
        </is>
      </c>
      <c r="D971" t="inlineStr">
        <is>
          <t>f017be4dbf86243af5c1ebed0cff36a2</t>
        </is>
      </c>
      <c r="E971" t="inlineStr">
        <is>
          <t>organic_search</t>
        </is>
      </c>
      <c r="F971">
        <f>IFERROR(MATCH(A971,Deals!$A$2:$A$843,0),"")</f>
        <v/>
      </c>
      <c r="G971">
        <f>IF(F971="",0,1)</f>
        <v/>
      </c>
      <c r="H971" s="29">
        <f>IF(F971="","",INDEX(Deals!$E$2:$E$843,F971))</f>
        <v/>
      </c>
      <c r="I971">
        <f>IF(F971="","",INDEX(Deals!$D$2:$D$843,F971))</f>
        <v/>
      </c>
      <c r="J971">
        <f>IF(F971="","",INT(H971)-B971)</f>
        <v/>
      </c>
      <c r="K971">
        <f>IF(B971&gt;=Settings!$C$5,1,0)</f>
        <v/>
      </c>
    </row>
    <row r="972">
      <c r="A972" t="inlineStr">
        <is>
          <t>41fb4745f106d34e5a5f7b700e30feb3</t>
        </is>
      </c>
      <c r="B972" s="29" t="n">
        <v>43203</v>
      </c>
      <c r="C972" t="inlineStr">
        <is>
          <t>2018-04</t>
        </is>
      </c>
      <c r="D972" t="inlineStr">
        <is>
          <t>e492ee5eaf1697716985cc6f33f9cd9b</t>
        </is>
      </c>
      <c r="E972" t="inlineStr">
        <is>
          <t>organic_search</t>
        </is>
      </c>
      <c r="F972">
        <f>IFERROR(MATCH(A972,Deals!$A$2:$A$843,0),"")</f>
        <v/>
      </c>
      <c r="G972">
        <f>IF(F972="",0,1)</f>
        <v/>
      </c>
      <c r="H972" s="29">
        <f>IF(F972="","",INDEX(Deals!$E$2:$E$843,F972))</f>
        <v/>
      </c>
      <c r="I972">
        <f>IF(F972="","",INDEX(Deals!$D$2:$D$843,F972))</f>
        <v/>
      </c>
      <c r="J972">
        <f>IF(F972="","",INT(H972)-B972)</f>
        <v/>
      </c>
      <c r="K972">
        <f>IF(B972&gt;=Settings!$C$5,1,0)</f>
        <v/>
      </c>
    </row>
    <row r="973">
      <c r="A973" t="inlineStr">
        <is>
          <t>efbd774fdce204077f64ad083665abb0</t>
        </is>
      </c>
      <c r="B973" s="29" t="n">
        <v>43150</v>
      </c>
      <c r="C973" t="inlineStr">
        <is>
          <t>2018-02</t>
        </is>
      </c>
      <c r="D973" t="inlineStr">
        <is>
          <t>f017be4dbf86243af5c1ebed0cff36a2</t>
        </is>
      </c>
      <c r="E973" t="inlineStr">
        <is>
          <t>organic_search</t>
        </is>
      </c>
      <c r="F973">
        <f>IFERROR(MATCH(A973,Deals!$A$2:$A$843,0),"")</f>
        <v/>
      </c>
      <c r="G973">
        <f>IF(F973="",0,1)</f>
        <v/>
      </c>
      <c r="H973" s="29">
        <f>IF(F973="","",INDEX(Deals!$E$2:$E$843,F973))</f>
        <v/>
      </c>
      <c r="I973">
        <f>IF(F973="","",INDEX(Deals!$D$2:$D$843,F973))</f>
        <v/>
      </c>
      <c r="J973">
        <f>IF(F973="","",INT(H973)-B973)</f>
        <v/>
      </c>
      <c r="K973">
        <f>IF(B973&gt;=Settings!$C$5,1,0)</f>
        <v/>
      </c>
    </row>
    <row r="974">
      <c r="A974" t="inlineStr">
        <is>
          <t>43b5de4ac59492eb8ad4deb02a18198c</t>
        </is>
      </c>
      <c r="B974" s="29" t="n">
        <v>43188</v>
      </c>
      <c r="C974" t="inlineStr">
        <is>
          <t>2018-03</t>
        </is>
      </c>
      <c r="D974" t="inlineStr">
        <is>
          <t>58326e62183c14b0c03085c33b9fdc44</t>
        </is>
      </c>
      <c r="E974" t="inlineStr">
        <is>
          <t>social</t>
        </is>
      </c>
      <c r="F974">
        <f>IFERROR(MATCH(A974,Deals!$A$2:$A$843,0),"")</f>
        <v/>
      </c>
      <c r="G974">
        <f>IF(F974="",0,1)</f>
        <v/>
      </c>
      <c r="H974" s="29">
        <f>IF(F974="","",INDEX(Deals!$E$2:$E$843,F974))</f>
        <v/>
      </c>
      <c r="I974">
        <f>IF(F974="","",INDEX(Deals!$D$2:$D$843,F974))</f>
        <v/>
      </c>
      <c r="J974">
        <f>IF(F974="","",INT(H974)-B974)</f>
        <v/>
      </c>
      <c r="K974">
        <f>IF(B974&gt;=Settings!$C$5,1,0)</f>
        <v/>
      </c>
    </row>
    <row r="975">
      <c r="A975" t="inlineStr">
        <is>
          <t>7aa3fe3a2565cc27c69257a8b9d4ed1d</t>
        </is>
      </c>
      <c r="B975" s="29" t="n">
        <v>43145</v>
      </c>
      <c r="C975" t="inlineStr">
        <is>
          <t>2018-02</t>
        </is>
      </c>
      <c r="D975" t="inlineStr">
        <is>
          <t>909e333f8f23574f93115bd3d402e202</t>
        </is>
      </c>
      <c r="E975" t="inlineStr">
        <is>
          <t>direct_traffic</t>
        </is>
      </c>
      <c r="F975">
        <f>IFERROR(MATCH(A975,Deals!$A$2:$A$843,0),"")</f>
        <v/>
      </c>
      <c r="G975">
        <f>IF(F975="",0,1)</f>
        <v/>
      </c>
      <c r="H975" s="29">
        <f>IF(F975="","",INDEX(Deals!$E$2:$E$843,F975))</f>
        <v/>
      </c>
      <c r="I975">
        <f>IF(F975="","",INDEX(Deals!$D$2:$D$843,F975))</f>
        <v/>
      </c>
      <c r="J975">
        <f>IF(F975="","",INT(H975)-B975)</f>
        <v/>
      </c>
      <c r="K975">
        <f>IF(B975&gt;=Settings!$C$5,1,0)</f>
        <v/>
      </c>
    </row>
    <row r="976">
      <c r="A976" t="inlineStr">
        <is>
          <t>17063277217449d39e2328a007ffb4fa</t>
        </is>
      </c>
      <c r="B976" s="29" t="n">
        <v>42996</v>
      </c>
      <c r="C976" t="inlineStr">
        <is>
          <t>2017-09</t>
        </is>
      </c>
      <c r="D976" t="inlineStr">
        <is>
          <t>87732658ba41d8775e8577df347a64db</t>
        </is>
      </c>
      <c r="E976" t="inlineStr">
        <is>
          <t>social</t>
        </is>
      </c>
      <c r="F976">
        <f>IFERROR(MATCH(A976,Deals!$A$2:$A$843,0),"")</f>
        <v/>
      </c>
      <c r="G976">
        <f>IF(F976="",0,1)</f>
        <v/>
      </c>
      <c r="H976" s="29">
        <f>IF(F976="","",INDEX(Deals!$E$2:$E$843,F976))</f>
        <v/>
      </c>
      <c r="I976">
        <f>IF(F976="","",INDEX(Deals!$D$2:$D$843,F976))</f>
        <v/>
      </c>
      <c r="J976">
        <f>IF(F976="","",INT(H976)-B976)</f>
        <v/>
      </c>
      <c r="K976">
        <f>IF(B976&gt;=Settings!$C$5,1,0)</f>
        <v/>
      </c>
    </row>
    <row r="977">
      <c r="A977" t="inlineStr">
        <is>
          <t>636fa06b74cdd6a17452e1e1ece7e7d7</t>
        </is>
      </c>
      <c r="B977" s="29" t="n">
        <v>43118</v>
      </c>
      <c r="C977" t="inlineStr">
        <is>
          <t>2018-01</t>
        </is>
      </c>
      <c r="D977" t="inlineStr">
        <is>
          <t>73fec6021437e723ff5adae8dff89e23</t>
        </is>
      </c>
      <c r="E977" t="inlineStr">
        <is>
          <t>paid_search</t>
        </is>
      </c>
      <c r="F977">
        <f>IFERROR(MATCH(A977,Deals!$A$2:$A$843,0),"")</f>
        <v/>
      </c>
      <c r="G977">
        <f>IF(F977="",0,1)</f>
        <v/>
      </c>
      <c r="H977" s="29">
        <f>IF(F977="","",INDEX(Deals!$E$2:$E$843,F977))</f>
        <v/>
      </c>
      <c r="I977">
        <f>IF(F977="","",INDEX(Deals!$D$2:$D$843,F977))</f>
        <v/>
      </c>
      <c r="J977">
        <f>IF(F977="","",INT(H977)-B977)</f>
        <v/>
      </c>
      <c r="K977">
        <f>IF(B977&gt;=Settings!$C$5,1,0)</f>
        <v/>
      </c>
    </row>
    <row r="978">
      <c r="A978" t="inlineStr">
        <is>
          <t>d63c989b3b971b08b95c11f2fa295df1</t>
        </is>
      </c>
      <c r="B978" s="29" t="n">
        <v>43234</v>
      </c>
      <c r="C978" t="inlineStr">
        <is>
          <t>2018-05</t>
        </is>
      </c>
      <c r="D978" t="inlineStr">
        <is>
          <t>b76ef37428e6799c421989521c0e5077</t>
        </is>
      </c>
      <c r="E978" t="inlineStr">
        <is>
          <t>organic_search</t>
        </is>
      </c>
      <c r="F978">
        <f>IFERROR(MATCH(A978,Deals!$A$2:$A$843,0),"")</f>
        <v/>
      </c>
      <c r="G978">
        <f>IF(F978="",0,1)</f>
        <v/>
      </c>
      <c r="H978" s="29">
        <f>IF(F978="","",INDEX(Deals!$E$2:$E$843,F978))</f>
        <v/>
      </c>
      <c r="I978">
        <f>IF(F978="","",INDEX(Deals!$D$2:$D$843,F978))</f>
        <v/>
      </c>
      <c r="J978">
        <f>IF(F978="","",INT(H978)-B978)</f>
        <v/>
      </c>
      <c r="K978">
        <f>IF(B978&gt;=Settings!$C$5,1,0)</f>
        <v/>
      </c>
    </row>
    <row r="979">
      <c r="A979" t="inlineStr">
        <is>
          <t>53a8e03961d92239555b13a05ac0c34a</t>
        </is>
      </c>
      <c r="B979" s="29" t="n">
        <v>43061</v>
      </c>
      <c r="C979" t="inlineStr">
        <is>
          <t>2017-11</t>
        </is>
      </c>
      <c r="D979" t="inlineStr">
        <is>
          <t>b76ef37428e6799c421989521c0e5077</t>
        </is>
      </c>
      <c r="E979" t="inlineStr">
        <is>
          <t>unknown</t>
        </is>
      </c>
      <c r="F979">
        <f>IFERROR(MATCH(A979,Deals!$A$2:$A$843,0),"")</f>
        <v/>
      </c>
      <c r="G979">
        <f>IF(F979="",0,1)</f>
        <v/>
      </c>
      <c r="H979" s="29">
        <f>IF(F979="","",INDEX(Deals!$E$2:$E$843,F979))</f>
        <v/>
      </c>
      <c r="I979">
        <f>IF(F979="","",INDEX(Deals!$D$2:$D$843,F979))</f>
        <v/>
      </c>
      <c r="J979">
        <f>IF(F979="","",INT(H979)-B979)</f>
        <v/>
      </c>
      <c r="K979">
        <f>IF(B979&gt;=Settings!$C$5,1,0)</f>
        <v/>
      </c>
    </row>
    <row r="980">
      <c r="A980" t="inlineStr">
        <is>
          <t>2708ccf204c47df56b5469327e900581</t>
        </is>
      </c>
      <c r="B980" s="29" t="n">
        <v>43133</v>
      </c>
      <c r="C980" t="inlineStr">
        <is>
          <t>2018-02</t>
        </is>
      </c>
      <c r="D980" t="inlineStr">
        <is>
          <t>b76ef37428e6799c421989521c0e5077</t>
        </is>
      </c>
      <c r="E980" t="inlineStr">
        <is>
          <t>unknown</t>
        </is>
      </c>
      <c r="F980">
        <f>IFERROR(MATCH(A980,Deals!$A$2:$A$843,0),"")</f>
        <v/>
      </c>
      <c r="G980">
        <f>IF(F980="",0,1)</f>
        <v/>
      </c>
      <c r="H980" s="29">
        <f>IF(F980="","",INDEX(Deals!$E$2:$E$843,F980))</f>
        <v/>
      </c>
      <c r="I980">
        <f>IF(F980="","",INDEX(Deals!$D$2:$D$843,F980))</f>
        <v/>
      </c>
      <c r="J980">
        <f>IF(F980="","",INT(H980)-B980)</f>
        <v/>
      </c>
      <c r="K980">
        <f>IF(B980&gt;=Settings!$C$5,1,0)</f>
        <v/>
      </c>
    </row>
    <row r="981">
      <c r="A981" t="inlineStr">
        <is>
          <t>d82c11ec1571cc49a9e5d67285a26668</t>
        </is>
      </c>
      <c r="B981" s="29" t="n">
        <v>42982</v>
      </c>
      <c r="C981" t="inlineStr">
        <is>
          <t>2017-09</t>
        </is>
      </c>
      <c r="D981" t="inlineStr">
        <is>
          <t>e42a14209c69c3e9cc6b042620465f12</t>
        </is>
      </c>
      <c r="E981" t="inlineStr">
        <is>
          <t>unknown</t>
        </is>
      </c>
      <c r="F981">
        <f>IFERROR(MATCH(A981,Deals!$A$2:$A$843,0),"")</f>
        <v/>
      </c>
      <c r="G981">
        <f>IF(F981="",0,1)</f>
        <v/>
      </c>
      <c r="H981" s="29">
        <f>IF(F981="","",INDEX(Deals!$E$2:$E$843,F981))</f>
        <v/>
      </c>
      <c r="I981">
        <f>IF(F981="","",INDEX(Deals!$D$2:$D$843,F981))</f>
        <v/>
      </c>
      <c r="J981">
        <f>IF(F981="","",INT(H981)-B981)</f>
        <v/>
      </c>
      <c r="K981">
        <f>IF(B981&gt;=Settings!$C$5,1,0)</f>
        <v/>
      </c>
    </row>
    <row r="982">
      <c r="A982" t="inlineStr">
        <is>
          <t>398b98b77e0c7a4c313abc6e47fb273b</t>
        </is>
      </c>
      <c r="B982" s="29" t="n">
        <v>43235</v>
      </c>
      <c r="C982" t="inlineStr">
        <is>
          <t>2018-05</t>
        </is>
      </c>
      <c r="D982" t="inlineStr">
        <is>
          <t>22c29808c4f815213303f8933030604c</t>
        </is>
      </c>
      <c r="E982" t="inlineStr">
        <is>
          <t>paid_search</t>
        </is>
      </c>
      <c r="F982">
        <f>IFERROR(MATCH(A982,Deals!$A$2:$A$843,0),"")</f>
        <v/>
      </c>
      <c r="G982">
        <f>IF(F982="",0,1)</f>
        <v/>
      </c>
      <c r="H982" s="29">
        <f>IF(F982="","",INDEX(Deals!$E$2:$E$843,F982))</f>
        <v/>
      </c>
      <c r="I982">
        <f>IF(F982="","",INDEX(Deals!$D$2:$D$843,F982))</f>
        <v/>
      </c>
      <c r="J982">
        <f>IF(F982="","",INT(H982)-B982)</f>
        <v/>
      </c>
      <c r="K982">
        <f>IF(B982&gt;=Settings!$C$5,1,0)</f>
        <v/>
      </c>
    </row>
    <row r="983">
      <c r="A983" t="inlineStr">
        <is>
          <t>73105c8bf5befe6ed16aa409c2740f43</t>
        </is>
      </c>
      <c r="B983" s="29" t="n">
        <v>43122</v>
      </c>
      <c r="C983" t="inlineStr">
        <is>
          <t>2018-01</t>
        </is>
      </c>
      <c r="D983" t="inlineStr">
        <is>
          <t>d45d558f0daeecf3cccdffe3c59684aa</t>
        </is>
      </c>
      <c r="E983" t="inlineStr">
        <is>
          <t>email</t>
        </is>
      </c>
      <c r="F983">
        <f>IFERROR(MATCH(A983,Deals!$A$2:$A$843,0),"")</f>
        <v/>
      </c>
      <c r="G983">
        <f>IF(F983="",0,1)</f>
        <v/>
      </c>
      <c r="H983" s="29">
        <f>IF(F983="","",INDEX(Deals!$E$2:$E$843,F983))</f>
        <v/>
      </c>
      <c r="I983">
        <f>IF(F983="","",INDEX(Deals!$D$2:$D$843,F983))</f>
        <v/>
      </c>
      <c r="J983">
        <f>IF(F983="","",INT(H983)-B983)</f>
        <v/>
      </c>
      <c r="K983">
        <f>IF(B983&gt;=Settings!$C$5,1,0)</f>
        <v/>
      </c>
    </row>
    <row r="984">
      <c r="A984" t="inlineStr">
        <is>
          <t>673a52f787cc434410519234173933fc</t>
        </is>
      </c>
      <c r="B984" s="29" t="n">
        <v>43141</v>
      </c>
      <c r="C984" t="inlineStr">
        <is>
          <t>2018-02</t>
        </is>
      </c>
      <c r="D984" t="inlineStr">
        <is>
          <t>ce1a65abd0973638f1c887a6efcfa82d</t>
        </is>
      </c>
      <c r="E984" t="inlineStr">
        <is>
          <t>organic_search</t>
        </is>
      </c>
      <c r="F984">
        <f>IFERROR(MATCH(A984,Deals!$A$2:$A$843,0),"")</f>
        <v/>
      </c>
      <c r="G984">
        <f>IF(F984="",0,1)</f>
        <v/>
      </c>
      <c r="H984" s="29">
        <f>IF(F984="","",INDEX(Deals!$E$2:$E$843,F984))</f>
        <v/>
      </c>
      <c r="I984">
        <f>IF(F984="","",INDEX(Deals!$D$2:$D$843,F984))</f>
        <v/>
      </c>
      <c r="J984">
        <f>IF(F984="","",INT(H984)-B984)</f>
        <v/>
      </c>
      <c r="K984">
        <f>IF(B984&gt;=Settings!$C$5,1,0)</f>
        <v/>
      </c>
    </row>
    <row r="985">
      <c r="A985" t="inlineStr">
        <is>
          <t>1ff69bc1abf8681a2fbff7326f86f76f</t>
        </is>
      </c>
      <c r="B985" s="29" t="n">
        <v>43235</v>
      </c>
      <c r="C985" t="inlineStr">
        <is>
          <t>2018-05</t>
        </is>
      </c>
      <c r="D985" t="inlineStr">
        <is>
          <t>431a558885d03bf98bc3747f78cdfab7</t>
        </is>
      </c>
      <c r="E985" t="inlineStr">
        <is>
          <t>unknown</t>
        </is>
      </c>
      <c r="F985">
        <f>IFERROR(MATCH(A985,Deals!$A$2:$A$843,0),"")</f>
        <v/>
      </c>
      <c r="G985">
        <f>IF(F985="",0,1)</f>
        <v/>
      </c>
      <c r="H985" s="29">
        <f>IF(F985="","",INDEX(Deals!$E$2:$E$843,F985))</f>
        <v/>
      </c>
      <c r="I985">
        <f>IF(F985="","",INDEX(Deals!$D$2:$D$843,F985))</f>
        <v/>
      </c>
      <c r="J985">
        <f>IF(F985="","",INT(H985)-B985)</f>
        <v/>
      </c>
      <c r="K985">
        <f>IF(B985&gt;=Settings!$C$5,1,0)</f>
        <v/>
      </c>
    </row>
    <row r="986">
      <c r="A986" t="inlineStr">
        <is>
          <t>d847776976cb4d14fd28d53d9f326190</t>
        </is>
      </c>
      <c r="B986" s="29" t="n">
        <v>43247</v>
      </c>
      <c r="C986" t="inlineStr">
        <is>
          <t>2018-05</t>
        </is>
      </c>
      <c r="D986" t="inlineStr">
        <is>
          <t>a7982125ff7aa3b2054c6e44f9d28522</t>
        </is>
      </c>
      <c r="E986" t="inlineStr">
        <is>
          <t>display</t>
        </is>
      </c>
      <c r="F986">
        <f>IFERROR(MATCH(A986,Deals!$A$2:$A$843,0),"")</f>
        <v/>
      </c>
      <c r="G986">
        <f>IF(F986="",0,1)</f>
        <v/>
      </c>
      <c r="H986" s="29">
        <f>IF(F986="","",INDEX(Deals!$E$2:$E$843,F986))</f>
        <v/>
      </c>
      <c r="I986">
        <f>IF(F986="","",INDEX(Deals!$D$2:$D$843,F986))</f>
        <v/>
      </c>
      <c r="J986">
        <f>IF(F986="","",INT(H986)-B986)</f>
        <v/>
      </c>
      <c r="K986">
        <f>IF(B986&gt;=Settings!$C$5,1,0)</f>
        <v/>
      </c>
    </row>
    <row r="987">
      <c r="A987" t="inlineStr">
        <is>
          <t>d3f55ce52ff78d715fd61df010baf1db</t>
        </is>
      </c>
      <c r="B987" s="29" t="n">
        <v>43216</v>
      </c>
      <c r="C987" t="inlineStr">
        <is>
          <t>2018-04</t>
        </is>
      </c>
      <c r="D987" t="inlineStr">
        <is>
          <t>f80696b73d17fb34f5c4fde157f119d8</t>
        </is>
      </c>
      <c r="E987" t="inlineStr">
        <is>
          <t>email</t>
        </is>
      </c>
      <c r="F987">
        <f>IFERROR(MATCH(A987,Deals!$A$2:$A$843,0),"")</f>
        <v/>
      </c>
      <c r="G987">
        <f>IF(F987="",0,1)</f>
        <v/>
      </c>
      <c r="H987" s="29">
        <f>IF(F987="","",INDEX(Deals!$E$2:$E$843,F987))</f>
        <v/>
      </c>
      <c r="I987">
        <f>IF(F987="","",INDEX(Deals!$D$2:$D$843,F987))</f>
        <v/>
      </c>
      <c r="J987">
        <f>IF(F987="","",INT(H987)-B987)</f>
        <v/>
      </c>
      <c r="K987">
        <f>IF(B987&gt;=Settings!$C$5,1,0)</f>
        <v/>
      </c>
    </row>
    <row r="988">
      <c r="A988" t="inlineStr">
        <is>
          <t>b90418472b108bc0ac07f556d5b373aa</t>
        </is>
      </c>
      <c r="B988" s="29" t="n">
        <v>43227</v>
      </c>
      <c r="C988" t="inlineStr">
        <is>
          <t>2018-05</t>
        </is>
      </c>
      <c r="D988" t="inlineStr">
        <is>
          <t>c494978688ccf66ad9fad3d6a3338c22</t>
        </is>
      </c>
      <c r="E988" t="inlineStr">
        <is>
          <t>referral</t>
        </is>
      </c>
      <c r="F988">
        <f>IFERROR(MATCH(A988,Deals!$A$2:$A$843,0),"")</f>
        <v/>
      </c>
      <c r="G988">
        <f>IF(F988="",0,1)</f>
        <v/>
      </c>
      <c r="H988" s="29">
        <f>IF(F988="","",INDEX(Deals!$E$2:$E$843,F988))</f>
        <v/>
      </c>
      <c r="I988">
        <f>IF(F988="","",INDEX(Deals!$D$2:$D$843,F988))</f>
        <v/>
      </c>
      <c r="J988">
        <f>IF(F988="","",INT(H988)-B988)</f>
        <v/>
      </c>
      <c r="K988">
        <f>IF(B988&gt;=Settings!$C$5,1,0)</f>
        <v/>
      </c>
    </row>
    <row r="989">
      <c r="A989" t="inlineStr">
        <is>
          <t>c6e98355ec601730cd195703b39ca84e</t>
        </is>
      </c>
      <c r="B989" s="29" t="n">
        <v>43158</v>
      </c>
      <c r="C989" t="inlineStr">
        <is>
          <t>2018-02</t>
        </is>
      </c>
      <c r="D989" t="inlineStr">
        <is>
          <t>f017be4dbf86243af5c1ebed0cff36a2</t>
        </is>
      </c>
      <c r="E989" t="inlineStr">
        <is>
          <t>organic_search</t>
        </is>
      </c>
      <c r="F989">
        <f>IFERROR(MATCH(A989,Deals!$A$2:$A$843,0),"")</f>
        <v/>
      </c>
      <c r="G989">
        <f>IF(F989="",0,1)</f>
        <v/>
      </c>
      <c r="H989" s="29">
        <f>IF(F989="","",INDEX(Deals!$E$2:$E$843,F989))</f>
        <v/>
      </c>
      <c r="I989">
        <f>IF(F989="","",INDEX(Deals!$D$2:$D$843,F989))</f>
        <v/>
      </c>
      <c r="J989">
        <f>IF(F989="","",INT(H989)-B989)</f>
        <v/>
      </c>
      <c r="K989">
        <f>IF(B989&gt;=Settings!$C$5,1,0)</f>
        <v/>
      </c>
    </row>
    <row r="990">
      <c r="A990" t="inlineStr">
        <is>
          <t>32fb0afb79c483a66f39391a80354f8c</t>
        </is>
      </c>
      <c r="B990" s="29" t="n">
        <v>43249</v>
      </c>
      <c r="C990" t="inlineStr">
        <is>
          <t>2018-05</t>
        </is>
      </c>
      <c r="D990" t="inlineStr">
        <is>
          <t>2228a43ac0bc372e25f9569e69fc9015</t>
        </is>
      </c>
      <c r="E990" t="inlineStr">
        <is>
          <t>paid_search</t>
        </is>
      </c>
      <c r="F990">
        <f>IFERROR(MATCH(A990,Deals!$A$2:$A$843,0),"")</f>
        <v/>
      </c>
      <c r="G990">
        <f>IF(F990="",0,1)</f>
        <v/>
      </c>
      <c r="H990" s="29">
        <f>IF(F990="","",INDEX(Deals!$E$2:$E$843,F990))</f>
        <v/>
      </c>
      <c r="I990">
        <f>IF(F990="","",INDEX(Deals!$D$2:$D$843,F990))</f>
        <v/>
      </c>
      <c r="J990">
        <f>IF(F990="","",INT(H990)-B990)</f>
        <v/>
      </c>
      <c r="K990">
        <f>IF(B990&gt;=Settings!$C$5,1,0)</f>
        <v/>
      </c>
    </row>
    <row r="991">
      <c r="A991" t="inlineStr">
        <is>
          <t>1c79da625be0f2c37dd1f2f67f668889</t>
        </is>
      </c>
      <c r="B991" s="29" t="n">
        <v>43108</v>
      </c>
      <c r="C991" t="inlineStr">
        <is>
          <t>2018-01</t>
        </is>
      </c>
      <c r="D991" t="inlineStr">
        <is>
          <t>a7982125ff7aa3b2054c6e44f9d28522</t>
        </is>
      </c>
      <c r="E991" t="inlineStr">
        <is>
          <t>direct_traffic</t>
        </is>
      </c>
      <c r="F991">
        <f>IFERROR(MATCH(A991,Deals!$A$2:$A$843,0),"")</f>
        <v/>
      </c>
      <c r="G991">
        <f>IF(F991="",0,1)</f>
        <v/>
      </c>
      <c r="H991" s="29">
        <f>IF(F991="","",INDEX(Deals!$E$2:$E$843,F991))</f>
        <v/>
      </c>
      <c r="I991">
        <f>IF(F991="","",INDEX(Deals!$D$2:$D$843,F991))</f>
        <v/>
      </c>
      <c r="J991">
        <f>IF(F991="","",INT(H991)-B991)</f>
        <v/>
      </c>
      <c r="K991">
        <f>IF(B991&gt;=Settings!$C$5,1,0)</f>
        <v/>
      </c>
    </row>
    <row r="992">
      <c r="A992" t="inlineStr">
        <is>
          <t>44ebc4e28c99d8aeaead73b4b70cc5e9</t>
        </is>
      </c>
      <c r="B992" s="29" t="n">
        <v>43206</v>
      </c>
      <c r="C992" t="inlineStr">
        <is>
          <t>2018-04</t>
        </is>
      </c>
      <c r="D992" t="inlineStr">
        <is>
          <t>ce1a65abd0973638f1c887a6efcfa82d</t>
        </is>
      </c>
      <c r="E992" t="inlineStr">
        <is>
          <t>paid_search</t>
        </is>
      </c>
      <c r="F992">
        <f>IFERROR(MATCH(A992,Deals!$A$2:$A$843,0),"")</f>
        <v/>
      </c>
      <c r="G992">
        <f>IF(F992="",0,1)</f>
        <v/>
      </c>
      <c r="H992" s="29">
        <f>IF(F992="","",INDEX(Deals!$E$2:$E$843,F992))</f>
        <v/>
      </c>
      <c r="I992">
        <f>IF(F992="","",INDEX(Deals!$D$2:$D$843,F992))</f>
        <v/>
      </c>
      <c r="J992">
        <f>IF(F992="","",INT(H992)-B992)</f>
        <v/>
      </c>
      <c r="K992">
        <f>IF(B992&gt;=Settings!$C$5,1,0)</f>
        <v/>
      </c>
    </row>
    <row r="993">
      <c r="A993" t="inlineStr">
        <is>
          <t>dc6306ef41e110ee3d74f175884f61ed</t>
        </is>
      </c>
      <c r="B993" s="29" t="n">
        <v>43115</v>
      </c>
      <c r="C993" t="inlineStr">
        <is>
          <t>2018-01</t>
        </is>
      </c>
      <c r="D993" t="inlineStr">
        <is>
          <t>22c29808c4f815213303f8933030604c</t>
        </is>
      </c>
      <c r="E993" t="inlineStr">
        <is>
          <t>paid_search</t>
        </is>
      </c>
      <c r="F993">
        <f>IFERROR(MATCH(A993,Deals!$A$2:$A$843,0),"")</f>
        <v/>
      </c>
      <c r="G993">
        <f>IF(F993="",0,1)</f>
        <v/>
      </c>
      <c r="H993" s="29">
        <f>IF(F993="","",INDEX(Deals!$E$2:$E$843,F993))</f>
        <v/>
      </c>
      <c r="I993">
        <f>IF(F993="","",INDEX(Deals!$D$2:$D$843,F993))</f>
        <v/>
      </c>
      <c r="J993">
        <f>IF(F993="","",INT(H993)-B993)</f>
        <v/>
      </c>
      <c r="K993">
        <f>IF(B993&gt;=Settings!$C$5,1,0)</f>
        <v/>
      </c>
    </row>
    <row r="994">
      <c r="A994" t="inlineStr">
        <is>
          <t>0737b0147c6c1a0b30a476f3da728d5c</t>
        </is>
      </c>
      <c r="B994" s="29" t="n">
        <v>43178</v>
      </c>
      <c r="C994" t="inlineStr">
        <is>
          <t>2018-03</t>
        </is>
      </c>
      <c r="D994" t="inlineStr">
        <is>
          <t>649b7b8b46b254497e92038d88f6ced8</t>
        </is>
      </c>
      <c r="E994" t="inlineStr">
        <is>
          <t>social</t>
        </is>
      </c>
      <c r="F994">
        <f>IFERROR(MATCH(A994,Deals!$A$2:$A$843,0),"")</f>
        <v/>
      </c>
      <c r="G994">
        <f>IF(F994="",0,1)</f>
        <v/>
      </c>
      <c r="H994" s="29">
        <f>IF(F994="","",INDEX(Deals!$E$2:$E$843,F994))</f>
        <v/>
      </c>
      <c r="I994">
        <f>IF(F994="","",INDEX(Deals!$D$2:$D$843,F994))</f>
        <v/>
      </c>
      <c r="J994">
        <f>IF(F994="","",INT(H994)-B994)</f>
        <v/>
      </c>
      <c r="K994">
        <f>IF(B994&gt;=Settings!$C$5,1,0)</f>
        <v/>
      </c>
    </row>
    <row r="995">
      <c r="A995" t="inlineStr">
        <is>
          <t>92740316e784a1ffbc6263cda396b05a</t>
        </is>
      </c>
      <c r="B995" s="29" t="n">
        <v>43144</v>
      </c>
      <c r="C995" t="inlineStr">
        <is>
          <t>2018-02</t>
        </is>
      </c>
      <c r="D995" t="inlineStr">
        <is>
          <t>88740e65d5d6b056e0cda098e1ea6313</t>
        </is>
      </c>
      <c r="E995" t="inlineStr">
        <is>
          <t>social</t>
        </is>
      </c>
      <c r="F995">
        <f>IFERROR(MATCH(A995,Deals!$A$2:$A$843,0),"")</f>
        <v/>
      </c>
      <c r="G995">
        <f>IF(F995="",0,1)</f>
        <v/>
      </c>
      <c r="H995" s="29">
        <f>IF(F995="","",INDEX(Deals!$E$2:$E$843,F995))</f>
        <v/>
      </c>
      <c r="I995">
        <f>IF(F995="","",INDEX(Deals!$D$2:$D$843,F995))</f>
        <v/>
      </c>
      <c r="J995">
        <f>IF(F995="","",INT(H995)-B995)</f>
        <v/>
      </c>
      <c r="K995">
        <f>IF(B995&gt;=Settings!$C$5,1,0)</f>
        <v/>
      </c>
    </row>
    <row r="996">
      <c r="A996" t="inlineStr">
        <is>
          <t>8fcbcbf224af35d5f956a1a130552b59</t>
        </is>
      </c>
      <c r="B996" s="29" t="n">
        <v>43223</v>
      </c>
      <c r="C996" t="inlineStr">
        <is>
          <t>2018-05</t>
        </is>
      </c>
      <c r="D996" t="inlineStr">
        <is>
          <t>22c29808c4f815213303f8933030604c</t>
        </is>
      </c>
      <c r="E996" t="inlineStr">
        <is>
          <t>organic_search</t>
        </is>
      </c>
      <c r="F996">
        <f>IFERROR(MATCH(A996,Deals!$A$2:$A$843,0),"")</f>
        <v/>
      </c>
      <c r="G996">
        <f>IF(F996="",0,1)</f>
        <v/>
      </c>
      <c r="H996" s="29">
        <f>IF(F996="","",INDEX(Deals!$E$2:$E$843,F996))</f>
        <v/>
      </c>
      <c r="I996">
        <f>IF(F996="","",INDEX(Deals!$D$2:$D$843,F996))</f>
        <v/>
      </c>
      <c r="J996">
        <f>IF(F996="","",INT(H996)-B996)</f>
        <v/>
      </c>
      <c r="K996">
        <f>IF(B996&gt;=Settings!$C$5,1,0)</f>
        <v/>
      </c>
    </row>
    <row r="997">
      <c r="A997" t="inlineStr">
        <is>
          <t>62e44187d92348c552952aa4bf152e90</t>
        </is>
      </c>
      <c r="B997" s="29" t="n">
        <v>43210</v>
      </c>
      <c r="C997" t="inlineStr">
        <is>
          <t>2018-04</t>
        </is>
      </c>
      <c r="D997" t="inlineStr">
        <is>
          <t>fa5a0151e1f37d0055a3478fbb48827a</t>
        </is>
      </c>
      <c r="E997" t="inlineStr">
        <is>
          <t>paid_search</t>
        </is>
      </c>
      <c r="F997">
        <f>IFERROR(MATCH(A997,Deals!$A$2:$A$843,0),"")</f>
        <v/>
      </c>
      <c r="G997">
        <f>IF(F997="",0,1)</f>
        <v/>
      </c>
      <c r="H997" s="29">
        <f>IF(F997="","",INDEX(Deals!$E$2:$E$843,F997))</f>
        <v/>
      </c>
      <c r="I997">
        <f>IF(F997="","",INDEX(Deals!$D$2:$D$843,F997))</f>
        <v/>
      </c>
      <c r="J997">
        <f>IF(F997="","",INT(H997)-B997)</f>
        <v/>
      </c>
      <c r="K997">
        <f>IF(B997&gt;=Settings!$C$5,1,0)</f>
        <v/>
      </c>
    </row>
    <row r="998">
      <c r="A998" t="inlineStr">
        <is>
          <t>2d00ce98adf1abcedcf3cecb0859343a</t>
        </is>
      </c>
      <c r="B998" s="29" t="n">
        <v>42950</v>
      </c>
      <c r="C998" t="inlineStr">
        <is>
          <t>2017-08</t>
        </is>
      </c>
      <c r="D998" t="inlineStr">
        <is>
          <t>e492ee5eaf1697716985cc6f33f9cd9b</t>
        </is>
      </c>
      <c r="E998" t="inlineStr">
        <is>
          <t>paid_search</t>
        </is>
      </c>
      <c r="F998">
        <f>IFERROR(MATCH(A998,Deals!$A$2:$A$843,0),"")</f>
        <v/>
      </c>
      <c r="G998">
        <f>IF(F998="",0,1)</f>
        <v/>
      </c>
      <c r="H998" s="29">
        <f>IF(F998="","",INDEX(Deals!$E$2:$E$843,F998))</f>
        <v/>
      </c>
      <c r="I998">
        <f>IF(F998="","",INDEX(Deals!$D$2:$D$843,F998))</f>
        <v/>
      </c>
      <c r="J998">
        <f>IF(F998="","",INT(H998)-B998)</f>
        <v/>
      </c>
      <c r="K998">
        <f>IF(B998&gt;=Settings!$C$5,1,0)</f>
        <v/>
      </c>
    </row>
    <row r="999">
      <c r="A999" t="inlineStr">
        <is>
          <t>110878f7699ae319728029f4e7bbe81c</t>
        </is>
      </c>
      <c r="B999" s="29" t="n">
        <v>43217</v>
      </c>
      <c r="C999" t="inlineStr">
        <is>
          <t>2018-04</t>
        </is>
      </c>
      <c r="D999" t="inlineStr">
        <is>
          <t>733adfe409c752b5c200bf23fa2f22d0</t>
        </is>
      </c>
      <c r="E999" t="inlineStr">
        <is>
          <t>paid_search</t>
        </is>
      </c>
      <c r="F999">
        <f>IFERROR(MATCH(A999,Deals!$A$2:$A$843,0),"")</f>
        <v/>
      </c>
      <c r="G999">
        <f>IF(F999="",0,1)</f>
        <v/>
      </c>
      <c r="H999" s="29">
        <f>IF(F999="","",INDEX(Deals!$E$2:$E$843,F999))</f>
        <v/>
      </c>
      <c r="I999">
        <f>IF(F999="","",INDEX(Deals!$D$2:$D$843,F999))</f>
        <v/>
      </c>
      <c r="J999">
        <f>IF(F999="","",INT(H999)-B999)</f>
        <v/>
      </c>
      <c r="K999">
        <f>IF(B999&gt;=Settings!$C$5,1,0)</f>
        <v/>
      </c>
    </row>
    <row r="1000">
      <c r="A1000" t="inlineStr">
        <is>
          <t>243e8373034964abf7c8a8e57d4df724</t>
        </is>
      </c>
      <c r="B1000" s="29" t="n">
        <v>43242</v>
      </c>
      <c r="C1000" t="inlineStr">
        <is>
          <t>2018-05</t>
        </is>
      </c>
      <c r="D1000" t="inlineStr">
        <is>
          <t>7fa6214d82e911d070f51ef79381b956</t>
        </is>
      </c>
      <c r="E1000" t="inlineStr">
        <is>
          <t>direct_traffic</t>
        </is>
      </c>
      <c r="F1000">
        <f>IFERROR(MATCH(A1000,Deals!$A$2:$A$843,0),"")</f>
        <v/>
      </c>
      <c r="G1000">
        <f>IF(F1000="",0,1)</f>
        <v/>
      </c>
      <c r="H1000" s="29">
        <f>IF(F1000="","",INDEX(Deals!$E$2:$E$843,F1000))</f>
        <v/>
      </c>
      <c r="I1000">
        <f>IF(F1000="","",INDEX(Deals!$D$2:$D$843,F1000))</f>
        <v/>
      </c>
      <c r="J1000">
        <f>IF(F1000="","",INT(H1000)-B1000)</f>
        <v/>
      </c>
      <c r="K1000">
        <f>IF(B1000&gt;=Settings!$C$5,1,0)</f>
        <v/>
      </c>
    </row>
    <row r="1001">
      <c r="A1001" t="inlineStr">
        <is>
          <t>60eefdd92947076e89f98d7f4ddec6c9</t>
        </is>
      </c>
      <c r="B1001" s="29" t="n">
        <v>43161</v>
      </c>
      <c r="C1001" t="inlineStr">
        <is>
          <t>2018-03</t>
        </is>
      </c>
      <c r="D1001" t="inlineStr">
        <is>
          <t>ce1a65abd0973638f1c887a6efcfa82d</t>
        </is>
      </c>
      <c r="E1001" t="inlineStr">
        <is>
          <t>organic_search</t>
        </is>
      </c>
      <c r="F1001">
        <f>IFERROR(MATCH(A1001,Deals!$A$2:$A$843,0),"")</f>
        <v/>
      </c>
      <c r="G1001">
        <f>IF(F1001="",0,1)</f>
        <v/>
      </c>
      <c r="H1001" s="29">
        <f>IF(F1001="","",INDEX(Deals!$E$2:$E$843,F1001))</f>
        <v/>
      </c>
      <c r="I1001">
        <f>IF(F1001="","",INDEX(Deals!$D$2:$D$843,F1001))</f>
        <v/>
      </c>
      <c r="J1001">
        <f>IF(F1001="","",INT(H1001)-B1001)</f>
        <v/>
      </c>
      <c r="K1001">
        <f>IF(B1001&gt;=Settings!$C$5,1,0)</f>
        <v/>
      </c>
    </row>
    <row r="1002">
      <c r="A1002" t="inlineStr">
        <is>
          <t>70ec46107cccca89acfcb488be2328c0</t>
        </is>
      </c>
      <c r="B1002" s="29" t="n">
        <v>43061</v>
      </c>
      <c r="C1002" t="inlineStr">
        <is>
          <t>2017-11</t>
        </is>
      </c>
      <c r="D1002" t="inlineStr">
        <is>
          <t>253c51690efe34b79a8e2b516effa8cc</t>
        </is>
      </c>
      <c r="E1002" t="inlineStr">
        <is>
          <t>email</t>
        </is>
      </c>
      <c r="F1002">
        <f>IFERROR(MATCH(A1002,Deals!$A$2:$A$843,0),"")</f>
        <v/>
      </c>
      <c r="G1002">
        <f>IF(F1002="",0,1)</f>
        <v/>
      </c>
      <c r="H1002" s="29">
        <f>IF(F1002="","",INDEX(Deals!$E$2:$E$843,F1002))</f>
        <v/>
      </c>
      <c r="I1002">
        <f>IF(F1002="","",INDEX(Deals!$D$2:$D$843,F1002))</f>
        <v/>
      </c>
      <c r="J1002">
        <f>IF(F1002="","",INT(H1002)-B1002)</f>
        <v/>
      </c>
      <c r="K1002">
        <f>IF(B1002&gt;=Settings!$C$5,1,0)</f>
        <v/>
      </c>
    </row>
    <row r="1003">
      <c r="A1003" t="inlineStr">
        <is>
          <t>a733c7e8f35aab5ad6aa2a31a9b47ded</t>
        </is>
      </c>
      <c r="B1003" s="29" t="n">
        <v>43035</v>
      </c>
      <c r="C1003" t="inlineStr">
        <is>
          <t>2017-10</t>
        </is>
      </c>
      <c r="D1003" t="inlineStr">
        <is>
          <t>ee3c3bad6ed3eb9d5de56688d1f9c91b</t>
        </is>
      </c>
      <c r="E1003" t="inlineStr">
        <is>
          <t>organic_search</t>
        </is>
      </c>
      <c r="F1003">
        <f>IFERROR(MATCH(A1003,Deals!$A$2:$A$843,0),"")</f>
        <v/>
      </c>
      <c r="G1003">
        <f>IF(F1003="",0,1)</f>
        <v/>
      </c>
      <c r="H1003" s="29">
        <f>IF(F1003="","",INDEX(Deals!$E$2:$E$843,F1003))</f>
        <v/>
      </c>
      <c r="I1003">
        <f>IF(F1003="","",INDEX(Deals!$D$2:$D$843,F1003))</f>
        <v/>
      </c>
      <c r="J1003">
        <f>IF(F1003="","",INT(H1003)-B1003)</f>
        <v/>
      </c>
      <c r="K1003">
        <f>IF(B1003&gt;=Settings!$C$5,1,0)</f>
        <v/>
      </c>
    </row>
    <row r="1004">
      <c r="A1004" t="inlineStr">
        <is>
          <t>5931bbfb35cc483290f5dd6a9fda8ee5</t>
        </is>
      </c>
      <c r="B1004" s="29" t="n">
        <v>43226</v>
      </c>
      <c r="C1004" t="inlineStr">
        <is>
          <t>2018-05</t>
        </is>
      </c>
      <c r="D1004" t="inlineStr">
        <is>
          <t>35c9b150ab36fe584c1f24fd458c453a</t>
        </is>
      </c>
      <c r="E1004" t="inlineStr">
        <is>
          <t>social</t>
        </is>
      </c>
      <c r="F1004">
        <f>IFERROR(MATCH(A1004,Deals!$A$2:$A$843,0),"")</f>
        <v/>
      </c>
      <c r="G1004">
        <f>IF(F1004="",0,1)</f>
        <v/>
      </c>
      <c r="H1004" s="29">
        <f>IF(F1004="","",INDEX(Deals!$E$2:$E$843,F1004))</f>
        <v/>
      </c>
      <c r="I1004">
        <f>IF(F1004="","",INDEX(Deals!$D$2:$D$843,F1004))</f>
        <v/>
      </c>
      <c r="J1004">
        <f>IF(F1004="","",INT(H1004)-B1004)</f>
        <v/>
      </c>
      <c r="K1004">
        <f>IF(B1004&gt;=Settings!$C$5,1,0)</f>
        <v/>
      </c>
    </row>
    <row r="1005">
      <c r="A1005" t="inlineStr">
        <is>
          <t>9b095e0906047abe5d69950086857a14</t>
        </is>
      </c>
      <c r="B1005" s="29" t="n">
        <v>43223</v>
      </c>
      <c r="C1005" t="inlineStr">
        <is>
          <t>2018-05</t>
        </is>
      </c>
      <c r="D1005" t="inlineStr">
        <is>
          <t>4ed6bf4ac34e75c7c81fcf829d96b739</t>
        </is>
      </c>
      <c r="E1005" t="inlineStr">
        <is>
          <t>paid_search</t>
        </is>
      </c>
      <c r="F1005">
        <f>IFERROR(MATCH(A1005,Deals!$A$2:$A$843,0),"")</f>
        <v/>
      </c>
      <c r="G1005">
        <f>IF(F1005="",0,1)</f>
        <v/>
      </c>
      <c r="H1005" s="29">
        <f>IF(F1005="","",INDEX(Deals!$E$2:$E$843,F1005))</f>
        <v/>
      </c>
      <c r="I1005">
        <f>IF(F1005="","",INDEX(Deals!$D$2:$D$843,F1005))</f>
        <v/>
      </c>
      <c r="J1005">
        <f>IF(F1005="","",INT(H1005)-B1005)</f>
        <v/>
      </c>
      <c r="K1005">
        <f>IF(B1005&gt;=Settings!$C$5,1,0)</f>
        <v/>
      </c>
    </row>
    <row r="1006">
      <c r="A1006" t="inlineStr">
        <is>
          <t>4f96fd60ac7a551d3c509e7739878bd1</t>
        </is>
      </c>
      <c r="B1006" s="29" t="n">
        <v>43199</v>
      </c>
      <c r="C1006" t="inlineStr">
        <is>
          <t>2018-04</t>
        </is>
      </c>
      <c r="D1006" t="inlineStr">
        <is>
          <t>ce1a65abd0973638f1c887a6efcfa82d</t>
        </is>
      </c>
      <c r="E1006" t="inlineStr">
        <is>
          <t>email</t>
        </is>
      </c>
      <c r="F1006">
        <f>IFERROR(MATCH(A1006,Deals!$A$2:$A$843,0),"")</f>
        <v/>
      </c>
      <c r="G1006">
        <f>IF(F1006="",0,1)</f>
        <v/>
      </c>
      <c r="H1006" s="29">
        <f>IF(F1006="","",INDEX(Deals!$E$2:$E$843,F1006))</f>
        <v/>
      </c>
      <c r="I1006">
        <f>IF(F1006="","",INDEX(Deals!$D$2:$D$843,F1006))</f>
        <v/>
      </c>
      <c r="J1006">
        <f>IF(F1006="","",INT(H1006)-B1006)</f>
        <v/>
      </c>
      <c r="K1006">
        <f>IF(B1006&gt;=Settings!$C$5,1,0)</f>
        <v/>
      </c>
    </row>
    <row r="1007">
      <c r="A1007" t="inlineStr">
        <is>
          <t>c2ea9ab296477ed6346856f41c9aa5da</t>
        </is>
      </c>
      <c r="B1007" s="29" t="n">
        <v>42982</v>
      </c>
      <c r="C1007" t="inlineStr">
        <is>
          <t>2017-09</t>
        </is>
      </c>
      <c r="D1007" t="inlineStr">
        <is>
          <t>22c29808c4f815213303f8933030604c</t>
        </is>
      </c>
      <c r="E1007" t="inlineStr">
        <is>
          <t>organic_search</t>
        </is>
      </c>
      <c r="F1007">
        <f>IFERROR(MATCH(A1007,Deals!$A$2:$A$843,0),"")</f>
        <v/>
      </c>
      <c r="G1007">
        <f>IF(F1007="",0,1)</f>
        <v/>
      </c>
      <c r="H1007" s="29">
        <f>IF(F1007="","",INDEX(Deals!$E$2:$E$843,F1007))</f>
        <v/>
      </c>
      <c r="I1007">
        <f>IF(F1007="","",INDEX(Deals!$D$2:$D$843,F1007))</f>
        <v/>
      </c>
      <c r="J1007">
        <f>IF(F1007="","",INT(H1007)-B1007)</f>
        <v/>
      </c>
      <c r="K1007">
        <f>IF(B1007&gt;=Settings!$C$5,1,0)</f>
        <v/>
      </c>
    </row>
    <row r="1008">
      <c r="A1008" t="inlineStr">
        <is>
          <t>acbb442d0145ef4921b6dc5cdde84e5b</t>
        </is>
      </c>
      <c r="B1008" s="29" t="n">
        <v>43150</v>
      </c>
      <c r="C1008" t="inlineStr">
        <is>
          <t>2018-02</t>
        </is>
      </c>
      <c r="D1008" t="inlineStr">
        <is>
          <t>ce1a65abd0973638f1c887a6efcfa82d</t>
        </is>
      </c>
      <c r="E1008" t="inlineStr">
        <is>
          <t>organic_search</t>
        </is>
      </c>
      <c r="F1008">
        <f>IFERROR(MATCH(A1008,Deals!$A$2:$A$843,0),"")</f>
        <v/>
      </c>
      <c r="G1008">
        <f>IF(F1008="",0,1)</f>
        <v/>
      </c>
      <c r="H1008" s="29">
        <f>IF(F1008="","",INDEX(Deals!$E$2:$E$843,F1008))</f>
        <v/>
      </c>
      <c r="I1008">
        <f>IF(F1008="","",INDEX(Deals!$D$2:$D$843,F1008))</f>
        <v/>
      </c>
      <c r="J1008">
        <f>IF(F1008="","",INT(H1008)-B1008)</f>
        <v/>
      </c>
      <c r="K1008">
        <f>IF(B1008&gt;=Settings!$C$5,1,0)</f>
        <v/>
      </c>
    </row>
    <row r="1009">
      <c r="A1009" t="inlineStr">
        <is>
          <t>bc38ff054dd41e49610d737186e4d950</t>
        </is>
      </c>
      <c r="B1009" s="29" t="n">
        <v>43195</v>
      </c>
      <c r="C1009" t="inlineStr">
        <is>
          <t>2018-04</t>
        </is>
      </c>
      <c r="D1009" t="inlineStr">
        <is>
          <t>40dec9f3d5259a3d2dbcdab2114fae47</t>
        </is>
      </c>
      <c r="E1009" t="inlineStr">
        <is>
          <t>paid_search</t>
        </is>
      </c>
      <c r="F1009">
        <f>IFERROR(MATCH(A1009,Deals!$A$2:$A$843,0),"")</f>
        <v/>
      </c>
      <c r="G1009">
        <f>IF(F1009="",0,1)</f>
        <v/>
      </c>
      <c r="H1009" s="29">
        <f>IF(F1009="","",INDEX(Deals!$E$2:$E$843,F1009))</f>
        <v/>
      </c>
      <c r="I1009">
        <f>IF(F1009="","",INDEX(Deals!$D$2:$D$843,F1009))</f>
        <v/>
      </c>
      <c r="J1009">
        <f>IF(F1009="","",INT(H1009)-B1009)</f>
        <v/>
      </c>
      <c r="K1009">
        <f>IF(B1009&gt;=Settings!$C$5,1,0)</f>
        <v/>
      </c>
    </row>
    <row r="1010">
      <c r="A1010" t="inlineStr">
        <is>
          <t>7455352c702492ca6c1490cb27e257a6</t>
        </is>
      </c>
      <c r="B1010" s="29" t="n">
        <v>43191</v>
      </c>
      <c r="C1010" t="inlineStr">
        <is>
          <t>2018-04</t>
        </is>
      </c>
      <c r="D1010" t="inlineStr">
        <is>
          <t>21a104c3279681d9856b8a48723c4fee</t>
        </is>
      </c>
      <c r="E1010" t="inlineStr">
        <is>
          <t>unknown</t>
        </is>
      </c>
      <c r="F1010">
        <f>IFERROR(MATCH(A1010,Deals!$A$2:$A$843,0),"")</f>
        <v/>
      </c>
      <c r="G1010">
        <f>IF(F1010="",0,1)</f>
        <v/>
      </c>
      <c r="H1010" s="29">
        <f>IF(F1010="","",INDEX(Deals!$E$2:$E$843,F1010))</f>
        <v/>
      </c>
      <c r="I1010">
        <f>IF(F1010="","",INDEX(Deals!$D$2:$D$843,F1010))</f>
        <v/>
      </c>
      <c r="J1010">
        <f>IF(F1010="","",INT(H1010)-B1010)</f>
        <v/>
      </c>
      <c r="K1010">
        <f>IF(B1010&gt;=Settings!$C$5,1,0)</f>
        <v/>
      </c>
    </row>
    <row r="1011">
      <c r="A1011" t="inlineStr">
        <is>
          <t>bd8af78a63f6fee6292cc0d34960e53d</t>
        </is>
      </c>
      <c r="B1011" s="29" t="n">
        <v>43005</v>
      </c>
      <c r="C1011" t="inlineStr">
        <is>
          <t>2017-09</t>
        </is>
      </c>
      <c r="D1011" t="inlineStr">
        <is>
          <t>a0fbc0263cb98bdb0d72b9f9f283a172</t>
        </is>
      </c>
      <c r="E1011" t="inlineStr">
        <is>
          <t>organic_search</t>
        </is>
      </c>
      <c r="F1011">
        <f>IFERROR(MATCH(A1011,Deals!$A$2:$A$843,0),"")</f>
        <v/>
      </c>
      <c r="G1011">
        <f>IF(F1011="",0,1)</f>
        <v/>
      </c>
      <c r="H1011" s="29">
        <f>IF(F1011="","",INDEX(Deals!$E$2:$E$843,F1011))</f>
        <v/>
      </c>
      <c r="I1011">
        <f>IF(F1011="","",INDEX(Deals!$D$2:$D$843,F1011))</f>
        <v/>
      </c>
      <c r="J1011">
        <f>IF(F1011="","",INT(H1011)-B1011)</f>
        <v/>
      </c>
      <c r="K1011">
        <f>IF(B1011&gt;=Settings!$C$5,1,0)</f>
        <v/>
      </c>
    </row>
    <row r="1012">
      <c r="A1012" t="inlineStr">
        <is>
          <t>0f2ad81c100f7a6c7475bd26ceb76cbf</t>
        </is>
      </c>
      <c r="B1012" s="29" t="n">
        <v>43143</v>
      </c>
      <c r="C1012" t="inlineStr">
        <is>
          <t>2018-02</t>
        </is>
      </c>
      <c r="D1012" t="inlineStr">
        <is>
          <t>a7982125ff7aa3b2054c6e44f9d28522</t>
        </is>
      </c>
      <c r="E1012" t="inlineStr">
        <is>
          <t>organic_search</t>
        </is>
      </c>
      <c r="F1012">
        <f>IFERROR(MATCH(A1012,Deals!$A$2:$A$843,0),"")</f>
        <v/>
      </c>
      <c r="G1012">
        <f>IF(F1012="",0,1)</f>
        <v/>
      </c>
      <c r="H1012" s="29">
        <f>IF(F1012="","",INDEX(Deals!$E$2:$E$843,F1012))</f>
        <v/>
      </c>
      <c r="I1012">
        <f>IF(F1012="","",INDEX(Deals!$D$2:$D$843,F1012))</f>
        <v/>
      </c>
      <c r="J1012">
        <f>IF(F1012="","",INT(H1012)-B1012)</f>
        <v/>
      </c>
      <c r="K1012">
        <f>IF(B1012&gt;=Settings!$C$5,1,0)</f>
        <v/>
      </c>
    </row>
    <row r="1013">
      <c r="A1013" t="inlineStr">
        <is>
          <t>3fb3b5b3befc8ef715a2c1674bf8eaf6</t>
        </is>
      </c>
      <c r="B1013" s="29" t="n">
        <v>43213</v>
      </c>
      <c r="C1013" t="inlineStr">
        <is>
          <t>2018-04</t>
        </is>
      </c>
      <c r="D1013" t="inlineStr">
        <is>
          <t>ef6ae7014c36fec7aaef615a3136b2d8</t>
        </is>
      </c>
      <c r="E1013" t="inlineStr">
        <is>
          <t>email</t>
        </is>
      </c>
      <c r="F1013">
        <f>IFERROR(MATCH(A1013,Deals!$A$2:$A$843,0),"")</f>
        <v/>
      </c>
      <c r="G1013">
        <f>IF(F1013="",0,1)</f>
        <v/>
      </c>
      <c r="H1013" s="29">
        <f>IF(F1013="","",INDEX(Deals!$E$2:$E$843,F1013))</f>
        <v/>
      </c>
      <c r="I1013">
        <f>IF(F1013="","",INDEX(Deals!$D$2:$D$843,F1013))</f>
        <v/>
      </c>
      <c r="J1013">
        <f>IF(F1013="","",INT(H1013)-B1013)</f>
        <v/>
      </c>
      <c r="K1013">
        <f>IF(B1013&gt;=Settings!$C$5,1,0)</f>
        <v/>
      </c>
    </row>
    <row r="1014">
      <c r="A1014" t="inlineStr">
        <is>
          <t>f7e1cf2f7f76693cd4ee62bf949c6253</t>
        </is>
      </c>
      <c r="B1014" s="29" t="n">
        <v>43208</v>
      </c>
      <c r="C1014" t="inlineStr">
        <is>
          <t>2018-04</t>
        </is>
      </c>
      <c r="D1014" t="inlineStr">
        <is>
          <t>22c29808c4f815213303f8933030604c</t>
        </is>
      </c>
      <c r="E1014" t="inlineStr">
        <is>
          <t>paid_search</t>
        </is>
      </c>
      <c r="F1014">
        <f>IFERROR(MATCH(A1014,Deals!$A$2:$A$843,0),"")</f>
        <v/>
      </c>
      <c r="G1014">
        <f>IF(F1014="",0,1)</f>
        <v/>
      </c>
      <c r="H1014" s="29">
        <f>IF(F1014="","",INDEX(Deals!$E$2:$E$843,F1014))</f>
        <v/>
      </c>
      <c r="I1014">
        <f>IF(F1014="","",INDEX(Deals!$D$2:$D$843,F1014))</f>
        <v/>
      </c>
      <c r="J1014">
        <f>IF(F1014="","",INT(H1014)-B1014)</f>
        <v/>
      </c>
      <c r="K1014">
        <f>IF(B1014&gt;=Settings!$C$5,1,0)</f>
        <v/>
      </c>
    </row>
    <row r="1015">
      <c r="A1015" t="inlineStr">
        <is>
          <t>98eb573ff019b2f5725efdcf36dc19f3</t>
        </is>
      </c>
      <c r="B1015" s="29" t="n">
        <v>43101</v>
      </c>
      <c r="C1015" t="inlineStr">
        <is>
          <t>2018-01</t>
        </is>
      </c>
      <c r="D1015" t="inlineStr">
        <is>
          <t>e492ee5eaf1697716985cc6f33f9cd9b</t>
        </is>
      </c>
      <c r="E1015" t="inlineStr">
        <is>
          <t>direct_traffic</t>
        </is>
      </c>
      <c r="F1015">
        <f>IFERROR(MATCH(A1015,Deals!$A$2:$A$843,0),"")</f>
        <v/>
      </c>
      <c r="G1015">
        <f>IF(F1015="",0,1)</f>
        <v/>
      </c>
      <c r="H1015" s="29">
        <f>IF(F1015="","",INDEX(Deals!$E$2:$E$843,F1015))</f>
        <v/>
      </c>
      <c r="I1015">
        <f>IF(F1015="","",INDEX(Deals!$D$2:$D$843,F1015))</f>
        <v/>
      </c>
      <c r="J1015">
        <f>IF(F1015="","",INT(H1015)-B1015)</f>
        <v/>
      </c>
      <c r="K1015">
        <f>IF(B1015&gt;=Settings!$C$5,1,0)</f>
        <v/>
      </c>
    </row>
    <row r="1016">
      <c r="A1016" t="inlineStr">
        <is>
          <t>f32196295a6f0c13d5bedc880d3d66a2</t>
        </is>
      </c>
      <c r="B1016" s="29" t="n">
        <v>43153</v>
      </c>
      <c r="C1016" t="inlineStr">
        <is>
          <t>2018-02</t>
        </is>
      </c>
      <c r="D1016" t="inlineStr">
        <is>
          <t>40dec9f3d5259a3d2dbcdab2114fae47</t>
        </is>
      </c>
      <c r="E1016" t="inlineStr">
        <is>
          <t>paid_search</t>
        </is>
      </c>
      <c r="F1016">
        <f>IFERROR(MATCH(A1016,Deals!$A$2:$A$843,0),"")</f>
        <v/>
      </c>
      <c r="G1016">
        <f>IF(F1016="",0,1)</f>
        <v/>
      </c>
      <c r="H1016" s="29">
        <f>IF(F1016="","",INDEX(Deals!$E$2:$E$843,F1016))</f>
        <v/>
      </c>
      <c r="I1016">
        <f>IF(F1016="","",INDEX(Deals!$D$2:$D$843,F1016))</f>
        <v/>
      </c>
      <c r="J1016">
        <f>IF(F1016="","",INT(H1016)-B1016)</f>
        <v/>
      </c>
      <c r="K1016">
        <f>IF(B1016&gt;=Settings!$C$5,1,0)</f>
        <v/>
      </c>
    </row>
    <row r="1017">
      <c r="A1017" t="inlineStr">
        <is>
          <t>21bd61bdd9d7ba7b0f5c6b806ec01262</t>
        </is>
      </c>
      <c r="B1017" s="29" t="n">
        <v>43046</v>
      </c>
      <c r="C1017" t="inlineStr">
        <is>
          <t>2017-11</t>
        </is>
      </c>
      <c r="D1017" t="inlineStr">
        <is>
          <t>40dec9f3d5259a3d2dbcdab2114fae47</t>
        </is>
      </c>
      <c r="E1017" t="inlineStr">
        <is>
          <t>organic_search</t>
        </is>
      </c>
      <c r="F1017">
        <f>IFERROR(MATCH(A1017,Deals!$A$2:$A$843,0),"")</f>
        <v/>
      </c>
      <c r="G1017">
        <f>IF(F1017="",0,1)</f>
        <v/>
      </c>
      <c r="H1017" s="29">
        <f>IF(F1017="","",INDEX(Deals!$E$2:$E$843,F1017))</f>
        <v/>
      </c>
      <c r="I1017">
        <f>IF(F1017="","",INDEX(Deals!$D$2:$D$843,F1017))</f>
        <v/>
      </c>
      <c r="J1017">
        <f>IF(F1017="","",INT(H1017)-B1017)</f>
        <v/>
      </c>
      <c r="K1017">
        <f>IF(B1017&gt;=Settings!$C$5,1,0)</f>
        <v/>
      </c>
    </row>
    <row r="1018">
      <c r="A1018" t="inlineStr">
        <is>
          <t>d6a7c7617be97c79d7d430463fa6af8f</t>
        </is>
      </c>
      <c r="B1018" s="29" t="n">
        <v>43140</v>
      </c>
      <c r="C1018" t="inlineStr">
        <is>
          <t>2018-02</t>
        </is>
      </c>
      <c r="D1018" t="inlineStr">
        <is>
          <t>241f79c7a8fe0270f4fb79fcbbcd17ad</t>
        </is>
      </c>
      <c r="E1018" t="inlineStr">
        <is>
          <t>paid_search</t>
        </is>
      </c>
      <c r="F1018">
        <f>IFERROR(MATCH(A1018,Deals!$A$2:$A$843,0),"")</f>
        <v/>
      </c>
      <c r="G1018">
        <f>IF(F1018="",0,1)</f>
        <v/>
      </c>
      <c r="H1018" s="29">
        <f>IF(F1018="","",INDEX(Deals!$E$2:$E$843,F1018))</f>
        <v/>
      </c>
      <c r="I1018">
        <f>IF(F1018="","",INDEX(Deals!$D$2:$D$843,F1018))</f>
        <v/>
      </c>
      <c r="J1018">
        <f>IF(F1018="","",INT(H1018)-B1018)</f>
        <v/>
      </c>
      <c r="K1018">
        <f>IF(B1018&gt;=Settings!$C$5,1,0)</f>
        <v/>
      </c>
    </row>
    <row r="1019">
      <c r="A1019" t="inlineStr">
        <is>
          <t>5960cf39a08b52bb6025b44882fdda9f</t>
        </is>
      </c>
      <c r="B1019" s="29" t="n">
        <v>43056</v>
      </c>
      <c r="C1019" t="inlineStr">
        <is>
          <t>2017-11</t>
        </is>
      </c>
      <c r="D1019" t="inlineStr">
        <is>
          <t>b217afa2c1f4cb502423005639878f6d</t>
        </is>
      </c>
      <c r="E1019" t="inlineStr">
        <is>
          <t>organic_search</t>
        </is>
      </c>
      <c r="F1019">
        <f>IFERROR(MATCH(A1019,Deals!$A$2:$A$843,0),"")</f>
        <v/>
      </c>
      <c r="G1019">
        <f>IF(F1019="",0,1)</f>
        <v/>
      </c>
      <c r="H1019" s="29">
        <f>IF(F1019="","",INDEX(Deals!$E$2:$E$843,F1019))</f>
        <v/>
      </c>
      <c r="I1019">
        <f>IF(F1019="","",INDEX(Deals!$D$2:$D$843,F1019))</f>
        <v/>
      </c>
      <c r="J1019">
        <f>IF(F1019="","",INT(H1019)-B1019)</f>
        <v/>
      </c>
      <c r="K1019">
        <f>IF(B1019&gt;=Settings!$C$5,1,0)</f>
        <v/>
      </c>
    </row>
    <row r="1020">
      <c r="A1020" t="inlineStr">
        <is>
          <t>9182e0bb1a9048d6d7440d0d87aae908</t>
        </is>
      </c>
      <c r="B1020" s="29" t="n">
        <v>43195</v>
      </c>
      <c r="C1020" t="inlineStr">
        <is>
          <t>2018-04</t>
        </is>
      </c>
      <c r="D1020" t="inlineStr">
        <is>
          <t>58326e62183c14b0c03085c33b9fdc44</t>
        </is>
      </c>
      <c r="E1020" t="inlineStr">
        <is>
          <t>other_publicities</t>
        </is>
      </c>
      <c r="F1020">
        <f>IFERROR(MATCH(A1020,Deals!$A$2:$A$843,0),"")</f>
        <v/>
      </c>
      <c r="G1020">
        <f>IF(F1020="",0,1)</f>
        <v/>
      </c>
      <c r="H1020" s="29">
        <f>IF(F1020="","",INDEX(Deals!$E$2:$E$843,F1020))</f>
        <v/>
      </c>
      <c r="I1020">
        <f>IF(F1020="","",INDEX(Deals!$D$2:$D$843,F1020))</f>
        <v/>
      </c>
      <c r="J1020">
        <f>IF(F1020="","",INT(H1020)-B1020)</f>
        <v/>
      </c>
      <c r="K1020">
        <f>IF(B1020&gt;=Settings!$C$5,1,0)</f>
        <v/>
      </c>
    </row>
    <row r="1021">
      <c r="A1021" t="inlineStr">
        <is>
          <t>cfccca319397a5ea2bb11bd90b0d925d</t>
        </is>
      </c>
      <c r="B1021" s="29" t="n">
        <v>43207</v>
      </c>
      <c r="C1021" t="inlineStr">
        <is>
          <t>2018-04</t>
        </is>
      </c>
      <c r="D1021" t="inlineStr">
        <is>
          <t>5dc848e7dd9418dffe183215b8ff0bc1</t>
        </is>
      </c>
      <c r="E1021" t="inlineStr">
        <is>
          <t>paid_search</t>
        </is>
      </c>
      <c r="F1021">
        <f>IFERROR(MATCH(A1021,Deals!$A$2:$A$843,0),"")</f>
        <v/>
      </c>
      <c r="G1021">
        <f>IF(F1021="",0,1)</f>
        <v/>
      </c>
      <c r="H1021" s="29">
        <f>IF(F1021="","",INDEX(Deals!$E$2:$E$843,F1021))</f>
        <v/>
      </c>
      <c r="I1021">
        <f>IF(F1021="","",INDEX(Deals!$D$2:$D$843,F1021))</f>
        <v/>
      </c>
      <c r="J1021">
        <f>IF(F1021="","",INT(H1021)-B1021)</f>
        <v/>
      </c>
      <c r="K1021">
        <f>IF(B1021&gt;=Settings!$C$5,1,0)</f>
        <v/>
      </c>
    </row>
    <row r="1022">
      <c r="A1022" t="inlineStr">
        <is>
          <t>3f6de4da8480ac363897d3ea0d5144e5</t>
        </is>
      </c>
      <c r="B1022" s="29" t="n">
        <v>43183</v>
      </c>
      <c r="C1022" t="inlineStr">
        <is>
          <t>2018-03</t>
        </is>
      </c>
      <c r="D1022" t="inlineStr">
        <is>
          <t>007f9098284a86ee80ddeb25d53e0af8</t>
        </is>
      </c>
      <c r="E1022" t="inlineStr">
        <is>
          <t>paid_search</t>
        </is>
      </c>
      <c r="F1022">
        <f>IFERROR(MATCH(A1022,Deals!$A$2:$A$843,0),"")</f>
        <v/>
      </c>
      <c r="G1022">
        <f>IF(F1022="",0,1)</f>
        <v/>
      </c>
      <c r="H1022" s="29">
        <f>IF(F1022="","",INDEX(Deals!$E$2:$E$843,F1022))</f>
        <v/>
      </c>
      <c r="I1022">
        <f>IF(F1022="","",INDEX(Deals!$D$2:$D$843,F1022))</f>
        <v/>
      </c>
      <c r="J1022">
        <f>IF(F1022="","",INT(H1022)-B1022)</f>
        <v/>
      </c>
      <c r="K1022">
        <f>IF(B1022&gt;=Settings!$C$5,1,0)</f>
        <v/>
      </c>
    </row>
    <row r="1023">
      <c r="A1023" t="inlineStr">
        <is>
          <t>cac2d36868fd45ce175dfe731aa5bf6b</t>
        </is>
      </c>
      <c r="B1023" s="29" t="n">
        <v>43117</v>
      </c>
      <c r="C1023" t="inlineStr">
        <is>
          <t>2018-01</t>
        </is>
      </c>
      <c r="D1023" t="inlineStr">
        <is>
          <t>5da54625ee0a9560dc9b9b9f6ccb03d0</t>
        </is>
      </c>
      <c r="E1023" t="inlineStr">
        <is>
          <t>paid_search</t>
        </is>
      </c>
      <c r="F1023">
        <f>IFERROR(MATCH(A1023,Deals!$A$2:$A$843,0),"")</f>
        <v/>
      </c>
      <c r="G1023">
        <f>IF(F1023="",0,1)</f>
        <v/>
      </c>
      <c r="H1023" s="29">
        <f>IF(F1023="","",INDEX(Deals!$E$2:$E$843,F1023))</f>
        <v/>
      </c>
      <c r="I1023">
        <f>IF(F1023="","",INDEX(Deals!$D$2:$D$843,F1023))</f>
        <v/>
      </c>
      <c r="J1023">
        <f>IF(F1023="","",INT(H1023)-B1023)</f>
        <v/>
      </c>
      <c r="K1023">
        <f>IF(B1023&gt;=Settings!$C$5,1,0)</f>
        <v/>
      </c>
    </row>
    <row r="1024">
      <c r="A1024" t="inlineStr">
        <is>
          <t>257140f87c7ec789e6636922eb99e0f9</t>
        </is>
      </c>
      <c r="B1024" s="29" t="n">
        <v>43249</v>
      </c>
      <c r="C1024" t="inlineStr">
        <is>
          <t>2018-05</t>
        </is>
      </c>
      <c r="D1024" t="inlineStr">
        <is>
          <t>b76ef37428e6799c421989521c0e5077</t>
        </is>
      </c>
      <c r="E1024" t="inlineStr">
        <is>
          <t>unknown</t>
        </is>
      </c>
      <c r="F1024">
        <f>IFERROR(MATCH(A1024,Deals!$A$2:$A$843,0),"")</f>
        <v/>
      </c>
      <c r="G1024">
        <f>IF(F1024="",0,1)</f>
        <v/>
      </c>
      <c r="H1024" s="29">
        <f>IF(F1024="","",INDEX(Deals!$E$2:$E$843,F1024))</f>
        <v/>
      </c>
      <c r="I1024">
        <f>IF(F1024="","",INDEX(Deals!$D$2:$D$843,F1024))</f>
        <v/>
      </c>
      <c r="J1024">
        <f>IF(F1024="","",INT(H1024)-B1024)</f>
        <v/>
      </c>
      <c r="K1024">
        <f>IF(B1024&gt;=Settings!$C$5,1,0)</f>
        <v/>
      </c>
    </row>
    <row r="1025">
      <c r="A1025" t="inlineStr">
        <is>
          <t>2e47f4385a807ff9ad7aaf942cb7b5c1</t>
        </is>
      </c>
      <c r="B1025" s="29" t="n">
        <v>43108</v>
      </c>
      <c r="C1025" t="inlineStr">
        <is>
          <t>2018-01</t>
        </is>
      </c>
      <c r="D1025" t="inlineStr">
        <is>
          <t>4aab772aeb9833c170d8ea5413e02eac</t>
        </is>
      </c>
      <c r="E1025" t="inlineStr">
        <is>
          <t>paid_search</t>
        </is>
      </c>
      <c r="F1025">
        <f>IFERROR(MATCH(A1025,Deals!$A$2:$A$843,0),"")</f>
        <v/>
      </c>
      <c r="G1025">
        <f>IF(F1025="",0,1)</f>
        <v/>
      </c>
      <c r="H1025" s="29">
        <f>IF(F1025="","",INDEX(Deals!$E$2:$E$843,F1025))</f>
        <v/>
      </c>
      <c r="I1025">
        <f>IF(F1025="","",INDEX(Deals!$D$2:$D$843,F1025))</f>
        <v/>
      </c>
      <c r="J1025">
        <f>IF(F1025="","",INT(H1025)-B1025)</f>
        <v/>
      </c>
      <c r="K1025">
        <f>IF(B1025&gt;=Settings!$C$5,1,0)</f>
        <v/>
      </c>
    </row>
    <row r="1026">
      <c r="A1026" t="inlineStr">
        <is>
          <t>e67c9c9d189a609afda017789ad68df7</t>
        </is>
      </c>
      <c r="B1026" s="29" t="n">
        <v>43216</v>
      </c>
      <c r="C1026" t="inlineStr">
        <is>
          <t>2018-04</t>
        </is>
      </c>
      <c r="D1026" t="inlineStr">
        <is>
          <t>f80696b73d17fb34f5c4fde157f119d8</t>
        </is>
      </c>
      <c r="E1026" t="inlineStr">
        <is>
          <t>social</t>
        </is>
      </c>
      <c r="F1026">
        <f>IFERROR(MATCH(A1026,Deals!$A$2:$A$843,0),"")</f>
        <v/>
      </c>
      <c r="G1026">
        <f>IF(F1026="",0,1)</f>
        <v/>
      </c>
      <c r="H1026" s="29">
        <f>IF(F1026="","",INDEX(Deals!$E$2:$E$843,F1026))</f>
        <v/>
      </c>
      <c r="I1026">
        <f>IF(F1026="","",INDEX(Deals!$D$2:$D$843,F1026))</f>
        <v/>
      </c>
      <c r="J1026">
        <f>IF(F1026="","",INT(H1026)-B1026)</f>
        <v/>
      </c>
      <c r="K1026">
        <f>IF(B1026&gt;=Settings!$C$5,1,0)</f>
        <v/>
      </c>
    </row>
    <row r="1027">
      <c r="A1027" t="inlineStr">
        <is>
          <t>655f4d36484b23f8feb1aaa25d9765d7</t>
        </is>
      </c>
      <c r="B1027" s="29" t="n">
        <v>43196</v>
      </c>
      <c r="C1027" t="inlineStr">
        <is>
          <t>2018-04</t>
        </is>
      </c>
      <c r="D1027" t="inlineStr">
        <is>
          <t>ce1a65abd0973638f1c887a6efcfa82d</t>
        </is>
      </c>
      <c r="E1027" t="inlineStr">
        <is>
          <t>organic_search</t>
        </is>
      </c>
      <c r="F1027">
        <f>IFERROR(MATCH(A1027,Deals!$A$2:$A$843,0),"")</f>
        <v/>
      </c>
      <c r="G1027">
        <f>IF(F1027="",0,1)</f>
        <v/>
      </c>
      <c r="H1027" s="29">
        <f>IF(F1027="","",INDEX(Deals!$E$2:$E$843,F1027))</f>
        <v/>
      </c>
      <c r="I1027">
        <f>IF(F1027="","",INDEX(Deals!$D$2:$D$843,F1027))</f>
        <v/>
      </c>
      <c r="J1027">
        <f>IF(F1027="","",INT(H1027)-B1027)</f>
        <v/>
      </c>
      <c r="K1027">
        <f>IF(B1027&gt;=Settings!$C$5,1,0)</f>
        <v/>
      </c>
    </row>
    <row r="1028">
      <c r="A1028" t="inlineStr">
        <is>
          <t>0c00a73bbdd4dfeff6c260e3880bd8e5</t>
        </is>
      </c>
      <c r="B1028" s="29" t="n">
        <v>43193</v>
      </c>
      <c r="C1028" t="inlineStr">
        <is>
          <t>2018-04</t>
        </is>
      </c>
      <c r="D1028" t="inlineStr">
        <is>
          <t>ecc36b943a84ebcd3ab633cbe0fb1b9b</t>
        </is>
      </c>
      <c r="E1028" t="inlineStr">
        <is>
          <t>email</t>
        </is>
      </c>
      <c r="F1028">
        <f>IFERROR(MATCH(A1028,Deals!$A$2:$A$843,0),"")</f>
        <v/>
      </c>
      <c r="G1028">
        <f>IF(F1028="",0,1)</f>
        <v/>
      </c>
      <c r="H1028" s="29">
        <f>IF(F1028="","",INDEX(Deals!$E$2:$E$843,F1028))</f>
        <v/>
      </c>
      <c r="I1028">
        <f>IF(F1028="","",INDEX(Deals!$D$2:$D$843,F1028))</f>
        <v/>
      </c>
      <c r="J1028">
        <f>IF(F1028="","",INT(H1028)-B1028)</f>
        <v/>
      </c>
      <c r="K1028">
        <f>IF(B1028&gt;=Settings!$C$5,1,0)</f>
        <v/>
      </c>
    </row>
    <row r="1029">
      <c r="A1029" t="inlineStr">
        <is>
          <t>4da9f2c82997b1df03a32770b2189a60</t>
        </is>
      </c>
      <c r="B1029" s="29" t="n">
        <v>43115</v>
      </c>
      <c r="C1029" t="inlineStr">
        <is>
          <t>2018-01</t>
        </is>
      </c>
      <c r="D1029" t="inlineStr">
        <is>
          <t>ce1a65abd0973638f1c887a6efcfa82d</t>
        </is>
      </c>
      <c r="E1029" t="inlineStr">
        <is>
          <t>organic_search</t>
        </is>
      </c>
      <c r="F1029">
        <f>IFERROR(MATCH(A1029,Deals!$A$2:$A$843,0),"")</f>
        <v/>
      </c>
      <c r="G1029">
        <f>IF(F1029="",0,1)</f>
        <v/>
      </c>
      <c r="H1029" s="29">
        <f>IF(F1029="","",INDEX(Deals!$E$2:$E$843,F1029))</f>
        <v/>
      </c>
      <c r="I1029">
        <f>IF(F1029="","",INDEX(Deals!$D$2:$D$843,F1029))</f>
        <v/>
      </c>
      <c r="J1029">
        <f>IF(F1029="","",INT(H1029)-B1029)</f>
        <v/>
      </c>
      <c r="K1029">
        <f>IF(B1029&gt;=Settings!$C$5,1,0)</f>
        <v/>
      </c>
    </row>
    <row r="1030">
      <c r="A1030" t="inlineStr">
        <is>
          <t>a026d46bd57a1406c5e5931c907d25f1</t>
        </is>
      </c>
      <c r="B1030" s="29" t="n">
        <v>43157</v>
      </c>
      <c r="C1030" t="inlineStr">
        <is>
          <t>2018-02</t>
        </is>
      </c>
      <c r="D1030" t="inlineStr">
        <is>
          <t>bddebc4f4d44106c427bd00695840e64</t>
        </is>
      </c>
      <c r="E1030" t="inlineStr">
        <is>
          <t>paid_search</t>
        </is>
      </c>
      <c r="F1030">
        <f>IFERROR(MATCH(A1030,Deals!$A$2:$A$843,0),"")</f>
        <v/>
      </c>
      <c r="G1030">
        <f>IF(F1030="",0,1)</f>
        <v/>
      </c>
      <c r="H1030" s="29">
        <f>IF(F1030="","",INDEX(Deals!$E$2:$E$843,F1030))</f>
        <v/>
      </c>
      <c r="I1030">
        <f>IF(F1030="","",INDEX(Deals!$D$2:$D$843,F1030))</f>
        <v/>
      </c>
      <c r="J1030">
        <f>IF(F1030="","",INT(H1030)-B1030)</f>
        <v/>
      </c>
      <c r="K1030">
        <f>IF(B1030&gt;=Settings!$C$5,1,0)</f>
        <v/>
      </c>
    </row>
    <row r="1031">
      <c r="A1031" t="inlineStr">
        <is>
          <t>2db351ad40df79806c20fc4038ae1f38</t>
        </is>
      </c>
      <c r="B1031" s="29" t="n">
        <v>43029</v>
      </c>
      <c r="C1031" t="inlineStr">
        <is>
          <t>2017-10</t>
        </is>
      </c>
      <c r="D1031" t="inlineStr">
        <is>
          <t>ce1a65abd0973638f1c887a6efcfa82d</t>
        </is>
      </c>
      <c r="E1031" t="inlineStr">
        <is>
          <t>organic_search</t>
        </is>
      </c>
      <c r="F1031">
        <f>IFERROR(MATCH(A1031,Deals!$A$2:$A$843,0),"")</f>
        <v/>
      </c>
      <c r="G1031">
        <f>IF(F1031="",0,1)</f>
        <v/>
      </c>
      <c r="H1031" s="29">
        <f>IF(F1031="","",INDEX(Deals!$E$2:$E$843,F1031))</f>
        <v/>
      </c>
      <c r="I1031">
        <f>IF(F1031="","",INDEX(Deals!$D$2:$D$843,F1031))</f>
        <v/>
      </c>
      <c r="J1031">
        <f>IF(F1031="","",INT(H1031)-B1031)</f>
        <v/>
      </c>
      <c r="K1031">
        <f>IF(B1031&gt;=Settings!$C$5,1,0)</f>
        <v/>
      </c>
    </row>
    <row r="1032">
      <c r="A1032" t="inlineStr">
        <is>
          <t>6b193c9c6c6065dc86212c6e17e42b71</t>
        </is>
      </c>
      <c r="B1032" s="29" t="n">
        <v>43208</v>
      </c>
      <c r="C1032" t="inlineStr">
        <is>
          <t>2018-04</t>
        </is>
      </c>
      <c r="D1032" t="inlineStr">
        <is>
          <t>e534a08b23c682d94859d0ab860bd57a</t>
        </is>
      </c>
      <c r="E1032" t="inlineStr">
        <is>
          <t>direct_traffic</t>
        </is>
      </c>
      <c r="F1032">
        <f>IFERROR(MATCH(A1032,Deals!$A$2:$A$843,0),"")</f>
        <v/>
      </c>
      <c r="G1032">
        <f>IF(F1032="",0,1)</f>
        <v/>
      </c>
      <c r="H1032" s="29">
        <f>IF(F1032="","",INDEX(Deals!$E$2:$E$843,F1032))</f>
        <v/>
      </c>
      <c r="I1032">
        <f>IF(F1032="","",INDEX(Deals!$D$2:$D$843,F1032))</f>
        <v/>
      </c>
      <c r="J1032">
        <f>IF(F1032="","",INT(H1032)-B1032)</f>
        <v/>
      </c>
      <c r="K1032">
        <f>IF(B1032&gt;=Settings!$C$5,1,0)</f>
        <v/>
      </c>
    </row>
    <row r="1033">
      <c r="A1033" t="inlineStr">
        <is>
          <t>7e17d1a0db048c466ba0a15fffaaa247</t>
        </is>
      </c>
      <c r="B1033" s="29" t="n">
        <v>43242</v>
      </c>
      <c r="C1033" t="inlineStr">
        <is>
          <t>2018-05</t>
        </is>
      </c>
      <c r="D1033" t="inlineStr">
        <is>
          <t>22c29808c4f815213303f8933030604c</t>
        </is>
      </c>
      <c r="E1033" t="inlineStr">
        <is>
          <t>organic_search</t>
        </is>
      </c>
      <c r="F1033">
        <f>IFERROR(MATCH(A1033,Deals!$A$2:$A$843,0),"")</f>
        <v/>
      </c>
      <c r="G1033">
        <f>IF(F1033="",0,1)</f>
        <v/>
      </c>
      <c r="H1033" s="29">
        <f>IF(F1033="","",INDEX(Deals!$E$2:$E$843,F1033))</f>
        <v/>
      </c>
      <c r="I1033">
        <f>IF(F1033="","",INDEX(Deals!$D$2:$D$843,F1033))</f>
        <v/>
      </c>
      <c r="J1033">
        <f>IF(F1033="","",INT(H1033)-B1033)</f>
        <v/>
      </c>
      <c r="K1033">
        <f>IF(B1033&gt;=Settings!$C$5,1,0)</f>
        <v/>
      </c>
    </row>
    <row r="1034">
      <c r="A1034" t="inlineStr">
        <is>
          <t>a95a2a8238e3fb596c9a16068c05093b</t>
        </is>
      </c>
      <c r="B1034" s="29" t="n">
        <v>43158</v>
      </c>
      <c r="C1034" t="inlineStr">
        <is>
          <t>2018-02</t>
        </is>
      </c>
      <c r="D1034" t="inlineStr">
        <is>
          <t>22c29808c4f815213303f8933030604c</t>
        </is>
      </c>
      <c r="E1034" t="inlineStr">
        <is>
          <t>organic_search</t>
        </is>
      </c>
      <c r="F1034">
        <f>IFERROR(MATCH(A1034,Deals!$A$2:$A$843,0),"")</f>
        <v/>
      </c>
      <c r="G1034">
        <f>IF(F1034="",0,1)</f>
        <v/>
      </c>
      <c r="H1034" s="29">
        <f>IF(F1034="","",INDEX(Deals!$E$2:$E$843,F1034))</f>
        <v/>
      </c>
      <c r="I1034">
        <f>IF(F1034="","",INDEX(Deals!$D$2:$D$843,F1034))</f>
        <v/>
      </c>
      <c r="J1034">
        <f>IF(F1034="","",INT(H1034)-B1034)</f>
        <v/>
      </c>
      <c r="K1034">
        <f>IF(B1034&gt;=Settings!$C$5,1,0)</f>
        <v/>
      </c>
    </row>
    <row r="1035">
      <c r="A1035" t="inlineStr">
        <is>
          <t>f1ea1dba2729513fef2fb358409f091c</t>
        </is>
      </c>
      <c r="B1035" s="29" t="n">
        <v>43203</v>
      </c>
      <c r="C1035" t="inlineStr">
        <is>
          <t>2018-04</t>
        </is>
      </c>
      <c r="D1035" t="inlineStr">
        <is>
          <t>58326e62183c14b0c03085c33b9fdc44</t>
        </is>
      </c>
      <c r="E1035" t="inlineStr">
        <is>
          <t>social</t>
        </is>
      </c>
      <c r="F1035">
        <f>IFERROR(MATCH(A1035,Deals!$A$2:$A$843,0),"")</f>
        <v/>
      </c>
      <c r="G1035">
        <f>IF(F1035="",0,1)</f>
        <v/>
      </c>
      <c r="H1035" s="29">
        <f>IF(F1035="","",INDEX(Deals!$E$2:$E$843,F1035))</f>
        <v/>
      </c>
      <c r="I1035">
        <f>IF(F1035="","",INDEX(Deals!$D$2:$D$843,F1035))</f>
        <v/>
      </c>
      <c r="J1035">
        <f>IF(F1035="","",INT(H1035)-B1035)</f>
        <v/>
      </c>
      <c r="K1035">
        <f>IF(B1035&gt;=Settings!$C$5,1,0)</f>
        <v/>
      </c>
    </row>
    <row r="1036">
      <c r="A1036" t="inlineStr">
        <is>
          <t>02cf3aa212b27f63c1118824536e406d</t>
        </is>
      </c>
      <c r="B1036" s="29" t="n">
        <v>43222</v>
      </c>
      <c r="C1036" t="inlineStr">
        <is>
          <t>2018-05</t>
        </is>
      </c>
      <c r="D1036" t="inlineStr">
        <is>
          <t>e492ee5eaf1697716985cc6f33f9cd9b</t>
        </is>
      </c>
      <c r="E1036" t="inlineStr">
        <is>
          <t>organic_search</t>
        </is>
      </c>
      <c r="F1036">
        <f>IFERROR(MATCH(A1036,Deals!$A$2:$A$843,0),"")</f>
        <v/>
      </c>
      <c r="G1036">
        <f>IF(F1036="",0,1)</f>
        <v/>
      </c>
      <c r="H1036" s="29">
        <f>IF(F1036="","",INDEX(Deals!$E$2:$E$843,F1036))</f>
        <v/>
      </c>
      <c r="I1036">
        <f>IF(F1036="","",INDEX(Deals!$D$2:$D$843,F1036))</f>
        <v/>
      </c>
      <c r="J1036">
        <f>IF(F1036="","",INT(H1036)-B1036)</f>
        <v/>
      </c>
      <c r="K1036">
        <f>IF(B1036&gt;=Settings!$C$5,1,0)</f>
        <v/>
      </c>
    </row>
    <row r="1037">
      <c r="A1037" t="inlineStr">
        <is>
          <t>e5337b6705bcd3099129719cee0d46e4</t>
        </is>
      </c>
      <c r="B1037" s="29" t="n">
        <v>43046</v>
      </c>
      <c r="C1037" t="inlineStr">
        <is>
          <t>2017-11</t>
        </is>
      </c>
      <c r="D1037" t="inlineStr">
        <is>
          <t>21a104c3279681d9856b8a48723c4fee</t>
        </is>
      </c>
      <c r="E1037" t="inlineStr">
        <is>
          <t>organic_search</t>
        </is>
      </c>
      <c r="F1037">
        <f>IFERROR(MATCH(A1037,Deals!$A$2:$A$843,0),"")</f>
        <v/>
      </c>
      <c r="G1037">
        <f>IF(F1037="",0,1)</f>
        <v/>
      </c>
      <c r="H1037" s="29">
        <f>IF(F1037="","",INDEX(Deals!$E$2:$E$843,F1037))</f>
        <v/>
      </c>
      <c r="I1037">
        <f>IF(F1037="","",INDEX(Deals!$D$2:$D$843,F1037))</f>
        <v/>
      </c>
      <c r="J1037">
        <f>IF(F1037="","",INT(H1037)-B1037)</f>
        <v/>
      </c>
      <c r="K1037">
        <f>IF(B1037&gt;=Settings!$C$5,1,0)</f>
        <v/>
      </c>
    </row>
    <row r="1038">
      <c r="A1038" t="inlineStr">
        <is>
          <t>75b2b235a1a34fba3f4e6e64adf8532c</t>
        </is>
      </c>
      <c r="B1038" s="29" t="n">
        <v>43146</v>
      </c>
      <c r="C1038" t="inlineStr">
        <is>
          <t>2018-02</t>
        </is>
      </c>
      <c r="D1038" t="inlineStr">
        <is>
          <t>88740e65d5d6b056e0cda098e1ea6313</t>
        </is>
      </c>
      <c r="E1038" t="inlineStr">
        <is>
          <t>social</t>
        </is>
      </c>
      <c r="F1038">
        <f>IFERROR(MATCH(A1038,Deals!$A$2:$A$843,0),"")</f>
        <v/>
      </c>
      <c r="G1038">
        <f>IF(F1038="",0,1)</f>
        <v/>
      </c>
      <c r="H1038" s="29">
        <f>IF(F1038="","",INDEX(Deals!$E$2:$E$843,F1038))</f>
        <v/>
      </c>
      <c r="I1038">
        <f>IF(F1038="","",INDEX(Deals!$D$2:$D$843,F1038))</f>
        <v/>
      </c>
      <c r="J1038">
        <f>IF(F1038="","",INT(H1038)-B1038)</f>
        <v/>
      </c>
      <c r="K1038">
        <f>IF(B1038&gt;=Settings!$C$5,1,0)</f>
        <v/>
      </c>
    </row>
    <row r="1039">
      <c r="A1039" t="inlineStr">
        <is>
          <t>475fe344558ed5c6e41b4bf1f330bc49</t>
        </is>
      </c>
      <c r="B1039" s="29" t="n">
        <v>43040</v>
      </c>
      <c r="C1039" t="inlineStr">
        <is>
          <t>2017-11</t>
        </is>
      </c>
      <c r="D1039" t="inlineStr">
        <is>
          <t>88740e65d5d6b056e0cda098e1ea6313</t>
        </is>
      </c>
      <c r="E1039" t="inlineStr">
        <is>
          <t>social</t>
        </is>
      </c>
      <c r="F1039">
        <f>IFERROR(MATCH(A1039,Deals!$A$2:$A$843,0),"")</f>
        <v/>
      </c>
      <c r="G1039">
        <f>IF(F1039="",0,1)</f>
        <v/>
      </c>
      <c r="H1039" s="29">
        <f>IF(F1039="","",INDEX(Deals!$E$2:$E$843,F1039))</f>
        <v/>
      </c>
      <c r="I1039">
        <f>IF(F1039="","",INDEX(Deals!$D$2:$D$843,F1039))</f>
        <v/>
      </c>
      <c r="J1039">
        <f>IF(F1039="","",INT(H1039)-B1039)</f>
        <v/>
      </c>
      <c r="K1039">
        <f>IF(B1039&gt;=Settings!$C$5,1,0)</f>
        <v/>
      </c>
    </row>
    <row r="1040">
      <c r="A1040" t="inlineStr">
        <is>
          <t>c8aeda90efcb4fc4ff5ab2c92ee5b98f</t>
        </is>
      </c>
      <c r="B1040" s="29" t="n">
        <v>42965</v>
      </c>
      <c r="C1040" t="inlineStr">
        <is>
          <t>2017-08</t>
        </is>
      </c>
      <c r="D1040" t="inlineStr">
        <is>
          <t>b76ef37428e6799c421989521c0e5077</t>
        </is>
      </c>
      <c r="E1040" t="inlineStr">
        <is>
          <t>unknown</t>
        </is>
      </c>
      <c r="F1040">
        <f>IFERROR(MATCH(A1040,Deals!$A$2:$A$843,0),"")</f>
        <v/>
      </c>
      <c r="G1040">
        <f>IF(F1040="",0,1)</f>
        <v/>
      </c>
      <c r="H1040" s="29">
        <f>IF(F1040="","",INDEX(Deals!$E$2:$E$843,F1040))</f>
        <v/>
      </c>
      <c r="I1040">
        <f>IF(F1040="","",INDEX(Deals!$D$2:$D$843,F1040))</f>
        <v/>
      </c>
      <c r="J1040">
        <f>IF(F1040="","",INT(H1040)-B1040)</f>
        <v/>
      </c>
      <c r="K1040">
        <f>IF(B1040&gt;=Settings!$C$5,1,0)</f>
        <v/>
      </c>
    </row>
    <row r="1041">
      <c r="A1041" t="inlineStr">
        <is>
          <t>44cfe43185dcc68d637a9a0580c04a8f</t>
        </is>
      </c>
      <c r="B1041" s="29" t="n">
        <v>43146</v>
      </c>
      <c r="C1041" t="inlineStr">
        <is>
          <t>2018-02</t>
        </is>
      </c>
      <c r="D1041" t="inlineStr">
        <is>
          <t>73f31a40697cc90a86c1273563ac230e</t>
        </is>
      </c>
      <c r="E1041" t="inlineStr">
        <is>
          <t>other</t>
        </is>
      </c>
      <c r="F1041">
        <f>IFERROR(MATCH(A1041,Deals!$A$2:$A$843,0),"")</f>
        <v/>
      </c>
      <c r="G1041">
        <f>IF(F1041="",0,1)</f>
        <v/>
      </c>
      <c r="H1041" s="29">
        <f>IF(F1041="","",INDEX(Deals!$E$2:$E$843,F1041))</f>
        <v/>
      </c>
      <c r="I1041">
        <f>IF(F1041="","",INDEX(Deals!$D$2:$D$843,F1041))</f>
        <v/>
      </c>
      <c r="J1041">
        <f>IF(F1041="","",INT(H1041)-B1041)</f>
        <v/>
      </c>
      <c r="K1041">
        <f>IF(B1041&gt;=Settings!$C$5,1,0)</f>
        <v/>
      </c>
    </row>
    <row r="1042">
      <c r="A1042" t="inlineStr">
        <is>
          <t>03ea1650a51bb2cba14bb6fe15c12b46</t>
        </is>
      </c>
      <c r="B1042" s="29" t="n">
        <v>43222</v>
      </c>
      <c r="C1042" t="inlineStr">
        <is>
          <t>2018-05</t>
        </is>
      </c>
      <c r="D1042" t="inlineStr">
        <is>
          <t>35c9b150ab36fe584c1f24fd458c453a</t>
        </is>
      </c>
      <c r="E1042" t="inlineStr">
        <is>
          <t>paid_search</t>
        </is>
      </c>
      <c r="F1042">
        <f>IFERROR(MATCH(A1042,Deals!$A$2:$A$843,0),"")</f>
        <v/>
      </c>
      <c r="G1042">
        <f>IF(F1042="",0,1)</f>
        <v/>
      </c>
      <c r="H1042" s="29">
        <f>IF(F1042="","",INDEX(Deals!$E$2:$E$843,F1042))</f>
        <v/>
      </c>
      <c r="I1042">
        <f>IF(F1042="","",INDEX(Deals!$D$2:$D$843,F1042))</f>
        <v/>
      </c>
      <c r="J1042">
        <f>IF(F1042="","",INT(H1042)-B1042)</f>
        <v/>
      </c>
      <c r="K1042">
        <f>IF(B1042&gt;=Settings!$C$5,1,0)</f>
        <v/>
      </c>
    </row>
    <row r="1043">
      <c r="A1043" t="inlineStr">
        <is>
          <t>e909f4555009667712db532a9b58f118</t>
        </is>
      </c>
      <c r="B1043" s="29" t="n">
        <v>43127</v>
      </c>
      <c r="C1043" t="inlineStr">
        <is>
          <t>2018-01</t>
        </is>
      </c>
      <c r="D1043" t="inlineStr">
        <is>
          <t>22c29808c4f815213303f8933030604c</t>
        </is>
      </c>
      <c r="E1043" t="inlineStr">
        <is>
          <t>organic_search</t>
        </is>
      </c>
      <c r="F1043">
        <f>IFERROR(MATCH(A1043,Deals!$A$2:$A$843,0),"")</f>
        <v/>
      </c>
      <c r="G1043">
        <f>IF(F1043="",0,1)</f>
        <v/>
      </c>
      <c r="H1043" s="29">
        <f>IF(F1043="","",INDEX(Deals!$E$2:$E$843,F1043))</f>
        <v/>
      </c>
      <c r="I1043">
        <f>IF(F1043="","",INDEX(Deals!$D$2:$D$843,F1043))</f>
        <v/>
      </c>
      <c r="J1043">
        <f>IF(F1043="","",INT(H1043)-B1043)</f>
        <v/>
      </c>
      <c r="K1043">
        <f>IF(B1043&gt;=Settings!$C$5,1,0)</f>
        <v/>
      </c>
    </row>
    <row r="1044">
      <c r="A1044" t="inlineStr">
        <is>
          <t>f6276420f0e05d929d71f1dffe6705ea</t>
        </is>
      </c>
      <c r="B1044" s="29" t="n">
        <v>42930</v>
      </c>
      <c r="C1044" t="inlineStr">
        <is>
          <t>2017-07</t>
        </is>
      </c>
      <c r="D1044" t="inlineStr">
        <is>
          <t>83ccc33d426eab8a3db70bd15aba46b8</t>
        </is>
      </c>
      <c r="E1044" t="inlineStr">
        <is>
          <t>direct_traffic</t>
        </is>
      </c>
      <c r="F1044">
        <f>IFERROR(MATCH(A1044,Deals!$A$2:$A$843,0),"")</f>
        <v/>
      </c>
      <c r="G1044">
        <f>IF(F1044="",0,1)</f>
        <v/>
      </c>
      <c r="H1044" s="29">
        <f>IF(F1044="","",INDEX(Deals!$E$2:$E$843,F1044))</f>
        <v/>
      </c>
      <c r="I1044">
        <f>IF(F1044="","",INDEX(Deals!$D$2:$D$843,F1044))</f>
        <v/>
      </c>
      <c r="J1044">
        <f>IF(F1044="","",INT(H1044)-B1044)</f>
        <v/>
      </c>
      <c r="K1044">
        <f>IF(B1044&gt;=Settings!$C$5,1,0)</f>
        <v/>
      </c>
    </row>
    <row r="1045">
      <c r="A1045" t="inlineStr">
        <is>
          <t>19b837f06cf349de37a3df0f699ba9e8</t>
        </is>
      </c>
      <c r="B1045" s="29" t="n">
        <v>43243</v>
      </c>
      <c r="C1045" t="inlineStr">
        <is>
          <t>2018-05</t>
        </is>
      </c>
      <c r="D1045" t="inlineStr">
        <is>
          <t>58326e62183c14b0c03085c33b9fdc44</t>
        </is>
      </c>
      <c r="E1045" t="inlineStr">
        <is>
          <t>social</t>
        </is>
      </c>
      <c r="F1045">
        <f>IFERROR(MATCH(A1045,Deals!$A$2:$A$843,0),"")</f>
        <v/>
      </c>
      <c r="G1045">
        <f>IF(F1045="",0,1)</f>
        <v/>
      </c>
      <c r="H1045" s="29">
        <f>IF(F1045="","",INDEX(Deals!$E$2:$E$843,F1045))</f>
        <v/>
      </c>
      <c r="I1045">
        <f>IF(F1045="","",INDEX(Deals!$D$2:$D$843,F1045))</f>
        <v/>
      </c>
      <c r="J1045">
        <f>IF(F1045="","",INT(H1045)-B1045)</f>
        <v/>
      </c>
      <c r="K1045">
        <f>IF(B1045&gt;=Settings!$C$5,1,0)</f>
        <v/>
      </c>
    </row>
    <row r="1046">
      <c r="A1046" t="inlineStr">
        <is>
          <t>56852300c43eeb8674290c2d6f383a30</t>
        </is>
      </c>
      <c r="B1046" s="29" t="n">
        <v>43223</v>
      </c>
      <c r="C1046" t="inlineStr">
        <is>
          <t>2018-05</t>
        </is>
      </c>
      <c r="D1046" t="inlineStr">
        <is>
          <t>dafec09efd4f106ce6a1ea20db24e9ac</t>
        </is>
      </c>
      <c r="E1046" t="inlineStr">
        <is>
          <t>paid_search</t>
        </is>
      </c>
      <c r="F1046">
        <f>IFERROR(MATCH(A1046,Deals!$A$2:$A$843,0),"")</f>
        <v/>
      </c>
      <c r="G1046">
        <f>IF(F1046="",0,1)</f>
        <v/>
      </c>
      <c r="H1046" s="29">
        <f>IF(F1046="","",INDEX(Deals!$E$2:$E$843,F1046))</f>
        <v/>
      </c>
      <c r="I1046">
        <f>IF(F1046="","",INDEX(Deals!$D$2:$D$843,F1046))</f>
        <v/>
      </c>
      <c r="J1046">
        <f>IF(F1046="","",INT(H1046)-B1046)</f>
        <v/>
      </c>
      <c r="K1046">
        <f>IF(B1046&gt;=Settings!$C$5,1,0)</f>
        <v/>
      </c>
    </row>
    <row r="1047">
      <c r="A1047" t="inlineStr">
        <is>
          <t>0c0628d88467dd0051bcd8b2565b619d</t>
        </is>
      </c>
      <c r="B1047" s="29" t="n">
        <v>43157</v>
      </c>
      <c r="C1047" t="inlineStr">
        <is>
          <t>2018-02</t>
        </is>
      </c>
      <c r="D1047" t="inlineStr">
        <is>
          <t>0e5a178e3cd2368607f3e72f46140476</t>
        </is>
      </c>
      <c r="E1047" t="inlineStr">
        <is>
          <t>unknown</t>
        </is>
      </c>
      <c r="F1047">
        <f>IFERROR(MATCH(A1047,Deals!$A$2:$A$843,0),"")</f>
        <v/>
      </c>
      <c r="G1047">
        <f>IF(F1047="",0,1)</f>
        <v/>
      </c>
      <c r="H1047" s="29">
        <f>IF(F1047="","",INDEX(Deals!$E$2:$E$843,F1047))</f>
        <v/>
      </c>
      <c r="I1047">
        <f>IF(F1047="","",INDEX(Deals!$D$2:$D$843,F1047))</f>
        <v/>
      </c>
      <c r="J1047">
        <f>IF(F1047="","",INT(H1047)-B1047)</f>
        <v/>
      </c>
      <c r="K1047">
        <f>IF(B1047&gt;=Settings!$C$5,1,0)</f>
        <v/>
      </c>
    </row>
    <row r="1048">
      <c r="A1048" t="inlineStr">
        <is>
          <t>317eed7b9af1dd5cec93d719de4ce692</t>
        </is>
      </c>
      <c r="B1048" s="29" t="n">
        <v>43136</v>
      </c>
      <c r="C1048" t="inlineStr">
        <is>
          <t>2018-02</t>
        </is>
      </c>
      <c r="D1048" t="inlineStr">
        <is>
          <t>f017be4dbf86243af5c1ebed0cff36a2</t>
        </is>
      </c>
      <c r="E1048" t="inlineStr">
        <is>
          <t>organic_search</t>
        </is>
      </c>
      <c r="F1048">
        <f>IFERROR(MATCH(A1048,Deals!$A$2:$A$843,0),"")</f>
        <v/>
      </c>
      <c r="G1048">
        <f>IF(F1048="",0,1)</f>
        <v/>
      </c>
      <c r="H1048" s="29">
        <f>IF(F1048="","",INDEX(Deals!$E$2:$E$843,F1048))</f>
        <v/>
      </c>
      <c r="I1048">
        <f>IF(F1048="","",INDEX(Deals!$D$2:$D$843,F1048))</f>
        <v/>
      </c>
      <c r="J1048">
        <f>IF(F1048="","",INT(H1048)-B1048)</f>
        <v/>
      </c>
      <c r="K1048">
        <f>IF(B1048&gt;=Settings!$C$5,1,0)</f>
        <v/>
      </c>
    </row>
    <row r="1049">
      <c r="A1049" t="inlineStr">
        <is>
          <t>beb405c52d26c065acc78d558251e512</t>
        </is>
      </c>
      <c r="B1049" s="29" t="n">
        <v>43116</v>
      </c>
      <c r="C1049" t="inlineStr">
        <is>
          <t>2018-01</t>
        </is>
      </c>
      <c r="D1049" t="inlineStr">
        <is>
          <t>22c29808c4f815213303f8933030604c</t>
        </is>
      </c>
      <c r="E1049" t="inlineStr">
        <is>
          <t>organic_search</t>
        </is>
      </c>
      <c r="F1049">
        <f>IFERROR(MATCH(A1049,Deals!$A$2:$A$843,0),"")</f>
        <v/>
      </c>
      <c r="G1049">
        <f>IF(F1049="",0,1)</f>
        <v/>
      </c>
      <c r="H1049" s="29">
        <f>IF(F1049="","",INDEX(Deals!$E$2:$E$843,F1049))</f>
        <v/>
      </c>
      <c r="I1049">
        <f>IF(F1049="","",INDEX(Deals!$D$2:$D$843,F1049))</f>
        <v/>
      </c>
      <c r="J1049">
        <f>IF(F1049="","",INT(H1049)-B1049)</f>
        <v/>
      </c>
      <c r="K1049">
        <f>IF(B1049&gt;=Settings!$C$5,1,0)</f>
        <v/>
      </c>
    </row>
    <row r="1050">
      <c r="A1050" t="inlineStr">
        <is>
          <t>5d9e37d3db09f8460ba8ef65b16596ca</t>
        </is>
      </c>
      <c r="B1050" s="29" t="n">
        <v>43154</v>
      </c>
      <c r="C1050" t="inlineStr">
        <is>
          <t>2018-02</t>
        </is>
      </c>
      <c r="D1050" t="inlineStr">
        <is>
          <t>30077c17f2ec5010a82e37ad8925b95f</t>
        </is>
      </c>
      <c r="E1050" t="inlineStr">
        <is>
          <t>referral</t>
        </is>
      </c>
      <c r="F1050">
        <f>IFERROR(MATCH(A1050,Deals!$A$2:$A$843,0),"")</f>
        <v/>
      </c>
      <c r="G1050">
        <f>IF(F1050="",0,1)</f>
        <v/>
      </c>
      <c r="H1050" s="29">
        <f>IF(F1050="","",INDEX(Deals!$E$2:$E$843,F1050))</f>
        <v/>
      </c>
      <c r="I1050">
        <f>IF(F1050="","",INDEX(Deals!$D$2:$D$843,F1050))</f>
        <v/>
      </c>
      <c r="J1050">
        <f>IF(F1050="","",INT(H1050)-B1050)</f>
        <v/>
      </c>
      <c r="K1050">
        <f>IF(B1050&gt;=Settings!$C$5,1,0)</f>
        <v/>
      </c>
    </row>
    <row r="1051">
      <c r="A1051" t="inlineStr">
        <is>
          <t>b71bde8a99f154ed2c35313785acdba1</t>
        </is>
      </c>
      <c r="B1051" s="29" t="n">
        <v>43213</v>
      </c>
      <c r="C1051" t="inlineStr">
        <is>
          <t>2018-04</t>
        </is>
      </c>
      <c r="D1051" t="inlineStr">
        <is>
          <t>22c29808c4f815213303f8933030604c</t>
        </is>
      </c>
      <c r="E1051" t="inlineStr">
        <is>
          <t>organic_search</t>
        </is>
      </c>
      <c r="F1051">
        <f>IFERROR(MATCH(A1051,Deals!$A$2:$A$843,0),"")</f>
        <v/>
      </c>
      <c r="G1051">
        <f>IF(F1051="",0,1)</f>
        <v/>
      </c>
      <c r="H1051" s="29">
        <f>IF(F1051="","",INDEX(Deals!$E$2:$E$843,F1051))</f>
        <v/>
      </c>
      <c r="I1051">
        <f>IF(F1051="","",INDEX(Deals!$D$2:$D$843,F1051))</f>
        <v/>
      </c>
      <c r="J1051">
        <f>IF(F1051="","",INT(H1051)-B1051)</f>
        <v/>
      </c>
      <c r="K1051">
        <f>IF(B1051&gt;=Settings!$C$5,1,0)</f>
        <v/>
      </c>
    </row>
    <row r="1052">
      <c r="A1052" t="inlineStr">
        <is>
          <t>0f3839dc22ff5ad19a6b74203fac591f</t>
        </is>
      </c>
      <c r="B1052" s="29" t="n">
        <v>43059</v>
      </c>
      <c r="C1052" t="inlineStr">
        <is>
          <t>2017-11</t>
        </is>
      </c>
      <c r="D1052" t="inlineStr">
        <is>
          <t>88740e65d5d6b056e0cda098e1ea6313</t>
        </is>
      </c>
      <c r="E1052" t="inlineStr">
        <is>
          <t>social</t>
        </is>
      </c>
      <c r="F1052">
        <f>IFERROR(MATCH(A1052,Deals!$A$2:$A$843,0),"")</f>
        <v/>
      </c>
      <c r="G1052">
        <f>IF(F1052="",0,1)</f>
        <v/>
      </c>
      <c r="H1052" s="29">
        <f>IF(F1052="","",INDEX(Deals!$E$2:$E$843,F1052))</f>
        <v/>
      </c>
      <c r="I1052">
        <f>IF(F1052="","",INDEX(Deals!$D$2:$D$843,F1052))</f>
        <v/>
      </c>
      <c r="J1052">
        <f>IF(F1052="","",INT(H1052)-B1052)</f>
        <v/>
      </c>
      <c r="K1052">
        <f>IF(B1052&gt;=Settings!$C$5,1,0)</f>
        <v/>
      </c>
    </row>
    <row r="1053">
      <c r="A1053" t="inlineStr">
        <is>
          <t>75560d233c17e9fa82e0ab093a5ed4a8</t>
        </is>
      </c>
      <c r="B1053" s="29" t="n">
        <v>43194</v>
      </c>
      <c r="C1053" t="inlineStr">
        <is>
          <t>2018-04</t>
        </is>
      </c>
      <c r="D1053" t="inlineStr">
        <is>
          <t>f017be4dbf86243af5c1ebed0cff36a2</t>
        </is>
      </c>
      <c r="E1053" t="inlineStr">
        <is>
          <t>direct_traffic</t>
        </is>
      </c>
      <c r="F1053">
        <f>IFERROR(MATCH(A1053,Deals!$A$2:$A$843,0),"")</f>
        <v/>
      </c>
      <c r="G1053">
        <f>IF(F1053="",0,1)</f>
        <v/>
      </c>
      <c r="H1053" s="29">
        <f>IF(F1053="","",INDEX(Deals!$E$2:$E$843,F1053))</f>
        <v/>
      </c>
      <c r="I1053">
        <f>IF(F1053="","",INDEX(Deals!$D$2:$D$843,F1053))</f>
        <v/>
      </c>
      <c r="J1053">
        <f>IF(F1053="","",INT(H1053)-B1053)</f>
        <v/>
      </c>
      <c r="K1053">
        <f>IF(B1053&gt;=Settings!$C$5,1,0)</f>
        <v/>
      </c>
    </row>
    <row r="1054">
      <c r="A1054" t="inlineStr">
        <is>
          <t>efd2af1e8c77adeed83c6acbc9eb341d</t>
        </is>
      </c>
      <c r="B1054" s="29" t="n">
        <v>43241</v>
      </c>
      <c r="C1054" t="inlineStr">
        <is>
          <t>2018-05</t>
        </is>
      </c>
      <c r="D1054" t="inlineStr">
        <is>
          <t>58326e62183c14b0c03085c33b9fdc44</t>
        </is>
      </c>
      <c r="E1054" t="inlineStr">
        <is>
          <t>social</t>
        </is>
      </c>
      <c r="F1054">
        <f>IFERROR(MATCH(A1054,Deals!$A$2:$A$843,0),"")</f>
        <v/>
      </c>
      <c r="G1054">
        <f>IF(F1054="",0,1)</f>
        <v/>
      </c>
      <c r="H1054" s="29">
        <f>IF(F1054="","",INDEX(Deals!$E$2:$E$843,F1054))</f>
        <v/>
      </c>
      <c r="I1054">
        <f>IF(F1054="","",INDEX(Deals!$D$2:$D$843,F1054))</f>
        <v/>
      </c>
      <c r="J1054">
        <f>IF(F1054="","",INT(H1054)-B1054)</f>
        <v/>
      </c>
      <c r="K1054">
        <f>IF(B1054&gt;=Settings!$C$5,1,0)</f>
        <v/>
      </c>
    </row>
    <row r="1055">
      <c r="A1055" t="inlineStr">
        <is>
          <t>3d671c44aaf732ed6e2244e073b59874</t>
        </is>
      </c>
      <c r="B1055" s="29" t="n">
        <v>43157</v>
      </c>
      <c r="C1055" t="inlineStr">
        <is>
          <t>2018-02</t>
        </is>
      </c>
      <c r="D1055" t="inlineStr">
        <is>
          <t>0e5a178e3cd2368607f3e72f46140476</t>
        </is>
      </c>
      <c r="E1055" t="inlineStr">
        <is>
          <t>email</t>
        </is>
      </c>
      <c r="F1055">
        <f>IFERROR(MATCH(A1055,Deals!$A$2:$A$843,0),"")</f>
        <v/>
      </c>
      <c r="G1055">
        <f>IF(F1055="",0,1)</f>
        <v/>
      </c>
      <c r="H1055" s="29">
        <f>IF(F1055="","",INDEX(Deals!$E$2:$E$843,F1055))</f>
        <v/>
      </c>
      <c r="I1055">
        <f>IF(F1055="","",INDEX(Deals!$D$2:$D$843,F1055))</f>
        <v/>
      </c>
      <c r="J1055">
        <f>IF(F1055="","",INT(H1055)-B1055)</f>
        <v/>
      </c>
      <c r="K1055">
        <f>IF(B1055&gt;=Settings!$C$5,1,0)</f>
        <v/>
      </c>
    </row>
    <row r="1056">
      <c r="A1056" t="inlineStr">
        <is>
          <t>8bcd446a0b16ce6dbefa3acf438dc512</t>
        </is>
      </c>
      <c r="B1056" s="29" t="n">
        <v>42970</v>
      </c>
      <c r="C1056" t="inlineStr">
        <is>
          <t>2017-08</t>
        </is>
      </c>
      <c r="D1056" t="inlineStr">
        <is>
          <t>87d670b00a8db612286ba8419cf82e83</t>
        </is>
      </c>
      <c r="E1056" t="inlineStr">
        <is>
          <t>organic_search</t>
        </is>
      </c>
      <c r="F1056">
        <f>IFERROR(MATCH(A1056,Deals!$A$2:$A$843,0),"")</f>
        <v/>
      </c>
      <c r="G1056">
        <f>IF(F1056="",0,1)</f>
        <v/>
      </c>
      <c r="H1056" s="29">
        <f>IF(F1056="","",INDEX(Deals!$E$2:$E$843,F1056))</f>
        <v/>
      </c>
      <c r="I1056">
        <f>IF(F1056="","",INDEX(Deals!$D$2:$D$843,F1056))</f>
        <v/>
      </c>
      <c r="J1056">
        <f>IF(F1056="","",INT(H1056)-B1056)</f>
        <v/>
      </c>
      <c r="K1056">
        <f>IF(B1056&gt;=Settings!$C$5,1,0)</f>
        <v/>
      </c>
    </row>
    <row r="1057">
      <c r="A1057" t="inlineStr">
        <is>
          <t>440100b44ff391ac670eb590ea7f8a77</t>
        </is>
      </c>
      <c r="B1057" s="29" t="n">
        <v>42997</v>
      </c>
      <c r="C1057" t="inlineStr">
        <is>
          <t>2017-09</t>
        </is>
      </c>
      <c r="D1057" t="inlineStr">
        <is>
          <t>dd6f55db3947b0aeaadb65a610334799</t>
        </is>
      </c>
      <c r="E1057" t="inlineStr">
        <is>
          <t>organic_search</t>
        </is>
      </c>
      <c r="F1057">
        <f>IFERROR(MATCH(A1057,Deals!$A$2:$A$843,0),"")</f>
        <v/>
      </c>
      <c r="G1057">
        <f>IF(F1057="",0,1)</f>
        <v/>
      </c>
      <c r="H1057" s="29">
        <f>IF(F1057="","",INDEX(Deals!$E$2:$E$843,F1057))</f>
        <v/>
      </c>
      <c r="I1057">
        <f>IF(F1057="","",INDEX(Deals!$D$2:$D$843,F1057))</f>
        <v/>
      </c>
      <c r="J1057">
        <f>IF(F1057="","",INT(H1057)-B1057)</f>
        <v/>
      </c>
      <c r="K1057">
        <f>IF(B1057&gt;=Settings!$C$5,1,0)</f>
        <v/>
      </c>
    </row>
    <row r="1058">
      <c r="A1058" t="inlineStr">
        <is>
          <t>60c8179fad5be6d39b73660ca24c8d65</t>
        </is>
      </c>
      <c r="B1058" s="29" t="n">
        <v>43033</v>
      </c>
      <c r="C1058" t="inlineStr">
        <is>
          <t>2017-10</t>
        </is>
      </c>
      <c r="D1058" t="inlineStr">
        <is>
          <t>63355b003224fe06badbd9de99644792</t>
        </is>
      </c>
      <c r="E1058" t="inlineStr">
        <is>
          <t>email</t>
        </is>
      </c>
      <c r="F1058">
        <f>IFERROR(MATCH(A1058,Deals!$A$2:$A$843,0),"")</f>
        <v/>
      </c>
      <c r="G1058">
        <f>IF(F1058="",0,1)</f>
        <v/>
      </c>
      <c r="H1058" s="29">
        <f>IF(F1058="","",INDEX(Deals!$E$2:$E$843,F1058))</f>
        <v/>
      </c>
      <c r="I1058">
        <f>IF(F1058="","",INDEX(Deals!$D$2:$D$843,F1058))</f>
        <v/>
      </c>
      <c r="J1058">
        <f>IF(F1058="","",INT(H1058)-B1058)</f>
        <v/>
      </c>
      <c r="K1058">
        <f>IF(B1058&gt;=Settings!$C$5,1,0)</f>
        <v/>
      </c>
    </row>
    <row r="1059">
      <c r="A1059" t="inlineStr">
        <is>
          <t>cdfa2a96a87edf9ea00d4e1a0cd0fb09</t>
        </is>
      </c>
      <c r="B1059" s="29" t="n">
        <v>43076</v>
      </c>
      <c r="C1059" t="inlineStr">
        <is>
          <t>2017-12</t>
        </is>
      </c>
      <c r="D1059" t="inlineStr">
        <is>
          <t>b76ef37428e6799c421989521c0e5077</t>
        </is>
      </c>
      <c r="E1059" t="inlineStr">
        <is>
          <t>unknown</t>
        </is>
      </c>
      <c r="F1059">
        <f>IFERROR(MATCH(A1059,Deals!$A$2:$A$843,0),"")</f>
        <v/>
      </c>
      <c r="G1059">
        <f>IF(F1059="",0,1)</f>
        <v/>
      </c>
      <c r="H1059" s="29">
        <f>IF(F1059="","",INDEX(Deals!$E$2:$E$843,F1059))</f>
        <v/>
      </c>
      <c r="I1059">
        <f>IF(F1059="","",INDEX(Deals!$D$2:$D$843,F1059))</f>
        <v/>
      </c>
      <c r="J1059">
        <f>IF(F1059="","",INT(H1059)-B1059)</f>
        <v/>
      </c>
      <c r="K1059">
        <f>IF(B1059&gt;=Settings!$C$5,1,0)</f>
        <v/>
      </c>
    </row>
    <row r="1060">
      <c r="A1060" t="inlineStr">
        <is>
          <t>fd393a96c037e4b04a6c26097df9a2a7</t>
        </is>
      </c>
      <c r="B1060" s="29" t="n">
        <v>43151</v>
      </c>
      <c r="C1060" t="inlineStr">
        <is>
          <t>2018-02</t>
        </is>
      </c>
      <c r="D1060" t="inlineStr">
        <is>
          <t>65d9f9d71e562365e8b44037c2888d98</t>
        </is>
      </c>
      <c r="E1060" t="inlineStr">
        <is>
          <t>organic_search</t>
        </is>
      </c>
      <c r="F1060">
        <f>IFERROR(MATCH(A1060,Deals!$A$2:$A$843,0),"")</f>
        <v/>
      </c>
      <c r="G1060">
        <f>IF(F1060="",0,1)</f>
        <v/>
      </c>
      <c r="H1060" s="29">
        <f>IF(F1060="","",INDEX(Deals!$E$2:$E$843,F1060))</f>
        <v/>
      </c>
      <c r="I1060">
        <f>IF(F1060="","",INDEX(Deals!$D$2:$D$843,F1060))</f>
        <v/>
      </c>
      <c r="J1060">
        <f>IF(F1060="","",INT(H1060)-B1060)</f>
        <v/>
      </c>
      <c r="K1060">
        <f>IF(B1060&gt;=Settings!$C$5,1,0)</f>
        <v/>
      </c>
    </row>
    <row r="1061">
      <c r="A1061" t="inlineStr">
        <is>
          <t>d00ee48c45cc306b2b1db3385024a6b6</t>
        </is>
      </c>
      <c r="B1061" s="29" t="n">
        <v>43112</v>
      </c>
      <c r="C1061" t="inlineStr">
        <is>
          <t>2018-01</t>
        </is>
      </c>
      <c r="D1061" t="inlineStr">
        <is>
          <t>ce1a65abd0973638f1c887a6efcfa82d</t>
        </is>
      </c>
      <c r="E1061" t="inlineStr">
        <is>
          <t>organic_search</t>
        </is>
      </c>
      <c r="F1061">
        <f>IFERROR(MATCH(A1061,Deals!$A$2:$A$843,0),"")</f>
        <v/>
      </c>
      <c r="G1061">
        <f>IF(F1061="",0,1)</f>
        <v/>
      </c>
      <c r="H1061" s="29">
        <f>IF(F1061="","",INDEX(Deals!$E$2:$E$843,F1061))</f>
        <v/>
      </c>
      <c r="I1061">
        <f>IF(F1061="","",INDEX(Deals!$D$2:$D$843,F1061))</f>
        <v/>
      </c>
      <c r="J1061">
        <f>IF(F1061="","",INT(H1061)-B1061)</f>
        <v/>
      </c>
      <c r="K1061">
        <f>IF(B1061&gt;=Settings!$C$5,1,0)</f>
        <v/>
      </c>
    </row>
    <row r="1062">
      <c r="A1062" t="inlineStr">
        <is>
          <t>7281f75a3496aa1e3643f44cd5773a65</t>
        </is>
      </c>
      <c r="B1062" s="29" t="n">
        <v>43228</v>
      </c>
      <c r="C1062" t="inlineStr">
        <is>
          <t>2018-05</t>
        </is>
      </c>
      <c r="D1062" t="inlineStr">
        <is>
          <t>27cd3540bace1f4a4b2bc6d319b0553c</t>
        </is>
      </c>
      <c r="E1062" t="inlineStr">
        <is>
          <t>unknown</t>
        </is>
      </c>
      <c r="F1062">
        <f>IFERROR(MATCH(A1062,Deals!$A$2:$A$843,0),"")</f>
        <v/>
      </c>
      <c r="G1062">
        <f>IF(F1062="",0,1)</f>
        <v/>
      </c>
      <c r="H1062" s="29">
        <f>IF(F1062="","",INDEX(Deals!$E$2:$E$843,F1062))</f>
        <v/>
      </c>
      <c r="I1062">
        <f>IF(F1062="","",INDEX(Deals!$D$2:$D$843,F1062))</f>
        <v/>
      </c>
      <c r="J1062">
        <f>IF(F1062="","",INT(H1062)-B1062)</f>
        <v/>
      </c>
      <c r="K1062">
        <f>IF(B1062&gt;=Settings!$C$5,1,0)</f>
        <v/>
      </c>
    </row>
    <row r="1063">
      <c r="A1063" t="inlineStr">
        <is>
          <t>a9c5f75099f100a8ba27d64b5e705660</t>
        </is>
      </c>
      <c r="B1063" s="29" t="n">
        <v>43209</v>
      </c>
      <c r="C1063" t="inlineStr">
        <is>
          <t>2018-04</t>
        </is>
      </c>
      <c r="D1063" t="inlineStr">
        <is>
          <t>b76ef37428e6799c421989521c0e5077</t>
        </is>
      </c>
      <c r="E1063" t="inlineStr">
        <is>
          <t>unknown</t>
        </is>
      </c>
      <c r="F1063">
        <f>IFERROR(MATCH(A1063,Deals!$A$2:$A$843,0),"")</f>
        <v/>
      </c>
      <c r="G1063">
        <f>IF(F1063="",0,1)</f>
        <v/>
      </c>
      <c r="H1063" s="29">
        <f>IF(F1063="","",INDEX(Deals!$E$2:$E$843,F1063))</f>
        <v/>
      </c>
      <c r="I1063">
        <f>IF(F1063="","",INDEX(Deals!$D$2:$D$843,F1063))</f>
        <v/>
      </c>
      <c r="J1063">
        <f>IF(F1063="","",INT(H1063)-B1063)</f>
        <v/>
      </c>
      <c r="K1063">
        <f>IF(B1063&gt;=Settings!$C$5,1,0)</f>
        <v/>
      </c>
    </row>
    <row r="1064">
      <c r="A1064" t="inlineStr">
        <is>
          <t>233ef77892bb386fb2986bb8e840b025</t>
        </is>
      </c>
      <c r="B1064" s="29" t="n">
        <v>43175</v>
      </c>
      <c r="C1064" t="inlineStr">
        <is>
          <t>2018-03</t>
        </is>
      </c>
      <c r="D1064" t="inlineStr">
        <is>
          <t>330b9d44078a1ae5a221d655dcb77afa</t>
        </is>
      </c>
      <c r="E1064" t="inlineStr">
        <is>
          <t>display</t>
        </is>
      </c>
      <c r="F1064">
        <f>IFERROR(MATCH(A1064,Deals!$A$2:$A$843,0),"")</f>
        <v/>
      </c>
      <c r="G1064">
        <f>IF(F1064="",0,1)</f>
        <v/>
      </c>
      <c r="H1064" s="29">
        <f>IF(F1064="","",INDEX(Deals!$E$2:$E$843,F1064))</f>
        <v/>
      </c>
      <c r="I1064">
        <f>IF(F1064="","",INDEX(Deals!$D$2:$D$843,F1064))</f>
        <v/>
      </c>
      <c r="J1064">
        <f>IF(F1064="","",INT(H1064)-B1064)</f>
        <v/>
      </c>
      <c r="K1064">
        <f>IF(B1064&gt;=Settings!$C$5,1,0)</f>
        <v/>
      </c>
    </row>
    <row r="1065">
      <c r="A1065" t="inlineStr">
        <is>
          <t>93978cb97ec047e348cad39ee701fe8c</t>
        </is>
      </c>
      <c r="B1065" s="29" t="n">
        <v>43110</v>
      </c>
      <c r="C1065" t="inlineStr">
        <is>
          <t>2018-01</t>
        </is>
      </c>
      <c r="D1065" t="inlineStr">
        <is>
          <t>b48ec5f3b04e9068441002a19df93c6c</t>
        </is>
      </c>
      <c r="E1065" t="inlineStr">
        <is>
          <t>organic_search</t>
        </is>
      </c>
      <c r="F1065">
        <f>IFERROR(MATCH(A1065,Deals!$A$2:$A$843,0),"")</f>
        <v/>
      </c>
      <c r="G1065">
        <f>IF(F1065="",0,1)</f>
        <v/>
      </c>
      <c r="H1065" s="29">
        <f>IF(F1065="","",INDEX(Deals!$E$2:$E$843,F1065))</f>
        <v/>
      </c>
      <c r="I1065">
        <f>IF(F1065="","",INDEX(Deals!$D$2:$D$843,F1065))</f>
        <v/>
      </c>
      <c r="J1065">
        <f>IF(F1065="","",INT(H1065)-B1065)</f>
        <v/>
      </c>
      <c r="K1065">
        <f>IF(B1065&gt;=Settings!$C$5,1,0)</f>
        <v/>
      </c>
    </row>
    <row r="1066">
      <c r="A1066" t="inlineStr">
        <is>
          <t>906fec3cca7ccc130fa2b1844aa10126</t>
        </is>
      </c>
      <c r="B1066" s="29" t="n">
        <v>43111</v>
      </c>
      <c r="C1066" t="inlineStr">
        <is>
          <t>2018-01</t>
        </is>
      </c>
      <c r="D1066" t="inlineStr">
        <is>
          <t>40dec9f3d5259a3d2dbcdab2114fae47</t>
        </is>
      </c>
      <c r="E1066" t="inlineStr">
        <is>
          <t>referral</t>
        </is>
      </c>
      <c r="F1066">
        <f>IFERROR(MATCH(A1066,Deals!$A$2:$A$843,0),"")</f>
        <v/>
      </c>
      <c r="G1066">
        <f>IF(F1066="",0,1)</f>
        <v/>
      </c>
      <c r="H1066" s="29">
        <f>IF(F1066="","",INDEX(Deals!$E$2:$E$843,F1066))</f>
        <v/>
      </c>
      <c r="I1066">
        <f>IF(F1066="","",INDEX(Deals!$D$2:$D$843,F1066))</f>
        <v/>
      </c>
      <c r="J1066">
        <f>IF(F1066="","",INT(H1066)-B1066)</f>
        <v/>
      </c>
      <c r="K1066">
        <f>IF(B1066&gt;=Settings!$C$5,1,0)</f>
        <v/>
      </c>
    </row>
    <row r="1067">
      <c r="A1067" t="inlineStr">
        <is>
          <t>796e73dfbfd1d95967d2d55fce773f97</t>
        </is>
      </c>
      <c r="B1067" s="29" t="n">
        <v>43186</v>
      </c>
      <c r="C1067" t="inlineStr">
        <is>
          <t>2018-03</t>
        </is>
      </c>
      <c r="D1067" t="inlineStr">
        <is>
          <t>22c29808c4f815213303f8933030604c</t>
        </is>
      </c>
      <c r="E1067" t="inlineStr">
        <is>
          <t>organic_search</t>
        </is>
      </c>
      <c r="F1067">
        <f>IFERROR(MATCH(A1067,Deals!$A$2:$A$843,0),"")</f>
        <v/>
      </c>
      <c r="G1067">
        <f>IF(F1067="",0,1)</f>
        <v/>
      </c>
      <c r="H1067" s="29">
        <f>IF(F1067="","",INDEX(Deals!$E$2:$E$843,F1067))</f>
        <v/>
      </c>
      <c r="I1067">
        <f>IF(F1067="","",INDEX(Deals!$D$2:$D$843,F1067))</f>
        <v/>
      </c>
      <c r="J1067">
        <f>IF(F1067="","",INT(H1067)-B1067)</f>
        <v/>
      </c>
      <c r="K1067">
        <f>IF(B1067&gt;=Settings!$C$5,1,0)</f>
        <v/>
      </c>
    </row>
    <row r="1068">
      <c r="A1068" t="inlineStr">
        <is>
          <t>6f7b9e11d7c19b10334ddbb8ef024c9f</t>
        </is>
      </c>
      <c r="B1068" s="29" t="n">
        <v>43226</v>
      </c>
      <c r="C1068" t="inlineStr">
        <is>
          <t>2018-05</t>
        </is>
      </c>
      <c r="D1068" t="inlineStr">
        <is>
          <t>e0d41e6d874fd065008378950917bca3</t>
        </is>
      </c>
      <c r="E1068" t="inlineStr">
        <is>
          <t>organic_search</t>
        </is>
      </c>
      <c r="F1068">
        <f>IFERROR(MATCH(A1068,Deals!$A$2:$A$843,0),"")</f>
        <v/>
      </c>
      <c r="G1068">
        <f>IF(F1068="",0,1)</f>
        <v/>
      </c>
      <c r="H1068" s="29">
        <f>IF(F1068="","",INDEX(Deals!$E$2:$E$843,F1068))</f>
        <v/>
      </c>
      <c r="I1068">
        <f>IF(F1068="","",INDEX(Deals!$D$2:$D$843,F1068))</f>
        <v/>
      </c>
      <c r="J1068">
        <f>IF(F1068="","",INT(H1068)-B1068)</f>
        <v/>
      </c>
      <c r="K1068">
        <f>IF(B1068&gt;=Settings!$C$5,1,0)</f>
        <v/>
      </c>
    </row>
    <row r="1069">
      <c r="A1069" t="inlineStr">
        <is>
          <t>f9a4d59fbd83efbe070482a566ec890b</t>
        </is>
      </c>
      <c r="B1069" s="29" t="n">
        <v>43200</v>
      </c>
      <c r="C1069" t="inlineStr">
        <is>
          <t>2018-04</t>
        </is>
      </c>
      <c r="D1069" t="inlineStr">
        <is>
          <t>2204d1cf0ec6a0cf20f7342e99d88ec8</t>
        </is>
      </c>
      <c r="E1069" t="inlineStr">
        <is>
          <t>unknown</t>
        </is>
      </c>
      <c r="F1069">
        <f>IFERROR(MATCH(A1069,Deals!$A$2:$A$843,0),"")</f>
        <v/>
      </c>
      <c r="G1069">
        <f>IF(F1069="",0,1)</f>
        <v/>
      </c>
      <c r="H1069" s="29">
        <f>IF(F1069="","",INDEX(Deals!$E$2:$E$843,F1069))</f>
        <v/>
      </c>
      <c r="I1069">
        <f>IF(F1069="","",INDEX(Deals!$D$2:$D$843,F1069))</f>
        <v/>
      </c>
      <c r="J1069">
        <f>IF(F1069="","",INT(H1069)-B1069)</f>
        <v/>
      </c>
      <c r="K1069">
        <f>IF(B1069&gt;=Settings!$C$5,1,0)</f>
        <v/>
      </c>
    </row>
    <row r="1070">
      <c r="A1070" t="inlineStr">
        <is>
          <t>5ac93bfefcaa86acb77acbefd55d659a</t>
        </is>
      </c>
      <c r="B1070" s="29" t="n">
        <v>43130</v>
      </c>
      <c r="C1070" t="inlineStr">
        <is>
          <t>2018-01</t>
        </is>
      </c>
      <c r="D1070" t="inlineStr">
        <is>
          <t>73f31a40697cc90a86c1273563ac230e</t>
        </is>
      </c>
      <c r="E1070" t="inlineStr">
        <is>
          <t>referral</t>
        </is>
      </c>
      <c r="F1070">
        <f>IFERROR(MATCH(A1070,Deals!$A$2:$A$843,0),"")</f>
        <v/>
      </c>
      <c r="G1070">
        <f>IF(F1070="",0,1)</f>
        <v/>
      </c>
      <c r="H1070" s="29">
        <f>IF(F1070="","",INDEX(Deals!$E$2:$E$843,F1070))</f>
        <v/>
      </c>
      <c r="I1070">
        <f>IF(F1070="","",INDEX(Deals!$D$2:$D$843,F1070))</f>
        <v/>
      </c>
      <c r="J1070">
        <f>IF(F1070="","",INT(H1070)-B1070)</f>
        <v/>
      </c>
      <c r="K1070">
        <f>IF(B1070&gt;=Settings!$C$5,1,0)</f>
        <v/>
      </c>
    </row>
    <row r="1071">
      <c r="A1071" t="inlineStr">
        <is>
          <t>946b8b29fca37c91f751df320d80f000</t>
        </is>
      </c>
      <c r="B1071" s="29" t="n">
        <v>43195</v>
      </c>
      <c r="C1071" t="inlineStr">
        <is>
          <t>2018-04</t>
        </is>
      </c>
      <c r="D1071" t="inlineStr">
        <is>
          <t>46bd119220c8bf61324669b1d82203ac</t>
        </is>
      </c>
      <c r="E1071" t="inlineStr">
        <is>
          <t>other</t>
        </is>
      </c>
      <c r="F1071">
        <f>IFERROR(MATCH(A1071,Deals!$A$2:$A$843,0),"")</f>
        <v/>
      </c>
      <c r="G1071">
        <f>IF(F1071="",0,1)</f>
        <v/>
      </c>
      <c r="H1071" s="29">
        <f>IF(F1071="","",INDEX(Deals!$E$2:$E$843,F1071))</f>
        <v/>
      </c>
      <c r="I1071">
        <f>IF(F1071="","",INDEX(Deals!$D$2:$D$843,F1071))</f>
        <v/>
      </c>
      <c r="J1071">
        <f>IF(F1071="","",INT(H1071)-B1071)</f>
        <v/>
      </c>
      <c r="K1071">
        <f>IF(B1071&gt;=Settings!$C$5,1,0)</f>
        <v/>
      </c>
    </row>
    <row r="1072">
      <c r="A1072" t="inlineStr">
        <is>
          <t>f9ae0edbbb69c65b4ba6a4df582eb206</t>
        </is>
      </c>
      <c r="B1072" s="29" t="n">
        <v>42955</v>
      </c>
      <c r="C1072" t="inlineStr">
        <is>
          <t>2017-08</t>
        </is>
      </c>
      <c r="D1072" t="inlineStr">
        <is>
          <t>22c29808c4f815213303f8933030604c</t>
        </is>
      </c>
      <c r="E1072" t="inlineStr">
        <is>
          <t>referral</t>
        </is>
      </c>
      <c r="F1072">
        <f>IFERROR(MATCH(A1072,Deals!$A$2:$A$843,0),"")</f>
        <v/>
      </c>
      <c r="G1072">
        <f>IF(F1072="",0,1)</f>
        <v/>
      </c>
      <c r="H1072" s="29">
        <f>IF(F1072="","",INDEX(Deals!$E$2:$E$843,F1072))</f>
        <v/>
      </c>
      <c r="I1072">
        <f>IF(F1072="","",INDEX(Deals!$D$2:$D$843,F1072))</f>
        <v/>
      </c>
      <c r="J1072">
        <f>IF(F1072="","",INT(H1072)-B1072)</f>
        <v/>
      </c>
      <c r="K1072">
        <f>IF(B1072&gt;=Settings!$C$5,1,0)</f>
        <v/>
      </c>
    </row>
    <row r="1073">
      <c r="A1073" t="inlineStr">
        <is>
          <t>d75329ccac3548b31b25ded9fde8866f</t>
        </is>
      </c>
      <c r="B1073" s="29" t="n">
        <v>43056</v>
      </c>
      <c r="C1073" t="inlineStr">
        <is>
          <t>2017-11</t>
        </is>
      </c>
      <c r="D1073" t="inlineStr">
        <is>
          <t>f98c2bd96ac4a5d9476734e790c91384</t>
        </is>
      </c>
      <c r="E1073" t="inlineStr">
        <is>
          <t>paid_search</t>
        </is>
      </c>
      <c r="F1073">
        <f>IFERROR(MATCH(A1073,Deals!$A$2:$A$843,0),"")</f>
        <v/>
      </c>
      <c r="G1073">
        <f>IF(F1073="",0,1)</f>
        <v/>
      </c>
      <c r="H1073" s="29">
        <f>IF(F1073="","",INDEX(Deals!$E$2:$E$843,F1073))</f>
        <v/>
      </c>
      <c r="I1073">
        <f>IF(F1073="","",INDEX(Deals!$D$2:$D$843,F1073))</f>
        <v/>
      </c>
      <c r="J1073">
        <f>IF(F1073="","",INT(H1073)-B1073)</f>
        <v/>
      </c>
      <c r="K1073">
        <f>IF(B1073&gt;=Settings!$C$5,1,0)</f>
        <v/>
      </c>
    </row>
    <row r="1074">
      <c r="A1074" t="inlineStr">
        <is>
          <t>1fcceea4a8f4e128f39d1fe92d66a0d9</t>
        </is>
      </c>
      <c r="B1074" s="29" t="n">
        <v>43179</v>
      </c>
      <c r="C1074" t="inlineStr">
        <is>
          <t>2018-03</t>
        </is>
      </c>
      <c r="D1074" t="inlineStr">
        <is>
          <t>b76ef37428e6799c421989521c0e5077</t>
        </is>
      </c>
      <c r="E1074" t="inlineStr">
        <is>
          <t>unknown</t>
        </is>
      </c>
      <c r="F1074">
        <f>IFERROR(MATCH(A1074,Deals!$A$2:$A$843,0),"")</f>
        <v/>
      </c>
      <c r="G1074">
        <f>IF(F1074="",0,1)</f>
        <v/>
      </c>
      <c r="H1074" s="29">
        <f>IF(F1074="","",INDEX(Deals!$E$2:$E$843,F1074))</f>
        <v/>
      </c>
      <c r="I1074">
        <f>IF(F1074="","",INDEX(Deals!$D$2:$D$843,F1074))</f>
        <v/>
      </c>
      <c r="J1074">
        <f>IF(F1074="","",INT(H1074)-B1074)</f>
        <v/>
      </c>
      <c r="K1074">
        <f>IF(B1074&gt;=Settings!$C$5,1,0)</f>
        <v/>
      </c>
    </row>
    <row r="1075">
      <c r="A1075" t="inlineStr">
        <is>
          <t>3f43b741e9c8523c43e3370be32f2c0a</t>
        </is>
      </c>
      <c r="B1075" s="29" t="n">
        <v>43238</v>
      </c>
      <c r="C1075" t="inlineStr">
        <is>
          <t>2018-05</t>
        </is>
      </c>
      <c r="D1075" t="inlineStr">
        <is>
          <t>58326e62183c14b0c03085c33b9fdc44</t>
        </is>
      </c>
      <c r="E1075" t="inlineStr">
        <is>
          <t>social</t>
        </is>
      </c>
      <c r="F1075">
        <f>IFERROR(MATCH(A1075,Deals!$A$2:$A$843,0),"")</f>
        <v/>
      </c>
      <c r="G1075">
        <f>IF(F1075="",0,1)</f>
        <v/>
      </c>
      <c r="H1075" s="29">
        <f>IF(F1075="","",INDEX(Deals!$E$2:$E$843,F1075))</f>
        <v/>
      </c>
      <c r="I1075">
        <f>IF(F1075="","",INDEX(Deals!$D$2:$D$843,F1075))</f>
        <v/>
      </c>
      <c r="J1075">
        <f>IF(F1075="","",INT(H1075)-B1075)</f>
        <v/>
      </c>
      <c r="K1075">
        <f>IF(B1075&gt;=Settings!$C$5,1,0)</f>
        <v/>
      </c>
    </row>
    <row r="1076">
      <c r="A1076" t="inlineStr">
        <is>
          <t>05428fe4b2f7f9fad3fc1702c51b4c43</t>
        </is>
      </c>
      <c r="B1076" s="29" t="n">
        <v>43057</v>
      </c>
      <c r="C1076" t="inlineStr">
        <is>
          <t>2017-11</t>
        </is>
      </c>
      <c r="D1076" t="inlineStr">
        <is>
          <t>88740e65d5d6b056e0cda098e1ea6313</t>
        </is>
      </c>
      <c r="E1076" t="inlineStr">
        <is>
          <t>social</t>
        </is>
      </c>
      <c r="F1076">
        <f>IFERROR(MATCH(A1076,Deals!$A$2:$A$843,0),"")</f>
        <v/>
      </c>
      <c r="G1076">
        <f>IF(F1076="",0,1)</f>
        <v/>
      </c>
      <c r="H1076" s="29">
        <f>IF(F1076="","",INDEX(Deals!$E$2:$E$843,F1076))</f>
        <v/>
      </c>
      <c r="I1076">
        <f>IF(F1076="","",INDEX(Deals!$D$2:$D$843,F1076))</f>
        <v/>
      </c>
      <c r="J1076">
        <f>IF(F1076="","",INT(H1076)-B1076)</f>
        <v/>
      </c>
      <c r="K1076">
        <f>IF(B1076&gt;=Settings!$C$5,1,0)</f>
        <v/>
      </c>
    </row>
    <row r="1077">
      <c r="A1077" t="inlineStr">
        <is>
          <t>35f27037d233966a4a849da1e3123cb9</t>
        </is>
      </c>
      <c r="B1077" s="29" t="n">
        <v>43032</v>
      </c>
      <c r="C1077" t="inlineStr">
        <is>
          <t>2017-10</t>
        </is>
      </c>
      <c r="D1077" t="inlineStr">
        <is>
          <t>f017be4dbf86243af5c1ebed0cff36a2</t>
        </is>
      </c>
      <c r="E1077" t="inlineStr">
        <is>
          <t>organic_search</t>
        </is>
      </c>
      <c r="F1077">
        <f>IFERROR(MATCH(A1077,Deals!$A$2:$A$843,0),"")</f>
        <v/>
      </c>
      <c r="G1077">
        <f>IF(F1077="",0,1)</f>
        <v/>
      </c>
      <c r="H1077" s="29">
        <f>IF(F1077="","",INDEX(Deals!$E$2:$E$843,F1077))</f>
        <v/>
      </c>
      <c r="I1077">
        <f>IF(F1077="","",INDEX(Deals!$D$2:$D$843,F1077))</f>
        <v/>
      </c>
      <c r="J1077">
        <f>IF(F1077="","",INT(H1077)-B1077)</f>
        <v/>
      </c>
      <c r="K1077">
        <f>IF(B1077&gt;=Settings!$C$5,1,0)</f>
        <v/>
      </c>
    </row>
    <row r="1078">
      <c r="A1078" t="inlineStr">
        <is>
          <t>bb778214b2a20abaa285a6c9fe4e4551</t>
        </is>
      </c>
      <c r="B1078" s="29" t="n">
        <v>43168</v>
      </c>
      <c r="C1078" t="inlineStr">
        <is>
          <t>2018-03</t>
        </is>
      </c>
      <c r="D1078" t="inlineStr">
        <is>
          <t>36120633c8737035fbabf079082f4ec1</t>
        </is>
      </c>
      <c r="E1078" t="inlineStr">
        <is>
          <t>organic_search</t>
        </is>
      </c>
      <c r="F1078">
        <f>IFERROR(MATCH(A1078,Deals!$A$2:$A$843,0),"")</f>
        <v/>
      </c>
      <c r="G1078">
        <f>IF(F1078="",0,1)</f>
        <v/>
      </c>
      <c r="H1078" s="29">
        <f>IF(F1078="","",INDEX(Deals!$E$2:$E$843,F1078))</f>
        <v/>
      </c>
      <c r="I1078">
        <f>IF(F1078="","",INDEX(Deals!$D$2:$D$843,F1078))</f>
        <v/>
      </c>
      <c r="J1078">
        <f>IF(F1078="","",INT(H1078)-B1078)</f>
        <v/>
      </c>
      <c r="K1078">
        <f>IF(B1078&gt;=Settings!$C$5,1,0)</f>
        <v/>
      </c>
    </row>
    <row r="1079">
      <c r="A1079" t="inlineStr">
        <is>
          <t>1da5aeb9fbb52788e0ec7c962878e92d</t>
        </is>
      </c>
      <c r="B1079" s="29" t="n">
        <v>43105</v>
      </c>
      <c r="C1079" t="inlineStr">
        <is>
          <t>2018-01</t>
        </is>
      </c>
      <c r="D1079" t="inlineStr">
        <is>
          <t>b76ef37428e6799c421989521c0e5077</t>
        </is>
      </c>
      <c r="E1079" t="inlineStr">
        <is>
          <t>unknown</t>
        </is>
      </c>
      <c r="F1079">
        <f>IFERROR(MATCH(A1079,Deals!$A$2:$A$843,0),"")</f>
        <v/>
      </c>
      <c r="G1079">
        <f>IF(F1079="",0,1)</f>
        <v/>
      </c>
      <c r="H1079" s="29">
        <f>IF(F1079="","",INDEX(Deals!$E$2:$E$843,F1079))</f>
        <v/>
      </c>
      <c r="I1079">
        <f>IF(F1079="","",INDEX(Deals!$D$2:$D$843,F1079))</f>
        <v/>
      </c>
      <c r="J1079">
        <f>IF(F1079="","",INT(H1079)-B1079)</f>
        <v/>
      </c>
      <c r="K1079">
        <f>IF(B1079&gt;=Settings!$C$5,1,0)</f>
        <v/>
      </c>
    </row>
    <row r="1080">
      <c r="A1080" t="inlineStr">
        <is>
          <t>1428cffdf4fe3ecf27886add1dec470c</t>
        </is>
      </c>
      <c r="B1080" s="29" t="n">
        <v>43155</v>
      </c>
      <c r="C1080" t="inlineStr">
        <is>
          <t>2018-02</t>
        </is>
      </c>
      <c r="D1080" t="inlineStr">
        <is>
          <t>e492ee5eaf1697716985cc6f33f9cd9b</t>
        </is>
      </c>
      <c r="E1080" t="inlineStr">
        <is>
          <t>other</t>
        </is>
      </c>
      <c r="F1080">
        <f>IFERROR(MATCH(A1080,Deals!$A$2:$A$843,0),"")</f>
        <v/>
      </c>
      <c r="G1080">
        <f>IF(F1080="",0,1)</f>
        <v/>
      </c>
      <c r="H1080" s="29">
        <f>IF(F1080="","",INDEX(Deals!$E$2:$E$843,F1080))</f>
        <v/>
      </c>
      <c r="I1080">
        <f>IF(F1080="","",INDEX(Deals!$D$2:$D$843,F1080))</f>
        <v/>
      </c>
      <c r="J1080">
        <f>IF(F1080="","",INT(H1080)-B1080)</f>
        <v/>
      </c>
      <c r="K1080">
        <f>IF(B1080&gt;=Settings!$C$5,1,0)</f>
        <v/>
      </c>
    </row>
    <row r="1081">
      <c r="A1081" t="inlineStr">
        <is>
          <t>ddef33a1e82f0e79190e9b09bd1797eb</t>
        </is>
      </c>
      <c r="B1081" s="29" t="n">
        <v>43116</v>
      </c>
      <c r="C1081" t="inlineStr">
        <is>
          <t>2018-01</t>
        </is>
      </c>
      <c r="D1081" t="inlineStr">
        <is>
          <t>f017be4dbf86243af5c1ebed0cff36a2</t>
        </is>
      </c>
      <c r="E1081" t="inlineStr">
        <is>
          <t>organic_search</t>
        </is>
      </c>
      <c r="F1081">
        <f>IFERROR(MATCH(A1081,Deals!$A$2:$A$843,0),"")</f>
        <v/>
      </c>
      <c r="G1081">
        <f>IF(F1081="",0,1)</f>
        <v/>
      </c>
      <c r="H1081" s="29">
        <f>IF(F1081="","",INDEX(Deals!$E$2:$E$843,F1081))</f>
        <v/>
      </c>
      <c r="I1081">
        <f>IF(F1081="","",INDEX(Deals!$D$2:$D$843,F1081))</f>
        <v/>
      </c>
      <c r="J1081">
        <f>IF(F1081="","",INT(H1081)-B1081)</f>
        <v/>
      </c>
      <c r="K1081">
        <f>IF(B1081&gt;=Settings!$C$5,1,0)</f>
        <v/>
      </c>
    </row>
    <row r="1082">
      <c r="A1082" t="inlineStr">
        <is>
          <t>4f19d2e558b63233df9468a27512797c</t>
        </is>
      </c>
      <c r="B1082" s="29" t="n">
        <v>43133</v>
      </c>
      <c r="C1082" t="inlineStr">
        <is>
          <t>2018-02</t>
        </is>
      </c>
      <c r="D1082" t="inlineStr">
        <is>
          <t>97338d2165e7d6d9bc1348573a405642</t>
        </is>
      </c>
      <c r="E1082" t="inlineStr">
        <is>
          <t>organic_search</t>
        </is>
      </c>
      <c r="F1082">
        <f>IFERROR(MATCH(A1082,Deals!$A$2:$A$843,0),"")</f>
        <v/>
      </c>
      <c r="G1082">
        <f>IF(F1082="",0,1)</f>
        <v/>
      </c>
      <c r="H1082" s="29">
        <f>IF(F1082="","",INDEX(Deals!$E$2:$E$843,F1082))</f>
        <v/>
      </c>
      <c r="I1082">
        <f>IF(F1082="","",INDEX(Deals!$D$2:$D$843,F1082))</f>
        <v/>
      </c>
      <c r="J1082">
        <f>IF(F1082="","",INT(H1082)-B1082)</f>
        <v/>
      </c>
      <c r="K1082">
        <f>IF(B1082&gt;=Settings!$C$5,1,0)</f>
        <v/>
      </c>
    </row>
    <row r="1083">
      <c r="A1083" t="inlineStr">
        <is>
          <t>ca1e7c16062816dd5c888af7ea5afa0b</t>
        </is>
      </c>
      <c r="B1083" s="29" t="n">
        <v>42944</v>
      </c>
      <c r="C1083" t="inlineStr">
        <is>
          <t>2017-07</t>
        </is>
      </c>
      <c r="D1083" t="inlineStr">
        <is>
          <t>22c29808c4f815213303f8933030604c</t>
        </is>
      </c>
      <c r="E1083" t="inlineStr">
        <is>
          <t>(missing)</t>
        </is>
      </c>
      <c r="F1083">
        <f>IFERROR(MATCH(A1083,Deals!$A$2:$A$843,0),"")</f>
        <v/>
      </c>
      <c r="G1083">
        <f>IF(F1083="",0,1)</f>
        <v/>
      </c>
      <c r="H1083" s="29">
        <f>IF(F1083="","",INDEX(Deals!$E$2:$E$843,F1083))</f>
        <v/>
      </c>
      <c r="I1083">
        <f>IF(F1083="","",INDEX(Deals!$D$2:$D$843,F1083))</f>
        <v/>
      </c>
      <c r="J1083">
        <f>IF(F1083="","",INT(H1083)-B1083)</f>
        <v/>
      </c>
      <c r="K1083">
        <f>IF(B1083&gt;=Settings!$C$5,1,0)</f>
        <v/>
      </c>
    </row>
    <row r="1084">
      <c r="A1084" t="inlineStr">
        <is>
          <t>34397a04ace45dd67fc43e09871ff3a5</t>
        </is>
      </c>
      <c r="B1084" s="29" t="n">
        <v>43190</v>
      </c>
      <c r="C1084" t="inlineStr">
        <is>
          <t>2018-03</t>
        </is>
      </c>
      <c r="D1084" t="inlineStr">
        <is>
          <t>58326e62183c14b0c03085c33b9fdc44</t>
        </is>
      </c>
      <c r="E1084" t="inlineStr">
        <is>
          <t>organic_search</t>
        </is>
      </c>
      <c r="F1084">
        <f>IFERROR(MATCH(A1084,Deals!$A$2:$A$843,0),"")</f>
        <v/>
      </c>
      <c r="G1084">
        <f>IF(F1084="",0,1)</f>
        <v/>
      </c>
      <c r="H1084" s="29">
        <f>IF(F1084="","",INDEX(Deals!$E$2:$E$843,F1084))</f>
        <v/>
      </c>
      <c r="I1084">
        <f>IF(F1084="","",INDEX(Deals!$D$2:$D$843,F1084))</f>
        <v/>
      </c>
      <c r="J1084">
        <f>IF(F1084="","",INT(H1084)-B1084)</f>
        <v/>
      </c>
      <c r="K1084">
        <f>IF(B1084&gt;=Settings!$C$5,1,0)</f>
        <v/>
      </c>
    </row>
    <row r="1085">
      <c r="A1085" t="inlineStr">
        <is>
          <t>b16e34cc63d75ffc0e29ef3229802db9</t>
        </is>
      </c>
      <c r="B1085" s="29" t="n">
        <v>43241</v>
      </c>
      <c r="C1085" t="inlineStr">
        <is>
          <t>2018-05</t>
        </is>
      </c>
      <c r="D1085" t="inlineStr">
        <is>
          <t>330b9d44078a1ae5a221d655dcb77afa</t>
        </is>
      </c>
      <c r="E1085" t="inlineStr">
        <is>
          <t>organic_search</t>
        </is>
      </c>
      <c r="F1085">
        <f>IFERROR(MATCH(A1085,Deals!$A$2:$A$843,0),"")</f>
        <v/>
      </c>
      <c r="G1085">
        <f>IF(F1085="",0,1)</f>
        <v/>
      </c>
      <c r="H1085" s="29">
        <f>IF(F1085="","",INDEX(Deals!$E$2:$E$843,F1085))</f>
        <v/>
      </c>
      <c r="I1085">
        <f>IF(F1085="","",INDEX(Deals!$D$2:$D$843,F1085))</f>
        <v/>
      </c>
      <c r="J1085">
        <f>IF(F1085="","",INT(H1085)-B1085)</f>
        <v/>
      </c>
      <c r="K1085">
        <f>IF(B1085&gt;=Settings!$C$5,1,0)</f>
        <v/>
      </c>
    </row>
    <row r="1086">
      <c r="A1086" t="inlineStr">
        <is>
          <t>b08895656b247052add65727526fc044</t>
        </is>
      </c>
      <c r="B1086" s="29" t="n">
        <v>43089</v>
      </c>
      <c r="C1086" t="inlineStr">
        <is>
          <t>2017-12</t>
        </is>
      </c>
      <c r="D1086" t="inlineStr">
        <is>
          <t>1722481ac9e5371e5099dea226b5421d</t>
        </is>
      </c>
      <c r="E1086" t="inlineStr">
        <is>
          <t>organic_search</t>
        </is>
      </c>
      <c r="F1086">
        <f>IFERROR(MATCH(A1086,Deals!$A$2:$A$843,0),"")</f>
        <v/>
      </c>
      <c r="G1086">
        <f>IF(F1086="",0,1)</f>
        <v/>
      </c>
      <c r="H1086" s="29">
        <f>IF(F1086="","",INDEX(Deals!$E$2:$E$843,F1086))</f>
        <v/>
      </c>
      <c r="I1086">
        <f>IF(F1086="","",INDEX(Deals!$D$2:$D$843,F1086))</f>
        <v/>
      </c>
      <c r="J1086">
        <f>IF(F1086="","",INT(H1086)-B1086)</f>
        <v/>
      </c>
      <c r="K1086">
        <f>IF(B1086&gt;=Settings!$C$5,1,0)</f>
        <v/>
      </c>
    </row>
    <row r="1087">
      <c r="A1087" t="inlineStr">
        <is>
          <t>104a1942ed09ee1cc3f7cf16c23ff10e</t>
        </is>
      </c>
      <c r="B1087" s="29" t="n">
        <v>43125</v>
      </c>
      <c r="C1087" t="inlineStr">
        <is>
          <t>2018-01</t>
        </is>
      </c>
      <c r="D1087" t="inlineStr">
        <is>
          <t>d45d558f0daeecf3cccdffe3c59684aa</t>
        </is>
      </c>
      <c r="E1087" t="inlineStr">
        <is>
          <t>referral</t>
        </is>
      </c>
      <c r="F1087">
        <f>IFERROR(MATCH(A1087,Deals!$A$2:$A$843,0),"")</f>
        <v/>
      </c>
      <c r="G1087">
        <f>IF(F1087="",0,1)</f>
        <v/>
      </c>
      <c r="H1087" s="29">
        <f>IF(F1087="","",INDEX(Deals!$E$2:$E$843,F1087))</f>
        <v/>
      </c>
      <c r="I1087">
        <f>IF(F1087="","",INDEX(Deals!$D$2:$D$843,F1087))</f>
        <v/>
      </c>
      <c r="J1087">
        <f>IF(F1087="","",INT(H1087)-B1087)</f>
        <v/>
      </c>
      <c r="K1087">
        <f>IF(B1087&gt;=Settings!$C$5,1,0)</f>
        <v/>
      </c>
    </row>
    <row r="1088">
      <c r="A1088" t="inlineStr">
        <is>
          <t>e7707ca4606e44620b2cf0e8ba7357d6</t>
        </is>
      </c>
      <c r="B1088" s="29" t="n">
        <v>43160</v>
      </c>
      <c r="C1088" t="inlineStr">
        <is>
          <t>2018-03</t>
        </is>
      </c>
      <c r="D1088" t="inlineStr">
        <is>
          <t>7fa6214d82e911d070f51ef79381b956</t>
        </is>
      </c>
      <c r="E1088" t="inlineStr">
        <is>
          <t>direct_traffic</t>
        </is>
      </c>
      <c r="F1088">
        <f>IFERROR(MATCH(A1088,Deals!$A$2:$A$843,0),"")</f>
        <v/>
      </c>
      <c r="G1088">
        <f>IF(F1088="",0,1)</f>
        <v/>
      </c>
      <c r="H1088" s="29">
        <f>IF(F1088="","",INDEX(Deals!$E$2:$E$843,F1088))</f>
        <v/>
      </c>
      <c r="I1088">
        <f>IF(F1088="","",INDEX(Deals!$D$2:$D$843,F1088))</f>
        <v/>
      </c>
      <c r="J1088">
        <f>IF(F1088="","",INT(H1088)-B1088)</f>
        <v/>
      </c>
      <c r="K1088">
        <f>IF(B1088&gt;=Settings!$C$5,1,0)</f>
        <v/>
      </c>
    </row>
    <row r="1089">
      <c r="A1089" t="inlineStr">
        <is>
          <t>1e2a84cd1c6fcd7b7a07f49f1cf7f6cc</t>
        </is>
      </c>
      <c r="B1089" s="29" t="n">
        <v>43228</v>
      </c>
      <c r="C1089" t="inlineStr">
        <is>
          <t>2018-05</t>
        </is>
      </c>
      <c r="D1089" t="inlineStr">
        <is>
          <t>22c29808c4f815213303f8933030604c</t>
        </is>
      </c>
      <c r="E1089" t="inlineStr">
        <is>
          <t>organic_search</t>
        </is>
      </c>
      <c r="F1089">
        <f>IFERROR(MATCH(A1089,Deals!$A$2:$A$843,0),"")</f>
        <v/>
      </c>
      <c r="G1089">
        <f>IF(F1089="",0,1)</f>
        <v/>
      </c>
      <c r="H1089" s="29">
        <f>IF(F1089="","",INDEX(Deals!$E$2:$E$843,F1089))</f>
        <v/>
      </c>
      <c r="I1089">
        <f>IF(F1089="","",INDEX(Deals!$D$2:$D$843,F1089))</f>
        <v/>
      </c>
      <c r="J1089">
        <f>IF(F1089="","",INT(H1089)-B1089)</f>
        <v/>
      </c>
      <c r="K1089">
        <f>IF(B1089&gt;=Settings!$C$5,1,0)</f>
        <v/>
      </c>
    </row>
    <row r="1090">
      <c r="A1090" t="inlineStr">
        <is>
          <t>3637d3fd9b55ccec2ee694e7e450cd6d</t>
        </is>
      </c>
      <c r="B1090" s="29" t="n">
        <v>43157</v>
      </c>
      <c r="C1090" t="inlineStr">
        <is>
          <t>2018-02</t>
        </is>
      </c>
      <c r="D1090" t="inlineStr">
        <is>
          <t>0e5a178e3cd2368607f3e72f46140476</t>
        </is>
      </c>
      <c r="E1090" t="inlineStr">
        <is>
          <t>email</t>
        </is>
      </c>
      <c r="F1090">
        <f>IFERROR(MATCH(A1090,Deals!$A$2:$A$843,0),"")</f>
        <v/>
      </c>
      <c r="G1090">
        <f>IF(F1090="",0,1)</f>
        <v/>
      </c>
      <c r="H1090" s="29">
        <f>IF(F1090="","",INDEX(Deals!$E$2:$E$843,F1090))</f>
        <v/>
      </c>
      <c r="I1090">
        <f>IF(F1090="","",INDEX(Deals!$D$2:$D$843,F1090))</f>
        <v/>
      </c>
      <c r="J1090">
        <f>IF(F1090="","",INT(H1090)-B1090)</f>
        <v/>
      </c>
      <c r="K1090">
        <f>IF(B1090&gt;=Settings!$C$5,1,0)</f>
        <v/>
      </c>
    </row>
    <row r="1091">
      <c r="A1091" t="inlineStr">
        <is>
          <t>6d2a6eec14654f8703f26fe2c77636b4</t>
        </is>
      </c>
      <c r="B1091" s="29" t="n">
        <v>43189</v>
      </c>
      <c r="C1091" t="inlineStr">
        <is>
          <t>2018-03</t>
        </is>
      </c>
      <c r="D1091" t="inlineStr">
        <is>
          <t>111313f5b9ceedf17ab5af7317a9f9bc</t>
        </is>
      </c>
      <c r="E1091" t="inlineStr">
        <is>
          <t>direct_traffic</t>
        </is>
      </c>
      <c r="F1091">
        <f>IFERROR(MATCH(A1091,Deals!$A$2:$A$843,0),"")</f>
        <v/>
      </c>
      <c r="G1091">
        <f>IF(F1091="",0,1)</f>
        <v/>
      </c>
      <c r="H1091" s="29">
        <f>IF(F1091="","",INDEX(Deals!$E$2:$E$843,F1091))</f>
        <v/>
      </c>
      <c r="I1091">
        <f>IF(F1091="","",INDEX(Deals!$D$2:$D$843,F1091))</f>
        <v/>
      </c>
      <c r="J1091">
        <f>IF(F1091="","",INT(H1091)-B1091)</f>
        <v/>
      </c>
      <c r="K1091">
        <f>IF(B1091&gt;=Settings!$C$5,1,0)</f>
        <v/>
      </c>
    </row>
    <row r="1092">
      <c r="A1092" t="inlineStr">
        <is>
          <t>08178acdaf59fb8ef375c94d8977cc93</t>
        </is>
      </c>
      <c r="B1092" s="29" t="n">
        <v>43046</v>
      </c>
      <c r="C1092" t="inlineStr">
        <is>
          <t>2017-11</t>
        </is>
      </c>
      <c r="D1092" t="inlineStr">
        <is>
          <t>649b7b8b46b254497e92038d88f6ced8</t>
        </is>
      </c>
      <c r="E1092" t="inlineStr">
        <is>
          <t>social</t>
        </is>
      </c>
      <c r="F1092">
        <f>IFERROR(MATCH(A1092,Deals!$A$2:$A$843,0),"")</f>
        <v/>
      </c>
      <c r="G1092">
        <f>IF(F1092="",0,1)</f>
        <v/>
      </c>
      <c r="H1092" s="29">
        <f>IF(F1092="","",INDEX(Deals!$E$2:$E$843,F1092))</f>
        <v/>
      </c>
      <c r="I1092">
        <f>IF(F1092="","",INDEX(Deals!$D$2:$D$843,F1092))</f>
        <v/>
      </c>
      <c r="J1092">
        <f>IF(F1092="","",INT(H1092)-B1092)</f>
        <v/>
      </c>
      <c r="K1092">
        <f>IF(B1092&gt;=Settings!$C$5,1,0)</f>
        <v/>
      </c>
    </row>
    <row r="1093">
      <c r="A1093" t="inlineStr">
        <is>
          <t>d0ab3eaa2d0af7efe82a485a26fb2705</t>
        </is>
      </c>
      <c r="B1093" s="29" t="n">
        <v>42954</v>
      </c>
      <c r="C1093" t="inlineStr">
        <is>
          <t>2017-08</t>
        </is>
      </c>
      <c r="D1093" t="inlineStr">
        <is>
          <t>3b86d7e8c33da2767ad2af9782f383d5</t>
        </is>
      </c>
      <c r="E1093" t="inlineStr">
        <is>
          <t>unknown</t>
        </is>
      </c>
      <c r="F1093">
        <f>IFERROR(MATCH(A1093,Deals!$A$2:$A$843,0),"")</f>
        <v/>
      </c>
      <c r="G1093">
        <f>IF(F1093="",0,1)</f>
        <v/>
      </c>
      <c r="H1093" s="29">
        <f>IF(F1093="","",INDEX(Deals!$E$2:$E$843,F1093))</f>
        <v/>
      </c>
      <c r="I1093">
        <f>IF(F1093="","",INDEX(Deals!$D$2:$D$843,F1093))</f>
        <v/>
      </c>
      <c r="J1093">
        <f>IF(F1093="","",INT(H1093)-B1093)</f>
        <v/>
      </c>
      <c r="K1093">
        <f>IF(B1093&gt;=Settings!$C$5,1,0)</f>
        <v/>
      </c>
    </row>
    <row r="1094">
      <c r="A1094" t="inlineStr">
        <is>
          <t>363ed890155b2eeda0aa492cc52e3d34</t>
        </is>
      </c>
      <c r="B1094" s="29" t="n">
        <v>43192</v>
      </c>
      <c r="C1094" t="inlineStr">
        <is>
          <t>2018-04</t>
        </is>
      </c>
      <c r="D1094" t="inlineStr">
        <is>
          <t>7259b9dc88dc397f8a98ab5ce6ce0ab7</t>
        </is>
      </c>
      <c r="E1094" t="inlineStr">
        <is>
          <t>organic_search</t>
        </is>
      </c>
      <c r="F1094">
        <f>IFERROR(MATCH(A1094,Deals!$A$2:$A$843,0),"")</f>
        <v/>
      </c>
      <c r="G1094">
        <f>IF(F1094="",0,1)</f>
        <v/>
      </c>
      <c r="H1094" s="29">
        <f>IF(F1094="","",INDEX(Deals!$E$2:$E$843,F1094))</f>
        <v/>
      </c>
      <c r="I1094">
        <f>IF(F1094="","",INDEX(Deals!$D$2:$D$843,F1094))</f>
        <v/>
      </c>
      <c r="J1094">
        <f>IF(F1094="","",INT(H1094)-B1094)</f>
        <v/>
      </c>
      <c r="K1094">
        <f>IF(B1094&gt;=Settings!$C$5,1,0)</f>
        <v/>
      </c>
    </row>
    <row r="1095">
      <c r="A1095" t="inlineStr">
        <is>
          <t>1d1e4bb3d3850bdaed43f37ed1b501ac</t>
        </is>
      </c>
      <c r="B1095" s="29" t="n">
        <v>43040</v>
      </c>
      <c r="C1095" t="inlineStr">
        <is>
          <t>2017-11</t>
        </is>
      </c>
      <c r="D1095" t="inlineStr">
        <is>
          <t>ce1a65abd0973638f1c887a6efcfa82d</t>
        </is>
      </c>
      <c r="E1095" t="inlineStr">
        <is>
          <t>organic_search</t>
        </is>
      </c>
      <c r="F1095">
        <f>IFERROR(MATCH(A1095,Deals!$A$2:$A$843,0),"")</f>
        <v/>
      </c>
      <c r="G1095">
        <f>IF(F1095="",0,1)</f>
        <v/>
      </c>
      <c r="H1095" s="29">
        <f>IF(F1095="","",INDEX(Deals!$E$2:$E$843,F1095))</f>
        <v/>
      </c>
      <c r="I1095">
        <f>IF(F1095="","",INDEX(Deals!$D$2:$D$843,F1095))</f>
        <v/>
      </c>
      <c r="J1095">
        <f>IF(F1095="","",INT(H1095)-B1095)</f>
        <v/>
      </c>
      <c r="K1095">
        <f>IF(B1095&gt;=Settings!$C$5,1,0)</f>
        <v/>
      </c>
    </row>
    <row r="1096">
      <c r="A1096" t="inlineStr">
        <is>
          <t>ea290b1287e57f0e4583722a27a560fc</t>
        </is>
      </c>
      <c r="B1096" s="29" t="n">
        <v>43045</v>
      </c>
      <c r="C1096" t="inlineStr">
        <is>
          <t>2017-11</t>
        </is>
      </c>
      <c r="D1096" t="inlineStr">
        <is>
          <t>88740e65d5d6b056e0cda098e1ea6313</t>
        </is>
      </c>
      <c r="E1096" t="inlineStr">
        <is>
          <t>social</t>
        </is>
      </c>
      <c r="F1096">
        <f>IFERROR(MATCH(A1096,Deals!$A$2:$A$843,0),"")</f>
        <v/>
      </c>
      <c r="G1096">
        <f>IF(F1096="",0,1)</f>
        <v/>
      </c>
      <c r="H1096" s="29">
        <f>IF(F1096="","",INDEX(Deals!$E$2:$E$843,F1096))</f>
        <v/>
      </c>
      <c r="I1096">
        <f>IF(F1096="","",INDEX(Deals!$D$2:$D$843,F1096))</f>
        <v/>
      </c>
      <c r="J1096">
        <f>IF(F1096="","",INT(H1096)-B1096)</f>
        <v/>
      </c>
      <c r="K1096">
        <f>IF(B1096&gt;=Settings!$C$5,1,0)</f>
        <v/>
      </c>
    </row>
    <row r="1097">
      <c r="A1097" t="inlineStr">
        <is>
          <t>debcfcbcdbc48a17e199bca9d040a4d2</t>
        </is>
      </c>
      <c r="B1097" s="29" t="n">
        <v>43232</v>
      </c>
      <c r="C1097" t="inlineStr">
        <is>
          <t>2018-05</t>
        </is>
      </c>
      <c r="D1097" t="inlineStr">
        <is>
          <t>40dec9f3d5259a3d2dbcdab2114fae47</t>
        </is>
      </c>
      <c r="E1097" t="inlineStr">
        <is>
          <t>paid_search</t>
        </is>
      </c>
      <c r="F1097">
        <f>IFERROR(MATCH(A1097,Deals!$A$2:$A$843,0),"")</f>
        <v/>
      </c>
      <c r="G1097">
        <f>IF(F1097="",0,1)</f>
        <v/>
      </c>
      <c r="H1097" s="29">
        <f>IF(F1097="","",INDEX(Deals!$E$2:$E$843,F1097))</f>
        <v/>
      </c>
      <c r="I1097">
        <f>IF(F1097="","",INDEX(Deals!$D$2:$D$843,F1097))</f>
        <v/>
      </c>
      <c r="J1097">
        <f>IF(F1097="","",INT(H1097)-B1097)</f>
        <v/>
      </c>
      <c r="K1097">
        <f>IF(B1097&gt;=Settings!$C$5,1,0)</f>
        <v/>
      </c>
    </row>
    <row r="1098">
      <c r="A1098" t="inlineStr">
        <is>
          <t>556dd6e75400f8f61f8e864ebef83147</t>
        </is>
      </c>
      <c r="B1098" s="29" t="n">
        <v>43177</v>
      </c>
      <c r="C1098" t="inlineStr">
        <is>
          <t>2018-03</t>
        </is>
      </c>
      <c r="D1098" t="inlineStr">
        <is>
          <t>ce1a65abd0973638f1c887a6efcfa82d</t>
        </is>
      </c>
      <c r="E1098" t="inlineStr">
        <is>
          <t>organic_search</t>
        </is>
      </c>
      <c r="F1098">
        <f>IFERROR(MATCH(A1098,Deals!$A$2:$A$843,0),"")</f>
        <v/>
      </c>
      <c r="G1098">
        <f>IF(F1098="",0,1)</f>
        <v/>
      </c>
      <c r="H1098" s="29">
        <f>IF(F1098="","",INDEX(Deals!$E$2:$E$843,F1098))</f>
        <v/>
      </c>
      <c r="I1098">
        <f>IF(F1098="","",INDEX(Deals!$D$2:$D$843,F1098))</f>
        <v/>
      </c>
      <c r="J1098">
        <f>IF(F1098="","",INT(H1098)-B1098)</f>
        <v/>
      </c>
      <c r="K1098">
        <f>IF(B1098&gt;=Settings!$C$5,1,0)</f>
        <v/>
      </c>
    </row>
    <row r="1099">
      <c r="A1099" t="inlineStr">
        <is>
          <t>3570b5f72981d5b8610852a8d33a6f27</t>
        </is>
      </c>
      <c r="B1099" s="29" t="n">
        <v>42949</v>
      </c>
      <c r="C1099" t="inlineStr">
        <is>
          <t>2017-08</t>
        </is>
      </c>
      <c r="D1099" t="inlineStr">
        <is>
          <t>3b86d7e8c33da2767ad2af9782f383d5</t>
        </is>
      </c>
      <c r="E1099" t="inlineStr">
        <is>
          <t>organic_search</t>
        </is>
      </c>
      <c r="F1099">
        <f>IFERROR(MATCH(A1099,Deals!$A$2:$A$843,0),"")</f>
        <v/>
      </c>
      <c r="G1099">
        <f>IF(F1099="",0,1)</f>
        <v/>
      </c>
      <c r="H1099" s="29">
        <f>IF(F1099="","",INDEX(Deals!$E$2:$E$843,F1099))</f>
        <v/>
      </c>
      <c r="I1099">
        <f>IF(F1099="","",INDEX(Deals!$D$2:$D$843,F1099))</f>
        <v/>
      </c>
      <c r="J1099">
        <f>IF(F1099="","",INT(H1099)-B1099)</f>
        <v/>
      </c>
      <c r="K1099">
        <f>IF(B1099&gt;=Settings!$C$5,1,0)</f>
        <v/>
      </c>
    </row>
    <row r="1100">
      <c r="A1100" t="inlineStr">
        <is>
          <t>211521eb56443380d6a56187203ab1f2</t>
        </is>
      </c>
      <c r="B1100" s="29" t="n">
        <v>43135</v>
      </c>
      <c r="C1100" t="inlineStr">
        <is>
          <t>2018-02</t>
        </is>
      </c>
      <c r="D1100" t="inlineStr">
        <is>
          <t>0218f6be0b76aca72ab4d00ee9e8cf10</t>
        </is>
      </c>
      <c r="E1100" t="inlineStr">
        <is>
          <t>paid_search</t>
        </is>
      </c>
      <c r="F1100">
        <f>IFERROR(MATCH(A1100,Deals!$A$2:$A$843,0),"")</f>
        <v/>
      </c>
      <c r="G1100">
        <f>IF(F1100="",0,1)</f>
        <v/>
      </c>
      <c r="H1100" s="29">
        <f>IF(F1100="","",INDEX(Deals!$E$2:$E$843,F1100))</f>
        <v/>
      </c>
      <c r="I1100">
        <f>IF(F1100="","",INDEX(Deals!$D$2:$D$843,F1100))</f>
        <v/>
      </c>
      <c r="J1100">
        <f>IF(F1100="","",INT(H1100)-B1100)</f>
        <v/>
      </c>
      <c r="K1100">
        <f>IF(B1100&gt;=Settings!$C$5,1,0)</f>
        <v/>
      </c>
    </row>
    <row r="1101">
      <c r="A1101" t="inlineStr">
        <is>
          <t>72321155cd8e47d3bb0f0801f5024f9f</t>
        </is>
      </c>
      <c r="B1101" s="29" t="n">
        <v>43228</v>
      </c>
      <c r="C1101" t="inlineStr">
        <is>
          <t>2018-05</t>
        </is>
      </c>
      <c r="D1101" t="inlineStr">
        <is>
          <t>1ceb590cd1e00c7ee95220971f82693d</t>
        </is>
      </c>
      <c r="E1101" t="inlineStr">
        <is>
          <t>paid_search</t>
        </is>
      </c>
      <c r="F1101">
        <f>IFERROR(MATCH(A1101,Deals!$A$2:$A$843,0),"")</f>
        <v/>
      </c>
      <c r="G1101">
        <f>IF(F1101="",0,1)</f>
        <v/>
      </c>
      <c r="H1101" s="29">
        <f>IF(F1101="","",INDEX(Deals!$E$2:$E$843,F1101))</f>
        <v/>
      </c>
      <c r="I1101">
        <f>IF(F1101="","",INDEX(Deals!$D$2:$D$843,F1101))</f>
        <v/>
      </c>
      <c r="J1101">
        <f>IF(F1101="","",INT(H1101)-B1101)</f>
        <v/>
      </c>
      <c r="K1101">
        <f>IF(B1101&gt;=Settings!$C$5,1,0)</f>
        <v/>
      </c>
    </row>
    <row r="1102">
      <c r="A1102" t="inlineStr">
        <is>
          <t>b44d4a198e1a6f8a50e48ba713684725</t>
        </is>
      </c>
      <c r="B1102" s="29" t="n">
        <v>43201</v>
      </c>
      <c r="C1102" t="inlineStr">
        <is>
          <t>2018-04</t>
        </is>
      </c>
      <c r="D1102" t="inlineStr">
        <is>
          <t>58326e62183c14b0c03085c33b9fdc44</t>
        </is>
      </c>
      <c r="E1102" t="inlineStr">
        <is>
          <t>social</t>
        </is>
      </c>
      <c r="F1102">
        <f>IFERROR(MATCH(A1102,Deals!$A$2:$A$843,0),"")</f>
        <v/>
      </c>
      <c r="G1102">
        <f>IF(F1102="",0,1)</f>
        <v/>
      </c>
      <c r="H1102" s="29">
        <f>IF(F1102="","",INDEX(Deals!$E$2:$E$843,F1102))</f>
        <v/>
      </c>
      <c r="I1102">
        <f>IF(F1102="","",INDEX(Deals!$D$2:$D$843,F1102))</f>
        <v/>
      </c>
      <c r="J1102">
        <f>IF(F1102="","",INT(H1102)-B1102)</f>
        <v/>
      </c>
      <c r="K1102">
        <f>IF(B1102&gt;=Settings!$C$5,1,0)</f>
        <v/>
      </c>
    </row>
    <row r="1103">
      <c r="A1103" t="inlineStr">
        <is>
          <t>3e7748adb8d637c8809075afde6f6e3f</t>
        </is>
      </c>
      <c r="B1103" s="29" t="n">
        <v>43234</v>
      </c>
      <c r="C1103" t="inlineStr">
        <is>
          <t>2018-05</t>
        </is>
      </c>
      <c r="D1103" t="inlineStr">
        <is>
          <t>58326e62183c14b0c03085c33b9fdc44</t>
        </is>
      </c>
      <c r="E1103" t="inlineStr">
        <is>
          <t>social</t>
        </is>
      </c>
      <c r="F1103">
        <f>IFERROR(MATCH(A1103,Deals!$A$2:$A$843,0),"")</f>
        <v/>
      </c>
      <c r="G1103">
        <f>IF(F1103="",0,1)</f>
        <v/>
      </c>
      <c r="H1103" s="29">
        <f>IF(F1103="","",INDEX(Deals!$E$2:$E$843,F1103))</f>
        <v/>
      </c>
      <c r="I1103">
        <f>IF(F1103="","",INDEX(Deals!$D$2:$D$843,F1103))</f>
        <v/>
      </c>
      <c r="J1103">
        <f>IF(F1103="","",INT(H1103)-B1103)</f>
        <v/>
      </c>
      <c r="K1103">
        <f>IF(B1103&gt;=Settings!$C$5,1,0)</f>
        <v/>
      </c>
    </row>
    <row r="1104">
      <c r="A1104" t="inlineStr">
        <is>
          <t>56497e4ee7adaa68126174b985b7081c</t>
        </is>
      </c>
      <c r="B1104" s="29" t="n">
        <v>42948</v>
      </c>
      <c r="C1104" t="inlineStr">
        <is>
          <t>2017-08</t>
        </is>
      </c>
      <c r="D1104" t="inlineStr">
        <is>
          <t>83ccc33d426eab8a3db70bd15aba46b8</t>
        </is>
      </c>
      <c r="E1104" t="inlineStr">
        <is>
          <t>organic_search</t>
        </is>
      </c>
      <c r="F1104">
        <f>IFERROR(MATCH(A1104,Deals!$A$2:$A$843,0),"")</f>
        <v/>
      </c>
      <c r="G1104">
        <f>IF(F1104="",0,1)</f>
        <v/>
      </c>
      <c r="H1104" s="29">
        <f>IF(F1104="","",INDEX(Deals!$E$2:$E$843,F1104))</f>
        <v/>
      </c>
      <c r="I1104">
        <f>IF(F1104="","",INDEX(Deals!$D$2:$D$843,F1104))</f>
        <v/>
      </c>
      <c r="J1104">
        <f>IF(F1104="","",INT(H1104)-B1104)</f>
        <v/>
      </c>
      <c r="K1104">
        <f>IF(B1104&gt;=Settings!$C$5,1,0)</f>
        <v/>
      </c>
    </row>
    <row r="1105">
      <c r="A1105" t="inlineStr">
        <is>
          <t>3f4f8e5619fbbf55669bece66b224fc5</t>
        </is>
      </c>
      <c r="B1105" s="29" t="n">
        <v>43123</v>
      </c>
      <c r="C1105" t="inlineStr">
        <is>
          <t>2018-01</t>
        </is>
      </c>
      <c r="D1105" t="inlineStr">
        <is>
          <t>30077c17f2ec5010a82e37ad8925b95f</t>
        </is>
      </c>
      <c r="E1105" t="inlineStr">
        <is>
          <t>paid_search</t>
        </is>
      </c>
      <c r="F1105">
        <f>IFERROR(MATCH(A1105,Deals!$A$2:$A$843,0),"")</f>
        <v/>
      </c>
      <c r="G1105">
        <f>IF(F1105="",0,1)</f>
        <v/>
      </c>
      <c r="H1105" s="29">
        <f>IF(F1105="","",INDEX(Deals!$E$2:$E$843,F1105))</f>
        <v/>
      </c>
      <c r="I1105">
        <f>IF(F1105="","",INDEX(Deals!$D$2:$D$843,F1105))</f>
        <v/>
      </c>
      <c r="J1105">
        <f>IF(F1105="","",INT(H1105)-B1105)</f>
        <v/>
      </c>
      <c r="K1105">
        <f>IF(B1105&gt;=Settings!$C$5,1,0)</f>
        <v/>
      </c>
    </row>
    <row r="1106">
      <c r="A1106" t="inlineStr">
        <is>
          <t>ab01c498f45599c8f8df1d98c3f60fa2</t>
        </is>
      </c>
      <c r="B1106" s="29" t="n">
        <v>43119</v>
      </c>
      <c r="C1106" t="inlineStr">
        <is>
          <t>2018-01</t>
        </is>
      </c>
      <c r="D1106" t="inlineStr">
        <is>
          <t>40dec9f3d5259a3d2dbcdab2114fae47</t>
        </is>
      </c>
      <c r="E1106" t="inlineStr">
        <is>
          <t>paid_search</t>
        </is>
      </c>
      <c r="F1106">
        <f>IFERROR(MATCH(A1106,Deals!$A$2:$A$843,0),"")</f>
        <v/>
      </c>
      <c r="G1106">
        <f>IF(F1106="",0,1)</f>
        <v/>
      </c>
      <c r="H1106" s="29">
        <f>IF(F1106="","",INDEX(Deals!$E$2:$E$843,F1106))</f>
        <v/>
      </c>
      <c r="I1106">
        <f>IF(F1106="","",INDEX(Deals!$D$2:$D$843,F1106))</f>
        <v/>
      </c>
      <c r="J1106">
        <f>IF(F1106="","",INT(H1106)-B1106)</f>
        <v/>
      </c>
      <c r="K1106">
        <f>IF(B1106&gt;=Settings!$C$5,1,0)</f>
        <v/>
      </c>
    </row>
    <row r="1107">
      <c r="A1107" t="inlineStr">
        <is>
          <t>e6ca77b059a8ec5a7842944270fbe749</t>
        </is>
      </c>
      <c r="B1107" s="29" t="n">
        <v>43011</v>
      </c>
      <c r="C1107" t="inlineStr">
        <is>
          <t>2017-10</t>
        </is>
      </c>
      <c r="D1107" t="inlineStr">
        <is>
          <t>b76ef37428e6799c421989521c0e5077</t>
        </is>
      </c>
      <c r="E1107" t="inlineStr">
        <is>
          <t>unknown</t>
        </is>
      </c>
      <c r="F1107">
        <f>IFERROR(MATCH(A1107,Deals!$A$2:$A$843,0),"")</f>
        <v/>
      </c>
      <c r="G1107">
        <f>IF(F1107="",0,1)</f>
        <v/>
      </c>
      <c r="H1107" s="29">
        <f>IF(F1107="","",INDEX(Deals!$E$2:$E$843,F1107))</f>
        <v/>
      </c>
      <c r="I1107">
        <f>IF(F1107="","",INDEX(Deals!$D$2:$D$843,F1107))</f>
        <v/>
      </c>
      <c r="J1107">
        <f>IF(F1107="","",INT(H1107)-B1107)</f>
        <v/>
      </c>
      <c r="K1107">
        <f>IF(B1107&gt;=Settings!$C$5,1,0)</f>
        <v/>
      </c>
    </row>
    <row r="1108">
      <c r="A1108" t="inlineStr">
        <is>
          <t>b9dcc879795a73205c53d040d5fb1168</t>
        </is>
      </c>
      <c r="B1108" s="29" t="n">
        <v>43117</v>
      </c>
      <c r="C1108" t="inlineStr">
        <is>
          <t>2018-01</t>
        </is>
      </c>
      <c r="D1108" t="inlineStr">
        <is>
          <t>d83b0d0e48c8447d1d5507a44027a955</t>
        </is>
      </c>
      <c r="E1108" t="inlineStr">
        <is>
          <t>social</t>
        </is>
      </c>
      <c r="F1108">
        <f>IFERROR(MATCH(A1108,Deals!$A$2:$A$843,0),"")</f>
        <v/>
      </c>
      <c r="G1108">
        <f>IF(F1108="",0,1)</f>
        <v/>
      </c>
      <c r="H1108" s="29">
        <f>IF(F1108="","",INDEX(Deals!$E$2:$E$843,F1108))</f>
        <v/>
      </c>
      <c r="I1108">
        <f>IF(F1108="","",INDEX(Deals!$D$2:$D$843,F1108))</f>
        <v/>
      </c>
      <c r="J1108">
        <f>IF(F1108="","",INT(H1108)-B1108)</f>
        <v/>
      </c>
      <c r="K1108">
        <f>IF(B1108&gt;=Settings!$C$5,1,0)</f>
        <v/>
      </c>
    </row>
    <row r="1109">
      <c r="A1109" t="inlineStr">
        <is>
          <t>a49fd603d1749c04310a609de0235e32</t>
        </is>
      </c>
      <c r="B1109" s="29" t="n">
        <v>43238</v>
      </c>
      <c r="C1109" t="inlineStr">
        <is>
          <t>2018-05</t>
        </is>
      </c>
      <c r="D1109" t="inlineStr">
        <is>
          <t>58326e62183c14b0c03085c33b9fdc44</t>
        </is>
      </c>
      <c r="E1109" t="inlineStr">
        <is>
          <t>social</t>
        </is>
      </c>
      <c r="F1109">
        <f>IFERROR(MATCH(A1109,Deals!$A$2:$A$843,0),"")</f>
        <v/>
      </c>
      <c r="G1109">
        <f>IF(F1109="",0,1)</f>
        <v/>
      </c>
      <c r="H1109" s="29">
        <f>IF(F1109="","",INDEX(Deals!$E$2:$E$843,F1109))</f>
        <v/>
      </c>
      <c r="I1109">
        <f>IF(F1109="","",INDEX(Deals!$D$2:$D$843,F1109))</f>
        <v/>
      </c>
      <c r="J1109">
        <f>IF(F1109="","",INT(H1109)-B1109)</f>
        <v/>
      </c>
      <c r="K1109">
        <f>IF(B1109&gt;=Settings!$C$5,1,0)</f>
        <v/>
      </c>
    </row>
    <row r="1110">
      <c r="A1110" t="inlineStr">
        <is>
          <t>64ca07cd423602e0a1806f17f6c51e43</t>
        </is>
      </c>
      <c r="B1110" s="29" t="n">
        <v>42938</v>
      </c>
      <c r="C1110" t="inlineStr">
        <is>
          <t>2017-07</t>
        </is>
      </c>
      <c r="D1110" t="inlineStr">
        <is>
          <t>91dbdf987124ca09b297bd87f06b5e64</t>
        </is>
      </c>
      <c r="E1110" t="inlineStr">
        <is>
          <t>paid_search</t>
        </is>
      </c>
      <c r="F1110">
        <f>IFERROR(MATCH(A1110,Deals!$A$2:$A$843,0),"")</f>
        <v/>
      </c>
      <c r="G1110">
        <f>IF(F1110="",0,1)</f>
        <v/>
      </c>
      <c r="H1110" s="29">
        <f>IF(F1110="","",INDEX(Deals!$E$2:$E$843,F1110))</f>
        <v/>
      </c>
      <c r="I1110">
        <f>IF(F1110="","",INDEX(Deals!$D$2:$D$843,F1110))</f>
        <v/>
      </c>
      <c r="J1110">
        <f>IF(F1110="","",INT(H1110)-B1110)</f>
        <v/>
      </c>
      <c r="K1110">
        <f>IF(B1110&gt;=Settings!$C$5,1,0)</f>
        <v/>
      </c>
    </row>
    <row r="1111">
      <c r="A1111" t="inlineStr">
        <is>
          <t>1ab8d42d9e4a6b86010ac0a10c58fa86</t>
        </is>
      </c>
      <c r="B1111" s="29" t="n">
        <v>43239</v>
      </c>
      <c r="C1111" t="inlineStr">
        <is>
          <t>2018-05</t>
        </is>
      </c>
      <c r="D1111" t="inlineStr">
        <is>
          <t>d1bad8bf984bd4d7ee08f814ca589897</t>
        </is>
      </c>
      <c r="E1111" t="inlineStr">
        <is>
          <t>paid_search</t>
        </is>
      </c>
      <c r="F1111">
        <f>IFERROR(MATCH(A1111,Deals!$A$2:$A$843,0),"")</f>
        <v/>
      </c>
      <c r="G1111">
        <f>IF(F1111="",0,1)</f>
        <v/>
      </c>
      <c r="H1111" s="29">
        <f>IF(F1111="","",INDEX(Deals!$E$2:$E$843,F1111))</f>
        <v/>
      </c>
      <c r="I1111">
        <f>IF(F1111="","",INDEX(Deals!$D$2:$D$843,F1111))</f>
        <v/>
      </c>
      <c r="J1111">
        <f>IF(F1111="","",INT(H1111)-B1111)</f>
        <v/>
      </c>
      <c r="K1111">
        <f>IF(B1111&gt;=Settings!$C$5,1,0)</f>
        <v/>
      </c>
    </row>
    <row r="1112">
      <c r="A1112" t="inlineStr">
        <is>
          <t>adaedfcb189c2913db383791af9b8ec3</t>
        </is>
      </c>
      <c r="B1112" s="29" t="n">
        <v>43165</v>
      </c>
      <c r="C1112" t="inlineStr">
        <is>
          <t>2018-03</t>
        </is>
      </c>
      <c r="D1112" t="inlineStr">
        <is>
          <t>3d75f6dd34b968151b3e86c9e28f1379</t>
        </is>
      </c>
      <c r="E1112" t="inlineStr">
        <is>
          <t>(missing)</t>
        </is>
      </c>
      <c r="F1112">
        <f>IFERROR(MATCH(A1112,Deals!$A$2:$A$843,0),"")</f>
        <v/>
      </c>
      <c r="G1112">
        <f>IF(F1112="",0,1)</f>
        <v/>
      </c>
      <c r="H1112" s="29">
        <f>IF(F1112="","",INDEX(Deals!$E$2:$E$843,F1112))</f>
        <v/>
      </c>
      <c r="I1112">
        <f>IF(F1112="","",INDEX(Deals!$D$2:$D$843,F1112))</f>
        <v/>
      </c>
      <c r="J1112">
        <f>IF(F1112="","",INT(H1112)-B1112)</f>
        <v/>
      </c>
      <c r="K1112">
        <f>IF(B1112&gt;=Settings!$C$5,1,0)</f>
        <v/>
      </c>
    </row>
    <row r="1113">
      <c r="A1113" t="inlineStr">
        <is>
          <t>45ec40b01a59e8f10dd49b290314c22e</t>
        </is>
      </c>
      <c r="B1113" s="29" t="n">
        <v>43228</v>
      </c>
      <c r="C1113" t="inlineStr">
        <is>
          <t>2018-05</t>
        </is>
      </c>
      <c r="D1113" t="inlineStr">
        <is>
          <t>ce1a65abd0973638f1c887a6efcfa82d</t>
        </is>
      </c>
      <c r="E1113" t="inlineStr">
        <is>
          <t>organic_search</t>
        </is>
      </c>
      <c r="F1113">
        <f>IFERROR(MATCH(A1113,Deals!$A$2:$A$843,0),"")</f>
        <v/>
      </c>
      <c r="G1113">
        <f>IF(F1113="",0,1)</f>
        <v/>
      </c>
      <c r="H1113" s="29">
        <f>IF(F1113="","",INDEX(Deals!$E$2:$E$843,F1113))</f>
        <v/>
      </c>
      <c r="I1113">
        <f>IF(F1113="","",INDEX(Deals!$D$2:$D$843,F1113))</f>
        <v/>
      </c>
      <c r="J1113">
        <f>IF(F1113="","",INT(H1113)-B1113)</f>
        <v/>
      </c>
      <c r="K1113">
        <f>IF(B1113&gt;=Settings!$C$5,1,0)</f>
        <v/>
      </c>
    </row>
    <row r="1114">
      <c r="A1114" t="inlineStr">
        <is>
          <t>88265682f64ddb514c09888a3a37c511</t>
        </is>
      </c>
      <c r="B1114" s="29" t="n">
        <v>43230</v>
      </c>
      <c r="C1114" t="inlineStr">
        <is>
          <t>2018-05</t>
        </is>
      </c>
      <c r="D1114" t="inlineStr">
        <is>
          <t>0a946f83fbafa9ebf3d1c1083a6d865b</t>
        </is>
      </c>
      <c r="E1114" t="inlineStr">
        <is>
          <t>direct_traffic</t>
        </is>
      </c>
      <c r="F1114">
        <f>IFERROR(MATCH(A1114,Deals!$A$2:$A$843,0),"")</f>
        <v/>
      </c>
      <c r="G1114">
        <f>IF(F1114="",0,1)</f>
        <v/>
      </c>
      <c r="H1114" s="29">
        <f>IF(F1114="","",INDEX(Deals!$E$2:$E$843,F1114))</f>
        <v/>
      </c>
      <c r="I1114">
        <f>IF(F1114="","",INDEX(Deals!$D$2:$D$843,F1114))</f>
        <v/>
      </c>
      <c r="J1114">
        <f>IF(F1114="","",INT(H1114)-B1114)</f>
        <v/>
      </c>
      <c r="K1114">
        <f>IF(B1114&gt;=Settings!$C$5,1,0)</f>
        <v/>
      </c>
    </row>
    <row r="1115">
      <c r="A1115" t="inlineStr">
        <is>
          <t>eae815dbac9ddb49fcf84c3acb52ba08</t>
        </is>
      </c>
      <c r="B1115" s="29" t="n">
        <v>43026</v>
      </c>
      <c r="C1115" t="inlineStr">
        <is>
          <t>2017-10</t>
        </is>
      </c>
      <c r="D1115" t="inlineStr">
        <is>
          <t>f017be4dbf86243af5c1ebed0cff36a2</t>
        </is>
      </c>
      <c r="E1115" t="inlineStr">
        <is>
          <t>organic_search</t>
        </is>
      </c>
      <c r="F1115">
        <f>IFERROR(MATCH(A1115,Deals!$A$2:$A$843,0),"")</f>
        <v/>
      </c>
      <c r="G1115">
        <f>IF(F1115="",0,1)</f>
        <v/>
      </c>
      <c r="H1115" s="29">
        <f>IF(F1115="","",INDEX(Deals!$E$2:$E$843,F1115))</f>
        <v/>
      </c>
      <c r="I1115">
        <f>IF(F1115="","",INDEX(Deals!$D$2:$D$843,F1115))</f>
        <v/>
      </c>
      <c r="J1115">
        <f>IF(F1115="","",INT(H1115)-B1115)</f>
        <v/>
      </c>
      <c r="K1115">
        <f>IF(B1115&gt;=Settings!$C$5,1,0)</f>
        <v/>
      </c>
    </row>
    <row r="1116">
      <c r="A1116" t="inlineStr">
        <is>
          <t>bc02c3189f98e081dc7884feac82de6e</t>
        </is>
      </c>
      <c r="B1116" s="29" t="n">
        <v>43064</v>
      </c>
      <c r="C1116" t="inlineStr">
        <is>
          <t>2017-11</t>
        </is>
      </c>
      <c r="D1116" t="inlineStr">
        <is>
          <t>88740e65d5d6b056e0cda098e1ea6313</t>
        </is>
      </c>
      <c r="E1116" t="inlineStr">
        <is>
          <t>social</t>
        </is>
      </c>
      <c r="F1116">
        <f>IFERROR(MATCH(A1116,Deals!$A$2:$A$843,0),"")</f>
        <v/>
      </c>
      <c r="G1116">
        <f>IF(F1116="",0,1)</f>
        <v/>
      </c>
      <c r="H1116" s="29">
        <f>IF(F1116="","",INDEX(Deals!$E$2:$E$843,F1116))</f>
        <v/>
      </c>
      <c r="I1116">
        <f>IF(F1116="","",INDEX(Deals!$D$2:$D$843,F1116))</f>
        <v/>
      </c>
      <c r="J1116">
        <f>IF(F1116="","",INT(H1116)-B1116)</f>
        <v/>
      </c>
      <c r="K1116">
        <f>IF(B1116&gt;=Settings!$C$5,1,0)</f>
        <v/>
      </c>
    </row>
    <row r="1117">
      <c r="A1117" t="inlineStr">
        <is>
          <t>c55267f7bb895914a9181a94a0d9b4c3</t>
        </is>
      </c>
      <c r="B1117" s="29" t="n">
        <v>43174</v>
      </c>
      <c r="C1117" t="inlineStr">
        <is>
          <t>2018-03</t>
        </is>
      </c>
      <c r="D1117" t="inlineStr">
        <is>
          <t>e492ee5eaf1697716985cc6f33f9cd9b</t>
        </is>
      </c>
      <c r="E1117" t="inlineStr">
        <is>
          <t>paid_search</t>
        </is>
      </c>
      <c r="F1117">
        <f>IFERROR(MATCH(A1117,Deals!$A$2:$A$843,0),"")</f>
        <v/>
      </c>
      <c r="G1117">
        <f>IF(F1117="",0,1)</f>
        <v/>
      </c>
      <c r="H1117" s="29">
        <f>IF(F1117="","",INDEX(Deals!$E$2:$E$843,F1117))</f>
        <v/>
      </c>
      <c r="I1117">
        <f>IF(F1117="","",INDEX(Deals!$D$2:$D$843,F1117))</f>
        <v/>
      </c>
      <c r="J1117">
        <f>IF(F1117="","",INT(H1117)-B1117)</f>
        <v/>
      </c>
      <c r="K1117">
        <f>IF(B1117&gt;=Settings!$C$5,1,0)</f>
        <v/>
      </c>
    </row>
    <row r="1118">
      <c r="A1118" t="inlineStr">
        <is>
          <t>f559078e976df9bade3f5025d1fe8937</t>
        </is>
      </c>
      <c r="B1118" s="29" t="n">
        <v>42983</v>
      </c>
      <c r="C1118" t="inlineStr">
        <is>
          <t>2017-09</t>
        </is>
      </c>
      <c r="D1118" t="inlineStr">
        <is>
          <t>e492ee5eaf1697716985cc6f33f9cd9b</t>
        </is>
      </c>
      <c r="E1118" t="inlineStr">
        <is>
          <t>paid_search</t>
        </is>
      </c>
      <c r="F1118">
        <f>IFERROR(MATCH(A1118,Deals!$A$2:$A$843,0),"")</f>
        <v/>
      </c>
      <c r="G1118">
        <f>IF(F1118="",0,1)</f>
        <v/>
      </c>
      <c r="H1118" s="29">
        <f>IF(F1118="","",INDEX(Deals!$E$2:$E$843,F1118))</f>
        <v/>
      </c>
      <c r="I1118">
        <f>IF(F1118="","",INDEX(Deals!$D$2:$D$843,F1118))</f>
        <v/>
      </c>
      <c r="J1118">
        <f>IF(F1118="","",INT(H1118)-B1118)</f>
        <v/>
      </c>
      <c r="K1118">
        <f>IF(B1118&gt;=Settings!$C$5,1,0)</f>
        <v/>
      </c>
    </row>
    <row r="1119">
      <c r="A1119" t="inlineStr">
        <is>
          <t>190179748dab1f6aefe985b7e604e609</t>
        </is>
      </c>
      <c r="B1119" s="29" t="n">
        <v>43243</v>
      </c>
      <c r="C1119" t="inlineStr">
        <is>
          <t>2018-05</t>
        </is>
      </c>
      <c r="D1119" t="inlineStr">
        <is>
          <t>a7982125ff7aa3b2054c6e44f9d28522</t>
        </is>
      </c>
      <c r="E1119" t="inlineStr">
        <is>
          <t>organic_search</t>
        </is>
      </c>
      <c r="F1119">
        <f>IFERROR(MATCH(A1119,Deals!$A$2:$A$843,0),"")</f>
        <v/>
      </c>
      <c r="G1119">
        <f>IF(F1119="",0,1)</f>
        <v/>
      </c>
      <c r="H1119" s="29">
        <f>IF(F1119="","",INDEX(Deals!$E$2:$E$843,F1119))</f>
        <v/>
      </c>
      <c r="I1119">
        <f>IF(F1119="","",INDEX(Deals!$D$2:$D$843,F1119))</f>
        <v/>
      </c>
      <c r="J1119">
        <f>IF(F1119="","",INT(H1119)-B1119)</f>
        <v/>
      </c>
      <c r="K1119">
        <f>IF(B1119&gt;=Settings!$C$5,1,0)</f>
        <v/>
      </c>
    </row>
    <row r="1120">
      <c r="A1120" t="inlineStr">
        <is>
          <t>b5372c821691eff5fb470f33af079a64</t>
        </is>
      </c>
      <c r="B1120" s="29" t="n">
        <v>43122</v>
      </c>
      <c r="C1120" t="inlineStr">
        <is>
          <t>2018-01</t>
        </is>
      </c>
      <c r="D1120" t="inlineStr">
        <is>
          <t>ce1a65abd0973638f1c887a6efcfa82d</t>
        </is>
      </c>
      <c r="E1120" t="inlineStr">
        <is>
          <t>direct_traffic</t>
        </is>
      </c>
      <c r="F1120">
        <f>IFERROR(MATCH(A1120,Deals!$A$2:$A$843,0),"")</f>
        <v/>
      </c>
      <c r="G1120">
        <f>IF(F1120="",0,1)</f>
        <v/>
      </c>
      <c r="H1120" s="29">
        <f>IF(F1120="","",INDEX(Deals!$E$2:$E$843,F1120))</f>
        <v/>
      </c>
      <c r="I1120">
        <f>IF(F1120="","",INDEX(Deals!$D$2:$D$843,F1120))</f>
        <v/>
      </c>
      <c r="J1120">
        <f>IF(F1120="","",INT(H1120)-B1120)</f>
        <v/>
      </c>
      <c r="K1120">
        <f>IF(B1120&gt;=Settings!$C$5,1,0)</f>
        <v/>
      </c>
    </row>
    <row r="1121">
      <c r="A1121" t="inlineStr">
        <is>
          <t>92ca5b52d16fb8dc75da8d84deacf408</t>
        </is>
      </c>
      <c r="B1121" s="29" t="n">
        <v>43033</v>
      </c>
      <c r="C1121" t="inlineStr">
        <is>
          <t>2017-10</t>
        </is>
      </c>
      <c r="D1121" t="inlineStr">
        <is>
          <t>7fa6214d82e911d070f51ef79381b956</t>
        </is>
      </c>
      <c r="E1121" t="inlineStr">
        <is>
          <t>organic_search</t>
        </is>
      </c>
      <c r="F1121">
        <f>IFERROR(MATCH(A1121,Deals!$A$2:$A$843,0),"")</f>
        <v/>
      </c>
      <c r="G1121">
        <f>IF(F1121="",0,1)</f>
        <v/>
      </c>
      <c r="H1121" s="29">
        <f>IF(F1121="","",INDEX(Deals!$E$2:$E$843,F1121))</f>
        <v/>
      </c>
      <c r="I1121">
        <f>IF(F1121="","",INDEX(Deals!$D$2:$D$843,F1121))</f>
        <v/>
      </c>
      <c r="J1121">
        <f>IF(F1121="","",INT(H1121)-B1121)</f>
        <v/>
      </c>
      <c r="K1121">
        <f>IF(B1121&gt;=Settings!$C$5,1,0)</f>
        <v/>
      </c>
    </row>
    <row r="1122">
      <c r="A1122" t="inlineStr">
        <is>
          <t>378a1f96defa50e36f4b9ae38b26d89a</t>
        </is>
      </c>
      <c r="B1122" s="29" t="n">
        <v>43180</v>
      </c>
      <c r="C1122" t="inlineStr">
        <is>
          <t>2018-03</t>
        </is>
      </c>
      <c r="D1122" t="inlineStr">
        <is>
          <t>36120633c8737035fbabf079082f4ec1</t>
        </is>
      </c>
      <c r="E1122" t="inlineStr">
        <is>
          <t>organic_search</t>
        </is>
      </c>
      <c r="F1122">
        <f>IFERROR(MATCH(A1122,Deals!$A$2:$A$843,0),"")</f>
        <v/>
      </c>
      <c r="G1122">
        <f>IF(F1122="",0,1)</f>
        <v/>
      </c>
      <c r="H1122" s="29">
        <f>IF(F1122="","",INDEX(Deals!$E$2:$E$843,F1122))</f>
        <v/>
      </c>
      <c r="I1122">
        <f>IF(F1122="","",INDEX(Deals!$D$2:$D$843,F1122))</f>
        <v/>
      </c>
      <c r="J1122">
        <f>IF(F1122="","",INT(H1122)-B1122)</f>
        <v/>
      </c>
      <c r="K1122">
        <f>IF(B1122&gt;=Settings!$C$5,1,0)</f>
        <v/>
      </c>
    </row>
    <row r="1123">
      <c r="A1123" t="inlineStr">
        <is>
          <t>d4e4e52a55cf98172a6d70734dbe990d</t>
        </is>
      </c>
      <c r="B1123" s="29" t="n">
        <v>43168</v>
      </c>
      <c r="C1123" t="inlineStr">
        <is>
          <t>2018-03</t>
        </is>
      </c>
      <c r="D1123" t="inlineStr">
        <is>
          <t>22c29808c4f815213303f8933030604c</t>
        </is>
      </c>
      <c r="E1123" t="inlineStr">
        <is>
          <t>organic_search</t>
        </is>
      </c>
      <c r="F1123">
        <f>IFERROR(MATCH(A1123,Deals!$A$2:$A$843,0),"")</f>
        <v/>
      </c>
      <c r="G1123">
        <f>IF(F1123="",0,1)</f>
        <v/>
      </c>
      <c r="H1123" s="29">
        <f>IF(F1123="","",INDEX(Deals!$E$2:$E$843,F1123))</f>
        <v/>
      </c>
      <c r="I1123">
        <f>IF(F1123="","",INDEX(Deals!$D$2:$D$843,F1123))</f>
        <v/>
      </c>
      <c r="J1123">
        <f>IF(F1123="","",INT(H1123)-B1123)</f>
        <v/>
      </c>
      <c r="K1123">
        <f>IF(B1123&gt;=Settings!$C$5,1,0)</f>
        <v/>
      </c>
    </row>
    <row r="1124">
      <c r="A1124" t="inlineStr">
        <is>
          <t>fdf1f7b57190c3ca663b9ccd301168f8</t>
        </is>
      </c>
      <c r="B1124" s="29" t="n">
        <v>43099</v>
      </c>
      <c r="C1124" t="inlineStr">
        <is>
          <t>2017-12</t>
        </is>
      </c>
      <c r="D1124" t="inlineStr">
        <is>
          <t>22c29808c4f815213303f8933030604c</t>
        </is>
      </c>
      <c r="E1124" t="inlineStr">
        <is>
          <t>referral</t>
        </is>
      </c>
      <c r="F1124">
        <f>IFERROR(MATCH(A1124,Deals!$A$2:$A$843,0),"")</f>
        <v/>
      </c>
      <c r="G1124">
        <f>IF(F1124="",0,1)</f>
        <v/>
      </c>
      <c r="H1124" s="29">
        <f>IF(F1124="","",INDEX(Deals!$E$2:$E$843,F1124))</f>
        <v/>
      </c>
      <c r="I1124">
        <f>IF(F1124="","",INDEX(Deals!$D$2:$D$843,F1124))</f>
        <v/>
      </c>
      <c r="J1124">
        <f>IF(F1124="","",INT(H1124)-B1124)</f>
        <v/>
      </c>
      <c r="K1124">
        <f>IF(B1124&gt;=Settings!$C$5,1,0)</f>
        <v/>
      </c>
    </row>
    <row r="1125">
      <c r="A1125" t="inlineStr">
        <is>
          <t>57fb60bd7737412b1e8f63c3447dfc54</t>
        </is>
      </c>
      <c r="B1125" s="29" t="n">
        <v>43187</v>
      </c>
      <c r="C1125" t="inlineStr">
        <is>
          <t>2018-03</t>
        </is>
      </c>
      <c r="D1125" t="inlineStr">
        <is>
          <t>b217afa2c1f4cb502423005639878f6d</t>
        </is>
      </c>
      <c r="E1125" t="inlineStr">
        <is>
          <t>paid_search</t>
        </is>
      </c>
      <c r="F1125">
        <f>IFERROR(MATCH(A1125,Deals!$A$2:$A$843,0),"")</f>
        <v/>
      </c>
      <c r="G1125">
        <f>IF(F1125="",0,1)</f>
        <v/>
      </c>
      <c r="H1125" s="29">
        <f>IF(F1125="","",INDEX(Deals!$E$2:$E$843,F1125))</f>
        <v/>
      </c>
      <c r="I1125">
        <f>IF(F1125="","",INDEX(Deals!$D$2:$D$843,F1125))</f>
        <v/>
      </c>
      <c r="J1125">
        <f>IF(F1125="","",INT(H1125)-B1125)</f>
        <v/>
      </c>
      <c r="K1125">
        <f>IF(B1125&gt;=Settings!$C$5,1,0)</f>
        <v/>
      </c>
    </row>
    <row r="1126">
      <c r="A1126" t="inlineStr">
        <is>
          <t>165d6a6256273a3430fa4891413ac2f0</t>
        </is>
      </c>
      <c r="B1126" s="29" t="n">
        <v>43168</v>
      </c>
      <c r="C1126" t="inlineStr">
        <is>
          <t>2018-03</t>
        </is>
      </c>
      <c r="D1126" t="inlineStr">
        <is>
          <t>f017be4dbf86243af5c1ebed0cff36a2</t>
        </is>
      </c>
      <c r="E1126" t="inlineStr">
        <is>
          <t>organic_search</t>
        </is>
      </c>
      <c r="F1126">
        <f>IFERROR(MATCH(A1126,Deals!$A$2:$A$843,0),"")</f>
        <v/>
      </c>
      <c r="G1126">
        <f>IF(F1126="",0,1)</f>
        <v/>
      </c>
      <c r="H1126" s="29">
        <f>IF(F1126="","",INDEX(Deals!$E$2:$E$843,F1126))</f>
        <v/>
      </c>
      <c r="I1126">
        <f>IF(F1126="","",INDEX(Deals!$D$2:$D$843,F1126))</f>
        <v/>
      </c>
      <c r="J1126">
        <f>IF(F1126="","",INT(H1126)-B1126)</f>
        <v/>
      </c>
      <c r="K1126">
        <f>IF(B1126&gt;=Settings!$C$5,1,0)</f>
        <v/>
      </c>
    </row>
    <row r="1127">
      <c r="A1127" t="inlineStr">
        <is>
          <t>07d295b50a9c16f891eb1a52ea0372fe</t>
        </is>
      </c>
      <c r="B1127" s="29" t="n">
        <v>43123</v>
      </c>
      <c r="C1127" t="inlineStr">
        <is>
          <t>2018-01</t>
        </is>
      </c>
      <c r="D1127" t="inlineStr">
        <is>
          <t>22c29808c4f815213303f8933030604c</t>
        </is>
      </c>
      <c r="E1127" t="inlineStr">
        <is>
          <t>organic_search</t>
        </is>
      </c>
      <c r="F1127">
        <f>IFERROR(MATCH(A1127,Deals!$A$2:$A$843,0),"")</f>
        <v/>
      </c>
      <c r="G1127">
        <f>IF(F1127="",0,1)</f>
        <v/>
      </c>
      <c r="H1127" s="29">
        <f>IF(F1127="","",INDEX(Deals!$E$2:$E$843,F1127))</f>
        <v/>
      </c>
      <c r="I1127">
        <f>IF(F1127="","",INDEX(Deals!$D$2:$D$843,F1127))</f>
        <v/>
      </c>
      <c r="J1127">
        <f>IF(F1127="","",INT(H1127)-B1127)</f>
        <v/>
      </c>
      <c r="K1127">
        <f>IF(B1127&gt;=Settings!$C$5,1,0)</f>
        <v/>
      </c>
    </row>
    <row r="1128">
      <c r="A1128" t="inlineStr">
        <is>
          <t>afba8d857844affddbc32772d3a37db7</t>
        </is>
      </c>
      <c r="B1128" s="29" t="n">
        <v>43210</v>
      </c>
      <c r="C1128" t="inlineStr">
        <is>
          <t>2018-04</t>
        </is>
      </c>
      <c r="D1128" t="inlineStr">
        <is>
          <t>cb049134a163b197ad8f8df03af26d63</t>
        </is>
      </c>
      <c r="E1128" t="inlineStr">
        <is>
          <t>organic_search</t>
        </is>
      </c>
      <c r="F1128">
        <f>IFERROR(MATCH(A1128,Deals!$A$2:$A$843,0),"")</f>
        <v/>
      </c>
      <c r="G1128">
        <f>IF(F1128="",0,1)</f>
        <v/>
      </c>
      <c r="H1128" s="29">
        <f>IF(F1128="","",INDEX(Deals!$E$2:$E$843,F1128))</f>
        <v/>
      </c>
      <c r="I1128">
        <f>IF(F1128="","",INDEX(Deals!$D$2:$D$843,F1128))</f>
        <v/>
      </c>
      <c r="J1128">
        <f>IF(F1128="","",INT(H1128)-B1128)</f>
        <v/>
      </c>
      <c r="K1128">
        <f>IF(B1128&gt;=Settings!$C$5,1,0)</f>
        <v/>
      </c>
    </row>
    <row r="1129">
      <c r="A1129" t="inlineStr">
        <is>
          <t>85f36986fcf19e99df36ca4800f95e06</t>
        </is>
      </c>
      <c r="B1129" s="29" t="n">
        <v>43222</v>
      </c>
      <c r="C1129" t="inlineStr">
        <is>
          <t>2018-05</t>
        </is>
      </c>
      <c r="D1129" t="inlineStr">
        <is>
          <t>58326e62183c14b0c03085c33b9fdc44</t>
        </is>
      </c>
      <c r="E1129" t="inlineStr">
        <is>
          <t>social</t>
        </is>
      </c>
      <c r="F1129">
        <f>IFERROR(MATCH(A1129,Deals!$A$2:$A$843,0),"")</f>
        <v/>
      </c>
      <c r="G1129">
        <f>IF(F1129="",0,1)</f>
        <v/>
      </c>
      <c r="H1129" s="29">
        <f>IF(F1129="","",INDEX(Deals!$E$2:$E$843,F1129))</f>
        <v/>
      </c>
      <c r="I1129">
        <f>IF(F1129="","",INDEX(Deals!$D$2:$D$843,F1129))</f>
        <v/>
      </c>
      <c r="J1129">
        <f>IF(F1129="","",INT(H1129)-B1129)</f>
        <v/>
      </c>
      <c r="K1129">
        <f>IF(B1129&gt;=Settings!$C$5,1,0)</f>
        <v/>
      </c>
    </row>
    <row r="1130">
      <c r="A1130" t="inlineStr">
        <is>
          <t>46433ef1f34731171c310acd7957a45c</t>
        </is>
      </c>
      <c r="B1130" s="29" t="n">
        <v>42999</v>
      </c>
      <c r="C1130" t="inlineStr">
        <is>
          <t>2017-09</t>
        </is>
      </c>
      <c r="D1130" t="inlineStr">
        <is>
          <t>87d670b00a8db612286ba8419cf82e83</t>
        </is>
      </c>
      <c r="E1130" t="inlineStr">
        <is>
          <t>paid_search</t>
        </is>
      </c>
      <c r="F1130">
        <f>IFERROR(MATCH(A1130,Deals!$A$2:$A$843,0),"")</f>
        <v/>
      </c>
      <c r="G1130">
        <f>IF(F1130="",0,1)</f>
        <v/>
      </c>
      <c r="H1130" s="29">
        <f>IF(F1130="","",INDEX(Deals!$E$2:$E$843,F1130))</f>
        <v/>
      </c>
      <c r="I1130">
        <f>IF(F1130="","",INDEX(Deals!$D$2:$D$843,F1130))</f>
        <v/>
      </c>
      <c r="J1130">
        <f>IF(F1130="","",INT(H1130)-B1130)</f>
        <v/>
      </c>
      <c r="K1130">
        <f>IF(B1130&gt;=Settings!$C$5,1,0)</f>
        <v/>
      </c>
    </row>
    <row r="1131">
      <c r="A1131" t="inlineStr">
        <is>
          <t>180609d5d1fb1fa579476ecd5ce27ca0</t>
        </is>
      </c>
      <c r="B1131" s="29" t="n">
        <v>43222</v>
      </c>
      <c r="C1131" t="inlineStr">
        <is>
          <t>2018-05</t>
        </is>
      </c>
      <c r="D1131" t="inlineStr">
        <is>
          <t>58326e62183c14b0c03085c33b9fdc44</t>
        </is>
      </c>
      <c r="E1131" t="inlineStr">
        <is>
          <t>social</t>
        </is>
      </c>
      <c r="F1131">
        <f>IFERROR(MATCH(A1131,Deals!$A$2:$A$843,0),"")</f>
        <v/>
      </c>
      <c r="G1131">
        <f>IF(F1131="",0,1)</f>
        <v/>
      </c>
      <c r="H1131" s="29">
        <f>IF(F1131="","",INDEX(Deals!$E$2:$E$843,F1131))</f>
        <v/>
      </c>
      <c r="I1131">
        <f>IF(F1131="","",INDEX(Deals!$D$2:$D$843,F1131))</f>
        <v/>
      </c>
      <c r="J1131">
        <f>IF(F1131="","",INT(H1131)-B1131)</f>
        <v/>
      </c>
      <c r="K1131">
        <f>IF(B1131&gt;=Settings!$C$5,1,0)</f>
        <v/>
      </c>
    </row>
    <row r="1132">
      <c r="A1132" t="inlineStr">
        <is>
          <t>de1dbe3b8d524c96d50c30f2467c4bc6</t>
        </is>
      </c>
      <c r="B1132" s="29" t="n">
        <v>43192</v>
      </c>
      <c r="C1132" t="inlineStr">
        <is>
          <t>2018-04</t>
        </is>
      </c>
      <c r="D1132" t="inlineStr">
        <is>
          <t>22c29808c4f815213303f8933030604c</t>
        </is>
      </c>
      <c r="E1132" t="inlineStr">
        <is>
          <t>organic_search</t>
        </is>
      </c>
      <c r="F1132">
        <f>IFERROR(MATCH(A1132,Deals!$A$2:$A$843,0),"")</f>
        <v/>
      </c>
      <c r="G1132">
        <f>IF(F1132="",0,1)</f>
        <v/>
      </c>
      <c r="H1132" s="29">
        <f>IF(F1132="","",INDEX(Deals!$E$2:$E$843,F1132))</f>
        <v/>
      </c>
      <c r="I1132">
        <f>IF(F1132="","",INDEX(Deals!$D$2:$D$843,F1132))</f>
        <v/>
      </c>
      <c r="J1132">
        <f>IF(F1132="","",INT(H1132)-B1132)</f>
        <v/>
      </c>
      <c r="K1132">
        <f>IF(B1132&gt;=Settings!$C$5,1,0)</f>
        <v/>
      </c>
    </row>
    <row r="1133">
      <c r="A1133" t="inlineStr">
        <is>
          <t>7067338bcbd7695a74e4950d00e5b482</t>
        </is>
      </c>
      <c r="B1133" s="29" t="n">
        <v>43236</v>
      </c>
      <c r="C1133" t="inlineStr">
        <is>
          <t>2018-05</t>
        </is>
      </c>
      <c r="D1133" t="inlineStr">
        <is>
          <t>ce1a65abd0973638f1c887a6efcfa82d</t>
        </is>
      </c>
      <c r="E1133" t="inlineStr">
        <is>
          <t>direct_traffic</t>
        </is>
      </c>
      <c r="F1133">
        <f>IFERROR(MATCH(A1133,Deals!$A$2:$A$843,0),"")</f>
        <v/>
      </c>
      <c r="G1133">
        <f>IF(F1133="",0,1)</f>
        <v/>
      </c>
      <c r="H1133" s="29">
        <f>IF(F1133="","",INDEX(Deals!$E$2:$E$843,F1133))</f>
        <v/>
      </c>
      <c r="I1133">
        <f>IF(F1133="","",INDEX(Deals!$D$2:$D$843,F1133))</f>
        <v/>
      </c>
      <c r="J1133">
        <f>IF(F1133="","",INT(H1133)-B1133)</f>
        <v/>
      </c>
      <c r="K1133">
        <f>IF(B1133&gt;=Settings!$C$5,1,0)</f>
        <v/>
      </c>
    </row>
    <row r="1134">
      <c r="A1134" t="inlineStr">
        <is>
          <t>4ec11cfb0a8123dcd558ab02e344dde4</t>
        </is>
      </c>
      <c r="B1134" s="29" t="n">
        <v>43174</v>
      </c>
      <c r="C1134" t="inlineStr">
        <is>
          <t>2018-03</t>
        </is>
      </c>
      <c r="D1134" t="inlineStr">
        <is>
          <t>241f79c7a8fe0270f4fb79fcbbcd17ad</t>
        </is>
      </c>
      <c r="E1134" t="inlineStr">
        <is>
          <t>paid_search</t>
        </is>
      </c>
      <c r="F1134">
        <f>IFERROR(MATCH(A1134,Deals!$A$2:$A$843,0),"")</f>
        <v/>
      </c>
      <c r="G1134">
        <f>IF(F1134="",0,1)</f>
        <v/>
      </c>
      <c r="H1134" s="29">
        <f>IF(F1134="","",INDEX(Deals!$E$2:$E$843,F1134))</f>
        <v/>
      </c>
      <c r="I1134">
        <f>IF(F1134="","",INDEX(Deals!$D$2:$D$843,F1134))</f>
        <v/>
      </c>
      <c r="J1134">
        <f>IF(F1134="","",INT(H1134)-B1134)</f>
        <v/>
      </c>
      <c r="K1134">
        <f>IF(B1134&gt;=Settings!$C$5,1,0)</f>
        <v/>
      </c>
    </row>
    <row r="1135">
      <c r="A1135" t="inlineStr">
        <is>
          <t>0941839a257545ab919cd01ae3e568b5</t>
        </is>
      </c>
      <c r="B1135" s="29" t="n">
        <v>43185</v>
      </c>
      <c r="C1135" t="inlineStr">
        <is>
          <t>2018-03</t>
        </is>
      </c>
      <c r="D1135" t="inlineStr">
        <is>
          <t>40dec9f3d5259a3d2dbcdab2114fae47</t>
        </is>
      </c>
      <c r="E1135" t="inlineStr">
        <is>
          <t>paid_search</t>
        </is>
      </c>
      <c r="F1135">
        <f>IFERROR(MATCH(A1135,Deals!$A$2:$A$843,0),"")</f>
        <v/>
      </c>
      <c r="G1135">
        <f>IF(F1135="",0,1)</f>
        <v/>
      </c>
      <c r="H1135" s="29">
        <f>IF(F1135="","",INDEX(Deals!$E$2:$E$843,F1135))</f>
        <v/>
      </c>
      <c r="I1135">
        <f>IF(F1135="","",INDEX(Deals!$D$2:$D$843,F1135))</f>
        <v/>
      </c>
      <c r="J1135">
        <f>IF(F1135="","",INT(H1135)-B1135)</f>
        <v/>
      </c>
      <c r="K1135">
        <f>IF(B1135&gt;=Settings!$C$5,1,0)</f>
        <v/>
      </c>
    </row>
    <row r="1136">
      <c r="A1136" t="inlineStr">
        <is>
          <t>ebea519cc0cae7f746ec818c8df32992</t>
        </is>
      </c>
      <c r="B1136" s="29" t="n">
        <v>43245</v>
      </c>
      <c r="C1136" t="inlineStr">
        <is>
          <t>2018-05</t>
        </is>
      </c>
      <c r="D1136" t="inlineStr">
        <is>
          <t>330b9d44078a1ae5a221d655dcb77afa</t>
        </is>
      </c>
      <c r="E1136" t="inlineStr">
        <is>
          <t>organic_search</t>
        </is>
      </c>
      <c r="F1136">
        <f>IFERROR(MATCH(A1136,Deals!$A$2:$A$843,0),"")</f>
        <v/>
      </c>
      <c r="G1136">
        <f>IF(F1136="",0,1)</f>
        <v/>
      </c>
      <c r="H1136" s="29">
        <f>IF(F1136="","",INDEX(Deals!$E$2:$E$843,F1136))</f>
        <v/>
      </c>
      <c r="I1136">
        <f>IF(F1136="","",INDEX(Deals!$D$2:$D$843,F1136))</f>
        <v/>
      </c>
      <c r="J1136">
        <f>IF(F1136="","",INT(H1136)-B1136)</f>
        <v/>
      </c>
      <c r="K1136">
        <f>IF(B1136&gt;=Settings!$C$5,1,0)</f>
        <v/>
      </c>
    </row>
    <row r="1137">
      <c r="A1137" t="inlineStr">
        <is>
          <t>4e6e15ac583426150b75fc9b2951c7b1</t>
        </is>
      </c>
      <c r="B1137" s="29" t="n">
        <v>43182</v>
      </c>
      <c r="C1137" t="inlineStr">
        <is>
          <t>2018-03</t>
        </is>
      </c>
      <c r="D1137" t="inlineStr">
        <is>
          <t>65d9f9d71e562365e8b44037c2888d98</t>
        </is>
      </c>
      <c r="E1137" t="inlineStr">
        <is>
          <t>paid_search</t>
        </is>
      </c>
      <c r="F1137">
        <f>IFERROR(MATCH(A1137,Deals!$A$2:$A$843,0),"")</f>
        <v/>
      </c>
      <c r="G1137">
        <f>IF(F1137="",0,1)</f>
        <v/>
      </c>
      <c r="H1137" s="29">
        <f>IF(F1137="","",INDEX(Deals!$E$2:$E$843,F1137))</f>
        <v/>
      </c>
      <c r="I1137">
        <f>IF(F1137="","",INDEX(Deals!$D$2:$D$843,F1137))</f>
        <v/>
      </c>
      <c r="J1137">
        <f>IF(F1137="","",INT(H1137)-B1137)</f>
        <v/>
      </c>
      <c r="K1137">
        <f>IF(B1137&gt;=Settings!$C$5,1,0)</f>
        <v/>
      </c>
    </row>
    <row r="1138">
      <c r="A1138" t="inlineStr">
        <is>
          <t>2a5a60a4e38015ebb237c7ba7a2e1b37</t>
        </is>
      </c>
      <c r="B1138" s="29" t="n">
        <v>43191</v>
      </c>
      <c r="C1138" t="inlineStr">
        <is>
          <t>2018-04</t>
        </is>
      </c>
      <c r="D1138" t="inlineStr">
        <is>
          <t>22c29808c4f815213303f8933030604c</t>
        </is>
      </c>
      <c r="E1138" t="inlineStr">
        <is>
          <t>other_publicities</t>
        </is>
      </c>
      <c r="F1138">
        <f>IFERROR(MATCH(A1138,Deals!$A$2:$A$843,0),"")</f>
        <v/>
      </c>
      <c r="G1138">
        <f>IF(F1138="",0,1)</f>
        <v/>
      </c>
      <c r="H1138" s="29">
        <f>IF(F1138="","",INDEX(Deals!$E$2:$E$843,F1138))</f>
        <v/>
      </c>
      <c r="I1138">
        <f>IF(F1138="","",INDEX(Deals!$D$2:$D$843,F1138))</f>
        <v/>
      </c>
      <c r="J1138">
        <f>IF(F1138="","",INT(H1138)-B1138)</f>
        <v/>
      </c>
      <c r="K1138">
        <f>IF(B1138&gt;=Settings!$C$5,1,0)</f>
        <v/>
      </c>
    </row>
    <row r="1139">
      <c r="A1139" t="inlineStr">
        <is>
          <t>0fda99c667e8b6592d5248d63138de4a</t>
        </is>
      </c>
      <c r="B1139" s="29" t="n">
        <v>43053</v>
      </c>
      <c r="C1139" t="inlineStr">
        <is>
          <t>2017-11</t>
        </is>
      </c>
      <c r="D1139" t="inlineStr">
        <is>
          <t>f98c2bd96ac4a5d9476734e790c91384</t>
        </is>
      </c>
      <c r="E1139" t="inlineStr">
        <is>
          <t>organic_search</t>
        </is>
      </c>
      <c r="F1139">
        <f>IFERROR(MATCH(A1139,Deals!$A$2:$A$843,0),"")</f>
        <v/>
      </c>
      <c r="G1139">
        <f>IF(F1139="",0,1)</f>
        <v/>
      </c>
      <c r="H1139" s="29">
        <f>IF(F1139="","",INDEX(Deals!$E$2:$E$843,F1139))</f>
        <v/>
      </c>
      <c r="I1139">
        <f>IF(F1139="","",INDEX(Deals!$D$2:$D$843,F1139))</f>
        <v/>
      </c>
      <c r="J1139">
        <f>IF(F1139="","",INT(H1139)-B1139)</f>
        <v/>
      </c>
      <c r="K1139">
        <f>IF(B1139&gt;=Settings!$C$5,1,0)</f>
        <v/>
      </c>
    </row>
    <row r="1140">
      <c r="A1140" t="inlineStr">
        <is>
          <t>681e15ddeaa298b2ac93ad6261ce516b</t>
        </is>
      </c>
      <c r="B1140" s="29" t="n">
        <v>43185</v>
      </c>
      <c r="C1140" t="inlineStr">
        <is>
          <t>2018-03</t>
        </is>
      </c>
      <c r="D1140" t="inlineStr">
        <is>
          <t>58c77ebccfe901ecb02789124bee6608</t>
        </is>
      </c>
      <c r="E1140" t="inlineStr">
        <is>
          <t>unknown</t>
        </is>
      </c>
      <c r="F1140">
        <f>IFERROR(MATCH(A1140,Deals!$A$2:$A$843,0),"")</f>
        <v/>
      </c>
      <c r="G1140">
        <f>IF(F1140="",0,1)</f>
        <v/>
      </c>
      <c r="H1140" s="29">
        <f>IF(F1140="","",INDEX(Deals!$E$2:$E$843,F1140))</f>
        <v/>
      </c>
      <c r="I1140">
        <f>IF(F1140="","",INDEX(Deals!$D$2:$D$843,F1140))</f>
        <v/>
      </c>
      <c r="J1140">
        <f>IF(F1140="","",INT(H1140)-B1140)</f>
        <v/>
      </c>
      <c r="K1140">
        <f>IF(B1140&gt;=Settings!$C$5,1,0)</f>
        <v/>
      </c>
    </row>
    <row r="1141">
      <c r="A1141" t="inlineStr">
        <is>
          <t>a7d4a7daba9fa97ca03fe5fe2a785992</t>
        </is>
      </c>
      <c r="B1141" s="29" t="n">
        <v>43131</v>
      </c>
      <c r="C1141" t="inlineStr">
        <is>
          <t>2018-01</t>
        </is>
      </c>
      <c r="D1141" t="inlineStr">
        <is>
          <t>22c29808c4f815213303f8933030604c</t>
        </is>
      </c>
      <c r="E1141" t="inlineStr">
        <is>
          <t>paid_search</t>
        </is>
      </c>
      <c r="F1141">
        <f>IFERROR(MATCH(A1141,Deals!$A$2:$A$843,0),"")</f>
        <v/>
      </c>
      <c r="G1141">
        <f>IF(F1141="",0,1)</f>
        <v/>
      </c>
      <c r="H1141" s="29">
        <f>IF(F1141="","",INDEX(Deals!$E$2:$E$843,F1141))</f>
        <v/>
      </c>
      <c r="I1141">
        <f>IF(F1141="","",INDEX(Deals!$D$2:$D$843,F1141))</f>
        <v/>
      </c>
      <c r="J1141">
        <f>IF(F1141="","",INT(H1141)-B1141)</f>
        <v/>
      </c>
      <c r="K1141">
        <f>IF(B1141&gt;=Settings!$C$5,1,0)</f>
        <v/>
      </c>
    </row>
    <row r="1142">
      <c r="A1142" t="inlineStr">
        <is>
          <t>0498053f58d3e4244a3f19e81ebf90d9</t>
        </is>
      </c>
      <c r="B1142" s="29" t="n">
        <v>43154</v>
      </c>
      <c r="C1142" t="inlineStr">
        <is>
          <t>2018-02</t>
        </is>
      </c>
      <c r="D1142" t="inlineStr">
        <is>
          <t>966098efaef7a4d665be6b0cb617541b</t>
        </is>
      </c>
      <c r="E1142" t="inlineStr">
        <is>
          <t>social</t>
        </is>
      </c>
      <c r="F1142">
        <f>IFERROR(MATCH(A1142,Deals!$A$2:$A$843,0),"")</f>
        <v/>
      </c>
      <c r="G1142">
        <f>IF(F1142="",0,1)</f>
        <v/>
      </c>
      <c r="H1142" s="29">
        <f>IF(F1142="","",INDEX(Deals!$E$2:$E$843,F1142))</f>
        <v/>
      </c>
      <c r="I1142">
        <f>IF(F1142="","",INDEX(Deals!$D$2:$D$843,F1142))</f>
        <v/>
      </c>
      <c r="J1142">
        <f>IF(F1142="","",INT(H1142)-B1142)</f>
        <v/>
      </c>
      <c r="K1142">
        <f>IF(B1142&gt;=Settings!$C$5,1,0)</f>
        <v/>
      </c>
    </row>
    <row r="1143">
      <c r="A1143" t="inlineStr">
        <is>
          <t>49346cd649e3199f6c0eb9a908894a55</t>
        </is>
      </c>
      <c r="B1143" s="29" t="n">
        <v>43194</v>
      </c>
      <c r="C1143" t="inlineStr">
        <is>
          <t>2018-04</t>
        </is>
      </c>
      <c r="D1143" t="inlineStr">
        <is>
          <t>58326e62183c14b0c03085c33b9fdc44</t>
        </is>
      </c>
      <c r="E1143" t="inlineStr">
        <is>
          <t>social</t>
        </is>
      </c>
      <c r="F1143">
        <f>IFERROR(MATCH(A1143,Deals!$A$2:$A$843,0),"")</f>
        <v/>
      </c>
      <c r="G1143">
        <f>IF(F1143="",0,1)</f>
        <v/>
      </c>
      <c r="H1143" s="29">
        <f>IF(F1143="","",INDEX(Deals!$E$2:$E$843,F1143))</f>
        <v/>
      </c>
      <c r="I1143">
        <f>IF(F1143="","",INDEX(Deals!$D$2:$D$843,F1143))</f>
        <v/>
      </c>
      <c r="J1143">
        <f>IF(F1143="","",INT(H1143)-B1143)</f>
        <v/>
      </c>
      <c r="K1143">
        <f>IF(B1143&gt;=Settings!$C$5,1,0)</f>
        <v/>
      </c>
    </row>
    <row r="1144">
      <c r="A1144" t="inlineStr">
        <is>
          <t>c306791fb7d2c4488fd53630c7e5e91d</t>
        </is>
      </c>
      <c r="B1144" s="29" t="n">
        <v>43140</v>
      </c>
      <c r="C1144" t="inlineStr">
        <is>
          <t>2018-02</t>
        </is>
      </c>
      <c r="D1144" t="inlineStr">
        <is>
          <t>88740e65d5d6b056e0cda098e1ea6313</t>
        </is>
      </c>
      <c r="E1144" t="inlineStr">
        <is>
          <t>social</t>
        </is>
      </c>
      <c r="F1144">
        <f>IFERROR(MATCH(A1144,Deals!$A$2:$A$843,0),"")</f>
        <v/>
      </c>
      <c r="G1144">
        <f>IF(F1144="",0,1)</f>
        <v/>
      </c>
      <c r="H1144" s="29">
        <f>IF(F1144="","",INDEX(Deals!$E$2:$E$843,F1144))</f>
        <v/>
      </c>
      <c r="I1144">
        <f>IF(F1144="","",INDEX(Deals!$D$2:$D$843,F1144))</f>
        <v/>
      </c>
      <c r="J1144">
        <f>IF(F1144="","",INT(H1144)-B1144)</f>
        <v/>
      </c>
      <c r="K1144">
        <f>IF(B1144&gt;=Settings!$C$5,1,0)</f>
        <v/>
      </c>
    </row>
    <row r="1145">
      <c r="A1145" t="inlineStr">
        <is>
          <t>080261e4427a081fc6e637b654f590ee</t>
        </is>
      </c>
      <c r="B1145" s="29" t="n">
        <v>43166</v>
      </c>
      <c r="C1145" t="inlineStr">
        <is>
          <t>2018-03</t>
        </is>
      </c>
      <c r="D1145" t="inlineStr">
        <is>
          <t>30077c17f2ec5010a82e37ad8925b95f</t>
        </is>
      </c>
      <c r="E1145" t="inlineStr">
        <is>
          <t>social</t>
        </is>
      </c>
      <c r="F1145">
        <f>IFERROR(MATCH(A1145,Deals!$A$2:$A$843,0),"")</f>
        <v/>
      </c>
      <c r="G1145">
        <f>IF(F1145="",0,1)</f>
        <v/>
      </c>
      <c r="H1145" s="29">
        <f>IF(F1145="","",INDEX(Deals!$E$2:$E$843,F1145))</f>
        <v/>
      </c>
      <c r="I1145">
        <f>IF(F1145="","",INDEX(Deals!$D$2:$D$843,F1145))</f>
        <v/>
      </c>
      <c r="J1145">
        <f>IF(F1145="","",INT(H1145)-B1145)</f>
        <v/>
      </c>
      <c r="K1145">
        <f>IF(B1145&gt;=Settings!$C$5,1,0)</f>
        <v/>
      </c>
    </row>
    <row r="1146">
      <c r="A1146" t="inlineStr">
        <is>
          <t>687338c1e79c2acc2b2bbf9fe0542e62</t>
        </is>
      </c>
      <c r="B1146" s="29" t="n">
        <v>43153</v>
      </c>
      <c r="C1146" t="inlineStr">
        <is>
          <t>2018-02</t>
        </is>
      </c>
      <c r="D1146" t="inlineStr">
        <is>
          <t>88740e65d5d6b056e0cda098e1ea6313</t>
        </is>
      </c>
      <c r="E1146" t="inlineStr">
        <is>
          <t>social</t>
        </is>
      </c>
      <c r="F1146">
        <f>IFERROR(MATCH(A1146,Deals!$A$2:$A$843,0),"")</f>
        <v/>
      </c>
      <c r="G1146">
        <f>IF(F1146="",0,1)</f>
        <v/>
      </c>
      <c r="H1146" s="29">
        <f>IF(F1146="","",INDEX(Deals!$E$2:$E$843,F1146))</f>
        <v/>
      </c>
      <c r="I1146">
        <f>IF(F1146="","",INDEX(Deals!$D$2:$D$843,F1146))</f>
        <v/>
      </c>
      <c r="J1146">
        <f>IF(F1146="","",INT(H1146)-B1146)</f>
        <v/>
      </c>
      <c r="K1146">
        <f>IF(B1146&gt;=Settings!$C$5,1,0)</f>
        <v/>
      </c>
    </row>
    <row r="1147">
      <c r="A1147" t="inlineStr">
        <is>
          <t>85b88bc0f811d78392c3f2fdc45f9ee2</t>
        </is>
      </c>
      <c r="B1147" s="29" t="n">
        <v>43116</v>
      </c>
      <c r="C1147" t="inlineStr">
        <is>
          <t>2018-01</t>
        </is>
      </c>
      <c r="D1147" t="inlineStr">
        <is>
          <t>b76ef37428e6799c421989521c0e5077</t>
        </is>
      </c>
      <c r="E1147" t="inlineStr">
        <is>
          <t>unknown</t>
        </is>
      </c>
      <c r="F1147">
        <f>IFERROR(MATCH(A1147,Deals!$A$2:$A$843,0),"")</f>
        <v/>
      </c>
      <c r="G1147">
        <f>IF(F1147="",0,1)</f>
        <v/>
      </c>
      <c r="H1147" s="29">
        <f>IF(F1147="","",INDEX(Deals!$E$2:$E$843,F1147))</f>
        <v/>
      </c>
      <c r="I1147">
        <f>IF(F1147="","",INDEX(Deals!$D$2:$D$843,F1147))</f>
        <v/>
      </c>
      <c r="J1147">
        <f>IF(F1147="","",INT(H1147)-B1147)</f>
        <v/>
      </c>
      <c r="K1147">
        <f>IF(B1147&gt;=Settings!$C$5,1,0)</f>
        <v/>
      </c>
    </row>
    <row r="1148">
      <c r="A1148" t="inlineStr">
        <is>
          <t>115bf41df324b0f46b72bd091ce4c00e</t>
        </is>
      </c>
      <c r="B1148" s="29" t="n">
        <v>43215</v>
      </c>
      <c r="C1148" t="inlineStr">
        <is>
          <t>2018-04</t>
        </is>
      </c>
      <c r="D1148" t="inlineStr">
        <is>
          <t>758daa2c01d04b06f42a8aa819ad8d46</t>
        </is>
      </c>
      <c r="E1148" t="inlineStr">
        <is>
          <t>unknown</t>
        </is>
      </c>
      <c r="F1148">
        <f>IFERROR(MATCH(A1148,Deals!$A$2:$A$843,0),"")</f>
        <v/>
      </c>
      <c r="G1148">
        <f>IF(F1148="",0,1)</f>
        <v/>
      </c>
      <c r="H1148" s="29">
        <f>IF(F1148="","",INDEX(Deals!$E$2:$E$843,F1148))</f>
        <v/>
      </c>
      <c r="I1148">
        <f>IF(F1148="","",INDEX(Deals!$D$2:$D$843,F1148))</f>
        <v/>
      </c>
      <c r="J1148">
        <f>IF(F1148="","",INT(H1148)-B1148)</f>
        <v/>
      </c>
      <c r="K1148">
        <f>IF(B1148&gt;=Settings!$C$5,1,0)</f>
        <v/>
      </c>
    </row>
    <row r="1149">
      <c r="A1149" t="inlineStr">
        <is>
          <t>46aced6c94e6edd349cd1e5ce4435c15</t>
        </is>
      </c>
      <c r="B1149" s="29" t="n">
        <v>42983</v>
      </c>
      <c r="C1149" t="inlineStr">
        <is>
          <t>2017-09</t>
        </is>
      </c>
      <c r="D1149" t="inlineStr">
        <is>
          <t>87732658ba41d8775e8577df347a64db</t>
        </is>
      </c>
      <c r="E1149" t="inlineStr">
        <is>
          <t>social</t>
        </is>
      </c>
      <c r="F1149">
        <f>IFERROR(MATCH(A1149,Deals!$A$2:$A$843,0),"")</f>
        <v/>
      </c>
      <c r="G1149">
        <f>IF(F1149="",0,1)</f>
        <v/>
      </c>
      <c r="H1149" s="29">
        <f>IF(F1149="","",INDEX(Deals!$E$2:$E$843,F1149))</f>
        <v/>
      </c>
      <c r="I1149">
        <f>IF(F1149="","",INDEX(Deals!$D$2:$D$843,F1149))</f>
        <v/>
      </c>
      <c r="J1149">
        <f>IF(F1149="","",INT(H1149)-B1149)</f>
        <v/>
      </c>
      <c r="K1149">
        <f>IF(B1149&gt;=Settings!$C$5,1,0)</f>
        <v/>
      </c>
    </row>
    <row r="1150">
      <c r="A1150" t="inlineStr">
        <is>
          <t>c7f370703e480b4af59e0d2c218ab12b</t>
        </is>
      </c>
      <c r="B1150" s="29" t="n">
        <v>43135</v>
      </c>
      <c r="C1150" t="inlineStr">
        <is>
          <t>2018-02</t>
        </is>
      </c>
      <c r="D1150" t="inlineStr">
        <is>
          <t>88740e65d5d6b056e0cda098e1ea6313</t>
        </is>
      </c>
      <c r="E1150" t="inlineStr">
        <is>
          <t>social</t>
        </is>
      </c>
      <c r="F1150">
        <f>IFERROR(MATCH(A1150,Deals!$A$2:$A$843,0),"")</f>
        <v/>
      </c>
      <c r="G1150">
        <f>IF(F1150="",0,1)</f>
        <v/>
      </c>
      <c r="H1150" s="29">
        <f>IF(F1150="","",INDEX(Deals!$E$2:$E$843,F1150))</f>
        <v/>
      </c>
      <c r="I1150">
        <f>IF(F1150="","",INDEX(Deals!$D$2:$D$843,F1150))</f>
        <v/>
      </c>
      <c r="J1150">
        <f>IF(F1150="","",INT(H1150)-B1150)</f>
        <v/>
      </c>
      <c r="K1150">
        <f>IF(B1150&gt;=Settings!$C$5,1,0)</f>
        <v/>
      </c>
    </row>
    <row r="1151">
      <c r="A1151" t="inlineStr">
        <is>
          <t>ea7ca86ff9188a64b1b84078b60cb9e9</t>
        </is>
      </c>
      <c r="B1151" s="29" t="n">
        <v>43133</v>
      </c>
      <c r="C1151" t="inlineStr">
        <is>
          <t>2018-02</t>
        </is>
      </c>
      <c r="D1151" t="inlineStr">
        <is>
          <t>22c29808c4f815213303f8933030604c</t>
        </is>
      </c>
      <c r="E1151" t="inlineStr">
        <is>
          <t>organic_search</t>
        </is>
      </c>
      <c r="F1151">
        <f>IFERROR(MATCH(A1151,Deals!$A$2:$A$843,0),"")</f>
        <v/>
      </c>
      <c r="G1151">
        <f>IF(F1151="",0,1)</f>
        <v/>
      </c>
      <c r="H1151" s="29">
        <f>IF(F1151="","",INDEX(Deals!$E$2:$E$843,F1151))</f>
        <v/>
      </c>
      <c r="I1151">
        <f>IF(F1151="","",INDEX(Deals!$D$2:$D$843,F1151))</f>
        <v/>
      </c>
      <c r="J1151">
        <f>IF(F1151="","",INT(H1151)-B1151)</f>
        <v/>
      </c>
      <c r="K1151">
        <f>IF(B1151&gt;=Settings!$C$5,1,0)</f>
        <v/>
      </c>
    </row>
    <row r="1152">
      <c r="A1152" t="inlineStr">
        <is>
          <t>b9c849ba1538b82e3c2e72ebfc92f14e</t>
        </is>
      </c>
      <c r="B1152" s="29" t="n">
        <v>43091</v>
      </c>
      <c r="C1152" t="inlineStr">
        <is>
          <t>2017-12</t>
        </is>
      </c>
      <c r="D1152" t="inlineStr">
        <is>
          <t>ce1a65abd0973638f1c887a6efcfa82d</t>
        </is>
      </c>
      <c r="E1152" t="inlineStr">
        <is>
          <t>organic_search</t>
        </is>
      </c>
      <c r="F1152">
        <f>IFERROR(MATCH(A1152,Deals!$A$2:$A$843,0),"")</f>
        <v/>
      </c>
      <c r="G1152">
        <f>IF(F1152="",0,1)</f>
        <v/>
      </c>
      <c r="H1152" s="29">
        <f>IF(F1152="","",INDEX(Deals!$E$2:$E$843,F1152))</f>
        <v/>
      </c>
      <c r="I1152">
        <f>IF(F1152="","",INDEX(Deals!$D$2:$D$843,F1152))</f>
        <v/>
      </c>
      <c r="J1152">
        <f>IF(F1152="","",INT(H1152)-B1152)</f>
        <v/>
      </c>
      <c r="K1152">
        <f>IF(B1152&gt;=Settings!$C$5,1,0)</f>
        <v/>
      </c>
    </row>
    <row r="1153">
      <c r="A1153" t="inlineStr">
        <is>
          <t>27e5913e401960ad17e24f9a435e11d2</t>
        </is>
      </c>
      <c r="B1153" s="29" t="n">
        <v>43203</v>
      </c>
      <c r="C1153" t="inlineStr">
        <is>
          <t>2018-04</t>
        </is>
      </c>
      <c r="D1153" t="inlineStr">
        <is>
          <t>22c29808c4f815213303f8933030604c</t>
        </is>
      </c>
      <c r="E1153" t="inlineStr">
        <is>
          <t>organic_search</t>
        </is>
      </c>
      <c r="F1153">
        <f>IFERROR(MATCH(A1153,Deals!$A$2:$A$843,0),"")</f>
        <v/>
      </c>
      <c r="G1153">
        <f>IF(F1153="",0,1)</f>
        <v/>
      </c>
      <c r="H1153" s="29">
        <f>IF(F1153="","",INDEX(Deals!$E$2:$E$843,F1153))</f>
        <v/>
      </c>
      <c r="I1153">
        <f>IF(F1153="","",INDEX(Deals!$D$2:$D$843,F1153))</f>
        <v/>
      </c>
      <c r="J1153">
        <f>IF(F1153="","",INT(H1153)-B1153)</f>
        <v/>
      </c>
      <c r="K1153">
        <f>IF(B1153&gt;=Settings!$C$5,1,0)</f>
        <v/>
      </c>
    </row>
    <row r="1154">
      <c r="A1154" t="inlineStr">
        <is>
          <t>9d5af8da227605ef5e9a1d0fbd39f412</t>
        </is>
      </c>
      <c r="B1154" s="29" t="n">
        <v>43185</v>
      </c>
      <c r="C1154" t="inlineStr">
        <is>
          <t>2018-03</t>
        </is>
      </c>
      <c r="D1154" t="inlineStr">
        <is>
          <t>65d9f9d71e562365e8b44037c2888d98</t>
        </is>
      </c>
      <c r="E1154" t="inlineStr">
        <is>
          <t>paid_search</t>
        </is>
      </c>
      <c r="F1154">
        <f>IFERROR(MATCH(A1154,Deals!$A$2:$A$843,0),"")</f>
        <v/>
      </c>
      <c r="G1154">
        <f>IF(F1154="",0,1)</f>
        <v/>
      </c>
      <c r="H1154" s="29">
        <f>IF(F1154="","",INDEX(Deals!$E$2:$E$843,F1154))</f>
        <v/>
      </c>
      <c r="I1154">
        <f>IF(F1154="","",INDEX(Deals!$D$2:$D$843,F1154))</f>
        <v/>
      </c>
      <c r="J1154">
        <f>IF(F1154="","",INT(H1154)-B1154)</f>
        <v/>
      </c>
      <c r="K1154">
        <f>IF(B1154&gt;=Settings!$C$5,1,0)</f>
        <v/>
      </c>
    </row>
    <row r="1155">
      <c r="A1155" t="inlineStr">
        <is>
          <t>3484575740e7d74362f6a1ab0ac89a50</t>
        </is>
      </c>
      <c r="B1155" s="29" t="n">
        <v>42983</v>
      </c>
      <c r="C1155" t="inlineStr">
        <is>
          <t>2017-09</t>
        </is>
      </c>
      <c r="D1155" t="inlineStr">
        <is>
          <t>71ef148e8a549ba85ca27271a3a94c26</t>
        </is>
      </c>
      <c r="E1155" t="inlineStr">
        <is>
          <t>display</t>
        </is>
      </c>
      <c r="F1155">
        <f>IFERROR(MATCH(A1155,Deals!$A$2:$A$843,0),"")</f>
        <v/>
      </c>
      <c r="G1155">
        <f>IF(F1155="",0,1)</f>
        <v/>
      </c>
      <c r="H1155" s="29">
        <f>IF(F1155="","",INDEX(Deals!$E$2:$E$843,F1155))</f>
        <v/>
      </c>
      <c r="I1155">
        <f>IF(F1155="","",INDEX(Deals!$D$2:$D$843,F1155))</f>
        <v/>
      </c>
      <c r="J1155">
        <f>IF(F1155="","",INT(H1155)-B1155)</f>
        <v/>
      </c>
      <c r="K1155">
        <f>IF(B1155&gt;=Settings!$C$5,1,0)</f>
        <v/>
      </c>
    </row>
    <row r="1156">
      <c r="A1156" t="inlineStr">
        <is>
          <t>80579a6ec645f9f4677fc94d84c14a2c</t>
        </is>
      </c>
      <c r="B1156" s="29" t="n">
        <v>43018</v>
      </c>
      <c r="C1156" t="inlineStr">
        <is>
          <t>2017-10</t>
        </is>
      </c>
      <c r="D1156" t="inlineStr">
        <is>
          <t>ef0b482996664cc1107b9051efd3ca84</t>
        </is>
      </c>
      <c r="E1156" t="inlineStr">
        <is>
          <t>organic_search</t>
        </is>
      </c>
      <c r="F1156">
        <f>IFERROR(MATCH(A1156,Deals!$A$2:$A$843,0),"")</f>
        <v/>
      </c>
      <c r="G1156">
        <f>IF(F1156="",0,1)</f>
        <v/>
      </c>
      <c r="H1156" s="29">
        <f>IF(F1156="","",INDEX(Deals!$E$2:$E$843,F1156))</f>
        <v/>
      </c>
      <c r="I1156">
        <f>IF(F1156="","",INDEX(Deals!$D$2:$D$843,F1156))</f>
        <v/>
      </c>
      <c r="J1156">
        <f>IF(F1156="","",INT(H1156)-B1156)</f>
        <v/>
      </c>
      <c r="K1156">
        <f>IF(B1156&gt;=Settings!$C$5,1,0)</f>
        <v/>
      </c>
    </row>
    <row r="1157">
      <c r="A1157" t="inlineStr">
        <is>
          <t>f9c43d70a22ac65ce5fa816a4c34f8f0</t>
        </is>
      </c>
      <c r="B1157" s="29" t="n">
        <v>43143</v>
      </c>
      <c r="C1157" t="inlineStr">
        <is>
          <t>2018-02</t>
        </is>
      </c>
      <c r="D1157" t="inlineStr">
        <is>
          <t>40dec9f3d5259a3d2dbcdab2114fae47</t>
        </is>
      </c>
      <c r="E1157" t="inlineStr">
        <is>
          <t>paid_search</t>
        </is>
      </c>
      <c r="F1157">
        <f>IFERROR(MATCH(A1157,Deals!$A$2:$A$843,0),"")</f>
        <v/>
      </c>
      <c r="G1157">
        <f>IF(F1157="",0,1)</f>
        <v/>
      </c>
      <c r="H1157" s="29">
        <f>IF(F1157="","",INDEX(Deals!$E$2:$E$843,F1157))</f>
        <v/>
      </c>
      <c r="I1157">
        <f>IF(F1157="","",INDEX(Deals!$D$2:$D$843,F1157))</f>
        <v/>
      </c>
      <c r="J1157">
        <f>IF(F1157="","",INT(H1157)-B1157)</f>
        <v/>
      </c>
      <c r="K1157">
        <f>IF(B1157&gt;=Settings!$C$5,1,0)</f>
        <v/>
      </c>
    </row>
    <row r="1158">
      <c r="A1158" t="inlineStr">
        <is>
          <t>80bd1978a3dff0dbaceb95fb9191e7ee</t>
        </is>
      </c>
      <c r="B1158" s="29" t="n">
        <v>42928</v>
      </c>
      <c r="C1158" t="inlineStr">
        <is>
          <t>2017-07</t>
        </is>
      </c>
      <c r="D1158" t="inlineStr">
        <is>
          <t>c754e5846c791d26b1c34070c41adf6e</t>
        </is>
      </c>
      <c r="E1158" t="inlineStr">
        <is>
          <t>other</t>
        </is>
      </c>
      <c r="F1158">
        <f>IFERROR(MATCH(A1158,Deals!$A$2:$A$843,0),"")</f>
        <v/>
      </c>
      <c r="G1158">
        <f>IF(F1158="",0,1)</f>
        <v/>
      </c>
      <c r="H1158" s="29">
        <f>IF(F1158="","",INDEX(Deals!$E$2:$E$843,F1158))</f>
        <v/>
      </c>
      <c r="I1158">
        <f>IF(F1158="","",INDEX(Deals!$D$2:$D$843,F1158))</f>
        <v/>
      </c>
      <c r="J1158">
        <f>IF(F1158="","",INT(H1158)-B1158)</f>
        <v/>
      </c>
      <c r="K1158">
        <f>IF(B1158&gt;=Settings!$C$5,1,0)</f>
        <v/>
      </c>
    </row>
    <row r="1159">
      <c r="A1159" t="inlineStr">
        <is>
          <t>b1494532125308790dff5321c7a762ad</t>
        </is>
      </c>
      <c r="B1159" s="29" t="n">
        <v>43072</v>
      </c>
      <c r="C1159" t="inlineStr">
        <is>
          <t>2017-12</t>
        </is>
      </c>
      <c r="D1159" t="inlineStr">
        <is>
          <t>4e82dd1f6d00626bda0723eef0a269a6</t>
        </is>
      </c>
      <c r="E1159" t="inlineStr">
        <is>
          <t>organic_search</t>
        </is>
      </c>
      <c r="F1159">
        <f>IFERROR(MATCH(A1159,Deals!$A$2:$A$843,0),"")</f>
        <v/>
      </c>
      <c r="G1159">
        <f>IF(F1159="",0,1)</f>
        <v/>
      </c>
      <c r="H1159" s="29">
        <f>IF(F1159="","",INDEX(Deals!$E$2:$E$843,F1159))</f>
        <v/>
      </c>
      <c r="I1159">
        <f>IF(F1159="","",INDEX(Deals!$D$2:$D$843,F1159))</f>
        <v/>
      </c>
      <c r="J1159">
        <f>IF(F1159="","",INT(H1159)-B1159)</f>
        <v/>
      </c>
      <c r="K1159">
        <f>IF(B1159&gt;=Settings!$C$5,1,0)</f>
        <v/>
      </c>
    </row>
    <row r="1160">
      <c r="A1160" t="inlineStr">
        <is>
          <t>3e32de32b8cf2f3d8e72ecfcf99daee1</t>
        </is>
      </c>
      <c r="B1160" s="29" t="n">
        <v>43150</v>
      </c>
      <c r="C1160" t="inlineStr">
        <is>
          <t>2018-02</t>
        </is>
      </c>
      <c r="D1160" t="inlineStr">
        <is>
          <t>ce1a65abd0973638f1c887a6efcfa82d</t>
        </is>
      </c>
      <c r="E1160" t="inlineStr">
        <is>
          <t>organic_search</t>
        </is>
      </c>
      <c r="F1160">
        <f>IFERROR(MATCH(A1160,Deals!$A$2:$A$843,0),"")</f>
        <v/>
      </c>
      <c r="G1160">
        <f>IF(F1160="",0,1)</f>
        <v/>
      </c>
      <c r="H1160" s="29">
        <f>IF(F1160="","",INDEX(Deals!$E$2:$E$843,F1160))</f>
        <v/>
      </c>
      <c r="I1160">
        <f>IF(F1160="","",INDEX(Deals!$D$2:$D$843,F1160))</f>
        <v/>
      </c>
      <c r="J1160">
        <f>IF(F1160="","",INT(H1160)-B1160)</f>
        <v/>
      </c>
      <c r="K1160">
        <f>IF(B1160&gt;=Settings!$C$5,1,0)</f>
        <v/>
      </c>
    </row>
    <row r="1161">
      <c r="A1161" t="inlineStr">
        <is>
          <t>aefa72019c21020d838fad6cdbf155e8</t>
        </is>
      </c>
      <c r="B1161" s="29" t="n">
        <v>43043</v>
      </c>
      <c r="C1161" t="inlineStr">
        <is>
          <t>2017-11</t>
        </is>
      </c>
      <c r="D1161" t="inlineStr">
        <is>
          <t>ce1a65abd0973638f1c887a6efcfa82d</t>
        </is>
      </c>
      <c r="E1161" t="inlineStr">
        <is>
          <t>paid_search</t>
        </is>
      </c>
      <c r="F1161">
        <f>IFERROR(MATCH(A1161,Deals!$A$2:$A$843,0),"")</f>
        <v/>
      </c>
      <c r="G1161">
        <f>IF(F1161="",0,1)</f>
        <v/>
      </c>
      <c r="H1161" s="29">
        <f>IF(F1161="","",INDEX(Deals!$E$2:$E$843,F1161))</f>
        <v/>
      </c>
      <c r="I1161">
        <f>IF(F1161="","",INDEX(Deals!$D$2:$D$843,F1161))</f>
        <v/>
      </c>
      <c r="J1161">
        <f>IF(F1161="","",INT(H1161)-B1161)</f>
        <v/>
      </c>
      <c r="K1161">
        <f>IF(B1161&gt;=Settings!$C$5,1,0)</f>
        <v/>
      </c>
    </row>
    <row r="1162">
      <c r="A1162" t="inlineStr">
        <is>
          <t>42e452a93e736373dd9281c113eff2b7</t>
        </is>
      </c>
      <c r="B1162" s="29" t="n">
        <v>43232</v>
      </c>
      <c r="C1162" t="inlineStr">
        <is>
          <t>2018-05</t>
        </is>
      </c>
      <c r="D1162" t="inlineStr">
        <is>
          <t>22c29808c4f815213303f8933030604c</t>
        </is>
      </c>
      <c r="E1162" t="inlineStr">
        <is>
          <t>organic_search</t>
        </is>
      </c>
      <c r="F1162">
        <f>IFERROR(MATCH(A1162,Deals!$A$2:$A$843,0),"")</f>
        <v/>
      </c>
      <c r="G1162">
        <f>IF(F1162="",0,1)</f>
        <v/>
      </c>
      <c r="H1162" s="29">
        <f>IF(F1162="","",INDEX(Deals!$E$2:$E$843,F1162))</f>
        <v/>
      </c>
      <c r="I1162">
        <f>IF(F1162="","",INDEX(Deals!$D$2:$D$843,F1162))</f>
        <v/>
      </c>
      <c r="J1162">
        <f>IF(F1162="","",INT(H1162)-B1162)</f>
        <v/>
      </c>
      <c r="K1162">
        <f>IF(B1162&gt;=Settings!$C$5,1,0)</f>
        <v/>
      </c>
    </row>
    <row r="1163">
      <c r="A1163" t="inlineStr">
        <is>
          <t>d276fd6b6eeeb1987e76d0388d813b9f</t>
        </is>
      </c>
      <c r="B1163" s="29" t="n">
        <v>43199</v>
      </c>
      <c r="C1163" t="inlineStr">
        <is>
          <t>2018-04</t>
        </is>
      </c>
      <c r="D1163" t="inlineStr">
        <is>
          <t>22c29808c4f815213303f8933030604c</t>
        </is>
      </c>
      <c r="E1163" t="inlineStr">
        <is>
          <t>other_publicities</t>
        </is>
      </c>
      <c r="F1163">
        <f>IFERROR(MATCH(A1163,Deals!$A$2:$A$843,0),"")</f>
        <v/>
      </c>
      <c r="G1163">
        <f>IF(F1163="",0,1)</f>
        <v/>
      </c>
      <c r="H1163" s="29">
        <f>IF(F1163="","",INDEX(Deals!$E$2:$E$843,F1163))</f>
        <v/>
      </c>
      <c r="I1163">
        <f>IF(F1163="","",INDEX(Deals!$D$2:$D$843,F1163))</f>
        <v/>
      </c>
      <c r="J1163">
        <f>IF(F1163="","",INT(H1163)-B1163)</f>
        <v/>
      </c>
      <c r="K1163">
        <f>IF(B1163&gt;=Settings!$C$5,1,0)</f>
        <v/>
      </c>
    </row>
    <row r="1164">
      <c r="A1164" t="inlineStr">
        <is>
          <t>f7b80214c9564ac1bd11fd91a037d17b</t>
        </is>
      </c>
      <c r="B1164" s="29" t="n">
        <v>43200</v>
      </c>
      <c r="C1164" t="inlineStr">
        <is>
          <t>2018-04</t>
        </is>
      </c>
      <c r="D1164" t="inlineStr">
        <is>
          <t>35c9b150ab36fe584c1f24fd458c453a</t>
        </is>
      </c>
      <c r="E1164" t="inlineStr">
        <is>
          <t>paid_search</t>
        </is>
      </c>
      <c r="F1164">
        <f>IFERROR(MATCH(A1164,Deals!$A$2:$A$843,0),"")</f>
        <v/>
      </c>
      <c r="G1164">
        <f>IF(F1164="",0,1)</f>
        <v/>
      </c>
      <c r="H1164" s="29">
        <f>IF(F1164="","",INDEX(Deals!$E$2:$E$843,F1164))</f>
        <v/>
      </c>
      <c r="I1164">
        <f>IF(F1164="","",INDEX(Deals!$D$2:$D$843,F1164))</f>
        <v/>
      </c>
      <c r="J1164">
        <f>IF(F1164="","",INT(H1164)-B1164)</f>
        <v/>
      </c>
      <c r="K1164">
        <f>IF(B1164&gt;=Settings!$C$5,1,0)</f>
        <v/>
      </c>
    </row>
    <row r="1165">
      <c r="A1165" t="inlineStr">
        <is>
          <t>38b2baf94efabe47b94f0ba1a2d61488</t>
        </is>
      </c>
      <c r="B1165" s="29" t="n">
        <v>43222</v>
      </c>
      <c r="C1165" t="inlineStr">
        <is>
          <t>2018-05</t>
        </is>
      </c>
      <c r="D1165" t="inlineStr">
        <is>
          <t>fb58285f6f6c4e504dfa628de116cae8</t>
        </is>
      </c>
      <c r="E1165" t="inlineStr">
        <is>
          <t>email</t>
        </is>
      </c>
      <c r="F1165">
        <f>IFERROR(MATCH(A1165,Deals!$A$2:$A$843,0),"")</f>
        <v/>
      </c>
      <c r="G1165">
        <f>IF(F1165="",0,1)</f>
        <v/>
      </c>
      <c r="H1165" s="29">
        <f>IF(F1165="","",INDEX(Deals!$E$2:$E$843,F1165))</f>
        <v/>
      </c>
      <c r="I1165">
        <f>IF(F1165="","",INDEX(Deals!$D$2:$D$843,F1165))</f>
        <v/>
      </c>
      <c r="J1165">
        <f>IF(F1165="","",INT(H1165)-B1165)</f>
        <v/>
      </c>
      <c r="K1165">
        <f>IF(B1165&gt;=Settings!$C$5,1,0)</f>
        <v/>
      </c>
    </row>
    <row r="1166">
      <c r="A1166" t="inlineStr">
        <is>
          <t>fa654b38bacbfa95b74861a531401004</t>
        </is>
      </c>
      <c r="B1166" s="29" t="n">
        <v>43200</v>
      </c>
      <c r="C1166" t="inlineStr">
        <is>
          <t>2018-04</t>
        </is>
      </c>
      <c r="D1166" t="inlineStr">
        <is>
          <t>22c29808c4f815213303f8933030604c</t>
        </is>
      </c>
      <c r="E1166" t="inlineStr">
        <is>
          <t>unknown</t>
        </is>
      </c>
      <c r="F1166">
        <f>IFERROR(MATCH(A1166,Deals!$A$2:$A$843,0),"")</f>
        <v/>
      </c>
      <c r="G1166">
        <f>IF(F1166="",0,1)</f>
        <v/>
      </c>
      <c r="H1166" s="29">
        <f>IF(F1166="","",INDEX(Deals!$E$2:$E$843,F1166))</f>
        <v/>
      </c>
      <c r="I1166">
        <f>IF(F1166="","",INDEX(Deals!$D$2:$D$843,F1166))</f>
        <v/>
      </c>
      <c r="J1166">
        <f>IF(F1166="","",INT(H1166)-B1166)</f>
        <v/>
      </c>
      <c r="K1166">
        <f>IF(B1166&gt;=Settings!$C$5,1,0)</f>
        <v/>
      </c>
    </row>
    <row r="1167">
      <c r="A1167" t="inlineStr">
        <is>
          <t>67c34b9630469b3c13b7982316ffe7a1</t>
        </is>
      </c>
      <c r="B1167" s="29" t="n">
        <v>43116</v>
      </c>
      <c r="C1167" t="inlineStr">
        <is>
          <t>2018-01</t>
        </is>
      </c>
      <c r="D1167" t="inlineStr">
        <is>
          <t>a623837d6a3000b3cd020295728e8252</t>
        </is>
      </c>
      <c r="E1167" t="inlineStr">
        <is>
          <t>(missing)</t>
        </is>
      </c>
      <c r="F1167">
        <f>IFERROR(MATCH(A1167,Deals!$A$2:$A$843,0),"")</f>
        <v/>
      </c>
      <c r="G1167">
        <f>IF(F1167="",0,1)</f>
        <v/>
      </c>
      <c r="H1167" s="29">
        <f>IF(F1167="","",INDEX(Deals!$E$2:$E$843,F1167))</f>
        <v/>
      </c>
      <c r="I1167">
        <f>IF(F1167="","",INDEX(Deals!$D$2:$D$843,F1167))</f>
        <v/>
      </c>
      <c r="J1167">
        <f>IF(F1167="","",INT(H1167)-B1167)</f>
        <v/>
      </c>
      <c r="K1167">
        <f>IF(B1167&gt;=Settings!$C$5,1,0)</f>
        <v/>
      </c>
    </row>
    <row r="1168">
      <c r="A1168" t="inlineStr">
        <is>
          <t>4a50910eb613761dc216ed4835dfab9b</t>
        </is>
      </c>
      <c r="B1168" s="29" t="n">
        <v>43192</v>
      </c>
      <c r="C1168" t="inlineStr">
        <is>
          <t>2018-04</t>
        </is>
      </c>
      <c r="D1168" t="inlineStr">
        <is>
          <t>58326e62183c14b0c03085c33b9fdc44</t>
        </is>
      </c>
      <c r="E1168" t="inlineStr">
        <is>
          <t>social</t>
        </is>
      </c>
      <c r="F1168">
        <f>IFERROR(MATCH(A1168,Deals!$A$2:$A$843,0),"")</f>
        <v/>
      </c>
      <c r="G1168">
        <f>IF(F1168="",0,1)</f>
        <v/>
      </c>
      <c r="H1168" s="29">
        <f>IF(F1168="","",INDEX(Deals!$E$2:$E$843,F1168))</f>
        <v/>
      </c>
      <c r="I1168">
        <f>IF(F1168="","",INDEX(Deals!$D$2:$D$843,F1168))</f>
        <v/>
      </c>
      <c r="J1168">
        <f>IF(F1168="","",INT(H1168)-B1168)</f>
        <v/>
      </c>
      <c r="K1168">
        <f>IF(B1168&gt;=Settings!$C$5,1,0)</f>
        <v/>
      </c>
    </row>
    <row r="1169">
      <c r="A1169" t="inlineStr">
        <is>
          <t>bde34e7721e5a33091503ba45b3f8ea5</t>
        </is>
      </c>
      <c r="B1169" s="29" t="n">
        <v>43165</v>
      </c>
      <c r="C1169" t="inlineStr">
        <is>
          <t>2018-03</t>
        </is>
      </c>
      <c r="D1169" t="inlineStr">
        <is>
          <t>ce1a65abd0973638f1c887a6efcfa82d</t>
        </is>
      </c>
      <c r="E1169" t="inlineStr">
        <is>
          <t>organic_search</t>
        </is>
      </c>
      <c r="F1169">
        <f>IFERROR(MATCH(A1169,Deals!$A$2:$A$843,0),"")</f>
        <v/>
      </c>
      <c r="G1169">
        <f>IF(F1169="",0,1)</f>
        <v/>
      </c>
      <c r="H1169" s="29">
        <f>IF(F1169="","",INDEX(Deals!$E$2:$E$843,F1169))</f>
        <v/>
      </c>
      <c r="I1169">
        <f>IF(F1169="","",INDEX(Deals!$D$2:$D$843,F1169))</f>
        <v/>
      </c>
      <c r="J1169">
        <f>IF(F1169="","",INT(H1169)-B1169)</f>
        <v/>
      </c>
      <c r="K1169">
        <f>IF(B1169&gt;=Settings!$C$5,1,0)</f>
        <v/>
      </c>
    </row>
    <row r="1170">
      <c r="A1170" t="inlineStr">
        <is>
          <t>19d5254bda3efc525d2fbc731215b282</t>
        </is>
      </c>
      <c r="B1170" s="29" t="n">
        <v>43192</v>
      </c>
      <c r="C1170" t="inlineStr">
        <is>
          <t>2018-04</t>
        </is>
      </c>
      <c r="D1170" t="inlineStr">
        <is>
          <t>b76ef37428e6799c421989521c0e5077</t>
        </is>
      </c>
      <c r="E1170" t="inlineStr">
        <is>
          <t>organic_search</t>
        </is>
      </c>
      <c r="F1170">
        <f>IFERROR(MATCH(A1170,Deals!$A$2:$A$843,0),"")</f>
        <v/>
      </c>
      <c r="G1170">
        <f>IF(F1170="",0,1)</f>
        <v/>
      </c>
      <c r="H1170" s="29">
        <f>IF(F1170="","",INDEX(Deals!$E$2:$E$843,F1170))</f>
        <v/>
      </c>
      <c r="I1170">
        <f>IF(F1170="","",INDEX(Deals!$D$2:$D$843,F1170))</f>
        <v/>
      </c>
      <c r="J1170">
        <f>IF(F1170="","",INT(H1170)-B1170)</f>
        <v/>
      </c>
      <c r="K1170">
        <f>IF(B1170&gt;=Settings!$C$5,1,0)</f>
        <v/>
      </c>
    </row>
    <row r="1171">
      <c r="A1171" t="inlineStr">
        <is>
          <t>3345581248da49c7be54266867fd1be5</t>
        </is>
      </c>
      <c r="B1171" s="29" t="n">
        <v>43179</v>
      </c>
      <c r="C1171" t="inlineStr">
        <is>
          <t>2018-03</t>
        </is>
      </c>
      <c r="D1171" t="inlineStr">
        <is>
          <t>607cb942712956d9e5cca504365378c0</t>
        </is>
      </c>
      <c r="E1171" t="inlineStr">
        <is>
          <t>paid_search</t>
        </is>
      </c>
      <c r="F1171">
        <f>IFERROR(MATCH(A1171,Deals!$A$2:$A$843,0),"")</f>
        <v/>
      </c>
      <c r="G1171">
        <f>IF(F1171="",0,1)</f>
        <v/>
      </c>
      <c r="H1171" s="29">
        <f>IF(F1171="","",INDEX(Deals!$E$2:$E$843,F1171))</f>
        <v/>
      </c>
      <c r="I1171">
        <f>IF(F1171="","",INDEX(Deals!$D$2:$D$843,F1171))</f>
        <v/>
      </c>
      <c r="J1171">
        <f>IF(F1171="","",INT(H1171)-B1171)</f>
        <v/>
      </c>
      <c r="K1171">
        <f>IF(B1171&gt;=Settings!$C$5,1,0)</f>
        <v/>
      </c>
    </row>
    <row r="1172">
      <c r="A1172" t="inlineStr">
        <is>
          <t>87c8812aeeb170aa52177d2735ca7042</t>
        </is>
      </c>
      <c r="B1172" s="29" t="n">
        <v>43158</v>
      </c>
      <c r="C1172" t="inlineStr">
        <is>
          <t>2018-02</t>
        </is>
      </c>
      <c r="D1172" t="inlineStr">
        <is>
          <t>f017be4dbf86243af5c1ebed0cff36a2</t>
        </is>
      </c>
      <c r="E1172" t="inlineStr">
        <is>
          <t>organic_search</t>
        </is>
      </c>
      <c r="F1172">
        <f>IFERROR(MATCH(A1172,Deals!$A$2:$A$843,0),"")</f>
        <v/>
      </c>
      <c r="G1172">
        <f>IF(F1172="",0,1)</f>
        <v/>
      </c>
      <c r="H1172" s="29">
        <f>IF(F1172="","",INDEX(Deals!$E$2:$E$843,F1172))</f>
        <v/>
      </c>
      <c r="I1172">
        <f>IF(F1172="","",INDEX(Deals!$D$2:$D$843,F1172))</f>
        <v/>
      </c>
      <c r="J1172">
        <f>IF(F1172="","",INT(H1172)-B1172)</f>
        <v/>
      </c>
      <c r="K1172">
        <f>IF(B1172&gt;=Settings!$C$5,1,0)</f>
        <v/>
      </c>
    </row>
    <row r="1173">
      <c r="A1173" t="inlineStr">
        <is>
          <t>54d69e23f13017d66d2d0a23415072ac</t>
        </is>
      </c>
      <c r="B1173" s="29" t="n">
        <v>43034</v>
      </c>
      <c r="C1173" t="inlineStr">
        <is>
          <t>2017-10</t>
        </is>
      </c>
      <c r="D1173" t="inlineStr">
        <is>
          <t>63355b003224fe06badbd9de99644792</t>
        </is>
      </c>
      <c r="E1173" t="inlineStr">
        <is>
          <t>email</t>
        </is>
      </c>
      <c r="F1173">
        <f>IFERROR(MATCH(A1173,Deals!$A$2:$A$843,0),"")</f>
        <v/>
      </c>
      <c r="G1173">
        <f>IF(F1173="",0,1)</f>
        <v/>
      </c>
      <c r="H1173" s="29">
        <f>IF(F1173="","",INDEX(Deals!$E$2:$E$843,F1173))</f>
        <v/>
      </c>
      <c r="I1173">
        <f>IF(F1173="","",INDEX(Deals!$D$2:$D$843,F1173))</f>
        <v/>
      </c>
      <c r="J1173">
        <f>IF(F1173="","",INT(H1173)-B1173)</f>
        <v/>
      </c>
      <c r="K1173">
        <f>IF(B1173&gt;=Settings!$C$5,1,0)</f>
        <v/>
      </c>
    </row>
    <row r="1174">
      <c r="A1174" t="inlineStr">
        <is>
          <t>a7572e51d89da5dcfc00ce1c2e20e86c</t>
        </is>
      </c>
      <c r="B1174" s="29" t="n">
        <v>42992</v>
      </c>
      <c r="C1174" t="inlineStr">
        <is>
          <t>2017-09</t>
        </is>
      </c>
      <c r="D1174" t="inlineStr">
        <is>
          <t>298895230612f85f0742434fc434ad10</t>
        </is>
      </c>
      <c r="E1174" t="inlineStr">
        <is>
          <t>email</t>
        </is>
      </c>
      <c r="F1174">
        <f>IFERROR(MATCH(A1174,Deals!$A$2:$A$843,0),"")</f>
        <v/>
      </c>
      <c r="G1174">
        <f>IF(F1174="",0,1)</f>
        <v/>
      </c>
      <c r="H1174" s="29">
        <f>IF(F1174="","",INDEX(Deals!$E$2:$E$843,F1174))</f>
        <v/>
      </c>
      <c r="I1174">
        <f>IF(F1174="","",INDEX(Deals!$D$2:$D$843,F1174))</f>
        <v/>
      </c>
      <c r="J1174">
        <f>IF(F1174="","",INT(H1174)-B1174)</f>
        <v/>
      </c>
      <c r="K1174">
        <f>IF(B1174&gt;=Settings!$C$5,1,0)</f>
        <v/>
      </c>
    </row>
    <row r="1175">
      <c r="A1175" t="inlineStr">
        <is>
          <t>78aafe78cef466668ddd95d4d9d7e1ad</t>
        </is>
      </c>
      <c r="B1175" s="29" t="n">
        <v>43038</v>
      </c>
      <c r="C1175" t="inlineStr">
        <is>
          <t>2017-10</t>
        </is>
      </c>
      <c r="D1175" t="inlineStr">
        <is>
          <t>22c29808c4f815213303f8933030604c</t>
        </is>
      </c>
      <c r="E1175" t="inlineStr">
        <is>
          <t>organic_search</t>
        </is>
      </c>
      <c r="F1175">
        <f>IFERROR(MATCH(A1175,Deals!$A$2:$A$843,0),"")</f>
        <v/>
      </c>
      <c r="G1175">
        <f>IF(F1175="",0,1)</f>
        <v/>
      </c>
      <c r="H1175" s="29">
        <f>IF(F1175="","",INDEX(Deals!$E$2:$E$843,F1175))</f>
        <v/>
      </c>
      <c r="I1175">
        <f>IF(F1175="","",INDEX(Deals!$D$2:$D$843,F1175))</f>
        <v/>
      </c>
      <c r="J1175">
        <f>IF(F1175="","",INT(H1175)-B1175)</f>
        <v/>
      </c>
      <c r="K1175">
        <f>IF(B1175&gt;=Settings!$C$5,1,0)</f>
        <v/>
      </c>
    </row>
    <row r="1176">
      <c r="A1176" t="inlineStr">
        <is>
          <t>7c9357dc1384365a339ee9de0b1f5766</t>
        </is>
      </c>
      <c r="B1176" s="29" t="n">
        <v>43146</v>
      </c>
      <c r="C1176" t="inlineStr">
        <is>
          <t>2018-02</t>
        </is>
      </c>
      <c r="D1176" t="inlineStr">
        <is>
          <t>b6885f18d203a61176418c1fb3764815</t>
        </is>
      </c>
      <c r="E1176" t="inlineStr">
        <is>
          <t>email</t>
        </is>
      </c>
      <c r="F1176">
        <f>IFERROR(MATCH(A1176,Deals!$A$2:$A$843,0),"")</f>
        <v/>
      </c>
      <c r="G1176">
        <f>IF(F1176="",0,1)</f>
        <v/>
      </c>
      <c r="H1176" s="29">
        <f>IF(F1176="","",INDEX(Deals!$E$2:$E$843,F1176))</f>
        <v/>
      </c>
      <c r="I1176">
        <f>IF(F1176="","",INDEX(Deals!$D$2:$D$843,F1176))</f>
        <v/>
      </c>
      <c r="J1176">
        <f>IF(F1176="","",INT(H1176)-B1176)</f>
        <v/>
      </c>
      <c r="K1176">
        <f>IF(B1176&gt;=Settings!$C$5,1,0)</f>
        <v/>
      </c>
    </row>
    <row r="1177">
      <c r="A1177" t="inlineStr">
        <is>
          <t>4f2663dcc42d6c7746733d2c9bcb669d</t>
        </is>
      </c>
      <c r="B1177" s="29" t="n">
        <v>43198</v>
      </c>
      <c r="C1177" t="inlineStr">
        <is>
          <t>2018-04</t>
        </is>
      </c>
      <c r="D1177" t="inlineStr">
        <is>
          <t>58326e62183c14b0c03085c33b9fdc44</t>
        </is>
      </c>
      <c r="E1177" t="inlineStr">
        <is>
          <t>social</t>
        </is>
      </c>
      <c r="F1177">
        <f>IFERROR(MATCH(A1177,Deals!$A$2:$A$843,0),"")</f>
        <v/>
      </c>
      <c r="G1177">
        <f>IF(F1177="",0,1)</f>
        <v/>
      </c>
      <c r="H1177" s="29">
        <f>IF(F1177="","",INDEX(Deals!$E$2:$E$843,F1177))</f>
        <v/>
      </c>
      <c r="I1177">
        <f>IF(F1177="","",INDEX(Deals!$D$2:$D$843,F1177))</f>
        <v/>
      </c>
      <c r="J1177">
        <f>IF(F1177="","",INT(H1177)-B1177)</f>
        <v/>
      </c>
      <c r="K1177">
        <f>IF(B1177&gt;=Settings!$C$5,1,0)</f>
        <v/>
      </c>
    </row>
    <row r="1178">
      <c r="A1178" t="inlineStr">
        <is>
          <t>9a8d7eb7879dca0954771f50f440b591</t>
        </is>
      </c>
      <c r="B1178" s="29" t="n">
        <v>43066</v>
      </c>
      <c r="C1178" t="inlineStr">
        <is>
          <t>2017-11</t>
        </is>
      </c>
      <c r="D1178" t="inlineStr">
        <is>
          <t>88740e65d5d6b056e0cda098e1ea6313</t>
        </is>
      </c>
      <c r="E1178" t="inlineStr">
        <is>
          <t>social</t>
        </is>
      </c>
      <c r="F1178">
        <f>IFERROR(MATCH(A1178,Deals!$A$2:$A$843,0),"")</f>
        <v/>
      </c>
      <c r="G1178">
        <f>IF(F1178="",0,1)</f>
        <v/>
      </c>
      <c r="H1178" s="29">
        <f>IF(F1178="","",INDEX(Deals!$E$2:$E$843,F1178))</f>
        <v/>
      </c>
      <c r="I1178">
        <f>IF(F1178="","",INDEX(Deals!$D$2:$D$843,F1178))</f>
        <v/>
      </c>
      <c r="J1178">
        <f>IF(F1178="","",INT(H1178)-B1178)</f>
        <v/>
      </c>
      <c r="K1178">
        <f>IF(B1178&gt;=Settings!$C$5,1,0)</f>
        <v/>
      </c>
    </row>
    <row r="1179">
      <c r="A1179" t="inlineStr">
        <is>
          <t>c8045671083f48d8d09d1d2523ea8941</t>
        </is>
      </c>
      <c r="B1179" s="29" t="n">
        <v>42977</v>
      </c>
      <c r="C1179" t="inlineStr">
        <is>
          <t>2017-08</t>
        </is>
      </c>
      <c r="D1179" t="inlineStr">
        <is>
          <t>e492ee5eaf1697716985cc6f33f9cd9b</t>
        </is>
      </c>
      <c r="E1179" t="inlineStr">
        <is>
          <t>paid_search</t>
        </is>
      </c>
      <c r="F1179">
        <f>IFERROR(MATCH(A1179,Deals!$A$2:$A$843,0),"")</f>
        <v/>
      </c>
      <c r="G1179">
        <f>IF(F1179="",0,1)</f>
        <v/>
      </c>
      <c r="H1179" s="29">
        <f>IF(F1179="","",INDEX(Deals!$E$2:$E$843,F1179))</f>
        <v/>
      </c>
      <c r="I1179">
        <f>IF(F1179="","",INDEX(Deals!$D$2:$D$843,F1179))</f>
        <v/>
      </c>
      <c r="J1179">
        <f>IF(F1179="","",INT(H1179)-B1179)</f>
        <v/>
      </c>
      <c r="K1179">
        <f>IF(B1179&gt;=Settings!$C$5,1,0)</f>
        <v/>
      </c>
    </row>
    <row r="1180">
      <c r="A1180" t="inlineStr">
        <is>
          <t>1124225a47b3f07185073f3df3b449bf</t>
        </is>
      </c>
      <c r="B1180" s="29" t="n">
        <v>43241</v>
      </c>
      <c r="C1180" t="inlineStr">
        <is>
          <t>2018-05</t>
        </is>
      </c>
      <c r="D1180" t="inlineStr">
        <is>
          <t>58326e62183c14b0c03085c33b9fdc44</t>
        </is>
      </c>
      <c r="E1180" t="inlineStr">
        <is>
          <t>social</t>
        </is>
      </c>
      <c r="F1180">
        <f>IFERROR(MATCH(A1180,Deals!$A$2:$A$843,0),"")</f>
        <v/>
      </c>
      <c r="G1180">
        <f>IF(F1180="",0,1)</f>
        <v/>
      </c>
      <c r="H1180" s="29">
        <f>IF(F1180="","",INDEX(Deals!$E$2:$E$843,F1180))</f>
        <v/>
      </c>
      <c r="I1180">
        <f>IF(F1180="","",INDEX(Deals!$D$2:$D$843,F1180))</f>
        <v/>
      </c>
      <c r="J1180">
        <f>IF(F1180="","",INT(H1180)-B1180)</f>
        <v/>
      </c>
      <c r="K1180">
        <f>IF(B1180&gt;=Settings!$C$5,1,0)</f>
        <v/>
      </c>
    </row>
    <row r="1181">
      <c r="A1181" t="inlineStr">
        <is>
          <t>a18fb9eec25fe85c50093b22689ff9aa</t>
        </is>
      </c>
      <c r="B1181" s="29" t="n">
        <v>43146</v>
      </c>
      <c r="C1181" t="inlineStr">
        <is>
          <t>2018-02</t>
        </is>
      </c>
      <c r="D1181" t="inlineStr">
        <is>
          <t>40dec9f3d5259a3d2dbcdab2114fae47</t>
        </is>
      </c>
      <c r="E1181" t="inlineStr">
        <is>
          <t>paid_search</t>
        </is>
      </c>
      <c r="F1181">
        <f>IFERROR(MATCH(A1181,Deals!$A$2:$A$843,0),"")</f>
        <v/>
      </c>
      <c r="G1181">
        <f>IF(F1181="",0,1)</f>
        <v/>
      </c>
      <c r="H1181" s="29">
        <f>IF(F1181="","",INDEX(Deals!$E$2:$E$843,F1181))</f>
        <v/>
      </c>
      <c r="I1181">
        <f>IF(F1181="","",INDEX(Deals!$D$2:$D$843,F1181))</f>
        <v/>
      </c>
      <c r="J1181">
        <f>IF(F1181="","",INT(H1181)-B1181)</f>
        <v/>
      </c>
      <c r="K1181">
        <f>IF(B1181&gt;=Settings!$C$5,1,0)</f>
        <v/>
      </c>
    </row>
    <row r="1182">
      <c r="A1182" t="inlineStr">
        <is>
          <t>01da9689ebf762ad9b6f4879eeaa484d</t>
        </is>
      </c>
      <c r="B1182" s="29" t="n">
        <v>43224</v>
      </c>
      <c r="C1182" t="inlineStr">
        <is>
          <t>2018-05</t>
        </is>
      </c>
      <c r="D1182" t="inlineStr">
        <is>
          <t>fb58285f6f6c4e504dfa628de116cae8</t>
        </is>
      </c>
      <c r="E1182" t="inlineStr">
        <is>
          <t>email</t>
        </is>
      </c>
      <c r="F1182">
        <f>IFERROR(MATCH(A1182,Deals!$A$2:$A$843,0),"")</f>
        <v/>
      </c>
      <c r="G1182">
        <f>IF(F1182="",0,1)</f>
        <v/>
      </c>
      <c r="H1182" s="29">
        <f>IF(F1182="","",INDEX(Deals!$E$2:$E$843,F1182))</f>
        <v/>
      </c>
      <c r="I1182">
        <f>IF(F1182="","",INDEX(Deals!$D$2:$D$843,F1182))</f>
        <v/>
      </c>
      <c r="J1182">
        <f>IF(F1182="","",INT(H1182)-B1182)</f>
        <v/>
      </c>
      <c r="K1182">
        <f>IF(B1182&gt;=Settings!$C$5,1,0)</f>
        <v/>
      </c>
    </row>
    <row r="1183">
      <c r="A1183" t="inlineStr">
        <is>
          <t>bc140cb5cb4c500db60537d94455756b</t>
        </is>
      </c>
      <c r="B1183" s="29" t="n">
        <v>43237</v>
      </c>
      <c r="C1183" t="inlineStr">
        <is>
          <t>2018-05</t>
        </is>
      </c>
      <c r="D1183" t="inlineStr">
        <is>
          <t>87e8cbe800fd79c7109fb24081c1c31d</t>
        </is>
      </c>
      <c r="E1183" t="inlineStr">
        <is>
          <t>unknown</t>
        </is>
      </c>
      <c r="F1183">
        <f>IFERROR(MATCH(A1183,Deals!$A$2:$A$843,0),"")</f>
        <v/>
      </c>
      <c r="G1183">
        <f>IF(F1183="",0,1)</f>
        <v/>
      </c>
      <c r="H1183" s="29">
        <f>IF(F1183="","",INDEX(Deals!$E$2:$E$843,F1183))</f>
        <v/>
      </c>
      <c r="I1183">
        <f>IF(F1183="","",INDEX(Deals!$D$2:$D$843,F1183))</f>
        <v/>
      </c>
      <c r="J1183">
        <f>IF(F1183="","",INT(H1183)-B1183)</f>
        <v/>
      </c>
      <c r="K1183">
        <f>IF(B1183&gt;=Settings!$C$5,1,0)</f>
        <v/>
      </c>
    </row>
    <row r="1184">
      <c r="A1184" t="inlineStr">
        <is>
          <t>ac68bc93ecc07d7daec8ce924ca09b0c</t>
        </is>
      </c>
      <c r="B1184" s="29" t="n">
        <v>43227</v>
      </c>
      <c r="C1184" t="inlineStr">
        <is>
          <t>2018-05</t>
        </is>
      </c>
      <c r="D1184" t="inlineStr">
        <is>
          <t>b76ef37428e6799c421989521c0e5077</t>
        </is>
      </c>
      <c r="E1184" t="inlineStr">
        <is>
          <t>unknown</t>
        </is>
      </c>
      <c r="F1184">
        <f>IFERROR(MATCH(A1184,Deals!$A$2:$A$843,0),"")</f>
        <v/>
      </c>
      <c r="G1184">
        <f>IF(F1184="",0,1)</f>
        <v/>
      </c>
      <c r="H1184" s="29">
        <f>IF(F1184="","",INDEX(Deals!$E$2:$E$843,F1184))</f>
        <v/>
      </c>
      <c r="I1184">
        <f>IF(F1184="","",INDEX(Deals!$D$2:$D$843,F1184))</f>
        <v/>
      </c>
      <c r="J1184">
        <f>IF(F1184="","",INT(H1184)-B1184)</f>
        <v/>
      </c>
      <c r="K1184">
        <f>IF(B1184&gt;=Settings!$C$5,1,0)</f>
        <v/>
      </c>
    </row>
    <row r="1185">
      <c r="A1185" t="inlineStr">
        <is>
          <t>a2f42f936446626e7dd5766806c9f5c9</t>
        </is>
      </c>
      <c r="B1185" s="29" t="n">
        <v>43235</v>
      </c>
      <c r="C1185" t="inlineStr">
        <is>
          <t>2018-05</t>
        </is>
      </c>
      <c r="D1185" t="inlineStr">
        <is>
          <t>d28554990d8c5273fedfde51f1f8a59d</t>
        </is>
      </c>
      <c r="E1185" t="inlineStr">
        <is>
          <t>referral</t>
        </is>
      </c>
      <c r="F1185">
        <f>IFERROR(MATCH(A1185,Deals!$A$2:$A$843,0),"")</f>
        <v/>
      </c>
      <c r="G1185">
        <f>IF(F1185="",0,1)</f>
        <v/>
      </c>
      <c r="H1185" s="29">
        <f>IF(F1185="","",INDEX(Deals!$E$2:$E$843,F1185))</f>
        <v/>
      </c>
      <c r="I1185">
        <f>IF(F1185="","",INDEX(Deals!$D$2:$D$843,F1185))</f>
        <v/>
      </c>
      <c r="J1185">
        <f>IF(F1185="","",INT(H1185)-B1185)</f>
        <v/>
      </c>
      <c r="K1185">
        <f>IF(B1185&gt;=Settings!$C$5,1,0)</f>
        <v/>
      </c>
    </row>
    <row r="1186">
      <c r="A1186" t="inlineStr">
        <is>
          <t>eeb5314803674e4da55f004678273c39</t>
        </is>
      </c>
      <c r="B1186" s="29" t="n">
        <v>43187</v>
      </c>
      <c r="C1186" t="inlineStr">
        <is>
          <t>2018-03</t>
        </is>
      </c>
      <c r="D1186" t="inlineStr">
        <is>
          <t>e492ee5eaf1697716985cc6f33f9cd9b</t>
        </is>
      </c>
      <c r="E1186" t="inlineStr">
        <is>
          <t>email</t>
        </is>
      </c>
      <c r="F1186">
        <f>IFERROR(MATCH(A1186,Deals!$A$2:$A$843,0),"")</f>
        <v/>
      </c>
      <c r="G1186">
        <f>IF(F1186="",0,1)</f>
        <v/>
      </c>
      <c r="H1186" s="29">
        <f>IF(F1186="","",INDEX(Deals!$E$2:$E$843,F1186))</f>
        <v/>
      </c>
      <c r="I1186">
        <f>IF(F1186="","",INDEX(Deals!$D$2:$D$843,F1186))</f>
        <v/>
      </c>
      <c r="J1186">
        <f>IF(F1186="","",INT(H1186)-B1186)</f>
        <v/>
      </c>
      <c r="K1186">
        <f>IF(B1186&gt;=Settings!$C$5,1,0)</f>
        <v/>
      </c>
    </row>
    <row r="1187">
      <c r="A1187" t="inlineStr">
        <is>
          <t>5731fc4127e702cfb374871aa889a9c7</t>
        </is>
      </c>
      <c r="B1187" s="29" t="n">
        <v>43188</v>
      </c>
      <c r="C1187" t="inlineStr">
        <is>
          <t>2018-03</t>
        </is>
      </c>
      <c r="D1187" t="inlineStr">
        <is>
          <t>b76ef37428e6799c421989521c0e5077</t>
        </is>
      </c>
      <c r="E1187" t="inlineStr">
        <is>
          <t>unknown</t>
        </is>
      </c>
      <c r="F1187">
        <f>IFERROR(MATCH(A1187,Deals!$A$2:$A$843,0),"")</f>
        <v/>
      </c>
      <c r="G1187">
        <f>IF(F1187="",0,1)</f>
        <v/>
      </c>
      <c r="H1187" s="29">
        <f>IF(F1187="","",INDEX(Deals!$E$2:$E$843,F1187))</f>
        <v/>
      </c>
      <c r="I1187">
        <f>IF(F1187="","",INDEX(Deals!$D$2:$D$843,F1187))</f>
        <v/>
      </c>
      <c r="J1187">
        <f>IF(F1187="","",INT(H1187)-B1187)</f>
        <v/>
      </c>
      <c r="K1187">
        <f>IF(B1187&gt;=Settings!$C$5,1,0)</f>
        <v/>
      </c>
    </row>
    <row r="1188">
      <c r="A1188" t="inlineStr">
        <is>
          <t>e327949a17d035ca60d110b4ce6b7274</t>
        </is>
      </c>
      <c r="B1188" s="29" t="n">
        <v>43248</v>
      </c>
      <c r="C1188" t="inlineStr">
        <is>
          <t>2018-05</t>
        </is>
      </c>
      <c r="D1188" t="inlineStr">
        <is>
          <t>58326e62183c14b0c03085c33b9fdc44</t>
        </is>
      </c>
      <c r="E1188" t="inlineStr">
        <is>
          <t>social</t>
        </is>
      </c>
      <c r="F1188">
        <f>IFERROR(MATCH(A1188,Deals!$A$2:$A$843,0),"")</f>
        <v/>
      </c>
      <c r="G1188">
        <f>IF(F1188="",0,1)</f>
        <v/>
      </c>
      <c r="H1188" s="29">
        <f>IF(F1188="","",INDEX(Deals!$E$2:$E$843,F1188))</f>
        <v/>
      </c>
      <c r="I1188">
        <f>IF(F1188="","",INDEX(Deals!$D$2:$D$843,F1188))</f>
        <v/>
      </c>
      <c r="J1188">
        <f>IF(F1188="","",INT(H1188)-B1188)</f>
        <v/>
      </c>
      <c r="K1188">
        <f>IF(B1188&gt;=Settings!$C$5,1,0)</f>
        <v/>
      </c>
    </row>
    <row r="1189">
      <c r="A1189" t="inlineStr">
        <is>
          <t>53b40c8ff077757f35a903589ef2a31b</t>
        </is>
      </c>
      <c r="B1189" s="29" t="n">
        <v>43225</v>
      </c>
      <c r="C1189" t="inlineStr">
        <is>
          <t>2018-05</t>
        </is>
      </c>
      <c r="D1189" t="inlineStr">
        <is>
          <t>22c29808c4f815213303f8933030604c</t>
        </is>
      </c>
      <c r="E1189" t="inlineStr">
        <is>
          <t>organic_search</t>
        </is>
      </c>
      <c r="F1189">
        <f>IFERROR(MATCH(A1189,Deals!$A$2:$A$843,0),"")</f>
        <v/>
      </c>
      <c r="G1189">
        <f>IF(F1189="",0,1)</f>
        <v/>
      </c>
      <c r="H1189" s="29">
        <f>IF(F1189="","",INDEX(Deals!$E$2:$E$843,F1189))</f>
        <v/>
      </c>
      <c r="I1189">
        <f>IF(F1189="","",INDEX(Deals!$D$2:$D$843,F1189))</f>
        <v/>
      </c>
      <c r="J1189">
        <f>IF(F1189="","",INT(H1189)-B1189)</f>
        <v/>
      </c>
      <c r="K1189">
        <f>IF(B1189&gt;=Settings!$C$5,1,0)</f>
        <v/>
      </c>
    </row>
    <row r="1190">
      <c r="A1190" t="inlineStr">
        <is>
          <t>b8758e423637f5e270eab64ad37f0b19</t>
        </is>
      </c>
      <c r="B1190" s="29" t="n">
        <v>43192</v>
      </c>
      <c r="C1190" t="inlineStr">
        <is>
          <t>2018-04</t>
        </is>
      </c>
      <c r="D1190" t="inlineStr">
        <is>
          <t>b76ef37428e6799c421989521c0e5077</t>
        </is>
      </c>
      <c r="E1190" t="inlineStr">
        <is>
          <t>unknown</t>
        </is>
      </c>
      <c r="F1190">
        <f>IFERROR(MATCH(A1190,Deals!$A$2:$A$843,0),"")</f>
        <v/>
      </c>
      <c r="G1190">
        <f>IF(F1190="",0,1)</f>
        <v/>
      </c>
      <c r="H1190" s="29">
        <f>IF(F1190="","",INDEX(Deals!$E$2:$E$843,F1190))</f>
        <v/>
      </c>
      <c r="I1190">
        <f>IF(F1190="","",INDEX(Deals!$D$2:$D$843,F1190))</f>
        <v/>
      </c>
      <c r="J1190">
        <f>IF(F1190="","",INT(H1190)-B1190)</f>
        <v/>
      </c>
      <c r="K1190">
        <f>IF(B1190&gt;=Settings!$C$5,1,0)</f>
        <v/>
      </c>
    </row>
    <row r="1191">
      <c r="A1191" t="inlineStr">
        <is>
          <t>ff43e9b7b196858d0a6148df90f43318</t>
        </is>
      </c>
      <c r="B1191" s="29" t="n">
        <v>43175</v>
      </c>
      <c r="C1191" t="inlineStr">
        <is>
          <t>2018-03</t>
        </is>
      </c>
      <c r="D1191" t="inlineStr">
        <is>
          <t>65d9f9d71e562365e8b44037c2888d98</t>
        </is>
      </c>
      <c r="E1191" t="inlineStr">
        <is>
          <t>paid_search</t>
        </is>
      </c>
      <c r="F1191">
        <f>IFERROR(MATCH(A1191,Deals!$A$2:$A$843,0),"")</f>
        <v/>
      </c>
      <c r="G1191">
        <f>IF(F1191="",0,1)</f>
        <v/>
      </c>
      <c r="H1191" s="29">
        <f>IF(F1191="","",INDEX(Deals!$E$2:$E$843,F1191))</f>
        <v/>
      </c>
      <c r="I1191">
        <f>IF(F1191="","",INDEX(Deals!$D$2:$D$843,F1191))</f>
        <v/>
      </c>
      <c r="J1191">
        <f>IF(F1191="","",INT(H1191)-B1191)</f>
        <v/>
      </c>
      <c r="K1191">
        <f>IF(B1191&gt;=Settings!$C$5,1,0)</f>
        <v/>
      </c>
    </row>
    <row r="1192">
      <c r="A1192" t="inlineStr">
        <is>
          <t>25d80b451b5c76cf01048f4b1d367e35</t>
        </is>
      </c>
      <c r="B1192" s="29" t="n">
        <v>42976</v>
      </c>
      <c r="C1192" t="inlineStr">
        <is>
          <t>2017-08</t>
        </is>
      </c>
      <c r="D1192" t="inlineStr">
        <is>
          <t>1722481ac9e5371e5099dea226b5421d</t>
        </is>
      </c>
      <c r="E1192" t="inlineStr">
        <is>
          <t>direct_traffic</t>
        </is>
      </c>
      <c r="F1192">
        <f>IFERROR(MATCH(A1192,Deals!$A$2:$A$843,0),"")</f>
        <v/>
      </c>
      <c r="G1192">
        <f>IF(F1192="",0,1)</f>
        <v/>
      </c>
      <c r="H1192" s="29">
        <f>IF(F1192="","",INDEX(Deals!$E$2:$E$843,F1192))</f>
        <v/>
      </c>
      <c r="I1192">
        <f>IF(F1192="","",INDEX(Deals!$D$2:$D$843,F1192))</f>
        <v/>
      </c>
      <c r="J1192">
        <f>IF(F1192="","",INT(H1192)-B1192)</f>
        <v/>
      </c>
      <c r="K1192">
        <f>IF(B1192&gt;=Settings!$C$5,1,0)</f>
        <v/>
      </c>
    </row>
    <row r="1193">
      <c r="A1193" t="inlineStr">
        <is>
          <t>75ef1021ee69eb5414f2103193d4c8dc</t>
        </is>
      </c>
      <c r="B1193" s="29" t="n">
        <v>42956</v>
      </c>
      <c r="C1193" t="inlineStr">
        <is>
          <t>2017-08</t>
        </is>
      </c>
      <c r="D1193" t="inlineStr">
        <is>
          <t>154e7506c0176dc761f19fa0cb4988c4</t>
        </is>
      </c>
      <c r="E1193" t="inlineStr">
        <is>
          <t>unknown</t>
        </is>
      </c>
      <c r="F1193">
        <f>IFERROR(MATCH(A1193,Deals!$A$2:$A$843,0),"")</f>
        <v/>
      </c>
      <c r="G1193">
        <f>IF(F1193="",0,1)</f>
        <v/>
      </c>
      <c r="H1193" s="29">
        <f>IF(F1193="","",INDEX(Deals!$E$2:$E$843,F1193))</f>
        <v/>
      </c>
      <c r="I1193">
        <f>IF(F1193="","",INDEX(Deals!$D$2:$D$843,F1193))</f>
        <v/>
      </c>
      <c r="J1193">
        <f>IF(F1193="","",INT(H1193)-B1193)</f>
        <v/>
      </c>
      <c r="K1193">
        <f>IF(B1193&gt;=Settings!$C$5,1,0)</f>
        <v/>
      </c>
    </row>
    <row r="1194">
      <c r="A1194" t="inlineStr">
        <is>
          <t>2d533c9bac8862a184b2ad4374a9090f</t>
        </is>
      </c>
      <c r="B1194" s="29" t="n">
        <v>42975</v>
      </c>
      <c r="C1194" t="inlineStr">
        <is>
          <t>2017-08</t>
        </is>
      </c>
      <c r="D1194" t="inlineStr">
        <is>
          <t>87732658ba41d8775e8577df347a64db</t>
        </is>
      </c>
      <c r="E1194" t="inlineStr">
        <is>
          <t>social</t>
        </is>
      </c>
      <c r="F1194">
        <f>IFERROR(MATCH(A1194,Deals!$A$2:$A$843,0),"")</f>
        <v/>
      </c>
      <c r="G1194">
        <f>IF(F1194="",0,1)</f>
        <v/>
      </c>
      <c r="H1194" s="29">
        <f>IF(F1194="","",INDEX(Deals!$E$2:$E$843,F1194))</f>
        <v/>
      </c>
      <c r="I1194">
        <f>IF(F1194="","",INDEX(Deals!$D$2:$D$843,F1194))</f>
        <v/>
      </c>
      <c r="J1194">
        <f>IF(F1194="","",INT(H1194)-B1194)</f>
        <v/>
      </c>
      <c r="K1194">
        <f>IF(B1194&gt;=Settings!$C$5,1,0)</f>
        <v/>
      </c>
    </row>
    <row r="1195">
      <c r="A1195" t="inlineStr">
        <is>
          <t>1fd7e7a5456fbde5648bf86e22857b41</t>
        </is>
      </c>
      <c r="B1195" s="29" t="n">
        <v>43114</v>
      </c>
      <c r="C1195" t="inlineStr">
        <is>
          <t>2018-01</t>
        </is>
      </c>
      <c r="D1195" t="inlineStr">
        <is>
          <t>b76ef37428e6799c421989521c0e5077</t>
        </is>
      </c>
      <c r="E1195" t="inlineStr">
        <is>
          <t>organic_search</t>
        </is>
      </c>
      <c r="F1195">
        <f>IFERROR(MATCH(A1195,Deals!$A$2:$A$843,0),"")</f>
        <v/>
      </c>
      <c r="G1195">
        <f>IF(F1195="",0,1)</f>
        <v/>
      </c>
      <c r="H1195" s="29">
        <f>IF(F1195="","",INDEX(Deals!$E$2:$E$843,F1195))</f>
        <v/>
      </c>
      <c r="I1195">
        <f>IF(F1195="","",INDEX(Deals!$D$2:$D$843,F1195))</f>
        <v/>
      </c>
      <c r="J1195">
        <f>IF(F1195="","",INT(H1195)-B1195)</f>
        <v/>
      </c>
      <c r="K1195">
        <f>IF(B1195&gt;=Settings!$C$5,1,0)</f>
        <v/>
      </c>
    </row>
    <row r="1196">
      <c r="A1196" t="inlineStr">
        <is>
          <t>3a2cdaaf4d156403021e3f5afabf8462</t>
        </is>
      </c>
      <c r="B1196" s="29" t="n">
        <v>43185</v>
      </c>
      <c r="C1196" t="inlineStr">
        <is>
          <t>2018-03</t>
        </is>
      </c>
      <c r="D1196" t="inlineStr">
        <is>
          <t>36120633c8737035fbabf079082f4ec1</t>
        </is>
      </c>
      <c r="E1196" t="inlineStr">
        <is>
          <t>paid_search</t>
        </is>
      </c>
      <c r="F1196">
        <f>IFERROR(MATCH(A1196,Deals!$A$2:$A$843,0),"")</f>
        <v/>
      </c>
      <c r="G1196">
        <f>IF(F1196="",0,1)</f>
        <v/>
      </c>
      <c r="H1196" s="29">
        <f>IF(F1196="","",INDEX(Deals!$E$2:$E$843,F1196))</f>
        <v/>
      </c>
      <c r="I1196">
        <f>IF(F1196="","",INDEX(Deals!$D$2:$D$843,F1196))</f>
        <v/>
      </c>
      <c r="J1196">
        <f>IF(F1196="","",INT(H1196)-B1196)</f>
        <v/>
      </c>
      <c r="K1196">
        <f>IF(B1196&gt;=Settings!$C$5,1,0)</f>
        <v/>
      </c>
    </row>
    <row r="1197">
      <c r="A1197" t="inlineStr">
        <is>
          <t>e820c40d01568fe53566d73d84c80b50</t>
        </is>
      </c>
      <c r="B1197" s="29" t="n">
        <v>43246</v>
      </c>
      <c r="C1197" t="inlineStr">
        <is>
          <t>2018-05</t>
        </is>
      </c>
      <c r="D1197" t="inlineStr">
        <is>
          <t>22c29808c4f815213303f8933030604c</t>
        </is>
      </c>
      <c r="E1197" t="inlineStr">
        <is>
          <t>organic_search</t>
        </is>
      </c>
      <c r="F1197">
        <f>IFERROR(MATCH(A1197,Deals!$A$2:$A$843,0),"")</f>
        <v/>
      </c>
      <c r="G1197">
        <f>IF(F1197="",0,1)</f>
        <v/>
      </c>
      <c r="H1197" s="29">
        <f>IF(F1197="","",INDEX(Deals!$E$2:$E$843,F1197))</f>
        <v/>
      </c>
      <c r="I1197">
        <f>IF(F1197="","",INDEX(Deals!$D$2:$D$843,F1197))</f>
        <v/>
      </c>
      <c r="J1197">
        <f>IF(F1197="","",INT(H1197)-B1197)</f>
        <v/>
      </c>
      <c r="K1197">
        <f>IF(B1197&gt;=Settings!$C$5,1,0)</f>
        <v/>
      </c>
    </row>
    <row r="1198">
      <c r="A1198" t="inlineStr">
        <is>
          <t>cd46a0224c83d17b825ebc226df3479c</t>
        </is>
      </c>
      <c r="B1198" s="29" t="n">
        <v>43166</v>
      </c>
      <c r="C1198" t="inlineStr">
        <is>
          <t>2018-03</t>
        </is>
      </c>
      <c r="D1198" t="inlineStr">
        <is>
          <t>40dec9f3d5259a3d2dbcdab2114fae47</t>
        </is>
      </c>
      <c r="E1198" t="inlineStr">
        <is>
          <t>paid_search</t>
        </is>
      </c>
      <c r="F1198">
        <f>IFERROR(MATCH(A1198,Deals!$A$2:$A$843,0),"")</f>
        <v/>
      </c>
      <c r="G1198">
        <f>IF(F1198="",0,1)</f>
        <v/>
      </c>
      <c r="H1198" s="29">
        <f>IF(F1198="","",INDEX(Deals!$E$2:$E$843,F1198))</f>
        <v/>
      </c>
      <c r="I1198">
        <f>IF(F1198="","",INDEX(Deals!$D$2:$D$843,F1198))</f>
        <v/>
      </c>
      <c r="J1198">
        <f>IF(F1198="","",INT(H1198)-B1198)</f>
        <v/>
      </c>
      <c r="K1198">
        <f>IF(B1198&gt;=Settings!$C$5,1,0)</f>
        <v/>
      </c>
    </row>
    <row r="1199">
      <c r="A1199" t="inlineStr">
        <is>
          <t>cdcd90c0088d9a4cb0f2bae4a4480a8d</t>
        </is>
      </c>
      <c r="B1199" s="29" t="n">
        <v>42978</v>
      </c>
      <c r="C1199" t="inlineStr">
        <is>
          <t>2017-08</t>
        </is>
      </c>
      <c r="D1199" t="inlineStr">
        <is>
          <t>f017be4dbf86243af5c1ebed0cff36a2</t>
        </is>
      </c>
      <c r="E1199" t="inlineStr">
        <is>
          <t>organic_search</t>
        </is>
      </c>
      <c r="F1199">
        <f>IFERROR(MATCH(A1199,Deals!$A$2:$A$843,0),"")</f>
        <v/>
      </c>
      <c r="G1199">
        <f>IF(F1199="",0,1)</f>
        <v/>
      </c>
      <c r="H1199" s="29">
        <f>IF(F1199="","",INDEX(Deals!$E$2:$E$843,F1199))</f>
        <v/>
      </c>
      <c r="I1199">
        <f>IF(F1199="","",INDEX(Deals!$D$2:$D$843,F1199))</f>
        <v/>
      </c>
      <c r="J1199">
        <f>IF(F1199="","",INT(H1199)-B1199)</f>
        <v/>
      </c>
      <c r="K1199">
        <f>IF(B1199&gt;=Settings!$C$5,1,0)</f>
        <v/>
      </c>
    </row>
    <row r="1200">
      <c r="A1200" t="inlineStr">
        <is>
          <t>f5eb0cf67469a4982ea81ddf8b4d4048</t>
        </is>
      </c>
      <c r="B1200" s="29" t="n">
        <v>43107</v>
      </c>
      <c r="C1200" t="inlineStr">
        <is>
          <t>2018-01</t>
        </is>
      </c>
      <c r="D1200" t="inlineStr">
        <is>
          <t>e492ee5eaf1697716985cc6f33f9cd9b</t>
        </is>
      </c>
      <c r="E1200" t="inlineStr">
        <is>
          <t>direct_traffic</t>
        </is>
      </c>
      <c r="F1200">
        <f>IFERROR(MATCH(A1200,Deals!$A$2:$A$843,0),"")</f>
        <v/>
      </c>
      <c r="G1200">
        <f>IF(F1200="",0,1)</f>
        <v/>
      </c>
      <c r="H1200" s="29">
        <f>IF(F1200="","",INDEX(Deals!$E$2:$E$843,F1200))</f>
        <v/>
      </c>
      <c r="I1200">
        <f>IF(F1200="","",INDEX(Deals!$D$2:$D$843,F1200))</f>
        <v/>
      </c>
      <c r="J1200">
        <f>IF(F1200="","",INT(H1200)-B1200)</f>
        <v/>
      </c>
      <c r="K1200">
        <f>IF(B1200&gt;=Settings!$C$5,1,0)</f>
        <v/>
      </c>
    </row>
    <row r="1201">
      <c r="A1201" t="inlineStr">
        <is>
          <t>48b3aba5a6c4d0f9b8320bf816f586d3</t>
        </is>
      </c>
      <c r="B1201" s="29" t="n">
        <v>43178</v>
      </c>
      <c r="C1201" t="inlineStr">
        <is>
          <t>2018-03</t>
        </is>
      </c>
      <c r="D1201" t="inlineStr">
        <is>
          <t>330b9d44078a1ae5a221d655dcb77afa</t>
        </is>
      </c>
      <c r="E1201" t="inlineStr">
        <is>
          <t>email</t>
        </is>
      </c>
      <c r="F1201">
        <f>IFERROR(MATCH(A1201,Deals!$A$2:$A$843,0),"")</f>
        <v/>
      </c>
      <c r="G1201">
        <f>IF(F1201="",0,1)</f>
        <v/>
      </c>
      <c r="H1201" s="29">
        <f>IF(F1201="","",INDEX(Deals!$E$2:$E$843,F1201))</f>
        <v/>
      </c>
      <c r="I1201">
        <f>IF(F1201="","",INDEX(Deals!$D$2:$D$843,F1201))</f>
        <v/>
      </c>
      <c r="J1201">
        <f>IF(F1201="","",INT(H1201)-B1201)</f>
        <v/>
      </c>
      <c r="K1201">
        <f>IF(B1201&gt;=Settings!$C$5,1,0)</f>
        <v/>
      </c>
    </row>
    <row r="1202">
      <c r="A1202" t="inlineStr">
        <is>
          <t>8bee20f309dc54c893b46f6325a2d2df</t>
        </is>
      </c>
      <c r="B1202" s="29" t="n">
        <v>43146</v>
      </c>
      <c r="C1202" t="inlineStr">
        <is>
          <t>2018-02</t>
        </is>
      </c>
      <c r="D1202" t="inlineStr">
        <is>
          <t>b76ef37428e6799c421989521c0e5077</t>
        </is>
      </c>
      <c r="E1202" t="inlineStr">
        <is>
          <t>unknown</t>
        </is>
      </c>
      <c r="F1202">
        <f>IFERROR(MATCH(A1202,Deals!$A$2:$A$843,0),"")</f>
        <v/>
      </c>
      <c r="G1202">
        <f>IF(F1202="",0,1)</f>
        <v/>
      </c>
      <c r="H1202" s="29">
        <f>IF(F1202="","",INDEX(Deals!$E$2:$E$843,F1202))</f>
        <v/>
      </c>
      <c r="I1202">
        <f>IF(F1202="","",INDEX(Deals!$D$2:$D$843,F1202))</f>
        <v/>
      </c>
      <c r="J1202">
        <f>IF(F1202="","",INT(H1202)-B1202)</f>
        <v/>
      </c>
      <c r="K1202">
        <f>IF(B1202&gt;=Settings!$C$5,1,0)</f>
        <v/>
      </c>
    </row>
    <row r="1203">
      <c r="A1203" t="inlineStr">
        <is>
          <t>a71f97cfb540d289ad80557514d93750</t>
        </is>
      </c>
      <c r="B1203" s="29" t="n">
        <v>43124</v>
      </c>
      <c r="C1203" t="inlineStr">
        <is>
          <t>2018-01</t>
        </is>
      </c>
      <c r="D1203" t="inlineStr">
        <is>
          <t>b6885f18d203a61176418c1fb3764815</t>
        </is>
      </c>
      <c r="E1203" t="inlineStr">
        <is>
          <t>organic_search</t>
        </is>
      </c>
      <c r="F1203">
        <f>IFERROR(MATCH(A1203,Deals!$A$2:$A$843,0),"")</f>
        <v/>
      </c>
      <c r="G1203">
        <f>IF(F1203="",0,1)</f>
        <v/>
      </c>
      <c r="H1203" s="29">
        <f>IF(F1203="","",INDEX(Deals!$E$2:$E$843,F1203))</f>
        <v/>
      </c>
      <c r="I1203">
        <f>IF(F1203="","",INDEX(Deals!$D$2:$D$843,F1203))</f>
        <v/>
      </c>
      <c r="J1203">
        <f>IF(F1203="","",INT(H1203)-B1203)</f>
        <v/>
      </c>
      <c r="K1203">
        <f>IF(B1203&gt;=Settings!$C$5,1,0)</f>
        <v/>
      </c>
    </row>
    <row r="1204">
      <c r="A1204" t="inlineStr">
        <is>
          <t>b626e17288c77a09ff51123617dfeb48</t>
        </is>
      </c>
      <c r="B1204" s="29" t="n">
        <v>43102</v>
      </c>
      <c r="C1204" t="inlineStr">
        <is>
          <t>2018-01</t>
        </is>
      </c>
      <c r="D1204" t="inlineStr">
        <is>
          <t>ea0650174e273c41e12002dcdd4708be</t>
        </is>
      </c>
      <c r="E1204" t="inlineStr">
        <is>
          <t>organic_search</t>
        </is>
      </c>
      <c r="F1204">
        <f>IFERROR(MATCH(A1204,Deals!$A$2:$A$843,0),"")</f>
        <v/>
      </c>
      <c r="G1204">
        <f>IF(F1204="",0,1)</f>
        <v/>
      </c>
      <c r="H1204" s="29">
        <f>IF(F1204="","",INDEX(Deals!$E$2:$E$843,F1204))</f>
        <v/>
      </c>
      <c r="I1204">
        <f>IF(F1204="","",INDEX(Deals!$D$2:$D$843,F1204))</f>
        <v/>
      </c>
      <c r="J1204">
        <f>IF(F1204="","",INT(H1204)-B1204)</f>
        <v/>
      </c>
      <c r="K1204">
        <f>IF(B1204&gt;=Settings!$C$5,1,0)</f>
        <v/>
      </c>
    </row>
    <row r="1205">
      <c r="A1205" t="inlineStr">
        <is>
          <t>66b708d452969d6b22e8b5eaeb029b0d</t>
        </is>
      </c>
      <c r="B1205" s="29" t="n">
        <v>43164</v>
      </c>
      <c r="C1205" t="inlineStr">
        <is>
          <t>2018-03</t>
        </is>
      </c>
      <c r="D1205" t="inlineStr">
        <is>
          <t>b76ef37428e6799c421989521c0e5077</t>
        </is>
      </c>
      <c r="E1205" t="inlineStr">
        <is>
          <t>unknown</t>
        </is>
      </c>
      <c r="F1205">
        <f>IFERROR(MATCH(A1205,Deals!$A$2:$A$843,0),"")</f>
        <v/>
      </c>
      <c r="G1205">
        <f>IF(F1205="",0,1)</f>
        <v/>
      </c>
      <c r="H1205" s="29">
        <f>IF(F1205="","",INDEX(Deals!$E$2:$E$843,F1205))</f>
        <v/>
      </c>
      <c r="I1205">
        <f>IF(F1205="","",INDEX(Deals!$D$2:$D$843,F1205))</f>
        <v/>
      </c>
      <c r="J1205">
        <f>IF(F1205="","",INT(H1205)-B1205)</f>
        <v/>
      </c>
      <c r="K1205">
        <f>IF(B1205&gt;=Settings!$C$5,1,0)</f>
        <v/>
      </c>
    </row>
    <row r="1206">
      <c r="A1206" t="inlineStr">
        <is>
          <t>a998cd6ea68745e5831297face85147d</t>
        </is>
      </c>
      <c r="B1206" s="29" t="n">
        <v>43130</v>
      </c>
      <c r="C1206" t="inlineStr">
        <is>
          <t>2018-01</t>
        </is>
      </c>
      <c r="D1206" t="inlineStr">
        <is>
          <t>909e333f8f23574f93115bd3d402e202</t>
        </is>
      </c>
      <c r="E1206" t="inlineStr">
        <is>
          <t>unknown</t>
        </is>
      </c>
      <c r="F1206">
        <f>IFERROR(MATCH(A1206,Deals!$A$2:$A$843,0),"")</f>
        <v/>
      </c>
      <c r="G1206">
        <f>IF(F1206="",0,1)</f>
        <v/>
      </c>
      <c r="H1206" s="29">
        <f>IF(F1206="","",INDEX(Deals!$E$2:$E$843,F1206))</f>
        <v/>
      </c>
      <c r="I1206">
        <f>IF(F1206="","",INDEX(Deals!$D$2:$D$843,F1206))</f>
        <v/>
      </c>
      <c r="J1206">
        <f>IF(F1206="","",INT(H1206)-B1206)</f>
        <v/>
      </c>
      <c r="K1206">
        <f>IF(B1206&gt;=Settings!$C$5,1,0)</f>
        <v/>
      </c>
    </row>
    <row r="1207">
      <c r="A1207" t="inlineStr">
        <is>
          <t>667986c93812d47ecc3ad2ae4442b118</t>
        </is>
      </c>
      <c r="B1207" s="29" t="n">
        <v>43111</v>
      </c>
      <c r="C1207" t="inlineStr">
        <is>
          <t>2018-01</t>
        </is>
      </c>
      <c r="D1207" t="inlineStr">
        <is>
          <t>73f31a40697cc90a86c1273563ac230e</t>
        </is>
      </c>
      <c r="E1207" t="inlineStr">
        <is>
          <t>organic_search</t>
        </is>
      </c>
      <c r="F1207">
        <f>IFERROR(MATCH(A1207,Deals!$A$2:$A$843,0),"")</f>
        <v/>
      </c>
      <c r="G1207">
        <f>IF(F1207="",0,1)</f>
        <v/>
      </c>
      <c r="H1207" s="29">
        <f>IF(F1207="","",INDEX(Deals!$E$2:$E$843,F1207))</f>
        <v/>
      </c>
      <c r="I1207">
        <f>IF(F1207="","",INDEX(Deals!$D$2:$D$843,F1207))</f>
        <v/>
      </c>
      <c r="J1207">
        <f>IF(F1207="","",INT(H1207)-B1207)</f>
        <v/>
      </c>
      <c r="K1207">
        <f>IF(B1207&gt;=Settings!$C$5,1,0)</f>
        <v/>
      </c>
    </row>
    <row r="1208">
      <c r="A1208" t="inlineStr">
        <is>
          <t>3cc3bc10218cf509ba24613cda41d940</t>
        </is>
      </c>
      <c r="B1208" s="29" t="n">
        <v>43208</v>
      </c>
      <c r="C1208" t="inlineStr">
        <is>
          <t>2018-04</t>
        </is>
      </c>
      <c r="D1208" t="inlineStr">
        <is>
          <t>40dec9f3d5259a3d2dbcdab2114fae47</t>
        </is>
      </c>
      <c r="E1208" t="inlineStr">
        <is>
          <t>social</t>
        </is>
      </c>
      <c r="F1208">
        <f>IFERROR(MATCH(A1208,Deals!$A$2:$A$843,0),"")</f>
        <v/>
      </c>
      <c r="G1208">
        <f>IF(F1208="",0,1)</f>
        <v/>
      </c>
      <c r="H1208" s="29">
        <f>IF(F1208="","",INDEX(Deals!$E$2:$E$843,F1208))</f>
        <v/>
      </c>
      <c r="I1208">
        <f>IF(F1208="","",INDEX(Deals!$D$2:$D$843,F1208))</f>
        <v/>
      </c>
      <c r="J1208">
        <f>IF(F1208="","",INT(H1208)-B1208)</f>
        <v/>
      </c>
      <c r="K1208">
        <f>IF(B1208&gt;=Settings!$C$5,1,0)</f>
        <v/>
      </c>
    </row>
    <row r="1209">
      <c r="A1209" t="inlineStr">
        <is>
          <t>c8f2e54fe7b8ab5c291ea8d5831669df</t>
        </is>
      </c>
      <c r="B1209" s="29" t="n">
        <v>43111</v>
      </c>
      <c r="C1209" t="inlineStr">
        <is>
          <t>2018-01</t>
        </is>
      </c>
      <c r="D1209" t="inlineStr">
        <is>
          <t>dcdbbb0bb43f5c9ea457a8363db87e73</t>
        </is>
      </c>
      <c r="E1209" t="inlineStr">
        <is>
          <t>social</t>
        </is>
      </c>
      <c r="F1209">
        <f>IFERROR(MATCH(A1209,Deals!$A$2:$A$843,0),"")</f>
        <v/>
      </c>
      <c r="G1209">
        <f>IF(F1209="",0,1)</f>
        <v/>
      </c>
      <c r="H1209" s="29">
        <f>IF(F1209="","",INDEX(Deals!$E$2:$E$843,F1209))</f>
        <v/>
      </c>
      <c r="I1209">
        <f>IF(F1209="","",INDEX(Deals!$D$2:$D$843,F1209))</f>
        <v/>
      </c>
      <c r="J1209">
        <f>IF(F1209="","",INT(H1209)-B1209)</f>
        <v/>
      </c>
      <c r="K1209">
        <f>IF(B1209&gt;=Settings!$C$5,1,0)</f>
        <v/>
      </c>
    </row>
    <row r="1210">
      <c r="A1210" t="inlineStr">
        <is>
          <t>44c2821de454a55d60f3eb31c28faf56</t>
        </is>
      </c>
      <c r="B1210" s="29" t="n">
        <v>42997</v>
      </c>
      <c r="C1210" t="inlineStr">
        <is>
          <t>2017-09</t>
        </is>
      </c>
      <c r="D1210" t="inlineStr">
        <is>
          <t>e492ee5eaf1697716985cc6f33f9cd9b</t>
        </is>
      </c>
      <c r="E1210" t="inlineStr">
        <is>
          <t>organic_search</t>
        </is>
      </c>
      <c r="F1210">
        <f>IFERROR(MATCH(A1210,Deals!$A$2:$A$843,0),"")</f>
        <v/>
      </c>
      <c r="G1210">
        <f>IF(F1210="",0,1)</f>
        <v/>
      </c>
      <c r="H1210" s="29">
        <f>IF(F1210="","",INDEX(Deals!$E$2:$E$843,F1210))</f>
        <v/>
      </c>
      <c r="I1210">
        <f>IF(F1210="","",INDEX(Deals!$D$2:$D$843,F1210))</f>
        <v/>
      </c>
      <c r="J1210">
        <f>IF(F1210="","",INT(H1210)-B1210)</f>
        <v/>
      </c>
      <c r="K1210">
        <f>IF(B1210&gt;=Settings!$C$5,1,0)</f>
        <v/>
      </c>
    </row>
    <row r="1211">
      <c r="A1211" t="inlineStr">
        <is>
          <t>91d3543ae8bf0dbaf34cf97beeb384b2</t>
        </is>
      </c>
      <c r="B1211" s="29" t="n">
        <v>43213</v>
      </c>
      <c r="C1211" t="inlineStr">
        <is>
          <t>2018-04</t>
        </is>
      </c>
      <c r="D1211" t="inlineStr">
        <is>
          <t>22c29808c4f815213303f8933030604c</t>
        </is>
      </c>
      <c r="E1211" t="inlineStr">
        <is>
          <t>direct_traffic</t>
        </is>
      </c>
      <c r="F1211">
        <f>IFERROR(MATCH(A1211,Deals!$A$2:$A$843,0),"")</f>
        <v/>
      </c>
      <c r="G1211">
        <f>IF(F1211="",0,1)</f>
        <v/>
      </c>
      <c r="H1211" s="29">
        <f>IF(F1211="","",INDEX(Deals!$E$2:$E$843,F1211))</f>
        <v/>
      </c>
      <c r="I1211">
        <f>IF(F1211="","",INDEX(Deals!$D$2:$D$843,F1211))</f>
        <v/>
      </c>
      <c r="J1211">
        <f>IF(F1211="","",INT(H1211)-B1211)</f>
        <v/>
      </c>
      <c r="K1211">
        <f>IF(B1211&gt;=Settings!$C$5,1,0)</f>
        <v/>
      </c>
    </row>
    <row r="1212">
      <c r="A1212" t="inlineStr">
        <is>
          <t>3f2aeb5c93e94f71e8226b1146649656</t>
        </is>
      </c>
      <c r="B1212" s="29" t="n">
        <v>43117</v>
      </c>
      <c r="C1212" t="inlineStr">
        <is>
          <t>2018-01</t>
        </is>
      </c>
      <c r="D1212" t="inlineStr">
        <is>
          <t>fd7d977e75d1ac5cfe6b93ffabb150b1</t>
        </is>
      </c>
      <c r="E1212" t="inlineStr">
        <is>
          <t>social</t>
        </is>
      </c>
      <c r="F1212">
        <f>IFERROR(MATCH(A1212,Deals!$A$2:$A$843,0),"")</f>
        <v/>
      </c>
      <c r="G1212">
        <f>IF(F1212="",0,1)</f>
        <v/>
      </c>
      <c r="H1212" s="29">
        <f>IF(F1212="","",INDEX(Deals!$E$2:$E$843,F1212))</f>
        <v/>
      </c>
      <c r="I1212">
        <f>IF(F1212="","",INDEX(Deals!$D$2:$D$843,F1212))</f>
        <v/>
      </c>
      <c r="J1212">
        <f>IF(F1212="","",INT(H1212)-B1212)</f>
        <v/>
      </c>
      <c r="K1212">
        <f>IF(B1212&gt;=Settings!$C$5,1,0)</f>
        <v/>
      </c>
    </row>
    <row r="1213">
      <c r="A1213" t="inlineStr">
        <is>
          <t>70e12d315a19ad3e37b2593a58f37459</t>
        </is>
      </c>
      <c r="B1213" s="29" t="n">
        <v>43012</v>
      </c>
      <c r="C1213" t="inlineStr">
        <is>
          <t>2017-10</t>
        </is>
      </c>
      <c r="D1213" t="inlineStr">
        <is>
          <t>65d9f9d71e562365e8b44037c2888d98</t>
        </is>
      </c>
      <c r="E1213" t="inlineStr">
        <is>
          <t>paid_search</t>
        </is>
      </c>
      <c r="F1213">
        <f>IFERROR(MATCH(A1213,Deals!$A$2:$A$843,0),"")</f>
        <v/>
      </c>
      <c r="G1213">
        <f>IF(F1213="",0,1)</f>
        <v/>
      </c>
      <c r="H1213" s="29">
        <f>IF(F1213="","",INDEX(Deals!$E$2:$E$843,F1213))</f>
        <v/>
      </c>
      <c r="I1213">
        <f>IF(F1213="","",INDEX(Deals!$D$2:$D$843,F1213))</f>
        <v/>
      </c>
      <c r="J1213">
        <f>IF(F1213="","",INT(H1213)-B1213)</f>
        <v/>
      </c>
      <c r="K1213">
        <f>IF(B1213&gt;=Settings!$C$5,1,0)</f>
        <v/>
      </c>
    </row>
    <row r="1214">
      <c r="A1214" t="inlineStr">
        <is>
          <t>b223756da60ed5012d1d302bc9f50f6e</t>
        </is>
      </c>
      <c r="B1214" s="29" t="n">
        <v>43182</v>
      </c>
      <c r="C1214" t="inlineStr">
        <is>
          <t>2018-03</t>
        </is>
      </c>
      <c r="D1214" t="inlineStr">
        <is>
          <t>22c29808c4f815213303f8933030604c</t>
        </is>
      </c>
      <c r="E1214" t="inlineStr">
        <is>
          <t>organic_search</t>
        </is>
      </c>
      <c r="F1214">
        <f>IFERROR(MATCH(A1214,Deals!$A$2:$A$843,0),"")</f>
        <v/>
      </c>
      <c r="G1214">
        <f>IF(F1214="",0,1)</f>
        <v/>
      </c>
      <c r="H1214" s="29">
        <f>IF(F1214="","",INDEX(Deals!$E$2:$E$843,F1214))</f>
        <v/>
      </c>
      <c r="I1214">
        <f>IF(F1214="","",INDEX(Deals!$D$2:$D$843,F1214))</f>
        <v/>
      </c>
      <c r="J1214">
        <f>IF(F1214="","",INT(H1214)-B1214)</f>
        <v/>
      </c>
      <c r="K1214">
        <f>IF(B1214&gt;=Settings!$C$5,1,0)</f>
        <v/>
      </c>
    </row>
    <row r="1215">
      <c r="A1215" t="inlineStr">
        <is>
          <t>5a395799cd7622723e07eac81b6536b9</t>
        </is>
      </c>
      <c r="B1215" s="29" t="n">
        <v>43200</v>
      </c>
      <c r="C1215" t="inlineStr">
        <is>
          <t>2018-04</t>
        </is>
      </c>
      <c r="D1215" t="inlineStr">
        <is>
          <t>f017be4dbf86243af5c1ebed0cff36a2</t>
        </is>
      </c>
      <c r="E1215" t="inlineStr">
        <is>
          <t>social</t>
        </is>
      </c>
      <c r="F1215">
        <f>IFERROR(MATCH(A1215,Deals!$A$2:$A$843,0),"")</f>
        <v/>
      </c>
      <c r="G1215">
        <f>IF(F1215="",0,1)</f>
        <v/>
      </c>
      <c r="H1215" s="29">
        <f>IF(F1215="","",INDEX(Deals!$E$2:$E$843,F1215))</f>
        <v/>
      </c>
      <c r="I1215">
        <f>IF(F1215="","",INDEX(Deals!$D$2:$D$843,F1215))</f>
        <v/>
      </c>
      <c r="J1215">
        <f>IF(F1215="","",INT(H1215)-B1215)</f>
        <v/>
      </c>
      <c r="K1215">
        <f>IF(B1215&gt;=Settings!$C$5,1,0)</f>
        <v/>
      </c>
    </row>
    <row r="1216">
      <c r="A1216" t="inlineStr">
        <is>
          <t>cd738e1809b4b8548086df18ff54eef7</t>
        </is>
      </c>
      <c r="B1216" s="29" t="n">
        <v>43147</v>
      </c>
      <c r="C1216" t="inlineStr">
        <is>
          <t>2018-02</t>
        </is>
      </c>
      <c r="D1216" t="inlineStr">
        <is>
          <t>f017be4dbf86243af5c1ebed0cff36a2</t>
        </is>
      </c>
      <c r="E1216" t="inlineStr">
        <is>
          <t>referral</t>
        </is>
      </c>
      <c r="F1216">
        <f>IFERROR(MATCH(A1216,Deals!$A$2:$A$843,0),"")</f>
        <v/>
      </c>
      <c r="G1216">
        <f>IF(F1216="",0,1)</f>
        <v/>
      </c>
      <c r="H1216" s="29">
        <f>IF(F1216="","",INDEX(Deals!$E$2:$E$843,F1216))</f>
        <v/>
      </c>
      <c r="I1216">
        <f>IF(F1216="","",INDEX(Deals!$D$2:$D$843,F1216))</f>
        <v/>
      </c>
      <c r="J1216">
        <f>IF(F1216="","",INT(H1216)-B1216)</f>
        <v/>
      </c>
      <c r="K1216">
        <f>IF(B1216&gt;=Settings!$C$5,1,0)</f>
        <v/>
      </c>
    </row>
    <row r="1217">
      <c r="A1217" t="inlineStr">
        <is>
          <t>20540c599746e70d0787f05c42f002bb</t>
        </is>
      </c>
      <c r="B1217" s="29" t="n">
        <v>43241</v>
      </c>
      <c r="C1217" t="inlineStr">
        <is>
          <t>2018-05</t>
        </is>
      </c>
      <c r="D1217" t="inlineStr">
        <is>
          <t>330b9d44078a1ae5a221d655dcb77afa</t>
        </is>
      </c>
      <c r="E1217" t="inlineStr">
        <is>
          <t>email</t>
        </is>
      </c>
      <c r="F1217">
        <f>IFERROR(MATCH(A1217,Deals!$A$2:$A$843,0),"")</f>
        <v/>
      </c>
      <c r="G1217">
        <f>IF(F1217="",0,1)</f>
        <v/>
      </c>
      <c r="H1217" s="29">
        <f>IF(F1217="","",INDEX(Deals!$E$2:$E$843,F1217))</f>
        <v/>
      </c>
      <c r="I1217">
        <f>IF(F1217="","",INDEX(Deals!$D$2:$D$843,F1217))</f>
        <v/>
      </c>
      <c r="J1217">
        <f>IF(F1217="","",INT(H1217)-B1217)</f>
        <v/>
      </c>
      <c r="K1217">
        <f>IF(B1217&gt;=Settings!$C$5,1,0)</f>
        <v/>
      </c>
    </row>
    <row r="1218">
      <c r="A1218" t="inlineStr">
        <is>
          <t>6181d7a40d05ec551c178d3c720b3cde</t>
        </is>
      </c>
      <c r="B1218" s="29" t="n">
        <v>43027</v>
      </c>
      <c r="C1218" t="inlineStr">
        <is>
          <t>2017-10</t>
        </is>
      </c>
      <c r="D1218" t="inlineStr">
        <is>
          <t>82bfb9f61deccae8b25c32c318b99f56</t>
        </is>
      </c>
      <c r="E1218" t="inlineStr">
        <is>
          <t>unknown</t>
        </is>
      </c>
      <c r="F1218">
        <f>IFERROR(MATCH(A1218,Deals!$A$2:$A$843,0),"")</f>
        <v/>
      </c>
      <c r="G1218">
        <f>IF(F1218="",0,1)</f>
        <v/>
      </c>
      <c r="H1218" s="29">
        <f>IF(F1218="","",INDEX(Deals!$E$2:$E$843,F1218))</f>
        <v/>
      </c>
      <c r="I1218">
        <f>IF(F1218="","",INDEX(Deals!$D$2:$D$843,F1218))</f>
        <v/>
      </c>
      <c r="J1218">
        <f>IF(F1218="","",INT(H1218)-B1218)</f>
        <v/>
      </c>
      <c r="K1218">
        <f>IF(B1218&gt;=Settings!$C$5,1,0)</f>
        <v/>
      </c>
    </row>
    <row r="1219">
      <c r="A1219" t="inlineStr">
        <is>
          <t>be9ca9311414a5682866001a9b187f5b</t>
        </is>
      </c>
      <c r="B1219" s="29" t="n">
        <v>43093</v>
      </c>
      <c r="C1219" t="inlineStr">
        <is>
          <t>2017-12</t>
        </is>
      </c>
      <c r="D1219" t="inlineStr">
        <is>
          <t>88740e65d5d6b056e0cda098e1ea6313</t>
        </is>
      </c>
      <c r="E1219" t="inlineStr">
        <is>
          <t>social</t>
        </is>
      </c>
      <c r="F1219">
        <f>IFERROR(MATCH(A1219,Deals!$A$2:$A$843,0),"")</f>
        <v/>
      </c>
      <c r="G1219">
        <f>IF(F1219="",0,1)</f>
        <v/>
      </c>
      <c r="H1219" s="29">
        <f>IF(F1219="","",INDEX(Deals!$E$2:$E$843,F1219))</f>
        <v/>
      </c>
      <c r="I1219">
        <f>IF(F1219="","",INDEX(Deals!$D$2:$D$843,F1219))</f>
        <v/>
      </c>
      <c r="J1219">
        <f>IF(F1219="","",INT(H1219)-B1219)</f>
        <v/>
      </c>
      <c r="K1219">
        <f>IF(B1219&gt;=Settings!$C$5,1,0)</f>
        <v/>
      </c>
    </row>
    <row r="1220">
      <c r="A1220" t="inlineStr">
        <is>
          <t>5610de79ad05df3356459d4c71a04774</t>
        </is>
      </c>
      <c r="B1220" s="29" t="n">
        <v>43052</v>
      </c>
      <c r="C1220" t="inlineStr">
        <is>
          <t>2017-11</t>
        </is>
      </c>
      <c r="D1220" t="inlineStr">
        <is>
          <t>f98c2bd96ac4a5d9476734e790c91384</t>
        </is>
      </c>
      <c r="E1220" t="inlineStr">
        <is>
          <t>email</t>
        </is>
      </c>
      <c r="F1220">
        <f>IFERROR(MATCH(A1220,Deals!$A$2:$A$843,0),"")</f>
        <v/>
      </c>
      <c r="G1220">
        <f>IF(F1220="",0,1)</f>
        <v/>
      </c>
      <c r="H1220" s="29">
        <f>IF(F1220="","",INDEX(Deals!$E$2:$E$843,F1220))</f>
        <v/>
      </c>
      <c r="I1220">
        <f>IF(F1220="","",INDEX(Deals!$D$2:$D$843,F1220))</f>
        <v/>
      </c>
      <c r="J1220">
        <f>IF(F1220="","",INT(H1220)-B1220)</f>
        <v/>
      </c>
      <c r="K1220">
        <f>IF(B1220&gt;=Settings!$C$5,1,0)</f>
        <v/>
      </c>
    </row>
    <row r="1221">
      <c r="A1221" t="inlineStr">
        <is>
          <t>c70542557778b1a76add4309be29e678</t>
        </is>
      </c>
      <c r="B1221" s="29" t="n">
        <v>43124</v>
      </c>
      <c r="C1221" t="inlineStr">
        <is>
          <t>2018-01</t>
        </is>
      </c>
      <c r="D1221" t="inlineStr">
        <is>
          <t>bddebc4f4d44106c427bd00695840e64</t>
        </is>
      </c>
      <c r="E1221" t="inlineStr">
        <is>
          <t>other</t>
        </is>
      </c>
      <c r="F1221">
        <f>IFERROR(MATCH(A1221,Deals!$A$2:$A$843,0),"")</f>
        <v/>
      </c>
      <c r="G1221">
        <f>IF(F1221="",0,1)</f>
        <v/>
      </c>
      <c r="H1221" s="29">
        <f>IF(F1221="","",INDEX(Deals!$E$2:$E$843,F1221))</f>
        <v/>
      </c>
      <c r="I1221">
        <f>IF(F1221="","",INDEX(Deals!$D$2:$D$843,F1221))</f>
        <v/>
      </c>
      <c r="J1221">
        <f>IF(F1221="","",INT(H1221)-B1221)</f>
        <v/>
      </c>
      <c r="K1221">
        <f>IF(B1221&gt;=Settings!$C$5,1,0)</f>
        <v/>
      </c>
    </row>
    <row r="1222">
      <c r="A1222" t="inlineStr">
        <is>
          <t>9153d9c5735bdd40f73b2e94265ab899</t>
        </is>
      </c>
      <c r="B1222" s="29" t="n">
        <v>43202</v>
      </c>
      <c r="C1222" t="inlineStr">
        <is>
          <t>2018-04</t>
        </is>
      </c>
      <c r="D1222" t="inlineStr">
        <is>
          <t>58326e62183c14b0c03085c33b9fdc44</t>
        </is>
      </c>
      <c r="E1222" t="inlineStr">
        <is>
          <t>social</t>
        </is>
      </c>
      <c r="F1222">
        <f>IFERROR(MATCH(A1222,Deals!$A$2:$A$843,0),"")</f>
        <v/>
      </c>
      <c r="G1222">
        <f>IF(F1222="",0,1)</f>
        <v/>
      </c>
      <c r="H1222" s="29">
        <f>IF(F1222="","",INDEX(Deals!$E$2:$E$843,F1222))</f>
        <v/>
      </c>
      <c r="I1222">
        <f>IF(F1222="","",INDEX(Deals!$D$2:$D$843,F1222))</f>
        <v/>
      </c>
      <c r="J1222">
        <f>IF(F1222="","",INT(H1222)-B1222)</f>
        <v/>
      </c>
      <c r="K1222">
        <f>IF(B1222&gt;=Settings!$C$5,1,0)</f>
        <v/>
      </c>
    </row>
    <row r="1223">
      <c r="A1223" t="inlineStr">
        <is>
          <t>a9fcbba7da26095ce5010a39b8a36509</t>
        </is>
      </c>
      <c r="B1223" s="29" t="n">
        <v>43127</v>
      </c>
      <c r="C1223" t="inlineStr">
        <is>
          <t>2018-01</t>
        </is>
      </c>
      <c r="D1223" t="inlineStr">
        <is>
          <t>22c29808c4f815213303f8933030604c</t>
        </is>
      </c>
      <c r="E1223" t="inlineStr">
        <is>
          <t>organic_search</t>
        </is>
      </c>
      <c r="F1223">
        <f>IFERROR(MATCH(A1223,Deals!$A$2:$A$843,0),"")</f>
        <v/>
      </c>
      <c r="G1223">
        <f>IF(F1223="",0,1)</f>
        <v/>
      </c>
      <c r="H1223" s="29">
        <f>IF(F1223="","",INDEX(Deals!$E$2:$E$843,F1223))</f>
        <v/>
      </c>
      <c r="I1223">
        <f>IF(F1223="","",INDEX(Deals!$D$2:$D$843,F1223))</f>
        <v/>
      </c>
      <c r="J1223">
        <f>IF(F1223="","",INT(H1223)-B1223)</f>
        <v/>
      </c>
      <c r="K1223">
        <f>IF(B1223&gt;=Settings!$C$5,1,0)</f>
        <v/>
      </c>
    </row>
    <row r="1224">
      <c r="A1224" t="inlineStr">
        <is>
          <t>acc4ba4eec87758e9b2ca94782c41bb9</t>
        </is>
      </c>
      <c r="B1224" s="29" t="n">
        <v>43015</v>
      </c>
      <c r="C1224" t="inlineStr">
        <is>
          <t>2017-10</t>
        </is>
      </c>
      <c r="D1224" t="inlineStr">
        <is>
          <t>8d25d9ae4ed5f78b8614b81350173e99</t>
        </is>
      </c>
      <c r="E1224" t="inlineStr">
        <is>
          <t>social</t>
        </is>
      </c>
      <c r="F1224">
        <f>IFERROR(MATCH(A1224,Deals!$A$2:$A$843,0),"")</f>
        <v/>
      </c>
      <c r="G1224">
        <f>IF(F1224="",0,1)</f>
        <v/>
      </c>
      <c r="H1224" s="29">
        <f>IF(F1224="","",INDEX(Deals!$E$2:$E$843,F1224))</f>
        <v/>
      </c>
      <c r="I1224">
        <f>IF(F1224="","",INDEX(Deals!$D$2:$D$843,F1224))</f>
        <v/>
      </c>
      <c r="J1224">
        <f>IF(F1224="","",INT(H1224)-B1224)</f>
        <v/>
      </c>
      <c r="K1224">
        <f>IF(B1224&gt;=Settings!$C$5,1,0)</f>
        <v/>
      </c>
    </row>
    <row r="1225">
      <c r="A1225" t="inlineStr">
        <is>
          <t>44efa1a90546c855bbcb1fb4026d4333</t>
        </is>
      </c>
      <c r="B1225" s="29" t="n">
        <v>43029</v>
      </c>
      <c r="C1225" t="inlineStr">
        <is>
          <t>2017-10</t>
        </is>
      </c>
      <c r="D1225" t="inlineStr">
        <is>
          <t>ef0b482996664cc1107b9051efd3ca84</t>
        </is>
      </c>
      <c r="E1225" t="inlineStr">
        <is>
          <t>direct_traffic</t>
        </is>
      </c>
      <c r="F1225">
        <f>IFERROR(MATCH(A1225,Deals!$A$2:$A$843,0),"")</f>
        <v/>
      </c>
      <c r="G1225">
        <f>IF(F1225="",0,1)</f>
        <v/>
      </c>
      <c r="H1225" s="29">
        <f>IF(F1225="","",INDEX(Deals!$E$2:$E$843,F1225))</f>
        <v/>
      </c>
      <c r="I1225">
        <f>IF(F1225="","",INDEX(Deals!$D$2:$D$843,F1225))</f>
        <v/>
      </c>
      <c r="J1225">
        <f>IF(F1225="","",INT(H1225)-B1225)</f>
        <v/>
      </c>
      <c r="K1225">
        <f>IF(B1225&gt;=Settings!$C$5,1,0)</f>
        <v/>
      </c>
    </row>
    <row r="1226">
      <c r="A1226" t="inlineStr">
        <is>
          <t>9201921952970cb78c9fbf5ec623f263</t>
        </is>
      </c>
      <c r="B1226" s="29" t="n">
        <v>43244</v>
      </c>
      <c r="C1226" t="inlineStr">
        <is>
          <t>2018-05</t>
        </is>
      </c>
      <c r="D1226" t="inlineStr">
        <is>
          <t>e492ee5eaf1697716985cc6f33f9cd9b</t>
        </is>
      </c>
      <c r="E1226" t="inlineStr">
        <is>
          <t>organic_search</t>
        </is>
      </c>
      <c r="F1226">
        <f>IFERROR(MATCH(A1226,Deals!$A$2:$A$843,0),"")</f>
        <v/>
      </c>
      <c r="G1226">
        <f>IF(F1226="",0,1)</f>
        <v/>
      </c>
      <c r="H1226" s="29">
        <f>IF(F1226="","",INDEX(Deals!$E$2:$E$843,F1226))</f>
        <v/>
      </c>
      <c r="I1226">
        <f>IF(F1226="","",INDEX(Deals!$D$2:$D$843,F1226))</f>
        <v/>
      </c>
      <c r="J1226">
        <f>IF(F1226="","",INT(H1226)-B1226)</f>
        <v/>
      </c>
      <c r="K1226">
        <f>IF(B1226&gt;=Settings!$C$5,1,0)</f>
        <v/>
      </c>
    </row>
    <row r="1227">
      <c r="A1227" t="inlineStr">
        <is>
          <t>459a40cf7017c786a1112eaff835d34c</t>
        </is>
      </c>
      <c r="B1227" s="29" t="n">
        <v>43223</v>
      </c>
      <c r="C1227" t="inlineStr">
        <is>
          <t>2018-05</t>
        </is>
      </c>
      <c r="D1227" t="inlineStr">
        <is>
          <t>1ceb590cd1e00c7ee95220971f82693d</t>
        </is>
      </c>
      <c r="E1227" t="inlineStr">
        <is>
          <t>paid_search</t>
        </is>
      </c>
      <c r="F1227">
        <f>IFERROR(MATCH(A1227,Deals!$A$2:$A$843,0),"")</f>
        <v/>
      </c>
      <c r="G1227">
        <f>IF(F1227="",0,1)</f>
        <v/>
      </c>
      <c r="H1227" s="29">
        <f>IF(F1227="","",INDEX(Deals!$E$2:$E$843,F1227))</f>
        <v/>
      </c>
      <c r="I1227">
        <f>IF(F1227="","",INDEX(Deals!$D$2:$D$843,F1227))</f>
        <v/>
      </c>
      <c r="J1227">
        <f>IF(F1227="","",INT(H1227)-B1227)</f>
        <v/>
      </c>
      <c r="K1227">
        <f>IF(B1227&gt;=Settings!$C$5,1,0)</f>
        <v/>
      </c>
    </row>
    <row r="1228">
      <c r="A1228" t="inlineStr">
        <is>
          <t>a80801c054c1304263f8310a4e1b044e</t>
        </is>
      </c>
      <c r="B1228" s="29" t="n">
        <v>43106</v>
      </c>
      <c r="C1228" t="inlineStr">
        <is>
          <t>2018-01</t>
        </is>
      </c>
      <c r="D1228" t="inlineStr">
        <is>
          <t>ce1a65abd0973638f1c887a6efcfa82d</t>
        </is>
      </c>
      <c r="E1228" t="inlineStr">
        <is>
          <t>paid_search</t>
        </is>
      </c>
      <c r="F1228">
        <f>IFERROR(MATCH(A1228,Deals!$A$2:$A$843,0),"")</f>
        <v/>
      </c>
      <c r="G1228">
        <f>IF(F1228="",0,1)</f>
        <v/>
      </c>
      <c r="H1228" s="29">
        <f>IF(F1228="","",INDEX(Deals!$E$2:$E$843,F1228))</f>
        <v/>
      </c>
      <c r="I1228">
        <f>IF(F1228="","",INDEX(Deals!$D$2:$D$843,F1228))</f>
        <v/>
      </c>
      <c r="J1228">
        <f>IF(F1228="","",INT(H1228)-B1228)</f>
        <v/>
      </c>
      <c r="K1228">
        <f>IF(B1228&gt;=Settings!$C$5,1,0)</f>
        <v/>
      </c>
    </row>
    <row r="1229">
      <c r="A1229" t="inlineStr">
        <is>
          <t>4144092976e61a9c32e1c7b205d85452</t>
        </is>
      </c>
      <c r="B1229" s="29" t="n">
        <v>43115</v>
      </c>
      <c r="C1229" t="inlineStr">
        <is>
          <t>2018-01</t>
        </is>
      </c>
      <c r="D1229" t="inlineStr">
        <is>
          <t>872eb32141128a5320bfe7b8cf80fc14</t>
        </is>
      </c>
      <c r="E1229" t="inlineStr">
        <is>
          <t>organic_search</t>
        </is>
      </c>
      <c r="F1229">
        <f>IFERROR(MATCH(A1229,Deals!$A$2:$A$843,0),"")</f>
        <v/>
      </c>
      <c r="G1229">
        <f>IF(F1229="",0,1)</f>
        <v/>
      </c>
      <c r="H1229" s="29">
        <f>IF(F1229="","",INDEX(Deals!$E$2:$E$843,F1229))</f>
        <v/>
      </c>
      <c r="I1229">
        <f>IF(F1229="","",INDEX(Deals!$D$2:$D$843,F1229))</f>
        <v/>
      </c>
      <c r="J1229">
        <f>IF(F1229="","",INT(H1229)-B1229)</f>
        <v/>
      </c>
      <c r="K1229">
        <f>IF(B1229&gt;=Settings!$C$5,1,0)</f>
        <v/>
      </c>
    </row>
    <row r="1230">
      <c r="A1230" t="inlineStr">
        <is>
          <t>b30be338efa14f74a40949dbafd02b57</t>
        </is>
      </c>
      <c r="B1230" s="29" t="n">
        <v>43203</v>
      </c>
      <c r="C1230" t="inlineStr">
        <is>
          <t>2018-04</t>
        </is>
      </c>
      <c r="D1230" t="inlineStr">
        <is>
          <t>58326e62183c14b0c03085c33b9fdc44</t>
        </is>
      </c>
      <c r="E1230" t="inlineStr">
        <is>
          <t>social</t>
        </is>
      </c>
      <c r="F1230">
        <f>IFERROR(MATCH(A1230,Deals!$A$2:$A$843,0),"")</f>
        <v/>
      </c>
      <c r="G1230">
        <f>IF(F1230="",0,1)</f>
        <v/>
      </c>
      <c r="H1230" s="29">
        <f>IF(F1230="","",INDEX(Deals!$E$2:$E$843,F1230))</f>
        <v/>
      </c>
      <c r="I1230">
        <f>IF(F1230="","",INDEX(Deals!$D$2:$D$843,F1230))</f>
        <v/>
      </c>
      <c r="J1230">
        <f>IF(F1230="","",INT(H1230)-B1230)</f>
        <v/>
      </c>
      <c r="K1230">
        <f>IF(B1230&gt;=Settings!$C$5,1,0)</f>
        <v/>
      </c>
    </row>
    <row r="1231">
      <c r="A1231" t="inlineStr">
        <is>
          <t>f3f611415939d28bdeb54703b65a36bb</t>
        </is>
      </c>
      <c r="B1231" s="29" t="n">
        <v>43122</v>
      </c>
      <c r="C1231" t="inlineStr">
        <is>
          <t>2018-01</t>
        </is>
      </c>
      <c r="D1231" t="inlineStr">
        <is>
          <t>99b00c6e27db383d844d1763dbcbfe06</t>
        </is>
      </c>
      <c r="E1231" t="inlineStr">
        <is>
          <t>organic_search</t>
        </is>
      </c>
      <c r="F1231">
        <f>IFERROR(MATCH(A1231,Deals!$A$2:$A$843,0),"")</f>
        <v/>
      </c>
      <c r="G1231">
        <f>IF(F1231="",0,1)</f>
        <v/>
      </c>
      <c r="H1231" s="29">
        <f>IF(F1231="","",INDEX(Deals!$E$2:$E$843,F1231))</f>
        <v/>
      </c>
      <c r="I1231">
        <f>IF(F1231="","",INDEX(Deals!$D$2:$D$843,F1231))</f>
        <v/>
      </c>
      <c r="J1231">
        <f>IF(F1231="","",INT(H1231)-B1231)</f>
        <v/>
      </c>
      <c r="K1231">
        <f>IF(B1231&gt;=Settings!$C$5,1,0)</f>
        <v/>
      </c>
    </row>
    <row r="1232">
      <c r="A1232" t="inlineStr">
        <is>
          <t>4a107ba0ac846da3d09286c35ac10ea5</t>
        </is>
      </c>
      <c r="B1232" s="29" t="n">
        <v>43064</v>
      </c>
      <c r="C1232" t="inlineStr">
        <is>
          <t>2017-11</t>
        </is>
      </c>
      <c r="D1232" t="inlineStr">
        <is>
          <t>40dec9f3d5259a3d2dbcdab2114fae47</t>
        </is>
      </c>
      <c r="E1232" t="inlineStr">
        <is>
          <t>paid_search</t>
        </is>
      </c>
      <c r="F1232">
        <f>IFERROR(MATCH(A1232,Deals!$A$2:$A$843,0),"")</f>
        <v/>
      </c>
      <c r="G1232">
        <f>IF(F1232="",0,1)</f>
        <v/>
      </c>
      <c r="H1232" s="29">
        <f>IF(F1232="","",INDEX(Deals!$E$2:$E$843,F1232))</f>
        <v/>
      </c>
      <c r="I1232">
        <f>IF(F1232="","",INDEX(Deals!$D$2:$D$843,F1232))</f>
        <v/>
      </c>
      <c r="J1232">
        <f>IF(F1232="","",INT(H1232)-B1232)</f>
        <v/>
      </c>
      <c r="K1232">
        <f>IF(B1232&gt;=Settings!$C$5,1,0)</f>
        <v/>
      </c>
    </row>
    <row r="1233">
      <c r="A1233" t="inlineStr">
        <is>
          <t>2006a1ab495a5a55eaad06cc5cd9ed66</t>
        </is>
      </c>
      <c r="B1233" s="29" t="n">
        <v>43052</v>
      </c>
      <c r="C1233" t="inlineStr">
        <is>
          <t>2017-11</t>
        </is>
      </c>
      <c r="D1233" t="inlineStr">
        <is>
          <t>1722481ac9e5371e5099dea226b5421d</t>
        </is>
      </c>
      <c r="E1233" t="inlineStr">
        <is>
          <t>organic_search</t>
        </is>
      </c>
      <c r="F1233">
        <f>IFERROR(MATCH(A1233,Deals!$A$2:$A$843,0),"")</f>
        <v/>
      </c>
      <c r="G1233">
        <f>IF(F1233="",0,1)</f>
        <v/>
      </c>
      <c r="H1233" s="29">
        <f>IF(F1233="","",INDEX(Deals!$E$2:$E$843,F1233))</f>
        <v/>
      </c>
      <c r="I1233">
        <f>IF(F1233="","",INDEX(Deals!$D$2:$D$843,F1233))</f>
        <v/>
      </c>
      <c r="J1233">
        <f>IF(F1233="","",INT(H1233)-B1233)</f>
        <v/>
      </c>
      <c r="K1233">
        <f>IF(B1233&gt;=Settings!$C$5,1,0)</f>
        <v/>
      </c>
    </row>
    <row r="1234">
      <c r="A1234" t="inlineStr">
        <is>
          <t>70eeae4cf0f0ddd6e05606e961ec423e</t>
        </is>
      </c>
      <c r="B1234" s="29" t="n">
        <v>43136</v>
      </c>
      <c r="C1234" t="inlineStr">
        <is>
          <t>2018-02</t>
        </is>
      </c>
      <c r="D1234" t="inlineStr">
        <is>
          <t>76d33b7836dd4396f9dd310392f570f8</t>
        </is>
      </c>
      <c r="E1234" t="inlineStr">
        <is>
          <t>organic_search</t>
        </is>
      </c>
      <c r="F1234">
        <f>IFERROR(MATCH(A1234,Deals!$A$2:$A$843,0),"")</f>
        <v/>
      </c>
      <c r="G1234">
        <f>IF(F1234="",0,1)</f>
        <v/>
      </c>
      <c r="H1234" s="29">
        <f>IF(F1234="","",INDEX(Deals!$E$2:$E$843,F1234))</f>
        <v/>
      </c>
      <c r="I1234">
        <f>IF(F1234="","",INDEX(Deals!$D$2:$D$843,F1234))</f>
        <v/>
      </c>
      <c r="J1234">
        <f>IF(F1234="","",INT(H1234)-B1234)</f>
        <v/>
      </c>
      <c r="K1234">
        <f>IF(B1234&gt;=Settings!$C$5,1,0)</f>
        <v/>
      </c>
    </row>
    <row r="1235">
      <c r="A1235" t="inlineStr">
        <is>
          <t>c471696beb14dcf27c43d37fe49f7250</t>
        </is>
      </c>
      <c r="B1235" s="29" t="n">
        <v>43222</v>
      </c>
      <c r="C1235" t="inlineStr">
        <is>
          <t>2018-05</t>
        </is>
      </c>
      <c r="D1235" t="inlineStr">
        <is>
          <t>b76ef37428e6799c421989521c0e5077</t>
        </is>
      </c>
      <c r="E1235" t="inlineStr">
        <is>
          <t>organic_search</t>
        </is>
      </c>
      <c r="F1235">
        <f>IFERROR(MATCH(A1235,Deals!$A$2:$A$843,0),"")</f>
        <v/>
      </c>
      <c r="G1235">
        <f>IF(F1235="",0,1)</f>
        <v/>
      </c>
      <c r="H1235" s="29">
        <f>IF(F1235="","",INDEX(Deals!$E$2:$E$843,F1235))</f>
        <v/>
      </c>
      <c r="I1235">
        <f>IF(F1235="","",INDEX(Deals!$D$2:$D$843,F1235))</f>
        <v/>
      </c>
      <c r="J1235">
        <f>IF(F1235="","",INT(H1235)-B1235)</f>
        <v/>
      </c>
      <c r="K1235">
        <f>IF(B1235&gt;=Settings!$C$5,1,0)</f>
        <v/>
      </c>
    </row>
    <row r="1236">
      <c r="A1236" t="inlineStr">
        <is>
          <t>1e0c883de22f484fe68d3e575e15fe27</t>
        </is>
      </c>
      <c r="B1236" s="29" t="n">
        <v>43186</v>
      </c>
      <c r="C1236" t="inlineStr">
        <is>
          <t>2018-03</t>
        </is>
      </c>
      <c r="D1236" t="inlineStr">
        <is>
          <t>ce1a65abd0973638f1c887a6efcfa82d</t>
        </is>
      </c>
      <c r="E1236" t="inlineStr">
        <is>
          <t>organic_search</t>
        </is>
      </c>
      <c r="F1236">
        <f>IFERROR(MATCH(A1236,Deals!$A$2:$A$843,0),"")</f>
        <v/>
      </c>
      <c r="G1236">
        <f>IF(F1236="",0,1)</f>
        <v/>
      </c>
      <c r="H1236" s="29">
        <f>IF(F1236="","",INDEX(Deals!$E$2:$E$843,F1236))</f>
        <v/>
      </c>
      <c r="I1236">
        <f>IF(F1236="","",INDEX(Deals!$D$2:$D$843,F1236))</f>
        <v/>
      </c>
      <c r="J1236">
        <f>IF(F1236="","",INT(H1236)-B1236)</f>
        <v/>
      </c>
      <c r="K1236">
        <f>IF(B1236&gt;=Settings!$C$5,1,0)</f>
        <v/>
      </c>
    </row>
    <row r="1237">
      <c r="A1237" t="inlineStr">
        <is>
          <t>d55f42621864ab6071c77e68f1e70053</t>
        </is>
      </c>
      <c r="B1237" s="29" t="n">
        <v>43241</v>
      </c>
      <c r="C1237" t="inlineStr">
        <is>
          <t>2018-05</t>
        </is>
      </c>
      <c r="D1237" t="inlineStr">
        <is>
          <t>a0fbc0263cb98bdb0d72b9f9f283a172</t>
        </is>
      </c>
      <c r="E1237" t="inlineStr">
        <is>
          <t>paid_search</t>
        </is>
      </c>
      <c r="F1237">
        <f>IFERROR(MATCH(A1237,Deals!$A$2:$A$843,0),"")</f>
        <v/>
      </c>
      <c r="G1237">
        <f>IF(F1237="",0,1)</f>
        <v/>
      </c>
      <c r="H1237" s="29">
        <f>IF(F1237="","",INDEX(Deals!$E$2:$E$843,F1237))</f>
        <v/>
      </c>
      <c r="I1237">
        <f>IF(F1237="","",INDEX(Deals!$D$2:$D$843,F1237))</f>
        <v/>
      </c>
      <c r="J1237">
        <f>IF(F1237="","",INT(H1237)-B1237)</f>
        <v/>
      </c>
      <c r="K1237">
        <f>IF(B1237&gt;=Settings!$C$5,1,0)</f>
        <v/>
      </c>
    </row>
    <row r="1238">
      <c r="A1238" t="inlineStr">
        <is>
          <t>33c7c478e181b849b1a65eef4ba8d414</t>
        </is>
      </c>
      <c r="B1238" s="29" t="n">
        <v>43198</v>
      </c>
      <c r="C1238" t="inlineStr">
        <is>
          <t>2018-04</t>
        </is>
      </c>
      <c r="D1238" t="inlineStr">
        <is>
          <t>649b7b8b46b254497e92038d88f6ced8</t>
        </is>
      </c>
      <c r="E1238" t="inlineStr">
        <is>
          <t>social</t>
        </is>
      </c>
      <c r="F1238">
        <f>IFERROR(MATCH(A1238,Deals!$A$2:$A$843,0),"")</f>
        <v/>
      </c>
      <c r="G1238">
        <f>IF(F1238="",0,1)</f>
        <v/>
      </c>
      <c r="H1238" s="29">
        <f>IF(F1238="","",INDEX(Deals!$E$2:$E$843,F1238))</f>
        <v/>
      </c>
      <c r="I1238">
        <f>IF(F1238="","",INDEX(Deals!$D$2:$D$843,F1238))</f>
        <v/>
      </c>
      <c r="J1238">
        <f>IF(F1238="","",INT(H1238)-B1238)</f>
        <v/>
      </c>
      <c r="K1238">
        <f>IF(B1238&gt;=Settings!$C$5,1,0)</f>
        <v/>
      </c>
    </row>
    <row r="1239">
      <c r="A1239" t="inlineStr">
        <is>
          <t>5e59e49f5fd2ec69f4522f445c6fa9dd</t>
        </is>
      </c>
      <c r="B1239" s="29" t="n">
        <v>43084</v>
      </c>
      <c r="C1239" t="inlineStr">
        <is>
          <t>2017-12</t>
        </is>
      </c>
      <c r="D1239" t="inlineStr">
        <is>
          <t>241f79c7a8fe0270f4fb79fcbbcd17ad</t>
        </is>
      </c>
      <c r="E1239" t="inlineStr">
        <is>
          <t>paid_search</t>
        </is>
      </c>
      <c r="F1239">
        <f>IFERROR(MATCH(A1239,Deals!$A$2:$A$843,0),"")</f>
        <v/>
      </c>
      <c r="G1239">
        <f>IF(F1239="",0,1)</f>
        <v/>
      </c>
      <c r="H1239" s="29">
        <f>IF(F1239="","",INDEX(Deals!$E$2:$E$843,F1239))</f>
        <v/>
      </c>
      <c r="I1239">
        <f>IF(F1239="","",INDEX(Deals!$D$2:$D$843,F1239))</f>
        <v/>
      </c>
      <c r="J1239">
        <f>IF(F1239="","",INT(H1239)-B1239)</f>
        <v/>
      </c>
      <c r="K1239">
        <f>IF(B1239&gt;=Settings!$C$5,1,0)</f>
        <v/>
      </c>
    </row>
    <row r="1240">
      <c r="A1240" t="inlineStr">
        <is>
          <t>f7ca7d028d1de42814caecded57249fa</t>
        </is>
      </c>
      <c r="B1240" s="29" t="n">
        <v>43238</v>
      </c>
      <c r="C1240" t="inlineStr">
        <is>
          <t>2018-05</t>
        </is>
      </c>
      <c r="D1240" t="inlineStr">
        <is>
          <t>bfd05fa9f9fe2aedee539951a84f2aaf</t>
        </is>
      </c>
      <c r="E1240" t="inlineStr">
        <is>
          <t>paid_search</t>
        </is>
      </c>
      <c r="F1240">
        <f>IFERROR(MATCH(A1240,Deals!$A$2:$A$843,0),"")</f>
        <v/>
      </c>
      <c r="G1240">
        <f>IF(F1240="",0,1)</f>
        <v/>
      </c>
      <c r="H1240" s="29">
        <f>IF(F1240="","",INDEX(Deals!$E$2:$E$843,F1240))</f>
        <v/>
      </c>
      <c r="I1240">
        <f>IF(F1240="","",INDEX(Deals!$D$2:$D$843,F1240))</f>
        <v/>
      </c>
      <c r="J1240">
        <f>IF(F1240="","",INT(H1240)-B1240)</f>
        <v/>
      </c>
      <c r="K1240">
        <f>IF(B1240&gt;=Settings!$C$5,1,0)</f>
        <v/>
      </c>
    </row>
    <row r="1241">
      <c r="A1241" t="inlineStr">
        <is>
          <t>7c68935a1dfb1fc8fb714797e7cbf805</t>
        </is>
      </c>
      <c r="B1241" s="29" t="n">
        <v>43182</v>
      </c>
      <c r="C1241" t="inlineStr">
        <is>
          <t>2018-03</t>
        </is>
      </c>
      <c r="D1241" t="inlineStr">
        <is>
          <t>b76ef37428e6799c421989521c0e5077</t>
        </is>
      </c>
      <c r="E1241" t="inlineStr">
        <is>
          <t>unknown</t>
        </is>
      </c>
      <c r="F1241">
        <f>IFERROR(MATCH(A1241,Deals!$A$2:$A$843,0),"")</f>
        <v/>
      </c>
      <c r="G1241">
        <f>IF(F1241="",0,1)</f>
        <v/>
      </c>
      <c r="H1241" s="29">
        <f>IF(F1241="","",INDEX(Deals!$E$2:$E$843,F1241))</f>
        <v/>
      </c>
      <c r="I1241">
        <f>IF(F1241="","",INDEX(Deals!$D$2:$D$843,F1241))</f>
        <v/>
      </c>
      <c r="J1241">
        <f>IF(F1241="","",INT(H1241)-B1241)</f>
        <v/>
      </c>
      <c r="K1241">
        <f>IF(B1241&gt;=Settings!$C$5,1,0)</f>
        <v/>
      </c>
    </row>
    <row r="1242">
      <c r="A1242" t="inlineStr">
        <is>
          <t>5b9fb8e37a2038c5bd771232bfd85beb</t>
        </is>
      </c>
      <c r="B1242" s="29" t="n">
        <v>42970</v>
      </c>
      <c r="C1242" t="inlineStr">
        <is>
          <t>2017-08</t>
        </is>
      </c>
      <c r="D1242" t="inlineStr">
        <is>
          <t>f017be4dbf86243af5c1ebed0cff36a2</t>
        </is>
      </c>
      <c r="E1242" t="inlineStr">
        <is>
          <t>organic_search</t>
        </is>
      </c>
      <c r="F1242">
        <f>IFERROR(MATCH(A1242,Deals!$A$2:$A$843,0),"")</f>
        <v/>
      </c>
      <c r="G1242">
        <f>IF(F1242="",0,1)</f>
        <v/>
      </c>
      <c r="H1242" s="29">
        <f>IF(F1242="","",INDEX(Deals!$E$2:$E$843,F1242))</f>
        <v/>
      </c>
      <c r="I1242">
        <f>IF(F1242="","",INDEX(Deals!$D$2:$D$843,F1242))</f>
        <v/>
      </c>
      <c r="J1242">
        <f>IF(F1242="","",INT(H1242)-B1242)</f>
        <v/>
      </c>
      <c r="K1242">
        <f>IF(B1242&gt;=Settings!$C$5,1,0)</f>
        <v/>
      </c>
    </row>
    <row r="1243">
      <c r="A1243" t="inlineStr">
        <is>
          <t>e83fa8f349ac1b1cb539863df661939a</t>
        </is>
      </c>
      <c r="B1243" s="29" t="n">
        <v>43210</v>
      </c>
      <c r="C1243" t="inlineStr">
        <is>
          <t>2018-04</t>
        </is>
      </c>
      <c r="D1243" t="inlineStr">
        <is>
          <t>22c29808c4f815213303f8933030604c</t>
        </is>
      </c>
      <c r="E1243" t="inlineStr">
        <is>
          <t>organic_search</t>
        </is>
      </c>
      <c r="F1243">
        <f>IFERROR(MATCH(A1243,Deals!$A$2:$A$843,0),"")</f>
        <v/>
      </c>
      <c r="G1243">
        <f>IF(F1243="",0,1)</f>
        <v/>
      </c>
      <c r="H1243" s="29">
        <f>IF(F1243="","",INDEX(Deals!$E$2:$E$843,F1243))</f>
        <v/>
      </c>
      <c r="I1243">
        <f>IF(F1243="","",INDEX(Deals!$D$2:$D$843,F1243))</f>
        <v/>
      </c>
      <c r="J1243">
        <f>IF(F1243="","",INT(H1243)-B1243)</f>
        <v/>
      </c>
      <c r="K1243">
        <f>IF(B1243&gt;=Settings!$C$5,1,0)</f>
        <v/>
      </c>
    </row>
    <row r="1244">
      <c r="A1244" t="inlineStr">
        <is>
          <t>52c7212b4c1ef4c1c21b4d5181a66b0f</t>
        </is>
      </c>
      <c r="B1244" s="29" t="n">
        <v>43019</v>
      </c>
      <c r="C1244" t="inlineStr">
        <is>
          <t>2017-10</t>
        </is>
      </c>
      <c r="D1244" t="inlineStr">
        <is>
          <t>a7982125ff7aa3b2054c6e44f9d28522</t>
        </is>
      </c>
      <c r="E1244" t="inlineStr">
        <is>
          <t>direct_traffic</t>
        </is>
      </c>
      <c r="F1244">
        <f>IFERROR(MATCH(A1244,Deals!$A$2:$A$843,0),"")</f>
        <v/>
      </c>
      <c r="G1244">
        <f>IF(F1244="",0,1)</f>
        <v/>
      </c>
      <c r="H1244" s="29">
        <f>IF(F1244="","",INDEX(Deals!$E$2:$E$843,F1244))</f>
        <v/>
      </c>
      <c r="I1244">
        <f>IF(F1244="","",INDEX(Deals!$D$2:$D$843,F1244))</f>
        <v/>
      </c>
      <c r="J1244">
        <f>IF(F1244="","",INT(H1244)-B1244)</f>
        <v/>
      </c>
      <c r="K1244">
        <f>IF(B1244&gt;=Settings!$C$5,1,0)</f>
        <v/>
      </c>
    </row>
    <row r="1245">
      <c r="A1245" t="inlineStr">
        <is>
          <t>8551ef0d517bfc756cb31e0477ac4adc</t>
        </is>
      </c>
      <c r="B1245" s="29" t="n">
        <v>43231</v>
      </c>
      <c r="C1245" t="inlineStr">
        <is>
          <t>2018-05</t>
        </is>
      </c>
      <c r="D1245" t="inlineStr">
        <is>
          <t>fa6f59a21825d841e307151460fb0302</t>
        </is>
      </c>
      <c r="E1245" t="inlineStr">
        <is>
          <t>paid_search</t>
        </is>
      </c>
      <c r="F1245">
        <f>IFERROR(MATCH(A1245,Deals!$A$2:$A$843,0),"")</f>
        <v/>
      </c>
      <c r="G1245">
        <f>IF(F1245="",0,1)</f>
        <v/>
      </c>
      <c r="H1245" s="29">
        <f>IF(F1245="","",INDEX(Deals!$E$2:$E$843,F1245))</f>
        <v/>
      </c>
      <c r="I1245">
        <f>IF(F1245="","",INDEX(Deals!$D$2:$D$843,F1245))</f>
        <v/>
      </c>
      <c r="J1245">
        <f>IF(F1245="","",INT(H1245)-B1245)</f>
        <v/>
      </c>
      <c r="K1245">
        <f>IF(B1245&gt;=Settings!$C$5,1,0)</f>
        <v/>
      </c>
    </row>
    <row r="1246">
      <c r="A1246" t="inlineStr">
        <is>
          <t>2d5c023a11d70ab3e9acdb98d0053fcc</t>
        </is>
      </c>
      <c r="B1246" s="29" t="n">
        <v>43168</v>
      </c>
      <c r="C1246" t="inlineStr">
        <is>
          <t>2018-03</t>
        </is>
      </c>
      <c r="D1246" t="inlineStr">
        <is>
          <t>f017be4dbf86243af5c1ebed0cff36a2</t>
        </is>
      </c>
      <c r="E1246" t="inlineStr">
        <is>
          <t>direct_traffic</t>
        </is>
      </c>
      <c r="F1246">
        <f>IFERROR(MATCH(A1246,Deals!$A$2:$A$843,0),"")</f>
        <v/>
      </c>
      <c r="G1246">
        <f>IF(F1246="",0,1)</f>
        <v/>
      </c>
      <c r="H1246" s="29">
        <f>IF(F1246="","",INDEX(Deals!$E$2:$E$843,F1246))</f>
        <v/>
      </c>
      <c r="I1246">
        <f>IF(F1246="","",INDEX(Deals!$D$2:$D$843,F1246))</f>
        <v/>
      </c>
      <c r="J1246">
        <f>IF(F1246="","",INT(H1246)-B1246)</f>
        <v/>
      </c>
      <c r="K1246">
        <f>IF(B1246&gt;=Settings!$C$5,1,0)</f>
        <v/>
      </c>
    </row>
    <row r="1247">
      <c r="A1247" t="inlineStr">
        <is>
          <t>96ea8125df75af9969a00d9e7b934eba</t>
        </is>
      </c>
      <c r="B1247" s="29" t="n">
        <v>43115</v>
      </c>
      <c r="C1247" t="inlineStr">
        <is>
          <t>2018-01</t>
        </is>
      </c>
      <c r="D1247" t="inlineStr">
        <is>
          <t>88740e65d5d6b056e0cda098e1ea6313</t>
        </is>
      </c>
      <c r="E1247" t="inlineStr">
        <is>
          <t>social</t>
        </is>
      </c>
      <c r="F1247">
        <f>IFERROR(MATCH(A1247,Deals!$A$2:$A$843,0),"")</f>
        <v/>
      </c>
      <c r="G1247">
        <f>IF(F1247="",0,1)</f>
        <v/>
      </c>
      <c r="H1247" s="29">
        <f>IF(F1247="","",INDEX(Deals!$E$2:$E$843,F1247))</f>
        <v/>
      </c>
      <c r="I1247">
        <f>IF(F1247="","",INDEX(Deals!$D$2:$D$843,F1247))</f>
        <v/>
      </c>
      <c r="J1247">
        <f>IF(F1247="","",INT(H1247)-B1247)</f>
        <v/>
      </c>
      <c r="K1247">
        <f>IF(B1247&gt;=Settings!$C$5,1,0)</f>
        <v/>
      </c>
    </row>
    <row r="1248">
      <c r="A1248" t="inlineStr">
        <is>
          <t>a826e7e3851f04b576471ad4450abc4d</t>
        </is>
      </c>
      <c r="B1248" s="29" t="n">
        <v>43150</v>
      </c>
      <c r="C1248" t="inlineStr">
        <is>
          <t>2018-02</t>
        </is>
      </c>
      <c r="D1248" t="inlineStr">
        <is>
          <t>b21580ecd6fb023c6cfc3e83123a5983</t>
        </is>
      </c>
      <c r="E1248" t="inlineStr">
        <is>
          <t>organic_search</t>
        </is>
      </c>
      <c r="F1248">
        <f>IFERROR(MATCH(A1248,Deals!$A$2:$A$843,0),"")</f>
        <v/>
      </c>
      <c r="G1248">
        <f>IF(F1248="",0,1)</f>
        <v/>
      </c>
      <c r="H1248" s="29">
        <f>IF(F1248="","",INDEX(Deals!$E$2:$E$843,F1248))</f>
        <v/>
      </c>
      <c r="I1248">
        <f>IF(F1248="","",INDEX(Deals!$D$2:$D$843,F1248))</f>
        <v/>
      </c>
      <c r="J1248">
        <f>IF(F1248="","",INT(H1248)-B1248)</f>
        <v/>
      </c>
      <c r="K1248">
        <f>IF(B1248&gt;=Settings!$C$5,1,0)</f>
        <v/>
      </c>
    </row>
    <row r="1249">
      <c r="A1249" t="inlineStr">
        <is>
          <t>7cd43b45b953fad2a586cb8dd2af78ad</t>
        </is>
      </c>
      <c r="B1249" s="29" t="n">
        <v>43152</v>
      </c>
      <c r="C1249" t="inlineStr">
        <is>
          <t>2018-02</t>
        </is>
      </c>
      <c r="D1249" t="inlineStr">
        <is>
          <t>22c29808c4f815213303f8933030604c</t>
        </is>
      </c>
      <c r="E1249" t="inlineStr">
        <is>
          <t>direct_traffic</t>
        </is>
      </c>
      <c r="F1249">
        <f>IFERROR(MATCH(A1249,Deals!$A$2:$A$843,0),"")</f>
        <v/>
      </c>
      <c r="G1249">
        <f>IF(F1249="",0,1)</f>
        <v/>
      </c>
      <c r="H1249" s="29">
        <f>IF(F1249="","",INDEX(Deals!$E$2:$E$843,F1249))</f>
        <v/>
      </c>
      <c r="I1249">
        <f>IF(F1249="","",INDEX(Deals!$D$2:$D$843,F1249))</f>
        <v/>
      </c>
      <c r="J1249">
        <f>IF(F1249="","",INT(H1249)-B1249)</f>
        <v/>
      </c>
      <c r="K1249">
        <f>IF(B1249&gt;=Settings!$C$5,1,0)</f>
        <v/>
      </c>
    </row>
    <row r="1250">
      <c r="A1250" t="inlineStr">
        <is>
          <t>d65598b7a583ff113467d5b6f693a031</t>
        </is>
      </c>
      <c r="B1250" s="29" t="n">
        <v>42995</v>
      </c>
      <c r="C1250" t="inlineStr">
        <is>
          <t>2017-09</t>
        </is>
      </c>
      <c r="D1250" t="inlineStr">
        <is>
          <t>007f9098284a86ee80ddeb25d53e0af8</t>
        </is>
      </c>
      <c r="E1250" t="inlineStr">
        <is>
          <t>display</t>
        </is>
      </c>
      <c r="F1250">
        <f>IFERROR(MATCH(A1250,Deals!$A$2:$A$843,0),"")</f>
        <v/>
      </c>
      <c r="G1250">
        <f>IF(F1250="",0,1)</f>
        <v/>
      </c>
      <c r="H1250" s="29">
        <f>IF(F1250="","",INDEX(Deals!$E$2:$E$843,F1250))</f>
        <v/>
      </c>
      <c r="I1250">
        <f>IF(F1250="","",INDEX(Deals!$D$2:$D$843,F1250))</f>
        <v/>
      </c>
      <c r="J1250">
        <f>IF(F1250="","",INT(H1250)-B1250)</f>
        <v/>
      </c>
      <c r="K1250">
        <f>IF(B1250&gt;=Settings!$C$5,1,0)</f>
        <v/>
      </c>
    </row>
    <row r="1251">
      <c r="A1251" t="inlineStr">
        <is>
          <t>1d6f9e1c87f4fc2613dd61661e4900b9</t>
        </is>
      </c>
      <c r="B1251" s="29" t="n">
        <v>43068</v>
      </c>
      <c r="C1251" t="inlineStr">
        <is>
          <t>2017-11</t>
        </is>
      </c>
      <c r="D1251" t="inlineStr">
        <is>
          <t>40dec9f3d5259a3d2dbcdab2114fae47</t>
        </is>
      </c>
      <c r="E1251" t="inlineStr">
        <is>
          <t>paid_search</t>
        </is>
      </c>
      <c r="F1251">
        <f>IFERROR(MATCH(A1251,Deals!$A$2:$A$843,0),"")</f>
        <v/>
      </c>
      <c r="G1251">
        <f>IF(F1251="",0,1)</f>
        <v/>
      </c>
      <c r="H1251" s="29">
        <f>IF(F1251="","",INDEX(Deals!$E$2:$E$843,F1251))</f>
        <v/>
      </c>
      <c r="I1251">
        <f>IF(F1251="","",INDEX(Deals!$D$2:$D$843,F1251))</f>
        <v/>
      </c>
      <c r="J1251">
        <f>IF(F1251="","",INT(H1251)-B1251)</f>
        <v/>
      </c>
      <c r="K1251">
        <f>IF(B1251&gt;=Settings!$C$5,1,0)</f>
        <v/>
      </c>
    </row>
    <row r="1252">
      <c r="A1252" t="inlineStr">
        <is>
          <t>8db1b9c8cb52198d4752176ba2e29795</t>
        </is>
      </c>
      <c r="B1252" s="29" t="n">
        <v>43133</v>
      </c>
      <c r="C1252" t="inlineStr">
        <is>
          <t>2018-02</t>
        </is>
      </c>
      <c r="D1252" t="inlineStr">
        <is>
          <t>36120633c8737035fbabf079082f4ec1</t>
        </is>
      </c>
      <c r="E1252" t="inlineStr">
        <is>
          <t>referral</t>
        </is>
      </c>
      <c r="F1252">
        <f>IFERROR(MATCH(A1252,Deals!$A$2:$A$843,0),"")</f>
        <v/>
      </c>
      <c r="G1252">
        <f>IF(F1252="",0,1)</f>
        <v/>
      </c>
      <c r="H1252" s="29">
        <f>IF(F1252="","",INDEX(Deals!$E$2:$E$843,F1252))</f>
        <v/>
      </c>
      <c r="I1252">
        <f>IF(F1252="","",INDEX(Deals!$D$2:$D$843,F1252))</f>
        <v/>
      </c>
      <c r="J1252">
        <f>IF(F1252="","",INT(H1252)-B1252)</f>
        <v/>
      </c>
      <c r="K1252">
        <f>IF(B1252&gt;=Settings!$C$5,1,0)</f>
        <v/>
      </c>
    </row>
    <row r="1253">
      <c r="A1253" t="inlineStr">
        <is>
          <t>b3ba081ea31233eb2bbae7c31d752082</t>
        </is>
      </c>
      <c r="B1253" s="29" t="n">
        <v>43037</v>
      </c>
      <c r="C1253" t="inlineStr">
        <is>
          <t>2017-10</t>
        </is>
      </c>
      <c r="D1253" t="inlineStr">
        <is>
          <t>88740e65d5d6b056e0cda098e1ea6313</t>
        </is>
      </c>
      <c r="E1253" t="inlineStr">
        <is>
          <t>social</t>
        </is>
      </c>
      <c r="F1253">
        <f>IFERROR(MATCH(A1253,Deals!$A$2:$A$843,0),"")</f>
        <v/>
      </c>
      <c r="G1253">
        <f>IF(F1253="",0,1)</f>
        <v/>
      </c>
      <c r="H1253" s="29">
        <f>IF(F1253="","",INDEX(Deals!$E$2:$E$843,F1253))</f>
        <v/>
      </c>
      <c r="I1253">
        <f>IF(F1253="","",INDEX(Deals!$D$2:$D$843,F1253))</f>
        <v/>
      </c>
      <c r="J1253">
        <f>IF(F1253="","",INT(H1253)-B1253)</f>
        <v/>
      </c>
      <c r="K1253">
        <f>IF(B1253&gt;=Settings!$C$5,1,0)</f>
        <v/>
      </c>
    </row>
    <row r="1254">
      <c r="A1254" t="inlineStr">
        <is>
          <t>6fc54846861b7f851eb0541206edc578</t>
        </is>
      </c>
      <c r="B1254" s="29" t="n">
        <v>43200</v>
      </c>
      <c r="C1254" t="inlineStr">
        <is>
          <t>2018-04</t>
        </is>
      </c>
      <c r="D1254" t="inlineStr">
        <is>
          <t>73f31a40697cc90a86c1273563ac230e</t>
        </is>
      </c>
      <c r="E1254" t="inlineStr">
        <is>
          <t>other</t>
        </is>
      </c>
      <c r="F1254">
        <f>IFERROR(MATCH(A1254,Deals!$A$2:$A$843,0),"")</f>
        <v/>
      </c>
      <c r="G1254">
        <f>IF(F1254="",0,1)</f>
        <v/>
      </c>
      <c r="H1254" s="29">
        <f>IF(F1254="","",INDEX(Deals!$E$2:$E$843,F1254))</f>
        <v/>
      </c>
      <c r="I1254">
        <f>IF(F1254="","",INDEX(Deals!$D$2:$D$843,F1254))</f>
        <v/>
      </c>
      <c r="J1254">
        <f>IF(F1254="","",INT(H1254)-B1254)</f>
        <v/>
      </c>
      <c r="K1254">
        <f>IF(B1254&gt;=Settings!$C$5,1,0)</f>
        <v/>
      </c>
    </row>
    <row r="1255">
      <c r="A1255" t="inlineStr">
        <is>
          <t>1af811e7b980f0101940cface13124d4</t>
        </is>
      </c>
      <c r="B1255" s="29" t="n">
        <v>43118</v>
      </c>
      <c r="C1255" t="inlineStr">
        <is>
          <t>2018-01</t>
        </is>
      </c>
      <c r="D1255" t="inlineStr">
        <is>
          <t>b76ef37428e6799c421989521c0e5077</t>
        </is>
      </c>
      <c r="E1255" t="inlineStr">
        <is>
          <t>unknown</t>
        </is>
      </c>
      <c r="F1255">
        <f>IFERROR(MATCH(A1255,Deals!$A$2:$A$843,0),"")</f>
        <v/>
      </c>
      <c r="G1255">
        <f>IF(F1255="",0,1)</f>
        <v/>
      </c>
      <c r="H1255" s="29">
        <f>IF(F1255="","",INDEX(Deals!$E$2:$E$843,F1255))</f>
        <v/>
      </c>
      <c r="I1255">
        <f>IF(F1255="","",INDEX(Deals!$D$2:$D$843,F1255))</f>
        <v/>
      </c>
      <c r="J1255">
        <f>IF(F1255="","",INT(H1255)-B1255)</f>
        <v/>
      </c>
      <c r="K1255">
        <f>IF(B1255&gt;=Settings!$C$5,1,0)</f>
        <v/>
      </c>
    </row>
    <row r="1256">
      <c r="A1256" t="inlineStr">
        <is>
          <t>81190ee016c56828c2f2c3f2cd94db77</t>
        </is>
      </c>
      <c r="B1256" s="29" t="n">
        <v>42964</v>
      </c>
      <c r="C1256" t="inlineStr">
        <is>
          <t>2017-08</t>
        </is>
      </c>
      <c r="D1256" t="inlineStr">
        <is>
          <t>d7549bc9744c53d31a4a1abc7fb7b5ee</t>
        </is>
      </c>
      <c r="E1256" t="inlineStr">
        <is>
          <t>social</t>
        </is>
      </c>
      <c r="F1256">
        <f>IFERROR(MATCH(A1256,Deals!$A$2:$A$843,0),"")</f>
        <v/>
      </c>
      <c r="G1256">
        <f>IF(F1256="",0,1)</f>
        <v/>
      </c>
      <c r="H1256" s="29">
        <f>IF(F1256="","",INDEX(Deals!$E$2:$E$843,F1256))</f>
        <v/>
      </c>
      <c r="I1256">
        <f>IF(F1256="","",INDEX(Deals!$D$2:$D$843,F1256))</f>
        <v/>
      </c>
      <c r="J1256">
        <f>IF(F1256="","",INT(H1256)-B1256)</f>
        <v/>
      </c>
      <c r="K1256">
        <f>IF(B1256&gt;=Settings!$C$5,1,0)</f>
        <v/>
      </c>
    </row>
    <row r="1257">
      <c r="A1257" t="inlineStr">
        <is>
          <t>6b9ff2319b3a1f076a994924fb764ee3</t>
        </is>
      </c>
      <c r="B1257" s="29" t="n">
        <v>43138</v>
      </c>
      <c r="C1257" t="inlineStr">
        <is>
          <t>2018-02</t>
        </is>
      </c>
      <c r="D1257" t="inlineStr">
        <is>
          <t>6fe30070097d07349fb571579ce6c14e</t>
        </is>
      </c>
      <c r="E1257" t="inlineStr">
        <is>
          <t>email</t>
        </is>
      </c>
      <c r="F1257">
        <f>IFERROR(MATCH(A1257,Deals!$A$2:$A$843,0),"")</f>
        <v/>
      </c>
      <c r="G1257">
        <f>IF(F1257="",0,1)</f>
        <v/>
      </c>
      <c r="H1257" s="29">
        <f>IF(F1257="","",INDEX(Deals!$E$2:$E$843,F1257))</f>
        <v/>
      </c>
      <c r="I1257">
        <f>IF(F1257="","",INDEX(Deals!$D$2:$D$843,F1257))</f>
        <v/>
      </c>
      <c r="J1257">
        <f>IF(F1257="","",INT(H1257)-B1257)</f>
        <v/>
      </c>
      <c r="K1257">
        <f>IF(B1257&gt;=Settings!$C$5,1,0)</f>
        <v/>
      </c>
    </row>
    <row r="1258">
      <c r="A1258" t="inlineStr">
        <is>
          <t>2a5f614fbd6b69fd6695ae213d63eef0</t>
        </is>
      </c>
      <c r="B1258" s="29" t="n">
        <v>42928</v>
      </c>
      <c r="C1258" t="inlineStr">
        <is>
          <t>2017-07</t>
        </is>
      </c>
      <c r="D1258" t="inlineStr">
        <is>
          <t>31aa231b755f09653f48e41c110c8860</t>
        </is>
      </c>
      <c r="E1258" t="inlineStr">
        <is>
          <t>organic_search</t>
        </is>
      </c>
      <c r="F1258">
        <f>IFERROR(MATCH(A1258,Deals!$A$2:$A$843,0),"")</f>
        <v/>
      </c>
      <c r="G1258">
        <f>IF(F1258="",0,1)</f>
        <v/>
      </c>
      <c r="H1258" s="29">
        <f>IF(F1258="","",INDEX(Deals!$E$2:$E$843,F1258))</f>
        <v/>
      </c>
      <c r="I1258">
        <f>IF(F1258="","",INDEX(Deals!$D$2:$D$843,F1258))</f>
        <v/>
      </c>
      <c r="J1258">
        <f>IF(F1258="","",INT(H1258)-B1258)</f>
        <v/>
      </c>
      <c r="K1258">
        <f>IF(B1258&gt;=Settings!$C$5,1,0)</f>
        <v/>
      </c>
    </row>
    <row r="1259">
      <c r="A1259" t="inlineStr">
        <is>
          <t>8e2568d07cfc39036f5d312247e39057</t>
        </is>
      </c>
      <c r="B1259" s="29" t="n">
        <v>43185</v>
      </c>
      <c r="C1259" t="inlineStr">
        <is>
          <t>2018-03</t>
        </is>
      </c>
      <c r="D1259" t="inlineStr">
        <is>
          <t>ce1a65abd0973638f1c887a6efcfa82d</t>
        </is>
      </c>
      <c r="E1259" t="inlineStr">
        <is>
          <t>organic_search</t>
        </is>
      </c>
      <c r="F1259">
        <f>IFERROR(MATCH(A1259,Deals!$A$2:$A$843,0),"")</f>
        <v/>
      </c>
      <c r="G1259">
        <f>IF(F1259="",0,1)</f>
        <v/>
      </c>
      <c r="H1259" s="29">
        <f>IF(F1259="","",INDEX(Deals!$E$2:$E$843,F1259))</f>
        <v/>
      </c>
      <c r="I1259">
        <f>IF(F1259="","",INDEX(Deals!$D$2:$D$843,F1259))</f>
        <v/>
      </c>
      <c r="J1259">
        <f>IF(F1259="","",INT(H1259)-B1259)</f>
        <v/>
      </c>
      <c r="K1259">
        <f>IF(B1259&gt;=Settings!$C$5,1,0)</f>
        <v/>
      </c>
    </row>
    <row r="1260">
      <c r="A1260" t="inlineStr">
        <is>
          <t>996a06e8c7029874b4092109ca2fe99e</t>
        </is>
      </c>
      <c r="B1260" s="29" t="n">
        <v>43115</v>
      </c>
      <c r="C1260" t="inlineStr">
        <is>
          <t>2018-01</t>
        </is>
      </c>
      <c r="D1260" t="inlineStr">
        <is>
          <t>b76ef37428e6799c421989521c0e5077</t>
        </is>
      </c>
      <c r="E1260" t="inlineStr">
        <is>
          <t>paid_search</t>
        </is>
      </c>
      <c r="F1260">
        <f>IFERROR(MATCH(A1260,Deals!$A$2:$A$843,0),"")</f>
        <v/>
      </c>
      <c r="G1260">
        <f>IF(F1260="",0,1)</f>
        <v/>
      </c>
      <c r="H1260" s="29">
        <f>IF(F1260="","",INDEX(Deals!$E$2:$E$843,F1260))</f>
        <v/>
      </c>
      <c r="I1260">
        <f>IF(F1260="","",INDEX(Deals!$D$2:$D$843,F1260))</f>
        <v/>
      </c>
      <c r="J1260">
        <f>IF(F1260="","",INT(H1260)-B1260)</f>
        <v/>
      </c>
      <c r="K1260">
        <f>IF(B1260&gt;=Settings!$C$5,1,0)</f>
        <v/>
      </c>
    </row>
    <row r="1261">
      <c r="A1261" t="inlineStr">
        <is>
          <t>a615c450ca9e883292a6288e96eebb6d</t>
        </is>
      </c>
      <c r="B1261" s="29" t="n">
        <v>43111</v>
      </c>
      <c r="C1261" t="inlineStr">
        <is>
          <t>2018-01</t>
        </is>
      </c>
      <c r="D1261" t="inlineStr">
        <is>
          <t>f017be4dbf86243af5c1ebed0cff36a2</t>
        </is>
      </c>
      <c r="E1261" t="inlineStr">
        <is>
          <t>organic_search</t>
        </is>
      </c>
      <c r="F1261">
        <f>IFERROR(MATCH(A1261,Deals!$A$2:$A$843,0),"")</f>
        <v/>
      </c>
      <c r="G1261">
        <f>IF(F1261="",0,1)</f>
        <v/>
      </c>
      <c r="H1261" s="29">
        <f>IF(F1261="","",INDEX(Deals!$E$2:$E$843,F1261))</f>
        <v/>
      </c>
      <c r="I1261">
        <f>IF(F1261="","",INDEX(Deals!$D$2:$D$843,F1261))</f>
        <v/>
      </c>
      <c r="J1261">
        <f>IF(F1261="","",INT(H1261)-B1261)</f>
        <v/>
      </c>
      <c r="K1261">
        <f>IF(B1261&gt;=Settings!$C$5,1,0)</f>
        <v/>
      </c>
    </row>
    <row r="1262">
      <c r="A1262" t="inlineStr">
        <is>
          <t>6b73e5f45bd3663f1eab26ccd64efd02</t>
        </is>
      </c>
      <c r="B1262" s="29" t="n">
        <v>43181</v>
      </c>
      <c r="C1262" t="inlineStr">
        <is>
          <t>2018-03</t>
        </is>
      </c>
      <c r="D1262" t="inlineStr">
        <is>
          <t>97a12252ce4b852ea74f6d41d009a44b</t>
        </is>
      </c>
      <c r="E1262" t="inlineStr">
        <is>
          <t>organic_search</t>
        </is>
      </c>
      <c r="F1262">
        <f>IFERROR(MATCH(A1262,Deals!$A$2:$A$843,0),"")</f>
        <v/>
      </c>
      <c r="G1262">
        <f>IF(F1262="",0,1)</f>
        <v/>
      </c>
      <c r="H1262" s="29">
        <f>IF(F1262="","",INDEX(Deals!$E$2:$E$843,F1262))</f>
        <v/>
      </c>
      <c r="I1262">
        <f>IF(F1262="","",INDEX(Deals!$D$2:$D$843,F1262))</f>
        <v/>
      </c>
      <c r="J1262">
        <f>IF(F1262="","",INT(H1262)-B1262)</f>
        <v/>
      </c>
      <c r="K1262">
        <f>IF(B1262&gt;=Settings!$C$5,1,0)</f>
        <v/>
      </c>
    </row>
    <row r="1263">
      <c r="A1263" t="inlineStr">
        <is>
          <t>adf195e2bcea10a7fb07abe83d2885c1</t>
        </is>
      </c>
      <c r="B1263" s="29" t="n">
        <v>43211</v>
      </c>
      <c r="C1263" t="inlineStr">
        <is>
          <t>2018-04</t>
        </is>
      </c>
      <c r="D1263" t="inlineStr">
        <is>
          <t>d83b0d0e48c8447d1d5507a44027a955</t>
        </is>
      </c>
      <c r="E1263" t="inlineStr">
        <is>
          <t>paid_search</t>
        </is>
      </c>
      <c r="F1263">
        <f>IFERROR(MATCH(A1263,Deals!$A$2:$A$843,0),"")</f>
        <v/>
      </c>
      <c r="G1263">
        <f>IF(F1263="",0,1)</f>
        <v/>
      </c>
      <c r="H1263" s="29">
        <f>IF(F1263="","",INDEX(Deals!$E$2:$E$843,F1263))</f>
        <v/>
      </c>
      <c r="I1263">
        <f>IF(F1263="","",INDEX(Deals!$D$2:$D$843,F1263))</f>
        <v/>
      </c>
      <c r="J1263">
        <f>IF(F1263="","",INT(H1263)-B1263)</f>
        <v/>
      </c>
      <c r="K1263">
        <f>IF(B1263&gt;=Settings!$C$5,1,0)</f>
        <v/>
      </c>
    </row>
    <row r="1264">
      <c r="A1264" t="inlineStr">
        <is>
          <t>2a2e53b0e0820da8e791a8534038fe26</t>
        </is>
      </c>
      <c r="B1264" s="29" t="n">
        <v>43234</v>
      </c>
      <c r="C1264" t="inlineStr">
        <is>
          <t>2018-05</t>
        </is>
      </c>
      <c r="D1264" t="inlineStr">
        <is>
          <t>22c29808c4f815213303f8933030604c</t>
        </is>
      </c>
      <c r="E1264" t="inlineStr">
        <is>
          <t>organic_search</t>
        </is>
      </c>
      <c r="F1264">
        <f>IFERROR(MATCH(A1264,Deals!$A$2:$A$843,0),"")</f>
        <v/>
      </c>
      <c r="G1264">
        <f>IF(F1264="",0,1)</f>
        <v/>
      </c>
      <c r="H1264" s="29">
        <f>IF(F1264="","",INDEX(Deals!$E$2:$E$843,F1264))</f>
        <v/>
      </c>
      <c r="I1264">
        <f>IF(F1264="","",INDEX(Deals!$D$2:$D$843,F1264))</f>
        <v/>
      </c>
      <c r="J1264">
        <f>IF(F1264="","",INT(H1264)-B1264)</f>
        <v/>
      </c>
      <c r="K1264">
        <f>IF(B1264&gt;=Settings!$C$5,1,0)</f>
        <v/>
      </c>
    </row>
    <row r="1265">
      <c r="A1265" t="inlineStr">
        <is>
          <t>52b4b9c48fe05ff57365405360155d07</t>
        </is>
      </c>
      <c r="B1265" s="29" t="n">
        <v>43174</v>
      </c>
      <c r="C1265" t="inlineStr">
        <is>
          <t>2018-03</t>
        </is>
      </c>
      <c r="D1265" t="inlineStr">
        <is>
          <t>e492ee5eaf1697716985cc6f33f9cd9b</t>
        </is>
      </c>
      <c r="E1265" t="inlineStr">
        <is>
          <t>referral</t>
        </is>
      </c>
      <c r="F1265">
        <f>IFERROR(MATCH(A1265,Deals!$A$2:$A$843,0),"")</f>
        <v/>
      </c>
      <c r="G1265">
        <f>IF(F1265="",0,1)</f>
        <v/>
      </c>
      <c r="H1265" s="29">
        <f>IF(F1265="","",INDEX(Deals!$E$2:$E$843,F1265))</f>
        <v/>
      </c>
      <c r="I1265">
        <f>IF(F1265="","",INDEX(Deals!$D$2:$D$843,F1265))</f>
        <v/>
      </c>
      <c r="J1265">
        <f>IF(F1265="","",INT(H1265)-B1265)</f>
        <v/>
      </c>
      <c r="K1265">
        <f>IF(B1265&gt;=Settings!$C$5,1,0)</f>
        <v/>
      </c>
    </row>
    <row r="1266">
      <c r="A1266" t="inlineStr">
        <is>
          <t>b2af2b06183911576dad99a15a5d4933</t>
        </is>
      </c>
      <c r="B1266" s="29" t="n">
        <v>43059</v>
      </c>
      <c r="C1266" t="inlineStr">
        <is>
          <t>2017-11</t>
        </is>
      </c>
      <c r="D1266" t="inlineStr">
        <is>
          <t>22c29808c4f815213303f8933030604c</t>
        </is>
      </c>
      <c r="E1266" t="inlineStr">
        <is>
          <t>social</t>
        </is>
      </c>
      <c r="F1266">
        <f>IFERROR(MATCH(A1266,Deals!$A$2:$A$843,0),"")</f>
        <v/>
      </c>
      <c r="G1266">
        <f>IF(F1266="",0,1)</f>
        <v/>
      </c>
      <c r="H1266" s="29">
        <f>IF(F1266="","",INDEX(Deals!$E$2:$E$843,F1266))</f>
        <v/>
      </c>
      <c r="I1266">
        <f>IF(F1266="","",INDEX(Deals!$D$2:$D$843,F1266))</f>
        <v/>
      </c>
      <c r="J1266">
        <f>IF(F1266="","",INT(H1266)-B1266)</f>
        <v/>
      </c>
      <c r="K1266">
        <f>IF(B1266&gt;=Settings!$C$5,1,0)</f>
        <v/>
      </c>
    </row>
    <row r="1267">
      <c r="A1267" t="inlineStr">
        <is>
          <t>d964a58a93323e99de31502ef22e3079</t>
        </is>
      </c>
      <c r="B1267" s="29" t="n">
        <v>43249</v>
      </c>
      <c r="C1267" t="inlineStr">
        <is>
          <t>2018-05</t>
        </is>
      </c>
      <c r="D1267" t="inlineStr">
        <is>
          <t>40dec9f3d5259a3d2dbcdab2114fae47</t>
        </is>
      </c>
      <c r="E1267" t="inlineStr">
        <is>
          <t>email</t>
        </is>
      </c>
      <c r="F1267">
        <f>IFERROR(MATCH(A1267,Deals!$A$2:$A$843,0),"")</f>
        <v/>
      </c>
      <c r="G1267">
        <f>IF(F1267="",0,1)</f>
        <v/>
      </c>
      <c r="H1267" s="29">
        <f>IF(F1267="","",INDEX(Deals!$E$2:$E$843,F1267))</f>
        <v/>
      </c>
      <c r="I1267">
        <f>IF(F1267="","",INDEX(Deals!$D$2:$D$843,F1267))</f>
        <v/>
      </c>
      <c r="J1267">
        <f>IF(F1267="","",INT(H1267)-B1267)</f>
        <v/>
      </c>
      <c r="K1267">
        <f>IF(B1267&gt;=Settings!$C$5,1,0)</f>
        <v/>
      </c>
    </row>
    <row r="1268">
      <c r="A1268" t="inlineStr">
        <is>
          <t>64cde8cf262a59edacc95c80bd01d695</t>
        </is>
      </c>
      <c r="B1268" s="29" t="n">
        <v>43222</v>
      </c>
      <c r="C1268" t="inlineStr">
        <is>
          <t>2018-05</t>
        </is>
      </c>
      <c r="D1268" t="inlineStr">
        <is>
          <t>58326e62183c14b0c03085c33b9fdc44</t>
        </is>
      </c>
      <c r="E1268" t="inlineStr">
        <is>
          <t>social</t>
        </is>
      </c>
      <c r="F1268">
        <f>IFERROR(MATCH(A1268,Deals!$A$2:$A$843,0),"")</f>
        <v/>
      </c>
      <c r="G1268">
        <f>IF(F1268="",0,1)</f>
        <v/>
      </c>
      <c r="H1268" s="29">
        <f>IF(F1268="","",INDEX(Deals!$E$2:$E$843,F1268))</f>
        <v/>
      </c>
      <c r="I1268">
        <f>IF(F1268="","",INDEX(Deals!$D$2:$D$843,F1268))</f>
        <v/>
      </c>
      <c r="J1268">
        <f>IF(F1268="","",INT(H1268)-B1268)</f>
        <v/>
      </c>
      <c r="K1268">
        <f>IF(B1268&gt;=Settings!$C$5,1,0)</f>
        <v/>
      </c>
    </row>
    <row r="1269">
      <c r="A1269" t="inlineStr">
        <is>
          <t>03e062d9f92027490903f1d2a49da9b9</t>
        </is>
      </c>
      <c r="B1269" s="29" t="n">
        <v>42997</v>
      </c>
      <c r="C1269" t="inlineStr">
        <is>
          <t>2017-09</t>
        </is>
      </c>
      <c r="D1269" t="inlineStr">
        <is>
          <t>37145c5650a33da9e6b2df70ae1aec80</t>
        </is>
      </c>
      <c r="E1269" t="inlineStr">
        <is>
          <t>other</t>
        </is>
      </c>
      <c r="F1269">
        <f>IFERROR(MATCH(A1269,Deals!$A$2:$A$843,0),"")</f>
        <v/>
      </c>
      <c r="G1269">
        <f>IF(F1269="",0,1)</f>
        <v/>
      </c>
      <c r="H1269" s="29">
        <f>IF(F1269="","",INDEX(Deals!$E$2:$E$843,F1269))</f>
        <v/>
      </c>
      <c r="I1269">
        <f>IF(F1269="","",INDEX(Deals!$D$2:$D$843,F1269))</f>
        <v/>
      </c>
      <c r="J1269">
        <f>IF(F1269="","",INT(H1269)-B1269)</f>
        <v/>
      </c>
      <c r="K1269">
        <f>IF(B1269&gt;=Settings!$C$5,1,0)</f>
        <v/>
      </c>
    </row>
    <row r="1270">
      <c r="A1270" t="inlineStr">
        <is>
          <t>ba8cf349f278c2ae7f53ba026389fabd</t>
        </is>
      </c>
      <c r="B1270" s="29" t="n">
        <v>43180</v>
      </c>
      <c r="C1270" t="inlineStr">
        <is>
          <t>2018-03</t>
        </is>
      </c>
      <c r="D1270" t="inlineStr">
        <is>
          <t>22c29808c4f815213303f8933030604c</t>
        </is>
      </c>
      <c r="E1270" t="inlineStr">
        <is>
          <t>organic_search</t>
        </is>
      </c>
      <c r="F1270">
        <f>IFERROR(MATCH(A1270,Deals!$A$2:$A$843,0),"")</f>
        <v/>
      </c>
      <c r="G1270">
        <f>IF(F1270="",0,1)</f>
        <v/>
      </c>
      <c r="H1270" s="29">
        <f>IF(F1270="","",INDEX(Deals!$E$2:$E$843,F1270))</f>
        <v/>
      </c>
      <c r="I1270">
        <f>IF(F1270="","",INDEX(Deals!$D$2:$D$843,F1270))</f>
        <v/>
      </c>
      <c r="J1270">
        <f>IF(F1270="","",INT(H1270)-B1270)</f>
        <v/>
      </c>
      <c r="K1270">
        <f>IF(B1270&gt;=Settings!$C$5,1,0)</f>
        <v/>
      </c>
    </row>
    <row r="1271">
      <c r="A1271" t="inlineStr">
        <is>
          <t>22dc3a0418ae1b9b41c4daa7b9631559</t>
        </is>
      </c>
      <c r="B1271" s="29" t="n">
        <v>43209</v>
      </c>
      <c r="C1271" t="inlineStr">
        <is>
          <t>2018-04</t>
        </is>
      </c>
      <c r="D1271" t="inlineStr">
        <is>
          <t>33009ff58323b15ce24eba767675f434</t>
        </is>
      </c>
      <c r="E1271" t="inlineStr">
        <is>
          <t>paid_search</t>
        </is>
      </c>
      <c r="F1271">
        <f>IFERROR(MATCH(A1271,Deals!$A$2:$A$843,0),"")</f>
        <v/>
      </c>
      <c r="G1271">
        <f>IF(F1271="",0,1)</f>
        <v/>
      </c>
      <c r="H1271" s="29">
        <f>IF(F1271="","",INDEX(Deals!$E$2:$E$843,F1271))</f>
        <v/>
      </c>
      <c r="I1271">
        <f>IF(F1271="","",INDEX(Deals!$D$2:$D$843,F1271))</f>
        <v/>
      </c>
      <c r="J1271">
        <f>IF(F1271="","",INT(H1271)-B1271)</f>
        <v/>
      </c>
      <c r="K1271">
        <f>IF(B1271&gt;=Settings!$C$5,1,0)</f>
        <v/>
      </c>
    </row>
    <row r="1272">
      <c r="A1272" t="inlineStr">
        <is>
          <t>fc0a87e43ede1f423412583293815598</t>
        </is>
      </c>
      <c r="B1272" s="29" t="n">
        <v>43236</v>
      </c>
      <c r="C1272" t="inlineStr">
        <is>
          <t>2018-05</t>
        </is>
      </c>
      <c r="D1272" t="inlineStr">
        <is>
          <t>22c29808c4f815213303f8933030604c</t>
        </is>
      </c>
      <c r="E1272" t="inlineStr">
        <is>
          <t>referral</t>
        </is>
      </c>
      <c r="F1272">
        <f>IFERROR(MATCH(A1272,Deals!$A$2:$A$843,0),"")</f>
        <v/>
      </c>
      <c r="G1272">
        <f>IF(F1272="",0,1)</f>
        <v/>
      </c>
      <c r="H1272" s="29">
        <f>IF(F1272="","",INDEX(Deals!$E$2:$E$843,F1272))</f>
        <v/>
      </c>
      <c r="I1272">
        <f>IF(F1272="","",INDEX(Deals!$D$2:$D$843,F1272))</f>
        <v/>
      </c>
      <c r="J1272">
        <f>IF(F1272="","",INT(H1272)-B1272)</f>
        <v/>
      </c>
      <c r="K1272">
        <f>IF(B1272&gt;=Settings!$C$5,1,0)</f>
        <v/>
      </c>
    </row>
    <row r="1273">
      <c r="A1273" t="inlineStr">
        <is>
          <t>5b47e496430dde1ee7c597dca0e2f57d</t>
        </is>
      </c>
      <c r="B1273" s="29" t="n">
        <v>42979</v>
      </c>
      <c r="C1273" t="inlineStr">
        <is>
          <t>2017-09</t>
        </is>
      </c>
      <c r="D1273" t="inlineStr">
        <is>
          <t>f017be4dbf86243af5c1ebed0cff36a2</t>
        </is>
      </c>
      <c r="E1273" t="inlineStr">
        <is>
          <t>organic_search</t>
        </is>
      </c>
      <c r="F1273">
        <f>IFERROR(MATCH(A1273,Deals!$A$2:$A$843,0),"")</f>
        <v/>
      </c>
      <c r="G1273">
        <f>IF(F1273="",0,1)</f>
        <v/>
      </c>
      <c r="H1273" s="29">
        <f>IF(F1273="","",INDEX(Deals!$E$2:$E$843,F1273))</f>
        <v/>
      </c>
      <c r="I1273">
        <f>IF(F1273="","",INDEX(Deals!$D$2:$D$843,F1273))</f>
        <v/>
      </c>
      <c r="J1273">
        <f>IF(F1273="","",INT(H1273)-B1273)</f>
        <v/>
      </c>
      <c r="K1273">
        <f>IF(B1273&gt;=Settings!$C$5,1,0)</f>
        <v/>
      </c>
    </row>
    <row r="1274">
      <c r="A1274" t="inlineStr">
        <is>
          <t>034ad1009c15040d586713e9767b22e9</t>
        </is>
      </c>
      <c r="B1274" s="29" t="n">
        <v>43208</v>
      </c>
      <c r="C1274" t="inlineStr">
        <is>
          <t>2018-04</t>
        </is>
      </c>
      <c r="D1274" t="inlineStr">
        <is>
          <t>e492ee5eaf1697716985cc6f33f9cd9b</t>
        </is>
      </c>
      <c r="E1274" t="inlineStr">
        <is>
          <t>organic_search</t>
        </is>
      </c>
      <c r="F1274">
        <f>IFERROR(MATCH(A1274,Deals!$A$2:$A$843,0),"")</f>
        <v/>
      </c>
      <c r="G1274">
        <f>IF(F1274="",0,1)</f>
        <v/>
      </c>
      <c r="H1274" s="29">
        <f>IF(F1274="","",INDEX(Deals!$E$2:$E$843,F1274))</f>
        <v/>
      </c>
      <c r="I1274">
        <f>IF(F1274="","",INDEX(Deals!$D$2:$D$843,F1274))</f>
        <v/>
      </c>
      <c r="J1274">
        <f>IF(F1274="","",INT(H1274)-B1274)</f>
        <v/>
      </c>
      <c r="K1274">
        <f>IF(B1274&gt;=Settings!$C$5,1,0)</f>
        <v/>
      </c>
    </row>
    <row r="1275">
      <c r="A1275" t="inlineStr">
        <is>
          <t>e7f30b2ee908f3fc9719f2138c74e22d</t>
        </is>
      </c>
      <c r="B1275" s="29" t="n">
        <v>43200</v>
      </c>
      <c r="C1275" t="inlineStr">
        <is>
          <t>2018-04</t>
        </is>
      </c>
      <c r="D1275" t="inlineStr">
        <is>
          <t>58326e62183c14b0c03085c33b9fdc44</t>
        </is>
      </c>
      <c r="E1275" t="inlineStr">
        <is>
          <t>direct_traffic</t>
        </is>
      </c>
      <c r="F1275">
        <f>IFERROR(MATCH(A1275,Deals!$A$2:$A$843,0),"")</f>
        <v/>
      </c>
      <c r="G1275">
        <f>IF(F1275="",0,1)</f>
        <v/>
      </c>
      <c r="H1275" s="29">
        <f>IF(F1275="","",INDEX(Deals!$E$2:$E$843,F1275))</f>
        <v/>
      </c>
      <c r="I1275">
        <f>IF(F1275="","",INDEX(Deals!$D$2:$D$843,F1275))</f>
        <v/>
      </c>
      <c r="J1275">
        <f>IF(F1275="","",INT(H1275)-B1275)</f>
        <v/>
      </c>
      <c r="K1275">
        <f>IF(B1275&gt;=Settings!$C$5,1,0)</f>
        <v/>
      </c>
    </row>
    <row r="1276">
      <c r="A1276" t="inlineStr">
        <is>
          <t>f6801344efb60733a858ec32ba0ed303</t>
        </is>
      </c>
      <c r="B1276" s="29" t="n">
        <v>43134</v>
      </c>
      <c r="C1276" t="inlineStr">
        <is>
          <t>2018-02</t>
        </is>
      </c>
      <c r="D1276" t="inlineStr">
        <is>
          <t>88740e65d5d6b056e0cda098e1ea6313</t>
        </is>
      </c>
      <c r="E1276" t="inlineStr">
        <is>
          <t>social</t>
        </is>
      </c>
      <c r="F1276">
        <f>IFERROR(MATCH(A1276,Deals!$A$2:$A$843,0),"")</f>
        <v/>
      </c>
      <c r="G1276">
        <f>IF(F1276="",0,1)</f>
        <v/>
      </c>
      <c r="H1276" s="29">
        <f>IF(F1276="","",INDEX(Deals!$E$2:$E$843,F1276))</f>
        <v/>
      </c>
      <c r="I1276">
        <f>IF(F1276="","",INDEX(Deals!$D$2:$D$843,F1276))</f>
        <v/>
      </c>
      <c r="J1276">
        <f>IF(F1276="","",INT(H1276)-B1276)</f>
        <v/>
      </c>
      <c r="K1276">
        <f>IF(B1276&gt;=Settings!$C$5,1,0)</f>
        <v/>
      </c>
    </row>
    <row r="1277">
      <c r="A1277" t="inlineStr">
        <is>
          <t>a4341fcef6be79ddfce70d3fde3b983a</t>
        </is>
      </c>
      <c r="B1277" s="29" t="n">
        <v>43195</v>
      </c>
      <c r="C1277" t="inlineStr">
        <is>
          <t>2018-04</t>
        </is>
      </c>
      <c r="D1277" t="inlineStr">
        <is>
          <t>58326e62183c14b0c03085c33b9fdc44</t>
        </is>
      </c>
      <c r="E1277" t="inlineStr">
        <is>
          <t>social</t>
        </is>
      </c>
      <c r="F1277">
        <f>IFERROR(MATCH(A1277,Deals!$A$2:$A$843,0),"")</f>
        <v/>
      </c>
      <c r="G1277">
        <f>IF(F1277="",0,1)</f>
        <v/>
      </c>
      <c r="H1277" s="29">
        <f>IF(F1277="","",INDEX(Deals!$E$2:$E$843,F1277))</f>
        <v/>
      </c>
      <c r="I1277">
        <f>IF(F1277="","",INDEX(Deals!$D$2:$D$843,F1277))</f>
        <v/>
      </c>
      <c r="J1277">
        <f>IF(F1277="","",INT(H1277)-B1277)</f>
        <v/>
      </c>
      <c r="K1277">
        <f>IF(B1277&gt;=Settings!$C$5,1,0)</f>
        <v/>
      </c>
    </row>
    <row r="1278">
      <c r="A1278" t="inlineStr">
        <is>
          <t>57648ec099f2451be828fb2e27d8f46a</t>
        </is>
      </c>
      <c r="B1278" s="29" t="n">
        <v>43198</v>
      </c>
      <c r="C1278" t="inlineStr">
        <is>
          <t>2018-04</t>
        </is>
      </c>
      <c r="D1278" t="inlineStr">
        <is>
          <t>58326e62183c14b0c03085c33b9fdc44</t>
        </is>
      </c>
      <c r="E1278" t="inlineStr">
        <is>
          <t>social</t>
        </is>
      </c>
      <c r="F1278">
        <f>IFERROR(MATCH(A1278,Deals!$A$2:$A$843,0),"")</f>
        <v/>
      </c>
      <c r="G1278">
        <f>IF(F1278="",0,1)</f>
        <v/>
      </c>
      <c r="H1278" s="29">
        <f>IF(F1278="","",INDEX(Deals!$E$2:$E$843,F1278))</f>
        <v/>
      </c>
      <c r="I1278">
        <f>IF(F1278="","",INDEX(Deals!$D$2:$D$843,F1278))</f>
        <v/>
      </c>
      <c r="J1278">
        <f>IF(F1278="","",INT(H1278)-B1278)</f>
        <v/>
      </c>
      <c r="K1278">
        <f>IF(B1278&gt;=Settings!$C$5,1,0)</f>
        <v/>
      </c>
    </row>
    <row r="1279">
      <c r="A1279" t="inlineStr">
        <is>
          <t>23d2344c1a6d528710e9158a3f94a7da</t>
        </is>
      </c>
      <c r="B1279" s="29" t="n">
        <v>43235</v>
      </c>
      <c r="C1279" t="inlineStr">
        <is>
          <t>2018-05</t>
        </is>
      </c>
      <c r="D1279" t="inlineStr">
        <is>
          <t>42a2a1be58277f162c18bad69bcc544f</t>
        </is>
      </c>
      <c r="E1279" t="inlineStr">
        <is>
          <t>paid_search</t>
        </is>
      </c>
      <c r="F1279">
        <f>IFERROR(MATCH(A1279,Deals!$A$2:$A$843,0),"")</f>
        <v/>
      </c>
      <c r="G1279">
        <f>IF(F1279="",0,1)</f>
        <v/>
      </c>
      <c r="H1279" s="29">
        <f>IF(F1279="","",INDEX(Deals!$E$2:$E$843,F1279))</f>
        <v/>
      </c>
      <c r="I1279">
        <f>IF(F1279="","",INDEX(Deals!$D$2:$D$843,F1279))</f>
        <v/>
      </c>
      <c r="J1279">
        <f>IF(F1279="","",INT(H1279)-B1279)</f>
        <v/>
      </c>
      <c r="K1279">
        <f>IF(B1279&gt;=Settings!$C$5,1,0)</f>
        <v/>
      </c>
    </row>
    <row r="1280">
      <c r="A1280" t="inlineStr">
        <is>
          <t>10b2355028c81201ed2683c02ba493f2</t>
        </is>
      </c>
      <c r="B1280" s="29" t="n">
        <v>43131</v>
      </c>
      <c r="C1280" t="inlineStr">
        <is>
          <t>2018-01</t>
        </is>
      </c>
      <c r="D1280" t="inlineStr">
        <is>
          <t>15cf89bab2c3163b4f9d8601d108f8b2</t>
        </is>
      </c>
      <c r="E1280" t="inlineStr">
        <is>
          <t>organic_search</t>
        </is>
      </c>
      <c r="F1280">
        <f>IFERROR(MATCH(A1280,Deals!$A$2:$A$843,0),"")</f>
        <v/>
      </c>
      <c r="G1280">
        <f>IF(F1280="",0,1)</f>
        <v/>
      </c>
      <c r="H1280" s="29">
        <f>IF(F1280="","",INDEX(Deals!$E$2:$E$843,F1280))</f>
        <v/>
      </c>
      <c r="I1280">
        <f>IF(F1280="","",INDEX(Deals!$D$2:$D$843,F1280))</f>
        <v/>
      </c>
      <c r="J1280">
        <f>IF(F1280="","",INT(H1280)-B1280)</f>
        <v/>
      </c>
      <c r="K1280">
        <f>IF(B1280&gt;=Settings!$C$5,1,0)</f>
        <v/>
      </c>
    </row>
    <row r="1281">
      <c r="A1281" t="inlineStr">
        <is>
          <t>014cec6ea89e4bfbcb911f6845a96d55</t>
        </is>
      </c>
      <c r="B1281" s="29" t="n">
        <v>43195</v>
      </c>
      <c r="C1281" t="inlineStr">
        <is>
          <t>2018-04</t>
        </is>
      </c>
      <c r="D1281" t="inlineStr">
        <is>
          <t>4c4b6da00763e942beb82e36b58d4118</t>
        </is>
      </c>
      <c r="E1281" t="inlineStr">
        <is>
          <t>unknown</t>
        </is>
      </c>
      <c r="F1281">
        <f>IFERROR(MATCH(A1281,Deals!$A$2:$A$843,0),"")</f>
        <v/>
      </c>
      <c r="G1281">
        <f>IF(F1281="",0,1)</f>
        <v/>
      </c>
      <c r="H1281" s="29">
        <f>IF(F1281="","",INDEX(Deals!$E$2:$E$843,F1281))</f>
        <v/>
      </c>
      <c r="I1281">
        <f>IF(F1281="","",INDEX(Deals!$D$2:$D$843,F1281))</f>
        <v/>
      </c>
      <c r="J1281">
        <f>IF(F1281="","",INT(H1281)-B1281)</f>
        <v/>
      </c>
      <c r="K1281">
        <f>IF(B1281&gt;=Settings!$C$5,1,0)</f>
        <v/>
      </c>
    </row>
    <row r="1282">
      <c r="A1282" t="inlineStr">
        <is>
          <t>b268182ba1837c8c79d103af94135f32</t>
        </is>
      </c>
      <c r="B1282" s="29" t="n">
        <v>43199</v>
      </c>
      <c r="C1282" t="inlineStr">
        <is>
          <t>2018-04</t>
        </is>
      </c>
      <c r="D1282" t="inlineStr">
        <is>
          <t>22c29808c4f815213303f8933030604c</t>
        </is>
      </c>
      <c r="E1282" t="inlineStr">
        <is>
          <t>organic_search</t>
        </is>
      </c>
      <c r="F1282">
        <f>IFERROR(MATCH(A1282,Deals!$A$2:$A$843,0),"")</f>
        <v/>
      </c>
      <c r="G1282">
        <f>IF(F1282="",0,1)</f>
        <v/>
      </c>
      <c r="H1282" s="29">
        <f>IF(F1282="","",INDEX(Deals!$E$2:$E$843,F1282))</f>
        <v/>
      </c>
      <c r="I1282">
        <f>IF(F1282="","",INDEX(Deals!$D$2:$D$843,F1282))</f>
        <v/>
      </c>
      <c r="J1282">
        <f>IF(F1282="","",INT(H1282)-B1282)</f>
        <v/>
      </c>
      <c r="K1282">
        <f>IF(B1282&gt;=Settings!$C$5,1,0)</f>
        <v/>
      </c>
    </row>
    <row r="1283">
      <c r="A1283" t="inlineStr">
        <is>
          <t>d768d7e09a6f9ff4146a1659635cf304</t>
        </is>
      </c>
      <c r="B1283" s="29" t="n">
        <v>43063</v>
      </c>
      <c r="C1283" t="inlineStr">
        <is>
          <t>2017-11</t>
        </is>
      </c>
      <c r="D1283" t="inlineStr">
        <is>
          <t>b76ef37428e6799c421989521c0e5077</t>
        </is>
      </c>
      <c r="E1283" t="inlineStr">
        <is>
          <t>unknown</t>
        </is>
      </c>
      <c r="F1283">
        <f>IFERROR(MATCH(A1283,Deals!$A$2:$A$843,0),"")</f>
        <v/>
      </c>
      <c r="G1283">
        <f>IF(F1283="",0,1)</f>
        <v/>
      </c>
      <c r="H1283" s="29">
        <f>IF(F1283="","",INDEX(Deals!$E$2:$E$843,F1283))</f>
        <v/>
      </c>
      <c r="I1283">
        <f>IF(F1283="","",INDEX(Deals!$D$2:$D$843,F1283))</f>
        <v/>
      </c>
      <c r="J1283">
        <f>IF(F1283="","",INT(H1283)-B1283)</f>
        <v/>
      </c>
      <c r="K1283">
        <f>IF(B1283&gt;=Settings!$C$5,1,0)</f>
        <v/>
      </c>
    </row>
    <row r="1284">
      <c r="A1284" t="inlineStr">
        <is>
          <t>b5dd47c64325d785f755854b8c28a948</t>
        </is>
      </c>
      <c r="B1284" s="29" t="n">
        <v>43230</v>
      </c>
      <c r="C1284" t="inlineStr">
        <is>
          <t>2018-05</t>
        </is>
      </c>
      <c r="D1284" t="inlineStr">
        <is>
          <t>3e2dbc66617ded5ca6a69bdb3a354d4a</t>
        </is>
      </c>
      <c r="E1284" t="inlineStr">
        <is>
          <t>other</t>
        </is>
      </c>
      <c r="F1284">
        <f>IFERROR(MATCH(A1284,Deals!$A$2:$A$843,0),"")</f>
        <v/>
      </c>
      <c r="G1284">
        <f>IF(F1284="",0,1)</f>
        <v/>
      </c>
      <c r="H1284" s="29">
        <f>IF(F1284="","",INDEX(Deals!$E$2:$E$843,F1284))</f>
        <v/>
      </c>
      <c r="I1284">
        <f>IF(F1284="","",INDEX(Deals!$D$2:$D$843,F1284))</f>
        <v/>
      </c>
      <c r="J1284">
        <f>IF(F1284="","",INT(H1284)-B1284)</f>
        <v/>
      </c>
      <c r="K1284">
        <f>IF(B1284&gt;=Settings!$C$5,1,0)</f>
        <v/>
      </c>
    </row>
    <row r="1285">
      <c r="A1285" t="inlineStr">
        <is>
          <t>cdb36ea731ecf2d69881eaff7220b10e</t>
        </is>
      </c>
      <c r="B1285" s="29" t="n">
        <v>43027</v>
      </c>
      <c r="C1285" t="inlineStr">
        <is>
          <t>2017-10</t>
        </is>
      </c>
      <c r="D1285" t="inlineStr">
        <is>
          <t>5c6c41289f4d77b9b32fb6a5e2106edb</t>
        </is>
      </c>
      <c r="E1285" t="inlineStr">
        <is>
          <t>paid_search</t>
        </is>
      </c>
      <c r="F1285">
        <f>IFERROR(MATCH(A1285,Deals!$A$2:$A$843,0),"")</f>
        <v/>
      </c>
      <c r="G1285">
        <f>IF(F1285="",0,1)</f>
        <v/>
      </c>
      <c r="H1285" s="29">
        <f>IF(F1285="","",INDEX(Deals!$E$2:$E$843,F1285))</f>
        <v/>
      </c>
      <c r="I1285">
        <f>IF(F1285="","",INDEX(Deals!$D$2:$D$843,F1285))</f>
        <v/>
      </c>
      <c r="J1285">
        <f>IF(F1285="","",INT(H1285)-B1285)</f>
        <v/>
      </c>
      <c r="K1285">
        <f>IF(B1285&gt;=Settings!$C$5,1,0)</f>
        <v/>
      </c>
    </row>
    <row r="1286">
      <c r="A1286" t="inlineStr">
        <is>
          <t>16a03951c3f152970a6ff4b315a28e7e</t>
        </is>
      </c>
      <c r="B1286" s="29" t="n">
        <v>43156</v>
      </c>
      <c r="C1286" t="inlineStr">
        <is>
          <t>2018-02</t>
        </is>
      </c>
      <c r="D1286" t="inlineStr">
        <is>
          <t>ce1a65abd0973638f1c887a6efcfa82d</t>
        </is>
      </c>
      <c r="E1286" t="inlineStr">
        <is>
          <t>organic_search</t>
        </is>
      </c>
      <c r="F1286">
        <f>IFERROR(MATCH(A1286,Deals!$A$2:$A$843,0),"")</f>
        <v/>
      </c>
      <c r="G1286">
        <f>IF(F1286="",0,1)</f>
        <v/>
      </c>
      <c r="H1286" s="29">
        <f>IF(F1286="","",INDEX(Deals!$E$2:$E$843,F1286))</f>
        <v/>
      </c>
      <c r="I1286">
        <f>IF(F1286="","",INDEX(Deals!$D$2:$D$843,F1286))</f>
        <v/>
      </c>
      <c r="J1286">
        <f>IF(F1286="","",INT(H1286)-B1286)</f>
        <v/>
      </c>
      <c r="K1286">
        <f>IF(B1286&gt;=Settings!$C$5,1,0)</f>
        <v/>
      </c>
    </row>
    <row r="1287">
      <c r="A1287" t="inlineStr">
        <is>
          <t>af074edfb4940be0ed1d4fcfc4ea0dee</t>
        </is>
      </c>
      <c r="B1287" s="29" t="n">
        <v>42947</v>
      </c>
      <c r="C1287" t="inlineStr">
        <is>
          <t>2017-07</t>
        </is>
      </c>
      <c r="D1287" t="inlineStr">
        <is>
          <t>3b86d7e8c33da2767ad2af9782f383d5</t>
        </is>
      </c>
      <c r="E1287" t="inlineStr">
        <is>
          <t>organic_search</t>
        </is>
      </c>
      <c r="F1287">
        <f>IFERROR(MATCH(A1287,Deals!$A$2:$A$843,0),"")</f>
        <v/>
      </c>
      <c r="G1287">
        <f>IF(F1287="",0,1)</f>
        <v/>
      </c>
      <c r="H1287" s="29">
        <f>IF(F1287="","",INDEX(Deals!$E$2:$E$843,F1287))</f>
        <v/>
      </c>
      <c r="I1287">
        <f>IF(F1287="","",INDEX(Deals!$D$2:$D$843,F1287))</f>
        <v/>
      </c>
      <c r="J1287">
        <f>IF(F1287="","",INT(H1287)-B1287)</f>
        <v/>
      </c>
      <c r="K1287">
        <f>IF(B1287&gt;=Settings!$C$5,1,0)</f>
        <v/>
      </c>
    </row>
    <row r="1288">
      <c r="A1288" t="inlineStr">
        <is>
          <t>670fb2f689bec017e618ab7ec99c2308</t>
        </is>
      </c>
      <c r="B1288" s="29" t="n">
        <v>43146</v>
      </c>
      <c r="C1288" t="inlineStr">
        <is>
          <t>2018-02</t>
        </is>
      </c>
      <c r="D1288" t="inlineStr">
        <is>
          <t>f017be4dbf86243af5c1ebed0cff36a2</t>
        </is>
      </c>
      <c r="E1288" t="inlineStr">
        <is>
          <t>social</t>
        </is>
      </c>
      <c r="F1288">
        <f>IFERROR(MATCH(A1288,Deals!$A$2:$A$843,0),"")</f>
        <v/>
      </c>
      <c r="G1288">
        <f>IF(F1288="",0,1)</f>
        <v/>
      </c>
      <c r="H1288" s="29">
        <f>IF(F1288="","",INDEX(Deals!$E$2:$E$843,F1288))</f>
        <v/>
      </c>
      <c r="I1288">
        <f>IF(F1288="","",INDEX(Deals!$D$2:$D$843,F1288))</f>
        <v/>
      </c>
      <c r="J1288">
        <f>IF(F1288="","",INT(H1288)-B1288)</f>
        <v/>
      </c>
      <c r="K1288">
        <f>IF(B1288&gt;=Settings!$C$5,1,0)</f>
        <v/>
      </c>
    </row>
    <row r="1289">
      <c r="A1289" t="inlineStr">
        <is>
          <t>08595f8fdc4d9277fe34eea07a003e50</t>
        </is>
      </c>
      <c r="B1289" s="29" t="n">
        <v>43109</v>
      </c>
      <c r="C1289" t="inlineStr">
        <is>
          <t>2018-01</t>
        </is>
      </c>
      <c r="D1289" t="inlineStr">
        <is>
          <t>99b00c6e27db383d844d1763dbcbfe06</t>
        </is>
      </c>
      <c r="E1289" t="inlineStr">
        <is>
          <t>direct_traffic</t>
        </is>
      </c>
      <c r="F1289">
        <f>IFERROR(MATCH(A1289,Deals!$A$2:$A$843,0),"")</f>
        <v/>
      </c>
      <c r="G1289">
        <f>IF(F1289="",0,1)</f>
        <v/>
      </c>
      <c r="H1289" s="29">
        <f>IF(F1289="","",INDEX(Deals!$E$2:$E$843,F1289))</f>
        <v/>
      </c>
      <c r="I1289">
        <f>IF(F1289="","",INDEX(Deals!$D$2:$D$843,F1289))</f>
        <v/>
      </c>
      <c r="J1289">
        <f>IF(F1289="","",INT(H1289)-B1289)</f>
        <v/>
      </c>
      <c r="K1289">
        <f>IF(B1289&gt;=Settings!$C$5,1,0)</f>
        <v/>
      </c>
    </row>
    <row r="1290">
      <c r="A1290" t="inlineStr">
        <is>
          <t>62529639638003e5fb5dbd6ae08d1e7b</t>
        </is>
      </c>
      <c r="B1290" s="29" t="n">
        <v>43145</v>
      </c>
      <c r="C1290" t="inlineStr">
        <is>
          <t>2018-02</t>
        </is>
      </c>
      <c r="D1290" t="inlineStr">
        <is>
          <t>40dec9f3d5259a3d2dbcdab2114fae47</t>
        </is>
      </c>
      <c r="E1290" t="inlineStr">
        <is>
          <t>paid_search</t>
        </is>
      </c>
      <c r="F1290">
        <f>IFERROR(MATCH(A1290,Deals!$A$2:$A$843,0),"")</f>
        <v/>
      </c>
      <c r="G1290">
        <f>IF(F1290="",0,1)</f>
        <v/>
      </c>
      <c r="H1290" s="29">
        <f>IF(F1290="","",INDEX(Deals!$E$2:$E$843,F1290))</f>
        <v/>
      </c>
      <c r="I1290">
        <f>IF(F1290="","",INDEX(Deals!$D$2:$D$843,F1290))</f>
        <v/>
      </c>
      <c r="J1290">
        <f>IF(F1290="","",INT(H1290)-B1290)</f>
        <v/>
      </c>
      <c r="K1290">
        <f>IF(B1290&gt;=Settings!$C$5,1,0)</f>
        <v/>
      </c>
    </row>
    <row r="1291">
      <c r="A1291" t="inlineStr">
        <is>
          <t>591d38180c9c6ab36c6d366201a3b7e1</t>
        </is>
      </c>
      <c r="B1291" s="29" t="n">
        <v>43100</v>
      </c>
      <c r="C1291" t="inlineStr">
        <is>
          <t>2017-12</t>
        </is>
      </c>
      <c r="D1291" t="inlineStr">
        <is>
          <t>649b7b8b46b254497e92038d88f6ced8</t>
        </is>
      </c>
      <c r="E1291" t="inlineStr">
        <is>
          <t>social</t>
        </is>
      </c>
      <c r="F1291">
        <f>IFERROR(MATCH(A1291,Deals!$A$2:$A$843,0),"")</f>
        <v/>
      </c>
      <c r="G1291">
        <f>IF(F1291="",0,1)</f>
        <v/>
      </c>
      <c r="H1291" s="29">
        <f>IF(F1291="","",INDEX(Deals!$E$2:$E$843,F1291))</f>
        <v/>
      </c>
      <c r="I1291">
        <f>IF(F1291="","",INDEX(Deals!$D$2:$D$843,F1291))</f>
        <v/>
      </c>
      <c r="J1291">
        <f>IF(F1291="","",INT(H1291)-B1291)</f>
        <v/>
      </c>
      <c r="K1291">
        <f>IF(B1291&gt;=Settings!$C$5,1,0)</f>
        <v/>
      </c>
    </row>
    <row r="1292">
      <c r="A1292" t="inlineStr">
        <is>
          <t>6d40ec3be79e2666c5449e768c0bc509</t>
        </is>
      </c>
      <c r="B1292" s="29" t="n">
        <v>43126</v>
      </c>
      <c r="C1292" t="inlineStr">
        <is>
          <t>2018-01</t>
        </is>
      </c>
      <c r="D1292" t="inlineStr">
        <is>
          <t>e492ee5eaf1697716985cc6f33f9cd9b</t>
        </is>
      </c>
      <c r="E1292" t="inlineStr">
        <is>
          <t>other</t>
        </is>
      </c>
      <c r="F1292">
        <f>IFERROR(MATCH(A1292,Deals!$A$2:$A$843,0),"")</f>
        <v/>
      </c>
      <c r="G1292">
        <f>IF(F1292="",0,1)</f>
        <v/>
      </c>
      <c r="H1292" s="29">
        <f>IF(F1292="","",INDEX(Deals!$E$2:$E$843,F1292))</f>
        <v/>
      </c>
      <c r="I1292">
        <f>IF(F1292="","",INDEX(Deals!$D$2:$D$843,F1292))</f>
        <v/>
      </c>
      <c r="J1292">
        <f>IF(F1292="","",INT(H1292)-B1292)</f>
        <v/>
      </c>
      <c r="K1292">
        <f>IF(B1292&gt;=Settings!$C$5,1,0)</f>
        <v/>
      </c>
    </row>
    <row r="1293">
      <c r="A1293" t="inlineStr">
        <is>
          <t>0c1c9108bc4c6e9481e2d35b168dfd87</t>
        </is>
      </c>
      <c r="B1293" s="29" t="n">
        <v>43200</v>
      </c>
      <c r="C1293" t="inlineStr">
        <is>
          <t>2018-04</t>
        </is>
      </c>
      <c r="D1293" t="inlineStr">
        <is>
          <t>b76ef37428e6799c421989521c0e5077</t>
        </is>
      </c>
      <c r="E1293" t="inlineStr">
        <is>
          <t>organic_search</t>
        </is>
      </c>
      <c r="F1293">
        <f>IFERROR(MATCH(A1293,Deals!$A$2:$A$843,0),"")</f>
        <v/>
      </c>
      <c r="G1293">
        <f>IF(F1293="",0,1)</f>
        <v/>
      </c>
      <c r="H1293" s="29">
        <f>IF(F1293="","",INDEX(Deals!$E$2:$E$843,F1293))</f>
        <v/>
      </c>
      <c r="I1293">
        <f>IF(F1293="","",INDEX(Deals!$D$2:$D$843,F1293))</f>
        <v/>
      </c>
      <c r="J1293">
        <f>IF(F1293="","",INT(H1293)-B1293)</f>
        <v/>
      </c>
      <c r="K1293">
        <f>IF(B1293&gt;=Settings!$C$5,1,0)</f>
        <v/>
      </c>
    </row>
    <row r="1294">
      <c r="A1294" t="inlineStr">
        <is>
          <t>82e1587f735a37b09af996eda1610bda</t>
        </is>
      </c>
      <c r="B1294" s="29" t="n">
        <v>43121</v>
      </c>
      <c r="C1294" t="inlineStr">
        <is>
          <t>2018-01</t>
        </is>
      </c>
      <c r="D1294" t="inlineStr">
        <is>
          <t>f017be4dbf86243af5c1ebed0cff36a2</t>
        </is>
      </c>
      <c r="E1294" t="inlineStr">
        <is>
          <t>unknown</t>
        </is>
      </c>
      <c r="F1294">
        <f>IFERROR(MATCH(A1294,Deals!$A$2:$A$843,0),"")</f>
        <v/>
      </c>
      <c r="G1294">
        <f>IF(F1294="",0,1)</f>
        <v/>
      </c>
      <c r="H1294" s="29">
        <f>IF(F1294="","",INDEX(Deals!$E$2:$E$843,F1294))</f>
        <v/>
      </c>
      <c r="I1294">
        <f>IF(F1294="","",INDEX(Deals!$D$2:$D$843,F1294))</f>
        <v/>
      </c>
      <c r="J1294">
        <f>IF(F1294="","",INT(H1294)-B1294)</f>
        <v/>
      </c>
      <c r="K1294">
        <f>IF(B1294&gt;=Settings!$C$5,1,0)</f>
        <v/>
      </c>
    </row>
    <row r="1295">
      <c r="A1295" t="inlineStr">
        <is>
          <t>e0a0a80333d75c4728e228b869e94579</t>
        </is>
      </c>
      <c r="B1295" s="29" t="n">
        <v>43172</v>
      </c>
      <c r="C1295" t="inlineStr">
        <is>
          <t>2018-03</t>
        </is>
      </c>
      <c r="D1295" t="inlineStr">
        <is>
          <t>73f31a40697cc90a86c1273563ac230e</t>
        </is>
      </c>
      <c r="E1295" t="inlineStr">
        <is>
          <t>referral</t>
        </is>
      </c>
      <c r="F1295">
        <f>IFERROR(MATCH(A1295,Deals!$A$2:$A$843,0),"")</f>
        <v/>
      </c>
      <c r="G1295">
        <f>IF(F1295="",0,1)</f>
        <v/>
      </c>
      <c r="H1295" s="29">
        <f>IF(F1295="","",INDEX(Deals!$E$2:$E$843,F1295))</f>
        <v/>
      </c>
      <c r="I1295">
        <f>IF(F1295="","",INDEX(Deals!$D$2:$D$843,F1295))</f>
        <v/>
      </c>
      <c r="J1295">
        <f>IF(F1295="","",INT(H1295)-B1295)</f>
        <v/>
      </c>
      <c r="K1295">
        <f>IF(B1295&gt;=Settings!$C$5,1,0)</f>
        <v/>
      </c>
    </row>
    <row r="1296">
      <c r="A1296" t="inlineStr">
        <is>
          <t>5874f1b550c0d4cf4a1774b46b8d5398</t>
        </is>
      </c>
      <c r="B1296" s="29" t="n">
        <v>43217</v>
      </c>
      <c r="C1296" t="inlineStr">
        <is>
          <t>2018-04</t>
        </is>
      </c>
      <c r="D1296" t="inlineStr">
        <is>
          <t>22c29808c4f815213303f8933030604c</t>
        </is>
      </c>
      <c r="E1296" t="inlineStr">
        <is>
          <t>paid_search</t>
        </is>
      </c>
      <c r="F1296">
        <f>IFERROR(MATCH(A1296,Deals!$A$2:$A$843,0),"")</f>
        <v/>
      </c>
      <c r="G1296">
        <f>IF(F1296="",0,1)</f>
        <v/>
      </c>
      <c r="H1296" s="29">
        <f>IF(F1296="","",INDEX(Deals!$E$2:$E$843,F1296))</f>
        <v/>
      </c>
      <c r="I1296">
        <f>IF(F1296="","",INDEX(Deals!$D$2:$D$843,F1296))</f>
        <v/>
      </c>
      <c r="J1296">
        <f>IF(F1296="","",INT(H1296)-B1296)</f>
        <v/>
      </c>
      <c r="K1296">
        <f>IF(B1296&gt;=Settings!$C$5,1,0)</f>
        <v/>
      </c>
    </row>
    <row r="1297">
      <c r="A1297" t="inlineStr">
        <is>
          <t>8de6774e62a2984bc1c5e2dd52ff23ea</t>
        </is>
      </c>
      <c r="B1297" s="29" t="n">
        <v>43215</v>
      </c>
      <c r="C1297" t="inlineStr">
        <is>
          <t>2018-04</t>
        </is>
      </c>
      <c r="D1297" t="inlineStr">
        <is>
          <t>f80696b73d17fb34f5c4fde157f119d8</t>
        </is>
      </c>
      <c r="E1297" t="inlineStr">
        <is>
          <t>unknown</t>
        </is>
      </c>
      <c r="F1297">
        <f>IFERROR(MATCH(A1297,Deals!$A$2:$A$843,0),"")</f>
        <v/>
      </c>
      <c r="G1297">
        <f>IF(F1297="",0,1)</f>
        <v/>
      </c>
      <c r="H1297" s="29">
        <f>IF(F1297="","",INDEX(Deals!$E$2:$E$843,F1297))</f>
        <v/>
      </c>
      <c r="I1297">
        <f>IF(F1297="","",INDEX(Deals!$D$2:$D$843,F1297))</f>
        <v/>
      </c>
      <c r="J1297">
        <f>IF(F1297="","",INT(H1297)-B1297)</f>
        <v/>
      </c>
      <c r="K1297">
        <f>IF(B1297&gt;=Settings!$C$5,1,0)</f>
        <v/>
      </c>
    </row>
    <row r="1298">
      <c r="A1298" t="inlineStr">
        <is>
          <t>06bc22c1b089be523e97524b67084ca0</t>
        </is>
      </c>
      <c r="B1298" s="29" t="n">
        <v>43251</v>
      </c>
      <c r="C1298" t="inlineStr">
        <is>
          <t>2018-05</t>
        </is>
      </c>
      <c r="D1298" t="inlineStr">
        <is>
          <t>b76ef37428e6799c421989521c0e5077</t>
        </is>
      </c>
      <c r="E1298" t="inlineStr">
        <is>
          <t>unknown</t>
        </is>
      </c>
      <c r="F1298">
        <f>IFERROR(MATCH(A1298,Deals!$A$2:$A$843,0),"")</f>
        <v/>
      </c>
      <c r="G1298">
        <f>IF(F1298="",0,1)</f>
        <v/>
      </c>
      <c r="H1298" s="29">
        <f>IF(F1298="","",INDEX(Deals!$E$2:$E$843,F1298))</f>
        <v/>
      </c>
      <c r="I1298">
        <f>IF(F1298="","",INDEX(Deals!$D$2:$D$843,F1298))</f>
        <v/>
      </c>
      <c r="J1298">
        <f>IF(F1298="","",INT(H1298)-B1298)</f>
        <v/>
      </c>
      <c r="K1298">
        <f>IF(B1298&gt;=Settings!$C$5,1,0)</f>
        <v/>
      </c>
    </row>
    <row r="1299">
      <c r="A1299" t="inlineStr">
        <is>
          <t>6544e220e0a1617bde60638f5f764296</t>
        </is>
      </c>
      <c r="B1299" s="29" t="n">
        <v>43222</v>
      </c>
      <c r="C1299" t="inlineStr">
        <is>
          <t>2018-05</t>
        </is>
      </c>
      <c r="D1299" t="inlineStr">
        <is>
          <t>b76ef37428e6799c421989521c0e5077</t>
        </is>
      </c>
      <c r="E1299" t="inlineStr">
        <is>
          <t>unknown</t>
        </is>
      </c>
      <c r="F1299">
        <f>IFERROR(MATCH(A1299,Deals!$A$2:$A$843,0),"")</f>
        <v/>
      </c>
      <c r="G1299">
        <f>IF(F1299="",0,1)</f>
        <v/>
      </c>
      <c r="H1299" s="29">
        <f>IF(F1299="","",INDEX(Deals!$E$2:$E$843,F1299))</f>
        <v/>
      </c>
      <c r="I1299">
        <f>IF(F1299="","",INDEX(Deals!$D$2:$D$843,F1299))</f>
        <v/>
      </c>
      <c r="J1299">
        <f>IF(F1299="","",INT(H1299)-B1299)</f>
        <v/>
      </c>
      <c r="K1299">
        <f>IF(B1299&gt;=Settings!$C$5,1,0)</f>
        <v/>
      </c>
    </row>
    <row r="1300">
      <c r="A1300" t="inlineStr">
        <is>
          <t>11b465ec6e2e00fbe0397fc8f78230d0</t>
        </is>
      </c>
      <c r="B1300" s="29" t="n">
        <v>43110</v>
      </c>
      <c r="C1300" t="inlineStr">
        <is>
          <t>2018-01</t>
        </is>
      </c>
      <c r="D1300" t="inlineStr">
        <is>
          <t>ce1a65abd0973638f1c887a6efcfa82d</t>
        </is>
      </c>
      <c r="E1300" t="inlineStr">
        <is>
          <t>direct_traffic</t>
        </is>
      </c>
      <c r="F1300">
        <f>IFERROR(MATCH(A1300,Deals!$A$2:$A$843,0),"")</f>
        <v/>
      </c>
      <c r="G1300">
        <f>IF(F1300="",0,1)</f>
        <v/>
      </c>
      <c r="H1300" s="29">
        <f>IF(F1300="","",INDEX(Deals!$E$2:$E$843,F1300))</f>
        <v/>
      </c>
      <c r="I1300">
        <f>IF(F1300="","",INDEX(Deals!$D$2:$D$843,F1300))</f>
        <v/>
      </c>
      <c r="J1300">
        <f>IF(F1300="","",INT(H1300)-B1300)</f>
        <v/>
      </c>
      <c r="K1300">
        <f>IF(B1300&gt;=Settings!$C$5,1,0)</f>
        <v/>
      </c>
    </row>
    <row r="1301">
      <c r="A1301" t="inlineStr">
        <is>
          <t>c0de112eab191312c2807dae4ba482b5</t>
        </is>
      </c>
      <c r="B1301" s="29" t="n">
        <v>43200</v>
      </c>
      <c r="C1301" t="inlineStr">
        <is>
          <t>2018-04</t>
        </is>
      </c>
      <c r="D1301" t="inlineStr">
        <is>
          <t>36525851387908b96e770b1ce5d79a43</t>
        </is>
      </c>
      <c r="E1301" t="inlineStr">
        <is>
          <t>paid_search</t>
        </is>
      </c>
      <c r="F1301">
        <f>IFERROR(MATCH(A1301,Deals!$A$2:$A$843,0),"")</f>
        <v/>
      </c>
      <c r="G1301">
        <f>IF(F1301="",0,1)</f>
        <v/>
      </c>
      <c r="H1301" s="29">
        <f>IF(F1301="","",INDEX(Deals!$E$2:$E$843,F1301))</f>
        <v/>
      </c>
      <c r="I1301">
        <f>IF(F1301="","",INDEX(Deals!$D$2:$D$843,F1301))</f>
        <v/>
      </c>
      <c r="J1301">
        <f>IF(F1301="","",INT(H1301)-B1301)</f>
        <v/>
      </c>
      <c r="K1301">
        <f>IF(B1301&gt;=Settings!$C$5,1,0)</f>
        <v/>
      </c>
    </row>
    <row r="1302">
      <c r="A1302" t="inlineStr">
        <is>
          <t>98a64c8df299f3ea153b18fa25977625</t>
        </is>
      </c>
      <c r="B1302" s="29" t="n">
        <v>43102</v>
      </c>
      <c r="C1302" t="inlineStr">
        <is>
          <t>2018-01</t>
        </is>
      </c>
      <c r="D1302" t="inlineStr">
        <is>
          <t>e492ee5eaf1697716985cc6f33f9cd9b</t>
        </is>
      </c>
      <c r="E1302" t="inlineStr">
        <is>
          <t>other</t>
        </is>
      </c>
      <c r="F1302">
        <f>IFERROR(MATCH(A1302,Deals!$A$2:$A$843,0),"")</f>
        <v/>
      </c>
      <c r="G1302">
        <f>IF(F1302="",0,1)</f>
        <v/>
      </c>
      <c r="H1302" s="29">
        <f>IF(F1302="","",INDEX(Deals!$E$2:$E$843,F1302))</f>
        <v/>
      </c>
      <c r="I1302">
        <f>IF(F1302="","",INDEX(Deals!$D$2:$D$843,F1302))</f>
        <v/>
      </c>
      <c r="J1302">
        <f>IF(F1302="","",INT(H1302)-B1302)</f>
        <v/>
      </c>
      <c r="K1302">
        <f>IF(B1302&gt;=Settings!$C$5,1,0)</f>
        <v/>
      </c>
    </row>
    <row r="1303">
      <c r="A1303" t="inlineStr">
        <is>
          <t>23801cb483fb83f4582815f457a3c3ec</t>
        </is>
      </c>
      <c r="B1303" s="29" t="n">
        <v>43209</v>
      </c>
      <c r="C1303" t="inlineStr">
        <is>
          <t>2018-04</t>
        </is>
      </c>
      <c r="D1303" t="inlineStr">
        <is>
          <t>b76ef37428e6799c421989521c0e5077</t>
        </is>
      </c>
      <c r="E1303" t="inlineStr">
        <is>
          <t>unknown</t>
        </is>
      </c>
      <c r="F1303">
        <f>IFERROR(MATCH(A1303,Deals!$A$2:$A$843,0),"")</f>
        <v/>
      </c>
      <c r="G1303">
        <f>IF(F1303="",0,1)</f>
        <v/>
      </c>
      <c r="H1303" s="29">
        <f>IF(F1303="","",INDEX(Deals!$E$2:$E$843,F1303))</f>
        <v/>
      </c>
      <c r="I1303">
        <f>IF(F1303="","",INDEX(Deals!$D$2:$D$843,F1303))</f>
        <v/>
      </c>
      <c r="J1303">
        <f>IF(F1303="","",INT(H1303)-B1303)</f>
        <v/>
      </c>
      <c r="K1303">
        <f>IF(B1303&gt;=Settings!$C$5,1,0)</f>
        <v/>
      </c>
    </row>
    <row r="1304">
      <c r="A1304" t="inlineStr">
        <is>
          <t>c4202309735b5048a6579de2a879e4e1</t>
        </is>
      </c>
      <c r="B1304" s="29" t="n">
        <v>43137</v>
      </c>
      <c r="C1304" t="inlineStr">
        <is>
          <t>2018-02</t>
        </is>
      </c>
      <c r="D1304" t="inlineStr">
        <is>
          <t>65d9f9d71e562365e8b44037c2888d98</t>
        </is>
      </c>
      <c r="E1304" t="inlineStr">
        <is>
          <t>paid_search</t>
        </is>
      </c>
      <c r="F1304">
        <f>IFERROR(MATCH(A1304,Deals!$A$2:$A$843,0),"")</f>
        <v/>
      </c>
      <c r="G1304">
        <f>IF(F1304="",0,1)</f>
        <v/>
      </c>
      <c r="H1304" s="29">
        <f>IF(F1304="","",INDEX(Deals!$E$2:$E$843,F1304))</f>
        <v/>
      </c>
      <c r="I1304">
        <f>IF(F1304="","",INDEX(Deals!$D$2:$D$843,F1304))</f>
        <v/>
      </c>
      <c r="J1304">
        <f>IF(F1304="","",INT(H1304)-B1304)</f>
        <v/>
      </c>
      <c r="K1304">
        <f>IF(B1304&gt;=Settings!$C$5,1,0)</f>
        <v/>
      </c>
    </row>
    <row r="1305">
      <c r="A1305" t="inlineStr">
        <is>
          <t>f2e46b57c887314c461b477fdb838122</t>
        </is>
      </c>
      <c r="B1305" s="29" t="n">
        <v>43246</v>
      </c>
      <c r="C1305" t="inlineStr">
        <is>
          <t>2018-05</t>
        </is>
      </c>
      <c r="D1305" t="inlineStr">
        <is>
          <t>1ceb590cd1e00c7ee95220971f82693d</t>
        </is>
      </c>
      <c r="E1305" t="inlineStr">
        <is>
          <t>paid_search</t>
        </is>
      </c>
      <c r="F1305">
        <f>IFERROR(MATCH(A1305,Deals!$A$2:$A$843,0),"")</f>
        <v/>
      </c>
      <c r="G1305">
        <f>IF(F1305="",0,1)</f>
        <v/>
      </c>
      <c r="H1305" s="29">
        <f>IF(F1305="","",INDEX(Deals!$E$2:$E$843,F1305))</f>
        <v/>
      </c>
      <c r="I1305">
        <f>IF(F1305="","",INDEX(Deals!$D$2:$D$843,F1305))</f>
        <v/>
      </c>
      <c r="J1305">
        <f>IF(F1305="","",INT(H1305)-B1305)</f>
        <v/>
      </c>
      <c r="K1305">
        <f>IF(B1305&gt;=Settings!$C$5,1,0)</f>
        <v/>
      </c>
    </row>
    <row r="1306">
      <c r="A1306" t="inlineStr">
        <is>
          <t>5b92e4945eb3a04990671a4da604ff17</t>
        </is>
      </c>
      <c r="B1306" s="29" t="n">
        <v>42999</v>
      </c>
      <c r="C1306" t="inlineStr">
        <is>
          <t>2017-09</t>
        </is>
      </c>
      <c r="D1306" t="inlineStr">
        <is>
          <t>c2f7f172d3275d27cba772ab70ac3052</t>
        </is>
      </c>
      <c r="E1306" t="inlineStr">
        <is>
          <t>organic_search</t>
        </is>
      </c>
      <c r="F1306">
        <f>IFERROR(MATCH(A1306,Deals!$A$2:$A$843,0),"")</f>
        <v/>
      </c>
      <c r="G1306">
        <f>IF(F1306="",0,1)</f>
        <v/>
      </c>
      <c r="H1306" s="29">
        <f>IF(F1306="","",INDEX(Deals!$E$2:$E$843,F1306))</f>
        <v/>
      </c>
      <c r="I1306">
        <f>IF(F1306="","",INDEX(Deals!$D$2:$D$843,F1306))</f>
        <v/>
      </c>
      <c r="J1306">
        <f>IF(F1306="","",INT(H1306)-B1306)</f>
        <v/>
      </c>
      <c r="K1306">
        <f>IF(B1306&gt;=Settings!$C$5,1,0)</f>
        <v/>
      </c>
    </row>
    <row r="1307">
      <c r="A1307" t="inlineStr">
        <is>
          <t>a4bc1acae2885ea0d451432596856363</t>
        </is>
      </c>
      <c r="B1307" s="29" t="n">
        <v>42950</v>
      </c>
      <c r="C1307" t="inlineStr">
        <is>
          <t>2017-08</t>
        </is>
      </c>
      <c r="D1307" t="inlineStr">
        <is>
          <t>3cd2a8301d5395f21cdd3094c9eaa2f4</t>
        </is>
      </c>
      <c r="E1307" t="inlineStr">
        <is>
          <t>paid_search</t>
        </is>
      </c>
      <c r="F1307">
        <f>IFERROR(MATCH(A1307,Deals!$A$2:$A$843,0),"")</f>
        <v/>
      </c>
      <c r="G1307">
        <f>IF(F1307="",0,1)</f>
        <v/>
      </c>
      <c r="H1307" s="29">
        <f>IF(F1307="","",INDEX(Deals!$E$2:$E$843,F1307))</f>
        <v/>
      </c>
      <c r="I1307">
        <f>IF(F1307="","",INDEX(Deals!$D$2:$D$843,F1307))</f>
        <v/>
      </c>
      <c r="J1307">
        <f>IF(F1307="","",INT(H1307)-B1307)</f>
        <v/>
      </c>
      <c r="K1307">
        <f>IF(B1307&gt;=Settings!$C$5,1,0)</f>
        <v/>
      </c>
    </row>
    <row r="1308">
      <c r="A1308" t="inlineStr">
        <is>
          <t>d6e0ddfc5b05597877a7d5036789a3a1</t>
        </is>
      </c>
      <c r="B1308" s="29" t="n">
        <v>43189</v>
      </c>
      <c r="C1308" t="inlineStr">
        <is>
          <t>2018-03</t>
        </is>
      </c>
      <c r="D1308" t="inlineStr">
        <is>
          <t>22c29808c4f815213303f8933030604c</t>
        </is>
      </c>
      <c r="E1308" t="inlineStr">
        <is>
          <t>direct_traffic</t>
        </is>
      </c>
      <c r="F1308">
        <f>IFERROR(MATCH(A1308,Deals!$A$2:$A$843,0),"")</f>
        <v/>
      </c>
      <c r="G1308">
        <f>IF(F1308="",0,1)</f>
        <v/>
      </c>
      <c r="H1308" s="29">
        <f>IF(F1308="","",INDEX(Deals!$E$2:$E$843,F1308))</f>
        <v/>
      </c>
      <c r="I1308">
        <f>IF(F1308="","",INDEX(Deals!$D$2:$D$843,F1308))</f>
        <v/>
      </c>
      <c r="J1308">
        <f>IF(F1308="","",INT(H1308)-B1308)</f>
        <v/>
      </c>
      <c r="K1308">
        <f>IF(B1308&gt;=Settings!$C$5,1,0)</f>
        <v/>
      </c>
    </row>
    <row r="1309">
      <c r="A1309" t="inlineStr">
        <is>
          <t>ced5e89cbbebcc24beba11a8148cfaa1</t>
        </is>
      </c>
      <c r="B1309" s="29" t="n">
        <v>43053</v>
      </c>
      <c r="C1309" t="inlineStr">
        <is>
          <t>2017-11</t>
        </is>
      </c>
      <c r="D1309" t="inlineStr">
        <is>
          <t>1722481ac9e5371e5099dea226b5421d</t>
        </is>
      </c>
      <c r="E1309" t="inlineStr">
        <is>
          <t>organic_search</t>
        </is>
      </c>
      <c r="F1309">
        <f>IFERROR(MATCH(A1309,Deals!$A$2:$A$843,0),"")</f>
        <v/>
      </c>
      <c r="G1309">
        <f>IF(F1309="",0,1)</f>
        <v/>
      </c>
      <c r="H1309" s="29">
        <f>IF(F1309="","",INDEX(Deals!$E$2:$E$843,F1309))</f>
        <v/>
      </c>
      <c r="I1309">
        <f>IF(F1309="","",INDEX(Deals!$D$2:$D$843,F1309))</f>
        <v/>
      </c>
      <c r="J1309">
        <f>IF(F1309="","",INT(H1309)-B1309)</f>
        <v/>
      </c>
      <c r="K1309">
        <f>IF(B1309&gt;=Settings!$C$5,1,0)</f>
        <v/>
      </c>
    </row>
    <row r="1310">
      <c r="A1310" t="inlineStr">
        <is>
          <t>9dc0a5e5bfcf4d73878002040de152ae</t>
        </is>
      </c>
      <c r="B1310" s="29" t="n">
        <v>43202</v>
      </c>
      <c r="C1310" t="inlineStr">
        <is>
          <t>2018-04</t>
        </is>
      </c>
      <c r="D1310" t="inlineStr">
        <is>
          <t>22c29808c4f815213303f8933030604c</t>
        </is>
      </c>
      <c r="E1310" t="inlineStr">
        <is>
          <t>organic_search</t>
        </is>
      </c>
      <c r="F1310">
        <f>IFERROR(MATCH(A1310,Deals!$A$2:$A$843,0),"")</f>
        <v/>
      </c>
      <c r="G1310">
        <f>IF(F1310="",0,1)</f>
        <v/>
      </c>
      <c r="H1310" s="29">
        <f>IF(F1310="","",INDEX(Deals!$E$2:$E$843,F1310))</f>
        <v/>
      </c>
      <c r="I1310">
        <f>IF(F1310="","",INDEX(Deals!$D$2:$D$843,F1310))</f>
        <v/>
      </c>
      <c r="J1310">
        <f>IF(F1310="","",INT(H1310)-B1310)</f>
        <v/>
      </c>
      <c r="K1310">
        <f>IF(B1310&gt;=Settings!$C$5,1,0)</f>
        <v/>
      </c>
    </row>
    <row r="1311">
      <c r="A1311" t="inlineStr">
        <is>
          <t>661a3e79ac0d07a3b28c9e9bd40e5459</t>
        </is>
      </c>
      <c r="B1311" s="29" t="n">
        <v>43157</v>
      </c>
      <c r="C1311" t="inlineStr">
        <is>
          <t>2018-02</t>
        </is>
      </c>
      <c r="D1311" t="inlineStr">
        <is>
          <t>b6885f18d203a61176418c1fb3764815</t>
        </is>
      </c>
      <c r="E1311" t="inlineStr">
        <is>
          <t>paid_search</t>
        </is>
      </c>
      <c r="F1311">
        <f>IFERROR(MATCH(A1311,Deals!$A$2:$A$843,0),"")</f>
        <v/>
      </c>
      <c r="G1311">
        <f>IF(F1311="",0,1)</f>
        <v/>
      </c>
      <c r="H1311" s="29">
        <f>IF(F1311="","",INDEX(Deals!$E$2:$E$843,F1311))</f>
        <v/>
      </c>
      <c r="I1311">
        <f>IF(F1311="","",INDEX(Deals!$D$2:$D$843,F1311))</f>
        <v/>
      </c>
      <c r="J1311">
        <f>IF(F1311="","",INT(H1311)-B1311)</f>
        <v/>
      </c>
      <c r="K1311">
        <f>IF(B1311&gt;=Settings!$C$5,1,0)</f>
        <v/>
      </c>
    </row>
    <row r="1312">
      <c r="A1312" t="inlineStr">
        <is>
          <t>66744053f818d4032f5ba881340db020</t>
        </is>
      </c>
      <c r="B1312" s="29" t="n">
        <v>43141</v>
      </c>
      <c r="C1312" t="inlineStr">
        <is>
          <t>2018-02</t>
        </is>
      </c>
      <c r="D1312" t="inlineStr">
        <is>
          <t>f017be4dbf86243af5c1ebed0cff36a2</t>
        </is>
      </c>
      <c r="E1312" t="inlineStr">
        <is>
          <t>organic_search</t>
        </is>
      </c>
      <c r="F1312">
        <f>IFERROR(MATCH(A1312,Deals!$A$2:$A$843,0),"")</f>
        <v/>
      </c>
      <c r="G1312">
        <f>IF(F1312="",0,1)</f>
        <v/>
      </c>
      <c r="H1312" s="29">
        <f>IF(F1312="","",INDEX(Deals!$E$2:$E$843,F1312))</f>
        <v/>
      </c>
      <c r="I1312">
        <f>IF(F1312="","",INDEX(Deals!$D$2:$D$843,F1312))</f>
        <v/>
      </c>
      <c r="J1312">
        <f>IF(F1312="","",INT(H1312)-B1312)</f>
        <v/>
      </c>
      <c r="K1312">
        <f>IF(B1312&gt;=Settings!$C$5,1,0)</f>
        <v/>
      </c>
    </row>
    <row r="1313">
      <c r="A1313" t="inlineStr">
        <is>
          <t>6dcca2f79e4a4672f7c91f58385b4582</t>
        </is>
      </c>
      <c r="B1313" s="29" t="n">
        <v>43214</v>
      </c>
      <c r="C1313" t="inlineStr">
        <is>
          <t>2018-04</t>
        </is>
      </c>
      <c r="D1313" t="inlineStr">
        <is>
          <t>9fa37f5177115156b1814ffc237402a6</t>
        </is>
      </c>
      <c r="E1313" t="inlineStr">
        <is>
          <t>paid_search</t>
        </is>
      </c>
      <c r="F1313">
        <f>IFERROR(MATCH(A1313,Deals!$A$2:$A$843,0),"")</f>
        <v/>
      </c>
      <c r="G1313">
        <f>IF(F1313="",0,1)</f>
        <v/>
      </c>
      <c r="H1313" s="29">
        <f>IF(F1313="","",INDEX(Deals!$E$2:$E$843,F1313))</f>
        <v/>
      </c>
      <c r="I1313">
        <f>IF(F1313="","",INDEX(Deals!$D$2:$D$843,F1313))</f>
        <v/>
      </c>
      <c r="J1313">
        <f>IF(F1313="","",INT(H1313)-B1313)</f>
        <v/>
      </c>
      <c r="K1313">
        <f>IF(B1313&gt;=Settings!$C$5,1,0)</f>
        <v/>
      </c>
    </row>
    <row r="1314">
      <c r="A1314" t="inlineStr">
        <is>
          <t>68d42d85d6ef70aa12305106ba6abc20</t>
        </is>
      </c>
      <c r="B1314" s="29" t="n">
        <v>42951</v>
      </c>
      <c r="C1314" t="inlineStr">
        <is>
          <t>2017-08</t>
        </is>
      </c>
      <c r="D1314" t="inlineStr">
        <is>
          <t>3cd2a8301d5395f21cdd3094c9eaa2f4</t>
        </is>
      </c>
      <c r="E1314" t="inlineStr">
        <is>
          <t>paid_search</t>
        </is>
      </c>
      <c r="F1314">
        <f>IFERROR(MATCH(A1314,Deals!$A$2:$A$843,0),"")</f>
        <v/>
      </c>
      <c r="G1314">
        <f>IF(F1314="",0,1)</f>
        <v/>
      </c>
      <c r="H1314" s="29">
        <f>IF(F1314="","",INDEX(Deals!$E$2:$E$843,F1314))</f>
        <v/>
      </c>
      <c r="I1314">
        <f>IF(F1314="","",INDEX(Deals!$D$2:$D$843,F1314))</f>
        <v/>
      </c>
      <c r="J1314">
        <f>IF(F1314="","",INT(H1314)-B1314)</f>
        <v/>
      </c>
      <c r="K1314">
        <f>IF(B1314&gt;=Settings!$C$5,1,0)</f>
        <v/>
      </c>
    </row>
    <row r="1315">
      <c r="A1315" t="inlineStr">
        <is>
          <t>27b27531e5b182af7c891c7fdca2f225</t>
        </is>
      </c>
      <c r="B1315" s="29" t="n">
        <v>43115</v>
      </c>
      <c r="C1315" t="inlineStr">
        <is>
          <t>2018-01</t>
        </is>
      </c>
      <c r="D1315" t="inlineStr">
        <is>
          <t>b76ef37428e6799c421989521c0e5077</t>
        </is>
      </c>
      <c r="E1315" t="inlineStr">
        <is>
          <t>unknown</t>
        </is>
      </c>
      <c r="F1315">
        <f>IFERROR(MATCH(A1315,Deals!$A$2:$A$843,0),"")</f>
        <v/>
      </c>
      <c r="G1315">
        <f>IF(F1315="",0,1)</f>
        <v/>
      </c>
      <c r="H1315" s="29">
        <f>IF(F1315="","",INDEX(Deals!$E$2:$E$843,F1315))</f>
        <v/>
      </c>
      <c r="I1315">
        <f>IF(F1315="","",INDEX(Deals!$D$2:$D$843,F1315))</f>
        <v/>
      </c>
      <c r="J1315">
        <f>IF(F1315="","",INT(H1315)-B1315)</f>
        <v/>
      </c>
      <c r="K1315">
        <f>IF(B1315&gt;=Settings!$C$5,1,0)</f>
        <v/>
      </c>
    </row>
    <row r="1316">
      <c r="A1316" t="inlineStr">
        <is>
          <t>cca1adbb7cedc6d195e17a762dc31726</t>
        </is>
      </c>
      <c r="B1316" s="29" t="n">
        <v>43248</v>
      </c>
      <c r="C1316" t="inlineStr">
        <is>
          <t>2018-05</t>
        </is>
      </c>
      <c r="D1316" t="inlineStr">
        <is>
          <t>d823616cbcb84fff516db22f366caaa5</t>
        </is>
      </c>
      <c r="E1316" t="inlineStr">
        <is>
          <t>paid_search</t>
        </is>
      </c>
      <c r="F1316">
        <f>IFERROR(MATCH(A1316,Deals!$A$2:$A$843,0),"")</f>
        <v/>
      </c>
      <c r="G1316">
        <f>IF(F1316="",0,1)</f>
        <v/>
      </c>
      <c r="H1316" s="29">
        <f>IF(F1316="","",INDEX(Deals!$E$2:$E$843,F1316))</f>
        <v/>
      </c>
      <c r="I1316">
        <f>IF(F1316="","",INDEX(Deals!$D$2:$D$843,F1316))</f>
        <v/>
      </c>
      <c r="J1316">
        <f>IF(F1316="","",INT(H1316)-B1316)</f>
        <v/>
      </c>
      <c r="K1316">
        <f>IF(B1316&gt;=Settings!$C$5,1,0)</f>
        <v/>
      </c>
    </row>
    <row r="1317">
      <c r="A1317" t="inlineStr">
        <is>
          <t>ba640fa84b94d3e16eccc79ae34997bb</t>
        </is>
      </c>
      <c r="B1317" s="29" t="n">
        <v>43161</v>
      </c>
      <c r="C1317" t="inlineStr">
        <is>
          <t>2018-03</t>
        </is>
      </c>
      <c r="D1317" t="inlineStr">
        <is>
          <t>36137eeb4bf9b5f4054c5b83bef611fa</t>
        </is>
      </c>
      <c r="E1317" t="inlineStr">
        <is>
          <t>unknown</t>
        </is>
      </c>
      <c r="F1317">
        <f>IFERROR(MATCH(A1317,Deals!$A$2:$A$843,0),"")</f>
        <v/>
      </c>
      <c r="G1317">
        <f>IF(F1317="",0,1)</f>
        <v/>
      </c>
      <c r="H1317" s="29">
        <f>IF(F1317="","",INDEX(Deals!$E$2:$E$843,F1317))</f>
        <v/>
      </c>
      <c r="I1317">
        <f>IF(F1317="","",INDEX(Deals!$D$2:$D$843,F1317))</f>
        <v/>
      </c>
      <c r="J1317">
        <f>IF(F1317="","",INT(H1317)-B1317)</f>
        <v/>
      </c>
      <c r="K1317">
        <f>IF(B1317&gt;=Settings!$C$5,1,0)</f>
        <v/>
      </c>
    </row>
    <row r="1318">
      <c r="A1318" t="inlineStr">
        <is>
          <t>95f499940a14e0624914b5a05dee63c5</t>
        </is>
      </c>
      <c r="B1318" s="29" t="n">
        <v>43227</v>
      </c>
      <c r="C1318" t="inlineStr">
        <is>
          <t>2018-05</t>
        </is>
      </c>
      <c r="D1318" t="inlineStr">
        <is>
          <t>22c29808c4f815213303f8933030604c</t>
        </is>
      </c>
      <c r="E1318" t="inlineStr">
        <is>
          <t>organic_search</t>
        </is>
      </c>
      <c r="F1318">
        <f>IFERROR(MATCH(A1318,Deals!$A$2:$A$843,0),"")</f>
        <v/>
      </c>
      <c r="G1318">
        <f>IF(F1318="",0,1)</f>
        <v/>
      </c>
      <c r="H1318" s="29">
        <f>IF(F1318="","",INDEX(Deals!$E$2:$E$843,F1318))</f>
        <v/>
      </c>
      <c r="I1318">
        <f>IF(F1318="","",INDEX(Deals!$D$2:$D$843,F1318))</f>
        <v/>
      </c>
      <c r="J1318">
        <f>IF(F1318="","",INT(H1318)-B1318)</f>
        <v/>
      </c>
      <c r="K1318">
        <f>IF(B1318&gt;=Settings!$C$5,1,0)</f>
        <v/>
      </c>
    </row>
    <row r="1319">
      <c r="A1319" t="inlineStr">
        <is>
          <t>edfa4753bb5c89bacdd59680e4f94f44</t>
        </is>
      </c>
      <c r="B1319" s="29" t="n">
        <v>43068</v>
      </c>
      <c r="C1319" t="inlineStr">
        <is>
          <t>2017-11</t>
        </is>
      </c>
      <c r="D1319" t="inlineStr">
        <is>
          <t>58f8c0a253663304e348e81298bc255e</t>
        </is>
      </c>
      <c r="E1319" t="inlineStr">
        <is>
          <t>email</t>
        </is>
      </c>
      <c r="F1319">
        <f>IFERROR(MATCH(A1319,Deals!$A$2:$A$843,0),"")</f>
        <v/>
      </c>
      <c r="G1319">
        <f>IF(F1319="",0,1)</f>
        <v/>
      </c>
      <c r="H1319" s="29">
        <f>IF(F1319="","",INDEX(Deals!$E$2:$E$843,F1319))</f>
        <v/>
      </c>
      <c r="I1319">
        <f>IF(F1319="","",INDEX(Deals!$D$2:$D$843,F1319))</f>
        <v/>
      </c>
      <c r="J1319">
        <f>IF(F1319="","",INT(H1319)-B1319)</f>
        <v/>
      </c>
      <c r="K1319">
        <f>IF(B1319&gt;=Settings!$C$5,1,0)</f>
        <v/>
      </c>
    </row>
    <row r="1320">
      <c r="A1320" t="inlineStr">
        <is>
          <t>f88d1feb40c2231c27c62c38957ae0fc</t>
        </is>
      </c>
      <c r="B1320" s="29" t="n">
        <v>43042</v>
      </c>
      <c r="C1320" t="inlineStr">
        <is>
          <t>2017-11</t>
        </is>
      </c>
      <c r="D1320" t="inlineStr">
        <is>
          <t>b76ef37428e6799c421989521c0e5077</t>
        </is>
      </c>
      <c r="E1320" t="inlineStr">
        <is>
          <t>unknown</t>
        </is>
      </c>
      <c r="F1320">
        <f>IFERROR(MATCH(A1320,Deals!$A$2:$A$843,0),"")</f>
        <v/>
      </c>
      <c r="G1320">
        <f>IF(F1320="",0,1)</f>
        <v/>
      </c>
      <c r="H1320" s="29">
        <f>IF(F1320="","",INDEX(Deals!$E$2:$E$843,F1320))</f>
        <v/>
      </c>
      <c r="I1320">
        <f>IF(F1320="","",INDEX(Deals!$D$2:$D$843,F1320))</f>
        <v/>
      </c>
      <c r="J1320">
        <f>IF(F1320="","",INT(H1320)-B1320)</f>
        <v/>
      </c>
      <c r="K1320">
        <f>IF(B1320&gt;=Settings!$C$5,1,0)</f>
        <v/>
      </c>
    </row>
    <row r="1321">
      <c r="A1321" t="inlineStr">
        <is>
          <t>e1f97acc82e002084daded5c269d4d93</t>
        </is>
      </c>
      <c r="B1321" s="29" t="n">
        <v>43121</v>
      </c>
      <c r="C1321" t="inlineStr">
        <is>
          <t>2018-01</t>
        </is>
      </c>
      <c r="D1321" t="inlineStr">
        <is>
          <t>88740e65d5d6b056e0cda098e1ea6313</t>
        </is>
      </c>
      <c r="E1321" t="inlineStr">
        <is>
          <t>social</t>
        </is>
      </c>
      <c r="F1321">
        <f>IFERROR(MATCH(A1321,Deals!$A$2:$A$843,0),"")</f>
        <v/>
      </c>
      <c r="G1321">
        <f>IF(F1321="",0,1)</f>
        <v/>
      </c>
      <c r="H1321" s="29">
        <f>IF(F1321="","",INDEX(Deals!$E$2:$E$843,F1321))</f>
        <v/>
      </c>
      <c r="I1321">
        <f>IF(F1321="","",INDEX(Deals!$D$2:$D$843,F1321))</f>
        <v/>
      </c>
      <c r="J1321">
        <f>IF(F1321="","",INT(H1321)-B1321)</f>
        <v/>
      </c>
      <c r="K1321">
        <f>IF(B1321&gt;=Settings!$C$5,1,0)</f>
        <v/>
      </c>
    </row>
    <row r="1322">
      <c r="A1322" t="inlineStr">
        <is>
          <t>89c0fc798cddf41a971384b4ae47abd1</t>
        </is>
      </c>
      <c r="B1322" s="29" t="n">
        <v>43216</v>
      </c>
      <c r="C1322" t="inlineStr">
        <is>
          <t>2018-04</t>
        </is>
      </c>
      <c r="D1322" t="inlineStr">
        <is>
          <t>21a104c3279681d9856b8a48723c4fee</t>
        </is>
      </c>
      <c r="E1322" t="inlineStr">
        <is>
          <t>direct_traffic</t>
        </is>
      </c>
      <c r="F1322">
        <f>IFERROR(MATCH(A1322,Deals!$A$2:$A$843,0),"")</f>
        <v/>
      </c>
      <c r="G1322">
        <f>IF(F1322="",0,1)</f>
        <v/>
      </c>
      <c r="H1322" s="29">
        <f>IF(F1322="","",INDEX(Deals!$E$2:$E$843,F1322))</f>
        <v/>
      </c>
      <c r="I1322">
        <f>IF(F1322="","",INDEX(Deals!$D$2:$D$843,F1322))</f>
        <v/>
      </c>
      <c r="J1322">
        <f>IF(F1322="","",INT(H1322)-B1322)</f>
        <v/>
      </c>
      <c r="K1322">
        <f>IF(B1322&gt;=Settings!$C$5,1,0)</f>
        <v/>
      </c>
    </row>
    <row r="1323">
      <c r="A1323" t="inlineStr">
        <is>
          <t>7dc49135cf63e059c76f54034aace2cd</t>
        </is>
      </c>
      <c r="B1323" s="29" t="n">
        <v>43040</v>
      </c>
      <c r="C1323" t="inlineStr">
        <is>
          <t>2017-11</t>
        </is>
      </c>
      <c r="D1323" t="inlineStr">
        <is>
          <t>f98c2bd96ac4a5d9476734e790c91384</t>
        </is>
      </c>
      <c r="E1323" t="inlineStr">
        <is>
          <t>organic_search</t>
        </is>
      </c>
      <c r="F1323">
        <f>IFERROR(MATCH(A1323,Deals!$A$2:$A$843,0),"")</f>
        <v/>
      </c>
      <c r="G1323">
        <f>IF(F1323="",0,1)</f>
        <v/>
      </c>
      <c r="H1323" s="29">
        <f>IF(F1323="","",INDEX(Deals!$E$2:$E$843,F1323))</f>
        <v/>
      </c>
      <c r="I1323">
        <f>IF(F1323="","",INDEX(Deals!$D$2:$D$843,F1323))</f>
        <v/>
      </c>
      <c r="J1323">
        <f>IF(F1323="","",INT(H1323)-B1323)</f>
        <v/>
      </c>
      <c r="K1323">
        <f>IF(B1323&gt;=Settings!$C$5,1,0)</f>
        <v/>
      </c>
    </row>
    <row r="1324">
      <c r="A1324" t="inlineStr">
        <is>
          <t>622afa4a2bc5b3830fe26f0e931182b8</t>
        </is>
      </c>
      <c r="B1324" s="29" t="n">
        <v>43244</v>
      </c>
      <c r="C1324" t="inlineStr">
        <is>
          <t>2018-05</t>
        </is>
      </c>
      <c r="D1324" t="inlineStr">
        <is>
          <t>22c29808c4f815213303f8933030604c</t>
        </is>
      </c>
      <c r="E1324" t="inlineStr">
        <is>
          <t>organic_search</t>
        </is>
      </c>
      <c r="F1324">
        <f>IFERROR(MATCH(A1324,Deals!$A$2:$A$843,0),"")</f>
        <v/>
      </c>
      <c r="G1324">
        <f>IF(F1324="",0,1)</f>
        <v/>
      </c>
      <c r="H1324" s="29">
        <f>IF(F1324="","",INDEX(Deals!$E$2:$E$843,F1324))</f>
        <v/>
      </c>
      <c r="I1324">
        <f>IF(F1324="","",INDEX(Deals!$D$2:$D$843,F1324))</f>
        <v/>
      </c>
      <c r="J1324">
        <f>IF(F1324="","",INT(H1324)-B1324)</f>
        <v/>
      </c>
      <c r="K1324">
        <f>IF(B1324&gt;=Settings!$C$5,1,0)</f>
        <v/>
      </c>
    </row>
    <row r="1325">
      <c r="A1325" t="inlineStr">
        <is>
          <t>cd35e6dd7806c829f1dff22312d8f898</t>
        </is>
      </c>
      <c r="B1325" s="29" t="n">
        <v>43167</v>
      </c>
      <c r="C1325" t="inlineStr">
        <is>
          <t>2018-03</t>
        </is>
      </c>
      <c r="D1325" t="inlineStr">
        <is>
          <t>e492ee5eaf1697716985cc6f33f9cd9b</t>
        </is>
      </c>
      <c r="E1325" t="inlineStr">
        <is>
          <t>organic_search</t>
        </is>
      </c>
      <c r="F1325">
        <f>IFERROR(MATCH(A1325,Deals!$A$2:$A$843,0),"")</f>
        <v/>
      </c>
      <c r="G1325">
        <f>IF(F1325="",0,1)</f>
        <v/>
      </c>
      <c r="H1325" s="29">
        <f>IF(F1325="","",INDEX(Deals!$E$2:$E$843,F1325))</f>
        <v/>
      </c>
      <c r="I1325">
        <f>IF(F1325="","",INDEX(Deals!$D$2:$D$843,F1325))</f>
        <v/>
      </c>
      <c r="J1325">
        <f>IF(F1325="","",INT(H1325)-B1325)</f>
        <v/>
      </c>
      <c r="K1325">
        <f>IF(B1325&gt;=Settings!$C$5,1,0)</f>
        <v/>
      </c>
    </row>
    <row r="1326">
      <c r="A1326" t="inlineStr">
        <is>
          <t>54aba384bebf7d76045bc3dad7251d5b</t>
        </is>
      </c>
      <c r="B1326" s="29" t="n">
        <v>42926</v>
      </c>
      <c r="C1326" t="inlineStr">
        <is>
          <t>2017-07</t>
        </is>
      </c>
      <c r="D1326" t="inlineStr">
        <is>
          <t>acd502dc52a068d7c4014af6d5dbcd11</t>
        </is>
      </c>
      <c r="E1326" t="inlineStr">
        <is>
          <t>organic_search</t>
        </is>
      </c>
      <c r="F1326">
        <f>IFERROR(MATCH(A1326,Deals!$A$2:$A$843,0),"")</f>
        <v/>
      </c>
      <c r="G1326">
        <f>IF(F1326="",0,1)</f>
        <v/>
      </c>
      <c r="H1326" s="29">
        <f>IF(F1326="","",INDEX(Deals!$E$2:$E$843,F1326))</f>
        <v/>
      </c>
      <c r="I1326">
        <f>IF(F1326="","",INDEX(Deals!$D$2:$D$843,F1326))</f>
        <v/>
      </c>
      <c r="J1326">
        <f>IF(F1326="","",INT(H1326)-B1326)</f>
        <v/>
      </c>
      <c r="K1326">
        <f>IF(B1326&gt;=Settings!$C$5,1,0)</f>
        <v/>
      </c>
    </row>
    <row r="1327">
      <c r="A1327" t="inlineStr">
        <is>
          <t>6076036fdb272f49688c571013f3ede1</t>
        </is>
      </c>
      <c r="B1327" s="29" t="n">
        <v>43131</v>
      </c>
      <c r="C1327" t="inlineStr">
        <is>
          <t>2018-01</t>
        </is>
      </c>
      <c r="D1327" t="inlineStr">
        <is>
          <t>40dec9f3d5259a3d2dbcdab2114fae47</t>
        </is>
      </c>
      <c r="E1327" t="inlineStr">
        <is>
          <t>paid_search</t>
        </is>
      </c>
      <c r="F1327">
        <f>IFERROR(MATCH(A1327,Deals!$A$2:$A$843,0),"")</f>
        <v/>
      </c>
      <c r="G1327">
        <f>IF(F1327="",0,1)</f>
        <v/>
      </c>
      <c r="H1327" s="29">
        <f>IF(F1327="","",INDEX(Deals!$E$2:$E$843,F1327))</f>
        <v/>
      </c>
      <c r="I1327">
        <f>IF(F1327="","",INDEX(Deals!$D$2:$D$843,F1327))</f>
        <v/>
      </c>
      <c r="J1327">
        <f>IF(F1327="","",INT(H1327)-B1327)</f>
        <v/>
      </c>
      <c r="K1327">
        <f>IF(B1327&gt;=Settings!$C$5,1,0)</f>
        <v/>
      </c>
    </row>
    <row r="1328">
      <c r="A1328" t="inlineStr">
        <is>
          <t>e9176bfe821b41775162a9beb913909c</t>
        </is>
      </c>
      <c r="B1328" s="29" t="n">
        <v>43222</v>
      </c>
      <c r="C1328" t="inlineStr">
        <is>
          <t>2018-05</t>
        </is>
      </c>
      <c r="D1328" t="inlineStr">
        <is>
          <t>30534107aa0013db92899c96a1017d0b</t>
        </is>
      </c>
      <c r="E1328" t="inlineStr">
        <is>
          <t>social</t>
        </is>
      </c>
      <c r="F1328">
        <f>IFERROR(MATCH(A1328,Deals!$A$2:$A$843,0),"")</f>
        <v/>
      </c>
      <c r="G1328">
        <f>IF(F1328="",0,1)</f>
        <v/>
      </c>
      <c r="H1328" s="29">
        <f>IF(F1328="","",INDEX(Deals!$E$2:$E$843,F1328))</f>
        <v/>
      </c>
      <c r="I1328">
        <f>IF(F1328="","",INDEX(Deals!$D$2:$D$843,F1328))</f>
        <v/>
      </c>
      <c r="J1328">
        <f>IF(F1328="","",INT(H1328)-B1328)</f>
        <v/>
      </c>
      <c r="K1328">
        <f>IF(B1328&gt;=Settings!$C$5,1,0)</f>
        <v/>
      </c>
    </row>
    <row r="1329">
      <c r="A1329" t="inlineStr">
        <is>
          <t>46b485f8e35bd5f7b1a82f2c5c573bbd</t>
        </is>
      </c>
      <c r="B1329" s="29" t="n">
        <v>43168</v>
      </c>
      <c r="C1329" t="inlineStr">
        <is>
          <t>2018-03</t>
        </is>
      </c>
      <c r="D1329" t="inlineStr">
        <is>
          <t>b76ef37428e6799c421989521c0e5077</t>
        </is>
      </c>
      <c r="E1329" t="inlineStr">
        <is>
          <t>unknown</t>
        </is>
      </c>
      <c r="F1329">
        <f>IFERROR(MATCH(A1329,Deals!$A$2:$A$843,0),"")</f>
        <v/>
      </c>
      <c r="G1329">
        <f>IF(F1329="",0,1)</f>
        <v/>
      </c>
      <c r="H1329" s="29">
        <f>IF(F1329="","",INDEX(Deals!$E$2:$E$843,F1329))</f>
        <v/>
      </c>
      <c r="I1329">
        <f>IF(F1329="","",INDEX(Deals!$D$2:$D$843,F1329))</f>
        <v/>
      </c>
      <c r="J1329">
        <f>IF(F1329="","",INT(H1329)-B1329)</f>
        <v/>
      </c>
      <c r="K1329">
        <f>IF(B1329&gt;=Settings!$C$5,1,0)</f>
        <v/>
      </c>
    </row>
    <row r="1330">
      <c r="A1330" t="inlineStr">
        <is>
          <t>edea466624e316fb14fd8bc274cdb051</t>
        </is>
      </c>
      <c r="B1330" s="29" t="n">
        <v>43170</v>
      </c>
      <c r="C1330" t="inlineStr">
        <is>
          <t>2018-03</t>
        </is>
      </c>
      <c r="D1330" t="inlineStr">
        <is>
          <t>73f31a40697cc90a86c1273563ac230e</t>
        </is>
      </c>
      <c r="E1330" t="inlineStr">
        <is>
          <t>other</t>
        </is>
      </c>
      <c r="F1330">
        <f>IFERROR(MATCH(A1330,Deals!$A$2:$A$843,0),"")</f>
        <v/>
      </c>
      <c r="G1330">
        <f>IF(F1330="",0,1)</f>
        <v/>
      </c>
      <c r="H1330" s="29">
        <f>IF(F1330="","",INDEX(Deals!$E$2:$E$843,F1330))</f>
        <v/>
      </c>
      <c r="I1330">
        <f>IF(F1330="","",INDEX(Deals!$D$2:$D$843,F1330))</f>
        <v/>
      </c>
      <c r="J1330">
        <f>IF(F1330="","",INT(H1330)-B1330)</f>
        <v/>
      </c>
      <c r="K1330">
        <f>IF(B1330&gt;=Settings!$C$5,1,0)</f>
        <v/>
      </c>
    </row>
    <row r="1331">
      <c r="A1331" t="inlineStr">
        <is>
          <t>e73083572cc595460842f5090da94662</t>
        </is>
      </c>
      <c r="B1331" s="29" t="n">
        <v>43216</v>
      </c>
      <c r="C1331" t="inlineStr">
        <is>
          <t>2018-04</t>
        </is>
      </c>
      <c r="D1331" t="inlineStr">
        <is>
          <t>40dec9f3d5259a3d2dbcdab2114fae47</t>
        </is>
      </c>
      <c r="E1331" t="inlineStr">
        <is>
          <t>paid_search</t>
        </is>
      </c>
      <c r="F1331">
        <f>IFERROR(MATCH(A1331,Deals!$A$2:$A$843,0),"")</f>
        <v/>
      </c>
      <c r="G1331">
        <f>IF(F1331="",0,1)</f>
        <v/>
      </c>
      <c r="H1331" s="29">
        <f>IF(F1331="","",INDEX(Deals!$E$2:$E$843,F1331))</f>
        <v/>
      </c>
      <c r="I1331">
        <f>IF(F1331="","",INDEX(Deals!$D$2:$D$843,F1331))</f>
        <v/>
      </c>
      <c r="J1331">
        <f>IF(F1331="","",INT(H1331)-B1331)</f>
        <v/>
      </c>
      <c r="K1331">
        <f>IF(B1331&gt;=Settings!$C$5,1,0)</f>
        <v/>
      </c>
    </row>
    <row r="1332">
      <c r="A1332" t="inlineStr">
        <is>
          <t>6fba9ab96aa12c4c9d01e74b66a74485</t>
        </is>
      </c>
      <c r="B1332" s="29" t="n">
        <v>43214</v>
      </c>
      <c r="C1332" t="inlineStr">
        <is>
          <t>2018-04</t>
        </is>
      </c>
      <c r="D1332" t="inlineStr">
        <is>
          <t>b76ef37428e6799c421989521c0e5077</t>
        </is>
      </c>
      <c r="E1332" t="inlineStr">
        <is>
          <t>organic_search</t>
        </is>
      </c>
      <c r="F1332">
        <f>IFERROR(MATCH(A1332,Deals!$A$2:$A$843,0),"")</f>
        <v/>
      </c>
      <c r="G1332">
        <f>IF(F1332="",0,1)</f>
        <v/>
      </c>
      <c r="H1332" s="29">
        <f>IF(F1332="","",INDEX(Deals!$E$2:$E$843,F1332))</f>
        <v/>
      </c>
      <c r="I1332">
        <f>IF(F1332="","",INDEX(Deals!$D$2:$D$843,F1332))</f>
        <v/>
      </c>
      <c r="J1332">
        <f>IF(F1332="","",INT(H1332)-B1332)</f>
        <v/>
      </c>
      <c r="K1332">
        <f>IF(B1332&gt;=Settings!$C$5,1,0)</f>
        <v/>
      </c>
    </row>
    <row r="1333">
      <c r="A1333" t="inlineStr">
        <is>
          <t>52e757313eee219d90756fee82d49c2c</t>
        </is>
      </c>
      <c r="B1333" s="29" t="n">
        <v>43182</v>
      </c>
      <c r="C1333" t="inlineStr">
        <is>
          <t>2018-03</t>
        </is>
      </c>
      <c r="D1333" t="inlineStr">
        <is>
          <t>dcdbbb0bb43f5c9ea457a8363db87e73</t>
        </is>
      </c>
      <c r="E1333" t="inlineStr">
        <is>
          <t>paid_search</t>
        </is>
      </c>
      <c r="F1333">
        <f>IFERROR(MATCH(A1333,Deals!$A$2:$A$843,0),"")</f>
        <v/>
      </c>
      <c r="G1333">
        <f>IF(F1333="",0,1)</f>
        <v/>
      </c>
      <c r="H1333" s="29">
        <f>IF(F1333="","",INDEX(Deals!$E$2:$E$843,F1333))</f>
        <v/>
      </c>
      <c r="I1333">
        <f>IF(F1333="","",INDEX(Deals!$D$2:$D$843,F1333))</f>
        <v/>
      </c>
      <c r="J1333">
        <f>IF(F1333="","",INT(H1333)-B1333)</f>
        <v/>
      </c>
      <c r="K1333">
        <f>IF(B1333&gt;=Settings!$C$5,1,0)</f>
        <v/>
      </c>
    </row>
    <row r="1334">
      <c r="A1334" t="inlineStr">
        <is>
          <t>784e966b97f7eaf84f20c7515bf2183b</t>
        </is>
      </c>
      <c r="B1334" s="29" t="n">
        <v>43024</v>
      </c>
      <c r="C1334" t="inlineStr">
        <is>
          <t>2017-10</t>
        </is>
      </c>
      <c r="D1334" t="inlineStr">
        <is>
          <t>b76ef37428e6799c421989521c0e5077</t>
        </is>
      </c>
      <c r="E1334" t="inlineStr">
        <is>
          <t>unknown</t>
        </is>
      </c>
      <c r="F1334">
        <f>IFERROR(MATCH(A1334,Deals!$A$2:$A$843,0),"")</f>
        <v/>
      </c>
      <c r="G1334">
        <f>IF(F1334="",0,1)</f>
        <v/>
      </c>
      <c r="H1334" s="29">
        <f>IF(F1334="","",INDEX(Deals!$E$2:$E$843,F1334))</f>
        <v/>
      </c>
      <c r="I1334">
        <f>IF(F1334="","",INDEX(Deals!$D$2:$D$843,F1334))</f>
        <v/>
      </c>
      <c r="J1334">
        <f>IF(F1334="","",INT(H1334)-B1334)</f>
        <v/>
      </c>
      <c r="K1334">
        <f>IF(B1334&gt;=Settings!$C$5,1,0)</f>
        <v/>
      </c>
    </row>
    <row r="1335">
      <c r="A1335" t="inlineStr">
        <is>
          <t>fa027edbceb48e6657770c2985172201</t>
        </is>
      </c>
      <c r="B1335" s="29" t="n">
        <v>43105</v>
      </c>
      <c r="C1335" t="inlineStr">
        <is>
          <t>2018-01</t>
        </is>
      </c>
      <c r="D1335" t="inlineStr">
        <is>
          <t>40dec9f3d5259a3d2dbcdab2114fae47</t>
        </is>
      </c>
      <c r="E1335" t="inlineStr">
        <is>
          <t>organic_search</t>
        </is>
      </c>
      <c r="F1335">
        <f>IFERROR(MATCH(A1335,Deals!$A$2:$A$843,0),"")</f>
        <v/>
      </c>
      <c r="G1335">
        <f>IF(F1335="",0,1)</f>
        <v/>
      </c>
      <c r="H1335" s="29">
        <f>IF(F1335="","",INDEX(Deals!$E$2:$E$843,F1335))</f>
        <v/>
      </c>
      <c r="I1335">
        <f>IF(F1335="","",INDEX(Deals!$D$2:$D$843,F1335))</f>
        <v/>
      </c>
      <c r="J1335">
        <f>IF(F1335="","",INT(H1335)-B1335)</f>
        <v/>
      </c>
      <c r="K1335">
        <f>IF(B1335&gt;=Settings!$C$5,1,0)</f>
        <v/>
      </c>
    </row>
    <row r="1336">
      <c r="A1336" t="inlineStr">
        <is>
          <t>f0f717dbbabbabab1a26beaf06fc3438</t>
        </is>
      </c>
      <c r="B1336" s="29" t="n">
        <v>42972</v>
      </c>
      <c r="C1336" t="inlineStr">
        <is>
          <t>2017-08</t>
        </is>
      </c>
      <c r="D1336" t="inlineStr">
        <is>
          <t>f017be4dbf86243af5c1ebed0cff36a2</t>
        </is>
      </c>
      <c r="E1336" t="inlineStr">
        <is>
          <t>organic_search</t>
        </is>
      </c>
      <c r="F1336">
        <f>IFERROR(MATCH(A1336,Deals!$A$2:$A$843,0),"")</f>
        <v/>
      </c>
      <c r="G1336">
        <f>IF(F1336="",0,1)</f>
        <v/>
      </c>
      <c r="H1336" s="29">
        <f>IF(F1336="","",INDEX(Deals!$E$2:$E$843,F1336))</f>
        <v/>
      </c>
      <c r="I1336">
        <f>IF(F1336="","",INDEX(Deals!$D$2:$D$843,F1336))</f>
        <v/>
      </c>
      <c r="J1336">
        <f>IF(F1336="","",INT(H1336)-B1336)</f>
        <v/>
      </c>
      <c r="K1336">
        <f>IF(B1336&gt;=Settings!$C$5,1,0)</f>
        <v/>
      </c>
    </row>
    <row r="1337">
      <c r="A1337" t="inlineStr">
        <is>
          <t>be29a77514abbab45ce7c52d27ee292d</t>
        </is>
      </c>
      <c r="B1337" s="29" t="n">
        <v>43227</v>
      </c>
      <c r="C1337" t="inlineStr">
        <is>
          <t>2018-05</t>
        </is>
      </c>
      <c r="D1337" t="inlineStr">
        <is>
          <t>f017be4dbf86243af5c1ebed0cff36a2</t>
        </is>
      </c>
      <c r="E1337" t="inlineStr">
        <is>
          <t>organic_search</t>
        </is>
      </c>
      <c r="F1337">
        <f>IFERROR(MATCH(A1337,Deals!$A$2:$A$843,0),"")</f>
        <v/>
      </c>
      <c r="G1337">
        <f>IF(F1337="",0,1)</f>
        <v/>
      </c>
      <c r="H1337" s="29">
        <f>IF(F1337="","",INDEX(Deals!$E$2:$E$843,F1337))</f>
        <v/>
      </c>
      <c r="I1337">
        <f>IF(F1337="","",INDEX(Deals!$D$2:$D$843,F1337))</f>
        <v/>
      </c>
      <c r="J1337">
        <f>IF(F1337="","",INT(H1337)-B1337)</f>
        <v/>
      </c>
      <c r="K1337">
        <f>IF(B1337&gt;=Settings!$C$5,1,0)</f>
        <v/>
      </c>
    </row>
    <row r="1338">
      <c r="A1338" t="inlineStr">
        <is>
          <t>58589b2f5ef1c0bbfdcd09c6fb0b47b7</t>
        </is>
      </c>
      <c r="B1338" s="29" t="n">
        <v>42963</v>
      </c>
      <c r="C1338" t="inlineStr">
        <is>
          <t>2017-08</t>
        </is>
      </c>
      <c r="D1338" t="inlineStr">
        <is>
          <t>128d8c3f32b8aa66b5bcbe4e26dfc78d</t>
        </is>
      </c>
      <c r="E1338" t="inlineStr">
        <is>
          <t>email</t>
        </is>
      </c>
      <c r="F1338">
        <f>IFERROR(MATCH(A1338,Deals!$A$2:$A$843,0),"")</f>
        <v/>
      </c>
      <c r="G1338">
        <f>IF(F1338="",0,1)</f>
        <v/>
      </c>
      <c r="H1338" s="29">
        <f>IF(F1338="","",INDEX(Deals!$E$2:$E$843,F1338))</f>
        <v/>
      </c>
      <c r="I1338">
        <f>IF(F1338="","",INDEX(Deals!$D$2:$D$843,F1338))</f>
        <v/>
      </c>
      <c r="J1338">
        <f>IF(F1338="","",INT(H1338)-B1338)</f>
        <v/>
      </c>
      <c r="K1338">
        <f>IF(B1338&gt;=Settings!$C$5,1,0)</f>
        <v/>
      </c>
    </row>
    <row r="1339">
      <c r="A1339" t="inlineStr">
        <is>
          <t>d037731d1da83efffdb92ce25f124a8c</t>
        </is>
      </c>
      <c r="B1339" s="29" t="n">
        <v>43067</v>
      </c>
      <c r="C1339" t="inlineStr">
        <is>
          <t>2017-11</t>
        </is>
      </c>
      <c r="D1339" t="inlineStr">
        <is>
          <t>a0fbc0263cb98bdb0d72b9f9f283a172</t>
        </is>
      </c>
      <c r="E1339" t="inlineStr">
        <is>
          <t>paid_search</t>
        </is>
      </c>
      <c r="F1339">
        <f>IFERROR(MATCH(A1339,Deals!$A$2:$A$843,0),"")</f>
        <v/>
      </c>
      <c r="G1339">
        <f>IF(F1339="",0,1)</f>
        <v/>
      </c>
      <c r="H1339" s="29">
        <f>IF(F1339="","",INDEX(Deals!$E$2:$E$843,F1339))</f>
        <v/>
      </c>
      <c r="I1339">
        <f>IF(F1339="","",INDEX(Deals!$D$2:$D$843,F1339))</f>
        <v/>
      </c>
      <c r="J1339">
        <f>IF(F1339="","",INT(H1339)-B1339)</f>
        <v/>
      </c>
      <c r="K1339">
        <f>IF(B1339&gt;=Settings!$C$5,1,0)</f>
        <v/>
      </c>
    </row>
    <row r="1340">
      <c r="A1340" t="inlineStr">
        <is>
          <t>fc3a68ae910a64c3c1a7d8ea0c525b9d</t>
        </is>
      </c>
      <c r="B1340" s="29" t="n">
        <v>43208</v>
      </c>
      <c r="C1340" t="inlineStr">
        <is>
          <t>2018-04</t>
        </is>
      </c>
      <c r="D1340" t="inlineStr">
        <is>
          <t>58326e62183c14b0c03085c33b9fdc44</t>
        </is>
      </c>
      <c r="E1340" t="inlineStr">
        <is>
          <t>social</t>
        </is>
      </c>
      <c r="F1340">
        <f>IFERROR(MATCH(A1340,Deals!$A$2:$A$843,0),"")</f>
        <v/>
      </c>
      <c r="G1340">
        <f>IF(F1340="",0,1)</f>
        <v/>
      </c>
      <c r="H1340" s="29">
        <f>IF(F1340="","",INDEX(Deals!$E$2:$E$843,F1340))</f>
        <v/>
      </c>
      <c r="I1340">
        <f>IF(F1340="","",INDEX(Deals!$D$2:$D$843,F1340))</f>
        <v/>
      </c>
      <c r="J1340">
        <f>IF(F1340="","",INT(H1340)-B1340)</f>
        <v/>
      </c>
      <c r="K1340">
        <f>IF(B1340&gt;=Settings!$C$5,1,0)</f>
        <v/>
      </c>
    </row>
    <row r="1341">
      <c r="A1341" t="inlineStr">
        <is>
          <t>902560b1f108bc2a170725b884863354</t>
        </is>
      </c>
      <c r="B1341" s="29" t="n">
        <v>42921</v>
      </c>
      <c r="C1341" t="inlineStr">
        <is>
          <t>2017-07</t>
        </is>
      </c>
      <c r="D1341" t="inlineStr">
        <is>
          <t>c754e5846c791d26b1c34070c41adf6e</t>
        </is>
      </c>
      <c r="E1341" t="inlineStr">
        <is>
          <t>other</t>
        </is>
      </c>
      <c r="F1341">
        <f>IFERROR(MATCH(A1341,Deals!$A$2:$A$843,0),"")</f>
        <v/>
      </c>
      <c r="G1341">
        <f>IF(F1341="",0,1)</f>
        <v/>
      </c>
      <c r="H1341" s="29">
        <f>IF(F1341="","",INDEX(Deals!$E$2:$E$843,F1341))</f>
        <v/>
      </c>
      <c r="I1341">
        <f>IF(F1341="","",INDEX(Deals!$D$2:$D$843,F1341))</f>
        <v/>
      </c>
      <c r="J1341">
        <f>IF(F1341="","",INT(H1341)-B1341)</f>
        <v/>
      </c>
      <c r="K1341">
        <f>IF(B1341&gt;=Settings!$C$5,1,0)</f>
        <v/>
      </c>
    </row>
    <row r="1342">
      <c r="A1342" t="inlineStr">
        <is>
          <t>3e4a0c9abc957e634d773110fedafb26</t>
        </is>
      </c>
      <c r="B1342" s="29" t="n">
        <v>43209</v>
      </c>
      <c r="C1342" t="inlineStr">
        <is>
          <t>2018-04</t>
        </is>
      </c>
      <c r="D1342" t="inlineStr">
        <is>
          <t>b2f889d0e09c93c7cf240beef08ecdef</t>
        </is>
      </c>
      <c r="E1342" t="inlineStr">
        <is>
          <t>email</t>
        </is>
      </c>
      <c r="F1342">
        <f>IFERROR(MATCH(A1342,Deals!$A$2:$A$843,0),"")</f>
        <v/>
      </c>
      <c r="G1342">
        <f>IF(F1342="",0,1)</f>
        <v/>
      </c>
      <c r="H1342" s="29">
        <f>IF(F1342="","",INDEX(Deals!$E$2:$E$843,F1342))</f>
        <v/>
      </c>
      <c r="I1342">
        <f>IF(F1342="","",INDEX(Deals!$D$2:$D$843,F1342))</f>
        <v/>
      </c>
      <c r="J1342">
        <f>IF(F1342="","",INT(H1342)-B1342)</f>
        <v/>
      </c>
      <c r="K1342">
        <f>IF(B1342&gt;=Settings!$C$5,1,0)</f>
        <v/>
      </c>
    </row>
    <row r="1343">
      <c r="A1343" t="inlineStr">
        <is>
          <t>630b6159ab1a4be8b302739904f8beff</t>
        </is>
      </c>
      <c r="B1343" s="29" t="n">
        <v>43137</v>
      </c>
      <c r="C1343" t="inlineStr">
        <is>
          <t>2018-02</t>
        </is>
      </c>
      <c r="D1343" t="inlineStr">
        <is>
          <t>b76ef37428e6799c421989521c0e5077</t>
        </is>
      </c>
      <c r="E1343" t="inlineStr">
        <is>
          <t>unknown</t>
        </is>
      </c>
      <c r="F1343">
        <f>IFERROR(MATCH(A1343,Deals!$A$2:$A$843,0),"")</f>
        <v/>
      </c>
      <c r="G1343">
        <f>IF(F1343="",0,1)</f>
        <v/>
      </c>
      <c r="H1343" s="29">
        <f>IF(F1343="","",INDEX(Deals!$E$2:$E$843,F1343))</f>
        <v/>
      </c>
      <c r="I1343">
        <f>IF(F1343="","",INDEX(Deals!$D$2:$D$843,F1343))</f>
        <v/>
      </c>
      <c r="J1343">
        <f>IF(F1343="","",INT(H1343)-B1343)</f>
        <v/>
      </c>
      <c r="K1343">
        <f>IF(B1343&gt;=Settings!$C$5,1,0)</f>
        <v/>
      </c>
    </row>
    <row r="1344">
      <c r="A1344" t="inlineStr">
        <is>
          <t>cc46f33ee83eb94cea644695f8717c0e</t>
        </is>
      </c>
      <c r="B1344" s="29" t="n">
        <v>43004</v>
      </c>
      <c r="C1344" t="inlineStr">
        <is>
          <t>2017-09</t>
        </is>
      </c>
      <c r="D1344" t="inlineStr">
        <is>
          <t>4aab772aeb9833c170d8ea5413e02eac</t>
        </is>
      </c>
      <c r="E1344" t="inlineStr">
        <is>
          <t>paid_search</t>
        </is>
      </c>
      <c r="F1344">
        <f>IFERROR(MATCH(A1344,Deals!$A$2:$A$843,0),"")</f>
        <v/>
      </c>
      <c r="G1344">
        <f>IF(F1344="",0,1)</f>
        <v/>
      </c>
      <c r="H1344" s="29">
        <f>IF(F1344="","",INDEX(Deals!$E$2:$E$843,F1344))</f>
        <v/>
      </c>
      <c r="I1344">
        <f>IF(F1344="","",INDEX(Deals!$D$2:$D$843,F1344))</f>
        <v/>
      </c>
      <c r="J1344">
        <f>IF(F1344="","",INT(H1344)-B1344)</f>
        <v/>
      </c>
      <c r="K1344">
        <f>IF(B1344&gt;=Settings!$C$5,1,0)</f>
        <v/>
      </c>
    </row>
    <row r="1345">
      <c r="A1345" t="inlineStr">
        <is>
          <t>07d9152e686ddb50c5330f7f9c1c58bc</t>
        </is>
      </c>
      <c r="B1345" s="29" t="n">
        <v>43167</v>
      </c>
      <c r="C1345" t="inlineStr">
        <is>
          <t>2018-03</t>
        </is>
      </c>
      <c r="D1345" t="inlineStr">
        <is>
          <t>b76ef37428e6799c421989521c0e5077</t>
        </is>
      </c>
      <c r="E1345" t="inlineStr">
        <is>
          <t>organic_search</t>
        </is>
      </c>
      <c r="F1345">
        <f>IFERROR(MATCH(A1345,Deals!$A$2:$A$843,0),"")</f>
        <v/>
      </c>
      <c r="G1345">
        <f>IF(F1345="",0,1)</f>
        <v/>
      </c>
      <c r="H1345" s="29">
        <f>IF(F1345="","",INDEX(Deals!$E$2:$E$843,F1345))</f>
        <v/>
      </c>
      <c r="I1345">
        <f>IF(F1345="","",INDEX(Deals!$D$2:$D$843,F1345))</f>
        <v/>
      </c>
      <c r="J1345">
        <f>IF(F1345="","",INT(H1345)-B1345)</f>
        <v/>
      </c>
      <c r="K1345">
        <f>IF(B1345&gt;=Settings!$C$5,1,0)</f>
        <v/>
      </c>
    </row>
    <row r="1346">
      <c r="A1346" t="inlineStr">
        <is>
          <t>ee4742b2788bd5f7565dbcd7f0b5de8e</t>
        </is>
      </c>
      <c r="B1346" s="29" t="n">
        <v>43102</v>
      </c>
      <c r="C1346" t="inlineStr">
        <is>
          <t>2018-01</t>
        </is>
      </c>
      <c r="D1346" t="inlineStr">
        <is>
          <t>f017be4dbf86243af5c1ebed0cff36a2</t>
        </is>
      </c>
      <c r="E1346" t="inlineStr">
        <is>
          <t>organic_search</t>
        </is>
      </c>
      <c r="F1346">
        <f>IFERROR(MATCH(A1346,Deals!$A$2:$A$843,0),"")</f>
        <v/>
      </c>
      <c r="G1346">
        <f>IF(F1346="",0,1)</f>
        <v/>
      </c>
      <c r="H1346" s="29">
        <f>IF(F1346="","",INDEX(Deals!$E$2:$E$843,F1346))</f>
        <v/>
      </c>
      <c r="I1346">
        <f>IF(F1346="","",INDEX(Deals!$D$2:$D$843,F1346))</f>
        <v/>
      </c>
      <c r="J1346">
        <f>IF(F1346="","",INT(H1346)-B1346)</f>
        <v/>
      </c>
      <c r="K1346">
        <f>IF(B1346&gt;=Settings!$C$5,1,0)</f>
        <v/>
      </c>
    </row>
    <row r="1347">
      <c r="A1347" t="inlineStr">
        <is>
          <t>072ae41a990df264e5508c75e4cbced0</t>
        </is>
      </c>
      <c r="B1347" s="29" t="n">
        <v>43214</v>
      </c>
      <c r="C1347" t="inlineStr">
        <is>
          <t>2018-04</t>
        </is>
      </c>
      <c r="D1347" t="inlineStr">
        <is>
          <t>ce1a65abd0973638f1c887a6efcfa82d</t>
        </is>
      </c>
      <c r="E1347" t="inlineStr">
        <is>
          <t>organic_search</t>
        </is>
      </c>
      <c r="F1347">
        <f>IFERROR(MATCH(A1347,Deals!$A$2:$A$843,0),"")</f>
        <v/>
      </c>
      <c r="G1347">
        <f>IF(F1347="",0,1)</f>
        <v/>
      </c>
      <c r="H1347" s="29">
        <f>IF(F1347="","",INDEX(Deals!$E$2:$E$843,F1347))</f>
        <v/>
      </c>
      <c r="I1347">
        <f>IF(F1347="","",INDEX(Deals!$D$2:$D$843,F1347))</f>
        <v/>
      </c>
      <c r="J1347">
        <f>IF(F1347="","",INT(H1347)-B1347)</f>
        <v/>
      </c>
      <c r="K1347">
        <f>IF(B1347&gt;=Settings!$C$5,1,0)</f>
        <v/>
      </c>
    </row>
    <row r="1348">
      <c r="A1348" t="inlineStr">
        <is>
          <t>87c5afc7c76c32349979d0029a9d1db3</t>
        </is>
      </c>
      <c r="B1348" s="29" t="n">
        <v>43017</v>
      </c>
      <c r="C1348" t="inlineStr">
        <is>
          <t>2017-10</t>
        </is>
      </c>
      <c r="D1348" t="inlineStr">
        <is>
          <t>b76ef37428e6799c421989521c0e5077</t>
        </is>
      </c>
      <c r="E1348" t="inlineStr">
        <is>
          <t>unknown</t>
        </is>
      </c>
      <c r="F1348">
        <f>IFERROR(MATCH(A1348,Deals!$A$2:$A$843,0),"")</f>
        <v/>
      </c>
      <c r="G1348">
        <f>IF(F1348="",0,1)</f>
        <v/>
      </c>
      <c r="H1348" s="29">
        <f>IF(F1348="","",INDEX(Deals!$E$2:$E$843,F1348))</f>
        <v/>
      </c>
      <c r="I1348">
        <f>IF(F1348="","",INDEX(Deals!$D$2:$D$843,F1348))</f>
        <v/>
      </c>
      <c r="J1348">
        <f>IF(F1348="","",INT(H1348)-B1348)</f>
        <v/>
      </c>
      <c r="K1348">
        <f>IF(B1348&gt;=Settings!$C$5,1,0)</f>
        <v/>
      </c>
    </row>
    <row r="1349">
      <c r="A1349" t="inlineStr">
        <is>
          <t>83d5aac46c097426773520489cda201c</t>
        </is>
      </c>
      <c r="B1349" s="29" t="n">
        <v>43206</v>
      </c>
      <c r="C1349" t="inlineStr">
        <is>
          <t>2018-04</t>
        </is>
      </c>
      <c r="D1349" t="inlineStr">
        <is>
          <t>ce1a65abd0973638f1c887a6efcfa82d</t>
        </is>
      </c>
      <c r="E1349" t="inlineStr">
        <is>
          <t>paid_search</t>
        </is>
      </c>
      <c r="F1349">
        <f>IFERROR(MATCH(A1349,Deals!$A$2:$A$843,0),"")</f>
        <v/>
      </c>
      <c r="G1349">
        <f>IF(F1349="",0,1)</f>
        <v/>
      </c>
      <c r="H1349" s="29">
        <f>IF(F1349="","",INDEX(Deals!$E$2:$E$843,F1349))</f>
        <v/>
      </c>
      <c r="I1349">
        <f>IF(F1349="","",INDEX(Deals!$D$2:$D$843,F1349))</f>
        <v/>
      </c>
      <c r="J1349">
        <f>IF(F1349="","",INT(H1349)-B1349)</f>
        <v/>
      </c>
      <c r="K1349">
        <f>IF(B1349&gt;=Settings!$C$5,1,0)</f>
        <v/>
      </c>
    </row>
    <row r="1350">
      <c r="A1350" t="inlineStr">
        <is>
          <t>4f4cbddde0691893aad65c3ed451bd41</t>
        </is>
      </c>
      <c r="B1350" s="29" t="n">
        <v>43201</v>
      </c>
      <c r="C1350" t="inlineStr">
        <is>
          <t>2018-04</t>
        </is>
      </c>
      <c r="D1350" t="inlineStr">
        <is>
          <t>b76ef37428e6799c421989521c0e5077</t>
        </is>
      </c>
      <c r="E1350" t="inlineStr">
        <is>
          <t>unknown</t>
        </is>
      </c>
      <c r="F1350">
        <f>IFERROR(MATCH(A1350,Deals!$A$2:$A$843,0),"")</f>
        <v/>
      </c>
      <c r="G1350">
        <f>IF(F1350="",0,1)</f>
        <v/>
      </c>
      <c r="H1350" s="29">
        <f>IF(F1350="","",INDEX(Deals!$E$2:$E$843,F1350))</f>
        <v/>
      </c>
      <c r="I1350">
        <f>IF(F1350="","",INDEX(Deals!$D$2:$D$843,F1350))</f>
        <v/>
      </c>
      <c r="J1350">
        <f>IF(F1350="","",INT(H1350)-B1350)</f>
        <v/>
      </c>
      <c r="K1350">
        <f>IF(B1350&gt;=Settings!$C$5,1,0)</f>
        <v/>
      </c>
    </row>
    <row r="1351">
      <c r="A1351" t="inlineStr">
        <is>
          <t>e806a859c021aec4ddc92d7a0b15c08e</t>
        </is>
      </c>
      <c r="B1351" s="29" t="n">
        <v>43189</v>
      </c>
      <c r="C1351" t="inlineStr">
        <is>
          <t>2018-03</t>
        </is>
      </c>
      <c r="D1351" t="inlineStr">
        <is>
          <t>ce1a65abd0973638f1c887a6efcfa82d</t>
        </is>
      </c>
      <c r="E1351" t="inlineStr">
        <is>
          <t>unknown</t>
        </is>
      </c>
      <c r="F1351">
        <f>IFERROR(MATCH(A1351,Deals!$A$2:$A$843,0),"")</f>
        <v/>
      </c>
      <c r="G1351">
        <f>IF(F1351="",0,1)</f>
        <v/>
      </c>
      <c r="H1351" s="29">
        <f>IF(F1351="","",INDEX(Deals!$E$2:$E$843,F1351))</f>
        <v/>
      </c>
      <c r="I1351">
        <f>IF(F1351="","",INDEX(Deals!$D$2:$D$843,F1351))</f>
        <v/>
      </c>
      <c r="J1351">
        <f>IF(F1351="","",INT(H1351)-B1351)</f>
        <v/>
      </c>
      <c r="K1351">
        <f>IF(B1351&gt;=Settings!$C$5,1,0)</f>
        <v/>
      </c>
    </row>
    <row r="1352">
      <c r="A1352" t="inlineStr">
        <is>
          <t>93e27399801114c829497baae0003c28</t>
        </is>
      </c>
      <c r="B1352" s="29" t="n">
        <v>43238</v>
      </c>
      <c r="C1352" t="inlineStr">
        <is>
          <t>2018-05</t>
        </is>
      </c>
      <c r="D1352" t="inlineStr">
        <is>
          <t>bfd05fa9f9fe2aedee539951a84f2aaf</t>
        </is>
      </c>
      <c r="E1352" t="inlineStr">
        <is>
          <t>paid_search</t>
        </is>
      </c>
      <c r="F1352">
        <f>IFERROR(MATCH(A1352,Deals!$A$2:$A$843,0),"")</f>
        <v/>
      </c>
      <c r="G1352">
        <f>IF(F1352="",0,1)</f>
        <v/>
      </c>
      <c r="H1352" s="29">
        <f>IF(F1352="","",INDEX(Deals!$E$2:$E$843,F1352))</f>
        <v/>
      </c>
      <c r="I1352">
        <f>IF(F1352="","",INDEX(Deals!$D$2:$D$843,F1352))</f>
        <v/>
      </c>
      <c r="J1352">
        <f>IF(F1352="","",INT(H1352)-B1352)</f>
        <v/>
      </c>
      <c r="K1352">
        <f>IF(B1352&gt;=Settings!$C$5,1,0)</f>
        <v/>
      </c>
    </row>
    <row r="1353">
      <c r="A1353" t="inlineStr">
        <is>
          <t>329cefc1992e229270d31b90a569ad0f</t>
        </is>
      </c>
      <c r="B1353" s="29" t="n">
        <v>43210</v>
      </c>
      <c r="C1353" t="inlineStr">
        <is>
          <t>2018-04</t>
        </is>
      </c>
      <c r="D1353" t="inlineStr">
        <is>
          <t>fa5a0151e1f37d0055a3478fbb48827a</t>
        </is>
      </c>
      <c r="E1353" t="inlineStr">
        <is>
          <t>paid_search</t>
        </is>
      </c>
      <c r="F1353">
        <f>IFERROR(MATCH(A1353,Deals!$A$2:$A$843,0),"")</f>
        <v/>
      </c>
      <c r="G1353">
        <f>IF(F1353="",0,1)</f>
        <v/>
      </c>
      <c r="H1353" s="29">
        <f>IF(F1353="","",INDEX(Deals!$E$2:$E$843,F1353))</f>
        <v/>
      </c>
      <c r="I1353">
        <f>IF(F1353="","",INDEX(Deals!$D$2:$D$843,F1353))</f>
        <v/>
      </c>
      <c r="J1353">
        <f>IF(F1353="","",INT(H1353)-B1353)</f>
        <v/>
      </c>
      <c r="K1353">
        <f>IF(B1353&gt;=Settings!$C$5,1,0)</f>
        <v/>
      </c>
    </row>
    <row r="1354">
      <c r="A1354" t="inlineStr">
        <is>
          <t>9abbbda872050c52f250190578b0c178</t>
        </is>
      </c>
      <c r="B1354" s="29" t="n">
        <v>43016</v>
      </c>
      <c r="C1354" t="inlineStr">
        <is>
          <t>2017-10</t>
        </is>
      </c>
      <c r="D1354" t="inlineStr">
        <is>
          <t>f017be4dbf86243af5c1ebed0cff36a2</t>
        </is>
      </c>
      <c r="E1354" t="inlineStr">
        <is>
          <t>organic_search</t>
        </is>
      </c>
      <c r="F1354">
        <f>IFERROR(MATCH(A1354,Deals!$A$2:$A$843,0),"")</f>
        <v/>
      </c>
      <c r="G1354">
        <f>IF(F1354="",0,1)</f>
        <v/>
      </c>
      <c r="H1354" s="29">
        <f>IF(F1354="","",INDEX(Deals!$E$2:$E$843,F1354))</f>
        <v/>
      </c>
      <c r="I1354">
        <f>IF(F1354="","",INDEX(Deals!$D$2:$D$843,F1354))</f>
        <v/>
      </c>
      <c r="J1354">
        <f>IF(F1354="","",INT(H1354)-B1354)</f>
        <v/>
      </c>
      <c r="K1354">
        <f>IF(B1354&gt;=Settings!$C$5,1,0)</f>
        <v/>
      </c>
    </row>
    <row r="1355">
      <c r="A1355" t="inlineStr">
        <is>
          <t>fea6f06e9ea5fe29ebdd6e510b308c1f</t>
        </is>
      </c>
      <c r="B1355" s="29" t="n">
        <v>43125</v>
      </c>
      <c r="C1355" t="inlineStr">
        <is>
          <t>2018-01</t>
        </is>
      </c>
      <c r="D1355" t="inlineStr">
        <is>
          <t>b76ef37428e6799c421989521c0e5077</t>
        </is>
      </c>
      <c r="E1355" t="inlineStr">
        <is>
          <t>unknown</t>
        </is>
      </c>
      <c r="F1355">
        <f>IFERROR(MATCH(A1355,Deals!$A$2:$A$843,0),"")</f>
        <v/>
      </c>
      <c r="G1355">
        <f>IF(F1355="",0,1)</f>
        <v/>
      </c>
      <c r="H1355" s="29">
        <f>IF(F1355="","",INDEX(Deals!$E$2:$E$843,F1355))</f>
        <v/>
      </c>
      <c r="I1355">
        <f>IF(F1355="","",INDEX(Deals!$D$2:$D$843,F1355))</f>
        <v/>
      </c>
      <c r="J1355">
        <f>IF(F1355="","",INT(H1355)-B1355)</f>
        <v/>
      </c>
      <c r="K1355">
        <f>IF(B1355&gt;=Settings!$C$5,1,0)</f>
        <v/>
      </c>
    </row>
    <row r="1356">
      <c r="A1356" t="inlineStr">
        <is>
          <t>c1f4743c95657f785f7874f4b39c979f</t>
        </is>
      </c>
      <c r="B1356" s="29" t="n">
        <v>43107</v>
      </c>
      <c r="C1356" t="inlineStr">
        <is>
          <t>2018-01</t>
        </is>
      </c>
      <c r="D1356" t="inlineStr">
        <is>
          <t>88740e65d5d6b056e0cda098e1ea6313</t>
        </is>
      </c>
      <c r="E1356" t="inlineStr">
        <is>
          <t>social</t>
        </is>
      </c>
      <c r="F1356">
        <f>IFERROR(MATCH(A1356,Deals!$A$2:$A$843,0),"")</f>
        <v/>
      </c>
      <c r="G1356">
        <f>IF(F1356="",0,1)</f>
        <v/>
      </c>
      <c r="H1356" s="29">
        <f>IF(F1356="","",INDEX(Deals!$E$2:$E$843,F1356))</f>
        <v/>
      </c>
      <c r="I1356">
        <f>IF(F1356="","",INDEX(Deals!$D$2:$D$843,F1356))</f>
        <v/>
      </c>
      <c r="J1356">
        <f>IF(F1356="","",INT(H1356)-B1356)</f>
        <v/>
      </c>
      <c r="K1356">
        <f>IF(B1356&gt;=Settings!$C$5,1,0)</f>
        <v/>
      </c>
    </row>
    <row r="1357">
      <c r="A1357" t="inlineStr">
        <is>
          <t>ebce2c7b380efc44b429f4353aba4a5d</t>
        </is>
      </c>
      <c r="B1357" s="29" t="n">
        <v>43132</v>
      </c>
      <c r="C1357" t="inlineStr">
        <is>
          <t>2018-02</t>
        </is>
      </c>
      <c r="D1357" t="inlineStr">
        <is>
          <t>111313f5b9ceedf17ab5af7317a9f9bc</t>
        </is>
      </c>
      <c r="E1357" t="inlineStr">
        <is>
          <t>social</t>
        </is>
      </c>
      <c r="F1357">
        <f>IFERROR(MATCH(A1357,Deals!$A$2:$A$843,0),"")</f>
        <v/>
      </c>
      <c r="G1357">
        <f>IF(F1357="",0,1)</f>
        <v/>
      </c>
      <c r="H1357" s="29">
        <f>IF(F1357="","",INDEX(Deals!$E$2:$E$843,F1357))</f>
        <v/>
      </c>
      <c r="I1357">
        <f>IF(F1357="","",INDEX(Deals!$D$2:$D$843,F1357))</f>
        <v/>
      </c>
      <c r="J1357">
        <f>IF(F1357="","",INT(H1357)-B1357)</f>
        <v/>
      </c>
      <c r="K1357">
        <f>IF(B1357&gt;=Settings!$C$5,1,0)</f>
        <v/>
      </c>
    </row>
    <row r="1358">
      <c r="A1358" t="inlineStr">
        <is>
          <t>0c126e39f8d63756107d6c86751c9e7e</t>
        </is>
      </c>
      <c r="B1358" s="29" t="n">
        <v>43225</v>
      </c>
      <c r="C1358" t="inlineStr">
        <is>
          <t>2018-05</t>
        </is>
      </c>
      <c r="D1358" t="inlineStr">
        <is>
          <t>5dc848e7dd9418dffe183215b8ff0bc1</t>
        </is>
      </c>
      <c r="E1358" t="inlineStr">
        <is>
          <t>paid_search</t>
        </is>
      </c>
      <c r="F1358">
        <f>IFERROR(MATCH(A1358,Deals!$A$2:$A$843,0),"")</f>
        <v/>
      </c>
      <c r="G1358">
        <f>IF(F1358="",0,1)</f>
        <v/>
      </c>
      <c r="H1358" s="29">
        <f>IF(F1358="","",INDEX(Deals!$E$2:$E$843,F1358))</f>
        <v/>
      </c>
      <c r="I1358">
        <f>IF(F1358="","",INDEX(Deals!$D$2:$D$843,F1358))</f>
        <v/>
      </c>
      <c r="J1358">
        <f>IF(F1358="","",INT(H1358)-B1358)</f>
        <v/>
      </c>
      <c r="K1358">
        <f>IF(B1358&gt;=Settings!$C$5,1,0)</f>
        <v/>
      </c>
    </row>
    <row r="1359">
      <c r="A1359" t="inlineStr">
        <is>
          <t>155303e8c22847c73be43306faf833c3</t>
        </is>
      </c>
      <c r="B1359" s="29" t="n">
        <v>43138</v>
      </c>
      <c r="C1359" t="inlineStr">
        <is>
          <t>2018-02</t>
        </is>
      </c>
      <c r="D1359" t="inlineStr">
        <is>
          <t>40dec9f3d5259a3d2dbcdab2114fae47</t>
        </is>
      </c>
      <c r="E1359" t="inlineStr">
        <is>
          <t>paid_search</t>
        </is>
      </c>
      <c r="F1359">
        <f>IFERROR(MATCH(A1359,Deals!$A$2:$A$843,0),"")</f>
        <v/>
      </c>
      <c r="G1359">
        <f>IF(F1359="",0,1)</f>
        <v/>
      </c>
      <c r="H1359" s="29">
        <f>IF(F1359="","",INDEX(Deals!$E$2:$E$843,F1359))</f>
        <v/>
      </c>
      <c r="I1359">
        <f>IF(F1359="","",INDEX(Deals!$D$2:$D$843,F1359))</f>
        <v/>
      </c>
      <c r="J1359">
        <f>IF(F1359="","",INT(H1359)-B1359)</f>
        <v/>
      </c>
      <c r="K1359">
        <f>IF(B1359&gt;=Settings!$C$5,1,0)</f>
        <v/>
      </c>
    </row>
    <row r="1360">
      <c r="A1360" t="inlineStr">
        <is>
          <t>cf3846fd28df3fda672c21ce3118ec84</t>
        </is>
      </c>
      <c r="B1360" s="29" t="n">
        <v>43110</v>
      </c>
      <c r="C1360" t="inlineStr">
        <is>
          <t>2018-01</t>
        </is>
      </c>
      <c r="D1360" t="inlineStr">
        <is>
          <t>22c29808c4f815213303f8933030604c</t>
        </is>
      </c>
      <c r="E1360" t="inlineStr">
        <is>
          <t>organic_search</t>
        </is>
      </c>
      <c r="F1360">
        <f>IFERROR(MATCH(A1360,Deals!$A$2:$A$843,0),"")</f>
        <v/>
      </c>
      <c r="G1360">
        <f>IF(F1360="",0,1)</f>
        <v/>
      </c>
      <c r="H1360" s="29">
        <f>IF(F1360="","",INDEX(Deals!$E$2:$E$843,F1360))</f>
        <v/>
      </c>
      <c r="I1360">
        <f>IF(F1360="","",INDEX(Deals!$D$2:$D$843,F1360))</f>
        <v/>
      </c>
      <c r="J1360">
        <f>IF(F1360="","",INT(H1360)-B1360)</f>
        <v/>
      </c>
      <c r="K1360">
        <f>IF(B1360&gt;=Settings!$C$5,1,0)</f>
        <v/>
      </c>
    </row>
    <row r="1361">
      <c r="A1361" t="inlineStr">
        <is>
          <t>e1155a41a8edb09560cf8234093ff635</t>
        </is>
      </c>
      <c r="B1361" s="29" t="n">
        <v>43228</v>
      </c>
      <c r="C1361" t="inlineStr">
        <is>
          <t>2018-05</t>
        </is>
      </c>
      <c r="D1361" t="inlineStr">
        <is>
          <t>358adb2fee9a122549618e46925a00a5</t>
        </is>
      </c>
      <c r="E1361" t="inlineStr">
        <is>
          <t>organic_search</t>
        </is>
      </c>
      <c r="F1361">
        <f>IFERROR(MATCH(A1361,Deals!$A$2:$A$843,0),"")</f>
        <v/>
      </c>
      <c r="G1361">
        <f>IF(F1361="",0,1)</f>
        <v/>
      </c>
      <c r="H1361" s="29">
        <f>IF(F1361="","",INDEX(Deals!$E$2:$E$843,F1361))</f>
        <v/>
      </c>
      <c r="I1361">
        <f>IF(F1361="","",INDEX(Deals!$D$2:$D$843,F1361))</f>
        <v/>
      </c>
      <c r="J1361">
        <f>IF(F1361="","",INT(H1361)-B1361)</f>
        <v/>
      </c>
      <c r="K1361">
        <f>IF(B1361&gt;=Settings!$C$5,1,0)</f>
        <v/>
      </c>
    </row>
    <row r="1362">
      <c r="A1362" t="inlineStr">
        <is>
          <t>3713d66bff68568a81cc5bfd409a3703</t>
        </is>
      </c>
      <c r="B1362" s="29" t="n">
        <v>42937</v>
      </c>
      <c r="C1362" t="inlineStr">
        <is>
          <t>2017-07</t>
        </is>
      </c>
      <c r="D1362" t="inlineStr">
        <is>
          <t>09949e05e2c5fa4ba780fe27213bc575</t>
        </is>
      </c>
      <c r="E1362" t="inlineStr">
        <is>
          <t>organic_search</t>
        </is>
      </c>
      <c r="F1362">
        <f>IFERROR(MATCH(A1362,Deals!$A$2:$A$843,0),"")</f>
        <v/>
      </c>
      <c r="G1362">
        <f>IF(F1362="",0,1)</f>
        <v/>
      </c>
      <c r="H1362" s="29">
        <f>IF(F1362="","",INDEX(Deals!$E$2:$E$843,F1362))</f>
        <v/>
      </c>
      <c r="I1362">
        <f>IF(F1362="","",INDEX(Deals!$D$2:$D$843,F1362))</f>
        <v/>
      </c>
      <c r="J1362">
        <f>IF(F1362="","",INT(H1362)-B1362)</f>
        <v/>
      </c>
      <c r="K1362">
        <f>IF(B1362&gt;=Settings!$C$5,1,0)</f>
        <v/>
      </c>
    </row>
    <row r="1363">
      <c r="A1363" t="inlineStr">
        <is>
          <t>92664de43e5721bc5c0cfd1c31f08f30</t>
        </is>
      </c>
      <c r="B1363" s="29" t="n">
        <v>43122</v>
      </c>
      <c r="C1363" t="inlineStr">
        <is>
          <t>2018-01</t>
        </is>
      </c>
      <c r="D1363" t="inlineStr">
        <is>
          <t>d45d558f0daeecf3cccdffe3c59684aa</t>
        </is>
      </c>
      <c r="E1363" t="inlineStr">
        <is>
          <t>email</t>
        </is>
      </c>
      <c r="F1363">
        <f>IFERROR(MATCH(A1363,Deals!$A$2:$A$843,0),"")</f>
        <v/>
      </c>
      <c r="G1363">
        <f>IF(F1363="",0,1)</f>
        <v/>
      </c>
      <c r="H1363" s="29">
        <f>IF(F1363="","",INDEX(Deals!$E$2:$E$843,F1363))</f>
        <v/>
      </c>
      <c r="I1363">
        <f>IF(F1363="","",INDEX(Deals!$D$2:$D$843,F1363))</f>
        <v/>
      </c>
      <c r="J1363">
        <f>IF(F1363="","",INT(H1363)-B1363)</f>
        <v/>
      </c>
      <c r="K1363">
        <f>IF(B1363&gt;=Settings!$C$5,1,0)</f>
        <v/>
      </c>
    </row>
    <row r="1364">
      <c r="A1364" t="inlineStr">
        <is>
          <t>518035c43e744099f69c7e3a7fa11116</t>
        </is>
      </c>
      <c r="B1364" s="29" t="n">
        <v>43189</v>
      </c>
      <c r="C1364" t="inlineStr">
        <is>
          <t>2018-03</t>
        </is>
      </c>
      <c r="D1364" t="inlineStr">
        <is>
          <t>73fec6021437e723ff5adae8dff89e23</t>
        </is>
      </c>
      <c r="E1364" t="inlineStr">
        <is>
          <t>social</t>
        </is>
      </c>
      <c r="F1364">
        <f>IFERROR(MATCH(A1364,Deals!$A$2:$A$843,0),"")</f>
        <v/>
      </c>
      <c r="G1364">
        <f>IF(F1364="",0,1)</f>
        <v/>
      </c>
      <c r="H1364" s="29">
        <f>IF(F1364="","",INDEX(Deals!$E$2:$E$843,F1364))</f>
        <v/>
      </c>
      <c r="I1364">
        <f>IF(F1364="","",INDEX(Deals!$D$2:$D$843,F1364))</f>
        <v/>
      </c>
      <c r="J1364">
        <f>IF(F1364="","",INT(H1364)-B1364)</f>
        <v/>
      </c>
      <c r="K1364">
        <f>IF(B1364&gt;=Settings!$C$5,1,0)</f>
        <v/>
      </c>
    </row>
    <row r="1365">
      <c r="A1365" t="inlineStr">
        <is>
          <t>ff63a1e61dc77ef6d2ac4aed28de3ccc</t>
        </is>
      </c>
      <c r="B1365" s="29" t="n">
        <v>43143</v>
      </c>
      <c r="C1365" t="inlineStr">
        <is>
          <t>2018-02</t>
        </is>
      </c>
      <c r="D1365" t="inlineStr">
        <is>
          <t>22c29808c4f815213303f8933030604c</t>
        </is>
      </c>
      <c r="E1365" t="inlineStr">
        <is>
          <t>unknown</t>
        </is>
      </c>
      <c r="F1365">
        <f>IFERROR(MATCH(A1365,Deals!$A$2:$A$843,0),"")</f>
        <v/>
      </c>
      <c r="G1365">
        <f>IF(F1365="",0,1)</f>
        <v/>
      </c>
      <c r="H1365" s="29">
        <f>IF(F1365="","",INDEX(Deals!$E$2:$E$843,F1365))</f>
        <v/>
      </c>
      <c r="I1365">
        <f>IF(F1365="","",INDEX(Deals!$D$2:$D$843,F1365))</f>
        <v/>
      </c>
      <c r="J1365">
        <f>IF(F1365="","",INT(H1365)-B1365)</f>
        <v/>
      </c>
      <c r="K1365">
        <f>IF(B1365&gt;=Settings!$C$5,1,0)</f>
        <v/>
      </c>
    </row>
    <row r="1366">
      <c r="A1366" t="inlineStr">
        <is>
          <t>6ebaea9076291d5b4ce3bf24a1c59395</t>
        </is>
      </c>
      <c r="B1366" s="29" t="n">
        <v>43236</v>
      </c>
      <c r="C1366" t="inlineStr">
        <is>
          <t>2018-05</t>
        </is>
      </c>
      <c r="D1366" t="inlineStr">
        <is>
          <t>37cf94070e940a694969304de58debe1</t>
        </is>
      </c>
      <c r="E1366" t="inlineStr">
        <is>
          <t>other_publicities</t>
        </is>
      </c>
      <c r="F1366">
        <f>IFERROR(MATCH(A1366,Deals!$A$2:$A$843,0),"")</f>
        <v/>
      </c>
      <c r="G1366">
        <f>IF(F1366="",0,1)</f>
        <v/>
      </c>
      <c r="H1366" s="29">
        <f>IF(F1366="","",INDEX(Deals!$E$2:$E$843,F1366))</f>
        <v/>
      </c>
      <c r="I1366">
        <f>IF(F1366="","",INDEX(Deals!$D$2:$D$843,F1366))</f>
        <v/>
      </c>
      <c r="J1366">
        <f>IF(F1366="","",INT(H1366)-B1366)</f>
        <v/>
      </c>
      <c r="K1366">
        <f>IF(B1366&gt;=Settings!$C$5,1,0)</f>
        <v/>
      </c>
    </row>
    <row r="1367">
      <c r="A1367" t="inlineStr">
        <is>
          <t>eae846c7d1ca51474ebc7230ace47bf2</t>
        </is>
      </c>
      <c r="B1367" s="29" t="n">
        <v>43203</v>
      </c>
      <c r="C1367" t="inlineStr">
        <is>
          <t>2018-04</t>
        </is>
      </c>
      <c r="D1367" t="inlineStr">
        <is>
          <t>22c29808c4f815213303f8933030604c</t>
        </is>
      </c>
      <c r="E1367" t="inlineStr">
        <is>
          <t>other</t>
        </is>
      </c>
      <c r="F1367">
        <f>IFERROR(MATCH(A1367,Deals!$A$2:$A$843,0),"")</f>
        <v/>
      </c>
      <c r="G1367">
        <f>IF(F1367="",0,1)</f>
        <v/>
      </c>
      <c r="H1367" s="29">
        <f>IF(F1367="","",INDEX(Deals!$E$2:$E$843,F1367))</f>
        <v/>
      </c>
      <c r="I1367">
        <f>IF(F1367="","",INDEX(Deals!$D$2:$D$843,F1367))</f>
        <v/>
      </c>
      <c r="J1367">
        <f>IF(F1367="","",INT(H1367)-B1367)</f>
        <v/>
      </c>
      <c r="K1367">
        <f>IF(B1367&gt;=Settings!$C$5,1,0)</f>
        <v/>
      </c>
    </row>
    <row r="1368">
      <c r="A1368" t="inlineStr">
        <is>
          <t>a562fd35af2738ce6d88f785ef4eb134</t>
        </is>
      </c>
      <c r="B1368" s="29" t="n">
        <v>43172</v>
      </c>
      <c r="C1368" t="inlineStr">
        <is>
          <t>2018-03</t>
        </is>
      </c>
      <c r="D1368" t="inlineStr">
        <is>
          <t>40dec9f3d5259a3d2dbcdab2114fae47</t>
        </is>
      </c>
      <c r="E1368" t="inlineStr">
        <is>
          <t>paid_search</t>
        </is>
      </c>
      <c r="F1368">
        <f>IFERROR(MATCH(A1368,Deals!$A$2:$A$843,0),"")</f>
        <v/>
      </c>
      <c r="G1368">
        <f>IF(F1368="",0,1)</f>
        <v/>
      </c>
      <c r="H1368" s="29">
        <f>IF(F1368="","",INDEX(Deals!$E$2:$E$843,F1368))</f>
        <v/>
      </c>
      <c r="I1368">
        <f>IF(F1368="","",INDEX(Deals!$D$2:$D$843,F1368))</f>
        <v/>
      </c>
      <c r="J1368">
        <f>IF(F1368="","",INT(H1368)-B1368)</f>
        <v/>
      </c>
      <c r="K1368">
        <f>IF(B1368&gt;=Settings!$C$5,1,0)</f>
        <v/>
      </c>
    </row>
    <row r="1369">
      <c r="A1369" t="inlineStr">
        <is>
          <t>7057b95dc1fb3eb27739710e0ac10ea4</t>
        </is>
      </c>
      <c r="B1369" s="29" t="n">
        <v>43125</v>
      </c>
      <c r="C1369" t="inlineStr">
        <is>
          <t>2018-01</t>
        </is>
      </c>
      <c r="D1369" t="inlineStr">
        <is>
          <t>88740e65d5d6b056e0cda098e1ea6313</t>
        </is>
      </c>
      <c r="E1369" t="inlineStr">
        <is>
          <t>social</t>
        </is>
      </c>
      <c r="F1369">
        <f>IFERROR(MATCH(A1369,Deals!$A$2:$A$843,0),"")</f>
        <v/>
      </c>
      <c r="G1369">
        <f>IF(F1369="",0,1)</f>
        <v/>
      </c>
      <c r="H1369" s="29">
        <f>IF(F1369="","",INDEX(Deals!$E$2:$E$843,F1369))</f>
        <v/>
      </c>
      <c r="I1369">
        <f>IF(F1369="","",INDEX(Deals!$D$2:$D$843,F1369))</f>
        <v/>
      </c>
      <c r="J1369">
        <f>IF(F1369="","",INT(H1369)-B1369)</f>
        <v/>
      </c>
      <c r="K1369">
        <f>IF(B1369&gt;=Settings!$C$5,1,0)</f>
        <v/>
      </c>
    </row>
    <row r="1370">
      <c r="A1370" t="inlineStr">
        <is>
          <t>f0b6f95a4dba808cd64d2f2db1399bae</t>
        </is>
      </c>
      <c r="B1370" s="29" t="n">
        <v>43189</v>
      </c>
      <c r="C1370" t="inlineStr">
        <is>
          <t>2018-03</t>
        </is>
      </c>
      <c r="D1370" t="inlineStr">
        <is>
          <t>b76ef37428e6799c421989521c0e5077</t>
        </is>
      </c>
      <c r="E1370" t="inlineStr">
        <is>
          <t>paid_search</t>
        </is>
      </c>
      <c r="F1370">
        <f>IFERROR(MATCH(A1370,Deals!$A$2:$A$843,0),"")</f>
        <v/>
      </c>
      <c r="G1370">
        <f>IF(F1370="",0,1)</f>
        <v/>
      </c>
      <c r="H1370" s="29">
        <f>IF(F1370="","",INDEX(Deals!$E$2:$E$843,F1370))</f>
        <v/>
      </c>
      <c r="I1370">
        <f>IF(F1370="","",INDEX(Deals!$D$2:$D$843,F1370))</f>
        <v/>
      </c>
      <c r="J1370">
        <f>IF(F1370="","",INT(H1370)-B1370)</f>
        <v/>
      </c>
      <c r="K1370">
        <f>IF(B1370&gt;=Settings!$C$5,1,0)</f>
        <v/>
      </c>
    </row>
    <row r="1371">
      <c r="A1371" t="inlineStr">
        <is>
          <t>288ba9abad93ef50e6a76089ae84aab3</t>
        </is>
      </c>
      <c r="B1371" s="29" t="n">
        <v>43250</v>
      </c>
      <c r="C1371" t="inlineStr">
        <is>
          <t>2018-05</t>
        </is>
      </c>
      <c r="D1371" t="inlineStr">
        <is>
          <t>346137f3e0157d94372d1cafc5675908</t>
        </is>
      </c>
      <c r="E1371" t="inlineStr">
        <is>
          <t>organic_search</t>
        </is>
      </c>
      <c r="F1371">
        <f>IFERROR(MATCH(A1371,Deals!$A$2:$A$843,0),"")</f>
        <v/>
      </c>
      <c r="G1371">
        <f>IF(F1371="",0,1)</f>
        <v/>
      </c>
      <c r="H1371" s="29">
        <f>IF(F1371="","",INDEX(Deals!$E$2:$E$843,F1371))</f>
        <v/>
      </c>
      <c r="I1371">
        <f>IF(F1371="","",INDEX(Deals!$D$2:$D$843,F1371))</f>
        <v/>
      </c>
      <c r="J1371">
        <f>IF(F1371="","",INT(H1371)-B1371)</f>
        <v/>
      </c>
      <c r="K1371">
        <f>IF(B1371&gt;=Settings!$C$5,1,0)</f>
        <v/>
      </c>
    </row>
    <row r="1372">
      <c r="A1372" t="inlineStr">
        <is>
          <t>5afcd2787d9efd296b8f9ba7c0739310</t>
        </is>
      </c>
      <c r="B1372" s="29" t="n">
        <v>43104</v>
      </c>
      <c r="C1372" t="inlineStr">
        <is>
          <t>2018-01</t>
        </is>
      </c>
      <c r="D1372" t="inlineStr">
        <is>
          <t>e492ee5eaf1697716985cc6f33f9cd9b</t>
        </is>
      </c>
      <c r="E1372" t="inlineStr">
        <is>
          <t>referral</t>
        </is>
      </c>
      <c r="F1372">
        <f>IFERROR(MATCH(A1372,Deals!$A$2:$A$843,0),"")</f>
        <v/>
      </c>
      <c r="G1372">
        <f>IF(F1372="",0,1)</f>
        <v/>
      </c>
      <c r="H1372" s="29">
        <f>IF(F1372="","",INDEX(Deals!$E$2:$E$843,F1372))</f>
        <v/>
      </c>
      <c r="I1372">
        <f>IF(F1372="","",INDEX(Deals!$D$2:$D$843,F1372))</f>
        <v/>
      </c>
      <c r="J1372">
        <f>IF(F1372="","",INT(H1372)-B1372)</f>
        <v/>
      </c>
      <c r="K1372">
        <f>IF(B1372&gt;=Settings!$C$5,1,0)</f>
        <v/>
      </c>
    </row>
    <row r="1373">
      <c r="A1373" t="inlineStr">
        <is>
          <t>ab1417ecaf41d8fb741fade9be0b8ab1</t>
        </is>
      </c>
      <c r="B1373" s="29" t="n">
        <v>43146</v>
      </c>
      <c r="C1373" t="inlineStr">
        <is>
          <t>2018-02</t>
        </is>
      </c>
      <c r="D1373" t="inlineStr">
        <is>
          <t>ce1a65abd0973638f1c887a6efcfa82d</t>
        </is>
      </c>
      <c r="E1373" t="inlineStr">
        <is>
          <t>social</t>
        </is>
      </c>
      <c r="F1373">
        <f>IFERROR(MATCH(A1373,Deals!$A$2:$A$843,0),"")</f>
        <v/>
      </c>
      <c r="G1373">
        <f>IF(F1373="",0,1)</f>
        <v/>
      </c>
      <c r="H1373" s="29">
        <f>IF(F1373="","",INDEX(Deals!$E$2:$E$843,F1373))</f>
        <v/>
      </c>
      <c r="I1373">
        <f>IF(F1373="","",INDEX(Deals!$D$2:$D$843,F1373))</f>
        <v/>
      </c>
      <c r="J1373">
        <f>IF(F1373="","",INT(H1373)-B1373)</f>
        <v/>
      </c>
      <c r="K1373">
        <f>IF(B1373&gt;=Settings!$C$5,1,0)</f>
        <v/>
      </c>
    </row>
    <row r="1374">
      <c r="A1374" t="inlineStr">
        <is>
          <t>5bf73f0ab50f712f61880e1254f1b723</t>
        </is>
      </c>
      <c r="B1374" s="29" t="n">
        <v>42989</v>
      </c>
      <c r="C1374" t="inlineStr">
        <is>
          <t>2017-09</t>
        </is>
      </c>
      <c r="D1374" t="inlineStr">
        <is>
          <t>e42a14209c69c3e9cc6b042620465f12</t>
        </is>
      </c>
      <c r="E1374" t="inlineStr">
        <is>
          <t>email</t>
        </is>
      </c>
      <c r="F1374">
        <f>IFERROR(MATCH(A1374,Deals!$A$2:$A$843,0),"")</f>
        <v/>
      </c>
      <c r="G1374">
        <f>IF(F1374="",0,1)</f>
        <v/>
      </c>
      <c r="H1374" s="29">
        <f>IF(F1374="","",INDEX(Deals!$E$2:$E$843,F1374))</f>
        <v/>
      </c>
      <c r="I1374">
        <f>IF(F1374="","",INDEX(Deals!$D$2:$D$843,F1374))</f>
        <v/>
      </c>
      <c r="J1374">
        <f>IF(F1374="","",INT(H1374)-B1374)</f>
        <v/>
      </c>
      <c r="K1374">
        <f>IF(B1374&gt;=Settings!$C$5,1,0)</f>
        <v/>
      </c>
    </row>
    <row r="1375">
      <c r="A1375" t="inlineStr">
        <is>
          <t>b3ab7a7c84d8d782efb167422af07ef0</t>
        </is>
      </c>
      <c r="B1375" s="29" t="n">
        <v>43101</v>
      </c>
      <c r="C1375" t="inlineStr">
        <is>
          <t>2018-01</t>
        </is>
      </c>
      <c r="D1375" t="inlineStr">
        <is>
          <t>e492ee5eaf1697716985cc6f33f9cd9b</t>
        </is>
      </c>
      <c r="E1375" t="inlineStr">
        <is>
          <t>organic_search</t>
        </is>
      </c>
      <c r="F1375">
        <f>IFERROR(MATCH(A1375,Deals!$A$2:$A$843,0),"")</f>
        <v/>
      </c>
      <c r="G1375">
        <f>IF(F1375="",0,1)</f>
        <v/>
      </c>
      <c r="H1375" s="29">
        <f>IF(F1375="","",INDEX(Deals!$E$2:$E$843,F1375))</f>
        <v/>
      </c>
      <c r="I1375">
        <f>IF(F1375="","",INDEX(Deals!$D$2:$D$843,F1375))</f>
        <v/>
      </c>
      <c r="J1375">
        <f>IF(F1375="","",INT(H1375)-B1375)</f>
        <v/>
      </c>
      <c r="K1375">
        <f>IF(B1375&gt;=Settings!$C$5,1,0)</f>
        <v/>
      </c>
    </row>
    <row r="1376">
      <c r="A1376" t="inlineStr">
        <is>
          <t>6220d78a81df90871ed5d07ad6023bf7</t>
        </is>
      </c>
      <c r="B1376" s="29" t="n">
        <v>43216</v>
      </c>
      <c r="C1376" t="inlineStr">
        <is>
          <t>2018-04</t>
        </is>
      </c>
      <c r="D1376" t="inlineStr">
        <is>
          <t>40dec9f3d5259a3d2dbcdab2114fae47</t>
        </is>
      </c>
      <c r="E1376" t="inlineStr">
        <is>
          <t>paid_search</t>
        </is>
      </c>
      <c r="F1376">
        <f>IFERROR(MATCH(A1376,Deals!$A$2:$A$843,0),"")</f>
        <v/>
      </c>
      <c r="G1376">
        <f>IF(F1376="",0,1)</f>
        <v/>
      </c>
      <c r="H1376" s="29">
        <f>IF(F1376="","",INDEX(Deals!$E$2:$E$843,F1376))</f>
        <v/>
      </c>
      <c r="I1376">
        <f>IF(F1376="","",INDEX(Deals!$D$2:$D$843,F1376))</f>
        <v/>
      </c>
      <c r="J1376">
        <f>IF(F1376="","",INT(H1376)-B1376)</f>
        <v/>
      </c>
      <c r="K1376">
        <f>IF(B1376&gt;=Settings!$C$5,1,0)</f>
        <v/>
      </c>
    </row>
    <row r="1377">
      <c r="A1377" t="inlineStr">
        <is>
          <t>8f70501a1a3952f03cde5658fc336fb5</t>
        </is>
      </c>
      <c r="B1377" s="29" t="n">
        <v>43250</v>
      </c>
      <c r="C1377" t="inlineStr">
        <is>
          <t>2018-05</t>
        </is>
      </c>
      <c r="D1377" t="inlineStr">
        <is>
          <t>a7982125ff7aa3b2054c6e44f9d28522</t>
        </is>
      </c>
      <c r="E1377" t="inlineStr">
        <is>
          <t>unknown</t>
        </is>
      </c>
      <c r="F1377">
        <f>IFERROR(MATCH(A1377,Deals!$A$2:$A$843,0),"")</f>
        <v/>
      </c>
      <c r="G1377">
        <f>IF(F1377="",0,1)</f>
        <v/>
      </c>
      <c r="H1377" s="29">
        <f>IF(F1377="","",INDEX(Deals!$E$2:$E$843,F1377))</f>
        <v/>
      </c>
      <c r="I1377">
        <f>IF(F1377="","",INDEX(Deals!$D$2:$D$843,F1377))</f>
        <v/>
      </c>
      <c r="J1377">
        <f>IF(F1377="","",INT(H1377)-B1377)</f>
        <v/>
      </c>
      <c r="K1377">
        <f>IF(B1377&gt;=Settings!$C$5,1,0)</f>
        <v/>
      </c>
    </row>
    <row r="1378">
      <c r="A1378" t="inlineStr">
        <is>
          <t>819fefda81994b411a379b51918baa45</t>
        </is>
      </c>
      <c r="B1378" s="29" t="n">
        <v>43206</v>
      </c>
      <c r="C1378" t="inlineStr">
        <is>
          <t>2018-04</t>
        </is>
      </c>
      <c r="D1378" t="inlineStr">
        <is>
          <t>5dc848e7dd9418dffe183215b8ff0bc1</t>
        </is>
      </c>
      <c r="E1378" t="inlineStr">
        <is>
          <t>paid_search</t>
        </is>
      </c>
      <c r="F1378">
        <f>IFERROR(MATCH(A1378,Deals!$A$2:$A$843,0),"")</f>
        <v/>
      </c>
      <c r="G1378">
        <f>IF(F1378="",0,1)</f>
        <v/>
      </c>
      <c r="H1378" s="29">
        <f>IF(F1378="","",INDEX(Deals!$E$2:$E$843,F1378))</f>
        <v/>
      </c>
      <c r="I1378">
        <f>IF(F1378="","",INDEX(Deals!$D$2:$D$843,F1378))</f>
        <v/>
      </c>
      <c r="J1378">
        <f>IF(F1378="","",INT(H1378)-B1378)</f>
        <v/>
      </c>
      <c r="K1378">
        <f>IF(B1378&gt;=Settings!$C$5,1,0)</f>
        <v/>
      </c>
    </row>
    <row r="1379">
      <c r="A1379" t="inlineStr">
        <is>
          <t>ad60db0f60a9cd81725966012b05c204</t>
        </is>
      </c>
      <c r="B1379" s="29" t="n">
        <v>43203</v>
      </c>
      <c r="C1379" t="inlineStr">
        <is>
          <t>2018-04</t>
        </is>
      </c>
      <c r="D1379" t="inlineStr">
        <is>
          <t>58326e62183c14b0c03085c33b9fdc44</t>
        </is>
      </c>
      <c r="E1379" t="inlineStr">
        <is>
          <t>social</t>
        </is>
      </c>
      <c r="F1379">
        <f>IFERROR(MATCH(A1379,Deals!$A$2:$A$843,0),"")</f>
        <v/>
      </c>
      <c r="G1379">
        <f>IF(F1379="",0,1)</f>
        <v/>
      </c>
      <c r="H1379" s="29">
        <f>IF(F1379="","",INDEX(Deals!$E$2:$E$843,F1379))</f>
        <v/>
      </c>
      <c r="I1379">
        <f>IF(F1379="","",INDEX(Deals!$D$2:$D$843,F1379))</f>
        <v/>
      </c>
      <c r="J1379">
        <f>IF(F1379="","",INT(H1379)-B1379)</f>
        <v/>
      </c>
      <c r="K1379">
        <f>IF(B1379&gt;=Settings!$C$5,1,0)</f>
        <v/>
      </c>
    </row>
    <row r="1380">
      <c r="A1380" t="inlineStr">
        <is>
          <t>ebe1c90bb54693ad08a177ae924f626d</t>
        </is>
      </c>
      <c r="B1380" s="29" t="n">
        <v>43140</v>
      </c>
      <c r="C1380" t="inlineStr">
        <is>
          <t>2018-02</t>
        </is>
      </c>
      <c r="D1380" t="inlineStr">
        <is>
          <t>30077c17f2ec5010a82e37ad8925b95f</t>
        </is>
      </c>
      <c r="E1380" t="inlineStr">
        <is>
          <t>organic_search</t>
        </is>
      </c>
      <c r="F1380">
        <f>IFERROR(MATCH(A1380,Deals!$A$2:$A$843,0),"")</f>
        <v/>
      </c>
      <c r="G1380">
        <f>IF(F1380="",0,1)</f>
        <v/>
      </c>
      <c r="H1380" s="29">
        <f>IF(F1380="","",INDEX(Deals!$E$2:$E$843,F1380))</f>
        <v/>
      </c>
      <c r="I1380">
        <f>IF(F1380="","",INDEX(Deals!$D$2:$D$843,F1380))</f>
        <v/>
      </c>
      <c r="J1380">
        <f>IF(F1380="","",INT(H1380)-B1380)</f>
        <v/>
      </c>
      <c r="K1380">
        <f>IF(B1380&gt;=Settings!$C$5,1,0)</f>
        <v/>
      </c>
    </row>
    <row r="1381">
      <c r="A1381" t="inlineStr">
        <is>
          <t>55d1cc840df0aaa9d74820a382761d6b</t>
        </is>
      </c>
      <c r="B1381" s="29" t="n">
        <v>43063</v>
      </c>
      <c r="C1381" t="inlineStr">
        <is>
          <t>2017-11</t>
        </is>
      </c>
      <c r="D1381" t="inlineStr">
        <is>
          <t>65d9f9d71e562365e8b44037c2888d98</t>
        </is>
      </c>
      <c r="E1381" t="inlineStr">
        <is>
          <t>organic_search</t>
        </is>
      </c>
      <c r="F1381">
        <f>IFERROR(MATCH(A1381,Deals!$A$2:$A$843,0),"")</f>
        <v/>
      </c>
      <c r="G1381">
        <f>IF(F1381="",0,1)</f>
        <v/>
      </c>
      <c r="H1381" s="29">
        <f>IF(F1381="","",INDEX(Deals!$E$2:$E$843,F1381))</f>
        <v/>
      </c>
      <c r="I1381">
        <f>IF(F1381="","",INDEX(Deals!$D$2:$D$843,F1381))</f>
        <v/>
      </c>
      <c r="J1381">
        <f>IF(F1381="","",INT(H1381)-B1381)</f>
        <v/>
      </c>
      <c r="K1381">
        <f>IF(B1381&gt;=Settings!$C$5,1,0)</f>
        <v/>
      </c>
    </row>
    <row r="1382">
      <c r="A1382" t="inlineStr">
        <is>
          <t>ae2772b21b613743d53e95ec3d6e7041</t>
        </is>
      </c>
      <c r="B1382" s="29" t="n">
        <v>43137</v>
      </c>
      <c r="C1382" t="inlineStr">
        <is>
          <t>2018-02</t>
        </is>
      </c>
      <c r="D1382" t="inlineStr">
        <is>
          <t>e42a14209c69c3e9cc6b042620465f12</t>
        </is>
      </c>
      <c r="E1382" t="inlineStr">
        <is>
          <t>display</t>
        </is>
      </c>
      <c r="F1382">
        <f>IFERROR(MATCH(A1382,Deals!$A$2:$A$843,0),"")</f>
        <v/>
      </c>
      <c r="G1382">
        <f>IF(F1382="",0,1)</f>
        <v/>
      </c>
      <c r="H1382" s="29">
        <f>IF(F1382="","",INDEX(Deals!$E$2:$E$843,F1382))</f>
        <v/>
      </c>
      <c r="I1382">
        <f>IF(F1382="","",INDEX(Deals!$D$2:$D$843,F1382))</f>
        <v/>
      </c>
      <c r="J1382">
        <f>IF(F1382="","",INT(H1382)-B1382)</f>
        <v/>
      </c>
      <c r="K1382">
        <f>IF(B1382&gt;=Settings!$C$5,1,0)</f>
        <v/>
      </c>
    </row>
    <row r="1383">
      <c r="A1383" t="inlineStr">
        <is>
          <t>ffb6437e88796895205633f3ef695f66</t>
        </is>
      </c>
      <c r="B1383" s="29" t="n">
        <v>43116</v>
      </c>
      <c r="C1383" t="inlineStr">
        <is>
          <t>2018-01</t>
        </is>
      </c>
      <c r="D1383" t="inlineStr">
        <is>
          <t>22c29808c4f815213303f8933030604c</t>
        </is>
      </c>
      <c r="E1383" t="inlineStr">
        <is>
          <t>organic_search</t>
        </is>
      </c>
      <c r="F1383">
        <f>IFERROR(MATCH(A1383,Deals!$A$2:$A$843,0),"")</f>
        <v/>
      </c>
      <c r="G1383">
        <f>IF(F1383="",0,1)</f>
        <v/>
      </c>
      <c r="H1383" s="29">
        <f>IF(F1383="","",INDEX(Deals!$E$2:$E$843,F1383))</f>
        <v/>
      </c>
      <c r="I1383">
        <f>IF(F1383="","",INDEX(Deals!$D$2:$D$843,F1383))</f>
        <v/>
      </c>
      <c r="J1383">
        <f>IF(F1383="","",INT(H1383)-B1383)</f>
        <v/>
      </c>
      <c r="K1383">
        <f>IF(B1383&gt;=Settings!$C$5,1,0)</f>
        <v/>
      </c>
    </row>
    <row r="1384">
      <c r="A1384" t="inlineStr">
        <is>
          <t>5b310acc61b824bed34736ac28969bef</t>
        </is>
      </c>
      <c r="B1384" s="29" t="n">
        <v>43186</v>
      </c>
      <c r="C1384" t="inlineStr">
        <is>
          <t>2018-03</t>
        </is>
      </c>
      <c r="D1384" t="inlineStr">
        <is>
          <t>b76ef37428e6799c421989521c0e5077</t>
        </is>
      </c>
      <c r="E1384" t="inlineStr">
        <is>
          <t>unknown</t>
        </is>
      </c>
      <c r="F1384">
        <f>IFERROR(MATCH(A1384,Deals!$A$2:$A$843,0),"")</f>
        <v/>
      </c>
      <c r="G1384">
        <f>IF(F1384="",0,1)</f>
        <v/>
      </c>
      <c r="H1384" s="29">
        <f>IF(F1384="","",INDEX(Deals!$E$2:$E$843,F1384))</f>
        <v/>
      </c>
      <c r="I1384">
        <f>IF(F1384="","",INDEX(Deals!$D$2:$D$843,F1384))</f>
        <v/>
      </c>
      <c r="J1384">
        <f>IF(F1384="","",INT(H1384)-B1384)</f>
        <v/>
      </c>
      <c r="K1384">
        <f>IF(B1384&gt;=Settings!$C$5,1,0)</f>
        <v/>
      </c>
    </row>
    <row r="1385">
      <c r="A1385" t="inlineStr">
        <is>
          <t>87159df0dcd6d3b95e9f8219091c28d2</t>
        </is>
      </c>
      <c r="B1385" s="29" t="n">
        <v>43161</v>
      </c>
      <c r="C1385" t="inlineStr">
        <is>
          <t>2018-03</t>
        </is>
      </c>
      <c r="D1385" t="inlineStr">
        <is>
          <t>b76ef37428e6799c421989521c0e5077</t>
        </is>
      </c>
      <c r="E1385" t="inlineStr">
        <is>
          <t>unknown</t>
        </is>
      </c>
      <c r="F1385">
        <f>IFERROR(MATCH(A1385,Deals!$A$2:$A$843,0),"")</f>
        <v/>
      </c>
      <c r="G1385">
        <f>IF(F1385="",0,1)</f>
        <v/>
      </c>
      <c r="H1385" s="29">
        <f>IF(F1385="","",INDEX(Deals!$E$2:$E$843,F1385))</f>
        <v/>
      </c>
      <c r="I1385">
        <f>IF(F1385="","",INDEX(Deals!$D$2:$D$843,F1385))</f>
        <v/>
      </c>
      <c r="J1385">
        <f>IF(F1385="","",INT(H1385)-B1385)</f>
        <v/>
      </c>
      <c r="K1385">
        <f>IF(B1385&gt;=Settings!$C$5,1,0)</f>
        <v/>
      </c>
    </row>
    <row r="1386">
      <c r="A1386" t="inlineStr">
        <is>
          <t>ff1aa43b2085763b0cbe5bf95aaad9a7</t>
        </is>
      </c>
      <c r="B1386" s="29" t="n">
        <v>43136</v>
      </c>
      <c r="C1386" t="inlineStr">
        <is>
          <t>2018-02</t>
        </is>
      </c>
      <c r="D1386" t="inlineStr">
        <is>
          <t>40dec9f3d5259a3d2dbcdab2114fae47</t>
        </is>
      </c>
      <c r="E1386" t="inlineStr">
        <is>
          <t>paid_search</t>
        </is>
      </c>
      <c r="F1386">
        <f>IFERROR(MATCH(A1386,Deals!$A$2:$A$843,0),"")</f>
        <v/>
      </c>
      <c r="G1386">
        <f>IF(F1386="",0,1)</f>
        <v/>
      </c>
      <c r="H1386" s="29">
        <f>IF(F1386="","",INDEX(Deals!$E$2:$E$843,F1386))</f>
        <v/>
      </c>
      <c r="I1386">
        <f>IF(F1386="","",INDEX(Deals!$D$2:$D$843,F1386))</f>
        <v/>
      </c>
      <c r="J1386">
        <f>IF(F1386="","",INT(H1386)-B1386)</f>
        <v/>
      </c>
      <c r="K1386">
        <f>IF(B1386&gt;=Settings!$C$5,1,0)</f>
        <v/>
      </c>
    </row>
    <row r="1387">
      <c r="A1387" t="inlineStr">
        <is>
          <t>af446d9d4f5e0474ee0a18d0491bc555</t>
        </is>
      </c>
      <c r="B1387" s="29" t="n">
        <v>43244</v>
      </c>
      <c r="C1387" t="inlineStr">
        <is>
          <t>2018-05</t>
        </is>
      </c>
      <c r="D1387" t="inlineStr">
        <is>
          <t>58326e62183c14b0c03085c33b9fdc44</t>
        </is>
      </c>
      <c r="E1387" t="inlineStr">
        <is>
          <t>social</t>
        </is>
      </c>
      <c r="F1387">
        <f>IFERROR(MATCH(A1387,Deals!$A$2:$A$843,0),"")</f>
        <v/>
      </c>
      <c r="G1387">
        <f>IF(F1387="",0,1)</f>
        <v/>
      </c>
      <c r="H1387" s="29">
        <f>IF(F1387="","",INDEX(Deals!$E$2:$E$843,F1387))</f>
        <v/>
      </c>
      <c r="I1387">
        <f>IF(F1387="","",INDEX(Deals!$D$2:$D$843,F1387))</f>
        <v/>
      </c>
      <c r="J1387">
        <f>IF(F1387="","",INT(H1387)-B1387)</f>
        <v/>
      </c>
      <c r="K1387">
        <f>IF(B1387&gt;=Settings!$C$5,1,0)</f>
        <v/>
      </c>
    </row>
    <row r="1388">
      <c r="A1388" t="inlineStr">
        <is>
          <t>3b551566417922917db5fab6953a4a41</t>
        </is>
      </c>
      <c r="B1388" s="29" t="n">
        <v>43193</v>
      </c>
      <c r="C1388" t="inlineStr">
        <is>
          <t>2018-04</t>
        </is>
      </c>
      <c r="D1388" t="inlineStr">
        <is>
          <t>22c29808c4f815213303f8933030604c</t>
        </is>
      </c>
      <c r="E1388" t="inlineStr">
        <is>
          <t>direct_traffic</t>
        </is>
      </c>
      <c r="F1388">
        <f>IFERROR(MATCH(A1388,Deals!$A$2:$A$843,0),"")</f>
        <v/>
      </c>
      <c r="G1388">
        <f>IF(F1388="",0,1)</f>
        <v/>
      </c>
      <c r="H1388" s="29">
        <f>IF(F1388="","",INDEX(Deals!$E$2:$E$843,F1388))</f>
        <v/>
      </c>
      <c r="I1388">
        <f>IF(F1388="","",INDEX(Deals!$D$2:$D$843,F1388))</f>
        <v/>
      </c>
      <c r="J1388">
        <f>IF(F1388="","",INT(H1388)-B1388)</f>
        <v/>
      </c>
      <c r="K1388">
        <f>IF(B1388&gt;=Settings!$C$5,1,0)</f>
        <v/>
      </c>
    </row>
    <row r="1389">
      <c r="A1389" t="inlineStr">
        <is>
          <t>96c9f1595495506df084b0966e40432e</t>
        </is>
      </c>
      <c r="B1389" s="29" t="n">
        <v>43055</v>
      </c>
      <c r="C1389" t="inlineStr">
        <is>
          <t>2017-11</t>
        </is>
      </c>
      <c r="D1389" t="inlineStr">
        <is>
          <t>f017be4dbf86243af5c1ebed0cff36a2</t>
        </is>
      </c>
      <c r="E1389" t="inlineStr">
        <is>
          <t>paid_search</t>
        </is>
      </c>
      <c r="F1389">
        <f>IFERROR(MATCH(A1389,Deals!$A$2:$A$843,0),"")</f>
        <v/>
      </c>
      <c r="G1389">
        <f>IF(F1389="",0,1)</f>
        <v/>
      </c>
      <c r="H1389" s="29">
        <f>IF(F1389="","",INDEX(Deals!$E$2:$E$843,F1389))</f>
        <v/>
      </c>
      <c r="I1389">
        <f>IF(F1389="","",INDEX(Deals!$D$2:$D$843,F1389))</f>
        <v/>
      </c>
      <c r="J1389">
        <f>IF(F1389="","",INT(H1389)-B1389)</f>
        <v/>
      </c>
      <c r="K1389">
        <f>IF(B1389&gt;=Settings!$C$5,1,0)</f>
        <v/>
      </c>
    </row>
    <row r="1390">
      <c r="A1390" t="inlineStr">
        <is>
          <t>1db09dff7179e16fd2ef7005b34a2e12</t>
        </is>
      </c>
      <c r="B1390" s="29" t="n">
        <v>43192</v>
      </c>
      <c r="C1390" t="inlineStr">
        <is>
          <t>2018-04</t>
        </is>
      </c>
      <c r="D1390" t="inlineStr">
        <is>
          <t>b76ef37428e6799c421989521c0e5077</t>
        </is>
      </c>
      <c r="E1390" t="inlineStr">
        <is>
          <t>display</t>
        </is>
      </c>
      <c r="F1390">
        <f>IFERROR(MATCH(A1390,Deals!$A$2:$A$843,0),"")</f>
        <v/>
      </c>
      <c r="G1390">
        <f>IF(F1390="",0,1)</f>
        <v/>
      </c>
      <c r="H1390" s="29">
        <f>IF(F1390="","",INDEX(Deals!$E$2:$E$843,F1390))</f>
        <v/>
      </c>
      <c r="I1390">
        <f>IF(F1390="","",INDEX(Deals!$D$2:$D$843,F1390))</f>
        <v/>
      </c>
      <c r="J1390">
        <f>IF(F1390="","",INT(H1390)-B1390)</f>
        <v/>
      </c>
      <c r="K1390">
        <f>IF(B1390&gt;=Settings!$C$5,1,0)</f>
        <v/>
      </c>
    </row>
    <row r="1391">
      <c r="A1391" t="inlineStr">
        <is>
          <t>d6137197f40a5b7916e5e9cbbbab739e</t>
        </is>
      </c>
      <c r="B1391" s="29" t="n">
        <v>43004</v>
      </c>
      <c r="C1391" t="inlineStr">
        <is>
          <t>2017-09</t>
        </is>
      </c>
      <c r="D1391" t="inlineStr">
        <is>
          <t>22c29808c4f815213303f8933030604c</t>
        </is>
      </c>
      <c r="E1391" t="inlineStr">
        <is>
          <t>organic_search</t>
        </is>
      </c>
      <c r="F1391">
        <f>IFERROR(MATCH(A1391,Deals!$A$2:$A$843,0),"")</f>
        <v/>
      </c>
      <c r="G1391">
        <f>IF(F1391="",0,1)</f>
        <v/>
      </c>
      <c r="H1391" s="29">
        <f>IF(F1391="","",INDEX(Deals!$E$2:$E$843,F1391))</f>
        <v/>
      </c>
      <c r="I1391">
        <f>IF(F1391="","",INDEX(Deals!$D$2:$D$843,F1391))</f>
        <v/>
      </c>
      <c r="J1391">
        <f>IF(F1391="","",INT(H1391)-B1391)</f>
        <v/>
      </c>
      <c r="K1391">
        <f>IF(B1391&gt;=Settings!$C$5,1,0)</f>
        <v/>
      </c>
    </row>
    <row r="1392">
      <c r="A1392" t="inlineStr">
        <is>
          <t>d334c7dfa96b5fd5cc4f23e76e8b4166</t>
        </is>
      </c>
      <c r="B1392" s="29" t="n">
        <v>43116</v>
      </c>
      <c r="C1392" t="inlineStr">
        <is>
          <t>2018-01</t>
        </is>
      </c>
      <c r="D1392" t="inlineStr">
        <is>
          <t>22c29808c4f815213303f8933030604c</t>
        </is>
      </c>
      <c r="E1392" t="inlineStr">
        <is>
          <t>paid_search</t>
        </is>
      </c>
      <c r="F1392">
        <f>IFERROR(MATCH(A1392,Deals!$A$2:$A$843,0),"")</f>
        <v/>
      </c>
      <c r="G1392">
        <f>IF(F1392="",0,1)</f>
        <v/>
      </c>
      <c r="H1392" s="29">
        <f>IF(F1392="","",INDEX(Deals!$E$2:$E$843,F1392))</f>
        <v/>
      </c>
      <c r="I1392">
        <f>IF(F1392="","",INDEX(Deals!$D$2:$D$843,F1392))</f>
        <v/>
      </c>
      <c r="J1392">
        <f>IF(F1392="","",INT(H1392)-B1392)</f>
        <v/>
      </c>
      <c r="K1392">
        <f>IF(B1392&gt;=Settings!$C$5,1,0)</f>
        <v/>
      </c>
    </row>
    <row r="1393">
      <c r="A1393" t="inlineStr">
        <is>
          <t>bd0027406f48f714d12dc1de747133cf</t>
        </is>
      </c>
      <c r="B1393" s="29" t="n">
        <v>43126</v>
      </c>
      <c r="C1393" t="inlineStr">
        <is>
          <t>2018-01</t>
        </is>
      </c>
      <c r="D1393" t="inlineStr">
        <is>
          <t>22c29808c4f815213303f8933030604c</t>
        </is>
      </c>
      <c r="E1393" t="inlineStr">
        <is>
          <t>organic_search</t>
        </is>
      </c>
      <c r="F1393">
        <f>IFERROR(MATCH(A1393,Deals!$A$2:$A$843,0),"")</f>
        <v/>
      </c>
      <c r="G1393">
        <f>IF(F1393="",0,1)</f>
        <v/>
      </c>
      <c r="H1393" s="29">
        <f>IF(F1393="","",INDEX(Deals!$E$2:$E$843,F1393))</f>
        <v/>
      </c>
      <c r="I1393">
        <f>IF(F1393="","",INDEX(Deals!$D$2:$D$843,F1393))</f>
        <v/>
      </c>
      <c r="J1393">
        <f>IF(F1393="","",INT(H1393)-B1393)</f>
        <v/>
      </c>
      <c r="K1393">
        <f>IF(B1393&gt;=Settings!$C$5,1,0)</f>
        <v/>
      </c>
    </row>
    <row r="1394">
      <c r="A1394" t="inlineStr">
        <is>
          <t>89f569993f4af498b320aaaf4eb610c3</t>
        </is>
      </c>
      <c r="B1394" s="29" t="n">
        <v>43164</v>
      </c>
      <c r="C1394" t="inlineStr">
        <is>
          <t>2018-03</t>
        </is>
      </c>
      <c r="D1394" t="inlineStr">
        <is>
          <t>88740e65d5d6b056e0cda098e1ea6313</t>
        </is>
      </c>
      <c r="E1394" t="inlineStr">
        <is>
          <t>social</t>
        </is>
      </c>
      <c r="F1394">
        <f>IFERROR(MATCH(A1394,Deals!$A$2:$A$843,0),"")</f>
        <v/>
      </c>
      <c r="G1394">
        <f>IF(F1394="",0,1)</f>
        <v/>
      </c>
      <c r="H1394" s="29">
        <f>IF(F1394="","",INDEX(Deals!$E$2:$E$843,F1394))</f>
        <v/>
      </c>
      <c r="I1394">
        <f>IF(F1394="","",INDEX(Deals!$D$2:$D$843,F1394))</f>
        <v/>
      </c>
      <c r="J1394">
        <f>IF(F1394="","",INT(H1394)-B1394)</f>
        <v/>
      </c>
      <c r="K1394">
        <f>IF(B1394&gt;=Settings!$C$5,1,0)</f>
        <v/>
      </c>
    </row>
    <row r="1395">
      <c r="A1395" t="inlineStr">
        <is>
          <t>9b6edcffd428da99ae60cc01049a8403</t>
        </is>
      </c>
      <c r="B1395" s="29" t="n">
        <v>43223</v>
      </c>
      <c r="C1395" t="inlineStr">
        <is>
          <t>2018-05</t>
        </is>
      </c>
      <c r="D1395" t="inlineStr">
        <is>
          <t>b76ef37428e6799c421989521c0e5077</t>
        </is>
      </c>
      <c r="E1395" t="inlineStr">
        <is>
          <t>unknown</t>
        </is>
      </c>
      <c r="F1395">
        <f>IFERROR(MATCH(A1395,Deals!$A$2:$A$843,0),"")</f>
        <v/>
      </c>
      <c r="G1395">
        <f>IF(F1395="",0,1)</f>
        <v/>
      </c>
      <c r="H1395" s="29">
        <f>IF(F1395="","",INDEX(Deals!$E$2:$E$843,F1395))</f>
        <v/>
      </c>
      <c r="I1395">
        <f>IF(F1395="","",INDEX(Deals!$D$2:$D$843,F1395))</f>
        <v/>
      </c>
      <c r="J1395">
        <f>IF(F1395="","",INT(H1395)-B1395)</f>
        <v/>
      </c>
      <c r="K1395">
        <f>IF(B1395&gt;=Settings!$C$5,1,0)</f>
        <v/>
      </c>
    </row>
    <row r="1396">
      <c r="A1396" t="inlineStr">
        <is>
          <t>16d6ee3ca938689918718cc3b332fc35</t>
        </is>
      </c>
      <c r="B1396" s="29" t="n">
        <v>43159</v>
      </c>
      <c r="C1396" t="inlineStr">
        <is>
          <t>2018-02</t>
        </is>
      </c>
      <c r="D1396" t="inlineStr">
        <is>
          <t>a0fbc0263cb98bdb0d72b9f9f283a172</t>
        </is>
      </c>
      <c r="E1396" t="inlineStr">
        <is>
          <t>paid_search</t>
        </is>
      </c>
      <c r="F1396">
        <f>IFERROR(MATCH(A1396,Deals!$A$2:$A$843,0),"")</f>
        <v/>
      </c>
      <c r="G1396">
        <f>IF(F1396="",0,1)</f>
        <v/>
      </c>
      <c r="H1396" s="29">
        <f>IF(F1396="","",INDEX(Deals!$E$2:$E$843,F1396))</f>
        <v/>
      </c>
      <c r="I1396">
        <f>IF(F1396="","",INDEX(Deals!$D$2:$D$843,F1396))</f>
        <v/>
      </c>
      <c r="J1396">
        <f>IF(F1396="","",INT(H1396)-B1396)</f>
        <v/>
      </c>
      <c r="K1396">
        <f>IF(B1396&gt;=Settings!$C$5,1,0)</f>
        <v/>
      </c>
    </row>
    <row r="1397">
      <c r="A1397" t="inlineStr">
        <is>
          <t>67b46df8fd1c23206e0572850ac213b5</t>
        </is>
      </c>
      <c r="B1397" s="29" t="n">
        <v>43104</v>
      </c>
      <c r="C1397" t="inlineStr">
        <is>
          <t>2018-01</t>
        </is>
      </c>
      <c r="D1397" t="inlineStr">
        <is>
          <t>b76ef37428e6799c421989521c0e5077</t>
        </is>
      </c>
      <c r="E1397" t="inlineStr">
        <is>
          <t>unknown</t>
        </is>
      </c>
      <c r="F1397">
        <f>IFERROR(MATCH(A1397,Deals!$A$2:$A$843,0),"")</f>
        <v/>
      </c>
      <c r="G1397">
        <f>IF(F1397="",0,1)</f>
        <v/>
      </c>
      <c r="H1397" s="29">
        <f>IF(F1397="","",INDEX(Deals!$E$2:$E$843,F1397))</f>
        <v/>
      </c>
      <c r="I1397">
        <f>IF(F1397="","",INDEX(Deals!$D$2:$D$843,F1397))</f>
        <v/>
      </c>
      <c r="J1397">
        <f>IF(F1397="","",INT(H1397)-B1397)</f>
        <v/>
      </c>
      <c r="K1397">
        <f>IF(B1397&gt;=Settings!$C$5,1,0)</f>
        <v/>
      </c>
    </row>
    <row r="1398">
      <c r="A1398" t="inlineStr">
        <is>
          <t>84ab4eb1857955a253918acfb633998d</t>
        </is>
      </c>
      <c r="B1398" s="29" t="n">
        <v>43024</v>
      </c>
      <c r="C1398" t="inlineStr">
        <is>
          <t>2017-10</t>
        </is>
      </c>
      <c r="D1398" t="inlineStr">
        <is>
          <t>b76ef37428e6799c421989521c0e5077</t>
        </is>
      </c>
      <c r="E1398" t="inlineStr">
        <is>
          <t>paid_search</t>
        </is>
      </c>
      <c r="F1398">
        <f>IFERROR(MATCH(A1398,Deals!$A$2:$A$843,0),"")</f>
        <v/>
      </c>
      <c r="G1398">
        <f>IF(F1398="",0,1)</f>
        <v/>
      </c>
      <c r="H1398" s="29">
        <f>IF(F1398="","",INDEX(Deals!$E$2:$E$843,F1398))</f>
        <v/>
      </c>
      <c r="I1398">
        <f>IF(F1398="","",INDEX(Deals!$D$2:$D$843,F1398))</f>
        <v/>
      </c>
      <c r="J1398">
        <f>IF(F1398="","",INT(H1398)-B1398)</f>
        <v/>
      </c>
      <c r="K1398">
        <f>IF(B1398&gt;=Settings!$C$5,1,0)</f>
        <v/>
      </c>
    </row>
    <row r="1399">
      <c r="A1399" t="inlineStr">
        <is>
          <t>ca78c4487af4257616699a353ccaf296</t>
        </is>
      </c>
      <c r="B1399" s="29" t="n">
        <v>43180</v>
      </c>
      <c r="C1399" t="inlineStr">
        <is>
          <t>2018-03</t>
        </is>
      </c>
      <c r="D1399" t="inlineStr">
        <is>
          <t>22c29808c4f815213303f8933030604c</t>
        </is>
      </c>
      <c r="E1399" t="inlineStr">
        <is>
          <t>organic_search</t>
        </is>
      </c>
      <c r="F1399">
        <f>IFERROR(MATCH(A1399,Deals!$A$2:$A$843,0),"")</f>
        <v/>
      </c>
      <c r="G1399">
        <f>IF(F1399="",0,1)</f>
        <v/>
      </c>
      <c r="H1399" s="29">
        <f>IF(F1399="","",INDEX(Deals!$E$2:$E$843,F1399))</f>
        <v/>
      </c>
      <c r="I1399">
        <f>IF(F1399="","",INDEX(Deals!$D$2:$D$843,F1399))</f>
        <v/>
      </c>
      <c r="J1399">
        <f>IF(F1399="","",INT(H1399)-B1399)</f>
        <v/>
      </c>
      <c r="K1399">
        <f>IF(B1399&gt;=Settings!$C$5,1,0)</f>
        <v/>
      </c>
    </row>
    <row r="1400">
      <c r="A1400" t="inlineStr">
        <is>
          <t>216d47b84e01adc02b49eead5b32f9e0</t>
        </is>
      </c>
      <c r="B1400" s="29" t="n">
        <v>43218</v>
      </c>
      <c r="C1400" t="inlineStr">
        <is>
          <t>2018-04</t>
        </is>
      </c>
      <c r="D1400" t="inlineStr">
        <is>
          <t>ce1a65abd0973638f1c887a6efcfa82d</t>
        </is>
      </c>
      <c r="E1400" t="inlineStr">
        <is>
          <t>paid_search</t>
        </is>
      </c>
      <c r="F1400">
        <f>IFERROR(MATCH(A1400,Deals!$A$2:$A$843,0),"")</f>
        <v/>
      </c>
      <c r="G1400">
        <f>IF(F1400="",0,1)</f>
        <v/>
      </c>
      <c r="H1400" s="29">
        <f>IF(F1400="","",INDEX(Deals!$E$2:$E$843,F1400))</f>
        <v/>
      </c>
      <c r="I1400">
        <f>IF(F1400="","",INDEX(Deals!$D$2:$D$843,F1400))</f>
        <v/>
      </c>
      <c r="J1400">
        <f>IF(F1400="","",INT(H1400)-B1400)</f>
        <v/>
      </c>
      <c r="K1400">
        <f>IF(B1400&gt;=Settings!$C$5,1,0)</f>
        <v/>
      </c>
    </row>
    <row r="1401">
      <c r="A1401" t="inlineStr">
        <is>
          <t>0ff73ca20cd787c5b817aff62e7890da</t>
        </is>
      </c>
      <c r="B1401" s="29" t="n">
        <v>43205</v>
      </c>
      <c r="C1401" t="inlineStr">
        <is>
          <t>2018-04</t>
        </is>
      </c>
      <c r="D1401" t="inlineStr">
        <is>
          <t>58326e62183c14b0c03085c33b9fdc44</t>
        </is>
      </c>
      <c r="E1401" t="inlineStr">
        <is>
          <t>organic_search</t>
        </is>
      </c>
      <c r="F1401">
        <f>IFERROR(MATCH(A1401,Deals!$A$2:$A$843,0),"")</f>
        <v/>
      </c>
      <c r="G1401">
        <f>IF(F1401="",0,1)</f>
        <v/>
      </c>
      <c r="H1401" s="29">
        <f>IF(F1401="","",INDEX(Deals!$E$2:$E$843,F1401))</f>
        <v/>
      </c>
      <c r="I1401">
        <f>IF(F1401="","",INDEX(Deals!$D$2:$D$843,F1401))</f>
        <v/>
      </c>
      <c r="J1401">
        <f>IF(F1401="","",INT(H1401)-B1401)</f>
        <v/>
      </c>
      <c r="K1401">
        <f>IF(B1401&gt;=Settings!$C$5,1,0)</f>
        <v/>
      </c>
    </row>
    <row r="1402">
      <c r="A1402" t="inlineStr">
        <is>
          <t>2270e891659e7141a8f83cb40206205f</t>
        </is>
      </c>
      <c r="B1402" s="29" t="n">
        <v>43246</v>
      </c>
      <c r="C1402" t="inlineStr">
        <is>
          <t>2018-05</t>
        </is>
      </c>
      <c r="D1402" t="inlineStr">
        <is>
          <t>330b9d44078a1ae5a221d655dcb77afa</t>
        </is>
      </c>
      <c r="E1402" t="inlineStr">
        <is>
          <t>email</t>
        </is>
      </c>
      <c r="F1402">
        <f>IFERROR(MATCH(A1402,Deals!$A$2:$A$843,0),"")</f>
        <v/>
      </c>
      <c r="G1402">
        <f>IF(F1402="",0,1)</f>
        <v/>
      </c>
      <c r="H1402" s="29">
        <f>IF(F1402="","",INDEX(Deals!$E$2:$E$843,F1402))</f>
        <v/>
      </c>
      <c r="I1402">
        <f>IF(F1402="","",INDEX(Deals!$D$2:$D$843,F1402))</f>
        <v/>
      </c>
      <c r="J1402">
        <f>IF(F1402="","",INT(H1402)-B1402)</f>
        <v/>
      </c>
      <c r="K1402">
        <f>IF(B1402&gt;=Settings!$C$5,1,0)</f>
        <v/>
      </c>
    </row>
    <row r="1403">
      <c r="A1403" t="inlineStr">
        <is>
          <t>91edf9918caf23ade612be8a563a676b</t>
        </is>
      </c>
      <c r="B1403" s="29" t="n">
        <v>43122</v>
      </c>
      <c r="C1403" t="inlineStr">
        <is>
          <t>2018-01</t>
        </is>
      </c>
      <c r="D1403" t="inlineStr">
        <is>
          <t>b76ef37428e6799c421989521c0e5077</t>
        </is>
      </c>
      <c r="E1403" t="inlineStr">
        <is>
          <t>unknown</t>
        </is>
      </c>
      <c r="F1403">
        <f>IFERROR(MATCH(A1403,Deals!$A$2:$A$843,0),"")</f>
        <v/>
      </c>
      <c r="G1403">
        <f>IF(F1403="",0,1)</f>
        <v/>
      </c>
      <c r="H1403" s="29">
        <f>IF(F1403="","",INDEX(Deals!$E$2:$E$843,F1403))</f>
        <v/>
      </c>
      <c r="I1403">
        <f>IF(F1403="","",INDEX(Deals!$D$2:$D$843,F1403))</f>
        <v/>
      </c>
      <c r="J1403">
        <f>IF(F1403="","",INT(H1403)-B1403)</f>
        <v/>
      </c>
      <c r="K1403">
        <f>IF(B1403&gt;=Settings!$C$5,1,0)</f>
        <v/>
      </c>
    </row>
    <row r="1404">
      <c r="A1404" t="inlineStr">
        <is>
          <t>3cef5274bcca8c30f79c09a2aebc8669</t>
        </is>
      </c>
      <c r="B1404" s="29" t="n">
        <v>43235</v>
      </c>
      <c r="C1404" t="inlineStr">
        <is>
          <t>2018-05</t>
        </is>
      </c>
      <c r="D1404" t="inlineStr">
        <is>
          <t>d83b0d0e48c8447d1d5507a44027a955</t>
        </is>
      </c>
      <c r="E1404" t="inlineStr">
        <is>
          <t>organic_search</t>
        </is>
      </c>
      <c r="F1404">
        <f>IFERROR(MATCH(A1404,Deals!$A$2:$A$843,0),"")</f>
        <v/>
      </c>
      <c r="G1404">
        <f>IF(F1404="",0,1)</f>
        <v/>
      </c>
      <c r="H1404" s="29">
        <f>IF(F1404="","",INDEX(Deals!$E$2:$E$843,F1404))</f>
        <v/>
      </c>
      <c r="I1404">
        <f>IF(F1404="","",INDEX(Deals!$D$2:$D$843,F1404))</f>
        <v/>
      </c>
      <c r="J1404">
        <f>IF(F1404="","",INT(H1404)-B1404)</f>
        <v/>
      </c>
      <c r="K1404">
        <f>IF(B1404&gt;=Settings!$C$5,1,0)</f>
        <v/>
      </c>
    </row>
    <row r="1405">
      <c r="A1405" t="inlineStr">
        <is>
          <t>fc636d6c1cd2fdf06887830a70c377e3</t>
        </is>
      </c>
      <c r="B1405" s="29" t="n">
        <v>43055</v>
      </c>
      <c r="C1405" t="inlineStr">
        <is>
          <t>2017-11</t>
        </is>
      </c>
      <c r="D1405" t="inlineStr">
        <is>
          <t>1722481ac9e5371e5099dea226b5421d</t>
        </is>
      </c>
      <c r="E1405" t="inlineStr">
        <is>
          <t>referral</t>
        </is>
      </c>
      <c r="F1405">
        <f>IFERROR(MATCH(A1405,Deals!$A$2:$A$843,0),"")</f>
        <v/>
      </c>
      <c r="G1405">
        <f>IF(F1405="",0,1)</f>
        <v/>
      </c>
      <c r="H1405" s="29">
        <f>IF(F1405="","",INDEX(Deals!$E$2:$E$843,F1405))</f>
        <v/>
      </c>
      <c r="I1405">
        <f>IF(F1405="","",INDEX(Deals!$D$2:$D$843,F1405))</f>
        <v/>
      </c>
      <c r="J1405">
        <f>IF(F1405="","",INT(H1405)-B1405)</f>
        <v/>
      </c>
      <c r="K1405">
        <f>IF(B1405&gt;=Settings!$C$5,1,0)</f>
        <v/>
      </c>
    </row>
    <row r="1406">
      <c r="A1406" t="inlineStr">
        <is>
          <t>d6181e24bc01e4a832249fa9a2de8470</t>
        </is>
      </c>
      <c r="B1406" s="29" t="n">
        <v>42936</v>
      </c>
      <c r="C1406" t="inlineStr">
        <is>
          <t>2017-07</t>
        </is>
      </c>
      <c r="D1406" t="inlineStr">
        <is>
          <t>09949e05e2c5fa4ba780fe27213bc575</t>
        </is>
      </c>
      <c r="E1406" t="inlineStr">
        <is>
          <t>referral</t>
        </is>
      </c>
      <c r="F1406">
        <f>IFERROR(MATCH(A1406,Deals!$A$2:$A$843,0),"")</f>
        <v/>
      </c>
      <c r="G1406">
        <f>IF(F1406="",0,1)</f>
        <v/>
      </c>
      <c r="H1406" s="29">
        <f>IF(F1406="","",INDEX(Deals!$E$2:$E$843,F1406))</f>
        <v/>
      </c>
      <c r="I1406">
        <f>IF(F1406="","",INDEX(Deals!$D$2:$D$843,F1406))</f>
        <v/>
      </c>
      <c r="J1406">
        <f>IF(F1406="","",INT(H1406)-B1406)</f>
        <v/>
      </c>
      <c r="K1406">
        <f>IF(B1406&gt;=Settings!$C$5,1,0)</f>
        <v/>
      </c>
    </row>
    <row r="1407">
      <c r="A1407" t="inlineStr">
        <is>
          <t>de316fb56f066179bf15b2f2a69f53dd</t>
        </is>
      </c>
      <c r="B1407" s="29" t="n">
        <v>43186</v>
      </c>
      <c r="C1407" t="inlineStr">
        <is>
          <t>2018-03</t>
        </is>
      </c>
      <c r="D1407" t="inlineStr">
        <is>
          <t>73f31a40697cc90a86c1273563ac230e</t>
        </is>
      </c>
      <c r="E1407" t="inlineStr">
        <is>
          <t>other</t>
        </is>
      </c>
      <c r="F1407">
        <f>IFERROR(MATCH(A1407,Deals!$A$2:$A$843,0),"")</f>
        <v/>
      </c>
      <c r="G1407">
        <f>IF(F1407="",0,1)</f>
        <v/>
      </c>
      <c r="H1407" s="29">
        <f>IF(F1407="","",INDEX(Deals!$E$2:$E$843,F1407))</f>
        <v/>
      </c>
      <c r="I1407">
        <f>IF(F1407="","",INDEX(Deals!$D$2:$D$843,F1407))</f>
        <v/>
      </c>
      <c r="J1407">
        <f>IF(F1407="","",INT(H1407)-B1407)</f>
        <v/>
      </c>
      <c r="K1407">
        <f>IF(B1407&gt;=Settings!$C$5,1,0)</f>
        <v/>
      </c>
    </row>
    <row r="1408">
      <c r="A1408" t="inlineStr">
        <is>
          <t>43d500eaaff1ff2bac75c18dea8fb94d</t>
        </is>
      </c>
      <c r="B1408" s="29" t="n">
        <v>43152</v>
      </c>
      <c r="C1408" t="inlineStr">
        <is>
          <t>2018-02</t>
        </is>
      </c>
      <c r="D1408" t="inlineStr">
        <is>
          <t>a7982125ff7aa3b2054c6e44f9d28522</t>
        </is>
      </c>
      <c r="E1408" t="inlineStr">
        <is>
          <t>organic_search</t>
        </is>
      </c>
      <c r="F1408">
        <f>IFERROR(MATCH(A1408,Deals!$A$2:$A$843,0),"")</f>
        <v/>
      </c>
      <c r="G1408">
        <f>IF(F1408="",0,1)</f>
        <v/>
      </c>
      <c r="H1408" s="29">
        <f>IF(F1408="","",INDEX(Deals!$E$2:$E$843,F1408))</f>
        <v/>
      </c>
      <c r="I1408">
        <f>IF(F1408="","",INDEX(Deals!$D$2:$D$843,F1408))</f>
        <v/>
      </c>
      <c r="J1408">
        <f>IF(F1408="","",INT(H1408)-B1408)</f>
        <v/>
      </c>
      <c r="K1408">
        <f>IF(B1408&gt;=Settings!$C$5,1,0)</f>
        <v/>
      </c>
    </row>
    <row r="1409">
      <c r="A1409" t="inlineStr">
        <is>
          <t>56e4bd3f359025fba2d2e080cb2c25a9</t>
        </is>
      </c>
      <c r="B1409" s="29" t="n">
        <v>43165</v>
      </c>
      <c r="C1409" t="inlineStr">
        <is>
          <t>2018-03</t>
        </is>
      </c>
      <c r="D1409" t="inlineStr">
        <is>
          <t>f017be4dbf86243af5c1ebed0cff36a2</t>
        </is>
      </c>
      <c r="E1409" t="inlineStr">
        <is>
          <t>organic_search</t>
        </is>
      </c>
      <c r="F1409">
        <f>IFERROR(MATCH(A1409,Deals!$A$2:$A$843,0),"")</f>
        <v/>
      </c>
      <c r="G1409">
        <f>IF(F1409="",0,1)</f>
        <v/>
      </c>
      <c r="H1409" s="29">
        <f>IF(F1409="","",INDEX(Deals!$E$2:$E$843,F1409))</f>
        <v/>
      </c>
      <c r="I1409">
        <f>IF(F1409="","",INDEX(Deals!$D$2:$D$843,F1409))</f>
        <v/>
      </c>
      <c r="J1409">
        <f>IF(F1409="","",INT(H1409)-B1409)</f>
        <v/>
      </c>
      <c r="K1409">
        <f>IF(B1409&gt;=Settings!$C$5,1,0)</f>
        <v/>
      </c>
    </row>
    <row r="1410">
      <c r="A1410" t="inlineStr">
        <is>
          <t>a7aa1c160e1fcc5540ac260d4b236441</t>
        </is>
      </c>
      <c r="B1410" s="29" t="n">
        <v>43246</v>
      </c>
      <c r="C1410" t="inlineStr">
        <is>
          <t>2018-05</t>
        </is>
      </c>
      <c r="D1410" t="inlineStr">
        <is>
          <t>40acf2a9cf2fe4de391609431f40dfb7</t>
        </is>
      </c>
      <c r="E1410" t="inlineStr">
        <is>
          <t>email</t>
        </is>
      </c>
      <c r="F1410">
        <f>IFERROR(MATCH(A1410,Deals!$A$2:$A$843,0),"")</f>
        <v/>
      </c>
      <c r="G1410">
        <f>IF(F1410="",0,1)</f>
        <v/>
      </c>
      <c r="H1410" s="29">
        <f>IF(F1410="","",INDEX(Deals!$E$2:$E$843,F1410))</f>
        <v/>
      </c>
      <c r="I1410">
        <f>IF(F1410="","",INDEX(Deals!$D$2:$D$843,F1410))</f>
        <v/>
      </c>
      <c r="J1410">
        <f>IF(F1410="","",INT(H1410)-B1410)</f>
        <v/>
      </c>
      <c r="K1410">
        <f>IF(B1410&gt;=Settings!$C$5,1,0)</f>
        <v/>
      </c>
    </row>
    <row r="1411">
      <c r="A1411" t="inlineStr">
        <is>
          <t>a0bee49db548813ba2be7ad75a992df2</t>
        </is>
      </c>
      <c r="B1411" s="29" t="n">
        <v>43228</v>
      </c>
      <c r="C1411" t="inlineStr">
        <is>
          <t>2018-05</t>
        </is>
      </c>
      <c r="D1411" t="inlineStr">
        <is>
          <t>aafc43d934a043b451b1dc5a61943a6b</t>
        </is>
      </c>
      <c r="E1411" t="inlineStr">
        <is>
          <t>organic_search</t>
        </is>
      </c>
      <c r="F1411">
        <f>IFERROR(MATCH(A1411,Deals!$A$2:$A$843,0),"")</f>
        <v/>
      </c>
      <c r="G1411">
        <f>IF(F1411="",0,1)</f>
        <v/>
      </c>
      <c r="H1411" s="29">
        <f>IF(F1411="","",INDEX(Deals!$E$2:$E$843,F1411))</f>
        <v/>
      </c>
      <c r="I1411">
        <f>IF(F1411="","",INDEX(Deals!$D$2:$D$843,F1411))</f>
        <v/>
      </c>
      <c r="J1411">
        <f>IF(F1411="","",INT(H1411)-B1411)</f>
        <v/>
      </c>
      <c r="K1411">
        <f>IF(B1411&gt;=Settings!$C$5,1,0)</f>
        <v/>
      </c>
    </row>
    <row r="1412">
      <c r="A1412" t="inlineStr">
        <is>
          <t>abc853a0085d995d5fc9dbc91e350ed1</t>
        </is>
      </c>
      <c r="B1412" s="29" t="n">
        <v>43227</v>
      </c>
      <c r="C1412" t="inlineStr">
        <is>
          <t>2018-05</t>
        </is>
      </c>
      <c r="D1412" t="inlineStr">
        <is>
          <t>36120633c8737035fbabf079082f4ec1</t>
        </is>
      </c>
      <c r="E1412" t="inlineStr">
        <is>
          <t>social</t>
        </is>
      </c>
      <c r="F1412">
        <f>IFERROR(MATCH(A1412,Deals!$A$2:$A$843,0),"")</f>
        <v/>
      </c>
      <c r="G1412">
        <f>IF(F1412="",0,1)</f>
        <v/>
      </c>
      <c r="H1412" s="29">
        <f>IF(F1412="","",INDEX(Deals!$E$2:$E$843,F1412))</f>
        <v/>
      </c>
      <c r="I1412">
        <f>IF(F1412="","",INDEX(Deals!$D$2:$D$843,F1412))</f>
        <v/>
      </c>
      <c r="J1412">
        <f>IF(F1412="","",INT(H1412)-B1412)</f>
        <v/>
      </c>
      <c r="K1412">
        <f>IF(B1412&gt;=Settings!$C$5,1,0)</f>
        <v/>
      </c>
    </row>
    <row r="1413">
      <c r="A1413" t="inlineStr">
        <is>
          <t>2b3b9fe4c02990377fa615eeb3369ec9</t>
        </is>
      </c>
      <c r="B1413" s="29" t="n">
        <v>43092</v>
      </c>
      <c r="C1413" t="inlineStr">
        <is>
          <t>2017-12</t>
        </is>
      </c>
      <c r="D1413" t="inlineStr">
        <is>
          <t>0f7f8ed9a1db8fc2a42e273972db10d4</t>
        </is>
      </c>
      <c r="E1413" t="inlineStr">
        <is>
          <t>display</t>
        </is>
      </c>
      <c r="F1413">
        <f>IFERROR(MATCH(A1413,Deals!$A$2:$A$843,0),"")</f>
        <v/>
      </c>
      <c r="G1413">
        <f>IF(F1413="",0,1)</f>
        <v/>
      </c>
      <c r="H1413" s="29">
        <f>IF(F1413="","",INDEX(Deals!$E$2:$E$843,F1413))</f>
        <v/>
      </c>
      <c r="I1413">
        <f>IF(F1413="","",INDEX(Deals!$D$2:$D$843,F1413))</f>
        <v/>
      </c>
      <c r="J1413">
        <f>IF(F1413="","",INT(H1413)-B1413)</f>
        <v/>
      </c>
      <c r="K1413">
        <f>IF(B1413&gt;=Settings!$C$5,1,0)</f>
        <v/>
      </c>
    </row>
    <row r="1414">
      <c r="A1414" t="inlineStr">
        <is>
          <t>d6140c51d9f0507b9a747e63e335be7d</t>
        </is>
      </c>
      <c r="B1414" s="29" t="n">
        <v>43242</v>
      </c>
      <c r="C1414" t="inlineStr">
        <is>
          <t>2018-05</t>
        </is>
      </c>
      <c r="D1414" t="inlineStr">
        <is>
          <t>22c29808c4f815213303f8933030604c</t>
        </is>
      </c>
      <c r="E1414" t="inlineStr">
        <is>
          <t>organic_search</t>
        </is>
      </c>
      <c r="F1414">
        <f>IFERROR(MATCH(A1414,Deals!$A$2:$A$843,0),"")</f>
        <v/>
      </c>
      <c r="G1414">
        <f>IF(F1414="",0,1)</f>
        <v/>
      </c>
      <c r="H1414" s="29">
        <f>IF(F1414="","",INDEX(Deals!$E$2:$E$843,F1414))</f>
        <v/>
      </c>
      <c r="I1414">
        <f>IF(F1414="","",INDEX(Deals!$D$2:$D$843,F1414))</f>
        <v/>
      </c>
      <c r="J1414">
        <f>IF(F1414="","",INT(H1414)-B1414)</f>
        <v/>
      </c>
      <c r="K1414">
        <f>IF(B1414&gt;=Settings!$C$5,1,0)</f>
        <v/>
      </c>
    </row>
    <row r="1415">
      <c r="A1415" t="inlineStr">
        <is>
          <t>888bce56d84202318a86efb8cd1c038d</t>
        </is>
      </c>
      <c r="B1415" s="29" t="n">
        <v>43234</v>
      </c>
      <c r="C1415" t="inlineStr">
        <is>
          <t>2018-05</t>
        </is>
      </c>
      <c r="D1415" t="inlineStr">
        <is>
          <t>b76ef37428e6799c421989521c0e5077</t>
        </is>
      </c>
      <c r="E1415" t="inlineStr">
        <is>
          <t>paid_search</t>
        </is>
      </c>
      <c r="F1415">
        <f>IFERROR(MATCH(A1415,Deals!$A$2:$A$843,0),"")</f>
        <v/>
      </c>
      <c r="G1415">
        <f>IF(F1415="",0,1)</f>
        <v/>
      </c>
      <c r="H1415" s="29">
        <f>IF(F1415="","",INDEX(Deals!$E$2:$E$843,F1415))</f>
        <v/>
      </c>
      <c r="I1415">
        <f>IF(F1415="","",INDEX(Deals!$D$2:$D$843,F1415))</f>
        <v/>
      </c>
      <c r="J1415">
        <f>IF(F1415="","",INT(H1415)-B1415)</f>
        <v/>
      </c>
      <c r="K1415">
        <f>IF(B1415&gt;=Settings!$C$5,1,0)</f>
        <v/>
      </c>
    </row>
    <row r="1416">
      <c r="A1416" t="inlineStr">
        <is>
          <t>e9a0ddc40651a765e246e1f4b8c3d3c8</t>
        </is>
      </c>
      <c r="B1416" s="29" t="n">
        <v>42954</v>
      </c>
      <c r="C1416" t="inlineStr">
        <is>
          <t>2017-08</t>
        </is>
      </c>
      <c r="D1416" t="inlineStr">
        <is>
          <t>c70eb6fb5bd6e939b0d5ef32f21f61e8</t>
        </is>
      </c>
      <c r="E1416" t="inlineStr">
        <is>
          <t>organic_search</t>
        </is>
      </c>
      <c r="F1416">
        <f>IFERROR(MATCH(A1416,Deals!$A$2:$A$843,0),"")</f>
        <v/>
      </c>
      <c r="G1416">
        <f>IF(F1416="",0,1)</f>
        <v/>
      </c>
      <c r="H1416" s="29">
        <f>IF(F1416="","",INDEX(Deals!$E$2:$E$843,F1416))</f>
        <v/>
      </c>
      <c r="I1416">
        <f>IF(F1416="","",INDEX(Deals!$D$2:$D$843,F1416))</f>
        <v/>
      </c>
      <c r="J1416">
        <f>IF(F1416="","",INT(H1416)-B1416)</f>
        <v/>
      </c>
      <c r="K1416">
        <f>IF(B1416&gt;=Settings!$C$5,1,0)</f>
        <v/>
      </c>
    </row>
    <row r="1417">
      <c r="A1417" t="inlineStr">
        <is>
          <t>b923dbd86db34a1294e93af71efb59ad</t>
        </is>
      </c>
      <c r="B1417" s="29" t="n">
        <v>43122</v>
      </c>
      <c r="C1417" t="inlineStr">
        <is>
          <t>2018-01</t>
        </is>
      </c>
      <c r="D1417" t="inlineStr">
        <is>
          <t>733adfe409c752b5c200bf23fa2f22d0</t>
        </is>
      </c>
      <c r="E1417" t="inlineStr">
        <is>
          <t>direct_traffic</t>
        </is>
      </c>
      <c r="F1417">
        <f>IFERROR(MATCH(A1417,Deals!$A$2:$A$843,0),"")</f>
        <v/>
      </c>
      <c r="G1417">
        <f>IF(F1417="",0,1)</f>
        <v/>
      </c>
      <c r="H1417" s="29">
        <f>IF(F1417="","",INDEX(Deals!$E$2:$E$843,F1417))</f>
        <v/>
      </c>
      <c r="I1417">
        <f>IF(F1417="","",INDEX(Deals!$D$2:$D$843,F1417))</f>
        <v/>
      </c>
      <c r="J1417">
        <f>IF(F1417="","",INT(H1417)-B1417)</f>
        <v/>
      </c>
      <c r="K1417">
        <f>IF(B1417&gt;=Settings!$C$5,1,0)</f>
        <v/>
      </c>
    </row>
    <row r="1418">
      <c r="A1418" t="inlineStr">
        <is>
          <t>7fd55078dabca05d6eb8964999ba5e3c</t>
        </is>
      </c>
      <c r="B1418" s="29" t="n">
        <v>43251</v>
      </c>
      <c r="C1418" t="inlineStr">
        <is>
          <t>2018-05</t>
        </is>
      </c>
      <c r="D1418" t="inlineStr">
        <is>
          <t>22c29808c4f815213303f8933030604c</t>
        </is>
      </c>
      <c r="E1418" t="inlineStr">
        <is>
          <t>direct_traffic</t>
        </is>
      </c>
      <c r="F1418">
        <f>IFERROR(MATCH(A1418,Deals!$A$2:$A$843,0),"")</f>
        <v/>
      </c>
      <c r="G1418">
        <f>IF(F1418="",0,1)</f>
        <v/>
      </c>
      <c r="H1418" s="29">
        <f>IF(F1418="","",INDEX(Deals!$E$2:$E$843,F1418))</f>
        <v/>
      </c>
      <c r="I1418">
        <f>IF(F1418="","",INDEX(Deals!$D$2:$D$843,F1418))</f>
        <v/>
      </c>
      <c r="J1418">
        <f>IF(F1418="","",INT(H1418)-B1418)</f>
        <v/>
      </c>
      <c r="K1418">
        <f>IF(B1418&gt;=Settings!$C$5,1,0)</f>
        <v/>
      </c>
    </row>
    <row r="1419">
      <c r="A1419" t="inlineStr">
        <is>
          <t>7072a5c26d796e02dc28cb861210abba</t>
        </is>
      </c>
      <c r="B1419" s="29" t="n">
        <v>43152</v>
      </c>
      <c r="C1419" t="inlineStr">
        <is>
          <t>2018-02</t>
        </is>
      </c>
      <c r="D1419" t="inlineStr">
        <is>
          <t>a7982125ff7aa3b2054c6e44f9d28522</t>
        </is>
      </c>
      <c r="E1419" t="inlineStr">
        <is>
          <t>organic_search</t>
        </is>
      </c>
      <c r="F1419">
        <f>IFERROR(MATCH(A1419,Deals!$A$2:$A$843,0),"")</f>
        <v/>
      </c>
      <c r="G1419">
        <f>IF(F1419="",0,1)</f>
        <v/>
      </c>
      <c r="H1419" s="29">
        <f>IF(F1419="","",INDEX(Deals!$E$2:$E$843,F1419))</f>
        <v/>
      </c>
      <c r="I1419">
        <f>IF(F1419="","",INDEX(Deals!$D$2:$D$843,F1419))</f>
        <v/>
      </c>
      <c r="J1419">
        <f>IF(F1419="","",INT(H1419)-B1419)</f>
        <v/>
      </c>
      <c r="K1419">
        <f>IF(B1419&gt;=Settings!$C$5,1,0)</f>
        <v/>
      </c>
    </row>
    <row r="1420">
      <c r="A1420" t="inlineStr">
        <is>
          <t>757be053baa902a28fef53520783d4c0</t>
        </is>
      </c>
      <c r="B1420" s="29" t="n">
        <v>42976</v>
      </c>
      <c r="C1420" t="inlineStr">
        <is>
          <t>2017-08</t>
        </is>
      </c>
      <c r="D1420" t="inlineStr">
        <is>
          <t>87732658ba41d8775e8577df347a64db</t>
        </is>
      </c>
      <c r="E1420" t="inlineStr">
        <is>
          <t>social</t>
        </is>
      </c>
      <c r="F1420">
        <f>IFERROR(MATCH(A1420,Deals!$A$2:$A$843,0),"")</f>
        <v/>
      </c>
      <c r="G1420">
        <f>IF(F1420="",0,1)</f>
        <v/>
      </c>
      <c r="H1420" s="29">
        <f>IF(F1420="","",INDEX(Deals!$E$2:$E$843,F1420))</f>
        <v/>
      </c>
      <c r="I1420">
        <f>IF(F1420="","",INDEX(Deals!$D$2:$D$843,F1420))</f>
        <v/>
      </c>
      <c r="J1420">
        <f>IF(F1420="","",INT(H1420)-B1420)</f>
        <v/>
      </c>
      <c r="K1420">
        <f>IF(B1420&gt;=Settings!$C$5,1,0)</f>
        <v/>
      </c>
    </row>
    <row r="1421">
      <c r="A1421" t="inlineStr">
        <is>
          <t>ff31526c497a36611f9c89449b1c96ce</t>
        </is>
      </c>
      <c r="B1421" s="29" t="n">
        <v>43183</v>
      </c>
      <c r="C1421" t="inlineStr">
        <is>
          <t>2018-03</t>
        </is>
      </c>
      <c r="D1421" t="inlineStr">
        <is>
          <t>e492ee5eaf1697716985cc6f33f9cd9b</t>
        </is>
      </c>
      <c r="E1421" t="inlineStr">
        <is>
          <t>organic_search</t>
        </is>
      </c>
      <c r="F1421">
        <f>IFERROR(MATCH(A1421,Deals!$A$2:$A$843,0),"")</f>
        <v/>
      </c>
      <c r="G1421">
        <f>IF(F1421="",0,1)</f>
        <v/>
      </c>
      <c r="H1421" s="29">
        <f>IF(F1421="","",INDEX(Deals!$E$2:$E$843,F1421))</f>
        <v/>
      </c>
      <c r="I1421">
        <f>IF(F1421="","",INDEX(Deals!$D$2:$D$843,F1421))</f>
        <v/>
      </c>
      <c r="J1421">
        <f>IF(F1421="","",INT(H1421)-B1421)</f>
        <v/>
      </c>
      <c r="K1421">
        <f>IF(B1421&gt;=Settings!$C$5,1,0)</f>
        <v/>
      </c>
    </row>
    <row r="1422">
      <c r="A1422" t="inlineStr">
        <is>
          <t>082a1d41243d3f37ae65ba1c9d0e2b57</t>
        </is>
      </c>
      <c r="B1422" s="29" t="n">
        <v>42954</v>
      </c>
      <c r="C1422" t="inlineStr">
        <is>
          <t>2017-08</t>
        </is>
      </c>
      <c r="D1422" t="inlineStr">
        <is>
          <t>e492ee5eaf1697716985cc6f33f9cd9b</t>
        </is>
      </c>
      <c r="E1422" t="inlineStr">
        <is>
          <t>organic_search</t>
        </is>
      </c>
      <c r="F1422">
        <f>IFERROR(MATCH(A1422,Deals!$A$2:$A$843,0),"")</f>
        <v/>
      </c>
      <c r="G1422">
        <f>IF(F1422="",0,1)</f>
        <v/>
      </c>
      <c r="H1422" s="29">
        <f>IF(F1422="","",INDEX(Deals!$E$2:$E$843,F1422))</f>
        <v/>
      </c>
      <c r="I1422">
        <f>IF(F1422="","",INDEX(Deals!$D$2:$D$843,F1422))</f>
        <v/>
      </c>
      <c r="J1422">
        <f>IF(F1422="","",INT(H1422)-B1422)</f>
        <v/>
      </c>
      <c r="K1422">
        <f>IF(B1422&gt;=Settings!$C$5,1,0)</f>
        <v/>
      </c>
    </row>
    <row r="1423">
      <c r="A1423" t="inlineStr">
        <is>
          <t>721884708856a1b9b60f770bbb79e790</t>
        </is>
      </c>
      <c r="B1423" s="29" t="n">
        <v>43116</v>
      </c>
      <c r="C1423" t="inlineStr">
        <is>
          <t>2018-01</t>
        </is>
      </c>
      <c r="D1423" t="inlineStr">
        <is>
          <t>e492ee5eaf1697716985cc6f33f9cd9b</t>
        </is>
      </c>
      <c r="E1423" t="inlineStr">
        <is>
          <t>direct_traffic</t>
        </is>
      </c>
      <c r="F1423">
        <f>IFERROR(MATCH(A1423,Deals!$A$2:$A$843,0),"")</f>
        <v/>
      </c>
      <c r="G1423">
        <f>IF(F1423="",0,1)</f>
        <v/>
      </c>
      <c r="H1423" s="29">
        <f>IF(F1423="","",INDEX(Deals!$E$2:$E$843,F1423))</f>
        <v/>
      </c>
      <c r="I1423">
        <f>IF(F1423="","",INDEX(Deals!$D$2:$D$843,F1423))</f>
        <v/>
      </c>
      <c r="J1423">
        <f>IF(F1423="","",INT(H1423)-B1423)</f>
        <v/>
      </c>
      <c r="K1423">
        <f>IF(B1423&gt;=Settings!$C$5,1,0)</f>
        <v/>
      </c>
    </row>
    <row r="1424">
      <c r="A1424" t="inlineStr">
        <is>
          <t>3d5deb1962ceef3debcbc20a311eeac5</t>
        </is>
      </c>
      <c r="B1424" s="29" t="n">
        <v>43152</v>
      </c>
      <c r="C1424" t="inlineStr">
        <is>
          <t>2018-02</t>
        </is>
      </c>
      <c r="D1424" t="inlineStr">
        <is>
          <t>e492ee5eaf1697716985cc6f33f9cd9b</t>
        </is>
      </c>
      <c r="E1424" t="inlineStr">
        <is>
          <t>direct_traffic</t>
        </is>
      </c>
      <c r="F1424">
        <f>IFERROR(MATCH(A1424,Deals!$A$2:$A$843,0),"")</f>
        <v/>
      </c>
      <c r="G1424">
        <f>IF(F1424="",0,1)</f>
        <v/>
      </c>
      <c r="H1424" s="29">
        <f>IF(F1424="","",INDEX(Deals!$E$2:$E$843,F1424))</f>
        <v/>
      </c>
      <c r="I1424">
        <f>IF(F1424="","",INDEX(Deals!$D$2:$D$843,F1424))</f>
        <v/>
      </c>
      <c r="J1424">
        <f>IF(F1424="","",INT(H1424)-B1424)</f>
        <v/>
      </c>
      <c r="K1424">
        <f>IF(B1424&gt;=Settings!$C$5,1,0)</f>
        <v/>
      </c>
    </row>
    <row r="1425">
      <c r="A1425" t="inlineStr">
        <is>
          <t>ab88830c7df1320ff8e0fc8203fbc80c</t>
        </is>
      </c>
      <c r="B1425" s="29" t="n">
        <v>43208</v>
      </c>
      <c r="C1425" t="inlineStr">
        <is>
          <t>2018-04</t>
        </is>
      </c>
      <c r="D1425" t="inlineStr">
        <is>
          <t>b76ef37428e6799c421989521c0e5077</t>
        </is>
      </c>
      <c r="E1425" t="inlineStr">
        <is>
          <t>unknown</t>
        </is>
      </c>
      <c r="F1425">
        <f>IFERROR(MATCH(A1425,Deals!$A$2:$A$843,0),"")</f>
        <v/>
      </c>
      <c r="G1425">
        <f>IF(F1425="",0,1)</f>
        <v/>
      </c>
      <c r="H1425" s="29">
        <f>IF(F1425="","",INDEX(Deals!$E$2:$E$843,F1425))</f>
        <v/>
      </c>
      <c r="I1425">
        <f>IF(F1425="","",INDEX(Deals!$D$2:$D$843,F1425))</f>
        <v/>
      </c>
      <c r="J1425">
        <f>IF(F1425="","",INT(H1425)-B1425)</f>
        <v/>
      </c>
      <c r="K1425">
        <f>IF(B1425&gt;=Settings!$C$5,1,0)</f>
        <v/>
      </c>
    </row>
    <row r="1426">
      <c r="A1426" t="inlineStr">
        <is>
          <t>7f12bc8cffb170e083ea5c5296272b97</t>
        </is>
      </c>
      <c r="B1426" s="29" t="n">
        <v>43242</v>
      </c>
      <c r="C1426" t="inlineStr">
        <is>
          <t>2018-05</t>
        </is>
      </c>
      <c r="D1426" t="inlineStr">
        <is>
          <t>40dec9f3d5259a3d2dbcdab2114fae47</t>
        </is>
      </c>
      <c r="E1426" t="inlineStr">
        <is>
          <t>paid_search</t>
        </is>
      </c>
      <c r="F1426">
        <f>IFERROR(MATCH(A1426,Deals!$A$2:$A$843,0),"")</f>
        <v/>
      </c>
      <c r="G1426">
        <f>IF(F1426="",0,1)</f>
        <v/>
      </c>
      <c r="H1426" s="29">
        <f>IF(F1426="","",INDEX(Deals!$E$2:$E$843,F1426))</f>
        <v/>
      </c>
      <c r="I1426">
        <f>IF(F1426="","",INDEX(Deals!$D$2:$D$843,F1426))</f>
        <v/>
      </c>
      <c r="J1426">
        <f>IF(F1426="","",INT(H1426)-B1426)</f>
        <v/>
      </c>
      <c r="K1426">
        <f>IF(B1426&gt;=Settings!$C$5,1,0)</f>
        <v/>
      </c>
    </row>
    <row r="1427">
      <c r="A1427" t="inlineStr">
        <is>
          <t>ee1a896071cdbed43e2f31e1d8337bd2</t>
        </is>
      </c>
      <c r="B1427" s="29" t="n">
        <v>43117</v>
      </c>
      <c r="C1427" t="inlineStr">
        <is>
          <t>2018-01</t>
        </is>
      </c>
      <c r="D1427" t="inlineStr">
        <is>
          <t>d83b0d0e48c8447d1d5507a44027a955</t>
        </is>
      </c>
      <c r="E1427" t="inlineStr">
        <is>
          <t>other_publicities</t>
        </is>
      </c>
      <c r="F1427">
        <f>IFERROR(MATCH(A1427,Deals!$A$2:$A$843,0),"")</f>
        <v/>
      </c>
      <c r="G1427">
        <f>IF(F1427="",0,1)</f>
        <v/>
      </c>
      <c r="H1427" s="29">
        <f>IF(F1427="","",INDEX(Deals!$E$2:$E$843,F1427))</f>
        <v/>
      </c>
      <c r="I1427">
        <f>IF(F1427="","",INDEX(Deals!$D$2:$D$843,F1427))</f>
        <v/>
      </c>
      <c r="J1427">
        <f>IF(F1427="","",INT(H1427)-B1427)</f>
        <v/>
      </c>
      <c r="K1427">
        <f>IF(B1427&gt;=Settings!$C$5,1,0)</f>
        <v/>
      </c>
    </row>
    <row r="1428">
      <c r="A1428" t="inlineStr">
        <is>
          <t>84846ca9435252790f0e076d7d5d29df</t>
        </is>
      </c>
      <c r="B1428" s="29" t="n">
        <v>42950</v>
      </c>
      <c r="C1428" t="inlineStr">
        <is>
          <t>2017-08</t>
        </is>
      </c>
      <c r="D1428" t="inlineStr">
        <is>
          <t>e492ee5eaf1697716985cc6f33f9cd9b</t>
        </is>
      </c>
      <c r="E1428" t="inlineStr">
        <is>
          <t>email</t>
        </is>
      </c>
      <c r="F1428">
        <f>IFERROR(MATCH(A1428,Deals!$A$2:$A$843,0),"")</f>
        <v/>
      </c>
      <c r="G1428">
        <f>IF(F1428="",0,1)</f>
        <v/>
      </c>
      <c r="H1428" s="29">
        <f>IF(F1428="","",INDEX(Deals!$E$2:$E$843,F1428))</f>
        <v/>
      </c>
      <c r="I1428">
        <f>IF(F1428="","",INDEX(Deals!$D$2:$D$843,F1428))</f>
        <v/>
      </c>
      <c r="J1428">
        <f>IF(F1428="","",INT(H1428)-B1428)</f>
        <v/>
      </c>
      <c r="K1428">
        <f>IF(B1428&gt;=Settings!$C$5,1,0)</f>
        <v/>
      </c>
    </row>
    <row r="1429">
      <c r="A1429" t="inlineStr">
        <is>
          <t>33a84c00e939cc5bc0ced0b8b246ab3e</t>
        </is>
      </c>
      <c r="B1429" s="29" t="n">
        <v>43062</v>
      </c>
      <c r="C1429" t="inlineStr">
        <is>
          <t>2017-11</t>
        </is>
      </c>
      <c r="D1429" t="inlineStr">
        <is>
          <t>253c51690efe34b79a8e2b516effa8cc</t>
        </is>
      </c>
      <c r="E1429" t="inlineStr">
        <is>
          <t>email</t>
        </is>
      </c>
      <c r="F1429">
        <f>IFERROR(MATCH(A1429,Deals!$A$2:$A$843,0),"")</f>
        <v/>
      </c>
      <c r="G1429">
        <f>IF(F1429="",0,1)</f>
        <v/>
      </c>
      <c r="H1429" s="29">
        <f>IF(F1429="","",INDEX(Deals!$E$2:$E$843,F1429))</f>
        <v/>
      </c>
      <c r="I1429">
        <f>IF(F1429="","",INDEX(Deals!$D$2:$D$843,F1429))</f>
        <v/>
      </c>
      <c r="J1429">
        <f>IF(F1429="","",INT(H1429)-B1429)</f>
        <v/>
      </c>
      <c r="K1429">
        <f>IF(B1429&gt;=Settings!$C$5,1,0)</f>
        <v/>
      </c>
    </row>
    <row r="1430">
      <c r="A1430" t="inlineStr">
        <is>
          <t>8f047b38280e17991af74f09b722e28d</t>
        </is>
      </c>
      <c r="B1430" s="29" t="n">
        <v>43203</v>
      </c>
      <c r="C1430" t="inlineStr">
        <is>
          <t>2018-04</t>
        </is>
      </c>
      <c r="D1430" t="inlineStr">
        <is>
          <t>b76ef37428e6799c421989521c0e5077</t>
        </is>
      </c>
      <c r="E1430" t="inlineStr">
        <is>
          <t>paid_search</t>
        </is>
      </c>
      <c r="F1430">
        <f>IFERROR(MATCH(A1430,Deals!$A$2:$A$843,0),"")</f>
        <v/>
      </c>
      <c r="G1430">
        <f>IF(F1430="",0,1)</f>
        <v/>
      </c>
      <c r="H1430" s="29">
        <f>IF(F1430="","",INDEX(Deals!$E$2:$E$843,F1430))</f>
        <v/>
      </c>
      <c r="I1430">
        <f>IF(F1430="","",INDEX(Deals!$D$2:$D$843,F1430))</f>
        <v/>
      </c>
      <c r="J1430">
        <f>IF(F1430="","",INT(H1430)-B1430)</f>
        <v/>
      </c>
      <c r="K1430">
        <f>IF(B1430&gt;=Settings!$C$5,1,0)</f>
        <v/>
      </c>
    </row>
    <row r="1431">
      <c r="A1431" t="inlineStr">
        <is>
          <t>08a11ecb78affb9e1ea1045e58172ac4</t>
        </is>
      </c>
      <c r="B1431" s="29" t="n">
        <v>43180</v>
      </c>
      <c r="C1431" t="inlineStr">
        <is>
          <t>2018-03</t>
        </is>
      </c>
      <c r="D1431" t="inlineStr">
        <is>
          <t>b6885f18d203a61176418c1fb3764815</t>
        </is>
      </c>
      <c r="E1431" t="inlineStr">
        <is>
          <t>paid_search</t>
        </is>
      </c>
      <c r="F1431">
        <f>IFERROR(MATCH(A1431,Deals!$A$2:$A$843,0),"")</f>
        <v/>
      </c>
      <c r="G1431">
        <f>IF(F1431="",0,1)</f>
        <v/>
      </c>
      <c r="H1431" s="29">
        <f>IF(F1431="","",INDEX(Deals!$E$2:$E$843,F1431))</f>
        <v/>
      </c>
      <c r="I1431">
        <f>IF(F1431="","",INDEX(Deals!$D$2:$D$843,F1431))</f>
        <v/>
      </c>
      <c r="J1431">
        <f>IF(F1431="","",INT(H1431)-B1431)</f>
        <v/>
      </c>
      <c r="K1431">
        <f>IF(B1431&gt;=Settings!$C$5,1,0)</f>
        <v/>
      </c>
    </row>
    <row r="1432">
      <c r="A1432" t="inlineStr">
        <is>
          <t>d9734d3817f40bb704b7cc4984ec39b0</t>
        </is>
      </c>
      <c r="B1432" s="29" t="n">
        <v>43179</v>
      </c>
      <c r="C1432" t="inlineStr">
        <is>
          <t>2018-03</t>
        </is>
      </c>
      <c r="D1432" t="inlineStr">
        <is>
          <t>30077c17f2ec5010a82e37ad8925b95f</t>
        </is>
      </c>
      <c r="E1432" t="inlineStr">
        <is>
          <t>organic_search</t>
        </is>
      </c>
      <c r="F1432">
        <f>IFERROR(MATCH(A1432,Deals!$A$2:$A$843,0),"")</f>
        <v/>
      </c>
      <c r="G1432">
        <f>IF(F1432="",0,1)</f>
        <v/>
      </c>
      <c r="H1432" s="29">
        <f>IF(F1432="","",INDEX(Deals!$E$2:$E$843,F1432))</f>
        <v/>
      </c>
      <c r="I1432">
        <f>IF(F1432="","",INDEX(Deals!$D$2:$D$843,F1432))</f>
        <v/>
      </c>
      <c r="J1432">
        <f>IF(F1432="","",INT(H1432)-B1432)</f>
        <v/>
      </c>
      <c r="K1432">
        <f>IF(B1432&gt;=Settings!$C$5,1,0)</f>
        <v/>
      </c>
    </row>
    <row r="1433">
      <c r="A1433" t="inlineStr">
        <is>
          <t>62f4b4e8f83d911919f6b2b365d614b8</t>
        </is>
      </c>
      <c r="B1433" s="29" t="n">
        <v>43165</v>
      </c>
      <c r="C1433" t="inlineStr">
        <is>
          <t>2018-03</t>
        </is>
      </c>
      <c r="D1433" t="inlineStr">
        <is>
          <t>120ad10683075526ee1b3b00489dafec</t>
        </is>
      </c>
      <c r="E1433" t="inlineStr">
        <is>
          <t>email</t>
        </is>
      </c>
      <c r="F1433">
        <f>IFERROR(MATCH(A1433,Deals!$A$2:$A$843,0),"")</f>
        <v/>
      </c>
      <c r="G1433">
        <f>IF(F1433="",0,1)</f>
        <v/>
      </c>
      <c r="H1433" s="29">
        <f>IF(F1433="","",INDEX(Deals!$E$2:$E$843,F1433))</f>
        <v/>
      </c>
      <c r="I1433">
        <f>IF(F1433="","",INDEX(Deals!$D$2:$D$843,F1433))</f>
        <v/>
      </c>
      <c r="J1433">
        <f>IF(F1433="","",INT(H1433)-B1433)</f>
        <v/>
      </c>
      <c r="K1433">
        <f>IF(B1433&gt;=Settings!$C$5,1,0)</f>
        <v/>
      </c>
    </row>
    <row r="1434">
      <c r="A1434" t="inlineStr">
        <is>
          <t>6a69660a9c35e93dc3ade91d832ba240</t>
        </is>
      </c>
      <c r="B1434" s="29" t="n">
        <v>43223</v>
      </c>
      <c r="C1434" t="inlineStr">
        <is>
          <t>2018-05</t>
        </is>
      </c>
      <c r="D1434" t="inlineStr">
        <is>
          <t>a7982125ff7aa3b2054c6e44f9d28522</t>
        </is>
      </c>
      <c r="E1434" t="inlineStr">
        <is>
          <t>display</t>
        </is>
      </c>
      <c r="F1434">
        <f>IFERROR(MATCH(A1434,Deals!$A$2:$A$843,0),"")</f>
        <v/>
      </c>
      <c r="G1434">
        <f>IF(F1434="",0,1)</f>
        <v/>
      </c>
      <c r="H1434" s="29">
        <f>IF(F1434="","",INDEX(Deals!$E$2:$E$843,F1434))</f>
        <v/>
      </c>
      <c r="I1434">
        <f>IF(F1434="","",INDEX(Deals!$D$2:$D$843,F1434))</f>
        <v/>
      </c>
      <c r="J1434">
        <f>IF(F1434="","",INT(H1434)-B1434)</f>
        <v/>
      </c>
      <c r="K1434">
        <f>IF(B1434&gt;=Settings!$C$5,1,0)</f>
        <v/>
      </c>
    </row>
    <row r="1435">
      <c r="A1435" t="inlineStr">
        <is>
          <t>a843139328a73ad8669c791f883e9043</t>
        </is>
      </c>
      <c r="B1435" s="29" t="n">
        <v>43116</v>
      </c>
      <c r="C1435" t="inlineStr">
        <is>
          <t>2018-01</t>
        </is>
      </c>
      <c r="D1435" t="inlineStr">
        <is>
          <t>b76ef37428e6799c421989521c0e5077</t>
        </is>
      </c>
      <c r="E1435" t="inlineStr">
        <is>
          <t>unknown</t>
        </is>
      </c>
      <c r="F1435">
        <f>IFERROR(MATCH(A1435,Deals!$A$2:$A$843,0),"")</f>
        <v/>
      </c>
      <c r="G1435">
        <f>IF(F1435="",0,1)</f>
        <v/>
      </c>
      <c r="H1435" s="29">
        <f>IF(F1435="","",INDEX(Deals!$E$2:$E$843,F1435))</f>
        <v/>
      </c>
      <c r="I1435">
        <f>IF(F1435="","",INDEX(Deals!$D$2:$D$843,F1435))</f>
        <v/>
      </c>
      <c r="J1435">
        <f>IF(F1435="","",INT(H1435)-B1435)</f>
        <v/>
      </c>
      <c r="K1435">
        <f>IF(B1435&gt;=Settings!$C$5,1,0)</f>
        <v/>
      </c>
    </row>
    <row r="1436">
      <c r="A1436" t="inlineStr">
        <is>
          <t>4a0d68b508f38d4480ec59a54ae116ba</t>
        </is>
      </c>
      <c r="B1436" s="29" t="n">
        <v>43173</v>
      </c>
      <c r="C1436" t="inlineStr">
        <is>
          <t>2018-03</t>
        </is>
      </c>
      <c r="D1436" t="inlineStr">
        <is>
          <t>73f31a40697cc90a86c1273563ac230e</t>
        </is>
      </c>
      <c r="E1436" t="inlineStr">
        <is>
          <t>other_publicities</t>
        </is>
      </c>
      <c r="F1436">
        <f>IFERROR(MATCH(A1436,Deals!$A$2:$A$843,0),"")</f>
        <v/>
      </c>
      <c r="G1436">
        <f>IF(F1436="",0,1)</f>
        <v/>
      </c>
      <c r="H1436" s="29">
        <f>IF(F1436="","",INDEX(Deals!$E$2:$E$843,F1436))</f>
        <v/>
      </c>
      <c r="I1436">
        <f>IF(F1436="","",INDEX(Deals!$D$2:$D$843,F1436))</f>
        <v/>
      </c>
      <c r="J1436">
        <f>IF(F1436="","",INT(H1436)-B1436)</f>
        <v/>
      </c>
      <c r="K1436">
        <f>IF(B1436&gt;=Settings!$C$5,1,0)</f>
        <v/>
      </c>
    </row>
    <row r="1437">
      <c r="A1437" t="inlineStr">
        <is>
          <t>388966d8d6ed9d50cf2224bb52890be8</t>
        </is>
      </c>
      <c r="B1437" s="29" t="n">
        <v>43145</v>
      </c>
      <c r="C1437" t="inlineStr">
        <is>
          <t>2018-02</t>
        </is>
      </c>
      <c r="D1437" t="inlineStr">
        <is>
          <t>88740e65d5d6b056e0cda098e1ea6313</t>
        </is>
      </c>
      <c r="E1437" t="inlineStr">
        <is>
          <t>social</t>
        </is>
      </c>
      <c r="F1437">
        <f>IFERROR(MATCH(A1437,Deals!$A$2:$A$843,0),"")</f>
        <v/>
      </c>
      <c r="G1437">
        <f>IF(F1437="",0,1)</f>
        <v/>
      </c>
      <c r="H1437" s="29">
        <f>IF(F1437="","",INDEX(Deals!$E$2:$E$843,F1437))</f>
        <v/>
      </c>
      <c r="I1437">
        <f>IF(F1437="","",INDEX(Deals!$D$2:$D$843,F1437))</f>
        <v/>
      </c>
      <c r="J1437">
        <f>IF(F1437="","",INT(H1437)-B1437)</f>
        <v/>
      </c>
      <c r="K1437">
        <f>IF(B1437&gt;=Settings!$C$5,1,0)</f>
        <v/>
      </c>
    </row>
    <row r="1438">
      <c r="A1438" t="inlineStr">
        <is>
          <t>f5ab819096e724e77696c8cb5ad21bf1</t>
        </is>
      </c>
      <c r="B1438" s="29" t="n">
        <v>43150</v>
      </c>
      <c r="C1438" t="inlineStr">
        <is>
          <t>2018-02</t>
        </is>
      </c>
      <c r="D1438" t="inlineStr">
        <is>
          <t>40dec9f3d5259a3d2dbcdab2114fae47</t>
        </is>
      </c>
      <c r="E1438" t="inlineStr">
        <is>
          <t>paid_search</t>
        </is>
      </c>
      <c r="F1438">
        <f>IFERROR(MATCH(A1438,Deals!$A$2:$A$843,0),"")</f>
        <v/>
      </c>
      <c r="G1438">
        <f>IF(F1438="",0,1)</f>
        <v/>
      </c>
      <c r="H1438" s="29">
        <f>IF(F1438="","",INDEX(Deals!$E$2:$E$843,F1438))</f>
        <v/>
      </c>
      <c r="I1438">
        <f>IF(F1438="","",INDEX(Deals!$D$2:$D$843,F1438))</f>
        <v/>
      </c>
      <c r="J1438">
        <f>IF(F1438="","",INT(H1438)-B1438)</f>
        <v/>
      </c>
      <c r="K1438">
        <f>IF(B1438&gt;=Settings!$C$5,1,0)</f>
        <v/>
      </c>
    </row>
    <row r="1439">
      <c r="A1439" t="inlineStr">
        <is>
          <t>8f2525ca728c98defbd9adc55c7ef3fc</t>
        </is>
      </c>
      <c r="B1439" s="29" t="n">
        <v>43021</v>
      </c>
      <c r="C1439" t="inlineStr">
        <is>
          <t>2017-10</t>
        </is>
      </c>
      <c r="D1439" t="inlineStr">
        <is>
          <t>c05f0fd41e79d7811221253e0d4eadc8</t>
        </is>
      </c>
      <c r="E1439" t="inlineStr">
        <is>
          <t>direct_traffic</t>
        </is>
      </c>
      <c r="F1439">
        <f>IFERROR(MATCH(A1439,Deals!$A$2:$A$843,0),"")</f>
        <v/>
      </c>
      <c r="G1439">
        <f>IF(F1439="",0,1)</f>
        <v/>
      </c>
      <c r="H1439" s="29">
        <f>IF(F1439="","",INDEX(Deals!$E$2:$E$843,F1439))</f>
        <v/>
      </c>
      <c r="I1439">
        <f>IF(F1439="","",INDEX(Deals!$D$2:$D$843,F1439))</f>
        <v/>
      </c>
      <c r="J1439">
        <f>IF(F1439="","",INT(H1439)-B1439)</f>
        <v/>
      </c>
      <c r="K1439">
        <f>IF(B1439&gt;=Settings!$C$5,1,0)</f>
        <v/>
      </c>
    </row>
    <row r="1440">
      <c r="A1440" t="inlineStr">
        <is>
          <t>8f24f9bb371471be344cdb6fbcd99688</t>
        </is>
      </c>
      <c r="B1440" s="29" t="n">
        <v>43111</v>
      </c>
      <c r="C1440" t="inlineStr">
        <is>
          <t>2018-01</t>
        </is>
      </c>
      <c r="D1440" t="inlineStr">
        <is>
          <t>e492ee5eaf1697716985cc6f33f9cd9b</t>
        </is>
      </c>
      <c r="E1440" t="inlineStr">
        <is>
          <t>organic_search</t>
        </is>
      </c>
      <c r="F1440">
        <f>IFERROR(MATCH(A1440,Deals!$A$2:$A$843,0),"")</f>
        <v/>
      </c>
      <c r="G1440">
        <f>IF(F1440="",0,1)</f>
        <v/>
      </c>
      <c r="H1440" s="29">
        <f>IF(F1440="","",INDEX(Deals!$E$2:$E$843,F1440))</f>
        <v/>
      </c>
      <c r="I1440">
        <f>IF(F1440="","",INDEX(Deals!$D$2:$D$843,F1440))</f>
        <v/>
      </c>
      <c r="J1440">
        <f>IF(F1440="","",INT(H1440)-B1440)</f>
        <v/>
      </c>
      <c r="K1440">
        <f>IF(B1440&gt;=Settings!$C$5,1,0)</f>
        <v/>
      </c>
    </row>
    <row r="1441">
      <c r="A1441" t="inlineStr">
        <is>
          <t>a0d63af8542e13942f6ac9577a738af3</t>
        </is>
      </c>
      <c r="B1441" s="29" t="n">
        <v>43036</v>
      </c>
      <c r="C1441" t="inlineStr">
        <is>
          <t>2017-10</t>
        </is>
      </c>
      <c r="D1441" t="inlineStr">
        <is>
          <t>b817df3a69949ef27ed885bfcbfd5125</t>
        </is>
      </c>
      <c r="E1441" t="inlineStr">
        <is>
          <t>organic_search</t>
        </is>
      </c>
      <c r="F1441">
        <f>IFERROR(MATCH(A1441,Deals!$A$2:$A$843,0),"")</f>
        <v/>
      </c>
      <c r="G1441">
        <f>IF(F1441="",0,1)</f>
        <v/>
      </c>
      <c r="H1441" s="29">
        <f>IF(F1441="","",INDEX(Deals!$E$2:$E$843,F1441))</f>
        <v/>
      </c>
      <c r="I1441">
        <f>IF(F1441="","",INDEX(Deals!$D$2:$D$843,F1441))</f>
        <v/>
      </c>
      <c r="J1441">
        <f>IF(F1441="","",INT(H1441)-B1441)</f>
        <v/>
      </c>
      <c r="K1441">
        <f>IF(B1441&gt;=Settings!$C$5,1,0)</f>
        <v/>
      </c>
    </row>
    <row r="1442">
      <c r="A1442" t="inlineStr">
        <is>
          <t>1bd7d4eac464cde6f86349cbe0d61385</t>
        </is>
      </c>
      <c r="B1442" s="29" t="n">
        <v>43162</v>
      </c>
      <c r="C1442" t="inlineStr">
        <is>
          <t>2018-03</t>
        </is>
      </c>
      <c r="D1442" t="inlineStr">
        <is>
          <t>ce1a65abd0973638f1c887a6efcfa82d</t>
        </is>
      </c>
      <c r="E1442" t="inlineStr">
        <is>
          <t>organic_search</t>
        </is>
      </c>
      <c r="F1442">
        <f>IFERROR(MATCH(A1442,Deals!$A$2:$A$843,0),"")</f>
        <v/>
      </c>
      <c r="G1442">
        <f>IF(F1442="",0,1)</f>
        <v/>
      </c>
      <c r="H1442" s="29">
        <f>IF(F1442="","",INDEX(Deals!$E$2:$E$843,F1442))</f>
        <v/>
      </c>
      <c r="I1442">
        <f>IF(F1442="","",INDEX(Deals!$D$2:$D$843,F1442))</f>
        <v/>
      </c>
      <c r="J1442">
        <f>IF(F1442="","",INT(H1442)-B1442)</f>
        <v/>
      </c>
      <c r="K1442">
        <f>IF(B1442&gt;=Settings!$C$5,1,0)</f>
        <v/>
      </c>
    </row>
    <row r="1443">
      <c r="A1443" t="inlineStr">
        <is>
          <t>e96e43446dc54b1e2a36367f390bdb0c</t>
        </is>
      </c>
      <c r="B1443" s="29" t="n">
        <v>43203</v>
      </c>
      <c r="C1443" t="inlineStr">
        <is>
          <t>2018-04</t>
        </is>
      </c>
      <c r="D1443" t="inlineStr">
        <is>
          <t>58326e62183c14b0c03085c33b9fdc44</t>
        </is>
      </c>
      <c r="E1443" t="inlineStr">
        <is>
          <t>social</t>
        </is>
      </c>
      <c r="F1443">
        <f>IFERROR(MATCH(A1443,Deals!$A$2:$A$843,0),"")</f>
        <v/>
      </c>
      <c r="G1443">
        <f>IF(F1443="",0,1)</f>
        <v/>
      </c>
      <c r="H1443" s="29">
        <f>IF(F1443="","",INDEX(Deals!$E$2:$E$843,F1443))</f>
        <v/>
      </c>
      <c r="I1443">
        <f>IF(F1443="","",INDEX(Deals!$D$2:$D$843,F1443))</f>
        <v/>
      </c>
      <c r="J1443">
        <f>IF(F1443="","",INT(H1443)-B1443)</f>
        <v/>
      </c>
      <c r="K1443">
        <f>IF(B1443&gt;=Settings!$C$5,1,0)</f>
        <v/>
      </c>
    </row>
    <row r="1444">
      <c r="A1444" t="inlineStr">
        <is>
          <t>2372fa6a62bc2cbfd3e701ac00efa0c7</t>
        </is>
      </c>
      <c r="B1444" s="29" t="n">
        <v>43119</v>
      </c>
      <c r="C1444" t="inlineStr">
        <is>
          <t>2018-01</t>
        </is>
      </c>
      <c r="D1444" t="inlineStr">
        <is>
          <t>40dec9f3d5259a3d2dbcdab2114fae47</t>
        </is>
      </c>
      <c r="E1444" t="inlineStr">
        <is>
          <t>paid_search</t>
        </is>
      </c>
      <c r="F1444">
        <f>IFERROR(MATCH(A1444,Deals!$A$2:$A$843,0),"")</f>
        <v/>
      </c>
      <c r="G1444">
        <f>IF(F1444="",0,1)</f>
        <v/>
      </c>
      <c r="H1444" s="29">
        <f>IF(F1444="","",INDEX(Deals!$E$2:$E$843,F1444))</f>
        <v/>
      </c>
      <c r="I1444">
        <f>IF(F1444="","",INDEX(Deals!$D$2:$D$843,F1444))</f>
        <v/>
      </c>
      <c r="J1444">
        <f>IF(F1444="","",INT(H1444)-B1444)</f>
        <v/>
      </c>
      <c r="K1444">
        <f>IF(B1444&gt;=Settings!$C$5,1,0)</f>
        <v/>
      </c>
    </row>
    <row r="1445">
      <c r="A1445" t="inlineStr">
        <is>
          <t>0410a1c4a3742c73adeee2b39910723b</t>
        </is>
      </c>
      <c r="B1445" s="29" t="n">
        <v>43106</v>
      </c>
      <c r="C1445" t="inlineStr">
        <is>
          <t>2018-01</t>
        </is>
      </c>
      <c r="D1445" t="inlineStr">
        <is>
          <t>b48ec5f3b04e9068441002a19df93c6c</t>
        </is>
      </c>
      <c r="E1445" t="inlineStr">
        <is>
          <t>organic_search</t>
        </is>
      </c>
      <c r="F1445">
        <f>IFERROR(MATCH(A1445,Deals!$A$2:$A$843,0),"")</f>
        <v/>
      </c>
      <c r="G1445">
        <f>IF(F1445="",0,1)</f>
        <v/>
      </c>
      <c r="H1445" s="29">
        <f>IF(F1445="","",INDEX(Deals!$E$2:$E$843,F1445))</f>
        <v/>
      </c>
      <c r="I1445">
        <f>IF(F1445="","",INDEX(Deals!$D$2:$D$843,F1445))</f>
        <v/>
      </c>
      <c r="J1445">
        <f>IF(F1445="","",INT(H1445)-B1445)</f>
        <v/>
      </c>
      <c r="K1445">
        <f>IF(B1445&gt;=Settings!$C$5,1,0)</f>
        <v/>
      </c>
    </row>
    <row r="1446">
      <c r="A1446" t="inlineStr">
        <is>
          <t>710179ef2349eccc3856fbb894f72d80</t>
        </is>
      </c>
      <c r="B1446" s="29" t="n">
        <v>43236</v>
      </c>
      <c r="C1446" t="inlineStr">
        <is>
          <t>2018-05</t>
        </is>
      </c>
      <c r="D1446" t="inlineStr">
        <is>
          <t>22c29808c4f815213303f8933030604c</t>
        </is>
      </c>
      <c r="E1446" t="inlineStr">
        <is>
          <t>organic_search</t>
        </is>
      </c>
      <c r="F1446">
        <f>IFERROR(MATCH(A1446,Deals!$A$2:$A$843,0),"")</f>
        <v/>
      </c>
      <c r="G1446">
        <f>IF(F1446="",0,1)</f>
        <v/>
      </c>
      <c r="H1446" s="29">
        <f>IF(F1446="","",INDEX(Deals!$E$2:$E$843,F1446))</f>
        <v/>
      </c>
      <c r="I1446">
        <f>IF(F1446="","",INDEX(Deals!$D$2:$D$843,F1446))</f>
        <v/>
      </c>
      <c r="J1446">
        <f>IF(F1446="","",INT(H1446)-B1446)</f>
        <v/>
      </c>
      <c r="K1446">
        <f>IF(B1446&gt;=Settings!$C$5,1,0)</f>
        <v/>
      </c>
    </row>
    <row r="1447">
      <c r="A1447" t="inlineStr">
        <is>
          <t>bd1bb6b87180689231804f4ceb383485</t>
        </is>
      </c>
      <c r="B1447" s="29" t="n">
        <v>43116</v>
      </c>
      <c r="C1447" t="inlineStr">
        <is>
          <t>2018-01</t>
        </is>
      </c>
      <c r="D1447" t="inlineStr">
        <is>
          <t>88740e65d5d6b056e0cda098e1ea6313</t>
        </is>
      </c>
      <c r="E1447" t="inlineStr">
        <is>
          <t>social</t>
        </is>
      </c>
      <c r="F1447">
        <f>IFERROR(MATCH(A1447,Deals!$A$2:$A$843,0),"")</f>
        <v/>
      </c>
      <c r="G1447">
        <f>IF(F1447="",0,1)</f>
        <v/>
      </c>
      <c r="H1447" s="29">
        <f>IF(F1447="","",INDEX(Deals!$E$2:$E$843,F1447))</f>
        <v/>
      </c>
      <c r="I1447">
        <f>IF(F1447="","",INDEX(Deals!$D$2:$D$843,F1447))</f>
        <v/>
      </c>
      <c r="J1447">
        <f>IF(F1447="","",INT(H1447)-B1447)</f>
        <v/>
      </c>
      <c r="K1447">
        <f>IF(B1447&gt;=Settings!$C$5,1,0)</f>
        <v/>
      </c>
    </row>
    <row r="1448">
      <c r="A1448" t="inlineStr">
        <is>
          <t>812aaef09df6ab83a9e124cfcb432675</t>
        </is>
      </c>
      <c r="B1448" s="29" t="n">
        <v>43218</v>
      </c>
      <c r="C1448" t="inlineStr">
        <is>
          <t>2018-04</t>
        </is>
      </c>
      <c r="D1448" t="inlineStr">
        <is>
          <t>58326e62183c14b0c03085c33b9fdc44</t>
        </is>
      </c>
      <c r="E1448" t="inlineStr">
        <is>
          <t>social</t>
        </is>
      </c>
      <c r="F1448">
        <f>IFERROR(MATCH(A1448,Deals!$A$2:$A$843,0),"")</f>
        <v/>
      </c>
      <c r="G1448">
        <f>IF(F1448="",0,1)</f>
        <v/>
      </c>
      <c r="H1448" s="29">
        <f>IF(F1448="","",INDEX(Deals!$E$2:$E$843,F1448))</f>
        <v/>
      </c>
      <c r="I1448">
        <f>IF(F1448="","",INDEX(Deals!$D$2:$D$843,F1448))</f>
        <v/>
      </c>
      <c r="J1448">
        <f>IF(F1448="","",INT(H1448)-B1448)</f>
        <v/>
      </c>
      <c r="K1448">
        <f>IF(B1448&gt;=Settings!$C$5,1,0)</f>
        <v/>
      </c>
    </row>
    <row r="1449">
      <c r="A1449" t="inlineStr">
        <is>
          <t>a85d745228d0257adc11fd790a31cee5</t>
        </is>
      </c>
      <c r="B1449" s="29" t="n">
        <v>43148</v>
      </c>
      <c r="C1449" t="inlineStr">
        <is>
          <t>2018-02</t>
        </is>
      </c>
      <c r="D1449" t="inlineStr">
        <is>
          <t>88740e65d5d6b056e0cda098e1ea6313</t>
        </is>
      </c>
      <c r="E1449" t="inlineStr">
        <is>
          <t>social</t>
        </is>
      </c>
      <c r="F1449">
        <f>IFERROR(MATCH(A1449,Deals!$A$2:$A$843,0),"")</f>
        <v/>
      </c>
      <c r="G1449">
        <f>IF(F1449="",0,1)</f>
        <v/>
      </c>
      <c r="H1449" s="29">
        <f>IF(F1449="","",INDEX(Deals!$E$2:$E$843,F1449))</f>
        <v/>
      </c>
      <c r="I1449">
        <f>IF(F1449="","",INDEX(Deals!$D$2:$D$843,F1449))</f>
        <v/>
      </c>
      <c r="J1449">
        <f>IF(F1449="","",INT(H1449)-B1449)</f>
        <v/>
      </c>
      <c r="K1449">
        <f>IF(B1449&gt;=Settings!$C$5,1,0)</f>
        <v/>
      </c>
    </row>
    <row r="1450">
      <c r="A1450" t="inlineStr">
        <is>
          <t>041206f8e2b84e6a7b701788fe8c10ce</t>
        </is>
      </c>
      <c r="B1450" s="29" t="n">
        <v>43217</v>
      </c>
      <c r="C1450" t="inlineStr">
        <is>
          <t>2018-04</t>
        </is>
      </c>
      <c r="D1450" t="inlineStr">
        <is>
          <t>b76ef37428e6799c421989521c0e5077</t>
        </is>
      </c>
      <c r="E1450" t="inlineStr">
        <is>
          <t>unknown</t>
        </is>
      </c>
      <c r="F1450">
        <f>IFERROR(MATCH(A1450,Deals!$A$2:$A$843,0),"")</f>
        <v/>
      </c>
      <c r="G1450">
        <f>IF(F1450="",0,1)</f>
        <v/>
      </c>
      <c r="H1450" s="29">
        <f>IF(F1450="","",INDEX(Deals!$E$2:$E$843,F1450))</f>
        <v/>
      </c>
      <c r="I1450">
        <f>IF(F1450="","",INDEX(Deals!$D$2:$D$843,F1450))</f>
        <v/>
      </c>
      <c r="J1450">
        <f>IF(F1450="","",INT(H1450)-B1450)</f>
        <v/>
      </c>
      <c r="K1450">
        <f>IF(B1450&gt;=Settings!$C$5,1,0)</f>
        <v/>
      </c>
    </row>
    <row r="1451">
      <c r="A1451" t="inlineStr">
        <is>
          <t>bc18cd01dacdd62719e6b4d59248c5e1</t>
        </is>
      </c>
      <c r="B1451" s="29" t="n">
        <v>43174</v>
      </c>
      <c r="C1451" t="inlineStr">
        <is>
          <t>2018-03</t>
        </is>
      </c>
      <c r="D1451" t="inlineStr">
        <is>
          <t>ce1a65abd0973638f1c887a6efcfa82d</t>
        </is>
      </c>
      <c r="E1451" t="inlineStr">
        <is>
          <t>organic_search</t>
        </is>
      </c>
      <c r="F1451">
        <f>IFERROR(MATCH(A1451,Deals!$A$2:$A$843,0),"")</f>
        <v/>
      </c>
      <c r="G1451">
        <f>IF(F1451="",0,1)</f>
        <v/>
      </c>
      <c r="H1451" s="29">
        <f>IF(F1451="","",INDEX(Deals!$E$2:$E$843,F1451))</f>
        <v/>
      </c>
      <c r="I1451">
        <f>IF(F1451="","",INDEX(Deals!$D$2:$D$843,F1451))</f>
        <v/>
      </c>
      <c r="J1451">
        <f>IF(F1451="","",INT(H1451)-B1451)</f>
        <v/>
      </c>
      <c r="K1451">
        <f>IF(B1451&gt;=Settings!$C$5,1,0)</f>
        <v/>
      </c>
    </row>
    <row r="1452">
      <c r="A1452" t="inlineStr">
        <is>
          <t>0a31b8b048c10332ece27bef9670bda8</t>
        </is>
      </c>
      <c r="B1452" s="29" t="n">
        <v>43178</v>
      </c>
      <c r="C1452" t="inlineStr">
        <is>
          <t>2018-03</t>
        </is>
      </c>
      <c r="D1452" t="inlineStr">
        <is>
          <t>b76ef37428e6799c421989521c0e5077</t>
        </is>
      </c>
      <c r="E1452" t="inlineStr">
        <is>
          <t>unknown</t>
        </is>
      </c>
      <c r="F1452">
        <f>IFERROR(MATCH(A1452,Deals!$A$2:$A$843,0),"")</f>
        <v/>
      </c>
      <c r="G1452">
        <f>IF(F1452="",0,1)</f>
        <v/>
      </c>
      <c r="H1452" s="29">
        <f>IF(F1452="","",INDEX(Deals!$E$2:$E$843,F1452))</f>
        <v/>
      </c>
      <c r="I1452">
        <f>IF(F1452="","",INDEX(Deals!$D$2:$D$843,F1452))</f>
        <v/>
      </c>
      <c r="J1452">
        <f>IF(F1452="","",INT(H1452)-B1452)</f>
        <v/>
      </c>
      <c r="K1452">
        <f>IF(B1452&gt;=Settings!$C$5,1,0)</f>
        <v/>
      </c>
    </row>
    <row r="1453">
      <c r="A1453" t="inlineStr">
        <is>
          <t>d1d35acfd20d413bbda1eae8e208f0b5</t>
        </is>
      </c>
      <c r="B1453" s="29" t="n">
        <v>43138</v>
      </c>
      <c r="C1453" t="inlineStr">
        <is>
          <t>2018-02</t>
        </is>
      </c>
      <c r="D1453" t="inlineStr">
        <is>
          <t>36120633c8737035fbabf079082f4ec1</t>
        </is>
      </c>
      <c r="E1453" t="inlineStr">
        <is>
          <t>paid_search</t>
        </is>
      </c>
      <c r="F1453">
        <f>IFERROR(MATCH(A1453,Deals!$A$2:$A$843,0),"")</f>
        <v/>
      </c>
      <c r="G1453">
        <f>IF(F1453="",0,1)</f>
        <v/>
      </c>
      <c r="H1453" s="29">
        <f>IF(F1453="","",INDEX(Deals!$E$2:$E$843,F1453))</f>
        <v/>
      </c>
      <c r="I1453">
        <f>IF(F1453="","",INDEX(Deals!$D$2:$D$843,F1453))</f>
        <v/>
      </c>
      <c r="J1453">
        <f>IF(F1453="","",INT(H1453)-B1453)</f>
        <v/>
      </c>
      <c r="K1453">
        <f>IF(B1453&gt;=Settings!$C$5,1,0)</f>
        <v/>
      </c>
    </row>
    <row r="1454">
      <c r="A1454" t="inlineStr">
        <is>
          <t>15b695656d258983a761f94a6b94d948</t>
        </is>
      </c>
      <c r="B1454" s="29" t="n">
        <v>43225</v>
      </c>
      <c r="C1454" t="inlineStr">
        <is>
          <t>2018-05</t>
        </is>
      </c>
      <c r="D1454" t="inlineStr">
        <is>
          <t>ce1a65abd0973638f1c887a6efcfa82d</t>
        </is>
      </c>
      <c r="E1454" t="inlineStr">
        <is>
          <t>organic_search</t>
        </is>
      </c>
      <c r="F1454">
        <f>IFERROR(MATCH(A1454,Deals!$A$2:$A$843,0),"")</f>
        <v/>
      </c>
      <c r="G1454">
        <f>IF(F1454="",0,1)</f>
        <v/>
      </c>
      <c r="H1454" s="29">
        <f>IF(F1454="","",INDEX(Deals!$E$2:$E$843,F1454))</f>
        <v/>
      </c>
      <c r="I1454">
        <f>IF(F1454="","",INDEX(Deals!$D$2:$D$843,F1454))</f>
        <v/>
      </c>
      <c r="J1454">
        <f>IF(F1454="","",INT(H1454)-B1454)</f>
        <v/>
      </c>
      <c r="K1454">
        <f>IF(B1454&gt;=Settings!$C$5,1,0)</f>
        <v/>
      </c>
    </row>
    <row r="1455">
      <c r="A1455" t="inlineStr">
        <is>
          <t>7e4fbd0ee181747b48a8626835bbfae9</t>
        </is>
      </c>
      <c r="B1455" s="29" t="n">
        <v>43194</v>
      </c>
      <c r="C1455" t="inlineStr">
        <is>
          <t>2018-04</t>
        </is>
      </c>
      <c r="D1455" t="inlineStr">
        <is>
          <t>87e8cbe800fd79c7109fb24081c1c31d</t>
        </is>
      </c>
      <c r="E1455" t="inlineStr">
        <is>
          <t>paid_search</t>
        </is>
      </c>
      <c r="F1455">
        <f>IFERROR(MATCH(A1455,Deals!$A$2:$A$843,0),"")</f>
        <v/>
      </c>
      <c r="G1455">
        <f>IF(F1455="",0,1)</f>
        <v/>
      </c>
      <c r="H1455" s="29">
        <f>IF(F1455="","",INDEX(Deals!$E$2:$E$843,F1455))</f>
        <v/>
      </c>
      <c r="I1455">
        <f>IF(F1455="","",INDEX(Deals!$D$2:$D$843,F1455))</f>
        <v/>
      </c>
      <c r="J1455">
        <f>IF(F1455="","",INT(H1455)-B1455)</f>
        <v/>
      </c>
      <c r="K1455">
        <f>IF(B1455&gt;=Settings!$C$5,1,0)</f>
        <v/>
      </c>
    </row>
    <row r="1456">
      <c r="A1456" t="inlineStr">
        <is>
          <t>bcfee5ef480e3ecfe5e95675e149c27b</t>
        </is>
      </c>
      <c r="B1456" s="29" t="n">
        <v>43208</v>
      </c>
      <c r="C1456" t="inlineStr">
        <is>
          <t>2018-04</t>
        </is>
      </c>
      <c r="D1456" t="inlineStr">
        <is>
          <t>e492ee5eaf1697716985cc6f33f9cd9b</t>
        </is>
      </c>
      <c r="E1456" t="inlineStr">
        <is>
          <t>referral</t>
        </is>
      </c>
      <c r="F1456">
        <f>IFERROR(MATCH(A1456,Deals!$A$2:$A$843,0),"")</f>
        <v/>
      </c>
      <c r="G1456">
        <f>IF(F1456="",0,1)</f>
        <v/>
      </c>
      <c r="H1456" s="29">
        <f>IF(F1456="","",INDEX(Deals!$E$2:$E$843,F1456))</f>
        <v/>
      </c>
      <c r="I1456">
        <f>IF(F1456="","",INDEX(Deals!$D$2:$D$843,F1456))</f>
        <v/>
      </c>
      <c r="J1456">
        <f>IF(F1456="","",INT(H1456)-B1456)</f>
        <v/>
      </c>
      <c r="K1456">
        <f>IF(B1456&gt;=Settings!$C$5,1,0)</f>
        <v/>
      </c>
    </row>
    <row r="1457">
      <c r="A1457" t="inlineStr">
        <is>
          <t>48a8b46e7ea342b913b50c7087f78162</t>
        </is>
      </c>
      <c r="B1457" s="29" t="n">
        <v>43207</v>
      </c>
      <c r="C1457" t="inlineStr">
        <is>
          <t>2018-04</t>
        </is>
      </c>
      <c r="D1457" t="inlineStr">
        <is>
          <t>b76ef37428e6799c421989521c0e5077</t>
        </is>
      </c>
      <c r="E1457" t="inlineStr">
        <is>
          <t>organic_search</t>
        </is>
      </c>
      <c r="F1457">
        <f>IFERROR(MATCH(A1457,Deals!$A$2:$A$843,0),"")</f>
        <v/>
      </c>
      <c r="G1457">
        <f>IF(F1457="",0,1)</f>
        <v/>
      </c>
      <c r="H1457" s="29">
        <f>IF(F1457="","",INDEX(Deals!$E$2:$E$843,F1457))</f>
        <v/>
      </c>
      <c r="I1457">
        <f>IF(F1457="","",INDEX(Deals!$D$2:$D$843,F1457))</f>
        <v/>
      </c>
      <c r="J1457">
        <f>IF(F1457="","",INT(H1457)-B1457)</f>
        <v/>
      </c>
      <c r="K1457">
        <f>IF(B1457&gt;=Settings!$C$5,1,0)</f>
        <v/>
      </c>
    </row>
    <row r="1458">
      <c r="A1458" t="inlineStr">
        <is>
          <t>d4bc7c8d13eb8284436c4498f37f4a7a</t>
        </is>
      </c>
      <c r="B1458" s="29" t="n">
        <v>42979</v>
      </c>
      <c r="C1458" t="inlineStr">
        <is>
          <t>2017-09</t>
        </is>
      </c>
      <c r="D1458" t="inlineStr">
        <is>
          <t>d1bad8bf984bd4d7ee08f814ca589897</t>
        </is>
      </c>
      <c r="E1458" t="inlineStr">
        <is>
          <t>referral</t>
        </is>
      </c>
      <c r="F1458">
        <f>IFERROR(MATCH(A1458,Deals!$A$2:$A$843,0),"")</f>
        <v/>
      </c>
      <c r="G1458">
        <f>IF(F1458="",0,1)</f>
        <v/>
      </c>
      <c r="H1458" s="29">
        <f>IF(F1458="","",INDEX(Deals!$E$2:$E$843,F1458))</f>
        <v/>
      </c>
      <c r="I1458">
        <f>IF(F1458="","",INDEX(Deals!$D$2:$D$843,F1458))</f>
        <v/>
      </c>
      <c r="J1458">
        <f>IF(F1458="","",INT(H1458)-B1458)</f>
        <v/>
      </c>
      <c r="K1458">
        <f>IF(B1458&gt;=Settings!$C$5,1,0)</f>
        <v/>
      </c>
    </row>
    <row r="1459">
      <c r="A1459" t="inlineStr">
        <is>
          <t>80cdac07fb2b27a0021352a711bbcd69</t>
        </is>
      </c>
      <c r="B1459" s="29" t="n">
        <v>42976</v>
      </c>
      <c r="C1459" t="inlineStr">
        <is>
          <t>2017-08</t>
        </is>
      </c>
      <c r="D1459" t="inlineStr">
        <is>
          <t>fbc24da54d531c6204ae2d17b1090bb1</t>
        </is>
      </c>
      <c r="E1459" t="inlineStr">
        <is>
          <t>direct_traffic</t>
        </is>
      </c>
      <c r="F1459">
        <f>IFERROR(MATCH(A1459,Deals!$A$2:$A$843,0),"")</f>
        <v/>
      </c>
      <c r="G1459">
        <f>IF(F1459="",0,1)</f>
        <v/>
      </c>
      <c r="H1459" s="29">
        <f>IF(F1459="","",INDEX(Deals!$E$2:$E$843,F1459))</f>
        <v/>
      </c>
      <c r="I1459">
        <f>IF(F1459="","",INDEX(Deals!$D$2:$D$843,F1459))</f>
        <v/>
      </c>
      <c r="J1459">
        <f>IF(F1459="","",INT(H1459)-B1459)</f>
        <v/>
      </c>
      <c r="K1459">
        <f>IF(B1459&gt;=Settings!$C$5,1,0)</f>
        <v/>
      </c>
    </row>
    <row r="1460">
      <c r="A1460" t="inlineStr">
        <is>
          <t>8341e64b8fa858982126af1076840776</t>
        </is>
      </c>
      <c r="B1460" s="29" t="n">
        <v>43154</v>
      </c>
      <c r="C1460" t="inlineStr">
        <is>
          <t>2018-02</t>
        </is>
      </c>
      <c r="D1460" t="inlineStr">
        <is>
          <t>73f31a40697cc90a86c1273563ac230e</t>
        </is>
      </c>
      <c r="E1460" t="inlineStr">
        <is>
          <t>other</t>
        </is>
      </c>
      <c r="F1460">
        <f>IFERROR(MATCH(A1460,Deals!$A$2:$A$843,0),"")</f>
        <v/>
      </c>
      <c r="G1460">
        <f>IF(F1460="",0,1)</f>
        <v/>
      </c>
      <c r="H1460" s="29">
        <f>IF(F1460="","",INDEX(Deals!$E$2:$E$843,F1460))</f>
        <v/>
      </c>
      <c r="I1460">
        <f>IF(F1460="","",INDEX(Deals!$D$2:$D$843,F1460))</f>
        <v/>
      </c>
      <c r="J1460">
        <f>IF(F1460="","",INT(H1460)-B1460)</f>
        <v/>
      </c>
      <c r="K1460">
        <f>IF(B1460&gt;=Settings!$C$5,1,0)</f>
        <v/>
      </c>
    </row>
    <row r="1461">
      <c r="A1461" t="inlineStr">
        <is>
          <t>21c6d7a1fc87615fa44ae7657a773566</t>
        </is>
      </c>
      <c r="B1461" s="29" t="n">
        <v>42963</v>
      </c>
      <c r="C1461" t="inlineStr">
        <is>
          <t>2017-08</t>
        </is>
      </c>
      <c r="D1461" t="inlineStr">
        <is>
          <t>128d8c3f32b8aa66b5bcbe4e26dfc78d</t>
        </is>
      </c>
      <c r="E1461" t="inlineStr">
        <is>
          <t>referral</t>
        </is>
      </c>
      <c r="F1461">
        <f>IFERROR(MATCH(A1461,Deals!$A$2:$A$843,0),"")</f>
        <v/>
      </c>
      <c r="G1461">
        <f>IF(F1461="",0,1)</f>
        <v/>
      </c>
      <c r="H1461" s="29">
        <f>IF(F1461="","",INDEX(Deals!$E$2:$E$843,F1461))</f>
        <v/>
      </c>
      <c r="I1461">
        <f>IF(F1461="","",INDEX(Deals!$D$2:$D$843,F1461))</f>
        <v/>
      </c>
      <c r="J1461">
        <f>IF(F1461="","",INT(H1461)-B1461)</f>
        <v/>
      </c>
      <c r="K1461">
        <f>IF(B1461&gt;=Settings!$C$5,1,0)</f>
        <v/>
      </c>
    </row>
    <row r="1462">
      <c r="A1462" t="inlineStr">
        <is>
          <t>9416ee6f8b80c68e03265d13fb136a49</t>
        </is>
      </c>
      <c r="B1462" s="29" t="n">
        <v>43152</v>
      </c>
      <c r="C1462" t="inlineStr">
        <is>
          <t>2018-02</t>
        </is>
      </c>
      <c r="D1462" t="inlineStr">
        <is>
          <t>ce1a65abd0973638f1c887a6efcfa82d</t>
        </is>
      </c>
      <c r="E1462" t="inlineStr">
        <is>
          <t>organic_search</t>
        </is>
      </c>
      <c r="F1462">
        <f>IFERROR(MATCH(A1462,Deals!$A$2:$A$843,0),"")</f>
        <v/>
      </c>
      <c r="G1462">
        <f>IF(F1462="",0,1)</f>
        <v/>
      </c>
      <c r="H1462" s="29">
        <f>IF(F1462="","",INDEX(Deals!$E$2:$E$843,F1462))</f>
        <v/>
      </c>
      <c r="I1462">
        <f>IF(F1462="","",INDEX(Deals!$D$2:$D$843,F1462))</f>
        <v/>
      </c>
      <c r="J1462">
        <f>IF(F1462="","",INT(H1462)-B1462)</f>
        <v/>
      </c>
      <c r="K1462">
        <f>IF(B1462&gt;=Settings!$C$5,1,0)</f>
        <v/>
      </c>
    </row>
    <row r="1463">
      <c r="A1463" t="inlineStr">
        <is>
          <t>6b15a5dc44e3676a5cf62e5ccf0d542e</t>
        </is>
      </c>
      <c r="B1463" s="29" t="n">
        <v>43124</v>
      </c>
      <c r="C1463" t="inlineStr">
        <is>
          <t>2018-01</t>
        </is>
      </c>
      <c r="D1463" t="inlineStr">
        <is>
          <t>22c29808c4f815213303f8933030604c</t>
        </is>
      </c>
      <c r="E1463" t="inlineStr">
        <is>
          <t>organic_search</t>
        </is>
      </c>
      <c r="F1463">
        <f>IFERROR(MATCH(A1463,Deals!$A$2:$A$843,0),"")</f>
        <v/>
      </c>
      <c r="G1463">
        <f>IF(F1463="",0,1)</f>
        <v/>
      </c>
      <c r="H1463" s="29">
        <f>IF(F1463="","",INDEX(Deals!$E$2:$E$843,F1463))</f>
        <v/>
      </c>
      <c r="I1463">
        <f>IF(F1463="","",INDEX(Deals!$D$2:$D$843,F1463))</f>
        <v/>
      </c>
      <c r="J1463">
        <f>IF(F1463="","",INT(H1463)-B1463)</f>
        <v/>
      </c>
      <c r="K1463">
        <f>IF(B1463&gt;=Settings!$C$5,1,0)</f>
        <v/>
      </c>
    </row>
    <row r="1464">
      <c r="A1464" t="inlineStr">
        <is>
          <t>30c5ba4650eee4a5550cdfa16fb4f195</t>
        </is>
      </c>
      <c r="B1464" s="29" t="n">
        <v>43129</v>
      </c>
      <c r="C1464" t="inlineStr">
        <is>
          <t>2018-01</t>
        </is>
      </c>
      <c r="D1464" t="inlineStr">
        <is>
          <t>22c29808c4f815213303f8933030604c</t>
        </is>
      </c>
      <c r="E1464" t="inlineStr">
        <is>
          <t>paid_search</t>
        </is>
      </c>
      <c r="F1464">
        <f>IFERROR(MATCH(A1464,Deals!$A$2:$A$843,0),"")</f>
        <v/>
      </c>
      <c r="G1464">
        <f>IF(F1464="",0,1)</f>
        <v/>
      </c>
      <c r="H1464" s="29">
        <f>IF(F1464="","",INDEX(Deals!$E$2:$E$843,F1464))</f>
        <v/>
      </c>
      <c r="I1464">
        <f>IF(F1464="","",INDEX(Deals!$D$2:$D$843,F1464))</f>
        <v/>
      </c>
      <c r="J1464">
        <f>IF(F1464="","",INT(H1464)-B1464)</f>
        <v/>
      </c>
      <c r="K1464">
        <f>IF(B1464&gt;=Settings!$C$5,1,0)</f>
        <v/>
      </c>
    </row>
    <row r="1465">
      <c r="A1465" t="inlineStr">
        <is>
          <t>3eb98498c491436f425cd830b3f447fa</t>
        </is>
      </c>
      <c r="B1465" s="29" t="n">
        <v>43060</v>
      </c>
      <c r="C1465" t="inlineStr">
        <is>
          <t>2017-11</t>
        </is>
      </c>
      <c r="D1465" t="inlineStr">
        <is>
          <t>f03e241af08912ba7ffb65d69b0eb4d9</t>
        </is>
      </c>
      <c r="E1465" t="inlineStr">
        <is>
          <t>organic_search</t>
        </is>
      </c>
      <c r="F1465">
        <f>IFERROR(MATCH(A1465,Deals!$A$2:$A$843,0),"")</f>
        <v/>
      </c>
      <c r="G1465">
        <f>IF(F1465="",0,1)</f>
        <v/>
      </c>
      <c r="H1465" s="29">
        <f>IF(F1465="","",INDEX(Deals!$E$2:$E$843,F1465))</f>
        <v/>
      </c>
      <c r="I1465">
        <f>IF(F1465="","",INDEX(Deals!$D$2:$D$843,F1465))</f>
        <v/>
      </c>
      <c r="J1465">
        <f>IF(F1465="","",INT(H1465)-B1465)</f>
        <v/>
      </c>
      <c r="K1465">
        <f>IF(B1465&gt;=Settings!$C$5,1,0)</f>
        <v/>
      </c>
    </row>
    <row r="1466">
      <c r="A1466" t="inlineStr">
        <is>
          <t>43e3f815cf7fe4dc813ba16eef04e1da</t>
        </is>
      </c>
      <c r="B1466" s="29" t="n">
        <v>43222</v>
      </c>
      <c r="C1466" t="inlineStr">
        <is>
          <t>2018-05</t>
        </is>
      </c>
      <c r="D1466" t="inlineStr">
        <is>
          <t>58326e62183c14b0c03085c33b9fdc44</t>
        </is>
      </c>
      <c r="E1466" t="inlineStr">
        <is>
          <t>social</t>
        </is>
      </c>
      <c r="F1466">
        <f>IFERROR(MATCH(A1466,Deals!$A$2:$A$843,0),"")</f>
        <v/>
      </c>
      <c r="G1466">
        <f>IF(F1466="",0,1)</f>
        <v/>
      </c>
      <c r="H1466" s="29">
        <f>IF(F1466="","",INDEX(Deals!$E$2:$E$843,F1466))</f>
        <v/>
      </c>
      <c r="I1466">
        <f>IF(F1466="","",INDEX(Deals!$D$2:$D$843,F1466))</f>
        <v/>
      </c>
      <c r="J1466">
        <f>IF(F1466="","",INT(H1466)-B1466)</f>
        <v/>
      </c>
      <c r="K1466">
        <f>IF(B1466&gt;=Settings!$C$5,1,0)</f>
        <v/>
      </c>
    </row>
    <row r="1467">
      <c r="A1467" t="inlineStr">
        <is>
          <t>4b0e9d0b2ec615f32fc627d50cd04c5f</t>
        </is>
      </c>
      <c r="B1467" s="29" t="n">
        <v>43106</v>
      </c>
      <c r="C1467" t="inlineStr">
        <is>
          <t>2018-01</t>
        </is>
      </c>
      <c r="D1467" t="inlineStr">
        <is>
          <t>22c29808c4f815213303f8933030604c</t>
        </is>
      </c>
      <c r="E1467" t="inlineStr">
        <is>
          <t>organic_search</t>
        </is>
      </c>
      <c r="F1467">
        <f>IFERROR(MATCH(A1467,Deals!$A$2:$A$843,0),"")</f>
        <v/>
      </c>
      <c r="G1467">
        <f>IF(F1467="",0,1)</f>
        <v/>
      </c>
      <c r="H1467" s="29">
        <f>IF(F1467="","",INDEX(Deals!$E$2:$E$843,F1467))</f>
        <v/>
      </c>
      <c r="I1467">
        <f>IF(F1467="","",INDEX(Deals!$D$2:$D$843,F1467))</f>
        <v/>
      </c>
      <c r="J1467">
        <f>IF(F1467="","",INT(H1467)-B1467)</f>
        <v/>
      </c>
      <c r="K1467">
        <f>IF(B1467&gt;=Settings!$C$5,1,0)</f>
        <v/>
      </c>
    </row>
    <row r="1468">
      <c r="A1468" t="inlineStr">
        <is>
          <t>60a7799873854c9ccd549ec39c8efddf</t>
        </is>
      </c>
      <c r="B1468" s="29" t="n">
        <v>43126</v>
      </c>
      <c r="C1468" t="inlineStr">
        <is>
          <t>2018-01</t>
        </is>
      </c>
      <c r="D1468" t="inlineStr">
        <is>
          <t>40dec9f3d5259a3d2dbcdab2114fae47</t>
        </is>
      </c>
      <c r="E1468" t="inlineStr">
        <is>
          <t>organic_search</t>
        </is>
      </c>
      <c r="F1468">
        <f>IFERROR(MATCH(A1468,Deals!$A$2:$A$843,0),"")</f>
        <v/>
      </c>
      <c r="G1468">
        <f>IF(F1468="",0,1)</f>
        <v/>
      </c>
      <c r="H1468" s="29">
        <f>IF(F1468="","",INDEX(Deals!$E$2:$E$843,F1468))</f>
        <v/>
      </c>
      <c r="I1468">
        <f>IF(F1468="","",INDEX(Deals!$D$2:$D$843,F1468))</f>
        <v/>
      </c>
      <c r="J1468">
        <f>IF(F1468="","",INT(H1468)-B1468)</f>
        <v/>
      </c>
      <c r="K1468">
        <f>IF(B1468&gt;=Settings!$C$5,1,0)</f>
        <v/>
      </c>
    </row>
    <row r="1469">
      <c r="A1469" t="inlineStr">
        <is>
          <t>7314a789d9c965494dc1b1c371d120e9</t>
        </is>
      </c>
      <c r="B1469" s="29" t="n">
        <v>43018</v>
      </c>
      <c r="C1469" t="inlineStr">
        <is>
          <t>2017-10</t>
        </is>
      </c>
      <c r="D1469" t="inlineStr">
        <is>
          <t>e492ee5eaf1697716985cc6f33f9cd9b</t>
        </is>
      </c>
      <c r="E1469" t="inlineStr">
        <is>
          <t>organic_search</t>
        </is>
      </c>
      <c r="F1469">
        <f>IFERROR(MATCH(A1469,Deals!$A$2:$A$843,0),"")</f>
        <v/>
      </c>
      <c r="G1469">
        <f>IF(F1469="",0,1)</f>
        <v/>
      </c>
      <c r="H1469" s="29">
        <f>IF(F1469="","",INDEX(Deals!$E$2:$E$843,F1469))</f>
        <v/>
      </c>
      <c r="I1469">
        <f>IF(F1469="","",INDEX(Deals!$D$2:$D$843,F1469))</f>
        <v/>
      </c>
      <c r="J1469">
        <f>IF(F1469="","",INT(H1469)-B1469)</f>
        <v/>
      </c>
      <c r="K1469">
        <f>IF(B1469&gt;=Settings!$C$5,1,0)</f>
        <v/>
      </c>
    </row>
    <row r="1470">
      <c r="A1470" t="inlineStr">
        <is>
          <t>5261961cfcb904628f54edd0c5f9739f</t>
        </is>
      </c>
      <c r="B1470" s="29" t="n">
        <v>43235</v>
      </c>
      <c r="C1470" t="inlineStr">
        <is>
          <t>2018-05</t>
        </is>
      </c>
      <c r="D1470" t="inlineStr">
        <is>
          <t>6a110e795dd487f1cf8d7583671987af</t>
        </is>
      </c>
      <c r="E1470" t="inlineStr">
        <is>
          <t>unknown</t>
        </is>
      </c>
      <c r="F1470">
        <f>IFERROR(MATCH(A1470,Deals!$A$2:$A$843,0),"")</f>
        <v/>
      </c>
      <c r="G1470">
        <f>IF(F1470="",0,1)</f>
        <v/>
      </c>
      <c r="H1470" s="29">
        <f>IF(F1470="","",INDEX(Deals!$E$2:$E$843,F1470))</f>
        <v/>
      </c>
      <c r="I1470">
        <f>IF(F1470="","",INDEX(Deals!$D$2:$D$843,F1470))</f>
        <v/>
      </c>
      <c r="J1470">
        <f>IF(F1470="","",INT(H1470)-B1470)</f>
        <v/>
      </c>
      <c r="K1470">
        <f>IF(B1470&gt;=Settings!$C$5,1,0)</f>
        <v/>
      </c>
    </row>
    <row r="1471">
      <c r="A1471" t="inlineStr">
        <is>
          <t>317d5338c2dd1182bd094370a1121ee4</t>
        </is>
      </c>
      <c r="B1471" s="29" t="n">
        <v>43010</v>
      </c>
      <c r="C1471" t="inlineStr">
        <is>
          <t>2017-10</t>
        </is>
      </c>
      <c r="D1471" t="inlineStr">
        <is>
          <t>a7982125ff7aa3b2054c6e44f9d28522</t>
        </is>
      </c>
      <c r="E1471" t="inlineStr">
        <is>
          <t>unknown</t>
        </is>
      </c>
      <c r="F1471">
        <f>IFERROR(MATCH(A1471,Deals!$A$2:$A$843,0),"")</f>
        <v/>
      </c>
      <c r="G1471">
        <f>IF(F1471="",0,1)</f>
        <v/>
      </c>
      <c r="H1471" s="29">
        <f>IF(F1471="","",INDEX(Deals!$E$2:$E$843,F1471))</f>
        <v/>
      </c>
      <c r="I1471">
        <f>IF(F1471="","",INDEX(Deals!$D$2:$D$843,F1471))</f>
        <v/>
      </c>
      <c r="J1471">
        <f>IF(F1471="","",INT(H1471)-B1471)</f>
        <v/>
      </c>
      <c r="K1471">
        <f>IF(B1471&gt;=Settings!$C$5,1,0)</f>
        <v/>
      </c>
    </row>
    <row r="1472">
      <c r="A1472" t="inlineStr">
        <is>
          <t>500dbe7f22bb9b808769c635446b5972</t>
        </is>
      </c>
      <c r="B1472" s="29" t="n">
        <v>43182</v>
      </c>
      <c r="C1472" t="inlineStr">
        <is>
          <t>2018-03</t>
        </is>
      </c>
      <c r="D1472" t="inlineStr">
        <is>
          <t>ce1a65abd0973638f1c887a6efcfa82d</t>
        </is>
      </c>
      <c r="E1472" t="inlineStr">
        <is>
          <t>organic_search</t>
        </is>
      </c>
      <c r="F1472">
        <f>IFERROR(MATCH(A1472,Deals!$A$2:$A$843,0),"")</f>
        <v/>
      </c>
      <c r="G1472">
        <f>IF(F1472="",0,1)</f>
        <v/>
      </c>
      <c r="H1472" s="29">
        <f>IF(F1472="","",INDEX(Deals!$E$2:$E$843,F1472))</f>
        <v/>
      </c>
      <c r="I1472">
        <f>IF(F1472="","",INDEX(Deals!$D$2:$D$843,F1472))</f>
        <v/>
      </c>
      <c r="J1472">
        <f>IF(F1472="","",INT(H1472)-B1472)</f>
        <v/>
      </c>
      <c r="K1472">
        <f>IF(B1472&gt;=Settings!$C$5,1,0)</f>
        <v/>
      </c>
    </row>
    <row r="1473">
      <c r="A1473" t="inlineStr">
        <is>
          <t>aca704179243b072a128766eb67ad4ab</t>
        </is>
      </c>
      <c r="B1473" s="29" t="n">
        <v>43209</v>
      </c>
      <c r="C1473" t="inlineStr">
        <is>
          <t>2018-04</t>
        </is>
      </c>
      <c r="D1473" t="inlineStr">
        <is>
          <t>1ceb590cd1e00c7ee95220971f82693d</t>
        </is>
      </c>
      <c r="E1473" t="inlineStr">
        <is>
          <t>paid_search</t>
        </is>
      </c>
      <c r="F1473">
        <f>IFERROR(MATCH(A1473,Deals!$A$2:$A$843,0),"")</f>
        <v/>
      </c>
      <c r="G1473">
        <f>IF(F1473="",0,1)</f>
        <v/>
      </c>
      <c r="H1473" s="29">
        <f>IF(F1473="","",INDEX(Deals!$E$2:$E$843,F1473))</f>
        <v/>
      </c>
      <c r="I1473">
        <f>IF(F1473="","",INDEX(Deals!$D$2:$D$843,F1473))</f>
        <v/>
      </c>
      <c r="J1473">
        <f>IF(F1473="","",INT(H1473)-B1473)</f>
        <v/>
      </c>
      <c r="K1473">
        <f>IF(B1473&gt;=Settings!$C$5,1,0)</f>
        <v/>
      </c>
    </row>
    <row r="1474">
      <c r="A1474" t="inlineStr">
        <is>
          <t>428a96d781ccb96d757bbf82f8242d95</t>
        </is>
      </c>
      <c r="B1474" s="29" t="n">
        <v>43103</v>
      </c>
      <c r="C1474" t="inlineStr">
        <is>
          <t>2018-01</t>
        </is>
      </c>
      <c r="D1474" t="inlineStr">
        <is>
          <t>65d9f9d71e562365e8b44037c2888d98</t>
        </is>
      </c>
      <c r="E1474" t="inlineStr">
        <is>
          <t>paid_search</t>
        </is>
      </c>
      <c r="F1474">
        <f>IFERROR(MATCH(A1474,Deals!$A$2:$A$843,0),"")</f>
        <v/>
      </c>
      <c r="G1474">
        <f>IF(F1474="",0,1)</f>
        <v/>
      </c>
      <c r="H1474" s="29">
        <f>IF(F1474="","",INDEX(Deals!$E$2:$E$843,F1474))</f>
        <v/>
      </c>
      <c r="I1474">
        <f>IF(F1474="","",INDEX(Deals!$D$2:$D$843,F1474))</f>
        <v/>
      </c>
      <c r="J1474">
        <f>IF(F1474="","",INT(H1474)-B1474)</f>
        <v/>
      </c>
      <c r="K1474">
        <f>IF(B1474&gt;=Settings!$C$5,1,0)</f>
        <v/>
      </c>
    </row>
    <row r="1475">
      <c r="A1475" t="inlineStr">
        <is>
          <t>7bc6fd37ca955009b464c9918ada8719</t>
        </is>
      </c>
      <c r="B1475" s="29" t="n">
        <v>43228</v>
      </c>
      <c r="C1475" t="inlineStr">
        <is>
          <t>2018-05</t>
        </is>
      </c>
      <c r="D1475" t="inlineStr">
        <is>
          <t>5dc848e7dd9418dffe183215b8ff0bc1</t>
        </is>
      </c>
      <c r="E1475" t="inlineStr">
        <is>
          <t>paid_search</t>
        </is>
      </c>
      <c r="F1475">
        <f>IFERROR(MATCH(A1475,Deals!$A$2:$A$843,0),"")</f>
        <v/>
      </c>
      <c r="G1475">
        <f>IF(F1475="",0,1)</f>
        <v/>
      </c>
      <c r="H1475" s="29">
        <f>IF(F1475="","",INDEX(Deals!$E$2:$E$843,F1475))</f>
        <v/>
      </c>
      <c r="I1475">
        <f>IF(F1475="","",INDEX(Deals!$D$2:$D$843,F1475))</f>
        <v/>
      </c>
      <c r="J1475">
        <f>IF(F1475="","",INT(H1475)-B1475)</f>
        <v/>
      </c>
      <c r="K1475">
        <f>IF(B1475&gt;=Settings!$C$5,1,0)</f>
        <v/>
      </c>
    </row>
    <row r="1476">
      <c r="A1476" t="inlineStr">
        <is>
          <t>69e437ff7067a3c307417c25451f1344</t>
        </is>
      </c>
      <c r="B1476" s="29" t="n">
        <v>43201</v>
      </c>
      <c r="C1476" t="inlineStr">
        <is>
          <t>2018-04</t>
        </is>
      </c>
      <c r="D1476" t="inlineStr">
        <is>
          <t>909e333f8f23574f93115bd3d402e202</t>
        </is>
      </c>
      <c r="E1476" t="inlineStr">
        <is>
          <t>organic_search</t>
        </is>
      </c>
      <c r="F1476">
        <f>IFERROR(MATCH(A1476,Deals!$A$2:$A$843,0),"")</f>
        <v/>
      </c>
      <c r="G1476">
        <f>IF(F1476="",0,1)</f>
        <v/>
      </c>
      <c r="H1476" s="29">
        <f>IF(F1476="","",INDEX(Deals!$E$2:$E$843,F1476))</f>
        <v/>
      </c>
      <c r="I1476">
        <f>IF(F1476="","",INDEX(Deals!$D$2:$D$843,F1476))</f>
        <v/>
      </c>
      <c r="J1476">
        <f>IF(F1476="","",INT(H1476)-B1476)</f>
        <v/>
      </c>
      <c r="K1476">
        <f>IF(B1476&gt;=Settings!$C$5,1,0)</f>
        <v/>
      </c>
    </row>
    <row r="1477">
      <c r="A1477" t="inlineStr">
        <is>
          <t>afb385227f5ff1dcd5c746974baf1060</t>
        </is>
      </c>
      <c r="B1477" s="29" t="n">
        <v>42935</v>
      </c>
      <c r="C1477" t="inlineStr">
        <is>
          <t>2017-07</t>
        </is>
      </c>
      <c r="D1477" t="inlineStr">
        <is>
          <t>ce7bafe02f8fb1a3f15f52a9c239d0ef</t>
        </is>
      </c>
      <c r="E1477" t="inlineStr">
        <is>
          <t>organic_search</t>
        </is>
      </c>
      <c r="F1477">
        <f>IFERROR(MATCH(A1477,Deals!$A$2:$A$843,0),"")</f>
        <v/>
      </c>
      <c r="G1477">
        <f>IF(F1477="",0,1)</f>
        <v/>
      </c>
      <c r="H1477" s="29">
        <f>IF(F1477="","",INDEX(Deals!$E$2:$E$843,F1477))</f>
        <v/>
      </c>
      <c r="I1477">
        <f>IF(F1477="","",INDEX(Deals!$D$2:$D$843,F1477))</f>
        <v/>
      </c>
      <c r="J1477">
        <f>IF(F1477="","",INT(H1477)-B1477)</f>
        <v/>
      </c>
      <c r="K1477">
        <f>IF(B1477&gt;=Settings!$C$5,1,0)</f>
        <v/>
      </c>
    </row>
    <row r="1478">
      <c r="A1478" t="inlineStr">
        <is>
          <t>d538fafd2c832e8cb5d424d68dc7f8af</t>
        </is>
      </c>
      <c r="B1478" s="29" t="n">
        <v>43132</v>
      </c>
      <c r="C1478" t="inlineStr">
        <is>
          <t>2018-02</t>
        </is>
      </c>
      <c r="D1478" t="inlineStr">
        <is>
          <t>b76ef37428e6799c421989521c0e5077</t>
        </is>
      </c>
      <c r="E1478" t="inlineStr">
        <is>
          <t>unknown</t>
        </is>
      </c>
      <c r="F1478">
        <f>IFERROR(MATCH(A1478,Deals!$A$2:$A$843,0),"")</f>
        <v/>
      </c>
      <c r="G1478">
        <f>IF(F1478="",0,1)</f>
        <v/>
      </c>
      <c r="H1478" s="29">
        <f>IF(F1478="","",INDEX(Deals!$E$2:$E$843,F1478))</f>
        <v/>
      </c>
      <c r="I1478">
        <f>IF(F1478="","",INDEX(Deals!$D$2:$D$843,F1478))</f>
        <v/>
      </c>
      <c r="J1478">
        <f>IF(F1478="","",INT(H1478)-B1478)</f>
        <v/>
      </c>
      <c r="K1478">
        <f>IF(B1478&gt;=Settings!$C$5,1,0)</f>
        <v/>
      </c>
    </row>
    <row r="1479">
      <c r="A1479" t="inlineStr">
        <is>
          <t>8dc56b3dd5380fcd7402ce0fbc75cb1e</t>
        </is>
      </c>
      <c r="B1479" s="29" t="n">
        <v>43099</v>
      </c>
      <c r="C1479" t="inlineStr">
        <is>
          <t>2017-12</t>
        </is>
      </c>
      <c r="D1479" t="inlineStr">
        <is>
          <t>f017be4dbf86243af5c1ebed0cff36a2</t>
        </is>
      </c>
      <c r="E1479" t="inlineStr">
        <is>
          <t>organic_search</t>
        </is>
      </c>
      <c r="F1479">
        <f>IFERROR(MATCH(A1479,Deals!$A$2:$A$843,0),"")</f>
        <v/>
      </c>
      <c r="G1479">
        <f>IF(F1479="",0,1)</f>
        <v/>
      </c>
      <c r="H1479" s="29">
        <f>IF(F1479="","",INDEX(Deals!$E$2:$E$843,F1479))</f>
        <v/>
      </c>
      <c r="I1479">
        <f>IF(F1479="","",INDEX(Deals!$D$2:$D$843,F1479))</f>
        <v/>
      </c>
      <c r="J1479">
        <f>IF(F1479="","",INT(H1479)-B1479)</f>
        <v/>
      </c>
      <c r="K1479">
        <f>IF(B1479&gt;=Settings!$C$5,1,0)</f>
        <v/>
      </c>
    </row>
    <row r="1480">
      <c r="A1480" t="inlineStr">
        <is>
          <t>50c2e156c1502fb41bc5d51be51d76a3</t>
        </is>
      </c>
      <c r="B1480" s="29" t="n">
        <v>43167</v>
      </c>
      <c r="C1480" t="inlineStr">
        <is>
          <t>2018-03</t>
        </is>
      </c>
      <c r="D1480" t="inlineStr">
        <is>
          <t>36120633c8737035fbabf079082f4ec1</t>
        </is>
      </c>
      <c r="E1480" t="inlineStr">
        <is>
          <t>organic_search</t>
        </is>
      </c>
      <c r="F1480">
        <f>IFERROR(MATCH(A1480,Deals!$A$2:$A$843,0),"")</f>
        <v/>
      </c>
      <c r="G1480">
        <f>IF(F1480="",0,1)</f>
        <v/>
      </c>
      <c r="H1480" s="29">
        <f>IF(F1480="","",INDEX(Deals!$E$2:$E$843,F1480))</f>
        <v/>
      </c>
      <c r="I1480">
        <f>IF(F1480="","",INDEX(Deals!$D$2:$D$843,F1480))</f>
        <v/>
      </c>
      <c r="J1480">
        <f>IF(F1480="","",INT(H1480)-B1480)</f>
        <v/>
      </c>
      <c r="K1480">
        <f>IF(B1480&gt;=Settings!$C$5,1,0)</f>
        <v/>
      </c>
    </row>
    <row r="1481">
      <c r="A1481" t="inlineStr">
        <is>
          <t>73cdac09836439688e0c3626d39d3ef3</t>
        </is>
      </c>
      <c r="B1481" s="29" t="n">
        <v>43096</v>
      </c>
      <c r="C1481" t="inlineStr">
        <is>
          <t>2017-12</t>
        </is>
      </c>
      <c r="D1481" t="inlineStr">
        <is>
          <t>b76ef37428e6799c421989521c0e5077</t>
        </is>
      </c>
      <c r="E1481" t="inlineStr">
        <is>
          <t>paid_search</t>
        </is>
      </c>
      <c r="F1481">
        <f>IFERROR(MATCH(A1481,Deals!$A$2:$A$843,0),"")</f>
        <v/>
      </c>
      <c r="G1481">
        <f>IF(F1481="",0,1)</f>
        <v/>
      </c>
      <c r="H1481" s="29">
        <f>IF(F1481="","",INDEX(Deals!$E$2:$E$843,F1481))</f>
        <v/>
      </c>
      <c r="I1481">
        <f>IF(F1481="","",INDEX(Deals!$D$2:$D$843,F1481))</f>
        <v/>
      </c>
      <c r="J1481">
        <f>IF(F1481="","",INT(H1481)-B1481)</f>
        <v/>
      </c>
      <c r="K1481">
        <f>IF(B1481&gt;=Settings!$C$5,1,0)</f>
        <v/>
      </c>
    </row>
    <row r="1482">
      <c r="A1482" t="inlineStr">
        <is>
          <t>e4f7dd56f5b3d6db55c68937acdc288f</t>
        </is>
      </c>
      <c r="B1482" s="29" t="n">
        <v>43235</v>
      </c>
      <c r="C1482" t="inlineStr">
        <is>
          <t>2018-05</t>
        </is>
      </c>
      <c r="D1482" t="inlineStr">
        <is>
          <t>fb58285f6f6c4e504dfa628de116cae8</t>
        </is>
      </c>
      <c r="E1482" t="inlineStr">
        <is>
          <t>email</t>
        </is>
      </c>
      <c r="F1482">
        <f>IFERROR(MATCH(A1482,Deals!$A$2:$A$843,0),"")</f>
        <v/>
      </c>
      <c r="G1482">
        <f>IF(F1482="",0,1)</f>
        <v/>
      </c>
      <c r="H1482" s="29">
        <f>IF(F1482="","",INDEX(Deals!$E$2:$E$843,F1482))</f>
        <v/>
      </c>
      <c r="I1482">
        <f>IF(F1482="","",INDEX(Deals!$D$2:$D$843,F1482))</f>
        <v/>
      </c>
      <c r="J1482">
        <f>IF(F1482="","",INT(H1482)-B1482)</f>
        <v/>
      </c>
      <c r="K1482">
        <f>IF(B1482&gt;=Settings!$C$5,1,0)</f>
        <v/>
      </c>
    </row>
    <row r="1483">
      <c r="A1483" t="inlineStr">
        <is>
          <t>36adad451566a9d8f0a9cd1ff06b8e3a</t>
        </is>
      </c>
      <c r="B1483" s="29" t="n">
        <v>43214</v>
      </c>
      <c r="C1483" t="inlineStr">
        <is>
          <t>2018-04</t>
        </is>
      </c>
      <c r="D1483" t="inlineStr">
        <is>
          <t>1ceb590cd1e00c7ee95220971f82693d</t>
        </is>
      </c>
      <c r="E1483" t="inlineStr">
        <is>
          <t>paid_search</t>
        </is>
      </c>
      <c r="F1483">
        <f>IFERROR(MATCH(A1483,Deals!$A$2:$A$843,0),"")</f>
        <v/>
      </c>
      <c r="G1483">
        <f>IF(F1483="",0,1)</f>
        <v/>
      </c>
      <c r="H1483" s="29">
        <f>IF(F1483="","",INDEX(Deals!$E$2:$E$843,F1483))</f>
        <v/>
      </c>
      <c r="I1483">
        <f>IF(F1483="","",INDEX(Deals!$D$2:$D$843,F1483))</f>
        <v/>
      </c>
      <c r="J1483">
        <f>IF(F1483="","",INT(H1483)-B1483)</f>
        <v/>
      </c>
      <c r="K1483">
        <f>IF(B1483&gt;=Settings!$C$5,1,0)</f>
        <v/>
      </c>
    </row>
    <row r="1484">
      <c r="A1484" t="inlineStr">
        <is>
          <t>e2c5889335b1a8988442b4a53af56d0c</t>
        </is>
      </c>
      <c r="B1484" s="29" t="n">
        <v>43241</v>
      </c>
      <c r="C1484" t="inlineStr">
        <is>
          <t>2018-05</t>
        </is>
      </c>
      <c r="D1484" t="inlineStr">
        <is>
          <t>4e82dd1f6d00626bda0723eef0a269a6</t>
        </is>
      </c>
      <c r="E1484" t="inlineStr">
        <is>
          <t>organic_search</t>
        </is>
      </c>
      <c r="F1484">
        <f>IFERROR(MATCH(A1484,Deals!$A$2:$A$843,0),"")</f>
        <v/>
      </c>
      <c r="G1484">
        <f>IF(F1484="",0,1)</f>
        <v/>
      </c>
      <c r="H1484" s="29">
        <f>IF(F1484="","",INDEX(Deals!$E$2:$E$843,F1484))</f>
        <v/>
      </c>
      <c r="I1484">
        <f>IF(F1484="","",INDEX(Deals!$D$2:$D$843,F1484))</f>
        <v/>
      </c>
      <c r="J1484">
        <f>IF(F1484="","",INT(H1484)-B1484)</f>
        <v/>
      </c>
      <c r="K1484">
        <f>IF(B1484&gt;=Settings!$C$5,1,0)</f>
        <v/>
      </c>
    </row>
    <row r="1485">
      <c r="A1485" t="inlineStr">
        <is>
          <t>31b60c338e0c43f9100464d36c446e08</t>
        </is>
      </c>
      <c r="B1485" s="29" t="n">
        <v>43229</v>
      </c>
      <c r="C1485" t="inlineStr">
        <is>
          <t>2018-05</t>
        </is>
      </c>
      <c r="D1485" t="inlineStr">
        <is>
          <t>b76ef37428e6799c421989521c0e5077</t>
        </is>
      </c>
      <c r="E1485" t="inlineStr">
        <is>
          <t>organic_search</t>
        </is>
      </c>
      <c r="F1485">
        <f>IFERROR(MATCH(A1485,Deals!$A$2:$A$843,0),"")</f>
        <v/>
      </c>
      <c r="G1485">
        <f>IF(F1485="",0,1)</f>
        <v/>
      </c>
      <c r="H1485" s="29">
        <f>IF(F1485="","",INDEX(Deals!$E$2:$E$843,F1485))</f>
        <v/>
      </c>
      <c r="I1485">
        <f>IF(F1485="","",INDEX(Deals!$D$2:$D$843,F1485))</f>
        <v/>
      </c>
      <c r="J1485">
        <f>IF(F1485="","",INT(H1485)-B1485)</f>
        <v/>
      </c>
      <c r="K1485">
        <f>IF(B1485&gt;=Settings!$C$5,1,0)</f>
        <v/>
      </c>
    </row>
    <row r="1486">
      <c r="A1486" t="inlineStr">
        <is>
          <t>ff22192942900d826b366bc1ba92e665</t>
        </is>
      </c>
      <c r="B1486" s="29" t="n">
        <v>43140</v>
      </c>
      <c r="C1486" t="inlineStr">
        <is>
          <t>2018-02</t>
        </is>
      </c>
      <c r="D1486" t="inlineStr">
        <is>
          <t>a7982125ff7aa3b2054c6e44f9d28522</t>
        </is>
      </c>
      <c r="E1486" t="inlineStr">
        <is>
          <t>display</t>
        </is>
      </c>
      <c r="F1486">
        <f>IFERROR(MATCH(A1486,Deals!$A$2:$A$843,0),"")</f>
        <v/>
      </c>
      <c r="G1486">
        <f>IF(F1486="",0,1)</f>
        <v/>
      </c>
      <c r="H1486" s="29">
        <f>IF(F1486="","",INDEX(Deals!$E$2:$E$843,F1486))</f>
        <v/>
      </c>
      <c r="I1486">
        <f>IF(F1486="","",INDEX(Deals!$D$2:$D$843,F1486))</f>
        <v/>
      </c>
      <c r="J1486">
        <f>IF(F1486="","",INT(H1486)-B1486)</f>
        <v/>
      </c>
      <c r="K1486">
        <f>IF(B1486&gt;=Settings!$C$5,1,0)</f>
        <v/>
      </c>
    </row>
    <row r="1487">
      <c r="A1487" t="inlineStr">
        <is>
          <t>21c55cb2ff8f7ce34b89f7cc8cf71d9f</t>
        </is>
      </c>
      <c r="B1487" s="29" t="n">
        <v>43095</v>
      </c>
      <c r="C1487" t="inlineStr">
        <is>
          <t>2017-12</t>
        </is>
      </c>
      <c r="D1487" t="inlineStr">
        <is>
          <t>241f79c7a8fe0270f4fb79fcbbcd17ad</t>
        </is>
      </c>
      <c r="E1487" t="inlineStr">
        <is>
          <t>paid_search</t>
        </is>
      </c>
      <c r="F1487">
        <f>IFERROR(MATCH(A1487,Deals!$A$2:$A$843,0),"")</f>
        <v/>
      </c>
      <c r="G1487">
        <f>IF(F1487="",0,1)</f>
        <v/>
      </c>
      <c r="H1487" s="29">
        <f>IF(F1487="","",INDEX(Deals!$E$2:$E$843,F1487))</f>
        <v/>
      </c>
      <c r="I1487">
        <f>IF(F1487="","",INDEX(Deals!$D$2:$D$843,F1487))</f>
        <v/>
      </c>
      <c r="J1487">
        <f>IF(F1487="","",INT(H1487)-B1487)</f>
        <v/>
      </c>
      <c r="K1487">
        <f>IF(B1487&gt;=Settings!$C$5,1,0)</f>
        <v/>
      </c>
    </row>
    <row r="1488">
      <c r="A1488" t="inlineStr">
        <is>
          <t>abc8b42c04b3df828530e5292ad14b91</t>
        </is>
      </c>
      <c r="B1488" s="29" t="n">
        <v>43216</v>
      </c>
      <c r="C1488" t="inlineStr">
        <is>
          <t>2018-04</t>
        </is>
      </c>
      <c r="D1488" t="inlineStr">
        <is>
          <t>58326e62183c14b0c03085c33b9fdc44</t>
        </is>
      </c>
      <c r="E1488" t="inlineStr">
        <is>
          <t>social</t>
        </is>
      </c>
      <c r="F1488">
        <f>IFERROR(MATCH(A1488,Deals!$A$2:$A$843,0),"")</f>
        <v/>
      </c>
      <c r="G1488">
        <f>IF(F1488="",0,1)</f>
        <v/>
      </c>
      <c r="H1488" s="29">
        <f>IF(F1488="","",INDEX(Deals!$E$2:$E$843,F1488))</f>
        <v/>
      </c>
      <c r="I1488">
        <f>IF(F1488="","",INDEX(Deals!$D$2:$D$843,F1488))</f>
        <v/>
      </c>
      <c r="J1488">
        <f>IF(F1488="","",INT(H1488)-B1488)</f>
        <v/>
      </c>
      <c r="K1488">
        <f>IF(B1488&gt;=Settings!$C$5,1,0)</f>
        <v/>
      </c>
    </row>
    <row r="1489">
      <c r="A1489" t="inlineStr">
        <is>
          <t>b277ed5354b3e16e0a7a18f026ad8743</t>
        </is>
      </c>
      <c r="B1489" s="29" t="n">
        <v>43198</v>
      </c>
      <c r="C1489" t="inlineStr">
        <is>
          <t>2018-04</t>
        </is>
      </c>
      <c r="D1489" t="inlineStr">
        <is>
          <t>58326e62183c14b0c03085c33b9fdc44</t>
        </is>
      </c>
      <c r="E1489" t="inlineStr">
        <is>
          <t>social</t>
        </is>
      </c>
      <c r="F1489">
        <f>IFERROR(MATCH(A1489,Deals!$A$2:$A$843,0),"")</f>
        <v/>
      </c>
      <c r="G1489">
        <f>IF(F1489="",0,1)</f>
        <v/>
      </c>
      <c r="H1489" s="29">
        <f>IF(F1489="","",INDEX(Deals!$E$2:$E$843,F1489))</f>
        <v/>
      </c>
      <c r="I1489">
        <f>IF(F1489="","",INDEX(Deals!$D$2:$D$843,F1489))</f>
        <v/>
      </c>
      <c r="J1489">
        <f>IF(F1489="","",INT(H1489)-B1489)</f>
        <v/>
      </c>
      <c r="K1489">
        <f>IF(B1489&gt;=Settings!$C$5,1,0)</f>
        <v/>
      </c>
    </row>
    <row r="1490">
      <c r="A1490" t="inlineStr">
        <is>
          <t>c16c4407a60fbdfc8930637b47cd2a1a</t>
        </is>
      </c>
      <c r="B1490" s="29" t="n">
        <v>43231</v>
      </c>
      <c r="C1490" t="inlineStr">
        <is>
          <t>2018-05</t>
        </is>
      </c>
      <c r="D1490" t="inlineStr">
        <is>
          <t>a7982125ff7aa3b2054c6e44f9d28522</t>
        </is>
      </c>
      <c r="E1490" t="inlineStr">
        <is>
          <t>organic_search</t>
        </is>
      </c>
      <c r="F1490">
        <f>IFERROR(MATCH(A1490,Deals!$A$2:$A$843,0),"")</f>
        <v/>
      </c>
      <c r="G1490">
        <f>IF(F1490="",0,1)</f>
        <v/>
      </c>
      <c r="H1490" s="29">
        <f>IF(F1490="","",INDEX(Deals!$E$2:$E$843,F1490))</f>
        <v/>
      </c>
      <c r="I1490">
        <f>IF(F1490="","",INDEX(Deals!$D$2:$D$843,F1490))</f>
        <v/>
      </c>
      <c r="J1490">
        <f>IF(F1490="","",INT(H1490)-B1490)</f>
        <v/>
      </c>
      <c r="K1490">
        <f>IF(B1490&gt;=Settings!$C$5,1,0)</f>
        <v/>
      </c>
    </row>
    <row r="1491">
      <c r="A1491" t="inlineStr">
        <is>
          <t>467c91b5cf6b0775b563fe44a05388a0</t>
        </is>
      </c>
      <c r="B1491" s="29" t="n">
        <v>43185</v>
      </c>
      <c r="C1491" t="inlineStr">
        <is>
          <t>2018-03</t>
        </is>
      </c>
      <c r="D1491" t="inlineStr">
        <is>
          <t>bdaeb752e5c3caa215ebe04c61e22325</t>
        </is>
      </c>
      <c r="E1491" t="inlineStr">
        <is>
          <t>organic_search</t>
        </is>
      </c>
      <c r="F1491">
        <f>IFERROR(MATCH(A1491,Deals!$A$2:$A$843,0),"")</f>
        <v/>
      </c>
      <c r="G1491">
        <f>IF(F1491="",0,1)</f>
        <v/>
      </c>
      <c r="H1491" s="29">
        <f>IF(F1491="","",INDEX(Deals!$E$2:$E$843,F1491))</f>
        <v/>
      </c>
      <c r="I1491">
        <f>IF(F1491="","",INDEX(Deals!$D$2:$D$843,F1491))</f>
        <v/>
      </c>
      <c r="J1491">
        <f>IF(F1491="","",INT(H1491)-B1491)</f>
        <v/>
      </c>
      <c r="K1491">
        <f>IF(B1491&gt;=Settings!$C$5,1,0)</f>
        <v/>
      </c>
    </row>
    <row r="1492">
      <c r="A1492" t="inlineStr">
        <is>
          <t>5dd808ef0d37652165522bd8b73b795e</t>
        </is>
      </c>
      <c r="B1492" s="29" t="n">
        <v>43206</v>
      </c>
      <c r="C1492" t="inlineStr">
        <is>
          <t>2018-04</t>
        </is>
      </c>
      <c r="D1492" t="inlineStr">
        <is>
          <t>c494978688ccf66ad9fad3d6a3338c22</t>
        </is>
      </c>
      <c r="E1492" t="inlineStr">
        <is>
          <t>referral</t>
        </is>
      </c>
      <c r="F1492">
        <f>IFERROR(MATCH(A1492,Deals!$A$2:$A$843,0),"")</f>
        <v/>
      </c>
      <c r="G1492">
        <f>IF(F1492="",0,1)</f>
        <v/>
      </c>
      <c r="H1492" s="29">
        <f>IF(F1492="","",INDEX(Deals!$E$2:$E$843,F1492))</f>
        <v/>
      </c>
      <c r="I1492">
        <f>IF(F1492="","",INDEX(Deals!$D$2:$D$843,F1492))</f>
        <v/>
      </c>
      <c r="J1492">
        <f>IF(F1492="","",INT(H1492)-B1492)</f>
        <v/>
      </c>
      <c r="K1492">
        <f>IF(B1492&gt;=Settings!$C$5,1,0)</f>
        <v/>
      </c>
    </row>
    <row r="1493">
      <c r="A1493" t="inlineStr">
        <is>
          <t>d2ab1b817736bf790ca530b6bd705c5a</t>
        </is>
      </c>
      <c r="B1493" s="29" t="n">
        <v>43127</v>
      </c>
      <c r="C1493" t="inlineStr">
        <is>
          <t>2018-01</t>
        </is>
      </c>
      <c r="D1493" t="inlineStr">
        <is>
          <t>22c29808c4f815213303f8933030604c</t>
        </is>
      </c>
      <c r="E1493" t="inlineStr">
        <is>
          <t>organic_search</t>
        </is>
      </c>
      <c r="F1493">
        <f>IFERROR(MATCH(A1493,Deals!$A$2:$A$843,0),"")</f>
        <v/>
      </c>
      <c r="G1493">
        <f>IF(F1493="",0,1)</f>
        <v/>
      </c>
      <c r="H1493" s="29">
        <f>IF(F1493="","",INDEX(Deals!$E$2:$E$843,F1493))</f>
        <v/>
      </c>
      <c r="I1493">
        <f>IF(F1493="","",INDEX(Deals!$D$2:$D$843,F1493))</f>
        <v/>
      </c>
      <c r="J1493">
        <f>IF(F1493="","",INT(H1493)-B1493)</f>
        <v/>
      </c>
      <c r="K1493">
        <f>IF(B1493&gt;=Settings!$C$5,1,0)</f>
        <v/>
      </c>
    </row>
    <row r="1494">
      <c r="A1494" t="inlineStr">
        <is>
          <t>829986ab9445b46f3bd8461eff19e412</t>
        </is>
      </c>
      <c r="B1494" s="29" t="n">
        <v>43127</v>
      </c>
      <c r="C1494" t="inlineStr">
        <is>
          <t>2018-01</t>
        </is>
      </c>
      <c r="D1494" t="inlineStr">
        <is>
          <t>58f8c0a253663304e348e81298bc255e</t>
        </is>
      </c>
      <c r="E1494" t="inlineStr">
        <is>
          <t>referral</t>
        </is>
      </c>
      <c r="F1494">
        <f>IFERROR(MATCH(A1494,Deals!$A$2:$A$843,0),"")</f>
        <v/>
      </c>
      <c r="G1494">
        <f>IF(F1494="",0,1)</f>
        <v/>
      </c>
      <c r="H1494" s="29">
        <f>IF(F1494="","",INDEX(Deals!$E$2:$E$843,F1494))</f>
        <v/>
      </c>
      <c r="I1494">
        <f>IF(F1494="","",INDEX(Deals!$D$2:$D$843,F1494))</f>
        <v/>
      </c>
      <c r="J1494">
        <f>IF(F1494="","",INT(H1494)-B1494)</f>
        <v/>
      </c>
      <c r="K1494">
        <f>IF(B1494&gt;=Settings!$C$5,1,0)</f>
        <v/>
      </c>
    </row>
    <row r="1495">
      <c r="A1495" t="inlineStr">
        <is>
          <t>f30fc9b0f89bdf0ec0b33b6fa2de82a8</t>
        </is>
      </c>
      <c r="B1495" s="29" t="n">
        <v>43178</v>
      </c>
      <c r="C1495" t="inlineStr">
        <is>
          <t>2018-03</t>
        </is>
      </c>
      <c r="D1495" t="inlineStr">
        <is>
          <t>330b9d44078a1ae5a221d655dcb77afa</t>
        </is>
      </c>
      <c r="E1495" t="inlineStr">
        <is>
          <t>email</t>
        </is>
      </c>
      <c r="F1495">
        <f>IFERROR(MATCH(A1495,Deals!$A$2:$A$843,0),"")</f>
        <v/>
      </c>
      <c r="G1495">
        <f>IF(F1495="",0,1)</f>
        <v/>
      </c>
      <c r="H1495" s="29">
        <f>IF(F1495="","",INDEX(Deals!$E$2:$E$843,F1495))</f>
        <v/>
      </c>
      <c r="I1495">
        <f>IF(F1495="","",INDEX(Deals!$D$2:$D$843,F1495))</f>
        <v/>
      </c>
      <c r="J1495">
        <f>IF(F1495="","",INT(H1495)-B1495)</f>
        <v/>
      </c>
      <c r="K1495">
        <f>IF(B1495&gt;=Settings!$C$5,1,0)</f>
        <v/>
      </c>
    </row>
    <row r="1496">
      <c r="A1496" t="inlineStr">
        <is>
          <t>6a923382c8c5696a76af7a604937de28</t>
        </is>
      </c>
      <c r="B1496" s="29" t="n">
        <v>43234</v>
      </c>
      <c r="C1496" t="inlineStr">
        <is>
          <t>2018-05</t>
        </is>
      </c>
      <c r="D1496" t="inlineStr">
        <is>
          <t>f017be4dbf86243af5c1ebed0cff36a2</t>
        </is>
      </c>
      <c r="E1496" t="inlineStr">
        <is>
          <t>organic_search</t>
        </is>
      </c>
      <c r="F1496">
        <f>IFERROR(MATCH(A1496,Deals!$A$2:$A$843,0),"")</f>
        <v/>
      </c>
      <c r="G1496">
        <f>IF(F1496="",0,1)</f>
        <v/>
      </c>
      <c r="H1496" s="29">
        <f>IF(F1496="","",INDEX(Deals!$E$2:$E$843,F1496))</f>
        <v/>
      </c>
      <c r="I1496">
        <f>IF(F1496="","",INDEX(Deals!$D$2:$D$843,F1496))</f>
        <v/>
      </c>
      <c r="J1496">
        <f>IF(F1496="","",INT(H1496)-B1496)</f>
        <v/>
      </c>
      <c r="K1496">
        <f>IF(B1496&gt;=Settings!$C$5,1,0)</f>
        <v/>
      </c>
    </row>
    <row r="1497">
      <c r="A1497" t="inlineStr">
        <is>
          <t>b8318ac0b80996f19844156459d09bbb</t>
        </is>
      </c>
      <c r="B1497" s="29" t="n">
        <v>43006</v>
      </c>
      <c r="C1497" t="inlineStr">
        <is>
          <t>2017-09</t>
        </is>
      </c>
      <c r="D1497" t="inlineStr">
        <is>
          <t>7b8106a8b4d2982573b70980cbb01e9d</t>
        </is>
      </c>
      <c r="E1497" t="inlineStr">
        <is>
          <t>other</t>
        </is>
      </c>
      <c r="F1497">
        <f>IFERROR(MATCH(A1497,Deals!$A$2:$A$843,0),"")</f>
        <v/>
      </c>
      <c r="G1497">
        <f>IF(F1497="",0,1)</f>
        <v/>
      </c>
      <c r="H1497" s="29">
        <f>IF(F1497="","",INDEX(Deals!$E$2:$E$843,F1497))</f>
        <v/>
      </c>
      <c r="I1497">
        <f>IF(F1497="","",INDEX(Deals!$D$2:$D$843,F1497))</f>
        <v/>
      </c>
      <c r="J1497">
        <f>IF(F1497="","",INT(H1497)-B1497)</f>
        <v/>
      </c>
      <c r="K1497">
        <f>IF(B1497&gt;=Settings!$C$5,1,0)</f>
        <v/>
      </c>
    </row>
    <row r="1498">
      <c r="A1498" t="inlineStr">
        <is>
          <t>585290b0ed4953f353078a3788934ca0</t>
        </is>
      </c>
      <c r="B1498" s="29" t="n">
        <v>43244</v>
      </c>
      <c r="C1498" t="inlineStr">
        <is>
          <t>2018-05</t>
        </is>
      </c>
      <c r="D1498" t="inlineStr">
        <is>
          <t>8ff57dffc365fcb5233232fff6e6bfd0</t>
        </is>
      </c>
      <c r="E1498" t="inlineStr">
        <is>
          <t>paid_search</t>
        </is>
      </c>
      <c r="F1498">
        <f>IFERROR(MATCH(A1498,Deals!$A$2:$A$843,0),"")</f>
        <v/>
      </c>
      <c r="G1498">
        <f>IF(F1498="",0,1)</f>
        <v/>
      </c>
      <c r="H1498" s="29">
        <f>IF(F1498="","",INDEX(Deals!$E$2:$E$843,F1498))</f>
        <v/>
      </c>
      <c r="I1498">
        <f>IF(F1498="","",INDEX(Deals!$D$2:$D$843,F1498))</f>
        <v/>
      </c>
      <c r="J1498">
        <f>IF(F1498="","",INT(H1498)-B1498)</f>
        <v/>
      </c>
      <c r="K1498">
        <f>IF(B1498&gt;=Settings!$C$5,1,0)</f>
        <v/>
      </c>
    </row>
    <row r="1499">
      <c r="A1499" t="inlineStr">
        <is>
          <t>018b1d3ea470dbb00e3dd6438af19bfb</t>
        </is>
      </c>
      <c r="B1499" s="29" t="n">
        <v>43243</v>
      </c>
      <c r="C1499" t="inlineStr">
        <is>
          <t>2018-05</t>
        </is>
      </c>
      <c r="D1499" t="inlineStr">
        <is>
          <t>22c29808c4f815213303f8933030604c</t>
        </is>
      </c>
      <c r="E1499" t="inlineStr">
        <is>
          <t>organic_search</t>
        </is>
      </c>
      <c r="F1499">
        <f>IFERROR(MATCH(A1499,Deals!$A$2:$A$843,0),"")</f>
        <v/>
      </c>
      <c r="G1499">
        <f>IF(F1499="",0,1)</f>
        <v/>
      </c>
      <c r="H1499" s="29">
        <f>IF(F1499="","",INDEX(Deals!$E$2:$E$843,F1499))</f>
        <v/>
      </c>
      <c r="I1499">
        <f>IF(F1499="","",INDEX(Deals!$D$2:$D$843,F1499))</f>
        <v/>
      </c>
      <c r="J1499">
        <f>IF(F1499="","",INT(H1499)-B1499)</f>
        <v/>
      </c>
      <c r="K1499">
        <f>IF(B1499&gt;=Settings!$C$5,1,0)</f>
        <v/>
      </c>
    </row>
    <row r="1500">
      <c r="A1500" t="inlineStr">
        <is>
          <t>e658047c67a80c47b5ba982ab520b59a</t>
        </is>
      </c>
      <c r="B1500" s="29" t="n">
        <v>43237</v>
      </c>
      <c r="C1500" t="inlineStr">
        <is>
          <t>2018-05</t>
        </is>
      </c>
      <c r="D1500" t="inlineStr">
        <is>
          <t>5dc848e7dd9418dffe183215b8ff0bc1</t>
        </is>
      </c>
      <c r="E1500" t="inlineStr">
        <is>
          <t>paid_search</t>
        </is>
      </c>
      <c r="F1500">
        <f>IFERROR(MATCH(A1500,Deals!$A$2:$A$843,0),"")</f>
        <v/>
      </c>
      <c r="G1500">
        <f>IF(F1500="",0,1)</f>
        <v/>
      </c>
      <c r="H1500" s="29">
        <f>IF(F1500="","",INDEX(Deals!$E$2:$E$843,F1500))</f>
        <v/>
      </c>
      <c r="I1500">
        <f>IF(F1500="","",INDEX(Deals!$D$2:$D$843,F1500))</f>
        <v/>
      </c>
      <c r="J1500">
        <f>IF(F1500="","",INT(H1500)-B1500)</f>
        <v/>
      </c>
      <c r="K1500">
        <f>IF(B1500&gt;=Settings!$C$5,1,0)</f>
        <v/>
      </c>
    </row>
    <row r="1501">
      <c r="A1501" t="inlineStr">
        <is>
          <t>048517851c55e77cf9daf170c6fdd7ab</t>
        </is>
      </c>
      <c r="B1501" s="29" t="n">
        <v>42928</v>
      </c>
      <c r="C1501" t="inlineStr">
        <is>
          <t>2017-07</t>
        </is>
      </c>
      <c r="D1501" t="inlineStr">
        <is>
          <t>d1bad8bf984bd4d7ee08f814ca589897</t>
        </is>
      </c>
      <c r="E1501" t="inlineStr">
        <is>
          <t>paid_search</t>
        </is>
      </c>
      <c r="F1501">
        <f>IFERROR(MATCH(A1501,Deals!$A$2:$A$843,0),"")</f>
        <v/>
      </c>
      <c r="G1501">
        <f>IF(F1501="",0,1)</f>
        <v/>
      </c>
      <c r="H1501" s="29">
        <f>IF(F1501="","",INDEX(Deals!$E$2:$E$843,F1501))</f>
        <v/>
      </c>
      <c r="I1501">
        <f>IF(F1501="","",INDEX(Deals!$D$2:$D$843,F1501))</f>
        <v/>
      </c>
      <c r="J1501">
        <f>IF(F1501="","",INT(H1501)-B1501)</f>
        <v/>
      </c>
      <c r="K1501">
        <f>IF(B1501&gt;=Settings!$C$5,1,0)</f>
        <v/>
      </c>
    </row>
    <row r="1502">
      <c r="A1502" t="inlineStr">
        <is>
          <t>b937a56ac2082006f7b0a40ab60fe958</t>
        </is>
      </c>
      <c r="B1502" s="29" t="n">
        <v>43129</v>
      </c>
      <c r="C1502" t="inlineStr">
        <is>
          <t>2018-01</t>
        </is>
      </c>
      <c r="D1502" t="inlineStr">
        <is>
          <t>5da54625ee0a9560dc9b9b9f6ccb03d0</t>
        </is>
      </c>
      <c r="E1502" t="inlineStr">
        <is>
          <t>paid_search</t>
        </is>
      </c>
      <c r="F1502">
        <f>IFERROR(MATCH(A1502,Deals!$A$2:$A$843,0),"")</f>
        <v/>
      </c>
      <c r="G1502">
        <f>IF(F1502="",0,1)</f>
        <v/>
      </c>
      <c r="H1502" s="29">
        <f>IF(F1502="","",INDEX(Deals!$E$2:$E$843,F1502))</f>
        <v/>
      </c>
      <c r="I1502">
        <f>IF(F1502="","",INDEX(Deals!$D$2:$D$843,F1502))</f>
        <v/>
      </c>
      <c r="J1502">
        <f>IF(F1502="","",INT(H1502)-B1502)</f>
        <v/>
      </c>
      <c r="K1502">
        <f>IF(B1502&gt;=Settings!$C$5,1,0)</f>
        <v/>
      </c>
    </row>
    <row r="1503">
      <c r="A1503" t="inlineStr">
        <is>
          <t>e19ca372bf6eed81fbf6dfc59ce9c625</t>
        </is>
      </c>
      <c r="B1503" s="29" t="n">
        <v>43222</v>
      </c>
      <c r="C1503" t="inlineStr">
        <is>
          <t>2018-05</t>
        </is>
      </c>
      <c r="D1503" t="inlineStr">
        <is>
          <t>f98c2bd96ac4a5d9476734e790c91384</t>
        </is>
      </c>
      <c r="E1503" t="inlineStr">
        <is>
          <t>direct_traffic</t>
        </is>
      </c>
      <c r="F1503">
        <f>IFERROR(MATCH(A1503,Deals!$A$2:$A$843,0),"")</f>
        <v/>
      </c>
      <c r="G1503">
        <f>IF(F1503="",0,1)</f>
        <v/>
      </c>
      <c r="H1503" s="29">
        <f>IF(F1503="","",INDEX(Deals!$E$2:$E$843,F1503))</f>
        <v/>
      </c>
      <c r="I1503">
        <f>IF(F1503="","",INDEX(Deals!$D$2:$D$843,F1503))</f>
        <v/>
      </c>
      <c r="J1503">
        <f>IF(F1503="","",INT(H1503)-B1503)</f>
        <v/>
      </c>
      <c r="K1503">
        <f>IF(B1503&gt;=Settings!$C$5,1,0)</f>
        <v/>
      </c>
    </row>
    <row r="1504">
      <c r="A1504" t="inlineStr">
        <is>
          <t>fc51f566fbeb56194ca2beaefc9aaf4b</t>
        </is>
      </c>
      <c r="B1504" s="29" t="n">
        <v>43166</v>
      </c>
      <c r="C1504" t="inlineStr">
        <is>
          <t>2018-03</t>
        </is>
      </c>
      <c r="D1504" t="inlineStr">
        <is>
          <t>ce1a65abd0973638f1c887a6efcfa82d</t>
        </is>
      </c>
      <c r="E1504" t="inlineStr">
        <is>
          <t>organic_search</t>
        </is>
      </c>
      <c r="F1504">
        <f>IFERROR(MATCH(A1504,Deals!$A$2:$A$843,0),"")</f>
        <v/>
      </c>
      <c r="G1504">
        <f>IF(F1504="",0,1)</f>
        <v/>
      </c>
      <c r="H1504" s="29">
        <f>IF(F1504="","",INDEX(Deals!$E$2:$E$843,F1504))</f>
        <v/>
      </c>
      <c r="I1504">
        <f>IF(F1504="","",INDEX(Deals!$D$2:$D$843,F1504))</f>
        <v/>
      </c>
      <c r="J1504">
        <f>IF(F1504="","",INT(H1504)-B1504)</f>
        <v/>
      </c>
      <c r="K1504">
        <f>IF(B1504&gt;=Settings!$C$5,1,0)</f>
        <v/>
      </c>
    </row>
    <row r="1505">
      <c r="A1505" t="inlineStr">
        <is>
          <t>f09845b1ef57647ae29b2833540f0028</t>
        </is>
      </c>
      <c r="B1505" s="29" t="n">
        <v>43095</v>
      </c>
      <c r="C1505" t="inlineStr">
        <is>
          <t>2017-12</t>
        </is>
      </c>
      <c r="D1505" t="inlineStr">
        <is>
          <t>649b7b8b46b254497e92038d88f6ced8</t>
        </is>
      </c>
      <c r="E1505" t="inlineStr">
        <is>
          <t>social</t>
        </is>
      </c>
      <c r="F1505">
        <f>IFERROR(MATCH(A1505,Deals!$A$2:$A$843,0),"")</f>
        <v/>
      </c>
      <c r="G1505">
        <f>IF(F1505="",0,1)</f>
        <v/>
      </c>
      <c r="H1505" s="29">
        <f>IF(F1505="","",INDEX(Deals!$E$2:$E$843,F1505))</f>
        <v/>
      </c>
      <c r="I1505">
        <f>IF(F1505="","",INDEX(Deals!$D$2:$D$843,F1505))</f>
        <v/>
      </c>
      <c r="J1505">
        <f>IF(F1505="","",INT(H1505)-B1505)</f>
        <v/>
      </c>
      <c r="K1505">
        <f>IF(B1505&gt;=Settings!$C$5,1,0)</f>
        <v/>
      </c>
    </row>
    <row r="1506">
      <c r="A1506" t="inlineStr">
        <is>
          <t>37a3d08abac5f12e8c0fad6cfe21e079</t>
        </is>
      </c>
      <c r="B1506" s="29" t="n">
        <v>43214</v>
      </c>
      <c r="C1506" t="inlineStr">
        <is>
          <t>2018-04</t>
        </is>
      </c>
      <c r="D1506" t="inlineStr">
        <is>
          <t>b76ef37428e6799c421989521c0e5077</t>
        </is>
      </c>
      <c r="E1506" t="inlineStr">
        <is>
          <t>unknown</t>
        </is>
      </c>
      <c r="F1506">
        <f>IFERROR(MATCH(A1506,Deals!$A$2:$A$843,0),"")</f>
        <v/>
      </c>
      <c r="G1506">
        <f>IF(F1506="",0,1)</f>
        <v/>
      </c>
      <c r="H1506" s="29">
        <f>IF(F1506="","",INDEX(Deals!$E$2:$E$843,F1506))</f>
        <v/>
      </c>
      <c r="I1506">
        <f>IF(F1506="","",INDEX(Deals!$D$2:$D$843,F1506))</f>
        <v/>
      </c>
      <c r="J1506">
        <f>IF(F1506="","",INT(H1506)-B1506)</f>
        <v/>
      </c>
      <c r="K1506">
        <f>IF(B1506&gt;=Settings!$C$5,1,0)</f>
        <v/>
      </c>
    </row>
    <row r="1507">
      <c r="A1507" t="inlineStr">
        <is>
          <t>dcaadd992d05b51b8a81e2e6821a4574</t>
        </is>
      </c>
      <c r="B1507" s="29" t="n">
        <v>43223</v>
      </c>
      <c r="C1507" t="inlineStr">
        <is>
          <t>2018-05</t>
        </is>
      </c>
      <c r="D1507" t="inlineStr">
        <is>
          <t>fa6f59a21825d841e307151460fb0302</t>
        </is>
      </c>
      <c r="E1507" t="inlineStr">
        <is>
          <t>organic_search</t>
        </is>
      </c>
      <c r="F1507">
        <f>IFERROR(MATCH(A1507,Deals!$A$2:$A$843,0),"")</f>
        <v/>
      </c>
      <c r="G1507">
        <f>IF(F1507="",0,1)</f>
        <v/>
      </c>
      <c r="H1507" s="29">
        <f>IF(F1507="","",INDEX(Deals!$E$2:$E$843,F1507))</f>
        <v/>
      </c>
      <c r="I1507">
        <f>IF(F1507="","",INDEX(Deals!$D$2:$D$843,F1507))</f>
        <v/>
      </c>
      <c r="J1507">
        <f>IF(F1507="","",INT(H1507)-B1507)</f>
        <v/>
      </c>
      <c r="K1507">
        <f>IF(B1507&gt;=Settings!$C$5,1,0)</f>
        <v/>
      </c>
    </row>
    <row r="1508">
      <c r="A1508" t="inlineStr">
        <is>
          <t>00f42382da08bb47df2585a2590be0a7</t>
        </is>
      </c>
      <c r="B1508" s="29" t="n">
        <v>42964</v>
      </c>
      <c r="C1508" t="inlineStr">
        <is>
          <t>2017-08</t>
        </is>
      </c>
      <c r="D1508" t="inlineStr">
        <is>
          <t>128d8c3f32b8aa66b5bcbe4e26dfc78d</t>
        </is>
      </c>
      <c r="E1508" t="inlineStr">
        <is>
          <t>organic_search</t>
        </is>
      </c>
      <c r="F1508">
        <f>IFERROR(MATCH(A1508,Deals!$A$2:$A$843,0),"")</f>
        <v/>
      </c>
      <c r="G1508">
        <f>IF(F1508="",0,1)</f>
        <v/>
      </c>
      <c r="H1508" s="29">
        <f>IF(F1508="","",INDEX(Deals!$E$2:$E$843,F1508))</f>
        <v/>
      </c>
      <c r="I1508">
        <f>IF(F1508="","",INDEX(Deals!$D$2:$D$843,F1508))</f>
        <v/>
      </c>
      <c r="J1508">
        <f>IF(F1508="","",INT(H1508)-B1508)</f>
        <v/>
      </c>
      <c r="K1508">
        <f>IF(B1508&gt;=Settings!$C$5,1,0)</f>
        <v/>
      </c>
    </row>
    <row r="1509">
      <c r="A1509" t="inlineStr">
        <is>
          <t>0fc55b68b62a7bdc44bfc347f48d4277</t>
        </is>
      </c>
      <c r="B1509" s="29" t="n">
        <v>43173</v>
      </c>
      <c r="C1509" t="inlineStr">
        <is>
          <t>2018-03</t>
        </is>
      </c>
      <c r="D1509" t="inlineStr">
        <is>
          <t>b76ef37428e6799c421989521c0e5077</t>
        </is>
      </c>
      <c r="E1509" t="inlineStr">
        <is>
          <t>organic_search</t>
        </is>
      </c>
      <c r="F1509">
        <f>IFERROR(MATCH(A1509,Deals!$A$2:$A$843,0),"")</f>
        <v/>
      </c>
      <c r="G1509">
        <f>IF(F1509="",0,1)</f>
        <v/>
      </c>
      <c r="H1509" s="29">
        <f>IF(F1509="","",INDEX(Deals!$E$2:$E$843,F1509))</f>
        <v/>
      </c>
      <c r="I1509">
        <f>IF(F1509="","",INDEX(Deals!$D$2:$D$843,F1509))</f>
        <v/>
      </c>
      <c r="J1509">
        <f>IF(F1509="","",INT(H1509)-B1509)</f>
        <v/>
      </c>
      <c r="K1509">
        <f>IF(B1509&gt;=Settings!$C$5,1,0)</f>
        <v/>
      </c>
    </row>
    <row r="1510">
      <c r="A1510" t="inlineStr">
        <is>
          <t>9f6c077a408bac3edc58b85effd90c45</t>
        </is>
      </c>
      <c r="B1510" s="29" t="n">
        <v>43201</v>
      </c>
      <c r="C1510" t="inlineStr">
        <is>
          <t>2018-04</t>
        </is>
      </c>
      <c r="D1510" t="inlineStr">
        <is>
          <t>58326e62183c14b0c03085c33b9fdc44</t>
        </is>
      </c>
      <c r="E1510" t="inlineStr">
        <is>
          <t>social</t>
        </is>
      </c>
      <c r="F1510">
        <f>IFERROR(MATCH(A1510,Deals!$A$2:$A$843,0),"")</f>
        <v/>
      </c>
      <c r="G1510">
        <f>IF(F1510="",0,1)</f>
        <v/>
      </c>
      <c r="H1510" s="29">
        <f>IF(F1510="","",INDEX(Deals!$E$2:$E$843,F1510))</f>
        <v/>
      </c>
      <c r="I1510">
        <f>IF(F1510="","",INDEX(Deals!$D$2:$D$843,F1510))</f>
        <v/>
      </c>
      <c r="J1510">
        <f>IF(F1510="","",INT(H1510)-B1510)</f>
        <v/>
      </c>
      <c r="K1510">
        <f>IF(B1510&gt;=Settings!$C$5,1,0)</f>
        <v/>
      </c>
    </row>
    <row r="1511">
      <c r="A1511" t="inlineStr">
        <is>
          <t>0141f065e310a9e40011628269e71ded</t>
        </is>
      </c>
      <c r="B1511" s="29" t="n">
        <v>43087</v>
      </c>
      <c r="C1511" t="inlineStr">
        <is>
          <t>2017-12</t>
        </is>
      </c>
      <c r="D1511" t="inlineStr">
        <is>
          <t>b76ef37428e6799c421989521c0e5077</t>
        </is>
      </c>
      <c r="E1511" t="inlineStr">
        <is>
          <t>unknown</t>
        </is>
      </c>
      <c r="F1511">
        <f>IFERROR(MATCH(A1511,Deals!$A$2:$A$843,0),"")</f>
        <v/>
      </c>
      <c r="G1511">
        <f>IF(F1511="",0,1)</f>
        <v/>
      </c>
      <c r="H1511" s="29">
        <f>IF(F1511="","",INDEX(Deals!$E$2:$E$843,F1511))</f>
        <v/>
      </c>
      <c r="I1511">
        <f>IF(F1511="","",INDEX(Deals!$D$2:$D$843,F1511))</f>
        <v/>
      </c>
      <c r="J1511">
        <f>IF(F1511="","",INT(H1511)-B1511)</f>
        <v/>
      </c>
      <c r="K1511">
        <f>IF(B1511&gt;=Settings!$C$5,1,0)</f>
        <v/>
      </c>
    </row>
    <row r="1512">
      <c r="A1512" t="inlineStr">
        <is>
          <t>b56b1c311b63f21db9eee26031aa2b4d</t>
        </is>
      </c>
      <c r="B1512" s="29" t="n">
        <v>43049</v>
      </c>
      <c r="C1512" t="inlineStr">
        <is>
          <t>2017-11</t>
        </is>
      </c>
      <c r="D1512" t="inlineStr">
        <is>
          <t>ef0b482996664cc1107b9051efd3ca84</t>
        </is>
      </c>
      <c r="E1512" t="inlineStr">
        <is>
          <t>organic_search</t>
        </is>
      </c>
      <c r="F1512">
        <f>IFERROR(MATCH(A1512,Deals!$A$2:$A$843,0),"")</f>
        <v/>
      </c>
      <c r="G1512">
        <f>IF(F1512="",0,1)</f>
        <v/>
      </c>
      <c r="H1512" s="29">
        <f>IF(F1512="","",INDEX(Deals!$E$2:$E$843,F1512))</f>
        <v/>
      </c>
      <c r="I1512">
        <f>IF(F1512="","",INDEX(Deals!$D$2:$D$843,F1512))</f>
        <v/>
      </c>
      <c r="J1512">
        <f>IF(F1512="","",INT(H1512)-B1512)</f>
        <v/>
      </c>
      <c r="K1512">
        <f>IF(B1512&gt;=Settings!$C$5,1,0)</f>
        <v/>
      </c>
    </row>
    <row r="1513">
      <c r="A1513" t="inlineStr">
        <is>
          <t>aafe7061523ba396c00a46a0f4056b31</t>
        </is>
      </c>
      <c r="B1513" s="29" t="n">
        <v>43106</v>
      </c>
      <c r="C1513" t="inlineStr">
        <is>
          <t>2018-01</t>
        </is>
      </c>
      <c r="D1513" t="inlineStr">
        <is>
          <t>88740e65d5d6b056e0cda098e1ea6313</t>
        </is>
      </c>
      <c r="E1513" t="inlineStr">
        <is>
          <t>social</t>
        </is>
      </c>
      <c r="F1513">
        <f>IFERROR(MATCH(A1513,Deals!$A$2:$A$843,0),"")</f>
        <v/>
      </c>
      <c r="G1513">
        <f>IF(F1513="",0,1)</f>
        <v/>
      </c>
      <c r="H1513" s="29">
        <f>IF(F1513="","",INDEX(Deals!$E$2:$E$843,F1513))</f>
        <v/>
      </c>
      <c r="I1513">
        <f>IF(F1513="","",INDEX(Deals!$D$2:$D$843,F1513))</f>
        <v/>
      </c>
      <c r="J1513">
        <f>IF(F1513="","",INT(H1513)-B1513)</f>
        <v/>
      </c>
      <c r="K1513">
        <f>IF(B1513&gt;=Settings!$C$5,1,0)</f>
        <v/>
      </c>
    </row>
    <row r="1514">
      <c r="A1514" t="inlineStr">
        <is>
          <t>eb2c115996de9709efa58507c07b40ab</t>
        </is>
      </c>
      <c r="B1514" s="29" t="n">
        <v>43147</v>
      </c>
      <c r="C1514" t="inlineStr">
        <is>
          <t>2018-02</t>
        </is>
      </c>
      <c r="D1514" t="inlineStr">
        <is>
          <t>88740e65d5d6b056e0cda098e1ea6313</t>
        </is>
      </c>
      <c r="E1514" t="inlineStr">
        <is>
          <t>social</t>
        </is>
      </c>
      <c r="F1514">
        <f>IFERROR(MATCH(A1514,Deals!$A$2:$A$843,0),"")</f>
        <v/>
      </c>
      <c r="G1514">
        <f>IF(F1514="",0,1)</f>
        <v/>
      </c>
      <c r="H1514" s="29">
        <f>IF(F1514="","",INDEX(Deals!$E$2:$E$843,F1514))</f>
        <v/>
      </c>
      <c r="I1514">
        <f>IF(F1514="","",INDEX(Deals!$D$2:$D$843,F1514))</f>
        <v/>
      </c>
      <c r="J1514">
        <f>IF(F1514="","",INT(H1514)-B1514)</f>
        <v/>
      </c>
      <c r="K1514">
        <f>IF(B1514&gt;=Settings!$C$5,1,0)</f>
        <v/>
      </c>
    </row>
    <row r="1515">
      <c r="A1515" t="inlineStr">
        <is>
          <t>4952d2ac78b534c78d7a21c60a236e4c</t>
        </is>
      </c>
      <c r="B1515" s="29" t="n">
        <v>43104</v>
      </c>
      <c r="C1515" t="inlineStr">
        <is>
          <t>2018-01</t>
        </is>
      </c>
      <c r="D1515" t="inlineStr">
        <is>
          <t>b76ef37428e6799c421989521c0e5077</t>
        </is>
      </c>
      <c r="E1515" t="inlineStr">
        <is>
          <t>unknown</t>
        </is>
      </c>
      <c r="F1515">
        <f>IFERROR(MATCH(A1515,Deals!$A$2:$A$843,0),"")</f>
        <v/>
      </c>
      <c r="G1515">
        <f>IF(F1515="",0,1)</f>
        <v/>
      </c>
      <c r="H1515" s="29">
        <f>IF(F1515="","",INDEX(Deals!$E$2:$E$843,F1515))</f>
        <v/>
      </c>
      <c r="I1515">
        <f>IF(F1515="","",INDEX(Deals!$D$2:$D$843,F1515))</f>
        <v/>
      </c>
      <c r="J1515">
        <f>IF(F1515="","",INT(H1515)-B1515)</f>
        <v/>
      </c>
      <c r="K1515">
        <f>IF(B1515&gt;=Settings!$C$5,1,0)</f>
        <v/>
      </c>
    </row>
    <row r="1516">
      <c r="A1516" t="inlineStr">
        <is>
          <t>ec28805f3b725ff393c2b4a3f80c104d</t>
        </is>
      </c>
      <c r="B1516" s="29" t="n">
        <v>43147</v>
      </c>
      <c r="C1516" t="inlineStr">
        <is>
          <t>2018-02</t>
        </is>
      </c>
      <c r="D1516" t="inlineStr">
        <is>
          <t>b76ef37428e6799c421989521c0e5077</t>
        </is>
      </c>
      <c r="E1516" t="inlineStr">
        <is>
          <t>paid_search</t>
        </is>
      </c>
      <c r="F1516">
        <f>IFERROR(MATCH(A1516,Deals!$A$2:$A$843,0),"")</f>
        <v/>
      </c>
      <c r="G1516">
        <f>IF(F1516="",0,1)</f>
        <v/>
      </c>
      <c r="H1516" s="29">
        <f>IF(F1516="","",INDEX(Deals!$E$2:$E$843,F1516))</f>
        <v/>
      </c>
      <c r="I1516">
        <f>IF(F1516="","",INDEX(Deals!$D$2:$D$843,F1516))</f>
        <v/>
      </c>
      <c r="J1516">
        <f>IF(F1516="","",INT(H1516)-B1516)</f>
        <v/>
      </c>
      <c r="K1516">
        <f>IF(B1516&gt;=Settings!$C$5,1,0)</f>
        <v/>
      </c>
    </row>
    <row r="1517">
      <c r="A1517" t="inlineStr">
        <is>
          <t>6106c564e568969d698ddd9c43632195</t>
        </is>
      </c>
      <c r="B1517" s="29" t="n">
        <v>43206</v>
      </c>
      <c r="C1517" t="inlineStr">
        <is>
          <t>2018-04</t>
        </is>
      </c>
      <c r="D1517" t="inlineStr">
        <is>
          <t>9cc4d8fda1533429ac126a2ddf4ebf11</t>
        </is>
      </c>
      <c r="E1517" t="inlineStr">
        <is>
          <t>organic_search</t>
        </is>
      </c>
      <c r="F1517">
        <f>IFERROR(MATCH(A1517,Deals!$A$2:$A$843,0),"")</f>
        <v/>
      </c>
      <c r="G1517">
        <f>IF(F1517="",0,1)</f>
        <v/>
      </c>
      <c r="H1517" s="29">
        <f>IF(F1517="","",INDEX(Deals!$E$2:$E$843,F1517))</f>
        <v/>
      </c>
      <c r="I1517">
        <f>IF(F1517="","",INDEX(Deals!$D$2:$D$843,F1517))</f>
        <v/>
      </c>
      <c r="J1517">
        <f>IF(F1517="","",INT(H1517)-B1517)</f>
        <v/>
      </c>
      <c r="K1517">
        <f>IF(B1517&gt;=Settings!$C$5,1,0)</f>
        <v/>
      </c>
    </row>
    <row r="1518">
      <c r="A1518" t="inlineStr">
        <is>
          <t>a81855f5ad4a94d453bb634487082a90</t>
        </is>
      </c>
      <c r="B1518" s="29" t="n">
        <v>43181</v>
      </c>
      <c r="C1518" t="inlineStr">
        <is>
          <t>2018-03</t>
        </is>
      </c>
      <c r="D1518" t="inlineStr">
        <is>
          <t>cf747f07a385ddb157f79df52898ab14</t>
        </is>
      </c>
      <c r="E1518" t="inlineStr">
        <is>
          <t>email</t>
        </is>
      </c>
      <c r="F1518">
        <f>IFERROR(MATCH(A1518,Deals!$A$2:$A$843,0),"")</f>
        <v/>
      </c>
      <c r="G1518">
        <f>IF(F1518="",0,1)</f>
        <v/>
      </c>
      <c r="H1518" s="29">
        <f>IF(F1518="","",INDEX(Deals!$E$2:$E$843,F1518))</f>
        <v/>
      </c>
      <c r="I1518">
        <f>IF(F1518="","",INDEX(Deals!$D$2:$D$843,F1518))</f>
        <v/>
      </c>
      <c r="J1518">
        <f>IF(F1518="","",INT(H1518)-B1518)</f>
        <v/>
      </c>
      <c r="K1518">
        <f>IF(B1518&gt;=Settings!$C$5,1,0)</f>
        <v/>
      </c>
    </row>
    <row r="1519">
      <c r="A1519" t="inlineStr">
        <is>
          <t>f6cfa63e87f868894fd3ecaa4d0fa6e3</t>
        </is>
      </c>
      <c r="B1519" s="29" t="n">
        <v>43073</v>
      </c>
      <c r="C1519" t="inlineStr">
        <is>
          <t>2017-12</t>
        </is>
      </c>
      <c r="D1519" t="inlineStr">
        <is>
          <t>b76ef37428e6799c421989521c0e5077</t>
        </is>
      </c>
      <c r="E1519" t="inlineStr">
        <is>
          <t>referral</t>
        </is>
      </c>
      <c r="F1519">
        <f>IFERROR(MATCH(A1519,Deals!$A$2:$A$843,0),"")</f>
        <v/>
      </c>
      <c r="G1519">
        <f>IF(F1519="",0,1)</f>
        <v/>
      </c>
      <c r="H1519" s="29">
        <f>IF(F1519="","",INDEX(Deals!$E$2:$E$843,F1519))</f>
        <v/>
      </c>
      <c r="I1519">
        <f>IF(F1519="","",INDEX(Deals!$D$2:$D$843,F1519))</f>
        <v/>
      </c>
      <c r="J1519">
        <f>IF(F1519="","",INT(H1519)-B1519)</f>
        <v/>
      </c>
      <c r="K1519">
        <f>IF(B1519&gt;=Settings!$C$5,1,0)</f>
        <v/>
      </c>
    </row>
    <row r="1520">
      <c r="A1520" t="inlineStr">
        <is>
          <t>00efe3d30e8d51ae61fa5d5c96478a95</t>
        </is>
      </c>
      <c r="B1520" s="29" t="n">
        <v>43214</v>
      </c>
      <c r="C1520" t="inlineStr">
        <is>
          <t>2018-04</t>
        </is>
      </c>
      <c r="D1520" t="inlineStr">
        <is>
          <t>22c29808c4f815213303f8933030604c</t>
        </is>
      </c>
      <c r="E1520" t="inlineStr">
        <is>
          <t>organic_search</t>
        </is>
      </c>
      <c r="F1520">
        <f>IFERROR(MATCH(A1520,Deals!$A$2:$A$843,0),"")</f>
        <v/>
      </c>
      <c r="G1520">
        <f>IF(F1520="",0,1)</f>
        <v/>
      </c>
      <c r="H1520" s="29">
        <f>IF(F1520="","",INDEX(Deals!$E$2:$E$843,F1520))</f>
        <v/>
      </c>
      <c r="I1520">
        <f>IF(F1520="","",INDEX(Deals!$D$2:$D$843,F1520))</f>
        <v/>
      </c>
      <c r="J1520">
        <f>IF(F1520="","",INT(H1520)-B1520)</f>
        <v/>
      </c>
      <c r="K1520">
        <f>IF(B1520&gt;=Settings!$C$5,1,0)</f>
        <v/>
      </c>
    </row>
    <row r="1521">
      <c r="A1521" t="inlineStr">
        <is>
          <t>64b707eebcb0eb4f7907a3bcbf1df6e6</t>
        </is>
      </c>
      <c r="B1521" s="29" t="n">
        <v>43216</v>
      </c>
      <c r="C1521" t="inlineStr">
        <is>
          <t>2018-04</t>
        </is>
      </c>
      <c r="D1521" t="inlineStr">
        <is>
          <t>5ecb50153794666e90bc04c0076b7834</t>
        </is>
      </c>
      <c r="E1521" t="inlineStr">
        <is>
          <t>paid_search</t>
        </is>
      </c>
      <c r="F1521">
        <f>IFERROR(MATCH(A1521,Deals!$A$2:$A$843,0),"")</f>
        <v/>
      </c>
      <c r="G1521">
        <f>IF(F1521="",0,1)</f>
        <v/>
      </c>
      <c r="H1521" s="29">
        <f>IF(F1521="","",INDEX(Deals!$E$2:$E$843,F1521))</f>
        <v/>
      </c>
      <c r="I1521">
        <f>IF(F1521="","",INDEX(Deals!$D$2:$D$843,F1521))</f>
        <v/>
      </c>
      <c r="J1521">
        <f>IF(F1521="","",INT(H1521)-B1521)</f>
        <v/>
      </c>
      <c r="K1521">
        <f>IF(B1521&gt;=Settings!$C$5,1,0)</f>
        <v/>
      </c>
    </row>
    <row r="1522">
      <c r="A1522" t="inlineStr">
        <is>
          <t>f60a0773c48f1312c792c95a86d459e7</t>
        </is>
      </c>
      <c r="B1522" s="29" t="n">
        <v>43161</v>
      </c>
      <c r="C1522" t="inlineStr">
        <is>
          <t>2018-03</t>
        </is>
      </c>
      <c r="D1522" t="inlineStr">
        <is>
          <t>22c29808c4f815213303f8933030604c</t>
        </is>
      </c>
      <c r="E1522" t="inlineStr">
        <is>
          <t>paid_search</t>
        </is>
      </c>
      <c r="F1522">
        <f>IFERROR(MATCH(A1522,Deals!$A$2:$A$843,0),"")</f>
        <v/>
      </c>
      <c r="G1522">
        <f>IF(F1522="",0,1)</f>
        <v/>
      </c>
      <c r="H1522" s="29">
        <f>IF(F1522="","",INDEX(Deals!$E$2:$E$843,F1522))</f>
        <v/>
      </c>
      <c r="I1522">
        <f>IF(F1522="","",INDEX(Deals!$D$2:$D$843,F1522))</f>
        <v/>
      </c>
      <c r="J1522">
        <f>IF(F1522="","",INT(H1522)-B1522)</f>
        <v/>
      </c>
      <c r="K1522">
        <f>IF(B1522&gt;=Settings!$C$5,1,0)</f>
        <v/>
      </c>
    </row>
    <row r="1523">
      <c r="A1523" t="inlineStr">
        <is>
          <t>d90b1c32b55f731e8a2072bfad782fdd</t>
        </is>
      </c>
      <c r="B1523" s="29" t="n">
        <v>43138</v>
      </c>
      <c r="C1523" t="inlineStr">
        <is>
          <t>2018-02</t>
        </is>
      </c>
      <c r="D1523" t="inlineStr">
        <is>
          <t>616767b0bfb0a97510747d8bbcc40290</t>
        </is>
      </c>
      <c r="E1523" t="inlineStr">
        <is>
          <t>paid_search</t>
        </is>
      </c>
      <c r="F1523">
        <f>IFERROR(MATCH(A1523,Deals!$A$2:$A$843,0),"")</f>
        <v/>
      </c>
      <c r="G1523">
        <f>IF(F1523="",0,1)</f>
        <v/>
      </c>
      <c r="H1523" s="29">
        <f>IF(F1523="","",INDEX(Deals!$E$2:$E$843,F1523))</f>
        <v/>
      </c>
      <c r="I1523">
        <f>IF(F1523="","",INDEX(Deals!$D$2:$D$843,F1523))</f>
        <v/>
      </c>
      <c r="J1523">
        <f>IF(F1523="","",INT(H1523)-B1523)</f>
        <v/>
      </c>
      <c r="K1523">
        <f>IF(B1523&gt;=Settings!$C$5,1,0)</f>
        <v/>
      </c>
    </row>
    <row r="1524">
      <c r="A1524" t="inlineStr">
        <is>
          <t>0e9d48fe4fca69a47f5353d0a62333c2</t>
        </is>
      </c>
      <c r="B1524" s="29" t="n">
        <v>43120</v>
      </c>
      <c r="C1524" t="inlineStr">
        <is>
          <t>2018-01</t>
        </is>
      </c>
      <c r="D1524" t="inlineStr">
        <is>
          <t>88740e65d5d6b056e0cda098e1ea6313</t>
        </is>
      </c>
      <c r="E1524" t="inlineStr">
        <is>
          <t>social</t>
        </is>
      </c>
      <c r="F1524">
        <f>IFERROR(MATCH(A1524,Deals!$A$2:$A$843,0),"")</f>
        <v/>
      </c>
      <c r="G1524">
        <f>IF(F1524="",0,1)</f>
        <v/>
      </c>
      <c r="H1524" s="29">
        <f>IF(F1524="","",INDEX(Deals!$E$2:$E$843,F1524))</f>
        <v/>
      </c>
      <c r="I1524">
        <f>IF(F1524="","",INDEX(Deals!$D$2:$D$843,F1524))</f>
        <v/>
      </c>
      <c r="J1524">
        <f>IF(F1524="","",INT(H1524)-B1524)</f>
        <v/>
      </c>
      <c r="K1524">
        <f>IF(B1524&gt;=Settings!$C$5,1,0)</f>
        <v/>
      </c>
    </row>
    <row r="1525">
      <c r="A1525" t="inlineStr">
        <is>
          <t>55055df57e5c23d67dd957d1a4bd8b91</t>
        </is>
      </c>
      <c r="B1525" s="29" t="n">
        <v>43250</v>
      </c>
      <c r="C1525" t="inlineStr">
        <is>
          <t>2018-05</t>
        </is>
      </c>
      <c r="D1525" t="inlineStr">
        <is>
          <t>58326e62183c14b0c03085c33b9fdc44</t>
        </is>
      </c>
      <c r="E1525" t="inlineStr">
        <is>
          <t>social</t>
        </is>
      </c>
      <c r="F1525">
        <f>IFERROR(MATCH(A1525,Deals!$A$2:$A$843,0),"")</f>
        <v/>
      </c>
      <c r="G1525">
        <f>IF(F1525="",0,1)</f>
        <v/>
      </c>
      <c r="H1525" s="29">
        <f>IF(F1525="","",INDEX(Deals!$E$2:$E$843,F1525))</f>
        <v/>
      </c>
      <c r="I1525">
        <f>IF(F1525="","",INDEX(Deals!$D$2:$D$843,F1525))</f>
        <v/>
      </c>
      <c r="J1525">
        <f>IF(F1525="","",INT(H1525)-B1525)</f>
        <v/>
      </c>
      <c r="K1525">
        <f>IF(B1525&gt;=Settings!$C$5,1,0)</f>
        <v/>
      </c>
    </row>
    <row r="1526">
      <c r="A1526" t="inlineStr">
        <is>
          <t>6a12f708b55e1bfdd870fc3ed6292b1b</t>
        </is>
      </c>
      <c r="B1526" s="29" t="n">
        <v>42936</v>
      </c>
      <c r="C1526" t="inlineStr">
        <is>
          <t>2017-07</t>
        </is>
      </c>
      <c r="D1526" t="inlineStr">
        <is>
          <t>e92a6f37ebb87a6bfbc569d439cf1635</t>
        </is>
      </c>
      <c r="E1526" t="inlineStr">
        <is>
          <t>organic_search</t>
        </is>
      </c>
      <c r="F1526">
        <f>IFERROR(MATCH(A1526,Deals!$A$2:$A$843,0),"")</f>
        <v/>
      </c>
      <c r="G1526">
        <f>IF(F1526="",0,1)</f>
        <v/>
      </c>
      <c r="H1526" s="29">
        <f>IF(F1526="","",INDEX(Deals!$E$2:$E$843,F1526))</f>
        <v/>
      </c>
      <c r="I1526">
        <f>IF(F1526="","",INDEX(Deals!$D$2:$D$843,F1526))</f>
        <v/>
      </c>
      <c r="J1526">
        <f>IF(F1526="","",INT(H1526)-B1526)</f>
        <v/>
      </c>
      <c r="K1526">
        <f>IF(B1526&gt;=Settings!$C$5,1,0)</f>
        <v/>
      </c>
    </row>
    <row r="1527">
      <c r="A1527" t="inlineStr">
        <is>
          <t>f7d7a8410cdb8c339a83a959bd0bf96e</t>
        </is>
      </c>
      <c r="B1527" s="29" t="n">
        <v>43227</v>
      </c>
      <c r="C1527" t="inlineStr">
        <is>
          <t>2018-05</t>
        </is>
      </c>
      <c r="D1527" t="inlineStr">
        <is>
          <t>37cf94070e940a694969304de58debe1</t>
        </is>
      </c>
      <c r="E1527" t="inlineStr">
        <is>
          <t>organic_search</t>
        </is>
      </c>
      <c r="F1527">
        <f>IFERROR(MATCH(A1527,Deals!$A$2:$A$843,0),"")</f>
        <v/>
      </c>
      <c r="G1527">
        <f>IF(F1527="",0,1)</f>
        <v/>
      </c>
      <c r="H1527" s="29">
        <f>IF(F1527="","",INDEX(Deals!$E$2:$E$843,F1527))</f>
        <v/>
      </c>
      <c r="I1527">
        <f>IF(F1527="","",INDEX(Deals!$D$2:$D$843,F1527))</f>
        <v/>
      </c>
      <c r="J1527">
        <f>IF(F1527="","",INT(H1527)-B1527)</f>
        <v/>
      </c>
      <c r="K1527">
        <f>IF(B1527&gt;=Settings!$C$5,1,0)</f>
        <v/>
      </c>
    </row>
    <row r="1528">
      <c r="A1528" t="inlineStr">
        <is>
          <t>2d76ad7ae5fb13d95eb34c39c6fb59b0</t>
        </is>
      </c>
      <c r="B1528" s="29" t="n">
        <v>42997</v>
      </c>
      <c r="C1528" t="inlineStr">
        <is>
          <t>2017-09</t>
        </is>
      </c>
      <c r="D1528" t="inlineStr">
        <is>
          <t>b76ef37428e6799c421989521c0e5077</t>
        </is>
      </c>
      <c r="E1528" t="inlineStr">
        <is>
          <t>unknown</t>
        </is>
      </c>
      <c r="F1528">
        <f>IFERROR(MATCH(A1528,Deals!$A$2:$A$843,0),"")</f>
        <v/>
      </c>
      <c r="G1528">
        <f>IF(F1528="",0,1)</f>
        <v/>
      </c>
      <c r="H1528" s="29">
        <f>IF(F1528="","",INDEX(Deals!$E$2:$E$843,F1528))</f>
        <v/>
      </c>
      <c r="I1528">
        <f>IF(F1528="","",INDEX(Deals!$D$2:$D$843,F1528))</f>
        <v/>
      </c>
      <c r="J1528">
        <f>IF(F1528="","",INT(H1528)-B1528)</f>
        <v/>
      </c>
      <c r="K1528">
        <f>IF(B1528&gt;=Settings!$C$5,1,0)</f>
        <v/>
      </c>
    </row>
    <row r="1529">
      <c r="A1529" t="inlineStr">
        <is>
          <t>8bfcbdd65996c417acdfad207838abb9</t>
        </is>
      </c>
      <c r="B1529" s="29" t="n">
        <v>43201</v>
      </c>
      <c r="C1529" t="inlineStr">
        <is>
          <t>2018-04</t>
        </is>
      </c>
      <c r="D1529" t="inlineStr">
        <is>
          <t>22c29808c4f815213303f8933030604c</t>
        </is>
      </c>
      <c r="E1529" t="inlineStr">
        <is>
          <t>organic_search</t>
        </is>
      </c>
      <c r="F1529">
        <f>IFERROR(MATCH(A1529,Deals!$A$2:$A$843,0),"")</f>
        <v/>
      </c>
      <c r="G1529">
        <f>IF(F1529="",0,1)</f>
        <v/>
      </c>
      <c r="H1529" s="29">
        <f>IF(F1529="","",INDEX(Deals!$E$2:$E$843,F1529))</f>
        <v/>
      </c>
      <c r="I1529">
        <f>IF(F1529="","",INDEX(Deals!$D$2:$D$843,F1529))</f>
        <v/>
      </c>
      <c r="J1529">
        <f>IF(F1529="","",INT(H1529)-B1529)</f>
        <v/>
      </c>
      <c r="K1529">
        <f>IF(B1529&gt;=Settings!$C$5,1,0)</f>
        <v/>
      </c>
    </row>
    <row r="1530">
      <c r="A1530" t="inlineStr">
        <is>
          <t>6dfdc6a7e91f5d20a16c956c33974ca5</t>
        </is>
      </c>
      <c r="B1530" s="29" t="n">
        <v>43194</v>
      </c>
      <c r="C1530" t="inlineStr">
        <is>
          <t>2018-04</t>
        </is>
      </c>
      <c r="D1530" t="inlineStr">
        <is>
          <t>40dec9f3d5259a3d2dbcdab2114fae47</t>
        </is>
      </c>
      <c r="E1530" t="inlineStr">
        <is>
          <t>organic_search</t>
        </is>
      </c>
      <c r="F1530">
        <f>IFERROR(MATCH(A1530,Deals!$A$2:$A$843,0),"")</f>
        <v/>
      </c>
      <c r="G1530">
        <f>IF(F1530="",0,1)</f>
        <v/>
      </c>
      <c r="H1530" s="29">
        <f>IF(F1530="","",INDEX(Deals!$E$2:$E$843,F1530))</f>
        <v/>
      </c>
      <c r="I1530">
        <f>IF(F1530="","",INDEX(Deals!$D$2:$D$843,F1530))</f>
        <v/>
      </c>
      <c r="J1530">
        <f>IF(F1530="","",INT(H1530)-B1530)</f>
        <v/>
      </c>
      <c r="K1530">
        <f>IF(B1530&gt;=Settings!$C$5,1,0)</f>
        <v/>
      </c>
    </row>
    <row r="1531">
      <c r="A1531" t="inlineStr">
        <is>
          <t>d0f04d58dba0df8d2946971047f8c895</t>
        </is>
      </c>
      <c r="B1531" s="29" t="n">
        <v>43222</v>
      </c>
      <c r="C1531" t="inlineStr">
        <is>
          <t>2018-05</t>
        </is>
      </c>
      <c r="D1531" t="inlineStr">
        <is>
          <t>b226889aa1cb9f4efb3c18343b7f07c0</t>
        </is>
      </c>
      <c r="E1531" t="inlineStr">
        <is>
          <t>email</t>
        </is>
      </c>
      <c r="F1531">
        <f>IFERROR(MATCH(A1531,Deals!$A$2:$A$843,0),"")</f>
        <v/>
      </c>
      <c r="G1531">
        <f>IF(F1531="",0,1)</f>
        <v/>
      </c>
      <c r="H1531" s="29">
        <f>IF(F1531="","",INDEX(Deals!$E$2:$E$843,F1531))</f>
        <v/>
      </c>
      <c r="I1531">
        <f>IF(F1531="","",INDEX(Deals!$D$2:$D$843,F1531))</f>
        <v/>
      </c>
      <c r="J1531">
        <f>IF(F1531="","",INT(H1531)-B1531)</f>
        <v/>
      </c>
      <c r="K1531">
        <f>IF(B1531&gt;=Settings!$C$5,1,0)</f>
        <v/>
      </c>
    </row>
    <row r="1532">
      <c r="A1532" t="inlineStr">
        <is>
          <t>c634461583738aa142215561fe7f0248</t>
        </is>
      </c>
      <c r="B1532" s="29" t="n">
        <v>42933</v>
      </c>
      <c r="C1532" t="inlineStr">
        <is>
          <t>2017-07</t>
        </is>
      </c>
      <c r="D1532" t="inlineStr">
        <is>
          <t>e92a6f37ebb87a6bfbc569d439cf1635</t>
        </is>
      </c>
      <c r="E1532" t="inlineStr">
        <is>
          <t>organic_search</t>
        </is>
      </c>
      <c r="F1532">
        <f>IFERROR(MATCH(A1532,Deals!$A$2:$A$843,0),"")</f>
        <v/>
      </c>
      <c r="G1532">
        <f>IF(F1532="",0,1)</f>
        <v/>
      </c>
      <c r="H1532" s="29">
        <f>IF(F1532="","",INDEX(Deals!$E$2:$E$843,F1532))</f>
        <v/>
      </c>
      <c r="I1532">
        <f>IF(F1532="","",INDEX(Deals!$D$2:$D$843,F1532))</f>
        <v/>
      </c>
      <c r="J1532">
        <f>IF(F1532="","",INT(H1532)-B1532)</f>
        <v/>
      </c>
      <c r="K1532">
        <f>IF(B1532&gt;=Settings!$C$5,1,0)</f>
        <v/>
      </c>
    </row>
    <row r="1533">
      <c r="A1533" t="inlineStr">
        <is>
          <t>ae0ecbe3e82ed7eb0c1066059d9513df</t>
        </is>
      </c>
      <c r="B1533" s="29" t="n">
        <v>43193</v>
      </c>
      <c r="C1533" t="inlineStr">
        <is>
          <t>2018-04</t>
        </is>
      </c>
      <c r="D1533" t="inlineStr">
        <is>
          <t>7fa6214d82e911d070f51ef79381b956</t>
        </is>
      </c>
      <c r="E1533" t="inlineStr">
        <is>
          <t>organic_search</t>
        </is>
      </c>
      <c r="F1533">
        <f>IFERROR(MATCH(A1533,Deals!$A$2:$A$843,0),"")</f>
        <v/>
      </c>
      <c r="G1533">
        <f>IF(F1533="",0,1)</f>
        <v/>
      </c>
      <c r="H1533" s="29">
        <f>IF(F1533="","",INDEX(Deals!$E$2:$E$843,F1533))</f>
        <v/>
      </c>
      <c r="I1533">
        <f>IF(F1533="","",INDEX(Deals!$D$2:$D$843,F1533))</f>
        <v/>
      </c>
      <c r="J1533">
        <f>IF(F1533="","",INT(H1533)-B1533)</f>
        <v/>
      </c>
      <c r="K1533">
        <f>IF(B1533&gt;=Settings!$C$5,1,0)</f>
        <v/>
      </c>
    </row>
    <row r="1534">
      <c r="A1534" t="inlineStr">
        <is>
          <t>e16b7c6134db5e15a521ec10fd405ddf</t>
        </is>
      </c>
      <c r="B1534" s="29" t="n">
        <v>43166</v>
      </c>
      <c r="C1534" t="inlineStr">
        <is>
          <t>2018-03</t>
        </is>
      </c>
      <c r="D1534" t="inlineStr">
        <is>
          <t>88740e65d5d6b056e0cda098e1ea6313</t>
        </is>
      </c>
      <c r="E1534" t="inlineStr">
        <is>
          <t>social</t>
        </is>
      </c>
      <c r="F1534">
        <f>IFERROR(MATCH(A1534,Deals!$A$2:$A$843,0),"")</f>
        <v/>
      </c>
      <c r="G1534">
        <f>IF(F1534="",0,1)</f>
        <v/>
      </c>
      <c r="H1534" s="29">
        <f>IF(F1534="","",INDEX(Deals!$E$2:$E$843,F1534))</f>
        <v/>
      </c>
      <c r="I1534">
        <f>IF(F1534="","",INDEX(Deals!$D$2:$D$843,F1534))</f>
        <v/>
      </c>
      <c r="J1534">
        <f>IF(F1534="","",INT(H1534)-B1534)</f>
        <v/>
      </c>
      <c r="K1534">
        <f>IF(B1534&gt;=Settings!$C$5,1,0)</f>
        <v/>
      </c>
    </row>
    <row r="1535">
      <c r="A1535" t="inlineStr">
        <is>
          <t>f36a0f70291c903ae5664927b016c488</t>
        </is>
      </c>
      <c r="B1535" s="29" t="n">
        <v>43115</v>
      </c>
      <c r="C1535" t="inlineStr">
        <is>
          <t>2018-01</t>
        </is>
      </c>
      <c r="D1535" t="inlineStr">
        <is>
          <t>88740e65d5d6b056e0cda098e1ea6313</t>
        </is>
      </c>
      <c r="E1535" t="inlineStr">
        <is>
          <t>social</t>
        </is>
      </c>
      <c r="F1535">
        <f>IFERROR(MATCH(A1535,Deals!$A$2:$A$843,0),"")</f>
        <v/>
      </c>
      <c r="G1535">
        <f>IF(F1535="",0,1)</f>
        <v/>
      </c>
      <c r="H1535" s="29">
        <f>IF(F1535="","",INDEX(Deals!$E$2:$E$843,F1535))</f>
        <v/>
      </c>
      <c r="I1535">
        <f>IF(F1535="","",INDEX(Deals!$D$2:$D$843,F1535))</f>
        <v/>
      </c>
      <c r="J1535">
        <f>IF(F1535="","",INT(H1535)-B1535)</f>
        <v/>
      </c>
      <c r="K1535">
        <f>IF(B1535&gt;=Settings!$C$5,1,0)</f>
        <v/>
      </c>
    </row>
    <row r="1536">
      <c r="A1536" t="inlineStr">
        <is>
          <t>6e46c13ed39fe5d1af9985e17d98b28a</t>
        </is>
      </c>
      <c r="B1536" s="29" t="n">
        <v>43179</v>
      </c>
      <c r="C1536" t="inlineStr">
        <is>
          <t>2018-03</t>
        </is>
      </c>
      <c r="D1536" t="inlineStr">
        <is>
          <t>62a620c9f1f5dbe99651c2c9e369cbb0</t>
        </is>
      </c>
      <c r="E1536" t="inlineStr">
        <is>
          <t>email</t>
        </is>
      </c>
      <c r="F1536">
        <f>IFERROR(MATCH(A1536,Deals!$A$2:$A$843,0),"")</f>
        <v/>
      </c>
      <c r="G1536">
        <f>IF(F1536="",0,1)</f>
        <v/>
      </c>
      <c r="H1536" s="29">
        <f>IF(F1536="","",INDEX(Deals!$E$2:$E$843,F1536))</f>
        <v/>
      </c>
      <c r="I1536">
        <f>IF(F1536="","",INDEX(Deals!$D$2:$D$843,F1536))</f>
        <v/>
      </c>
      <c r="J1536">
        <f>IF(F1536="","",INT(H1536)-B1536)</f>
        <v/>
      </c>
      <c r="K1536">
        <f>IF(B1536&gt;=Settings!$C$5,1,0)</f>
        <v/>
      </c>
    </row>
    <row r="1537">
      <c r="A1537" t="inlineStr">
        <is>
          <t>d9a212a763c82cc06a17a3e84449eb50</t>
        </is>
      </c>
      <c r="B1537" s="29" t="n">
        <v>43224</v>
      </c>
      <c r="C1537" t="inlineStr">
        <is>
          <t>2018-05</t>
        </is>
      </c>
      <c r="D1537" t="inlineStr">
        <is>
          <t>36120633c8737035fbabf079082f4ec1</t>
        </is>
      </c>
      <c r="E1537" t="inlineStr">
        <is>
          <t>paid_search</t>
        </is>
      </c>
      <c r="F1537">
        <f>IFERROR(MATCH(A1537,Deals!$A$2:$A$843,0),"")</f>
        <v/>
      </c>
      <c r="G1537">
        <f>IF(F1537="",0,1)</f>
        <v/>
      </c>
      <c r="H1537" s="29">
        <f>IF(F1537="","",INDEX(Deals!$E$2:$E$843,F1537))</f>
        <v/>
      </c>
      <c r="I1537">
        <f>IF(F1537="","",INDEX(Deals!$D$2:$D$843,F1537))</f>
        <v/>
      </c>
      <c r="J1537">
        <f>IF(F1537="","",INT(H1537)-B1537)</f>
        <v/>
      </c>
      <c r="K1537">
        <f>IF(B1537&gt;=Settings!$C$5,1,0)</f>
        <v/>
      </c>
    </row>
    <row r="1538">
      <c r="A1538" t="inlineStr">
        <is>
          <t>387e02e10694ac10252a1a3430cb44cc</t>
        </is>
      </c>
      <c r="B1538" s="29" t="n">
        <v>42954</v>
      </c>
      <c r="C1538" t="inlineStr">
        <is>
          <t>2017-08</t>
        </is>
      </c>
      <c r="D1538" t="inlineStr">
        <is>
          <t>f017be4dbf86243af5c1ebed0cff36a2</t>
        </is>
      </c>
      <c r="E1538" t="inlineStr">
        <is>
          <t>paid_search</t>
        </is>
      </c>
      <c r="F1538">
        <f>IFERROR(MATCH(A1538,Deals!$A$2:$A$843,0),"")</f>
        <v/>
      </c>
      <c r="G1538">
        <f>IF(F1538="",0,1)</f>
        <v/>
      </c>
      <c r="H1538" s="29">
        <f>IF(F1538="","",INDEX(Deals!$E$2:$E$843,F1538))</f>
        <v/>
      </c>
      <c r="I1538">
        <f>IF(F1538="","",INDEX(Deals!$D$2:$D$843,F1538))</f>
        <v/>
      </c>
      <c r="J1538">
        <f>IF(F1538="","",INT(H1538)-B1538)</f>
        <v/>
      </c>
      <c r="K1538">
        <f>IF(B1538&gt;=Settings!$C$5,1,0)</f>
        <v/>
      </c>
    </row>
    <row r="1539">
      <c r="A1539" t="inlineStr">
        <is>
          <t>61d62d0476b05d467684cfd3e2a1fe4a</t>
        </is>
      </c>
      <c r="B1539" s="29" t="n">
        <v>43203</v>
      </c>
      <c r="C1539" t="inlineStr">
        <is>
          <t>2018-04</t>
        </is>
      </c>
      <c r="D1539" t="inlineStr">
        <is>
          <t>b76ef37428e6799c421989521c0e5077</t>
        </is>
      </c>
      <c r="E1539" t="inlineStr">
        <is>
          <t>organic_search</t>
        </is>
      </c>
      <c r="F1539">
        <f>IFERROR(MATCH(A1539,Deals!$A$2:$A$843,0),"")</f>
        <v/>
      </c>
      <c r="G1539">
        <f>IF(F1539="",0,1)</f>
        <v/>
      </c>
      <c r="H1539" s="29">
        <f>IF(F1539="","",INDEX(Deals!$E$2:$E$843,F1539))</f>
        <v/>
      </c>
      <c r="I1539">
        <f>IF(F1539="","",INDEX(Deals!$D$2:$D$843,F1539))</f>
        <v/>
      </c>
      <c r="J1539">
        <f>IF(F1539="","",INT(H1539)-B1539)</f>
        <v/>
      </c>
      <c r="K1539">
        <f>IF(B1539&gt;=Settings!$C$5,1,0)</f>
        <v/>
      </c>
    </row>
    <row r="1540">
      <c r="A1540" t="inlineStr">
        <is>
          <t>ffdd99e05df27c02a2fb1669d49e0c76</t>
        </is>
      </c>
      <c r="B1540" s="29" t="n">
        <v>43206</v>
      </c>
      <c r="C1540" t="inlineStr">
        <is>
          <t>2018-04</t>
        </is>
      </c>
      <c r="D1540" t="inlineStr">
        <is>
          <t>22c29808c4f815213303f8933030604c</t>
        </is>
      </c>
      <c r="E1540" t="inlineStr">
        <is>
          <t>organic_search</t>
        </is>
      </c>
      <c r="F1540">
        <f>IFERROR(MATCH(A1540,Deals!$A$2:$A$843,0),"")</f>
        <v/>
      </c>
      <c r="G1540">
        <f>IF(F1540="",0,1)</f>
        <v/>
      </c>
      <c r="H1540" s="29">
        <f>IF(F1540="","",INDEX(Deals!$E$2:$E$843,F1540))</f>
        <v/>
      </c>
      <c r="I1540">
        <f>IF(F1540="","",INDEX(Deals!$D$2:$D$843,F1540))</f>
        <v/>
      </c>
      <c r="J1540">
        <f>IF(F1540="","",INT(H1540)-B1540)</f>
        <v/>
      </c>
      <c r="K1540">
        <f>IF(B1540&gt;=Settings!$C$5,1,0)</f>
        <v/>
      </c>
    </row>
    <row r="1541">
      <c r="A1541" t="inlineStr">
        <is>
          <t>5fee73752ea487e464e6d547c7697f15</t>
        </is>
      </c>
      <c r="B1541" s="29" t="n">
        <v>43241</v>
      </c>
      <c r="C1541" t="inlineStr">
        <is>
          <t>2018-05</t>
        </is>
      </c>
      <c r="D1541" t="inlineStr">
        <is>
          <t>9fa37f5177115156b1814ffc237402a6</t>
        </is>
      </c>
      <c r="E1541" t="inlineStr">
        <is>
          <t>paid_search</t>
        </is>
      </c>
      <c r="F1541">
        <f>IFERROR(MATCH(A1541,Deals!$A$2:$A$843,0),"")</f>
        <v/>
      </c>
      <c r="G1541">
        <f>IF(F1541="",0,1)</f>
        <v/>
      </c>
      <c r="H1541" s="29">
        <f>IF(F1541="","",INDEX(Deals!$E$2:$E$843,F1541))</f>
        <v/>
      </c>
      <c r="I1541">
        <f>IF(F1541="","",INDEX(Deals!$D$2:$D$843,F1541))</f>
        <v/>
      </c>
      <c r="J1541">
        <f>IF(F1541="","",INT(H1541)-B1541)</f>
        <v/>
      </c>
      <c r="K1541">
        <f>IF(B1541&gt;=Settings!$C$5,1,0)</f>
        <v/>
      </c>
    </row>
    <row r="1542">
      <c r="A1542" t="inlineStr">
        <is>
          <t>8122bf18052063455d3ec59fe8b564ef</t>
        </is>
      </c>
      <c r="B1542" s="29" t="n">
        <v>43248</v>
      </c>
      <c r="C1542" t="inlineStr">
        <is>
          <t>2018-05</t>
        </is>
      </c>
      <c r="D1542" t="inlineStr">
        <is>
          <t>35c9b150ab36fe584c1f24fd458c453a</t>
        </is>
      </c>
      <c r="E1542" t="inlineStr">
        <is>
          <t>paid_search</t>
        </is>
      </c>
      <c r="F1542">
        <f>IFERROR(MATCH(A1542,Deals!$A$2:$A$843,0),"")</f>
        <v/>
      </c>
      <c r="G1542">
        <f>IF(F1542="",0,1)</f>
        <v/>
      </c>
      <c r="H1542" s="29">
        <f>IF(F1542="","",INDEX(Deals!$E$2:$E$843,F1542))</f>
        <v/>
      </c>
      <c r="I1542">
        <f>IF(F1542="","",INDEX(Deals!$D$2:$D$843,F1542))</f>
        <v/>
      </c>
      <c r="J1542">
        <f>IF(F1542="","",INT(H1542)-B1542)</f>
        <v/>
      </c>
      <c r="K1542">
        <f>IF(B1542&gt;=Settings!$C$5,1,0)</f>
        <v/>
      </c>
    </row>
    <row r="1543">
      <c r="A1543" t="inlineStr">
        <is>
          <t>d162afc49f55985d7a550edc9f2864aa</t>
        </is>
      </c>
      <c r="B1543" s="29" t="n">
        <v>43032</v>
      </c>
      <c r="C1543" t="inlineStr">
        <is>
          <t>2017-10</t>
        </is>
      </c>
      <c r="D1543" t="inlineStr">
        <is>
          <t>63355b003224fe06badbd9de99644792</t>
        </is>
      </c>
      <c r="E1543" t="inlineStr">
        <is>
          <t>email</t>
        </is>
      </c>
      <c r="F1543">
        <f>IFERROR(MATCH(A1543,Deals!$A$2:$A$843,0),"")</f>
        <v/>
      </c>
      <c r="G1543">
        <f>IF(F1543="",0,1)</f>
        <v/>
      </c>
      <c r="H1543" s="29">
        <f>IF(F1543="","",INDEX(Deals!$E$2:$E$843,F1543))</f>
        <v/>
      </c>
      <c r="I1543">
        <f>IF(F1543="","",INDEX(Deals!$D$2:$D$843,F1543))</f>
        <v/>
      </c>
      <c r="J1543">
        <f>IF(F1543="","",INT(H1543)-B1543)</f>
        <v/>
      </c>
      <c r="K1543">
        <f>IF(B1543&gt;=Settings!$C$5,1,0)</f>
        <v/>
      </c>
    </row>
    <row r="1544">
      <c r="A1544" t="inlineStr">
        <is>
          <t>75181a27e029e8d9d2e677df25a90ae2</t>
        </is>
      </c>
      <c r="B1544" s="29" t="n">
        <v>42956</v>
      </c>
      <c r="C1544" t="inlineStr">
        <is>
          <t>2017-08</t>
        </is>
      </c>
      <c r="D1544" t="inlineStr">
        <is>
          <t>154e7506c0176dc761f19fa0cb4988c4</t>
        </is>
      </c>
      <c r="E1544" t="inlineStr">
        <is>
          <t>unknown</t>
        </is>
      </c>
      <c r="F1544">
        <f>IFERROR(MATCH(A1544,Deals!$A$2:$A$843,0),"")</f>
        <v/>
      </c>
      <c r="G1544">
        <f>IF(F1544="",0,1)</f>
        <v/>
      </c>
      <c r="H1544" s="29">
        <f>IF(F1544="","",INDEX(Deals!$E$2:$E$843,F1544))</f>
        <v/>
      </c>
      <c r="I1544">
        <f>IF(F1544="","",INDEX(Deals!$D$2:$D$843,F1544))</f>
        <v/>
      </c>
      <c r="J1544">
        <f>IF(F1544="","",INT(H1544)-B1544)</f>
        <v/>
      </c>
      <c r="K1544">
        <f>IF(B1544&gt;=Settings!$C$5,1,0)</f>
        <v/>
      </c>
    </row>
    <row r="1545">
      <c r="A1545" t="inlineStr">
        <is>
          <t>8cc8cb74f22a588e728b78d11696d2fb</t>
        </is>
      </c>
      <c r="B1545" s="29" t="n">
        <v>42944</v>
      </c>
      <c r="C1545" t="inlineStr">
        <is>
          <t>2017-07</t>
        </is>
      </c>
      <c r="D1545" t="inlineStr">
        <is>
          <t>b76ef37428e6799c421989521c0e5077</t>
        </is>
      </c>
      <c r="E1545" t="inlineStr">
        <is>
          <t>direct_traffic</t>
        </is>
      </c>
      <c r="F1545">
        <f>IFERROR(MATCH(A1545,Deals!$A$2:$A$843,0),"")</f>
        <v/>
      </c>
      <c r="G1545">
        <f>IF(F1545="",0,1)</f>
        <v/>
      </c>
      <c r="H1545" s="29">
        <f>IF(F1545="","",INDEX(Deals!$E$2:$E$843,F1545))</f>
        <v/>
      </c>
      <c r="I1545">
        <f>IF(F1545="","",INDEX(Deals!$D$2:$D$843,F1545))</f>
        <v/>
      </c>
      <c r="J1545">
        <f>IF(F1545="","",INT(H1545)-B1545)</f>
        <v/>
      </c>
      <c r="K1545">
        <f>IF(B1545&gt;=Settings!$C$5,1,0)</f>
        <v/>
      </c>
    </row>
    <row r="1546">
      <c r="A1546" t="inlineStr">
        <is>
          <t>b41785e01b7f3ae10e9cbdb6dc452ed0</t>
        </is>
      </c>
      <c r="B1546" s="29" t="n">
        <v>42977</v>
      </c>
      <c r="C1546" t="inlineStr">
        <is>
          <t>2017-08</t>
        </is>
      </c>
      <c r="D1546" t="inlineStr">
        <is>
          <t>3c5cc1a2e1d86abfce2a16a1bcc80e26</t>
        </is>
      </c>
      <c r="E1546" t="inlineStr">
        <is>
          <t>paid_search</t>
        </is>
      </c>
      <c r="F1546">
        <f>IFERROR(MATCH(A1546,Deals!$A$2:$A$843,0),"")</f>
        <v/>
      </c>
      <c r="G1546">
        <f>IF(F1546="",0,1)</f>
        <v/>
      </c>
      <c r="H1546" s="29">
        <f>IF(F1546="","",INDEX(Deals!$E$2:$E$843,F1546))</f>
        <v/>
      </c>
      <c r="I1546">
        <f>IF(F1546="","",INDEX(Deals!$D$2:$D$843,F1546))</f>
        <v/>
      </c>
      <c r="J1546">
        <f>IF(F1546="","",INT(H1546)-B1546)</f>
        <v/>
      </c>
      <c r="K1546">
        <f>IF(B1546&gt;=Settings!$C$5,1,0)</f>
        <v/>
      </c>
    </row>
    <row r="1547">
      <c r="A1547" t="inlineStr">
        <is>
          <t>13b6c44c75e1049f71f6531d435e1b72</t>
        </is>
      </c>
      <c r="B1547" s="29" t="n">
        <v>43156</v>
      </c>
      <c r="C1547" t="inlineStr">
        <is>
          <t>2018-02</t>
        </is>
      </c>
      <c r="D1547" t="inlineStr">
        <is>
          <t>22c29808c4f815213303f8933030604c</t>
        </is>
      </c>
      <c r="E1547" t="inlineStr">
        <is>
          <t>direct_traffic</t>
        </is>
      </c>
      <c r="F1547">
        <f>IFERROR(MATCH(A1547,Deals!$A$2:$A$843,0),"")</f>
        <v/>
      </c>
      <c r="G1547">
        <f>IF(F1547="",0,1)</f>
        <v/>
      </c>
      <c r="H1547" s="29">
        <f>IF(F1547="","",INDEX(Deals!$E$2:$E$843,F1547))</f>
        <v/>
      </c>
      <c r="I1547">
        <f>IF(F1547="","",INDEX(Deals!$D$2:$D$843,F1547))</f>
        <v/>
      </c>
      <c r="J1547">
        <f>IF(F1547="","",INT(H1547)-B1547)</f>
        <v/>
      </c>
      <c r="K1547">
        <f>IF(B1547&gt;=Settings!$C$5,1,0)</f>
        <v/>
      </c>
    </row>
    <row r="1548">
      <c r="A1548" t="inlineStr">
        <is>
          <t>a128c87f5f533b784a2c3f5064b3cdea</t>
        </is>
      </c>
      <c r="B1548" s="29" t="n">
        <v>43218</v>
      </c>
      <c r="C1548" t="inlineStr">
        <is>
          <t>2018-04</t>
        </is>
      </c>
      <c r="D1548" t="inlineStr">
        <is>
          <t>40dec9f3d5259a3d2dbcdab2114fae47</t>
        </is>
      </c>
      <c r="E1548" t="inlineStr">
        <is>
          <t>organic_search</t>
        </is>
      </c>
      <c r="F1548">
        <f>IFERROR(MATCH(A1548,Deals!$A$2:$A$843,0),"")</f>
        <v/>
      </c>
      <c r="G1548">
        <f>IF(F1548="",0,1)</f>
        <v/>
      </c>
      <c r="H1548" s="29">
        <f>IF(F1548="","",INDEX(Deals!$E$2:$E$843,F1548))</f>
        <v/>
      </c>
      <c r="I1548">
        <f>IF(F1548="","",INDEX(Deals!$D$2:$D$843,F1548))</f>
        <v/>
      </c>
      <c r="J1548">
        <f>IF(F1548="","",INT(H1548)-B1548)</f>
        <v/>
      </c>
      <c r="K1548">
        <f>IF(B1548&gt;=Settings!$C$5,1,0)</f>
        <v/>
      </c>
    </row>
    <row r="1549">
      <c r="A1549" t="inlineStr">
        <is>
          <t>962380b7277df0e5903792c14238c059</t>
        </is>
      </c>
      <c r="B1549" s="29" t="n">
        <v>43043</v>
      </c>
      <c r="C1549" t="inlineStr">
        <is>
          <t>2017-11</t>
        </is>
      </c>
      <c r="D1549" t="inlineStr">
        <is>
          <t>40dec9f3d5259a3d2dbcdab2114fae47</t>
        </is>
      </c>
      <c r="E1549" t="inlineStr">
        <is>
          <t>organic_search</t>
        </is>
      </c>
      <c r="F1549">
        <f>IFERROR(MATCH(A1549,Deals!$A$2:$A$843,0),"")</f>
        <v/>
      </c>
      <c r="G1549">
        <f>IF(F1549="",0,1)</f>
        <v/>
      </c>
      <c r="H1549" s="29">
        <f>IF(F1549="","",INDEX(Deals!$E$2:$E$843,F1549))</f>
        <v/>
      </c>
      <c r="I1549">
        <f>IF(F1549="","",INDEX(Deals!$D$2:$D$843,F1549))</f>
        <v/>
      </c>
      <c r="J1549">
        <f>IF(F1549="","",INT(H1549)-B1549)</f>
        <v/>
      </c>
      <c r="K1549">
        <f>IF(B1549&gt;=Settings!$C$5,1,0)</f>
        <v/>
      </c>
    </row>
    <row r="1550">
      <c r="A1550" t="inlineStr">
        <is>
          <t>0f1d59d2fc7aeed664d853399a09d57a</t>
        </is>
      </c>
      <c r="B1550" s="29" t="n">
        <v>43216</v>
      </c>
      <c r="C1550" t="inlineStr">
        <is>
          <t>2018-04</t>
        </is>
      </c>
      <c r="D1550" t="inlineStr">
        <is>
          <t>f017be4dbf86243af5c1ebed0cff36a2</t>
        </is>
      </c>
      <c r="E1550" t="inlineStr">
        <is>
          <t>organic_search</t>
        </is>
      </c>
      <c r="F1550">
        <f>IFERROR(MATCH(A1550,Deals!$A$2:$A$843,0),"")</f>
        <v/>
      </c>
      <c r="G1550">
        <f>IF(F1550="",0,1)</f>
        <v/>
      </c>
      <c r="H1550" s="29">
        <f>IF(F1550="","",INDEX(Deals!$E$2:$E$843,F1550))</f>
        <v/>
      </c>
      <c r="I1550">
        <f>IF(F1550="","",INDEX(Deals!$D$2:$D$843,F1550))</f>
        <v/>
      </c>
      <c r="J1550">
        <f>IF(F1550="","",INT(H1550)-B1550)</f>
        <v/>
      </c>
      <c r="K1550">
        <f>IF(B1550&gt;=Settings!$C$5,1,0)</f>
        <v/>
      </c>
    </row>
    <row r="1551">
      <c r="A1551" t="inlineStr">
        <is>
          <t>30fa273648836083a415ebe0d4662cf5</t>
        </is>
      </c>
      <c r="B1551" s="29" t="n">
        <v>43138</v>
      </c>
      <c r="C1551" t="inlineStr">
        <is>
          <t>2018-02</t>
        </is>
      </c>
      <c r="D1551" t="inlineStr">
        <is>
          <t>f017be4dbf86243af5c1ebed0cff36a2</t>
        </is>
      </c>
      <c r="E1551" t="inlineStr">
        <is>
          <t>organic_search</t>
        </is>
      </c>
      <c r="F1551">
        <f>IFERROR(MATCH(A1551,Deals!$A$2:$A$843,0),"")</f>
        <v/>
      </c>
      <c r="G1551">
        <f>IF(F1551="",0,1)</f>
        <v/>
      </c>
      <c r="H1551" s="29">
        <f>IF(F1551="","",INDEX(Deals!$E$2:$E$843,F1551))</f>
        <v/>
      </c>
      <c r="I1551">
        <f>IF(F1551="","",INDEX(Deals!$D$2:$D$843,F1551))</f>
        <v/>
      </c>
      <c r="J1551">
        <f>IF(F1551="","",INT(H1551)-B1551)</f>
        <v/>
      </c>
      <c r="K1551">
        <f>IF(B1551&gt;=Settings!$C$5,1,0)</f>
        <v/>
      </c>
    </row>
    <row r="1552">
      <c r="A1552" t="inlineStr">
        <is>
          <t>84ff7015cca989303244d13f1a8146fd</t>
        </is>
      </c>
      <c r="B1552" s="29" t="n">
        <v>43040</v>
      </c>
      <c r="C1552" t="inlineStr">
        <is>
          <t>2017-11</t>
        </is>
      </c>
      <c r="D1552" t="inlineStr">
        <is>
          <t>88740e65d5d6b056e0cda098e1ea6313</t>
        </is>
      </c>
      <c r="E1552" t="inlineStr">
        <is>
          <t>social</t>
        </is>
      </c>
      <c r="F1552">
        <f>IFERROR(MATCH(A1552,Deals!$A$2:$A$843,0),"")</f>
        <v/>
      </c>
      <c r="G1552">
        <f>IF(F1552="",0,1)</f>
        <v/>
      </c>
      <c r="H1552" s="29">
        <f>IF(F1552="","",INDEX(Deals!$E$2:$E$843,F1552))</f>
        <v/>
      </c>
      <c r="I1552">
        <f>IF(F1552="","",INDEX(Deals!$D$2:$D$843,F1552))</f>
        <v/>
      </c>
      <c r="J1552">
        <f>IF(F1552="","",INT(H1552)-B1552)</f>
        <v/>
      </c>
      <c r="K1552">
        <f>IF(B1552&gt;=Settings!$C$5,1,0)</f>
        <v/>
      </c>
    </row>
    <row r="1553">
      <c r="A1553" t="inlineStr">
        <is>
          <t>00275937100699204a3d5ae3caf7190d</t>
        </is>
      </c>
      <c r="B1553" s="29" t="n">
        <v>43111</v>
      </c>
      <c r="C1553" t="inlineStr">
        <is>
          <t>2018-01</t>
        </is>
      </c>
      <c r="D1553" t="inlineStr">
        <is>
          <t>a7982125ff7aa3b2054c6e44f9d28522</t>
        </is>
      </c>
      <c r="E1553" t="inlineStr">
        <is>
          <t>organic_search</t>
        </is>
      </c>
      <c r="F1553">
        <f>IFERROR(MATCH(A1553,Deals!$A$2:$A$843,0),"")</f>
        <v/>
      </c>
      <c r="G1553">
        <f>IF(F1553="",0,1)</f>
        <v/>
      </c>
      <c r="H1553" s="29">
        <f>IF(F1553="","",INDEX(Deals!$E$2:$E$843,F1553))</f>
        <v/>
      </c>
      <c r="I1553">
        <f>IF(F1553="","",INDEX(Deals!$D$2:$D$843,F1553))</f>
        <v/>
      </c>
      <c r="J1553">
        <f>IF(F1553="","",INT(H1553)-B1553)</f>
        <v/>
      </c>
      <c r="K1553">
        <f>IF(B1553&gt;=Settings!$C$5,1,0)</f>
        <v/>
      </c>
    </row>
    <row r="1554">
      <c r="A1554" t="inlineStr">
        <is>
          <t>8641afa4db7421c9eeaf01260d8afefe</t>
        </is>
      </c>
      <c r="B1554" s="29" t="n">
        <v>43129</v>
      </c>
      <c r="C1554" t="inlineStr">
        <is>
          <t>2018-01</t>
        </is>
      </c>
      <c r="D1554" t="inlineStr">
        <is>
          <t>b76ef37428e6799c421989521c0e5077</t>
        </is>
      </c>
      <c r="E1554" t="inlineStr">
        <is>
          <t>unknown</t>
        </is>
      </c>
      <c r="F1554">
        <f>IFERROR(MATCH(A1554,Deals!$A$2:$A$843,0),"")</f>
        <v/>
      </c>
      <c r="G1554">
        <f>IF(F1554="",0,1)</f>
        <v/>
      </c>
      <c r="H1554" s="29">
        <f>IF(F1554="","",INDEX(Deals!$E$2:$E$843,F1554))</f>
        <v/>
      </c>
      <c r="I1554">
        <f>IF(F1554="","",INDEX(Deals!$D$2:$D$843,F1554))</f>
        <v/>
      </c>
      <c r="J1554">
        <f>IF(F1554="","",INT(H1554)-B1554)</f>
        <v/>
      </c>
      <c r="K1554">
        <f>IF(B1554&gt;=Settings!$C$5,1,0)</f>
        <v/>
      </c>
    </row>
    <row r="1555">
      <c r="A1555" t="inlineStr">
        <is>
          <t>f0adba5e5ab49b4bcc17febff2d1c7bd</t>
        </is>
      </c>
      <c r="B1555" s="29" t="n">
        <v>43241</v>
      </c>
      <c r="C1555" t="inlineStr">
        <is>
          <t>2018-05</t>
        </is>
      </c>
      <c r="D1555" t="inlineStr">
        <is>
          <t>9fa37f5177115156b1814ffc237402a6</t>
        </is>
      </c>
      <c r="E1555" t="inlineStr">
        <is>
          <t>paid_search</t>
        </is>
      </c>
      <c r="F1555">
        <f>IFERROR(MATCH(A1555,Deals!$A$2:$A$843,0),"")</f>
        <v/>
      </c>
      <c r="G1555">
        <f>IF(F1555="",0,1)</f>
        <v/>
      </c>
      <c r="H1555" s="29">
        <f>IF(F1555="","",INDEX(Deals!$E$2:$E$843,F1555))</f>
        <v/>
      </c>
      <c r="I1555">
        <f>IF(F1555="","",INDEX(Deals!$D$2:$D$843,F1555))</f>
        <v/>
      </c>
      <c r="J1555">
        <f>IF(F1555="","",INT(H1555)-B1555)</f>
        <v/>
      </c>
      <c r="K1555">
        <f>IF(B1555&gt;=Settings!$C$5,1,0)</f>
        <v/>
      </c>
    </row>
    <row r="1556">
      <c r="A1556" t="inlineStr">
        <is>
          <t>1c83e61d344700d36ad0564af509728b</t>
        </is>
      </c>
      <c r="B1556" s="29" t="n">
        <v>43170</v>
      </c>
      <c r="C1556" t="inlineStr">
        <is>
          <t>2018-03</t>
        </is>
      </c>
      <c r="D1556" t="inlineStr">
        <is>
          <t>22c29808c4f815213303f8933030604c</t>
        </is>
      </c>
      <c r="E1556" t="inlineStr">
        <is>
          <t>organic_search</t>
        </is>
      </c>
      <c r="F1556">
        <f>IFERROR(MATCH(A1556,Deals!$A$2:$A$843,0),"")</f>
        <v/>
      </c>
      <c r="G1556">
        <f>IF(F1556="",0,1)</f>
        <v/>
      </c>
      <c r="H1556" s="29">
        <f>IF(F1556="","",INDEX(Deals!$E$2:$E$843,F1556))</f>
        <v/>
      </c>
      <c r="I1556">
        <f>IF(F1556="","",INDEX(Deals!$D$2:$D$843,F1556))</f>
        <v/>
      </c>
      <c r="J1556">
        <f>IF(F1556="","",INT(H1556)-B1556)</f>
        <v/>
      </c>
      <c r="K1556">
        <f>IF(B1556&gt;=Settings!$C$5,1,0)</f>
        <v/>
      </c>
    </row>
    <row r="1557">
      <c r="A1557" t="inlineStr">
        <is>
          <t>314d7b95c872c8d6d5f61d0ddb88acda</t>
        </is>
      </c>
      <c r="B1557" s="29" t="n">
        <v>43131</v>
      </c>
      <c r="C1557" t="inlineStr">
        <is>
          <t>2018-01</t>
        </is>
      </c>
      <c r="D1557" t="inlineStr">
        <is>
          <t>21a104c3279681d9856b8a48723c4fee</t>
        </is>
      </c>
      <c r="E1557" t="inlineStr">
        <is>
          <t>email</t>
        </is>
      </c>
      <c r="F1557">
        <f>IFERROR(MATCH(A1557,Deals!$A$2:$A$843,0),"")</f>
        <v/>
      </c>
      <c r="G1557">
        <f>IF(F1557="",0,1)</f>
        <v/>
      </c>
      <c r="H1557" s="29">
        <f>IF(F1557="","",INDEX(Deals!$E$2:$E$843,F1557))</f>
        <v/>
      </c>
      <c r="I1557">
        <f>IF(F1557="","",INDEX(Deals!$D$2:$D$843,F1557))</f>
        <v/>
      </c>
      <c r="J1557">
        <f>IF(F1557="","",INT(H1557)-B1557)</f>
        <v/>
      </c>
      <c r="K1557">
        <f>IF(B1557&gt;=Settings!$C$5,1,0)</f>
        <v/>
      </c>
    </row>
    <row r="1558">
      <c r="A1558" t="inlineStr">
        <is>
          <t>105f42dc7e4a525528246f056ff4dc1d</t>
        </is>
      </c>
      <c r="B1558" s="29" t="n">
        <v>43049</v>
      </c>
      <c r="C1558" t="inlineStr">
        <is>
          <t>2017-11</t>
        </is>
      </c>
      <c r="D1558" t="inlineStr">
        <is>
          <t>88740e65d5d6b056e0cda098e1ea6313</t>
        </is>
      </c>
      <c r="E1558" t="inlineStr">
        <is>
          <t>social</t>
        </is>
      </c>
      <c r="F1558">
        <f>IFERROR(MATCH(A1558,Deals!$A$2:$A$843,0),"")</f>
        <v/>
      </c>
      <c r="G1558">
        <f>IF(F1558="",0,1)</f>
        <v/>
      </c>
      <c r="H1558" s="29">
        <f>IF(F1558="","",INDEX(Deals!$E$2:$E$843,F1558))</f>
        <v/>
      </c>
      <c r="I1558">
        <f>IF(F1558="","",INDEX(Deals!$D$2:$D$843,F1558))</f>
        <v/>
      </c>
      <c r="J1558">
        <f>IF(F1558="","",INT(H1558)-B1558)</f>
        <v/>
      </c>
      <c r="K1558">
        <f>IF(B1558&gt;=Settings!$C$5,1,0)</f>
        <v/>
      </c>
    </row>
    <row r="1559">
      <c r="A1559" t="inlineStr">
        <is>
          <t>f29ef36d82c4a804fcba53aa4d2940f0</t>
        </is>
      </c>
      <c r="B1559" s="29" t="n">
        <v>43244</v>
      </c>
      <c r="C1559" t="inlineStr">
        <is>
          <t>2018-05</t>
        </is>
      </c>
      <c r="D1559" t="inlineStr">
        <is>
          <t>22c29808c4f815213303f8933030604c</t>
        </is>
      </c>
      <c r="E1559" t="inlineStr">
        <is>
          <t>organic_search</t>
        </is>
      </c>
      <c r="F1559">
        <f>IFERROR(MATCH(A1559,Deals!$A$2:$A$843,0),"")</f>
        <v/>
      </c>
      <c r="G1559">
        <f>IF(F1559="",0,1)</f>
        <v/>
      </c>
      <c r="H1559" s="29">
        <f>IF(F1559="","",INDEX(Deals!$E$2:$E$843,F1559))</f>
        <v/>
      </c>
      <c r="I1559">
        <f>IF(F1559="","",INDEX(Deals!$D$2:$D$843,F1559))</f>
        <v/>
      </c>
      <c r="J1559">
        <f>IF(F1559="","",INT(H1559)-B1559)</f>
        <v/>
      </c>
      <c r="K1559">
        <f>IF(B1559&gt;=Settings!$C$5,1,0)</f>
        <v/>
      </c>
    </row>
    <row r="1560">
      <c r="A1560" t="inlineStr">
        <is>
          <t>1632af4762431469541ac66e2d6f4b45</t>
        </is>
      </c>
      <c r="B1560" s="29" t="n">
        <v>43140</v>
      </c>
      <c r="C1560" t="inlineStr">
        <is>
          <t>2018-02</t>
        </is>
      </c>
      <c r="D1560" t="inlineStr">
        <is>
          <t>f98c2bd96ac4a5d9476734e790c91384</t>
        </is>
      </c>
      <c r="E1560" t="inlineStr">
        <is>
          <t>organic_search</t>
        </is>
      </c>
      <c r="F1560">
        <f>IFERROR(MATCH(A1560,Deals!$A$2:$A$843,0),"")</f>
        <v/>
      </c>
      <c r="G1560">
        <f>IF(F1560="",0,1)</f>
        <v/>
      </c>
      <c r="H1560" s="29">
        <f>IF(F1560="","",INDEX(Deals!$E$2:$E$843,F1560))</f>
        <v/>
      </c>
      <c r="I1560">
        <f>IF(F1560="","",INDEX(Deals!$D$2:$D$843,F1560))</f>
        <v/>
      </c>
      <c r="J1560">
        <f>IF(F1560="","",INT(H1560)-B1560)</f>
        <v/>
      </c>
      <c r="K1560">
        <f>IF(B1560&gt;=Settings!$C$5,1,0)</f>
        <v/>
      </c>
    </row>
    <row r="1561">
      <c r="A1561" t="inlineStr">
        <is>
          <t>5981b0f78d15e748a9b0c43202461be2</t>
        </is>
      </c>
      <c r="B1561" s="29" t="n">
        <v>42940</v>
      </c>
      <c r="C1561" t="inlineStr">
        <is>
          <t>2017-07</t>
        </is>
      </c>
      <c r="D1561" t="inlineStr">
        <is>
          <t>3cd2a8301d5395f21cdd3094c9eaa2f4</t>
        </is>
      </c>
      <c r="E1561" t="inlineStr">
        <is>
          <t>paid_search</t>
        </is>
      </c>
      <c r="F1561">
        <f>IFERROR(MATCH(A1561,Deals!$A$2:$A$843,0),"")</f>
        <v/>
      </c>
      <c r="G1561">
        <f>IF(F1561="",0,1)</f>
        <v/>
      </c>
      <c r="H1561" s="29">
        <f>IF(F1561="","",INDEX(Deals!$E$2:$E$843,F1561))</f>
        <v/>
      </c>
      <c r="I1561">
        <f>IF(F1561="","",INDEX(Deals!$D$2:$D$843,F1561))</f>
        <v/>
      </c>
      <c r="J1561">
        <f>IF(F1561="","",INT(H1561)-B1561)</f>
        <v/>
      </c>
      <c r="K1561">
        <f>IF(B1561&gt;=Settings!$C$5,1,0)</f>
        <v/>
      </c>
    </row>
    <row r="1562">
      <c r="A1562" t="inlineStr">
        <is>
          <t>c684180210d57e2cced6e0cb59b620d9</t>
        </is>
      </c>
      <c r="B1562" s="29" t="n">
        <v>43081</v>
      </c>
      <c r="C1562" t="inlineStr">
        <is>
          <t>2017-12</t>
        </is>
      </c>
      <c r="D1562" t="inlineStr">
        <is>
          <t>9df372c20395ad99d9cb43dfd84e305f</t>
        </is>
      </c>
      <c r="E1562" t="inlineStr">
        <is>
          <t>email</t>
        </is>
      </c>
      <c r="F1562">
        <f>IFERROR(MATCH(A1562,Deals!$A$2:$A$843,0),"")</f>
        <v/>
      </c>
      <c r="G1562">
        <f>IF(F1562="",0,1)</f>
        <v/>
      </c>
      <c r="H1562" s="29">
        <f>IF(F1562="","",INDEX(Deals!$E$2:$E$843,F1562))</f>
        <v/>
      </c>
      <c r="I1562">
        <f>IF(F1562="","",INDEX(Deals!$D$2:$D$843,F1562))</f>
        <v/>
      </c>
      <c r="J1562">
        <f>IF(F1562="","",INT(H1562)-B1562)</f>
        <v/>
      </c>
      <c r="K1562">
        <f>IF(B1562&gt;=Settings!$C$5,1,0)</f>
        <v/>
      </c>
    </row>
    <row r="1563">
      <c r="A1563" t="inlineStr">
        <is>
          <t>e73b38ff519142fdc3723ddf4a3a5825</t>
        </is>
      </c>
      <c r="B1563" s="29" t="n">
        <v>43112</v>
      </c>
      <c r="C1563" t="inlineStr">
        <is>
          <t>2018-01</t>
        </is>
      </c>
      <c r="D1563" t="inlineStr">
        <is>
          <t>b76ef37428e6799c421989521c0e5077</t>
        </is>
      </c>
      <c r="E1563" t="inlineStr">
        <is>
          <t>unknown</t>
        </is>
      </c>
      <c r="F1563">
        <f>IFERROR(MATCH(A1563,Deals!$A$2:$A$843,0),"")</f>
        <v/>
      </c>
      <c r="G1563">
        <f>IF(F1563="",0,1)</f>
        <v/>
      </c>
      <c r="H1563" s="29">
        <f>IF(F1563="","",INDEX(Deals!$E$2:$E$843,F1563))</f>
        <v/>
      </c>
      <c r="I1563">
        <f>IF(F1563="","",INDEX(Deals!$D$2:$D$843,F1563))</f>
        <v/>
      </c>
      <c r="J1563">
        <f>IF(F1563="","",INT(H1563)-B1563)</f>
        <v/>
      </c>
      <c r="K1563">
        <f>IF(B1563&gt;=Settings!$C$5,1,0)</f>
        <v/>
      </c>
    </row>
    <row r="1564">
      <c r="A1564" t="inlineStr">
        <is>
          <t>37f92a98dd57884d64f167d8edb12095</t>
        </is>
      </c>
      <c r="B1564" s="29" t="n">
        <v>43182</v>
      </c>
      <c r="C1564" t="inlineStr">
        <is>
          <t>2018-03</t>
        </is>
      </c>
      <c r="D1564" t="inlineStr">
        <is>
          <t>a0fbc0263cb98bdb0d72b9f9f283a172</t>
        </is>
      </c>
      <c r="E1564" t="inlineStr">
        <is>
          <t>paid_search</t>
        </is>
      </c>
      <c r="F1564">
        <f>IFERROR(MATCH(A1564,Deals!$A$2:$A$843,0),"")</f>
        <v/>
      </c>
      <c r="G1564">
        <f>IF(F1564="",0,1)</f>
        <v/>
      </c>
      <c r="H1564" s="29">
        <f>IF(F1564="","",INDEX(Deals!$E$2:$E$843,F1564))</f>
        <v/>
      </c>
      <c r="I1564">
        <f>IF(F1564="","",INDEX(Deals!$D$2:$D$843,F1564))</f>
        <v/>
      </c>
      <c r="J1564">
        <f>IF(F1564="","",INT(H1564)-B1564)</f>
        <v/>
      </c>
      <c r="K1564">
        <f>IF(B1564&gt;=Settings!$C$5,1,0)</f>
        <v/>
      </c>
    </row>
    <row r="1565">
      <c r="A1565" t="inlineStr">
        <is>
          <t>51f9202d078ef51f91532ec32bba2a7d</t>
        </is>
      </c>
      <c r="B1565" s="29" t="n">
        <v>43215</v>
      </c>
      <c r="C1565" t="inlineStr">
        <is>
          <t>2018-04</t>
        </is>
      </c>
      <c r="D1565" t="inlineStr">
        <is>
          <t>f80696b73d17fb34f5c4fde157f119d8</t>
        </is>
      </c>
      <c r="E1565" t="inlineStr">
        <is>
          <t>organic_search</t>
        </is>
      </c>
      <c r="F1565">
        <f>IFERROR(MATCH(A1565,Deals!$A$2:$A$843,0),"")</f>
        <v/>
      </c>
      <c r="G1565">
        <f>IF(F1565="",0,1)</f>
        <v/>
      </c>
      <c r="H1565" s="29">
        <f>IF(F1565="","",INDEX(Deals!$E$2:$E$843,F1565))</f>
        <v/>
      </c>
      <c r="I1565">
        <f>IF(F1565="","",INDEX(Deals!$D$2:$D$843,F1565))</f>
        <v/>
      </c>
      <c r="J1565">
        <f>IF(F1565="","",INT(H1565)-B1565)</f>
        <v/>
      </c>
      <c r="K1565">
        <f>IF(B1565&gt;=Settings!$C$5,1,0)</f>
        <v/>
      </c>
    </row>
    <row r="1566">
      <c r="A1566" t="inlineStr">
        <is>
          <t>eeb3b040d8d25cd782183ae757fdbfd0</t>
        </is>
      </c>
      <c r="B1566" s="29" t="n">
        <v>43159</v>
      </c>
      <c r="C1566" t="inlineStr">
        <is>
          <t>2018-02</t>
        </is>
      </c>
      <c r="D1566" t="inlineStr">
        <is>
          <t>40dec9f3d5259a3d2dbcdab2114fae47</t>
        </is>
      </c>
      <c r="E1566" t="inlineStr">
        <is>
          <t>paid_search</t>
        </is>
      </c>
      <c r="F1566">
        <f>IFERROR(MATCH(A1566,Deals!$A$2:$A$843,0),"")</f>
        <v/>
      </c>
      <c r="G1566">
        <f>IF(F1566="",0,1)</f>
        <v/>
      </c>
      <c r="H1566" s="29">
        <f>IF(F1566="","",INDEX(Deals!$E$2:$E$843,F1566))</f>
        <v/>
      </c>
      <c r="I1566">
        <f>IF(F1566="","",INDEX(Deals!$D$2:$D$843,F1566))</f>
        <v/>
      </c>
      <c r="J1566">
        <f>IF(F1566="","",INT(H1566)-B1566)</f>
        <v/>
      </c>
      <c r="K1566">
        <f>IF(B1566&gt;=Settings!$C$5,1,0)</f>
        <v/>
      </c>
    </row>
    <row r="1567">
      <c r="A1567" t="inlineStr">
        <is>
          <t>def4bf8b332ec684f60d57af1c8a8f43</t>
        </is>
      </c>
      <c r="B1567" s="29" t="n">
        <v>43103</v>
      </c>
      <c r="C1567" t="inlineStr">
        <is>
          <t>2018-01</t>
        </is>
      </c>
      <c r="D1567" t="inlineStr">
        <is>
          <t>88740e65d5d6b056e0cda098e1ea6313</t>
        </is>
      </c>
      <c r="E1567" t="inlineStr">
        <is>
          <t>social</t>
        </is>
      </c>
      <c r="F1567">
        <f>IFERROR(MATCH(A1567,Deals!$A$2:$A$843,0),"")</f>
        <v/>
      </c>
      <c r="G1567">
        <f>IF(F1567="",0,1)</f>
        <v/>
      </c>
      <c r="H1567" s="29">
        <f>IF(F1567="","",INDEX(Deals!$E$2:$E$843,F1567))</f>
        <v/>
      </c>
      <c r="I1567">
        <f>IF(F1567="","",INDEX(Deals!$D$2:$D$843,F1567))</f>
        <v/>
      </c>
      <c r="J1567">
        <f>IF(F1567="","",INT(H1567)-B1567)</f>
        <v/>
      </c>
      <c r="K1567">
        <f>IF(B1567&gt;=Settings!$C$5,1,0)</f>
        <v/>
      </c>
    </row>
    <row r="1568">
      <c r="A1568" t="inlineStr">
        <is>
          <t>7d3029aebef6762e96d7b267c221703a</t>
        </is>
      </c>
      <c r="B1568" s="29" t="n">
        <v>43139</v>
      </c>
      <c r="C1568" t="inlineStr">
        <is>
          <t>2018-02</t>
        </is>
      </c>
      <c r="D1568" t="inlineStr">
        <is>
          <t>22c29808c4f815213303f8933030604c</t>
        </is>
      </c>
      <c r="E1568" t="inlineStr">
        <is>
          <t>direct_traffic</t>
        </is>
      </c>
      <c r="F1568">
        <f>IFERROR(MATCH(A1568,Deals!$A$2:$A$843,0),"")</f>
        <v/>
      </c>
      <c r="G1568">
        <f>IF(F1568="",0,1)</f>
        <v/>
      </c>
      <c r="H1568" s="29">
        <f>IF(F1568="","",INDEX(Deals!$E$2:$E$843,F1568))</f>
        <v/>
      </c>
      <c r="I1568">
        <f>IF(F1568="","",INDEX(Deals!$D$2:$D$843,F1568))</f>
        <v/>
      </c>
      <c r="J1568">
        <f>IF(F1568="","",INT(H1568)-B1568)</f>
        <v/>
      </c>
      <c r="K1568">
        <f>IF(B1568&gt;=Settings!$C$5,1,0)</f>
        <v/>
      </c>
    </row>
    <row r="1569">
      <c r="A1569" t="inlineStr">
        <is>
          <t>1694d213f1a463560a0a1b142de02296</t>
        </is>
      </c>
      <c r="B1569" s="29" t="n">
        <v>43229</v>
      </c>
      <c r="C1569" t="inlineStr">
        <is>
          <t>2018-05</t>
        </is>
      </c>
      <c r="D1569" t="inlineStr">
        <is>
          <t>22c29808c4f815213303f8933030604c</t>
        </is>
      </c>
      <c r="E1569" t="inlineStr">
        <is>
          <t>social</t>
        </is>
      </c>
      <c r="F1569">
        <f>IFERROR(MATCH(A1569,Deals!$A$2:$A$843,0),"")</f>
        <v/>
      </c>
      <c r="G1569">
        <f>IF(F1569="",0,1)</f>
        <v/>
      </c>
      <c r="H1569" s="29">
        <f>IF(F1569="","",INDEX(Deals!$E$2:$E$843,F1569))</f>
        <v/>
      </c>
      <c r="I1569">
        <f>IF(F1569="","",INDEX(Deals!$D$2:$D$843,F1569))</f>
        <v/>
      </c>
      <c r="J1569">
        <f>IF(F1569="","",INT(H1569)-B1569)</f>
        <v/>
      </c>
      <c r="K1569">
        <f>IF(B1569&gt;=Settings!$C$5,1,0)</f>
        <v/>
      </c>
    </row>
    <row r="1570">
      <c r="A1570" t="inlineStr">
        <is>
          <t>78fae49d26eda3e6a828cb07e659acad</t>
        </is>
      </c>
      <c r="B1570" s="29" t="n">
        <v>43014</v>
      </c>
      <c r="C1570" t="inlineStr">
        <is>
          <t>2017-10</t>
        </is>
      </c>
      <c r="D1570" t="inlineStr">
        <is>
          <t>007f9098284a86ee80ddeb25d53e0af8</t>
        </is>
      </c>
      <c r="E1570" t="inlineStr">
        <is>
          <t>organic_search</t>
        </is>
      </c>
      <c r="F1570">
        <f>IFERROR(MATCH(A1570,Deals!$A$2:$A$843,0),"")</f>
        <v/>
      </c>
      <c r="G1570">
        <f>IF(F1570="",0,1)</f>
        <v/>
      </c>
      <c r="H1570" s="29">
        <f>IF(F1570="","",INDEX(Deals!$E$2:$E$843,F1570))</f>
        <v/>
      </c>
      <c r="I1570">
        <f>IF(F1570="","",INDEX(Deals!$D$2:$D$843,F1570))</f>
        <v/>
      </c>
      <c r="J1570">
        <f>IF(F1570="","",INT(H1570)-B1570)</f>
        <v/>
      </c>
      <c r="K1570">
        <f>IF(B1570&gt;=Settings!$C$5,1,0)</f>
        <v/>
      </c>
    </row>
    <row r="1571">
      <c r="A1571" t="inlineStr">
        <is>
          <t>cecc9ca84be1d2cd9c5e88f159af74e7</t>
        </is>
      </c>
      <c r="B1571" s="29" t="n">
        <v>43193</v>
      </c>
      <c r="C1571" t="inlineStr">
        <is>
          <t>2018-04</t>
        </is>
      </c>
      <c r="D1571" t="inlineStr">
        <is>
          <t>ea0650174e273c41e12002dcdd4708be</t>
        </is>
      </c>
      <c r="E1571" t="inlineStr">
        <is>
          <t>organic_search</t>
        </is>
      </c>
      <c r="F1571">
        <f>IFERROR(MATCH(A1571,Deals!$A$2:$A$843,0),"")</f>
        <v/>
      </c>
      <c r="G1571">
        <f>IF(F1571="",0,1)</f>
        <v/>
      </c>
      <c r="H1571" s="29">
        <f>IF(F1571="","",INDEX(Deals!$E$2:$E$843,F1571))</f>
        <v/>
      </c>
      <c r="I1571">
        <f>IF(F1571="","",INDEX(Deals!$D$2:$D$843,F1571))</f>
        <v/>
      </c>
      <c r="J1571">
        <f>IF(F1571="","",INT(H1571)-B1571)</f>
        <v/>
      </c>
      <c r="K1571">
        <f>IF(B1571&gt;=Settings!$C$5,1,0)</f>
        <v/>
      </c>
    </row>
    <row r="1572">
      <c r="A1572" t="inlineStr">
        <is>
          <t>04664cdba0fe8f389665e7d94cd40a49</t>
        </is>
      </c>
      <c r="B1572" s="29" t="n">
        <v>43108</v>
      </c>
      <c r="C1572" t="inlineStr">
        <is>
          <t>2018-01</t>
        </is>
      </c>
      <c r="D1572" t="inlineStr">
        <is>
          <t>30077c17f2ec5010a82e37ad8925b95f</t>
        </is>
      </c>
      <c r="E1572" t="inlineStr">
        <is>
          <t>organic_search</t>
        </is>
      </c>
      <c r="F1572">
        <f>IFERROR(MATCH(A1572,Deals!$A$2:$A$843,0),"")</f>
        <v/>
      </c>
      <c r="G1572">
        <f>IF(F1572="",0,1)</f>
        <v/>
      </c>
      <c r="H1572" s="29">
        <f>IF(F1572="","",INDEX(Deals!$E$2:$E$843,F1572))</f>
        <v/>
      </c>
      <c r="I1572">
        <f>IF(F1572="","",INDEX(Deals!$D$2:$D$843,F1572))</f>
        <v/>
      </c>
      <c r="J1572">
        <f>IF(F1572="","",INT(H1572)-B1572)</f>
        <v/>
      </c>
      <c r="K1572">
        <f>IF(B1572&gt;=Settings!$C$5,1,0)</f>
        <v/>
      </c>
    </row>
    <row r="1573">
      <c r="A1573" t="inlineStr">
        <is>
          <t>59b2aface30c16993c3a1d5ac9591da7</t>
        </is>
      </c>
      <c r="B1573" s="29" t="n">
        <v>43049</v>
      </c>
      <c r="C1573" t="inlineStr">
        <is>
          <t>2017-11</t>
        </is>
      </c>
      <c r="D1573" t="inlineStr">
        <is>
          <t>92bd5f77d493a36dac9bddb66d1b9dbf</t>
        </is>
      </c>
      <c r="E1573" t="inlineStr">
        <is>
          <t>social</t>
        </is>
      </c>
      <c r="F1573">
        <f>IFERROR(MATCH(A1573,Deals!$A$2:$A$843,0),"")</f>
        <v/>
      </c>
      <c r="G1573">
        <f>IF(F1573="",0,1)</f>
        <v/>
      </c>
      <c r="H1573" s="29">
        <f>IF(F1573="","",INDEX(Deals!$E$2:$E$843,F1573))</f>
        <v/>
      </c>
      <c r="I1573">
        <f>IF(F1573="","",INDEX(Deals!$D$2:$D$843,F1573))</f>
        <v/>
      </c>
      <c r="J1573">
        <f>IF(F1573="","",INT(H1573)-B1573)</f>
        <v/>
      </c>
      <c r="K1573">
        <f>IF(B1573&gt;=Settings!$C$5,1,0)</f>
        <v/>
      </c>
    </row>
    <row r="1574">
      <c r="A1574" t="inlineStr">
        <is>
          <t>967874531a7ce4884cfc0ecf081dc958</t>
        </is>
      </c>
      <c r="B1574" s="29" t="n">
        <v>43132</v>
      </c>
      <c r="C1574" t="inlineStr">
        <is>
          <t>2018-02</t>
        </is>
      </c>
      <c r="D1574" t="inlineStr">
        <is>
          <t>88740e65d5d6b056e0cda098e1ea6313</t>
        </is>
      </c>
      <c r="E1574" t="inlineStr">
        <is>
          <t>social</t>
        </is>
      </c>
      <c r="F1574">
        <f>IFERROR(MATCH(A1574,Deals!$A$2:$A$843,0),"")</f>
        <v/>
      </c>
      <c r="G1574">
        <f>IF(F1574="",0,1)</f>
        <v/>
      </c>
      <c r="H1574" s="29">
        <f>IF(F1574="","",INDEX(Deals!$E$2:$E$843,F1574))</f>
        <v/>
      </c>
      <c r="I1574">
        <f>IF(F1574="","",INDEX(Deals!$D$2:$D$843,F1574))</f>
        <v/>
      </c>
      <c r="J1574">
        <f>IF(F1574="","",INT(H1574)-B1574)</f>
        <v/>
      </c>
      <c r="K1574">
        <f>IF(B1574&gt;=Settings!$C$5,1,0)</f>
        <v/>
      </c>
    </row>
    <row r="1575">
      <c r="A1575" t="inlineStr">
        <is>
          <t>c1d5dce0983c0cdc77eb9dadd6d6206b</t>
        </is>
      </c>
      <c r="B1575" s="29" t="n">
        <v>43158</v>
      </c>
      <c r="C1575" t="inlineStr">
        <is>
          <t>2018-02</t>
        </is>
      </c>
      <c r="D1575" t="inlineStr">
        <is>
          <t>f0b4c4ef4ee243742edd86cd944574ec</t>
        </is>
      </c>
      <c r="E1575" t="inlineStr">
        <is>
          <t>organic_search</t>
        </is>
      </c>
      <c r="F1575">
        <f>IFERROR(MATCH(A1575,Deals!$A$2:$A$843,0),"")</f>
        <v/>
      </c>
      <c r="G1575">
        <f>IF(F1575="",0,1)</f>
        <v/>
      </c>
      <c r="H1575" s="29">
        <f>IF(F1575="","",INDEX(Deals!$E$2:$E$843,F1575))</f>
        <v/>
      </c>
      <c r="I1575">
        <f>IF(F1575="","",INDEX(Deals!$D$2:$D$843,F1575))</f>
        <v/>
      </c>
      <c r="J1575">
        <f>IF(F1575="","",INT(H1575)-B1575)</f>
        <v/>
      </c>
      <c r="K1575">
        <f>IF(B1575&gt;=Settings!$C$5,1,0)</f>
        <v/>
      </c>
    </row>
    <row r="1576">
      <c r="A1576" t="inlineStr">
        <is>
          <t>eea8870139b7780b13870d4299006da2</t>
        </is>
      </c>
      <c r="B1576" s="29" t="n">
        <v>43188</v>
      </c>
      <c r="C1576" t="inlineStr">
        <is>
          <t>2018-03</t>
        </is>
      </c>
      <c r="D1576" t="inlineStr">
        <is>
          <t>22c29808c4f815213303f8933030604c</t>
        </is>
      </c>
      <c r="E1576" t="inlineStr">
        <is>
          <t>organic_search</t>
        </is>
      </c>
      <c r="F1576">
        <f>IFERROR(MATCH(A1576,Deals!$A$2:$A$843,0),"")</f>
        <v/>
      </c>
      <c r="G1576">
        <f>IF(F1576="",0,1)</f>
        <v/>
      </c>
      <c r="H1576" s="29">
        <f>IF(F1576="","",INDEX(Deals!$E$2:$E$843,F1576))</f>
        <v/>
      </c>
      <c r="I1576">
        <f>IF(F1576="","",INDEX(Deals!$D$2:$D$843,F1576))</f>
        <v/>
      </c>
      <c r="J1576">
        <f>IF(F1576="","",INT(H1576)-B1576)</f>
        <v/>
      </c>
      <c r="K1576">
        <f>IF(B1576&gt;=Settings!$C$5,1,0)</f>
        <v/>
      </c>
    </row>
    <row r="1577">
      <c r="A1577" t="inlineStr">
        <is>
          <t>b500b9b586a97c5ee4763ca51494805d</t>
        </is>
      </c>
      <c r="B1577" s="29" t="n">
        <v>43215</v>
      </c>
      <c r="C1577" t="inlineStr">
        <is>
          <t>2018-04</t>
        </is>
      </c>
      <c r="D1577" t="inlineStr">
        <is>
          <t>58326e62183c14b0c03085c33b9fdc44</t>
        </is>
      </c>
      <c r="E1577" t="inlineStr">
        <is>
          <t>social</t>
        </is>
      </c>
      <c r="F1577">
        <f>IFERROR(MATCH(A1577,Deals!$A$2:$A$843,0),"")</f>
        <v/>
      </c>
      <c r="G1577">
        <f>IF(F1577="",0,1)</f>
        <v/>
      </c>
      <c r="H1577" s="29">
        <f>IF(F1577="","",INDEX(Deals!$E$2:$E$843,F1577))</f>
        <v/>
      </c>
      <c r="I1577">
        <f>IF(F1577="","",INDEX(Deals!$D$2:$D$843,F1577))</f>
        <v/>
      </c>
      <c r="J1577">
        <f>IF(F1577="","",INT(H1577)-B1577)</f>
        <v/>
      </c>
      <c r="K1577">
        <f>IF(B1577&gt;=Settings!$C$5,1,0)</f>
        <v/>
      </c>
    </row>
    <row r="1578">
      <c r="A1578" t="inlineStr">
        <is>
          <t>fedc1c02505c1330544af28c1abe2528</t>
        </is>
      </c>
      <c r="B1578" s="29" t="n">
        <v>43174</v>
      </c>
      <c r="C1578" t="inlineStr">
        <is>
          <t>2018-03</t>
        </is>
      </c>
      <c r="D1578" t="inlineStr">
        <is>
          <t>0218f6be0b76aca72ab4d00ee9e8cf10</t>
        </is>
      </c>
      <c r="E1578" t="inlineStr">
        <is>
          <t>direct_traffic</t>
        </is>
      </c>
      <c r="F1578">
        <f>IFERROR(MATCH(A1578,Deals!$A$2:$A$843,0),"")</f>
        <v/>
      </c>
      <c r="G1578">
        <f>IF(F1578="",0,1)</f>
        <v/>
      </c>
      <c r="H1578" s="29">
        <f>IF(F1578="","",INDEX(Deals!$E$2:$E$843,F1578))</f>
        <v/>
      </c>
      <c r="I1578">
        <f>IF(F1578="","",INDEX(Deals!$D$2:$D$843,F1578))</f>
        <v/>
      </c>
      <c r="J1578">
        <f>IF(F1578="","",INT(H1578)-B1578)</f>
        <v/>
      </c>
      <c r="K1578">
        <f>IF(B1578&gt;=Settings!$C$5,1,0)</f>
        <v/>
      </c>
    </row>
    <row r="1579">
      <c r="A1579" t="inlineStr">
        <is>
          <t>2ce5c4c3e3cfda2fb5c21d44b204aea8</t>
        </is>
      </c>
      <c r="B1579" s="29" t="n">
        <v>43217</v>
      </c>
      <c r="C1579" t="inlineStr">
        <is>
          <t>2018-04</t>
        </is>
      </c>
      <c r="D1579" t="inlineStr">
        <is>
          <t>f80696b73d17fb34f5c4fde157f119d8</t>
        </is>
      </c>
      <c r="E1579" t="inlineStr">
        <is>
          <t>email</t>
        </is>
      </c>
      <c r="F1579">
        <f>IFERROR(MATCH(A1579,Deals!$A$2:$A$843,0),"")</f>
        <v/>
      </c>
      <c r="G1579">
        <f>IF(F1579="",0,1)</f>
        <v/>
      </c>
      <c r="H1579" s="29">
        <f>IF(F1579="","",INDEX(Deals!$E$2:$E$843,F1579))</f>
        <v/>
      </c>
      <c r="I1579">
        <f>IF(F1579="","",INDEX(Deals!$D$2:$D$843,F1579))</f>
        <v/>
      </c>
      <c r="J1579">
        <f>IF(F1579="","",INT(H1579)-B1579)</f>
        <v/>
      </c>
      <c r="K1579">
        <f>IF(B1579&gt;=Settings!$C$5,1,0)</f>
        <v/>
      </c>
    </row>
    <row r="1580">
      <c r="A1580" t="inlineStr">
        <is>
          <t>469bb5102adac5e2e718d47cd346cb49</t>
        </is>
      </c>
      <c r="B1580" s="29" t="n">
        <v>43028</v>
      </c>
      <c r="C1580" t="inlineStr">
        <is>
          <t>2017-10</t>
        </is>
      </c>
      <c r="D1580" t="inlineStr">
        <is>
          <t>a7982125ff7aa3b2054c6e44f9d28522</t>
        </is>
      </c>
      <c r="E1580" t="inlineStr">
        <is>
          <t>organic_search</t>
        </is>
      </c>
      <c r="F1580">
        <f>IFERROR(MATCH(A1580,Deals!$A$2:$A$843,0),"")</f>
        <v/>
      </c>
      <c r="G1580">
        <f>IF(F1580="",0,1)</f>
        <v/>
      </c>
      <c r="H1580" s="29">
        <f>IF(F1580="","",INDEX(Deals!$E$2:$E$843,F1580))</f>
        <v/>
      </c>
      <c r="I1580">
        <f>IF(F1580="","",INDEX(Deals!$D$2:$D$843,F1580))</f>
        <v/>
      </c>
      <c r="J1580">
        <f>IF(F1580="","",INT(H1580)-B1580)</f>
        <v/>
      </c>
      <c r="K1580">
        <f>IF(B1580&gt;=Settings!$C$5,1,0)</f>
        <v/>
      </c>
    </row>
    <row r="1581">
      <c r="A1581" t="inlineStr">
        <is>
          <t>271a299f0893b2173e77162c5c768b89</t>
        </is>
      </c>
      <c r="B1581" s="29" t="n">
        <v>43239</v>
      </c>
      <c r="C1581" t="inlineStr">
        <is>
          <t>2018-05</t>
        </is>
      </c>
      <c r="D1581" t="inlineStr">
        <is>
          <t>1ceb590cd1e00c7ee95220971f82693d</t>
        </is>
      </c>
      <c r="E1581" t="inlineStr">
        <is>
          <t>paid_search</t>
        </is>
      </c>
      <c r="F1581">
        <f>IFERROR(MATCH(A1581,Deals!$A$2:$A$843,0),"")</f>
        <v/>
      </c>
      <c r="G1581">
        <f>IF(F1581="",0,1)</f>
        <v/>
      </c>
      <c r="H1581" s="29">
        <f>IF(F1581="","",INDEX(Deals!$E$2:$E$843,F1581))</f>
        <v/>
      </c>
      <c r="I1581">
        <f>IF(F1581="","",INDEX(Deals!$D$2:$D$843,F1581))</f>
        <v/>
      </c>
      <c r="J1581">
        <f>IF(F1581="","",INT(H1581)-B1581)</f>
        <v/>
      </c>
      <c r="K1581">
        <f>IF(B1581&gt;=Settings!$C$5,1,0)</f>
        <v/>
      </c>
    </row>
    <row r="1582">
      <c r="A1582" t="inlineStr">
        <is>
          <t>059bff08310fd05681c41964cd161908</t>
        </is>
      </c>
      <c r="B1582" s="29" t="n">
        <v>43140</v>
      </c>
      <c r="C1582" t="inlineStr">
        <is>
          <t>2018-02</t>
        </is>
      </c>
      <c r="D1582" t="inlineStr">
        <is>
          <t>f017be4dbf86243af5c1ebed0cff36a2</t>
        </is>
      </c>
      <c r="E1582" t="inlineStr">
        <is>
          <t>organic_search</t>
        </is>
      </c>
      <c r="F1582">
        <f>IFERROR(MATCH(A1582,Deals!$A$2:$A$843,0),"")</f>
        <v/>
      </c>
      <c r="G1582">
        <f>IF(F1582="",0,1)</f>
        <v/>
      </c>
      <c r="H1582" s="29">
        <f>IF(F1582="","",INDEX(Deals!$E$2:$E$843,F1582))</f>
        <v/>
      </c>
      <c r="I1582">
        <f>IF(F1582="","",INDEX(Deals!$D$2:$D$843,F1582))</f>
        <v/>
      </c>
      <c r="J1582">
        <f>IF(F1582="","",INT(H1582)-B1582)</f>
        <v/>
      </c>
      <c r="K1582">
        <f>IF(B1582&gt;=Settings!$C$5,1,0)</f>
        <v/>
      </c>
    </row>
    <row r="1583">
      <c r="A1583" t="inlineStr">
        <is>
          <t>1b061b1cec6b5898e5326992d9461610</t>
        </is>
      </c>
      <c r="B1583" s="29" t="n">
        <v>43174</v>
      </c>
      <c r="C1583" t="inlineStr">
        <is>
          <t>2018-03</t>
        </is>
      </c>
      <c r="D1583" t="inlineStr">
        <is>
          <t>22c29808c4f815213303f8933030604c</t>
        </is>
      </c>
      <c r="E1583" t="inlineStr">
        <is>
          <t>organic_search</t>
        </is>
      </c>
      <c r="F1583">
        <f>IFERROR(MATCH(A1583,Deals!$A$2:$A$843,0),"")</f>
        <v/>
      </c>
      <c r="G1583">
        <f>IF(F1583="",0,1)</f>
        <v/>
      </c>
      <c r="H1583" s="29">
        <f>IF(F1583="","",INDEX(Deals!$E$2:$E$843,F1583))</f>
        <v/>
      </c>
      <c r="I1583">
        <f>IF(F1583="","",INDEX(Deals!$D$2:$D$843,F1583))</f>
        <v/>
      </c>
      <c r="J1583">
        <f>IF(F1583="","",INT(H1583)-B1583)</f>
        <v/>
      </c>
      <c r="K1583">
        <f>IF(B1583&gt;=Settings!$C$5,1,0)</f>
        <v/>
      </c>
    </row>
    <row r="1584">
      <c r="A1584" t="inlineStr">
        <is>
          <t>c028b7dd285d13e19ff7a4cabf8bf700</t>
        </is>
      </c>
      <c r="B1584" s="29" t="n">
        <v>43133</v>
      </c>
      <c r="C1584" t="inlineStr">
        <is>
          <t>2018-02</t>
        </is>
      </c>
      <c r="D1584" t="inlineStr">
        <is>
          <t>d83b0d0e48c8447d1d5507a44027a955</t>
        </is>
      </c>
      <c r="E1584" t="inlineStr">
        <is>
          <t>unknown</t>
        </is>
      </c>
      <c r="F1584">
        <f>IFERROR(MATCH(A1584,Deals!$A$2:$A$843,0),"")</f>
        <v/>
      </c>
      <c r="G1584">
        <f>IF(F1584="",0,1)</f>
        <v/>
      </c>
      <c r="H1584" s="29">
        <f>IF(F1584="","",INDEX(Deals!$E$2:$E$843,F1584))</f>
        <v/>
      </c>
      <c r="I1584">
        <f>IF(F1584="","",INDEX(Deals!$D$2:$D$843,F1584))</f>
        <v/>
      </c>
      <c r="J1584">
        <f>IF(F1584="","",INT(H1584)-B1584)</f>
        <v/>
      </c>
      <c r="K1584">
        <f>IF(B1584&gt;=Settings!$C$5,1,0)</f>
        <v/>
      </c>
    </row>
    <row r="1585">
      <c r="A1585" t="inlineStr">
        <is>
          <t>5e3a41375149e55c2f2c663673b2c88e</t>
        </is>
      </c>
      <c r="B1585" s="29" t="n">
        <v>43116</v>
      </c>
      <c r="C1585" t="inlineStr">
        <is>
          <t>2018-01</t>
        </is>
      </c>
      <c r="D1585" t="inlineStr">
        <is>
          <t>eb35a69ff6fd56c8ac8cd0a3fb695de5</t>
        </is>
      </c>
      <c r="E1585" t="inlineStr">
        <is>
          <t>paid_search</t>
        </is>
      </c>
      <c r="F1585">
        <f>IFERROR(MATCH(A1585,Deals!$A$2:$A$843,0),"")</f>
        <v/>
      </c>
      <c r="G1585">
        <f>IF(F1585="",0,1)</f>
        <v/>
      </c>
      <c r="H1585" s="29">
        <f>IF(F1585="","",INDEX(Deals!$E$2:$E$843,F1585))</f>
        <v/>
      </c>
      <c r="I1585">
        <f>IF(F1585="","",INDEX(Deals!$D$2:$D$843,F1585))</f>
        <v/>
      </c>
      <c r="J1585">
        <f>IF(F1585="","",INT(H1585)-B1585)</f>
        <v/>
      </c>
      <c r="K1585">
        <f>IF(B1585&gt;=Settings!$C$5,1,0)</f>
        <v/>
      </c>
    </row>
    <row r="1586">
      <c r="A1586" t="inlineStr">
        <is>
          <t>311ce497f79478c471790cb0067b2863</t>
        </is>
      </c>
      <c r="B1586" s="29" t="n">
        <v>42957</v>
      </c>
      <c r="C1586" t="inlineStr">
        <is>
          <t>2017-08</t>
        </is>
      </c>
      <c r="D1586" t="inlineStr">
        <is>
          <t>c555aa36478386fdf85a2d0ca5cd0ff8</t>
        </is>
      </c>
      <c r="E1586" t="inlineStr">
        <is>
          <t>unknown</t>
        </is>
      </c>
      <c r="F1586">
        <f>IFERROR(MATCH(A1586,Deals!$A$2:$A$843,0),"")</f>
        <v/>
      </c>
      <c r="G1586">
        <f>IF(F1586="",0,1)</f>
        <v/>
      </c>
      <c r="H1586" s="29">
        <f>IF(F1586="","",INDEX(Deals!$E$2:$E$843,F1586))</f>
        <v/>
      </c>
      <c r="I1586">
        <f>IF(F1586="","",INDEX(Deals!$D$2:$D$843,F1586))</f>
        <v/>
      </c>
      <c r="J1586">
        <f>IF(F1586="","",INT(H1586)-B1586)</f>
        <v/>
      </c>
      <c r="K1586">
        <f>IF(B1586&gt;=Settings!$C$5,1,0)</f>
        <v/>
      </c>
    </row>
    <row r="1587">
      <c r="A1587" t="inlineStr">
        <is>
          <t>acf5f6c0f191807cf4e35ca95fd9a486</t>
        </is>
      </c>
      <c r="B1587" s="29" t="n">
        <v>43059</v>
      </c>
      <c r="C1587" t="inlineStr">
        <is>
          <t>2017-11</t>
        </is>
      </c>
      <c r="D1587" t="inlineStr">
        <is>
          <t>1d4ddc25ccaa2adeded340b6eda66182</t>
        </is>
      </c>
      <c r="E1587" t="inlineStr">
        <is>
          <t>organic_search</t>
        </is>
      </c>
      <c r="F1587">
        <f>IFERROR(MATCH(A1587,Deals!$A$2:$A$843,0),"")</f>
        <v/>
      </c>
      <c r="G1587">
        <f>IF(F1587="",0,1)</f>
        <v/>
      </c>
      <c r="H1587" s="29">
        <f>IF(F1587="","",INDEX(Deals!$E$2:$E$843,F1587))</f>
        <v/>
      </c>
      <c r="I1587">
        <f>IF(F1587="","",INDEX(Deals!$D$2:$D$843,F1587))</f>
        <v/>
      </c>
      <c r="J1587">
        <f>IF(F1587="","",INT(H1587)-B1587)</f>
        <v/>
      </c>
      <c r="K1587">
        <f>IF(B1587&gt;=Settings!$C$5,1,0)</f>
        <v/>
      </c>
    </row>
    <row r="1588">
      <c r="A1588" t="inlineStr">
        <is>
          <t>5800ccd9514fd789d08e5831951aa6bc</t>
        </is>
      </c>
      <c r="B1588" s="29" t="n">
        <v>43047</v>
      </c>
      <c r="C1588" t="inlineStr">
        <is>
          <t>2017-11</t>
        </is>
      </c>
      <c r="D1588" t="inlineStr">
        <is>
          <t>88740e65d5d6b056e0cda098e1ea6313</t>
        </is>
      </c>
      <c r="E1588" t="inlineStr">
        <is>
          <t>social</t>
        </is>
      </c>
      <c r="F1588">
        <f>IFERROR(MATCH(A1588,Deals!$A$2:$A$843,0),"")</f>
        <v/>
      </c>
      <c r="G1588">
        <f>IF(F1588="",0,1)</f>
        <v/>
      </c>
      <c r="H1588" s="29">
        <f>IF(F1588="","",INDEX(Deals!$E$2:$E$843,F1588))</f>
        <v/>
      </c>
      <c r="I1588">
        <f>IF(F1588="","",INDEX(Deals!$D$2:$D$843,F1588))</f>
        <v/>
      </c>
      <c r="J1588">
        <f>IF(F1588="","",INT(H1588)-B1588)</f>
        <v/>
      </c>
      <c r="K1588">
        <f>IF(B1588&gt;=Settings!$C$5,1,0)</f>
        <v/>
      </c>
    </row>
    <row r="1589">
      <c r="A1589" t="inlineStr">
        <is>
          <t>66eb81a2a1c2e634f6e2993408674fce</t>
        </is>
      </c>
      <c r="B1589" s="29" t="n">
        <v>43147</v>
      </c>
      <c r="C1589" t="inlineStr">
        <is>
          <t>2018-02</t>
        </is>
      </c>
      <c r="D1589" t="inlineStr">
        <is>
          <t>36120633c8737035fbabf079082f4ec1</t>
        </is>
      </c>
      <c r="E1589" t="inlineStr">
        <is>
          <t>email</t>
        </is>
      </c>
      <c r="F1589">
        <f>IFERROR(MATCH(A1589,Deals!$A$2:$A$843,0),"")</f>
        <v/>
      </c>
      <c r="G1589">
        <f>IF(F1589="",0,1)</f>
        <v/>
      </c>
      <c r="H1589" s="29">
        <f>IF(F1589="","",INDEX(Deals!$E$2:$E$843,F1589))</f>
        <v/>
      </c>
      <c r="I1589">
        <f>IF(F1589="","",INDEX(Deals!$D$2:$D$843,F1589))</f>
        <v/>
      </c>
      <c r="J1589">
        <f>IF(F1589="","",INT(H1589)-B1589)</f>
        <v/>
      </c>
      <c r="K1589">
        <f>IF(B1589&gt;=Settings!$C$5,1,0)</f>
        <v/>
      </c>
    </row>
    <row r="1590">
      <c r="A1590" t="inlineStr">
        <is>
          <t>1ec50ed5e408db09c21f88566223c2b9</t>
        </is>
      </c>
      <c r="B1590" s="29" t="n">
        <v>43169</v>
      </c>
      <c r="C1590" t="inlineStr">
        <is>
          <t>2018-03</t>
        </is>
      </c>
      <c r="D1590" t="inlineStr">
        <is>
          <t>4aab772aeb9833c170d8ea5413e02eac</t>
        </is>
      </c>
      <c r="E1590" t="inlineStr">
        <is>
          <t>paid_search</t>
        </is>
      </c>
      <c r="F1590">
        <f>IFERROR(MATCH(A1590,Deals!$A$2:$A$843,0),"")</f>
        <v/>
      </c>
      <c r="G1590">
        <f>IF(F1590="",0,1)</f>
        <v/>
      </c>
      <c r="H1590" s="29">
        <f>IF(F1590="","",INDEX(Deals!$E$2:$E$843,F1590))</f>
        <v/>
      </c>
      <c r="I1590">
        <f>IF(F1590="","",INDEX(Deals!$D$2:$D$843,F1590))</f>
        <v/>
      </c>
      <c r="J1590">
        <f>IF(F1590="","",INT(H1590)-B1590)</f>
        <v/>
      </c>
      <c r="K1590">
        <f>IF(B1590&gt;=Settings!$C$5,1,0)</f>
        <v/>
      </c>
    </row>
    <row r="1591">
      <c r="A1591" t="inlineStr">
        <is>
          <t>c31de872e4b768853e4180258bb2ab00</t>
        </is>
      </c>
      <c r="B1591" s="29" t="n">
        <v>43132</v>
      </c>
      <c r="C1591" t="inlineStr">
        <is>
          <t>2018-02</t>
        </is>
      </c>
      <c r="D1591" t="inlineStr">
        <is>
          <t>f017be4dbf86243af5c1ebed0cff36a2</t>
        </is>
      </c>
      <c r="E1591" t="inlineStr">
        <is>
          <t>organic_search</t>
        </is>
      </c>
      <c r="F1591">
        <f>IFERROR(MATCH(A1591,Deals!$A$2:$A$843,0),"")</f>
        <v/>
      </c>
      <c r="G1591">
        <f>IF(F1591="",0,1)</f>
        <v/>
      </c>
      <c r="H1591" s="29">
        <f>IF(F1591="","",INDEX(Deals!$E$2:$E$843,F1591))</f>
        <v/>
      </c>
      <c r="I1591">
        <f>IF(F1591="","",INDEX(Deals!$D$2:$D$843,F1591))</f>
        <v/>
      </c>
      <c r="J1591">
        <f>IF(F1591="","",INT(H1591)-B1591)</f>
        <v/>
      </c>
      <c r="K1591">
        <f>IF(B1591&gt;=Settings!$C$5,1,0)</f>
        <v/>
      </c>
    </row>
    <row r="1592">
      <c r="A1592" t="inlineStr">
        <is>
          <t>5f798f5a3adcaeeca1ece15e954ae46f</t>
        </is>
      </c>
      <c r="B1592" s="29" t="n">
        <v>43230</v>
      </c>
      <c r="C1592" t="inlineStr">
        <is>
          <t>2018-05</t>
        </is>
      </c>
      <c r="D1592" t="inlineStr">
        <is>
          <t>8ff57dffc365fcb5233232fff6e6bfd0</t>
        </is>
      </c>
      <c r="E1592" t="inlineStr">
        <is>
          <t>organic_search</t>
        </is>
      </c>
      <c r="F1592">
        <f>IFERROR(MATCH(A1592,Deals!$A$2:$A$843,0),"")</f>
        <v/>
      </c>
      <c r="G1592">
        <f>IF(F1592="",0,1)</f>
        <v/>
      </c>
      <c r="H1592" s="29">
        <f>IF(F1592="","",INDEX(Deals!$E$2:$E$843,F1592))</f>
        <v/>
      </c>
      <c r="I1592">
        <f>IF(F1592="","",INDEX(Deals!$D$2:$D$843,F1592))</f>
        <v/>
      </c>
      <c r="J1592">
        <f>IF(F1592="","",INT(H1592)-B1592)</f>
        <v/>
      </c>
      <c r="K1592">
        <f>IF(B1592&gt;=Settings!$C$5,1,0)</f>
        <v/>
      </c>
    </row>
    <row r="1593">
      <c r="A1593" t="inlineStr">
        <is>
          <t>857763881cf6ef15c272415206e10282</t>
        </is>
      </c>
      <c r="B1593" s="29" t="n">
        <v>43124</v>
      </c>
      <c r="C1593" t="inlineStr">
        <is>
          <t>2018-01</t>
        </is>
      </c>
      <c r="D1593" t="inlineStr">
        <is>
          <t>22c29808c4f815213303f8933030604c</t>
        </is>
      </c>
      <c r="E1593" t="inlineStr">
        <is>
          <t>direct_traffic</t>
        </is>
      </c>
      <c r="F1593">
        <f>IFERROR(MATCH(A1593,Deals!$A$2:$A$843,0),"")</f>
        <v/>
      </c>
      <c r="G1593">
        <f>IF(F1593="",0,1)</f>
        <v/>
      </c>
      <c r="H1593" s="29">
        <f>IF(F1593="","",INDEX(Deals!$E$2:$E$843,F1593))</f>
        <v/>
      </c>
      <c r="I1593">
        <f>IF(F1593="","",INDEX(Deals!$D$2:$D$843,F1593))</f>
        <v/>
      </c>
      <c r="J1593">
        <f>IF(F1593="","",INT(H1593)-B1593)</f>
        <v/>
      </c>
      <c r="K1593">
        <f>IF(B1593&gt;=Settings!$C$5,1,0)</f>
        <v/>
      </c>
    </row>
    <row r="1594">
      <c r="A1594" t="inlineStr">
        <is>
          <t>7b6461c83180bfed72e2c74061557552</t>
        </is>
      </c>
      <c r="B1594" s="29" t="n">
        <v>43145</v>
      </c>
      <c r="C1594" t="inlineStr">
        <is>
          <t>2018-02</t>
        </is>
      </c>
      <c r="D1594" t="inlineStr">
        <is>
          <t>d83b0d0e48c8447d1d5507a44027a955</t>
        </is>
      </c>
      <c r="E1594" t="inlineStr">
        <is>
          <t>organic_search</t>
        </is>
      </c>
      <c r="F1594">
        <f>IFERROR(MATCH(A1594,Deals!$A$2:$A$843,0),"")</f>
        <v/>
      </c>
      <c r="G1594">
        <f>IF(F1594="",0,1)</f>
        <v/>
      </c>
      <c r="H1594" s="29">
        <f>IF(F1594="","",INDEX(Deals!$E$2:$E$843,F1594))</f>
        <v/>
      </c>
      <c r="I1594">
        <f>IF(F1594="","",INDEX(Deals!$D$2:$D$843,F1594))</f>
        <v/>
      </c>
      <c r="J1594">
        <f>IF(F1594="","",INT(H1594)-B1594)</f>
        <v/>
      </c>
      <c r="K1594">
        <f>IF(B1594&gt;=Settings!$C$5,1,0)</f>
        <v/>
      </c>
    </row>
    <row r="1595">
      <c r="A1595" t="inlineStr">
        <is>
          <t>0ff84d0013aa5a6291df86b46f1aac5a</t>
        </is>
      </c>
      <c r="B1595" s="29" t="n">
        <v>43149</v>
      </c>
      <c r="C1595" t="inlineStr">
        <is>
          <t>2018-02</t>
        </is>
      </c>
      <c r="D1595" t="inlineStr">
        <is>
          <t>0b37d43dbde6452cdd94c17bf61a88e4</t>
        </is>
      </c>
      <c r="E1595" t="inlineStr">
        <is>
          <t>organic_search</t>
        </is>
      </c>
      <c r="F1595">
        <f>IFERROR(MATCH(A1595,Deals!$A$2:$A$843,0),"")</f>
        <v/>
      </c>
      <c r="G1595">
        <f>IF(F1595="",0,1)</f>
        <v/>
      </c>
      <c r="H1595" s="29">
        <f>IF(F1595="","",INDEX(Deals!$E$2:$E$843,F1595))</f>
        <v/>
      </c>
      <c r="I1595">
        <f>IF(F1595="","",INDEX(Deals!$D$2:$D$843,F1595))</f>
        <v/>
      </c>
      <c r="J1595">
        <f>IF(F1595="","",INT(H1595)-B1595)</f>
        <v/>
      </c>
      <c r="K1595">
        <f>IF(B1595&gt;=Settings!$C$5,1,0)</f>
        <v/>
      </c>
    </row>
    <row r="1596">
      <c r="A1596" t="inlineStr">
        <is>
          <t>98270faebd9bd3d571e15575953a0e79</t>
        </is>
      </c>
      <c r="B1596" s="29" t="n">
        <v>43154</v>
      </c>
      <c r="C1596" t="inlineStr">
        <is>
          <t>2018-02</t>
        </is>
      </c>
      <c r="D1596" t="inlineStr">
        <is>
          <t>e492ee5eaf1697716985cc6f33f9cd9b</t>
        </is>
      </c>
      <c r="E1596" t="inlineStr">
        <is>
          <t>paid_search</t>
        </is>
      </c>
      <c r="F1596">
        <f>IFERROR(MATCH(A1596,Deals!$A$2:$A$843,0),"")</f>
        <v/>
      </c>
      <c r="G1596">
        <f>IF(F1596="",0,1)</f>
        <v/>
      </c>
      <c r="H1596" s="29">
        <f>IF(F1596="","",INDEX(Deals!$E$2:$E$843,F1596))</f>
        <v/>
      </c>
      <c r="I1596">
        <f>IF(F1596="","",INDEX(Deals!$D$2:$D$843,F1596))</f>
        <v/>
      </c>
      <c r="J1596">
        <f>IF(F1596="","",INT(H1596)-B1596)</f>
        <v/>
      </c>
      <c r="K1596">
        <f>IF(B1596&gt;=Settings!$C$5,1,0)</f>
        <v/>
      </c>
    </row>
    <row r="1597">
      <c r="A1597" t="inlineStr">
        <is>
          <t>5aa280f5c0342b720a72b71d3b2a0cc9</t>
        </is>
      </c>
      <c r="B1597" s="29" t="n">
        <v>43211</v>
      </c>
      <c r="C1597" t="inlineStr">
        <is>
          <t>2018-04</t>
        </is>
      </c>
      <c r="D1597" t="inlineStr">
        <is>
          <t>58326e62183c14b0c03085c33b9fdc44</t>
        </is>
      </c>
      <c r="E1597" t="inlineStr">
        <is>
          <t>social</t>
        </is>
      </c>
      <c r="F1597">
        <f>IFERROR(MATCH(A1597,Deals!$A$2:$A$843,0),"")</f>
        <v/>
      </c>
      <c r="G1597">
        <f>IF(F1597="",0,1)</f>
        <v/>
      </c>
      <c r="H1597" s="29">
        <f>IF(F1597="","",INDEX(Deals!$E$2:$E$843,F1597))</f>
        <v/>
      </c>
      <c r="I1597">
        <f>IF(F1597="","",INDEX(Deals!$D$2:$D$843,F1597))</f>
        <v/>
      </c>
      <c r="J1597">
        <f>IF(F1597="","",INT(H1597)-B1597)</f>
        <v/>
      </c>
      <c r="K1597">
        <f>IF(B1597&gt;=Settings!$C$5,1,0)</f>
        <v/>
      </c>
    </row>
    <row r="1598">
      <c r="A1598" t="inlineStr">
        <is>
          <t>02fd6cf9553be2d58efe687b857830f6</t>
        </is>
      </c>
      <c r="B1598" s="29" t="n">
        <v>43130</v>
      </c>
      <c r="C1598" t="inlineStr">
        <is>
          <t>2018-01</t>
        </is>
      </c>
      <c r="D1598" t="inlineStr">
        <is>
          <t>c70eb6fb5bd6e939b0d5ef32f21f61e8</t>
        </is>
      </c>
      <c r="E1598" t="inlineStr">
        <is>
          <t>direct_traffic</t>
        </is>
      </c>
      <c r="F1598">
        <f>IFERROR(MATCH(A1598,Deals!$A$2:$A$843,0),"")</f>
        <v/>
      </c>
      <c r="G1598">
        <f>IF(F1598="",0,1)</f>
        <v/>
      </c>
      <c r="H1598" s="29">
        <f>IF(F1598="","",INDEX(Deals!$E$2:$E$843,F1598))</f>
        <v/>
      </c>
      <c r="I1598">
        <f>IF(F1598="","",INDEX(Deals!$D$2:$D$843,F1598))</f>
        <v/>
      </c>
      <c r="J1598">
        <f>IF(F1598="","",INT(H1598)-B1598)</f>
        <v/>
      </c>
      <c r="K1598">
        <f>IF(B1598&gt;=Settings!$C$5,1,0)</f>
        <v/>
      </c>
    </row>
    <row r="1599">
      <c r="A1599" t="inlineStr">
        <is>
          <t>90513943523077ad07582e989457ccec</t>
        </is>
      </c>
      <c r="B1599" s="29" t="n">
        <v>43230</v>
      </c>
      <c r="C1599" t="inlineStr">
        <is>
          <t>2018-05</t>
        </is>
      </c>
      <c r="D1599" t="inlineStr">
        <is>
          <t>22c29808c4f815213303f8933030604c</t>
        </is>
      </c>
      <c r="E1599" t="inlineStr">
        <is>
          <t>organic_search</t>
        </is>
      </c>
      <c r="F1599">
        <f>IFERROR(MATCH(A1599,Deals!$A$2:$A$843,0),"")</f>
        <v/>
      </c>
      <c r="G1599">
        <f>IF(F1599="",0,1)</f>
        <v/>
      </c>
      <c r="H1599" s="29">
        <f>IF(F1599="","",INDEX(Deals!$E$2:$E$843,F1599))</f>
        <v/>
      </c>
      <c r="I1599">
        <f>IF(F1599="","",INDEX(Deals!$D$2:$D$843,F1599))</f>
        <v/>
      </c>
      <c r="J1599">
        <f>IF(F1599="","",INT(H1599)-B1599)</f>
        <v/>
      </c>
      <c r="K1599">
        <f>IF(B1599&gt;=Settings!$C$5,1,0)</f>
        <v/>
      </c>
    </row>
    <row r="1600">
      <c r="A1600" t="inlineStr">
        <is>
          <t>becc9d7ac4cd63d3d57054f3e04c9709</t>
        </is>
      </c>
      <c r="B1600" s="29" t="n">
        <v>43249</v>
      </c>
      <c r="C1600" t="inlineStr">
        <is>
          <t>2018-05</t>
        </is>
      </c>
      <c r="D1600" t="inlineStr">
        <is>
          <t>b76ef37428e6799c421989521c0e5077</t>
        </is>
      </c>
      <c r="E1600" t="inlineStr">
        <is>
          <t>unknown</t>
        </is>
      </c>
      <c r="F1600">
        <f>IFERROR(MATCH(A1600,Deals!$A$2:$A$843,0),"")</f>
        <v/>
      </c>
      <c r="G1600">
        <f>IF(F1600="",0,1)</f>
        <v/>
      </c>
      <c r="H1600" s="29">
        <f>IF(F1600="","",INDEX(Deals!$E$2:$E$843,F1600))</f>
        <v/>
      </c>
      <c r="I1600">
        <f>IF(F1600="","",INDEX(Deals!$D$2:$D$843,F1600))</f>
        <v/>
      </c>
      <c r="J1600">
        <f>IF(F1600="","",INT(H1600)-B1600)</f>
        <v/>
      </c>
      <c r="K1600">
        <f>IF(B1600&gt;=Settings!$C$5,1,0)</f>
        <v/>
      </c>
    </row>
    <row r="1601">
      <c r="A1601" t="inlineStr">
        <is>
          <t>31e1e2efdea2be5836a56b04931926f6</t>
        </is>
      </c>
      <c r="B1601" s="29" t="n">
        <v>43136</v>
      </c>
      <c r="C1601" t="inlineStr">
        <is>
          <t>2018-02</t>
        </is>
      </c>
      <c r="D1601" t="inlineStr">
        <is>
          <t>a7982125ff7aa3b2054c6e44f9d28522</t>
        </is>
      </c>
      <c r="E1601" t="inlineStr">
        <is>
          <t>organic_search</t>
        </is>
      </c>
      <c r="F1601">
        <f>IFERROR(MATCH(A1601,Deals!$A$2:$A$843,0),"")</f>
        <v/>
      </c>
      <c r="G1601">
        <f>IF(F1601="",0,1)</f>
        <v/>
      </c>
      <c r="H1601" s="29">
        <f>IF(F1601="","",INDEX(Deals!$E$2:$E$843,F1601))</f>
        <v/>
      </c>
      <c r="I1601">
        <f>IF(F1601="","",INDEX(Deals!$D$2:$D$843,F1601))</f>
        <v/>
      </c>
      <c r="J1601">
        <f>IF(F1601="","",INT(H1601)-B1601)</f>
        <v/>
      </c>
      <c r="K1601">
        <f>IF(B1601&gt;=Settings!$C$5,1,0)</f>
        <v/>
      </c>
    </row>
    <row r="1602">
      <c r="A1602" t="inlineStr">
        <is>
          <t>de1cd6d1094c686156efe93498c656fd</t>
        </is>
      </c>
      <c r="B1602" s="29" t="n">
        <v>43199</v>
      </c>
      <c r="C1602" t="inlineStr">
        <is>
          <t>2018-04</t>
        </is>
      </c>
      <c r="D1602" t="inlineStr">
        <is>
          <t>1694e838dffa97f640fcfa35e86e438e</t>
        </is>
      </c>
      <c r="E1602" t="inlineStr">
        <is>
          <t>referral</t>
        </is>
      </c>
      <c r="F1602">
        <f>IFERROR(MATCH(A1602,Deals!$A$2:$A$843,0),"")</f>
        <v/>
      </c>
      <c r="G1602">
        <f>IF(F1602="",0,1)</f>
        <v/>
      </c>
      <c r="H1602" s="29">
        <f>IF(F1602="","",INDEX(Deals!$E$2:$E$843,F1602))</f>
        <v/>
      </c>
      <c r="I1602">
        <f>IF(F1602="","",INDEX(Deals!$D$2:$D$843,F1602))</f>
        <v/>
      </c>
      <c r="J1602">
        <f>IF(F1602="","",INT(H1602)-B1602)</f>
        <v/>
      </c>
      <c r="K1602">
        <f>IF(B1602&gt;=Settings!$C$5,1,0)</f>
        <v/>
      </c>
    </row>
    <row r="1603">
      <c r="A1603" t="inlineStr">
        <is>
          <t>dc0c11952bfc275612cbc3986021684f</t>
        </is>
      </c>
      <c r="B1603" s="29" t="n">
        <v>43125</v>
      </c>
      <c r="C1603" t="inlineStr">
        <is>
          <t>2018-01</t>
        </is>
      </c>
      <c r="D1603" t="inlineStr">
        <is>
          <t>22c29808c4f815213303f8933030604c</t>
        </is>
      </c>
      <c r="E1603" t="inlineStr">
        <is>
          <t>organic_search</t>
        </is>
      </c>
      <c r="F1603">
        <f>IFERROR(MATCH(A1603,Deals!$A$2:$A$843,0),"")</f>
        <v/>
      </c>
      <c r="G1603">
        <f>IF(F1603="",0,1)</f>
        <v/>
      </c>
      <c r="H1603" s="29">
        <f>IF(F1603="","",INDEX(Deals!$E$2:$E$843,F1603))</f>
        <v/>
      </c>
      <c r="I1603">
        <f>IF(F1603="","",INDEX(Deals!$D$2:$D$843,F1603))</f>
        <v/>
      </c>
      <c r="J1603">
        <f>IF(F1603="","",INT(H1603)-B1603)</f>
        <v/>
      </c>
      <c r="K1603">
        <f>IF(B1603&gt;=Settings!$C$5,1,0)</f>
        <v/>
      </c>
    </row>
    <row r="1604">
      <c r="A1604" t="inlineStr">
        <is>
          <t>080cc5a4ec71a747e260e274bdb13b64</t>
        </is>
      </c>
      <c r="B1604" s="29" t="n">
        <v>43187</v>
      </c>
      <c r="C1604" t="inlineStr">
        <is>
          <t>2018-03</t>
        </is>
      </c>
      <c r="D1604" t="inlineStr">
        <is>
          <t>22c29808c4f815213303f8933030604c</t>
        </is>
      </c>
      <c r="E1604" t="inlineStr">
        <is>
          <t>paid_search</t>
        </is>
      </c>
      <c r="F1604">
        <f>IFERROR(MATCH(A1604,Deals!$A$2:$A$843,0),"")</f>
        <v/>
      </c>
      <c r="G1604">
        <f>IF(F1604="",0,1)</f>
        <v/>
      </c>
      <c r="H1604" s="29">
        <f>IF(F1604="","",INDEX(Deals!$E$2:$E$843,F1604))</f>
        <v/>
      </c>
      <c r="I1604">
        <f>IF(F1604="","",INDEX(Deals!$D$2:$D$843,F1604))</f>
        <v/>
      </c>
      <c r="J1604">
        <f>IF(F1604="","",INT(H1604)-B1604)</f>
        <v/>
      </c>
      <c r="K1604">
        <f>IF(B1604&gt;=Settings!$C$5,1,0)</f>
        <v/>
      </c>
    </row>
    <row r="1605">
      <c r="A1605" t="inlineStr">
        <is>
          <t>b9bcce4dd3e4920a3751e76bcc6de5aa</t>
        </is>
      </c>
      <c r="B1605" s="29" t="n">
        <v>43248</v>
      </c>
      <c r="C1605" t="inlineStr">
        <is>
          <t>2018-05</t>
        </is>
      </c>
      <c r="D1605" t="inlineStr">
        <is>
          <t>b76ef37428e6799c421989521c0e5077</t>
        </is>
      </c>
      <c r="E1605" t="inlineStr">
        <is>
          <t>unknown</t>
        </is>
      </c>
      <c r="F1605">
        <f>IFERROR(MATCH(A1605,Deals!$A$2:$A$843,0),"")</f>
        <v/>
      </c>
      <c r="G1605">
        <f>IF(F1605="",0,1)</f>
        <v/>
      </c>
      <c r="H1605" s="29">
        <f>IF(F1605="","",INDEX(Deals!$E$2:$E$843,F1605))</f>
        <v/>
      </c>
      <c r="I1605">
        <f>IF(F1605="","",INDEX(Deals!$D$2:$D$843,F1605))</f>
        <v/>
      </c>
      <c r="J1605">
        <f>IF(F1605="","",INT(H1605)-B1605)</f>
        <v/>
      </c>
      <c r="K1605">
        <f>IF(B1605&gt;=Settings!$C$5,1,0)</f>
        <v/>
      </c>
    </row>
    <row r="1606">
      <c r="A1606" t="inlineStr">
        <is>
          <t>ef93113daf64285642a85fb159236e59</t>
        </is>
      </c>
      <c r="B1606" s="29" t="n">
        <v>43108</v>
      </c>
      <c r="C1606" t="inlineStr">
        <is>
          <t>2018-01</t>
        </is>
      </c>
      <c r="D1606" t="inlineStr">
        <is>
          <t>657e28a0f2bb6ac7755d08066847dae1</t>
        </is>
      </c>
      <c r="E1606" t="inlineStr">
        <is>
          <t>other</t>
        </is>
      </c>
      <c r="F1606">
        <f>IFERROR(MATCH(A1606,Deals!$A$2:$A$843,0),"")</f>
        <v/>
      </c>
      <c r="G1606">
        <f>IF(F1606="",0,1)</f>
        <v/>
      </c>
      <c r="H1606" s="29">
        <f>IF(F1606="","",INDEX(Deals!$E$2:$E$843,F1606))</f>
        <v/>
      </c>
      <c r="I1606">
        <f>IF(F1606="","",INDEX(Deals!$D$2:$D$843,F1606))</f>
        <v/>
      </c>
      <c r="J1606">
        <f>IF(F1606="","",INT(H1606)-B1606)</f>
        <v/>
      </c>
      <c r="K1606">
        <f>IF(B1606&gt;=Settings!$C$5,1,0)</f>
        <v/>
      </c>
    </row>
    <row r="1607">
      <c r="A1607" t="inlineStr">
        <is>
          <t>28f960d096e8e646d3100bc759d4c24c</t>
        </is>
      </c>
      <c r="B1607" s="29" t="n">
        <v>43125</v>
      </c>
      <c r="C1607" t="inlineStr">
        <is>
          <t>2018-01</t>
        </is>
      </c>
      <c r="D1607" t="inlineStr">
        <is>
          <t>241f79c7a8fe0270f4fb79fcbbcd17ad</t>
        </is>
      </c>
      <c r="E1607" t="inlineStr">
        <is>
          <t>social</t>
        </is>
      </c>
      <c r="F1607">
        <f>IFERROR(MATCH(A1607,Deals!$A$2:$A$843,0),"")</f>
        <v/>
      </c>
      <c r="G1607">
        <f>IF(F1607="",0,1)</f>
        <v/>
      </c>
      <c r="H1607" s="29">
        <f>IF(F1607="","",INDEX(Deals!$E$2:$E$843,F1607))</f>
        <v/>
      </c>
      <c r="I1607">
        <f>IF(F1607="","",INDEX(Deals!$D$2:$D$843,F1607))</f>
        <v/>
      </c>
      <c r="J1607">
        <f>IF(F1607="","",INT(H1607)-B1607)</f>
        <v/>
      </c>
      <c r="K1607">
        <f>IF(B1607&gt;=Settings!$C$5,1,0)</f>
        <v/>
      </c>
    </row>
    <row r="1608">
      <c r="A1608" t="inlineStr">
        <is>
          <t>904c8fb988626da85712893a8adc45f1</t>
        </is>
      </c>
      <c r="B1608" s="29" t="n">
        <v>43197</v>
      </c>
      <c r="C1608" t="inlineStr">
        <is>
          <t>2018-04</t>
        </is>
      </c>
      <c r="D1608" t="inlineStr">
        <is>
          <t>40dec9f3d5259a3d2dbcdab2114fae47</t>
        </is>
      </c>
      <c r="E1608" t="inlineStr">
        <is>
          <t>paid_search</t>
        </is>
      </c>
      <c r="F1608">
        <f>IFERROR(MATCH(A1608,Deals!$A$2:$A$843,0),"")</f>
        <v/>
      </c>
      <c r="G1608">
        <f>IF(F1608="",0,1)</f>
        <v/>
      </c>
      <c r="H1608" s="29">
        <f>IF(F1608="","",INDEX(Deals!$E$2:$E$843,F1608))</f>
        <v/>
      </c>
      <c r="I1608">
        <f>IF(F1608="","",INDEX(Deals!$D$2:$D$843,F1608))</f>
        <v/>
      </c>
      <c r="J1608">
        <f>IF(F1608="","",INT(H1608)-B1608)</f>
        <v/>
      </c>
      <c r="K1608">
        <f>IF(B1608&gt;=Settings!$C$5,1,0)</f>
        <v/>
      </c>
    </row>
    <row r="1609">
      <c r="A1609" t="inlineStr">
        <is>
          <t>430b55d1924ca394c90192228f7995df</t>
        </is>
      </c>
      <c r="B1609" s="29" t="n">
        <v>42923</v>
      </c>
      <c r="C1609" t="inlineStr">
        <is>
          <t>2017-07</t>
        </is>
      </c>
      <c r="D1609" t="inlineStr">
        <is>
          <t>061c3918f72d289ee93d5d8a06c15c2e</t>
        </is>
      </c>
      <c r="E1609" t="inlineStr">
        <is>
          <t>paid_search</t>
        </is>
      </c>
      <c r="F1609">
        <f>IFERROR(MATCH(A1609,Deals!$A$2:$A$843,0),"")</f>
        <v/>
      </c>
      <c r="G1609">
        <f>IF(F1609="",0,1)</f>
        <v/>
      </c>
      <c r="H1609" s="29">
        <f>IF(F1609="","",INDEX(Deals!$E$2:$E$843,F1609))</f>
        <v/>
      </c>
      <c r="I1609">
        <f>IF(F1609="","",INDEX(Deals!$D$2:$D$843,F1609))</f>
        <v/>
      </c>
      <c r="J1609">
        <f>IF(F1609="","",INT(H1609)-B1609)</f>
        <v/>
      </c>
      <c r="K1609">
        <f>IF(B1609&gt;=Settings!$C$5,1,0)</f>
        <v/>
      </c>
    </row>
    <row r="1610">
      <c r="A1610" t="inlineStr">
        <is>
          <t>c8af2c4e697bad9f8923682b361402fc</t>
        </is>
      </c>
      <c r="B1610" s="29" t="n">
        <v>43123</v>
      </c>
      <c r="C1610" t="inlineStr">
        <is>
          <t>2018-01</t>
        </is>
      </c>
      <c r="D1610" t="inlineStr">
        <is>
          <t>99b00c6e27db383d844d1763dbcbfe06</t>
        </is>
      </c>
      <c r="E1610" t="inlineStr">
        <is>
          <t>organic_search</t>
        </is>
      </c>
      <c r="F1610">
        <f>IFERROR(MATCH(A1610,Deals!$A$2:$A$843,0),"")</f>
        <v/>
      </c>
      <c r="G1610">
        <f>IF(F1610="",0,1)</f>
        <v/>
      </c>
      <c r="H1610" s="29">
        <f>IF(F1610="","",INDEX(Deals!$E$2:$E$843,F1610))</f>
        <v/>
      </c>
      <c r="I1610">
        <f>IF(F1610="","",INDEX(Deals!$D$2:$D$843,F1610))</f>
        <v/>
      </c>
      <c r="J1610">
        <f>IF(F1610="","",INT(H1610)-B1610)</f>
        <v/>
      </c>
      <c r="K1610">
        <f>IF(B1610&gt;=Settings!$C$5,1,0)</f>
        <v/>
      </c>
    </row>
    <row r="1611">
      <c r="A1611" t="inlineStr">
        <is>
          <t>3188907d61235ababce50e9c0569d84d</t>
        </is>
      </c>
      <c r="B1611" s="29" t="n">
        <v>43229</v>
      </c>
      <c r="C1611" t="inlineStr">
        <is>
          <t>2018-05</t>
        </is>
      </c>
      <c r="D1611" t="inlineStr">
        <is>
          <t>f017be4dbf86243af5c1ebed0cff36a2</t>
        </is>
      </c>
      <c r="E1611" t="inlineStr">
        <is>
          <t>referral</t>
        </is>
      </c>
      <c r="F1611">
        <f>IFERROR(MATCH(A1611,Deals!$A$2:$A$843,0),"")</f>
        <v/>
      </c>
      <c r="G1611">
        <f>IF(F1611="",0,1)</f>
        <v/>
      </c>
      <c r="H1611" s="29">
        <f>IF(F1611="","",INDEX(Deals!$E$2:$E$843,F1611))</f>
        <v/>
      </c>
      <c r="I1611">
        <f>IF(F1611="","",INDEX(Deals!$D$2:$D$843,F1611))</f>
        <v/>
      </c>
      <c r="J1611">
        <f>IF(F1611="","",INT(H1611)-B1611)</f>
        <v/>
      </c>
      <c r="K1611">
        <f>IF(B1611&gt;=Settings!$C$5,1,0)</f>
        <v/>
      </c>
    </row>
    <row r="1612">
      <c r="A1612" t="inlineStr">
        <is>
          <t>7894fb70687d7d6ed620d74d67420eb5</t>
        </is>
      </c>
      <c r="B1612" s="29" t="n">
        <v>43166</v>
      </c>
      <c r="C1612" t="inlineStr">
        <is>
          <t>2018-03</t>
        </is>
      </c>
      <c r="D1612" t="inlineStr">
        <is>
          <t>27cd3540bace1f4a4b2bc6d319b0553c</t>
        </is>
      </c>
      <c r="E1612" t="inlineStr">
        <is>
          <t>organic_search</t>
        </is>
      </c>
      <c r="F1612">
        <f>IFERROR(MATCH(A1612,Deals!$A$2:$A$843,0),"")</f>
        <v/>
      </c>
      <c r="G1612">
        <f>IF(F1612="",0,1)</f>
        <v/>
      </c>
      <c r="H1612" s="29">
        <f>IF(F1612="","",INDEX(Deals!$E$2:$E$843,F1612))</f>
        <v/>
      </c>
      <c r="I1612">
        <f>IF(F1612="","",INDEX(Deals!$D$2:$D$843,F1612))</f>
        <v/>
      </c>
      <c r="J1612">
        <f>IF(F1612="","",INT(H1612)-B1612)</f>
        <v/>
      </c>
      <c r="K1612">
        <f>IF(B1612&gt;=Settings!$C$5,1,0)</f>
        <v/>
      </c>
    </row>
    <row r="1613">
      <c r="A1613" t="inlineStr">
        <is>
          <t>47cd9b242ad7a8e2ebc41a4ea69d2ca9</t>
        </is>
      </c>
      <c r="B1613" s="29" t="n">
        <v>43248</v>
      </c>
      <c r="C1613" t="inlineStr">
        <is>
          <t>2018-05</t>
        </is>
      </c>
      <c r="D1613" t="inlineStr">
        <is>
          <t>b76ef37428e6799c421989521c0e5077</t>
        </is>
      </c>
      <c r="E1613" t="inlineStr">
        <is>
          <t>social</t>
        </is>
      </c>
      <c r="F1613">
        <f>IFERROR(MATCH(A1613,Deals!$A$2:$A$843,0),"")</f>
        <v/>
      </c>
      <c r="G1613">
        <f>IF(F1613="",0,1)</f>
        <v/>
      </c>
      <c r="H1613" s="29">
        <f>IF(F1613="","",INDEX(Deals!$E$2:$E$843,F1613))</f>
        <v/>
      </c>
      <c r="I1613">
        <f>IF(F1613="","",INDEX(Deals!$D$2:$D$843,F1613))</f>
        <v/>
      </c>
      <c r="J1613">
        <f>IF(F1613="","",INT(H1613)-B1613)</f>
        <v/>
      </c>
      <c r="K1613">
        <f>IF(B1613&gt;=Settings!$C$5,1,0)</f>
        <v/>
      </c>
    </row>
    <row r="1614">
      <c r="A1614" t="inlineStr">
        <is>
          <t>45bea76d85f0369f4ce7ac9253f9d5cb</t>
        </is>
      </c>
      <c r="B1614" s="29" t="n">
        <v>43186</v>
      </c>
      <c r="C1614" t="inlineStr">
        <is>
          <t>2018-03</t>
        </is>
      </c>
      <c r="D1614" t="inlineStr">
        <is>
          <t>65d9f9d71e562365e8b44037c2888d98</t>
        </is>
      </c>
      <c r="E1614" t="inlineStr">
        <is>
          <t>paid_search</t>
        </is>
      </c>
      <c r="F1614">
        <f>IFERROR(MATCH(A1614,Deals!$A$2:$A$843,0),"")</f>
        <v/>
      </c>
      <c r="G1614">
        <f>IF(F1614="",0,1)</f>
        <v/>
      </c>
      <c r="H1614" s="29">
        <f>IF(F1614="","",INDEX(Deals!$E$2:$E$843,F1614))</f>
        <v/>
      </c>
      <c r="I1614">
        <f>IF(F1614="","",INDEX(Deals!$D$2:$D$843,F1614))</f>
        <v/>
      </c>
      <c r="J1614">
        <f>IF(F1614="","",INT(H1614)-B1614)</f>
        <v/>
      </c>
      <c r="K1614">
        <f>IF(B1614&gt;=Settings!$C$5,1,0)</f>
        <v/>
      </c>
    </row>
    <row r="1615">
      <c r="A1615" t="inlineStr">
        <is>
          <t>3f2a136272ab1bc4ee09e0695becffd1</t>
        </is>
      </c>
      <c r="B1615" s="29" t="n">
        <v>43213</v>
      </c>
      <c r="C1615" t="inlineStr">
        <is>
          <t>2018-04</t>
        </is>
      </c>
      <c r="D1615" t="inlineStr">
        <is>
          <t>58326e62183c14b0c03085c33b9fdc44</t>
        </is>
      </c>
      <c r="E1615" t="inlineStr">
        <is>
          <t>social</t>
        </is>
      </c>
      <c r="F1615">
        <f>IFERROR(MATCH(A1615,Deals!$A$2:$A$843,0),"")</f>
        <v/>
      </c>
      <c r="G1615">
        <f>IF(F1615="",0,1)</f>
        <v/>
      </c>
      <c r="H1615" s="29">
        <f>IF(F1615="","",INDEX(Deals!$E$2:$E$843,F1615))</f>
        <v/>
      </c>
      <c r="I1615">
        <f>IF(F1615="","",INDEX(Deals!$D$2:$D$843,F1615))</f>
        <v/>
      </c>
      <c r="J1615">
        <f>IF(F1615="","",INT(H1615)-B1615)</f>
        <v/>
      </c>
      <c r="K1615">
        <f>IF(B1615&gt;=Settings!$C$5,1,0)</f>
        <v/>
      </c>
    </row>
    <row r="1616">
      <c r="A1616" t="inlineStr">
        <is>
          <t>d33ec1bca9da0c5511978a847f9e2243</t>
        </is>
      </c>
      <c r="B1616" s="29" t="n">
        <v>43161</v>
      </c>
      <c r="C1616" t="inlineStr">
        <is>
          <t>2018-03</t>
        </is>
      </c>
      <c r="D1616" t="inlineStr">
        <is>
          <t>4aab772aeb9833c170d8ea5413e02eac</t>
        </is>
      </c>
      <c r="E1616" t="inlineStr">
        <is>
          <t>paid_search</t>
        </is>
      </c>
      <c r="F1616">
        <f>IFERROR(MATCH(A1616,Deals!$A$2:$A$843,0),"")</f>
        <v/>
      </c>
      <c r="G1616">
        <f>IF(F1616="",0,1)</f>
        <v/>
      </c>
      <c r="H1616" s="29">
        <f>IF(F1616="","",INDEX(Deals!$E$2:$E$843,F1616))</f>
        <v/>
      </c>
      <c r="I1616">
        <f>IF(F1616="","",INDEX(Deals!$D$2:$D$843,F1616))</f>
        <v/>
      </c>
      <c r="J1616">
        <f>IF(F1616="","",INT(H1616)-B1616)</f>
        <v/>
      </c>
      <c r="K1616">
        <f>IF(B1616&gt;=Settings!$C$5,1,0)</f>
        <v/>
      </c>
    </row>
    <row r="1617">
      <c r="A1617" t="inlineStr">
        <is>
          <t>52746115ed4579e191e8a82c2c6682b5</t>
        </is>
      </c>
      <c r="B1617" s="29" t="n">
        <v>43019</v>
      </c>
      <c r="C1617" t="inlineStr">
        <is>
          <t>2017-10</t>
        </is>
      </c>
      <c r="D1617" t="inlineStr">
        <is>
          <t>f98c2bd96ac4a5d9476734e790c91384</t>
        </is>
      </c>
      <c r="E1617" t="inlineStr">
        <is>
          <t>other</t>
        </is>
      </c>
      <c r="F1617">
        <f>IFERROR(MATCH(A1617,Deals!$A$2:$A$843,0),"")</f>
        <v/>
      </c>
      <c r="G1617">
        <f>IF(F1617="",0,1)</f>
        <v/>
      </c>
      <c r="H1617" s="29">
        <f>IF(F1617="","",INDEX(Deals!$E$2:$E$843,F1617))</f>
        <v/>
      </c>
      <c r="I1617">
        <f>IF(F1617="","",INDEX(Deals!$D$2:$D$843,F1617))</f>
        <v/>
      </c>
      <c r="J1617">
        <f>IF(F1617="","",INT(H1617)-B1617)</f>
        <v/>
      </c>
      <c r="K1617">
        <f>IF(B1617&gt;=Settings!$C$5,1,0)</f>
        <v/>
      </c>
    </row>
    <row r="1618">
      <c r="A1618" t="inlineStr">
        <is>
          <t>f000a1de8374f743ccec2fe40a082bed</t>
        </is>
      </c>
      <c r="B1618" s="29" t="n">
        <v>43167</v>
      </c>
      <c r="C1618" t="inlineStr">
        <is>
          <t>2018-03</t>
        </is>
      </c>
      <c r="D1618" t="inlineStr">
        <is>
          <t>40dec9f3d5259a3d2dbcdab2114fae47</t>
        </is>
      </c>
      <c r="E1618" t="inlineStr">
        <is>
          <t>paid_search</t>
        </is>
      </c>
      <c r="F1618">
        <f>IFERROR(MATCH(A1618,Deals!$A$2:$A$843,0),"")</f>
        <v/>
      </c>
      <c r="G1618">
        <f>IF(F1618="",0,1)</f>
        <v/>
      </c>
      <c r="H1618" s="29">
        <f>IF(F1618="","",INDEX(Deals!$E$2:$E$843,F1618))</f>
        <v/>
      </c>
      <c r="I1618">
        <f>IF(F1618="","",INDEX(Deals!$D$2:$D$843,F1618))</f>
        <v/>
      </c>
      <c r="J1618">
        <f>IF(F1618="","",INT(H1618)-B1618)</f>
        <v/>
      </c>
      <c r="K1618">
        <f>IF(B1618&gt;=Settings!$C$5,1,0)</f>
        <v/>
      </c>
    </row>
    <row r="1619">
      <c r="A1619" t="inlineStr">
        <is>
          <t>f1ed9b42aad1b999647239402da50936</t>
        </is>
      </c>
      <c r="B1619" s="29" t="n">
        <v>43241</v>
      </c>
      <c r="C1619" t="inlineStr">
        <is>
          <t>2018-05</t>
        </is>
      </c>
      <c r="D1619" t="inlineStr">
        <is>
          <t>e492ee5eaf1697716985cc6f33f9cd9b</t>
        </is>
      </c>
      <c r="E1619" t="inlineStr">
        <is>
          <t>organic_search</t>
        </is>
      </c>
      <c r="F1619">
        <f>IFERROR(MATCH(A1619,Deals!$A$2:$A$843,0),"")</f>
        <v/>
      </c>
      <c r="G1619">
        <f>IF(F1619="",0,1)</f>
        <v/>
      </c>
      <c r="H1619" s="29">
        <f>IF(F1619="","",INDEX(Deals!$E$2:$E$843,F1619))</f>
        <v/>
      </c>
      <c r="I1619">
        <f>IF(F1619="","",INDEX(Deals!$D$2:$D$843,F1619))</f>
        <v/>
      </c>
      <c r="J1619">
        <f>IF(F1619="","",INT(H1619)-B1619)</f>
        <v/>
      </c>
      <c r="K1619">
        <f>IF(B1619&gt;=Settings!$C$5,1,0)</f>
        <v/>
      </c>
    </row>
    <row r="1620">
      <c r="A1620" t="inlineStr">
        <is>
          <t>5993b4373194ddea753c3cc5e10afabe</t>
        </is>
      </c>
      <c r="B1620" s="29" t="n">
        <v>43172</v>
      </c>
      <c r="C1620" t="inlineStr">
        <is>
          <t>2018-03</t>
        </is>
      </c>
      <c r="D1620" t="inlineStr">
        <is>
          <t>88740e65d5d6b056e0cda098e1ea6313</t>
        </is>
      </c>
      <c r="E1620" t="inlineStr">
        <is>
          <t>social</t>
        </is>
      </c>
      <c r="F1620">
        <f>IFERROR(MATCH(A1620,Deals!$A$2:$A$843,0),"")</f>
        <v/>
      </c>
      <c r="G1620">
        <f>IF(F1620="",0,1)</f>
        <v/>
      </c>
      <c r="H1620" s="29">
        <f>IF(F1620="","",INDEX(Deals!$E$2:$E$843,F1620))</f>
        <v/>
      </c>
      <c r="I1620">
        <f>IF(F1620="","",INDEX(Deals!$D$2:$D$843,F1620))</f>
        <v/>
      </c>
      <c r="J1620">
        <f>IF(F1620="","",INT(H1620)-B1620)</f>
        <v/>
      </c>
      <c r="K1620">
        <f>IF(B1620&gt;=Settings!$C$5,1,0)</f>
        <v/>
      </c>
    </row>
    <row r="1621">
      <c r="A1621" t="inlineStr">
        <is>
          <t>849b7cc98e1bc3031623a73645b5dcd8</t>
        </is>
      </c>
      <c r="B1621" s="29" t="n">
        <v>43054</v>
      </c>
      <c r="C1621" t="inlineStr">
        <is>
          <t>2017-11</t>
        </is>
      </c>
      <c r="D1621" t="inlineStr">
        <is>
          <t>e492ee5eaf1697716985cc6f33f9cd9b</t>
        </is>
      </c>
      <c r="E1621" t="inlineStr">
        <is>
          <t>social</t>
        </is>
      </c>
      <c r="F1621">
        <f>IFERROR(MATCH(A1621,Deals!$A$2:$A$843,0),"")</f>
        <v/>
      </c>
      <c r="G1621">
        <f>IF(F1621="",0,1)</f>
        <v/>
      </c>
      <c r="H1621" s="29">
        <f>IF(F1621="","",INDEX(Deals!$E$2:$E$843,F1621))</f>
        <v/>
      </c>
      <c r="I1621">
        <f>IF(F1621="","",INDEX(Deals!$D$2:$D$843,F1621))</f>
        <v/>
      </c>
      <c r="J1621">
        <f>IF(F1621="","",INT(H1621)-B1621)</f>
        <v/>
      </c>
      <c r="K1621">
        <f>IF(B1621&gt;=Settings!$C$5,1,0)</f>
        <v/>
      </c>
    </row>
    <row r="1622">
      <c r="A1622" t="inlineStr">
        <is>
          <t>a32a0390d684304dc132b7e3abcda8be</t>
        </is>
      </c>
      <c r="B1622" s="29" t="n">
        <v>43202</v>
      </c>
      <c r="C1622" t="inlineStr">
        <is>
          <t>2018-04</t>
        </is>
      </c>
      <c r="D1622" t="inlineStr">
        <is>
          <t>36120633c8737035fbabf079082f4ec1</t>
        </is>
      </c>
      <c r="E1622" t="inlineStr">
        <is>
          <t>unknown</t>
        </is>
      </c>
      <c r="F1622">
        <f>IFERROR(MATCH(A1622,Deals!$A$2:$A$843,0),"")</f>
        <v/>
      </c>
      <c r="G1622">
        <f>IF(F1622="",0,1)</f>
        <v/>
      </c>
      <c r="H1622" s="29">
        <f>IF(F1622="","",INDEX(Deals!$E$2:$E$843,F1622))</f>
        <v/>
      </c>
      <c r="I1622">
        <f>IF(F1622="","",INDEX(Deals!$D$2:$D$843,F1622))</f>
        <v/>
      </c>
      <c r="J1622">
        <f>IF(F1622="","",INT(H1622)-B1622)</f>
        <v/>
      </c>
      <c r="K1622">
        <f>IF(B1622&gt;=Settings!$C$5,1,0)</f>
        <v/>
      </c>
    </row>
    <row r="1623">
      <c r="A1623" t="inlineStr">
        <is>
          <t>14747ce6489fb4e8a58fe09fa2e91827</t>
        </is>
      </c>
      <c r="B1623" s="29" t="n">
        <v>43049</v>
      </c>
      <c r="C1623" t="inlineStr">
        <is>
          <t>2017-11</t>
        </is>
      </c>
      <c r="D1623" t="inlineStr">
        <is>
          <t>87780f7c05ecd79791bde76af663db15</t>
        </is>
      </c>
      <c r="E1623" t="inlineStr">
        <is>
          <t>social</t>
        </is>
      </c>
      <c r="F1623">
        <f>IFERROR(MATCH(A1623,Deals!$A$2:$A$843,0),"")</f>
        <v/>
      </c>
      <c r="G1623">
        <f>IF(F1623="",0,1)</f>
        <v/>
      </c>
      <c r="H1623" s="29">
        <f>IF(F1623="","",INDEX(Deals!$E$2:$E$843,F1623))</f>
        <v/>
      </c>
      <c r="I1623">
        <f>IF(F1623="","",INDEX(Deals!$D$2:$D$843,F1623))</f>
        <v/>
      </c>
      <c r="J1623">
        <f>IF(F1623="","",INT(H1623)-B1623)</f>
        <v/>
      </c>
      <c r="K1623">
        <f>IF(B1623&gt;=Settings!$C$5,1,0)</f>
        <v/>
      </c>
    </row>
    <row r="1624">
      <c r="A1624" t="inlineStr">
        <is>
          <t>e0b6c164920a5a463aa98867f13038d4</t>
        </is>
      </c>
      <c r="B1624" s="29" t="n">
        <v>43115</v>
      </c>
      <c r="C1624" t="inlineStr">
        <is>
          <t>2018-01</t>
        </is>
      </c>
      <c r="D1624" t="inlineStr">
        <is>
          <t>0f7f8ed9a1db8fc2a42e273972db10d4</t>
        </is>
      </c>
      <c r="E1624" t="inlineStr">
        <is>
          <t>paid_search</t>
        </is>
      </c>
      <c r="F1624">
        <f>IFERROR(MATCH(A1624,Deals!$A$2:$A$843,0),"")</f>
        <v/>
      </c>
      <c r="G1624">
        <f>IF(F1624="",0,1)</f>
        <v/>
      </c>
      <c r="H1624" s="29">
        <f>IF(F1624="","",INDEX(Deals!$E$2:$E$843,F1624))</f>
        <v/>
      </c>
      <c r="I1624">
        <f>IF(F1624="","",INDEX(Deals!$D$2:$D$843,F1624))</f>
        <v/>
      </c>
      <c r="J1624">
        <f>IF(F1624="","",INT(H1624)-B1624)</f>
        <v/>
      </c>
      <c r="K1624">
        <f>IF(B1624&gt;=Settings!$C$5,1,0)</f>
        <v/>
      </c>
    </row>
    <row r="1625">
      <c r="A1625" t="inlineStr">
        <is>
          <t>513d6bdbaed51319e9aa9f84a7f7518e</t>
        </is>
      </c>
      <c r="B1625" s="29" t="n">
        <v>43154</v>
      </c>
      <c r="C1625" t="inlineStr">
        <is>
          <t>2018-02</t>
        </is>
      </c>
      <c r="D1625" t="inlineStr">
        <is>
          <t>ce1a65abd0973638f1c887a6efcfa82d</t>
        </is>
      </c>
      <c r="E1625" t="inlineStr">
        <is>
          <t>organic_search</t>
        </is>
      </c>
      <c r="F1625">
        <f>IFERROR(MATCH(A1625,Deals!$A$2:$A$843,0),"")</f>
        <v/>
      </c>
      <c r="G1625">
        <f>IF(F1625="",0,1)</f>
        <v/>
      </c>
      <c r="H1625" s="29">
        <f>IF(F1625="","",INDEX(Deals!$E$2:$E$843,F1625))</f>
        <v/>
      </c>
      <c r="I1625">
        <f>IF(F1625="","",INDEX(Deals!$D$2:$D$843,F1625))</f>
        <v/>
      </c>
      <c r="J1625">
        <f>IF(F1625="","",INT(H1625)-B1625)</f>
        <v/>
      </c>
      <c r="K1625">
        <f>IF(B1625&gt;=Settings!$C$5,1,0)</f>
        <v/>
      </c>
    </row>
    <row r="1626">
      <c r="A1626" t="inlineStr">
        <is>
          <t>8a34f184173d7b37cc58aab79bcd034a</t>
        </is>
      </c>
      <c r="B1626" s="29" t="n">
        <v>43029</v>
      </c>
      <c r="C1626" t="inlineStr">
        <is>
          <t>2017-10</t>
        </is>
      </c>
      <c r="D1626" t="inlineStr">
        <is>
          <t>ef0b482996664cc1107b9051efd3ca84</t>
        </is>
      </c>
      <c r="E1626" t="inlineStr">
        <is>
          <t>organic_search</t>
        </is>
      </c>
      <c r="F1626">
        <f>IFERROR(MATCH(A1626,Deals!$A$2:$A$843,0),"")</f>
        <v/>
      </c>
      <c r="G1626">
        <f>IF(F1626="",0,1)</f>
        <v/>
      </c>
      <c r="H1626" s="29">
        <f>IF(F1626="","",INDEX(Deals!$E$2:$E$843,F1626))</f>
        <v/>
      </c>
      <c r="I1626">
        <f>IF(F1626="","",INDEX(Deals!$D$2:$D$843,F1626))</f>
        <v/>
      </c>
      <c r="J1626">
        <f>IF(F1626="","",INT(H1626)-B1626)</f>
        <v/>
      </c>
      <c r="K1626">
        <f>IF(B1626&gt;=Settings!$C$5,1,0)</f>
        <v/>
      </c>
    </row>
    <row r="1627">
      <c r="A1627" t="inlineStr">
        <is>
          <t>084c141bcb1a60bb9619aafc340241fd</t>
        </is>
      </c>
      <c r="B1627" s="29" t="n">
        <v>43125</v>
      </c>
      <c r="C1627" t="inlineStr">
        <is>
          <t>2018-01</t>
        </is>
      </c>
      <c r="D1627" t="inlineStr">
        <is>
          <t>bddebc4f4d44106c427bd00695840e64</t>
        </is>
      </c>
      <c r="E1627" t="inlineStr">
        <is>
          <t>email</t>
        </is>
      </c>
      <c r="F1627">
        <f>IFERROR(MATCH(A1627,Deals!$A$2:$A$843,0),"")</f>
        <v/>
      </c>
      <c r="G1627">
        <f>IF(F1627="",0,1)</f>
        <v/>
      </c>
      <c r="H1627" s="29">
        <f>IF(F1627="","",INDEX(Deals!$E$2:$E$843,F1627))</f>
        <v/>
      </c>
      <c r="I1627">
        <f>IF(F1627="","",INDEX(Deals!$D$2:$D$843,F1627))</f>
        <v/>
      </c>
      <c r="J1627">
        <f>IF(F1627="","",INT(H1627)-B1627)</f>
        <v/>
      </c>
      <c r="K1627">
        <f>IF(B1627&gt;=Settings!$C$5,1,0)</f>
        <v/>
      </c>
    </row>
    <row r="1628">
      <c r="A1628" t="inlineStr">
        <is>
          <t>48c1462ea0fb7789b592dbce582de58a</t>
        </is>
      </c>
      <c r="B1628" s="29" t="n">
        <v>43014</v>
      </c>
      <c r="C1628" t="inlineStr">
        <is>
          <t>2017-10</t>
        </is>
      </c>
      <c r="D1628" t="inlineStr">
        <is>
          <t>b76ef37428e6799c421989521c0e5077</t>
        </is>
      </c>
      <c r="E1628" t="inlineStr">
        <is>
          <t>unknown</t>
        </is>
      </c>
      <c r="F1628">
        <f>IFERROR(MATCH(A1628,Deals!$A$2:$A$843,0),"")</f>
        <v/>
      </c>
      <c r="G1628">
        <f>IF(F1628="",0,1)</f>
        <v/>
      </c>
      <c r="H1628" s="29">
        <f>IF(F1628="","",INDEX(Deals!$E$2:$E$843,F1628))</f>
        <v/>
      </c>
      <c r="I1628">
        <f>IF(F1628="","",INDEX(Deals!$D$2:$D$843,F1628))</f>
        <v/>
      </c>
      <c r="J1628">
        <f>IF(F1628="","",INT(H1628)-B1628)</f>
        <v/>
      </c>
      <c r="K1628">
        <f>IF(B1628&gt;=Settings!$C$5,1,0)</f>
        <v/>
      </c>
    </row>
    <row r="1629">
      <c r="A1629" t="inlineStr">
        <is>
          <t>cfb8a1d29fd07f8e0e2ab2ffee176eb1</t>
        </is>
      </c>
      <c r="B1629" s="29" t="n">
        <v>43122</v>
      </c>
      <c r="C1629" t="inlineStr">
        <is>
          <t>2018-01</t>
        </is>
      </c>
      <c r="D1629" t="inlineStr">
        <is>
          <t>d45d558f0daeecf3cccdffe3c59684aa</t>
        </is>
      </c>
      <c r="E1629" t="inlineStr">
        <is>
          <t>email</t>
        </is>
      </c>
      <c r="F1629">
        <f>IFERROR(MATCH(A1629,Deals!$A$2:$A$843,0),"")</f>
        <v/>
      </c>
      <c r="G1629">
        <f>IF(F1629="",0,1)</f>
        <v/>
      </c>
      <c r="H1629" s="29">
        <f>IF(F1629="","",INDEX(Deals!$E$2:$E$843,F1629))</f>
        <v/>
      </c>
      <c r="I1629">
        <f>IF(F1629="","",INDEX(Deals!$D$2:$D$843,F1629))</f>
        <v/>
      </c>
      <c r="J1629">
        <f>IF(F1629="","",INT(H1629)-B1629)</f>
        <v/>
      </c>
      <c r="K1629">
        <f>IF(B1629&gt;=Settings!$C$5,1,0)</f>
        <v/>
      </c>
    </row>
    <row r="1630">
      <c r="A1630" t="inlineStr">
        <is>
          <t>d98b225d73bfca8fec036835fedfdc8e</t>
        </is>
      </c>
      <c r="B1630" s="29" t="n">
        <v>43193</v>
      </c>
      <c r="C1630" t="inlineStr">
        <is>
          <t>2018-04</t>
        </is>
      </c>
      <c r="D1630" t="inlineStr">
        <is>
          <t>58326e62183c14b0c03085c33b9fdc44</t>
        </is>
      </c>
      <c r="E1630" t="inlineStr">
        <is>
          <t>social</t>
        </is>
      </c>
      <c r="F1630">
        <f>IFERROR(MATCH(A1630,Deals!$A$2:$A$843,0),"")</f>
        <v/>
      </c>
      <c r="G1630">
        <f>IF(F1630="",0,1)</f>
        <v/>
      </c>
      <c r="H1630" s="29">
        <f>IF(F1630="","",INDEX(Deals!$E$2:$E$843,F1630))</f>
        <v/>
      </c>
      <c r="I1630">
        <f>IF(F1630="","",INDEX(Deals!$D$2:$D$843,F1630))</f>
        <v/>
      </c>
      <c r="J1630">
        <f>IF(F1630="","",INT(H1630)-B1630)</f>
        <v/>
      </c>
      <c r="K1630">
        <f>IF(B1630&gt;=Settings!$C$5,1,0)</f>
        <v/>
      </c>
    </row>
    <row r="1631">
      <c r="A1631" t="inlineStr">
        <is>
          <t>94c72a6d91e030affb4a487c7c5ee8b9</t>
        </is>
      </c>
      <c r="B1631" s="29" t="n">
        <v>43220</v>
      </c>
      <c r="C1631" t="inlineStr">
        <is>
          <t>2018-04</t>
        </is>
      </c>
      <c r="D1631" t="inlineStr">
        <is>
          <t>35c9b150ab36fe584c1f24fd458c453a</t>
        </is>
      </c>
      <c r="E1631" t="inlineStr">
        <is>
          <t>paid_search</t>
        </is>
      </c>
      <c r="F1631">
        <f>IFERROR(MATCH(A1631,Deals!$A$2:$A$843,0),"")</f>
        <v/>
      </c>
      <c r="G1631">
        <f>IF(F1631="",0,1)</f>
        <v/>
      </c>
      <c r="H1631" s="29">
        <f>IF(F1631="","",INDEX(Deals!$E$2:$E$843,F1631))</f>
        <v/>
      </c>
      <c r="I1631">
        <f>IF(F1631="","",INDEX(Deals!$D$2:$D$843,F1631))</f>
        <v/>
      </c>
      <c r="J1631">
        <f>IF(F1631="","",INT(H1631)-B1631)</f>
        <v/>
      </c>
      <c r="K1631">
        <f>IF(B1631&gt;=Settings!$C$5,1,0)</f>
        <v/>
      </c>
    </row>
    <row r="1632">
      <c r="A1632" t="inlineStr">
        <is>
          <t>6658b3fcc28fc1b0ac05e2063eeadad2</t>
        </is>
      </c>
      <c r="B1632" s="29" t="n">
        <v>43001</v>
      </c>
      <c r="C1632" t="inlineStr">
        <is>
          <t>2017-09</t>
        </is>
      </c>
      <c r="D1632" t="inlineStr">
        <is>
          <t>87732658ba41d8775e8577df347a64db</t>
        </is>
      </c>
      <c r="E1632" t="inlineStr">
        <is>
          <t>social</t>
        </is>
      </c>
      <c r="F1632">
        <f>IFERROR(MATCH(A1632,Deals!$A$2:$A$843,0),"")</f>
        <v/>
      </c>
      <c r="G1632">
        <f>IF(F1632="",0,1)</f>
        <v/>
      </c>
      <c r="H1632" s="29">
        <f>IF(F1632="","",INDEX(Deals!$E$2:$E$843,F1632))</f>
        <v/>
      </c>
      <c r="I1632">
        <f>IF(F1632="","",INDEX(Deals!$D$2:$D$843,F1632))</f>
        <v/>
      </c>
      <c r="J1632">
        <f>IF(F1632="","",INT(H1632)-B1632)</f>
        <v/>
      </c>
      <c r="K1632">
        <f>IF(B1632&gt;=Settings!$C$5,1,0)</f>
        <v/>
      </c>
    </row>
    <row r="1633">
      <c r="A1633" t="inlineStr">
        <is>
          <t>e0aced54b9701d1d04536bc3010a05e6</t>
        </is>
      </c>
      <c r="B1633" s="29" t="n">
        <v>43139</v>
      </c>
      <c r="C1633" t="inlineStr">
        <is>
          <t>2018-02</t>
        </is>
      </c>
      <c r="D1633" t="inlineStr">
        <is>
          <t>22c29808c4f815213303f8933030604c</t>
        </is>
      </c>
      <c r="E1633" t="inlineStr">
        <is>
          <t>referral</t>
        </is>
      </c>
      <c r="F1633">
        <f>IFERROR(MATCH(A1633,Deals!$A$2:$A$843,0),"")</f>
        <v/>
      </c>
      <c r="G1633">
        <f>IF(F1633="",0,1)</f>
        <v/>
      </c>
      <c r="H1633" s="29">
        <f>IF(F1633="","",INDEX(Deals!$E$2:$E$843,F1633))</f>
        <v/>
      </c>
      <c r="I1633">
        <f>IF(F1633="","",INDEX(Deals!$D$2:$D$843,F1633))</f>
        <v/>
      </c>
      <c r="J1633">
        <f>IF(F1633="","",INT(H1633)-B1633)</f>
        <v/>
      </c>
      <c r="K1633">
        <f>IF(B1633&gt;=Settings!$C$5,1,0)</f>
        <v/>
      </c>
    </row>
    <row r="1634">
      <c r="A1634" t="inlineStr">
        <is>
          <t>114234b0d73c7887a1364b5c4405b29a</t>
        </is>
      </c>
      <c r="B1634" s="29" t="n">
        <v>43209</v>
      </c>
      <c r="C1634" t="inlineStr">
        <is>
          <t>2018-04</t>
        </is>
      </c>
      <c r="D1634" t="inlineStr">
        <is>
          <t>21a104c3279681d9856b8a48723c4fee</t>
        </is>
      </c>
      <c r="E1634" t="inlineStr">
        <is>
          <t>direct_traffic</t>
        </is>
      </c>
      <c r="F1634">
        <f>IFERROR(MATCH(A1634,Deals!$A$2:$A$843,0),"")</f>
        <v/>
      </c>
      <c r="G1634">
        <f>IF(F1634="",0,1)</f>
        <v/>
      </c>
      <c r="H1634" s="29">
        <f>IF(F1634="","",INDEX(Deals!$E$2:$E$843,F1634))</f>
        <v/>
      </c>
      <c r="I1634">
        <f>IF(F1634="","",INDEX(Deals!$D$2:$D$843,F1634))</f>
        <v/>
      </c>
      <c r="J1634">
        <f>IF(F1634="","",INT(H1634)-B1634)</f>
        <v/>
      </c>
      <c r="K1634">
        <f>IF(B1634&gt;=Settings!$C$5,1,0)</f>
        <v/>
      </c>
    </row>
    <row r="1635">
      <c r="A1635" t="inlineStr">
        <is>
          <t>4779f3c10414814bc988c4fb6475b4c7</t>
        </is>
      </c>
      <c r="B1635" s="29" t="n">
        <v>42944</v>
      </c>
      <c r="C1635" t="inlineStr">
        <is>
          <t>2017-07</t>
        </is>
      </c>
      <c r="D1635" t="inlineStr">
        <is>
          <t>b52be9379d67e7fbf3734111625cc017</t>
        </is>
      </c>
      <c r="E1635" t="inlineStr">
        <is>
          <t>direct_traffic</t>
        </is>
      </c>
      <c r="F1635">
        <f>IFERROR(MATCH(A1635,Deals!$A$2:$A$843,0),"")</f>
        <v/>
      </c>
      <c r="G1635">
        <f>IF(F1635="",0,1)</f>
        <v/>
      </c>
      <c r="H1635" s="29">
        <f>IF(F1635="","",INDEX(Deals!$E$2:$E$843,F1635))</f>
        <v/>
      </c>
      <c r="I1635">
        <f>IF(F1635="","",INDEX(Deals!$D$2:$D$843,F1635))</f>
        <v/>
      </c>
      <c r="J1635">
        <f>IF(F1635="","",INT(H1635)-B1635)</f>
        <v/>
      </c>
      <c r="K1635">
        <f>IF(B1635&gt;=Settings!$C$5,1,0)</f>
        <v/>
      </c>
    </row>
    <row r="1636">
      <c r="A1636" t="inlineStr">
        <is>
          <t>a4fa73f413400524fef474c93faa5e02</t>
        </is>
      </c>
      <c r="B1636" s="29" t="n">
        <v>43103</v>
      </c>
      <c r="C1636" t="inlineStr">
        <is>
          <t>2018-01</t>
        </is>
      </c>
      <c r="D1636" t="inlineStr">
        <is>
          <t>40dec9f3d5259a3d2dbcdab2114fae47</t>
        </is>
      </c>
      <c r="E1636" t="inlineStr">
        <is>
          <t>paid_search</t>
        </is>
      </c>
      <c r="F1636">
        <f>IFERROR(MATCH(A1636,Deals!$A$2:$A$843,0),"")</f>
        <v/>
      </c>
      <c r="G1636">
        <f>IF(F1636="",0,1)</f>
        <v/>
      </c>
      <c r="H1636" s="29">
        <f>IF(F1636="","",INDEX(Deals!$E$2:$E$843,F1636))</f>
        <v/>
      </c>
      <c r="I1636">
        <f>IF(F1636="","",INDEX(Deals!$D$2:$D$843,F1636))</f>
        <v/>
      </c>
      <c r="J1636">
        <f>IF(F1636="","",INT(H1636)-B1636)</f>
        <v/>
      </c>
      <c r="K1636">
        <f>IF(B1636&gt;=Settings!$C$5,1,0)</f>
        <v/>
      </c>
    </row>
    <row r="1637">
      <c r="A1637" t="inlineStr">
        <is>
          <t>302810c531dc591423c0ab6271fdc1ec</t>
        </is>
      </c>
      <c r="B1637" s="29" t="n">
        <v>43241</v>
      </c>
      <c r="C1637" t="inlineStr">
        <is>
          <t>2018-05</t>
        </is>
      </c>
      <c r="D1637" t="inlineStr">
        <is>
          <t>27cd3540bace1f4a4b2bc6d319b0553c</t>
        </is>
      </c>
      <c r="E1637" t="inlineStr">
        <is>
          <t>unknown</t>
        </is>
      </c>
      <c r="F1637">
        <f>IFERROR(MATCH(A1637,Deals!$A$2:$A$843,0),"")</f>
        <v/>
      </c>
      <c r="G1637">
        <f>IF(F1637="",0,1)</f>
        <v/>
      </c>
      <c r="H1637" s="29">
        <f>IF(F1637="","",INDEX(Deals!$E$2:$E$843,F1637))</f>
        <v/>
      </c>
      <c r="I1637">
        <f>IF(F1637="","",INDEX(Deals!$D$2:$D$843,F1637))</f>
        <v/>
      </c>
      <c r="J1637">
        <f>IF(F1637="","",INT(H1637)-B1637)</f>
        <v/>
      </c>
      <c r="K1637">
        <f>IF(B1637&gt;=Settings!$C$5,1,0)</f>
        <v/>
      </c>
    </row>
    <row r="1638">
      <c r="A1638" t="inlineStr">
        <is>
          <t>73d9c7d2db90aa0822a391920474f3e2</t>
        </is>
      </c>
      <c r="B1638" s="29" t="n">
        <v>43152</v>
      </c>
      <c r="C1638" t="inlineStr">
        <is>
          <t>2018-02</t>
        </is>
      </c>
      <c r="D1638" t="inlineStr">
        <is>
          <t>ff3416719616ad4921acb8c74e21d6f0</t>
        </is>
      </c>
      <c r="E1638" t="inlineStr">
        <is>
          <t>organic_search</t>
        </is>
      </c>
      <c r="F1638">
        <f>IFERROR(MATCH(A1638,Deals!$A$2:$A$843,0),"")</f>
        <v/>
      </c>
      <c r="G1638">
        <f>IF(F1638="",0,1)</f>
        <v/>
      </c>
      <c r="H1638" s="29">
        <f>IF(F1638="","",INDEX(Deals!$E$2:$E$843,F1638))</f>
        <v/>
      </c>
      <c r="I1638">
        <f>IF(F1638="","",INDEX(Deals!$D$2:$D$843,F1638))</f>
        <v/>
      </c>
      <c r="J1638">
        <f>IF(F1638="","",INT(H1638)-B1638)</f>
        <v/>
      </c>
      <c r="K1638">
        <f>IF(B1638&gt;=Settings!$C$5,1,0)</f>
        <v/>
      </c>
    </row>
    <row r="1639">
      <c r="A1639" t="inlineStr">
        <is>
          <t>84f3c1e3175163b2200bdf7edf808468</t>
        </is>
      </c>
      <c r="B1639" s="29" t="n">
        <v>43138</v>
      </c>
      <c r="C1639" t="inlineStr">
        <is>
          <t>2018-02</t>
        </is>
      </c>
      <c r="D1639" t="inlineStr">
        <is>
          <t>40dec9f3d5259a3d2dbcdab2114fae47</t>
        </is>
      </c>
      <c r="E1639" t="inlineStr">
        <is>
          <t>paid_search</t>
        </is>
      </c>
      <c r="F1639">
        <f>IFERROR(MATCH(A1639,Deals!$A$2:$A$843,0),"")</f>
        <v/>
      </c>
      <c r="G1639">
        <f>IF(F1639="",0,1)</f>
        <v/>
      </c>
      <c r="H1639" s="29">
        <f>IF(F1639="","",INDEX(Deals!$E$2:$E$843,F1639))</f>
        <v/>
      </c>
      <c r="I1639">
        <f>IF(F1639="","",INDEX(Deals!$D$2:$D$843,F1639))</f>
        <v/>
      </c>
      <c r="J1639">
        <f>IF(F1639="","",INT(H1639)-B1639)</f>
        <v/>
      </c>
      <c r="K1639">
        <f>IF(B1639&gt;=Settings!$C$5,1,0)</f>
        <v/>
      </c>
    </row>
    <row r="1640">
      <c r="A1640" t="inlineStr">
        <is>
          <t>b236c744e94e72c48bb073c1e1fe4417</t>
        </is>
      </c>
      <c r="B1640" s="29" t="n">
        <v>43216</v>
      </c>
      <c r="C1640" t="inlineStr">
        <is>
          <t>2018-04</t>
        </is>
      </c>
      <c r="D1640" t="inlineStr">
        <is>
          <t>22c29808c4f815213303f8933030604c</t>
        </is>
      </c>
      <c r="E1640" t="inlineStr">
        <is>
          <t>organic_search</t>
        </is>
      </c>
      <c r="F1640">
        <f>IFERROR(MATCH(A1640,Deals!$A$2:$A$843,0),"")</f>
        <v/>
      </c>
      <c r="G1640">
        <f>IF(F1640="",0,1)</f>
        <v/>
      </c>
      <c r="H1640" s="29">
        <f>IF(F1640="","",INDEX(Deals!$E$2:$E$843,F1640))</f>
        <v/>
      </c>
      <c r="I1640">
        <f>IF(F1640="","",INDEX(Deals!$D$2:$D$843,F1640))</f>
        <v/>
      </c>
      <c r="J1640">
        <f>IF(F1640="","",INT(H1640)-B1640)</f>
        <v/>
      </c>
      <c r="K1640">
        <f>IF(B1640&gt;=Settings!$C$5,1,0)</f>
        <v/>
      </c>
    </row>
    <row r="1641">
      <c r="A1641" t="inlineStr">
        <is>
          <t>4fb42be7b6205f2b98de9f5d5903c3b3</t>
        </is>
      </c>
      <c r="B1641" s="29" t="n">
        <v>43215</v>
      </c>
      <c r="C1641" t="inlineStr">
        <is>
          <t>2018-04</t>
        </is>
      </c>
      <c r="D1641" t="inlineStr">
        <is>
          <t>b76ef37428e6799c421989521c0e5077</t>
        </is>
      </c>
      <c r="E1641" t="inlineStr">
        <is>
          <t>unknown</t>
        </is>
      </c>
      <c r="F1641">
        <f>IFERROR(MATCH(A1641,Deals!$A$2:$A$843,0),"")</f>
        <v/>
      </c>
      <c r="G1641">
        <f>IF(F1641="",0,1)</f>
        <v/>
      </c>
      <c r="H1641" s="29">
        <f>IF(F1641="","",INDEX(Deals!$E$2:$E$843,F1641))</f>
        <v/>
      </c>
      <c r="I1641">
        <f>IF(F1641="","",INDEX(Deals!$D$2:$D$843,F1641))</f>
        <v/>
      </c>
      <c r="J1641">
        <f>IF(F1641="","",INT(H1641)-B1641)</f>
        <v/>
      </c>
      <c r="K1641">
        <f>IF(B1641&gt;=Settings!$C$5,1,0)</f>
        <v/>
      </c>
    </row>
    <row r="1642">
      <c r="A1642" t="inlineStr">
        <is>
          <t>4ec96ef90786e0f2d9f7b61b5ab0209b</t>
        </is>
      </c>
      <c r="B1642" s="29" t="n">
        <v>43169</v>
      </c>
      <c r="C1642" t="inlineStr">
        <is>
          <t>2018-03</t>
        </is>
      </c>
      <c r="D1642" t="inlineStr">
        <is>
          <t>22c29808c4f815213303f8933030604c</t>
        </is>
      </c>
      <c r="E1642" t="inlineStr">
        <is>
          <t>referral</t>
        </is>
      </c>
      <c r="F1642">
        <f>IFERROR(MATCH(A1642,Deals!$A$2:$A$843,0),"")</f>
        <v/>
      </c>
      <c r="G1642">
        <f>IF(F1642="",0,1)</f>
        <v/>
      </c>
      <c r="H1642" s="29">
        <f>IF(F1642="","",INDEX(Deals!$E$2:$E$843,F1642))</f>
        <v/>
      </c>
      <c r="I1642">
        <f>IF(F1642="","",INDEX(Deals!$D$2:$D$843,F1642))</f>
        <v/>
      </c>
      <c r="J1642">
        <f>IF(F1642="","",INT(H1642)-B1642)</f>
        <v/>
      </c>
      <c r="K1642">
        <f>IF(B1642&gt;=Settings!$C$5,1,0)</f>
        <v/>
      </c>
    </row>
    <row r="1643">
      <c r="A1643" t="inlineStr">
        <is>
          <t>abfa1f5e96b177d167fe072425909a14</t>
        </is>
      </c>
      <c r="B1643" s="29" t="n">
        <v>43017</v>
      </c>
      <c r="C1643" t="inlineStr">
        <is>
          <t>2017-10</t>
        </is>
      </c>
      <c r="D1643" t="inlineStr">
        <is>
          <t>f98c2bd96ac4a5d9476734e790c91384</t>
        </is>
      </c>
      <c r="E1643" t="inlineStr">
        <is>
          <t>unknown</t>
        </is>
      </c>
      <c r="F1643">
        <f>IFERROR(MATCH(A1643,Deals!$A$2:$A$843,0),"")</f>
        <v/>
      </c>
      <c r="G1643">
        <f>IF(F1643="",0,1)</f>
        <v/>
      </c>
      <c r="H1643" s="29">
        <f>IF(F1643="","",INDEX(Deals!$E$2:$E$843,F1643))</f>
        <v/>
      </c>
      <c r="I1643">
        <f>IF(F1643="","",INDEX(Deals!$D$2:$D$843,F1643))</f>
        <v/>
      </c>
      <c r="J1643">
        <f>IF(F1643="","",INT(H1643)-B1643)</f>
        <v/>
      </c>
      <c r="K1643">
        <f>IF(B1643&gt;=Settings!$C$5,1,0)</f>
        <v/>
      </c>
    </row>
    <row r="1644">
      <c r="A1644" t="inlineStr">
        <is>
          <t>4d231a32781b0536c2290fb9898630f9</t>
        </is>
      </c>
      <c r="B1644" s="29" t="n">
        <v>43208</v>
      </c>
      <c r="C1644" t="inlineStr">
        <is>
          <t>2018-04</t>
        </is>
      </c>
      <c r="D1644" t="inlineStr">
        <is>
          <t>330b9d44078a1ae5a221d655dcb77afa</t>
        </is>
      </c>
      <c r="E1644" t="inlineStr">
        <is>
          <t>organic_search</t>
        </is>
      </c>
      <c r="F1644">
        <f>IFERROR(MATCH(A1644,Deals!$A$2:$A$843,0),"")</f>
        <v/>
      </c>
      <c r="G1644">
        <f>IF(F1644="",0,1)</f>
        <v/>
      </c>
      <c r="H1644" s="29">
        <f>IF(F1644="","",INDEX(Deals!$E$2:$E$843,F1644))</f>
        <v/>
      </c>
      <c r="I1644">
        <f>IF(F1644="","",INDEX(Deals!$D$2:$D$843,F1644))</f>
        <v/>
      </c>
      <c r="J1644">
        <f>IF(F1644="","",INT(H1644)-B1644)</f>
        <v/>
      </c>
      <c r="K1644">
        <f>IF(B1644&gt;=Settings!$C$5,1,0)</f>
        <v/>
      </c>
    </row>
    <row r="1645">
      <c r="A1645" t="inlineStr">
        <is>
          <t>bd503b6e91ef50d1c4c169476158e8eb</t>
        </is>
      </c>
      <c r="B1645" s="29" t="n">
        <v>43178</v>
      </c>
      <c r="C1645" t="inlineStr">
        <is>
          <t>2018-03</t>
        </is>
      </c>
      <c r="D1645" t="inlineStr">
        <is>
          <t>c35447dcd1a50b2e2ee3184be602b597</t>
        </is>
      </c>
      <c r="E1645" t="inlineStr">
        <is>
          <t>social</t>
        </is>
      </c>
      <c r="F1645">
        <f>IFERROR(MATCH(A1645,Deals!$A$2:$A$843,0),"")</f>
        <v/>
      </c>
      <c r="G1645">
        <f>IF(F1645="",0,1)</f>
        <v/>
      </c>
      <c r="H1645" s="29">
        <f>IF(F1645="","",INDEX(Deals!$E$2:$E$843,F1645))</f>
        <v/>
      </c>
      <c r="I1645">
        <f>IF(F1645="","",INDEX(Deals!$D$2:$D$843,F1645))</f>
        <v/>
      </c>
      <c r="J1645">
        <f>IF(F1645="","",INT(H1645)-B1645)</f>
        <v/>
      </c>
      <c r="K1645">
        <f>IF(B1645&gt;=Settings!$C$5,1,0)</f>
        <v/>
      </c>
    </row>
    <row r="1646">
      <c r="A1646" t="inlineStr">
        <is>
          <t>e854b5811aa316976d5b4eb4dff806a6</t>
        </is>
      </c>
      <c r="B1646" s="29" t="n">
        <v>42998</v>
      </c>
      <c r="C1646" t="inlineStr">
        <is>
          <t>2017-09</t>
        </is>
      </c>
      <c r="D1646" t="inlineStr">
        <is>
          <t>dd6f55db3947b0aeaadb65a610334799</t>
        </is>
      </c>
      <c r="E1646" t="inlineStr">
        <is>
          <t>direct_traffic</t>
        </is>
      </c>
      <c r="F1646">
        <f>IFERROR(MATCH(A1646,Deals!$A$2:$A$843,0),"")</f>
        <v/>
      </c>
      <c r="G1646">
        <f>IF(F1646="",0,1)</f>
        <v/>
      </c>
      <c r="H1646" s="29">
        <f>IF(F1646="","",INDEX(Deals!$E$2:$E$843,F1646))</f>
        <v/>
      </c>
      <c r="I1646">
        <f>IF(F1646="","",INDEX(Deals!$D$2:$D$843,F1646))</f>
        <v/>
      </c>
      <c r="J1646">
        <f>IF(F1646="","",INT(H1646)-B1646)</f>
        <v/>
      </c>
      <c r="K1646">
        <f>IF(B1646&gt;=Settings!$C$5,1,0)</f>
        <v/>
      </c>
    </row>
    <row r="1647">
      <c r="A1647" t="inlineStr">
        <is>
          <t>5b2b90013bf899246dfdfd063813e999</t>
        </is>
      </c>
      <c r="B1647" s="29" t="n">
        <v>43229</v>
      </c>
      <c r="C1647" t="inlineStr">
        <is>
          <t>2018-05</t>
        </is>
      </c>
      <c r="D1647" t="inlineStr">
        <is>
          <t>8ff57dffc365fcb5233232fff6e6bfd0</t>
        </is>
      </c>
      <c r="E1647" t="inlineStr">
        <is>
          <t>organic_search</t>
        </is>
      </c>
      <c r="F1647">
        <f>IFERROR(MATCH(A1647,Deals!$A$2:$A$843,0),"")</f>
        <v/>
      </c>
      <c r="G1647">
        <f>IF(F1647="",0,1)</f>
        <v/>
      </c>
      <c r="H1647" s="29">
        <f>IF(F1647="","",INDEX(Deals!$E$2:$E$843,F1647))</f>
        <v/>
      </c>
      <c r="I1647">
        <f>IF(F1647="","",INDEX(Deals!$D$2:$D$843,F1647))</f>
        <v/>
      </c>
      <c r="J1647">
        <f>IF(F1647="","",INT(H1647)-B1647)</f>
        <v/>
      </c>
      <c r="K1647">
        <f>IF(B1647&gt;=Settings!$C$5,1,0)</f>
        <v/>
      </c>
    </row>
    <row r="1648">
      <c r="A1648" t="inlineStr">
        <is>
          <t>f6127362ba4727c54d742b7ab1ae7c1c</t>
        </is>
      </c>
      <c r="B1648" s="29" t="n">
        <v>43206</v>
      </c>
      <c r="C1648" t="inlineStr">
        <is>
          <t>2018-04</t>
        </is>
      </c>
      <c r="D1648" t="inlineStr">
        <is>
          <t>bdaeb752e5c3caa215ebe04c61e22325</t>
        </is>
      </c>
      <c r="E1648" t="inlineStr">
        <is>
          <t>paid_search</t>
        </is>
      </c>
      <c r="F1648">
        <f>IFERROR(MATCH(A1648,Deals!$A$2:$A$843,0),"")</f>
        <v/>
      </c>
      <c r="G1648">
        <f>IF(F1648="",0,1)</f>
        <v/>
      </c>
      <c r="H1648" s="29">
        <f>IF(F1648="","",INDEX(Deals!$E$2:$E$843,F1648))</f>
        <v/>
      </c>
      <c r="I1648">
        <f>IF(F1648="","",INDEX(Deals!$D$2:$D$843,F1648))</f>
        <v/>
      </c>
      <c r="J1648">
        <f>IF(F1648="","",INT(H1648)-B1648)</f>
        <v/>
      </c>
      <c r="K1648">
        <f>IF(B1648&gt;=Settings!$C$5,1,0)</f>
        <v/>
      </c>
    </row>
    <row r="1649">
      <c r="A1649" t="inlineStr">
        <is>
          <t>ea344d40ba4d83dcb5e08328b1789614</t>
        </is>
      </c>
      <c r="B1649" s="29" t="n">
        <v>43125</v>
      </c>
      <c r="C1649" t="inlineStr">
        <is>
          <t>2018-01</t>
        </is>
      </c>
      <c r="D1649" t="inlineStr">
        <is>
          <t>e492ee5eaf1697716985cc6f33f9cd9b</t>
        </is>
      </c>
      <c r="E1649" t="inlineStr">
        <is>
          <t>organic_search</t>
        </is>
      </c>
      <c r="F1649">
        <f>IFERROR(MATCH(A1649,Deals!$A$2:$A$843,0),"")</f>
        <v/>
      </c>
      <c r="G1649">
        <f>IF(F1649="",0,1)</f>
        <v/>
      </c>
      <c r="H1649" s="29">
        <f>IF(F1649="","",INDEX(Deals!$E$2:$E$843,F1649))</f>
        <v/>
      </c>
      <c r="I1649">
        <f>IF(F1649="","",INDEX(Deals!$D$2:$D$843,F1649))</f>
        <v/>
      </c>
      <c r="J1649">
        <f>IF(F1649="","",INT(H1649)-B1649)</f>
        <v/>
      </c>
      <c r="K1649">
        <f>IF(B1649&gt;=Settings!$C$5,1,0)</f>
        <v/>
      </c>
    </row>
    <row r="1650">
      <c r="A1650" t="inlineStr">
        <is>
          <t>164ecd36bc9fc1781df239d00b004d3b</t>
        </is>
      </c>
      <c r="B1650" s="29" t="n">
        <v>42923</v>
      </c>
      <c r="C1650" t="inlineStr">
        <is>
          <t>2017-07</t>
        </is>
      </c>
      <c r="D1650" t="inlineStr">
        <is>
          <t>241f79c7a8fe0270f4fb79fcbbcd17ad</t>
        </is>
      </c>
      <c r="E1650" t="inlineStr">
        <is>
          <t>paid_search</t>
        </is>
      </c>
      <c r="F1650">
        <f>IFERROR(MATCH(A1650,Deals!$A$2:$A$843,0),"")</f>
        <v/>
      </c>
      <c r="G1650">
        <f>IF(F1650="",0,1)</f>
        <v/>
      </c>
      <c r="H1650" s="29">
        <f>IF(F1650="","",INDEX(Deals!$E$2:$E$843,F1650))</f>
        <v/>
      </c>
      <c r="I1650">
        <f>IF(F1650="","",INDEX(Deals!$D$2:$D$843,F1650))</f>
        <v/>
      </c>
      <c r="J1650">
        <f>IF(F1650="","",INT(H1650)-B1650)</f>
        <v/>
      </c>
      <c r="K1650">
        <f>IF(B1650&gt;=Settings!$C$5,1,0)</f>
        <v/>
      </c>
    </row>
    <row r="1651">
      <c r="A1651" t="inlineStr">
        <is>
          <t>4dad75d2365dedf73aa94b7606de7426</t>
        </is>
      </c>
      <c r="B1651" s="29" t="n">
        <v>43095</v>
      </c>
      <c r="C1651" t="inlineStr">
        <is>
          <t>2017-12</t>
        </is>
      </c>
      <c r="D1651" t="inlineStr">
        <is>
          <t>f017be4dbf86243af5c1ebed0cff36a2</t>
        </is>
      </c>
      <c r="E1651" t="inlineStr">
        <is>
          <t>organic_search</t>
        </is>
      </c>
      <c r="F1651">
        <f>IFERROR(MATCH(A1651,Deals!$A$2:$A$843,0),"")</f>
        <v/>
      </c>
      <c r="G1651">
        <f>IF(F1651="",0,1)</f>
        <v/>
      </c>
      <c r="H1651" s="29">
        <f>IF(F1651="","",INDEX(Deals!$E$2:$E$843,F1651))</f>
        <v/>
      </c>
      <c r="I1651">
        <f>IF(F1651="","",INDEX(Deals!$D$2:$D$843,F1651))</f>
        <v/>
      </c>
      <c r="J1651">
        <f>IF(F1651="","",INT(H1651)-B1651)</f>
        <v/>
      </c>
      <c r="K1651">
        <f>IF(B1651&gt;=Settings!$C$5,1,0)</f>
        <v/>
      </c>
    </row>
    <row r="1652">
      <c r="A1652" t="inlineStr">
        <is>
          <t>cacee9a8b1df96c354216d0e4e16014a</t>
        </is>
      </c>
      <c r="B1652" s="29" t="n">
        <v>43202</v>
      </c>
      <c r="C1652" t="inlineStr">
        <is>
          <t>2018-04</t>
        </is>
      </c>
      <c r="D1652" t="inlineStr">
        <is>
          <t>83ccc33d426eab8a3db70bd15aba46b8</t>
        </is>
      </c>
      <c r="E1652" t="inlineStr">
        <is>
          <t>direct_traffic</t>
        </is>
      </c>
      <c r="F1652">
        <f>IFERROR(MATCH(A1652,Deals!$A$2:$A$843,0),"")</f>
        <v/>
      </c>
      <c r="G1652">
        <f>IF(F1652="",0,1)</f>
        <v/>
      </c>
      <c r="H1652" s="29">
        <f>IF(F1652="","",INDEX(Deals!$E$2:$E$843,F1652))</f>
        <v/>
      </c>
      <c r="I1652">
        <f>IF(F1652="","",INDEX(Deals!$D$2:$D$843,F1652))</f>
        <v/>
      </c>
      <c r="J1652">
        <f>IF(F1652="","",INT(H1652)-B1652)</f>
        <v/>
      </c>
      <c r="K1652">
        <f>IF(B1652&gt;=Settings!$C$5,1,0)</f>
        <v/>
      </c>
    </row>
    <row r="1653">
      <c r="A1653" t="inlineStr">
        <is>
          <t>4a2c2a734b252dc23c12ab78188606df</t>
        </is>
      </c>
      <c r="B1653" s="29" t="n">
        <v>43251</v>
      </c>
      <c r="C1653" t="inlineStr">
        <is>
          <t>2018-05</t>
        </is>
      </c>
      <c r="D1653" t="inlineStr">
        <is>
          <t>a7982125ff7aa3b2054c6e44f9d28522</t>
        </is>
      </c>
      <c r="E1653" t="inlineStr">
        <is>
          <t>direct_traffic</t>
        </is>
      </c>
      <c r="F1653">
        <f>IFERROR(MATCH(A1653,Deals!$A$2:$A$843,0),"")</f>
        <v/>
      </c>
      <c r="G1653">
        <f>IF(F1653="",0,1)</f>
        <v/>
      </c>
      <c r="H1653" s="29">
        <f>IF(F1653="","",INDEX(Deals!$E$2:$E$843,F1653))</f>
        <v/>
      </c>
      <c r="I1653">
        <f>IF(F1653="","",INDEX(Deals!$D$2:$D$843,F1653))</f>
        <v/>
      </c>
      <c r="J1653">
        <f>IF(F1653="","",INT(H1653)-B1653)</f>
        <v/>
      </c>
      <c r="K1653">
        <f>IF(B1653&gt;=Settings!$C$5,1,0)</f>
        <v/>
      </c>
    </row>
    <row r="1654">
      <c r="A1654" t="inlineStr">
        <is>
          <t>115679d0a013d1e98730c72c91dd0123</t>
        </is>
      </c>
      <c r="B1654" s="29" t="n">
        <v>43122</v>
      </c>
      <c r="C1654" t="inlineStr">
        <is>
          <t>2018-01</t>
        </is>
      </c>
      <c r="D1654" t="inlineStr">
        <is>
          <t>b76ef37428e6799c421989521c0e5077</t>
        </is>
      </c>
      <c r="E1654" t="inlineStr">
        <is>
          <t>unknown</t>
        </is>
      </c>
      <c r="F1654">
        <f>IFERROR(MATCH(A1654,Deals!$A$2:$A$843,0),"")</f>
        <v/>
      </c>
      <c r="G1654">
        <f>IF(F1654="",0,1)</f>
        <v/>
      </c>
      <c r="H1654" s="29">
        <f>IF(F1654="","",INDEX(Deals!$E$2:$E$843,F1654))</f>
        <v/>
      </c>
      <c r="I1654">
        <f>IF(F1654="","",INDEX(Deals!$D$2:$D$843,F1654))</f>
        <v/>
      </c>
      <c r="J1654">
        <f>IF(F1654="","",INT(H1654)-B1654)</f>
        <v/>
      </c>
      <c r="K1654">
        <f>IF(B1654&gt;=Settings!$C$5,1,0)</f>
        <v/>
      </c>
    </row>
    <row r="1655">
      <c r="A1655" t="inlineStr">
        <is>
          <t>51ac520c783d88964a793e455dae3506</t>
        </is>
      </c>
      <c r="B1655" s="29" t="n">
        <v>43115</v>
      </c>
      <c r="C1655" t="inlineStr">
        <is>
          <t>2018-01</t>
        </is>
      </c>
      <c r="D1655" t="inlineStr">
        <is>
          <t>b76ef37428e6799c421989521c0e5077</t>
        </is>
      </c>
      <c r="E1655" t="inlineStr">
        <is>
          <t>unknown</t>
        </is>
      </c>
      <c r="F1655">
        <f>IFERROR(MATCH(A1655,Deals!$A$2:$A$843,0),"")</f>
        <v/>
      </c>
      <c r="G1655">
        <f>IF(F1655="",0,1)</f>
        <v/>
      </c>
      <c r="H1655" s="29">
        <f>IF(F1655="","",INDEX(Deals!$E$2:$E$843,F1655))</f>
        <v/>
      </c>
      <c r="I1655">
        <f>IF(F1655="","",INDEX(Deals!$D$2:$D$843,F1655))</f>
        <v/>
      </c>
      <c r="J1655">
        <f>IF(F1655="","",INT(H1655)-B1655)</f>
        <v/>
      </c>
      <c r="K1655">
        <f>IF(B1655&gt;=Settings!$C$5,1,0)</f>
        <v/>
      </c>
    </row>
    <row r="1656">
      <c r="A1656" t="inlineStr">
        <is>
          <t>43270821c3f3f838312dc462c8d920cc</t>
        </is>
      </c>
      <c r="B1656" s="29" t="n">
        <v>43184</v>
      </c>
      <c r="C1656" t="inlineStr">
        <is>
          <t>2018-03</t>
        </is>
      </c>
      <c r="D1656" t="inlineStr">
        <is>
          <t>a7982125ff7aa3b2054c6e44f9d28522</t>
        </is>
      </c>
      <c r="E1656" t="inlineStr">
        <is>
          <t>organic_search</t>
        </is>
      </c>
      <c r="F1656">
        <f>IFERROR(MATCH(A1656,Deals!$A$2:$A$843,0),"")</f>
        <v/>
      </c>
      <c r="G1656">
        <f>IF(F1656="",0,1)</f>
        <v/>
      </c>
      <c r="H1656" s="29">
        <f>IF(F1656="","",INDEX(Deals!$E$2:$E$843,F1656))</f>
        <v/>
      </c>
      <c r="I1656">
        <f>IF(F1656="","",INDEX(Deals!$D$2:$D$843,F1656))</f>
        <v/>
      </c>
      <c r="J1656">
        <f>IF(F1656="","",INT(H1656)-B1656)</f>
        <v/>
      </c>
      <c r="K1656">
        <f>IF(B1656&gt;=Settings!$C$5,1,0)</f>
        <v/>
      </c>
    </row>
    <row r="1657">
      <c r="A1657" t="inlineStr">
        <is>
          <t>34c5b339ea5917d60a26a3d1ef3a8fb2</t>
        </is>
      </c>
      <c r="B1657" s="29" t="n">
        <v>43077</v>
      </c>
      <c r="C1657" t="inlineStr">
        <is>
          <t>2017-12</t>
        </is>
      </c>
      <c r="D1657" t="inlineStr">
        <is>
          <t>22c29808c4f815213303f8933030604c</t>
        </is>
      </c>
      <c r="E1657" t="inlineStr">
        <is>
          <t>organic_search</t>
        </is>
      </c>
      <c r="F1657">
        <f>IFERROR(MATCH(A1657,Deals!$A$2:$A$843,0),"")</f>
        <v/>
      </c>
      <c r="G1657">
        <f>IF(F1657="",0,1)</f>
        <v/>
      </c>
      <c r="H1657" s="29">
        <f>IF(F1657="","",INDEX(Deals!$E$2:$E$843,F1657))</f>
        <v/>
      </c>
      <c r="I1657">
        <f>IF(F1657="","",INDEX(Deals!$D$2:$D$843,F1657))</f>
        <v/>
      </c>
      <c r="J1657">
        <f>IF(F1657="","",INT(H1657)-B1657)</f>
        <v/>
      </c>
      <c r="K1657">
        <f>IF(B1657&gt;=Settings!$C$5,1,0)</f>
        <v/>
      </c>
    </row>
    <row r="1658">
      <c r="A1658" t="inlineStr">
        <is>
          <t>a48afc5e23ee2d4ac60701c938dc4d6e</t>
        </is>
      </c>
      <c r="B1658" s="29" t="n">
        <v>43201</v>
      </c>
      <c r="C1658" t="inlineStr">
        <is>
          <t>2018-04</t>
        </is>
      </c>
      <c r="D1658" t="inlineStr">
        <is>
          <t>58326e62183c14b0c03085c33b9fdc44</t>
        </is>
      </c>
      <c r="E1658" t="inlineStr">
        <is>
          <t>social</t>
        </is>
      </c>
      <c r="F1658">
        <f>IFERROR(MATCH(A1658,Deals!$A$2:$A$843,0),"")</f>
        <v/>
      </c>
      <c r="G1658">
        <f>IF(F1658="",0,1)</f>
        <v/>
      </c>
      <c r="H1658" s="29">
        <f>IF(F1658="","",INDEX(Deals!$E$2:$E$843,F1658))</f>
        <v/>
      </c>
      <c r="I1658">
        <f>IF(F1658="","",INDEX(Deals!$D$2:$D$843,F1658))</f>
        <v/>
      </c>
      <c r="J1658">
        <f>IF(F1658="","",INT(H1658)-B1658)</f>
        <v/>
      </c>
      <c r="K1658">
        <f>IF(B1658&gt;=Settings!$C$5,1,0)</f>
        <v/>
      </c>
    </row>
    <row r="1659">
      <c r="A1659" t="inlineStr">
        <is>
          <t>77256f6a65f788492187ca266030af59</t>
        </is>
      </c>
      <c r="B1659" s="29" t="n">
        <v>43180</v>
      </c>
      <c r="C1659" t="inlineStr">
        <is>
          <t>2018-03</t>
        </is>
      </c>
      <c r="D1659" t="inlineStr">
        <is>
          <t>dcdbbb0bb43f5c9ea457a8363db87e73</t>
        </is>
      </c>
      <c r="E1659" t="inlineStr">
        <is>
          <t>email</t>
        </is>
      </c>
      <c r="F1659">
        <f>IFERROR(MATCH(A1659,Deals!$A$2:$A$843,0),"")</f>
        <v/>
      </c>
      <c r="G1659">
        <f>IF(F1659="",0,1)</f>
        <v/>
      </c>
      <c r="H1659" s="29">
        <f>IF(F1659="","",INDEX(Deals!$E$2:$E$843,F1659))</f>
        <v/>
      </c>
      <c r="I1659">
        <f>IF(F1659="","",INDEX(Deals!$D$2:$D$843,F1659))</f>
        <v/>
      </c>
      <c r="J1659">
        <f>IF(F1659="","",INT(H1659)-B1659)</f>
        <v/>
      </c>
      <c r="K1659">
        <f>IF(B1659&gt;=Settings!$C$5,1,0)</f>
        <v/>
      </c>
    </row>
    <row r="1660">
      <c r="A1660" t="inlineStr">
        <is>
          <t>3af7a3caf8d2fe05aaf020bdb06f833c</t>
        </is>
      </c>
      <c r="B1660" s="29" t="n">
        <v>43194</v>
      </c>
      <c r="C1660" t="inlineStr">
        <is>
          <t>2018-04</t>
        </is>
      </c>
      <c r="D1660" t="inlineStr">
        <is>
          <t>b76ef37428e6799c421989521c0e5077</t>
        </is>
      </c>
      <c r="E1660" t="inlineStr">
        <is>
          <t>unknown</t>
        </is>
      </c>
      <c r="F1660">
        <f>IFERROR(MATCH(A1660,Deals!$A$2:$A$843,0),"")</f>
        <v/>
      </c>
      <c r="G1660">
        <f>IF(F1660="",0,1)</f>
        <v/>
      </c>
      <c r="H1660" s="29">
        <f>IF(F1660="","",INDEX(Deals!$E$2:$E$843,F1660))</f>
        <v/>
      </c>
      <c r="I1660">
        <f>IF(F1660="","",INDEX(Deals!$D$2:$D$843,F1660))</f>
        <v/>
      </c>
      <c r="J1660">
        <f>IF(F1660="","",INT(H1660)-B1660)</f>
        <v/>
      </c>
      <c r="K1660">
        <f>IF(B1660&gt;=Settings!$C$5,1,0)</f>
        <v/>
      </c>
    </row>
    <row r="1661">
      <c r="A1661" t="inlineStr">
        <is>
          <t>95f00bc44b6f60f6bd75f28170a24740</t>
        </is>
      </c>
      <c r="B1661" s="29" t="n">
        <v>43188</v>
      </c>
      <c r="C1661" t="inlineStr">
        <is>
          <t>2018-03</t>
        </is>
      </c>
      <c r="D1661" t="inlineStr">
        <is>
          <t>22c29808c4f815213303f8933030604c</t>
        </is>
      </c>
      <c r="E1661" t="inlineStr">
        <is>
          <t>paid_search</t>
        </is>
      </c>
      <c r="F1661">
        <f>IFERROR(MATCH(A1661,Deals!$A$2:$A$843,0),"")</f>
        <v/>
      </c>
      <c r="G1661">
        <f>IF(F1661="",0,1)</f>
        <v/>
      </c>
      <c r="H1661" s="29">
        <f>IF(F1661="","",INDEX(Deals!$E$2:$E$843,F1661))</f>
        <v/>
      </c>
      <c r="I1661">
        <f>IF(F1661="","",INDEX(Deals!$D$2:$D$843,F1661))</f>
        <v/>
      </c>
      <c r="J1661">
        <f>IF(F1661="","",INT(H1661)-B1661)</f>
        <v/>
      </c>
      <c r="K1661">
        <f>IF(B1661&gt;=Settings!$C$5,1,0)</f>
        <v/>
      </c>
    </row>
    <row r="1662">
      <c r="A1662" t="inlineStr">
        <is>
          <t>f1294e4013a5d5f467bdb6cde16adf35</t>
        </is>
      </c>
      <c r="B1662" s="29" t="n">
        <v>43126</v>
      </c>
      <c r="C1662" t="inlineStr">
        <is>
          <t>2018-01</t>
        </is>
      </c>
      <c r="D1662" t="inlineStr">
        <is>
          <t>b6885f18d203a61176418c1fb3764815</t>
        </is>
      </c>
      <c r="E1662" t="inlineStr">
        <is>
          <t>organic_search</t>
        </is>
      </c>
      <c r="F1662">
        <f>IFERROR(MATCH(A1662,Deals!$A$2:$A$843,0),"")</f>
        <v/>
      </c>
      <c r="G1662">
        <f>IF(F1662="",0,1)</f>
        <v/>
      </c>
      <c r="H1662" s="29">
        <f>IF(F1662="","",INDEX(Deals!$E$2:$E$843,F1662))</f>
        <v/>
      </c>
      <c r="I1662">
        <f>IF(F1662="","",INDEX(Deals!$D$2:$D$843,F1662))</f>
        <v/>
      </c>
      <c r="J1662">
        <f>IF(F1662="","",INT(H1662)-B1662)</f>
        <v/>
      </c>
      <c r="K1662">
        <f>IF(B1662&gt;=Settings!$C$5,1,0)</f>
        <v/>
      </c>
    </row>
    <row r="1663">
      <c r="A1663" t="inlineStr">
        <is>
          <t>2448225d3dfa0dc52632c746aa76b66e</t>
        </is>
      </c>
      <c r="B1663" s="29" t="n">
        <v>43209</v>
      </c>
      <c r="C1663" t="inlineStr">
        <is>
          <t>2018-04</t>
        </is>
      </c>
      <c r="D1663" t="inlineStr">
        <is>
          <t>b76ef37428e6799c421989521c0e5077</t>
        </is>
      </c>
      <c r="E1663" t="inlineStr">
        <is>
          <t>unknown</t>
        </is>
      </c>
      <c r="F1663">
        <f>IFERROR(MATCH(A1663,Deals!$A$2:$A$843,0),"")</f>
        <v/>
      </c>
      <c r="G1663">
        <f>IF(F1663="",0,1)</f>
        <v/>
      </c>
      <c r="H1663" s="29">
        <f>IF(F1663="","",INDEX(Deals!$E$2:$E$843,F1663))</f>
        <v/>
      </c>
      <c r="I1663">
        <f>IF(F1663="","",INDEX(Deals!$D$2:$D$843,F1663))</f>
        <v/>
      </c>
      <c r="J1663">
        <f>IF(F1663="","",INT(H1663)-B1663)</f>
        <v/>
      </c>
      <c r="K1663">
        <f>IF(B1663&gt;=Settings!$C$5,1,0)</f>
        <v/>
      </c>
    </row>
    <row r="1664">
      <c r="A1664" t="inlineStr">
        <is>
          <t>d7e7bd5df3a07138eb7cb500f01f89fe</t>
        </is>
      </c>
      <c r="B1664" s="29" t="n">
        <v>43040</v>
      </c>
      <c r="C1664" t="inlineStr">
        <is>
          <t>2017-11</t>
        </is>
      </c>
      <c r="D1664" t="inlineStr">
        <is>
          <t>21a104c3279681d9856b8a48723c4fee</t>
        </is>
      </c>
      <c r="E1664" t="inlineStr">
        <is>
          <t>paid_search</t>
        </is>
      </c>
      <c r="F1664">
        <f>IFERROR(MATCH(A1664,Deals!$A$2:$A$843,0),"")</f>
        <v/>
      </c>
      <c r="G1664">
        <f>IF(F1664="",0,1)</f>
        <v/>
      </c>
      <c r="H1664" s="29">
        <f>IF(F1664="","",INDEX(Deals!$E$2:$E$843,F1664))</f>
        <v/>
      </c>
      <c r="I1664">
        <f>IF(F1664="","",INDEX(Deals!$D$2:$D$843,F1664))</f>
        <v/>
      </c>
      <c r="J1664">
        <f>IF(F1664="","",INT(H1664)-B1664)</f>
        <v/>
      </c>
      <c r="K1664">
        <f>IF(B1664&gt;=Settings!$C$5,1,0)</f>
        <v/>
      </c>
    </row>
    <row r="1665">
      <c r="A1665" t="inlineStr">
        <is>
          <t>c706c2ec1c2d50d5ea2382392dbe1b4b</t>
        </is>
      </c>
      <c r="B1665" s="29" t="n">
        <v>43208</v>
      </c>
      <c r="C1665" t="inlineStr">
        <is>
          <t>2018-04</t>
        </is>
      </c>
      <c r="D1665" t="inlineStr">
        <is>
          <t>57d5edb1844a746128fd1274524b94c7</t>
        </is>
      </c>
      <c r="E1665" t="inlineStr">
        <is>
          <t>organic_search</t>
        </is>
      </c>
      <c r="F1665">
        <f>IFERROR(MATCH(A1665,Deals!$A$2:$A$843,0),"")</f>
        <v/>
      </c>
      <c r="G1665">
        <f>IF(F1665="",0,1)</f>
        <v/>
      </c>
      <c r="H1665" s="29">
        <f>IF(F1665="","",INDEX(Deals!$E$2:$E$843,F1665))</f>
        <v/>
      </c>
      <c r="I1665">
        <f>IF(F1665="","",INDEX(Deals!$D$2:$D$843,F1665))</f>
        <v/>
      </c>
      <c r="J1665">
        <f>IF(F1665="","",INT(H1665)-B1665)</f>
        <v/>
      </c>
      <c r="K1665">
        <f>IF(B1665&gt;=Settings!$C$5,1,0)</f>
        <v/>
      </c>
    </row>
    <row r="1666">
      <c r="A1666" t="inlineStr">
        <is>
          <t>e3dcbbd3700f2751672af339581d8fa3</t>
        </is>
      </c>
      <c r="B1666" s="29" t="n">
        <v>43128</v>
      </c>
      <c r="C1666" t="inlineStr">
        <is>
          <t>2018-01</t>
        </is>
      </c>
      <c r="D1666" t="inlineStr">
        <is>
          <t>22c29808c4f815213303f8933030604c</t>
        </is>
      </c>
      <c r="E1666" t="inlineStr">
        <is>
          <t>organic_search</t>
        </is>
      </c>
      <c r="F1666">
        <f>IFERROR(MATCH(A1666,Deals!$A$2:$A$843,0),"")</f>
        <v/>
      </c>
      <c r="G1666">
        <f>IF(F1666="",0,1)</f>
        <v/>
      </c>
      <c r="H1666" s="29">
        <f>IF(F1666="","",INDEX(Deals!$E$2:$E$843,F1666))</f>
        <v/>
      </c>
      <c r="I1666">
        <f>IF(F1666="","",INDEX(Deals!$D$2:$D$843,F1666))</f>
        <v/>
      </c>
      <c r="J1666">
        <f>IF(F1666="","",INT(H1666)-B1666)</f>
        <v/>
      </c>
      <c r="K1666">
        <f>IF(B1666&gt;=Settings!$C$5,1,0)</f>
        <v/>
      </c>
    </row>
    <row r="1667">
      <c r="A1667" t="inlineStr">
        <is>
          <t>ca6127525a83011e6a686a3e49cad955</t>
        </is>
      </c>
      <c r="B1667" s="29" t="n">
        <v>43244</v>
      </c>
      <c r="C1667" t="inlineStr">
        <is>
          <t>2018-05</t>
        </is>
      </c>
      <c r="D1667" t="inlineStr">
        <is>
          <t>ce1a65abd0973638f1c887a6efcfa82d</t>
        </is>
      </c>
      <c r="E1667" t="inlineStr">
        <is>
          <t>organic_search</t>
        </is>
      </c>
      <c r="F1667">
        <f>IFERROR(MATCH(A1667,Deals!$A$2:$A$843,0),"")</f>
        <v/>
      </c>
      <c r="G1667">
        <f>IF(F1667="",0,1)</f>
        <v/>
      </c>
      <c r="H1667" s="29">
        <f>IF(F1667="","",INDEX(Deals!$E$2:$E$843,F1667))</f>
        <v/>
      </c>
      <c r="I1667">
        <f>IF(F1667="","",INDEX(Deals!$D$2:$D$843,F1667))</f>
        <v/>
      </c>
      <c r="J1667">
        <f>IF(F1667="","",INT(H1667)-B1667)</f>
        <v/>
      </c>
      <c r="K1667">
        <f>IF(B1667&gt;=Settings!$C$5,1,0)</f>
        <v/>
      </c>
    </row>
    <row r="1668">
      <c r="A1668" t="inlineStr">
        <is>
          <t>7b42e2bdd7970b25e929cfd12c64f23c</t>
        </is>
      </c>
      <c r="B1668" s="29" t="n">
        <v>43152</v>
      </c>
      <c r="C1668" t="inlineStr">
        <is>
          <t>2018-02</t>
        </is>
      </c>
      <c r="D1668" t="inlineStr">
        <is>
          <t>b76ef37428e6799c421989521c0e5077</t>
        </is>
      </c>
      <c r="E1668" t="inlineStr">
        <is>
          <t>unknown</t>
        </is>
      </c>
      <c r="F1668">
        <f>IFERROR(MATCH(A1668,Deals!$A$2:$A$843,0),"")</f>
        <v/>
      </c>
      <c r="G1668">
        <f>IF(F1668="",0,1)</f>
        <v/>
      </c>
      <c r="H1668" s="29">
        <f>IF(F1668="","",INDEX(Deals!$E$2:$E$843,F1668))</f>
        <v/>
      </c>
      <c r="I1668">
        <f>IF(F1668="","",INDEX(Deals!$D$2:$D$843,F1668))</f>
        <v/>
      </c>
      <c r="J1668">
        <f>IF(F1668="","",INT(H1668)-B1668)</f>
        <v/>
      </c>
      <c r="K1668">
        <f>IF(B1668&gt;=Settings!$C$5,1,0)</f>
        <v/>
      </c>
    </row>
    <row r="1669">
      <c r="A1669" t="inlineStr">
        <is>
          <t>0bdd7c4a155e5f79a8d081741b2828b4</t>
        </is>
      </c>
      <c r="B1669" s="29" t="n">
        <v>43205</v>
      </c>
      <c r="C1669" t="inlineStr">
        <is>
          <t>2018-04</t>
        </is>
      </c>
      <c r="D1669" t="inlineStr">
        <is>
          <t>58326e62183c14b0c03085c33b9fdc44</t>
        </is>
      </c>
      <c r="E1669" t="inlineStr">
        <is>
          <t>social</t>
        </is>
      </c>
      <c r="F1669">
        <f>IFERROR(MATCH(A1669,Deals!$A$2:$A$843,0),"")</f>
        <v/>
      </c>
      <c r="G1669">
        <f>IF(F1669="",0,1)</f>
        <v/>
      </c>
      <c r="H1669" s="29">
        <f>IF(F1669="","",INDEX(Deals!$E$2:$E$843,F1669))</f>
        <v/>
      </c>
      <c r="I1669">
        <f>IF(F1669="","",INDEX(Deals!$D$2:$D$843,F1669))</f>
        <v/>
      </c>
      <c r="J1669">
        <f>IF(F1669="","",INT(H1669)-B1669)</f>
        <v/>
      </c>
      <c r="K1669">
        <f>IF(B1669&gt;=Settings!$C$5,1,0)</f>
        <v/>
      </c>
    </row>
    <row r="1670">
      <c r="A1670" t="inlineStr">
        <is>
          <t>c721af033e9cb9e718f1ce3ca2c4e09c</t>
        </is>
      </c>
      <c r="B1670" s="29" t="n">
        <v>43031</v>
      </c>
      <c r="C1670" t="inlineStr">
        <is>
          <t>2017-10</t>
        </is>
      </c>
      <c r="D1670" t="inlineStr">
        <is>
          <t>007f9098284a86ee80ddeb25d53e0af8</t>
        </is>
      </c>
      <c r="E1670" t="inlineStr">
        <is>
          <t>paid_search</t>
        </is>
      </c>
      <c r="F1670">
        <f>IFERROR(MATCH(A1670,Deals!$A$2:$A$843,0),"")</f>
        <v/>
      </c>
      <c r="G1670">
        <f>IF(F1670="",0,1)</f>
        <v/>
      </c>
      <c r="H1670" s="29">
        <f>IF(F1670="","",INDEX(Deals!$E$2:$E$843,F1670))</f>
        <v/>
      </c>
      <c r="I1670">
        <f>IF(F1670="","",INDEX(Deals!$D$2:$D$843,F1670))</f>
        <v/>
      </c>
      <c r="J1670">
        <f>IF(F1670="","",INT(H1670)-B1670)</f>
        <v/>
      </c>
      <c r="K1670">
        <f>IF(B1670&gt;=Settings!$C$5,1,0)</f>
        <v/>
      </c>
    </row>
    <row r="1671">
      <c r="A1671" t="inlineStr">
        <is>
          <t>1d5fe42fe9d32afaa94d6b020be8384c</t>
        </is>
      </c>
      <c r="B1671" s="29" t="n">
        <v>43106</v>
      </c>
      <c r="C1671" t="inlineStr">
        <is>
          <t>2018-01</t>
        </is>
      </c>
      <c r="D1671" t="inlineStr">
        <is>
          <t>489a340e7e59e0bcbec67b4a19c1b229</t>
        </is>
      </c>
      <c r="E1671" t="inlineStr">
        <is>
          <t>paid_search</t>
        </is>
      </c>
      <c r="F1671">
        <f>IFERROR(MATCH(A1671,Deals!$A$2:$A$843,0),"")</f>
        <v/>
      </c>
      <c r="G1671">
        <f>IF(F1671="",0,1)</f>
        <v/>
      </c>
      <c r="H1671" s="29">
        <f>IF(F1671="","",INDEX(Deals!$E$2:$E$843,F1671))</f>
        <v/>
      </c>
      <c r="I1671">
        <f>IF(F1671="","",INDEX(Deals!$D$2:$D$843,F1671))</f>
        <v/>
      </c>
      <c r="J1671">
        <f>IF(F1671="","",INT(H1671)-B1671)</f>
        <v/>
      </c>
      <c r="K1671">
        <f>IF(B1671&gt;=Settings!$C$5,1,0)</f>
        <v/>
      </c>
    </row>
    <row r="1672">
      <c r="A1672" t="inlineStr">
        <is>
          <t>f49a02e0f135ae9f2bcf60f55bcd0174</t>
        </is>
      </c>
      <c r="B1672" s="29" t="n">
        <v>43106</v>
      </c>
      <c r="C1672" t="inlineStr">
        <is>
          <t>2018-01</t>
        </is>
      </c>
      <c r="D1672" t="inlineStr">
        <is>
          <t>ce1a65abd0973638f1c887a6efcfa82d</t>
        </is>
      </c>
      <c r="E1672" t="inlineStr">
        <is>
          <t>organic_search</t>
        </is>
      </c>
      <c r="F1672">
        <f>IFERROR(MATCH(A1672,Deals!$A$2:$A$843,0),"")</f>
        <v/>
      </c>
      <c r="G1672">
        <f>IF(F1672="",0,1)</f>
        <v/>
      </c>
      <c r="H1672" s="29">
        <f>IF(F1672="","",INDEX(Deals!$E$2:$E$843,F1672))</f>
        <v/>
      </c>
      <c r="I1672">
        <f>IF(F1672="","",INDEX(Deals!$D$2:$D$843,F1672))</f>
        <v/>
      </c>
      <c r="J1672">
        <f>IF(F1672="","",INT(H1672)-B1672)</f>
        <v/>
      </c>
      <c r="K1672">
        <f>IF(B1672&gt;=Settings!$C$5,1,0)</f>
        <v/>
      </c>
    </row>
    <row r="1673">
      <c r="A1673" t="inlineStr">
        <is>
          <t>3829860e770a42d68f8328a71a8bd353</t>
        </is>
      </c>
      <c r="B1673" s="29" t="n">
        <v>43117</v>
      </c>
      <c r="C1673" t="inlineStr">
        <is>
          <t>2018-01</t>
        </is>
      </c>
      <c r="D1673" t="inlineStr">
        <is>
          <t>88740e65d5d6b056e0cda098e1ea6313</t>
        </is>
      </c>
      <c r="E1673" t="inlineStr">
        <is>
          <t>direct_traffic</t>
        </is>
      </c>
      <c r="F1673">
        <f>IFERROR(MATCH(A1673,Deals!$A$2:$A$843,0),"")</f>
        <v/>
      </c>
      <c r="G1673">
        <f>IF(F1673="",0,1)</f>
        <v/>
      </c>
      <c r="H1673" s="29">
        <f>IF(F1673="","",INDEX(Deals!$E$2:$E$843,F1673))</f>
        <v/>
      </c>
      <c r="I1673">
        <f>IF(F1673="","",INDEX(Deals!$D$2:$D$843,F1673))</f>
        <v/>
      </c>
      <c r="J1673">
        <f>IF(F1673="","",INT(H1673)-B1673)</f>
        <v/>
      </c>
      <c r="K1673">
        <f>IF(B1673&gt;=Settings!$C$5,1,0)</f>
        <v/>
      </c>
    </row>
    <row r="1674">
      <c r="A1674" t="inlineStr">
        <is>
          <t>6bcbf359dd1fca3e6b281096abb24303</t>
        </is>
      </c>
      <c r="B1674" s="29" t="n">
        <v>43012</v>
      </c>
      <c r="C1674" t="inlineStr">
        <is>
          <t>2017-10</t>
        </is>
      </c>
      <c r="D1674" t="inlineStr">
        <is>
          <t>b76ef37428e6799c421989521c0e5077</t>
        </is>
      </c>
      <c r="E1674" t="inlineStr">
        <is>
          <t>unknown</t>
        </is>
      </c>
      <c r="F1674">
        <f>IFERROR(MATCH(A1674,Deals!$A$2:$A$843,0),"")</f>
        <v/>
      </c>
      <c r="G1674">
        <f>IF(F1674="",0,1)</f>
        <v/>
      </c>
      <c r="H1674" s="29">
        <f>IF(F1674="","",INDEX(Deals!$E$2:$E$843,F1674))</f>
        <v/>
      </c>
      <c r="I1674">
        <f>IF(F1674="","",INDEX(Deals!$D$2:$D$843,F1674))</f>
        <v/>
      </c>
      <c r="J1674">
        <f>IF(F1674="","",INT(H1674)-B1674)</f>
        <v/>
      </c>
      <c r="K1674">
        <f>IF(B1674&gt;=Settings!$C$5,1,0)</f>
        <v/>
      </c>
    </row>
    <row r="1675">
      <c r="A1675" t="inlineStr">
        <is>
          <t>2c41848295efeeb47beabefb10751ed3</t>
        </is>
      </c>
      <c r="B1675" s="29" t="n">
        <v>43226</v>
      </c>
      <c r="C1675" t="inlineStr">
        <is>
          <t>2018-05</t>
        </is>
      </c>
      <c r="D1675" t="inlineStr">
        <is>
          <t>30534107aa0013db92899c96a1017d0b</t>
        </is>
      </c>
      <c r="E1675" t="inlineStr">
        <is>
          <t>social</t>
        </is>
      </c>
      <c r="F1675">
        <f>IFERROR(MATCH(A1675,Deals!$A$2:$A$843,0),"")</f>
        <v/>
      </c>
      <c r="G1675">
        <f>IF(F1675="",0,1)</f>
        <v/>
      </c>
      <c r="H1675" s="29">
        <f>IF(F1675="","",INDEX(Deals!$E$2:$E$843,F1675))</f>
        <v/>
      </c>
      <c r="I1675">
        <f>IF(F1675="","",INDEX(Deals!$D$2:$D$843,F1675))</f>
        <v/>
      </c>
      <c r="J1675">
        <f>IF(F1675="","",INT(H1675)-B1675)</f>
        <v/>
      </c>
      <c r="K1675">
        <f>IF(B1675&gt;=Settings!$C$5,1,0)</f>
        <v/>
      </c>
    </row>
    <row r="1676">
      <c r="A1676" t="inlineStr">
        <is>
          <t>f1e3e5a26c6c13cf504e6dc8f7c140b0</t>
        </is>
      </c>
      <c r="B1676" s="29" t="n">
        <v>43039</v>
      </c>
      <c r="C1676" t="inlineStr">
        <is>
          <t>2017-10</t>
        </is>
      </c>
      <c r="D1676" t="inlineStr">
        <is>
          <t>21a104c3279681d9856b8a48723c4fee</t>
        </is>
      </c>
      <c r="E1676" t="inlineStr">
        <is>
          <t>organic_search</t>
        </is>
      </c>
      <c r="F1676">
        <f>IFERROR(MATCH(A1676,Deals!$A$2:$A$843,0),"")</f>
        <v/>
      </c>
      <c r="G1676">
        <f>IF(F1676="",0,1)</f>
        <v/>
      </c>
      <c r="H1676" s="29">
        <f>IF(F1676="","",INDEX(Deals!$E$2:$E$843,F1676))</f>
        <v/>
      </c>
      <c r="I1676">
        <f>IF(F1676="","",INDEX(Deals!$D$2:$D$843,F1676))</f>
        <v/>
      </c>
      <c r="J1676">
        <f>IF(F1676="","",INT(H1676)-B1676)</f>
        <v/>
      </c>
      <c r="K1676">
        <f>IF(B1676&gt;=Settings!$C$5,1,0)</f>
        <v/>
      </c>
    </row>
    <row r="1677">
      <c r="A1677" t="inlineStr">
        <is>
          <t>89a86fb8fae4e02bc68ad6327fcf4d73</t>
        </is>
      </c>
      <c r="B1677" s="29" t="n">
        <v>43064</v>
      </c>
      <c r="C1677" t="inlineStr">
        <is>
          <t>2017-11</t>
        </is>
      </c>
      <c r="D1677" t="inlineStr">
        <is>
          <t>ce1a65abd0973638f1c887a6efcfa82d</t>
        </is>
      </c>
      <c r="E1677" t="inlineStr">
        <is>
          <t>organic_search</t>
        </is>
      </c>
      <c r="F1677">
        <f>IFERROR(MATCH(A1677,Deals!$A$2:$A$843,0),"")</f>
        <v/>
      </c>
      <c r="G1677">
        <f>IF(F1677="",0,1)</f>
        <v/>
      </c>
      <c r="H1677" s="29">
        <f>IF(F1677="","",INDEX(Deals!$E$2:$E$843,F1677))</f>
        <v/>
      </c>
      <c r="I1677">
        <f>IF(F1677="","",INDEX(Deals!$D$2:$D$843,F1677))</f>
        <v/>
      </c>
      <c r="J1677">
        <f>IF(F1677="","",INT(H1677)-B1677)</f>
        <v/>
      </c>
      <c r="K1677">
        <f>IF(B1677&gt;=Settings!$C$5,1,0)</f>
        <v/>
      </c>
    </row>
    <row r="1678">
      <c r="A1678" t="inlineStr">
        <is>
          <t>dfb5185fcebd36be73800d8c7549b49f</t>
        </is>
      </c>
      <c r="B1678" s="29" t="n">
        <v>43131</v>
      </c>
      <c r="C1678" t="inlineStr">
        <is>
          <t>2018-01</t>
        </is>
      </c>
      <c r="D1678" t="inlineStr">
        <is>
          <t>73fec6021437e723ff5adae8dff89e23</t>
        </is>
      </c>
      <c r="E1678" t="inlineStr">
        <is>
          <t>social</t>
        </is>
      </c>
      <c r="F1678">
        <f>IFERROR(MATCH(A1678,Deals!$A$2:$A$843,0),"")</f>
        <v/>
      </c>
      <c r="G1678">
        <f>IF(F1678="",0,1)</f>
        <v/>
      </c>
      <c r="H1678" s="29">
        <f>IF(F1678="","",INDEX(Deals!$E$2:$E$843,F1678))</f>
        <v/>
      </c>
      <c r="I1678">
        <f>IF(F1678="","",INDEX(Deals!$D$2:$D$843,F1678))</f>
        <v/>
      </c>
      <c r="J1678">
        <f>IF(F1678="","",INT(H1678)-B1678)</f>
        <v/>
      </c>
      <c r="K1678">
        <f>IF(B1678&gt;=Settings!$C$5,1,0)</f>
        <v/>
      </c>
    </row>
    <row r="1679">
      <c r="A1679" t="inlineStr">
        <is>
          <t>abc58d2523df2aea708a509fbd201437</t>
        </is>
      </c>
      <c r="B1679" s="29" t="n">
        <v>43032</v>
      </c>
      <c r="C1679" t="inlineStr">
        <is>
          <t>2017-10</t>
        </is>
      </c>
      <c r="D1679" t="inlineStr">
        <is>
          <t>82ce7345d29d3003d376f9382fc0eba0</t>
        </is>
      </c>
      <c r="E1679" t="inlineStr">
        <is>
          <t>paid_search</t>
        </is>
      </c>
      <c r="F1679">
        <f>IFERROR(MATCH(A1679,Deals!$A$2:$A$843,0),"")</f>
        <v/>
      </c>
      <c r="G1679">
        <f>IF(F1679="",0,1)</f>
        <v/>
      </c>
      <c r="H1679" s="29">
        <f>IF(F1679="","",INDEX(Deals!$E$2:$E$843,F1679))</f>
        <v/>
      </c>
      <c r="I1679">
        <f>IF(F1679="","",INDEX(Deals!$D$2:$D$843,F1679))</f>
        <v/>
      </c>
      <c r="J1679">
        <f>IF(F1679="","",INT(H1679)-B1679)</f>
        <v/>
      </c>
      <c r="K1679">
        <f>IF(B1679&gt;=Settings!$C$5,1,0)</f>
        <v/>
      </c>
    </row>
    <row r="1680">
      <c r="A1680" t="inlineStr">
        <is>
          <t>1c38fdd837bd814787fd6ea06ec72dc3</t>
        </is>
      </c>
      <c r="B1680" s="29" t="n">
        <v>43206</v>
      </c>
      <c r="C1680" t="inlineStr">
        <is>
          <t>2018-04</t>
        </is>
      </c>
      <c r="D1680" t="inlineStr">
        <is>
          <t>e534a08b23c682d94859d0ab860bd57a</t>
        </is>
      </c>
      <c r="E1680" t="inlineStr">
        <is>
          <t>paid_search</t>
        </is>
      </c>
      <c r="F1680">
        <f>IFERROR(MATCH(A1680,Deals!$A$2:$A$843,0),"")</f>
        <v/>
      </c>
      <c r="G1680">
        <f>IF(F1680="",0,1)</f>
        <v/>
      </c>
      <c r="H1680" s="29">
        <f>IF(F1680="","",INDEX(Deals!$E$2:$E$843,F1680))</f>
        <v/>
      </c>
      <c r="I1680">
        <f>IF(F1680="","",INDEX(Deals!$D$2:$D$843,F1680))</f>
        <v/>
      </c>
      <c r="J1680">
        <f>IF(F1680="","",INT(H1680)-B1680)</f>
        <v/>
      </c>
      <c r="K1680">
        <f>IF(B1680&gt;=Settings!$C$5,1,0)</f>
        <v/>
      </c>
    </row>
    <row r="1681">
      <c r="A1681" t="inlineStr">
        <is>
          <t>f01343d174b6dbc8cd10add58111dfa7</t>
        </is>
      </c>
      <c r="B1681" s="29" t="n">
        <v>43151</v>
      </c>
      <c r="C1681" t="inlineStr">
        <is>
          <t>2018-02</t>
        </is>
      </c>
      <c r="D1681" t="inlineStr">
        <is>
          <t>a0fbc0263cb98bdb0d72b9f9f283a172</t>
        </is>
      </c>
      <c r="E1681" t="inlineStr">
        <is>
          <t>paid_search</t>
        </is>
      </c>
      <c r="F1681">
        <f>IFERROR(MATCH(A1681,Deals!$A$2:$A$843,0),"")</f>
        <v/>
      </c>
      <c r="G1681">
        <f>IF(F1681="",0,1)</f>
        <v/>
      </c>
      <c r="H1681" s="29">
        <f>IF(F1681="","",INDEX(Deals!$E$2:$E$843,F1681))</f>
        <v/>
      </c>
      <c r="I1681">
        <f>IF(F1681="","",INDEX(Deals!$D$2:$D$843,F1681))</f>
        <v/>
      </c>
      <c r="J1681">
        <f>IF(F1681="","",INT(H1681)-B1681)</f>
        <v/>
      </c>
      <c r="K1681">
        <f>IF(B1681&gt;=Settings!$C$5,1,0)</f>
        <v/>
      </c>
    </row>
    <row r="1682">
      <c r="A1682" t="inlineStr">
        <is>
          <t>c36d210f50e7ef3103da68ab61efd093</t>
        </is>
      </c>
      <c r="B1682" s="29" t="n">
        <v>43213</v>
      </c>
      <c r="C1682" t="inlineStr">
        <is>
          <t>2018-04</t>
        </is>
      </c>
      <c r="D1682" t="inlineStr">
        <is>
          <t>b76ef37428e6799c421989521c0e5077</t>
        </is>
      </c>
      <c r="E1682" t="inlineStr">
        <is>
          <t>unknown</t>
        </is>
      </c>
      <c r="F1682">
        <f>IFERROR(MATCH(A1682,Deals!$A$2:$A$843,0),"")</f>
        <v/>
      </c>
      <c r="G1682">
        <f>IF(F1682="",0,1)</f>
        <v/>
      </c>
      <c r="H1682" s="29">
        <f>IF(F1682="","",INDEX(Deals!$E$2:$E$843,F1682))</f>
        <v/>
      </c>
      <c r="I1682">
        <f>IF(F1682="","",INDEX(Deals!$D$2:$D$843,F1682))</f>
        <v/>
      </c>
      <c r="J1682">
        <f>IF(F1682="","",INT(H1682)-B1682)</f>
        <v/>
      </c>
      <c r="K1682">
        <f>IF(B1682&gt;=Settings!$C$5,1,0)</f>
        <v/>
      </c>
    </row>
    <row r="1683">
      <c r="A1683" t="inlineStr">
        <is>
          <t>7d81853c3b9c80746412829fcf8d2049</t>
        </is>
      </c>
      <c r="B1683" s="29" t="n">
        <v>43055</v>
      </c>
      <c r="C1683" t="inlineStr">
        <is>
          <t>2017-11</t>
        </is>
      </c>
      <c r="D1683" t="inlineStr">
        <is>
          <t>1722481ac9e5371e5099dea226b5421d</t>
        </is>
      </c>
      <c r="E1683" t="inlineStr">
        <is>
          <t>direct_traffic</t>
        </is>
      </c>
      <c r="F1683">
        <f>IFERROR(MATCH(A1683,Deals!$A$2:$A$843,0),"")</f>
        <v/>
      </c>
      <c r="G1683">
        <f>IF(F1683="",0,1)</f>
        <v/>
      </c>
      <c r="H1683" s="29">
        <f>IF(F1683="","",INDEX(Deals!$E$2:$E$843,F1683))</f>
        <v/>
      </c>
      <c r="I1683">
        <f>IF(F1683="","",INDEX(Deals!$D$2:$D$843,F1683))</f>
        <v/>
      </c>
      <c r="J1683">
        <f>IF(F1683="","",INT(H1683)-B1683)</f>
        <v/>
      </c>
      <c r="K1683">
        <f>IF(B1683&gt;=Settings!$C$5,1,0)</f>
        <v/>
      </c>
    </row>
    <row r="1684">
      <c r="A1684" t="inlineStr">
        <is>
          <t>4bb9b27e427755a85d3e46ba97619f06</t>
        </is>
      </c>
      <c r="B1684" s="29" t="n">
        <v>43063</v>
      </c>
      <c r="C1684" t="inlineStr">
        <is>
          <t>2017-11</t>
        </is>
      </c>
      <c r="D1684" t="inlineStr">
        <is>
          <t>22c29808c4f815213303f8933030604c</t>
        </is>
      </c>
      <c r="E1684" t="inlineStr">
        <is>
          <t>paid_search</t>
        </is>
      </c>
      <c r="F1684">
        <f>IFERROR(MATCH(A1684,Deals!$A$2:$A$843,0),"")</f>
        <v/>
      </c>
      <c r="G1684">
        <f>IF(F1684="",0,1)</f>
        <v/>
      </c>
      <c r="H1684" s="29">
        <f>IF(F1684="","",INDEX(Deals!$E$2:$E$843,F1684))</f>
        <v/>
      </c>
      <c r="I1684">
        <f>IF(F1684="","",INDEX(Deals!$D$2:$D$843,F1684))</f>
        <v/>
      </c>
      <c r="J1684">
        <f>IF(F1684="","",INT(H1684)-B1684)</f>
        <v/>
      </c>
      <c r="K1684">
        <f>IF(B1684&gt;=Settings!$C$5,1,0)</f>
        <v/>
      </c>
    </row>
    <row r="1685">
      <c r="A1685" t="inlineStr">
        <is>
          <t>384b5bdbe32117213b87f8f5e0604be4</t>
        </is>
      </c>
      <c r="B1685" s="29" t="n">
        <v>43153</v>
      </c>
      <c r="C1685" t="inlineStr">
        <is>
          <t>2018-02</t>
        </is>
      </c>
      <c r="D1685" t="inlineStr">
        <is>
          <t>b76ef37428e6799c421989521c0e5077</t>
        </is>
      </c>
      <c r="E1685" t="inlineStr">
        <is>
          <t>unknown</t>
        </is>
      </c>
      <c r="F1685">
        <f>IFERROR(MATCH(A1685,Deals!$A$2:$A$843,0),"")</f>
        <v/>
      </c>
      <c r="G1685">
        <f>IF(F1685="",0,1)</f>
        <v/>
      </c>
      <c r="H1685" s="29">
        <f>IF(F1685="","",INDEX(Deals!$E$2:$E$843,F1685))</f>
        <v/>
      </c>
      <c r="I1685">
        <f>IF(F1685="","",INDEX(Deals!$D$2:$D$843,F1685))</f>
        <v/>
      </c>
      <c r="J1685">
        <f>IF(F1685="","",INT(H1685)-B1685)</f>
        <v/>
      </c>
      <c r="K1685">
        <f>IF(B1685&gt;=Settings!$C$5,1,0)</f>
        <v/>
      </c>
    </row>
    <row r="1686">
      <c r="A1686" t="inlineStr">
        <is>
          <t>ff08c7b60b04ee8cc988ea0742a5e77e</t>
        </is>
      </c>
      <c r="B1686" s="29" t="n">
        <v>43024</v>
      </c>
      <c r="C1686" t="inlineStr">
        <is>
          <t>2017-10</t>
        </is>
      </c>
      <c r="D1686" t="inlineStr">
        <is>
          <t>b76ef37428e6799c421989521c0e5077</t>
        </is>
      </c>
      <c r="E1686" t="inlineStr">
        <is>
          <t>unknown</t>
        </is>
      </c>
      <c r="F1686">
        <f>IFERROR(MATCH(A1686,Deals!$A$2:$A$843,0),"")</f>
        <v/>
      </c>
      <c r="G1686">
        <f>IF(F1686="",0,1)</f>
        <v/>
      </c>
      <c r="H1686" s="29">
        <f>IF(F1686="","",INDEX(Deals!$E$2:$E$843,F1686))</f>
        <v/>
      </c>
      <c r="I1686">
        <f>IF(F1686="","",INDEX(Deals!$D$2:$D$843,F1686))</f>
        <v/>
      </c>
      <c r="J1686">
        <f>IF(F1686="","",INT(H1686)-B1686)</f>
        <v/>
      </c>
      <c r="K1686">
        <f>IF(B1686&gt;=Settings!$C$5,1,0)</f>
        <v/>
      </c>
    </row>
    <row r="1687">
      <c r="A1687" t="inlineStr">
        <is>
          <t>9e3a7911950eab6a8924acece3960e02</t>
        </is>
      </c>
      <c r="B1687" s="29" t="n">
        <v>42991</v>
      </c>
      <c r="C1687" t="inlineStr">
        <is>
          <t>2017-09</t>
        </is>
      </c>
      <c r="D1687" t="inlineStr">
        <is>
          <t>87732658ba41d8775e8577df347a64db</t>
        </is>
      </c>
      <c r="E1687" t="inlineStr">
        <is>
          <t>social</t>
        </is>
      </c>
      <c r="F1687">
        <f>IFERROR(MATCH(A1687,Deals!$A$2:$A$843,0),"")</f>
        <v/>
      </c>
      <c r="G1687">
        <f>IF(F1687="",0,1)</f>
        <v/>
      </c>
      <c r="H1687" s="29">
        <f>IF(F1687="","",INDEX(Deals!$E$2:$E$843,F1687))</f>
        <v/>
      </c>
      <c r="I1687">
        <f>IF(F1687="","",INDEX(Deals!$D$2:$D$843,F1687))</f>
        <v/>
      </c>
      <c r="J1687">
        <f>IF(F1687="","",INT(H1687)-B1687)</f>
        <v/>
      </c>
      <c r="K1687">
        <f>IF(B1687&gt;=Settings!$C$5,1,0)</f>
        <v/>
      </c>
    </row>
    <row r="1688">
      <c r="A1688" t="inlineStr">
        <is>
          <t>915dec2be7f609c9b0944089d14361de</t>
        </is>
      </c>
      <c r="B1688" s="29" t="n">
        <v>43247</v>
      </c>
      <c r="C1688" t="inlineStr">
        <is>
          <t>2018-05</t>
        </is>
      </c>
      <c r="D1688" t="inlineStr">
        <is>
          <t>1f2ef44bd62ca960c9391166cae6fd3c</t>
        </is>
      </c>
      <c r="E1688" t="inlineStr">
        <is>
          <t>social</t>
        </is>
      </c>
      <c r="F1688">
        <f>IFERROR(MATCH(A1688,Deals!$A$2:$A$843,0),"")</f>
        <v/>
      </c>
      <c r="G1688">
        <f>IF(F1688="",0,1)</f>
        <v/>
      </c>
      <c r="H1688" s="29">
        <f>IF(F1688="","",INDEX(Deals!$E$2:$E$843,F1688))</f>
        <v/>
      </c>
      <c r="I1688">
        <f>IF(F1688="","",INDEX(Deals!$D$2:$D$843,F1688))</f>
        <v/>
      </c>
      <c r="J1688">
        <f>IF(F1688="","",INT(H1688)-B1688)</f>
        <v/>
      </c>
      <c r="K1688">
        <f>IF(B1688&gt;=Settings!$C$5,1,0)</f>
        <v/>
      </c>
    </row>
    <row r="1689">
      <c r="A1689" t="inlineStr">
        <is>
          <t>e4698785c2dd62a17bad5d0cb3d3e9ee</t>
        </is>
      </c>
      <c r="B1689" s="29" t="n">
        <v>43040</v>
      </c>
      <c r="C1689" t="inlineStr">
        <is>
          <t>2017-11</t>
        </is>
      </c>
      <c r="D1689" t="inlineStr">
        <is>
          <t>b48ec5f3b04e9068441002a19df93c6c</t>
        </is>
      </c>
      <c r="E1689" t="inlineStr">
        <is>
          <t>organic_search</t>
        </is>
      </c>
      <c r="F1689">
        <f>IFERROR(MATCH(A1689,Deals!$A$2:$A$843,0),"")</f>
        <v/>
      </c>
      <c r="G1689">
        <f>IF(F1689="",0,1)</f>
        <v/>
      </c>
      <c r="H1689" s="29">
        <f>IF(F1689="","",INDEX(Deals!$E$2:$E$843,F1689))</f>
        <v/>
      </c>
      <c r="I1689">
        <f>IF(F1689="","",INDEX(Deals!$D$2:$D$843,F1689))</f>
        <v/>
      </c>
      <c r="J1689">
        <f>IF(F1689="","",INT(H1689)-B1689)</f>
        <v/>
      </c>
      <c r="K1689">
        <f>IF(B1689&gt;=Settings!$C$5,1,0)</f>
        <v/>
      </c>
    </row>
    <row r="1690">
      <c r="A1690" t="inlineStr">
        <is>
          <t>6da987f4db3577a16f958f27c6d0a251</t>
        </is>
      </c>
      <c r="B1690" s="29" t="n">
        <v>43134</v>
      </c>
      <c r="C1690" t="inlineStr">
        <is>
          <t>2018-02</t>
        </is>
      </c>
      <c r="D1690" t="inlineStr">
        <is>
          <t>88740e65d5d6b056e0cda098e1ea6313</t>
        </is>
      </c>
      <c r="E1690" t="inlineStr">
        <is>
          <t>social</t>
        </is>
      </c>
      <c r="F1690">
        <f>IFERROR(MATCH(A1690,Deals!$A$2:$A$843,0),"")</f>
        <v/>
      </c>
      <c r="G1690">
        <f>IF(F1690="",0,1)</f>
        <v/>
      </c>
      <c r="H1690" s="29">
        <f>IF(F1690="","",INDEX(Deals!$E$2:$E$843,F1690))</f>
        <v/>
      </c>
      <c r="I1690">
        <f>IF(F1690="","",INDEX(Deals!$D$2:$D$843,F1690))</f>
        <v/>
      </c>
      <c r="J1690">
        <f>IF(F1690="","",INT(H1690)-B1690)</f>
        <v/>
      </c>
      <c r="K1690">
        <f>IF(B1690&gt;=Settings!$C$5,1,0)</f>
        <v/>
      </c>
    </row>
    <row r="1691">
      <c r="A1691" t="inlineStr">
        <is>
          <t>0c6702e7c69ad5df080432c20b524db6</t>
        </is>
      </c>
      <c r="B1691" s="29" t="n">
        <v>43230</v>
      </c>
      <c r="C1691" t="inlineStr">
        <is>
          <t>2018-05</t>
        </is>
      </c>
      <c r="D1691" t="inlineStr">
        <is>
          <t>111313f5b9ceedf17ab5af7317a9f9bc</t>
        </is>
      </c>
      <c r="E1691" t="inlineStr">
        <is>
          <t>organic_search</t>
        </is>
      </c>
      <c r="F1691">
        <f>IFERROR(MATCH(A1691,Deals!$A$2:$A$843,0),"")</f>
        <v/>
      </c>
      <c r="G1691">
        <f>IF(F1691="",0,1)</f>
        <v/>
      </c>
      <c r="H1691" s="29">
        <f>IF(F1691="","",INDEX(Deals!$E$2:$E$843,F1691))</f>
        <v/>
      </c>
      <c r="I1691">
        <f>IF(F1691="","",INDEX(Deals!$D$2:$D$843,F1691))</f>
        <v/>
      </c>
      <c r="J1691">
        <f>IF(F1691="","",INT(H1691)-B1691)</f>
        <v/>
      </c>
      <c r="K1691">
        <f>IF(B1691&gt;=Settings!$C$5,1,0)</f>
        <v/>
      </c>
    </row>
    <row r="1692">
      <c r="A1692" t="inlineStr">
        <is>
          <t>155c238e516a4518c40b498dd4aaaba5</t>
        </is>
      </c>
      <c r="B1692" s="29" t="n">
        <v>43127</v>
      </c>
      <c r="C1692" t="inlineStr">
        <is>
          <t>2018-01</t>
        </is>
      </c>
      <c r="D1692" t="inlineStr">
        <is>
          <t>ce1a65abd0973638f1c887a6efcfa82d</t>
        </is>
      </c>
      <c r="E1692" t="inlineStr">
        <is>
          <t>organic_search</t>
        </is>
      </c>
      <c r="F1692">
        <f>IFERROR(MATCH(A1692,Deals!$A$2:$A$843,0),"")</f>
        <v/>
      </c>
      <c r="G1692">
        <f>IF(F1692="",0,1)</f>
        <v/>
      </c>
      <c r="H1692" s="29">
        <f>IF(F1692="","",INDEX(Deals!$E$2:$E$843,F1692))</f>
        <v/>
      </c>
      <c r="I1692">
        <f>IF(F1692="","",INDEX(Deals!$D$2:$D$843,F1692))</f>
        <v/>
      </c>
      <c r="J1692">
        <f>IF(F1692="","",INT(H1692)-B1692)</f>
        <v/>
      </c>
      <c r="K1692">
        <f>IF(B1692&gt;=Settings!$C$5,1,0)</f>
        <v/>
      </c>
    </row>
    <row r="1693">
      <c r="A1693" t="inlineStr">
        <is>
          <t>6c795eec1c0467ec2121a73e2132604b</t>
        </is>
      </c>
      <c r="B1693" s="29" t="n">
        <v>43150</v>
      </c>
      <c r="C1693" t="inlineStr">
        <is>
          <t>2018-02</t>
        </is>
      </c>
      <c r="D1693" t="inlineStr">
        <is>
          <t>73f31a40697cc90a86c1273563ac230e</t>
        </is>
      </c>
      <c r="E1693" t="inlineStr">
        <is>
          <t>organic_search</t>
        </is>
      </c>
      <c r="F1693">
        <f>IFERROR(MATCH(A1693,Deals!$A$2:$A$843,0),"")</f>
        <v/>
      </c>
      <c r="G1693">
        <f>IF(F1693="",0,1)</f>
        <v/>
      </c>
      <c r="H1693" s="29">
        <f>IF(F1693="","",INDEX(Deals!$E$2:$E$843,F1693))</f>
        <v/>
      </c>
      <c r="I1693">
        <f>IF(F1693="","",INDEX(Deals!$D$2:$D$843,F1693))</f>
        <v/>
      </c>
      <c r="J1693">
        <f>IF(F1693="","",INT(H1693)-B1693)</f>
        <v/>
      </c>
      <c r="K1693">
        <f>IF(B1693&gt;=Settings!$C$5,1,0)</f>
        <v/>
      </c>
    </row>
    <row r="1694">
      <c r="A1694" t="inlineStr">
        <is>
          <t>f0fe8624ed77b0f2c7c5a6e6826021cd</t>
        </is>
      </c>
      <c r="B1694" s="29" t="n">
        <v>43038</v>
      </c>
      <c r="C1694" t="inlineStr">
        <is>
          <t>2017-10</t>
        </is>
      </c>
      <c r="D1694" t="inlineStr">
        <is>
          <t>21a104c3279681d9856b8a48723c4fee</t>
        </is>
      </c>
      <c r="E1694" t="inlineStr">
        <is>
          <t>email</t>
        </is>
      </c>
      <c r="F1694">
        <f>IFERROR(MATCH(A1694,Deals!$A$2:$A$843,0),"")</f>
        <v/>
      </c>
      <c r="G1694">
        <f>IF(F1694="",0,1)</f>
        <v/>
      </c>
      <c r="H1694" s="29">
        <f>IF(F1694="","",INDEX(Deals!$E$2:$E$843,F1694))</f>
        <v/>
      </c>
      <c r="I1694">
        <f>IF(F1694="","",INDEX(Deals!$D$2:$D$843,F1694))</f>
        <v/>
      </c>
      <c r="J1694">
        <f>IF(F1694="","",INT(H1694)-B1694)</f>
        <v/>
      </c>
      <c r="K1694">
        <f>IF(B1694&gt;=Settings!$C$5,1,0)</f>
        <v/>
      </c>
    </row>
    <row r="1695">
      <c r="A1695" t="inlineStr">
        <is>
          <t>2ddd93f42feeba056d189ad5a84f1793</t>
        </is>
      </c>
      <c r="B1695" s="29" t="n">
        <v>43173</v>
      </c>
      <c r="C1695" t="inlineStr">
        <is>
          <t>2018-03</t>
        </is>
      </c>
      <c r="D1695" t="inlineStr">
        <is>
          <t>b76ef37428e6799c421989521c0e5077</t>
        </is>
      </c>
      <c r="E1695" t="inlineStr">
        <is>
          <t>unknown</t>
        </is>
      </c>
      <c r="F1695">
        <f>IFERROR(MATCH(A1695,Deals!$A$2:$A$843,0),"")</f>
        <v/>
      </c>
      <c r="G1695">
        <f>IF(F1695="",0,1)</f>
        <v/>
      </c>
      <c r="H1695" s="29">
        <f>IF(F1695="","",INDEX(Deals!$E$2:$E$843,F1695))</f>
        <v/>
      </c>
      <c r="I1695">
        <f>IF(F1695="","",INDEX(Deals!$D$2:$D$843,F1695))</f>
        <v/>
      </c>
      <c r="J1695">
        <f>IF(F1695="","",INT(H1695)-B1695)</f>
        <v/>
      </c>
      <c r="K1695">
        <f>IF(B1695&gt;=Settings!$C$5,1,0)</f>
        <v/>
      </c>
    </row>
    <row r="1696">
      <c r="A1696" t="inlineStr">
        <is>
          <t>6c465ed53d17739467c95fe414d8e056</t>
        </is>
      </c>
      <c r="B1696" s="29" t="n">
        <v>43186</v>
      </c>
      <c r="C1696" t="inlineStr">
        <is>
          <t>2018-03</t>
        </is>
      </c>
      <c r="D1696" t="inlineStr">
        <is>
          <t>7fa6214d82e911d070f51ef79381b956</t>
        </is>
      </c>
      <c r="E1696" t="inlineStr">
        <is>
          <t>referral</t>
        </is>
      </c>
      <c r="F1696">
        <f>IFERROR(MATCH(A1696,Deals!$A$2:$A$843,0),"")</f>
        <v/>
      </c>
      <c r="G1696">
        <f>IF(F1696="",0,1)</f>
        <v/>
      </c>
      <c r="H1696" s="29">
        <f>IF(F1696="","",INDEX(Deals!$E$2:$E$843,F1696))</f>
        <v/>
      </c>
      <c r="I1696">
        <f>IF(F1696="","",INDEX(Deals!$D$2:$D$843,F1696))</f>
        <v/>
      </c>
      <c r="J1696">
        <f>IF(F1696="","",INT(H1696)-B1696)</f>
        <v/>
      </c>
      <c r="K1696">
        <f>IF(B1696&gt;=Settings!$C$5,1,0)</f>
        <v/>
      </c>
    </row>
    <row r="1697">
      <c r="A1697" t="inlineStr">
        <is>
          <t>363d93b89826b0bde38f57bd7bf52e20</t>
        </is>
      </c>
      <c r="B1697" s="29" t="n">
        <v>43230</v>
      </c>
      <c r="C1697" t="inlineStr">
        <is>
          <t>2018-05</t>
        </is>
      </c>
      <c r="D1697" t="inlineStr">
        <is>
          <t>5dc848e7dd9418dffe183215b8ff0bc1</t>
        </is>
      </c>
      <c r="E1697" t="inlineStr">
        <is>
          <t>organic_search</t>
        </is>
      </c>
      <c r="F1697">
        <f>IFERROR(MATCH(A1697,Deals!$A$2:$A$843,0),"")</f>
        <v/>
      </c>
      <c r="G1697">
        <f>IF(F1697="",0,1)</f>
        <v/>
      </c>
      <c r="H1697" s="29">
        <f>IF(F1697="","",INDEX(Deals!$E$2:$E$843,F1697))</f>
        <v/>
      </c>
      <c r="I1697">
        <f>IF(F1697="","",INDEX(Deals!$D$2:$D$843,F1697))</f>
        <v/>
      </c>
      <c r="J1697">
        <f>IF(F1697="","",INT(H1697)-B1697)</f>
        <v/>
      </c>
      <c r="K1697">
        <f>IF(B1697&gt;=Settings!$C$5,1,0)</f>
        <v/>
      </c>
    </row>
    <row r="1698">
      <c r="A1698" t="inlineStr">
        <is>
          <t>ad9582d61e0e515df4ee5f9f1bece798</t>
        </is>
      </c>
      <c r="B1698" s="29" t="n">
        <v>43150</v>
      </c>
      <c r="C1698" t="inlineStr">
        <is>
          <t>2018-02</t>
        </is>
      </c>
      <c r="D1698" t="inlineStr">
        <is>
          <t>fbc24da54d531c6204ae2d17b1090bb1</t>
        </is>
      </c>
      <c r="E1698" t="inlineStr">
        <is>
          <t>paid_search</t>
        </is>
      </c>
      <c r="F1698">
        <f>IFERROR(MATCH(A1698,Deals!$A$2:$A$843,0),"")</f>
        <v/>
      </c>
      <c r="G1698">
        <f>IF(F1698="",0,1)</f>
        <v/>
      </c>
      <c r="H1698" s="29">
        <f>IF(F1698="","",INDEX(Deals!$E$2:$E$843,F1698))</f>
        <v/>
      </c>
      <c r="I1698">
        <f>IF(F1698="","",INDEX(Deals!$D$2:$D$843,F1698))</f>
        <v/>
      </c>
      <c r="J1698">
        <f>IF(F1698="","",INT(H1698)-B1698)</f>
        <v/>
      </c>
      <c r="K1698">
        <f>IF(B1698&gt;=Settings!$C$5,1,0)</f>
        <v/>
      </c>
    </row>
    <row r="1699">
      <c r="A1699" t="inlineStr">
        <is>
          <t>e21fbb46105c5238f41b8184125658ad</t>
        </is>
      </c>
      <c r="B1699" s="29" t="n">
        <v>43243</v>
      </c>
      <c r="C1699" t="inlineStr">
        <is>
          <t>2018-05</t>
        </is>
      </c>
      <c r="D1699" t="inlineStr">
        <is>
          <t>6744140b06a752fafd3c7e4937075ca8</t>
        </is>
      </c>
      <c r="E1699" t="inlineStr">
        <is>
          <t>unknown</t>
        </is>
      </c>
      <c r="F1699">
        <f>IFERROR(MATCH(A1699,Deals!$A$2:$A$843,0),"")</f>
        <v/>
      </c>
      <c r="G1699">
        <f>IF(F1699="",0,1)</f>
        <v/>
      </c>
      <c r="H1699" s="29">
        <f>IF(F1699="","",INDEX(Deals!$E$2:$E$843,F1699))</f>
        <v/>
      </c>
      <c r="I1699">
        <f>IF(F1699="","",INDEX(Deals!$D$2:$D$843,F1699))</f>
        <v/>
      </c>
      <c r="J1699">
        <f>IF(F1699="","",INT(H1699)-B1699)</f>
        <v/>
      </c>
      <c r="K1699">
        <f>IF(B1699&gt;=Settings!$C$5,1,0)</f>
        <v/>
      </c>
    </row>
    <row r="1700">
      <c r="A1700" t="inlineStr">
        <is>
          <t>8e266aef0beb22dc747cc1db12bb018b</t>
        </is>
      </c>
      <c r="B1700" s="29" t="n">
        <v>43241</v>
      </c>
      <c r="C1700" t="inlineStr">
        <is>
          <t>2018-05</t>
        </is>
      </c>
      <c r="D1700" t="inlineStr">
        <is>
          <t>f017be4dbf86243af5c1ebed0cff36a2</t>
        </is>
      </c>
      <c r="E1700" t="inlineStr">
        <is>
          <t>direct_traffic</t>
        </is>
      </c>
      <c r="F1700">
        <f>IFERROR(MATCH(A1700,Deals!$A$2:$A$843,0),"")</f>
        <v/>
      </c>
      <c r="G1700">
        <f>IF(F1700="",0,1)</f>
        <v/>
      </c>
      <c r="H1700" s="29">
        <f>IF(F1700="","",INDEX(Deals!$E$2:$E$843,F1700))</f>
        <v/>
      </c>
      <c r="I1700">
        <f>IF(F1700="","",INDEX(Deals!$D$2:$D$843,F1700))</f>
        <v/>
      </c>
      <c r="J1700">
        <f>IF(F1700="","",INT(H1700)-B1700)</f>
        <v/>
      </c>
      <c r="K1700">
        <f>IF(B1700&gt;=Settings!$C$5,1,0)</f>
        <v/>
      </c>
    </row>
    <row r="1701">
      <c r="A1701" t="inlineStr">
        <is>
          <t>8f86e15bc763aa2b566e5b74829200a2</t>
        </is>
      </c>
      <c r="B1701" s="29" t="n">
        <v>43216</v>
      </c>
      <c r="C1701" t="inlineStr">
        <is>
          <t>2018-04</t>
        </is>
      </c>
      <c r="D1701" t="inlineStr">
        <is>
          <t>358adb2fee9a122549618e46925a00a5</t>
        </is>
      </c>
      <c r="E1701" t="inlineStr">
        <is>
          <t>paid_search</t>
        </is>
      </c>
      <c r="F1701">
        <f>IFERROR(MATCH(A1701,Deals!$A$2:$A$843,0),"")</f>
        <v/>
      </c>
      <c r="G1701">
        <f>IF(F1701="",0,1)</f>
        <v/>
      </c>
      <c r="H1701" s="29">
        <f>IF(F1701="","",INDEX(Deals!$E$2:$E$843,F1701))</f>
        <v/>
      </c>
      <c r="I1701">
        <f>IF(F1701="","",INDEX(Deals!$D$2:$D$843,F1701))</f>
        <v/>
      </c>
      <c r="J1701">
        <f>IF(F1701="","",INT(H1701)-B1701)</f>
        <v/>
      </c>
      <c r="K1701">
        <f>IF(B1701&gt;=Settings!$C$5,1,0)</f>
        <v/>
      </c>
    </row>
    <row r="1702">
      <c r="A1702" t="inlineStr">
        <is>
          <t>c6e935b38be71a5a4194967464a44772</t>
        </is>
      </c>
      <c r="B1702" s="29" t="n">
        <v>43110</v>
      </c>
      <c r="C1702" t="inlineStr">
        <is>
          <t>2018-01</t>
        </is>
      </c>
      <c r="D1702" t="inlineStr">
        <is>
          <t>ce1a65abd0973638f1c887a6efcfa82d</t>
        </is>
      </c>
      <c r="E1702" t="inlineStr">
        <is>
          <t>other</t>
        </is>
      </c>
      <c r="F1702">
        <f>IFERROR(MATCH(A1702,Deals!$A$2:$A$843,0),"")</f>
        <v/>
      </c>
      <c r="G1702">
        <f>IF(F1702="",0,1)</f>
        <v/>
      </c>
      <c r="H1702" s="29">
        <f>IF(F1702="","",INDEX(Deals!$E$2:$E$843,F1702))</f>
        <v/>
      </c>
      <c r="I1702">
        <f>IF(F1702="","",INDEX(Deals!$D$2:$D$843,F1702))</f>
        <v/>
      </c>
      <c r="J1702">
        <f>IF(F1702="","",INT(H1702)-B1702)</f>
        <v/>
      </c>
      <c r="K1702">
        <f>IF(B1702&gt;=Settings!$C$5,1,0)</f>
        <v/>
      </c>
    </row>
    <row r="1703">
      <c r="A1703" t="inlineStr">
        <is>
          <t>81d46f9dfffbb00ef615472f9027b58d</t>
        </is>
      </c>
      <c r="B1703" s="29" t="n">
        <v>43207</v>
      </c>
      <c r="C1703" t="inlineStr">
        <is>
          <t>2018-04</t>
        </is>
      </c>
      <c r="D1703" t="inlineStr">
        <is>
          <t>36120633c8737035fbabf079082f4ec1</t>
        </is>
      </c>
      <c r="E1703" t="inlineStr">
        <is>
          <t>paid_search</t>
        </is>
      </c>
      <c r="F1703">
        <f>IFERROR(MATCH(A1703,Deals!$A$2:$A$843,0),"")</f>
        <v/>
      </c>
      <c r="G1703">
        <f>IF(F1703="",0,1)</f>
        <v/>
      </c>
      <c r="H1703" s="29">
        <f>IF(F1703="","",INDEX(Deals!$E$2:$E$843,F1703))</f>
        <v/>
      </c>
      <c r="I1703">
        <f>IF(F1703="","",INDEX(Deals!$D$2:$D$843,F1703))</f>
        <v/>
      </c>
      <c r="J1703">
        <f>IF(F1703="","",INT(H1703)-B1703)</f>
        <v/>
      </c>
      <c r="K1703">
        <f>IF(B1703&gt;=Settings!$C$5,1,0)</f>
        <v/>
      </c>
    </row>
    <row r="1704">
      <c r="A1704" t="inlineStr">
        <is>
          <t>a7c2e56b94b4f46ec60a68e20b4e8f9c</t>
        </is>
      </c>
      <c r="B1704" s="29" t="n">
        <v>43118</v>
      </c>
      <c r="C1704" t="inlineStr">
        <is>
          <t>2018-01</t>
        </is>
      </c>
      <c r="D1704" t="inlineStr">
        <is>
          <t>ce1a65abd0973638f1c887a6efcfa82d</t>
        </is>
      </c>
      <c r="E1704" t="inlineStr">
        <is>
          <t>direct_traffic</t>
        </is>
      </c>
      <c r="F1704">
        <f>IFERROR(MATCH(A1704,Deals!$A$2:$A$843,0),"")</f>
        <v/>
      </c>
      <c r="G1704">
        <f>IF(F1704="",0,1)</f>
        <v/>
      </c>
      <c r="H1704" s="29">
        <f>IF(F1704="","",INDEX(Deals!$E$2:$E$843,F1704))</f>
        <v/>
      </c>
      <c r="I1704">
        <f>IF(F1704="","",INDEX(Deals!$D$2:$D$843,F1704))</f>
        <v/>
      </c>
      <c r="J1704">
        <f>IF(F1704="","",INT(H1704)-B1704)</f>
        <v/>
      </c>
      <c r="K1704">
        <f>IF(B1704&gt;=Settings!$C$5,1,0)</f>
        <v/>
      </c>
    </row>
    <row r="1705">
      <c r="A1705" t="inlineStr">
        <is>
          <t>a8d73284b5d2d7a3251cd5fad424a476</t>
        </is>
      </c>
      <c r="B1705" s="29" t="n">
        <v>43228</v>
      </c>
      <c r="C1705" t="inlineStr">
        <is>
          <t>2018-05</t>
        </is>
      </c>
      <c r="D1705" t="inlineStr">
        <is>
          <t>82028478fef3ab881990e8d1fb24ba3a</t>
        </is>
      </c>
      <c r="E1705" t="inlineStr">
        <is>
          <t>email</t>
        </is>
      </c>
      <c r="F1705">
        <f>IFERROR(MATCH(A1705,Deals!$A$2:$A$843,0),"")</f>
        <v/>
      </c>
      <c r="G1705">
        <f>IF(F1705="",0,1)</f>
        <v/>
      </c>
      <c r="H1705" s="29">
        <f>IF(F1705="","",INDEX(Deals!$E$2:$E$843,F1705))</f>
        <v/>
      </c>
      <c r="I1705">
        <f>IF(F1705="","",INDEX(Deals!$D$2:$D$843,F1705))</f>
        <v/>
      </c>
      <c r="J1705">
        <f>IF(F1705="","",INT(H1705)-B1705)</f>
        <v/>
      </c>
      <c r="K1705">
        <f>IF(B1705&gt;=Settings!$C$5,1,0)</f>
        <v/>
      </c>
    </row>
    <row r="1706">
      <c r="A1706" t="inlineStr">
        <is>
          <t>007491783420080b25639249163d109d</t>
        </is>
      </c>
      <c r="B1706" s="29" t="n">
        <v>42976</v>
      </c>
      <c r="C1706" t="inlineStr">
        <is>
          <t>2017-08</t>
        </is>
      </c>
      <c r="D1706" t="inlineStr">
        <is>
          <t>0f25be78376bbbaba8553051e980b83c</t>
        </is>
      </c>
      <c r="E1706" t="inlineStr">
        <is>
          <t>organic_search</t>
        </is>
      </c>
      <c r="F1706">
        <f>IFERROR(MATCH(A1706,Deals!$A$2:$A$843,0),"")</f>
        <v/>
      </c>
      <c r="G1706">
        <f>IF(F1706="",0,1)</f>
        <v/>
      </c>
      <c r="H1706" s="29">
        <f>IF(F1706="","",INDEX(Deals!$E$2:$E$843,F1706))</f>
        <v/>
      </c>
      <c r="I1706">
        <f>IF(F1706="","",INDEX(Deals!$D$2:$D$843,F1706))</f>
        <v/>
      </c>
      <c r="J1706">
        <f>IF(F1706="","",INT(H1706)-B1706)</f>
        <v/>
      </c>
      <c r="K1706">
        <f>IF(B1706&gt;=Settings!$C$5,1,0)</f>
        <v/>
      </c>
    </row>
    <row r="1707">
      <c r="A1707" t="inlineStr">
        <is>
          <t>444d8477c9764f0afff3f91ee5165019</t>
        </is>
      </c>
      <c r="B1707" s="29" t="n">
        <v>43107</v>
      </c>
      <c r="C1707" t="inlineStr">
        <is>
          <t>2018-01</t>
        </is>
      </c>
      <c r="D1707" t="inlineStr">
        <is>
          <t>ce1a65abd0973638f1c887a6efcfa82d</t>
        </is>
      </c>
      <c r="E1707" t="inlineStr">
        <is>
          <t>direct_traffic</t>
        </is>
      </c>
      <c r="F1707">
        <f>IFERROR(MATCH(A1707,Deals!$A$2:$A$843,0),"")</f>
        <v/>
      </c>
      <c r="G1707">
        <f>IF(F1707="",0,1)</f>
        <v/>
      </c>
      <c r="H1707" s="29">
        <f>IF(F1707="","",INDEX(Deals!$E$2:$E$843,F1707))</f>
        <v/>
      </c>
      <c r="I1707">
        <f>IF(F1707="","",INDEX(Deals!$D$2:$D$843,F1707))</f>
        <v/>
      </c>
      <c r="J1707">
        <f>IF(F1707="","",INT(H1707)-B1707)</f>
        <v/>
      </c>
      <c r="K1707">
        <f>IF(B1707&gt;=Settings!$C$5,1,0)</f>
        <v/>
      </c>
    </row>
    <row r="1708">
      <c r="A1708" t="inlineStr">
        <is>
          <t>32a16c22a08b5360601d155c4803b7f2</t>
        </is>
      </c>
      <c r="B1708" s="29" t="n">
        <v>43215</v>
      </c>
      <c r="C1708" t="inlineStr">
        <is>
          <t>2018-04</t>
        </is>
      </c>
      <c r="D1708" t="inlineStr">
        <is>
          <t>330b9d44078a1ae5a221d655dcb77afa</t>
        </is>
      </c>
      <c r="E1708" t="inlineStr">
        <is>
          <t>paid_search</t>
        </is>
      </c>
      <c r="F1708">
        <f>IFERROR(MATCH(A1708,Deals!$A$2:$A$843,0),"")</f>
        <v/>
      </c>
      <c r="G1708">
        <f>IF(F1708="",0,1)</f>
        <v/>
      </c>
      <c r="H1708" s="29">
        <f>IF(F1708="","",INDEX(Deals!$E$2:$E$843,F1708))</f>
        <v/>
      </c>
      <c r="I1708">
        <f>IF(F1708="","",INDEX(Deals!$D$2:$D$843,F1708))</f>
        <v/>
      </c>
      <c r="J1708">
        <f>IF(F1708="","",INT(H1708)-B1708)</f>
        <v/>
      </c>
      <c r="K1708">
        <f>IF(B1708&gt;=Settings!$C$5,1,0)</f>
        <v/>
      </c>
    </row>
    <row r="1709">
      <c r="A1709" t="inlineStr">
        <is>
          <t>f702407c8ab99af3b508ed528516b86c</t>
        </is>
      </c>
      <c r="B1709" s="29" t="n">
        <v>43138</v>
      </c>
      <c r="C1709" t="inlineStr">
        <is>
          <t>2018-02</t>
        </is>
      </c>
      <c r="D1709" t="inlineStr">
        <is>
          <t>40dec9f3d5259a3d2dbcdab2114fae47</t>
        </is>
      </c>
      <c r="E1709" t="inlineStr">
        <is>
          <t>paid_search</t>
        </is>
      </c>
      <c r="F1709">
        <f>IFERROR(MATCH(A1709,Deals!$A$2:$A$843,0),"")</f>
        <v/>
      </c>
      <c r="G1709">
        <f>IF(F1709="",0,1)</f>
        <v/>
      </c>
      <c r="H1709" s="29">
        <f>IF(F1709="","",INDEX(Deals!$E$2:$E$843,F1709))</f>
        <v/>
      </c>
      <c r="I1709">
        <f>IF(F1709="","",INDEX(Deals!$D$2:$D$843,F1709))</f>
        <v/>
      </c>
      <c r="J1709">
        <f>IF(F1709="","",INT(H1709)-B1709)</f>
        <v/>
      </c>
      <c r="K1709">
        <f>IF(B1709&gt;=Settings!$C$5,1,0)</f>
        <v/>
      </c>
    </row>
    <row r="1710">
      <c r="A1710" t="inlineStr">
        <is>
          <t>d0b9ad3d3ca9c79694e2ce99aee06382</t>
        </is>
      </c>
      <c r="B1710" s="29" t="n">
        <v>43152</v>
      </c>
      <c r="C1710" t="inlineStr">
        <is>
          <t>2018-02</t>
        </is>
      </c>
      <c r="D1710" t="inlineStr">
        <is>
          <t>c70eb6fb5bd6e939b0d5ef32f21f61e8</t>
        </is>
      </c>
      <c r="E1710" t="inlineStr">
        <is>
          <t>referral</t>
        </is>
      </c>
      <c r="F1710">
        <f>IFERROR(MATCH(A1710,Deals!$A$2:$A$843,0),"")</f>
        <v/>
      </c>
      <c r="G1710">
        <f>IF(F1710="",0,1)</f>
        <v/>
      </c>
      <c r="H1710" s="29">
        <f>IF(F1710="","",INDEX(Deals!$E$2:$E$843,F1710))</f>
        <v/>
      </c>
      <c r="I1710">
        <f>IF(F1710="","",INDEX(Deals!$D$2:$D$843,F1710))</f>
        <v/>
      </c>
      <c r="J1710">
        <f>IF(F1710="","",INT(H1710)-B1710)</f>
        <v/>
      </c>
      <c r="K1710">
        <f>IF(B1710&gt;=Settings!$C$5,1,0)</f>
        <v/>
      </c>
    </row>
    <row r="1711">
      <c r="A1711" t="inlineStr">
        <is>
          <t>f2169fa8be6ba030c53e9f81c47c1d99</t>
        </is>
      </c>
      <c r="B1711" s="29" t="n">
        <v>43247</v>
      </c>
      <c r="C1711" t="inlineStr">
        <is>
          <t>2018-05</t>
        </is>
      </c>
      <c r="D1711" t="inlineStr">
        <is>
          <t>58326e62183c14b0c03085c33b9fdc44</t>
        </is>
      </c>
      <c r="E1711" t="inlineStr">
        <is>
          <t>unknown</t>
        </is>
      </c>
      <c r="F1711">
        <f>IFERROR(MATCH(A1711,Deals!$A$2:$A$843,0),"")</f>
        <v/>
      </c>
      <c r="G1711">
        <f>IF(F1711="",0,1)</f>
        <v/>
      </c>
      <c r="H1711" s="29">
        <f>IF(F1711="","",INDEX(Deals!$E$2:$E$843,F1711))</f>
        <v/>
      </c>
      <c r="I1711">
        <f>IF(F1711="","",INDEX(Deals!$D$2:$D$843,F1711))</f>
        <v/>
      </c>
      <c r="J1711">
        <f>IF(F1711="","",INT(H1711)-B1711)</f>
        <v/>
      </c>
      <c r="K1711">
        <f>IF(B1711&gt;=Settings!$C$5,1,0)</f>
        <v/>
      </c>
    </row>
    <row r="1712">
      <c r="A1712" t="inlineStr">
        <is>
          <t>cf76184c6e3c74405cc7016920e53004</t>
        </is>
      </c>
      <c r="B1712" s="29" t="n">
        <v>43227</v>
      </c>
      <c r="C1712" t="inlineStr">
        <is>
          <t>2018-05</t>
        </is>
      </c>
      <c r="D1712" t="inlineStr">
        <is>
          <t>58326e62183c14b0c03085c33b9fdc44</t>
        </is>
      </c>
      <c r="E1712" t="inlineStr">
        <is>
          <t>social</t>
        </is>
      </c>
      <c r="F1712">
        <f>IFERROR(MATCH(A1712,Deals!$A$2:$A$843,0),"")</f>
        <v/>
      </c>
      <c r="G1712">
        <f>IF(F1712="",0,1)</f>
        <v/>
      </c>
      <c r="H1712" s="29">
        <f>IF(F1712="","",INDEX(Deals!$E$2:$E$843,F1712))</f>
        <v/>
      </c>
      <c r="I1712">
        <f>IF(F1712="","",INDEX(Deals!$D$2:$D$843,F1712))</f>
        <v/>
      </c>
      <c r="J1712">
        <f>IF(F1712="","",INT(H1712)-B1712)</f>
        <v/>
      </c>
      <c r="K1712">
        <f>IF(B1712&gt;=Settings!$C$5,1,0)</f>
        <v/>
      </c>
    </row>
    <row r="1713">
      <c r="A1713" t="inlineStr">
        <is>
          <t>6150bf474f35cfe72d60c24f46a991fc</t>
        </is>
      </c>
      <c r="B1713" s="29" t="n">
        <v>43164</v>
      </c>
      <c r="C1713" t="inlineStr">
        <is>
          <t>2018-03</t>
        </is>
      </c>
      <c r="D1713" t="inlineStr">
        <is>
          <t>a7982125ff7aa3b2054c6e44f9d28522</t>
        </is>
      </c>
      <c r="E1713" t="inlineStr">
        <is>
          <t>paid_search</t>
        </is>
      </c>
      <c r="F1713">
        <f>IFERROR(MATCH(A1713,Deals!$A$2:$A$843,0),"")</f>
        <v/>
      </c>
      <c r="G1713">
        <f>IF(F1713="",0,1)</f>
        <v/>
      </c>
      <c r="H1713" s="29">
        <f>IF(F1713="","",INDEX(Deals!$E$2:$E$843,F1713))</f>
        <v/>
      </c>
      <c r="I1713">
        <f>IF(F1713="","",INDEX(Deals!$D$2:$D$843,F1713))</f>
        <v/>
      </c>
      <c r="J1713">
        <f>IF(F1713="","",INT(H1713)-B1713)</f>
        <v/>
      </c>
      <c r="K1713">
        <f>IF(B1713&gt;=Settings!$C$5,1,0)</f>
        <v/>
      </c>
    </row>
    <row r="1714">
      <c r="A1714" t="inlineStr">
        <is>
          <t>9fa80e175795759b2749da4ab953784d</t>
        </is>
      </c>
      <c r="B1714" s="29" t="n">
        <v>43236</v>
      </c>
      <c r="C1714" t="inlineStr">
        <is>
          <t>2018-05</t>
        </is>
      </c>
      <c r="D1714" t="inlineStr">
        <is>
          <t>6a110e795dd487f1cf8d7583671987af</t>
        </is>
      </c>
      <c r="E1714" t="inlineStr">
        <is>
          <t>organic_search</t>
        </is>
      </c>
      <c r="F1714">
        <f>IFERROR(MATCH(A1714,Deals!$A$2:$A$843,0),"")</f>
        <v/>
      </c>
      <c r="G1714">
        <f>IF(F1714="",0,1)</f>
        <v/>
      </c>
      <c r="H1714" s="29">
        <f>IF(F1714="","",INDEX(Deals!$E$2:$E$843,F1714))</f>
        <v/>
      </c>
      <c r="I1714">
        <f>IF(F1714="","",INDEX(Deals!$D$2:$D$843,F1714))</f>
        <v/>
      </c>
      <c r="J1714">
        <f>IF(F1714="","",INT(H1714)-B1714)</f>
        <v/>
      </c>
      <c r="K1714">
        <f>IF(B1714&gt;=Settings!$C$5,1,0)</f>
        <v/>
      </c>
    </row>
    <row r="1715">
      <c r="A1715" t="inlineStr">
        <is>
          <t>3f6ef69d17c6561909c684b8189fe349</t>
        </is>
      </c>
      <c r="B1715" s="29" t="n">
        <v>42977</v>
      </c>
      <c r="C1715" t="inlineStr">
        <is>
          <t>2017-08</t>
        </is>
      </c>
      <c r="D1715" t="inlineStr">
        <is>
          <t>a0fbc0263cb98bdb0d72b9f9f283a172</t>
        </is>
      </c>
      <c r="E1715" t="inlineStr">
        <is>
          <t>paid_search</t>
        </is>
      </c>
      <c r="F1715">
        <f>IFERROR(MATCH(A1715,Deals!$A$2:$A$843,0),"")</f>
        <v/>
      </c>
      <c r="G1715">
        <f>IF(F1715="",0,1)</f>
        <v/>
      </c>
      <c r="H1715" s="29">
        <f>IF(F1715="","",INDEX(Deals!$E$2:$E$843,F1715))</f>
        <v/>
      </c>
      <c r="I1715">
        <f>IF(F1715="","",INDEX(Deals!$D$2:$D$843,F1715))</f>
        <v/>
      </c>
      <c r="J1715">
        <f>IF(F1715="","",INT(H1715)-B1715)</f>
        <v/>
      </c>
      <c r="K1715">
        <f>IF(B1715&gt;=Settings!$C$5,1,0)</f>
        <v/>
      </c>
    </row>
    <row r="1716">
      <c r="A1716" t="inlineStr">
        <is>
          <t>7db18f538959df68c644ed49564833a3</t>
        </is>
      </c>
      <c r="B1716" s="29" t="n">
        <v>43108</v>
      </c>
      <c r="C1716" t="inlineStr">
        <is>
          <t>2018-01</t>
        </is>
      </c>
      <c r="D1716" t="inlineStr">
        <is>
          <t>73f31a40697cc90a86c1273563ac230e</t>
        </is>
      </c>
      <c r="E1716" t="inlineStr">
        <is>
          <t>other</t>
        </is>
      </c>
      <c r="F1716">
        <f>IFERROR(MATCH(A1716,Deals!$A$2:$A$843,0),"")</f>
        <v/>
      </c>
      <c r="G1716">
        <f>IF(F1716="",0,1)</f>
        <v/>
      </c>
      <c r="H1716" s="29">
        <f>IF(F1716="","",INDEX(Deals!$E$2:$E$843,F1716))</f>
        <v/>
      </c>
      <c r="I1716">
        <f>IF(F1716="","",INDEX(Deals!$D$2:$D$843,F1716))</f>
        <v/>
      </c>
      <c r="J1716">
        <f>IF(F1716="","",INT(H1716)-B1716)</f>
        <v/>
      </c>
      <c r="K1716">
        <f>IF(B1716&gt;=Settings!$C$5,1,0)</f>
        <v/>
      </c>
    </row>
    <row r="1717">
      <c r="A1717" t="inlineStr">
        <is>
          <t>2517e55b4bfe200e1e2c7dfd27e8fd5f</t>
        </is>
      </c>
      <c r="B1717" s="29" t="n">
        <v>43105</v>
      </c>
      <c r="C1717" t="inlineStr">
        <is>
          <t>2018-01</t>
        </is>
      </c>
      <c r="D1717" t="inlineStr">
        <is>
          <t>40dec9f3d5259a3d2dbcdab2114fae47</t>
        </is>
      </c>
      <c r="E1717" t="inlineStr">
        <is>
          <t>paid_search</t>
        </is>
      </c>
      <c r="F1717">
        <f>IFERROR(MATCH(A1717,Deals!$A$2:$A$843,0),"")</f>
        <v/>
      </c>
      <c r="G1717">
        <f>IF(F1717="",0,1)</f>
        <v/>
      </c>
      <c r="H1717" s="29">
        <f>IF(F1717="","",INDEX(Deals!$E$2:$E$843,F1717))</f>
        <v/>
      </c>
      <c r="I1717">
        <f>IF(F1717="","",INDEX(Deals!$D$2:$D$843,F1717))</f>
        <v/>
      </c>
      <c r="J1717">
        <f>IF(F1717="","",INT(H1717)-B1717)</f>
        <v/>
      </c>
      <c r="K1717">
        <f>IF(B1717&gt;=Settings!$C$5,1,0)</f>
        <v/>
      </c>
    </row>
    <row r="1718">
      <c r="A1718" t="inlineStr">
        <is>
          <t>65bc6b569d41780546eeb0d5b63626f2</t>
        </is>
      </c>
      <c r="B1718" s="29" t="n">
        <v>42941</v>
      </c>
      <c r="C1718" t="inlineStr">
        <is>
          <t>2017-07</t>
        </is>
      </c>
      <c r="D1718" t="inlineStr">
        <is>
          <t>8515f4df7468489ed6bced112f86e360</t>
        </is>
      </c>
      <c r="E1718" t="inlineStr">
        <is>
          <t>organic_search</t>
        </is>
      </c>
      <c r="F1718">
        <f>IFERROR(MATCH(A1718,Deals!$A$2:$A$843,0),"")</f>
        <v/>
      </c>
      <c r="G1718">
        <f>IF(F1718="",0,1)</f>
        <v/>
      </c>
      <c r="H1718" s="29">
        <f>IF(F1718="","",INDEX(Deals!$E$2:$E$843,F1718))</f>
        <v/>
      </c>
      <c r="I1718">
        <f>IF(F1718="","",INDEX(Deals!$D$2:$D$843,F1718))</f>
        <v/>
      </c>
      <c r="J1718">
        <f>IF(F1718="","",INT(H1718)-B1718)</f>
        <v/>
      </c>
      <c r="K1718">
        <f>IF(B1718&gt;=Settings!$C$5,1,0)</f>
        <v/>
      </c>
    </row>
    <row r="1719">
      <c r="A1719" t="inlineStr">
        <is>
          <t>5abe018d038a5f636f45328b8950cc50</t>
        </is>
      </c>
      <c r="B1719" s="29" t="n">
        <v>43202</v>
      </c>
      <c r="C1719" t="inlineStr">
        <is>
          <t>2018-04</t>
        </is>
      </c>
      <c r="D1719" t="inlineStr">
        <is>
          <t>58326e62183c14b0c03085c33b9fdc44</t>
        </is>
      </c>
      <c r="E1719" t="inlineStr">
        <is>
          <t>social</t>
        </is>
      </c>
      <c r="F1719">
        <f>IFERROR(MATCH(A1719,Deals!$A$2:$A$843,0),"")</f>
        <v/>
      </c>
      <c r="G1719">
        <f>IF(F1719="",0,1)</f>
        <v/>
      </c>
      <c r="H1719" s="29">
        <f>IF(F1719="","",INDEX(Deals!$E$2:$E$843,F1719))</f>
        <v/>
      </c>
      <c r="I1719">
        <f>IF(F1719="","",INDEX(Deals!$D$2:$D$843,F1719))</f>
        <v/>
      </c>
      <c r="J1719">
        <f>IF(F1719="","",INT(H1719)-B1719)</f>
        <v/>
      </c>
      <c r="K1719">
        <f>IF(B1719&gt;=Settings!$C$5,1,0)</f>
        <v/>
      </c>
    </row>
    <row r="1720">
      <c r="A1720" t="inlineStr">
        <is>
          <t>77dd1e39a455f1c57e984f7fe30b59b9</t>
        </is>
      </c>
      <c r="B1720" s="29" t="n">
        <v>43159</v>
      </c>
      <c r="C1720" t="inlineStr">
        <is>
          <t>2018-02</t>
        </is>
      </c>
      <c r="D1720" t="inlineStr">
        <is>
          <t>0e5a178e3cd2368607f3e72f46140476</t>
        </is>
      </c>
      <c r="E1720" t="inlineStr">
        <is>
          <t>unknown</t>
        </is>
      </c>
      <c r="F1720">
        <f>IFERROR(MATCH(A1720,Deals!$A$2:$A$843,0),"")</f>
        <v/>
      </c>
      <c r="G1720">
        <f>IF(F1720="",0,1)</f>
        <v/>
      </c>
      <c r="H1720" s="29">
        <f>IF(F1720="","",INDEX(Deals!$E$2:$E$843,F1720))</f>
        <v/>
      </c>
      <c r="I1720">
        <f>IF(F1720="","",INDEX(Deals!$D$2:$D$843,F1720))</f>
        <v/>
      </c>
      <c r="J1720">
        <f>IF(F1720="","",INT(H1720)-B1720)</f>
        <v/>
      </c>
      <c r="K1720">
        <f>IF(B1720&gt;=Settings!$C$5,1,0)</f>
        <v/>
      </c>
    </row>
    <row r="1721">
      <c r="A1721" t="inlineStr">
        <is>
          <t>832f8bca9465c6df98528ba13891c147</t>
        </is>
      </c>
      <c r="B1721" s="29" t="n">
        <v>43174</v>
      </c>
      <c r="C1721" t="inlineStr">
        <is>
          <t>2018-03</t>
        </is>
      </c>
      <c r="D1721" t="inlineStr">
        <is>
          <t>73f31a40697cc90a86c1273563ac230e</t>
        </is>
      </c>
      <c r="E1721" t="inlineStr">
        <is>
          <t>other</t>
        </is>
      </c>
      <c r="F1721">
        <f>IFERROR(MATCH(A1721,Deals!$A$2:$A$843,0),"")</f>
        <v/>
      </c>
      <c r="G1721">
        <f>IF(F1721="",0,1)</f>
        <v/>
      </c>
      <c r="H1721" s="29">
        <f>IF(F1721="","",INDEX(Deals!$E$2:$E$843,F1721))</f>
        <v/>
      </c>
      <c r="I1721">
        <f>IF(F1721="","",INDEX(Deals!$D$2:$D$843,F1721))</f>
        <v/>
      </c>
      <c r="J1721">
        <f>IF(F1721="","",INT(H1721)-B1721)</f>
        <v/>
      </c>
      <c r="K1721">
        <f>IF(B1721&gt;=Settings!$C$5,1,0)</f>
        <v/>
      </c>
    </row>
    <row r="1722">
      <c r="A1722" t="inlineStr">
        <is>
          <t>a1909e0d6464d48ffddb13b0ec34c563</t>
        </is>
      </c>
      <c r="B1722" s="29" t="n">
        <v>43223</v>
      </c>
      <c r="C1722" t="inlineStr">
        <is>
          <t>2018-05</t>
        </is>
      </c>
      <c r="D1722" t="inlineStr">
        <is>
          <t>f017be4dbf86243af5c1ebed0cff36a2</t>
        </is>
      </c>
      <c r="E1722" t="inlineStr">
        <is>
          <t>referral</t>
        </is>
      </c>
      <c r="F1722">
        <f>IFERROR(MATCH(A1722,Deals!$A$2:$A$843,0),"")</f>
        <v/>
      </c>
      <c r="G1722">
        <f>IF(F1722="",0,1)</f>
        <v/>
      </c>
      <c r="H1722" s="29">
        <f>IF(F1722="","",INDEX(Deals!$E$2:$E$843,F1722))</f>
        <v/>
      </c>
      <c r="I1722">
        <f>IF(F1722="","",INDEX(Deals!$D$2:$D$843,F1722))</f>
        <v/>
      </c>
      <c r="J1722">
        <f>IF(F1722="","",INT(H1722)-B1722)</f>
        <v/>
      </c>
      <c r="K1722">
        <f>IF(B1722&gt;=Settings!$C$5,1,0)</f>
        <v/>
      </c>
    </row>
    <row r="1723">
      <c r="A1723" t="inlineStr">
        <is>
          <t>0160134f4214329e47c0dadcb73f646f</t>
        </is>
      </c>
      <c r="B1723" s="29" t="n">
        <v>43132</v>
      </c>
      <c r="C1723" t="inlineStr">
        <is>
          <t>2018-02</t>
        </is>
      </c>
      <c r="D1723" t="inlineStr">
        <is>
          <t>88740e65d5d6b056e0cda098e1ea6313</t>
        </is>
      </c>
      <c r="E1723" t="inlineStr">
        <is>
          <t>social</t>
        </is>
      </c>
      <c r="F1723">
        <f>IFERROR(MATCH(A1723,Deals!$A$2:$A$843,0),"")</f>
        <v/>
      </c>
      <c r="G1723">
        <f>IF(F1723="",0,1)</f>
        <v/>
      </c>
      <c r="H1723" s="29">
        <f>IF(F1723="","",INDEX(Deals!$E$2:$E$843,F1723))</f>
        <v/>
      </c>
      <c r="I1723">
        <f>IF(F1723="","",INDEX(Deals!$D$2:$D$843,F1723))</f>
        <v/>
      </c>
      <c r="J1723">
        <f>IF(F1723="","",INT(H1723)-B1723)</f>
        <v/>
      </c>
      <c r="K1723">
        <f>IF(B1723&gt;=Settings!$C$5,1,0)</f>
        <v/>
      </c>
    </row>
    <row r="1724">
      <c r="A1724" t="inlineStr">
        <is>
          <t>634b9747aeb852449da30a415fb60aa9</t>
        </is>
      </c>
      <c r="B1724" s="29" t="n">
        <v>43178</v>
      </c>
      <c r="C1724" t="inlineStr">
        <is>
          <t>2018-03</t>
        </is>
      </c>
      <c r="D1724" t="inlineStr">
        <is>
          <t>241f79c7a8fe0270f4fb79fcbbcd17ad</t>
        </is>
      </c>
      <c r="E1724" t="inlineStr">
        <is>
          <t>paid_search</t>
        </is>
      </c>
      <c r="F1724">
        <f>IFERROR(MATCH(A1724,Deals!$A$2:$A$843,0),"")</f>
        <v/>
      </c>
      <c r="G1724">
        <f>IF(F1724="",0,1)</f>
        <v/>
      </c>
      <c r="H1724" s="29">
        <f>IF(F1724="","",INDEX(Deals!$E$2:$E$843,F1724))</f>
        <v/>
      </c>
      <c r="I1724">
        <f>IF(F1724="","",INDEX(Deals!$D$2:$D$843,F1724))</f>
        <v/>
      </c>
      <c r="J1724">
        <f>IF(F1724="","",INT(H1724)-B1724)</f>
        <v/>
      </c>
      <c r="K1724">
        <f>IF(B1724&gt;=Settings!$C$5,1,0)</f>
        <v/>
      </c>
    </row>
    <row r="1725">
      <c r="A1725" t="inlineStr">
        <is>
          <t>29a3d252405fb67dcf7e17e04522fff0</t>
        </is>
      </c>
      <c r="B1725" s="29" t="n">
        <v>42982</v>
      </c>
      <c r="C1725" t="inlineStr">
        <is>
          <t>2017-09</t>
        </is>
      </c>
      <c r="D1725" t="inlineStr">
        <is>
          <t>87732658ba41d8775e8577df347a64db</t>
        </is>
      </c>
      <c r="E1725" t="inlineStr">
        <is>
          <t>social</t>
        </is>
      </c>
      <c r="F1725">
        <f>IFERROR(MATCH(A1725,Deals!$A$2:$A$843,0),"")</f>
        <v/>
      </c>
      <c r="G1725">
        <f>IF(F1725="",0,1)</f>
        <v/>
      </c>
      <c r="H1725" s="29">
        <f>IF(F1725="","",INDEX(Deals!$E$2:$E$843,F1725))</f>
        <v/>
      </c>
      <c r="I1725">
        <f>IF(F1725="","",INDEX(Deals!$D$2:$D$843,F1725))</f>
        <v/>
      </c>
      <c r="J1725">
        <f>IF(F1725="","",INT(H1725)-B1725)</f>
        <v/>
      </c>
      <c r="K1725">
        <f>IF(B1725&gt;=Settings!$C$5,1,0)</f>
        <v/>
      </c>
    </row>
    <row r="1726">
      <c r="A1726" t="inlineStr">
        <is>
          <t>3c393443d24e71aeb3557011787c11cd</t>
        </is>
      </c>
      <c r="B1726" s="29" t="n">
        <v>43000</v>
      </c>
      <c r="C1726" t="inlineStr">
        <is>
          <t>2017-09</t>
        </is>
      </c>
      <c r="D1726" t="inlineStr">
        <is>
          <t>dcb589befb0d245279c49c137d0afbb9</t>
        </is>
      </c>
      <c r="E1726" t="inlineStr">
        <is>
          <t>paid_search</t>
        </is>
      </c>
      <c r="F1726">
        <f>IFERROR(MATCH(A1726,Deals!$A$2:$A$843,0),"")</f>
        <v/>
      </c>
      <c r="G1726">
        <f>IF(F1726="",0,1)</f>
        <v/>
      </c>
      <c r="H1726" s="29">
        <f>IF(F1726="","",INDEX(Deals!$E$2:$E$843,F1726))</f>
        <v/>
      </c>
      <c r="I1726">
        <f>IF(F1726="","",INDEX(Deals!$D$2:$D$843,F1726))</f>
        <v/>
      </c>
      <c r="J1726">
        <f>IF(F1726="","",INT(H1726)-B1726)</f>
        <v/>
      </c>
      <c r="K1726">
        <f>IF(B1726&gt;=Settings!$C$5,1,0)</f>
        <v/>
      </c>
    </row>
    <row r="1727">
      <c r="A1727" t="inlineStr">
        <is>
          <t>1c3e364cbbce8b2c102bf0dd90ca89fa</t>
        </is>
      </c>
      <c r="B1727" s="29" t="n">
        <v>43174</v>
      </c>
      <c r="C1727" t="inlineStr">
        <is>
          <t>2018-03</t>
        </is>
      </c>
      <c r="D1727" t="inlineStr">
        <is>
          <t>ce1a65abd0973638f1c887a6efcfa82d</t>
        </is>
      </c>
      <c r="E1727" t="inlineStr">
        <is>
          <t>direct_traffic</t>
        </is>
      </c>
      <c r="F1727">
        <f>IFERROR(MATCH(A1727,Deals!$A$2:$A$843,0),"")</f>
        <v/>
      </c>
      <c r="G1727">
        <f>IF(F1727="",0,1)</f>
        <v/>
      </c>
      <c r="H1727" s="29">
        <f>IF(F1727="","",INDEX(Deals!$E$2:$E$843,F1727))</f>
        <v/>
      </c>
      <c r="I1727">
        <f>IF(F1727="","",INDEX(Deals!$D$2:$D$843,F1727))</f>
        <v/>
      </c>
      <c r="J1727">
        <f>IF(F1727="","",INT(H1727)-B1727)</f>
        <v/>
      </c>
      <c r="K1727">
        <f>IF(B1727&gt;=Settings!$C$5,1,0)</f>
        <v/>
      </c>
    </row>
    <row r="1728">
      <c r="A1728" t="inlineStr">
        <is>
          <t>be531378fcd22f55e661e629d5dab9c8</t>
        </is>
      </c>
      <c r="B1728" s="29" t="n">
        <v>43102</v>
      </c>
      <c r="C1728" t="inlineStr">
        <is>
          <t>2018-01</t>
        </is>
      </c>
      <c r="D1728" t="inlineStr">
        <is>
          <t>22c29808c4f815213303f8933030604c</t>
        </is>
      </c>
      <c r="E1728" t="inlineStr">
        <is>
          <t>organic_search</t>
        </is>
      </c>
      <c r="F1728">
        <f>IFERROR(MATCH(A1728,Deals!$A$2:$A$843,0),"")</f>
        <v/>
      </c>
      <c r="G1728">
        <f>IF(F1728="",0,1)</f>
        <v/>
      </c>
      <c r="H1728" s="29">
        <f>IF(F1728="","",INDEX(Deals!$E$2:$E$843,F1728))</f>
        <v/>
      </c>
      <c r="I1728">
        <f>IF(F1728="","",INDEX(Deals!$D$2:$D$843,F1728))</f>
        <v/>
      </c>
      <c r="J1728">
        <f>IF(F1728="","",INT(H1728)-B1728)</f>
        <v/>
      </c>
      <c r="K1728">
        <f>IF(B1728&gt;=Settings!$C$5,1,0)</f>
        <v/>
      </c>
    </row>
    <row r="1729">
      <c r="A1729" t="inlineStr">
        <is>
          <t>051b614de48247432c8a44200229791d</t>
        </is>
      </c>
      <c r="B1729" s="29" t="n">
        <v>42956</v>
      </c>
      <c r="C1729" t="inlineStr">
        <is>
          <t>2017-08</t>
        </is>
      </c>
      <c r="D1729" t="inlineStr">
        <is>
          <t>154e7506c0176dc761f19fa0cb4988c4</t>
        </is>
      </c>
      <c r="E1729" t="inlineStr">
        <is>
          <t>unknown</t>
        </is>
      </c>
      <c r="F1729">
        <f>IFERROR(MATCH(A1729,Deals!$A$2:$A$843,0),"")</f>
        <v/>
      </c>
      <c r="G1729">
        <f>IF(F1729="",0,1)</f>
        <v/>
      </c>
      <c r="H1729" s="29">
        <f>IF(F1729="","",INDEX(Deals!$E$2:$E$843,F1729))</f>
        <v/>
      </c>
      <c r="I1729">
        <f>IF(F1729="","",INDEX(Deals!$D$2:$D$843,F1729))</f>
        <v/>
      </c>
      <c r="J1729">
        <f>IF(F1729="","",INT(H1729)-B1729)</f>
        <v/>
      </c>
      <c r="K1729">
        <f>IF(B1729&gt;=Settings!$C$5,1,0)</f>
        <v/>
      </c>
    </row>
    <row r="1730">
      <c r="A1730" t="inlineStr">
        <is>
          <t>f74b25a7dc1504cf5a3b964a990266ff</t>
        </is>
      </c>
      <c r="B1730" s="29" t="n">
        <v>43119</v>
      </c>
      <c r="C1730" t="inlineStr">
        <is>
          <t>2018-01</t>
        </is>
      </c>
      <c r="D1730" t="inlineStr">
        <is>
          <t>b76ef37428e6799c421989521c0e5077</t>
        </is>
      </c>
      <c r="E1730" t="inlineStr">
        <is>
          <t>organic_search</t>
        </is>
      </c>
      <c r="F1730">
        <f>IFERROR(MATCH(A1730,Deals!$A$2:$A$843,0),"")</f>
        <v/>
      </c>
      <c r="G1730">
        <f>IF(F1730="",0,1)</f>
        <v/>
      </c>
      <c r="H1730" s="29">
        <f>IF(F1730="","",INDEX(Deals!$E$2:$E$843,F1730))</f>
        <v/>
      </c>
      <c r="I1730">
        <f>IF(F1730="","",INDEX(Deals!$D$2:$D$843,F1730))</f>
        <v/>
      </c>
      <c r="J1730">
        <f>IF(F1730="","",INT(H1730)-B1730)</f>
        <v/>
      </c>
      <c r="K1730">
        <f>IF(B1730&gt;=Settings!$C$5,1,0)</f>
        <v/>
      </c>
    </row>
    <row r="1731">
      <c r="A1731" t="inlineStr">
        <is>
          <t>a06bfd4fadabe9ee5815911d150d4167</t>
        </is>
      </c>
      <c r="B1731" s="29" t="n">
        <v>43193</v>
      </c>
      <c r="C1731" t="inlineStr">
        <is>
          <t>2018-04</t>
        </is>
      </c>
      <c r="D1731" t="inlineStr">
        <is>
          <t>22c29808c4f815213303f8933030604c</t>
        </is>
      </c>
      <c r="E1731" t="inlineStr">
        <is>
          <t>organic_search</t>
        </is>
      </c>
      <c r="F1731">
        <f>IFERROR(MATCH(A1731,Deals!$A$2:$A$843,0),"")</f>
        <v/>
      </c>
      <c r="G1731">
        <f>IF(F1731="",0,1)</f>
        <v/>
      </c>
      <c r="H1731" s="29">
        <f>IF(F1731="","",INDEX(Deals!$E$2:$E$843,F1731))</f>
        <v/>
      </c>
      <c r="I1731">
        <f>IF(F1731="","",INDEX(Deals!$D$2:$D$843,F1731))</f>
        <v/>
      </c>
      <c r="J1731">
        <f>IF(F1731="","",INT(H1731)-B1731)</f>
        <v/>
      </c>
      <c r="K1731">
        <f>IF(B1731&gt;=Settings!$C$5,1,0)</f>
        <v/>
      </c>
    </row>
    <row r="1732">
      <c r="A1732" t="inlineStr">
        <is>
          <t>f085547b5f91b3ab87bad8b4e0d7674a</t>
        </is>
      </c>
      <c r="B1732" s="29" t="n">
        <v>43194</v>
      </c>
      <c r="C1732" t="inlineStr">
        <is>
          <t>2018-04</t>
        </is>
      </c>
      <c r="D1732" t="inlineStr">
        <is>
          <t>1ceb590cd1e00c7ee95220971f82693d</t>
        </is>
      </c>
      <c r="E1732" t="inlineStr">
        <is>
          <t>organic_search</t>
        </is>
      </c>
      <c r="F1732">
        <f>IFERROR(MATCH(A1732,Deals!$A$2:$A$843,0),"")</f>
        <v/>
      </c>
      <c r="G1732">
        <f>IF(F1732="",0,1)</f>
        <v/>
      </c>
      <c r="H1732" s="29">
        <f>IF(F1732="","",INDEX(Deals!$E$2:$E$843,F1732))</f>
        <v/>
      </c>
      <c r="I1732">
        <f>IF(F1732="","",INDEX(Deals!$D$2:$D$843,F1732))</f>
        <v/>
      </c>
      <c r="J1732">
        <f>IF(F1732="","",INT(H1732)-B1732)</f>
        <v/>
      </c>
      <c r="K1732">
        <f>IF(B1732&gt;=Settings!$C$5,1,0)</f>
        <v/>
      </c>
    </row>
    <row r="1733">
      <c r="A1733" t="inlineStr">
        <is>
          <t>cadf9f2f22173800aa67dfcc25841440</t>
        </is>
      </c>
      <c r="B1733" s="29" t="n">
        <v>43145</v>
      </c>
      <c r="C1733" t="inlineStr">
        <is>
          <t>2018-02</t>
        </is>
      </c>
      <c r="D1733" t="inlineStr">
        <is>
          <t>fbc24da54d531c6204ae2d17b1090bb1</t>
        </is>
      </c>
      <c r="E1733" t="inlineStr">
        <is>
          <t>paid_search</t>
        </is>
      </c>
      <c r="F1733">
        <f>IFERROR(MATCH(A1733,Deals!$A$2:$A$843,0),"")</f>
        <v/>
      </c>
      <c r="G1733">
        <f>IF(F1733="",0,1)</f>
        <v/>
      </c>
      <c r="H1733" s="29">
        <f>IF(F1733="","",INDEX(Deals!$E$2:$E$843,F1733))</f>
        <v/>
      </c>
      <c r="I1733">
        <f>IF(F1733="","",INDEX(Deals!$D$2:$D$843,F1733))</f>
        <v/>
      </c>
      <c r="J1733">
        <f>IF(F1733="","",INT(H1733)-B1733)</f>
        <v/>
      </c>
      <c r="K1733">
        <f>IF(B1733&gt;=Settings!$C$5,1,0)</f>
        <v/>
      </c>
    </row>
    <row r="1734">
      <c r="A1734" t="inlineStr">
        <is>
          <t>be61c6941614701dfb42cc43d04be6d2</t>
        </is>
      </c>
      <c r="B1734" s="29" t="n">
        <v>43191</v>
      </c>
      <c r="C1734" t="inlineStr">
        <is>
          <t>2018-04</t>
        </is>
      </c>
      <c r="D1734" t="inlineStr">
        <is>
          <t>a77dcf0bf420ced5e37baae9b5daffa4</t>
        </is>
      </c>
      <c r="E1734" t="inlineStr">
        <is>
          <t>social</t>
        </is>
      </c>
      <c r="F1734">
        <f>IFERROR(MATCH(A1734,Deals!$A$2:$A$843,0),"")</f>
        <v/>
      </c>
      <c r="G1734">
        <f>IF(F1734="",0,1)</f>
        <v/>
      </c>
      <c r="H1734" s="29">
        <f>IF(F1734="","",INDEX(Deals!$E$2:$E$843,F1734))</f>
        <v/>
      </c>
      <c r="I1734">
        <f>IF(F1734="","",INDEX(Deals!$D$2:$D$843,F1734))</f>
        <v/>
      </c>
      <c r="J1734">
        <f>IF(F1734="","",INT(H1734)-B1734)</f>
        <v/>
      </c>
      <c r="K1734">
        <f>IF(B1734&gt;=Settings!$C$5,1,0)</f>
        <v/>
      </c>
    </row>
    <row r="1735">
      <c r="A1735" t="inlineStr">
        <is>
          <t>f5abe18064d57c2e5a768504a2041036</t>
        </is>
      </c>
      <c r="B1735" s="29" t="n">
        <v>42930</v>
      </c>
      <c r="C1735" t="inlineStr">
        <is>
          <t>2017-07</t>
        </is>
      </c>
      <c r="D1735" t="inlineStr">
        <is>
          <t>a56671a54260a44923d32c2f08fad39c</t>
        </is>
      </c>
      <c r="E1735" t="inlineStr">
        <is>
          <t>email</t>
        </is>
      </c>
      <c r="F1735">
        <f>IFERROR(MATCH(A1735,Deals!$A$2:$A$843,0),"")</f>
        <v/>
      </c>
      <c r="G1735">
        <f>IF(F1735="",0,1)</f>
        <v/>
      </c>
      <c r="H1735" s="29">
        <f>IF(F1735="","",INDEX(Deals!$E$2:$E$843,F1735))</f>
        <v/>
      </c>
      <c r="I1735">
        <f>IF(F1735="","",INDEX(Deals!$D$2:$D$843,F1735))</f>
        <v/>
      </c>
      <c r="J1735">
        <f>IF(F1735="","",INT(H1735)-B1735)</f>
        <v/>
      </c>
      <c r="K1735">
        <f>IF(B1735&gt;=Settings!$C$5,1,0)</f>
        <v/>
      </c>
    </row>
    <row r="1736">
      <c r="A1736" t="inlineStr">
        <is>
          <t>08484fb15d5a63e5dcca8ea3d08374ae</t>
        </is>
      </c>
      <c r="B1736" s="29" t="n">
        <v>43181</v>
      </c>
      <c r="C1736" t="inlineStr">
        <is>
          <t>2018-03</t>
        </is>
      </c>
      <c r="D1736" t="inlineStr">
        <is>
          <t>638d98a3871a7670e644fa1b69111fab</t>
        </is>
      </c>
      <c r="E1736" t="inlineStr">
        <is>
          <t>unknown</t>
        </is>
      </c>
      <c r="F1736">
        <f>IFERROR(MATCH(A1736,Deals!$A$2:$A$843,0),"")</f>
        <v/>
      </c>
      <c r="G1736">
        <f>IF(F1736="",0,1)</f>
        <v/>
      </c>
      <c r="H1736" s="29">
        <f>IF(F1736="","",INDEX(Deals!$E$2:$E$843,F1736))</f>
        <v/>
      </c>
      <c r="I1736">
        <f>IF(F1736="","",INDEX(Deals!$D$2:$D$843,F1736))</f>
        <v/>
      </c>
      <c r="J1736">
        <f>IF(F1736="","",INT(H1736)-B1736)</f>
        <v/>
      </c>
      <c r="K1736">
        <f>IF(B1736&gt;=Settings!$C$5,1,0)</f>
        <v/>
      </c>
    </row>
    <row r="1737">
      <c r="A1737" t="inlineStr">
        <is>
          <t>57e65b6fc1f2e47c402deeee25bba1aa</t>
        </is>
      </c>
      <c r="B1737" s="29" t="n">
        <v>43066</v>
      </c>
      <c r="C1737" t="inlineStr">
        <is>
          <t>2017-11</t>
        </is>
      </c>
      <c r="D1737" t="inlineStr">
        <is>
          <t>88740e65d5d6b056e0cda098e1ea6313</t>
        </is>
      </c>
      <c r="E1737" t="inlineStr">
        <is>
          <t>social</t>
        </is>
      </c>
      <c r="F1737">
        <f>IFERROR(MATCH(A1737,Deals!$A$2:$A$843,0),"")</f>
        <v/>
      </c>
      <c r="G1737">
        <f>IF(F1737="",0,1)</f>
        <v/>
      </c>
      <c r="H1737" s="29">
        <f>IF(F1737="","",INDEX(Deals!$E$2:$E$843,F1737))</f>
        <v/>
      </c>
      <c r="I1737">
        <f>IF(F1737="","",INDEX(Deals!$D$2:$D$843,F1737))</f>
        <v/>
      </c>
      <c r="J1737">
        <f>IF(F1737="","",INT(H1737)-B1737)</f>
        <v/>
      </c>
      <c r="K1737">
        <f>IF(B1737&gt;=Settings!$C$5,1,0)</f>
        <v/>
      </c>
    </row>
    <row r="1738">
      <c r="A1738" t="inlineStr">
        <is>
          <t>43e8ab73ce9890e4e041d2db5fd36999</t>
        </is>
      </c>
      <c r="B1738" s="29" t="n">
        <v>42945</v>
      </c>
      <c r="C1738" t="inlineStr">
        <is>
          <t>2017-07</t>
        </is>
      </c>
      <c r="D1738" t="inlineStr">
        <is>
          <t>b91e936ef19215572bb05977faae1d85</t>
        </is>
      </c>
      <c r="E1738" t="inlineStr">
        <is>
          <t>unknown</t>
        </is>
      </c>
      <c r="F1738">
        <f>IFERROR(MATCH(A1738,Deals!$A$2:$A$843,0),"")</f>
        <v/>
      </c>
      <c r="G1738">
        <f>IF(F1738="",0,1)</f>
        <v/>
      </c>
      <c r="H1738" s="29">
        <f>IF(F1738="","",INDEX(Deals!$E$2:$E$843,F1738))</f>
        <v/>
      </c>
      <c r="I1738">
        <f>IF(F1738="","",INDEX(Deals!$D$2:$D$843,F1738))</f>
        <v/>
      </c>
      <c r="J1738">
        <f>IF(F1738="","",INT(H1738)-B1738)</f>
        <v/>
      </c>
      <c r="K1738">
        <f>IF(B1738&gt;=Settings!$C$5,1,0)</f>
        <v/>
      </c>
    </row>
    <row r="1739">
      <c r="A1739" t="inlineStr">
        <is>
          <t>8c46df32775afcc338f82c9abe645cc2</t>
        </is>
      </c>
      <c r="B1739" s="29" t="n">
        <v>43007</v>
      </c>
      <c r="C1739" t="inlineStr">
        <is>
          <t>2017-09</t>
        </is>
      </c>
      <c r="D1739" t="inlineStr">
        <is>
          <t>87732658ba41d8775e8577df347a64db</t>
        </is>
      </c>
      <c r="E1739" t="inlineStr">
        <is>
          <t>social</t>
        </is>
      </c>
      <c r="F1739">
        <f>IFERROR(MATCH(A1739,Deals!$A$2:$A$843,0),"")</f>
        <v/>
      </c>
      <c r="G1739">
        <f>IF(F1739="",0,1)</f>
        <v/>
      </c>
      <c r="H1739" s="29">
        <f>IF(F1739="","",INDEX(Deals!$E$2:$E$843,F1739))</f>
        <v/>
      </c>
      <c r="I1739">
        <f>IF(F1739="","",INDEX(Deals!$D$2:$D$843,F1739))</f>
        <v/>
      </c>
      <c r="J1739">
        <f>IF(F1739="","",INT(H1739)-B1739)</f>
        <v/>
      </c>
      <c r="K1739">
        <f>IF(B1739&gt;=Settings!$C$5,1,0)</f>
        <v/>
      </c>
    </row>
    <row r="1740">
      <c r="A1740" t="inlineStr">
        <is>
          <t>24f0f5f2bd114f02fbf9a531068f0b44</t>
        </is>
      </c>
      <c r="B1740" s="29" t="n">
        <v>43193</v>
      </c>
      <c r="C1740" t="inlineStr">
        <is>
          <t>2018-04</t>
        </is>
      </c>
      <c r="D1740" t="inlineStr">
        <is>
          <t>b76ef37428e6799c421989521c0e5077</t>
        </is>
      </c>
      <c r="E1740" t="inlineStr">
        <is>
          <t>unknown</t>
        </is>
      </c>
      <c r="F1740">
        <f>IFERROR(MATCH(A1740,Deals!$A$2:$A$843,0),"")</f>
        <v/>
      </c>
      <c r="G1740">
        <f>IF(F1740="",0,1)</f>
        <v/>
      </c>
      <c r="H1740" s="29">
        <f>IF(F1740="","",INDEX(Deals!$E$2:$E$843,F1740))</f>
        <v/>
      </c>
      <c r="I1740">
        <f>IF(F1740="","",INDEX(Deals!$D$2:$D$843,F1740))</f>
        <v/>
      </c>
      <c r="J1740">
        <f>IF(F1740="","",INT(H1740)-B1740)</f>
        <v/>
      </c>
      <c r="K1740">
        <f>IF(B1740&gt;=Settings!$C$5,1,0)</f>
        <v/>
      </c>
    </row>
    <row r="1741">
      <c r="A1741" t="inlineStr">
        <is>
          <t>1eadd53b3f3f514579f064dc20b8c0e2</t>
        </is>
      </c>
      <c r="B1741" s="29" t="n">
        <v>43211</v>
      </c>
      <c r="C1741" t="inlineStr">
        <is>
          <t>2018-04</t>
        </is>
      </c>
      <c r="D1741" t="inlineStr">
        <is>
          <t>649b7b8b46b254497e92038d88f6ced8</t>
        </is>
      </c>
      <c r="E1741" t="inlineStr">
        <is>
          <t>social</t>
        </is>
      </c>
      <c r="F1741">
        <f>IFERROR(MATCH(A1741,Deals!$A$2:$A$843,0),"")</f>
        <v/>
      </c>
      <c r="G1741">
        <f>IF(F1741="",0,1)</f>
        <v/>
      </c>
      <c r="H1741" s="29">
        <f>IF(F1741="","",INDEX(Deals!$E$2:$E$843,F1741))</f>
        <v/>
      </c>
      <c r="I1741">
        <f>IF(F1741="","",INDEX(Deals!$D$2:$D$843,F1741))</f>
        <v/>
      </c>
      <c r="J1741">
        <f>IF(F1741="","",INT(H1741)-B1741)</f>
        <v/>
      </c>
      <c r="K1741">
        <f>IF(B1741&gt;=Settings!$C$5,1,0)</f>
        <v/>
      </c>
    </row>
    <row r="1742">
      <c r="A1742" t="inlineStr">
        <is>
          <t>9f4a44a16dec1a082e77acf25f2a5992</t>
        </is>
      </c>
      <c r="B1742" s="29" t="n">
        <v>43235</v>
      </c>
      <c r="C1742" t="inlineStr">
        <is>
          <t>2018-05</t>
        </is>
      </c>
      <c r="D1742" t="inlineStr">
        <is>
          <t>6a110e795dd487f1cf8d7583671987af</t>
        </is>
      </c>
      <c r="E1742" t="inlineStr">
        <is>
          <t>unknown</t>
        </is>
      </c>
      <c r="F1742">
        <f>IFERROR(MATCH(A1742,Deals!$A$2:$A$843,0),"")</f>
        <v/>
      </c>
      <c r="G1742">
        <f>IF(F1742="",0,1)</f>
        <v/>
      </c>
      <c r="H1742" s="29">
        <f>IF(F1742="","",INDEX(Deals!$E$2:$E$843,F1742))</f>
        <v/>
      </c>
      <c r="I1742">
        <f>IF(F1742="","",INDEX(Deals!$D$2:$D$843,F1742))</f>
        <v/>
      </c>
      <c r="J1742">
        <f>IF(F1742="","",INT(H1742)-B1742)</f>
        <v/>
      </c>
      <c r="K1742">
        <f>IF(B1742&gt;=Settings!$C$5,1,0)</f>
        <v/>
      </c>
    </row>
    <row r="1743">
      <c r="A1743" t="inlineStr">
        <is>
          <t>a94589cf43e8ec17e83570b720109b94</t>
        </is>
      </c>
      <c r="B1743" s="29" t="n">
        <v>43165</v>
      </c>
      <c r="C1743" t="inlineStr">
        <is>
          <t>2018-03</t>
        </is>
      </c>
      <c r="D1743" t="inlineStr">
        <is>
          <t>ce1a65abd0973638f1c887a6efcfa82d</t>
        </is>
      </c>
      <c r="E1743" t="inlineStr">
        <is>
          <t>organic_search</t>
        </is>
      </c>
      <c r="F1743">
        <f>IFERROR(MATCH(A1743,Deals!$A$2:$A$843,0),"")</f>
        <v/>
      </c>
      <c r="G1743">
        <f>IF(F1743="",0,1)</f>
        <v/>
      </c>
      <c r="H1743" s="29">
        <f>IF(F1743="","",INDEX(Deals!$E$2:$E$843,F1743))</f>
        <v/>
      </c>
      <c r="I1743">
        <f>IF(F1743="","",INDEX(Deals!$D$2:$D$843,F1743))</f>
        <v/>
      </c>
      <c r="J1743">
        <f>IF(F1743="","",INT(H1743)-B1743)</f>
        <v/>
      </c>
      <c r="K1743">
        <f>IF(B1743&gt;=Settings!$C$5,1,0)</f>
        <v/>
      </c>
    </row>
    <row r="1744">
      <c r="A1744" t="inlineStr">
        <is>
          <t>ed7c2df00da3928f799751b048ed5ab0</t>
        </is>
      </c>
      <c r="B1744" s="29" t="n">
        <v>43122</v>
      </c>
      <c r="C1744" t="inlineStr">
        <is>
          <t>2018-01</t>
        </is>
      </c>
      <c r="D1744" t="inlineStr">
        <is>
          <t>88740e65d5d6b056e0cda098e1ea6313</t>
        </is>
      </c>
      <c r="E1744" t="inlineStr">
        <is>
          <t>social</t>
        </is>
      </c>
      <c r="F1744">
        <f>IFERROR(MATCH(A1744,Deals!$A$2:$A$843,0),"")</f>
        <v/>
      </c>
      <c r="G1744">
        <f>IF(F1744="",0,1)</f>
        <v/>
      </c>
      <c r="H1744" s="29">
        <f>IF(F1744="","",INDEX(Deals!$E$2:$E$843,F1744))</f>
        <v/>
      </c>
      <c r="I1744">
        <f>IF(F1744="","",INDEX(Deals!$D$2:$D$843,F1744))</f>
        <v/>
      </c>
      <c r="J1744">
        <f>IF(F1744="","",INT(H1744)-B1744)</f>
        <v/>
      </c>
      <c r="K1744">
        <f>IF(B1744&gt;=Settings!$C$5,1,0)</f>
        <v/>
      </c>
    </row>
    <row r="1745">
      <c r="A1745" t="inlineStr">
        <is>
          <t>00701bfa411bb151a8516b9730037148</t>
        </is>
      </c>
      <c r="B1745" s="29" t="n">
        <v>43192</v>
      </c>
      <c r="C1745" t="inlineStr">
        <is>
          <t>2018-04</t>
        </is>
      </c>
      <c r="D1745" t="inlineStr">
        <is>
          <t>b6885f18d203a61176418c1fb3764815</t>
        </is>
      </c>
      <c r="E1745" t="inlineStr">
        <is>
          <t>paid_search</t>
        </is>
      </c>
      <c r="F1745">
        <f>IFERROR(MATCH(A1745,Deals!$A$2:$A$843,0),"")</f>
        <v/>
      </c>
      <c r="G1745">
        <f>IF(F1745="",0,1)</f>
        <v/>
      </c>
      <c r="H1745" s="29">
        <f>IF(F1745="","",INDEX(Deals!$E$2:$E$843,F1745))</f>
        <v/>
      </c>
      <c r="I1745">
        <f>IF(F1745="","",INDEX(Deals!$D$2:$D$843,F1745))</f>
        <v/>
      </c>
      <c r="J1745">
        <f>IF(F1745="","",INT(H1745)-B1745)</f>
        <v/>
      </c>
      <c r="K1745">
        <f>IF(B1745&gt;=Settings!$C$5,1,0)</f>
        <v/>
      </c>
    </row>
    <row r="1746">
      <c r="A1746" t="inlineStr">
        <is>
          <t>4ed1821c31cd5c17f150a5149ec39f8e</t>
        </is>
      </c>
      <c r="B1746" s="29" t="n">
        <v>43215</v>
      </c>
      <c r="C1746" t="inlineStr">
        <is>
          <t>2018-04</t>
        </is>
      </c>
      <c r="D1746" t="inlineStr">
        <is>
          <t>f80696b73d17fb34f5c4fde157f119d8</t>
        </is>
      </c>
      <c r="E1746" t="inlineStr">
        <is>
          <t>paid_search</t>
        </is>
      </c>
      <c r="F1746">
        <f>IFERROR(MATCH(A1746,Deals!$A$2:$A$843,0),"")</f>
        <v/>
      </c>
      <c r="G1746">
        <f>IF(F1746="",0,1)</f>
        <v/>
      </c>
      <c r="H1746" s="29">
        <f>IF(F1746="","",INDEX(Deals!$E$2:$E$843,F1746))</f>
        <v/>
      </c>
      <c r="I1746">
        <f>IF(F1746="","",INDEX(Deals!$D$2:$D$843,F1746))</f>
        <v/>
      </c>
      <c r="J1746">
        <f>IF(F1746="","",INT(H1746)-B1746)</f>
        <v/>
      </c>
      <c r="K1746">
        <f>IF(B1746&gt;=Settings!$C$5,1,0)</f>
        <v/>
      </c>
    </row>
    <row r="1747">
      <c r="A1747" t="inlineStr">
        <is>
          <t>b404579a33d6c50199eefb174df7b02a</t>
        </is>
      </c>
      <c r="B1747" s="29" t="n">
        <v>43114</v>
      </c>
      <c r="C1747" t="inlineStr">
        <is>
          <t>2018-01</t>
        </is>
      </c>
      <c r="D1747" t="inlineStr">
        <is>
          <t>22c29808c4f815213303f8933030604c</t>
        </is>
      </c>
      <c r="E1747" t="inlineStr">
        <is>
          <t>organic_search</t>
        </is>
      </c>
      <c r="F1747">
        <f>IFERROR(MATCH(A1747,Deals!$A$2:$A$843,0),"")</f>
        <v/>
      </c>
      <c r="G1747">
        <f>IF(F1747="",0,1)</f>
        <v/>
      </c>
      <c r="H1747" s="29">
        <f>IF(F1747="","",INDEX(Deals!$E$2:$E$843,F1747))</f>
        <v/>
      </c>
      <c r="I1747">
        <f>IF(F1747="","",INDEX(Deals!$D$2:$D$843,F1747))</f>
        <v/>
      </c>
      <c r="J1747">
        <f>IF(F1747="","",INT(H1747)-B1747)</f>
        <v/>
      </c>
      <c r="K1747">
        <f>IF(B1747&gt;=Settings!$C$5,1,0)</f>
        <v/>
      </c>
    </row>
    <row r="1748">
      <c r="A1748" t="inlineStr">
        <is>
          <t>e5771214664db8f497f005808cb5869b</t>
        </is>
      </c>
      <c r="B1748" s="29" t="n">
        <v>43170</v>
      </c>
      <c r="C1748" t="inlineStr">
        <is>
          <t>2018-03</t>
        </is>
      </c>
      <c r="D1748" t="inlineStr">
        <is>
          <t>241f79c7a8fe0270f4fb79fcbbcd17ad</t>
        </is>
      </c>
      <c r="E1748" t="inlineStr">
        <is>
          <t>paid_search</t>
        </is>
      </c>
      <c r="F1748">
        <f>IFERROR(MATCH(A1748,Deals!$A$2:$A$843,0),"")</f>
        <v/>
      </c>
      <c r="G1748">
        <f>IF(F1748="",0,1)</f>
        <v/>
      </c>
      <c r="H1748" s="29">
        <f>IF(F1748="","",INDEX(Deals!$E$2:$E$843,F1748))</f>
        <v/>
      </c>
      <c r="I1748">
        <f>IF(F1748="","",INDEX(Deals!$D$2:$D$843,F1748))</f>
        <v/>
      </c>
      <c r="J1748">
        <f>IF(F1748="","",INT(H1748)-B1748)</f>
        <v/>
      </c>
      <c r="K1748">
        <f>IF(B1748&gt;=Settings!$C$5,1,0)</f>
        <v/>
      </c>
    </row>
    <row r="1749">
      <c r="A1749" t="inlineStr">
        <is>
          <t>1404d2d16ab402e5a4b412400ebb2307</t>
        </is>
      </c>
      <c r="B1749" s="29" t="n">
        <v>43138</v>
      </c>
      <c r="C1749" t="inlineStr">
        <is>
          <t>2018-02</t>
        </is>
      </c>
      <c r="D1749" t="inlineStr">
        <is>
          <t>22c29808c4f815213303f8933030604c</t>
        </is>
      </c>
      <c r="E1749" t="inlineStr">
        <is>
          <t>social</t>
        </is>
      </c>
      <c r="F1749">
        <f>IFERROR(MATCH(A1749,Deals!$A$2:$A$843,0),"")</f>
        <v/>
      </c>
      <c r="G1749">
        <f>IF(F1749="",0,1)</f>
        <v/>
      </c>
      <c r="H1749" s="29">
        <f>IF(F1749="","",INDEX(Deals!$E$2:$E$843,F1749))</f>
        <v/>
      </c>
      <c r="I1749">
        <f>IF(F1749="","",INDEX(Deals!$D$2:$D$843,F1749))</f>
        <v/>
      </c>
      <c r="J1749">
        <f>IF(F1749="","",INT(H1749)-B1749)</f>
        <v/>
      </c>
      <c r="K1749">
        <f>IF(B1749&gt;=Settings!$C$5,1,0)</f>
        <v/>
      </c>
    </row>
    <row r="1750">
      <c r="A1750" t="inlineStr">
        <is>
          <t>aa721632f9066fae441aa6f0b09bd9e4</t>
        </is>
      </c>
      <c r="B1750" s="29" t="n">
        <v>43010</v>
      </c>
      <c r="C1750" t="inlineStr">
        <is>
          <t>2017-10</t>
        </is>
      </c>
      <c r="D1750" t="inlineStr">
        <is>
          <t>1722481ac9e5371e5099dea226b5421d</t>
        </is>
      </c>
      <c r="E1750" t="inlineStr">
        <is>
          <t>social</t>
        </is>
      </c>
      <c r="F1750">
        <f>IFERROR(MATCH(A1750,Deals!$A$2:$A$843,0),"")</f>
        <v/>
      </c>
      <c r="G1750">
        <f>IF(F1750="",0,1)</f>
        <v/>
      </c>
      <c r="H1750" s="29">
        <f>IF(F1750="","",INDEX(Deals!$E$2:$E$843,F1750))</f>
        <v/>
      </c>
      <c r="I1750">
        <f>IF(F1750="","",INDEX(Deals!$D$2:$D$843,F1750))</f>
        <v/>
      </c>
      <c r="J1750">
        <f>IF(F1750="","",INT(H1750)-B1750)</f>
        <v/>
      </c>
      <c r="K1750">
        <f>IF(B1750&gt;=Settings!$C$5,1,0)</f>
        <v/>
      </c>
    </row>
    <row r="1751">
      <c r="A1751" t="inlineStr">
        <is>
          <t>7af61e5f524cea0e7dab3a8dfc4c00d6</t>
        </is>
      </c>
      <c r="B1751" s="29" t="n">
        <v>43131</v>
      </c>
      <c r="C1751" t="inlineStr">
        <is>
          <t>2018-01</t>
        </is>
      </c>
      <c r="D1751" t="inlineStr">
        <is>
          <t>88740e65d5d6b056e0cda098e1ea6313</t>
        </is>
      </c>
      <c r="E1751" t="inlineStr">
        <is>
          <t>social</t>
        </is>
      </c>
      <c r="F1751">
        <f>IFERROR(MATCH(A1751,Deals!$A$2:$A$843,0),"")</f>
        <v/>
      </c>
      <c r="G1751">
        <f>IF(F1751="",0,1)</f>
        <v/>
      </c>
      <c r="H1751" s="29">
        <f>IF(F1751="","",INDEX(Deals!$E$2:$E$843,F1751))</f>
        <v/>
      </c>
      <c r="I1751">
        <f>IF(F1751="","",INDEX(Deals!$D$2:$D$843,F1751))</f>
        <v/>
      </c>
      <c r="J1751">
        <f>IF(F1751="","",INT(H1751)-B1751)</f>
        <v/>
      </c>
      <c r="K1751">
        <f>IF(B1751&gt;=Settings!$C$5,1,0)</f>
        <v/>
      </c>
    </row>
    <row r="1752">
      <c r="A1752" t="inlineStr">
        <is>
          <t>96a8b6d3cae8b7a850188eebc0d1ecd7</t>
        </is>
      </c>
      <c r="B1752" s="29" t="n">
        <v>43133</v>
      </c>
      <c r="C1752" t="inlineStr">
        <is>
          <t>2018-02</t>
        </is>
      </c>
      <c r="D1752" t="inlineStr">
        <is>
          <t>b76ef37428e6799c421989521c0e5077</t>
        </is>
      </c>
      <c r="E1752" t="inlineStr">
        <is>
          <t>social</t>
        </is>
      </c>
      <c r="F1752">
        <f>IFERROR(MATCH(A1752,Deals!$A$2:$A$843,0),"")</f>
        <v/>
      </c>
      <c r="G1752">
        <f>IF(F1752="",0,1)</f>
        <v/>
      </c>
      <c r="H1752" s="29">
        <f>IF(F1752="","",INDEX(Deals!$E$2:$E$843,F1752))</f>
        <v/>
      </c>
      <c r="I1752">
        <f>IF(F1752="","",INDEX(Deals!$D$2:$D$843,F1752))</f>
        <v/>
      </c>
      <c r="J1752">
        <f>IF(F1752="","",INT(H1752)-B1752)</f>
        <v/>
      </c>
      <c r="K1752">
        <f>IF(B1752&gt;=Settings!$C$5,1,0)</f>
        <v/>
      </c>
    </row>
    <row r="1753">
      <c r="A1753" t="inlineStr">
        <is>
          <t>1ef101de84f042e4d763e3235785e0df</t>
        </is>
      </c>
      <c r="B1753" s="29" t="n">
        <v>43129</v>
      </c>
      <c r="C1753" t="inlineStr">
        <is>
          <t>2018-01</t>
        </is>
      </c>
      <c r="D1753" t="inlineStr">
        <is>
          <t>b76ef37428e6799c421989521c0e5077</t>
        </is>
      </c>
      <c r="E1753" t="inlineStr">
        <is>
          <t>organic_search</t>
        </is>
      </c>
      <c r="F1753">
        <f>IFERROR(MATCH(A1753,Deals!$A$2:$A$843,0),"")</f>
        <v/>
      </c>
      <c r="G1753">
        <f>IF(F1753="",0,1)</f>
        <v/>
      </c>
      <c r="H1753" s="29">
        <f>IF(F1753="","",INDEX(Deals!$E$2:$E$843,F1753))</f>
        <v/>
      </c>
      <c r="I1753">
        <f>IF(F1753="","",INDEX(Deals!$D$2:$D$843,F1753))</f>
        <v/>
      </c>
      <c r="J1753">
        <f>IF(F1753="","",INT(H1753)-B1753)</f>
        <v/>
      </c>
      <c r="K1753">
        <f>IF(B1753&gt;=Settings!$C$5,1,0)</f>
        <v/>
      </c>
    </row>
    <row r="1754">
      <c r="A1754" t="inlineStr">
        <is>
          <t>e16e18c08f9710f81d96325f8cbd9524</t>
        </is>
      </c>
      <c r="B1754" s="29" t="n">
        <v>43023</v>
      </c>
      <c r="C1754" t="inlineStr">
        <is>
          <t>2017-10</t>
        </is>
      </c>
      <c r="D1754" t="inlineStr">
        <is>
          <t>88740e65d5d6b056e0cda098e1ea6313</t>
        </is>
      </c>
      <c r="E1754" t="inlineStr">
        <is>
          <t>social</t>
        </is>
      </c>
      <c r="F1754">
        <f>IFERROR(MATCH(A1754,Deals!$A$2:$A$843,0),"")</f>
        <v/>
      </c>
      <c r="G1754">
        <f>IF(F1754="",0,1)</f>
        <v/>
      </c>
      <c r="H1754" s="29">
        <f>IF(F1754="","",INDEX(Deals!$E$2:$E$843,F1754))</f>
        <v/>
      </c>
      <c r="I1754">
        <f>IF(F1754="","",INDEX(Deals!$D$2:$D$843,F1754))</f>
        <v/>
      </c>
      <c r="J1754">
        <f>IF(F1754="","",INT(H1754)-B1754)</f>
        <v/>
      </c>
      <c r="K1754">
        <f>IF(B1754&gt;=Settings!$C$5,1,0)</f>
        <v/>
      </c>
    </row>
    <row r="1755">
      <c r="A1755" t="inlineStr">
        <is>
          <t>1169c74cbc26f95cf5c2a04434c97115</t>
        </is>
      </c>
      <c r="B1755" s="29" t="n">
        <v>43123</v>
      </c>
      <c r="C1755" t="inlineStr">
        <is>
          <t>2018-01</t>
        </is>
      </c>
      <c r="D1755" t="inlineStr">
        <is>
          <t>ce1a65abd0973638f1c887a6efcfa82d</t>
        </is>
      </c>
      <c r="E1755" t="inlineStr">
        <is>
          <t>organic_search</t>
        </is>
      </c>
      <c r="F1755">
        <f>IFERROR(MATCH(A1755,Deals!$A$2:$A$843,0),"")</f>
        <v/>
      </c>
      <c r="G1755">
        <f>IF(F1755="",0,1)</f>
        <v/>
      </c>
      <c r="H1755" s="29">
        <f>IF(F1755="","",INDEX(Deals!$E$2:$E$843,F1755))</f>
        <v/>
      </c>
      <c r="I1755">
        <f>IF(F1755="","",INDEX(Deals!$D$2:$D$843,F1755))</f>
        <v/>
      </c>
      <c r="J1755">
        <f>IF(F1755="","",INT(H1755)-B1755)</f>
        <v/>
      </c>
      <c r="K1755">
        <f>IF(B1755&gt;=Settings!$C$5,1,0)</f>
        <v/>
      </c>
    </row>
    <row r="1756">
      <c r="A1756" t="inlineStr">
        <is>
          <t>08184de335b171e486b555d31d9c647b</t>
        </is>
      </c>
      <c r="B1756" s="29" t="n">
        <v>43244</v>
      </c>
      <c r="C1756" t="inlineStr">
        <is>
          <t>2018-05</t>
        </is>
      </c>
      <c r="D1756" t="inlineStr">
        <is>
          <t>b76ef37428e6799c421989521c0e5077</t>
        </is>
      </c>
      <c r="E1756" t="inlineStr">
        <is>
          <t>unknown</t>
        </is>
      </c>
      <c r="F1756">
        <f>IFERROR(MATCH(A1756,Deals!$A$2:$A$843,0),"")</f>
        <v/>
      </c>
      <c r="G1756">
        <f>IF(F1756="",0,1)</f>
        <v/>
      </c>
      <c r="H1756" s="29">
        <f>IF(F1756="","",INDEX(Deals!$E$2:$E$843,F1756))</f>
        <v/>
      </c>
      <c r="I1756">
        <f>IF(F1756="","",INDEX(Deals!$D$2:$D$843,F1756))</f>
        <v/>
      </c>
      <c r="J1756">
        <f>IF(F1756="","",INT(H1756)-B1756)</f>
        <v/>
      </c>
      <c r="K1756">
        <f>IF(B1756&gt;=Settings!$C$5,1,0)</f>
        <v/>
      </c>
    </row>
    <row r="1757">
      <c r="A1757" t="inlineStr">
        <is>
          <t>1757e3f18eafbd664e0bc8cd4c2e0e39</t>
        </is>
      </c>
      <c r="B1757" s="29" t="n">
        <v>43061</v>
      </c>
      <c r="C1757" t="inlineStr">
        <is>
          <t>2017-11</t>
        </is>
      </c>
      <c r="D1757" t="inlineStr">
        <is>
          <t>b76ef37428e6799c421989521c0e5077</t>
        </is>
      </c>
      <c r="E1757" t="inlineStr">
        <is>
          <t>unknown</t>
        </is>
      </c>
      <c r="F1757">
        <f>IFERROR(MATCH(A1757,Deals!$A$2:$A$843,0),"")</f>
        <v/>
      </c>
      <c r="G1757">
        <f>IF(F1757="",0,1)</f>
        <v/>
      </c>
      <c r="H1757" s="29">
        <f>IF(F1757="","",INDEX(Deals!$E$2:$E$843,F1757))</f>
        <v/>
      </c>
      <c r="I1757">
        <f>IF(F1757="","",INDEX(Deals!$D$2:$D$843,F1757))</f>
        <v/>
      </c>
      <c r="J1757">
        <f>IF(F1757="","",INT(H1757)-B1757)</f>
        <v/>
      </c>
      <c r="K1757">
        <f>IF(B1757&gt;=Settings!$C$5,1,0)</f>
        <v/>
      </c>
    </row>
    <row r="1758">
      <c r="A1758" t="inlineStr">
        <is>
          <t>df1d7cf1ec07fe3f4f3883ea11abb992</t>
        </is>
      </c>
      <c r="B1758" s="29" t="n">
        <v>43227</v>
      </c>
      <c r="C1758" t="inlineStr">
        <is>
          <t>2018-05</t>
        </is>
      </c>
      <c r="D1758" t="inlineStr">
        <is>
          <t>b76ef37428e6799c421989521c0e5077</t>
        </is>
      </c>
      <c r="E1758" t="inlineStr">
        <is>
          <t>unknown</t>
        </is>
      </c>
      <c r="F1758">
        <f>IFERROR(MATCH(A1758,Deals!$A$2:$A$843,0),"")</f>
        <v/>
      </c>
      <c r="G1758">
        <f>IF(F1758="",0,1)</f>
        <v/>
      </c>
      <c r="H1758" s="29">
        <f>IF(F1758="","",INDEX(Deals!$E$2:$E$843,F1758))</f>
        <v/>
      </c>
      <c r="I1758">
        <f>IF(F1758="","",INDEX(Deals!$D$2:$D$843,F1758))</f>
        <v/>
      </c>
      <c r="J1758">
        <f>IF(F1758="","",INT(H1758)-B1758)</f>
        <v/>
      </c>
      <c r="K1758">
        <f>IF(B1758&gt;=Settings!$C$5,1,0)</f>
        <v/>
      </c>
    </row>
    <row r="1759">
      <c r="A1759" t="inlineStr">
        <is>
          <t>c57bf132f2ca64d288f7353f2e11a38a</t>
        </is>
      </c>
      <c r="B1759" s="29" t="n">
        <v>43216</v>
      </c>
      <c r="C1759" t="inlineStr">
        <is>
          <t>2018-04</t>
        </is>
      </c>
      <c r="D1759" t="inlineStr">
        <is>
          <t>35c9b150ab36fe584c1f24fd458c453a</t>
        </is>
      </c>
      <c r="E1759" t="inlineStr">
        <is>
          <t>paid_search</t>
        </is>
      </c>
      <c r="F1759">
        <f>IFERROR(MATCH(A1759,Deals!$A$2:$A$843,0),"")</f>
        <v/>
      </c>
      <c r="G1759">
        <f>IF(F1759="",0,1)</f>
        <v/>
      </c>
      <c r="H1759" s="29">
        <f>IF(F1759="","",INDEX(Deals!$E$2:$E$843,F1759))</f>
        <v/>
      </c>
      <c r="I1759">
        <f>IF(F1759="","",INDEX(Deals!$D$2:$D$843,F1759))</f>
        <v/>
      </c>
      <c r="J1759">
        <f>IF(F1759="","",INT(H1759)-B1759)</f>
        <v/>
      </c>
      <c r="K1759">
        <f>IF(B1759&gt;=Settings!$C$5,1,0)</f>
        <v/>
      </c>
    </row>
    <row r="1760">
      <c r="A1760" t="inlineStr">
        <is>
          <t>f470fdd03171fb2bfe46d29c9f3e9306</t>
        </is>
      </c>
      <c r="B1760" s="29" t="n">
        <v>43118</v>
      </c>
      <c r="C1760" t="inlineStr">
        <is>
          <t>2018-01</t>
        </is>
      </c>
      <c r="D1760" t="inlineStr">
        <is>
          <t>b76ef37428e6799c421989521c0e5077</t>
        </is>
      </c>
      <c r="E1760" t="inlineStr">
        <is>
          <t>direct_traffic</t>
        </is>
      </c>
      <c r="F1760">
        <f>IFERROR(MATCH(A1760,Deals!$A$2:$A$843,0),"")</f>
        <v/>
      </c>
      <c r="G1760">
        <f>IF(F1760="",0,1)</f>
        <v/>
      </c>
      <c r="H1760" s="29">
        <f>IF(F1760="","",INDEX(Deals!$E$2:$E$843,F1760))</f>
        <v/>
      </c>
      <c r="I1760">
        <f>IF(F1760="","",INDEX(Deals!$D$2:$D$843,F1760))</f>
        <v/>
      </c>
      <c r="J1760">
        <f>IF(F1760="","",INT(H1760)-B1760)</f>
        <v/>
      </c>
      <c r="K1760">
        <f>IF(B1760&gt;=Settings!$C$5,1,0)</f>
        <v/>
      </c>
    </row>
    <row r="1761">
      <c r="A1761" t="inlineStr">
        <is>
          <t>063f5947bbefa2dc4936b33f80cab66c</t>
        </is>
      </c>
      <c r="B1761" s="29" t="n">
        <v>43181</v>
      </c>
      <c r="C1761" t="inlineStr">
        <is>
          <t>2018-03</t>
        </is>
      </c>
      <c r="D1761" t="inlineStr">
        <is>
          <t>22c29808c4f815213303f8933030604c</t>
        </is>
      </c>
      <c r="E1761" t="inlineStr">
        <is>
          <t>organic_search</t>
        </is>
      </c>
      <c r="F1761">
        <f>IFERROR(MATCH(A1761,Deals!$A$2:$A$843,0),"")</f>
        <v/>
      </c>
      <c r="G1761">
        <f>IF(F1761="",0,1)</f>
        <v/>
      </c>
      <c r="H1761" s="29">
        <f>IF(F1761="","",INDEX(Deals!$E$2:$E$843,F1761))</f>
        <v/>
      </c>
      <c r="I1761">
        <f>IF(F1761="","",INDEX(Deals!$D$2:$D$843,F1761))</f>
        <v/>
      </c>
      <c r="J1761">
        <f>IF(F1761="","",INT(H1761)-B1761)</f>
        <v/>
      </c>
      <c r="K1761">
        <f>IF(B1761&gt;=Settings!$C$5,1,0)</f>
        <v/>
      </c>
    </row>
    <row r="1762">
      <c r="A1762" t="inlineStr">
        <is>
          <t>254aeaad72ea9fae24715d6f62dc71a5</t>
        </is>
      </c>
      <c r="B1762" s="29" t="n">
        <v>43208</v>
      </c>
      <c r="C1762" t="inlineStr">
        <is>
          <t>2018-04</t>
        </is>
      </c>
      <c r="D1762" t="inlineStr">
        <is>
          <t>b8cc49b19db5de8ec30f938aa3d916a9</t>
        </is>
      </c>
      <c r="E1762" t="inlineStr">
        <is>
          <t>organic_search</t>
        </is>
      </c>
      <c r="F1762">
        <f>IFERROR(MATCH(A1762,Deals!$A$2:$A$843,0),"")</f>
        <v/>
      </c>
      <c r="G1762">
        <f>IF(F1762="",0,1)</f>
        <v/>
      </c>
      <c r="H1762" s="29">
        <f>IF(F1762="","",INDEX(Deals!$E$2:$E$843,F1762))</f>
        <v/>
      </c>
      <c r="I1762">
        <f>IF(F1762="","",INDEX(Deals!$D$2:$D$843,F1762))</f>
        <v/>
      </c>
      <c r="J1762">
        <f>IF(F1762="","",INT(H1762)-B1762)</f>
        <v/>
      </c>
      <c r="K1762">
        <f>IF(B1762&gt;=Settings!$C$5,1,0)</f>
        <v/>
      </c>
    </row>
    <row r="1763">
      <c r="A1763" t="inlineStr">
        <is>
          <t>fd5e90020fbd7cf001751decb2397038</t>
        </is>
      </c>
      <c r="B1763" s="29" t="n">
        <v>43143</v>
      </c>
      <c r="C1763" t="inlineStr">
        <is>
          <t>2018-02</t>
        </is>
      </c>
      <c r="D1763" t="inlineStr">
        <is>
          <t>37cf94070e940a694969304de58debe1</t>
        </is>
      </c>
      <c r="E1763" t="inlineStr">
        <is>
          <t>organic_search</t>
        </is>
      </c>
      <c r="F1763">
        <f>IFERROR(MATCH(A1763,Deals!$A$2:$A$843,0),"")</f>
        <v/>
      </c>
      <c r="G1763">
        <f>IF(F1763="",0,1)</f>
        <v/>
      </c>
      <c r="H1763" s="29">
        <f>IF(F1763="","",INDEX(Deals!$E$2:$E$843,F1763))</f>
        <v/>
      </c>
      <c r="I1763">
        <f>IF(F1763="","",INDEX(Deals!$D$2:$D$843,F1763))</f>
        <v/>
      </c>
      <c r="J1763">
        <f>IF(F1763="","",INT(H1763)-B1763)</f>
        <v/>
      </c>
      <c r="K1763">
        <f>IF(B1763&gt;=Settings!$C$5,1,0)</f>
        <v/>
      </c>
    </row>
    <row r="1764">
      <c r="A1764" t="inlineStr">
        <is>
          <t>576fe2a764389ae05931dd1f11ab6566</t>
        </is>
      </c>
      <c r="B1764" s="29" t="n">
        <v>43135</v>
      </c>
      <c r="C1764" t="inlineStr">
        <is>
          <t>2018-02</t>
        </is>
      </c>
      <c r="D1764" t="inlineStr">
        <is>
          <t>241f79c7a8fe0270f4fb79fcbbcd17ad</t>
        </is>
      </c>
      <c r="E1764" t="inlineStr">
        <is>
          <t>paid_search</t>
        </is>
      </c>
      <c r="F1764">
        <f>IFERROR(MATCH(A1764,Deals!$A$2:$A$843,0),"")</f>
        <v/>
      </c>
      <c r="G1764">
        <f>IF(F1764="",0,1)</f>
        <v/>
      </c>
      <c r="H1764" s="29">
        <f>IF(F1764="","",INDEX(Deals!$E$2:$E$843,F1764))</f>
        <v/>
      </c>
      <c r="I1764">
        <f>IF(F1764="","",INDEX(Deals!$D$2:$D$843,F1764))</f>
        <v/>
      </c>
      <c r="J1764">
        <f>IF(F1764="","",INT(H1764)-B1764)</f>
        <v/>
      </c>
      <c r="K1764">
        <f>IF(B1764&gt;=Settings!$C$5,1,0)</f>
        <v/>
      </c>
    </row>
    <row r="1765">
      <c r="A1765" t="inlineStr">
        <is>
          <t>977ff9171360694b980e08c49b3579dc</t>
        </is>
      </c>
      <c r="B1765" s="29" t="n">
        <v>43129</v>
      </c>
      <c r="C1765" t="inlineStr">
        <is>
          <t>2018-01</t>
        </is>
      </c>
      <c r="D1765" t="inlineStr">
        <is>
          <t>40dec9f3d5259a3d2dbcdab2114fae47</t>
        </is>
      </c>
      <c r="E1765" t="inlineStr">
        <is>
          <t>paid_search</t>
        </is>
      </c>
      <c r="F1765">
        <f>IFERROR(MATCH(A1765,Deals!$A$2:$A$843,0),"")</f>
        <v/>
      </c>
      <c r="G1765">
        <f>IF(F1765="",0,1)</f>
        <v/>
      </c>
      <c r="H1765" s="29">
        <f>IF(F1765="","",INDEX(Deals!$E$2:$E$843,F1765))</f>
        <v/>
      </c>
      <c r="I1765">
        <f>IF(F1765="","",INDEX(Deals!$D$2:$D$843,F1765))</f>
        <v/>
      </c>
      <c r="J1765">
        <f>IF(F1765="","",INT(H1765)-B1765)</f>
        <v/>
      </c>
      <c r="K1765">
        <f>IF(B1765&gt;=Settings!$C$5,1,0)</f>
        <v/>
      </c>
    </row>
    <row r="1766">
      <c r="A1766" t="inlineStr">
        <is>
          <t>045ce2e6853c2a1183f06fb5c0ed0850</t>
        </is>
      </c>
      <c r="B1766" s="29" t="n">
        <v>43222</v>
      </c>
      <c r="C1766" t="inlineStr">
        <is>
          <t>2018-05</t>
        </is>
      </c>
      <c r="D1766" t="inlineStr">
        <is>
          <t>1ceb590cd1e00c7ee95220971f82693d</t>
        </is>
      </c>
      <c r="E1766" t="inlineStr">
        <is>
          <t>paid_search</t>
        </is>
      </c>
      <c r="F1766">
        <f>IFERROR(MATCH(A1766,Deals!$A$2:$A$843,0),"")</f>
        <v/>
      </c>
      <c r="G1766">
        <f>IF(F1766="",0,1)</f>
        <v/>
      </c>
      <c r="H1766" s="29">
        <f>IF(F1766="","",INDEX(Deals!$E$2:$E$843,F1766))</f>
        <v/>
      </c>
      <c r="I1766">
        <f>IF(F1766="","",INDEX(Deals!$D$2:$D$843,F1766))</f>
        <v/>
      </c>
      <c r="J1766">
        <f>IF(F1766="","",INT(H1766)-B1766)</f>
        <v/>
      </c>
      <c r="K1766">
        <f>IF(B1766&gt;=Settings!$C$5,1,0)</f>
        <v/>
      </c>
    </row>
    <row r="1767">
      <c r="A1767" t="inlineStr">
        <is>
          <t>8c433a09bd26b943147c4d9bacb15efc</t>
        </is>
      </c>
      <c r="B1767" s="29" t="n">
        <v>43130</v>
      </c>
      <c r="C1767" t="inlineStr">
        <is>
          <t>2018-01</t>
        </is>
      </c>
      <c r="D1767" t="inlineStr">
        <is>
          <t>88740e65d5d6b056e0cda098e1ea6313</t>
        </is>
      </c>
      <c r="E1767" t="inlineStr">
        <is>
          <t>social</t>
        </is>
      </c>
      <c r="F1767">
        <f>IFERROR(MATCH(A1767,Deals!$A$2:$A$843,0),"")</f>
        <v/>
      </c>
      <c r="G1767">
        <f>IF(F1767="",0,1)</f>
        <v/>
      </c>
      <c r="H1767" s="29">
        <f>IF(F1767="","",INDEX(Deals!$E$2:$E$843,F1767))</f>
        <v/>
      </c>
      <c r="I1767">
        <f>IF(F1767="","",INDEX(Deals!$D$2:$D$843,F1767))</f>
        <v/>
      </c>
      <c r="J1767">
        <f>IF(F1767="","",INT(H1767)-B1767)</f>
        <v/>
      </c>
      <c r="K1767">
        <f>IF(B1767&gt;=Settings!$C$5,1,0)</f>
        <v/>
      </c>
    </row>
    <row r="1768">
      <c r="A1768" t="inlineStr">
        <is>
          <t>c4bbc69cad5c99edfdf9a75ac210dce2</t>
        </is>
      </c>
      <c r="B1768" s="29" t="n">
        <v>43056</v>
      </c>
      <c r="C1768" t="inlineStr">
        <is>
          <t>2017-11</t>
        </is>
      </c>
      <c r="D1768" t="inlineStr">
        <is>
          <t>b76ef37428e6799c421989521c0e5077</t>
        </is>
      </c>
      <c r="E1768" t="inlineStr">
        <is>
          <t>unknown</t>
        </is>
      </c>
      <c r="F1768">
        <f>IFERROR(MATCH(A1768,Deals!$A$2:$A$843,0),"")</f>
        <v/>
      </c>
      <c r="G1768">
        <f>IF(F1768="",0,1)</f>
        <v/>
      </c>
      <c r="H1768" s="29">
        <f>IF(F1768="","",INDEX(Deals!$E$2:$E$843,F1768))</f>
        <v/>
      </c>
      <c r="I1768">
        <f>IF(F1768="","",INDEX(Deals!$D$2:$D$843,F1768))</f>
        <v/>
      </c>
      <c r="J1768">
        <f>IF(F1768="","",INT(H1768)-B1768)</f>
        <v/>
      </c>
      <c r="K1768">
        <f>IF(B1768&gt;=Settings!$C$5,1,0)</f>
        <v/>
      </c>
    </row>
    <row r="1769">
      <c r="A1769" t="inlineStr">
        <is>
          <t>fae638868c63f0bc5f9e26b95b828049</t>
        </is>
      </c>
      <c r="B1769" s="29" t="n">
        <v>43178</v>
      </c>
      <c r="C1769" t="inlineStr">
        <is>
          <t>2018-03</t>
        </is>
      </c>
      <c r="D1769" t="inlineStr">
        <is>
          <t>ce1a65abd0973638f1c887a6efcfa82d</t>
        </is>
      </c>
      <c r="E1769" t="inlineStr">
        <is>
          <t>referral</t>
        </is>
      </c>
      <c r="F1769">
        <f>IFERROR(MATCH(A1769,Deals!$A$2:$A$843,0),"")</f>
        <v/>
      </c>
      <c r="G1769">
        <f>IF(F1769="",0,1)</f>
        <v/>
      </c>
      <c r="H1769" s="29">
        <f>IF(F1769="","",INDEX(Deals!$E$2:$E$843,F1769))</f>
        <v/>
      </c>
      <c r="I1769">
        <f>IF(F1769="","",INDEX(Deals!$D$2:$D$843,F1769))</f>
        <v/>
      </c>
      <c r="J1769">
        <f>IF(F1769="","",INT(H1769)-B1769)</f>
        <v/>
      </c>
      <c r="K1769">
        <f>IF(B1769&gt;=Settings!$C$5,1,0)</f>
        <v/>
      </c>
    </row>
    <row r="1770">
      <c r="A1770" t="inlineStr">
        <is>
          <t>5dbb759bbdae5f1c53e792747488ff52</t>
        </is>
      </c>
      <c r="B1770" s="29" t="n">
        <v>43015</v>
      </c>
      <c r="C1770" t="inlineStr">
        <is>
          <t>2017-10</t>
        </is>
      </c>
      <c r="D1770" t="inlineStr">
        <is>
          <t>4aab772aeb9833c170d8ea5413e02eac</t>
        </is>
      </c>
      <c r="E1770" t="inlineStr">
        <is>
          <t>paid_search</t>
        </is>
      </c>
      <c r="F1770">
        <f>IFERROR(MATCH(A1770,Deals!$A$2:$A$843,0),"")</f>
        <v/>
      </c>
      <c r="G1770">
        <f>IF(F1770="",0,1)</f>
        <v/>
      </c>
      <c r="H1770" s="29">
        <f>IF(F1770="","",INDEX(Deals!$E$2:$E$843,F1770))</f>
        <v/>
      </c>
      <c r="I1770">
        <f>IF(F1770="","",INDEX(Deals!$D$2:$D$843,F1770))</f>
        <v/>
      </c>
      <c r="J1770">
        <f>IF(F1770="","",INT(H1770)-B1770)</f>
        <v/>
      </c>
      <c r="K1770">
        <f>IF(B1770&gt;=Settings!$C$5,1,0)</f>
        <v/>
      </c>
    </row>
    <row r="1771">
      <c r="A1771" t="inlineStr">
        <is>
          <t>ce3d865b7bb66f7728988e0220bd51bd</t>
        </is>
      </c>
      <c r="B1771" s="29" t="n">
        <v>43042</v>
      </c>
      <c r="C1771" t="inlineStr">
        <is>
          <t>2017-11</t>
        </is>
      </c>
      <c r="D1771" t="inlineStr">
        <is>
          <t>88740e65d5d6b056e0cda098e1ea6313</t>
        </is>
      </c>
      <c r="E1771" t="inlineStr">
        <is>
          <t>social</t>
        </is>
      </c>
      <c r="F1771">
        <f>IFERROR(MATCH(A1771,Deals!$A$2:$A$843,0),"")</f>
        <v/>
      </c>
      <c r="G1771">
        <f>IF(F1771="",0,1)</f>
        <v/>
      </c>
      <c r="H1771" s="29">
        <f>IF(F1771="","",INDEX(Deals!$E$2:$E$843,F1771))</f>
        <v/>
      </c>
      <c r="I1771">
        <f>IF(F1771="","",INDEX(Deals!$D$2:$D$843,F1771))</f>
        <v/>
      </c>
      <c r="J1771">
        <f>IF(F1771="","",INT(H1771)-B1771)</f>
        <v/>
      </c>
      <c r="K1771">
        <f>IF(B1771&gt;=Settings!$C$5,1,0)</f>
        <v/>
      </c>
    </row>
    <row r="1772">
      <c r="A1772" t="inlineStr">
        <is>
          <t>601d951f4f2552d36955ef1cd551253a</t>
        </is>
      </c>
      <c r="B1772" s="29" t="n">
        <v>43186</v>
      </c>
      <c r="C1772" t="inlineStr">
        <is>
          <t>2018-03</t>
        </is>
      </c>
      <c r="D1772" t="inlineStr">
        <is>
          <t>58326e62183c14b0c03085c33b9fdc44</t>
        </is>
      </c>
      <c r="E1772" t="inlineStr">
        <is>
          <t>social</t>
        </is>
      </c>
      <c r="F1772">
        <f>IFERROR(MATCH(A1772,Deals!$A$2:$A$843,0),"")</f>
        <v/>
      </c>
      <c r="G1772">
        <f>IF(F1772="",0,1)</f>
        <v/>
      </c>
      <c r="H1772" s="29">
        <f>IF(F1772="","",INDEX(Deals!$E$2:$E$843,F1772))</f>
        <v/>
      </c>
      <c r="I1772">
        <f>IF(F1772="","",INDEX(Deals!$D$2:$D$843,F1772))</f>
        <v/>
      </c>
      <c r="J1772">
        <f>IF(F1772="","",INT(H1772)-B1772)</f>
        <v/>
      </c>
      <c r="K1772">
        <f>IF(B1772&gt;=Settings!$C$5,1,0)</f>
        <v/>
      </c>
    </row>
    <row r="1773">
      <c r="A1773" t="inlineStr">
        <is>
          <t>41f68228d0fc3e3414dfabe7fc3631d0</t>
        </is>
      </c>
      <c r="B1773" s="29" t="n">
        <v>43195</v>
      </c>
      <c r="C1773" t="inlineStr">
        <is>
          <t>2018-04</t>
        </is>
      </c>
      <c r="D1773" t="inlineStr">
        <is>
          <t>40dec9f3d5259a3d2dbcdab2114fae47</t>
        </is>
      </c>
      <c r="E1773" t="inlineStr">
        <is>
          <t>paid_search</t>
        </is>
      </c>
      <c r="F1773">
        <f>IFERROR(MATCH(A1773,Deals!$A$2:$A$843,0),"")</f>
        <v/>
      </c>
      <c r="G1773">
        <f>IF(F1773="",0,1)</f>
        <v/>
      </c>
      <c r="H1773" s="29">
        <f>IF(F1773="","",INDEX(Deals!$E$2:$E$843,F1773))</f>
        <v/>
      </c>
      <c r="I1773">
        <f>IF(F1773="","",INDEX(Deals!$D$2:$D$843,F1773))</f>
        <v/>
      </c>
      <c r="J1773">
        <f>IF(F1773="","",INT(H1773)-B1773)</f>
        <v/>
      </c>
      <c r="K1773">
        <f>IF(B1773&gt;=Settings!$C$5,1,0)</f>
        <v/>
      </c>
    </row>
    <row r="1774">
      <c r="A1774" t="inlineStr">
        <is>
          <t>107fce5988735e531cae0da812db9a62</t>
        </is>
      </c>
      <c r="B1774" s="29" t="n">
        <v>43216</v>
      </c>
      <c r="C1774" t="inlineStr">
        <is>
          <t>2018-04</t>
        </is>
      </c>
      <c r="D1774" t="inlineStr">
        <is>
          <t>65c9e96d17d8d12bc0ad3b2cde0bb8b7</t>
        </is>
      </c>
      <c r="E1774" t="inlineStr">
        <is>
          <t>other</t>
        </is>
      </c>
      <c r="F1774">
        <f>IFERROR(MATCH(A1774,Deals!$A$2:$A$843,0),"")</f>
        <v/>
      </c>
      <c r="G1774">
        <f>IF(F1774="",0,1)</f>
        <v/>
      </c>
      <c r="H1774" s="29">
        <f>IF(F1774="","",INDEX(Deals!$E$2:$E$843,F1774))</f>
        <v/>
      </c>
      <c r="I1774">
        <f>IF(F1774="","",INDEX(Deals!$D$2:$D$843,F1774))</f>
        <v/>
      </c>
      <c r="J1774">
        <f>IF(F1774="","",INT(H1774)-B1774)</f>
        <v/>
      </c>
      <c r="K1774">
        <f>IF(B1774&gt;=Settings!$C$5,1,0)</f>
        <v/>
      </c>
    </row>
    <row r="1775">
      <c r="A1775" t="inlineStr">
        <is>
          <t>0c958f74bcd824f4a60d82201a845fa6</t>
        </is>
      </c>
      <c r="B1775" s="29" t="n">
        <v>43164</v>
      </c>
      <c r="C1775" t="inlineStr">
        <is>
          <t>2018-03</t>
        </is>
      </c>
      <c r="D1775" t="inlineStr">
        <is>
          <t>f017be4dbf86243af5c1ebed0cff36a2</t>
        </is>
      </c>
      <c r="E1775" t="inlineStr">
        <is>
          <t>paid_search</t>
        </is>
      </c>
      <c r="F1775">
        <f>IFERROR(MATCH(A1775,Deals!$A$2:$A$843,0),"")</f>
        <v/>
      </c>
      <c r="G1775">
        <f>IF(F1775="",0,1)</f>
        <v/>
      </c>
      <c r="H1775" s="29">
        <f>IF(F1775="","",INDEX(Deals!$E$2:$E$843,F1775))</f>
        <v/>
      </c>
      <c r="I1775">
        <f>IF(F1775="","",INDEX(Deals!$D$2:$D$843,F1775))</f>
        <v/>
      </c>
      <c r="J1775">
        <f>IF(F1775="","",INT(H1775)-B1775)</f>
        <v/>
      </c>
      <c r="K1775">
        <f>IF(B1775&gt;=Settings!$C$5,1,0)</f>
        <v/>
      </c>
    </row>
    <row r="1776">
      <c r="A1776" t="inlineStr">
        <is>
          <t>34474dcb1ae25c15ec2439bc39eec736</t>
        </is>
      </c>
      <c r="B1776" s="29" t="n">
        <v>43244</v>
      </c>
      <c r="C1776" t="inlineStr">
        <is>
          <t>2018-05</t>
        </is>
      </c>
      <c r="D1776" t="inlineStr">
        <is>
          <t>58326e62183c14b0c03085c33b9fdc44</t>
        </is>
      </c>
      <c r="E1776" t="inlineStr">
        <is>
          <t>referral</t>
        </is>
      </c>
      <c r="F1776">
        <f>IFERROR(MATCH(A1776,Deals!$A$2:$A$843,0),"")</f>
        <v/>
      </c>
      <c r="G1776">
        <f>IF(F1776="",0,1)</f>
        <v/>
      </c>
      <c r="H1776" s="29">
        <f>IF(F1776="","",INDEX(Deals!$E$2:$E$843,F1776))</f>
        <v/>
      </c>
      <c r="I1776">
        <f>IF(F1776="","",INDEX(Deals!$D$2:$D$843,F1776))</f>
        <v/>
      </c>
      <c r="J1776">
        <f>IF(F1776="","",INT(H1776)-B1776)</f>
        <v/>
      </c>
      <c r="K1776">
        <f>IF(B1776&gt;=Settings!$C$5,1,0)</f>
        <v/>
      </c>
    </row>
    <row r="1777">
      <c r="A1777" t="inlineStr">
        <is>
          <t>5d7de12a8c0269c0ad4795f295a48b25</t>
        </is>
      </c>
      <c r="B1777" s="29" t="n">
        <v>42923</v>
      </c>
      <c r="C1777" t="inlineStr">
        <is>
          <t>2017-07</t>
        </is>
      </c>
      <c r="D1777" t="inlineStr">
        <is>
          <t>22c29808c4f815213303f8933030604c</t>
        </is>
      </c>
      <c r="E1777" t="inlineStr">
        <is>
          <t>direct_traffic</t>
        </is>
      </c>
      <c r="F1777">
        <f>IFERROR(MATCH(A1777,Deals!$A$2:$A$843,0),"")</f>
        <v/>
      </c>
      <c r="G1777">
        <f>IF(F1777="",0,1)</f>
        <v/>
      </c>
      <c r="H1777" s="29">
        <f>IF(F1777="","",INDEX(Deals!$E$2:$E$843,F1777))</f>
        <v/>
      </c>
      <c r="I1777">
        <f>IF(F1777="","",INDEX(Deals!$D$2:$D$843,F1777))</f>
        <v/>
      </c>
      <c r="J1777">
        <f>IF(F1777="","",INT(H1777)-B1777)</f>
        <v/>
      </c>
      <c r="K1777">
        <f>IF(B1777&gt;=Settings!$C$5,1,0)</f>
        <v/>
      </c>
    </row>
    <row r="1778">
      <c r="A1778" t="inlineStr">
        <is>
          <t>66ab2607003b903c9c09974584817b04</t>
        </is>
      </c>
      <c r="B1778" s="29" t="n">
        <v>43063</v>
      </c>
      <c r="C1778" t="inlineStr">
        <is>
          <t>2017-11</t>
        </is>
      </c>
      <c r="D1778" t="inlineStr">
        <is>
          <t>ce1a65abd0973638f1c887a6efcfa82d</t>
        </is>
      </c>
      <c r="E1778" t="inlineStr">
        <is>
          <t>organic_search</t>
        </is>
      </c>
      <c r="F1778">
        <f>IFERROR(MATCH(A1778,Deals!$A$2:$A$843,0),"")</f>
        <v/>
      </c>
      <c r="G1778">
        <f>IF(F1778="",0,1)</f>
        <v/>
      </c>
      <c r="H1778" s="29">
        <f>IF(F1778="","",INDEX(Deals!$E$2:$E$843,F1778))</f>
        <v/>
      </c>
      <c r="I1778">
        <f>IF(F1778="","",INDEX(Deals!$D$2:$D$843,F1778))</f>
        <v/>
      </c>
      <c r="J1778">
        <f>IF(F1778="","",INT(H1778)-B1778)</f>
        <v/>
      </c>
      <c r="K1778">
        <f>IF(B1778&gt;=Settings!$C$5,1,0)</f>
        <v/>
      </c>
    </row>
    <row r="1779">
      <c r="A1779" t="inlineStr">
        <is>
          <t>c754f5d09de891bf9429e3a39af69ab6</t>
        </is>
      </c>
      <c r="B1779" s="29" t="n">
        <v>42963</v>
      </c>
      <c r="C1779" t="inlineStr">
        <is>
          <t>2017-08</t>
        </is>
      </c>
      <c r="D1779" t="inlineStr">
        <is>
          <t>128d8c3f32b8aa66b5bcbe4e26dfc78d</t>
        </is>
      </c>
      <c r="E1779" t="inlineStr">
        <is>
          <t>email</t>
        </is>
      </c>
      <c r="F1779">
        <f>IFERROR(MATCH(A1779,Deals!$A$2:$A$843,0),"")</f>
        <v/>
      </c>
      <c r="G1779">
        <f>IF(F1779="",0,1)</f>
        <v/>
      </c>
      <c r="H1779" s="29">
        <f>IF(F1779="","",INDEX(Deals!$E$2:$E$843,F1779))</f>
        <v/>
      </c>
      <c r="I1779">
        <f>IF(F1779="","",INDEX(Deals!$D$2:$D$843,F1779))</f>
        <v/>
      </c>
      <c r="J1779">
        <f>IF(F1779="","",INT(H1779)-B1779)</f>
        <v/>
      </c>
      <c r="K1779">
        <f>IF(B1779&gt;=Settings!$C$5,1,0)</f>
        <v/>
      </c>
    </row>
    <row r="1780">
      <c r="A1780" t="inlineStr">
        <is>
          <t>7d690f908a916c953eb7fa4f949b548b</t>
        </is>
      </c>
      <c r="B1780" s="29" t="n">
        <v>43164</v>
      </c>
      <c r="C1780" t="inlineStr">
        <is>
          <t>2018-03</t>
        </is>
      </c>
      <c r="D1780" t="inlineStr">
        <is>
          <t>b76ef37428e6799c421989521c0e5077</t>
        </is>
      </c>
      <c r="E1780" t="inlineStr">
        <is>
          <t>unknown</t>
        </is>
      </c>
      <c r="F1780">
        <f>IFERROR(MATCH(A1780,Deals!$A$2:$A$843,0),"")</f>
        <v/>
      </c>
      <c r="G1780">
        <f>IF(F1780="",0,1)</f>
        <v/>
      </c>
      <c r="H1780" s="29">
        <f>IF(F1780="","",INDEX(Deals!$E$2:$E$843,F1780))</f>
        <v/>
      </c>
      <c r="I1780">
        <f>IF(F1780="","",INDEX(Deals!$D$2:$D$843,F1780))</f>
        <v/>
      </c>
      <c r="J1780">
        <f>IF(F1780="","",INT(H1780)-B1780)</f>
        <v/>
      </c>
      <c r="K1780">
        <f>IF(B1780&gt;=Settings!$C$5,1,0)</f>
        <v/>
      </c>
    </row>
    <row r="1781">
      <c r="A1781" t="inlineStr">
        <is>
          <t>e903c166f2335f821f495e4419b4821b</t>
        </is>
      </c>
      <c r="B1781" s="29" t="n">
        <v>42965</v>
      </c>
      <c r="C1781" t="inlineStr">
        <is>
          <t>2017-08</t>
        </is>
      </c>
      <c r="D1781" t="inlineStr">
        <is>
          <t>30077c17f2ec5010a82e37ad8925b95f</t>
        </is>
      </c>
      <c r="E1781" t="inlineStr">
        <is>
          <t>organic_search</t>
        </is>
      </c>
      <c r="F1781">
        <f>IFERROR(MATCH(A1781,Deals!$A$2:$A$843,0),"")</f>
        <v/>
      </c>
      <c r="G1781">
        <f>IF(F1781="",0,1)</f>
        <v/>
      </c>
      <c r="H1781" s="29">
        <f>IF(F1781="","",INDEX(Deals!$E$2:$E$843,F1781))</f>
        <v/>
      </c>
      <c r="I1781">
        <f>IF(F1781="","",INDEX(Deals!$D$2:$D$843,F1781))</f>
        <v/>
      </c>
      <c r="J1781">
        <f>IF(F1781="","",INT(H1781)-B1781)</f>
        <v/>
      </c>
      <c r="K1781">
        <f>IF(B1781&gt;=Settings!$C$5,1,0)</f>
        <v/>
      </c>
    </row>
    <row r="1782">
      <c r="A1782" t="inlineStr">
        <is>
          <t>3567cfd1c686f29a14001b0e2d6bb6bc</t>
        </is>
      </c>
      <c r="B1782" s="29" t="n">
        <v>43236</v>
      </c>
      <c r="C1782" t="inlineStr">
        <is>
          <t>2018-05</t>
        </is>
      </c>
      <c r="D1782" t="inlineStr">
        <is>
          <t>5950e5dfc73454c6d83969bb09ba7fcd</t>
        </is>
      </c>
      <c r="E1782" t="inlineStr">
        <is>
          <t>organic_search</t>
        </is>
      </c>
      <c r="F1782">
        <f>IFERROR(MATCH(A1782,Deals!$A$2:$A$843,0),"")</f>
        <v/>
      </c>
      <c r="G1782">
        <f>IF(F1782="",0,1)</f>
        <v/>
      </c>
      <c r="H1782" s="29">
        <f>IF(F1782="","",INDEX(Deals!$E$2:$E$843,F1782))</f>
        <v/>
      </c>
      <c r="I1782">
        <f>IF(F1782="","",INDEX(Deals!$D$2:$D$843,F1782))</f>
        <v/>
      </c>
      <c r="J1782">
        <f>IF(F1782="","",INT(H1782)-B1782)</f>
        <v/>
      </c>
      <c r="K1782">
        <f>IF(B1782&gt;=Settings!$C$5,1,0)</f>
        <v/>
      </c>
    </row>
    <row r="1783">
      <c r="A1783" t="inlineStr">
        <is>
          <t>f16ae7b81aea1828c86aa81e74c511de</t>
        </is>
      </c>
      <c r="B1783" s="29" t="n">
        <v>43067</v>
      </c>
      <c r="C1783" t="inlineStr">
        <is>
          <t>2017-11</t>
        </is>
      </c>
      <c r="D1783" t="inlineStr">
        <is>
          <t>1722481ac9e5371e5099dea226b5421d</t>
        </is>
      </c>
      <c r="E1783" t="inlineStr">
        <is>
          <t>unknown</t>
        </is>
      </c>
      <c r="F1783">
        <f>IFERROR(MATCH(A1783,Deals!$A$2:$A$843,0),"")</f>
        <v/>
      </c>
      <c r="G1783">
        <f>IF(F1783="",0,1)</f>
        <v/>
      </c>
      <c r="H1783" s="29">
        <f>IF(F1783="","",INDEX(Deals!$E$2:$E$843,F1783))</f>
        <v/>
      </c>
      <c r="I1783">
        <f>IF(F1783="","",INDEX(Deals!$D$2:$D$843,F1783))</f>
        <v/>
      </c>
      <c r="J1783">
        <f>IF(F1783="","",INT(H1783)-B1783)</f>
        <v/>
      </c>
      <c r="K1783">
        <f>IF(B1783&gt;=Settings!$C$5,1,0)</f>
        <v/>
      </c>
    </row>
    <row r="1784">
      <c r="A1784" t="inlineStr">
        <is>
          <t>8476d966ed57bf67ad4ce07d59ca80ac</t>
        </is>
      </c>
      <c r="B1784" s="29" t="n">
        <v>43238</v>
      </c>
      <c r="C1784" t="inlineStr">
        <is>
          <t>2018-05</t>
        </is>
      </c>
      <c r="D1784" t="inlineStr">
        <is>
          <t>58326e62183c14b0c03085c33b9fdc44</t>
        </is>
      </c>
      <c r="E1784" t="inlineStr">
        <is>
          <t>social</t>
        </is>
      </c>
      <c r="F1784">
        <f>IFERROR(MATCH(A1784,Deals!$A$2:$A$843,0),"")</f>
        <v/>
      </c>
      <c r="G1784">
        <f>IF(F1784="",0,1)</f>
        <v/>
      </c>
      <c r="H1784" s="29">
        <f>IF(F1784="","",INDEX(Deals!$E$2:$E$843,F1784))</f>
        <v/>
      </c>
      <c r="I1784">
        <f>IF(F1784="","",INDEX(Deals!$D$2:$D$843,F1784))</f>
        <v/>
      </c>
      <c r="J1784">
        <f>IF(F1784="","",INT(H1784)-B1784)</f>
        <v/>
      </c>
      <c r="K1784">
        <f>IF(B1784&gt;=Settings!$C$5,1,0)</f>
        <v/>
      </c>
    </row>
    <row r="1785">
      <c r="A1785" t="inlineStr">
        <is>
          <t>c247525d91e6c9995de621adddaf41d1</t>
        </is>
      </c>
      <c r="B1785" s="29" t="n">
        <v>43121</v>
      </c>
      <c r="C1785" t="inlineStr">
        <is>
          <t>2018-01</t>
        </is>
      </c>
      <c r="D1785" t="inlineStr">
        <is>
          <t>73f31a40697cc90a86c1273563ac230e</t>
        </is>
      </c>
      <c r="E1785" t="inlineStr">
        <is>
          <t>other</t>
        </is>
      </c>
      <c r="F1785">
        <f>IFERROR(MATCH(A1785,Deals!$A$2:$A$843,0),"")</f>
        <v/>
      </c>
      <c r="G1785">
        <f>IF(F1785="",0,1)</f>
        <v/>
      </c>
      <c r="H1785" s="29">
        <f>IF(F1785="","",INDEX(Deals!$E$2:$E$843,F1785))</f>
        <v/>
      </c>
      <c r="I1785">
        <f>IF(F1785="","",INDEX(Deals!$D$2:$D$843,F1785))</f>
        <v/>
      </c>
      <c r="J1785">
        <f>IF(F1785="","",INT(H1785)-B1785)</f>
        <v/>
      </c>
      <c r="K1785">
        <f>IF(B1785&gt;=Settings!$C$5,1,0)</f>
        <v/>
      </c>
    </row>
    <row r="1786">
      <c r="A1786" t="inlineStr">
        <is>
          <t>e430deb739cc669ad740c421931bc8f8</t>
        </is>
      </c>
      <c r="B1786" s="29" t="n">
        <v>43154</v>
      </c>
      <c r="C1786" t="inlineStr">
        <is>
          <t>2018-02</t>
        </is>
      </c>
      <c r="D1786" t="inlineStr">
        <is>
          <t>22c29808c4f815213303f8933030604c</t>
        </is>
      </c>
      <c r="E1786" t="inlineStr">
        <is>
          <t>direct_traffic</t>
        </is>
      </c>
      <c r="F1786">
        <f>IFERROR(MATCH(A1786,Deals!$A$2:$A$843,0),"")</f>
        <v/>
      </c>
      <c r="G1786">
        <f>IF(F1786="",0,1)</f>
        <v/>
      </c>
      <c r="H1786" s="29">
        <f>IF(F1786="","",INDEX(Deals!$E$2:$E$843,F1786))</f>
        <v/>
      </c>
      <c r="I1786">
        <f>IF(F1786="","",INDEX(Deals!$D$2:$D$843,F1786))</f>
        <v/>
      </c>
      <c r="J1786">
        <f>IF(F1786="","",INT(H1786)-B1786)</f>
        <v/>
      </c>
      <c r="K1786">
        <f>IF(B1786&gt;=Settings!$C$5,1,0)</f>
        <v/>
      </c>
    </row>
    <row r="1787">
      <c r="A1787" t="inlineStr">
        <is>
          <t>5be5a7506bfc5ce83afa8354f9ac5fff</t>
        </is>
      </c>
      <c r="B1787" s="29" t="n">
        <v>42964</v>
      </c>
      <c r="C1787" t="inlineStr">
        <is>
          <t>2017-08</t>
        </is>
      </c>
      <c r="D1787" t="inlineStr">
        <is>
          <t>b51b5a040fd76d72567c599481147956</t>
        </is>
      </c>
      <c r="E1787" t="inlineStr">
        <is>
          <t>organic_search</t>
        </is>
      </c>
      <c r="F1787">
        <f>IFERROR(MATCH(A1787,Deals!$A$2:$A$843,0),"")</f>
        <v/>
      </c>
      <c r="G1787">
        <f>IF(F1787="",0,1)</f>
        <v/>
      </c>
      <c r="H1787" s="29">
        <f>IF(F1787="","",INDEX(Deals!$E$2:$E$843,F1787))</f>
        <v/>
      </c>
      <c r="I1787">
        <f>IF(F1787="","",INDEX(Deals!$D$2:$D$843,F1787))</f>
        <v/>
      </c>
      <c r="J1787">
        <f>IF(F1787="","",INT(H1787)-B1787)</f>
        <v/>
      </c>
      <c r="K1787">
        <f>IF(B1787&gt;=Settings!$C$5,1,0)</f>
        <v/>
      </c>
    </row>
    <row r="1788">
      <c r="A1788" t="inlineStr">
        <is>
          <t>695f53f1db4d435235a6cc4d64b96660</t>
        </is>
      </c>
      <c r="B1788" s="29" t="n">
        <v>43206</v>
      </c>
      <c r="C1788" t="inlineStr">
        <is>
          <t>2018-04</t>
        </is>
      </c>
      <c r="D1788" t="inlineStr">
        <is>
          <t>ed818923ca007fc44b6f7e47de7eb87a</t>
        </is>
      </c>
      <c r="E1788" t="inlineStr">
        <is>
          <t>organic_search</t>
        </is>
      </c>
      <c r="F1788">
        <f>IFERROR(MATCH(A1788,Deals!$A$2:$A$843,0),"")</f>
        <v/>
      </c>
      <c r="G1788">
        <f>IF(F1788="",0,1)</f>
        <v/>
      </c>
      <c r="H1788" s="29">
        <f>IF(F1788="","",INDEX(Deals!$E$2:$E$843,F1788))</f>
        <v/>
      </c>
      <c r="I1788">
        <f>IF(F1788="","",INDEX(Deals!$D$2:$D$843,F1788))</f>
        <v/>
      </c>
      <c r="J1788">
        <f>IF(F1788="","",INT(H1788)-B1788)</f>
        <v/>
      </c>
      <c r="K1788">
        <f>IF(B1788&gt;=Settings!$C$5,1,0)</f>
        <v/>
      </c>
    </row>
    <row r="1789">
      <c r="A1789" t="inlineStr">
        <is>
          <t>dc0f604bed9e7fe164e5568aa0ebf53e</t>
        </is>
      </c>
      <c r="B1789" s="29" t="n">
        <v>43218</v>
      </c>
      <c r="C1789" t="inlineStr">
        <is>
          <t>2018-04</t>
        </is>
      </c>
      <c r="D1789" t="inlineStr">
        <is>
          <t>58326e62183c14b0c03085c33b9fdc44</t>
        </is>
      </c>
      <c r="E1789" t="inlineStr">
        <is>
          <t>social</t>
        </is>
      </c>
      <c r="F1789">
        <f>IFERROR(MATCH(A1789,Deals!$A$2:$A$843,0),"")</f>
        <v/>
      </c>
      <c r="G1789">
        <f>IF(F1789="",0,1)</f>
        <v/>
      </c>
      <c r="H1789" s="29">
        <f>IF(F1789="","",INDEX(Deals!$E$2:$E$843,F1789))</f>
        <v/>
      </c>
      <c r="I1789">
        <f>IF(F1789="","",INDEX(Deals!$D$2:$D$843,F1789))</f>
        <v/>
      </c>
      <c r="J1789">
        <f>IF(F1789="","",INT(H1789)-B1789)</f>
        <v/>
      </c>
      <c r="K1789">
        <f>IF(B1789&gt;=Settings!$C$5,1,0)</f>
        <v/>
      </c>
    </row>
    <row r="1790">
      <c r="A1790" t="inlineStr">
        <is>
          <t>bac146ef43c3c4fd224c5444e60faa93</t>
        </is>
      </c>
      <c r="B1790" s="29" t="n">
        <v>43161</v>
      </c>
      <c r="C1790" t="inlineStr">
        <is>
          <t>2018-03</t>
        </is>
      </c>
      <c r="D1790" t="inlineStr">
        <is>
          <t>151d5575a642287261af4311d569e07c</t>
        </is>
      </c>
      <c r="E1790" t="inlineStr">
        <is>
          <t>unknown</t>
        </is>
      </c>
      <c r="F1790">
        <f>IFERROR(MATCH(A1790,Deals!$A$2:$A$843,0),"")</f>
        <v/>
      </c>
      <c r="G1790">
        <f>IF(F1790="",0,1)</f>
        <v/>
      </c>
      <c r="H1790" s="29">
        <f>IF(F1790="","",INDEX(Deals!$E$2:$E$843,F1790))</f>
        <v/>
      </c>
      <c r="I1790">
        <f>IF(F1790="","",INDEX(Deals!$D$2:$D$843,F1790))</f>
        <v/>
      </c>
      <c r="J1790">
        <f>IF(F1790="","",INT(H1790)-B1790)</f>
        <v/>
      </c>
      <c r="K1790">
        <f>IF(B1790&gt;=Settings!$C$5,1,0)</f>
        <v/>
      </c>
    </row>
    <row r="1791">
      <c r="A1791" t="inlineStr">
        <is>
          <t>372bf62b72d24e14467cdbe1a7692a7c</t>
        </is>
      </c>
      <c r="B1791" s="29" t="n">
        <v>43237</v>
      </c>
      <c r="C1791" t="inlineStr">
        <is>
          <t>2018-05</t>
        </is>
      </c>
      <c r="D1791" t="inlineStr">
        <is>
          <t>58326e62183c14b0c03085c33b9fdc44</t>
        </is>
      </c>
      <c r="E1791" t="inlineStr">
        <is>
          <t>other_publicities</t>
        </is>
      </c>
      <c r="F1791">
        <f>IFERROR(MATCH(A1791,Deals!$A$2:$A$843,0),"")</f>
        <v/>
      </c>
      <c r="G1791">
        <f>IF(F1791="",0,1)</f>
        <v/>
      </c>
      <c r="H1791" s="29">
        <f>IF(F1791="","",INDEX(Deals!$E$2:$E$843,F1791))</f>
        <v/>
      </c>
      <c r="I1791">
        <f>IF(F1791="","",INDEX(Deals!$D$2:$D$843,F1791))</f>
        <v/>
      </c>
      <c r="J1791">
        <f>IF(F1791="","",INT(H1791)-B1791)</f>
        <v/>
      </c>
      <c r="K1791">
        <f>IF(B1791&gt;=Settings!$C$5,1,0)</f>
        <v/>
      </c>
    </row>
    <row r="1792">
      <c r="A1792" t="inlineStr">
        <is>
          <t>63c6182693644ee5d5724dc5103748cb</t>
        </is>
      </c>
      <c r="B1792" s="29" t="n">
        <v>43038</v>
      </c>
      <c r="C1792" t="inlineStr">
        <is>
          <t>2017-10</t>
        </is>
      </c>
      <c r="D1792" t="inlineStr">
        <is>
          <t>4513838e626b499f475f9b488d177c55</t>
        </is>
      </c>
      <c r="E1792" t="inlineStr">
        <is>
          <t>paid_search</t>
        </is>
      </c>
      <c r="F1792">
        <f>IFERROR(MATCH(A1792,Deals!$A$2:$A$843,0),"")</f>
        <v/>
      </c>
      <c r="G1792">
        <f>IF(F1792="",0,1)</f>
        <v/>
      </c>
      <c r="H1792" s="29">
        <f>IF(F1792="","",INDEX(Deals!$E$2:$E$843,F1792))</f>
        <v/>
      </c>
      <c r="I1792">
        <f>IF(F1792="","",INDEX(Deals!$D$2:$D$843,F1792))</f>
        <v/>
      </c>
      <c r="J1792">
        <f>IF(F1792="","",INT(H1792)-B1792)</f>
        <v/>
      </c>
      <c r="K1792">
        <f>IF(B1792&gt;=Settings!$C$5,1,0)</f>
        <v/>
      </c>
    </row>
    <row r="1793">
      <c r="A1793" t="inlineStr">
        <is>
          <t>94c9298b94dc161216483cfaf7ad8333</t>
        </is>
      </c>
      <c r="B1793" s="29" t="n">
        <v>42984</v>
      </c>
      <c r="C1793" t="inlineStr">
        <is>
          <t>2017-09</t>
        </is>
      </c>
      <c r="D1793" t="inlineStr">
        <is>
          <t>b76ef37428e6799c421989521c0e5077</t>
        </is>
      </c>
      <c r="E1793" t="inlineStr">
        <is>
          <t>unknown</t>
        </is>
      </c>
      <c r="F1793">
        <f>IFERROR(MATCH(A1793,Deals!$A$2:$A$843,0),"")</f>
        <v/>
      </c>
      <c r="G1793">
        <f>IF(F1793="",0,1)</f>
        <v/>
      </c>
      <c r="H1793" s="29">
        <f>IF(F1793="","",INDEX(Deals!$E$2:$E$843,F1793))</f>
        <v/>
      </c>
      <c r="I1793">
        <f>IF(F1793="","",INDEX(Deals!$D$2:$D$843,F1793))</f>
        <v/>
      </c>
      <c r="J1793">
        <f>IF(F1793="","",INT(H1793)-B1793)</f>
        <v/>
      </c>
      <c r="K1793">
        <f>IF(B1793&gt;=Settings!$C$5,1,0)</f>
        <v/>
      </c>
    </row>
    <row r="1794">
      <c r="A1794" t="inlineStr">
        <is>
          <t>8dd831e4a369590fd04f354d960b2967</t>
        </is>
      </c>
      <c r="B1794" s="29" t="n">
        <v>43078</v>
      </c>
      <c r="C1794" t="inlineStr">
        <is>
          <t>2017-12</t>
        </is>
      </c>
      <c r="D1794" t="inlineStr">
        <is>
          <t>ce1a65abd0973638f1c887a6efcfa82d</t>
        </is>
      </c>
      <c r="E1794" t="inlineStr">
        <is>
          <t>direct_traffic</t>
        </is>
      </c>
      <c r="F1794">
        <f>IFERROR(MATCH(A1794,Deals!$A$2:$A$843,0),"")</f>
        <v/>
      </c>
      <c r="G1794">
        <f>IF(F1794="",0,1)</f>
        <v/>
      </c>
      <c r="H1794" s="29">
        <f>IF(F1794="","",INDEX(Deals!$E$2:$E$843,F1794))</f>
        <v/>
      </c>
      <c r="I1794">
        <f>IF(F1794="","",INDEX(Deals!$D$2:$D$843,F1794))</f>
        <v/>
      </c>
      <c r="J1794">
        <f>IF(F1794="","",INT(H1794)-B1794)</f>
        <v/>
      </c>
      <c r="K1794">
        <f>IF(B1794&gt;=Settings!$C$5,1,0)</f>
        <v/>
      </c>
    </row>
    <row r="1795">
      <c r="A1795" t="inlineStr">
        <is>
          <t>eb3e78a6d08bc2aad5ab094608a71c77</t>
        </is>
      </c>
      <c r="B1795" s="29" t="n">
        <v>43166</v>
      </c>
      <c r="C1795" t="inlineStr">
        <is>
          <t>2018-03</t>
        </is>
      </c>
      <c r="D1795" t="inlineStr">
        <is>
          <t>73f31a40697cc90a86c1273563ac230e</t>
        </is>
      </c>
      <c r="E1795" t="inlineStr">
        <is>
          <t>organic_search</t>
        </is>
      </c>
      <c r="F1795">
        <f>IFERROR(MATCH(A1795,Deals!$A$2:$A$843,0),"")</f>
        <v/>
      </c>
      <c r="G1795">
        <f>IF(F1795="",0,1)</f>
        <v/>
      </c>
      <c r="H1795" s="29">
        <f>IF(F1795="","",INDEX(Deals!$E$2:$E$843,F1795))</f>
        <v/>
      </c>
      <c r="I1795">
        <f>IF(F1795="","",INDEX(Deals!$D$2:$D$843,F1795))</f>
        <v/>
      </c>
      <c r="J1795">
        <f>IF(F1795="","",INT(H1795)-B1795)</f>
        <v/>
      </c>
      <c r="K1795">
        <f>IF(B1795&gt;=Settings!$C$5,1,0)</f>
        <v/>
      </c>
    </row>
    <row r="1796">
      <c r="A1796" t="inlineStr">
        <is>
          <t>9458a2f8516751e16831dfba0c019582</t>
        </is>
      </c>
      <c r="B1796" s="29" t="n">
        <v>43220</v>
      </c>
      <c r="C1796" t="inlineStr">
        <is>
          <t>2018-04</t>
        </is>
      </c>
      <c r="D1796" t="inlineStr">
        <is>
          <t>c6f28f804cf6330e6de735ef6e6fe95c</t>
        </is>
      </c>
      <c r="E1796" t="inlineStr">
        <is>
          <t>unknown</t>
        </is>
      </c>
      <c r="F1796">
        <f>IFERROR(MATCH(A1796,Deals!$A$2:$A$843,0),"")</f>
        <v/>
      </c>
      <c r="G1796">
        <f>IF(F1796="",0,1)</f>
        <v/>
      </c>
      <c r="H1796" s="29">
        <f>IF(F1796="","",INDEX(Deals!$E$2:$E$843,F1796))</f>
        <v/>
      </c>
      <c r="I1796">
        <f>IF(F1796="","",INDEX(Deals!$D$2:$D$843,F1796))</f>
        <v/>
      </c>
      <c r="J1796">
        <f>IF(F1796="","",INT(H1796)-B1796)</f>
        <v/>
      </c>
      <c r="K1796">
        <f>IF(B1796&gt;=Settings!$C$5,1,0)</f>
        <v/>
      </c>
    </row>
    <row r="1797">
      <c r="A1797" t="inlineStr">
        <is>
          <t>d303e6665ea75181d5bdf2221aa8a0fa</t>
        </is>
      </c>
      <c r="B1797" s="29" t="n">
        <v>43129</v>
      </c>
      <c r="C1797" t="inlineStr">
        <is>
          <t>2018-01</t>
        </is>
      </c>
      <c r="D1797" t="inlineStr">
        <is>
          <t>b76ef37428e6799c421989521c0e5077</t>
        </is>
      </c>
      <c r="E1797" t="inlineStr">
        <is>
          <t>unknown</t>
        </is>
      </c>
      <c r="F1797">
        <f>IFERROR(MATCH(A1797,Deals!$A$2:$A$843,0),"")</f>
        <v/>
      </c>
      <c r="G1797">
        <f>IF(F1797="",0,1)</f>
        <v/>
      </c>
      <c r="H1797" s="29">
        <f>IF(F1797="","",INDEX(Deals!$E$2:$E$843,F1797))</f>
        <v/>
      </c>
      <c r="I1797">
        <f>IF(F1797="","",INDEX(Deals!$D$2:$D$843,F1797))</f>
        <v/>
      </c>
      <c r="J1797">
        <f>IF(F1797="","",INT(H1797)-B1797)</f>
        <v/>
      </c>
      <c r="K1797">
        <f>IF(B1797&gt;=Settings!$C$5,1,0)</f>
        <v/>
      </c>
    </row>
    <row r="1798">
      <c r="A1798" t="inlineStr">
        <is>
          <t>3659943c93a11347e91c430725613c9a</t>
        </is>
      </c>
      <c r="B1798" s="29" t="n">
        <v>43235</v>
      </c>
      <c r="C1798" t="inlineStr">
        <is>
          <t>2018-05</t>
        </is>
      </c>
      <c r="D1798" t="inlineStr">
        <is>
          <t>e492ee5eaf1697716985cc6f33f9cd9b</t>
        </is>
      </c>
      <c r="E1798" t="inlineStr">
        <is>
          <t>organic_search</t>
        </is>
      </c>
      <c r="F1798">
        <f>IFERROR(MATCH(A1798,Deals!$A$2:$A$843,0),"")</f>
        <v/>
      </c>
      <c r="G1798">
        <f>IF(F1798="",0,1)</f>
        <v/>
      </c>
      <c r="H1798" s="29">
        <f>IF(F1798="","",INDEX(Deals!$E$2:$E$843,F1798))</f>
        <v/>
      </c>
      <c r="I1798">
        <f>IF(F1798="","",INDEX(Deals!$D$2:$D$843,F1798))</f>
        <v/>
      </c>
      <c r="J1798">
        <f>IF(F1798="","",INT(H1798)-B1798)</f>
        <v/>
      </c>
      <c r="K1798">
        <f>IF(B1798&gt;=Settings!$C$5,1,0)</f>
        <v/>
      </c>
    </row>
    <row r="1799">
      <c r="A1799" t="inlineStr">
        <is>
          <t>9ea66f48769859364f58fb5458bc89b6</t>
        </is>
      </c>
      <c r="B1799" s="29" t="n">
        <v>43017</v>
      </c>
      <c r="C1799" t="inlineStr">
        <is>
          <t>2017-10</t>
        </is>
      </c>
      <c r="D1799" t="inlineStr">
        <is>
          <t>87780f7c05ecd79791bde76af663db15</t>
        </is>
      </c>
      <c r="E1799" t="inlineStr">
        <is>
          <t>social</t>
        </is>
      </c>
      <c r="F1799">
        <f>IFERROR(MATCH(A1799,Deals!$A$2:$A$843,0),"")</f>
        <v/>
      </c>
      <c r="G1799">
        <f>IF(F1799="",0,1)</f>
        <v/>
      </c>
      <c r="H1799" s="29">
        <f>IF(F1799="","",INDEX(Deals!$E$2:$E$843,F1799))</f>
        <v/>
      </c>
      <c r="I1799">
        <f>IF(F1799="","",INDEX(Deals!$D$2:$D$843,F1799))</f>
        <v/>
      </c>
      <c r="J1799">
        <f>IF(F1799="","",INT(H1799)-B1799)</f>
        <v/>
      </c>
      <c r="K1799">
        <f>IF(B1799&gt;=Settings!$C$5,1,0)</f>
        <v/>
      </c>
    </row>
    <row r="1800">
      <c r="A1800" t="inlineStr">
        <is>
          <t>8387418ed9ce2d0e0188fced31bb45d4</t>
        </is>
      </c>
      <c r="B1800" s="29" t="n">
        <v>43181</v>
      </c>
      <c r="C1800" t="inlineStr">
        <is>
          <t>2018-03</t>
        </is>
      </c>
      <c r="D1800" t="inlineStr">
        <is>
          <t>40dec9f3d5259a3d2dbcdab2114fae47</t>
        </is>
      </c>
      <c r="E1800" t="inlineStr">
        <is>
          <t>paid_search</t>
        </is>
      </c>
      <c r="F1800">
        <f>IFERROR(MATCH(A1800,Deals!$A$2:$A$843,0),"")</f>
        <v/>
      </c>
      <c r="G1800">
        <f>IF(F1800="",0,1)</f>
        <v/>
      </c>
      <c r="H1800" s="29">
        <f>IF(F1800="","",INDEX(Deals!$E$2:$E$843,F1800))</f>
        <v/>
      </c>
      <c r="I1800">
        <f>IF(F1800="","",INDEX(Deals!$D$2:$D$843,F1800))</f>
        <v/>
      </c>
      <c r="J1800">
        <f>IF(F1800="","",INT(H1800)-B1800)</f>
        <v/>
      </c>
      <c r="K1800">
        <f>IF(B1800&gt;=Settings!$C$5,1,0)</f>
        <v/>
      </c>
    </row>
    <row r="1801">
      <c r="A1801" t="inlineStr">
        <is>
          <t>d607cb39183721ffdca411d397c2db0d</t>
        </is>
      </c>
      <c r="B1801" s="29" t="n">
        <v>43216</v>
      </c>
      <c r="C1801" t="inlineStr">
        <is>
          <t>2018-04</t>
        </is>
      </c>
      <c r="D1801" t="inlineStr">
        <is>
          <t>5dc848e7dd9418dffe183215b8ff0bc1</t>
        </is>
      </c>
      <c r="E1801" t="inlineStr">
        <is>
          <t>referral</t>
        </is>
      </c>
      <c r="F1801">
        <f>IFERROR(MATCH(A1801,Deals!$A$2:$A$843,0),"")</f>
        <v/>
      </c>
      <c r="G1801">
        <f>IF(F1801="",0,1)</f>
        <v/>
      </c>
      <c r="H1801" s="29">
        <f>IF(F1801="","",INDEX(Deals!$E$2:$E$843,F1801))</f>
        <v/>
      </c>
      <c r="I1801">
        <f>IF(F1801="","",INDEX(Deals!$D$2:$D$843,F1801))</f>
        <v/>
      </c>
      <c r="J1801">
        <f>IF(F1801="","",INT(H1801)-B1801)</f>
        <v/>
      </c>
      <c r="K1801">
        <f>IF(B1801&gt;=Settings!$C$5,1,0)</f>
        <v/>
      </c>
    </row>
    <row r="1802">
      <c r="A1802" t="inlineStr">
        <is>
          <t>786723d8a8743466b6206c86f2970f2e</t>
        </is>
      </c>
      <c r="B1802" s="29" t="n">
        <v>43239</v>
      </c>
      <c r="C1802" t="inlineStr">
        <is>
          <t>2018-05</t>
        </is>
      </c>
      <c r="D1802" t="inlineStr">
        <is>
          <t>58326e62183c14b0c03085c33b9fdc44</t>
        </is>
      </c>
      <c r="E1802" t="inlineStr">
        <is>
          <t>social</t>
        </is>
      </c>
      <c r="F1802">
        <f>IFERROR(MATCH(A1802,Deals!$A$2:$A$843,0),"")</f>
        <v/>
      </c>
      <c r="G1802">
        <f>IF(F1802="",0,1)</f>
        <v/>
      </c>
      <c r="H1802" s="29">
        <f>IF(F1802="","",INDEX(Deals!$E$2:$E$843,F1802))</f>
        <v/>
      </c>
      <c r="I1802">
        <f>IF(F1802="","",INDEX(Deals!$D$2:$D$843,F1802))</f>
        <v/>
      </c>
      <c r="J1802">
        <f>IF(F1802="","",INT(H1802)-B1802)</f>
        <v/>
      </c>
      <c r="K1802">
        <f>IF(B1802&gt;=Settings!$C$5,1,0)</f>
        <v/>
      </c>
    </row>
    <row r="1803">
      <c r="A1803" t="inlineStr">
        <is>
          <t>294e6cdc2c9154dfc741880c4374b66a</t>
        </is>
      </c>
      <c r="B1803" s="29" t="n">
        <v>43228</v>
      </c>
      <c r="C1803" t="inlineStr">
        <is>
          <t>2018-05</t>
        </is>
      </c>
      <c r="D1803" t="inlineStr">
        <is>
          <t>b76ef37428e6799c421989521c0e5077</t>
        </is>
      </c>
      <c r="E1803" t="inlineStr">
        <is>
          <t>paid_search</t>
        </is>
      </c>
      <c r="F1803">
        <f>IFERROR(MATCH(A1803,Deals!$A$2:$A$843,0),"")</f>
        <v/>
      </c>
      <c r="G1803">
        <f>IF(F1803="",0,1)</f>
        <v/>
      </c>
      <c r="H1803" s="29">
        <f>IF(F1803="","",INDEX(Deals!$E$2:$E$843,F1803))</f>
        <v/>
      </c>
      <c r="I1803">
        <f>IF(F1803="","",INDEX(Deals!$D$2:$D$843,F1803))</f>
        <v/>
      </c>
      <c r="J1803">
        <f>IF(F1803="","",INT(H1803)-B1803)</f>
        <v/>
      </c>
      <c r="K1803">
        <f>IF(B1803&gt;=Settings!$C$5,1,0)</f>
        <v/>
      </c>
    </row>
    <row r="1804">
      <c r="A1804" t="inlineStr">
        <is>
          <t>2b736f73615495dbfc8c911ef6378747</t>
        </is>
      </c>
      <c r="B1804" s="29" t="n">
        <v>43160</v>
      </c>
      <c r="C1804" t="inlineStr">
        <is>
          <t>2018-03</t>
        </is>
      </c>
      <c r="D1804" t="inlineStr">
        <is>
          <t>c70eb6fb5bd6e939b0d5ef32f21f61e8</t>
        </is>
      </c>
      <c r="E1804" t="inlineStr">
        <is>
          <t>referral</t>
        </is>
      </c>
      <c r="F1804">
        <f>IFERROR(MATCH(A1804,Deals!$A$2:$A$843,0),"")</f>
        <v/>
      </c>
      <c r="G1804">
        <f>IF(F1804="",0,1)</f>
        <v/>
      </c>
      <c r="H1804" s="29">
        <f>IF(F1804="","",INDEX(Deals!$E$2:$E$843,F1804))</f>
        <v/>
      </c>
      <c r="I1804">
        <f>IF(F1804="","",INDEX(Deals!$D$2:$D$843,F1804))</f>
        <v/>
      </c>
      <c r="J1804">
        <f>IF(F1804="","",INT(H1804)-B1804)</f>
        <v/>
      </c>
      <c r="K1804">
        <f>IF(B1804&gt;=Settings!$C$5,1,0)</f>
        <v/>
      </c>
    </row>
    <row r="1805">
      <c r="A1805" t="inlineStr">
        <is>
          <t>28136aa7beca6ef377beef7ab87ea573</t>
        </is>
      </c>
      <c r="B1805" s="29" t="n">
        <v>43180</v>
      </c>
      <c r="C1805" t="inlineStr">
        <is>
          <t>2018-03</t>
        </is>
      </c>
      <c r="D1805" t="inlineStr">
        <is>
          <t>e492ee5eaf1697716985cc6f33f9cd9b</t>
        </is>
      </c>
      <c r="E1805" t="inlineStr">
        <is>
          <t>social</t>
        </is>
      </c>
      <c r="F1805">
        <f>IFERROR(MATCH(A1805,Deals!$A$2:$A$843,0),"")</f>
        <v/>
      </c>
      <c r="G1805">
        <f>IF(F1805="",0,1)</f>
        <v/>
      </c>
      <c r="H1805" s="29">
        <f>IF(F1805="","",INDEX(Deals!$E$2:$E$843,F1805))</f>
        <v/>
      </c>
      <c r="I1805">
        <f>IF(F1805="","",INDEX(Deals!$D$2:$D$843,F1805))</f>
        <v/>
      </c>
      <c r="J1805">
        <f>IF(F1805="","",INT(H1805)-B1805)</f>
        <v/>
      </c>
      <c r="K1805">
        <f>IF(B1805&gt;=Settings!$C$5,1,0)</f>
        <v/>
      </c>
    </row>
    <row r="1806">
      <c r="A1806" t="inlineStr">
        <is>
          <t>3cf0846b792ba6419864fa31eba4d3fe</t>
        </is>
      </c>
      <c r="B1806" s="29" t="n">
        <v>43202</v>
      </c>
      <c r="C1806" t="inlineStr">
        <is>
          <t>2018-04</t>
        </is>
      </c>
      <c r="D1806" t="inlineStr">
        <is>
          <t>ce1a65abd0973638f1c887a6efcfa82d</t>
        </is>
      </c>
      <c r="E1806" t="inlineStr">
        <is>
          <t>referral</t>
        </is>
      </c>
      <c r="F1806">
        <f>IFERROR(MATCH(A1806,Deals!$A$2:$A$843,0),"")</f>
        <v/>
      </c>
      <c r="G1806">
        <f>IF(F1806="",0,1)</f>
        <v/>
      </c>
      <c r="H1806" s="29">
        <f>IF(F1806="","",INDEX(Deals!$E$2:$E$843,F1806))</f>
        <v/>
      </c>
      <c r="I1806">
        <f>IF(F1806="","",INDEX(Deals!$D$2:$D$843,F1806))</f>
        <v/>
      </c>
      <c r="J1806">
        <f>IF(F1806="","",INT(H1806)-B1806)</f>
        <v/>
      </c>
      <c r="K1806">
        <f>IF(B1806&gt;=Settings!$C$5,1,0)</f>
        <v/>
      </c>
    </row>
    <row r="1807">
      <c r="A1807" t="inlineStr">
        <is>
          <t>bf411614dc97660a06ab79418eb12417</t>
        </is>
      </c>
      <c r="B1807" s="29" t="n">
        <v>43249</v>
      </c>
      <c r="C1807" t="inlineStr">
        <is>
          <t>2018-05</t>
        </is>
      </c>
      <c r="D1807" t="inlineStr">
        <is>
          <t>1694e838dffa97f640fcfa35e86e438e</t>
        </is>
      </c>
      <c r="E1807" t="inlineStr">
        <is>
          <t>organic_search</t>
        </is>
      </c>
      <c r="F1807">
        <f>IFERROR(MATCH(A1807,Deals!$A$2:$A$843,0),"")</f>
        <v/>
      </c>
      <c r="G1807">
        <f>IF(F1807="",0,1)</f>
        <v/>
      </c>
      <c r="H1807" s="29">
        <f>IF(F1807="","",INDEX(Deals!$E$2:$E$843,F1807))</f>
        <v/>
      </c>
      <c r="I1807">
        <f>IF(F1807="","",INDEX(Deals!$D$2:$D$843,F1807))</f>
        <v/>
      </c>
      <c r="J1807">
        <f>IF(F1807="","",INT(H1807)-B1807)</f>
        <v/>
      </c>
      <c r="K1807">
        <f>IF(B1807&gt;=Settings!$C$5,1,0)</f>
        <v/>
      </c>
    </row>
    <row r="1808">
      <c r="A1808" t="inlineStr">
        <is>
          <t>a2d436321f525baeeb4021f7c9f3047d</t>
        </is>
      </c>
      <c r="B1808" s="29" t="n">
        <v>42926</v>
      </c>
      <c r="C1808" t="inlineStr">
        <is>
          <t>2017-07</t>
        </is>
      </c>
      <c r="D1808" t="inlineStr">
        <is>
          <t>a6ad0162dbe1182cd73e783d0ec1ffcf</t>
        </is>
      </c>
      <c r="E1808" t="inlineStr">
        <is>
          <t>display</t>
        </is>
      </c>
      <c r="F1808">
        <f>IFERROR(MATCH(A1808,Deals!$A$2:$A$843,0),"")</f>
        <v/>
      </c>
      <c r="G1808">
        <f>IF(F1808="",0,1)</f>
        <v/>
      </c>
      <c r="H1808" s="29">
        <f>IF(F1808="","",INDEX(Deals!$E$2:$E$843,F1808))</f>
        <v/>
      </c>
      <c r="I1808">
        <f>IF(F1808="","",INDEX(Deals!$D$2:$D$843,F1808))</f>
        <v/>
      </c>
      <c r="J1808">
        <f>IF(F1808="","",INT(H1808)-B1808)</f>
        <v/>
      </c>
      <c r="K1808">
        <f>IF(B1808&gt;=Settings!$C$5,1,0)</f>
        <v/>
      </c>
    </row>
    <row r="1809">
      <c r="A1809" t="inlineStr">
        <is>
          <t>afd74c13e62a269471bca76837fc25d5</t>
        </is>
      </c>
      <c r="B1809" s="29" t="n">
        <v>43138</v>
      </c>
      <c r="C1809" t="inlineStr">
        <is>
          <t>2018-02</t>
        </is>
      </c>
      <c r="D1809" t="inlineStr">
        <is>
          <t>40dec9f3d5259a3d2dbcdab2114fae47</t>
        </is>
      </c>
      <c r="E1809" t="inlineStr">
        <is>
          <t>organic_search</t>
        </is>
      </c>
      <c r="F1809">
        <f>IFERROR(MATCH(A1809,Deals!$A$2:$A$843,0),"")</f>
        <v/>
      </c>
      <c r="G1809">
        <f>IF(F1809="",0,1)</f>
        <v/>
      </c>
      <c r="H1809" s="29">
        <f>IF(F1809="","",INDEX(Deals!$E$2:$E$843,F1809))</f>
        <v/>
      </c>
      <c r="I1809">
        <f>IF(F1809="","",INDEX(Deals!$D$2:$D$843,F1809))</f>
        <v/>
      </c>
      <c r="J1809">
        <f>IF(F1809="","",INT(H1809)-B1809)</f>
        <v/>
      </c>
      <c r="K1809">
        <f>IF(B1809&gt;=Settings!$C$5,1,0)</f>
        <v/>
      </c>
    </row>
    <row r="1810">
      <c r="A1810" t="inlineStr">
        <is>
          <t>eef3298c9cda3e9623ea25d2230ec88e</t>
        </is>
      </c>
      <c r="B1810" s="29" t="n">
        <v>43245</v>
      </c>
      <c r="C1810" t="inlineStr">
        <is>
          <t>2018-05</t>
        </is>
      </c>
      <c r="D1810" t="inlineStr">
        <is>
          <t>7fa6590e1b6cc9f17eb5cfdcfad63d50</t>
        </is>
      </c>
      <c r="E1810" t="inlineStr">
        <is>
          <t>email</t>
        </is>
      </c>
      <c r="F1810">
        <f>IFERROR(MATCH(A1810,Deals!$A$2:$A$843,0),"")</f>
        <v/>
      </c>
      <c r="G1810">
        <f>IF(F1810="",0,1)</f>
        <v/>
      </c>
      <c r="H1810" s="29">
        <f>IF(F1810="","",INDEX(Deals!$E$2:$E$843,F1810))</f>
        <v/>
      </c>
      <c r="I1810">
        <f>IF(F1810="","",INDEX(Deals!$D$2:$D$843,F1810))</f>
        <v/>
      </c>
      <c r="J1810">
        <f>IF(F1810="","",INT(H1810)-B1810)</f>
        <v/>
      </c>
      <c r="K1810">
        <f>IF(B1810&gt;=Settings!$C$5,1,0)</f>
        <v/>
      </c>
    </row>
    <row r="1811">
      <c r="A1811" t="inlineStr">
        <is>
          <t>39f4330e7135ef4936816967f9927739</t>
        </is>
      </c>
      <c r="B1811" s="29" t="n">
        <v>43192</v>
      </c>
      <c r="C1811" t="inlineStr">
        <is>
          <t>2018-04</t>
        </is>
      </c>
      <c r="D1811" t="inlineStr">
        <is>
          <t>87e8cbe800fd79c7109fb24081c1c31d</t>
        </is>
      </c>
      <c r="E1811" t="inlineStr">
        <is>
          <t>email</t>
        </is>
      </c>
      <c r="F1811">
        <f>IFERROR(MATCH(A1811,Deals!$A$2:$A$843,0),"")</f>
        <v/>
      </c>
      <c r="G1811">
        <f>IF(F1811="",0,1)</f>
        <v/>
      </c>
      <c r="H1811" s="29">
        <f>IF(F1811="","",INDEX(Deals!$E$2:$E$843,F1811))</f>
        <v/>
      </c>
      <c r="I1811">
        <f>IF(F1811="","",INDEX(Deals!$D$2:$D$843,F1811))</f>
        <v/>
      </c>
      <c r="J1811">
        <f>IF(F1811="","",INT(H1811)-B1811)</f>
        <v/>
      </c>
      <c r="K1811">
        <f>IF(B1811&gt;=Settings!$C$5,1,0)</f>
        <v/>
      </c>
    </row>
    <row r="1812">
      <c r="A1812" t="inlineStr">
        <is>
          <t>9688c999c6508777280b6e8074ad82fa</t>
        </is>
      </c>
      <c r="B1812" s="29" t="n">
        <v>43184</v>
      </c>
      <c r="C1812" t="inlineStr">
        <is>
          <t>2018-03</t>
        </is>
      </c>
      <c r="D1812" t="inlineStr">
        <is>
          <t>58326e62183c14b0c03085c33b9fdc44</t>
        </is>
      </c>
      <c r="E1812" t="inlineStr">
        <is>
          <t>social</t>
        </is>
      </c>
      <c r="F1812">
        <f>IFERROR(MATCH(A1812,Deals!$A$2:$A$843,0),"")</f>
        <v/>
      </c>
      <c r="G1812">
        <f>IF(F1812="",0,1)</f>
        <v/>
      </c>
      <c r="H1812" s="29">
        <f>IF(F1812="","",INDEX(Deals!$E$2:$E$843,F1812))</f>
        <v/>
      </c>
      <c r="I1812">
        <f>IF(F1812="","",INDEX(Deals!$D$2:$D$843,F1812))</f>
        <v/>
      </c>
      <c r="J1812">
        <f>IF(F1812="","",INT(H1812)-B1812)</f>
        <v/>
      </c>
      <c r="K1812">
        <f>IF(B1812&gt;=Settings!$C$5,1,0)</f>
        <v/>
      </c>
    </row>
    <row r="1813">
      <c r="A1813" t="inlineStr">
        <is>
          <t>1cba40e3efa7040ac28c0f065f7cacd1</t>
        </is>
      </c>
      <c r="B1813" s="29" t="n">
        <v>43121</v>
      </c>
      <c r="C1813" t="inlineStr">
        <is>
          <t>2018-01</t>
        </is>
      </c>
      <c r="D1813" t="inlineStr">
        <is>
          <t>ce1a65abd0973638f1c887a6efcfa82d</t>
        </is>
      </c>
      <c r="E1813" t="inlineStr">
        <is>
          <t>display</t>
        </is>
      </c>
      <c r="F1813">
        <f>IFERROR(MATCH(A1813,Deals!$A$2:$A$843,0),"")</f>
        <v/>
      </c>
      <c r="G1813">
        <f>IF(F1813="",0,1)</f>
        <v/>
      </c>
      <c r="H1813" s="29">
        <f>IF(F1813="","",INDEX(Deals!$E$2:$E$843,F1813))</f>
        <v/>
      </c>
      <c r="I1813">
        <f>IF(F1813="","",INDEX(Deals!$D$2:$D$843,F1813))</f>
        <v/>
      </c>
      <c r="J1813">
        <f>IF(F1813="","",INT(H1813)-B1813)</f>
        <v/>
      </c>
      <c r="K1813">
        <f>IF(B1813&gt;=Settings!$C$5,1,0)</f>
        <v/>
      </c>
    </row>
    <row r="1814">
      <c r="A1814" t="inlineStr">
        <is>
          <t>d68887eb62ebc7bafb5ad892919b44e2</t>
        </is>
      </c>
      <c r="B1814" s="29" t="n">
        <v>43152</v>
      </c>
      <c r="C1814" t="inlineStr">
        <is>
          <t>2018-02</t>
        </is>
      </c>
      <c r="D1814" t="inlineStr">
        <is>
          <t>2228a43ac0bc372e25f9569e69fc9015</t>
        </is>
      </c>
      <c r="E1814" t="inlineStr">
        <is>
          <t>organic_search</t>
        </is>
      </c>
      <c r="F1814">
        <f>IFERROR(MATCH(A1814,Deals!$A$2:$A$843,0),"")</f>
        <v/>
      </c>
      <c r="G1814">
        <f>IF(F1814="",0,1)</f>
        <v/>
      </c>
      <c r="H1814" s="29">
        <f>IF(F1814="","",INDEX(Deals!$E$2:$E$843,F1814))</f>
        <v/>
      </c>
      <c r="I1814">
        <f>IF(F1814="","",INDEX(Deals!$D$2:$D$843,F1814))</f>
        <v/>
      </c>
      <c r="J1814">
        <f>IF(F1814="","",INT(H1814)-B1814)</f>
        <v/>
      </c>
      <c r="K1814">
        <f>IF(B1814&gt;=Settings!$C$5,1,0)</f>
        <v/>
      </c>
    </row>
    <row r="1815">
      <c r="A1815" t="inlineStr">
        <is>
          <t>e3dabf77dd2fc079db2f54e480c00595</t>
        </is>
      </c>
      <c r="B1815" s="29" t="n">
        <v>43164</v>
      </c>
      <c r="C1815" t="inlineStr">
        <is>
          <t>2018-03</t>
        </is>
      </c>
      <c r="D1815" t="inlineStr">
        <is>
          <t>b76ef37428e6799c421989521c0e5077</t>
        </is>
      </c>
      <c r="E1815" t="inlineStr">
        <is>
          <t>unknown</t>
        </is>
      </c>
      <c r="F1815">
        <f>IFERROR(MATCH(A1815,Deals!$A$2:$A$843,0),"")</f>
        <v/>
      </c>
      <c r="G1815">
        <f>IF(F1815="",0,1)</f>
        <v/>
      </c>
      <c r="H1815" s="29">
        <f>IF(F1815="","",INDEX(Deals!$E$2:$E$843,F1815))</f>
        <v/>
      </c>
      <c r="I1815">
        <f>IF(F1815="","",INDEX(Deals!$D$2:$D$843,F1815))</f>
        <v/>
      </c>
      <c r="J1815">
        <f>IF(F1815="","",INT(H1815)-B1815)</f>
        <v/>
      </c>
      <c r="K1815">
        <f>IF(B1815&gt;=Settings!$C$5,1,0)</f>
        <v/>
      </c>
    </row>
    <row r="1816">
      <c r="A1816" t="inlineStr">
        <is>
          <t>83218450304f89053114eaa3b1487815</t>
        </is>
      </c>
      <c r="B1816" s="29" t="n">
        <v>43104</v>
      </c>
      <c r="C1816" t="inlineStr">
        <is>
          <t>2018-01</t>
        </is>
      </c>
      <c r="D1816" t="inlineStr">
        <is>
          <t>40dec9f3d5259a3d2dbcdab2114fae47</t>
        </is>
      </c>
      <c r="E1816" t="inlineStr">
        <is>
          <t>paid_search</t>
        </is>
      </c>
      <c r="F1816">
        <f>IFERROR(MATCH(A1816,Deals!$A$2:$A$843,0),"")</f>
        <v/>
      </c>
      <c r="G1816">
        <f>IF(F1816="",0,1)</f>
        <v/>
      </c>
      <c r="H1816" s="29">
        <f>IF(F1816="","",INDEX(Deals!$E$2:$E$843,F1816))</f>
        <v/>
      </c>
      <c r="I1816">
        <f>IF(F1816="","",INDEX(Deals!$D$2:$D$843,F1816))</f>
        <v/>
      </c>
      <c r="J1816">
        <f>IF(F1816="","",INT(H1816)-B1816)</f>
        <v/>
      </c>
      <c r="K1816">
        <f>IF(B1816&gt;=Settings!$C$5,1,0)</f>
        <v/>
      </c>
    </row>
    <row r="1817">
      <c r="A1817" t="inlineStr">
        <is>
          <t>48a34b386d28d2887f07eb97a60c9540</t>
        </is>
      </c>
      <c r="B1817" s="29" t="n">
        <v>43199</v>
      </c>
      <c r="C1817" t="inlineStr">
        <is>
          <t>2018-04</t>
        </is>
      </c>
      <c r="D1817" t="inlineStr">
        <is>
          <t>22c29808c4f815213303f8933030604c</t>
        </is>
      </c>
      <c r="E1817" t="inlineStr">
        <is>
          <t>referral</t>
        </is>
      </c>
      <c r="F1817">
        <f>IFERROR(MATCH(A1817,Deals!$A$2:$A$843,0),"")</f>
        <v/>
      </c>
      <c r="G1817">
        <f>IF(F1817="",0,1)</f>
        <v/>
      </c>
      <c r="H1817" s="29">
        <f>IF(F1817="","",INDEX(Deals!$E$2:$E$843,F1817))</f>
        <v/>
      </c>
      <c r="I1817">
        <f>IF(F1817="","",INDEX(Deals!$D$2:$D$843,F1817))</f>
        <v/>
      </c>
      <c r="J1817">
        <f>IF(F1817="","",INT(H1817)-B1817)</f>
        <v/>
      </c>
      <c r="K1817">
        <f>IF(B1817&gt;=Settings!$C$5,1,0)</f>
        <v/>
      </c>
    </row>
    <row r="1818">
      <c r="A1818" t="inlineStr">
        <is>
          <t>2ef610424f612b411a3e43f0917fb3a6</t>
        </is>
      </c>
      <c r="B1818" s="29" t="n">
        <v>43169</v>
      </c>
      <c r="C1818" t="inlineStr">
        <is>
          <t>2018-03</t>
        </is>
      </c>
      <c r="D1818" t="inlineStr">
        <is>
          <t>649b7b8b46b254497e92038d88f6ced8</t>
        </is>
      </c>
      <c r="E1818" t="inlineStr">
        <is>
          <t>social</t>
        </is>
      </c>
      <c r="F1818">
        <f>IFERROR(MATCH(A1818,Deals!$A$2:$A$843,0),"")</f>
        <v/>
      </c>
      <c r="G1818">
        <f>IF(F1818="",0,1)</f>
        <v/>
      </c>
      <c r="H1818" s="29">
        <f>IF(F1818="","",INDEX(Deals!$E$2:$E$843,F1818))</f>
        <v/>
      </c>
      <c r="I1818">
        <f>IF(F1818="","",INDEX(Deals!$D$2:$D$843,F1818))</f>
        <v/>
      </c>
      <c r="J1818">
        <f>IF(F1818="","",INT(H1818)-B1818)</f>
        <v/>
      </c>
      <c r="K1818">
        <f>IF(B1818&gt;=Settings!$C$5,1,0)</f>
        <v/>
      </c>
    </row>
    <row r="1819">
      <c r="A1819" t="inlineStr">
        <is>
          <t>419348705183d1c2215cbff57669cc36</t>
        </is>
      </c>
      <c r="B1819" s="29" t="n">
        <v>43063</v>
      </c>
      <c r="C1819" t="inlineStr">
        <is>
          <t>2017-11</t>
        </is>
      </c>
      <c r="D1819" t="inlineStr">
        <is>
          <t>88740e65d5d6b056e0cda098e1ea6313</t>
        </is>
      </c>
      <c r="E1819" t="inlineStr">
        <is>
          <t>social</t>
        </is>
      </c>
      <c r="F1819">
        <f>IFERROR(MATCH(A1819,Deals!$A$2:$A$843,0),"")</f>
        <v/>
      </c>
      <c r="G1819">
        <f>IF(F1819="",0,1)</f>
        <v/>
      </c>
      <c r="H1819" s="29">
        <f>IF(F1819="","",INDEX(Deals!$E$2:$E$843,F1819))</f>
        <v/>
      </c>
      <c r="I1819">
        <f>IF(F1819="","",INDEX(Deals!$D$2:$D$843,F1819))</f>
        <v/>
      </c>
      <c r="J1819">
        <f>IF(F1819="","",INT(H1819)-B1819)</f>
        <v/>
      </c>
      <c r="K1819">
        <f>IF(B1819&gt;=Settings!$C$5,1,0)</f>
        <v/>
      </c>
    </row>
    <row r="1820">
      <c r="A1820" t="inlineStr">
        <is>
          <t>fce66b28c576f7fa8f94c49c95bea437</t>
        </is>
      </c>
      <c r="B1820" s="29" t="n">
        <v>43106</v>
      </c>
      <c r="C1820" t="inlineStr">
        <is>
          <t>2018-01</t>
        </is>
      </c>
      <c r="D1820" t="inlineStr">
        <is>
          <t>88740e65d5d6b056e0cda098e1ea6313</t>
        </is>
      </c>
      <c r="E1820" t="inlineStr">
        <is>
          <t>social</t>
        </is>
      </c>
      <c r="F1820">
        <f>IFERROR(MATCH(A1820,Deals!$A$2:$A$843,0),"")</f>
        <v/>
      </c>
      <c r="G1820">
        <f>IF(F1820="",0,1)</f>
        <v/>
      </c>
      <c r="H1820" s="29">
        <f>IF(F1820="","",INDEX(Deals!$E$2:$E$843,F1820))</f>
        <v/>
      </c>
      <c r="I1820">
        <f>IF(F1820="","",INDEX(Deals!$D$2:$D$843,F1820))</f>
        <v/>
      </c>
      <c r="J1820">
        <f>IF(F1820="","",INT(H1820)-B1820)</f>
        <v/>
      </c>
      <c r="K1820">
        <f>IF(B1820&gt;=Settings!$C$5,1,0)</f>
        <v/>
      </c>
    </row>
    <row r="1821">
      <c r="A1821" t="inlineStr">
        <is>
          <t>f546530f9d36ecd8a57b56c5f8bd98e8</t>
        </is>
      </c>
      <c r="B1821" s="29" t="n">
        <v>43248</v>
      </c>
      <c r="C1821" t="inlineStr">
        <is>
          <t>2018-05</t>
        </is>
      </c>
      <c r="D1821" t="inlineStr">
        <is>
          <t>58326e62183c14b0c03085c33b9fdc44</t>
        </is>
      </c>
      <c r="E1821" t="inlineStr">
        <is>
          <t>social</t>
        </is>
      </c>
      <c r="F1821">
        <f>IFERROR(MATCH(A1821,Deals!$A$2:$A$843,0),"")</f>
        <v/>
      </c>
      <c r="G1821">
        <f>IF(F1821="",0,1)</f>
        <v/>
      </c>
      <c r="H1821" s="29">
        <f>IF(F1821="","",INDEX(Deals!$E$2:$E$843,F1821))</f>
        <v/>
      </c>
      <c r="I1821">
        <f>IF(F1821="","",INDEX(Deals!$D$2:$D$843,F1821))</f>
        <v/>
      </c>
      <c r="J1821">
        <f>IF(F1821="","",INT(H1821)-B1821)</f>
        <v/>
      </c>
      <c r="K1821">
        <f>IF(B1821&gt;=Settings!$C$5,1,0)</f>
        <v/>
      </c>
    </row>
    <row r="1822">
      <c r="A1822" t="inlineStr">
        <is>
          <t>48ecd78598456095d654c9196f973b00</t>
        </is>
      </c>
      <c r="B1822" s="29" t="n">
        <v>43187</v>
      </c>
      <c r="C1822" t="inlineStr">
        <is>
          <t>2018-03</t>
        </is>
      </c>
      <c r="D1822" t="inlineStr">
        <is>
          <t>58326e62183c14b0c03085c33b9fdc44</t>
        </is>
      </c>
      <c r="E1822" t="inlineStr">
        <is>
          <t>social</t>
        </is>
      </c>
      <c r="F1822">
        <f>IFERROR(MATCH(A1822,Deals!$A$2:$A$843,0),"")</f>
        <v/>
      </c>
      <c r="G1822">
        <f>IF(F1822="",0,1)</f>
        <v/>
      </c>
      <c r="H1822" s="29">
        <f>IF(F1822="","",INDEX(Deals!$E$2:$E$843,F1822))</f>
        <v/>
      </c>
      <c r="I1822">
        <f>IF(F1822="","",INDEX(Deals!$D$2:$D$843,F1822))</f>
        <v/>
      </c>
      <c r="J1822">
        <f>IF(F1822="","",INT(H1822)-B1822)</f>
        <v/>
      </c>
      <c r="K1822">
        <f>IF(B1822&gt;=Settings!$C$5,1,0)</f>
        <v/>
      </c>
    </row>
    <row r="1823">
      <c r="A1823" t="inlineStr">
        <is>
          <t>a728eb04f5469d9c5ec50dfd13a067f9</t>
        </is>
      </c>
      <c r="B1823" s="29" t="n">
        <v>43084</v>
      </c>
      <c r="C1823" t="inlineStr">
        <is>
          <t>2017-12</t>
        </is>
      </c>
      <c r="D1823" t="inlineStr">
        <is>
          <t>b76ef37428e6799c421989521c0e5077</t>
        </is>
      </c>
      <c r="E1823" t="inlineStr">
        <is>
          <t>unknown</t>
        </is>
      </c>
      <c r="F1823">
        <f>IFERROR(MATCH(A1823,Deals!$A$2:$A$843,0),"")</f>
        <v/>
      </c>
      <c r="G1823">
        <f>IF(F1823="",0,1)</f>
        <v/>
      </c>
      <c r="H1823" s="29">
        <f>IF(F1823="","",INDEX(Deals!$E$2:$E$843,F1823))</f>
        <v/>
      </c>
      <c r="I1823">
        <f>IF(F1823="","",INDEX(Deals!$D$2:$D$843,F1823))</f>
        <v/>
      </c>
      <c r="J1823">
        <f>IF(F1823="","",INT(H1823)-B1823)</f>
        <v/>
      </c>
      <c r="K1823">
        <f>IF(B1823&gt;=Settings!$C$5,1,0)</f>
        <v/>
      </c>
    </row>
    <row r="1824">
      <c r="A1824" t="inlineStr">
        <is>
          <t>9c2bab00442da25569e13f04de9ffae5</t>
        </is>
      </c>
      <c r="B1824" s="29" t="n">
        <v>43125</v>
      </c>
      <c r="C1824" t="inlineStr">
        <is>
          <t>2018-01</t>
        </is>
      </c>
      <c r="D1824" t="inlineStr">
        <is>
          <t>b76ef37428e6799c421989521c0e5077</t>
        </is>
      </c>
      <c r="E1824" t="inlineStr">
        <is>
          <t>unknown</t>
        </is>
      </c>
      <c r="F1824">
        <f>IFERROR(MATCH(A1824,Deals!$A$2:$A$843,0),"")</f>
        <v/>
      </c>
      <c r="G1824">
        <f>IF(F1824="",0,1)</f>
        <v/>
      </c>
      <c r="H1824" s="29">
        <f>IF(F1824="","",INDEX(Deals!$E$2:$E$843,F1824))</f>
        <v/>
      </c>
      <c r="I1824">
        <f>IF(F1824="","",INDEX(Deals!$D$2:$D$843,F1824))</f>
        <v/>
      </c>
      <c r="J1824">
        <f>IF(F1824="","",INT(H1824)-B1824)</f>
        <v/>
      </c>
      <c r="K1824">
        <f>IF(B1824&gt;=Settings!$C$5,1,0)</f>
        <v/>
      </c>
    </row>
    <row r="1825">
      <c r="A1825" t="inlineStr">
        <is>
          <t>c70370bf064170a05f1e3e95de3ea26f</t>
        </is>
      </c>
      <c r="B1825" s="29" t="n">
        <v>42961</v>
      </c>
      <c r="C1825" t="inlineStr">
        <is>
          <t>2017-08</t>
        </is>
      </c>
      <c r="D1825" t="inlineStr">
        <is>
          <t>aeac92c0f5ae22a04ed3b746cce3a1b6</t>
        </is>
      </c>
      <c r="E1825" t="inlineStr">
        <is>
          <t>organic_search</t>
        </is>
      </c>
      <c r="F1825">
        <f>IFERROR(MATCH(A1825,Deals!$A$2:$A$843,0),"")</f>
        <v/>
      </c>
      <c r="G1825">
        <f>IF(F1825="",0,1)</f>
        <v/>
      </c>
      <c r="H1825" s="29">
        <f>IF(F1825="","",INDEX(Deals!$E$2:$E$843,F1825))</f>
        <v/>
      </c>
      <c r="I1825">
        <f>IF(F1825="","",INDEX(Deals!$D$2:$D$843,F1825))</f>
        <v/>
      </c>
      <c r="J1825">
        <f>IF(F1825="","",INT(H1825)-B1825)</f>
        <v/>
      </c>
      <c r="K1825">
        <f>IF(B1825&gt;=Settings!$C$5,1,0)</f>
        <v/>
      </c>
    </row>
    <row r="1826">
      <c r="A1826" t="inlineStr">
        <is>
          <t>cd9e8a4a222eb86428130d42fc684ca5</t>
        </is>
      </c>
      <c r="B1826" s="29" t="n">
        <v>43118</v>
      </c>
      <c r="C1826" t="inlineStr">
        <is>
          <t>2018-01</t>
        </is>
      </c>
      <c r="D1826" t="inlineStr">
        <is>
          <t>b76ef37428e6799c421989521c0e5077</t>
        </is>
      </c>
      <c r="E1826" t="inlineStr">
        <is>
          <t>organic_search</t>
        </is>
      </c>
      <c r="F1826">
        <f>IFERROR(MATCH(A1826,Deals!$A$2:$A$843,0),"")</f>
        <v/>
      </c>
      <c r="G1826">
        <f>IF(F1826="",0,1)</f>
        <v/>
      </c>
      <c r="H1826" s="29">
        <f>IF(F1826="","",INDEX(Deals!$E$2:$E$843,F1826))</f>
        <v/>
      </c>
      <c r="I1826">
        <f>IF(F1826="","",INDEX(Deals!$D$2:$D$843,F1826))</f>
        <v/>
      </c>
      <c r="J1826">
        <f>IF(F1826="","",INT(H1826)-B1826)</f>
        <v/>
      </c>
      <c r="K1826">
        <f>IF(B1826&gt;=Settings!$C$5,1,0)</f>
        <v/>
      </c>
    </row>
    <row r="1827">
      <c r="A1827" t="inlineStr">
        <is>
          <t>911d28522117a1c1f47a42df7743b846</t>
        </is>
      </c>
      <c r="B1827" s="29" t="n">
        <v>43194</v>
      </c>
      <c r="C1827" t="inlineStr">
        <is>
          <t>2018-04</t>
        </is>
      </c>
      <c r="D1827" t="inlineStr">
        <is>
          <t>22c29808c4f815213303f8933030604c</t>
        </is>
      </c>
      <c r="E1827" t="inlineStr">
        <is>
          <t>paid_search</t>
        </is>
      </c>
      <c r="F1827">
        <f>IFERROR(MATCH(A1827,Deals!$A$2:$A$843,0),"")</f>
        <v/>
      </c>
      <c r="G1827">
        <f>IF(F1827="",0,1)</f>
        <v/>
      </c>
      <c r="H1827" s="29">
        <f>IF(F1827="","",INDEX(Deals!$E$2:$E$843,F1827))</f>
        <v/>
      </c>
      <c r="I1827">
        <f>IF(F1827="","",INDEX(Deals!$D$2:$D$843,F1827))</f>
        <v/>
      </c>
      <c r="J1827">
        <f>IF(F1827="","",INT(H1827)-B1827)</f>
        <v/>
      </c>
      <c r="K1827">
        <f>IF(B1827&gt;=Settings!$C$5,1,0)</f>
        <v/>
      </c>
    </row>
    <row r="1828">
      <c r="A1828" t="inlineStr">
        <is>
          <t>d8de81eff6dfe582a05bc6981879f01a</t>
        </is>
      </c>
      <c r="B1828" s="29" t="n">
        <v>43188</v>
      </c>
      <c r="C1828" t="inlineStr">
        <is>
          <t>2018-03</t>
        </is>
      </c>
      <c r="D1828" t="inlineStr">
        <is>
          <t>b76ef37428e6799c421989521c0e5077</t>
        </is>
      </c>
      <c r="E1828" t="inlineStr">
        <is>
          <t>unknown</t>
        </is>
      </c>
      <c r="F1828">
        <f>IFERROR(MATCH(A1828,Deals!$A$2:$A$843,0),"")</f>
        <v/>
      </c>
      <c r="G1828">
        <f>IF(F1828="",0,1)</f>
        <v/>
      </c>
      <c r="H1828" s="29">
        <f>IF(F1828="","",INDEX(Deals!$E$2:$E$843,F1828))</f>
        <v/>
      </c>
      <c r="I1828">
        <f>IF(F1828="","",INDEX(Deals!$D$2:$D$843,F1828))</f>
        <v/>
      </c>
      <c r="J1828">
        <f>IF(F1828="","",INT(H1828)-B1828)</f>
        <v/>
      </c>
      <c r="K1828">
        <f>IF(B1828&gt;=Settings!$C$5,1,0)</f>
        <v/>
      </c>
    </row>
    <row r="1829">
      <c r="A1829" t="inlineStr">
        <is>
          <t>f45441ae6bc4a14109990b452feea703</t>
        </is>
      </c>
      <c r="B1829" s="29" t="n">
        <v>43243</v>
      </c>
      <c r="C1829" t="inlineStr">
        <is>
          <t>2018-05</t>
        </is>
      </c>
      <c r="D1829" t="inlineStr">
        <is>
          <t>58326e62183c14b0c03085c33b9fdc44</t>
        </is>
      </c>
      <c r="E1829" t="inlineStr">
        <is>
          <t>social</t>
        </is>
      </c>
      <c r="F1829">
        <f>IFERROR(MATCH(A1829,Deals!$A$2:$A$843,0),"")</f>
        <v/>
      </c>
      <c r="G1829">
        <f>IF(F1829="",0,1)</f>
        <v/>
      </c>
      <c r="H1829" s="29">
        <f>IF(F1829="","",INDEX(Deals!$E$2:$E$843,F1829))</f>
        <v/>
      </c>
      <c r="I1829">
        <f>IF(F1829="","",INDEX(Deals!$D$2:$D$843,F1829))</f>
        <v/>
      </c>
      <c r="J1829">
        <f>IF(F1829="","",INT(H1829)-B1829)</f>
        <v/>
      </c>
      <c r="K1829">
        <f>IF(B1829&gt;=Settings!$C$5,1,0)</f>
        <v/>
      </c>
    </row>
    <row r="1830">
      <c r="A1830" t="inlineStr">
        <is>
          <t>49e1ed7b49f9a99380daed2233ae4f63</t>
        </is>
      </c>
      <c r="B1830" s="29" t="n">
        <v>43241</v>
      </c>
      <c r="C1830" t="inlineStr">
        <is>
          <t>2018-05</t>
        </is>
      </c>
      <c r="D1830" t="inlineStr">
        <is>
          <t>e492ee5eaf1697716985cc6f33f9cd9b</t>
        </is>
      </c>
      <c r="E1830" t="inlineStr">
        <is>
          <t>organic_search</t>
        </is>
      </c>
      <c r="F1830">
        <f>IFERROR(MATCH(A1830,Deals!$A$2:$A$843,0),"")</f>
        <v/>
      </c>
      <c r="G1830">
        <f>IF(F1830="",0,1)</f>
        <v/>
      </c>
      <c r="H1830" s="29">
        <f>IF(F1830="","",INDEX(Deals!$E$2:$E$843,F1830))</f>
        <v/>
      </c>
      <c r="I1830">
        <f>IF(F1830="","",INDEX(Deals!$D$2:$D$843,F1830))</f>
        <v/>
      </c>
      <c r="J1830">
        <f>IF(F1830="","",INT(H1830)-B1830)</f>
        <v/>
      </c>
      <c r="K1830">
        <f>IF(B1830&gt;=Settings!$C$5,1,0)</f>
        <v/>
      </c>
    </row>
    <row r="1831">
      <c r="A1831" t="inlineStr">
        <is>
          <t>7cc363172b333199364a4e07bae60688</t>
        </is>
      </c>
      <c r="B1831" s="29" t="n">
        <v>43227</v>
      </c>
      <c r="C1831" t="inlineStr">
        <is>
          <t>2018-05</t>
        </is>
      </c>
      <c r="D1831" t="inlineStr">
        <is>
          <t>22c29808c4f815213303f8933030604c</t>
        </is>
      </c>
      <c r="E1831" t="inlineStr">
        <is>
          <t>organic_search</t>
        </is>
      </c>
      <c r="F1831">
        <f>IFERROR(MATCH(A1831,Deals!$A$2:$A$843,0),"")</f>
        <v/>
      </c>
      <c r="G1831">
        <f>IF(F1831="",0,1)</f>
        <v/>
      </c>
      <c r="H1831" s="29">
        <f>IF(F1831="","",INDEX(Deals!$E$2:$E$843,F1831))</f>
        <v/>
      </c>
      <c r="I1831">
        <f>IF(F1831="","",INDEX(Deals!$D$2:$D$843,F1831))</f>
        <v/>
      </c>
      <c r="J1831">
        <f>IF(F1831="","",INT(H1831)-B1831)</f>
        <v/>
      </c>
      <c r="K1831">
        <f>IF(B1831&gt;=Settings!$C$5,1,0)</f>
        <v/>
      </c>
    </row>
    <row r="1832">
      <c r="A1832" t="inlineStr">
        <is>
          <t>116b896114ff71245852cace1f9f69c5</t>
        </is>
      </c>
      <c r="B1832" s="29" t="n">
        <v>43249</v>
      </c>
      <c r="C1832" t="inlineStr">
        <is>
          <t>2018-05</t>
        </is>
      </c>
      <c r="D1832" t="inlineStr">
        <is>
          <t>58326e62183c14b0c03085c33b9fdc44</t>
        </is>
      </c>
      <c r="E1832" t="inlineStr">
        <is>
          <t>social</t>
        </is>
      </c>
      <c r="F1832">
        <f>IFERROR(MATCH(A1832,Deals!$A$2:$A$843,0),"")</f>
        <v/>
      </c>
      <c r="G1832">
        <f>IF(F1832="",0,1)</f>
        <v/>
      </c>
      <c r="H1832" s="29">
        <f>IF(F1832="","",INDEX(Deals!$E$2:$E$843,F1832))</f>
        <v/>
      </c>
      <c r="I1832">
        <f>IF(F1832="","",INDEX(Deals!$D$2:$D$843,F1832))</f>
        <v/>
      </c>
      <c r="J1832">
        <f>IF(F1832="","",INT(H1832)-B1832)</f>
        <v/>
      </c>
      <c r="K1832">
        <f>IF(B1832&gt;=Settings!$C$5,1,0)</f>
        <v/>
      </c>
    </row>
    <row r="1833">
      <c r="A1833" t="inlineStr">
        <is>
          <t>92f57807d7a38f80a3b0f7fd4b639da9</t>
        </is>
      </c>
      <c r="B1833" s="29" t="n">
        <v>42928</v>
      </c>
      <c r="C1833" t="inlineStr">
        <is>
          <t>2017-07</t>
        </is>
      </c>
      <c r="D1833" t="inlineStr">
        <is>
          <t>d1bad8bf984bd4d7ee08f814ca589897</t>
        </is>
      </c>
      <c r="E1833" t="inlineStr">
        <is>
          <t>paid_search</t>
        </is>
      </c>
      <c r="F1833">
        <f>IFERROR(MATCH(A1833,Deals!$A$2:$A$843,0),"")</f>
        <v/>
      </c>
      <c r="G1833">
        <f>IF(F1833="",0,1)</f>
        <v/>
      </c>
      <c r="H1833" s="29">
        <f>IF(F1833="","",INDEX(Deals!$E$2:$E$843,F1833))</f>
        <v/>
      </c>
      <c r="I1833">
        <f>IF(F1833="","",INDEX(Deals!$D$2:$D$843,F1833))</f>
        <v/>
      </c>
      <c r="J1833">
        <f>IF(F1833="","",INT(H1833)-B1833)</f>
        <v/>
      </c>
      <c r="K1833">
        <f>IF(B1833&gt;=Settings!$C$5,1,0)</f>
        <v/>
      </c>
    </row>
    <row r="1834">
      <c r="A1834" t="inlineStr">
        <is>
          <t>44c2f762a8f66756fb4b6f00606e17ee</t>
        </is>
      </c>
      <c r="B1834" s="29" t="n">
        <v>43221</v>
      </c>
      <c r="C1834" t="inlineStr">
        <is>
          <t>2018-05</t>
        </is>
      </c>
      <c r="D1834" t="inlineStr">
        <is>
          <t>21a104c3279681d9856b8a48723c4fee</t>
        </is>
      </c>
      <c r="E1834" t="inlineStr">
        <is>
          <t>social</t>
        </is>
      </c>
      <c r="F1834">
        <f>IFERROR(MATCH(A1834,Deals!$A$2:$A$843,0),"")</f>
        <v/>
      </c>
      <c r="G1834">
        <f>IF(F1834="",0,1)</f>
        <v/>
      </c>
      <c r="H1834" s="29">
        <f>IF(F1834="","",INDEX(Deals!$E$2:$E$843,F1834))</f>
        <v/>
      </c>
      <c r="I1834">
        <f>IF(F1834="","",INDEX(Deals!$D$2:$D$843,F1834))</f>
        <v/>
      </c>
      <c r="J1834">
        <f>IF(F1834="","",INT(H1834)-B1834)</f>
        <v/>
      </c>
      <c r="K1834">
        <f>IF(B1834&gt;=Settings!$C$5,1,0)</f>
        <v/>
      </c>
    </row>
    <row r="1835">
      <c r="A1835" t="inlineStr">
        <is>
          <t>298731e3aaaf9ab8825be38dc73bf1c7</t>
        </is>
      </c>
      <c r="B1835" s="29" t="n">
        <v>43172</v>
      </c>
      <c r="C1835" t="inlineStr">
        <is>
          <t>2018-03</t>
        </is>
      </c>
      <c r="D1835" t="inlineStr">
        <is>
          <t>b6885f18d203a61176418c1fb3764815</t>
        </is>
      </c>
      <c r="E1835" t="inlineStr">
        <is>
          <t>paid_search</t>
        </is>
      </c>
      <c r="F1835">
        <f>IFERROR(MATCH(A1835,Deals!$A$2:$A$843,0),"")</f>
        <v/>
      </c>
      <c r="G1835">
        <f>IF(F1835="",0,1)</f>
        <v/>
      </c>
      <c r="H1835" s="29">
        <f>IF(F1835="","",INDEX(Deals!$E$2:$E$843,F1835))</f>
        <v/>
      </c>
      <c r="I1835">
        <f>IF(F1835="","",INDEX(Deals!$D$2:$D$843,F1835))</f>
        <v/>
      </c>
      <c r="J1835">
        <f>IF(F1835="","",INT(H1835)-B1835)</f>
        <v/>
      </c>
      <c r="K1835">
        <f>IF(B1835&gt;=Settings!$C$5,1,0)</f>
        <v/>
      </c>
    </row>
    <row r="1836">
      <c r="A1836" t="inlineStr">
        <is>
          <t>5eac0347e226308d6c55e79d4d4e6eb0</t>
        </is>
      </c>
      <c r="B1836" s="29" t="n">
        <v>42949</v>
      </c>
      <c r="C1836" t="inlineStr">
        <is>
          <t>2017-08</t>
        </is>
      </c>
      <c r="D1836" t="inlineStr">
        <is>
          <t>b52be9379d67e7fbf3734111625cc017</t>
        </is>
      </c>
      <c r="E1836" t="inlineStr">
        <is>
          <t>unknown</t>
        </is>
      </c>
      <c r="F1836">
        <f>IFERROR(MATCH(A1836,Deals!$A$2:$A$843,0),"")</f>
        <v/>
      </c>
      <c r="G1836">
        <f>IF(F1836="",0,1)</f>
        <v/>
      </c>
      <c r="H1836" s="29">
        <f>IF(F1836="","",INDEX(Deals!$E$2:$E$843,F1836))</f>
        <v/>
      </c>
      <c r="I1836">
        <f>IF(F1836="","",INDEX(Deals!$D$2:$D$843,F1836))</f>
        <v/>
      </c>
      <c r="J1836">
        <f>IF(F1836="","",INT(H1836)-B1836)</f>
        <v/>
      </c>
      <c r="K1836">
        <f>IF(B1836&gt;=Settings!$C$5,1,0)</f>
        <v/>
      </c>
    </row>
    <row r="1837">
      <c r="A1837" t="inlineStr">
        <is>
          <t>2a202546a9f78b3320773a9f3c44ea4c</t>
        </is>
      </c>
      <c r="B1837" s="29" t="n">
        <v>43234</v>
      </c>
      <c r="C1837" t="inlineStr">
        <is>
          <t>2018-05</t>
        </is>
      </c>
      <c r="D1837" t="inlineStr">
        <is>
          <t>58326e62183c14b0c03085c33b9fdc44</t>
        </is>
      </c>
      <c r="E1837" t="inlineStr">
        <is>
          <t>social</t>
        </is>
      </c>
      <c r="F1837">
        <f>IFERROR(MATCH(A1837,Deals!$A$2:$A$843,0),"")</f>
        <v/>
      </c>
      <c r="G1837">
        <f>IF(F1837="",0,1)</f>
        <v/>
      </c>
      <c r="H1837" s="29">
        <f>IF(F1837="","",INDEX(Deals!$E$2:$E$843,F1837))</f>
        <v/>
      </c>
      <c r="I1837">
        <f>IF(F1837="","",INDEX(Deals!$D$2:$D$843,F1837))</f>
        <v/>
      </c>
      <c r="J1837">
        <f>IF(F1837="","",INT(H1837)-B1837)</f>
        <v/>
      </c>
      <c r="K1837">
        <f>IF(B1837&gt;=Settings!$C$5,1,0)</f>
        <v/>
      </c>
    </row>
    <row r="1838">
      <c r="A1838" t="inlineStr">
        <is>
          <t>086ebdaea8c25abaebdfdee0f14ff396</t>
        </is>
      </c>
      <c r="B1838" s="29" t="n">
        <v>43242</v>
      </c>
      <c r="C1838" t="inlineStr">
        <is>
          <t>2018-05</t>
        </is>
      </c>
      <c r="D1838" t="inlineStr">
        <is>
          <t>b76ef37428e6799c421989521c0e5077</t>
        </is>
      </c>
      <c r="E1838" t="inlineStr">
        <is>
          <t>unknown</t>
        </is>
      </c>
      <c r="F1838">
        <f>IFERROR(MATCH(A1838,Deals!$A$2:$A$843,0),"")</f>
        <v/>
      </c>
      <c r="G1838">
        <f>IF(F1838="",0,1)</f>
        <v/>
      </c>
      <c r="H1838" s="29">
        <f>IF(F1838="","",INDEX(Deals!$E$2:$E$843,F1838))</f>
        <v/>
      </c>
      <c r="I1838">
        <f>IF(F1838="","",INDEX(Deals!$D$2:$D$843,F1838))</f>
        <v/>
      </c>
      <c r="J1838">
        <f>IF(F1838="","",INT(H1838)-B1838)</f>
        <v/>
      </c>
      <c r="K1838">
        <f>IF(B1838&gt;=Settings!$C$5,1,0)</f>
        <v/>
      </c>
    </row>
    <row r="1839">
      <c r="A1839" t="inlineStr">
        <is>
          <t>0b76fdf0c77a7c5b8b15b0eeb68109b8</t>
        </is>
      </c>
      <c r="B1839" s="29" t="n">
        <v>43134</v>
      </c>
      <c r="C1839" t="inlineStr">
        <is>
          <t>2018-02</t>
        </is>
      </c>
      <c r="D1839" t="inlineStr">
        <is>
          <t>40dec9f3d5259a3d2dbcdab2114fae47</t>
        </is>
      </c>
      <c r="E1839" t="inlineStr">
        <is>
          <t>paid_search</t>
        </is>
      </c>
      <c r="F1839">
        <f>IFERROR(MATCH(A1839,Deals!$A$2:$A$843,0),"")</f>
        <v/>
      </c>
      <c r="G1839">
        <f>IF(F1839="",0,1)</f>
        <v/>
      </c>
      <c r="H1839" s="29">
        <f>IF(F1839="","",INDEX(Deals!$E$2:$E$843,F1839))</f>
        <v/>
      </c>
      <c r="I1839">
        <f>IF(F1839="","",INDEX(Deals!$D$2:$D$843,F1839))</f>
        <v/>
      </c>
      <c r="J1839">
        <f>IF(F1839="","",INT(H1839)-B1839)</f>
        <v/>
      </c>
      <c r="K1839">
        <f>IF(B1839&gt;=Settings!$C$5,1,0)</f>
        <v/>
      </c>
    </row>
    <row r="1840">
      <c r="A1840" t="inlineStr">
        <is>
          <t>aadd608980d2f5f7ee3942cc912eef00</t>
        </is>
      </c>
      <c r="B1840" s="29" t="n">
        <v>43251</v>
      </c>
      <c r="C1840" t="inlineStr">
        <is>
          <t>2018-05</t>
        </is>
      </c>
      <c r="D1840" t="inlineStr">
        <is>
          <t>a7982125ff7aa3b2054c6e44f9d28522</t>
        </is>
      </c>
      <c r="E1840" t="inlineStr">
        <is>
          <t>organic_search</t>
        </is>
      </c>
      <c r="F1840">
        <f>IFERROR(MATCH(A1840,Deals!$A$2:$A$843,0),"")</f>
        <v/>
      </c>
      <c r="G1840">
        <f>IF(F1840="",0,1)</f>
        <v/>
      </c>
      <c r="H1840" s="29">
        <f>IF(F1840="","",INDEX(Deals!$E$2:$E$843,F1840))</f>
        <v/>
      </c>
      <c r="I1840">
        <f>IF(F1840="","",INDEX(Deals!$D$2:$D$843,F1840))</f>
        <v/>
      </c>
      <c r="J1840">
        <f>IF(F1840="","",INT(H1840)-B1840)</f>
        <v/>
      </c>
      <c r="K1840">
        <f>IF(B1840&gt;=Settings!$C$5,1,0)</f>
        <v/>
      </c>
    </row>
    <row r="1841">
      <c r="A1841" t="inlineStr">
        <is>
          <t>33c54daf901630e4e088b9986156a597</t>
        </is>
      </c>
      <c r="B1841" s="29" t="n">
        <v>43154</v>
      </c>
      <c r="C1841" t="inlineStr">
        <is>
          <t>2018-02</t>
        </is>
      </c>
      <c r="D1841" t="inlineStr">
        <is>
          <t>a0fbc0263cb98bdb0d72b9f9f283a172</t>
        </is>
      </c>
      <c r="E1841" t="inlineStr">
        <is>
          <t>unknown</t>
        </is>
      </c>
      <c r="F1841">
        <f>IFERROR(MATCH(A1841,Deals!$A$2:$A$843,0),"")</f>
        <v/>
      </c>
      <c r="G1841">
        <f>IF(F1841="",0,1)</f>
        <v/>
      </c>
      <c r="H1841" s="29">
        <f>IF(F1841="","",INDEX(Deals!$E$2:$E$843,F1841))</f>
        <v/>
      </c>
      <c r="I1841">
        <f>IF(F1841="","",INDEX(Deals!$D$2:$D$843,F1841))</f>
        <v/>
      </c>
      <c r="J1841">
        <f>IF(F1841="","",INT(H1841)-B1841)</f>
        <v/>
      </c>
      <c r="K1841">
        <f>IF(B1841&gt;=Settings!$C$5,1,0)</f>
        <v/>
      </c>
    </row>
    <row r="1842">
      <c r="A1842" t="inlineStr">
        <is>
          <t>70b98d30e383df910ce3d693603404fb</t>
        </is>
      </c>
      <c r="B1842" s="29" t="n">
        <v>43187</v>
      </c>
      <c r="C1842" t="inlineStr">
        <is>
          <t>2018-03</t>
        </is>
      </c>
      <c r="D1842" t="inlineStr">
        <is>
          <t>241f79c7a8fe0270f4fb79fcbbcd17ad</t>
        </is>
      </c>
      <c r="E1842" t="inlineStr">
        <is>
          <t>paid_search</t>
        </is>
      </c>
      <c r="F1842">
        <f>IFERROR(MATCH(A1842,Deals!$A$2:$A$843,0),"")</f>
        <v/>
      </c>
      <c r="G1842">
        <f>IF(F1842="",0,1)</f>
        <v/>
      </c>
      <c r="H1842" s="29">
        <f>IF(F1842="","",INDEX(Deals!$E$2:$E$843,F1842))</f>
        <v/>
      </c>
      <c r="I1842">
        <f>IF(F1842="","",INDEX(Deals!$D$2:$D$843,F1842))</f>
        <v/>
      </c>
      <c r="J1842">
        <f>IF(F1842="","",INT(H1842)-B1842)</f>
        <v/>
      </c>
      <c r="K1842">
        <f>IF(B1842&gt;=Settings!$C$5,1,0)</f>
        <v/>
      </c>
    </row>
    <row r="1843">
      <c r="A1843" t="inlineStr">
        <is>
          <t>ca4ba3a66c9c7b3a0ba4529b66d00928</t>
        </is>
      </c>
      <c r="B1843" s="29" t="n">
        <v>42943</v>
      </c>
      <c r="C1843" t="inlineStr">
        <is>
          <t>2017-07</t>
        </is>
      </c>
      <c r="D1843" t="inlineStr">
        <is>
          <t>3cd2a8301d5395f21cdd3094c9eaa2f4</t>
        </is>
      </c>
      <c r="E1843" t="inlineStr">
        <is>
          <t>display</t>
        </is>
      </c>
      <c r="F1843">
        <f>IFERROR(MATCH(A1843,Deals!$A$2:$A$843,0),"")</f>
        <v/>
      </c>
      <c r="G1843">
        <f>IF(F1843="",0,1)</f>
        <v/>
      </c>
      <c r="H1843" s="29">
        <f>IF(F1843="","",INDEX(Deals!$E$2:$E$843,F1843))</f>
        <v/>
      </c>
      <c r="I1843">
        <f>IF(F1843="","",INDEX(Deals!$D$2:$D$843,F1843))</f>
        <v/>
      </c>
      <c r="J1843">
        <f>IF(F1843="","",INT(H1843)-B1843)</f>
        <v/>
      </c>
      <c r="K1843">
        <f>IF(B1843&gt;=Settings!$C$5,1,0)</f>
        <v/>
      </c>
    </row>
    <row r="1844">
      <c r="A1844" t="inlineStr">
        <is>
          <t>6c3b14f64524a7781460f4566bd754a0</t>
        </is>
      </c>
      <c r="B1844" s="29" t="n">
        <v>43179</v>
      </c>
      <c r="C1844" t="inlineStr">
        <is>
          <t>2018-03</t>
        </is>
      </c>
      <c r="D1844" t="inlineStr">
        <is>
          <t>30077c17f2ec5010a82e37ad8925b95f</t>
        </is>
      </c>
      <c r="E1844" t="inlineStr">
        <is>
          <t>direct_traffic</t>
        </is>
      </c>
      <c r="F1844">
        <f>IFERROR(MATCH(A1844,Deals!$A$2:$A$843,0),"")</f>
        <v/>
      </c>
      <c r="G1844">
        <f>IF(F1844="",0,1)</f>
        <v/>
      </c>
      <c r="H1844" s="29">
        <f>IF(F1844="","",INDEX(Deals!$E$2:$E$843,F1844))</f>
        <v/>
      </c>
      <c r="I1844">
        <f>IF(F1844="","",INDEX(Deals!$D$2:$D$843,F1844))</f>
        <v/>
      </c>
      <c r="J1844">
        <f>IF(F1844="","",INT(H1844)-B1844)</f>
        <v/>
      </c>
      <c r="K1844">
        <f>IF(B1844&gt;=Settings!$C$5,1,0)</f>
        <v/>
      </c>
    </row>
    <row r="1845">
      <c r="A1845" t="inlineStr">
        <is>
          <t>f2456637128949750284251766254fae</t>
        </is>
      </c>
      <c r="B1845" s="29" t="n">
        <v>43009</v>
      </c>
      <c r="C1845" t="inlineStr">
        <is>
          <t>2017-10</t>
        </is>
      </c>
      <c r="D1845" t="inlineStr">
        <is>
          <t>64078d75b35c1df83ebde92c7babe9d4</t>
        </is>
      </c>
      <c r="E1845" t="inlineStr">
        <is>
          <t>organic_search</t>
        </is>
      </c>
      <c r="F1845">
        <f>IFERROR(MATCH(A1845,Deals!$A$2:$A$843,0),"")</f>
        <v/>
      </c>
      <c r="G1845">
        <f>IF(F1845="",0,1)</f>
        <v/>
      </c>
      <c r="H1845" s="29">
        <f>IF(F1845="","",INDEX(Deals!$E$2:$E$843,F1845))</f>
        <v/>
      </c>
      <c r="I1845">
        <f>IF(F1845="","",INDEX(Deals!$D$2:$D$843,F1845))</f>
        <v/>
      </c>
      <c r="J1845">
        <f>IF(F1845="","",INT(H1845)-B1845)</f>
        <v/>
      </c>
      <c r="K1845">
        <f>IF(B1845&gt;=Settings!$C$5,1,0)</f>
        <v/>
      </c>
    </row>
    <row r="1846">
      <c r="A1846" t="inlineStr">
        <is>
          <t>1c495f16f70906bb6768dd8933f8ab5b</t>
        </is>
      </c>
      <c r="B1846" s="29" t="n">
        <v>43136</v>
      </c>
      <c r="C1846" t="inlineStr">
        <is>
          <t>2018-02</t>
        </is>
      </c>
      <c r="D1846" t="inlineStr">
        <is>
          <t>21a104c3279681d9856b8a48723c4fee</t>
        </is>
      </c>
      <c r="E1846" t="inlineStr">
        <is>
          <t>referral</t>
        </is>
      </c>
      <c r="F1846">
        <f>IFERROR(MATCH(A1846,Deals!$A$2:$A$843,0),"")</f>
        <v/>
      </c>
      <c r="G1846">
        <f>IF(F1846="",0,1)</f>
        <v/>
      </c>
      <c r="H1846" s="29">
        <f>IF(F1846="","",INDEX(Deals!$E$2:$E$843,F1846))</f>
        <v/>
      </c>
      <c r="I1846">
        <f>IF(F1846="","",INDEX(Deals!$D$2:$D$843,F1846))</f>
        <v/>
      </c>
      <c r="J1846">
        <f>IF(F1846="","",INT(H1846)-B1846)</f>
        <v/>
      </c>
      <c r="K1846">
        <f>IF(B1846&gt;=Settings!$C$5,1,0)</f>
        <v/>
      </c>
    </row>
    <row r="1847">
      <c r="A1847" t="inlineStr">
        <is>
          <t>14a2750f09d061e1744e376eeaae4608</t>
        </is>
      </c>
      <c r="B1847" s="29" t="n">
        <v>43156</v>
      </c>
      <c r="C1847" t="inlineStr">
        <is>
          <t>2018-02</t>
        </is>
      </c>
      <c r="D1847" t="inlineStr">
        <is>
          <t>2228a43ac0bc372e25f9569e69fc9015</t>
        </is>
      </c>
      <c r="E1847" t="inlineStr">
        <is>
          <t>social</t>
        </is>
      </c>
      <c r="F1847">
        <f>IFERROR(MATCH(A1847,Deals!$A$2:$A$843,0),"")</f>
        <v/>
      </c>
      <c r="G1847">
        <f>IF(F1847="",0,1)</f>
        <v/>
      </c>
      <c r="H1847" s="29">
        <f>IF(F1847="","",INDEX(Deals!$E$2:$E$843,F1847))</f>
        <v/>
      </c>
      <c r="I1847">
        <f>IF(F1847="","",INDEX(Deals!$D$2:$D$843,F1847))</f>
        <v/>
      </c>
      <c r="J1847">
        <f>IF(F1847="","",INT(H1847)-B1847)</f>
        <v/>
      </c>
      <c r="K1847">
        <f>IF(B1847&gt;=Settings!$C$5,1,0)</f>
        <v/>
      </c>
    </row>
    <row r="1848">
      <c r="A1848" t="inlineStr">
        <is>
          <t>d88a45e680327e0b22a34020d8f78252</t>
        </is>
      </c>
      <c r="B1848" s="29" t="n">
        <v>43237</v>
      </c>
      <c r="C1848" t="inlineStr">
        <is>
          <t>2018-05</t>
        </is>
      </c>
      <c r="D1848" t="inlineStr">
        <is>
          <t>b76ef37428e6799c421989521c0e5077</t>
        </is>
      </c>
      <c r="E1848" t="inlineStr">
        <is>
          <t>unknown</t>
        </is>
      </c>
      <c r="F1848">
        <f>IFERROR(MATCH(A1848,Deals!$A$2:$A$843,0),"")</f>
        <v/>
      </c>
      <c r="G1848">
        <f>IF(F1848="",0,1)</f>
        <v/>
      </c>
      <c r="H1848" s="29">
        <f>IF(F1848="","",INDEX(Deals!$E$2:$E$843,F1848))</f>
        <v/>
      </c>
      <c r="I1848">
        <f>IF(F1848="","",INDEX(Deals!$D$2:$D$843,F1848))</f>
        <v/>
      </c>
      <c r="J1848">
        <f>IF(F1848="","",INT(H1848)-B1848)</f>
        <v/>
      </c>
      <c r="K1848">
        <f>IF(B1848&gt;=Settings!$C$5,1,0)</f>
        <v/>
      </c>
    </row>
    <row r="1849">
      <c r="A1849" t="inlineStr">
        <is>
          <t>0dc37dbfb671e83342895a9ffc8fed89</t>
        </is>
      </c>
      <c r="B1849" s="29" t="n">
        <v>43122</v>
      </c>
      <c r="C1849" t="inlineStr">
        <is>
          <t>2018-01</t>
        </is>
      </c>
      <c r="D1849" t="inlineStr">
        <is>
          <t>ce1a65abd0973638f1c887a6efcfa82d</t>
        </is>
      </c>
      <c r="E1849" t="inlineStr">
        <is>
          <t>organic_search</t>
        </is>
      </c>
      <c r="F1849">
        <f>IFERROR(MATCH(A1849,Deals!$A$2:$A$843,0),"")</f>
        <v/>
      </c>
      <c r="G1849">
        <f>IF(F1849="",0,1)</f>
        <v/>
      </c>
      <c r="H1849" s="29">
        <f>IF(F1849="","",INDEX(Deals!$E$2:$E$843,F1849))</f>
        <v/>
      </c>
      <c r="I1849">
        <f>IF(F1849="","",INDEX(Deals!$D$2:$D$843,F1849))</f>
        <v/>
      </c>
      <c r="J1849">
        <f>IF(F1849="","",INT(H1849)-B1849)</f>
        <v/>
      </c>
      <c r="K1849">
        <f>IF(B1849&gt;=Settings!$C$5,1,0)</f>
        <v/>
      </c>
    </row>
    <row r="1850">
      <c r="A1850" t="inlineStr">
        <is>
          <t>f739ffec9c4d7bfab01e567918c29f03</t>
        </is>
      </c>
      <c r="B1850" s="29" t="n">
        <v>43180</v>
      </c>
      <c r="C1850" t="inlineStr">
        <is>
          <t>2018-03</t>
        </is>
      </c>
      <c r="D1850" t="inlineStr">
        <is>
          <t>b76ef37428e6799c421989521c0e5077</t>
        </is>
      </c>
      <c r="E1850" t="inlineStr">
        <is>
          <t>unknown</t>
        </is>
      </c>
      <c r="F1850">
        <f>IFERROR(MATCH(A1850,Deals!$A$2:$A$843,0),"")</f>
        <v/>
      </c>
      <c r="G1850">
        <f>IF(F1850="",0,1)</f>
        <v/>
      </c>
      <c r="H1850" s="29">
        <f>IF(F1850="","",INDEX(Deals!$E$2:$E$843,F1850))</f>
        <v/>
      </c>
      <c r="I1850">
        <f>IF(F1850="","",INDEX(Deals!$D$2:$D$843,F1850))</f>
        <v/>
      </c>
      <c r="J1850">
        <f>IF(F1850="","",INT(H1850)-B1850)</f>
        <v/>
      </c>
      <c r="K1850">
        <f>IF(B1850&gt;=Settings!$C$5,1,0)</f>
        <v/>
      </c>
    </row>
    <row r="1851">
      <c r="A1851" t="inlineStr">
        <is>
          <t>c6f272198f6f6dd8aa7d0522dbbf789c</t>
        </is>
      </c>
      <c r="B1851" s="29" t="n">
        <v>43177</v>
      </c>
      <c r="C1851" t="inlineStr">
        <is>
          <t>2018-03</t>
        </is>
      </c>
      <c r="D1851" t="inlineStr">
        <is>
          <t>22c29808c4f815213303f8933030604c</t>
        </is>
      </c>
      <c r="E1851" t="inlineStr">
        <is>
          <t>organic_search</t>
        </is>
      </c>
      <c r="F1851">
        <f>IFERROR(MATCH(A1851,Deals!$A$2:$A$843,0),"")</f>
        <v/>
      </c>
      <c r="G1851">
        <f>IF(F1851="",0,1)</f>
        <v/>
      </c>
      <c r="H1851" s="29">
        <f>IF(F1851="","",INDEX(Deals!$E$2:$E$843,F1851))</f>
        <v/>
      </c>
      <c r="I1851">
        <f>IF(F1851="","",INDEX(Deals!$D$2:$D$843,F1851))</f>
        <v/>
      </c>
      <c r="J1851">
        <f>IF(F1851="","",INT(H1851)-B1851)</f>
        <v/>
      </c>
      <c r="K1851">
        <f>IF(B1851&gt;=Settings!$C$5,1,0)</f>
        <v/>
      </c>
    </row>
    <row r="1852">
      <c r="A1852" t="inlineStr">
        <is>
          <t>e52e11bcaceb09318392c684df299da3</t>
        </is>
      </c>
      <c r="B1852" s="29" t="n">
        <v>43194</v>
      </c>
      <c r="C1852" t="inlineStr">
        <is>
          <t>2018-04</t>
        </is>
      </c>
      <c r="D1852" t="inlineStr">
        <is>
          <t>1ceb590cd1e00c7ee95220971f82693d</t>
        </is>
      </c>
      <c r="E1852" t="inlineStr">
        <is>
          <t>paid_search</t>
        </is>
      </c>
      <c r="F1852">
        <f>IFERROR(MATCH(A1852,Deals!$A$2:$A$843,0),"")</f>
        <v/>
      </c>
      <c r="G1852">
        <f>IF(F1852="",0,1)</f>
        <v/>
      </c>
      <c r="H1852" s="29">
        <f>IF(F1852="","",INDEX(Deals!$E$2:$E$843,F1852))</f>
        <v/>
      </c>
      <c r="I1852">
        <f>IF(F1852="","",INDEX(Deals!$D$2:$D$843,F1852))</f>
        <v/>
      </c>
      <c r="J1852">
        <f>IF(F1852="","",INT(H1852)-B1852)</f>
        <v/>
      </c>
      <c r="K1852">
        <f>IF(B1852&gt;=Settings!$C$5,1,0)</f>
        <v/>
      </c>
    </row>
    <row r="1853">
      <c r="A1853" t="inlineStr">
        <is>
          <t>e25d3441c7affc18664a5064c36c96ba</t>
        </is>
      </c>
      <c r="B1853" s="29" t="n">
        <v>43144</v>
      </c>
      <c r="C1853" t="inlineStr">
        <is>
          <t>2018-02</t>
        </is>
      </c>
      <c r="D1853" t="inlineStr">
        <is>
          <t>b76ef37428e6799c421989521c0e5077</t>
        </is>
      </c>
      <c r="E1853" t="inlineStr">
        <is>
          <t>paid_search</t>
        </is>
      </c>
      <c r="F1853">
        <f>IFERROR(MATCH(A1853,Deals!$A$2:$A$843,0),"")</f>
        <v/>
      </c>
      <c r="G1853">
        <f>IF(F1853="",0,1)</f>
        <v/>
      </c>
      <c r="H1853" s="29">
        <f>IF(F1853="","",INDEX(Deals!$E$2:$E$843,F1853))</f>
        <v/>
      </c>
      <c r="I1853">
        <f>IF(F1853="","",INDEX(Deals!$D$2:$D$843,F1853))</f>
        <v/>
      </c>
      <c r="J1853">
        <f>IF(F1853="","",INT(H1853)-B1853)</f>
        <v/>
      </c>
      <c r="K1853">
        <f>IF(B1853&gt;=Settings!$C$5,1,0)</f>
        <v/>
      </c>
    </row>
    <row r="1854">
      <c r="A1854" t="inlineStr">
        <is>
          <t>c54132b423e84e231137b096533d9c50</t>
        </is>
      </c>
      <c r="B1854" s="29" t="n">
        <v>43229</v>
      </c>
      <c r="C1854" t="inlineStr">
        <is>
          <t>2018-05</t>
        </is>
      </c>
      <c r="D1854" t="inlineStr">
        <is>
          <t>7fa6590e1b6cc9f17eb5cfdcfad63d50</t>
        </is>
      </c>
      <c r="E1854" t="inlineStr">
        <is>
          <t>email</t>
        </is>
      </c>
      <c r="F1854">
        <f>IFERROR(MATCH(A1854,Deals!$A$2:$A$843,0),"")</f>
        <v/>
      </c>
      <c r="G1854">
        <f>IF(F1854="",0,1)</f>
        <v/>
      </c>
      <c r="H1854" s="29">
        <f>IF(F1854="","",INDEX(Deals!$E$2:$E$843,F1854))</f>
        <v/>
      </c>
      <c r="I1854">
        <f>IF(F1854="","",INDEX(Deals!$D$2:$D$843,F1854))</f>
        <v/>
      </c>
      <c r="J1854">
        <f>IF(F1854="","",INT(H1854)-B1854)</f>
        <v/>
      </c>
      <c r="K1854">
        <f>IF(B1854&gt;=Settings!$C$5,1,0)</f>
        <v/>
      </c>
    </row>
    <row r="1855">
      <c r="A1855" t="inlineStr">
        <is>
          <t>63fe372a44401791d215daa2eedb8b7c</t>
        </is>
      </c>
      <c r="B1855" s="29" t="n">
        <v>42978</v>
      </c>
      <c r="C1855" t="inlineStr">
        <is>
          <t>2017-08</t>
        </is>
      </c>
      <c r="D1855" t="inlineStr">
        <is>
          <t>f017be4dbf86243af5c1ebed0cff36a2</t>
        </is>
      </c>
      <c r="E1855" t="inlineStr">
        <is>
          <t>organic_search</t>
        </is>
      </c>
      <c r="F1855">
        <f>IFERROR(MATCH(A1855,Deals!$A$2:$A$843,0),"")</f>
        <v/>
      </c>
      <c r="G1855">
        <f>IF(F1855="",0,1)</f>
        <v/>
      </c>
      <c r="H1855" s="29">
        <f>IF(F1855="","",INDEX(Deals!$E$2:$E$843,F1855))</f>
        <v/>
      </c>
      <c r="I1855">
        <f>IF(F1855="","",INDEX(Deals!$D$2:$D$843,F1855))</f>
        <v/>
      </c>
      <c r="J1855">
        <f>IF(F1855="","",INT(H1855)-B1855)</f>
        <v/>
      </c>
      <c r="K1855">
        <f>IF(B1855&gt;=Settings!$C$5,1,0)</f>
        <v/>
      </c>
    </row>
    <row r="1856">
      <c r="A1856" t="inlineStr">
        <is>
          <t>3a0c652a9bb4387df21060f16048ce11</t>
        </is>
      </c>
      <c r="B1856" s="29" t="n">
        <v>43066</v>
      </c>
      <c r="C1856" t="inlineStr">
        <is>
          <t>2017-11</t>
        </is>
      </c>
      <c r="D1856" t="inlineStr">
        <is>
          <t>40dec9f3d5259a3d2dbcdab2114fae47</t>
        </is>
      </c>
      <c r="E1856" t="inlineStr">
        <is>
          <t>direct_traffic</t>
        </is>
      </c>
      <c r="F1856">
        <f>IFERROR(MATCH(A1856,Deals!$A$2:$A$843,0),"")</f>
        <v/>
      </c>
      <c r="G1856">
        <f>IF(F1856="",0,1)</f>
        <v/>
      </c>
      <c r="H1856" s="29">
        <f>IF(F1856="","",INDEX(Deals!$E$2:$E$843,F1856))</f>
        <v/>
      </c>
      <c r="I1856">
        <f>IF(F1856="","",INDEX(Deals!$D$2:$D$843,F1856))</f>
        <v/>
      </c>
      <c r="J1856">
        <f>IF(F1856="","",INT(H1856)-B1856)</f>
        <v/>
      </c>
      <c r="K1856">
        <f>IF(B1856&gt;=Settings!$C$5,1,0)</f>
        <v/>
      </c>
    </row>
    <row r="1857">
      <c r="A1857" t="inlineStr">
        <is>
          <t>0512c4a5f1576437ff9bcbc23b1db356</t>
        </is>
      </c>
      <c r="B1857" s="29" t="n">
        <v>43245</v>
      </c>
      <c r="C1857" t="inlineStr">
        <is>
          <t>2018-05</t>
        </is>
      </c>
      <c r="D1857" t="inlineStr">
        <is>
          <t>ce1a65abd0973638f1c887a6efcfa82d</t>
        </is>
      </c>
      <c r="E1857" t="inlineStr">
        <is>
          <t>organic_search</t>
        </is>
      </c>
      <c r="F1857">
        <f>IFERROR(MATCH(A1857,Deals!$A$2:$A$843,0),"")</f>
        <v/>
      </c>
      <c r="G1857">
        <f>IF(F1857="",0,1)</f>
        <v/>
      </c>
      <c r="H1857" s="29">
        <f>IF(F1857="","",INDEX(Deals!$E$2:$E$843,F1857))</f>
        <v/>
      </c>
      <c r="I1857">
        <f>IF(F1857="","",INDEX(Deals!$D$2:$D$843,F1857))</f>
        <v/>
      </c>
      <c r="J1857">
        <f>IF(F1857="","",INT(H1857)-B1857)</f>
        <v/>
      </c>
      <c r="K1857">
        <f>IF(B1857&gt;=Settings!$C$5,1,0)</f>
        <v/>
      </c>
    </row>
    <row r="1858">
      <c r="A1858" t="inlineStr">
        <is>
          <t>13aa1df0f906a7db328f56a81aed2417</t>
        </is>
      </c>
      <c r="B1858" s="29" t="n">
        <v>43201</v>
      </c>
      <c r="C1858" t="inlineStr">
        <is>
          <t>2018-04</t>
        </is>
      </c>
      <c r="D1858" t="inlineStr">
        <is>
          <t>58326e62183c14b0c03085c33b9fdc44</t>
        </is>
      </c>
      <c r="E1858" t="inlineStr">
        <is>
          <t>social</t>
        </is>
      </c>
      <c r="F1858">
        <f>IFERROR(MATCH(A1858,Deals!$A$2:$A$843,0),"")</f>
        <v/>
      </c>
      <c r="G1858">
        <f>IF(F1858="",0,1)</f>
        <v/>
      </c>
      <c r="H1858" s="29">
        <f>IF(F1858="","",INDEX(Deals!$E$2:$E$843,F1858))</f>
        <v/>
      </c>
      <c r="I1858">
        <f>IF(F1858="","",INDEX(Deals!$D$2:$D$843,F1858))</f>
        <v/>
      </c>
      <c r="J1858">
        <f>IF(F1858="","",INT(H1858)-B1858)</f>
        <v/>
      </c>
      <c r="K1858">
        <f>IF(B1858&gt;=Settings!$C$5,1,0)</f>
        <v/>
      </c>
    </row>
    <row r="1859">
      <c r="A1859" t="inlineStr">
        <is>
          <t>c652ffbba1b471f8c3da23f9b3c387ce</t>
        </is>
      </c>
      <c r="B1859" s="29" t="n">
        <v>43200</v>
      </c>
      <c r="C1859" t="inlineStr">
        <is>
          <t>2018-04</t>
        </is>
      </c>
      <c r="D1859" t="inlineStr">
        <is>
          <t>0b37d43dbde6452cdd94c17bf61a88e4</t>
        </is>
      </c>
      <c r="E1859" t="inlineStr">
        <is>
          <t>email</t>
        </is>
      </c>
      <c r="F1859">
        <f>IFERROR(MATCH(A1859,Deals!$A$2:$A$843,0),"")</f>
        <v/>
      </c>
      <c r="G1859">
        <f>IF(F1859="",0,1)</f>
        <v/>
      </c>
      <c r="H1859" s="29">
        <f>IF(F1859="","",INDEX(Deals!$E$2:$E$843,F1859))</f>
        <v/>
      </c>
      <c r="I1859">
        <f>IF(F1859="","",INDEX(Deals!$D$2:$D$843,F1859))</f>
        <v/>
      </c>
      <c r="J1859">
        <f>IF(F1859="","",INT(H1859)-B1859)</f>
        <v/>
      </c>
      <c r="K1859">
        <f>IF(B1859&gt;=Settings!$C$5,1,0)</f>
        <v/>
      </c>
    </row>
    <row r="1860">
      <c r="A1860" t="inlineStr">
        <is>
          <t>b147bd07b59bf6b845e2e4238bc73dbb</t>
        </is>
      </c>
      <c r="B1860" s="29" t="n">
        <v>43156</v>
      </c>
      <c r="C1860" t="inlineStr">
        <is>
          <t>2018-02</t>
        </is>
      </c>
      <c r="D1860" t="inlineStr">
        <is>
          <t>22c29808c4f815213303f8933030604c</t>
        </is>
      </c>
      <c r="E1860" t="inlineStr">
        <is>
          <t>paid_search</t>
        </is>
      </c>
      <c r="F1860">
        <f>IFERROR(MATCH(A1860,Deals!$A$2:$A$843,0),"")</f>
        <v/>
      </c>
      <c r="G1860">
        <f>IF(F1860="",0,1)</f>
        <v/>
      </c>
      <c r="H1860" s="29">
        <f>IF(F1860="","",INDEX(Deals!$E$2:$E$843,F1860))</f>
        <v/>
      </c>
      <c r="I1860">
        <f>IF(F1860="","",INDEX(Deals!$D$2:$D$843,F1860))</f>
        <v/>
      </c>
      <c r="J1860">
        <f>IF(F1860="","",INT(H1860)-B1860)</f>
        <v/>
      </c>
      <c r="K1860">
        <f>IF(B1860&gt;=Settings!$C$5,1,0)</f>
        <v/>
      </c>
    </row>
    <row r="1861">
      <c r="A1861" t="inlineStr">
        <is>
          <t>d52999d6422d80b186ce620e746627bc</t>
        </is>
      </c>
      <c r="B1861" s="29" t="n">
        <v>43244</v>
      </c>
      <c r="C1861" t="inlineStr">
        <is>
          <t>2018-05</t>
        </is>
      </c>
      <c r="D1861" t="inlineStr">
        <is>
          <t>fb58285f6f6c4e504dfa628de116cae8</t>
        </is>
      </c>
      <c r="E1861" t="inlineStr">
        <is>
          <t>email</t>
        </is>
      </c>
      <c r="F1861">
        <f>IFERROR(MATCH(A1861,Deals!$A$2:$A$843,0),"")</f>
        <v/>
      </c>
      <c r="G1861">
        <f>IF(F1861="",0,1)</f>
        <v/>
      </c>
      <c r="H1861" s="29">
        <f>IF(F1861="","",INDEX(Deals!$E$2:$E$843,F1861))</f>
        <v/>
      </c>
      <c r="I1861">
        <f>IF(F1861="","",INDEX(Deals!$D$2:$D$843,F1861))</f>
        <v/>
      </c>
      <c r="J1861">
        <f>IF(F1861="","",INT(H1861)-B1861)</f>
        <v/>
      </c>
      <c r="K1861">
        <f>IF(B1861&gt;=Settings!$C$5,1,0)</f>
        <v/>
      </c>
    </row>
    <row r="1862">
      <c r="A1862" t="inlineStr">
        <is>
          <t>afe0cc0beb2b9f988e0c0682bce4c01b</t>
        </is>
      </c>
      <c r="B1862" s="29" t="n">
        <v>43027</v>
      </c>
      <c r="C1862" t="inlineStr">
        <is>
          <t>2017-10</t>
        </is>
      </c>
      <c r="D1862" t="inlineStr">
        <is>
          <t>f98c2bd96ac4a5d9476734e790c91384</t>
        </is>
      </c>
      <c r="E1862" t="inlineStr">
        <is>
          <t>paid_search</t>
        </is>
      </c>
      <c r="F1862">
        <f>IFERROR(MATCH(A1862,Deals!$A$2:$A$843,0),"")</f>
        <v/>
      </c>
      <c r="G1862">
        <f>IF(F1862="",0,1)</f>
        <v/>
      </c>
      <c r="H1862" s="29">
        <f>IF(F1862="","",INDEX(Deals!$E$2:$E$843,F1862))</f>
        <v/>
      </c>
      <c r="I1862">
        <f>IF(F1862="","",INDEX(Deals!$D$2:$D$843,F1862))</f>
        <v/>
      </c>
      <c r="J1862">
        <f>IF(F1862="","",INT(H1862)-B1862)</f>
        <v/>
      </c>
      <c r="K1862">
        <f>IF(B1862&gt;=Settings!$C$5,1,0)</f>
        <v/>
      </c>
    </row>
    <row r="1863">
      <c r="A1863" t="inlineStr">
        <is>
          <t>ba1d4b5bbcb4556b5afab63e3f2b3e6d</t>
        </is>
      </c>
      <c r="B1863" s="29" t="n">
        <v>43150</v>
      </c>
      <c r="C1863" t="inlineStr">
        <is>
          <t>2018-02</t>
        </is>
      </c>
      <c r="D1863" t="inlineStr">
        <is>
          <t>88740e65d5d6b056e0cda098e1ea6313</t>
        </is>
      </c>
      <c r="E1863" t="inlineStr">
        <is>
          <t>social</t>
        </is>
      </c>
      <c r="F1863">
        <f>IFERROR(MATCH(A1863,Deals!$A$2:$A$843,0),"")</f>
        <v/>
      </c>
      <c r="G1863">
        <f>IF(F1863="",0,1)</f>
        <v/>
      </c>
      <c r="H1863" s="29">
        <f>IF(F1863="","",INDEX(Deals!$E$2:$E$843,F1863))</f>
        <v/>
      </c>
      <c r="I1863">
        <f>IF(F1863="","",INDEX(Deals!$D$2:$D$843,F1863))</f>
        <v/>
      </c>
      <c r="J1863">
        <f>IF(F1863="","",INT(H1863)-B1863)</f>
        <v/>
      </c>
      <c r="K1863">
        <f>IF(B1863&gt;=Settings!$C$5,1,0)</f>
        <v/>
      </c>
    </row>
    <row r="1864">
      <c r="A1864" t="inlineStr">
        <is>
          <t>e940b96a746bb2917d9d8a48227456e2</t>
        </is>
      </c>
      <c r="B1864" s="29" t="n">
        <v>43204</v>
      </c>
      <c r="C1864" t="inlineStr">
        <is>
          <t>2018-04</t>
        </is>
      </c>
      <c r="D1864" t="inlineStr">
        <is>
          <t>58326e62183c14b0c03085c33b9fdc44</t>
        </is>
      </c>
      <c r="E1864" t="inlineStr">
        <is>
          <t>social</t>
        </is>
      </c>
      <c r="F1864">
        <f>IFERROR(MATCH(A1864,Deals!$A$2:$A$843,0),"")</f>
        <v/>
      </c>
      <c r="G1864">
        <f>IF(F1864="",0,1)</f>
        <v/>
      </c>
      <c r="H1864" s="29">
        <f>IF(F1864="","",INDEX(Deals!$E$2:$E$843,F1864))</f>
        <v/>
      </c>
      <c r="I1864">
        <f>IF(F1864="","",INDEX(Deals!$D$2:$D$843,F1864))</f>
        <v/>
      </c>
      <c r="J1864">
        <f>IF(F1864="","",INT(H1864)-B1864)</f>
        <v/>
      </c>
      <c r="K1864">
        <f>IF(B1864&gt;=Settings!$C$5,1,0)</f>
        <v/>
      </c>
    </row>
    <row r="1865">
      <c r="A1865" t="inlineStr">
        <is>
          <t>2a105749194b245dc8fed18134ced7a6</t>
        </is>
      </c>
      <c r="B1865" s="29" t="n">
        <v>42999</v>
      </c>
      <c r="C1865" t="inlineStr">
        <is>
          <t>2017-09</t>
        </is>
      </c>
      <c r="D1865" t="inlineStr">
        <is>
          <t>87732658ba41d8775e8577df347a64db</t>
        </is>
      </c>
      <c r="E1865" t="inlineStr">
        <is>
          <t>social</t>
        </is>
      </c>
      <c r="F1865">
        <f>IFERROR(MATCH(A1865,Deals!$A$2:$A$843,0),"")</f>
        <v/>
      </c>
      <c r="G1865">
        <f>IF(F1865="",0,1)</f>
        <v/>
      </c>
      <c r="H1865" s="29">
        <f>IF(F1865="","",INDEX(Deals!$E$2:$E$843,F1865))</f>
        <v/>
      </c>
      <c r="I1865">
        <f>IF(F1865="","",INDEX(Deals!$D$2:$D$843,F1865))</f>
        <v/>
      </c>
      <c r="J1865">
        <f>IF(F1865="","",INT(H1865)-B1865)</f>
        <v/>
      </c>
      <c r="K1865">
        <f>IF(B1865&gt;=Settings!$C$5,1,0)</f>
        <v/>
      </c>
    </row>
    <row r="1866">
      <c r="A1866" t="inlineStr">
        <is>
          <t>193c41415729c936d40a3a927872bef3</t>
        </is>
      </c>
      <c r="B1866" s="29" t="n">
        <v>43143</v>
      </c>
      <c r="C1866" t="inlineStr">
        <is>
          <t>2018-02</t>
        </is>
      </c>
      <c r="D1866" t="inlineStr">
        <is>
          <t>fbc24da54d531c6204ae2d17b1090bb1</t>
        </is>
      </c>
      <c r="E1866" t="inlineStr">
        <is>
          <t>paid_search</t>
        </is>
      </c>
      <c r="F1866">
        <f>IFERROR(MATCH(A1866,Deals!$A$2:$A$843,0),"")</f>
        <v/>
      </c>
      <c r="G1866">
        <f>IF(F1866="",0,1)</f>
        <v/>
      </c>
      <c r="H1866" s="29">
        <f>IF(F1866="","",INDEX(Deals!$E$2:$E$843,F1866))</f>
        <v/>
      </c>
      <c r="I1866">
        <f>IF(F1866="","",INDEX(Deals!$D$2:$D$843,F1866))</f>
        <v/>
      </c>
      <c r="J1866">
        <f>IF(F1866="","",INT(H1866)-B1866)</f>
        <v/>
      </c>
      <c r="K1866">
        <f>IF(B1866&gt;=Settings!$C$5,1,0)</f>
        <v/>
      </c>
    </row>
    <row r="1867">
      <c r="A1867" t="inlineStr">
        <is>
          <t>bd2f2b08aff741bddecbc867523e04d1</t>
        </is>
      </c>
      <c r="B1867" s="29" t="n">
        <v>43158</v>
      </c>
      <c r="C1867" t="inlineStr">
        <is>
          <t>2018-02</t>
        </is>
      </c>
      <c r="D1867" t="inlineStr">
        <is>
          <t>40dec9f3d5259a3d2dbcdab2114fae47</t>
        </is>
      </c>
      <c r="E1867" t="inlineStr">
        <is>
          <t>paid_search</t>
        </is>
      </c>
      <c r="F1867">
        <f>IFERROR(MATCH(A1867,Deals!$A$2:$A$843,0),"")</f>
        <v/>
      </c>
      <c r="G1867">
        <f>IF(F1867="",0,1)</f>
        <v/>
      </c>
      <c r="H1867" s="29">
        <f>IF(F1867="","",INDEX(Deals!$E$2:$E$843,F1867))</f>
        <v/>
      </c>
      <c r="I1867">
        <f>IF(F1867="","",INDEX(Deals!$D$2:$D$843,F1867))</f>
        <v/>
      </c>
      <c r="J1867">
        <f>IF(F1867="","",INT(H1867)-B1867)</f>
        <v/>
      </c>
      <c r="K1867">
        <f>IF(B1867&gt;=Settings!$C$5,1,0)</f>
        <v/>
      </c>
    </row>
    <row r="1868">
      <c r="A1868" t="inlineStr">
        <is>
          <t>80a9eda15c03d95e7ef34aa6c648fbc5</t>
        </is>
      </c>
      <c r="B1868" s="29" t="n">
        <v>43174</v>
      </c>
      <c r="C1868" t="inlineStr">
        <is>
          <t>2018-03</t>
        </is>
      </c>
      <c r="D1868" t="inlineStr">
        <is>
          <t>36120633c8737035fbabf079082f4ec1</t>
        </is>
      </c>
      <c r="E1868" t="inlineStr">
        <is>
          <t>paid_search</t>
        </is>
      </c>
      <c r="F1868">
        <f>IFERROR(MATCH(A1868,Deals!$A$2:$A$843,0),"")</f>
        <v/>
      </c>
      <c r="G1868">
        <f>IF(F1868="",0,1)</f>
        <v/>
      </c>
      <c r="H1868" s="29">
        <f>IF(F1868="","",INDEX(Deals!$E$2:$E$843,F1868))</f>
        <v/>
      </c>
      <c r="I1868">
        <f>IF(F1868="","",INDEX(Deals!$D$2:$D$843,F1868))</f>
        <v/>
      </c>
      <c r="J1868">
        <f>IF(F1868="","",INT(H1868)-B1868)</f>
        <v/>
      </c>
      <c r="K1868">
        <f>IF(B1868&gt;=Settings!$C$5,1,0)</f>
        <v/>
      </c>
    </row>
    <row r="1869">
      <c r="A1869" t="inlineStr">
        <is>
          <t>627fb92e3ebba0b88ce4a16d38f53e37</t>
        </is>
      </c>
      <c r="B1869" s="29" t="n">
        <v>42933</v>
      </c>
      <c r="C1869" t="inlineStr">
        <is>
          <t>2017-07</t>
        </is>
      </c>
      <c r="D1869" t="inlineStr">
        <is>
          <t>aab63be06a8939d2a0aefdc8d8c2fdf0</t>
        </is>
      </c>
      <c r="E1869" t="inlineStr">
        <is>
          <t>organic_search</t>
        </is>
      </c>
      <c r="F1869">
        <f>IFERROR(MATCH(A1869,Deals!$A$2:$A$843,0),"")</f>
        <v/>
      </c>
      <c r="G1869">
        <f>IF(F1869="",0,1)</f>
        <v/>
      </c>
      <c r="H1869" s="29">
        <f>IF(F1869="","",INDEX(Deals!$E$2:$E$843,F1869))</f>
        <v/>
      </c>
      <c r="I1869">
        <f>IF(F1869="","",INDEX(Deals!$D$2:$D$843,F1869))</f>
        <v/>
      </c>
      <c r="J1869">
        <f>IF(F1869="","",INT(H1869)-B1869)</f>
        <v/>
      </c>
      <c r="K1869">
        <f>IF(B1869&gt;=Settings!$C$5,1,0)</f>
        <v/>
      </c>
    </row>
    <row r="1870">
      <c r="A1870" t="inlineStr">
        <is>
          <t>10620b7827f8e24f764b930240fa5c96</t>
        </is>
      </c>
      <c r="B1870" s="29" t="n">
        <v>42951</v>
      </c>
      <c r="C1870" t="inlineStr">
        <is>
          <t>2017-08</t>
        </is>
      </c>
      <c r="D1870" t="inlineStr">
        <is>
          <t>d7549bc9744c53d31a4a1abc7fb7b5ee</t>
        </is>
      </c>
      <c r="E1870" t="inlineStr">
        <is>
          <t>email</t>
        </is>
      </c>
      <c r="F1870">
        <f>IFERROR(MATCH(A1870,Deals!$A$2:$A$843,0),"")</f>
        <v/>
      </c>
      <c r="G1870">
        <f>IF(F1870="",0,1)</f>
        <v/>
      </c>
      <c r="H1870" s="29">
        <f>IF(F1870="","",INDEX(Deals!$E$2:$E$843,F1870))</f>
        <v/>
      </c>
      <c r="I1870">
        <f>IF(F1870="","",INDEX(Deals!$D$2:$D$843,F1870))</f>
        <v/>
      </c>
      <c r="J1870">
        <f>IF(F1870="","",INT(H1870)-B1870)</f>
        <v/>
      </c>
      <c r="K1870">
        <f>IF(B1870&gt;=Settings!$C$5,1,0)</f>
        <v/>
      </c>
    </row>
    <row r="1871">
      <c r="A1871" t="inlineStr">
        <is>
          <t>97a57f2e25bb119e1a93d49477095f07</t>
        </is>
      </c>
      <c r="B1871" s="29" t="n">
        <v>43228</v>
      </c>
      <c r="C1871" t="inlineStr">
        <is>
          <t>2018-05</t>
        </is>
      </c>
      <c r="D1871" t="inlineStr">
        <is>
          <t>82028478fef3ab881990e8d1fb24ba3a</t>
        </is>
      </c>
      <c r="E1871" t="inlineStr">
        <is>
          <t>email</t>
        </is>
      </c>
      <c r="F1871">
        <f>IFERROR(MATCH(A1871,Deals!$A$2:$A$843,0),"")</f>
        <v/>
      </c>
      <c r="G1871">
        <f>IF(F1871="",0,1)</f>
        <v/>
      </c>
      <c r="H1871" s="29">
        <f>IF(F1871="","",INDEX(Deals!$E$2:$E$843,F1871))</f>
        <v/>
      </c>
      <c r="I1871">
        <f>IF(F1871="","",INDEX(Deals!$D$2:$D$843,F1871))</f>
        <v/>
      </c>
      <c r="J1871">
        <f>IF(F1871="","",INT(H1871)-B1871)</f>
        <v/>
      </c>
      <c r="K1871">
        <f>IF(B1871&gt;=Settings!$C$5,1,0)</f>
        <v/>
      </c>
    </row>
    <row r="1872">
      <c r="A1872" t="inlineStr">
        <is>
          <t>e41fa3d414e8eaca9467ecace739b400</t>
        </is>
      </c>
      <c r="B1872" s="29" t="n">
        <v>43230</v>
      </c>
      <c r="C1872" t="inlineStr">
        <is>
          <t>2018-05</t>
        </is>
      </c>
      <c r="D1872" t="inlineStr">
        <is>
          <t>58326e62183c14b0c03085c33b9fdc44</t>
        </is>
      </c>
      <c r="E1872" t="inlineStr">
        <is>
          <t>social</t>
        </is>
      </c>
      <c r="F1872">
        <f>IFERROR(MATCH(A1872,Deals!$A$2:$A$843,0),"")</f>
        <v/>
      </c>
      <c r="G1872">
        <f>IF(F1872="",0,1)</f>
        <v/>
      </c>
      <c r="H1872" s="29">
        <f>IF(F1872="","",INDEX(Deals!$E$2:$E$843,F1872))</f>
        <v/>
      </c>
      <c r="I1872">
        <f>IF(F1872="","",INDEX(Deals!$D$2:$D$843,F1872))</f>
        <v/>
      </c>
      <c r="J1872">
        <f>IF(F1872="","",INT(H1872)-B1872)</f>
        <v/>
      </c>
      <c r="K1872">
        <f>IF(B1872&gt;=Settings!$C$5,1,0)</f>
        <v/>
      </c>
    </row>
    <row r="1873">
      <c r="A1873" t="inlineStr">
        <is>
          <t>0e2f55a256a7218367349b9e87657252</t>
        </is>
      </c>
      <c r="B1873" s="29" t="n">
        <v>43175</v>
      </c>
      <c r="C1873" t="inlineStr">
        <is>
          <t>2018-03</t>
        </is>
      </c>
      <c r="D1873" t="inlineStr">
        <is>
          <t>22c29808c4f815213303f8933030604c</t>
        </is>
      </c>
      <c r="E1873" t="inlineStr">
        <is>
          <t>organic_search</t>
        </is>
      </c>
      <c r="F1873">
        <f>IFERROR(MATCH(A1873,Deals!$A$2:$A$843,0),"")</f>
        <v/>
      </c>
      <c r="G1873">
        <f>IF(F1873="",0,1)</f>
        <v/>
      </c>
      <c r="H1873" s="29">
        <f>IF(F1873="","",INDEX(Deals!$E$2:$E$843,F1873))</f>
        <v/>
      </c>
      <c r="I1873">
        <f>IF(F1873="","",INDEX(Deals!$D$2:$D$843,F1873))</f>
        <v/>
      </c>
      <c r="J1873">
        <f>IF(F1873="","",INT(H1873)-B1873)</f>
        <v/>
      </c>
      <c r="K1873">
        <f>IF(B1873&gt;=Settings!$C$5,1,0)</f>
        <v/>
      </c>
    </row>
    <row r="1874">
      <c r="A1874" t="inlineStr">
        <is>
          <t>7dd63bc018cc1cc492e7d87ac6c3e465</t>
        </is>
      </c>
      <c r="B1874" s="29" t="n">
        <v>43012</v>
      </c>
      <c r="C1874" t="inlineStr">
        <is>
          <t>2017-10</t>
        </is>
      </c>
      <c r="D1874" t="inlineStr">
        <is>
          <t>b48ec5f3b04e9068441002a19df93c6c</t>
        </is>
      </c>
      <c r="E1874" t="inlineStr">
        <is>
          <t>organic_search</t>
        </is>
      </c>
      <c r="F1874">
        <f>IFERROR(MATCH(A1874,Deals!$A$2:$A$843,0),"")</f>
        <v/>
      </c>
      <c r="G1874">
        <f>IF(F1874="",0,1)</f>
        <v/>
      </c>
      <c r="H1874" s="29">
        <f>IF(F1874="","",INDEX(Deals!$E$2:$E$843,F1874))</f>
        <v/>
      </c>
      <c r="I1874">
        <f>IF(F1874="","",INDEX(Deals!$D$2:$D$843,F1874))</f>
        <v/>
      </c>
      <c r="J1874">
        <f>IF(F1874="","",INT(H1874)-B1874)</f>
        <v/>
      </c>
      <c r="K1874">
        <f>IF(B1874&gt;=Settings!$C$5,1,0)</f>
        <v/>
      </c>
    </row>
    <row r="1875">
      <c r="A1875" t="inlineStr">
        <is>
          <t>5e8c84768da5bcb14f66d92aabe75092</t>
        </is>
      </c>
      <c r="B1875" s="29" t="n">
        <v>43165</v>
      </c>
      <c r="C1875" t="inlineStr">
        <is>
          <t>2018-03</t>
        </is>
      </c>
      <c r="D1875" t="inlineStr">
        <is>
          <t>36120633c8737035fbabf079082f4ec1</t>
        </is>
      </c>
      <c r="E1875" t="inlineStr">
        <is>
          <t>unknown</t>
        </is>
      </c>
      <c r="F1875">
        <f>IFERROR(MATCH(A1875,Deals!$A$2:$A$843,0),"")</f>
        <v/>
      </c>
      <c r="G1875">
        <f>IF(F1875="",0,1)</f>
        <v/>
      </c>
      <c r="H1875" s="29">
        <f>IF(F1875="","",INDEX(Deals!$E$2:$E$843,F1875))</f>
        <v/>
      </c>
      <c r="I1875">
        <f>IF(F1875="","",INDEX(Deals!$D$2:$D$843,F1875))</f>
        <v/>
      </c>
      <c r="J1875">
        <f>IF(F1875="","",INT(H1875)-B1875)</f>
        <v/>
      </c>
      <c r="K1875">
        <f>IF(B1875&gt;=Settings!$C$5,1,0)</f>
        <v/>
      </c>
    </row>
    <row r="1876">
      <c r="A1876" t="inlineStr">
        <is>
          <t>90f489687126854b708f866befcec1ea</t>
        </is>
      </c>
      <c r="B1876" s="29" t="n">
        <v>43227</v>
      </c>
      <c r="C1876" t="inlineStr">
        <is>
          <t>2018-05</t>
        </is>
      </c>
      <c r="D1876" t="inlineStr">
        <is>
          <t>40dec9f3d5259a3d2dbcdab2114fae47</t>
        </is>
      </c>
      <c r="E1876" t="inlineStr">
        <is>
          <t>paid_search</t>
        </is>
      </c>
      <c r="F1876">
        <f>IFERROR(MATCH(A1876,Deals!$A$2:$A$843,0),"")</f>
        <v/>
      </c>
      <c r="G1876">
        <f>IF(F1876="",0,1)</f>
        <v/>
      </c>
      <c r="H1876" s="29">
        <f>IF(F1876="","",INDEX(Deals!$E$2:$E$843,F1876))</f>
        <v/>
      </c>
      <c r="I1876">
        <f>IF(F1876="","",INDEX(Deals!$D$2:$D$843,F1876))</f>
        <v/>
      </c>
      <c r="J1876">
        <f>IF(F1876="","",INT(H1876)-B1876)</f>
        <v/>
      </c>
      <c r="K1876">
        <f>IF(B1876&gt;=Settings!$C$5,1,0)</f>
        <v/>
      </c>
    </row>
    <row r="1877">
      <c r="A1877" t="inlineStr">
        <is>
          <t>d7686a221f4e121ba0465eb70104efb7</t>
        </is>
      </c>
      <c r="B1877" s="29" t="n">
        <v>43150</v>
      </c>
      <c r="C1877" t="inlineStr">
        <is>
          <t>2018-02</t>
        </is>
      </c>
      <c r="D1877" t="inlineStr">
        <is>
          <t>b217afa2c1f4cb502423005639878f6d</t>
        </is>
      </c>
      <c r="E1877" t="inlineStr">
        <is>
          <t>paid_search</t>
        </is>
      </c>
      <c r="F1877">
        <f>IFERROR(MATCH(A1877,Deals!$A$2:$A$843,0),"")</f>
        <v/>
      </c>
      <c r="G1877">
        <f>IF(F1877="",0,1)</f>
        <v/>
      </c>
      <c r="H1877" s="29">
        <f>IF(F1877="","",INDEX(Deals!$E$2:$E$843,F1877))</f>
        <v/>
      </c>
      <c r="I1877">
        <f>IF(F1877="","",INDEX(Deals!$D$2:$D$843,F1877))</f>
        <v/>
      </c>
      <c r="J1877">
        <f>IF(F1877="","",INT(H1877)-B1877)</f>
        <v/>
      </c>
      <c r="K1877">
        <f>IF(B1877&gt;=Settings!$C$5,1,0)</f>
        <v/>
      </c>
    </row>
    <row r="1878">
      <c r="A1878" t="inlineStr">
        <is>
          <t>c43fbaa3bb76eb9f22224f575a8f0607</t>
        </is>
      </c>
      <c r="B1878" s="29" t="n">
        <v>43227</v>
      </c>
      <c r="C1878" t="inlineStr">
        <is>
          <t>2018-05</t>
        </is>
      </c>
      <c r="D1878" t="inlineStr">
        <is>
          <t>30534107aa0013db92899c96a1017d0b</t>
        </is>
      </c>
      <c r="E1878" t="inlineStr">
        <is>
          <t>social</t>
        </is>
      </c>
      <c r="F1878">
        <f>IFERROR(MATCH(A1878,Deals!$A$2:$A$843,0),"")</f>
        <v/>
      </c>
      <c r="G1878">
        <f>IF(F1878="",0,1)</f>
        <v/>
      </c>
      <c r="H1878" s="29">
        <f>IF(F1878="","",INDEX(Deals!$E$2:$E$843,F1878))</f>
        <v/>
      </c>
      <c r="I1878">
        <f>IF(F1878="","",INDEX(Deals!$D$2:$D$843,F1878))</f>
        <v/>
      </c>
      <c r="J1878">
        <f>IF(F1878="","",INT(H1878)-B1878)</f>
        <v/>
      </c>
      <c r="K1878">
        <f>IF(B1878&gt;=Settings!$C$5,1,0)</f>
        <v/>
      </c>
    </row>
    <row r="1879">
      <c r="A1879" t="inlineStr">
        <is>
          <t>1cc592e0dd99de5fa4555f68bb225e12</t>
        </is>
      </c>
      <c r="B1879" s="29" t="n">
        <v>43189</v>
      </c>
      <c r="C1879" t="inlineStr">
        <is>
          <t>2018-03</t>
        </is>
      </c>
      <c r="D1879" t="inlineStr">
        <is>
          <t>58326e62183c14b0c03085c33b9fdc44</t>
        </is>
      </c>
      <c r="E1879" t="inlineStr">
        <is>
          <t>social</t>
        </is>
      </c>
      <c r="F1879">
        <f>IFERROR(MATCH(A1879,Deals!$A$2:$A$843,0),"")</f>
        <v/>
      </c>
      <c r="G1879">
        <f>IF(F1879="",0,1)</f>
        <v/>
      </c>
      <c r="H1879" s="29">
        <f>IF(F1879="","",INDEX(Deals!$E$2:$E$843,F1879))</f>
        <v/>
      </c>
      <c r="I1879">
        <f>IF(F1879="","",INDEX(Deals!$D$2:$D$843,F1879))</f>
        <v/>
      </c>
      <c r="J1879">
        <f>IF(F1879="","",INT(H1879)-B1879)</f>
        <v/>
      </c>
      <c r="K1879">
        <f>IF(B1879&gt;=Settings!$C$5,1,0)</f>
        <v/>
      </c>
    </row>
    <row r="1880">
      <c r="A1880" t="inlineStr">
        <is>
          <t>a552e1db6a1c7dbac243c72a8d3140bb</t>
        </is>
      </c>
      <c r="B1880" s="29" t="n">
        <v>43127</v>
      </c>
      <c r="C1880" t="inlineStr">
        <is>
          <t>2018-01</t>
        </is>
      </c>
      <c r="D1880" t="inlineStr">
        <is>
          <t>22c29808c4f815213303f8933030604c</t>
        </is>
      </c>
      <c r="E1880" t="inlineStr">
        <is>
          <t>organic_search</t>
        </is>
      </c>
      <c r="F1880">
        <f>IFERROR(MATCH(A1880,Deals!$A$2:$A$843,0),"")</f>
        <v/>
      </c>
      <c r="G1880">
        <f>IF(F1880="",0,1)</f>
        <v/>
      </c>
      <c r="H1880" s="29">
        <f>IF(F1880="","",INDEX(Deals!$E$2:$E$843,F1880))</f>
        <v/>
      </c>
      <c r="I1880">
        <f>IF(F1880="","",INDEX(Deals!$D$2:$D$843,F1880))</f>
        <v/>
      </c>
      <c r="J1880">
        <f>IF(F1880="","",INT(H1880)-B1880)</f>
        <v/>
      </c>
      <c r="K1880">
        <f>IF(B1880&gt;=Settings!$C$5,1,0)</f>
        <v/>
      </c>
    </row>
    <row r="1881">
      <c r="A1881" t="inlineStr">
        <is>
          <t>f43f639000f6f3c6ff1f3e8006ac0816</t>
        </is>
      </c>
      <c r="B1881" s="29" t="n">
        <v>42921</v>
      </c>
      <c r="C1881" t="inlineStr">
        <is>
          <t>2017-07</t>
        </is>
      </c>
      <c r="D1881" t="inlineStr">
        <is>
          <t>007f9098284a86ee80ddeb25d53e0af8</t>
        </is>
      </c>
      <c r="E1881" t="inlineStr">
        <is>
          <t>display</t>
        </is>
      </c>
      <c r="F1881">
        <f>IFERROR(MATCH(A1881,Deals!$A$2:$A$843,0),"")</f>
        <v/>
      </c>
      <c r="G1881">
        <f>IF(F1881="",0,1)</f>
        <v/>
      </c>
      <c r="H1881" s="29">
        <f>IF(F1881="","",INDEX(Deals!$E$2:$E$843,F1881))</f>
        <v/>
      </c>
      <c r="I1881">
        <f>IF(F1881="","",INDEX(Deals!$D$2:$D$843,F1881))</f>
        <v/>
      </c>
      <c r="J1881">
        <f>IF(F1881="","",INT(H1881)-B1881)</f>
        <v/>
      </c>
      <c r="K1881">
        <f>IF(B1881&gt;=Settings!$C$5,1,0)</f>
        <v/>
      </c>
    </row>
    <row r="1882">
      <c r="A1882" t="inlineStr">
        <is>
          <t>942a764a025ebb9250882be951b58743</t>
        </is>
      </c>
      <c r="B1882" s="29" t="n">
        <v>43111</v>
      </c>
      <c r="C1882" t="inlineStr">
        <is>
          <t>2018-01</t>
        </is>
      </c>
      <c r="D1882" t="inlineStr">
        <is>
          <t>241f79c7a8fe0270f4fb79fcbbcd17ad</t>
        </is>
      </c>
      <c r="E1882" t="inlineStr">
        <is>
          <t>paid_search</t>
        </is>
      </c>
      <c r="F1882">
        <f>IFERROR(MATCH(A1882,Deals!$A$2:$A$843,0),"")</f>
        <v/>
      </c>
      <c r="G1882">
        <f>IF(F1882="",0,1)</f>
        <v/>
      </c>
      <c r="H1882" s="29">
        <f>IF(F1882="","",INDEX(Deals!$E$2:$E$843,F1882))</f>
        <v/>
      </c>
      <c r="I1882">
        <f>IF(F1882="","",INDEX(Deals!$D$2:$D$843,F1882))</f>
        <v/>
      </c>
      <c r="J1882">
        <f>IF(F1882="","",INT(H1882)-B1882)</f>
        <v/>
      </c>
      <c r="K1882">
        <f>IF(B1882&gt;=Settings!$C$5,1,0)</f>
        <v/>
      </c>
    </row>
    <row r="1883">
      <c r="A1883" t="inlineStr">
        <is>
          <t>98c607c15e37617d01504227c5f5b597</t>
        </is>
      </c>
      <c r="B1883" s="29" t="n">
        <v>43007</v>
      </c>
      <c r="C1883" t="inlineStr">
        <is>
          <t>2017-09</t>
        </is>
      </c>
      <c r="D1883" t="inlineStr">
        <is>
          <t>c555aa36478386fdf85a2d0ca5cd0ff8</t>
        </is>
      </c>
      <c r="E1883" t="inlineStr">
        <is>
          <t>unknown</t>
        </is>
      </c>
      <c r="F1883">
        <f>IFERROR(MATCH(A1883,Deals!$A$2:$A$843,0),"")</f>
        <v/>
      </c>
      <c r="G1883">
        <f>IF(F1883="",0,1)</f>
        <v/>
      </c>
      <c r="H1883" s="29">
        <f>IF(F1883="","",INDEX(Deals!$E$2:$E$843,F1883))</f>
        <v/>
      </c>
      <c r="I1883">
        <f>IF(F1883="","",INDEX(Deals!$D$2:$D$843,F1883))</f>
        <v/>
      </c>
      <c r="J1883">
        <f>IF(F1883="","",INT(H1883)-B1883)</f>
        <v/>
      </c>
      <c r="K1883">
        <f>IF(B1883&gt;=Settings!$C$5,1,0)</f>
        <v/>
      </c>
    </row>
    <row r="1884">
      <c r="A1884" t="inlineStr">
        <is>
          <t>cf685b623ec061901728d5f731b765a3</t>
        </is>
      </c>
      <c r="B1884" s="29" t="n">
        <v>43048</v>
      </c>
      <c r="C1884" t="inlineStr">
        <is>
          <t>2017-11</t>
        </is>
      </c>
      <c r="D1884" t="inlineStr">
        <is>
          <t>22c29808c4f815213303f8933030604c</t>
        </is>
      </c>
      <c r="E1884" t="inlineStr">
        <is>
          <t>email</t>
        </is>
      </c>
      <c r="F1884">
        <f>IFERROR(MATCH(A1884,Deals!$A$2:$A$843,0),"")</f>
        <v/>
      </c>
      <c r="G1884">
        <f>IF(F1884="",0,1)</f>
        <v/>
      </c>
      <c r="H1884" s="29">
        <f>IF(F1884="","",INDEX(Deals!$E$2:$E$843,F1884))</f>
        <v/>
      </c>
      <c r="I1884">
        <f>IF(F1884="","",INDEX(Deals!$D$2:$D$843,F1884))</f>
        <v/>
      </c>
      <c r="J1884">
        <f>IF(F1884="","",INT(H1884)-B1884)</f>
        <v/>
      </c>
      <c r="K1884">
        <f>IF(B1884&gt;=Settings!$C$5,1,0)</f>
        <v/>
      </c>
    </row>
    <row r="1885">
      <c r="A1885" t="inlineStr">
        <is>
          <t>7f56061fb30e16364c61cc7fc0a8b4e9</t>
        </is>
      </c>
      <c r="B1885" s="29" t="n">
        <v>43236</v>
      </c>
      <c r="C1885" t="inlineStr">
        <is>
          <t>2018-05</t>
        </is>
      </c>
      <c r="D1885" t="inlineStr">
        <is>
          <t>ce1a65abd0973638f1c887a6efcfa82d</t>
        </is>
      </c>
      <c r="E1885" t="inlineStr">
        <is>
          <t>organic_search</t>
        </is>
      </c>
      <c r="F1885">
        <f>IFERROR(MATCH(A1885,Deals!$A$2:$A$843,0),"")</f>
        <v/>
      </c>
      <c r="G1885">
        <f>IF(F1885="",0,1)</f>
        <v/>
      </c>
      <c r="H1885" s="29">
        <f>IF(F1885="","",INDEX(Deals!$E$2:$E$843,F1885))</f>
        <v/>
      </c>
      <c r="I1885">
        <f>IF(F1885="","",INDEX(Deals!$D$2:$D$843,F1885))</f>
        <v/>
      </c>
      <c r="J1885">
        <f>IF(F1885="","",INT(H1885)-B1885)</f>
        <v/>
      </c>
      <c r="K1885">
        <f>IF(B1885&gt;=Settings!$C$5,1,0)</f>
        <v/>
      </c>
    </row>
    <row r="1886">
      <c r="A1886" t="inlineStr">
        <is>
          <t>e2e57ded5b59a2058dd5855564c6b5ea</t>
        </is>
      </c>
      <c r="B1886" s="29" t="n">
        <v>42930</v>
      </c>
      <c r="C1886" t="inlineStr">
        <is>
          <t>2017-07</t>
        </is>
      </c>
      <c r="D1886" t="inlineStr">
        <is>
          <t>b76ef37428e6799c421989521c0e5077</t>
        </is>
      </c>
      <c r="E1886" t="inlineStr">
        <is>
          <t>unknown</t>
        </is>
      </c>
      <c r="F1886">
        <f>IFERROR(MATCH(A1886,Deals!$A$2:$A$843,0),"")</f>
        <v/>
      </c>
      <c r="G1886">
        <f>IF(F1886="",0,1)</f>
        <v/>
      </c>
      <c r="H1886" s="29">
        <f>IF(F1886="","",INDEX(Deals!$E$2:$E$843,F1886))</f>
        <v/>
      </c>
      <c r="I1886">
        <f>IF(F1886="","",INDEX(Deals!$D$2:$D$843,F1886))</f>
        <v/>
      </c>
      <c r="J1886">
        <f>IF(F1886="","",INT(H1886)-B1886)</f>
        <v/>
      </c>
      <c r="K1886">
        <f>IF(B1886&gt;=Settings!$C$5,1,0)</f>
        <v/>
      </c>
    </row>
    <row r="1887">
      <c r="A1887" t="inlineStr">
        <is>
          <t>1306c03a55fa10ba20fa30bc3b098338</t>
        </is>
      </c>
      <c r="B1887" s="29" t="n">
        <v>43174</v>
      </c>
      <c r="C1887" t="inlineStr">
        <is>
          <t>2018-03</t>
        </is>
      </c>
      <c r="D1887" t="inlineStr">
        <is>
          <t>cb15e297b291d8ef88f2f477defaab2d</t>
        </is>
      </c>
      <c r="E1887" t="inlineStr">
        <is>
          <t>unknown</t>
        </is>
      </c>
      <c r="F1887">
        <f>IFERROR(MATCH(A1887,Deals!$A$2:$A$843,0),"")</f>
        <v/>
      </c>
      <c r="G1887">
        <f>IF(F1887="",0,1)</f>
        <v/>
      </c>
      <c r="H1887" s="29">
        <f>IF(F1887="","",INDEX(Deals!$E$2:$E$843,F1887))</f>
        <v/>
      </c>
      <c r="I1887">
        <f>IF(F1887="","",INDEX(Deals!$D$2:$D$843,F1887))</f>
        <v/>
      </c>
      <c r="J1887">
        <f>IF(F1887="","",INT(H1887)-B1887)</f>
        <v/>
      </c>
      <c r="K1887">
        <f>IF(B1887&gt;=Settings!$C$5,1,0)</f>
        <v/>
      </c>
    </row>
    <row r="1888">
      <c r="A1888" t="inlineStr">
        <is>
          <t>732752dbdef0f33b59d4701c53b5341b</t>
        </is>
      </c>
      <c r="B1888" s="29" t="n">
        <v>43222</v>
      </c>
      <c r="C1888" t="inlineStr">
        <is>
          <t>2018-05</t>
        </is>
      </c>
      <c r="D1888" t="inlineStr">
        <is>
          <t>40dec9f3d5259a3d2dbcdab2114fae47</t>
        </is>
      </c>
      <c r="E1888" t="inlineStr">
        <is>
          <t>paid_search</t>
        </is>
      </c>
      <c r="F1888">
        <f>IFERROR(MATCH(A1888,Deals!$A$2:$A$843,0),"")</f>
        <v/>
      </c>
      <c r="G1888">
        <f>IF(F1888="",0,1)</f>
        <v/>
      </c>
      <c r="H1888" s="29">
        <f>IF(F1888="","",INDEX(Deals!$E$2:$E$843,F1888))</f>
        <v/>
      </c>
      <c r="I1888">
        <f>IF(F1888="","",INDEX(Deals!$D$2:$D$843,F1888))</f>
        <v/>
      </c>
      <c r="J1888">
        <f>IF(F1888="","",INT(H1888)-B1888)</f>
        <v/>
      </c>
      <c r="K1888">
        <f>IF(B1888&gt;=Settings!$C$5,1,0)</f>
        <v/>
      </c>
    </row>
    <row r="1889">
      <c r="A1889" t="inlineStr">
        <is>
          <t>101ca20b57acb67a738bed02667279d8</t>
        </is>
      </c>
      <c r="B1889" s="29" t="n">
        <v>43216</v>
      </c>
      <c r="C1889" t="inlineStr">
        <is>
          <t>2018-04</t>
        </is>
      </c>
      <c r="D1889" t="inlineStr">
        <is>
          <t>22c29808c4f815213303f8933030604c</t>
        </is>
      </c>
      <c r="E1889" t="inlineStr">
        <is>
          <t>organic_search</t>
        </is>
      </c>
      <c r="F1889">
        <f>IFERROR(MATCH(A1889,Deals!$A$2:$A$843,0),"")</f>
        <v/>
      </c>
      <c r="G1889">
        <f>IF(F1889="",0,1)</f>
        <v/>
      </c>
      <c r="H1889" s="29">
        <f>IF(F1889="","",INDEX(Deals!$E$2:$E$843,F1889))</f>
        <v/>
      </c>
      <c r="I1889">
        <f>IF(F1889="","",INDEX(Deals!$D$2:$D$843,F1889))</f>
        <v/>
      </c>
      <c r="J1889">
        <f>IF(F1889="","",INT(H1889)-B1889)</f>
        <v/>
      </c>
      <c r="K1889">
        <f>IF(B1889&gt;=Settings!$C$5,1,0)</f>
        <v/>
      </c>
    </row>
    <row r="1890">
      <c r="A1890" t="inlineStr">
        <is>
          <t>e5e63e1b118dabdbd6b5d2e7cf43b72c</t>
        </is>
      </c>
      <c r="B1890" s="29" t="n">
        <v>43148</v>
      </c>
      <c r="C1890" t="inlineStr">
        <is>
          <t>2018-02</t>
        </is>
      </c>
      <c r="D1890" t="inlineStr">
        <is>
          <t>88740e65d5d6b056e0cda098e1ea6313</t>
        </is>
      </c>
      <c r="E1890" t="inlineStr">
        <is>
          <t>social</t>
        </is>
      </c>
      <c r="F1890">
        <f>IFERROR(MATCH(A1890,Deals!$A$2:$A$843,0),"")</f>
        <v/>
      </c>
      <c r="G1890">
        <f>IF(F1890="",0,1)</f>
        <v/>
      </c>
      <c r="H1890" s="29">
        <f>IF(F1890="","",INDEX(Deals!$E$2:$E$843,F1890))</f>
        <v/>
      </c>
      <c r="I1890">
        <f>IF(F1890="","",INDEX(Deals!$D$2:$D$843,F1890))</f>
        <v/>
      </c>
      <c r="J1890">
        <f>IF(F1890="","",INT(H1890)-B1890)</f>
        <v/>
      </c>
      <c r="K1890">
        <f>IF(B1890&gt;=Settings!$C$5,1,0)</f>
        <v/>
      </c>
    </row>
    <row r="1891">
      <c r="A1891" t="inlineStr">
        <is>
          <t>098d6dd896e6740f88282b48495d47ef</t>
        </is>
      </c>
      <c r="B1891" s="29" t="n">
        <v>43181</v>
      </c>
      <c r="C1891" t="inlineStr">
        <is>
          <t>2018-03</t>
        </is>
      </c>
      <c r="D1891" t="inlineStr">
        <is>
          <t>5da54625ee0a9560dc9b9b9f6ccb03d0</t>
        </is>
      </c>
      <c r="E1891" t="inlineStr">
        <is>
          <t>paid_search</t>
        </is>
      </c>
      <c r="F1891">
        <f>IFERROR(MATCH(A1891,Deals!$A$2:$A$843,0),"")</f>
        <v/>
      </c>
      <c r="G1891">
        <f>IF(F1891="",0,1)</f>
        <v/>
      </c>
      <c r="H1891" s="29">
        <f>IF(F1891="","",INDEX(Deals!$E$2:$E$843,F1891))</f>
        <v/>
      </c>
      <c r="I1891">
        <f>IF(F1891="","",INDEX(Deals!$D$2:$D$843,F1891))</f>
        <v/>
      </c>
      <c r="J1891">
        <f>IF(F1891="","",INT(H1891)-B1891)</f>
        <v/>
      </c>
      <c r="K1891">
        <f>IF(B1891&gt;=Settings!$C$5,1,0)</f>
        <v/>
      </c>
    </row>
    <row r="1892">
      <c r="A1892" t="inlineStr">
        <is>
          <t>ec470ad3d3fb68337b14d514b9e73238</t>
        </is>
      </c>
      <c r="B1892" s="29" t="n">
        <v>43014</v>
      </c>
      <c r="C1892" t="inlineStr">
        <is>
          <t>2017-10</t>
        </is>
      </c>
      <c r="D1892" t="inlineStr">
        <is>
          <t>a56671a54260a44923d32c2f08fad39c</t>
        </is>
      </c>
      <c r="E1892" t="inlineStr">
        <is>
          <t>other</t>
        </is>
      </c>
      <c r="F1892">
        <f>IFERROR(MATCH(A1892,Deals!$A$2:$A$843,0),"")</f>
        <v/>
      </c>
      <c r="G1892">
        <f>IF(F1892="",0,1)</f>
        <v/>
      </c>
      <c r="H1892" s="29">
        <f>IF(F1892="","",INDEX(Deals!$E$2:$E$843,F1892))</f>
        <v/>
      </c>
      <c r="I1892">
        <f>IF(F1892="","",INDEX(Deals!$D$2:$D$843,F1892))</f>
        <v/>
      </c>
      <c r="J1892">
        <f>IF(F1892="","",INT(H1892)-B1892)</f>
        <v/>
      </c>
      <c r="K1892">
        <f>IF(B1892&gt;=Settings!$C$5,1,0)</f>
        <v/>
      </c>
    </row>
    <row r="1893">
      <c r="A1893" t="inlineStr">
        <is>
          <t>fbe77ad230d9319dccf7c5006a012c06</t>
        </is>
      </c>
      <c r="B1893" s="29" t="n">
        <v>43152</v>
      </c>
      <c r="C1893" t="inlineStr">
        <is>
          <t>2018-02</t>
        </is>
      </c>
      <c r="D1893" t="inlineStr">
        <is>
          <t>d83b0d0e48c8447d1d5507a44027a955</t>
        </is>
      </c>
      <c r="E1893" t="inlineStr">
        <is>
          <t>paid_search</t>
        </is>
      </c>
      <c r="F1893">
        <f>IFERROR(MATCH(A1893,Deals!$A$2:$A$843,0),"")</f>
        <v/>
      </c>
      <c r="G1893">
        <f>IF(F1893="",0,1)</f>
        <v/>
      </c>
      <c r="H1893" s="29">
        <f>IF(F1893="","",INDEX(Deals!$E$2:$E$843,F1893))</f>
        <v/>
      </c>
      <c r="I1893">
        <f>IF(F1893="","",INDEX(Deals!$D$2:$D$843,F1893))</f>
        <v/>
      </c>
      <c r="J1893">
        <f>IF(F1893="","",INT(H1893)-B1893)</f>
        <v/>
      </c>
      <c r="K1893">
        <f>IF(B1893&gt;=Settings!$C$5,1,0)</f>
        <v/>
      </c>
    </row>
    <row r="1894">
      <c r="A1894" t="inlineStr">
        <is>
          <t>82f0c967da8c5e2a849e7290eb209f03</t>
        </is>
      </c>
      <c r="B1894" s="29" t="n">
        <v>43212</v>
      </c>
      <c r="C1894" t="inlineStr">
        <is>
          <t>2018-04</t>
        </is>
      </c>
      <c r="D1894" t="inlineStr">
        <is>
          <t>58326e62183c14b0c03085c33b9fdc44</t>
        </is>
      </c>
      <c r="E1894" t="inlineStr">
        <is>
          <t>social</t>
        </is>
      </c>
      <c r="F1894">
        <f>IFERROR(MATCH(A1894,Deals!$A$2:$A$843,0),"")</f>
        <v/>
      </c>
      <c r="G1894">
        <f>IF(F1894="",0,1)</f>
        <v/>
      </c>
      <c r="H1894" s="29">
        <f>IF(F1894="","",INDEX(Deals!$E$2:$E$843,F1894))</f>
        <v/>
      </c>
      <c r="I1894">
        <f>IF(F1894="","",INDEX(Deals!$D$2:$D$843,F1894))</f>
        <v/>
      </c>
      <c r="J1894">
        <f>IF(F1894="","",INT(H1894)-B1894)</f>
        <v/>
      </c>
      <c r="K1894">
        <f>IF(B1894&gt;=Settings!$C$5,1,0)</f>
        <v/>
      </c>
    </row>
    <row r="1895">
      <c r="A1895" t="inlineStr">
        <is>
          <t>a76650df1a9ed5ae6c11bce464aa2710</t>
        </is>
      </c>
      <c r="B1895" s="29" t="n">
        <v>43234</v>
      </c>
      <c r="C1895" t="inlineStr">
        <is>
          <t>2018-05</t>
        </is>
      </c>
      <c r="D1895" t="inlineStr">
        <is>
          <t>fb58285f6f6c4e504dfa628de116cae8</t>
        </is>
      </c>
      <c r="E1895" t="inlineStr">
        <is>
          <t>email</t>
        </is>
      </c>
      <c r="F1895">
        <f>IFERROR(MATCH(A1895,Deals!$A$2:$A$843,0),"")</f>
        <v/>
      </c>
      <c r="G1895">
        <f>IF(F1895="",0,1)</f>
        <v/>
      </c>
      <c r="H1895" s="29">
        <f>IF(F1895="","",INDEX(Deals!$E$2:$E$843,F1895))</f>
        <v/>
      </c>
      <c r="I1895">
        <f>IF(F1895="","",INDEX(Deals!$D$2:$D$843,F1895))</f>
        <v/>
      </c>
      <c r="J1895">
        <f>IF(F1895="","",INT(H1895)-B1895)</f>
        <v/>
      </c>
      <c r="K1895">
        <f>IF(B1895&gt;=Settings!$C$5,1,0)</f>
        <v/>
      </c>
    </row>
    <row r="1896">
      <c r="A1896" t="inlineStr">
        <is>
          <t>a7308ceb6bfe23ec59af4c75cd8885ce</t>
        </is>
      </c>
      <c r="B1896" s="29" t="n">
        <v>43192</v>
      </c>
      <c r="C1896" t="inlineStr">
        <is>
          <t>2018-04</t>
        </is>
      </c>
      <c r="D1896" t="inlineStr">
        <is>
          <t>58326e62183c14b0c03085c33b9fdc44</t>
        </is>
      </c>
      <c r="E1896" t="inlineStr">
        <is>
          <t>social</t>
        </is>
      </c>
      <c r="F1896">
        <f>IFERROR(MATCH(A1896,Deals!$A$2:$A$843,0),"")</f>
        <v/>
      </c>
      <c r="G1896">
        <f>IF(F1896="",0,1)</f>
        <v/>
      </c>
      <c r="H1896" s="29">
        <f>IF(F1896="","",INDEX(Deals!$E$2:$E$843,F1896))</f>
        <v/>
      </c>
      <c r="I1896">
        <f>IF(F1896="","",INDEX(Deals!$D$2:$D$843,F1896))</f>
        <v/>
      </c>
      <c r="J1896">
        <f>IF(F1896="","",INT(H1896)-B1896)</f>
        <v/>
      </c>
      <c r="K1896">
        <f>IF(B1896&gt;=Settings!$C$5,1,0)</f>
        <v/>
      </c>
    </row>
    <row r="1897">
      <c r="A1897" t="inlineStr">
        <is>
          <t>a6cdf7d7accdc2a5afc50c9ce763cbf2</t>
        </is>
      </c>
      <c r="B1897" s="29" t="n">
        <v>43213</v>
      </c>
      <c r="C1897" t="inlineStr">
        <is>
          <t>2018-04</t>
        </is>
      </c>
      <c r="D1897" t="inlineStr">
        <is>
          <t>e534a08b23c682d94859d0ab860bd57a</t>
        </is>
      </c>
      <c r="E1897" t="inlineStr">
        <is>
          <t>email</t>
        </is>
      </c>
      <c r="F1897">
        <f>IFERROR(MATCH(A1897,Deals!$A$2:$A$843,0),"")</f>
        <v/>
      </c>
      <c r="G1897">
        <f>IF(F1897="",0,1)</f>
        <v/>
      </c>
      <c r="H1897" s="29">
        <f>IF(F1897="","",INDEX(Deals!$E$2:$E$843,F1897))</f>
        <v/>
      </c>
      <c r="I1897">
        <f>IF(F1897="","",INDEX(Deals!$D$2:$D$843,F1897))</f>
        <v/>
      </c>
      <c r="J1897">
        <f>IF(F1897="","",INT(H1897)-B1897)</f>
        <v/>
      </c>
      <c r="K1897">
        <f>IF(B1897&gt;=Settings!$C$5,1,0)</f>
        <v/>
      </c>
    </row>
    <row r="1898">
      <c r="A1898" t="inlineStr">
        <is>
          <t>058944e29ac0db15f9d8ff177b730609</t>
        </is>
      </c>
      <c r="B1898" s="29" t="n">
        <v>43135</v>
      </c>
      <c r="C1898" t="inlineStr">
        <is>
          <t>2018-02</t>
        </is>
      </c>
      <c r="D1898" t="inlineStr">
        <is>
          <t>b6885f18d203a61176418c1fb3764815</t>
        </is>
      </c>
      <c r="E1898" t="inlineStr">
        <is>
          <t>paid_search</t>
        </is>
      </c>
      <c r="F1898">
        <f>IFERROR(MATCH(A1898,Deals!$A$2:$A$843,0),"")</f>
        <v/>
      </c>
      <c r="G1898">
        <f>IF(F1898="",0,1)</f>
        <v/>
      </c>
      <c r="H1898" s="29">
        <f>IF(F1898="","",INDEX(Deals!$E$2:$E$843,F1898))</f>
        <v/>
      </c>
      <c r="I1898">
        <f>IF(F1898="","",INDEX(Deals!$D$2:$D$843,F1898))</f>
        <v/>
      </c>
      <c r="J1898">
        <f>IF(F1898="","",INT(H1898)-B1898)</f>
        <v/>
      </c>
      <c r="K1898">
        <f>IF(B1898&gt;=Settings!$C$5,1,0)</f>
        <v/>
      </c>
    </row>
    <row r="1899">
      <c r="A1899" t="inlineStr">
        <is>
          <t>5782efc436ca617a069a0cbc86f5f371</t>
        </is>
      </c>
      <c r="B1899" s="29" t="n">
        <v>43086</v>
      </c>
      <c r="C1899" t="inlineStr">
        <is>
          <t>2017-12</t>
        </is>
      </c>
      <c r="D1899" t="inlineStr">
        <is>
          <t>3b86d7e8c33da2767ad2af9782f383d5</t>
        </is>
      </c>
      <c r="E1899" t="inlineStr">
        <is>
          <t>unknown</t>
        </is>
      </c>
      <c r="F1899">
        <f>IFERROR(MATCH(A1899,Deals!$A$2:$A$843,0),"")</f>
        <v/>
      </c>
      <c r="G1899">
        <f>IF(F1899="",0,1)</f>
        <v/>
      </c>
      <c r="H1899" s="29">
        <f>IF(F1899="","",INDEX(Deals!$E$2:$E$843,F1899))</f>
        <v/>
      </c>
      <c r="I1899">
        <f>IF(F1899="","",INDEX(Deals!$D$2:$D$843,F1899))</f>
        <v/>
      </c>
      <c r="J1899">
        <f>IF(F1899="","",INT(H1899)-B1899)</f>
        <v/>
      </c>
      <c r="K1899">
        <f>IF(B1899&gt;=Settings!$C$5,1,0)</f>
        <v/>
      </c>
    </row>
    <row r="1900">
      <c r="A1900" t="inlineStr">
        <is>
          <t>db9c81673b36dd9dacb092db793de572</t>
        </is>
      </c>
      <c r="B1900" s="29" t="n">
        <v>43171</v>
      </c>
      <c r="C1900" t="inlineStr">
        <is>
          <t>2018-03</t>
        </is>
      </c>
      <c r="D1900" t="inlineStr">
        <is>
          <t>4b0974ddecd83fd34439a7312a609824</t>
        </is>
      </c>
      <c r="E1900" t="inlineStr">
        <is>
          <t>paid_search</t>
        </is>
      </c>
      <c r="F1900">
        <f>IFERROR(MATCH(A1900,Deals!$A$2:$A$843,0),"")</f>
        <v/>
      </c>
      <c r="G1900">
        <f>IF(F1900="",0,1)</f>
        <v/>
      </c>
      <c r="H1900" s="29">
        <f>IF(F1900="","",INDEX(Deals!$E$2:$E$843,F1900))</f>
        <v/>
      </c>
      <c r="I1900">
        <f>IF(F1900="","",INDEX(Deals!$D$2:$D$843,F1900))</f>
        <v/>
      </c>
      <c r="J1900">
        <f>IF(F1900="","",INT(H1900)-B1900)</f>
        <v/>
      </c>
      <c r="K1900">
        <f>IF(B1900&gt;=Settings!$C$5,1,0)</f>
        <v/>
      </c>
    </row>
    <row r="1901">
      <c r="A1901" t="inlineStr">
        <is>
          <t>91270e97491a918496e6569c9fcff808</t>
        </is>
      </c>
      <c r="B1901" s="29" t="n">
        <v>43181</v>
      </c>
      <c r="C1901" t="inlineStr">
        <is>
          <t>2018-03</t>
        </is>
      </c>
      <c r="D1901" t="inlineStr">
        <is>
          <t>c79bafc4a099ff23e3bab1534797fb45</t>
        </is>
      </c>
      <c r="E1901" t="inlineStr">
        <is>
          <t>paid_search</t>
        </is>
      </c>
      <c r="F1901">
        <f>IFERROR(MATCH(A1901,Deals!$A$2:$A$843,0),"")</f>
        <v/>
      </c>
      <c r="G1901">
        <f>IF(F1901="",0,1)</f>
        <v/>
      </c>
      <c r="H1901" s="29">
        <f>IF(F1901="","",INDEX(Deals!$E$2:$E$843,F1901))</f>
        <v/>
      </c>
      <c r="I1901">
        <f>IF(F1901="","",INDEX(Deals!$D$2:$D$843,F1901))</f>
        <v/>
      </c>
      <c r="J1901">
        <f>IF(F1901="","",INT(H1901)-B1901)</f>
        <v/>
      </c>
      <c r="K1901">
        <f>IF(B1901&gt;=Settings!$C$5,1,0)</f>
        <v/>
      </c>
    </row>
    <row r="1902">
      <c r="A1902" t="inlineStr">
        <is>
          <t>9012a1c75d959d58edd3a3fc1c0f5b75</t>
        </is>
      </c>
      <c r="B1902" s="29" t="n">
        <v>43251</v>
      </c>
      <c r="C1902" t="inlineStr">
        <is>
          <t>2018-05</t>
        </is>
      </c>
      <c r="D1902" t="inlineStr">
        <is>
          <t>58326e62183c14b0c03085c33b9fdc44</t>
        </is>
      </c>
      <c r="E1902" t="inlineStr">
        <is>
          <t>social</t>
        </is>
      </c>
      <c r="F1902">
        <f>IFERROR(MATCH(A1902,Deals!$A$2:$A$843,0),"")</f>
        <v/>
      </c>
      <c r="G1902">
        <f>IF(F1902="",0,1)</f>
        <v/>
      </c>
      <c r="H1902" s="29">
        <f>IF(F1902="","",INDEX(Deals!$E$2:$E$843,F1902))</f>
        <v/>
      </c>
      <c r="I1902">
        <f>IF(F1902="","",INDEX(Deals!$D$2:$D$843,F1902))</f>
        <v/>
      </c>
      <c r="J1902">
        <f>IF(F1902="","",INT(H1902)-B1902)</f>
        <v/>
      </c>
      <c r="K1902">
        <f>IF(B1902&gt;=Settings!$C$5,1,0)</f>
        <v/>
      </c>
    </row>
    <row r="1903">
      <c r="A1903" t="inlineStr">
        <is>
          <t>0df634d9492c741eb699cdf87b9ab281</t>
        </is>
      </c>
      <c r="B1903" s="29" t="n">
        <v>43222</v>
      </c>
      <c r="C1903" t="inlineStr">
        <is>
          <t>2018-05</t>
        </is>
      </c>
      <c r="D1903" t="inlineStr">
        <is>
          <t>58326e62183c14b0c03085c33b9fdc44</t>
        </is>
      </c>
      <c r="E1903" t="inlineStr">
        <is>
          <t>social</t>
        </is>
      </c>
      <c r="F1903">
        <f>IFERROR(MATCH(A1903,Deals!$A$2:$A$843,0),"")</f>
        <v/>
      </c>
      <c r="G1903">
        <f>IF(F1903="",0,1)</f>
        <v/>
      </c>
      <c r="H1903" s="29">
        <f>IF(F1903="","",INDEX(Deals!$E$2:$E$843,F1903))</f>
        <v/>
      </c>
      <c r="I1903">
        <f>IF(F1903="","",INDEX(Deals!$D$2:$D$843,F1903))</f>
        <v/>
      </c>
      <c r="J1903">
        <f>IF(F1903="","",INT(H1903)-B1903)</f>
        <v/>
      </c>
      <c r="K1903">
        <f>IF(B1903&gt;=Settings!$C$5,1,0)</f>
        <v/>
      </c>
    </row>
    <row r="1904">
      <c r="A1904" t="inlineStr">
        <is>
          <t>89f88e2b3281be852faae4f18b8c0fcb</t>
        </is>
      </c>
      <c r="B1904" s="29" t="n">
        <v>43228</v>
      </c>
      <c r="C1904" t="inlineStr">
        <is>
          <t>2018-05</t>
        </is>
      </c>
      <c r="D1904" t="inlineStr">
        <is>
          <t>22c29808c4f815213303f8933030604c</t>
        </is>
      </c>
      <c r="E1904" t="inlineStr">
        <is>
          <t>email</t>
        </is>
      </c>
      <c r="F1904">
        <f>IFERROR(MATCH(A1904,Deals!$A$2:$A$843,0),"")</f>
        <v/>
      </c>
      <c r="G1904">
        <f>IF(F1904="",0,1)</f>
        <v/>
      </c>
      <c r="H1904" s="29">
        <f>IF(F1904="","",INDEX(Deals!$E$2:$E$843,F1904))</f>
        <v/>
      </c>
      <c r="I1904">
        <f>IF(F1904="","",INDEX(Deals!$D$2:$D$843,F1904))</f>
        <v/>
      </c>
      <c r="J1904">
        <f>IF(F1904="","",INT(H1904)-B1904)</f>
        <v/>
      </c>
      <c r="K1904">
        <f>IF(B1904&gt;=Settings!$C$5,1,0)</f>
        <v/>
      </c>
    </row>
    <row r="1905">
      <c r="A1905" t="inlineStr">
        <is>
          <t>7c667fcefbc8afcb8641fd246d60c462</t>
        </is>
      </c>
      <c r="B1905" s="29" t="n">
        <v>43132</v>
      </c>
      <c r="C1905" t="inlineStr">
        <is>
          <t>2018-02</t>
        </is>
      </c>
      <c r="D1905" t="inlineStr">
        <is>
          <t>76d33b7836dd4396f9dd310392f570f8</t>
        </is>
      </c>
      <c r="E1905" t="inlineStr">
        <is>
          <t>organic_search</t>
        </is>
      </c>
      <c r="F1905">
        <f>IFERROR(MATCH(A1905,Deals!$A$2:$A$843,0),"")</f>
        <v/>
      </c>
      <c r="G1905">
        <f>IF(F1905="",0,1)</f>
        <v/>
      </c>
      <c r="H1905" s="29">
        <f>IF(F1905="","",INDEX(Deals!$E$2:$E$843,F1905))</f>
        <v/>
      </c>
      <c r="I1905">
        <f>IF(F1905="","",INDEX(Deals!$D$2:$D$843,F1905))</f>
        <v/>
      </c>
      <c r="J1905">
        <f>IF(F1905="","",INT(H1905)-B1905)</f>
        <v/>
      </c>
      <c r="K1905">
        <f>IF(B1905&gt;=Settings!$C$5,1,0)</f>
        <v/>
      </c>
    </row>
    <row r="1906">
      <c r="A1906" t="inlineStr">
        <is>
          <t>619c0570b1c04cd3426085a383cafb62</t>
        </is>
      </c>
      <c r="B1906" s="29" t="n">
        <v>43096</v>
      </c>
      <c r="C1906" t="inlineStr">
        <is>
          <t>2017-12</t>
        </is>
      </c>
      <c r="D1906" t="inlineStr">
        <is>
          <t>b6885f18d203a61176418c1fb3764815</t>
        </is>
      </c>
      <c r="E1906" t="inlineStr">
        <is>
          <t>paid_search</t>
        </is>
      </c>
      <c r="F1906">
        <f>IFERROR(MATCH(A1906,Deals!$A$2:$A$843,0),"")</f>
        <v/>
      </c>
      <c r="G1906">
        <f>IF(F1906="",0,1)</f>
        <v/>
      </c>
      <c r="H1906" s="29">
        <f>IF(F1906="","",INDEX(Deals!$E$2:$E$843,F1906))</f>
        <v/>
      </c>
      <c r="I1906">
        <f>IF(F1906="","",INDEX(Deals!$D$2:$D$843,F1906))</f>
        <v/>
      </c>
      <c r="J1906">
        <f>IF(F1906="","",INT(H1906)-B1906)</f>
        <v/>
      </c>
      <c r="K1906">
        <f>IF(B1906&gt;=Settings!$C$5,1,0)</f>
        <v/>
      </c>
    </row>
    <row r="1907">
      <c r="A1907" t="inlineStr">
        <is>
          <t>d0b16c2b9e945575082a7e81f6f933b0</t>
        </is>
      </c>
      <c r="B1907" s="29" t="n">
        <v>43213</v>
      </c>
      <c r="C1907" t="inlineStr">
        <is>
          <t>2018-04</t>
        </is>
      </c>
      <c r="D1907" t="inlineStr">
        <is>
          <t>40dec9f3d5259a3d2dbcdab2114fae47</t>
        </is>
      </c>
      <c r="E1907" t="inlineStr">
        <is>
          <t>paid_search</t>
        </is>
      </c>
      <c r="F1907">
        <f>IFERROR(MATCH(A1907,Deals!$A$2:$A$843,0),"")</f>
        <v/>
      </c>
      <c r="G1907">
        <f>IF(F1907="",0,1)</f>
        <v/>
      </c>
      <c r="H1907" s="29">
        <f>IF(F1907="","",INDEX(Deals!$E$2:$E$843,F1907))</f>
        <v/>
      </c>
      <c r="I1907">
        <f>IF(F1907="","",INDEX(Deals!$D$2:$D$843,F1907))</f>
        <v/>
      </c>
      <c r="J1907">
        <f>IF(F1907="","",INT(H1907)-B1907)</f>
        <v/>
      </c>
      <c r="K1907">
        <f>IF(B1907&gt;=Settings!$C$5,1,0)</f>
        <v/>
      </c>
    </row>
    <row r="1908">
      <c r="A1908" t="inlineStr">
        <is>
          <t>0954173523b13b9dc8c4978a954fd0b0</t>
        </is>
      </c>
      <c r="B1908" s="29" t="n">
        <v>43103</v>
      </c>
      <c r="C1908" t="inlineStr">
        <is>
          <t>2018-01</t>
        </is>
      </c>
      <c r="D1908" t="inlineStr">
        <is>
          <t>40dec9f3d5259a3d2dbcdab2114fae47</t>
        </is>
      </c>
      <c r="E1908" t="inlineStr">
        <is>
          <t>paid_search</t>
        </is>
      </c>
      <c r="F1908">
        <f>IFERROR(MATCH(A1908,Deals!$A$2:$A$843,0),"")</f>
        <v/>
      </c>
      <c r="G1908">
        <f>IF(F1908="",0,1)</f>
        <v/>
      </c>
      <c r="H1908" s="29">
        <f>IF(F1908="","",INDEX(Deals!$E$2:$E$843,F1908))</f>
        <v/>
      </c>
      <c r="I1908">
        <f>IF(F1908="","",INDEX(Deals!$D$2:$D$843,F1908))</f>
        <v/>
      </c>
      <c r="J1908">
        <f>IF(F1908="","",INT(H1908)-B1908)</f>
        <v/>
      </c>
      <c r="K1908">
        <f>IF(B1908&gt;=Settings!$C$5,1,0)</f>
        <v/>
      </c>
    </row>
    <row r="1909">
      <c r="A1909" t="inlineStr">
        <is>
          <t>512182619d12ae0863827b7e5ab97f19</t>
        </is>
      </c>
      <c r="B1909" s="29" t="n">
        <v>43130</v>
      </c>
      <c r="C1909" t="inlineStr">
        <is>
          <t>2018-01</t>
        </is>
      </c>
      <c r="D1909" t="inlineStr">
        <is>
          <t>b76ef37428e6799c421989521c0e5077</t>
        </is>
      </c>
      <c r="E1909" t="inlineStr">
        <is>
          <t>organic_search</t>
        </is>
      </c>
      <c r="F1909">
        <f>IFERROR(MATCH(A1909,Deals!$A$2:$A$843,0),"")</f>
        <v/>
      </c>
      <c r="G1909">
        <f>IF(F1909="",0,1)</f>
        <v/>
      </c>
      <c r="H1909" s="29">
        <f>IF(F1909="","",INDEX(Deals!$E$2:$E$843,F1909))</f>
        <v/>
      </c>
      <c r="I1909">
        <f>IF(F1909="","",INDEX(Deals!$D$2:$D$843,F1909))</f>
        <v/>
      </c>
      <c r="J1909">
        <f>IF(F1909="","",INT(H1909)-B1909)</f>
        <v/>
      </c>
      <c r="K1909">
        <f>IF(B1909&gt;=Settings!$C$5,1,0)</f>
        <v/>
      </c>
    </row>
    <row r="1910">
      <c r="A1910" t="inlineStr">
        <is>
          <t>8e79d8f9f9bd5790fac0c5305066d111</t>
        </is>
      </c>
      <c r="B1910" s="29" t="n">
        <v>43168</v>
      </c>
      <c r="C1910" t="inlineStr">
        <is>
          <t>2018-03</t>
        </is>
      </c>
      <c r="D1910" t="inlineStr">
        <is>
          <t>f017be4dbf86243af5c1ebed0cff36a2</t>
        </is>
      </c>
      <c r="E1910" t="inlineStr">
        <is>
          <t>organic_search</t>
        </is>
      </c>
      <c r="F1910">
        <f>IFERROR(MATCH(A1910,Deals!$A$2:$A$843,0),"")</f>
        <v/>
      </c>
      <c r="G1910">
        <f>IF(F1910="",0,1)</f>
        <v/>
      </c>
      <c r="H1910" s="29">
        <f>IF(F1910="","",INDEX(Deals!$E$2:$E$843,F1910))</f>
        <v/>
      </c>
      <c r="I1910">
        <f>IF(F1910="","",INDEX(Deals!$D$2:$D$843,F1910))</f>
        <v/>
      </c>
      <c r="J1910">
        <f>IF(F1910="","",INT(H1910)-B1910)</f>
        <v/>
      </c>
      <c r="K1910">
        <f>IF(B1910&gt;=Settings!$C$5,1,0)</f>
        <v/>
      </c>
    </row>
    <row r="1911">
      <c r="A1911" t="inlineStr">
        <is>
          <t>bff45300ab6b66080f7f9337d470791c</t>
        </is>
      </c>
      <c r="B1911" s="29" t="n">
        <v>43176</v>
      </c>
      <c r="C1911" t="inlineStr">
        <is>
          <t>2018-03</t>
        </is>
      </c>
      <c r="D1911" t="inlineStr">
        <is>
          <t>4e82dd1f6d00626bda0723eef0a269a6</t>
        </is>
      </c>
      <c r="E1911" t="inlineStr">
        <is>
          <t>organic_search</t>
        </is>
      </c>
      <c r="F1911">
        <f>IFERROR(MATCH(A1911,Deals!$A$2:$A$843,0),"")</f>
        <v/>
      </c>
      <c r="G1911">
        <f>IF(F1911="",0,1)</f>
        <v/>
      </c>
      <c r="H1911" s="29">
        <f>IF(F1911="","",INDEX(Deals!$E$2:$E$843,F1911))</f>
        <v/>
      </c>
      <c r="I1911">
        <f>IF(F1911="","",INDEX(Deals!$D$2:$D$843,F1911))</f>
        <v/>
      </c>
      <c r="J1911">
        <f>IF(F1911="","",INT(H1911)-B1911)</f>
        <v/>
      </c>
      <c r="K1911">
        <f>IF(B1911&gt;=Settings!$C$5,1,0)</f>
        <v/>
      </c>
    </row>
    <row r="1912">
      <c r="A1912" t="inlineStr">
        <is>
          <t>0b05e2f5a10750f6fc431fe91cd28aa7</t>
        </is>
      </c>
      <c r="B1912" s="29" t="n">
        <v>43196</v>
      </c>
      <c r="C1912" t="inlineStr">
        <is>
          <t>2018-04</t>
        </is>
      </c>
      <c r="D1912" t="inlineStr">
        <is>
          <t>b6cd08ac77c501fd6857f7916d2c24f3</t>
        </is>
      </c>
      <c r="E1912" t="inlineStr">
        <is>
          <t>direct_traffic</t>
        </is>
      </c>
      <c r="F1912">
        <f>IFERROR(MATCH(A1912,Deals!$A$2:$A$843,0),"")</f>
        <v/>
      </c>
      <c r="G1912">
        <f>IF(F1912="",0,1)</f>
        <v/>
      </c>
      <c r="H1912" s="29">
        <f>IF(F1912="","",INDEX(Deals!$E$2:$E$843,F1912))</f>
        <v/>
      </c>
      <c r="I1912">
        <f>IF(F1912="","",INDEX(Deals!$D$2:$D$843,F1912))</f>
        <v/>
      </c>
      <c r="J1912">
        <f>IF(F1912="","",INT(H1912)-B1912)</f>
        <v/>
      </c>
      <c r="K1912">
        <f>IF(B1912&gt;=Settings!$C$5,1,0)</f>
        <v/>
      </c>
    </row>
    <row r="1913">
      <c r="A1913" t="inlineStr">
        <is>
          <t>0951c34dc17cf35be31bb59fa96435df</t>
        </is>
      </c>
      <c r="B1913" s="29" t="n">
        <v>43194</v>
      </c>
      <c r="C1913" t="inlineStr">
        <is>
          <t>2018-04</t>
        </is>
      </c>
      <c r="D1913" t="inlineStr">
        <is>
          <t>22c29808c4f815213303f8933030604c</t>
        </is>
      </c>
      <c r="E1913" t="inlineStr">
        <is>
          <t>organic_search</t>
        </is>
      </c>
      <c r="F1913">
        <f>IFERROR(MATCH(A1913,Deals!$A$2:$A$843,0),"")</f>
        <v/>
      </c>
      <c r="G1913">
        <f>IF(F1913="",0,1)</f>
        <v/>
      </c>
      <c r="H1913" s="29">
        <f>IF(F1913="","",INDEX(Deals!$E$2:$E$843,F1913))</f>
        <v/>
      </c>
      <c r="I1913">
        <f>IF(F1913="","",INDEX(Deals!$D$2:$D$843,F1913))</f>
        <v/>
      </c>
      <c r="J1913">
        <f>IF(F1913="","",INT(H1913)-B1913)</f>
        <v/>
      </c>
      <c r="K1913">
        <f>IF(B1913&gt;=Settings!$C$5,1,0)</f>
        <v/>
      </c>
    </row>
    <row r="1914">
      <c r="A1914" t="inlineStr">
        <is>
          <t>bb4968ed0b140b4248317ab001c966c5</t>
        </is>
      </c>
      <c r="B1914" s="29" t="n">
        <v>43195</v>
      </c>
      <c r="C1914" t="inlineStr">
        <is>
          <t>2018-04</t>
        </is>
      </c>
      <c r="D1914" t="inlineStr">
        <is>
          <t>bdaeb752e5c3caa215ebe04c61e22325</t>
        </is>
      </c>
      <c r="E1914" t="inlineStr">
        <is>
          <t>organic_search</t>
        </is>
      </c>
      <c r="F1914">
        <f>IFERROR(MATCH(A1914,Deals!$A$2:$A$843,0),"")</f>
        <v/>
      </c>
      <c r="G1914">
        <f>IF(F1914="",0,1)</f>
        <v/>
      </c>
      <c r="H1914" s="29">
        <f>IF(F1914="","",INDEX(Deals!$E$2:$E$843,F1914))</f>
        <v/>
      </c>
      <c r="I1914">
        <f>IF(F1914="","",INDEX(Deals!$D$2:$D$843,F1914))</f>
        <v/>
      </c>
      <c r="J1914">
        <f>IF(F1914="","",INT(H1914)-B1914)</f>
        <v/>
      </c>
      <c r="K1914">
        <f>IF(B1914&gt;=Settings!$C$5,1,0)</f>
        <v/>
      </c>
    </row>
    <row r="1915">
      <c r="A1915" t="inlineStr">
        <is>
          <t>b6ab25e26f747fb4282c742a98d892cb</t>
        </is>
      </c>
      <c r="B1915" s="29" t="n">
        <v>43210</v>
      </c>
      <c r="C1915" t="inlineStr">
        <is>
          <t>2018-04</t>
        </is>
      </c>
      <c r="D1915" t="inlineStr">
        <is>
          <t>1ceb590cd1e00c7ee95220971f82693d</t>
        </is>
      </c>
      <c r="E1915" t="inlineStr">
        <is>
          <t>organic_search</t>
        </is>
      </c>
      <c r="F1915">
        <f>IFERROR(MATCH(A1915,Deals!$A$2:$A$843,0),"")</f>
        <v/>
      </c>
      <c r="G1915">
        <f>IF(F1915="",0,1)</f>
        <v/>
      </c>
      <c r="H1915" s="29">
        <f>IF(F1915="","",INDEX(Deals!$E$2:$E$843,F1915))</f>
        <v/>
      </c>
      <c r="I1915">
        <f>IF(F1915="","",INDEX(Deals!$D$2:$D$843,F1915))</f>
        <v/>
      </c>
      <c r="J1915">
        <f>IF(F1915="","",INT(H1915)-B1915)</f>
        <v/>
      </c>
      <c r="K1915">
        <f>IF(B1915&gt;=Settings!$C$5,1,0)</f>
        <v/>
      </c>
    </row>
    <row r="1916">
      <c r="A1916" t="inlineStr">
        <is>
          <t>908c5a804c204a58e06d8f7f0b7e53b7</t>
        </is>
      </c>
      <c r="B1916" s="29" t="n">
        <v>43218</v>
      </c>
      <c r="C1916" t="inlineStr">
        <is>
          <t>2018-04</t>
        </is>
      </c>
      <c r="D1916" t="inlineStr">
        <is>
          <t>ea0650174e273c41e12002dcdd4708be</t>
        </is>
      </c>
      <c r="E1916" t="inlineStr">
        <is>
          <t>unknown</t>
        </is>
      </c>
      <c r="F1916">
        <f>IFERROR(MATCH(A1916,Deals!$A$2:$A$843,0),"")</f>
        <v/>
      </c>
      <c r="G1916">
        <f>IF(F1916="",0,1)</f>
        <v/>
      </c>
      <c r="H1916" s="29">
        <f>IF(F1916="","",INDEX(Deals!$E$2:$E$843,F1916))</f>
        <v/>
      </c>
      <c r="I1916">
        <f>IF(F1916="","",INDEX(Deals!$D$2:$D$843,F1916))</f>
        <v/>
      </c>
      <c r="J1916">
        <f>IF(F1916="","",INT(H1916)-B1916)</f>
        <v/>
      </c>
      <c r="K1916">
        <f>IF(B1916&gt;=Settings!$C$5,1,0)</f>
        <v/>
      </c>
    </row>
    <row r="1917">
      <c r="A1917" t="inlineStr">
        <is>
          <t>dd0e5d3313b032ce56c959d25e1beee1</t>
        </is>
      </c>
      <c r="B1917" s="29" t="n">
        <v>42931</v>
      </c>
      <c r="C1917" t="inlineStr">
        <is>
          <t>2017-07</t>
        </is>
      </c>
      <c r="D1917" t="inlineStr">
        <is>
          <t>5f8ff9510f85e3e9dcb1d74965bf8d48</t>
        </is>
      </c>
      <c r="E1917" t="inlineStr">
        <is>
          <t>organic_search</t>
        </is>
      </c>
      <c r="F1917">
        <f>IFERROR(MATCH(A1917,Deals!$A$2:$A$843,0),"")</f>
        <v/>
      </c>
      <c r="G1917">
        <f>IF(F1917="",0,1)</f>
        <v/>
      </c>
      <c r="H1917" s="29">
        <f>IF(F1917="","",INDEX(Deals!$E$2:$E$843,F1917))</f>
        <v/>
      </c>
      <c r="I1917">
        <f>IF(F1917="","",INDEX(Deals!$D$2:$D$843,F1917))</f>
        <v/>
      </c>
      <c r="J1917">
        <f>IF(F1917="","",INT(H1917)-B1917)</f>
        <v/>
      </c>
      <c r="K1917">
        <f>IF(B1917&gt;=Settings!$C$5,1,0)</f>
        <v/>
      </c>
    </row>
    <row r="1918">
      <c r="A1918" t="inlineStr">
        <is>
          <t>e14dc01aadd6ee3cee4ef338fd966b35</t>
        </is>
      </c>
      <c r="B1918" s="29" t="n">
        <v>43206</v>
      </c>
      <c r="C1918" t="inlineStr">
        <is>
          <t>2018-04</t>
        </is>
      </c>
      <c r="D1918" t="inlineStr">
        <is>
          <t>73f31a40697cc90a86c1273563ac230e</t>
        </is>
      </c>
      <c r="E1918" t="inlineStr">
        <is>
          <t>other</t>
        </is>
      </c>
      <c r="F1918">
        <f>IFERROR(MATCH(A1918,Deals!$A$2:$A$843,0),"")</f>
        <v/>
      </c>
      <c r="G1918">
        <f>IF(F1918="",0,1)</f>
        <v/>
      </c>
      <c r="H1918" s="29">
        <f>IF(F1918="","",INDEX(Deals!$E$2:$E$843,F1918))</f>
        <v/>
      </c>
      <c r="I1918">
        <f>IF(F1918="","",INDEX(Deals!$D$2:$D$843,F1918))</f>
        <v/>
      </c>
      <c r="J1918">
        <f>IF(F1918="","",INT(H1918)-B1918)</f>
        <v/>
      </c>
      <c r="K1918">
        <f>IF(B1918&gt;=Settings!$C$5,1,0)</f>
        <v/>
      </c>
    </row>
    <row r="1919">
      <c r="A1919" t="inlineStr">
        <is>
          <t>28e268a8abf4b64614d94f8bba977246</t>
        </is>
      </c>
      <c r="B1919" s="29" t="n">
        <v>43153</v>
      </c>
      <c r="C1919" t="inlineStr">
        <is>
          <t>2018-02</t>
        </is>
      </c>
      <c r="D1919" t="inlineStr">
        <is>
          <t>b76ef37428e6799c421989521c0e5077</t>
        </is>
      </c>
      <c r="E1919" t="inlineStr">
        <is>
          <t>paid_search</t>
        </is>
      </c>
      <c r="F1919">
        <f>IFERROR(MATCH(A1919,Deals!$A$2:$A$843,0),"")</f>
        <v/>
      </c>
      <c r="G1919">
        <f>IF(F1919="",0,1)</f>
        <v/>
      </c>
      <c r="H1919" s="29">
        <f>IF(F1919="","",INDEX(Deals!$E$2:$E$843,F1919))</f>
        <v/>
      </c>
      <c r="I1919">
        <f>IF(F1919="","",INDEX(Deals!$D$2:$D$843,F1919))</f>
        <v/>
      </c>
      <c r="J1919">
        <f>IF(F1919="","",INT(H1919)-B1919)</f>
        <v/>
      </c>
      <c r="K1919">
        <f>IF(B1919&gt;=Settings!$C$5,1,0)</f>
        <v/>
      </c>
    </row>
    <row r="1920">
      <c r="A1920" t="inlineStr">
        <is>
          <t>5ea40273e56bd87ec62c0a113f20fdc2</t>
        </is>
      </c>
      <c r="B1920" s="29" t="n">
        <v>43026</v>
      </c>
      <c r="C1920" t="inlineStr">
        <is>
          <t>2017-10</t>
        </is>
      </c>
      <c r="D1920" t="inlineStr">
        <is>
          <t>c05f0fd41e79d7811221253e0d4eadc8</t>
        </is>
      </c>
      <c r="E1920" t="inlineStr">
        <is>
          <t>organic_search</t>
        </is>
      </c>
      <c r="F1920">
        <f>IFERROR(MATCH(A1920,Deals!$A$2:$A$843,0),"")</f>
        <v/>
      </c>
      <c r="G1920">
        <f>IF(F1920="",0,1)</f>
        <v/>
      </c>
      <c r="H1920" s="29">
        <f>IF(F1920="","",INDEX(Deals!$E$2:$E$843,F1920))</f>
        <v/>
      </c>
      <c r="I1920">
        <f>IF(F1920="","",INDEX(Deals!$D$2:$D$843,F1920))</f>
        <v/>
      </c>
      <c r="J1920">
        <f>IF(F1920="","",INT(H1920)-B1920)</f>
        <v/>
      </c>
      <c r="K1920">
        <f>IF(B1920&gt;=Settings!$C$5,1,0)</f>
        <v/>
      </c>
    </row>
    <row r="1921">
      <c r="A1921" t="inlineStr">
        <is>
          <t>572b2297b5fcd241d2c8b328f83948d1</t>
        </is>
      </c>
      <c r="B1921" s="29" t="n">
        <v>43195</v>
      </c>
      <c r="C1921" t="inlineStr">
        <is>
          <t>2018-04</t>
        </is>
      </c>
      <c r="D1921" t="inlineStr">
        <is>
          <t>22c29808c4f815213303f8933030604c</t>
        </is>
      </c>
      <c r="E1921" t="inlineStr">
        <is>
          <t>paid_search</t>
        </is>
      </c>
      <c r="F1921">
        <f>IFERROR(MATCH(A1921,Deals!$A$2:$A$843,0),"")</f>
        <v/>
      </c>
      <c r="G1921">
        <f>IF(F1921="",0,1)</f>
        <v/>
      </c>
      <c r="H1921" s="29">
        <f>IF(F1921="","",INDEX(Deals!$E$2:$E$843,F1921))</f>
        <v/>
      </c>
      <c r="I1921">
        <f>IF(F1921="","",INDEX(Deals!$D$2:$D$843,F1921))</f>
        <v/>
      </c>
      <c r="J1921">
        <f>IF(F1921="","",INT(H1921)-B1921)</f>
        <v/>
      </c>
      <c r="K1921">
        <f>IF(B1921&gt;=Settings!$C$5,1,0)</f>
        <v/>
      </c>
    </row>
    <row r="1922">
      <c r="A1922" t="inlineStr">
        <is>
          <t>960c4a626b7d97c94f29b118a8d395f1</t>
        </is>
      </c>
      <c r="B1922" s="29" t="n">
        <v>43226</v>
      </c>
      <c r="C1922" t="inlineStr">
        <is>
          <t>2018-05</t>
        </is>
      </c>
      <c r="D1922" t="inlineStr">
        <is>
          <t>58326e62183c14b0c03085c33b9fdc44</t>
        </is>
      </c>
      <c r="E1922" t="inlineStr">
        <is>
          <t>social</t>
        </is>
      </c>
      <c r="F1922">
        <f>IFERROR(MATCH(A1922,Deals!$A$2:$A$843,0),"")</f>
        <v/>
      </c>
      <c r="G1922">
        <f>IF(F1922="",0,1)</f>
        <v/>
      </c>
      <c r="H1922" s="29">
        <f>IF(F1922="","",INDEX(Deals!$E$2:$E$843,F1922))</f>
        <v/>
      </c>
      <c r="I1922">
        <f>IF(F1922="","",INDEX(Deals!$D$2:$D$843,F1922))</f>
        <v/>
      </c>
      <c r="J1922">
        <f>IF(F1922="","",INT(H1922)-B1922)</f>
        <v/>
      </c>
      <c r="K1922">
        <f>IF(B1922&gt;=Settings!$C$5,1,0)</f>
        <v/>
      </c>
    </row>
    <row r="1923">
      <c r="A1923" t="inlineStr">
        <is>
          <t>f0d92a0e3d866de3ab42f2223efddec7</t>
        </is>
      </c>
      <c r="B1923" s="29" t="n">
        <v>43157</v>
      </c>
      <c r="C1923" t="inlineStr">
        <is>
          <t>2018-02</t>
        </is>
      </c>
      <c r="D1923" t="inlineStr">
        <is>
          <t>b76ef37428e6799c421989521c0e5077</t>
        </is>
      </c>
      <c r="E1923" t="inlineStr">
        <is>
          <t>direct_traffic</t>
        </is>
      </c>
      <c r="F1923">
        <f>IFERROR(MATCH(A1923,Deals!$A$2:$A$843,0),"")</f>
        <v/>
      </c>
      <c r="G1923">
        <f>IF(F1923="",0,1)</f>
        <v/>
      </c>
      <c r="H1923" s="29">
        <f>IF(F1923="","",INDEX(Deals!$E$2:$E$843,F1923))</f>
        <v/>
      </c>
      <c r="I1923">
        <f>IF(F1923="","",INDEX(Deals!$D$2:$D$843,F1923))</f>
        <v/>
      </c>
      <c r="J1923">
        <f>IF(F1923="","",INT(H1923)-B1923)</f>
        <v/>
      </c>
      <c r="K1923">
        <f>IF(B1923&gt;=Settings!$C$5,1,0)</f>
        <v/>
      </c>
    </row>
    <row r="1924">
      <c r="A1924" t="inlineStr">
        <is>
          <t>92b5eb942a693af473d741b2c487fdd5</t>
        </is>
      </c>
      <c r="B1924" s="29" t="n">
        <v>42977</v>
      </c>
      <c r="C1924" t="inlineStr">
        <is>
          <t>2017-08</t>
        </is>
      </c>
      <c r="D1924" t="inlineStr">
        <is>
          <t>ef0b482996664cc1107b9051efd3ca84</t>
        </is>
      </c>
      <c r="E1924" t="inlineStr">
        <is>
          <t>organic_search</t>
        </is>
      </c>
      <c r="F1924">
        <f>IFERROR(MATCH(A1924,Deals!$A$2:$A$843,0),"")</f>
        <v/>
      </c>
      <c r="G1924">
        <f>IF(F1924="",0,1)</f>
        <v/>
      </c>
      <c r="H1924" s="29">
        <f>IF(F1924="","",INDEX(Deals!$E$2:$E$843,F1924))</f>
        <v/>
      </c>
      <c r="I1924">
        <f>IF(F1924="","",INDEX(Deals!$D$2:$D$843,F1924))</f>
        <v/>
      </c>
      <c r="J1924">
        <f>IF(F1924="","",INT(H1924)-B1924)</f>
        <v/>
      </c>
      <c r="K1924">
        <f>IF(B1924&gt;=Settings!$C$5,1,0)</f>
        <v/>
      </c>
    </row>
    <row r="1925">
      <c r="A1925" t="inlineStr">
        <is>
          <t>da4b6c9de8b0a3adf66759c0fcbef5db</t>
        </is>
      </c>
      <c r="B1925" s="29" t="n">
        <v>43103</v>
      </c>
      <c r="C1925" t="inlineStr">
        <is>
          <t>2018-01</t>
        </is>
      </c>
      <c r="D1925" t="inlineStr">
        <is>
          <t>a7982125ff7aa3b2054c6e44f9d28522</t>
        </is>
      </c>
      <c r="E1925" t="inlineStr">
        <is>
          <t>organic_search</t>
        </is>
      </c>
      <c r="F1925">
        <f>IFERROR(MATCH(A1925,Deals!$A$2:$A$843,0),"")</f>
        <v/>
      </c>
      <c r="G1925">
        <f>IF(F1925="",0,1)</f>
        <v/>
      </c>
      <c r="H1925" s="29">
        <f>IF(F1925="","",INDEX(Deals!$E$2:$E$843,F1925))</f>
        <v/>
      </c>
      <c r="I1925">
        <f>IF(F1925="","",INDEX(Deals!$D$2:$D$843,F1925))</f>
        <v/>
      </c>
      <c r="J1925">
        <f>IF(F1925="","",INT(H1925)-B1925)</f>
        <v/>
      </c>
      <c r="K1925">
        <f>IF(B1925&gt;=Settings!$C$5,1,0)</f>
        <v/>
      </c>
    </row>
    <row r="1926">
      <c r="A1926" t="inlineStr">
        <is>
          <t>b5641cd52206b351965ff0cb0e4aff6c</t>
        </is>
      </c>
      <c r="B1926" s="29" t="n">
        <v>43233</v>
      </c>
      <c r="C1926" t="inlineStr">
        <is>
          <t>2018-05</t>
        </is>
      </c>
      <c r="D1926" t="inlineStr">
        <is>
          <t>ce1a65abd0973638f1c887a6efcfa82d</t>
        </is>
      </c>
      <c r="E1926" t="inlineStr">
        <is>
          <t>organic_search</t>
        </is>
      </c>
      <c r="F1926">
        <f>IFERROR(MATCH(A1926,Deals!$A$2:$A$843,0),"")</f>
        <v/>
      </c>
      <c r="G1926">
        <f>IF(F1926="",0,1)</f>
        <v/>
      </c>
      <c r="H1926" s="29">
        <f>IF(F1926="","",INDEX(Deals!$E$2:$E$843,F1926))</f>
        <v/>
      </c>
      <c r="I1926">
        <f>IF(F1926="","",INDEX(Deals!$D$2:$D$843,F1926))</f>
        <v/>
      </c>
      <c r="J1926">
        <f>IF(F1926="","",INT(H1926)-B1926)</f>
        <v/>
      </c>
      <c r="K1926">
        <f>IF(B1926&gt;=Settings!$C$5,1,0)</f>
        <v/>
      </c>
    </row>
    <row r="1927">
      <c r="A1927" t="inlineStr">
        <is>
          <t>f843b38155cd45cd93df8b66feaf3492</t>
        </is>
      </c>
      <c r="B1927" s="29" t="n">
        <v>43031</v>
      </c>
      <c r="C1927" t="inlineStr">
        <is>
          <t>2017-10</t>
        </is>
      </c>
      <c r="D1927" t="inlineStr">
        <is>
          <t>82ce7345d29d3003d376f9382fc0eba0</t>
        </is>
      </c>
      <c r="E1927" t="inlineStr">
        <is>
          <t>paid_search</t>
        </is>
      </c>
      <c r="F1927">
        <f>IFERROR(MATCH(A1927,Deals!$A$2:$A$843,0),"")</f>
        <v/>
      </c>
      <c r="G1927">
        <f>IF(F1927="",0,1)</f>
        <v/>
      </c>
      <c r="H1927" s="29">
        <f>IF(F1927="","",INDEX(Deals!$E$2:$E$843,F1927))</f>
        <v/>
      </c>
      <c r="I1927">
        <f>IF(F1927="","",INDEX(Deals!$D$2:$D$843,F1927))</f>
        <v/>
      </c>
      <c r="J1927">
        <f>IF(F1927="","",INT(H1927)-B1927)</f>
        <v/>
      </c>
      <c r="K1927">
        <f>IF(B1927&gt;=Settings!$C$5,1,0)</f>
        <v/>
      </c>
    </row>
    <row r="1928">
      <c r="A1928" t="inlineStr">
        <is>
          <t>054dc98b329e8837d6429c4840c88268</t>
        </is>
      </c>
      <c r="B1928" s="29" t="n">
        <v>43151</v>
      </c>
      <c r="C1928" t="inlineStr">
        <is>
          <t>2018-02</t>
        </is>
      </c>
      <c r="D1928" t="inlineStr">
        <is>
          <t>54d5e01ab35155d4bd8cf723fc6f04a0</t>
        </is>
      </c>
      <c r="E1928" t="inlineStr">
        <is>
          <t>email</t>
        </is>
      </c>
      <c r="F1928">
        <f>IFERROR(MATCH(A1928,Deals!$A$2:$A$843,0),"")</f>
        <v/>
      </c>
      <c r="G1928">
        <f>IF(F1928="",0,1)</f>
        <v/>
      </c>
      <c r="H1928" s="29">
        <f>IF(F1928="","",INDEX(Deals!$E$2:$E$843,F1928))</f>
        <v/>
      </c>
      <c r="I1928">
        <f>IF(F1928="","",INDEX(Deals!$D$2:$D$843,F1928))</f>
        <v/>
      </c>
      <c r="J1928">
        <f>IF(F1928="","",INT(H1928)-B1928)</f>
        <v/>
      </c>
      <c r="K1928">
        <f>IF(B1928&gt;=Settings!$C$5,1,0)</f>
        <v/>
      </c>
    </row>
    <row r="1929">
      <c r="A1929" t="inlineStr">
        <is>
          <t>adf06790db90a92467a44a9a4d913e08</t>
        </is>
      </c>
      <c r="B1929" s="29" t="n">
        <v>43104</v>
      </c>
      <c r="C1929" t="inlineStr">
        <is>
          <t>2018-01</t>
        </is>
      </c>
      <c r="D1929" t="inlineStr">
        <is>
          <t>88740e65d5d6b056e0cda098e1ea6313</t>
        </is>
      </c>
      <c r="E1929" t="inlineStr">
        <is>
          <t>social</t>
        </is>
      </c>
      <c r="F1929">
        <f>IFERROR(MATCH(A1929,Deals!$A$2:$A$843,0),"")</f>
        <v/>
      </c>
      <c r="G1929">
        <f>IF(F1929="",0,1)</f>
        <v/>
      </c>
      <c r="H1929" s="29">
        <f>IF(F1929="","",INDEX(Deals!$E$2:$E$843,F1929))</f>
        <v/>
      </c>
      <c r="I1929">
        <f>IF(F1929="","",INDEX(Deals!$D$2:$D$843,F1929))</f>
        <v/>
      </c>
      <c r="J1929">
        <f>IF(F1929="","",INT(H1929)-B1929)</f>
        <v/>
      </c>
      <c r="K1929">
        <f>IF(B1929&gt;=Settings!$C$5,1,0)</f>
        <v/>
      </c>
    </row>
    <row r="1930">
      <c r="A1930" t="inlineStr">
        <is>
          <t>42f2d2234188bfdd8fab51ddcadcee37</t>
        </is>
      </c>
      <c r="B1930" s="29" t="n">
        <v>43032</v>
      </c>
      <c r="C1930" t="inlineStr">
        <is>
          <t>2017-10</t>
        </is>
      </c>
      <c r="D1930" t="inlineStr">
        <is>
          <t>e92a6f37ebb87a6bfbc569d439cf1635</t>
        </is>
      </c>
      <c r="E1930" t="inlineStr">
        <is>
          <t>direct_traffic</t>
        </is>
      </c>
      <c r="F1930">
        <f>IFERROR(MATCH(A1930,Deals!$A$2:$A$843,0),"")</f>
        <v/>
      </c>
      <c r="G1930">
        <f>IF(F1930="",0,1)</f>
        <v/>
      </c>
      <c r="H1930" s="29">
        <f>IF(F1930="","",INDEX(Deals!$E$2:$E$843,F1930))</f>
        <v/>
      </c>
      <c r="I1930">
        <f>IF(F1930="","",INDEX(Deals!$D$2:$D$843,F1930))</f>
        <v/>
      </c>
      <c r="J1930">
        <f>IF(F1930="","",INT(H1930)-B1930)</f>
        <v/>
      </c>
      <c r="K1930">
        <f>IF(B1930&gt;=Settings!$C$5,1,0)</f>
        <v/>
      </c>
    </row>
    <row r="1931">
      <c r="A1931" t="inlineStr">
        <is>
          <t>e1db696dd96f55544d1a322402e33f52</t>
        </is>
      </c>
      <c r="B1931" s="29" t="n">
        <v>43109</v>
      </c>
      <c r="C1931" t="inlineStr">
        <is>
          <t>2018-01</t>
        </is>
      </c>
      <c r="D1931" t="inlineStr">
        <is>
          <t>88740e65d5d6b056e0cda098e1ea6313</t>
        </is>
      </c>
      <c r="E1931" t="inlineStr">
        <is>
          <t>social</t>
        </is>
      </c>
      <c r="F1931">
        <f>IFERROR(MATCH(A1931,Deals!$A$2:$A$843,0),"")</f>
        <v/>
      </c>
      <c r="G1931">
        <f>IF(F1931="",0,1)</f>
        <v/>
      </c>
      <c r="H1931" s="29">
        <f>IF(F1931="","",INDEX(Deals!$E$2:$E$843,F1931))</f>
        <v/>
      </c>
      <c r="I1931">
        <f>IF(F1931="","",INDEX(Deals!$D$2:$D$843,F1931))</f>
        <v/>
      </c>
      <c r="J1931">
        <f>IF(F1931="","",INT(H1931)-B1931)</f>
        <v/>
      </c>
      <c r="K1931">
        <f>IF(B1931&gt;=Settings!$C$5,1,0)</f>
        <v/>
      </c>
    </row>
    <row r="1932">
      <c r="A1932" t="inlineStr">
        <is>
          <t>e7cb3af0459b010c53533157ed3d1110</t>
        </is>
      </c>
      <c r="B1932" s="29" t="n">
        <v>43180</v>
      </c>
      <c r="C1932" t="inlineStr">
        <is>
          <t>2018-03</t>
        </is>
      </c>
      <c r="D1932" t="inlineStr">
        <is>
          <t>40dec9f3d5259a3d2dbcdab2114fae47</t>
        </is>
      </c>
      <c r="E1932" t="inlineStr">
        <is>
          <t>paid_search</t>
        </is>
      </c>
      <c r="F1932">
        <f>IFERROR(MATCH(A1932,Deals!$A$2:$A$843,0),"")</f>
        <v/>
      </c>
      <c r="G1932">
        <f>IF(F1932="",0,1)</f>
        <v/>
      </c>
      <c r="H1932" s="29">
        <f>IF(F1932="","",INDEX(Deals!$E$2:$E$843,F1932))</f>
        <v/>
      </c>
      <c r="I1932">
        <f>IF(F1932="","",INDEX(Deals!$D$2:$D$843,F1932))</f>
        <v/>
      </c>
      <c r="J1932">
        <f>IF(F1932="","",INT(H1932)-B1932)</f>
        <v/>
      </c>
      <c r="K1932">
        <f>IF(B1932&gt;=Settings!$C$5,1,0)</f>
        <v/>
      </c>
    </row>
    <row r="1933">
      <c r="A1933" t="inlineStr">
        <is>
          <t>c2bc8f626b7aa52fb0eb9871805d865f</t>
        </is>
      </c>
      <c r="B1933" s="29" t="n">
        <v>43045</v>
      </c>
      <c r="C1933" t="inlineStr">
        <is>
          <t>2017-11</t>
        </is>
      </c>
      <c r="D1933" t="inlineStr">
        <is>
          <t>e492ee5eaf1697716985cc6f33f9cd9b</t>
        </is>
      </c>
      <c r="E1933" t="inlineStr">
        <is>
          <t>referral</t>
        </is>
      </c>
      <c r="F1933">
        <f>IFERROR(MATCH(A1933,Deals!$A$2:$A$843,0),"")</f>
        <v/>
      </c>
      <c r="G1933">
        <f>IF(F1933="",0,1)</f>
        <v/>
      </c>
      <c r="H1933" s="29">
        <f>IF(F1933="","",INDEX(Deals!$E$2:$E$843,F1933))</f>
        <v/>
      </c>
      <c r="I1933">
        <f>IF(F1933="","",INDEX(Deals!$D$2:$D$843,F1933))</f>
        <v/>
      </c>
      <c r="J1933">
        <f>IF(F1933="","",INT(H1933)-B1933)</f>
        <v/>
      </c>
      <c r="K1933">
        <f>IF(B1933&gt;=Settings!$C$5,1,0)</f>
        <v/>
      </c>
    </row>
    <row r="1934">
      <c r="A1934" t="inlineStr">
        <is>
          <t>fc09bc726c8f8212248df25f0b6c4f24</t>
        </is>
      </c>
      <c r="B1934" s="29" t="n">
        <v>43031</v>
      </c>
      <c r="C1934" t="inlineStr">
        <is>
          <t>2017-10</t>
        </is>
      </c>
      <c r="D1934" t="inlineStr">
        <is>
          <t>c05f0fd41e79d7811221253e0d4eadc8</t>
        </is>
      </c>
      <c r="E1934" t="inlineStr">
        <is>
          <t>direct_traffic</t>
        </is>
      </c>
      <c r="F1934">
        <f>IFERROR(MATCH(A1934,Deals!$A$2:$A$843,0),"")</f>
        <v/>
      </c>
      <c r="G1934">
        <f>IF(F1934="",0,1)</f>
        <v/>
      </c>
      <c r="H1934" s="29">
        <f>IF(F1934="","",INDEX(Deals!$E$2:$E$843,F1934))</f>
        <v/>
      </c>
      <c r="I1934">
        <f>IF(F1934="","",INDEX(Deals!$D$2:$D$843,F1934))</f>
        <v/>
      </c>
      <c r="J1934">
        <f>IF(F1934="","",INT(H1934)-B1934)</f>
        <v/>
      </c>
      <c r="K1934">
        <f>IF(B1934&gt;=Settings!$C$5,1,0)</f>
        <v/>
      </c>
    </row>
    <row r="1935">
      <c r="A1935" t="inlineStr">
        <is>
          <t>6ab08e73ce25fd0431693a4c3998cdfc</t>
        </is>
      </c>
      <c r="B1935" s="29" t="n">
        <v>43194</v>
      </c>
      <c r="C1935" t="inlineStr">
        <is>
          <t>2018-04</t>
        </is>
      </c>
      <c r="D1935" t="inlineStr">
        <is>
          <t>40dec9f3d5259a3d2dbcdab2114fae47</t>
        </is>
      </c>
      <c r="E1935" t="inlineStr">
        <is>
          <t>social</t>
        </is>
      </c>
      <c r="F1935">
        <f>IFERROR(MATCH(A1935,Deals!$A$2:$A$843,0),"")</f>
        <v/>
      </c>
      <c r="G1935">
        <f>IF(F1935="",0,1)</f>
        <v/>
      </c>
      <c r="H1935" s="29">
        <f>IF(F1935="","",INDEX(Deals!$E$2:$E$843,F1935))</f>
        <v/>
      </c>
      <c r="I1935">
        <f>IF(F1935="","",INDEX(Deals!$D$2:$D$843,F1935))</f>
        <v/>
      </c>
      <c r="J1935">
        <f>IF(F1935="","",INT(H1935)-B1935)</f>
        <v/>
      </c>
      <c r="K1935">
        <f>IF(B1935&gt;=Settings!$C$5,1,0)</f>
        <v/>
      </c>
    </row>
    <row r="1936">
      <c r="A1936" t="inlineStr">
        <is>
          <t>1504d56c70e614417b8d1aec1090fec5</t>
        </is>
      </c>
      <c r="B1936" s="29" t="n">
        <v>42976</v>
      </c>
      <c r="C1936" t="inlineStr">
        <is>
          <t>2017-08</t>
        </is>
      </c>
      <c r="D1936" t="inlineStr">
        <is>
          <t>3cd2a8301d5395f21cdd3094c9eaa2f4</t>
        </is>
      </c>
      <c r="E1936" t="inlineStr">
        <is>
          <t>paid_search</t>
        </is>
      </c>
      <c r="F1936">
        <f>IFERROR(MATCH(A1936,Deals!$A$2:$A$843,0),"")</f>
        <v/>
      </c>
      <c r="G1936">
        <f>IF(F1936="",0,1)</f>
        <v/>
      </c>
      <c r="H1936" s="29">
        <f>IF(F1936="","",INDEX(Deals!$E$2:$E$843,F1936))</f>
        <v/>
      </c>
      <c r="I1936">
        <f>IF(F1936="","",INDEX(Deals!$D$2:$D$843,F1936))</f>
        <v/>
      </c>
      <c r="J1936">
        <f>IF(F1936="","",INT(H1936)-B1936)</f>
        <v/>
      </c>
      <c r="K1936">
        <f>IF(B1936&gt;=Settings!$C$5,1,0)</f>
        <v/>
      </c>
    </row>
    <row r="1937">
      <c r="A1937" t="inlineStr">
        <is>
          <t>2191b0457b51692049fca7e1bb5c4aca</t>
        </is>
      </c>
      <c r="B1937" s="29" t="n">
        <v>43113</v>
      </c>
      <c r="C1937" t="inlineStr">
        <is>
          <t>2018-01</t>
        </is>
      </c>
      <c r="D1937" t="inlineStr">
        <is>
          <t>22c29808c4f815213303f8933030604c</t>
        </is>
      </c>
      <c r="E1937" t="inlineStr">
        <is>
          <t>referral</t>
        </is>
      </c>
      <c r="F1937">
        <f>IFERROR(MATCH(A1937,Deals!$A$2:$A$843,0),"")</f>
        <v/>
      </c>
      <c r="G1937">
        <f>IF(F1937="",0,1)</f>
        <v/>
      </c>
      <c r="H1937" s="29">
        <f>IF(F1937="","",INDEX(Deals!$E$2:$E$843,F1937))</f>
        <v/>
      </c>
      <c r="I1937">
        <f>IF(F1937="","",INDEX(Deals!$D$2:$D$843,F1937))</f>
        <v/>
      </c>
      <c r="J1937">
        <f>IF(F1937="","",INT(H1937)-B1937)</f>
        <v/>
      </c>
      <c r="K1937">
        <f>IF(B1937&gt;=Settings!$C$5,1,0)</f>
        <v/>
      </c>
    </row>
    <row r="1938">
      <c r="A1938" t="inlineStr">
        <is>
          <t>32235d0407f38dd1a6781a0db62b457b</t>
        </is>
      </c>
      <c r="B1938" s="29" t="n">
        <v>43039</v>
      </c>
      <c r="C1938" t="inlineStr">
        <is>
          <t>2017-10</t>
        </is>
      </c>
      <c r="D1938" t="inlineStr">
        <is>
          <t>1722481ac9e5371e5099dea226b5421d</t>
        </is>
      </c>
      <c r="E1938" t="inlineStr">
        <is>
          <t>organic_search</t>
        </is>
      </c>
      <c r="F1938">
        <f>IFERROR(MATCH(A1938,Deals!$A$2:$A$843,0),"")</f>
        <v/>
      </c>
      <c r="G1938">
        <f>IF(F1938="",0,1)</f>
        <v/>
      </c>
      <c r="H1938" s="29">
        <f>IF(F1938="","",INDEX(Deals!$E$2:$E$843,F1938))</f>
        <v/>
      </c>
      <c r="I1938">
        <f>IF(F1938="","",INDEX(Deals!$D$2:$D$843,F1938))</f>
        <v/>
      </c>
      <c r="J1938">
        <f>IF(F1938="","",INT(H1938)-B1938)</f>
        <v/>
      </c>
      <c r="K1938">
        <f>IF(B1938&gt;=Settings!$C$5,1,0)</f>
        <v/>
      </c>
    </row>
    <row r="1939">
      <c r="A1939" t="inlineStr">
        <is>
          <t>e9c283d59b5d6f8035d3978c061661f5</t>
        </is>
      </c>
      <c r="B1939" s="29" t="n">
        <v>43126</v>
      </c>
      <c r="C1939" t="inlineStr">
        <is>
          <t>2018-01</t>
        </is>
      </c>
      <c r="D1939" t="inlineStr">
        <is>
          <t>22c29808c4f815213303f8933030604c</t>
        </is>
      </c>
      <c r="E1939" t="inlineStr">
        <is>
          <t>referral</t>
        </is>
      </c>
      <c r="F1939">
        <f>IFERROR(MATCH(A1939,Deals!$A$2:$A$843,0),"")</f>
        <v/>
      </c>
      <c r="G1939">
        <f>IF(F1939="",0,1)</f>
        <v/>
      </c>
      <c r="H1939" s="29">
        <f>IF(F1939="","",INDEX(Deals!$E$2:$E$843,F1939))</f>
        <v/>
      </c>
      <c r="I1939">
        <f>IF(F1939="","",INDEX(Deals!$D$2:$D$843,F1939))</f>
        <v/>
      </c>
      <c r="J1939">
        <f>IF(F1939="","",INT(H1939)-B1939)</f>
        <v/>
      </c>
      <c r="K1939">
        <f>IF(B1939&gt;=Settings!$C$5,1,0)</f>
        <v/>
      </c>
    </row>
    <row r="1940">
      <c r="A1940" t="inlineStr">
        <is>
          <t>8292c2c5afbab7549123a2640e22044a</t>
        </is>
      </c>
      <c r="B1940" s="29" t="n">
        <v>43123</v>
      </c>
      <c r="C1940" t="inlineStr">
        <is>
          <t>2018-01</t>
        </is>
      </c>
      <c r="D1940" t="inlineStr">
        <is>
          <t>7fa6214d82e911d070f51ef79381b956</t>
        </is>
      </c>
      <c r="E1940" t="inlineStr">
        <is>
          <t>direct_traffic</t>
        </is>
      </c>
      <c r="F1940">
        <f>IFERROR(MATCH(A1940,Deals!$A$2:$A$843,0),"")</f>
        <v/>
      </c>
      <c r="G1940">
        <f>IF(F1940="",0,1)</f>
        <v/>
      </c>
      <c r="H1940" s="29">
        <f>IF(F1940="","",INDEX(Deals!$E$2:$E$843,F1940))</f>
        <v/>
      </c>
      <c r="I1940">
        <f>IF(F1940="","",INDEX(Deals!$D$2:$D$843,F1940))</f>
        <v/>
      </c>
      <c r="J1940">
        <f>IF(F1940="","",INT(H1940)-B1940)</f>
        <v/>
      </c>
      <c r="K1940">
        <f>IF(B1940&gt;=Settings!$C$5,1,0)</f>
        <v/>
      </c>
    </row>
    <row r="1941">
      <c r="A1941" t="inlineStr">
        <is>
          <t>7270ec1d67725ee992193adf9e9f2637</t>
        </is>
      </c>
      <c r="B1941" s="29" t="n">
        <v>43194</v>
      </c>
      <c r="C1941" t="inlineStr">
        <is>
          <t>2018-04</t>
        </is>
      </c>
      <c r="D1941" t="inlineStr">
        <is>
          <t>b76ef37428e6799c421989521c0e5077</t>
        </is>
      </c>
      <c r="E1941" t="inlineStr">
        <is>
          <t>unknown</t>
        </is>
      </c>
      <c r="F1941">
        <f>IFERROR(MATCH(A1941,Deals!$A$2:$A$843,0),"")</f>
        <v/>
      </c>
      <c r="G1941">
        <f>IF(F1941="",0,1)</f>
        <v/>
      </c>
      <c r="H1941" s="29">
        <f>IF(F1941="","",INDEX(Deals!$E$2:$E$843,F1941))</f>
        <v/>
      </c>
      <c r="I1941">
        <f>IF(F1941="","",INDEX(Deals!$D$2:$D$843,F1941))</f>
        <v/>
      </c>
      <c r="J1941">
        <f>IF(F1941="","",INT(H1941)-B1941)</f>
        <v/>
      </c>
      <c r="K1941">
        <f>IF(B1941&gt;=Settings!$C$5,1,0)</f>
        <v/>
      </c>
    </row>
    <row r="1942">
      <c r="A1942" t="inlineStr">
        <is>
          <t>ef591ef20bf1f1923947002769dd0fa0</t>
        </is>
      </c>
      <c r="B1942" s="29" t="n">
        <v>43206</v>
      </c>
      <c r="C1942" t="inlineStr">
        <is>
          <t>2018-04</t>
        </is>
      </c>
      <c r="D1942" t="inlineStr">
        <is>
          <t>92df13aefec1a7292f606a4c7d4187bf</t>
        </is>
      </c>
      <c r="E1942" t="inlineStr">
        <is>
          <t>email</t>
        </is>
      </c>
      <c r="F1942">
        <f>IFERROR(MATCH(A1942,Deals!$A$2:$A$843,0),"")</f>
        <v/>
      </c>
      <c r="G1942">
        <f>IF(F1942="",0,1)</f>
        <v/>
      </c>
      <c r="H1942" s="29">
        <f>IF(F1942="","",INDEX(Deals!$E$2:$E$843,F1942))</f>
        <v/>
      </c>
      <c r="I1942">
        <f>IF(F1942="","",INDEX(Deals!$D$2:$D$843,F1942))</f>
        <v/>
      </c>
      <c r="J1942">
        <f>IF(F1942="","",INT(H1942)-B1942)</f>
        <v/>
      </c>
      <c r="K1942">
        <f>IF(B1942&gt;=Settings!$C$5,1,0)</f>
        <v/>
      </c>
    </row>
    <row r="1943">
      <c r="A1943" t="inlineStr">
        <is>
          <t>99d403e4b3d5513eb108bac456ad8b1b</t>
        </is>
      </c>
      <c r="B1943" s="29" t="n">
        <v>43137</v>
      </c>
      <c r="C1943" t="inlineStr">
        <is>
          <t>2018-02</t>
        </is>
      </c>
      <c r="D1943" t="inlineStr">
        <is>
          <t>b76ef37428e6799c421989521c0e5077</t>
        </is>
      </c>
      <c r="E1943" t="inlineStr">
        <is>
          <t>unknown</t>
        </is>
      </c>
      <c r="F1943">
        <f>IFERROR(MATCH(A1943,Deals!$A$2:$A$843,0),"")</f>
        <v/>
      </c>
      <c r="G1943">
        <f>IF(F1943="",0,1)</f>
        <v/>
      </c>
      <c r="H1943" s="29">
        <f>IF(F1943="","",INDEX(Deals!$E$2:$E$843,F1943))</f>
        <v/>
      </c>
      <c r="I1943">
        <f>IF(F1943="","",INDEX(Deals!$D$2:$D$843,F1943))</f>
        <v/>
      </c>
      <c r="J1943">
        <f>IF(F1943="","",INT(H1943)-B1943)</f>
        <v/>
      </c>
      <c r="K1943">
        <f>IF(B1943&gt;=Settings!$C$5,1,0)</f>
        <v/>
      </c>
    </row>
    <row r="1944">
      <c r="A1944" t="inlineStr">
        <is>
          <t>c4ace1b3502c205d946d46afc3de1766</t>
        </is>
      </c>
      <c r="B1944" s="29" t="n">
        <v>43137</v>
      </c>
      <c r="C1944" t="inlineStr">
        <is>
          <t>2018-02</t>
        </is>
      </c>
      <c r="D1944" t="inlineStr">
        <is>
          <t>dfc3b656bac13de62e4efca322b3f2c1</t>
        </is>
      </c>
      <c r="E1944" t="inlineStr">
        <is>
          <t>email</t>
        </is>
      </c>
      <c r="F1944">
        <f>IFERROR(MATCH(A1944,Deals!$A$2:$A$843,0),"")</f>
        <v/>
      </c>
      <c r="G1944">
        <f>IF(F1944="",0,1)</f>
        <v/>
      </c>
      <c r="H1944" s="29">
        <f>IF(F1944="","",INDEX(Deals!$E$2:$E$843,F1944))</f>
        <v/>
      </c>
      <c r="I1944">
        <f>IF(F1944="","",INDEX(Deals!$D$2:$D$843,F1944))</f>
        <v/>
      </c>
      <c r="J1944">
        <f>IF(F1944="","",INT(H1944)-B1944)</f>
        <v/>
      </c>
      <c r="K1944">
        <f>IF(B1944&gt;=Settings!$C$5,1,0)</f>
        <v/>
      </c>
    </row>
    <row r="1945">
      <c r="A1945" t="inlineStr">
        <is>
          <t>a93dc621a446eb77129989e557dd50d0</t>
        </is>
      </c>
      <c r="B1945" s="29" t="n">
        <v>42966</v>
      </c>
      <c r="C1945" t="inlineStr">
        <is>
          <t>2017-08</t>
        </is>
      </c>
      <c r="D1945" t="inlineStr">
        <is>
          <t>87732658ba41d8775e8577df347a64db</t>
        </is>
      </c>
      <c r="E1945" t="inlineStr">
        <is>
          <t>unknown</t>
        </is>
      </c>
      <c r="F1945">
        <f>IFERROR(MATCH(A1945,Deals!$A$2:$A$843,0),"")</f>
        <v/>
      </c>
      <c r="G1945">
        <f>IF(F1945="",0,1)</f>
        <v/>
      </c>
      <c r="H1945" s="29">
        <f>IF(F1945="","",INDEX(Deals!$E$2:$E$843,F1945))</f>
        <v/>
      </c>
      <c r="I1945">
        <f>IF(F1945="","",INDEX(Deals!$D$2:$D$843,F1945))</f>
        <v/>
      </c>
      <c r="J1945">
        <f>IF(F1945="","",INT(H1945)-B1945)</f>
        <v/>
      </c>
      <c r="K1945">
        <f>IF(B1945&gt;=Settings!$C$5,1,0)</f>
        <v/>
      </c>
    </row>
    <row r="1946">
      <c r="A1946" t="inlineStr">
        <is>
          <t>5896580fef0fba59f84ab5a2f3d3664d</t>
        </is>
      </c>
      <c r="B1946" s="29" t="n">
        <v>42940</v>
      </c>
      <c r="C1946" t="inlineStr">
        <is>
          <t>2017-07</t>
        </is>
      </c>
      <c r="D1946" t="inlineStr">
        <is>
          <t>7eb40e4e44fef8bff604b621119446c7</t>
        </is>
      </c>
      <c r="E1946" t="inlineStr">
        <is>
          <t>social</t>
        </is>
      </c>
      <c r="F1946">
        <f>IFERROR(MATCH(A1946,Deals!$A$2:$A$843,0),"")</f>
        <v/>
      </c>
      <c r="G1946">
        <f>IF(F1946="",0,1)</f>
        <v/>
      </c>
      <c r="H1946" s="29">
        <f>IF(F1946="","",INDEX(Deals!$E$2:$E$843,F1946))</f>
        <v/>
      </c>
      <c r="I1946">
        <f>IF(F1946="","",INDEX(Deals!$D$2:$D$843,F1946))</f>
        <v/>
      </c>
      <c r="J1946">
        <f>IF(F1946="","",INT(H1946)-B1946)</f>
        <v/>
      </c>
      <c r="K1946">
        <f>IF(B1946&gt;=Settings!$C$5,1,0)</f>
        <v/>
      </c>
    </row>
    <row r="1947">
      <c r="A1947" t="inlineStr">
        <is>
          <t>628a5609738c5431003e28cd9b913a62</t>
        </is>
      </c>
      <c r="B1947" s="29" t="n">
        <v>43105</v>
      </c>
      <c r="C1947" t="inlineStr">
        <is>
          <t>2018-01</t>
        </is>
      </c>
      <c r="D1947" t="inlineStr">
        <is>
          <t>090ffa1062e6dde353c36524563acefc</t>
        </is>
      </c>
      <c r="E1947" t="inlineStr">
        <is>
          <t>organic_search</t>
        </is>
      </c>
      <c r="F1947">
        <f>IFERROR(MATCH(A1947,Deals!$A$2:$A$843,0),"")</f>
        <v/>
      </c>
      <c r="G1947">
        <f>IF(F1947="",0,1)</f>
        <v/>
      </c>
      <c r="H1947" s="29">
        <f>IF(F1947="","",INDEX(Deals!$E$2:$E$843,F1947))</f>
        <v/>
      </c>
      <c r="I1947">
        <f>IF(F1947="","",INDEX(Deals!$D$2:$D$843,F1947))</f>
        <v/>
      </c>
      <c r="J1947">
        <f>IF(F1947="","",INT(H1947)-B1947)</f>
        <v/>
      </c>
      <c r="K1947">
        <f>IF(B1947&gt;=Settings!$C$5,1,0)</f>
        <v/>
      </c>
    </row>
    <row r="1948">
      <c r="A1948" t="inlineStr">
        <is>
          <t>5d977a1a6ac388fbbbc745d11142cdd8</t>
        </is>
      </c>
      <c r="B1948" s="29" t="n">
        <v>43158</v>
      </c>
      <c r="C1948" t="inlineStr">
        <is>
          <t>2018-02</t>
        </is>
      </c>
      <c r="D1948" t="inlineStr">
        <is>
          <t>22c29808c4f815213303f8933030604c</t>
        </is>
      </c>
      <c r="E1948" t="inlineStr">
        <is>
          <t>paid_search</t>
        </is>
      </c>
      <c r="F1948">
        <f>IFERROR(MATCH(A1948,Deals!$A$2:$A$843,0),"")</f>
        <v/>
      </c>
      <c r="G1948">
        <f>IF(F1948="",0,1)</f>
        <v/>
      </c>
      <c r="H1948" s="29">
        <f>IF(F1948="","",INDEX(Deals!$E$2:$E$843,F1948))</f>
        <v/>
      </c>
      <c r="I1948">
        <f>IF(F1948="","",INDEX(Deals!$D$2:$D$843,F1948))</f>
        <v/>
      </c>
      <c r="J1948">
        <f>IF(F1948="","",INT(H1948)-B1948)</f>
        <v/>
      </c>
      <c r="K1948">
        <f>IF(B1948&gt;=Settings!$C$5,1,0)</f>
        <v/>
      </c>
    </row>
    <row r="1949">
      <c r="A1949" t="inlineStr">
        <is>
          <t>9404007133da9b27ee9b99aac68fdcd1</t>
        </is>
      </c>
      <c r="B1949" s="29" t="n">
        <v>43231</v>
      </c>
      <c r="C1949" t="inlineStr">
        <is>
          <t>2018-05</t>
        </is>
      </c>
      <c r="D1949" t="inlineStr">
        <is>
          <t>b76ef37428e6799c421989521c0e5077</t>
        </is>
      </c>
      <c r="E1949" t="inlineStr">
        <is>
          <t>unknown</t>
        </is>
      </c>
      <c r="F1949">
        <f>IFERROR(MATCH(A1949,Deals!$A$2:$A$843,0),"")</f>
        <v/>
      </c>
      <c r="G1949">
        <f>IF(F1949="",0,1)</f>
        <v/>
      </c>
      <c r="H1949" s="29">
        <f>IF(F1949="","",INDEX(Deals!$E$2:$E$843,F1949))</f>
        <v/>
      </c>
      <c r="I1949">
        <f>IF(F1949="","",INDEX(Deals!$D$2:$D$843,F1949))</f>
        <v/>
      </c>
      <c r="J1949">
        <f>IF(F1949="","",INT(H1949)-B1949)</f>
        <v/>
      </c>
      <c r="K1949">
        <f>IF(B1949&gt;=Settings!$C$5,1,0)</f>
        <v/>
      </c>
    </row>
    <row r="1950">
      <c r="A1950" t="inlineStr">
        <is>
          <t>fedc79bd71deb70ba0564157e3314fec</t>
        </is>
      </c>
      <c r="B1950" s="29" t="n">
        <v>42972</v>
      </c>
      <c r="C1950" t="inlineStr">
        <is>
          <t>2017-08</t>
        </is>
      </c>
      <c r="D1950" t="inlineStr">
        <is>
          <t>87732658ba41d8775e8577df347a64db</t>
        </is>
      </c>
      <c r="E1950" t="inlineStr">
        <is>
          <t>social</t>
        </is>
      </c>
      <c r="F1950">
        <f>IFERROR(MATCH(A1950,Deals!$A$2:$A$843,0),"")</f>
        <v/>
      </c>
      <c r="G1950">
        <f>IF(F1950="",0,1)</f>
        <v/>
      </c>
      <c r="H1950" s="29">
        <f>IF(F1950="","",INDEX(Deals!$E$2:$E$843,F1950))</f>
        <v/>
      </c>
      <c r="I1950">
        <f>IF(F1950="","",INDEX(Deals!$D$2:$D$843,F1950))</f>
        <v/>
      </c>
      <c r="J1950">
        <f>IF(F1950="","",INT(H1950)-B1950)</f>
        <v/>
      </c>
      <c r="K1950">
        <f>IF(B1950&gt;=Settings!$C$5,1,0)</f>
        <v/>
      </c>
    </row>
    <row r="1951">
      <c r="A1951" t="inlineStr">
        <is>
          <t>457c7caf38b56ec93afbf6ad22877478</t>
        </is>
      </c>
      <c r="B1951" s="29" t="n">
        <v>43232</v>
      </c>
      <c r="C1951" t="inlineStr">
        <is>
          <t>2018-05</t>
        </is>
      </c>
      <c r="D1951" t="inlineStr">
        <is>
          <t>a0fbc0263cb98bdb0d72b9f9f283a172</t>
        </is>
      </c>
      <c r="E1951" t="inlineStr">
        <is>
          <t>paid_search</t>
        </is>
      </c>
      <c r="F1951">
        <f>IFERROR(MATCH(A1951,Deals!$A$2:$A$843,0),"")</f>
        <v/>
      </c>
      <c r="G1951">
        <f>IF(F1951="",0,1)</f>
        <v/>
      </c>
      <c r="H1951" s="29">
        <f>IF(F1951="","",INDEX(Deals!$E$2:$E$843,F1951))</f>
        <v/>
      </c>
      <c r="I1951">
        <f>IF(F1951="","",INDEX(Deals!$D$2:$D$843,F1951))</f>
        <v/>
      </c>
      <c r="J1951">
        <f>IF(F1951="","",INT(H1951)-B1951)</f>
        <v/>
      </c>
      <c r="K1951">
        <f>IF(B1951&gt;=Settings!$C$5,1,0)</f>
        <v/>
      </c>
    </row>
    <row r="1952">
      <c r="A1952" t="inlineStr">
        <is>
          <t>64bb4061482a669cede062dfe81b88e9</t>
        </is>
      </c>
      <c r="B1952" s="29" t="n">
        <v>43110</v>
      </c>
      <c r="C1952" t="inlineStr">
        <is>
          <t>2018-01</t>
        </is>
      </c>
      <c r="D1952" t="inlineStr">
        <is>
          <t>22c29808c4f815213303f8933030604c</t>
        </is>
      </c>
      <c r="E1952" t="inlineStr">
        <is>
          <t>organic_search</t>
        </is>
      </c>
      <c r="F1952">
        <f>IFERROR(MATCH(A1952,Deals!$A$2:$A$843,0),"")</f>
        <v/>
      </c>
      <c r="G1952">
        <f>IF(F1952="",0,1)</f>
        <v/>
      </c>
      <c r="H1952" s="29">
        <f>IF(F1952="","",INDEX(Deals!$E$2:$E$843,F1952))</f>
        <v/>
      </c>
      <c r="I1952">
        <f>IF(F1952="","",INDEX(Deals!$D$2:$D$843,F1952))</f>
        <v/>
      </c>
      <c r="J1952">
        <f>IF(F1952="","",INT(H1952)-B1952)</f>
        <v/>
      </c>
      <c r="K1952">
        <f>IF(B1952&gt;=Settings!$C$5,1,0)</f>
        <v/>
      </c>
    </row>
    <row r="1953">
      <c r="A1953" t="inlineStr">
        <is>
          <t>fe2e9cb2ea6cb28769e3c4947d156690</t>
        </is>
      </c>
      <c r="B1953" s="29" t="n">
        <v>43217</v>
      </c>
      <c r="C1953" t="inlineStr">
        <is>
          <t>2018-04</t>
        </is>
      </c>
      <c r="D1953" t="inlineStr">
        <is>
          <t>caef563a428392ddc7807d2a529413b9</t>
        </is>
      </c>
      <c r="E1953" t="inlineStr">
        <is>
          <t>organic_search</t>
        </is>
      </c>
      <c r="F1953">
        <f>IFERROR(MATCH(A1953,Deals!$A$2:$A$843,0),"")</f>
        <v/>
      </c>
      <c r="G1953">
        <f>IF(F1953="",0,1)</f>
        <v/>
      </c>
      <c r="H1953" s="29">
        <f>IF(F1953="","",INDEX(Deals!$E$2:$E$843,F1953))</f>
        <v/>
      </c>
      <c r="I1953">
        <f>IF(F1953="","",INDEX(Deals!$D$2:$D$843,F1953))</f>
        <v/>
      </c>
      <c r="J1953">
        <f>IF(F1953="","",INT(H1953)-B1953)</f>
        <v/>
      </c>
      <c r="K1953">
        <f>IF(B1953&gt;=Settings!$C$5,1,0)</f>
        <v/>
      </c>
    </row>
    <row r="1954">
      <c r="A1954" t="inlineStr">
        <is>
          <t>436daf7e5bdda10a4194fa6e7fb100d9</t>
        </is>
      </c>
      <c r="B1954" s="29" t="n">
        <v>43077</v>
      </c>
      <c r="C1954" t="inlineStr">
        <is>
          <t>2017-12</t>
        </is>
      </c>
      <c r="D1954" t="inlineStr">
        <is>
          <t>1722481ac9e5371e5099dea226b5421d</t>
        </is>
      </c>
      <c r="E1954" t="inlineStr">
        <is>
          <t>organic_search</t>
        </is>
      </c>
      <c r="F1954">
        <f>IFERROR(MATCH(A1954,Deals!$A$2:$A$843,0),"")</f>
        <v/>
      </c>
      <c r="G1954">
        <f>IF(F1954="",0,1)</f>
        <v/>
      </c>
      <c r="H1954" s="29">
        <f>IF(F1954="","",INDEX(Deals!$E$2:$E$843,F1954))</f>
        <v/>
      </c>
      <c r="I1954">
        <f>IF(F1954="","",INDEX(Deals!$D$2:$D$843,F1954))</f>
        <v/>
      </c>
      <c r="J1954">
        <f>IF(F1954="","",INT(H1954)-B1954)</f>
        <v/>
      </c>
      <c r="K1954">
        <f>IF(B1954&gt;=Settings!$C$5,1,0)</f>
        <v/>
      </c>
    </row>
    <row r="1955">
      <c r="A1955" t="inlineStr">
        <is>
          <t>e911087c91c63c9d3e7ee83e372d10f7</t>
        </is>
      </c>
      <c r="B1955" s="29" t="n">
        <v>43120</v>
      </c>
      <c r="C1955" t="inlineStr">
        <is>
          <t>2018-01</t>
        </is>
      </c>
      <c r="D1955" t="inlineStr">
        <is>
          <t>88740e65d5d6b056e0cda098e1ea6313</t>
        </is>
      </c>
      <c r="E1955" t="inlineStr">
        <is>
          <t>social</t>
        </is>
      </c>
      <c r="F1955">
        <f>IFERROR(MATCH(A1955,Deals!$A$2:$A$843,0),"")</f>
        <v/>
      </c>
      <c r="G1955">
        <f>IF(F1955="",0,1)</f>
        <v/>
      </c>
      <c r="H1955" s="29">
        <f>IF(F1955="","",INDEX(Deals!$E$2:$E$843,F1955))</f>
        <v/>
      </c>
      <c r="I1955">
        <f>IF(F1955="","",INDEX(Deals!$D$2:$D$843,F1955))</f>
        <v/>
      </c>
      <c r="J1955">
        <f>IF(F1955="","",INT(H1955)-B1955)</f>
        <v/>
      </c>
      <c r="K1955">
        <f>IF(B1955&gt;=Settings!$C$5,1,0)</f>
        <v/>
      </c>
    </row>
    <row r="1956">
      <c r="A1956" t="inlineStr">
        <is>
          <t>c2a6300aa487ba1f56883b5d6c05e8aa</t>
        </is>
      </c>
      <c r="B1956" s="29" t="n">
        <v>43157</v>
      </c>
      <c r="C1956" t="inlineStr">
        <is>
          <t>2018-02</t>
        </is>
      </c>
      <c r="D1956" t="inlineStr">
        <is>
          <t>872eb32141128a5320bfe7b8cf80fc14</t>
        </is>
      </c>
      <c r="E1956" t="inlineStr">
        <is>
          <t>social</t>
        </is>
      </c>
      <c r="F1956">
        <f>IFERROR(MATCH(A1956,Deals!$A$2:$A$843,0),"")</f>
        <v/>
      </c>
      <c r="G1956">
        <f>IF(F1956="",0,1)</f>
        <v/>
      </c>
      <c r="H1956" s="29">
        <f>IF(F1956="","",INDEX(Deals!$E$2:$E$843,F1956))</f>
        <v/>
      </c>
      <c r="I1956">
        <f>IF(F1956="","",INDEX(Deals!$D$2:$D$843,F1956))</f>
        <v/>
      </c>
      <c r="J1956">
        <f>IF(F1956="","",INT(H1956)-B1956)</f>
        <v/>
      </c>
      <c r="K1956">
        <f>IF(B1956&gt;=Settings!$C$5,1,0)</f>
        <v/>
      </c>
    </row>
    <row r="1957">
      <c r="A1957" t="inlineStr">
        <is>
          <t>d0192e84341a8e7ba5cc70d8346bc0b3</t>
        </is>
      </c>
      <c r="B1957" s="29" t="n">
        <v>43151</v>
      </c>
      <c r="C1957" t="inlineStr">
        <is>
          <t>2018-02</t>
        </is>
      </c>
      <c r="D1957" t="inlineStr">
        <is>
          <t>b76ef37428e6799c421989521c0e5077</t>
        </is>
      </c>
      <c r="E1957" t="inlineStr">
        <is>
          <t>unknown</t>
        </is>
      </c>
      <c r="F1957">
        <f>IFERROR(MATCH(A1957,Deals!$A$2:$A$843,0),"")</f>
        <v/>
      </c>
      <c r="G1957">
        <f>IF(F1957="",0,1)</f>
        <v/>
      </c>
      <c r="H1957" s="29">
        <f>IF(F1957="","",INDEX(Deals!$E$2:$E$843,F1957))</f>
        <v/>
      </c>
      <c r="I1957">
        <f>IF(F1957="","",INDEX(Deals!$D$2:$D$843,F1957))</f>
        <v/>
      </c>
      <c r="J1957">
        <f>IF(F1957="","",INT(H1957)-B1957)</f>
        <v/>
      </c>
      <c r="K1957">
        <f>IF(B1957&gt;=Settings!$C$5,1,0)</f>
        <v/>
      </c>
    </row>
    <row r="1958">
      <c r="A1958" t="inlineStr">
        <is>
          <t>f2f3317a5ab09cfc369091bf08f239a4</t>
        </is>
      </c>
      <c r="B1958" s="29" t="n">
        <v>43248</v>
      </c>
      <c r="C1958" t="inlineStr">
        <is>
          <t>2018-05</t>
        </is>
      </c>
      <c r="D1958" t="inlineStr">
        <is>
          <t>e492ee5eaf1697716985cc6f33f9cd9b</t>
        </is>
      </c>
      <c r="E1958" t="inlineStr">
        <is>
          <t>paid_search</t>
        </is>
      </c>
      <c r="F1958">
        <f>IFERROR(MATCH(A1958,Deals!$A$2:$A$843,0),"")</f>
        <v/>
      </c>
      <c r="G1958">
        <f>IF(F1958="",0,1)</f>
        <v/>
      </c>
      <c r="H1958" s="29">
        <f>IF(F1958="","",INDEX(Deals!$E$2:$E$843,F1958))</f>
        <v/>
      </c>
      <c r="I1958">
        <f>IF(F1958="","",INDEX(Deals!$D$2:$D$843,F1958))</f>
        <v/>
      </c>
      <c r="J1958">
        <f>IF(F1958="","",INT(H1958)-B1958)</f>
        <v/>
      </c>
      <c r="K1958">
        <f>IF(B1958&gt;=Settings!$C$5,1,0)</f>
        <v/>
      </c>
    </row>
    <row r="1959">
      <c r="A1959" t="inlineStr">
        <is>
          <t>fde4d164a6f20582854b04bb779f621d</t>
        </is>
      </c>
      <c r="B1959" s="29" t="n">
        <v>43109</v>
      </c>
      <c r="C1959" t="inlineStr">
        <is>
          <t>2018-01</t>
        </is>
      </c>
      <c r="D1959" t="inlineStr">
        <is>
          <t>a7982125ff7aa3b2054c6e44f9d28522</t>
        </is>
      </c>
      <c r="E1959" t="inlineStr">
        <is>
          <t>organic_search</t>
        </is>
      </c>
      <c r="F1959">
        <f>IFERROR(MATCH(A1959,Deals!$A$2:$A$843,0),"")</f>
        <v/>
      </c>
      <c r="G1959">
        <f>IF(F1959="",0,1)</f>
        <v/>
      </c>
      <c r="H1959" s="29">
        <f>IF(F1959="","",INDEX(Deals!$E$2:$E$843,F1959))</f>
        <v/>
      </c>
      <c r="I1959">
        <f>IF(F1959="","",INDEX(Deals!$D$2:$D$843,F1959))</f>
        <v/>
      </c>
      <c r="J1959">
        <f>IF(F1959="","",INT(H1959)-B1959)</f>
        <v/>
      </c>
      <c r="K1959">
        <f>IF(B1959&gt;=Settings!$C$5,1,0)</f>
        <v/>
      </c>
    </row>
    <row r="1960">
      <c r="A1960" t="inlineStr">
        <is>
          <t>54c295687bc2a7b6d2e9d61e0e5d6f66</t>
        </is>
      </c>
      <c r="B1960" s="29" t="n">
        <v>43223</v>
      </c>
      <c r="C1960" t="inlineStr">
        <is>
          <t>2018-05</t>
        </is>
      </c>
      <c r="D1960" t="inlineStr">
        <is>
          <t>909e333f8f23574f93115bd3d402e202</t>
        </is>
      </c>
      <c r="E1960" t="inlineStr">
        <is>
          <t>social</t>
        </is>
      </c>
      <c r="F1960">
        <f>IFERROR(MATCH(A1960,Deals!$A$2:$A$843,0),"")</f>
        <v/>
      </c>
      <c r="G1960">
        <f>IF(F1960="",0,1)</f>
        <v/>
      </c>
      <c r="H1960" s="29">
        <f>IF(F1960="","",INDEX(Deals!$E$2:$E$843,F1960))</f>
        <v/>
      </c>
      <c r="I1960">
        <f>IF(F1960="","",INDEX(Deals!$D$2:$D$843,F1960))</f>
        <v/>
      </c>
      <c r="J1960">
        <f>IF(F1960="","",INT(H1960)-B1960)</f>
        <v/>
      </c>
      <c r="K1960">
        <f>IF(B1960&gt;=Settings!$C$5,1,0)</f>
        <v/>
      </c>
    </row>
    <row r="1961">
      <c r="A1961" t="inlineStr">
        <is>
          <t>f999094362eeb32f2ef5a275991df98b</t>
        </is>
      </c>
      <c r="B1961" s="29" t="n">
        <v>43129</v>
      </c>
      <c r="C1961" t="inlineStr">
        <is>
          <t>2018-01</t>
        </is>
      </c>
      <c r="D1961" t="inlineStr">
        <is>
          <t>b76ef37428e6799c421989521c0e5077</t>
        </is>
      </c>
      <c r="E1961" t="inlineStr">
        <is>
          <t>organic_search</t>
        </is>
      </c>
      <c r="F1961">
        <f>IFERROR(MATCH(A1961,Deals!$A$2:$A$843,0),"")</f>
        <v/>
      </c>
      <c r="G1961">
        <f>IF(F1961="",0,1)</f>
        <v/>
      </c>
      <c r="H1961" s="29">
        <f>IF(F1961="","",INDEX(Deals!$E$2:$E$843,F1961))</f>
        <v/>
      </c>
      <c r="I1961">
        <f>IF(F1961="","",INDEX(Deals!$D$2:$D$843,F1961))</f>
        <v/>
      </c>
      <c r="J1961">
        <f>IF(F1961="","",INT(H1961)-B1961)</f>
        <v/>
      </c>
      <c r="K1961">
        <f>IF(B1961&gt;=Settings!$C$5,1,0)</f>
        <v/>
      </c>
    </row>
    <row r="1962">
      <c r="A1962" t="inlineStr">
        <is>
          <t>60dfc9f44b250ed03992a2a1b39a30c1</t>
        </is>
      </c>
      <c r="B1962" s="29" t="n">
        <v>43242</v>
      </c>
      <c r="C1962" t="inlineStr">
        <is>
          <t>2018-05</t>
        </is>
      </c>
      <c r="D1962" t="inlineStr">
        <is>
          <t>58326e62183c14b0c03085c33b9fdc44</t>
        </is>
      </c>
      <c r="E1962" t="inlineStr">
        <is>
          <t>organic_search</t>
        </is>
      </c>
      <c r="F1962">
        <f>IFERROR(MATCH(A1962,Deals!$A$2:$A$843,0),"")</f>
        <v/>
      </c>
      <c r="G1962">
        <f>IF(F1962="",0,1)</f>
        <v/>
      </c>
      <c r="H1962" s="29">
        <f>IF(F1962="","",INDEX(Deals!$E$2:$E$843,F1962))</f>
        <v/>
      </c>
      <c r="I1962">
        <f>IF(F1962="","",INDEX(Deals!$D$2:$D$843,F1962))</f>
        <v/>
      </c>
      <c r="J1962">
        <f>IF(F1962="","",INT(H1962)-B1962)</f>
        <v/>
      </c>
      <c r="K1962">
        <f>IF(B1962&gt;=Settings!$C$5,1,0)</f>
        <v/>
      </c>
    </row>
    <row r="1963">
      <c r="A1963" t="inlineStr">
        <is>
          <t>9dff9ab17beb0a69734bac543900c536</t>
        </is>
      </c>
      <c r="B1963" s="29" t="n">
        <v>43228</v>
      </c>
      <c r="C1963" t="inlineStr">
        <is>
          <t>2018-05</t>
        </is>
      </c>
      <c r="D1963" t="inlineStr">
        <is>
          <t>5dc848e7dd9418dffe183215b8ff0bc1</t>
        </is>
      </c>
      <c r="E1963" t="inlineStr">
        <is>
          <t>paid_search</t>
        </is>
      </c>
      <c r="F1963">
        <f>IFERROR(MATCH(A1963,Deals!$A$2:$A$843,0),"")</f>
        <v/>
      </c>
      <c r="G1963">
        <f>IF(F1963="",0,1)</f>
        <v/>
      </c>
      <c r="H1963" s="29">
        <f>IF(F1963="","",INDEX(Deals!$E$2:$E$843,F1963))</f>
        <v/>
      </c>
      <c r="I1963">
        <f>IF(F1963="","",INDEX(Deals!$D$2:$D$843,F1963))</f>
        <v/>
      </c>
      <c r="J1963">
        <f>IF(F1963="","",INT(H1963)-B1963)</f>
        <v/>
      </c>
      <c r="K1963">
        <f>IF(B1963&gt;=Settings!$C$5,1,0)</f>
        <v/>
      </c>
    </row>
    <row r="1964">
      <c r="A1964" t="inlineStr">
        <is>
          <t>d36ac395fa31afe3c1cc571c09a9644d</t>
        </is>
      </c>
      <c r="B1964" s="29" t="n">
        <v>43173</v>
      </c>
      <c r="C1964" t="inlineStr">
        <is>
          <t>2018-03</t>
        </is>
      </c>
      <c r="D1964" t="inlineStr">
        <is>
          <t>daa9619c6f8ed06d059265dca0f9257f</t>
        </is>
      </c>
      <c r="E1964" t="inlineStr">
        <is>
          <t>paid_search</t>
        </is>
      </c>
      <c r="F1964">
        <f>IFERROR(MATCH(A1964,Deals!$A$2:$A$843,0),"")</f>
        <v/>
      </c>
      <c r="G1964">
        <f>IF(F1964="",0,1)</f>
        <v/>
      </c>
      <c r="H1964" s="29">
        <f>IF(F1964="","",INDEX(Deals!$E$2:$E$843,F1964))</f>
        <v/>
      </c>
      <c r="I1964">
        <f>IF(F1964="","",INDEX(Deals!$D$2:$D$843,F1964))</f>
        <v/>
      </c>
      <c r="J1964">
        <f>IF(F1964="","",INT(H1964)-B1964)</f>
        <v/>
      </c>
      <c r="K1964">
        <f>IF(B1964&gt;=Settings!$C$5,1,0)</f>
        <v/>
      </c>
    </row>
    <row r="1965">
      <c r="A1965" t="inlineStr">
        <is>
          <t>2db559a91e35ed06d98446aa9cbbcc73</t>
        </is>
      </c>
      <c r="B1965" s="29" t="n">
        <v>43031</v>
      </c>
      <c r="C1965" t="inlineStr">
        <is>
          <t>2017-10</t>
        </is>
      </c>
      <c r="D1965" t="inlineStr">
        <is>
          <t>82ce7345d29d3003d376f9382fc0eba0</t>
        </is>
      </c>
      <c r="E1965" t="inlineStr">
        <is>
          <t>paid_search</t>
        </is>
      </c>
      <c r="F1965">
        <f>IFERROR(MATCH(A1965,Deals!$A$2:$A$843,0),"")</f>
        <v/>
      </c>
      <c r="G1965">
        <f>IF(F1965="",0,1)</f>
        <v/>
      </c>
      <c r="H1965" s="29">
        <f>IF(F1965="","",INDEX(Deals!$E$2:$E$843,F1965))</f>
        <v/>
      </c>
      <c r="I1965">
        <f>IF(F1965="","",INDEX(Deals!$D$2:$D$843,F1965))</f>
        <v/>
      </c>
      <c r="J1965">
        <f>IF(F1965="","",INT(H1965)-B1965)</f>
        <v/>
      </c>
      <c r="K1965">
        <f>IF(B1965&gt;=Settings!$C$5,1,0)</f>
        <v/>
      </c>
    </row>
    <row r="1966">
      <c r="A1966" t="inlineStr">
        <is>
          <t>6a10f542e6f79265c34a405dbc928e37</t>
        </is>
      </c>
      <c r="B1966" s="29" t="n">
        <v>43242</v>
      </c>
      <c r="C1966" t="inlineStr">
        <is>
          <t>2018-05</t>
        </is>
      </c>
      <c r="D1966" t="inlineStr">
        <is>
          <t>22c29808c4f815213303f8933030604c</t>
        </is>
      </c>
      <c r="E1966" t="inlineStr">
        <is>
          <t>organic_search</t>
        </is>
      </c>
      <c r="F1966">
        <f>IFERROR(MATCH(A1966,Deals!$A$2:$A$843,0),"")</f>
        <v/>
      </c>
      <c r="G1966">
        <f>IF(F1966="",0,1)</f>
        <v/>
      </c>
      <c r="H1966" s="29">
        <f>IF(F1966="","",INDEX(Deals!$E$2:$E$843,F1966))</f>
        <v/>
      </c>
      <c r="I1966">
        <f>IF(F1966="","",INDEX(Deals!$D$2:$D$843,F1966))</f>
        <v/>
      </c>
      <c r="J1966">
        <f>IF(F1966="","",INT(H1966)-B1966)</f>
        <v/>
      </c>
      <c r="K1966">
        <f>IF(B1966&gt;=Settings!$C$5,1,0)</f>
        <v/>
      </c>
    </row>
    <row r="1967">
      <c r="A1967" t="inlineStr">
        <is>
          <t>4385a0335a5daa56f694a86f9e3e599e</t>
        </is>
      </c>
      <c r="B1967" s="29" t="n">
        <v>43206</v>
      </c>
      <c r="C1967" t="inlineStr">
        <is>
          <t>2018-04</t>
        </is>
      </c>
      <c r="D1967" t="inlineStr">
        <is>
          <t>5209e2e679d32a6619feb6942702fd14</t>
        </is>
      </c>
      <c r="E1967" t="inlineStr">
        <is>
          <t>organic_search</t>
        </is>
      </c>
      <c r="F1967">
        <f>IFERROR(MATCH(A1967,Deals!$A$2:$A$843,0),"")</f>
        <v/>
      </c>
      <c r="G1967">
        <f>IF(F1967="",0,1)</f>
        <v/>
      </c>
      <c r="H1967" s="29">
        <f>IF(F1967="","",INDEX(Deals!$E$2:$E$843,F1967))</f>
        <v/>
      </c>
      <c r="I1967">
        <f>IF(F1967="","",INDEX(Deals!$D$2:$D$843,F1967))</f>
        <v/>
      </c>
      <c r="J1967">
        <f>IF(F1967="","",INT(H1967)-B1967)</f>
        <v/>
      </c>
      <c r="K1967">
        <f>IF(B1967&gt;=Settings!$C$5,1,0)</f>
        <v/>
      </c>
    </row>
    <row r="1968">
      <c r="A1968" t="inlineStr">
        <is>
          <t>d12fec62f69e678f635825963e988562</t>
        </is>
      </c>
      <c r="B1968" s="29" t="n">
        <v>43230</v>
      </c>
      <c r="C1968" t="inlineStr">
        <is>
          <t>2018-05</t>
        </is>
      </c>
      <c r="D1968" t="inlineStr">
        <is>
          <t>58326e62183c14b0c03085c33b9fdc44</t>
        </is>
      </c>
      <c r="E1968" t="inlineStr">
        <is>
          <t>social</t>
        </is>
      </c>
      <c r="F1968">
        <f>IFERROR(MATCH(A1968,Deals!$A$2:$A$843,0),"")</f>
        <v/>
      </c>
      <c r="G1968">
        <f>IF(F1968="",0,1)</f>
        <v/>
      </c>
      <c r="H1968" s="29">
        <f>IF(F1968="","",INDEX(Deals!$E$2:$E$843,F1968))</f>
        <v/>
      </c>
      <c r="I1968">
        <f>IF(F1968="","",INDEX(Deals!$D$2:$D$843,F1968))</f>
        <v/>
      </c>
      <c r="J1968">
        <f>IF(F1968="","",INT(H1968)-B1968)</f>
        <v/>
      </c>
      <c r="K1968">
        <f>IF(B1968&gt;=Settings!$C$5,1,0)</f>
        <v/>
      </c>
    </row>
    <row r="1969">
      <c r="A1969" t="inlineStr">
        <is>
          <t>9e04709686781f100b7c46c697891c17</t>
        </is>
      </c>
      <c r="B1969" s="29" t="n">
        <v>43195</v>
      </c>
      <c r="C1969" t="inlineStr">
        <is>
          <t>2018-04</t>
        </is>
      </c>
      <c r="D1969" t="inlineStr">
        <is>
          <t>e492ee5eaf1697716985cc6f33f9cd9b</t>
        </is>
      </c>
      <c r="E1969" t="inlineStr">
        <is>
          <t>social</t>
        </is>
      </c>
      <c r="F1969">
        <f>IFERROR(MATCH(A1969,Deals!$A$2:$A$843,0),"")</f>
        <v/>
      </c>
      <c r="G1969">
        <f>IF(F1969="",0,1)</f>
        <v/>
      </c>
      <c r="H1969" s="29">
        <f>IF(F1969="","",INDEX(Deals!$E$2:$E$843,F1969))</f>
        <v/>
      </c>
      <c r="I1969">
        <f>IF(F1969="","",INDEX(Deals!$D$2:$D$843,F1969))</f>
        <v/>
      </c>
      <c r="J1969">
        <f>IF(F1969="","",INT(H1969)-B1969)</f>
        <v/>
      </c>
      <c r="K1969">
        <f>IF(B1969&gt;=Settings!$C$5,1,0)</f>
        <v/>
      </c>
    </row>
    <row r="1970">
      <c r="A1970" t="inlineStr">
        <is>
          <t>947501a196966253d01a63be8a17e8cd</t>
        </is>
      </c>
      <c r="B1970" s="29" t="n">
        <v>43032</v>
      </c>
      <c r="C1970" t="inlineStr">
        <is>
          <t>2017-10</t>
        </is>
      </c>
      <c r="D1970" t="inlineStr">
        <is>
          <t>ff3416719616ad4921acb8c74e21d6f0</t>
        </is>
      </c>
      <c r="E1970" t="inlineStr">
        <is>
          <t>other_publicities</t>
        </is>
      </c>
      <c r="F1970">
        <f>IFERROR(MATCH(A1970,Deals!$A$2:$A$843,0),"")</f>
        <v/>
      </c>
      <c r="G1970">
        <f>IF(F1970="",0,1)</f>
        <v/>
      </c>
      <c r="H1970" s="29">
        <f>IF(F1970="","",INDEX(Deals!$E$2:$E$843,F1970))</f>
        <v/>
      </c>
      <c r="I1970">
        <f>IF(F1970="","",INDEX(Deals!$D$2:$D$843,F1970))</f>
        <v/>
      </c>
      <c r="J1970">
        <f>IF(F1970="","",INT(H1970)-B1970)</f>
        <v/>
      </c>
      <c r="K1970">
        <f>IF(B1970&gt;=Settings!$C$5,1,0)</f>
        <v/>
      </c>
    </row>
    <row r="1971">
      <c r="A1971" t="inlineStr">
        <is>
          <t>7859df91d0151aa6b404de12b8362300</t>
        </is>
      </c>
      <c r="B1971" s="29" t="n">
        <v>43052</v>
      </c>
      <c r="C1971" t="inlineStr">
        <is>
          <t>2017-11</t>
        </is>
      </c>
      <c r="D1971" t="inlineStr">
        <is>
          <t>1722481ac9e5371e5099dea226b5421d</t>
        </is>
      </c>
      <c r="E1971" t="inlineStr">
        <is>
          <t>social</t>
        </is>
      </c>
      <c r="F1971">
        <f>IFERROR(MATCH(A1971,Deals!$A$2:$A$843,0),"")</f>
        <v/>
      </c>
      <c r="G1971">
        <f>IF(F1971="",0,1)</f>
        <v/>
      </c>
      <c r="H1971" s="29">
        <f>IF(F1971="","",INDEX(Deals!$E$2:$E$843,F1971))</f>
        <v/>
      </c>
      <c r="I1971">
        <f>IF(F1971="","",INDEX(Deals!$D$2:$D$843,F1971))</f>
        <v/>
      </c>
      <c r="J1971">
        <f>IF(F1971="","",INT(H1971)-B1971)</f>
        <v/>
      </c>
      <c r="K1971">
        <f>IF(B1971&gt;=Settings!$C$5,1,0)</f>
        <v/>
      </c>
    </row>
    <row r="1972">
      <c r="A1972" t="inlineStr">
        <is>
          <t>6bec3e778994bf422cdff4cc8ee341a2</t>
        </is>
      </c>
      <c r="B1972" s="29" t="n">
        <v>43227</v>
      </c>
      <c r="C1972" t="inlineStr">
        <is>
          <t>2018-05</t>
        </is>
      </c>
      <c r="D1972" t="inlineStr">
        <is>
          <t>22c29808c4f815213303f8933030604c</t>
        </is>
      </c>
      <c r="E1972" t="inlineStr">
        <is>
          <t>paid_search</t>
        </is>
      </c>
      <c r="F1972">
        <f>IFERROR(MATCH(A1972,Deals!$A$2:$A$843,0),"")</f>
        <v/>
      </c>
      <c r="G1972">
        <f>IF(F1972="",0,1)</f>
        <v/>
      </c>
      <c r="H1972" s="29">
        <f>IF(F1972="","",INDEX(Deals!$E$2:$E$843,F1972))</f>
        <v/>
      </c>
      <c r="I1972">
        <f>IF(F1972="","",INDEX(Deals!$D$2:$D$843,F1972))</f>
        <v/>
      </c>
      <c r="J1972">
        <f>IF(F1972="","",INT(H1972)-B1972)</f>
        <v/>
      </c>
      <c r="K1972">
        <f>IF(B1972&gt;=Settings!$C$5,1,0)</f>
        <v/>
      </c>
    </row>
    <row r="1973">
      <c r="A1973" t="inlineStr">
        <is>
          <t>cc4d91edae41488c825cc05a61fc4452</t>
        </is>
      </c>
      <c r="B1973" s="29" t="n">
        <v>43038</v>
      </c>
      <c r="C1973" t="inlineStr">
        <is>
          <t>2017-10</t>
        </is>
      </c>
      <c r="D1973" t="inlineStr">
        <is>
          <t>21a104c3279681d9856b8a48723c4fee</t>
        </is>
      </c>
      <c r="E1973" t="inlineStr">
        <is>
          <t>organic_search</t>
        </is>
      </c>
      <c r="F1973">
        <f>IFERROR(MATCH(A1973,Deals!$A$2:$A$843,0),"")</f>
        <v/>
      </c>
      <c r="G1973">
        <f>IF(F1973="",0,1)</f>
        <v/>
      </c>
      <c r="H1973" s="29">
        <f>IF(F1973="","",INDEX(Deals!$E$2:$E$843,F1973))</f>
        <v/>
      </c>
      <c r="I1973">
        <f>IF(F1973="","",INDEX(Deals!$D$2:$D$843,F1973))</f>
        <v/>
      </c>
      <c r="J1973">
        <f>IF(F1973="","",INT(H1973)-B1973)</f>
        <v/>
      </c>
      <c r="K1973">
        <f>IF(B1973&gt;=Settings!$C$5,1,0)</f>
        <v/>
      </c>
    </row>
    <row r="1974">
      <c r="A1974" t="inlineStr">
        <is>
          <t>3e984ce2ff389ee3a938f3ca5b014e4d</t>
        </is>
      </c>
      <c r="B1974" s="29" t="n">
        <v>43219</v>
      </c>
      <c r="C1974" t="inlineStr">
        <is>
          <t>2018-04</t>
        </is>
      </c>
      <c r="D1974" t="inlineStr">
        <is>
          <t>bfd05fa9f9fe2aedee539951a84f2aaf</t>
        </is>
      </c>
      <c r="E1974" t="inlineStr">
        <is>
          <t>paid_search</t>
        </is>
      </c>
      <c r="F1974">
        <f>IFERROR(MATCH(A1974,Deals!$A$2:$A$843,0),"")</f>
        <v/>
      </c>
      <c r="G1974">
        <f>IF(F1974="",0,1)</f>
        <v/>
      </c>
      <c r="H1974" s="29">
        <f>IF(F1974="","",INDEX(Deals!$E$2:$E$843,F1974))</f>
        <v/>
      </c>
      <c r="I1974">
        <f>IF(F1974="","",INDEX(Deals!$D$2:$D$843,F1974))</f>
        <v/>
      </c>
      <c r="J1974">
        <f>IF(F1974="","",INT(H1974)-B1974)</f>
        <v/>
      </c>
      <c r="K1974">
        <f>IF(B1974&gt;=Settings!$C$5,1,0)</f>
        <v/>
      </c>
    </row>
    <row r="1975">
      <c r="A1975" t="inlineStr">
        <is>
          <t>0b99dab71519032b917dc641cdd7ac5b</t>
        </is>
      </c>
      <c r="B1975" s="29" t="n">
        <v>42900</v>
      </c>
      <c r="C1975" t="inlineStr">
        <is>
          <t>2017-06</t>
        </is>
      </c>
      <c r="D1975" t="inlineStr">
        <is>
          <t>d41d8cd98f00b204e9800998ecf8427e</t>
        </is>
      </c>
      <c r="E1975" t="inlineStr">
        <is>
          <t>(missing)</t>
        </is>
      </c>
      <c r="F1975">
        <f>IFERROR(MATCH(A1975,Deals!$A$2:$A$843,0),"")</f>
        <v/>
      </c>
      <c r="G1975">
        <f>IF(F1975="",0,1)</f>
        <v/>
      </c>
      <c r="H1975" s="29">
        <f>IF(F1975="","",INDEX(Deals!$E$2:$E$843,F1975))</f>
        <v/>
      </c>
      <c r="I1975">
        <f>IF(F1975="","",INDEX(Deals!$D$2:$D$843,F1975))</f>
        <v/>
      </c>
      <c r="J1975">
        <f>IF(F1975="","",INT(H1975)-B1975)</f>
        <v/>
      </c>
      <c r="K1975">
        <f>IF(B1975&gt;=Settings!$C$5,1,0)</f>
        <v/>
      </c>
    </row>
    <row r="1976">
      <c r="A1976" t="inlineStr">
        <is>
          <t>acc16ca49b7630c6f073f845dc586dcd</t>
        </is>
      </c>
      <c r="B1976" s="29" t="n">
        <v>43064</v>
      </c>
      <c r="C1976" t="inlineStr">
        <is>
          <t>2017-11</t>
        </is>
      </c>
      <c r="D1976" t="inlineStr">
        <is>
          <t>a7982125ff7aa3b2054c6e44f9d28522</t>
        </is>
      </c>
      <c r="E1976" t="inlineStr">
        <is>
          <t>direct_traffic</t>
        </is>
      </c>
      <c r="F1976">
        <f>IFERROR(MATCH(A1976,Deals!$A$2:$A$843,0),"")</f>
        <v/>
      </c>
      <c r="G1976">
        <f>IF(F1976="",0,1)</f>
        <v/>
      </c>
      <c r="H1976" s="29">
        <f>IF(F1976="","",INDEX(Deals!$E$2:$E$843,F1976))</f>
        <v/>
      </c>
      <c r="I1976">
        <f>IF(F1976="","",INDEX(Deals!$D$2:$D$843,F1976))</f>
        <v/>
      </c>
      <c r="J1976">
        <f>IF(F1976="","",INT(H1976)-B1976)</f>
        <v/>
      </c>
      <c r="K1976">
        <f>IF(B1976&gt;=Settings!$C$5,1,0)</f>
        <v/>
      </c>
    </row>
    <row r="1977">
      <c r="A1977" t="inlineStr">
        <is>
          <t>4de20dd98d2ca78fd643bdc4f0a6359b</t>
        </is>
      </c>
      <c r="B1977" s="29" t="n">
        <v>43159</v>
      </c>
      <c r="C1977" t="inlineStr">
        <is>
          <t>2018-02</t>
        </is>
      </c>
      <c r="D1977" t="inlineStr">
        <is>
          <t>e998c9a2c0e92504311cde9e43a34026</t>
        </is>
      </c>
      <c r="E1977" t="inlineStr">
        <is>
          <t>unknown</t>
        </is>
      </c>
      <c r="F1977">
        <f>IFERROR(MATCH(A1977,Deals!$A$2:$A$843,0),"")</f>
        <v/>
      </c>
      <c r="G1977">
        <f>IF(F1977="",0,1)</f>
        <v/>
      </c>
      <c r="H1977" s="29">
        <f>IF(F1977="","",INDEX(Deals!$E$2:$E$843,F1977))</f>
        <v/>
      </c>
      <c r="I1977">
        <f>IF(F1977="","",INDEX(Deals!$D$2:$D$843,F1977))</f>
        <v/>
      </c>
      <c r="J1977">
        <f>IF(F1977="","",INT(H1977)-B1977)</f>
        <v/>
      </c>
      <c r="K1977">
        <f>IF(B1977&gt;=Settings!$C$5,1,0)</f>
        <v/>
      </c>
    </row>
    <row r="1978">
      <c r="A1978" t="inlineStr">
        <is>
          <t>64efc780f9e9d573f623c9c0718a7b9a</t>
        </is>
      </c>
      <c r="B1978" s="29" t="n">
        <v>43025</v>
      </c>
      <c r="C1978" t="inlineStr">
        <is>
          <t>2017-10</t>
        </is>
      </c>
      <c r="D1978" t="inlineStr">
        <is>
          <t>4aab772aeb9833c170d8ea5413e02eac</t>
        </is>
      </c>
      <c r="E1978" t="inlineStr">
        <is>
          <t>paid_search</t>
        </is>
      </c>
      <c r="F1978">
        <f>IFERROR(MATCH(A1978,Deals!$A$2:$A$843,0),"")</f>
        <v/>
      </c>
      <c r="G1978">
        <f>IF(F1978="",0,1)</f>
        <v/>
      </c>
      <c r="H1978" s="29">
        <f>IF(F1978="","",INDEX(Deals!$E$2:$E$843,F1978))</f>
        <v/>
      </c>
      <c r="I1978">
        <f>IF(F1978="","",INDEX(Deals!$D$2:$D$843,F1978))</f>
        <v/>
      </c>
      <c r="J1978">
        <f>IF(F1978="","",INT(H1978)-B1978)</f>
        <v/>
      </c>
      <c r="K1978">
        <f>IF(B1978&gt;=Settings!$C$5,1,0)</f>
        <v/>
      </c>
    </row>
    <row r="1979">
      <c r="A1979" t="inlineStr">
        <is>
          <t>f386f35a4c15acb710fd7bf4f00110a3</t>
        </is>
      </c>
      <c r="B1979" s="29" t="n">
        <v>43025</v>
      </c>
      <c r="C1979" t="inlineStr">
        <is>
          <t>2017-10</t>
        </is>
      </c>
      <c r="D1979" t="inlineStr">
        <is>
          <t>22c29808c4f815213303f8933030604c</t>
        </is>
      </c>
      <c r="E1979" t="inlineStr">
        <is>
          <t>email</t>
        </is>
      </c>
      <c r="F1979">
        <f>IFERROR(MATCH(A1979,Deals!$A$2:$A$843,0),"")</f>
        <v/>
      </c>
      <c r="G1979">
        <f>IF(F1979="",0,1)</f>
        <v/>
      </c>
      <c r="H1979" s="29">
        <f>IF(F1979="","",INDEX(Deals!$E$2:$E$843,F1979))</f>
        <v/>
      </c>
      <c r="I1979">
        <f>IF(F1979="","",INDEX(Deals!$D$2:$D$843,F1979))</f>
        <v/>
      </c>
      <c r="J1979">
        <f>IF(F1979="","",INT(H1979)-B1979)</f>
        <v/>
      </c>
      <c r="K1979">
        <f>IF(B1979&gt;=Settings!$C$5,1,0)</f>
        <v/>
      </c>
    </row>
    <row r="1980">
      <c r="A1980" t="inlineStr">
        <is>
          <t>f18c83d4df979ea9f9363d95ee757148</t>
        </is>
      </c>
      <c r="B1980" s="29" t="n">
        <v>43070</v>
      </c>
      <c r="C1980" t="inlineStr">
        <is>
          <t>2017-12</t>
        </is>
      </c>
      <c r="D1980" t="inlineStr">
        <is>
          <t>f017be4dbf86243af5c1ebed0cff36a2</t>
        </is>
      </c>
      <c r="E1980" t="inlineStr">
        <is>
          <t>organic_search</t>
        </is>
      </c>
      <c r="F1980">
        <f>IFERROR(MATCH(A1980,Deals!$A$2:$A$843,0),"")</f>
        <v/>
      </c>
      <c r="G1980">
        <f>IF(F1980="",0,1)</f>
        <v/>
      </c>
      <c r="H1980" s="29">
        <f>IF(F1980="","",INDEX(Deals!$E$2:$E$843,F1980))</f>
        <v/>
      </c>
      <c r="I1980">
        <f>IF(F1980="","",INDEX(Deals!$D$2:$D$843,F1980))</f>
        <v/>
      </c>
      <c r="J1980">
        <f>IF(F1980="","",INT(H1980)-B1980)</f>
        <v/>
      </c>
      <c r="K1980">
        <f>IF(B1980&gt;=Settings!$C$5,1,0)</f>
        <v/>
      </c>
    </row>
    <row r="1981">
      <c r="A1981" t="inlineStr">
        <is>
          <t>35fd51d1e96fbe2f28760472a381534a</t>
        </is>
      </c>
      <c r="B1981" s="29" t="n">
        <v>43181</v>
      </c>
      <c r="C1981" t="inlineStr">
        <is>
          <t>2018-03</t>
        </is>
      </c>
      <c r="D1981" t="inlineStr">
        <is>
          <t>f017be4dbf86243af5c1ebed0cff36a2</t>
        </is>
      </c>
      <c r="E1981" t="inlineStr">
        <is>
          <t>organic_search</t>
        </is>
      </c>
      <c r="F1981">
        <f>IFERROR(MATCH(A1981,Deals!$A$2:$A$843,0),"")</f>
        <v/>
      </c>
      <c r="G1981">
        <f>IF(F1981="",0,1)</f>
        <v/>
      </c>
      <c r="H1981" s="29">
        <f>IF(F1981="","",INDEX(Deals!$E$2:$E$843,F1981))</f>
        <v/>
      </c>
      <c r="I1981">
        <f>IF(F1981="","",INDEX(Deals!$D$2:$D$843,F1981))</f>
        <v/>
      </c>
      <c r="J1981">
        <f>IF(F1981="","",INT(H1981)-B1981)</f>
        <v/>
      </c>
      <c r="K1981">
        <f>IF(B1981&gt;=Settings!$C$5,1,0)</f>
        <v/>
      </c>
    </row>
    <row r="1982">
      <c r="A1982" t="inlineStr">
        <is>
          <t>bb5a9482a2dfd06d2e68299a8cabdf31</t>
        </is>
      </c>
      <c r="B1982" s="29" t="n">
        <v>43216</v>
      </c>
      <c r="C1982" t="inlineStr">
        <is>
          <t>2018-04</t>
        </is>
      </c>
      <c r="D1982" t="inlineStr">
        <is>
          <t>b76ef37428e6799c421989521c0e5077</t>
        </is>
      </c>
      <c r="E1982" t="inlineStr">
        <is>
          <t>organic_search</t>
        </is>
      </c>
      <c r="F1982">
        <f>IFERROR(MATCH(A1982,Deals!$A$2:$A$843,0),"")</f>
        <v/>
      </c>
      <c r="G1982">
        <f>IF(F1982="",0,1)</f>
        <v/>
      </c>
      <c r="H1982" s="29">
        <f>IF(F1982="","",INDEX(Deals!$E$2:$E$843,F1982))</f>
        <v/>
      </c>
      <c r="I1982">
        <f>IF(F1982="","",INDEX(Deals!$D$2:$D$843,F1982))</f>
        <v/>
      </c>
      <c r="J1982">
        <f>IF(F1982="","",INT(H1982)-B1982)</f>
        <v/>
      </c>
      <c r="K1982">
        <f>IF(B1982&gt;=Settings!$C$5,1,0)</f>
        <v/>
      </c>
    </row>
    <row r="1983">
      <c r="A1983" t="inlineStr">
        <is>
          <t>5f03fe4af2ac4432fb8514bd43d88648</t>
        </is>
      </c>
      <c r="B1983" s="29" t="n">
        <v>43042</v>
      </c>
      <c r="C1983" t="inlineStr">
        <is>
          <t>2017-11</t>
        </is>
      </c>
      <c r="D1983" t="inlineStr">
        <is>
          <t>88740e65d5d6b056e0cda098e1ea6313</t>
        </is>
      </c>
      <c r="E1983" t="inlineStr">
        <is>
          <t>social</t>
        </is>
      </c>
      <c r="F1983">
        <f>IFERROR(MATCH(A1983,Deals!$A$2:$A$843,0),"")</f>
        <v/>
      </c>
      <c r="G1983">
        <f>IF(F1983="",0,1)</f>
        <v/>
      </c>
      <c r="H1983" s="29">
        <f>IF(F1983="","",INDEX(Deals!$E$2:$E$843,F1983))</f>
        <v/>
      </c>
      <c r="I1983">
        <f>IF(F1983="","",INDEX(Deals!$D$2:$D$843,F1983))</f>
        <v/>
      </c>
      <c r="J1983">
        <f>IF(F1983="","",INT(H1983)-B1983)</f>
        <v/>
      </c>
      <c r="K1983">
        <f>IF(B1983&gt;=Settings!$C$5,1,0)</f>
        <v/>
      </c>
    </row>
    <row r="1984">
      <c r="A1984" t="inlineStr">
        <is>
          <t>6e2559b077897e54a426cbdbd0bb05cc</t>
        </is>
      </c>
      <c r="B1984" s="29" t="n">
        <v>42936</v>
      </c>
      <c r="C1984" t="inlineStr">
        <is>
          <t>2017-07</t>
        </is>
      </c>
      <c r="D1984" t="inlineStr">
        <is>
          <t>b76ef37428e6799c421989521c0e5077</t>
        </is>
      </c>
      <c r="E1984" t="inlineStr">
        <is>
          <t>unknown</t>
        </is>
      </c>
      <c r="F1984">
        <f>IFERROR(MATCH(A1984,Deals!$A$2:$A$843,0),"")</f>
        <v/>
      </c>
      <c r="G1984">
        <f>IF(F1984="",0,1)</f>
        <v/>
      </c>
      <c r="H1984" s="29">
        <f>IF(F1984="","",INDEX(Deals!$E$2:$E$843,F1984))</f>
        <v/>
      </c>
      <c r="I1984">
        <f>IF(F1984="","",INDEX(Deals!$D$2:$D$843,F1984))</f>
        <v/>
      </c>
      <c r="J1984">
        <f>IF(F1984="","",INT(H1984)-B1984)</f>
        <v/>
      </c>
      <c r="K1984">
        <f>IF(B1984&gt;=Settings!$C$5,1,0)</f>
        <v/>
      </c>
    </row>
    <row r="1985">
      <c r="A1985" t="inlineStr">
        <is>
          <t>52158d6f6f2a8228033b2dd5924de7f7</t>
        </is>
      </c>
      <c r="B1985" s="29" t="n">
        <v>43111</v>
      </c>
      <c r="C1985" t="inlineStr">
        <is>
          <t>2018-01</t>
        </is>
      </c>
      <c r="D1985" t="inlineStr">
        <is>
          <t>b76ef37428e6799c421989521c0e5077</t>
        </is>
      </c>
      <c r="E1985" t="inlineStr">
        <is>
          <t>unknown</t>
        </is>
      </c>
      <c r="F1985">
        <f>IFERROR(MATCH(A1985,Deals!$A$2:$A$843,0),"")</f>
        <v/>
      </c>
      <c r="G1985">
        <f>IF(F1985="",0,1)</f>
        <v/>
      </c>
      <c r="H1985" s="29">
        <f>IF(F1985="","",INDEX(Deals!$E$2:$E$843,F1985))</f>
        <v/>
      </c>
      <c r="I1985">
        <f>IF(F1985="","",INDEX(Deals!$D$2:$D$843,F1985))</f>
        <v/>
      </c>
      <c r="J1985">
        <f>IF(F1985="","",INT(H1985)-B1985)</f>
        <v/>
      </c>
      <c r="K1985">
        <f>IF(B1985&gt;=Settings!$C$5,1,0)</f>
        <v/>
      </c>
    </row>
    <row r="1986">
      <c r="A1986" t="inlineStr">
        <is>
          <t>eeb57c36455e343cd204cb698a6e8079</t>
        </is>
      </c>
      <c r="B1986" s="29" t="n">
        <v>43139</v>
      </c>
      <c r="C1986" t="inlineStr">
        <is>
          <t>2018-02</t>
        </is>
      </c>
      <c r="D1986" t="inlineStr">
        <is>
          <t>40dec9f3d5259a3d2dbcdab2114fae47</t>
        </is>
      </c>
      <c r="E1986" t="inlineStr">
        <is>
          <t>paid_search</t>
        </is>
      </c>
      <c r="F1986">
        <f>IFERROR(MATCH(A1986,Deals!$A$2:$A$843,0),"")</f>
        <v/>
      </c>
      <c r="G1986">
        <f>IF(F1986="",0,1)</f>
        <v/>
      </c>
      <c r="H1986" s="29">
        <f>IF(F1986="","",INDEX(Deals!$E$2:$E$843,F1986))</f>
        <v/>
      </c>
      <c r="I1986">
        <f>IF(F1986="","",INDEX(Deals!$D$2:$D$843,F1986))</f>
        <v/>
      </c>
      <c r="J1986">
        <f>IF(F1986="","",INT(H1986)-B1986)</f>
        <v/>
      </c>
      <c r="K1986">
        <f>IF(B1986&gt;=Settings!$C$5,1,0)</f>
        <v/>
      </c>
    </row>
    <row r="1987">
      <c r="A1987" t="inlineStr">
        <is>
          <t>603107e69309e0846426fd3f516aef2b</t>
        </is>
      </c>
      <c r="B1987" s="29" t="n">
        <v>43215</v>
      </c>
      <c r="C1987" t="inlineStr">
        <is>
          <t>2018-04</t>
        </is>
      </c>
      <c r="D1987" t="inlineStr">
        <is>
          <t>f80696b73d17fb34f5c4fde157f119d8</t>
        </is>
      </c>
      <c r="E1987" t="inlineStr">
        <is>
          <t>organic_search</t>
        </is>
      </c>
      <c r="F1987">
        <f>IFERROR(MATCH(A1987,Deals!$A$2:$A$843,0),"")</f>
        <v/>
      </c>
      <c r="G1987">
        <f>IF(F1987="",0,1)</f>
        <v/>
      </c>
      <c r="H1987" s="29">
        <f>IF(F1987="","",INDEX(Deals!$E$2:$E$843,F1987))</f>
        <v/>
      </c>
      <c r="I1987">
        <f>IF(F1987="","",INDEX(Deals!$D$2:$D$843,F1987))</f>
        <v/>
      </c>
      <c r="J1987">
        <f>IF(F1987="","",INT(H1987)-B1987)</f>
        <v/>
      </c>
      <c r="K1987">
        <f>IF(B1987&gt;=Settings!$C$5,1,0)</f>
        <v/>
      </c>
    </row>
    <row r="1988">
      <c r="A1988" t="inlineStr">
        <is>
          <t>f0ba61470384eb03b493f0650c2f33ae</t>
        </is>
      </c>
      <c r="B1988" s="29" t="n">
        <v>43169</v>
      </c>
      <c r="C1988" t="inlineStr">
        <is>
          <t>2018-03</t>
        </is>
      </c>
      <c r="D1988" t="inlineStr">
        <is>
          <t>54d5e01ab35155d4bd8cf723fc6f04a0</t>
        </is>
      </c>
      <c r="E1988" t="inlineStr">
        <is>
          <t>display</t>
        </is>
      </c>
      <c r="F1988">
        <f>IFERROR(MATCH(A1988,Deals!$A$2:$A$843,0),"")</f>
        <v/>
      </c>
      <c r="G1988">
        <f>IF(F1988="",0,1)</f>
        <v/>
      </c>
      <c r="H1988" s="29">
        <f>IF(F1988="","",INDEX(Deals!$E$2:$E$843,F1988))</f>
        <v/>
      </c>
      <c r="I1988">
        <f>IF(F1988="","",INDEX(Deals!$D$2:$D$843,F1988))</f>
        <v/>
      </c>
      <c r="J1988">
        <f>IF(F1988="","",INT(H1988)-B1988)</f>
        <v/>
      </c>
      <c r="K1988">
        <f>IF(B1988&gt;=Settings!$C$5,1,0)</f>
        <v/>
      </c>
    </row>
    <row r="1989">
      <c r="A1989" t="inlineStr">
        <is>
          <t>3002c4f3485b1e76717e48f96e5fcbe7</t>
        </is>
      </c>
      <c r="B1989" s="29" t="n">
        <v>43116</v>
      </c>
      <c r="C1989" t="inlineStr">
        <is>
          <t>2018-01</t>
        </is>
      </c>
      <c r="D1989" t="inlineStr">
        <is>
          <t>88740e65d5d6b056e0cda098e1ea6313</t>
        </is>
      </c>
      <c r="E1989" t="inlineStr">
        <is>
          <t>social</t>
        </is>
      </c>
      <c r="F1989">
        <f>IFERROR(MATCH(A1989,Deals!$A$2:$A$843,0),"")</f>
        <v/>
      </c>
      <c r="G1989">
        <f>IF(F1989="",0,1)</f>
        <v/>
      </c>
      <c r="H1989" s="29">
        <f>IF(F1989="","",INDEX(Deals!$E$2:$E$843,F1989))</f>
        <v/>
      </c>
      <c r="I1989">
        <f>IF(F1989="","",INDEX(Deals!$D$2:$D$843,F1989))</f>
        <v/>
      </c>
      <c r="J1989">
        <f>IF(F1989="","",INT(H1989)-B1989)</f>
        <v/>
      </c>
      <c r="K1989">
        <f>IF(B1989&gt;=Settings!$C$5,1,0)</f>
        <v/>
      </c>
    </row>
    <row r="1990">
      <c r="A1990" t="inlineStr">
        <is>
          <t>4a907eba6a8d0223e39ee7d45672e26b</t>
        </is>
      </c>
      <c r="B1990" s="29" t="n">
        <v>43229</v>
      </c>
      <c r="C1990" t="inlineStr">
        <is>
          <t>2018-05</t>
        </is>
      </c>
      <c r="D1990" t="inlineStr">
        <is>
          <t>090ffa1062e6dde353c36524563acefc</t>
        </is>
      </c>
      <c r="E1990" t="inlineStr">
        <is>
          <t>organic_search</t>
        </is>
      </c>
      <c r="F1990">
        <f>IFERROR(MATCH(A1990,Deals!$A$2:$A$843,0),"")</f>
        <v/>
      </c>
      <c r="G1990">
        <f>IF(F1990="",0,1)</f>
        <v/>
      </c>
      <c r="H1990" s="29">
        <f>IF(F1990="","",INDEX(Deals!$E$2:$E$843,F1990))</f>
        <v/>
      </c>
      <c r="I1990">
        <f>IF(F1990="","",INDEX(Deals!$D$2:$D$843,F1990))</f>
        <v/>
      </c>
      <c r="J1990">
        <f>IF(F1990="","",INT(H1990)-B1990)</f>
        <v/>
      </c>
      <c r="K1990">
        <f>IF(B1990&gt;=Settings!$C$5,1,0)</f>
        <v/>
      </c>
    </row>
    <row r="1991">
      <c r="A1991" t="inlineStr">
        <is>
          <t>e49f17bdae6bfb91c8a996d7ba623799</t>
        </is>
      </c>
      <c r="B1991" s="29" t="n">
        <v>43108</v>
      </c>
      <c r="C1991" t="inlineStr">
        <is>
          <t>2018-01</t>
        </is>
      </c>
      <c r="D1991" t="inlineStr">
        <is>
          <t>40dec9f3d5259a3d2dbcdab2114fae47</t>
        </is>
      </c>
      <c r="E1991" t="inlineStr">
        <is>
          <t>organic_search</t>
        </is>
      </c>
      <c r="F1991">
        <f>IFERROR(MATCH(A1991,Deals!$A$2:$A$843,0),"")</f>
        <v/>
      </c>
      <c r="G1991">
        <f>IF(F1991="",0,1)</f>
        <v/>
      </c>
      <c r="H1991" s="29">
        <f>IF(F1991="","",INDEX(Deals!$E$2:$E$843,F1991))</f>
        <v/>
      </c>
      <c r="I1991">
        <f>IF(F1991="","",INDEX(Deals!$D$2:$D$843,F1991))</f>
        <v/>
      </c>
      <c r="J1991">
        <f>IF(F1991="","",INT(H1991)-B1991)</f>
        <v/>
      </c>
      <c r="K1991">
        <f>IF(B1991&gt;=Settings!$C$5,1,0)</f>
        <v/>
      </c>
    </row>
    <row r="1992">
      <c r="A1992" t="inlineStr">
        <is>
          <t>94e5334342049bf8fc3c617362be2304</t>
        </is>
      </c>
      <c r="B1992" s="29" t="n">
        <v>43244</v>
      </c>
      <c r="C1992" t="inlineStr">
        <is>
          <t>2018-05</t>
        </is>
      </c>
      <c r="D1992" t="inlineStr">
        <is>
          <t>22c29808c4f815213303f8933030604c</t>
        </is>
      </c>
      <c r="E1992" t="inlineStr">
        <is>
          <t>organic_search</t>
        </is>
      </c>
      <c r="F1992">
        <f>IFERROR(MATCH(A1992,Deals!$A$2:$A$843,0),"")</f>
        <v/>
      </c>
      <c r="G1992">
        <f>IF(F1992="",0,1)</f>
        <v/>
      </c>
      <c r="H1992" s="29">
        <f>IF(F1992="","",INDEX(Deals!$E$2:$E$843,F1992))</f>
        <v/>
      </c>
      <c r="I1992">
        <f>IF(F1992="","",INDEX(Deals!$D$2:$D$843,F1992))</f>
        <v/>
      </c>
      <c r="J1992">
        <f>IF(F1992="","",INT(H1992)-B1992)</f>
        <v/>
      </c>
      <c r="K1992">
        <f>IF(B1992&gt;=Settings!$C$5,1,0)</f>
        <v/>
      </c>
    </row>
    <row r="1993">
      <c r="A1993" t="inlineStr">
        <is>
          <t>e564b6518a085f7925bf32cab9c32584</t>
        </is>
      </c>
      <c r="B1993" s="29" t="n">
        <v>43189</v>
      </c>
      <c r="C1993" t="inlineStr">
        <is>
          <t>2018-03</t>
        </is>
      </c>
      <c r="D1993" t="inlineStr">
        <is>
          <t>649b7b8b46b254497e92038d88f6ced8</t>
        </is>
      </c>
      <c r="E1993" t="inlineStr">
        <is>
          <t>social</t>
        </is>
      </c>
      <c r="F1993">
        <f>IFERROR(MATCH(A1993,Deals!$A$2:$A$843,0),"")</f>
        <v/>
      </c>
      <c r="G1993">
        <f>IF(F1993="",0,1)</f>
        <v/>
      </c>
      <c r="H1993" s="29">
        <f>IF(F1993="","",INDEX(Deals!$E$2:$E$843,F1993))</f>
        <v/>
      </c>
      <c r="I1993">
        <f>IF(F1993="","",INDEX(Deals!$D$2:$D$843,F1993))</f>
        <v/>
      </c>
      <c r="J1993">
        <f>IF(F1993="","",INT(H1993)-B1993)</f>
        <v/>
      </c>
      <c r="K1993">
        <f>IF(B1993&gt;=Settings!$C$5,1,0)</f>
        <v/>
      </c>
    </row>
    <row r="1994">
      <c r="A1994" t="inlineStr">
        <is>
          <t>5bfcd83ad8acb6ab91ffa9a89da30c90</t>
        </is>
      </c>
      <c r="B1994" s="29" t="n">
        <v>43218</v>
      </c>
      <c r="C1994" t="inlineStr">
        <is>
          <t>2018-04</t>
        </is>
      </c>
      <c r="D1994" t="inlineStr">
        <is>
          <t>22c29808c4f815213303f8933030604c</t>
        </is>
      </c>
      <c r="E1994" t="inlineStr">
        <is>
          <t>paid_search</t>
        </is>
      </c>
      <c r="F1994">
        <f>IFERROR(MATCH(A1994,Deals!$A$2:$A$843,0),"")</f>
        <v/>
      </c>
      <c r="G1994">
        <f>IF(F1994="",0,1)</f>
        <v/>
      </c>
      <c r="H1994" s="29">
        <f>IF(F1994="","",INDEX(Deals!$E$2:$E$843,F1994))</f>
        <v/>
      </c>
      <c r="I1994">
        <f>IF(F1994="","",INDEX(Deals!$D$2:$D$843,F1994))</f>
        <v/>
      </c>
      <c r="J1994">
        <f>IF(F1994="","",INT(H1994)-B1994)</f>
        <v/>
      </c>
      <c r="K1994">
        <f>IF(B1994&gt;=Settings!$C$5,1,0)</f>
        <v/>
      </c>
    </row>
    <row r="1995">
      <c r="A1995" t="inlineStr">
        <is>
          <t>41b388b1c94a67752c29f62a6b12b0fa</t>
        </is>
      </c>
      <c r="B1995" s="29" t="n">
        <v>43237</v>
      </c>
      <c r="C1995" t="inlineStr">
        <is>
          <t>2018-05</t>
        </is>
      </c>
      <c r="D1995" t="inlineStr">
        <is>
          <t>9fa37f5177115156b1814ffc237402a6</t>
        </is>
      </c>
      <c r="E1995" t="inlineStr">
        <is>
          <t>organic_search</t>
        </is>
      </c>
      <c r="F1995">
        <f>IFERROR(MATCH(A1995,Deals!$A$2:$A$843,0),"")</f>
        <v/>
      </c>
      <c r="G1995">
        <f>IF(F1995="",0,1)</f>
        <v/>
      </c>
      <c r="H1995" s="29">
        <f>IF(F1995="","",INDEX(Deals!$E$2:$E$843,F1995))</f>
        <v/>
      </c>
      <c r="I1995">
        <f>IF(F1995="","",INDEX(Deals!$D$2:$D$843,F1995))</f>
        <v/>
      </c>
      <c r="J1995">
        <f>IF(F1995="","",INT(H1995)-B1995)</f>
        <v/>
      </c>
      <c r="K1995">
        <f>IF(B1995&gt;=Settings!$C$5,1,0)</f>
        <v/>
      </c>
    </row>
    <row r="1996">
      <c r="A1996" t="inlineStr">
        <is>
          <t>2c7b84fa30f0cea96a90729afe2970a0</t>
        </is>
      </c>
      <c r="B1996" s="29" t="n">
        <v>43227</v>
      </c>
      <c r="C1996" t="inlineStr">
        <is>
          <t>2018-05</t>
        </is>
      </c>
      <c r="D1996" t="inlineStr">
        <is>
          <t>d28554990d8c5273fedfde51f1f8a59d</t>
        </is>
      </c>
      <c r="E1996" t="inlineStr">
        <is>
          <t>paid_search</t>
        </is>
      </c>
      <c r="F1996">
        <f>IFERROR(MATCH(A1996,Deals!$A$2:$A$843,0),"")</f>
        <v/>
      </c>
      <c r="G1996">
        <f>IF(F1996="",0,1)</f>
        <v/>
      </c>
      <c r="H1996" s="29">
        <f>IF(F1996="","",INDEX(Deals!$E$2:$E$843,F1996))</f>
        <v/>
      </c>
      <c r="I1996">
        <f>IF(F1996="","",INDEX(Deals!$D$2:$D$843,F1996))</f>
        <v/>
      </c>
      <c r="J1996">
        <f>IF(F1996="","",INT(H1996)-B1996)</f>
        <v/>
      </c>
      <c r="K1996">
        <f>IF(B1996&gt;=Settings!$C$5,1,0)</f>
        <v/>
      </c>
    </row>
    <row r="1997">
      <c r="A1997" t="inlineStr">
        <is>
          <t>772b0baed68e072715d9958602a7a8c3</t>
        </is>
      </c>
      <c r="B1997" s="29" t="n">
        <v>43245</v>
      </c>
      <c r="C1997" t="inlineStr">
        <is>
          <t>2018-05</t>
        </is>
      </c>
      <c r="D1997" t="inlineStr">
        <is>
          <t>ce1a65abd0973638f1c887a6efcfa82d</t>
        </is>
      </c>
      <c r="E1997" t="inlineStr">
        <is>
          <t>organic_search</t>
        </is>
      </c>
      <c r="F1997">
        <f>IFERROR(MATCH(A1997,Deals!$A$2:$A$843,0),"")</f>
        <v/>
      </c>
      <c r="G1997">
        <f>IF(F1997="",0,1)</f>
        <v/>
      </c>
      <c r="H1997" s="29">
        <f>IF(F1997="","",INDEX(Deals!$E$2:$E$843,F1997))</f>
        <v/>
      </c>
      <c r="I1997">
        <f>IF(F1997="","",INDEX(Deals!$D$2:$D$843,F1997))</f>
        <v/>
      </c>
      <c r="J1997">
        <f>IF(F1997="","",INT(H1997)-B1997)</f>
        <v/>
      </c>
      <c r="K1997">
        <f>IF(B1997&gt;=Settings!$C$5,1,0)</f>
        <v/>
      </c>
    </row>
    <row r="1998">
      <c r="A1998" t="inlineStr">
        <is>
          <t>5134baf5f48adb897172536a7d6bd1d6</t>
        </is>
      </c>
      <c r="B1998" s="29" t="n">
        <v>43216</v>
      </c>
      <c r="C1998" t="inlineStr">
        <is>
          <t>2018-04</t>
        </is>
      </c>
      <c r="D1998" t="inlineStr">
        <is>
          <t>33009ff58323b15ce24eba767675f434</t>
        </is>
      </c>
      <c r="E1998" t="inlineStr">
        <is>
          <t>paid_search</t>
        </is>
      </c>
      <c r="F1998">
        <f>IFERROR(MATCH(A1998,Deals!$A$2:$A$843,0),"")</f>
        <v/>
      </c>
      <c r="G1998">
        <f>IF(F1998="",0,1)</f>
        <v/>
      </c>
      <c r="H1998" s="29">
        <f>IF(F1998="","",INDEX(Deals!$E$2:$E$843,F1998))</f>
        <v/>
      </c>
      <c r="I1998">
        <f>IF(F1998="","",INDEX(Deals!$D$2:$D$843,F1998))</f>
        <v/>
      </c>
      <c r="J1998">
        <f>IF(F1998="","",INT(H1998)-B1998)</f>
        <v/>
      </c>
      <c r="K1998">
        <f>IF(B1998&gt;=Settings!$C$5,1,0)</f>
        <v/>
      </c>
    </row>
    <row r="1999">
      <c r="A1999" t="inlineStr">
        <is>
          <t>c9d64f4101b5c9a415f45c377b780f6b</t>
        </is>
      </c>
      <c r="B1999" s="29" t="n">
        <v>43188</v>
      </c>
      <c r="C1999" t="inlineStr">
        <is>
          <t>2018-03</t>
        </is>
      </c>
      <c r="D1999" t="inlineStr">
        <is>
          <t>65c9e96d17d8d12bc0ad3b2cde0bb8b7</t>
        </is>
      </c>
      <c r="E1999" t="inlineStr">
        <is>
          <t>email</t>
        </is>
      </c>
      <c r="F1999">
        <f>IFERROR(MATCH(A1999,Deals!$A$2:$A$843,0),"")</f>
        <v/>
      </c>
      <c r="G1999">
        <f>IF(F1999="",0,1)</f>
        <v/>
      </c>
      <c r="H1999" s="29">
        <f>IF(F1999="","",INDEX(Deals!$E$2:$E$843,F1999))</f>
        <v/>
      </c>
      <c r="I1999">
        <f>IF(F1999="","",INDEX(Deals!$D$2:$D$843,F1999))</f>
        <v/>
      </c>
      <c r="J1999">
        <f>IF(F1999="","",INT(H1999)-B1999)</f>
        <v/>
      </c>
      <c r="K1999">
        <f>IF(B1999&gt;=Settings!$C$5,1,0)</f>
        <v/>
      </c>
    </row>
    <row r="2000">
      <c r="A2000" t="inlineStr">
        <is>
          <t>8d04c13e080ecc73656118e7650fbb4c</t>
        </is>
      </c>
      <c r="B2000" s="29" t="n">
        <v>43237</v>
      </c>
      <c r="C2000" t="inlineStr">
        <is>
          <t>2018-05</t>
        </is>
      </c>
      <c r="D2000" t="inlineStr">
        <is>
          <t>58326e62183c14b0c03085c33b9fdc44</t>
        </is>
      </c>
      <c r="E2000" t="inlineStr">
        <is>
          <t>social</t>
        </is>
      </c>
      <c r="F2000">
        <f>IFERROR(MATCH(A2000,Deals!$A$2:$A$843,0),"")</f>
        <v/>
      </c>
      <c r="G2000">
        <f>IF(F2000="",0,1)</f>
        <v/>
      </c>
      <c r="H2000" s="29">
        <f>IF(F2000="","",INDEX(Deals!$E$2:$E$843,F2000))</f>
        <v/>
      </c>
      <c r="I2000">
        <f>IF(F2000="","",INDEX(Deals!$D$2:$D$843,F2000))</f>
        <v/>
      </c>
      <c r="J2000">
        <f>IF(F2000="","",INT(H2000)-B2000)</f>
        <v/>
      </c>
      <c r="K2000">
        <f>IF(B2000&gt;=Settings!$C$5,1,0)</f>
        <v/>
      </c>
    </row>
    <row r="2001">
      <c r="A2001" t="inlineStr">
        <is>
          <t>4ead4a1873d5c890f6fd1f296422a4cb</t>
        </is>
      </c>
      <c r="B2001" s="29" t="n">
        <v>43139</v>
      </c>
      <c r="C2001" t="inlineStr">
        <is>
          <t>2018-02</t>
        </is>
      </c>
      <c r="D2001" t="inlineStr">
        <is>
          <t>40dec9f3d5259a3d2dbcdab2114fae47</t>
        </is>
      </c>
      <c r="E2001" t="inlineStr">
        <is>
          <t>organic_search</t>
        </is>
      </c>
      <c r="F2001">
        <f>IFERROR(MATCH(A2001,Deals!$A$2:$A$843,0),"")</f>
        <v/>
      </c>
      <c r="G2001">
        <f>IF(F2001="",0,1)</f>
        <v/>
      </c>
      <c r="H2001" s="29">
        <f>IF(F2001="","",INDEX(Deals!$E$2:$E$843,F2001))</f>
        <v/>
      </c>
      <c r="I2001">
        <f>IF(F2001="","",INDEX(Deals!$D$2:$D$843,F2001))</f>
        <v/>
      </c>
      <c r="J2001">
        <f>IF(F2001="","",INT(H2001)-B2001)</f>
        <v/>
      </c>
      <c r="K2001">
        <f>IF(B2001&gt;=Settings!$C$5,1,0)</f>
        <v/>
      </c>
    </row>
    <row r="2002">
      <c r="A2002" t="inlineStr">
        <is>
          <t>5b7e0a1ad5d9ac9ef3063b05f55b6d31</t>
        </is>
      </c>
      <c r="B2002" s="29" t="n">
        <v>43107</v>
      </c>
      <c r="C2002" t="inlineStr">
        <is>
          <t>2018-01</t>
        </is>
      </c>
      <c r="D2002" t="inlineStr">
        <is>
          <t>a7982125ff7aa3b2054c6e44f9d28522</t>
        </is>
      </c>
      <c r="E2002" t="inlineStr">
        <is>
          <t>direct_traffic</t>
        </is>
      </c>
      <c r="F2002">
        <f>IFERROR(MATCH(A2002,Deals!$A$2:$A$843,0),"")</f>
        <v/>
      </c>
      <c r="G2002">
        <f>IF(F2002="",0,1)</f>
        <v/>
      </c>
      <c r="H2002" s="29">
        <f>IF(F2002="","",INDEX(Deals!$E$2:$E$843,F2002))</f>
        <v/>
      </c>
      <c r="I2002">
        <f>IF(F2002="","",INDEX(Deals!$D$2:$D$843,F2002))</f>
        <v/>
      </c>
      <c r="J2002">
        <f>IF(F2002="","",INT(H2002)-B2002)</f>
        <v/>
      </c>
      <c r="K2002">
        <f>IF(B2002&gt;=Settings!$C$5,1,0)</f>
        <v/>
      </c>
    </row>
    <row r="2003">
      <c r="A2003" t="inlineStr">
        <is>
          <t>1e8e96e5a2857a7645534e99f20928b7</t>
        </is>
      </c>
      <c r="B2003" s="29" t="n">
        <v>43124</v>
      </c>
      <c r="C2003" t="inlineStr">
        <is>
          <t>2018-01</t>
        </is>
      </c>
      <c r="D2003" t="inlineStr">
        <is>
          <t>22c29808c4f815213303f8933030604c</t>
        </is>
      </c>
      <c r="E2003" t="inlineStr">
        <is>
          <t>direct_traffic</t>
        </is>
      </c>
      <c r="F2003">
        <f>IFERROR(MATCH(A2003,Deals!$A$2:$A$843,0),"")</f>
        <v/>
      </c>
      <c r="G2003">
        <f>IF(F2003="",0,1)</f>
        <v/>
      </c>
      <c r="H2003" s="29">
        <f>IF(F2003="","",INDEX(Deals!$E$2:$E$843,F2003))</f>
        <v/>
      </c>
      <c r="I2003">
        <f>IF(F2003="","",INDEX(Deals!$D$2:$D$843,F2003))</f>
        <v/>
      </c>
      <c r="J2003">
        <f>IF(F2003="","",INT(H2003)-B2003)</f>
        <v/>
      </c>
      <c r="K2003">
        <f>IF(B2003&gt;=Settings!$C$5,1,0)</f>
        <v/>
      </c>
    </row>
    <row r="2004">
      <c r="A2004" t="inlineStr">
        <is>
          <t>cc6a03346a8c24eacf57bdf97c1f9c9e</t>
        </is>
      </c>
      <c r="B2004" s="29" t="n">
        <v>42971</v>
      </c>
      <c r="C2004" t="inlineStr">
        <is>
          <t>2017-08</t>
        </is>
      </c>
      <c r="D2004" t="inlineStr">
        <is>
          <t>e492ee5eaf1697716985cc6f33f9cd9b</t>
        </is>
      </c>
      <c r="E2004" t="inlineStr">
        <is>
          <t>organic_search</t>
        </is>
      </c>
      <c r="F2004">
        <f>IFERROR(MATCH(A2004,Deals!$A$2:$A$843,0),"")</f>
        <v/>
      </c>
      <c r="G2004">
        <f>IF(F2004="",0,1)</f>
        <v/>
      </c>
      <c r="H2004" s="29">
        <f>IF(F2004="","",INDEX(Deals!$E$2:$E$843,F2004))</f>
        <v/>
      </c>
      <c r="I2004">
        <f>IF(F2004="","",INDEX(Deals!$D$2:$D$843,F2004))</f>
        <v/>
      </c>
      <c r="J2004">
        <f>IF(F2004="","",INT(H2004)-B2004)</f>
        <v/>
      </c>
      <c r="K2004">
        <f>IF(B2004&gt;=Settings!$C$5,1,0)</f>
        <v/>
      </c>
    </row>
    <row r="2005">
      <c r="A2005" t="inlineStr">
        <is>
          <t>1b9a2958ea60ecfadb3e39071801675f</t>
        </is>
      </c>
      <c r="B2005" s="29" t="n">
        <v>43242</v>
      </c>
      <c r="C2005" t="inlineStr">
        <is>
          <t>2018-05</t>
        </is>
      </c>
      <c r="D2005" t="inlineStr">
        <is>
          <t>e42a14209c69c3e9cc6b042620465f12</t>
        </is>
      </c>
      <c r="E2005" t="inlineStr">
        <is>
          <t>email</t>
        </is>
      </c>
      <c r="F2005">
        <f>IFERROR(MATCH(A2005,Deals!$A$2:$A$843,0),"")</f>
        <v/>
      </c>
      <c r="G2005">
        <f>IF(F2005="",0,1)</f>
        <v/>
      </c>
      <c r="H2005" s="29">
        <f>IF(F2005="","",INDEX(Deals!$E$2:$E$843,F2005))</f>
        <v/>
      </c>
      <c r="I2005">
        <f>IF(F2005="","",INDEX(Deals!$D$2:$D$843,F2005))</f>
        <v/>
      </c>
      <c r="J2005">
        <f>IF(F2005="","",INT(H2005)-B2005)</f>
        <v/>
      </c>
      <c r="K2005">
        <f>IF(B2005&gt;=Settings!$C$5,1,0)</f>
        <v/>
      </c>
    </row>
    <row r="2006">
      <c r="A2006" t="inlineStr">
        <is>
          <t>469571404e9f875662e862b4adca3245</t>
        </is>
      </c>
      <c r="B2006" s="29" t="n">
        <v>43234</v>
      </c>
      <c r="C2006" t="inlineStr">
        <is>
          <t>2018-05</t>
        </is>
      </c>
      <c r="D2006" t="inlineStr">
        <is>
          <t>22c29808c4f815213303f8933030604c</t>
        </is>
      </c>
      <c r="E2006" t="inlineStr">
        <is>
          <t>organic_search</t>
        </is>
      </c>
      <c r="F2006">
        <f>IFERROR(MATCH(A2006,Deals!$A$2:$A$843,0),"")</f>
        <v/>
      </c>
      <c r="G2006">
        <f>IF(F2006="",0,1)</f>
        <v/>
      </c>
      <c r="H2006" s="29">
        <f>IF(F2006="","",INDEX(Deals!$E$2:$E$843,F2006))</f>
        <v/>
      </c>
      <c r="I2006">
        <f>IF(F2006="","",INDEX(Deals!$D$2:$D$843,F2006))</f>
        <v/>
      </c>
      <c r="J2006">
        <f>IF(F2006="","",INT(H2006)-B2006)</f>
        <v/>
      </c>
      <c r="K2006">
        <f>IF(B2006&gt;=Settings!$C$5,1,0)</f>
        <v/>
      </c>
    </row>
    <row r="2007">
      <c r="A2007" t="inlineStr">
        <is>
          <t>e41e2bf8a60897a711c94976b5df5070</t>
        </is>
      </c>
      <c r="B2007" s="29" t="n">
        <v>43102</v>
      </c>
      <c r="C2007" t="inlineStr">
        <is>
          <t>2018-01</t>
        </is>
      </c>
      <c r="D2007" t="inlineStr">
        <is>
          <t>40dec9f3d5259a3d2dbcdab2114fae47</t>
        </is>
      </c>
      <c r="E2007" t="inlineStr">
        <is>
          <t>organic_search</t>
        </is>
      </c>
      <c r="F2007">
        <f>IFERROR(MATCH(A2007,Deals!$A$2:$A$843,0),"")</f>
        <v/>
      </c>
      <c r="G2007">
        <f>IF(F2007="",0,1)</f>
        <v/>
      </c>
      <c r="H2007" s="29">
        <f>IF(F2007="","",INDEX(Deals!$E$2:$E$843,F2007))</f>
        <v/>
      </c>
      <c r="I2007">
        <f>IF(F2007="","",INDEX(Deals!$D$2:$D$843,F2007))</f>
        <v/>
      </c>
      <c r="J2007">
        <f>IF(F2007="","",INT(H2007)-B2007)</f>
        <v/>
      </c>
      <c r="K2007">
        <f>IF(B2007&gt;=Settings!$C$5,1,0)</f>
        <v/>
      </c>
    </row>
    <row r="2008">
      <c r="A2008" t="inlineStr">
        <is>
          <t>690baec7c6e9b45cfeaf09ccec212bb4</t>
        </is>
      </c>
      <c r="B2008" s="29" t="n">
        <v>43014</v>
      </c>
      <c r="C2008" t="inlineStr">
        <is>
          <t>2017-10</t>
        </is>
      </c>
      <c r="D2008" t="inlineStr">
        <is>
          <t>e492ee5eaf1697716985cc6f33f9cd9b</t>
        </is>
      </c>
      <c r="E2008" t="inlineStr">
        <is>
          <t>email</t>
        </is>
      </c>
      <c r="F2008">
        <f>IFERROR(MATCH(A2008,Deals!$A$2:$A$843,0),"")</f>
        <v/>
      </c>
      <c r="G2008">
        <f>IF(F2008="",0,1)</f>
        <v/>
      </c>
      <c r="H2008" s="29">
        <f>IF(F2008="","",INDEX(Deals!$E$2:$E$843,F2008))</f>
        <v/>
      </c>
      <c r="I2008">
        <f>IF(F2008="","",INDEX(Deals!$D$2:$D$843,F2008))</f>
        <v/>
      </c>
      <c r="J2008">
        <f>IF(F2008="","",INT(H2008)-B2008)</f>
        <v/>
      </c>
      <c r="K2008">
        <f>IF(B2008&gt;=Settings!$C$5,1,0)</f>
        <v/>
      </c>
    </row>
    <row r="2009">
      <c r="A2009" t="inlineStr">
        <is>
          <t>f614dcb06ea2d91916df976112cbefcd</t>
        </is>
      </c>
      <c r="B2009" s="29" t="n">
        <v>43130</v>
      </c>
      <c r="C2009" t="inlineStr">
        <is>
          <t>2018-01</t>
        </is>
      </c>
      <c r="D2009" t="inlineStr">
        <is>
          <t>ce1a65abd0973638f1c887a6efcfa82d</t>
        </is>
      </c>
      <c r="E2009" t="inlineStr">
        <is>
          <t>social</t>
        </is>
      </c>
      <c r="F2009">
        <f>IFERROR(MATCH(A2009,Deals!$A$2:$A$843,0),"")</f>
        <v/>
      </c>
      <c r="G2009">
        <f>IF(F2009="",0,1)</f>
        <v/>
      </c>
      <c r="H2009" s="29">
        <f>IF(F2009="","",INDEX(Deals!$E$2:$E$843,F2009))</f>
        <v/>
      </c>
      <c r="I2009">
        <f>IF(F2009="","",INDEX(Deals!$D$2:$D$843,F2009))</f>
        <v/>
      </c>
      <c r="J2009">
        <f>IF(F2009="","",INT(H2009)-B2009)</f>
        <v/>
      </c>
      <c r="K2009">
        <f>IF(B2009&gt;=Settings!$C$5,1,0)</f>
        <v/>
      </c>
    </row>
    <row r="2010">
      <c r="A2010" t="inlineStr">
        <is>
          <t>722eaf15b47c6ce753f1482b352f5c48</t>
        </is>
      </c>
      <c r="B2010" s="29" t="n">
        <v>43063</v>
      </c>
      <c r="C2010" t="inlineStr">
        <is>
          <t>2017-11</t>
        </is>
      </c>
      <c r="D2010" t="inlineStr">
        <is>
          <t>22c29808c4f815213303f8933030604c</t>
        </is>
      </c>
      <c r="E2010" t="inlineStr">
        <is>
          <t>organic_search</t>
        </is>
      </c>
      <c r="F2010">
        <f>IFERROR(MATCH(A2010,Deals!$A$2:$A$843,0),"")</f>
        <v/>
      </c>
      <c r="G2010">
        <f>IF(F2010="",0,1)</f>
        <v/>
      </c>
      <c r="H2010" s="29">
        <f>IF(F2010="","",INDEX(Deals!$E$2:$E$843,F2010))</f>
        <v/>
      </c>
      <c r="I2010">
        <f>IF(F2010="","",INDEX(Deals!$D$2:$D$843,F2010))</f>
        <v/>
      </c>
      <c r="J2010">
        <f>IF(F2010="","",INT(H2010)-B2010)</f>
        <v/>
      </c>
      <c r="K2010">
        <f>IF(B2010&gt;=Settings!$C$5,1,0)</f>
        <v/>
      </c>
    </row>
    <row r="2011">
      <c r="A2011" t="inlineStr">
        <is>
          <t>ad5ba4274138d6f039cc4cc1c14867cf</t>
        </is>
      </c>
      <c r="B2011" s="29" t="n">
        <v>43102</v>
      </c>
      <c r="C2011" t="inlineStr">
        <is>
          <t>2018-01</t>
        </is>
      </c>
      <c r="D2011" t="inlineStr">
        <is>
          <t>e492ee5eaf1697716985cc6f33f9cd9b</t>
        </is>
      </c>
      <c r="E2011" t="inlineStr">
        <is>
          <t>referral</t>
        </is>
      </c>
      <c r="F2011">
        <f>IFERROR(MATCH(A2011,Deals!$A$2:$A$843,0),"")</f>
        <v/>
      </c>
      <c r="G2011">
        <f>IF(F2011="",0,1)</f>
        <v/>
      </c>
      <c r="H2011" s="29">
        <f>IF(F2011="","",INDEX(Deals!$E$2:$E$843,F2011))</f>
        <v/>
      </c>
      <c r="I2011">
        <f>IF(F2011="","",INDEX(Deals!$D$2:$D$843,F2011))</f>
        <v/>
      </c>
      <c r="J2011">
        <f>IF(F2011="","",INT(H2011)-B2011)</f>
        <v/>
      </c>
      <c r="K2011">
        <f>IF(B2011&gt;=Settings!$C$5,1,0)</f>
        <v/>
      </c>
    </row>
    <row r="2012">
      <c r="A2012" t="inlineStr">
        <is>
          <t>22b91e866a98674f898cc7add8841a39</t>
        </is>
      </c>
      <c r="B2012" s="29" t="n">
        <v>42924</v>
      </c>
      <c r="C2012" t="inlineStr">
        <is>
          <t>2017-07</t>
        </is>
      </c>
      <c r="D2012" t="inlineStr">
        <is>
          <t>22c29808c4f815213303f8933030604c</t>
        </is>
      </c>
      <c r="E2012" t="inlineStr">
        <is>
          <t>unknown</t>
        </is>
      </c>
      <c r="F2012">
        <f>IFERROR(MATCH(A2012,Deals!$A$2:$A$843,0),"")</f>
        <v/>
      </c>
      <c r="G2012">
        <f>IF(F2012="",0,1)</f>
        <v/>
      </c>
      <c r="H2012" s="29">
        <f>IF(F2012="","",INDEX(Deals!$E$2:$E$843,F2012))</f>
        <v/>
      </c>
      <c r="I2012">
        <f>IF(F2012="","",INDEX(Deals!$D$2:$D$843,F2012))</f>
        <v/>
      </c>
      <c r="J2012">
        <f>IF(F2012="","",INT(H2012)-B2012)</f>
        <v/>
      </c>
      <c r="K2012">
        <f>IF(B2012&gt;=Settings!$C$5,1,0)</f>
        <v/>
      </c>
    </row>
    <row r="2013">
      <c r="A2013" t="inlineStr">
        <is>
          <t>4bb51d72da028d47b13bbe68fa9d43bf</t>
        </is>
      </c>
      <c r="B2013" s="29" t="n">
        <v>43209</v>
      </c>
      <c r="C2013" t="inlineStr">
        <is>
          <t>2018-04</t>
        </is>
      </c>
      <c r="D2013" t="inlineStr">
        <is>
          <t>e534a08b23c682d94859d0ab860bd57a</t>
        </is>
      </c>
      <c r="E2013" t="inlineStr">
        <is>
          <t>organic_search</t>
        </is>
      </c>
      <c r="F2013">
        <f>IFERROR(MATCH(A2013,Deals!$A$2:$A$843,0),"")</f>
        <v/>
      </c>
      <c r="G2013">
        <f>IF(F2013="",0,1)</f>
        <v/>
      </c>
      <c r="H2013" s="29">
        <f>IF(F2013="","",INDEX(Deals!$E$2:$E$843,F2013))</f>
        <v/>
      </c>
      <c r="I2013">
        <f>IF(F2013="","",INDEX(Deals!$D$2:$D$843,F2013))</f>
        <v/>
      </c>
      <c r="J2013">
        <f>IF(F2013="","",INT(H2013)-B2013)</f>
        <v/>
      </c>
      <c r="K2013">
        <f>IF(B2013&gt;=Settings!$C$5,1,0)</f>
        <v/>
      </c>
    </row>
    <row r="2014">
      <c r="A2014" t="inlineStr">
        <is>
          <t>b3793d60191d559f7ab979f5b00a1a17</t>
        </is>
      </c>
      <c r="B2014" s="29" t="n">
        <v>43054</v>
      </c>
      <c r="C2014" t="inlineStr">
        <is>
          <t>2017-11</t>
        </is>
      </c>
      <c r="D2014" t="inlineStr">
        <is>
          <t>21a104c3279681d9856b8a48723c4fee</t>
        </is>
      </c>
      <c r="E2014" t="inlineStr">
        <is>
          <t>organic_search</t>
        </is>
      </c>
      <c r="F2014">
        <f>IFERROR(MATCH(A2014,Deals!$A$2:$A$843,0),"")</f>
        <v/>
      </c>
      <c r="G2014">
        <f>IF(F2014="",0,1)</f>
        <v/>
      </c>
      <c r="H2014" s="29">
        <f>IF(F2014="","",INDEX(Deals!$E$2:$E$843,F2014))</f>
        <v/>
      </c>
      <c r="I2014">
        <f>IF(F2014="","",INDEX(Deals!$D$2:$D$843,F2014))</f>
        <v/>
      </c>
      <c r="J2014">
        <f>IF(F2014="","",INT(H2014)-B2014)</f>
        <v/>
      </c>
      <c r="K2014">
        <f>IF(B2014&gt;=Settings!$C$5,1,0)</f>
        <v/>
      </c>
    </row>
    <row r="2015">
      <c r="A2015" t="inlineStr">
        <is>
          <t>3b6c4cb66e2dbfd2ab568af84dc844af</t>
        </is>
      </c>
      <c r="B2015" s="29" t="n">
        <v>43155</v>
      </c>
      <c r="C2015" t="inlineStr">
        <is>
          <t>2018-02</t>
        </is>
      </c>
      <c r="D2015" t="inlineStr">
        <is>
          <t>88740e65d5d6b056e0cda098e1ea6313</t>
        </is>
      </c>
      <c r="E2015" t="inlineStr">
        <is>
          <t>social</t>
        </is>
      </c>
      <c r="F2015">
        <f>IFERROR(MATCH(A2015,Deals!$A$2:$A$843,0),"")</f>
        <v/>
      </c>
      <c r="G2015">
        <f>IF(F2015="",0,1)</f>
        <v/>
      </c>
      <c r="H2015" s="29">
        <f>IF(F2015="","",INDEX(Deals!$E$2:$E$843,F2015))</f>
        <v/>
      </c>
      <c r="I2015">
        <f>IF(F2015="","",INDEX(Deals!$D$2:$D$843,F2015))</f>
        <v/>
      </c>
      <c r="J2015">
        <f>IF(F2015="","",INT(H2015)-B2015)</f>
        <v/>
      </c>
      <c r="K2015">
        <f>IF(B2015&gt;=Settings!$C$5,1,0)</f>
        <v/>
      </c>
    </row>
    <row r="2016">
      <c r="A2016" t="inlineStr">
        <is>
          <t>18d84eb30b59b5f3cc748bfe9f68b472</t>
        </is>
      </c>
      <c r="B2016" s="29" t="n">
        <v>42933</v>
      </c>
      <c r="C2016" t="inlineStr">
        <is>
          <t>2017-07</t>
        </is>
      </c>
      <c r="D2016" t="inlineStr">
        <is>
          <t>5ce25abc7206b8285aa756867eb2c590</t>
        </is>
      </c>
      <c r="E2016" t="inlineStr">
        <is>
          <t>display</t>
        </is>
      </c>
      <c r="F2016">
        <f>IFERROR(MATCH(A2016,Deals!$A$2:$A$843,0),"")</f>
        <v/>
      </c>
      <c r="G2016">
        <f>IF(F2016="",0,1)</f>
        <v/>
      </c>
      <c r="H2016" s="29">
        <f>IF(F2016="","",INDEX(Deals!$E$2:$E$843,F2016))</f>
        <v/>
      </c>
      <c r="I2016">
        <f>IF(F2016="","",INDEX(Deals!$D$2:$D$843,F2016))</f>
        <v/>
      </c>
      <c r="J2016">
        <f>IF(F2016="","",INT(H2016)-B2016)</f>
        <v/>
      </c>
      <c r="K2016">
        <f>IF(B2016&gt;=Settings!$C$5,1,0)</f>
        <v/>
      </c>
    </row>
    <row r="2017">
      <c r="A2017" t="inlineStr">
        <is>
          <t>4ea1a79057f88cc5c1e0431929aa1d98</t>
        </is>
      </c>
      <c r="B2017" s="29" t="n">
        <v>43104</v>
      </c>
      <c r="C2017" t="inlineStr">
        <is>
          <t>2018-01</t>
        </is>
      </c>
      <c r="D2017" t="inlineStr">
        <is>
          <t>73f31a40697cc90a86c1273563ac230e</t>
        </is>
      </c>
      <c r="E2017" t="inlineStr">
        <is>
          <t>other</t>
        </is>
      </c>
      <c r="F2017">
        <f>IFERROR(MATCH(A2017,Deals!$A$2:$A$843,0),"")</f>
        <v/>
      </c>
      <c r="G2017">
        <f>IF(F2017="",0,1)</f>
        <v/>
      </c>
      <c r="H2017" s="29">
        <f>IF(F2017="","",INDEX(Deals!$E$2:$E$843,F2017))</f>
        <v/>
      </c>
      <c r="I2017">
        <f>IF(F2017="","",INDEX(Deals!$D$2:$D$843,F2017))</f>
        <v/>
      </c>
      <c r="J2017">
        <f>IF(F2017="","",INT(H2017)-B2017)</f>
        <v/>
      </c>
      <c r="K2017">
        <f>IF(B2017&gt;=Settings!$C$5,1,0)</f>
        <v/>
      </c>
    </row>
    <row r="2018">
      <c r="A2018" t="inlineStr">
        <is>
          <t>8cfebc3e119ed2fe0dd172eb59b0a595</t>
        </is>
      </c>
      <c r="B2018" s="29" t="n">
        <v>43162</v>
      </c>
      <c r="C2018" t="inlineStr">
        <is>
          <t>2018-03</t>
        </is>
      </c>
      <c r="D2018" t="inlineStr">
        <is>
          <t>c6f28f804cf6330e6de735ef6e6fe95c</t>
        </is>
      </c>
      <c r="E2018" t="inlineStr">
        <is>
          <t>paid_search</t>
        </is>
      </c>
      <c r="F2018">
        <f>IFERROR(MATCH(A2018,Deals!$A$2:$A$843,0),"")</f>
        <v/>
      </c>
      <c r="G2018">
        <f>IF(F2018="",0,1)</f>
        <v/>
      </c>
      <c r="H2018" s="29">
        <f>IF(F2018="","",INDEX(Deals!$E$2:$E$843,F2018))</f>
        <v/>
      </c>
      <c r="I2018">
        <f>IF(F2018="","",INDEX(Deals!$D$2:$D$843,F2018))</f>
        <v/>
      </c>
      <c r="J2018">
        <f>IF(F2018="","",INT(H2018)-B2018)</f>
        <v/>
      </c>
      <c r="K2018">
        <f>IF(B2018&gt;=Settings!$C$5,1,0)</f>
        <v/>
      </c>
    </row>
    <row r="2019">
      <c r="A2019" t="inlineStr">
        <is>
          <t>b9a9bd7f17185ed559381b351751801b</t>
        </is>
      </c>
      <c r="B2019" s="29" t="n">
        <v>43133</v>
      </c>
      <c r="C2019" t="inlineStr">
        <is>
          <t>2018-02</t>
        </is>
      </c>
      <c r="D2019" t="inlineStr">
        <is>
          <t>b76ef37428e6799c421989521c0e5077</t>
        </is>
      </c>
      <c r="E2019" t="inlineStr">
        <is>
          <t>unknown</t>
        </is>
      </c>
      <c r="F2019">
        <f>IFERROR(MATCH(A2019,Deals!$A$2:$A$843,0),"")</f>
        <v/>
      </c>
      <c r="G2019">
        <f>IF(F2019="",0,1)</f>
        <v/>
      </c>
      <c r="H2019" s="29">
        <f>IF(F2019="","",INDEX(Deals!$E$2:$E$843,F2019))</f>
        <v/>
      </c>
      <c r="I2019">
        <f>IF(F2019="","",INDEX(Deals!$D$2:$D$843,F2019))</f>
        <v/>
      </c>
      <c r="J2019">
        <f>IF(F2019="","",INT(H2019)-B2019)</f>
        <v/>
      </c>
      <c r="K2019">
        <f>IF(B2019&gt;=Settings!$C$5,1,0)</f>
        <v/>
      </c>
    </row>
    <row r="2020">
      <c r="A2020" t="inlineStr">
        <is>
          <t>657b0ad0569f3ceae3427be2623753cc</t>
        </is>
      </c>
      <c r="B2020" s="29" t="n">
        <v>43240</v>
      </c>
      <c r="C2020" t="inlineStr">
        <is>
          <t>2018-05</t>
        </is>
      </c>
      <c r="D2020" t="inlineStr">
        <is>
          <t>3fd71e7e6cf64921740567dcfefb68cf</t>
        </is>
      </c>
      <c r="E2020" t="inlineStr">
        <is>
          <t>paid_search</t>
        </is>
      </c>
      <c r="F2020">
        <f>IFERROR(MATCH(A2020,Deals!$A$2:$A$843,0),"")</f>
        <v/>
      </c>
      <c r="G2020">
        <f>IF(F2020="",0,1)</f>
        <v/>
      </c>
      <c r="H2020" s="29">
        <f>IF(F2020="","",INDEX(Deals!$E$2:$E$843,F2020))</f>
        <v/>
      </c>
      <c r="I2020">
        <f>IF(F2020="","",INDEX(Deals!$D$2:$D$843,F2020))</f>
        <v/>
      </c>
      <c r="J2020">
        <f>IF(F2020="","",INT(H2020)-B2020)</f>
        <v/>
      </c>
      <c r="K2020">
        <f>IF(B2020&gt;=Settings!$C$5,1,0)</f>
        <v/>
      </c>
    </row>
    <row r="2021">
      <c r="A2021" t="inlineStr">
        <is>
          <t>1bedba9c25b2c05793a5702f1c69ac45</t>
        </is>
      </c>
      <c r="B2021" s="29" t="n">
        <v>42963</v>
      </c>
      <c r="C2021" t="inlineStr">
        <is>
          <t>2017-08</t>
        </is>
      </c>
      <c r="D2021" t="inlineStr">
        <is>
          <t>1722481ac9e5371e5099dea226b5421d</t>
        </is>
      </c>
      <c r="E2021" t="inlineStr">
        <is>
          <t>unknown</t>
        </is>
      </c>
      <c r="F2021">
        <f>IFERROR(MATCH(A2021,Deals!$A$2:$A$843,0),"")</f>
        <v/>
      </c>
      <c r="G2021">
        <f>IF(F2021="",0,1)</f>
        <v/>
      </c>
      <c r="H2021" s="29">
        <f>IF(F2021="","",INDEX(Deals!$E$2:$E$843,F2021))</f>
        <v/>
      </c>
      <c r="I2021">
        <f>IF(F2021="","",INDEX(Deals!$D$2:$D$843,F2021))</f>
        <v/>
      </c>
      <c r="J2021">
        <f>IF(F2021="","",INT(H2021)-B2021)</f>
        <v/>
      </c>
      <c r="K2021">
        <f>IF(B2021&gt;=Settings!$C$5,1,0)</f>
        <v/>
      </c>
    </row>
    <row r="2022">
      <c r="A2022" t="inlineStr">
        <is>
          <t>e562c0deb50e01ea8306d21282d54d26</t>
        </is>
      </c>
      <c r="B2022" s="29" t="n">
        <v>43242</v>
      </c>
      <c r="C2022" t="inlineStr">
        <is>
          <t>2018-05</t>
        </is>
      </c>
      <c r="D2022" t="inlineStr">
        <is>
          <t>bdaeb752e5c3caa215ebe04c61e22325</t>
        </is>
      </c>
      <c r="E2022" t="inlineStr">
        <is>
          <t>paid_search</t>
        </is>
      </c>
      <c r="F2022">
        <f>IFERROR(MATCH(A2022,Deals!$A$2:$A$843,0),"")</f>
        <v/>
      </c>
      <c r="G2022">
        <f>IF(F2022="",0,1)</f>
        <v/>
      </c>
      <c r="H2022" s="29">
        <f>IF(F2022="","",INDEX(Deals!$E$2:$E$843,F2022))</f>
        <v/>
      </c>
      <c r="I2022">
        <f>IF(F2022="","",INDEX(Deals!$D$2:$D$843,F2022))</f>
        <v/>
      </c>
      <c r="J2022">
        <f>IF(F2022="","",INT(H2022)-B2022)</f>
        <v/>
      </c>
      <c r="K2022">
        <f>IF(B2022&gt;=Settings!$C$5,1,0)</f>
        <v/>
      </c>
    </row>
    <row r="2023">
      <c r="A2023" t="inlineStr">
        <is>
          <t>a286be2b8cb6de66943d8025b3fa7e33</t>
        </is>
      </c>
      <c r="B2023" s="29" t="n">
        <v>42995</v>
      </c>
      <c r="C2023" t="inlineStr">
        <is>
          <t>2017-09</t>
        </is>
      </c>
      <c r="D2023" t="inlineStr">
        <is>
          <t>87732658ba41d8775e8577df347a64db</t>
        </is>
      </c>
      <c r="E2023" t="inlineStr">
        <is>
          <t>social</t>
        </is>
      </c>
      <c r="F2023">
        <f>IFERROR(MATCH(A2023,Deals!$A$2:$A$843,0),"")</f>
        <v/>
      </c>
      <c r="G2023">
        <f>IF(F2023="",0,1)</f>
        <v/>
      </c>
      <c r="H2023" s="29">
        <f>IF(F2023="","",INDEX(Deals!$E$2:$E$843,F2023))</f>
        <v/>
      </c>
      <c r="I2023">
        <f>IF(F2023="","",INDEX(Deals!$D$2:$D$843,F2023))</f>
        <v/>
      </c>
      <c r="J2023">
        <f>IF(F2023="","",INT(H2023)-B2023)</f>
        <v/>
      </c>
      <c r="K2023">
        <f>IF(B2023&gt;=Settings!$C$5,1,0)</f>
        <v/>
      </c>
    </row>
    <row r="2024">
      <c r="A2024" t="inlineStr">
        <is>
          <t>f9cba935dc57ee3ead2f292cd14d3c3c</t>
        </is>
      </c>
      <c r="B2024" s="29" t="n">
        <v>43094</v>
      </c>
      <c r="C2024" t="inlineStr">
        <is>
          <t>2017-12</t>
        </is>
      </c>
      <c r="D2024" t="inlineStr">
        <is>
          <t>88740e65d5d6b056e0cda098e1ea6313</t>
        </is>
      </c>
      <c r="E2024" t="inlineStr">
        <is>
          <t>social</t>
        </is>
      </c>
      <c r="F2024">
        <f>IFERROR(MATCH(A2024,Deals!$A$2:$A$843,0),"")</f>
        <v/>
      </c>
      <c r="G2024">
        <f>IF(F2024="",0,1)</f>
        <v/>
      </c>
      <c r="H2024" s="29">
        <f>IF(F2024="","",INDEX(Deals!$E$2:$E$843,F2024))</f>
        <v/>
      </c>
      <c r="I2024">
        <f>IF(F2024="","",INDEX(Deals!$D$2:$D$843,F2024))</f>
        <v/>
      </c>
      <c r="J2024">
        <f>IF(F2024="","",INT(H2024)-B2024)</f>
        <v/>
      </c>
      <c r="K2024">
        <f>IF(B2024&gt;=Settings!$C$5,1,0)</f>
        <v/>
      </c>
    </row>
    <row r="2025">
      <c r="A2025" t="inlineStr">
        <is>
          <t>a77d3cad2f8792ea23272c9eef1b6597</t>
        </is>
      </c>
      <c r="B2025" s="29" t="n">
        <v>43119</v>
      </c>
      <c r="C2025" t="inlineStr">
        <is>
          <t>2018-01</t>
        </is>
      </c>
      <c r="D2025" t="inlineStr">
        <is>
          <t>88740e65d5d6b056e0cda098e1ea6313</t>
        </is>
      </c>
      <c r="E2025" t="inlineStr">
        <is>
          <t>social</t>
        </is>
      </c>
      <c r="F2025">
        <f>IFERROR(MATCH(A2025,Deals!$A$2:$A$843,0),"")</f>
        <v/>
      </c>
      <c r="G2025">
        <f>IF(F2025="",0,1)</f>
        <v/>
      </c>
      <c r="H2025" s="29">
        <f>IF(F2025="","",INDEX(Deals!$E$2:$E$843,F2025))</f>
        <v/>
      </c>
      <c r="I2025">
        <f>IF(F2025="","",INDEX(Deals!$D$2:$D$843,F2025))</f>
        <v/>
      </c>
      <c r="J2025">
        <f>IF(F2025="","",INT(H2025)-B2025)</f>
        <v/>
      </c>
      <c r="K2025">
        <f>IF(B2025&gt;=Settings!$C$5,1,0)</f>
        <v/>
      </c>
    </row>
    <row r="2026">
      <c r="A2026" t="inlineStr">
        <is>
          <t>f044c6276e36beb1492ca9e529efc680</t>
        </is>
      </c>
      <c r="B2026" s="29" t="n">
        <v>43176</v>
      </c>
      <c r="C2026" t="inlineStr">
        <is>
          <t>2018-03</t>
        </is>
      </c>
      <c r="D2026" t="inlineStr">
        <is>
          <t>f017be4dbf86243af5c1ebed0cff36a2</t>
        </is>
      </c>
      <c r="E2026" t="inlineStr">
        <is>
          <t>organic_search</t>
        </is>
      </c>
      <c r="F2026">
        <f>IFERROR(MATCH(A2026,Deals!$A$2:$A$843,0),"")</f>
        <v/>
      </c>
      <c r="G2026">
        <f>IF(F2026="",0,1)</f>
        <v/>
      </c>
      <c r="H2026" s="29">
        <f>IF(F2026="","",INDEX(Deals!$E$2:$E$843,F2026))</f>
        <v/>
      </c>
      <c r="I2026">
        <f>IF(F2026="","",INDEX(Deals!$D$2:$D$843,F2026))</f>
        <v/>
      </c>
      <c r="J2026">
        <f>IF(F2026="","",INT(H2026)-B2026)</f>
        <v/>
      </c>
      <c r="K2026">
        <f>IF(B2026&gt;=Settings!$C$5,1,0)</f>
        <v/>
      </c>
    </row>
    <row r="2027">
      <c r="A2027" t="inlineStr">
        <is>
          <t>2ffe64129ff66819d763ef9148d4c761</t>
        </is>
      </c>
      <c r="B2027" s="29" t="n">
        <v>43112</v>
      </c>
      <c r="C2027" t="inlineStr">
        <is>
          <t>2018-01</t>
        </is>
      </c>
      <c r="D2027" t="inlineStr">
        <is>
          <t>22c29808c4f815213303f8933030604c</t>
        </is>
      </c>
      <c r="E2027" t="inlineStr">
        <is>
          <t>organic_search</t>
        </is>
      </c>
      <c r="F2027">
        <f>IFERROR(MATCH(A2027,Deals!$A$2:$A$843,0),"")</f>
        <v/>
      </c>
      <c r="G2027">
        <f>IF(F2027="",0,1)</f>
        <v/>
      </c>
      <c r="H2027" s="29">
        <f>IF(F2027="","",INDEX(Deals!$E$2:$E$843,F2027))</f>
        <v/>
      </c>
      <c r="I2027">
        <f>IF(F2027="","",INDEX(Deals!$D$2:$D$843,F2027))</f>
        <v/>
      </c>
      <c r="J2027">
        <f>IF(F2027="","",INT(H2027)-B2027)</f>
        <v/>
      </c>
      <c r="K2027">
        <f>IF(B2027&gt;=Settings!$C$5,1,0)</f>
        <v/>
      </c>
    </row>
    <row r="2028">
      <c r="A2028" t="inlineStr">
        <is>
          <t>8a152128c60bbb20063e9df8f7d35c45</t>
        </is>
      </c>
      <c r="B2028" s="29" t="n">
        <v>43198</v>
      </c>
      <c r="C2028" t="inlineStr">
        <is>
          <t>2018-04</t>
        </is>
      </c>
      <c r="D2028" t="inlineStr">
        <is>
          <t>2f08471dfb83baef522f952438a36f6e</t>
        </is>
      </c>
      <c r="E2028" t="inlineStr">
        <is>
          <t>paid_search</t>
        </is>
      </c>
      <c r="F2028">
        <f>IFERROR(MATCH(A2028,Deals!$A$2:$A$843,0),"")</f>
        <v/>
      </c>
      <c r="G2028">
        <f>IF(F2028="",0,1)</f>
        <v/>
      </c>
      <c r="H2028" s="29">
        <f>IF(F2028="","",INDEX(Deals!$E$2:$E$843,F2028))</f>
        <v/>
      </c>
      <c r="I2028">
        <f>IF(F2028="","",INDEX(Deals!$D$2:$D$843,F2028))</f>
        <v/>
      </c>
      <c r="J2028">
        <f>IF(F2028="","",INT(H2028)-B2028)</f>
        <v/>
      </c>
      <c r="K2028">
        <f>IF(B2028&gt;=Settings!$C$5,1,0)</f>
        <v/>
      </c>
    </row>
    <row r="2029">
      <c r="A2029" t="inlineStr">
        <is>
          <t>9e78649769df2c1e78ceb740d2305814</t>
        </is>
      </c>
      <c r="B2029" s="29" t="n">
        <v>43177</v>
      </c>
      <c r="C2029" t="inlineStr">
        <is>
          <t>2018-03</t>
        </is>
      </c>
      <c r="D2029" t="inlineStr">
        <is>
          <t>ce1a65abd0973638f1c887a6efcfa82d</t>
        </is>
      </c>
      <c r="E2029" t="inlineStr">
        <is>
          <t>organic_search</t>
        </is>
      </c>
      <c r="F2029">
        <f>IFERROR(MATCH(A2029,Deals!$A$2:$A$843,0),"")</f>
        <v/>
      </c>
      <c r="G2029">
        <f>IF(F2029="",0,1)</f>
        <v/>
      </c>
      <c r="H2029" s="29">
        <f>IF(F2029="","",INDEX(Deals!$E$2:$E$843,F2029))</f>
        <v/>
      </c>
      <c r="I2029">
        <f>IF(F2029="","",INDEX(Deals!$D$2:$D$843,F2029))</f>
        <v/>
      </c>
      <c r="J2029">
        <f>IF(F2029="","",INT(H2029)-B2029)</f>
        <v/>
      </c>
      <c r="K2029">
        <f>IF(B2029&gt;=Settings!$C$5,1,0)</f>
        <v/>
      </c>
    </row>
    <row r="2030">
      <c r="A2030" t="inlineStr">
        <is>
          <t>8eadf40572785446ae7cb39cad8c1737</t>
        </is>
      </c>
      <c r="B2030" s="29" t="n">
        <v>43224</v>
      </c>
      <c r="C2030" t="inlineStr">
        <is>
          <t>2018-05</t>
        </is>
      </c>
      <c r="D2030" t="inlineStr">
        <is>
          <t>b76ef37428e6799c421989521c0e5077</t>
        </is>
      </c>
      <c r="E2030" t="inlineStr">
        <is>
          <t>unknown</t>
        </is>
      </c>
      <c r="F2030">
        <f>IFERROR(MATCH(A2030,Deals!$A$2:$A$843,0),"")</f>
        <v/>
      </c>
      <c r="G2030">
        <f>IF(F2030="",0,1)</f>
        <v/>
      </c>
      <c r="H2030" s="29">
        <f>IF(F2030="","",INDEX(Deals!$E$2:$E$843,F2030))</f>
        <v/>
      </c>
      <c r="I2030">
        <f>IF(F2030="","",INDEX(Deals!$D$2:$D$843,F2030))</f>
        <v/>
      </c>
      <c r="J2030">
        <f>IF(F2030="","",INT(H2030)-B2030)</f>
        <v/>
      </c>
      <c r="K2030">
        <f>IF(B2030&gt;=Settings!$C$5,1,0)</f>
        <v/>
      </c>
    </row>
    <row r="2031">
      <c r="A2031" t="inlineStr">
        <is>
          <t>553ed65b08798c8e41e5bb4b8486d49a</t>
        </is>
      </c>
      <c r="B2031" s="29" t="n">
        <v>43033</v>
      </c>
      <c r="C2031" t="inlineStr">
        <is>
          <t>2017-10</t>
        </is>
      </c>
      <c r="D2031" t="inlineStr">
        <is>
          <t>63355b003224fe06badbd9de99644792</t>
        </is>
      </c>
      <c r="E2031" t="inlineStr">
        <is>
          <t>email</t>
        </is>
      </c>
      <c r="F2031">
        <f>IFERROR(MATCH(A2031,Deals!$A$2:$A$843,0),"")</f>
        <v/>
      </c>
      <c r="G2031">
        <f>IF(F2031="",0,1)</f>
        <v/>
      </c>
      <c r="H2031" s="29">
        <f>IF(F2031="","",INDEX(Deals!$E$2:$E$843,F2031))</f>
        <v/>
      </c>
      <c r="I2031">
        <f>IF(F2031="","",INDEX(Deals!$D$2:$D$843,F2031))</f>
        <v/>
      </c>
      <c r="J2031">
        <f>IF(F2031="","",INT(H2031)-B2031)</f>
        <v/>
      </c>
      <c r="K2031">
        <f>IF(B2031&gt;=Settings!$C$5,1,0)</f>
        <v/>
      </c>
    </row>
    <row r="2032">
      <c r="A2032" t="inlineStr">
        <is>
          <t>1e4ae01c3bb00107531af91686e82c60</t>
        </is>
      </c>
      <c r="B2032" s="29" t="n">
        <v>43182</v>
      </c>
      <c r="C2032" t="inlineStr">
        <is>
          <t>2018-03</t>
        </is>
      </c>
      <c r="D2032" t="inlineStr">
        <is>
          <t>241f79c7a8fe0270f4fb79fcbbcd17ad</t>
        </is>
      </c>
      <c r="E2032" t="inlineStr">
        <is>
          <t>paid_search</t>
        </is>
      </c>
      <c r="F2032">
        <f>IFERROR(MATCH(A2032,Deals!$A$2:$A$843,0),"")</f>
        <v/>
      </c>
      <c r="G2032">
        <f>IF(F2032="",0,1)</f>
        <v/>
      </c>
      <c r="H2032" s="29">
        <f>IF(F2032="","",INDEX(Deals!$E$2:$E$843,F2032))</f>
        <v/>
      </c>
      <c r="I2032">
        <f>IF(F2032="","",INDEX(Deals!$D$2:$D$843,F2032))</f>
        <v/>
      </c>
      <c r="J2032">
        <f>IF(F2032="","",INT(H2032)-B2032)</f>
        <v/>
      </c>
      <c r="K2032">
        <f>IF(B2032&gt;=Settings!$C$5,1,0)</f>
        <v/>
      </c>
    </row>
    <row r="2033">
      <c r="A2033" t="inlineStr">
        <is>
          <t>c42bd6650f37513f5375dd4e9414b359</t>
        </is>
      </c>
      <c r="B2033" s="29" t="n">
        <v>43112</v>
      </c>
      <c r="C2033" t="inlineStr">
        <is>
          <t>2018-01</t>
        </is>
      </c>
      <c r="D2033" t="inlineStr">
        <is>
          <t>5b4fa71a2749f25fe9703a7987301c23</t>
        </is>
      </c>
      <c r="E2033" t="inlineStr">
        <is>
          <t>organic_search</t>
        </is>
      </c>
      <c r="F2033">
        <f>IFERROR(MATCH(A2033,Deals!$A$2:$A$843,0),"")</f>
        <v/>
      </c>
      <c r="G2033">
        <f>IF(F2033="",0,1)</f>
        <v/>
      </c>
      <c r="H2033" s="29">
        <f>IF(F2033="","",INDEX(Deals!$E$2:$E$843,F2033))</f>
        <v/>
      </c>
      <c r="I2033">
        <f>IF(F2033="","",INDEX(Deals!$D$2:$D$843,F2033))</f>
        <v/>
      </c>
      <c r="J2033">
        <f>IF(F2033="","",INT(H2033)-B2033)</f>
        <v/>
      </c>
      <c r="K2033">
        <f>IF(B2033&gt;=Settings!$C$5,1,0)</f>
        <v/>
      </c>
    </row>
    <row r="2034">
      <c r="A2034" t="inlineStr">
        <is>
          <t>9077ce55ba293bab4278d5e5e47a9106</t>
        </is>
      </c>
      <c r="B2034" s="29" t="n">
        <v>42992</v>
      </c>
      <c r="C2034" t="inlineStr">
        <is>
          <t>2017-09</t>
        </is>
      </c>
      <c r="D2034" t="inlineStr">
        <is>
          <t>65d9f9d71e562365e8b44037c2888d98</t>
        </is>
      </c>
      <c r="E2034" t="inlineStr">
        <is>
          <t>paid_search</t>
        </is>
      </c>
      <c r="F2034">
        <f>IFERROR(MATCH(A2034,Deals!$A$2:$A$843,0),"")</f>
        <v/>
      </c>
      <c r="G2034">
        <f>IF(F2034="",0,1)</f>
        <v/>
      </c>
      <c r="H2034" s="29">
        <f>IF(F2034="","",INDEX(Deals!$E$2:$E$843,F2034))</f>
        <v/>
      </c>
      <c r="I2034">
        <f>IF(F2034="","",INDEX(Deals!$D$2:$D$843,F2034))</f>
        <v/>
      </c>
      <c r="J2034">
        <f>IF(F2034="","",INT(H2034)-B2034)</f>
        <v/>
      </c>
      <c r="K2034">
        <f>IF(B2034&gt;=Settings!$C$5,1,0)</f>
        <v/>
      </c>
    </row>
    <row r="2035">
      <c r="A2035" t="inlineStr">
        <is>
          <t>5f3de53fbab794234589dff4e8ebf060</t>
        </is>
      </c>
      <c r="B2035" s="29" t="n">
        <v>43241</v>
      </c>
      <c r="C2035" t="inlineStr">
        <is>
          <t>2018-05</t>
        </is>
      </c>
      <c r="D2035" t="inlineStr">
        <is>
          <t>e492ee5eaf1697716985cc6f33f9cd9b</t>
        </is>
      </c>
      <c r="E2035" t="inlineStr">
        <is>
          <t>direct_traffic</t>
        </is>
      </c>
      <c r="F2035">
        <f>IFERROR(MATCH(A2035,Deals!$A$2:$A$843,0),"")</f>
        <v/>
      </c>
      <c r="G2035">
        <f>IF(F2035="",0,1)</f>
        <v/>
      </c>
      <c r="H2035" s="29">
        <f>IF(F2035="","",INDEX(Deals!$E$2:$E$843,F2035))</f>
        <v/>
      </c>
      <c r="I2035">
        <f>IF(F2035="","",INDEX(Deals!$D$2:$D$843,F2035))</f>
        <v/>
      </c>
      <c r="J2035">
        <f>IF(F2035="","",INT(H2035)-B2035)</f>
        <v/>
      </c>
      <c r="K2035">
        <f>IF(B2035&gt;=Settings!$C$5,1,0)</f>
        <v/>
      </c>
    </row>
    <row r="2036">
      <c r="A2036" t="inlineStr">
        <is>
          <t>b14e228e56dcd28c35dd0b41a5891c04</t>
        </is>
      </c>
      <c r="B2036" s="29" t="n">
        <v>43216</v>
      </c>
      <c r="C2036" t="inlineStr">
        <is>
          <t>2018-04</t>
        </is>
      </c>
      <c r="D2036" t="inlineStr">
        <is>
          <t>e492ee5eaf1697716985cc6f33f9cd9b</t>
        </is>
      </c>
      <c r="E2036" t="inlineStr">
        <is>
          <t>organic_search</t>
        </is>
      </c>
      <c r="F2036">
        <f>IFERROR(MATCH(A2036,Deals!$A$2:$A$843,0),"")</f>
        <v/>
      </c>
      <c r="G2036">
        <f>IF(F2036="",0,1)</f>
        <v/>
      </c>
      <c r="H2036" s="29">
        <f>IF(F2036="","",INDEX(Deals!$E$2:$E$843,F2036))</f>
        <v/>
      </c>
      <c r="I2036">
        <f>IF(F2036="","",INDEX(Deals!$D$2:$D$843,F2036))</f>
        <v/>
      </c>
      <c r="J2036">
        <f>IF(F2036="","",INT(H2036)-B2036)</f>
        <v/>
      </c>
      <c r="K2036">
        <f>IF(B2036&gt;=Settings!$C$5,1,0)</f>
        <v/>
      </c>
    </row>
    <row r="2037">
      <c r="A2037" t="inlineStr">
        <is>
          <t>8e07aa10a5403c30415e19d7cd694b97</t>
        </is>
      </c>
      <c r="B2037" s="29" t="n">
        <v>43223</v>
      </c>
      <c r="C2037" t="inlineStr">
        <is>
          <t>2018-05</t>
        </is>
      </c>
      <c r="D2037" t="inlineStr">
        <is>
          <t>9fa37f5177115156b1814ffc237402a6</t>
        </is>
      </c>
      <c r="E2037" t="inlineStr">
        <is>
          <t>paid_search</t>
        </is>
      </c>
      <c r="F2037">
        <f>IFERROR(MATCH(A2037,Deals!$A$2:$A$843,0),"")</f>
        <v/>
      </c>
      <c r="G2037">
        <f>IF(F2037="",0,1)</f>
        <v/>
      </c>
      <c r="H2037" s="29">
        <f>IF(F2037="","",INDEX(Deals!$E$2:$E$843,F2037))</f>
        <v/>
      </c>
      <c r="I2037">
        <f>IF(F2037="","",INDEX(Deals!$D$2:$D$843,F2037))</f>
        <v/>
      </c>
      <c r="J2037">
        <f>IF(F2037="","",INT(H2037)-B2037)</f>
        <v/>
      </c>
      <c r="K2037">
        <f>IF(B2037&gt;=Settings!$C$5,1,0)</f>
        <v/>
      </c>
    </row>
    <row r="2038">
      <c r="A2038" t="inlineStr">
        <is>
          <t>dbaa5619351a23aa1f82f787f2802e7b</t>
        </is>
      </c>
      <c r="B2038" s="29" t="n">
        <v>43185</v>
      </c>
      <c r="C2038" t="inlineStr">
        <is>
          <t>2018-03</t>
        </is>
      </c>
      <c r="D2038" t="inlineStr">
        <is>
          <t>f017be4dbf86243af5c1ebed0cff36a2</t>
        </is>
      </c>
      <c r="E2038" t="inlineStr">
        <is>
          <t>referral</t>
        </is>
      </c>
      <c r="F2038">
        <f>IFERROR(MATCH(A2038,Deals!$A$2:$A$843,0),"")</f>
        <v/>
      </c>
      <c r="G2038">
        <f>IF(F2038="",0,1)</f>
        <v/>
      </c>
      <c r="H2038" s="29">
        <f>IF(F2038="","",INDEX(Deals!$E$2:$E$843,F2038))</f>
        <v/>
      </c>
      <c r="I2038">
        <f>IF(F2038="","",INDEX(Deals!$D$2:$D$843,F2038))</f>
        <v/>
      </c>
      <c r="J2038">
        <f>IF(F2038="","",INT(H2038)-B2038)</f>
        <v/>
      </c>
      <c r="K2038">
        <f>IF(B2038&gt;=Settings!$C$5,1,0)</f>
        <v/>
      </c>
    </row>
    <row r="2039">
      <c r="A2039" t="inlineStr">
        <is>
          <t>5a9261e940edbb56aab440902b1454e2</t>
        </is>
      </c>
      <c r="B2039" s="29" t="n">
        <v>43151</v>
      </c>
      <c r="C2039" t="inlineStr">
        <is>
          <t>2018-02</t>
        </is>
      </c>
      <c r="D2039" t="inlineStr">
        <is>
          <t>88740e65d5d6b056e0cda098e1ea6313</t>
        </is>
      </c>
      <c r="E2039" t="inlineStr">
        <is>
          <t>social</t>
        </is>
      </c>
      <c r="F2039">
        <f>IFERROR(MATCH(A2039,Deals!$A$2:$A$843,0),"")</f>
        <v/>
      </c>
      <c r="G2039">
        <f>IF(F2039="",0,1)</f>
        <v/>
      </c>
      <c r="H2039" s="29">
        <f>IF(F2039="","",INDEX(Deals!$E$2:$E$843,F2039))</f>
        <v/>
      </c>
      <c r="I2039">
        <f>IF(F2039="","",INDEX(Deals!$D$2:$D$843,F2039))</f>
        <v/>
      </c>
      <c r="J2039">
        <f>IF(F2039="","",INT(H2039)-B2039)</f>
        <v/>
      </c>
      <c r="K2039">
        <f>IF(B2039&gt;=Settings!$C$5,1,0)</f>
        <v/>
      </c>
    </row>
    <row r="2040">
      <c r="A2040" t="inlineStr">
        <is>
          <t>3e145d35dd1945b8b95ec55deaa076ba</t>
        </is>
      </c>
      <c r="B2040" s="29" t="n">
        <v>43145</v>
      </c>
      <c r="C2040" t="inlineStr">
        <is>
          <t>2018-02</t>
        </is>
      </c>
      <c r="D2040" t="inlineStr">
        <is>
          <t>37cf94070e940a694969304de58debe1</t>
        </is>
      </c>
      <c r="E2040" t="inlineStr">
        <is>
          <t>organic_search</t>
        </is>
      </c>
      <c r="F2040">
        <f>IFERROR(MATCH(A2040,Deals!$A$2:$A$843,0),"")</f>
        <v/>
      </c>
      <c r="G2040">
        <f>IF(F2040="",0,1)</f>
        <v/>
      </c>
      <c r="H2040" s="29">
        <f>IF(F2040="","",INDEX(Deals!$E$2:$E$843,F2040))</f>
        <v/>
      </c>
      <c r="I2040">
        <f>IF(F2040="","",INDEX(Deals!$D$2:$D$843,F2040))</f>
        <v/>
      </c>
      <c r="J2040">
        <f>IF(F2040="","",INT(H2040)-B2040)</f>
        <v/>
      </c>
      <c r="K2040">
        <f>IF(B2040&gt;=Settings!$C$5,1,0)</f>
        <v/>
      </c>
    </row>
    <row r="2041">
      <c r="A2041" t="inlineStr">
        <is>
          <t>537f656bcf18ee9855da98b28157857a</t>
        </is>
      </c>
      <c r="B2041" s="29" t="n">
        <v>43209</v>
      </c>
      <c r="C2041" t="inlineStr">
        <is>
          <t>2018-04</t>
        </is>
      </c>
      <c r="D2041" t="inlineStr">
        <is>
          <t>6a318eb72f69fe14f22c44abe23bdf53</t>
        </is>
      </c>
      <c r="E2041" t="inlineStr">
        <is>
          <t>paid_search</t>
        </is>
      </c>
      <c r="F2041">
        <f>IFERROR(MATCH(A2041,Deals!$A$2:$A$843,0),"")</f>
        <v/>
      </c>
      <c r="G2041">
        <f>IF(F2041="",0,1)</f>
        <v/>
      </c>
      <c r="H2041" s="29">
        <f>IF(F2041="","",INDEX(Deals!$E$2:$E$843,F2041))</f>
        <v/>
      </c>
      <c r="I2041">
        <f>IF(F2041="","",INDEX(Deals!$D$2:$D$843,F2041))</f>
        <v/>
      </c>
      <c r="J2041">
        <f>IF(F2041="","",INT(H2041)-B2041)</f>
        <v/>
      </c>
      <c r="K2041">
        <f>IF(B2041&gt;=Settings!$C$5,1,0)</f>
        <v/>
      </c>
    </row>
    <row r="2042">
      <c r="A2042" t="inlineStr">
        <is>
          <t>f070a8b1f1949464a959bfeaef8fbb67</t>
        </is>
      </c>
      <c r="B2042" s="29" t="n">
        <v>43165</v>
      </c>
      <c r="C2042" t="inlineStr">
        <is>
          <t>2018-03</t>
        </is>
      </c>
      <c r="D2042" t="inlineStr">
        <is>
          <t>120ad10683075526ee1b3b00489dafec</t>
        </is>
      </c>
      <c r="E2042" t="inlineStr">
        <is>
          <t>email</t>
        </is>
      </c>
      <c r="F2042">
        <f>IFERROR(MATCH(A2042,Deals!$A$2:$A$843,0),"")</f>
        <v/>
      </c>
      <c r="G2042">
        <f>IF(F2042="",0,1)</f>
        <v/>
      </c>
      <c r="H2042" s="29">
        <f>IF(F2042="","",INDEX(Deals!$E$2:$E$843,F2042))</f>
        <v/>
      </c>
      <c r="I2042">
        <f>IF(F2042="","",INDEX(Deals!$D$2:$D$843,F2042))</f>
        <v/>
      </c>
      <c r="J2042">
        <f>IF(F2042="","",INT(H2042)-B2042)</f>
        <v/>
      </c>
      <c r="K2042">
        <f>IF(B2042&gt;=Settings!$C$5,1,0)</f>
        <v/>
      </c>
    </row>
    <row r="2043">
      <c r="A2043" t="inlineStr">
        <is>
          <t>372dfb0a40d906361a899bd38ac0eb93</t>
        </is>
      </c>
      <c r="B2043" s="29" t="n">
        <v>43123</v>
      </c>
      <c r="C2043" t="inlineStr">
        <is>
          <t>2018-01</t>
        </is>
      </c>
      <c r="D2043" t="inlineStr">
        <is>
          <t>22c29808c4f815213303f8933030604c</t>
        </is>
      </c>
      <c r="E2043" t="inlineStr">
        <is>
          <t>organic_search</t>
        </is>
      </c>
      <c r="F2043">
        <f>IFERROR(MATCH(A2043,Deals!$A$2:$A$843,0),"")</f>
        <v/>
      </c>
      <c r="G2043">
        <f>IF(F2043="",0,1)</f>
        <v/>
      </c>
      <c r="H2043" s="29">
        <f>IF(F2043="","",INDEX(Deals!$E$2:$E$843,F2043))</f>
        <v/>
      </c>
      <c r="I2043">
        <f>IF(F2043="","",INDEX(Deals!$D$2:$D$843,F2043))</f>
        <v/>
      </c>
      <c r="J2043">
        <f>IF(F2043="","",INT(H2043)-B2043)</f>
        <v/>
      </c>
      <c r="K2043">
        <f>IF(B2043&gt;=Settings!$C$5,1,0)</f>
        <v/>
      </c>
    </row>
    <row r="2044">
      <c r="A2044" t="inlineStr">
        <is>
          <t>bf3e0df27b04abb4c107ab4df9955b29</t>
        </is>
      </c>
      <c r="B2044" s="29" t="n">
        <v>43168</v>
      </c>
      <c r="C2044" t="inlineStr">
        <is>
          <t>2018-03</t>
        </is>
      </c>
      <c r="D2044" t="inlineStr">
        <is>
          <t>241f79c7a8fe0270f4fb79fcbbcd17ad</t>
        </is>
      </c>
      <c r="E2044" t="inlineStr">
        <is>
          <t>paid_search</t>
        </is>
      </c>
      <c r="F2044">
        <f>IFERROR(MATCH(A2044,Deals!$A$2:$A$843,0),"")</f>
        <v/>
      </c>
      <c r="G2044">
        <f>IF(F2044="",0,1)</f>
        <v/>
      </c>
      <c r="H2044" s="29">
        <f>IF(F2044="","",INDEX(Deals!$E$2:$E$843,F2044))</f>
        <v/>
      </c>
      <c r="I2044">
        <f>IF(F2044="","",INDEX(Deals!$D$2:$D$843,F2044))</f>
        <v/>
      </c>
      <c r="J2044">
        <f>IF(F2044="","",INT(H2044)-B2044)</f>
        <v/>
      </c>
      <c r="K2044">
        <f>IF(B2044&gt;=Settings!$C$5,1,0)</f>
        <v/>
      </c>
    </row>
    <row r="2045">
      <c r="A2045" t="inlineStr">
        <is>
          <t>b6339541958d9ab4daf28fdd7f5784ed</t>
        </is>
      </c>
      <c r="B2045" s="29" t="n">
        <v>43107</v>
      </c>
      <c r="C2045" t="inlineStr">
        <is>
          <t>2018-01</t>
        </is>
      </c>
      <c r="D2045" t="inlineStr">
        <is>
          <t>4aab772aeb9833c170d8ea5413e02eac</t>
        </is>
      </c>
      <c r="E2045" t="inlineStr">
        <is>
          <t>paid_search</t>
        </is>
      </c>
      <c r="F2045">
        <f>IFERROR(MATCH(A2045,Deals!$A$2:$A$843,0),"")</f>
        <v/>
      </c>
      <c r="G2045">
        <f>IF(F2045="",0,1)</f>
        <v/>
      </c>
      <c r="H2045" s="29">
        <f>IF(F2045="","",INDEX(Deals!$E$2:$E$843,F2045))</f>
        <v/>
      </c>
      <c r="I2045">
        <f>IF(F2045="","",INDEX(Deals!$D$2:$D$843,F2045))</f>
        <v/>
      </c>
      <c r="J2045">
        <f>IF(F2045="","",INT(H2045)-B2045)</f>
        <v/>
      </c>
      <c r="K2045">
        <f>IF(B2045&gt;=Settings!$C$5,1,0)</f>
        <v/>
      </c>
    </row>
    <row r="2046">
      <c r="A2046" t="inlineStr">
        <is>
          <t>ce0f8c54d0364e112b25e06db7c59b46</t>
        </is>
      </c>
      <c r="B2046" s="29" t="n">
        <v>42996</v>
      </c>
      <c r="C2046" t="inlineStr">
        <is>
          <t>2017-09</t>
        </is>
      </c>
      <c r="D2046" t="inlineStr">
        <is>
          <t>b76ef37428e6799c421989521c0e5077</t>
        </is>
      </c>
      <c r="E2046" t="inlineStr">
        <is>
          <t>unknown</t>
        </is>
      </c>
      <c r="F2046">
        <f>IFERROR(MATCH(A2046,Deals!$A$2:$A$843,0),"")</f>
        <v/>
      </c>
      <c r="G2046">
        <f>IF(F2046="",0,1)</f>
        <v/>
      </c>
      <c r="H2046" s="29">
        <f>IF(F2046="","",INDEX(Deals!$E$2:$E$843,F2046))</f>
        <v/>
      </c>
      <c r="I2046">
        <f>IF(F2046="","",INDEX(Deals!$D$2:$D$843,F2046))</f>
        <v/>
      </c>
      <c r="J2046">
        <f>IF(F2046="","",INT(H2046)-B2046)</f>
        <v/>
      </c>
      <c r="K2046">
        <f>IF(B2046&gt;=Settings!$C$5,1,0)</f>
        <v/>
      </c>
    </row>
    <row r="2047">
      <c r="A2047" t="inlineStr">
        <is>
          <t>901c5103458da9452862157b5b4a2584</t>
        </is>
      </c>
      <c r="B2047" s="29" t="n">
        <v>43131</v>
      </c>
      <c r="C2047" t="inlineStr">
        <is>
          <t>2018-01</t>
        </is>
      </c>
      <c r="D2047" t="inlineStr">
        <is>
          <t>40dec9f3d5259a3d2dbcdab2114fae47</t>
        </is>
      </c>
      <c r="E2047" t="inlineStr">
        <is>
          <t>paid_search</t>
        </is>
      </c>
      <c r="F2047">
        <f>IFERROR(MATCH(A2047,Deals!$A$2:$A$843,0),"")</f>
        <v/>
      </c>
      <c r="G2047">
        <f>IF(F2047="",0,1)</f>
        <v/>
      </c>
      <c r="H2047" s="29">
        <f>IF(F2047="","",INDEX(Deals!$E$2:$E$843,F2047))</f>
        <v/>
      </c>
      <c r="I2047">
        <f>IF(F2047="","",INDEX(Deals!$D$2:$D$843,F2047))</f>
        <v/>
      </c>
      <c r="J2047">
        <f>IF(F2047="","",INT(H2047)-B2047)</f>
        <v/>
      </c>
      <c r="K2047">
        <f>IF(B2047&gt;=Settings!$C$5,1,0)</f>
        <v/>
      </c>
    </row>
    <row r="2048">
      <c r="A2048" t="inlineStr">
        <is>
          <t>078fbc1d65812e5859c6382f0eb1bb5e</t>
        </is>
      </c>
      <c r="B2048" s="29" t="n">
        <v>43129</v>
      </c>
      <c r="C2048" t="inlineStr">
        <is>
          <t>2018-01</t>
        </is>
      </c>
      <c r="D2048" t="inlineStr">
        <is>
          <t>f017be4dbf86243af5c1ebed0cff36a2</t>
        </is>
      </c>
      <c r="E2048" t="inlineStr">
        <is>
          <t>organic_search</t>
        </is>
      </c>
      <c r="F2048">
        <f>IFERROR(MATCH(A2048,Deals!$A$2:$A$843,0),"")</f>
        <v/>
      </c>
      <c r="G2048">
        <f>IF(F2048="",0,1)</f>
        <v/>
      </c>
      <c r="H2048" s="29">
        <f>IF(F2048="","",INDEX(Deals!$E$2:$E$843,F2048))</f>
        <v/>
      </c>
      <c r="I2048">
        <f>IF(F2048="","",INDEX(Deals!$D$2:$D$843,F2048))</f>
        <v/>
      </c>
      <c r="J2048">
        <f>IF(F2048="","",INT(H2048)-B2048)</f>
        <v/>
      </c>
      <c r="K2048">
        <f>IF(B2048&gt;=Settings!$C$5,1,0)</f>
        <v/>
      </c>
    </row>
    <row r="2049">
      <c r="A2049" t="inlineStr">
        <is>
          <t>b51887d225c4084c4c75f34ae85ff5e8</t>
        </is>
      </c>
      <c r="B2049" s="29" t="n">
        <v>43199</v>
      </c>
      <c r="C2049" t="inlineStr">
        <is>
          <t>2018-04</t>
        </is>
      </c>
      <c r="D2049" t="inlineStr">
        <is>
          <t>22c29808c4f815213303f8933030604c</t>
        </is>
      </c>
      <c r="E2049" t="inlineStr">
        <is>
          <t>paid_search</t>
        </is>
      </c>
      <c r="F2049">
        <f>IFERROR(MATCH(A2049,Deals!$A$2:$A$843,0),"")</f>
        <v/>
      </c>
      <c r="G2049">
        <f>IF(F2049="",0,1)</f>
        <v/>
      </c>
      <c r="H2049" s="29">
        <f>IF(F2049="","",INDEX(Deals!$E$2:$E$843,F2049))</f>
        <v/>
      </c>
      <c r="I2049">
        <f>IF(F2049="","",INDEX(Deals!$D$2:$D$843,F2049))</f>
        <v/>
      </c>
      <c r="J2049">
        <f>IF(F2049="","",INT(H2049)-B2049)</f>
        <v/>
      </c>
      <c r="K2049">
        <f>IF(B2049&gt;=Settings!$C$5,1,0)</f>
        <v/>
      </c>
    </row>
    <row r="2050">
      <c r="A2050" t="inlineStr">
        <is>
          <t>202f23d31e8c8dd9fbe4669c5e0cc7f7</t>
        </is>
      </c>
      <c r="B2050" s="29" t="n">
        <v>43241</v>
      </c>
      <c r="C2050" t="inlineStr">
        <is>
          <t>2018-05</t>
        </is>
      </c>
      <c r="D2050" t="inlineStr">
        <is>
          <t>f017be4dbf86243af5c1ebed0cff36a2</t>
        </is>
      </c>
      <c r="E2050" t="inlineStr">
        <is>
          <t>organic_search</t>
        </is>
      </c>
      <c r="F2050">
        <f>IFERROR(MATCH(A2050,Deals!$A$2:$A$843,0),"")</f>
        <v/>
      </c>
      <c r="G2050">
        <f>IF(F2050="",0,1)</f>
        <v/>
      </c>
      <c r="H2050" s="29">
        <f>IF(F2050="","",INDEX(Deals!$E$2:$E$843,F2050))</f>
        <v/>
      </c>
      <c r="I2050">
        <f>IF(F2050="","",INDEX(Deals!$D$2:$D$843,F2050))</f>
        <v/>
      </c>
      <c r="J2050">
        <f>IF(F2050="","",INT(H2050)-B2050)</f>
        <v/>
      </c>
      <c r="K2050">
        <f>IF(B2050&gt;=Settings!$C$5,1,0)</f>
        <v/>
      </c>
    </row>
    <row r="2051">
      <c r="A2051" t="inlineStr">
        <is>
          <t>86c1638ed997351a04bcc55a57dc05cd</t>
        </is>
      </c>
      <c r="B2051" s="29" t="n">
        <v>43040</v>
      </c>
      <c r="C2051" t="inlineStr">
        <is>
          <t>2017-11</t>
        </is>
      </c>
      <c r="D2051" t="inlineStr">
        <is>
          <t>1722481ac9e5371e5099dea226b5421d</t>
        </is>
      </c>
      <c r="E2051" t="inlineStr">
        <is>
          <t>organic_search</t>
        </is>
      </c>
      <c r="F2051">
        <f>IFERROR(MATCH(A2051,Deals!$A$2:$A$843,0),"")</f>
        <v/>
      </c>
      <c r="G2051">
        <f>IF(F2051="",0,1)</f>
        <v/>
      </c>
      <c r="H2051" s="29">
        <f>IF(F2051="","",INDEX(Deals!$E$2:$E$843,F2051))</f>
        <v/>
      </c>
      <c r="I2051">
        <f>IF(F2051="","",INDEX(Deals!$D$2:$D$843,F2051))</f>
        <v/>
      </c>
      <c r="J2051">
        <f>IF(F2051="","",INT(H2051)-B2051)</f>
        <v/>
      </c>
      <c r="K2051">
        <f>IF(B2051&gt;=Settings!$C$5,1,0)</f>
        <v/>
      </c>
    </row>
    <row r="2052">
      <c r="A2052" t="inlineStr">
        <is>
          <t>2ec0e064ff1ce7e35575be2cd7aa9431</t>
        </is>
      </c>
      <c r="B2052" s="29" t="n">
        <v>43171</v>
      </c>
      <c r="C2052" t="inlineStr">
        <is>
          <t>2018-03</t>
        </is>
      </c>
      <c r="D2052" t="inlineStr">
        <is>
          <t>a7982125ff7aa3b2054c6e44f9d28522</t>
        </is>
      </c>
      <c r="E2052" t="inlineStr">
        <is>
          <t>(missing)</t>
        </is>
      </c>
      <c r="F2052">
        <f>IFERROR(MATCH(A2052,Deals!$A$2:$A$843,0),"")</f>
        <v/>
      </c>
      <c r="G2052">
        <f>IF(F2052="",0,1)</f>
        <v/>
      </c>
      <c r="H2052" s="29">
        <f>IF(F2052="","",INDEX(Deals!$E$2:$E$843,F2052))</f>
        <v/>
      </c>
      <c r="I2052">
        <f>IF(F2052="","",INDEX(Deals!$D$2:$D$843,F2052))</f>
        <v/>
      </c>
      <c r="J2052">
        <f>IF(F2052="","",INT(H2052)-B2052)</f>
        <v/>
      </c>
      <c r="K2052">
        <f>IF(B2052&gt;=Settings!$C$5,1,0)</f>
        <v/>
      </c>
    </row>
    <row r="2053">
      <c r="A2053" t="inlineStr">
        <is>
          <t>674677f8d24764e5f2f0ccad6781ef47</t>
        </is>
      </c>
      <c r="B2053" s="29" t="n">
        <v>43224</v>
      </c>
      <c r="C2053" t="inlineStr">
        <is>
          <t>2018-05</t>
        </is>
      </c>
      <c r="D2053" t="inlineStr">
        <is>
          <t>22c29808c4f815213303f8933030604c</t>
        </is>
      </c>
      <c r="E2053" t="inlineStr">
        <is>
          <t>organic_search</t>
        </is>
      </c>
      <c r="F2053">
        <f>IFERROR(MATCH(A2053,Deals!$A$2:$A$843,0),"")</f>
        <v/>
      </c>
      <c r="G2053">
        <f>IF(F2053="",0,1)</f>
        <v/>
      </c>
      <c r="H2053" s="29">
        <f>IF(F2053="","",INDEX(Deals!$E$2:$E$843,F2053))</f>
        <v/>
      </c>
      <c r="I2053">
        <f>IF(F2053="","",INDEX(Deals!$D$2:$D$843,F2053))</f>
        <v/>
      </c>
      <c r="J2053">
        <f>IF(F2053="","",INT(H2053)-B2053)</f>
        <v/>
      </c>
      <c r="K2053">
        <f>IF(B2053&gt;=Settings!$C$5,1,0)</f>
        <v/>
      </c>
    </row>
    <row r="2054">
      <c r="A2054" t="inlineStr">
        <is>
          <t>853beae72ddb4f7a9b8c7c50dc0127e2</t>
        </is>
      </c>
      <c r="B2054" s="29" t="n">
        <v>43192</v>
      </c>
      <c r="C2054" t="inlineStr">
        <is>
          <t>2018-04</t>
        </is>
      </c>
      <c r="D2054" t="inlineStr">
        <is>
          <t>2feec85dc487b235304e69f08fed3a39</t>
        </is>
      </c>
      <c r="E2054" t="inlineStr">
        <is>
          <t>unknown</t>
        </is>
      </c>
      <c r="F2054">
        <f>IFERROR(MATCH(A2054,Deals!$A$2:$A$843,0),"")</f>
        <v/>
      </c>
      <c r="G2054">
        <f>IF(F2054="",0,1)</f>
        <v/>
      </c>
      <c r="H2054" s="29">
        <f>IF(F2054="","",INDEX(Deals!$E$2:$E$843,F2054))</f>
        <v/>
      </c>
      <c r="I2054">
        <f>IF(F2054="","",INDEX(Deals!$D$2:$D$843,F2054))</f>
        <v/>
      </c>
      <c r="J2054">
        <f>IF(F2054="","",INT(H2054)-B2054)</f>
        <v/>
      </c>
      <c r="K2054">
        <f>IF(B2054&gt;=Settings!$C$5,1,0)</f>
        <v/>
      </c>
    </row>
    <row r="2055">
      <c r="A2055" t="inlineStr">
        <is>
          <t>96f10132748c7049e3bbf5ca0b275f18</t>
        </is>
      </c>
      <c r="B2055" s="29" t="n">
        <v>43234</v>
      </c>
      <c r="C2055" t="inlineStr">
        <is>
          <t>2018-05</t>
        </is>
      </c>
      <c r="D2055" t="inlineStr">
        <is>
          <t>58326e62183c14b0c03085c33b9fdc44</t>
        </is>
      </c>
      <c r="E2055" t="inlineStr">
        <is>
          <t>social</t>
        </is>
      </c>
      <c r="F2055">
        <f>IFERROR(MATCH(A2055,Deals!$A$2:$A$843,0),"")</f>
        <v/>
      </c>
      <c r="G2055">
        <f>IF(F2055="",0,1)</f>
        <v/>
      </c>
      <c r="H2055" s="29">
        <f>IF(F2055="","",INDEX(Deals!$E$2:$E$843,F2055))</f>
        <v/>
      </c>
      <c r="I2055">
        <f>IF(F2055="","",INDEX(Deals!$D$2:$D$843,F2055))</f>
        <v/>
      </c>
      <c r="J2055">
        <f>IF(F2055="","",INT(H2055)-B2055)</f>
        <v/>
      </c>
      <c r="K2055">
        <f>IF(B2055&gt;=Settings!$C$5,1,0)</f>
        <v/>
      </c>
    </row>
    <row r="2056">
      <c r="A2056" t="inlineStr">
        <is>
          <t>3c803c1d8fef5385ca87aa1f8952338e</t>
        </is>
      </c>
      <c r="B2056" s="29" t="n">
        <v>43217</v>
      </c>
      <c r="C2056" t="inlineStr">
        <is>
          <t>2018-04</t>
        </is>
      </c>
      <c r="D2056" t="inlineStr">
        <is>
          <t>b76ef37428e6799c421989521c0e5077</t>
        </is>
      </c>
      <c r="E2056" t="inlineStr">
        <is>
          <t>unknown</t>
        </is>
      </c>
      <c r="F2056">
        <f>IFERROR(MATCH(A2056,Deals!$A$2:$A$843,0),"")</f>
        <v/>
      </c>
      <c r="G2056">
        <f>IF(F2056="",0,1)</f>
        <v/>
      </c>
      <c r="H2056" s="29">
        <f>IF(F2056="","",INDEX(Deals!$E$2:$E$843,F2056))</f>
        <v/>
      </c>
      <c r="I2056">
        <f>IF(F2056="","",INDEX(Deals!$D$2:$D$843,F2056))</f>
        <v/>
      </c>
      <c r="J2056">
        <f>IF(F2056="","",INT(H2056)-B2056)</f>
        <v/>
      </c>
      <c r="K2056">
        <f>IF(B2056&gt;=Settings!$C$5,1,0)</f>
        <v/>
      </c>
    </row>
    <row r="2057">
      <c r="A2057" t="inlineStr">
        <is>
          <t>3b9c2023b5da0ffe9aa0a39285c836c6</t>
        </is>
      </c>
      <c r="B2057" s="29" t="n">
        <v>43109</v>
      </c>
      <c r="C2057" t="inlineStr">
        <is>
          <t>2018-01</t>
        </is>
      </c>
      <c r="D2057" t="inlineStr">
        <is>
          <t>22c29808c4f815213303f8933030604c</t>
        </is>
      </c>
      <c r="E2057" t="inlineStr">
        <is>
          <t>other_publicities</t>
        </is>
      </c>
      <c r="F2057">
        <f>IFERROR(MATCH(A2057,Deals!$A$2:$A$843,0),"")</f>
        <v/>
      </c>
      <c r="G2057">
        <f>IF(F2057="",0,1)</f>
        <v/>
      </c>
      <c r="H2057" s="29">
        <f>IF(F2057="","",INDEX(Deals!$E$2:$E$843,F2057))</f>
        <v/>
      </c>
      <c r="I2057">
        <f>IF(F2057="","",INDEX(Deals!$D$2:$D$843,F2057))</f>
        <v/>
      </c>
      <c r="J2057">
        <f>IF(F2057="","",INT(H2057)-B2057)</f>
        <v/>
      </c>
      <c r="K2057">
        <f>IF(B2057&gt;=Settings!$C$5,1,0)</f>
        <v/>
      </c>
    </row>
    <row r="2058">
      <c r="A2058" t="inlineStr">
        <is>
          <t>c3feff36f100596a451a7ab3f53075d9</t>
        </is>
      </c>
      <c r="B2058" s="29" t="n">
        <v>43157</v>
      </c>
      <c r="C2058" t="inlineStr">
        <is>
          <t>2018-02</t>
        </is>
      </c>
      <c r="D2058" t="inlineStr">
        <is>
          <t>0e5a178e3cd2368607f3e72f46140476</t>
        </is>
      </c>
      <c r="E2058" t="inlineStr">
        <is>
          <t>organic_search</t>
        </is>
      </c>
      <c r="F2058">
        <f>IFERROR(MATCH(A2058,Deals!$A$2:$A$843,0),"")</f>
        <v/>
      </c>
      <c r="G2058">
        <f>IF(F2058="",0,1)</f>
        <v/>
      </c>
      <c r="H2058" s="29">
        <f>IF(F2058="","",INDEX(Deals!$E$2:$E$843,F2058))</f>
        <v/>
      </c>
      <c r="I2058">
        <f>IF(F2058="","",INDEX(Deals!$D$2:$D$843,F2058))</f>
        <v/>
      </c>
      <c r="J2058">
        <f>IF(F2058="","",INT(H2058)-B2058)</f>
        <v/>
      </c>
      <c r="K2058">
        <f>IF(B2058&gt;=Settings!$C$5,1,0)</f>
        <v/>
      </c>
    </row>
    <row r="2059">
      <c r="A2059" t="inlineStr">
        <is>
          <t>fcbdf2bdb9c2d9636594702ac076f167</t>
        </is>
      </c>
      <c r="B2059" s="29" t="n">
        <v>43109</v>
      </c>
      <c r="C2059" t="inlineStr">
        <is>
          <t>2018-01</t>
        </is>
      </c>
      <c r="D2059" t="inlineStr">
        <is>
          <t>88740e65d5d6b056e0cda098e1ea6313</t>
        </is>
      </c>
      <c r="E2059" t="inlineStr">
        <is>
          <t>social</t>
        </is>
      </c>
      <c r="F2059">
        <f>IFERROR(MATCH(A2059,Deals!$A$2:$A$843,0),"")</f>
        <v/>
      </c>
      <c r="G2059">
        <f>IF(F2059="",0,1)</f>
        <v/>
      </c>
      <c r="H2059" s="29">
        <f>IF(F2059="","",INDEX(Deals!$E$2:$E$843,F2059))</f>
        <v/>
      </c>
      <c r="I2059">
        <f>IF(F2059="","",INDEX(Deals!$D$2:$D$843,F2059))</f>
        <v/>
      </c>
      <c r="J2059">
        <f>IF(F2059="","",INT(H2059)-B2059)</f>
        <v/>
      </c>
      <c r="K2059">
        <f>IF(B2059&gt;=Settings!$C$5,1,0)</f>
        <v/>
      </c>
    </row>
    <row r="2060">
      <c r="A2060" t="inlineStr">
        <is>
          <t>82553a1ebce1e1df751e69b697bd097b</t>
        </is>
      </c>
      <c r="B2060" s="29" t="n">
        <v>42948</v>
      </c>
      <c r="C2060" t="inlineStr">
        <is>
          <t>2017-08</t>
        </is>
      </c>
      <c r="D2060" t="inlineStr">
        <is>
          <t>e492ee5eaf1697716985cc6f33f9cd9b</t>
        </is>
      </c>
      <c r="E2060" t="inlineStr">
        <is>
          <t>email</t>
        </is>
      </c>
      <c r="F2060">
        <f>IFERROR(MATCH(A2060,Deals!$A$2:$A$843,0),"")</f>
        <v/>
      </c>
      <c r="G2060">
        <f>IF(F2060="",0,1)</f>
        <v/>
      </c>
      <c r="H2060" s="29">
        <f>IF(F2060="","",INDEX(Deals!$E$2:$E$843,F2060))</f>
        <v/>
      </c>
      <c r="I2060">
        <f>IF(F2060="","",INDEX(Deals!$D$2:$D$843,F2060))</f>
        <v/>
      </c>
      <c r="J2060">
        <f>IF(F2060="","",INT(H2060)-B2060)</f>
        <v/>
      </c>
      <c r="K2060">
        <f>IF(B2060&gt;=Settings!$C$5,1,0)</f>
        <v/>
      </c>
    </row>
    <row r="2061">
      <c r="A2061" t="inlineStr">
        <is>
          <t>22c2de9dd51537147e2042c8372d62c5</t>
        </is>
      </c>
      <c r="B2061" s="29" t="n">
        <v>43220</v>
      </c>
      <c r="C2061" t="inlineStr">
        <is>
          <t>2018-04</t>
        </is>
      </c>
      <c r="D2061" t="inlineStr">
        <is>
          <t>22c29808c4f815213303f8933030604c</t>
        </is>
      </c>
      <c r="E2061" t="inlineStr">
        <is>
          <t>organic_search</t>
        </is>
      </c>
      <c r="F2061">
        <f>IFERROR(MATCH(A2061,Deals!$A$2:$A$843,0),"")</f>
        <v/>
      </c>
      <c r="G2061">
        <f>IF(F2061="",0,1)</f>
        <v/>
      </c>
      <c r="H2061" s="29">
        <f>IF(F2061="","",INDEX(Deals!$E$2:$E$843,F2061))</f>
        <v/>
      </c>
      <c r="I2061">
        <f>IF(F2061="","",INDEX(Deals!$D$2:$D$843,F2061))</f>
        <v/>
      </c>
      <c r="J2061">
        <f>IF(F2061="","",INT(H2061)-B2061)</f>
        <v/>
      </c>
      <c r="K2061">
        <f>IF(B2061&gt;=Settings!$C$5,1,0)</f>
        <v/>
      </c>
    </row>
    <row r="2062">
      <c r="A2062" t="inlineStr">
        <is>
          <t>72ed91f272d521b8337e030fbb0d9810</t>
        </is>
      </c>
      <c r="B2062" s="29" t="n">
        <v>43129</v>
      </c>
      <c r="C2062" t="inlineStr">
        <is>
          <t>2018-01</t>
        </is>
      </c>
      <c r="D2062" t="inlineStr">
        <is>
          <t>40dec9f3d5259a3d2dbcdab2114fae47</t>
        </is>
      </c>
      <c r="E2062" t="inlineStr">
        <is>
          <t>paid_search</t>
        </is>
      </c>
      <c r="F2062">
        <f>IFERROR(MATCH(A2062,Deals!$A$2:$A$843,0),"")</f>
        <v/>
      </c>
      <c r="G2062">
        <f>IF(F2062="",0,1)</f>
        <v/>
      </c>
      <c r="H2062" s="29">
        <f>IF(F2062="","",INDEX(Deals!$E$2:$E$843,F2062))</f>
        <v/>
      </c>
      <c r="I2062">
        <f>IF(F2062="","",INDEX(Deals!$D$2:$D$843,F2062))</f>
        <v/>
      </c>
      <c r="J2062">
        <f>IF(F2062="","",INT(H2062)-B2062)</f>
        <v/>
      </c>
      <c r="K2062">
        <f>IF(B2062&gt;=Settings!$C$5,1,0)</f>
        <v/>
      </c>
    </row>
    <row r="2063">
      <c r="A2063" t="inlineStr">
        <is>
          <t>1fdfb6f89419a6d2e520339bfea2d0bb</t>
        </is>
      </c>
      <c r="B2063" s="29" t="n">
        <v>43210</v>
      </c>
      <c r="C2063" t="inlineStr">
        <is>
          <t>2018-04</t>
        </is>
      </c>
      <c r="D2063" t="inlineStr">
        <is>
          <t>b76ef37428e6799c421989521c0e5077</t>
        </is>
      </c>
      <c r="E2063" t="inlineStr">
        <is>
          <t>unknown</t>
        </is>
      </c>
      <c r="F2063">
        <f>IFERROR(MATCH(A2063,Deals!$A$2:$A$843,0),"")</f>
        <v/>
      </c>
      <c r="G2063">
        <f>IF(F2063="",0,1)</f>
        <v/>
      </c>
      <c r="H2063" s="29">
        <f>IF(F2063="","",INDEX(Deals!$E$2:$E$843,F2063))</f>
        <v/>
      </c>
      <c r="I2063">
        <f>IF(F2063="","",INDEX(Deals!$D$2:$D$843,F2063))</f>
        <v/>
      </c>
      <c r="J2063">
        <f>IF(F2063="","",INT(H2063)-B2063)</f>
        <v/>
      </c>
      <c r="K2063">
        <f>IF(B2063&gt;=Settings!$C$5,1,0)</f>
        <v/>
      </c>
    </row>
    <row r="2064">
      <c r="A2064" t="inlineStr">
        <is>
          <t>ba2cec26293a1db3489823447cd00914</t>
        </is>
      </c>
      <c r="B2064" s="29" t="n">
        <v>43173</v>
      </c>
      <c r="C2064" t="inlineStr">
        <is>
          <t>2018-03</t>
        </is>
      </c>
      <c r="D2064" t="inlineStr">
        <is>
          <t>b76ef37428e6799c421989521c0e5077</t>
        </is>
      </c>
      <c r="E2064" t="inlineStr">
        <is>
          <t>paid_search</t>
        </is>
      </c>
      <c r="F2064">
        <f>IFERROR(MATCH(A2064,Deals!$A$2:$A$843,0),"")</f>
        <v/>
      </c>
      <c r="G2064">
        <f>IF(F2064="",0,1)</f>
        <v/>
      </c>
      <c r="H2064" s="29">
        <f>IF(F2064="","",INDEX(Deals!$E$2:$E$843,F2064))</f>
        <v/>
      </c>
      <c r="I2064">
        <f>IF(F2064="","",INDEX(Deals!$D$2:$D$843,F2064))</f>
        <v/>
      </c>
      <c r="J2064">
        <f>IF(F2064="","",INT(H2064)-B2064)</f>
        <v/>
      </c>
      <c r="K2064">
        <f>IF(B2064&gt;=Settings!$C$5,1,0)</f>
        <v/>
      </c>
    </row>
    <row r="2065">
      <c r="A2065" t="inlineStr">
        <is>
          <t>35a56c3a743d11bf7908edc1f53482ba</t>
        </is>
      </c>
      <c r="B2065" s="29" t="n">
        <v>43174</v>
      </c>
      <c r="C2065" t="inlineStr">
        <is>
          <t>2018-03</t>
        </is>
      </c>
      <c r="D2065" t="inlineStr">
        <is>
          <t>b76ef37428e6799c421989521c0e5077</t>
        </is>
      </c>
      <c r="E2065" t="inlineStr">
        <is>
          <t>unknown</t>
        </is>
      </c>
      <c r="F2065">
        <f>IFERROR(MATCH(A2065,Deals!$A$2:$A$843,0),"")</f>
        <v/>
      </c>
      <c r="G2065">
        <f>IF(F2065="",0,1)</f>
        <v/>
      </c>
      <c r="H2065" s="29">
        <f>IF(F2065="","",INDEX(Deals!$E$2:$E$843,F2065))</f>
        <v/>
      </c>
      <c r="I2065">
        <f>IF(F2065="","",INDEX(Deals!$D$2:$D$843,F2065))</f>
        <v/>
      </c>
      <c r="J2065">
        <f>IF(F2065="","",INT(H2065)-B2065)</f>
        <v/>
      </c>
      <c r="K2065">
        <f>IF(B2065&gt;=Settings!$C$5,1,0)</f>
        <v/>
      </c>
    </row>
    <row r="2066">
      <c r="A2066" t="inlineStr">
        <is>
          <t>fe1fa775d818957a76304c35e1939355</t>
        </is>
      </c>
      <c r="B2066" s="29" t="n">
        <v>43231</v>
      </c>
      <c r="C2066" t="inlineStr">
        <is>
          <t>2018-05</t>
        </is>
      </c>
      <c r="D2066" t="inlineStr">
        <is>
          <t>22c29808c4f815213303f8933030604c</t>
        </is>
      </c>
      <c r="E2066" t="inlineStr">
        <is>
          <t>organic_search</t>
        </is>
      </c>
      <c r="F2066">
        <f>IFERROR(MATCH(A2066,Deals!$A$2:$A$843,0),"")</f>
        <v/>
      </c>
      <c r="G2066">
        <f>IF(F2066="",0,1)</f>
        <v/>
      </c>
      <c r="H2066" s="29">
        <f>IF(F2066="","",INDEX(Deals!$E$2:$E$843,F2066))</f>
        <v/>
      </c>
      <c r="I2066">
        <f>IF(F2066="","",INDEX(Deals!$D$2:$D$843,F2066))</f>
        <v/>
      </c>
      <c r="J2066">
        <f>IF(F2066="","",INT(H2066)-B2066)</f>
        <v/>
      </c>
      <c r="K2066">
        <f>IF(B2066&gt;=Settings!$C$5,1,0)</f>
        <v/>
      </c>
    </row>
    <row r="2067">
      <c r="A2067" t="inlineStr">
        <is>
          <t>7cc823641aebc866527e31b0d294f215</t>
        </is>
      </c>
      <c r="B2067" s="29" t="n">
        <v>43241</v>
      </c>
      <c r="C2067" t="inlineStr">
        <is>
          <t>2018-05</t>
        </is>
      </c>
      <c r="D2067" t="inlineStr">
        <is>
          <t>b76ef37428e6799c421989521c0e5077</t>
        </is>
      </c>
      <c r="E2067" t="inlineStr">
        <is>
          <t>unknown</t>
        </is>
      </c>
      <c r="F2067">
        <f>IFERROR(MATCH(A2067,Deals!$A$2:$A$843,0),"")</f>
        <v/>
      </c>
      <c r="G2067">
        <f>IF(F2067="",0,1)</f>
        <v/>
      </c>
      <c r="H2067" s="29">
        <f>IF(F2067="","",INDEX(Deals!$E$2:$E$843,F2067))</f>
        <v/>
      </c>
      <c r="I2067">
        <f>IF(F2067="","",INDEX(Deals!$D$2:$D$843,F2067))</f>
        <v/>
      </c>
      <c r="J2067">
        <f>IF(F2067="","",INT(H2067)-B2067)</f>
        <v/>
      </c>
      <c r="K2067">
        <f>IF(B2067&gt;=Settings!$C$5,1,0)</f>
        <v/>
      </c>
    </row>
    <row r="2068">
      <c r="A2068" t="inlineStr">
        <is>
          <t>95831099d5d2171aea50c24de5332f73</t>
        </is>
      </c>
      <c r="B2068" s="29" t="n">
        <v>43115</v>
      </c>
      <c r="C2068" t="inlineStr">
        <is>
          <t>2018-01</t>
        </is>
      </c>
      <c r="D2068" t="inlineStr">
        <is>
          <t>ce1a65abd0973638f1c887a6efcfa82d</t>
        </is>
      </c>
      <c r="E2068" t="inlineStr">
        <is>
          <t>organic_search</t>
        </is>
      </c>
      <c r="F2068">
        <f>IFERROR(MATCH(A2068,Deals!$A$2:$A$843,0),"")</f>
        <v/>
      </c>
      <c r="G2068">
        <f>IF(F2068="",0,1)</f>
        <v/>
      </c>
      <c r="H2068" s="29">
        <f>IF(F2068="","",INDEX(Deals!$E$2:$E$843,F2068))</f>
        <v/>
      </c>
      <c r="I2068">
        <f>IF(F2068="","",INDEX(Deals!$D$2:$D$843,F2068))</f>
        <v/>
      </c>
      <c r="J2068">
        <f>IF(F2068="","",INT(H2068)-B2068)</f>
        <v/>
      </c>
      <c r="K2068">
        <f>IF(B2068&gt;=Settings!$C$5,1,0)</f>
        <v/>
      </c>
    </row>
    <row r="2069">
      <c r="A2069" t="inlineStr">
        <is>
          <t>2ea3bbe4bd6170e7d1439523953dd068</t>
        </is>
      </c>
      <c r="B2069" s="29" t="n">
        <v>43103</v>
      </c>
      <c r="C2069" t="inlineStr">
        <is>
          <t>2018-01</t>
        </is>
      </c>
      <c r="D2069" t="inlineStr">
        <is>
          <t>88740e65d5d6b056e0cda098e1ea6313</t>
        </is>
      </c>
      <c r="E2069" t="inlineStr">
        <is>
          <t>social</t>
        </is>
      </c>
      <c r="F2069">
        <f>IFERROR(MATCH(A2069,Deals!$A$2:$A$843,0),"")</f>
        <v/>
      </c>
      <c r="G2069">
        <f>IF(F2069="",0,1)</f>
        <v/>
      </c>
      <c r="H2069" s="29">
        <f>IF(F2069="","",INDEX(Deals!$E$2:$E$843,F2069))</f>
        <v/>
      </c>
      <c r="I2069">
        <f>IF(F2069="","",INDEX(Deals!$D$2:$D$843,F2069))</f>
        <v/>
      </c>
      <c r="J2069">
        <f>IF(F2069="","",INT(H2069)-B2069)</f>
        <v/>
      </c>
      <c r="K2069">
        <f>IF(B2069&gt;=Settings!$C$5,1,0)</f>
        <v/>
      </c>
    </row>
    <row r="2070">
      <c r="A2070" t="inlineStr">
        <is>
          <t>8b3e245494a534cae8182756e1c33a4f</t>
        </is>
      </c>
      <c r="B2070" s="29" t="n">
        <v>43234</v>
      </c>
      <c r="C2070" t="inlineStr">
        <is>
          <t>2018-05</t>
        </is>
      </c>
      <c r="D2070" t="inlineStr">
        <is>
          <t>58326e62183c14b0c03085c33b9fdc44</t>
        </is>
      </c>
      <c r="E2070" t="inlineStr">
        <is>
          <t>social</t>
        </is>
      </c>
      <c r="F2070">
        <f>IFERROR(MATCH(A2070,Deals!$A$2:$A$843,0),"")</f>
        <v/>
      </c>
      <c r="G2070">
        <f>IF(F2070="",0,1)</f>
        <v/>
      </c>
      <c r="H2070" s="29">
        <f>IF(F2070="","",INDEX(Deals!$E$2:$E$843,F2070))</f>
        <v/>
      </c>
      <c r="I2070">
        <f>IF(F2070="","",INDEX(Deals!$D$2:$D$843,F2070))</f>
        <v/>
      </c>
      <c r="J2070">
        <f>IF(F2070="","",INT(H2070)-B2070)</f>
        <v/>
      </c>
      <c r="K2070">
        <f>IF(B2070&gt;=Settings!$C$5,1,0)</f>
        <v/>
      </c>
    </row>
    <row r="2071">
      <c r="A2071" t="inlineStr">
        <is>
          <t>3c50dacab7d81a61f9e2fb94daefbfb6</t>
        </is>
      </c>
      <c r="B2071" s="29" t="n">
        <v>42997</v>
      </c>
      <c r="C2071" t="inlineStr">
        <is>
          <t>2017-09</t>
        </is>
      </c>
      <c r="D2071" t="inlineStr">
        <is>
          <t>15cf89bab2c3163b4f9d8601d108f8b2</t>
        </is>
      </c>
      <c r="E2071" t="inlineStr">
        <is>
          <t>organic_search</t>
        </is>
      </c>
      <c r="F2071">
        <f>IFERROR(MATCH(A2071,Deals!$A$2:$A$843,0),"")</f>
        <v/>
      </c>
      <c r="G2071">
        <f>IF(F2071="",0,1)</f>
        <v/>
      </c>
      <c r="H2071" s="29">
        <f>IF(F2071="","",INDEX(Deals!$E$2:$E$843,F2071))</f>
        <v/>
      </c>
      <c r="I2071">
        <f>IF(F2071="","",INDEX(Deals!$D$2:$D$843,F2071))</f>
        <v/>
      </c>
      <c r="J2071">
        <f>IF(F2071="","",INT(H2071)-B2071)</f>
        <v/>
      </c>
      <c r="K2071">
        <f>IF(B2071&gt;=Settings!$C$5,1,0)</f>
        <v/>
      </c>
    </row>
    <row r="2072">
      <c r="A2072" t="inlineStr">
        <is>
          <t>ea1acb5549f38021d7372b6eeb61fd05</t>
        </is>
      </c>
      <c r="B2072" s="29" t="n">
        <v>43118</v>
      </c>
      <c r="C2072" t="inlineStr">
        <is>
          <t>2018-01</t>
        </is>
      </c>
      <c r="D2072" t="inlineStr">
        <is>
          <t>b76ef37428e6799c421989521c0e5077</t>
        </is>
      </c>
      <c r="E2072" t="inlineStr">
        <is>
          <t>organic_search</t>
        </is>
      </c>
      <c r="F2072">
        <f>IFERROR(MATCH(A2072,Deals!$A$2:$A$843,0),"")</f>
        <v/>
      </c>
      <c r="G2072">
        <f>IF(F2072="",0,1)</f>
        <v/>
      </c>
      <c r="H2072" s="29">
        <f>IF(F2072="","",INDEX(Deals!$E$2:$E$843,F2072))</f>
        <v/>
      </c>
      <c r="I2072">
        <f>IF(F2072="","",INDEX(Deals!$D$2:$D$843,F2072))</f>
        <v/>
      </c>
      <c r="J2072">
        <f>IF(F2072="","",INT(H2072)-B2072)</f>
        <v/>
      </c>
      <c r="K2072">
        <f>IF(B2072&gt;=Settings!$C$5,1,0)</f>
        <v/>
      </c>
    </row>
    <row r="2073">
      <c r="A2073" t="inlineStr">
        <is>
          <t>38527f6aa36f7cf468e6f6b561afe994</t>
        </is>
      </c>
      <c r="B2073" s="29" t="n">
        <v>43228</v>
      </c>
      <c r="C2073" t="inlineStr">
        <is>
          <t>2018-05</t>
        </is>
      </c>
      <c r="D2073" t="inlineStr">
        <is>
          <t>fa6f59a21825d841e307151460fb0302</t>
        </is>
      </c>
      <c r="E2073" t="inlineStr">
        <is>
          <t>direct_traffic</t>
        </is>
      </c>
      <c r="F2073">
        <f>IFERROR(MATCH(A2073,Deals!$A$2:$A$843,0),"")</f>
        <v/>
      </c>
      <c r="G2073">
        <f>IF(F2073="",0,1)</f>
        <v/>
      </c>
      <c r="H2073" s="29">
        <f>IF(F2073="","",INDEX(Deals!$E$2:$E$843,F2073))</f>
        <v/>
      </c>
      <c r="I2073">
        <f>IF(F2073="","",INDEX(Deals!$D$2:$D$843,F2073))</f>
        <v/>
      </c>
      <c r="J2073">
        <f>IF(F2073="","",INT(H2073)-B2073)</f>
        <v/>
      </c>
      <c r="K2073">
        <f>IF(B2073&gt;=Settings!$C$5,1,0)</f>
        <v/>
      </c>
    </row>
    <row r="2074">
      <c r="A2074" t="inlineStr">
        <is>
          <t>df799efd470820bf3df8d4b9c29730ce</t>
        </is>
      </c>
      <c r="B2074" s="29" t="n">
        <v>43042</v>
      </c>
      <c r="C2074" t="inlineStr">
        <is>
          <t>2017-11</t>
        </is>
      </c>
      <c r="D2074" t="inlineStr">
        <is>
          <t>c2f7f172d3275d27cba772ab70ac3052</t>
        </is>
      </c>
      <c r="E2074" t="inlineStr">
        <is>
          <t>organic_search</t>
        </is>
      </c>
      <c r="F2074">
        <f>IFERROR(MATCH(A2074,Deals!$A$2:$A$843,0),"")</f>
        <v/>
      </c>
      <c r="G2074">
        <f>IF(F2074="",0,1)</f>
        <v/>
      </c>
      <c r="H2074" s="29">
        <f>IF(F2074="","",INDEX(Deals!$E$2:$E$843,F2074))</f>
        <v/>
      </c>
      <c r="I2074">
        <f>IF(F2074="","",INDEX(Deals!$D$2:$D$843,F2074))</f>
        <v/>
      </c>
      <c r="J2074">
        <f>IF(F2074="","",INT(H2074)-B2074)</f>
        <v/>
      </c>
      <c r="K2074">
        <f>IF(B2074&gt;=Settings!$C$5,1,0)</f>
        <v/>
      </c>
    </row>
    <row r="2075">
      <c r="A2075" t="inlineStr">
        <is>
          <t>dad9375c9bd04516b37e25662b76e0eb</t>
        </is>
      </c>
      <c r="B2075" s="29" t="n">
        <v>43217</v>
      </c>
      <c r="C2075" t="inlineStr">
        <is>
          <t>2018-04</t>
        </is>
      </c>
      <c r="D2075" t="inlineStr">
        <is>
          <t>e492ee5eaf1697716985cc6f33f9cd9b</t>
        </is>
      </c>
      <c r="E2075" t="inlineStr">
        <is>
          <t>unknown</t>
        </is>
      </c>
      <c r="F2075">
        <f>IFERROR(MATCH(A2075,Deals!$A$2:$A$843,0),"")</f>
        <v/>
      </c>
      <c r="G2075">
        <f>IF(F2075="",0,1)</f>
        <v/>
      </c>
      <c r="H2075" s="29">
        <f>IF(F2075="","",INDEX(Deals!$E$2:$E$843,F2075))</f>
        <v/>
      </c>
      <c r="I2075">
        <f>IF(F2075="","",INDEX(Deals!$D$2:$D$843,F2075))</f>
        <v/>
      </c>
      <c r="J2075">
        <f>IF(F2075="","",INT(H2075)-B2075)</f>
        <v/>
      </c>
      <c r="K2075">
        <f>IF(B2075&gt;=Settings!$C$5,1,0)</f>
        <v/>
      </c>
    </row>
    <row r="2076">
      <c r="A2076" t="inlineStr">
        <is>
          <t>bd8f44067769dbfb91bd4b4c13c967c2</t>
        </is>
      </c>
      <c r="B2076" s="29" t="n">
        <v>43117</v>
      </c>
      <c r="C2076" t="inlineStr">
        <is>
          <t>2018-01</t>
        </is>
      </c>
      <c r="D2076" t="inlineStr">
        <is>
          <t>40dec9f3d5259a3d2dbcdab2114fae47</t>
        </is>
      </c>
      <c r="E2076" t="inlineStr">
        <is>
          <t>paid_search</t>
        </is>
      </c>
      <c r="F2076">
        <f>IFERROR(MATCH(A2076,Deals!$A$2:$A$843,0),"")</f>
        <v/>
      </c>
      <c r="G2076">
        <f>IF(F2076="",0,1)</f>
        <v/>
      </c>
      <c r="H2076" s="29">
        <f>IF(F2076="","",INDEX(Deals!$E$2:$E$843,F2076))</f>
        <v/>
      </c>
      <c r="I2076">
        <f>IF(F2076="","",INDEX(Deals!$D$2:$D$843,F2076))</f>
        <v/>
      </c>
      <c r="J2076">
        <f>IF(F2076="","",INT(H2076)-B2076)</f>
        <v/>
      </c>
      <c r="K2076">
        <f>IF(B2076&gt;=Settings!$C$5,1,0)</f>
        <v/>
      </c>
    </row>
    <row r="2077">
      <c r="A2077" t="inlineStr">
        <is>
          <t>555d4939b10bf95704808379fb9d29d0</t>
        </is>
      </c>
      <c r="B2077" s="29" t="n">
        <v>43007</v>
      </c>
      <c r="C2077" t="inlineStr">
        <is>
          <t>2017-09</t>
        </is>
      </c>
      <c r="D2077" t="inlineStr">
        <is>
          <t>22c29808c4f815213303f8933030604c</t>
        </is>
      </c>
      <c r="E2077" t="inlineStr">
        <is>
          <t>social</t>
        </is>
      </c>
      <c r="F2077">
        <f>IFERROR(MATCH(A2077,Deals!$A$2:$A$843,0),"")</f>
        <v/>
      </c>
      <c r="G2077">
        <f>IF(F2077="",0,1)</f>
        <v/>
      </c>
      <c r="H2077" s="29">
        <f>IF(F2077="","",INDEX(Deals!$E$2:$E$843,F2077))</f>
        <v/>
      </c>
      <c r="I2077">
        <f>IF(F2077="","",INDEX(Deals!$D$2:$D$843,F2077))</f>
        <v/>
      </c>
      <c r="J2077">
        <f>IF(F2077="","",INT(H2077)-B2077)</f>
        <v/>
      </c>
      <c r="K2077">
        <f>IF(B2077&gt;=Settings!$C$5,1,0)</f>
        <v/>
      </c>
    </row>
    <row r="2078">
      <c r="A2078" t="inlineStr">
        <is>
          <t>a8da9e43859d5040532f379059831a0b</t>
        </is>
      </c>
      <c r="B2078" s="29" t="n">
        <v>43223</v>
      </c>
      <c r="C2078" t="inlineStr">
        <is>
          <t>2018-05</t>
        </is>
      </c>
      <c r="D2078" t="inlineStr">
        <is>
          <t>330b9d44078a1ae5a221d655dcb77afa</t>
        </is>
      </c>
      <c r="E2078" t="inlineStr">
        <is>
          <t>organic_search</t>
        </is>
      </c>
      <c r="F2078">
        <f>IFERROR(MATCH(A2078,Deals!$A$2:$A$843,0),"")</f>
        <v/>
      </c>
      <c r="G2078">
        <f>IF(F2078="",0,1)</f>
        <v/>
      </c>
      <c r="H2078" s="29">
        <f>IF(F2078="","",INDEX(Deals!$E$2:$E$843,F2078))</f>
        <v/>
      </c>
      <c r="I2078">
        <f>IF(F2078="","",INDEX(Deals!$D$2:$D$843,F2078))</f>
        <v/>
      </c>
      <c r="J2078">
        <f>IF(F2078="","",INT(H2078)-B2078)</f>
        <v/>
      </c>
      <c r="K2078">
        <f>IF(B2078&gt;=Settings!$C$5,1,0)</f>
        <v/>
      </c>
    </row>
    <row r="2079">
      <c r="A2079" t="inlineStr">
        <is>
          <t>cdb1b8659398b6fc3d538fb524493d5e</t>
        </is>
      </c>
      <c r="B2079" s="29" t="n">
        <v>43034</v>
      </c>
      <c r="C2079" t="inlineStr">
        <is>
          <t>2017-10</t>
        </is>
      </c>
      <c r="D2079" t="inlineStr">
        <is>
          <t>e492ee5eaf1697716985cc6f33f9cd9b</t>
        </is>
      </c>
      <c r="E2079" t="inlineStr">
        <is>
          <t>other</t>
        </is>
      </c>
      <c r="F2079">
        <f>IFERROR(MATCH(A2079,Deals!$A$2:$A$843,0),"")</f>
        <v/>
      </c>
      <c r="G2079">
        <f>IF(F2079="",0,1)</f>
        <v/>
      </c>
      <c r="H2079" s="29">
        <f>IF(F2079="","",INDEX(Deals!$E$2:$E$843,F2079))</f>
        <v/>
      </c>
      <c r="I2079">
        <f>IF(F2079="","",INDEX(Deals!$D$2:$D$843,F2079))</f>
        <v/>
      </c>
      <c r="J2079">
        <f>IF(F2079="","",INT(H2079)-B2079)</f>
        <v/>
      </c>
      <c r="K2079">
        <f>IF(B2079&gt;=Settings!$C$5,1,0)</f>
        <v/>
      </c>
    </row>
    <row r="2080">
      <c r="A2080" t="inlineStr">
        <is>
          <t>b868a75cbe1372040841ba8235b4f070</t>
        </is>
      </c>
      <c r="B2080" s="29" t="n">
        <v>43157</v>
      </c>
      <c r="C2080" t="inlineStr">
        <is>
          <t>2018-02</t>
        </is>
      </c>
      <c r="D2080" t="inlineStr">
        <is>
          <t>30077c17f2ec5010a82e37ad8925b95f</t>
        </is>
      </c>
      <c r="E2080" t="inlineStr">
        <is>
          <t>organic_search</t>
        </is>
      </c>
      <c r="F2080">
        <f>IFERROR(MATCH(A2080,Deals!$A$2:$A$843,0),"")</f>
        <v/>
      </c>
      <c r="G2080">
        <f>IF(F2080="",0,1)</f>
        <v/>
      </c>
      <c r="H2080" s="29">
        <f>IF(F2080="","",INDEX(Deals!$E$2:$E$843,F2080))</f>
        <v/>
      </c>
      <c r="I2080">
        <f>IF(F2080="","",INDEX(Deals!$D$2:$D$843,F2080))</f>
        <v/>
      </c>
      <c r="J2080">
        <f>IF(F2080="","",INT(H2080)-B2080)</f>
        <v/>
      </c>
      <c r="K2080">
        <f>IF(B2080&gt;=Settings!$C$5,1,0)</f>
        <v/>
      </c>
    </row>
    <row r="2081">
      <c r="A2081" t="inlineStr">
        <is>
          <t>ef550dcce21575f93d8595c44f220121</t>
        </is>
      </c>
      <c r="B2081" s="29" t="n">
        <v>43203</v>
      </c>
      <c r="C2081" t="inlineStr">
        <is>
          <t>2018-04</t>
        </is>
      </c>
      <c r="D2081" t="inlineStr">
        <is>
          <t>58326e62183c14b0c03085c33b9fdc44</t>
        </is>
      </c>
      <c r="E2081" t="inlineStr">
        <is>
          <t>social</t>
        </is>
      </c>
      <c r="F2081">
        <f>IFERROR(MATCH(A2081,Deals!$A$2:$A$843,0),"")</f>
        <v/>
      </c>
      <c r="G2081">
        <f>IF(F2081="",0,1)</f>
        <v/>
      </c>
      <c r="H2081" s="29">
        <f>IF(F2081="","",INDEX(Deals!$E$2:$E$843,F2081))</f>
        <v/>
      </c>
      <c r="I2081">
        <f>IF(F2081="","",INDEX(Deals!$D$2:$D$843,F2081))</f>
        <v/>
      </c>
      <c r="J2081">
        <f>IF(F2081="","",INT(H2081)-B2081)</f>
        <v/>
      </c>
      <c r="K2081">
        <f>IF(B2081&gt;=Settings!$C$5,1,0)</f>
        <v/>
      </c>
    </row>
    <row r="2082">
      <c r="A2082" t="inlineStr">
        <is>
          <t>12795bc7a24533b7946cf3584f0e8e1e</t>
        </is>
      </c>
      <c r="B2082" s="29" t="n">
        <v>43115</v>
      </c>
      <c r="C2082" t="inlineStr">
        <is>
          <t>2018-01</t>
        </is>
      </c>
      <c r="D2082" t="inlineStr">
        <is>
          <t>b76ef37428e6799c421989521c0e5077</t>
        </is>
      </c>
      <c r="E2082" t="inlineStr">
        <is>
          <t>unknown</t>
        </is>
      </c>
      <c r="F2082">
        <f>IFERROR(MATCH(A2082,Deals!$A$2:$A$843,0),"")</f>
        <v/>
      </c>
      <c r="G2082">
        <f>IF(F2082="",0,1)</f>
        <v/>
      </c>
      <c r="H2082" s="29">
        <f>IF(F2082="","",INDEX(Deals!$E$2:$E$843,F2082))</f>
        <v/>
      </c>
      <c r="I2082">
        <f>IF(F2082="","",INDEX(Deals!$D$2:$D$843,F2082))</f>
        <v/>
      </c>
      <c r="J2082">
        <f>IF(F2082="","",INT(H2082)-B2082)</f>
        <v/>
      </c>
      <c r="K2082">
        <f>IF(B2082&gt;=Settings!$C$5,1,0)</f>
        <v/>
      </c>
    </row>
    <row r="2083">
      <c r="A2083" t="inlineStr">
        <is>
          <t>789980830f6960e332045653a8fe1a1b</t>
        </is>
      </c>
      <c r="B2083" s="29" t="n">
        <v>43222</v>
      </c>
      <c r="C2083" t="inlineStr">
        <is>
          <t>2018-05</t>
        </is>
      </c>
      <c r="D2083" t="inlineStr">
        <is>
          <t>30534107aa0013db92899c96a1017d0b</t>
        </is>
      </c>
      <c r="E2083" t="inlineStr">
        <is>
          <t>social</t>
        </is>
      </c>
      <c r="F2083">
        <f>IFERROR(MATCH(A2083,Deals!$A$2:$A$843,0),"")</f>
        <v/>
      </c>
      <c r="G2083">
        <f>IF(F2083="",0,1)</f>
        <v/>
      </c>
      <c r="H2083" s="29">
        <f>IF(F2083="","",INDEX(Deals!$E$2:$E$843,F2083))</f>
        <v/>
      </c>
      <c r="I2083">
        <f>IF(F2083="","",INDEX(Deals!$D$2:$D$843,F2083))</f>
        <v/>
      </c>
      <c r="J2083">
        <f>IF(F2083="","",INT(H2083)-B2083)</f>
        <v/>
      </c>
      <c r="K2083">
        <f>IF(B2083&gt;=Settings!$C$5,1,0)</f>
        <v/>
      </c>
    </row>
    <row r="2084">
      <c r="A2084" t="inlineStr">
        <is>
          <t>7a43fa89fbc04c64cd1f481b59db4b45</t>
        </is>
      </c>
      <c r="B2084" s="29" t="n">
        <v>42923</v>
      </c>
      <c r="C2084" t="inlineStr">
        <is>
          <t>2017-07</t>
        </is>
      </c>
      <c r="D2084" t="inlineStr">
        <is>
          <t>51ecca024748b4439e473ec446c0bef5</t>
        </is>
      </c>
      <c r="E2084" t="inlineStr">
        <is>
          <t>email</t>
        </is>
      </c>
      <c r="F2084">
        <f>IFERROR(MATCH(A2084,Deals!$A$2:$A$843,0),"")</f>
        <v/>
      </c>
      <c r="G2084">
        <f>IF(F2084="",0,1)</f>
        <v/>
      </c>
      <c r="H2084" s="29">
        <f>IF(F2084="","",INDEX(Deals!$E$2:$E$843,F2084))</f>
        <v/>
      </c>
      <c r="I2084">
        <f>IF(F2084="","",INDEX(Deals!$D$2:$D$843,F2084))</f>
        <v/>
      </c>
      <c r="J2084">
        <f>IF(F2084="","",INT(H2084)-B2084)</f>
        <v/>
      </c>
      <c r="K2084">
        <f>IF(B2084&gt;=Settings!$C$5,1,0)</f>
        <v/>
      </c>
    </row>
    <row r="2085">
      <c r="A2085" t="inlineStr">
        <is>
          <t>fffffe98d0963d27015c198262d97221</t>
        </is>
      </c>
      <c r="B2085" s="29" t="n">
        <v>43125</v>
      </c>
      <c r="C2085" t="inlineStr">
        <is>
          <t>2018-01</t>
        </is>
      </c>
      <c r="D2085" t="inlineStr">
        <is>
          <t>88740e65d5d6b056e0cda098e1ea6313</t>
        </is>
      </c>
      <c r="E2085" t="inlineStr">
        <is>
          <t>social</t>
        </is>
      </c>
      <c r="F2085">
        <f>IFERROR(MATCH(A2085,Deals!$A$2:$A$843,0),"")</f>
        <v/>
      </c>
      <c r="G2085">
        <f>IF(F2085="",0,1)</f>
        <v/>
      </c>
      <c r="H2085" s="29">
        <f>IF(F2085="","",INDEX(Deals!$E$2:$E$843,F2085))</f>
        <v/>
      </c>
      <c r="I2085">
        <f>IF(F2085="","",INDEX(Deals!$D$2:$D$843,F2085))</f>
        <v/>
      </c>
      <c r="J2085">
        <f>IF(F2085="","",INT(H2085)-B2085)</f>
        <v/>
      </c>
      <c r="K2085">
        <f>IF(B2085&gt;=Settings!$C$5,1,0)</f>
        <v/>
      </c>
    </row>
    <row r="2086">
      <c r="A2086" t="inlineStr">
        <is>
          <t>61f3024ed641390e498517b310f7a378</t>
        </is>
      </c>
      <c r="B2086" s="29" t="n">
        <v>42976</v>
      </c>
      <c r="C2086" t="inlineStr">
        <is>
          <t>2017-08</t>
        </is>
      </c>
      <c r="D2086" t="inlineStr">
        <is>
          <t>22c29808c4f815213303f8933030604c</t>
        </is>
      </c>
      <c r="E2086" t="inlineStr">
        <is>
          <t>unknown</t>
        </is>
      </c>
      <c r="F2086">
        <f>IFERROR(MATCH(A2086,Deals!$A$2:$A$843,0),"")</f>
        <v/>
      </c>
      <c r="G2086">
        <f>IF(F2086="",0,1)</f>
        <v/>
      </c>
      <c r="H2086" s="29">
        <f>IF(F2086="","",INDEX(Deals!$E$2:$E$843,F2086))</f>
        <v/>
      </c>
      <c r="I2086">
        <f>IF(F2086="","",INDEX(Deals!$D$2:$D$843,F2086))</f>
        <v/>
      </c>
      <c r="J2086">
        <f>IF(F2086="","",INT(H2086)-B2086)</f>
        <v/>
      </c>
      <c r="K2086">
        <f>IF(B2086&gt;=Settings!$C$5,1,0)</f>
        <v/>
      </c>
    </row>
    <row r="2087">
      <c r="A2087" t="inlineStr">
        <is>
          <t>edc584da9943130e5fe7b9f60e863f1f</t>
        </is>
      </c>
      <c r="B2087" s="29" t="n">
        <v>43179</v>
      </c>
      <c r="C2087" t="inlineStr">
        <is>
          <t>2018-03</t>
        </is>
      </c>
      <c r="D2087" t="inlineStr">
        <is>
          <t>65d9f9d71e562365e8b44037c2888d98</t>
        </is>
      </c>
      <c r="E2087" t="inlineStr">
        <is>
          <t>paid_search</t>
        </is>
      </c>
      <c r="F2087">
        <f>IFERROR(MATCH(A2087,Deals!$A$2:$A$843,0),"")</f>
        <v/>
      </c>
      <c r="G2087">
        <f>IF(F2087="",0,1)</f>
        <v/>
      </c>
      <c r="H2087" s="29">
        <f>IF(F2087="","",INDEX(Deals!$E$2:$E$843,F2087))</f>
        <v/>
      </c>
      <c r="I2087">
        <f>IF(F2087="","",INDEX(Deals!$D$2:$D$843,F2087))</f>
        <v/>
      </c>
      <c r="J2087">
        <f>IF(F2087="","",INT(H2087)-B2087)</f>
        <v/>
      </c>
      <c r="K2087">
        <f>IF(B2087&gt;=Settings!$C$5,1,0)</f>
        <v/>
      </c>
    </row>
    <row r="2088">
      <c r="A2088" t="inlineStr">
        <is>
          <t>90067edaa1a5fd3244571b6d71522b61</t>
        </is>
      </c>
      <c r="B2088" s="29" t="n">
        <v>43154</v>
      </c>
      <c r="C2088" t="inlineStr">
        <is>
          <t>2018-02</t>
        </is>
      </c>
      <c r="D2088" t="inlineStr">
        <is>
          <t>d83b0d0e48c8447d1d5507a44027a955</t>
        </is>
      </c>
      <c r="E2088" t="inlineStr">
        <is>
          <t>organic_search</t>
        </is>
      </c>
      <c r="F2088">
        <f>IFERROR(MATCH(A2088,Deals!$A$2:$A$843,0),"")</f>
        <v/>
      </c>
      <c r="G2088">
        <f>IF(F2088="",0,1)</f>
        <v/>
      </c>
      <c r="H2088" s="29">
        <f>IF(F2088="","",INDEX(Deals!$E$2:$E$843,F2088))</f>
        <v/>
      </c>
      <c r="I2088">
        <f>IF(F2088="","",INDEX(Deals!$D$2:$D$843,F2088))</f>
        <v/>
      </c>
      <c r="J2088">
        <f>IF(F2088="","",INT(H2088)-B2088)</f>
        <v/>
      </c>
      <c r="K2088">
        <f>IF(B2088&gt;=Settings!$C$5,1,0)</f>
        <v/>
      </c>
    </row>
    <row r="2089">
      <c r="A2089" t="inlineStr">
        <is>
          <t>4140fe6a9358de3c9d660225c4c2fcb4</t>
        </is>
      </c>
      <c r="B2089" s="29" t="n">
        <v>43218</v>
      </c>
      <c r="C2089" t="inlineStr">
        <is>
          <t>2018-04</t>
        </is>
      </c>
      <c r="D2089" t="inlineStr">
        <is>
          <t>f80696b73d17fb34f5c4fde157f119d8</t>
        </is>
      </c>
      <c r="E2089" t="inlineStr">
        <is>
          <t>email</t>
        </is>
      </c>
      <c r="F2089">
        <f>IFERROR(MATCH(A2089,Deals!$A$2:$A$843,0),"")</f>
        <v/>
      </c>
      <c r="G2089">
        <f>IF(F2089="",0,1)</f>
        <v/>
      </c>
      <c r="H2089" s="29">
        <f>IF(F2089="","",INDEX(Deals!$E$2:$E$843,F2089))</f>
        <v/>
      </c>
      <c r="I2089">
        <f>IF(F2089="","",INDEX(Deals!$D$2:$D$843,F2089))</f>
        <v/>
      </c>
      <c r="J2089">
        <f>IF(F2089="","",INT(H2089)-B2089)</f>
        <v/>
      </c>
      <c r="K2089">
        <f>IF(B2089&gt;=Settings!$C$5,1,0)</f>
        <v/>
      </c>
    </row>
    <row r="2090">
      <c r="A2090" t="inlineStr">
        <is>
          <t>7dd9884b559f0344c9254ce81e001ae4</t>
        </is>
      </c>
      <c r="B2090" s="29" t="n">
        <v>42961</v>
      </c>
      <c r="C2090" t="inlineStr">
        <is>
          <t>2017-08</t>
        </is>
      </c>
      <c r="D2090" t="inlineStr">
        <is>
          <t>c555aa36478386fdf85a2d0ca5cd0ff8</t>
        </is>
      </c>
      <c r="E2090" t="inlineStr">
        <is>
          <t>unknown</t>
        </is>
      </c>
      <c r="F2090">
        <f>IFERROR(MATCH(A2090,Deals!$A$2:$A$843,0),"")</f>
        <v/>
      </c>
      <c r="G2090">
        <f>IF(F2090="",0,1)</f>
        <v/>
      </c>
      <c r="H2090" s="29">
        <f>IF(F2090="","",INDEX(Deals!$E$2:$E$843,F2090))</f>
        <v/>
      </c>
      <c r="I2090">
        <f>IF(F2090="","",INDEX(Deals!$D$2:$D$843,F2090))</f>
        <v/>
      </c>
      <c r="J2090">
        <f>IF(F2090="","",INT(H2090)-B2090)</f>
        <v/>
      </c>
      <c r="K2090">
        <f>IF(B2090&gt;=Settings!$C$5,1,0)</f>
        <v/>
      </c>
    </row>
    <row r="2091">
      <c r="A2091" t="inlineStr">
        <is>
          <t>1364f5a1e2fd89c14c1d75d61cd44982</t>
        </is>
      </c>
      <c r="B2091" s="29" t="n">
        <v>43168</v>
      </c>
      <c r="C2091" t="inlineStr">
        <is>
          <t>2018-03</t>
        </is>
      </c>
      <c r="D2091" t="inlineStr">
        <is>
          <t>330b9d44078a1ae5a221d655dcb77afa</t>
        </is>
      </c>
      <c r="E2091" t="inlineStr">
        <is>
          <t>organic_search</t>
        </is>
      </c>
      <c r="F2091">
        <f>IFERROR(MATCH(A2091,Deals!$A$2:$A$843,0),"")</f>
        <v/>
      </c>
      <c r="G2091">
        <f>IF(F2091="",0,1)</f>
        <v/>
      </c>
      <c r="H2091" s="29">
        <f>IF(F2091="","",INDEX(Deals!$E$2:$E$843,F2091))</f>
        <v/>
      </c>
      <c r="I2091">
        <f>IF(F2091="","",INDEX(Deals!$D$2:$D$843,F2091))</f>
        <v/>
      </c>
      <c r="J2091">
        <f>IF(F2091="","",INT(H2091)-B2091)</f>
        <v/>
      </c>
      <c r="K2091">
        <f>IF(B2091&gt;=Settings!$C$5,1,0)</f>
        <v/>
      </c>
    </row>
    <row r="2092">
      <c r="A2092" t="inlineStr">
        <is>
          <t>b8bdaee506282b82d47d2777faa9d241</t>
        </is>
      </c>
      <c r="B2092" s="29" t="n">
        <v>43150</v>
      </c>
      <c r="C2092" t="inlineStr">
        <is>
          <t>2018-02</t>
        </is>
      </c>
      <c r="D2092" t="inlineStr">
        <is>
          <t>f017be4dbf86243af5c1ebed0cff36a2</t>
        </is>
      </c>
      <c r="E2092" t="inlineStr">
        <is>
          <t>paid_search</t>
        </is>
      </c>
      <c r="F2092">
        <f>IFERROR(MATCH(A2092,Deals!$A$2:$A$843,0),"")</f>
        <v/>
      </c>
      <c r="G2092">
        <f>IF(F2092="",0,1)</f>
        <v/>
      </c>
      <c r="H2092" s="29">
        <f>IF(F2092="","",INDEX(Deals!$E$2:$E$843,F2092))</f>
        <v/>
      </c>
      <c r="I2092">
        <f>IF(F2092="","",INDEX(Deals!$D$2:$D$843,F2092))</f>
        <v/>
      </c>
      <c r="J2092">
        <f>IF(F2092="","",INT(H2092)-B2092)</f>
        <v/>
      </c>
      <c r="K2092">
        <f>IF(B2092&gt;=Settings!$C$5,1,0)</f>
        <v/>
      </c>
    </row>
    <row r="2093">
      <c r="A2093" t="inlineStr">
        <is>
          <t>5641240ccf2611004c76234f4afb8f90</t>
        </is>
      </c>
      <c r="B2093" s="29" t="n">
        <v>43109</v>
      </c>
      <c r="C2093" t="inlineStr">
        <is>
          <t>2018-01</t>
        </is>
      </c>
      <c r="D2093" t="inlineStr">
        <is>
          <t>b76ef37428e6799c421989521c0e5077</t>
        </is>
      </c>
      <c r="E2093" t="inlineStr">
        <is>
          <t>unknown</t>
        </is>
      </c>
      <c r="F2093">
        <f>IFERROR(MATCH(A2093,Deals!$A$2:$A$843,0),"")</f>
        <v/>
      </c>
      <c r="G2093">
        <f>IF(F2093="",0,1)</f>
        <v/>
      </c>
      <c r="H2093" s="29">
        <f>IF(F2093="","",INDEX(Deals!$E$2:$E$843,F2093))</f>
        <v/>
      </c>
      <c r="I2093">
        <f>IF(F2093="","",INDEX(Deals!$D$2:$D$843,F2093))</f>
        <v/>
      </c>
      <c r="J2093">
        <f>IF(F2093="","",INT(H2093)-B2093)</f>
        <v/>
      </c>
      <c r="K2093">
        <f>IF(B2093&gt;=Settings!$C$5,1,0)</f>
        <v/>
      </c>
    </row>
    <row r="2094">
      <c r="A2094" t="inlineStr">
        <is>
          <t>ab2376b87c861284c1022c539ca9b001</t>
        </is>
      </c>
      <c r="B2094" s="29" t="n">
        <v>43157</v>
      </c>
      <c r="C2094" t="inlineStr">
        <is>
          <t>2018-02</t>
        </is>
      </c>
      <c r="D2094" t="inlineStr">
        <is>
          <t>0e5a178e3cd2368607f3e72f46140476</t>
        </is>
      </c>
      <c r="E2094" t="inlineStr">
        <is>
          <t>email</t>
        </is>
      </c>
      <c r="F2094">
        <f>IFERROR(MATCH(A2094,Deals!$A$2:$A$843,0),"")</f>
        <v/>
      </c>
      <c r="G2094">
        <f>IF(F2094="",0,1)</f>
        <v/>
      </c>
      <c r="H2094" s="29">
        <f>IF(F2094="","",INDEX(Deals!$E$2:$E$843,F2094))</f>
        <v/>
      </c>
      <c r="I2094">
        <f>IF(F2094="","",INDEX(Deals!$D$2:$D$843,F2094))</f>
        <v/>
      </c>
      <c r="J2094">
        <f>IF(F2094="","",INT(H2094)-B2094)</f>
        <v/>
      </c>
      <c r="K2094">
        <f>IF(B2094&gt;=Settings!$C$5,1,0)</f>
        <v/>
      </c>
    </row>
    <row r="2095">
      <c r="A2095" t="inlineStr">
        <is>
          <t>10e71f188f6f3575f6be7f7e94c50c44</t>
        </is>
      </c>
      <c r="B2095" s="29" t="n">
        <v>43209</v>
      </c>
      <c r="C2095" t="inlineStr">
        <is>
          <t>2018-04</t>
        </is>
      </c>
      <c r="D2095" t="inlineStr">
        <is>
          <t>5ecb50153794666e90bc04c0076b7834</t>
        </is>
      </c>
      <c r="E2095" t="inlineStr">
        <is>
          <t>paid_search</t>
        </is>
      </c>
      <c r="F2095">
        <f>IFERROR(MATCH(A2095,Deals!$A$2:$A$843,0),"")</f>
        <v/>
      </c>
      <c r="G2095">
        <f>IF(F2095="",0,1)</f>
        <v/>
      </c>
      <c r="H2095" s="29">
        <f>IF(F2095="","",INDEX(Deals!$E$2:$E$843,F2095))</f>
        <v/>
      </c>
      <c r="I2095">
        <f>IF(F2095="","",INDEX(Deals!$D$2:$D$843,F2095))</f>
        <v/>
      </c>
      <c r="J2095">
        <f>IF(F2095="","",INT(H2095)-B2095)</f>
        <v/>
      </c>
      <c r="K2095">
        <f>IF(B2095&gt;=Settings!$C$5,1,0)</f>
        <v/>
      </c>
    </row>
    <row r="2096">
      <c r="A2096" t="inlineStr">
        <is>
          <t>d09690ee3975605e0388eac03d655623</t>
        </is>
      </c>
      <c r="B2096" s="29" t="n">
        <v>43116</v>
      </c>
      <c r="C2096" t="inlineStr">
        <is>
          <t>2018-01</t>
        </is>
      </c>
      <c r="D2096" t="inlineStr">
        <is>
          <t>88740e65d5d6b056e0cda098e1ea6313</t>
        </is>
      </c>
      <c r="E2096" t="inlineStr">
        <is>
          <t>social</t>
        </is>
      </c>
      <c r="F2096">
        <f>IFERROR(MATCH(A2096,Deals!$A$2:$A$843,0),"")</f>
        <v/>
      </c>
      <c r="G2096">
        <f>IF(F2096="",0,1)</f>
        <v/>
      </c>
      <c r="H2096" s="29">
        <f>IF(F2096="","",INDEX(Deals!$E$2:$E$843,F2096))</f>
        <v/>
      </c>
      <c r="I2096">
        <f>IF(F2096="","",INDEX(Deals!$D$2:$D$843,F2096))</f>
        <v/>
      </c>
      <c r="J2096">
        <f>IF(F2096="","",INT(H2096)-B2096)</f>
        <v/>
      </c>
      <c r="K2096">
        <f>IF(B2096&gt;=Settings!$C$5,1,0)</f>
        <v/>
      </c>
    </row>
    <row r="2097">
      <c r="A2097" t="inlineStr">
        <is>
          <t>2f1cd5f3b17a865d680fb1f2c299e705</t>
        </is>
      </c>
      <c r="B2097" s="29" t="n">
        <v>43242</v>
      </c>
      <c r="C2097" t="inlineStr">
        <is>
          <t>2018-05</t>
        </is>
      </c>
      <c r="D2097" t="inlineStr">
        <is>
          <t>22c29808c4f815213303f8933030604c</t>
        </is>
      </c>
      <c r="E2097" t="inlineStr">
        <is>
          <t>organic_search</t>
        </is>
      </c>
      <c r="F2097">
        <f>IFERROR(MATCH(A2097,Deals!$A$2:$A$843,0),"")</f>
        <v/>
      </c>
      <c r="G2097">
        <f>IF(F2097="",0,1)</f>
        <v/>
      </c>
      <c r="H2097" s="29">
        <f>IF(F2097="","",INDEX(Deals!$E$2:$E$843,F2097))</f>
        <v/>
      </c>
      <c r="I2097">
        <f>IF(F2097="","",INDEX(Deals!$D$2:$D$843,F2097))</f>
        <v/>
      </c>
      <c r="J2097">
        <f>IF(F2097="","",INT(H2097)-B2097)</f>
        <v/>
      </c>
      <c r="K2097">
        <f>IF(B2097&gt;=Settings!$C$5,1,0)</f>
        <v/>
      </c>
    </row>
    <row r="2098">
      <c r="A2098" t="inlineStr">
        <is>
          <t>9735d7a0dbe9dbeed16a16c4c785b769</t>
        </is>
      </c>
      <c r="B2098" s="29" t="n">
        <v>43193</v>
      </c>
      <c r="C2098" t="inlineStr">
        <is>
          <t>2018-04</t>
        </is>
      </c>
      <c r="D2098" t="inlineStr">
        <is>
          <t>e30b6fe36d1ad2145ca4544e3362b5c1</t>
        </is>
      </c>
      <c r="E2098" t="inlineStr">
        <is>
          <t>unknown</t>
        </is>
      </c>
      <c r="F2098">
        <f>IFERROR(MATCH(A2098,Deals!$A$2:$A$843,0),"")</f>
        <v/>
      </c>
      <c r="G2098">
        <f>IF(F2098="",0,1)</f>
        <v/>
      </c>
      <c r="H2098" s="29">
        <f>IF(F2098="","",INDEX(Deals!$E$2:$E$843,F2098))</f>
        <v/>
      </c>
      <c r="I2098">
        <f>IF(F2098="","",INDEX(Deals!$D$2:$D$843,F2098))</f>
        <v/>
      </c>
      <c r="J2098">
        <f>IF(F2098="","",INT(H2098)-B2098)</f>
        <v/>
      </c>
      <c r="K2098">
        <f>IF(B2098&gt;=Settings!$C$5,1,0)</f>
        <v/>
      </c>
    </row>
    <row r="2099">
      <c r="A2099" t="inlineStr">
        <is>
          <t>ec104944be7abcb1b28b0069a5c35913</t>
        </is>
      </c>
      <c r="B2099" s="29" t="n">
        <v>43205</v>
      </c>
      <c r="C2099" t="inlineStr">
        <is>
          <t>2018-04</t>
        </is>
      </c>
      <c r="D2099" t="inlineStr">
        <is>
          <t>58326e62183c14b0c03085c33b9fdc44</t>
        </is>
      </c>
      <c r="E2099" t="inlineStr">
        <is>
          <t>social</t>
        </is>
      </c>
      <c r="F2099">
        <f>IFERROR(MATCH(A2099,Deals!$A$2:$A$843,0),"")</f>
        <v/>
      </c>
      <c r="G2099">
        <f>IF(F2099="",0,1)</f>
        <v/>
      </c>
      <c r="H2099" s="29">
        <f>IF(F2099="","",INDEX(Deals!$E$2:$E$843,F2099))</f>
        <v/>
      </c>
      <c r="I2099">
        <f>IF(F2099="","",INDEX(Deals!$D$2:$D$843,F2099))</f>
        <v/>
      </c>
      <c r="J2099">
        <f>IF(F2099="","",INT(H2099)-B2099)</f>
        <v/>
      </c>
      <c r="K2099">
        <f>IF(B2099&gt;=Settings!$C$5,1,0)</f>
        <v/>
      </c>
    </row>
    <row r="2100">
      <c r="A2100" t="inlineStr">
        <is>
          <t>d372d4ba86f4a5e6d13b05144b47506e</t>
        </is>
      </c>
      <c r="B2100" s="29" t="n">
        <v>43112</v>
      </c>
      <c r="C2100" t="inlineStr">
        <is>
          <t>2018-01</t>
        </is>
      </c>
      <c r="D2100" t="inlineStr">
        <is>
          <t>a7982125ff7aa3b2054c6e44f9d28522</t>
        </is>
      </c>
      <c r="E2100" t="inlineStr">
        <is>
          <t>organic_search</t>
        </is>
      </c>
      <c r="F2100">
        <f>IFERROR(MATCH(A2100,Deals!$A$2:$A$843,0),"")</f>
        <v/>
      </c>
      <c r="G2100">
        <f>IF(F2100="",0,1)</f>
        <v/>
      </c>
      <c r="H2100" s="29">
        <f>IF(F2100="","",INDEX(Deals!$E$2:$E$843,F2100))</f>
        <v/>
      </c>
      <c r="I2100">
        <f>IF(F2100="","",INDEX(Deals!$D$2:$D$843,F2100))</f>
        <v/>
      </c>
      <c r="J2100">
        <f>IF(F2100="","",INT(H2100)-B2100)</f>
        <v/>
      </c>
      <c r="K2100">
        <f>IF(B2100&gt;=Settings!$C$5,1,0)</f>
        <v/>
      </c>
    </row>
    <row r="2101">
      <c r="A2101" t="inlineStr">
        <is>
          <t>962c66216e363a8f4407a546fcc1a85d</t>
        </is>
      </c>
      <c r="B2101" s="29" t="n">
        <v>43227</v>
      </c>
      <c r="C2101" t="inlineStr">
        <is>
          <t>2018-05</t>
        </is>
      </c>
      <c r="D2101" t="inlineStr">
        <is>
          <t>58326e62183c14b0c03085c33b9fdc44</t>
        </is>
      </c>
      <c r="E2101" t="inlineStr">
        <is>
          <t>social</t>
        </is>
      </c>
      <c r="F2101">
        <f>IFERROR(MATCH(A2101,Deals!$A$2:$A$843,0),"")</f>
        <v/>
      </c>
      <c r="G2101">
        <f>IF(F2101="",0,1)</f>
        <v/>
      </c>
      <c r="H2101" s="29">
        <f>IF(F2101="","",INDEX(Deals!$E$2:$E$843,F2101))</f>
        <v/>
      </c>
      <c r="I2101">
        <f>IF(F2101="","",INDEX(Deals!$D$2:$D$843,F2101))</f>
        <v/>
      </c>
      <c r="J2101">
        <f>IF(F2101="","",INT(H2101)-B2101)</f>
        <v/>
      </c>
      <c r="K2101">
        <f>IF(B2101&gt;=Settings!$C$5,1,0)</f>
        <v/>
      </c>
    </row>
    <row r="2102">
      <c r="A2102" t="inlineStr">
        <is>
          <t>6338c24be7d85863109dc1a27183263a</t>
        </is>
      </c>
      <c r="B2102" s="29" t="n">
        <v>42999</v>
      </c>
      <c r="C2102" t="inlineStr">
        <is>
          <t>2017-09</t>
        </is>
      </c>
      <c r="D2102" t="inlineStr">
        <is>
          <t>f0b4c4ef4ee243742edd86cd944574ec</t>
        </is>
      </c>
      <c r="E2102" t="inlineStr">
        <is>
          <t>organic_search</t>
        </is>
      </c>
      <c r="F2102">
        <f>IFERROR(MATCH(A2102,Deals!$A$2:$A$843,0),"")</f>
        <v/>
      </c>
      <c r="G2102">
        <f>IF(F2102="",0,1)</f>
        <v/>
      </c>
      <c r="H2102" s="29">
        <f>IF(F2102="","",INDEX(Deals!$E$2:$E$843,F2102))</f>
        <v/>
      </c>
      <c r="I2102">
        <f>IF(F2102="","",INDEX(Deals!$D$2:$D$843,F2102))</f>
        <v/>
      </c>
      <c r="J2102">
        <f>IF(F2102="","",INT(H2102)-B2102)</f>
        <v/>
      </c>
      <c r="K2102">
        <f>IF(B2102&gt;=Settings!$C$5,1,0)</f>
        <v/>
      </c>
    </row>
    <row r="2103">
      <c r="A2103" t="inlineStr">
        <is>
          <t>c319b80e19fefc69d451ad9eae7efdb4</t>
        </is>
      </c>
      <c r="B2103" s="29" t="n">
        <v>43034</v>
      </c>
      <c r="C2103" t="inlineStr">
        <is>
          <t>2017-10</t>
        </is>
      </c>
      <c r="D2103" t="inlineStr">
        <is>
          <t>984caf5cd6531beb94e435db458b7cc9</t>
        </is>
      </c>
      <c r="E2103" t="inlineStr">
        <is>
          <t>unknown</t>
        </is>
      </c>
      <c r="F2103">
        <f>IFERROR(MATCH(A2103,Deals!$A$2:$A$843,0),"")</f>
        <v/>
      </c>
      <c r="G2103">
        <f>IF(F2103="",0,1)</f>
        <v/>
      </c>
      <c r="H2103" s="29">
        <f>IF(F2103="","",INDEX(Deals!$E$2:$E$843,F2103))</f>
        <v/>
      </c>
      <c r="I2103">
        <f>IF(F2103="","",INDEX(Deals!$D$2:$D$843,F2103))</f>
        <v/>
      </c>
      <c r="J2103">
        <f>IF(F2103="","",INT(H2103)-B2103)</f>
        <v/>
      </c>
      <c r="K2103">
        <f>IF(B2103&gt;=Settings!$C$5,1,0)</f>
        <v/>
      </c>
    </row>
    <row r="2104">
      <c r="A2104" t="inlineStr">
        <is>
          <t>ec8cb5c7c2b8b15598b6b6d4f41af482</t>
        </is>
      </c>
      <c r="B2104" s="29" t="n">
        <v>43165</v>
      </c>
      <c r="C2104" t="inlineStr">
        <is>
          <t>2018-03</t>
        </is>
      </c>
      <c r="D2104" t="inlineStr">
        <is>
          <t>120ad10683075526ee1b3b00489dafec</t>
        </is>
      </c>
      <c r="E2104" t="inlineStr">
        <is>
          <t>email</t>
        </is>
      </c>
      <c r="F2104">
        <f>IFERROR(MATCH(A2104,Deals!$A$2:$A$843,0),"")</f>
        <v/>
      </c>
      <c r="G2104">
        <f>IF(F2104="",0,1)</f>
        <v/>
      </c>
      <c r="H2104" s="29">
        <f>IF(F2104="","",INDEX(Deals!$E$2:$E$843,F2104))</f>
        <v/>
      </c>
      <c r="I2104">
        <f>IF(F2104="","",INDEX(Deals!$D$2:$D$843,F2104))</f>
        <v/>
      </c>
      <c r="J2104">
        <f>IF(F2104="","",INT(H2104)-B2104)</f>
        <v/>
      </c>
      <c r="K2104">
        <f>IF(B2104&gt;=Settings!$C$5,1,0)</f>
        <v/>
      </c>
    </row>
    <row r="2105">
      <c r="A2105" t="inlineStr">
        <is>
          <t>f5ab797de5386f2868f35ff96a052cd9</t>
        </is>
      </c>
      <c r="B2105" s="29" t="n">
        <v>43212</v>
      </c>
      <c r="C2105" t="inlineStr">
        <is>
          <t>2018-04</t>
        </is>
      </c>
      <c r="D2105" t="inlineStr">
        <is>
          <t>58326e62183c14b0c03085c33b9fdc44</t>
        </is>
      </c>
      <c r="E2105" t="inlineStr">
        <is>
          <t>social</t>
        </is>
      </c>
      <c r="F2105">
        <f>IFERROR(MATCH(A2105,Deals!$A$2:$A$843,0),"")</f>
        <v/>
      </c>
      <c r="G2105">
        <f>IF(F2105="",0,1)</f>
        <v/>
      </c>
      <c r="H2105" s="29">
        <f>IF(F2105="","",INDEX(Deals!$E$2:$E$843,F2105))</f>
        <v/>
      </c>
      <c r="I2105">
        <f>IF(F2105="","",INDEX(Deals!$D$2:$D$843,F2105))</f>
        <v/>
      </c>
      <c r="J2105">
        <f>IF(F2105="","",INT(H2105)-B2105)</f>
        <v/>
      </c>
      <c r="K2105">
        <f>IF(B2105&gt;=Settings!$C$5,1,0)</f>
        <v/>
      </c>
    </row>
    <row r="2106">
      <c r="A2106" t="inlineStr">
        <is>
          <t>5e285258b2a7b03236d37eb86a562ee5</t>
        </is>
      </c>
      <c r="B2106" s="29" t="n">
        <v>43200</v>
      </c>
      <c r="C2106" t="inlineStr">
        <is>
          <t>2018-04</t>
        </is>
      </c>
      <c r="D2106" t="inlineStr">
        <is>
          <t>22c29808c4f815213303f8933030604c</t>
        </is>
      </c>
      <c r="E2106" t="inlineStr">
        <is>
          <t>paid_search</t>
        </is>
      </c>
      <c r="F2106">
        <f>IFERROR(MATCH(A2106,Deals!$A$2:$A$843,0),"")</f>
        <v/>
      </c>
      <c r="G2106">
        <f>IF(F2106="",0,1)</f>
        <v/>
      </c>
      <c r="H2106" s="29">
        <f>IF(F2106="","",INDEX(Deals!$E$2:$E$843,F2106))</f>
        <v/>
      </c>
      <c r="I2106">
        <f>IF(F2106="","",INDEX(Deals!$D$2:$D$843,F2106))</f>
        <v/>
      </c>
      <c r="J2106">
        <f>IF(F2106="","",INT(H2106)-B2106)</f>
        <v/>
      </c>
      <c r="K2106">
        <f>IF(B2106&gt;=Settings!$C$5,1,0)</f>
        <v/>
      </c>
    </row>
    <row r="2107">
      <c r="A2107" t="inlineStr">
        <is>
          <t>7c74782c46a2cecf21f674c10da18534</t>
        </is>
      </c>
      <c r="B2107" s="29" t="n">
        <v>43118</v>
      </c>
      <c r="C2107" t="inlineStr">
        <is>
          <t>2018-01</t>
        </is>
      </c>
      <c r="D2107" t="inlineStr">
        <is>
          <t>73fec6021437e723ff5adae8dff89e23</t>
        </is>
      </c>
      <c r="E2107" t="inlineStr">
        <is>
          <t>social</t>
        </is>
      </c>
      <c r="F2107">
        <f>IFERROR(MATCH(A2107,Deals!$A$2:$A$843,0),"")</f>
        <v/>
      </c>
      <c r="G2107">
        <f>IF(F2107="",0,1)</f>
        <v/>
      </c>
      <c r="H2107" s="29">
        <f>IF(F2107="","",INDEX(Deals!$E$2:$E$843,F2107))</f>
        <v/>
      </c>
      <c r="I2107">
        <f>IF(F2107="","",INDEX(Deals!$D$2:$D$843,F2107))</f>
        <v/>
      </c>
      <c r="J2107">
        <f>IF(F2107="","",INT(H2107)-B2107)</f>
        <v/>
      </c>
      <c r="K2107">
        <f>IF(B2107&gt;=Settings!$C$5,1,0)</f>
        <v/>
      </c>
    </row>
    <row r="2108">
      <c r="A2108" t="inlineStr">
        <is>
          <t>753dba7a1e2b2511de6aaefc613b7aeb</t>
        </is>
      </c>
      <c r="B2108" s="29" t="n">
        <v>43147</v>
      </c>
      <c r="C2108" t="inlineStr">
        <is>
          <t>2018-02</t>
        </is>
      </c>
      <c r="D2108" t="inlineStr">
        <is>
          <t>e492ee5eaf1697716985cc6f33f9cd9b</t>
        </is>
      </c>
      <c r="E2108" t="inlineStr">
        <is>
          <t>organic_search</t>
        </is>
      </c>
      <c r="F2108">
        <f>IFERROR(MATCH(A2108,Deals!$A$2:$A$843,0),"")</f>
        <v/>
      </c>
      <c r="G2108">
        <f>IF(F2108="",0,1)</f>
        <v/>
      </c>
      <c r="H2108" s="29">
        <f>IF(F2108="","",INDEX(Deals!$E$2:$E$843,F2108))</f>
        <v/>
      </c>
      <c r="I2108">
        <f>IF(F2108="","",INDEX(Deals!$D$2:$D$843,F2108))</f>
        <v/>
      </c>
      <c r="J2108">
        <f>IF(F2108="","",INT(H2108)-B2108)</f>
        <v/>
      </c>
      <c r="K2108">
        <f>IF(B2108&gt;=Settings!$C$5,1,0)</f>
        <v/>
      </c>
    </row>
    <row r="2109">
      <c r="A2109" t="inlineStr">
        <is>
          <t>6ef77bd3e3cfb00cd02bba48e6e9a9e3</t>
        </is>
      </c>
      <c r="B2109" s="29" t="n">
        <v>43126</v>
      </c>
      <c r="C2109" t="inlineStr">
        <is>
          <t>2018-01</t>
        </is>
      </c>
      <c r="D2109" t="inlineStr">
        <is>
          <t>241f79c7a8fe0270f4fb79fcbbcd17ad</t>
        </is>
      </c>
      <c r="E2109" t="inlineStr">
        <is>
          <t>paid_search</t>
        </is>
      </c>
      <c r="F2109">
        <f>IFERROR(MATCH(A2109,Deals!$A$2:$A$843,0),"")</f>
        <v/>
      </c>
      <c r="G2109">
        <f>IF(F2109="",0,1)</f>
        <v/>
      </c>
      <c r="H2109" s="29">
        <f>IF(F2109="","",INDEX(Deals!$E$2:$E$843,F2109))</f>
        <v/>
      </c>
      <c r="I2109">
        <f>IF(F2109="","",INDEX(Deals!$D$2:$D$843,F2109))</f>
        <v/>
      </c>
      <c r="J2109">
        <f>IF(F2109="","",INT(H2109)-B2109)</f>
        <v/>
      </c>
      <c r="K2109">
        <f>IF(B2109&gt;=Settings!$C$5,1,0)</f>
        <v/>
      </c>
    </row>
    <row r="2110">
      <c r="A2110" t="inlineStr">
        <is>
          <t>3cab34e6c6a51d1f2ca8e76908c62368</t>
        </is>
      </c>
      <c r="B2110" s="29" t="n">
        <v>43194</v>
      </c>
      <c r="C2110" t="inlineStr">
        <is>
          <t>2018-04</t>
        </is>
      </c>
      <c r="D2110" t="inlineStr">
        <is>
          <t>22c29808c4f815213303f8933030604c</t>
        </is>
      </c>
      <c r="E2110" t="inlineStr">
        <is>
          <t>direct_traffic</t>
        </is>
      </c>
      <c r="F2110">
        <f>IFERROR(MATCH(A2110,Deals!$A$2:$A$843,0),"")</f>
        <v/>
      </c>
      <c r="G2110">
        <f>IF(F2110="",0,1)</f>
        <v/>
      </c>
      <c r="H2110" s="29">
        <f>IF(F2110="","",INDEX(Deals!$E$2:$E$843,F2110))</f>
        <v/>
      </c>
      <c r="I2110">
        <f>IF(F2110="","",INDEX(Deals!$D$2:$D$843,F2110))</f>
        <v/>
      </c>
      <c r="J2110">
        <f>IF(F2110="","",INT(H2110)-B2110)</f>
        <v/>
      </c>
      <c r="K2110">
        <f>IF(B2110&gt;=Settings!$C$5,1,0)</f>
        <v/>
      </c>
    </row>
    <row r="2111">
      <c r="A2111" t="inlineStr">
        <is>
          <t>c0a4b0fa8862500a10f65f4d6b1d4490</t>
        </is>
      </c>
      <c r="B2111" s="29" t="n">
        <v>42919</v>
      </c>
      <c r="C2111" t="inlineStr">
        <is>
          <t>2017-07</t>
        </is>
      </c>
      <c r="D2111" t="inlineStr">
        <is>
          <t>63a22f10d1d63d25eaf970d6a9c9df2a</t>
        </is>
      </c>
      <c r="E2111" t="inlineStr">
        <is>
          <t>email</t>
        </is>
      </c>
      <c r="F2111">
        <f>IFERROR(MATCH(A2111,Deals!$A$2:$A$843,0),"")</f>
        <v/>
      </c>
      <c r="G2111">
        <f>IF(F2111="",0,1)</f>
        <v/>
      </c>
      <c r="H2111" s="29">
        <f>IF(F2111="","",INDEX(Deals!$E$2:$E$843,F2111))</f>
        <v/>
      </c>
      <c r="I2111">
        <f>IF(F2111="","",INDEX(Deals!$D$2:$D$843,F2111))</f>
        <v/>
      </c>
      <c r="J2111">
        <f>IF(F2111="","",INT(H2111)-B2111)</f>
        <v/>
      </c>
      <c r="K2111">
        <f>IF(B2111&gt;=Settings!$C$5,1,0)</f>
        <v/>
      </c>
    </row>
    <row r="2112">
      <c r="A2112" t="inlineStr">
        <is>
          <t>9a16bdc968115f58668f35dd4bf26158</t>
        </is>
      </c>
      <c r="B2112" s="29" t="n">
        <v>43185</v>
      </c>
      <c r="C2112" t="inlineStr">
        <is>
          <t>2018-03</t>
        </is>
      </c>
      <c r="D2112" t="inlineStr">
        <is>
          <t>ce1a65abd0973638f1c887a6efcfa82d</t>
        </is>
      </c>
      <c r="E2112" t="inlineStr">
        <is>
          <t>referral</t>
        </is>
      </c>
      <c r="F2112">
        <f>IFERROR(MATCH(A2112,Deals!$A$2:$A$843,0),"")</f>
        <v/>
      </c>
      <c r="G2112">
        <f>IF(F2112="",0,1)</f>
        <v/>
      </c>
      <c r="H2112" s="29">
        <f>IF(F2112="","",INDEX(Deals!$E$2:$E$843,F2112))</f>
        <v/>
      </c>
      <c r="I2112">
        <f>IF(F2112="","",INDEX(Deals!$D$2:$D$843,F2112))</f>
        <v/>
      </c>
      <c r="J2112">
        <f>IF(F2112="","",INT(H2112)-B2112)</f>
        <v/>
      </c>
      <c r="K2112">
        <f>IF(B2112&gt;=Settings!$C$5,1,0)</f>
        <v/>
      </c>
    </row>
    <row r="2113">
      <c r="A2113" t="inlineStr">
        <is>
          <t>2c5d7eba7610493f33dd6b68d75ef87c</t>
        </is>
      </c>
      <c r="B2113" s="29" t="n">
        <v>43248</v>
      </c>
      <c r="C2113" t="inlineStr">
        <is>
          <t>2018-05</t>
        </is>
      </c>
      <c r="D2113" t="inlineStr">
        <is>
          <t>007f9098284a86ee80ddeb25d53e0af8</t>
        </is>
      </c>
      <c r="E2113" t="inlineStr">
        <is>
          <t>organic_search</t>
        </is>
      </c>
      <c r="F2113">
        <f>IFERROR(MATCH(A2113,Deals!$A$2:$A$843,0),"")</f>
        <v/>
      </c>
      <c r="G2113">
        <f>IF(F2113="",0,1)</f>
        <v/>
      </c>
      <c r="H2113" s="29">
        <f>IF(F2113="","",INDEX(Deals!$E$2:$E$843,F2113))</f>
        <v/>
      </c>
      <c r="I2113">
        <f>IF(F2113="","",INDEX(Deals!$D$2:$D$843,F2113))</f>
        <v/>
      </c>
      <c r="J2113">
        <f>IF(F2113="","",INT(H2113)-B2113)</f>
        <v/>
      </c>
      <c r="K2113">
        <f>IF(B2113&gt;=Settings!$C$5,1,0)</f>
        <v/>
      </c>
    </row>
    <row r="2114">
      <c r="A2114" t="inlineStr">
        <is>
          <t>4a875e76606323d2f7573b7a86b656fd</t>
        </is>
      </c>
      <c r="B2114" s="29" t="n">
        <v>43039</v>
      </c>
      <c r="C2114" t="inlineStr">
        <is>
          <t>2017-10</t>
        </is>
      </c>
      <c r="D2114" t="inlineStr">
        <is>
          <t>a7982125ff7aa3b2054c6e44f9d28522</t>
        </is>
      </c>
      <c r="E2114" t="inlineStr">
        <is>
          <t>paid_search</t>
        </is>
      </c>
      <c r="F2114">
        <f>IFERROR(MATCH(A2114,Deals!$A$2:$A$843,0),"")</f>
        <v/>
      </c>
      <c r="G2114">
        <f>IF(F2114="",0,1)</f>
        <v/>
      </c>
      <c r="H2114" s="29">
        <f>IF(F2114="","",INDEX(Deals!$E$2:$E$843,F2114))</f>
        <v/>
      </c>
      <c r="I2114">
        <f>IF(F2114="","",INDEX(Deals!$D$2:$D$843,F2114))</f>
        <v/>
      </c>
      <c r="J2114">
        <f>IF(F2114="","",INT(H2114)-B2114)</f>
        <v/>
      </c>
      <c r="K2114">
        <f>IF(B2114&gt;=Settings!$C$5,1,0)</f>
        <v/>
      </c>
    </row>
    <row r="2115">
      <c r="A2115" t="inlineStr">
        <is>
          <t>bfaf03e3d41e25b94457fadfbc4521eb</t>
        </is>
      </c>
      <c r="B2115" s="29" t="n">
        <v>43102</v>
      </c>
      <c r="C2115" t="inlineStr">
        <is>
          <t>2018-01</t>
        </is>
      </c>
      <c r="D2115" t="inlineStr">
        <is>
          <t>22c29808c4f815213303f8933030604c</t>
        </is>
      </c>
      <c r="E2115" t="inlineStr">
        <is>
          <t>organic_search</t>
        </is>
      </c>
      <c r="F2115">
        <f>IFERROR(MATCH(A2115,Deals!$A$2:$A$843,0),"")</f>
        <v/>
      </c>
      <c r="G2115">
        <f>IF(F2115="",0,1)</f>
        <v/>
      </c>
      <c r="H2115" s="29">
        <f>IF(F2115="","",INDEX(Deals!$E$2:$E$843,F2115))</f>
        <v/>
      </c>
      <c r="I2115">
        <f>IF(F2115="","",INDEX(Deals!$D$2:$D$843,F2115))</f>
        <v/>
      </c>
      <c r="J2115">
        <f>IF(F2115="","",INT(H2115)-B2115)</f>
        <v/>
      </c>
      <c r="K2115">
        <f>IF(B2115&gt;=Settings!$C$5,1,0)</f>
        <v/>
      </c>
    </row>
    <row r="2116">
      <c r="A2116" t="inlineStr">
        <is>
          <t>5ef6fac3b859bda32552555b77f147dd</t>
        </is>
      </c>
      <c r="B2116" s="29" t="n">
        <v>43160</v>
      </c>
      <c r="C2116" t="inlineStr">
        <is>
          <t>2018-03</t>
        </is>
      </c>
      <c r="D2116" t="inlineStr">
        <is>
          <t>b76ef37428e6799c421989521c0e5077</t>
        </is>
      </c>
      <c r="E2116" t="inlineStr">
        <is>
          <t>unknown</t>
        </is>
      </c>
      <c r="F2116">
        <f>IFERROR(MATCH(A2116,Deals!$A$2:$A$843,0),"")</f>
        <v/>
      </c>
      <c r="G2116">
        <f>IF(F2116="",0,1)</f>
        <v/>
      </c>
      <c r="H2116" s="29">
        <f>IF(F2116="","",INDEX(Deals!$E$2:$E$843,F2116))</f>
        <v/>
      </c>
      <c r="I2116">
        <f>IF(F2116="","",INDEX(Deals!$D$2:$D$843,F2116))</f>
        <v/>
      </c>
      <c r="J2116">
        <f>IF(F2116="","",INT(H2116)-B2116)</f>
        <v/>
      </c>
      <c r="K2116">
        <f>IF(B2116&gt;=Settings!$C$5,1,0)</f>
        <v/>
      </c>
    </row>
    <row r="2117">
      <c r="A2117" t="inlineStr">
        <is>
          <t>e2e3fb19cb1f4edf8c601bab9adbad86</t>
        </is>
      </c>
      <c r="B2117" s="29" t="n">
        <v>43223</v>
      </c>
      <c r="C2117" t="inlineStr">
        <is>
          <t>2018-05</t>
        </is>
      </c>
      <c r="D2117" t="inlineStr">
        <is>
          <t>58326e62183c14b0c03085c33b9fdc44</t>
        </is>
      </c>
      <c r="E2117" t="inlineStr">
        <is>
          <t>social</t>
        </is>
      </c>
      <c r="F2117">
        <f>IFERROR(MATCH(A2117,Deals!$A$2:$A$843,0),"")</f>
        <v/>
      </c>
      <c r="G2117">
        <f>IF(F2117="",0,1)</f>
        <v/>
      </c>
      <c r="H2117" s="29">
        <f>IF(F2117="","",INDEX(Deals!$E$2:$E$843,F2117))</f>
        <v/>
      </c>
      <c r="I2117">
        <f>IF(F2117="","",INDEX(Deals!$D$2:$D$843,F2117))</f>
        <v/>
      </c>
      <c r="J2117">
        <f>IF(F2117="","",INT(H2117)-B2117)</f>
        <v/>
      </c>
      <c r="K2117">
        <f>IF(B2117&gt;=Settings!$C$5,1,0)</f>
        <v/>
      </c>
    </row>
    <row r="2118">
      <c r="A2118" t="inlineStr">
        <is>
          <t>a5d8bb936c943624140ddade75f55b79</t>
        </is>
      </c>
      <c r="B2118" s="29" t="n">
        <v>43235</v>
      </c>
      <c r="C2118" t="inlineStr">
        <is>
          <t>2018-05</t>
        </is>
      </c>
      <c r="D2118" t="inlineStr">
        <is>
          <t>58326e62183c14b0c03085c33b9fdc44</t>
        </is>
      </c>
      <c r="E2118" t="inlineStr">
        <is>
          <t>social</t>
        </is>
      </c>
      <c r="F2118">
        <f>IFERROR(MATCH(A2118,Deals!$A$2:$A$843,0),"")</f>
        <v/>
      </c>
      <c r="G2118">
        <f>IF(F2118="",0,1)</f>
        <v/>
      </c>
      <c r="H2118" s="29">
        <f>IF(F2118="","",INDEX(Deals!$E$2:$E$843,F2118))</f>
        <v/>
      </c>
      <c r="I2118">
        <f>IF(F2118="","",INDEX(Deals!$D$2:$D$843,F2118))</f>
        <v/>
      </c>
      <c r="J2118">
        <f>IF(F2118="","",INT(H2118)-B2118)</f>
        <v/>
      </c>
      <c r="K2118">
        <f>IF(B2118&gt;=Settings!$C$5,1,0)</f>
        <v/>
      </c>
    </row>
    <row r="2119">
      <c r="A2119" t="inlineStr">
        <is>
          <t>6587f3f6839dc4091f5c6afe2148ac7f</t>
        </is>
      </c>
      <c r="B2119" s="29" t="n">
        <v>43190</v>
      </c>
      <c r="C2119" t="inlineStr">
        <is>
          <t>2018-03</t>
        </is>
      </c>
      <c r="D2119" t="inlineStr">
        <is>
          <t>22c29808c4f815213303f8933030604c</t>
        </is>
      </c>
      <c r="E2119" t="inlineStr">
        <is>
          <t>paid_search</t>
        </is>
      </c>
      <c r="F2119">
        <f>IFERROR(MATCH(A2119,Deals!$A$2:$A$843,0),"")</f>
        <v/>
      </c>
      <c r="G2119">
        <f>IF(F2119="",0,1)</f>
        <v/>
      </c>
      <c r="H2119" s="29">
        <f>IF(F2119="","",INDEX(Deals!$E$2:$E$843,F2119))</f>
        <v/>
      </c>
      <c r="I2119">
        <f>IF(F2119="","",INDEX(Deals!$D$2:$D$843,F2119))</f>
        <v/>
      </c>
      <c r="J2119">
        <f>IF(F2119="","",INT(H2119)-B2119)</f>
        <v/>
      </c>
      <c r="K2119">
        <f>IF(B2119&gt;=Settings!$C$5,1,0)</f>
        <v/>
      </c>
    </row>
    <row r="2120">
      <c r="A2120" t="inlineStr">
        <is>
          <t>7c1bc13be224c2dc020fdcdc6604a49c</t>
        </is>
      </c>
      <c r="B2120" s="29" t="n">
        <v>43050</v>
      </c>
      <c r="C2120" t="inlineStr">
        <is>
          <t>2017-11</t>
        </is>
      </c>
      <c r="D2120" t="inlineStr">
        <is>
          <t>22c29808c4f815213303f8933030604c</t>
        </is>
      </c>
      <c r="E2120" t="inlineStr">
        <is>
          <t>organic_search</t>
        </is>
      </c>
      <c r="F2120">
        <f>IFERROR(MATCH(A2120,Deals!$A$2:$A$843,0),"")</f>
        <v/>
      </c>
      <c r="G2120">
        <f>IF(F2120="",0,1)</f>
        <v/>
      </c>
      <c r="H2120" s="29">
        <f>IF(F2120="","",INDEX(Deals!$E$2:$E$843,F2120))</f>
        <v/>
      </c>
      <c r="I2120">
        <f>IF(F2120="","",INDEX(Deals!$D$2:$D$843,F2120))</f>
        <v/>
      </c>
      <c r="J2120">
        <f>IF(F2120="","",INT(H2120)-B2120)</f>
        <v/>
      </c>
      <c r="K2120">
        <f>IF(B2120&gt;=Settings!$C$5,1,0)</f>
        <v/>
      </c>
    </row>
    <row r="2121">
      <c r="A2121" t="inlineStr">
        <is>
          <t>72d8c52e8efc6b0e3db32756ee69c9f9</t>
        </is>
      </c>
      <c r="B2121" s="29" t="n">
        <v>43230</v>
      </c>
      <c r="C2121" t="inlineStr">
        <is>
          <t>2018-05</t>
        </is>
      </c>
      <c r="D2121" t="inlineStr">
        <is>
          <t>58326e62183c14b0c03085c33b9fdc44</t>
        </is>
      </c>
      <c r="E2121" t="inlineStr">
        <is>
          <t>social</t>
        </is>
      </c>
      <c r="F2121">
        <f>IFERROR(MATCH(A2121,Deals!$A$2:$A$843,0),"")</f>
        <v/>
      </c>
      <c r="G2121">
        <f>IF(F2121="",0,1)</f>
        <v/>
      </c>
      <c r="H2121" s="29">
        <f>IF(F2121="","",INDEX(Deals!$E$2:$E$843,F2121))</f>
        <v/>
      </c>
      <c r="I2121">
        <f>IF(F2121="","",INDEX(Deals!$D$2:$D$843,F2121))</f>
        <v/>
      </c>
      <c r="J2121">
        <f>IF(F2121="","",INT(H2121)-B2121)</f>
        <v/>
      </c>
      <c r="K2121">
        <f>IF(B2121&gt;=Settings!$C$5,1,0)</f>
        <v/>
      </c>
    </row>
    <row r="2122">
      <c r="A2122" t="inlineStr">
        <is>
          <t>67245236ce5a981076ce7feffc35c893</t>
        </is>
      </c>
      <c r="B2122" s="29" t="n">
        <v>42938</v>
      </c>
      <c r="C2122" t="inlineStr">
        <is>
          <t>2017-07</t>
        </is>
      </c>
      <c r="D2122" t="inlineStr">
        <is>
          <t>b76ef37428e6799c421989521c0e5077</t>
        </is>
      </c>
      <c r="E2122" t="inlineStr">
        <is>
          <t>unknown</t>
        </is>
      </c>
      <c r="F2122">
        <f>IFERROR(MATCH(A2122,Deals!$A$2:$A$843,0),"")</f>
        <v/>
      </c>
      <c r="G2122">
        <f>IF(F2122="",0,1)</f>
        <v/>
      </c>
      <c r="H2122" s="29">
        <f>IF(F2122="","",INDEX(Deals!$E$2:$E$843,F2122))</f>
        <v/>
      </c>
      <c r="I2122">
        <f>IF(F2122="","",INDEX(Deals!$D$2:$D$843,F2122))</f>
        <v/>
      </c>
      <c r="J2122">
        <f>IF(F2122="","",INT(H2122)-B2122)</f>
        <v/>
      </c>
      <c r="K2122">
        <f>IF(B2122&gt;=Settings!$C$5,1,0)</f>
        <v/>
      </c>
    </row>
    <row r="2123">
      <c r="A2123" t="inlineStr">
        <is>
          <t>0b2b304595422fcc7a7b45fc7329e5ca</t>
        </is>
      </c>
      <c r="B2123" s="29" t="n">
        <v>43189</v>
      </c>
      <c r="C2123" t="inlineStr">
        <is>
          <t>2018-03</t>
        </is>
      </c>
      <c r="D2123" t="inlineStr">
        <is>
          <t>e2e67cce16ad4e30e1f8962402480f17</t>
        </is>
      </c>
      <c r="E2123" t="inlineStr">
        <is>
          <t>unknown</t>
        </is>
      </c>
      <c r="F2123">
        <f>IFERROR(MATCH(A2123,Deals!$A$2:$A$843,0),"")</f>
        <v/>
      </c>
      <c r="G2123">
        <f>IF(F2123="",0,1)</f>
        <v/>
      </c>
      <c r="H2123" s="29">
        <f>IF(F2123="","",INDEX(Deals!$E$2:$E$843,F2123))</f>
        <v/>
      </c>
      <c r="I2123">
        <f>IF(F2123="","",INDEX(Deals!$D$2:$D$843,F2123))</f>
        <v/>
      </c>
      <c r="J2123">
        <f>IF(F2123="","",INT(H2123)-B2123)</f>
        <v/>
      </c>
      <c r="K2123">
        <f>IF(B2123&gt;=Settings!$C$5,1,0)</f>
        <v/>
      </c>
    </row>
    <row r="2124">
      <c r="A2124" t="inlineStr">
        <is>
          <t>8efada2b3d4c7acb1a733be531121ac7</t>
        </is>
      </c>
      <c r="B2124" s="29" t="n">
        <v>43147</v>
      </c>
      <c r="C2124" t="inlineStr">
        <is>
          <t>2018-02</t>
        </is>
      </c>
      <c r="D2124" t="inlineStr">
        <is>
          <t>40dec9f3d5259a3d2dbcdab2114fae47</t>
        </is>
      </c>
      <c r="E2124" t="inlineStr">
        <is>
          <t>paid_search</t>
        </is>
      </c>
      <c r="F2124">
        <f>IFERROR(MATCH(A2124,Deals!$A$2:$A$843,0),"")</f>
        <v/>
      </c>
      <c r="G2124">
        <f>IF(F2124="",0,1)</f>
        <v/>
      </c>
      <c r="H2124" s="29">
        <f>IF(F2124="","",INDEX(Deals!$E$2:$E$843,F2124))</f>
        <v/>
      </c>
      <c r="I2124">
        <f>IF(F2124="","",INDEX(Deals!$D$2:$D$843,F2124))</f>
        <v/>
      </c>
      <c r="J2124">
        <f>IF(F2124="","",INT(H2124)-B2124)</f>
        <v/>
      </c>
      <c r="K2124">
        <f>IF(B2124&gt;=Settings!$C$5,1,0)</f>
        <v/>
      </c>
    </row>
    <row r="2125">
      <c r="A2125" t="inlineStr">
        <is>
          <t>92755a673d57a87da1f03770a5e3f6c6</t>
        </is>
      </c>
      <c r="B2125" s="29" t="n">
        <v>43200</v>
      </c>
      <c r="C2125" t="inlineStr">
        <is>
          <t>2018-04</t>
        </is>
      </c>
      <c r="D2125" t="inlineStr">
        <is>
          <t>5ecb50153794666e90bc04c0076b7834</t>
        </is>
      </c>
      <c r="E2125" t="inlineStr">
        <is>
          <t>paid_search</t>
        </is>
      </c>
      <c r="F2125">
        <f>IFERROR(MATCH(A2125,Deals!$A$2:$A$843,0),"")</f>
        <v/>
      </c>
      <c r="G2125">
        <f>IF(F2125="",0,1)</f>
        <v/>
      </c>
      <c r="H2125" s="29">
        <f>IF(F2125="","",INDEX(Deals!$E$2:$E$843,F2125))</f>
        <v/>
      </c>
      <c r="I2125">
        <f>IF(F2125="","",INDEX(Deals!$D$2:$D$843,F2125))</f>
        <v/>
      </c>
      <c r="J2125">
        <f>IF(F2125="","",INT(H2125)-B2125)</f>
        <v/>
      </c>
      <c r="K2125">
        <f>IF(B2125&gt;=Settings!$C$5,1,0)</f>
        <v/>
      </c>
    </row>
    <row r="2126">
      <c r="A2126" t="inlineStr">
        <is>
          <t>d9f1f4dc0015d78e977e427cbc75736a</t>
        </is>
      </c>
      <c r="B2126" s="29" t="n">
        <v>43170</v>
      </c>
      <c r="C2126" t="inlineStr">
        <is>
          <t>2018-03</t>
        </is>
      </c>
      <c r="D2126" t="inlineStr">
        <is>
          <t>40dec9f3d5259a3d2dbcdab2114fae47</t>
        </is>
      </c>
      <c r="E2126" t="inlineStr">
        <is>
          <t>organic_search</t>
        </is>
      </c>
      <c r="F2126">
        <f>IFERROR(MATCH(A2126,Deals!$A$2:$A$843,0),"")</f>
        <v/>
      </c>
      <c r="G2126">
        <f>IF(F2126="",0,1)</f>
        <v/>
      </c>
      <c r="H2126" s="29">
        <f>IF(F2126="","",INDEX(Deals!$E$2:$E$843,F2126))</f>
        <v/>
      </c>
      <c r="I2126">
        <f>IF(F2126="","",INDEX(Deals!$D$2:$D$843,F2126))</f>
        <v/>
      </c>
      <c r="J2126">
        <f>IF(F2126="","",INT(H2126)-B2126)</f>
        <v/>
      </c>
      <c r="K2126">
        <f>IF(B2126&gt;=Settings!$C$5,1,0)</f>
        <v/>
      </c>
    </row>
    <row r="2127">
      <c r="A2127" t="inlineStr">
        <is>
          <t>7237b93253823cc2ffd24ddfb8ee4b4c</t>
        </is>
      </c>
      <c r="B2127" s="29" t="n">
        <v>42982</v>
      </c>
      <c r="C2127" t="inlineStr">
        <is>
          <t>2017-09</t>
        </is>
      </c>
      <c r="D2127" t="inlineStr">
        <is>
          <t>b817df3a69949ef27ed885bfcbfd5125</t>
        </is>
      </c>
      <c r="E2127" t="inlineStr">
        <is>
          <t>organic_search</t>
        </is>
      </c>
      <c r="F2127">
        <f>IFERROR(MATCH(A2127,Deals!$A$2:$A$843,0),"")</f>
        <v/>
      </c>
      <c r="G2127">
        <f>IF(F2127="",0,1)</f>
        <v/>
      </c>
      <c r="H2127" s="29">
        <f>IF(F2127="","",INDEX(Deals!$E$2:$E$843,F2127))</f>
        <v/>
      </c>
      <c r="I2127">
        <f>IF(F2127="","",INDEX(Deals!$D$2:$D$843,F2127))</f>
        <v/>
      </c>
      <c r="J2127">
        <f>IF(F2127="","",INT(H2127)-B2127)</f>
        <v/>
      </c>
      <c r="K2127">
        <f>IF(B2127&gt;=Settings!$C$5,1,0)</f>
        <v/>
      </c>
    </row>
    <row r="2128">
      <c r="A2128" t="inlineStr">
        <is>
          <t>9675f0018d103531e073a3da2945df41</t>
        </is>
      </c>
      <c r="B2128" s="29" t="n">
        <v>43234</v>
      </c>
      <c r="C2128" t="inlineStr">
        <is>
          <t>2018-05</t>
        </is>
      </c>
      <c r="D2128" t="inlineStr">
        <is>
          <t>b76ef37428e6799c421989521c0e5077</t>
        </is>
      </c>
      <c r="E2128" t="inlineStr">
        <is>
          <t>unknown</t>
        </is>
      </c>
      <c r="F2128">
        <f>IFERROR(MATCH(A2128,Deals!$A$2:$A$843,0),"")</f>
        <v/>
      </c>
      <c r="G2128">
        <f>IF(F2128="",0,1)</f>
        <v/>
      </c>
      <c r="H2128" s="29">
        <f>IF(F2128="","",INDEX(Deals!$E$2:$E$843,F2128))</f>
        <v/>
      </c>
      <c r="I2128">
        <f>IF(F2128="","",INDEX(Deals!$D$2:$D$843,F2128))</f>
        <v/>
      </c>
      <c r="J2128">
        <f>IF(F2128="","",INT(H2128)-B2128)</f>
        <v/>
      </c>
      <c r="K2128">
        <f>IF(B2128&gt;=Settings!$C$5,1,0)</f>
        <v/>
      </c>
    </row>
    <row r="2129">
      <c r="A2129" t="inlineStr">
        <is>
          <t>69f0cadc7e2f0e79b31a546a1a60fe90</t>
        </is>
      </c>
      <c r="B2129" s="29" t="n">
        <v>43190</v>
      </c>
      <c r="C2129" t="inlineStr">
        <is>
          <t>2018-03</t>
        </is>
      </c>
      <c r="D2129" t="inlineStr">
        <is>
          <t>22c29808c4f815213303f8933030604c</t>
        </is>
      </c>
      <c r="E2129" t="inlineStr">
        <is>
          <t>unknown</t>
        </is>
      </c>
      <c r="F2129">
        <f>IFERROR(MATCH(A2129,Deals!$A$2:$A$843,0),"")</f>
        <v/>
      </c>
      <c r="G2129">
        <f>IF(F2129="",0,1)</f>
        <v/>
      </c>
      <c r="H2129" s="29">
        <f>IF(F2129="","",INDEX(Deals!$E$2:$E$843,F2129))</f>
        <v/>
      </c>
      <c r="I2129">
        <f>IF(F2129="","",INDEX(Deals!$D$2:$D$843,F2129))</f>
        <v/>
      </c>
      <c r="J2129">
        <f>IF(F2129="","",INT(H2129)-B2129)</f>
        <v/>
      </c>
      <c r="K2129">
        <f>IF(B2129&gt;=Settings!$C$5,1,0)</f>
        <v/>
      </c>
    </row>
    <row r="2130">
      <c r="A2130" t="inlineStr">
        <is>
          <t>57990ea703eff0f2408e8bac75f342d3</t>
        </is>
      </c>
      <c r="B2130" s="29" t="n">
        <v>43015</v>
      </c>
      <c r="C2130" t="inlineStr">
        <is>
          <t>2017-10</t>
        </is>
      </c>
      <c r="D2130" t="inlineStr">
        <is>
          <t>007f9098284a86ee80ddeb25d53e0af8</t>
        </is>
      </c>
      <c r="E2130" t="inlineStr">
        <is>
          <t>paid_search</t>
        </is>
      </c>
      <c r="F2130">
        <f>IFERROR(MATCH(A2130,Deals!$A$2:$A$843,0),"")</f>
        <v/>
      </c>
      <c r="G2130">
        <f>IF(F2130="",0,1)</f>
        <v/>
      </c>
      <c r="H2130" s="29">
        <f>IF(F2130="","",INDEX(Deals!$E$2:$E$843,F2130))</f>
        <v/>
      </c>
      <c r="I2130">
        <f>IF(F2130="","",INDEX(Deals!$D$2:$D$843,F2130))</f>
        <v/>
      </c>
      <c r="J2130">
        <f>IF(F2130="","",INT(H2130)-B2130)</f>
        <v/>
      </c>
      <c r="K2130">
        <f>IF(B2130&gt;=Settings!$C$5,1,0)</f>
        <v/>
      </c>
    </row>
    <row r="2131">
      <c r="A2131" t="inlineStr">
        <is>
          <t>30b8014701a623705dd4bbc01ee7860b</t>
        </is>
      </c>
      <c r="B2131" s="29" t="n">
        <v>43131</v>
      </c>
      <c r="C2131" t="inlineStr">
        <is>
          <t>2018-01</t>
        </is>
      </c>
      <c r="D2131" t="inlineStr">
        <is>
          <t>b76ef37428e6799c421989521c0e5077</t>
        </is>
      </c>
      <c r="E2131" t="inlineStr">
        <is>
          <t>unknown</t>
        </is>
      </c>
      <c r="F2131">
        <f>IFERROR(MATCH(A2131,Deals!$A$2:$A$843,0),"")</f>
        <v/>
      </c>
      <c r="G2131">
        <f>IF(F2131="",0,1)</f>
        <v/>
      </c>
      <c r="H2131" s="29">
        <f>IF(F2131="","",INDEX(Deals!$E$2:$E$843,F2131))</f>
        <v/>
      </c>
      <c r="I2131">
        <f>IF(F2131="","",INDEX(Deals!$D$2:$D$843,F2131))</f>
        <v/>
      </c>
      <c r="J2131">
        <f>IF(F2131="","",INT(H2131)-B2131)</f>
        <v/>
      </c>
      <c r="K2131">
        <f>IF(B2131&gt;=Settings!$C$5,1,0)</f>
        <v/>
      </c>
    </row>
    <row r="2132">
      <c r="A2132" t="inlineStr">
        <is>
          <t>ca68cd8857bff0680afb365cacc580c4</t>
        </is>
      </c>
      <c r="B2132" s="29" t="n">
        <v>43107</v>
      </c>
      <c r="C2132" t="inlineStr">
        <is>
          <t>2018-01</t>
        </is>
      </c>
      <c r="D2132" t="inlineStr">
        <is>
          <t>f017be4dbf86243af5c1ebed0cff36a2</t>
        </is>
      </c>
      <c r="E2132" t="inlineStr">
        <is>
          <t>social</t>
        </is>
      </c>
      <c r="F2132">
        <f>IFERROR(MATCH(A2132,Deals!$A$2:$A$843,0),"")</f>
        <v/>
      </c>
      <c r="G2132">
        <f>IF(F2132="",0,1)</f>
        <v/>
      </c>
      <c r="H2132" s="29">
        <f>IF(F2132="","",INDEX(Deals!$E$2:$E$843,F2132))</f>
        <v/>
      </c>
      <c r="I2132">
        <f>IF(F2132="","",INDEX(Deals!$D$2:$D$843,F2132))</f>
        <v/>
      </c>
      <c r="J2132">
        <f>IF(F2132="","",INT(H2132)-B2132)</f>
        <v/>
      </c>
      <c r="K2132">
        <f>IF(B2132&gt;=Settings!$C$5,1,0)</f>
        <v/>
      </c>
    </row>
    <row r="2133">
      <c r="A2133" t="inlineStr">
        <is>
          <t>3f6692d46f80ef436cb5050f3c094e15</t>
        </is>
      </c>
      <c r="B2133" s="29" t="n">
        <v>43143</v>
      </c>
      <c r="C2133" t="inlineStr">
        <is>
          <t>2018-02</t>
        </is>
      </c>
      <c r="D2133" t="inlineStr">
        <is>
          <t>88740e65d5d6b056e0cda098e1ea6313</t>
        </is>
      </c>
      <c r="E2133" t="inlineStr">
        <is>
          <t>social</t>
        </is>
      </c>
      <c r="F2133">
        <f>IFERROR(MATCH(A2133,Deals!$A$2:$A$843,0),"")</f>
        <v/>
      </c>
      <c r="G2133">
        <f>IF(F2133="",0,1)</f>
        <v/>
      </c>
      <c r="H2133" s="29">
        <f>IF(F2133="","",INDEX(Deals!$E$2:$E$843,F2133))</f>
        <v/>
      </c>
      <c r="I2133">
        <f>IF(F2133="","",INDEX(Deals!$D$2:$D$843,F2133))</f>
        <v/>
      </c>
      <c r="J2133">
        <f>IF(F2133="","",INT(H2133)-B2133)</f>
        <v/>
      </c>
      <c r="K2133">
        <f>IF(B2133&gt;=Settings!$C$5,1,0)</f>
        <v/>
      </c>
    </row>
    <row r="2134">
      <c r="A2134" t="inlineStr">
        <is>
          <t>657577da81e125b33239d0cc645b7164</t>
        </is>
      </c>
      <c r="B2134" s="29" t="n">
        <v>43094</v>
      </c>
      <c r="C2134" t="inlineStr">
        <is>
          <t>2017-12</t>
        </is>
      </c>
      <c r="D2134" t="inlineStr">
        <is>
          <t>88740e65d5d6b056e0cda098e1ea6313</t>
        </is>
      </c>
      <c r="E2134" t="inlineStr">
        <is>
          <t>social</t>
        </is>
      </c>
      <c r="F2134">
        <f>IFERROR(MATCH(A2134,Deals!$A$2:$A$843,0),"")</f>
        <v/>
      </c>
      <c r="G2134">
        <f>IF(F2134="",0,1)</f>
        <v/>
      </c>
      <c r="H2134" s="29">
        <f>IF(F2134="","",INDEX(Deals!$E$2:$E$843,F2134))</f>
        <v/>
      </c>
      <c r="I2134">
        <f>IF(F2134="","",INDEX(Deals!$D$2:$D$843,F2134))</f>
        <v/>
      </c>
      <c r="J2134">
        <f>IF(F2134="","",INT(H2134)-B2134)</f>
        <v/>
      </c>
      <c r="K2134">
        <f>IF(B2134&gt;=Settings!$C$5,1,0)</f>
        <v/>
      </c>
    </row>
    <row r="2135">
      <c r="A2135" t="inlineStr">
        <is>
          <t>14506ccc39f3552b05392398d45abbb7</t>
        </is>
      </c>
      <c r="B2135" s="29" t="n">
        <v>43171</v>
      </c>
      <c r="C2135" t="inlineStr">
        <is>
          <t>2018-03</t>
        </is>
      </c>
      <c r="D2135" t="inlineStr">
        <is>
          <t>88740e65d5d6b056e0cda098e1ea6313</t>
        </is>
      </c>
      <c r="E2135" t="inlineStr">
        <is>
          <t>social</t>
        </is>
      </c>
      <c r="F2135">
        <f>IFERROR(MATCH(A2135,Deals!$A$2:$A$843,0),"")</f>
        <v/>
      </c>
      <c r="G2135">
        <f>IF(F2135="",0,1)</f>
        <v/>
      </c>
      <c r="H2135" s="29">
        <f>IF(F2135="","",INDEX(Deals!$E$2:$E$843,F2135))</f>
        <v/>
      </c>
      <c r="I2135">
        <f>IF(F2135="","",INDEX(Deals!$D$2:$D$843,F2135))</f>
        <v/>
      </c>
      <c r="J2135">
        <f>IF(F2135="","",INT(H2135)-B2135)</f>
        <v/>
      </c>
      <c r="K2135">
        <f>IF(B2135&gt;=Settings!$C$5,1,0)</f>
        <v/>
      </c>
    </row>
    <row r="2136">
      <c r="A2136" t="inlineStr">
        <is>
          <t>bb8e9f780bd9dfae6288d1b15d13ffed</t>
        </is>
      </c>
      <c r="B2136" s="29" t="n">
        <v>43175</v>
      </c>
      <c r="C2136" t="inlineStr">
        <is>
          <t>2018-03</t>
        </is>
      </c>
      <c r="D2136" t="inlineStr">
        <is>
          <t>b76ef37428e6799c421989521c0e5077</t>
        </is>
      </c>
      <c r="E2136" t="inlineStr">
        <is>
          <t>unknown</t>
        </is>
      </c>
      <c r="F2136">
        <f>IFERROR(MATCH(A2136,Deals!$A$2:$A$843,0),"")</f>
        <v/>
      </c>
      <c r="G2136">
        <f>IF(F2136="",0,1)</f>
        <v/>
      </c>
      <c r="H2136" s="29">
        <f>IF(F2136="","",INDEX(Deals!$E$2:$E$843,F2136))</f>
        <v/>
      </c>
      <c r="I2136">
        <f>IF(F2136="","",INDEX(Deals!$D$2:$D$843,F2136))</f>
        <v/>
      </c>
      <c r="J2136">
        <f>IF(F2136="","",INT(H2136)-B2136)</f>
        <v/>
      </c>
      <c r="K2136">
        <f>IF(B2136&gt;=Settings!$C$5,1,0)</f>
        <v/>
      </c>
    </row>
    <row r="2137">
      <c r="A2137" t="inlineStr">
        <is>
          <t>3172362312fcf09d96f02125f66b74f5</t>
        </is>
      </c>
      <c r="B2137" s="29" t="n">
        <v>43221</v>
      </c>
      <c r="C2137" t="inlineStr">
        <is>
          <t>2018-05</t>
        </is>
      </c>
      <c r="D2137" t="inlineStr">
        <is>
          <t>e492ee5eaf1697716985cc6f33f9cd9b</t>
        </is>
      </c>
      <c r="E2137" t="inlineStr">
        <is>
          <t>paid_search</t>
        </is>
      </c>
      <c r="F2137">
        <f>IFERROR(MATCH(A2137,Deals!$A$2:$A$843,0),"")</f>
        <v/>
      </c>
      <c r="G2137">
        <f>IF(F2137="",0,1)</f>
        <v/>
      </c>
      <c r="H2137" s="29">
        <f>IF(F2137="","",INDEX(Deals!$E$2:$E$843,F2137))</f>
        <v/>
      </c>
      <c r="I2137">
        <f>IF(F2137="","",INDEX(Deals!$D$2:$D$843,F2137))</f>
        <v/>
      </c>
      <c r="J2137">
        <f>IF(F2137="","",INT(H2137)-B2137)</f>
        <v/>
      </c>
      <c r="K2137">
        <f>IF(B2137&gt;=Settings!$C$5,1,0)</f>
        <v/>
      </c>
    </row>
    <row r="2138">
      <c r="A2138" t="inlineStr">
        <is>
          <t>25fa2d39a0143f1f30c36eece145a526</t>
        </is>
      </c>
      <c r="B2138" s="29" t="n">
        <v>43182</v>
      </c>
      <c r="C2138" t="inlineStr">
        <is>
          <t>2018-03</t>
        </is>
      </c>
      <c r="D2138" t="inlineStr">
        <is>
          <t>22c29808c4f815213303f8933030604c</t>
        </is>
      </c>
      <c r="E2138" t="inlineStr">
        <is>
          <t>paid_search</t>
        </is>
      </c>
      <c r="F2138">
        <f>IFERROR(MATCH(A2138,Deals!$A$2:$A$843,0),"")</f>
        <v/>
      </c>
      <c r="G2138">
        <f>IF(F2138="",0,1)</f>
        <v/>
      </c>
      <c r="H2138" s="29">
        <f>IF(F2138="","",INDEX(Deals!$E$2:$E$843,F2138))</f>
        <v/>
      </c>
      <c r="I2138">
        <f>IF(F2138="","",INDEX(Deals!$D$2:$D$843,F2138))</f>
        <v/>
      </c>
      <c r="J2138">
        <f>IF(F2138="","",INT(H2138)-B2138)</f>
        <v/>
      </c>
      <c r="K2138">
        <f>IF(B2138&gt;=Settings!$C$5,1,0)</f>
        <v/>
      </c>
    </row>
    <row r="2139">
      <c r="A2139" t="inlineStr">
        <is>
          <t>7570a1928de2b6137980bde646329ba6</t>
        </is>
      </c>
      <c r="B2139" s="29" t="n">
        <v>43171</v>
      </c>
      <c r="C2139" t="inlineStr">
        <is>
          <t>2018-03</t>
        </is>
      </c>
      <c r="D2139" t="inlineStr">
        <is>
          <t>ce1a65abd0973638f1c887a6efcfa82d</t>
        </is>
      </c>
      <c r="E2139" t="inlineStr">
        <is>
          <t>other</t>
        </is>
      </c>
      <c r="F2139">
        <f>IFERROR(MATCH(A2139,Deals!$A$2:$A$843,0),"")</f>
        <v/>
      </c>
      <c r="G2139">
        <f>IF(F2139="",0,1)</f>
        <v/>
      </c>
      <c r="H2139" s="29">
        <f>IF(F2139="","",INDEX(Deals!$E$2:$E$843,F2139))</f>
        <v/>
      </c>
      <c r="I2139">
        <f>IF(F2139="","",INDEX(Deals!$D$2:$D$843,F2139))</f>
        <v/>
      </c>
      <c r="J2139">
        <f>IF(F2139="","",INT(H2139)-B2139)</f>
        <v/>
      </c>
      <c r="K2139">
        <f>IF(B2139&gt;=Settings!$C$5,1,0)</f>
        <v/>
      </c>
    </row>
    <row r="2140">
      <c r="A2140" t="inlineStr">
        <is>
          <t>25a66e13390694e2b55814e888c8d3f0</t>
        </is>
      </c>
      <c r="B2140" s="29" t="n">
        <v>43230</v>
      </c>
      <c r="C2140" t="inlineStr">
        <is>
          <t>2018-05</t>
        </is>
      </c>
      <c r="D2140" t="inlineStr">
        <is>
          <t>36120633c8737035fbabf079082f4ec1</t>
        </is>
      </c>
      <c r="E2140" t="inlineStr">
        <is>
          <t>paid_search</t>
        </is>
      </c>
      <c r="F2140">
        <f>IFERROR(MATCH(A2140,Deals!$A$2:$A$843,0),"")</f>
        <v/>
      </c>
      <c r="G2140">
        <f>IF(F2140="",0,1)</f>
        <v/>
      </c>
      <c r="H2140" s="29">
        <f>IF(F2140="","",INDEX(Deals!$E$2:$E$843,F2140))</f>
        <v/>
      </c>
      <c r="I2140">
        <f>IF(F2140="","",INDEX(Deals!$D$2:$D$843,F2140))</f>
        <v/>
      </c>
      <c r="J2140">
        <f>IF(F2140="","",INT(H2140)-B2140)</f>
        <v/>
      </c>
      <c r="K2140">
        <f>IF(B2140&gt;=Settings!$C$5,1,0)</f>
        <v/>
      </c>
    </row>
    <row r="2141">
      <c r="A2141" t="inlineStr">
        <is>
          <t>dd473ece077230d91b9340e3b4e57c11</t>
        </is>
      </c>
      <c r="B2141" s="29" t="n">
        <v>42920</v>
      </c>
      <c r="C2141" t="inlineStr">
        <is>
          <t>2017-07</t>
        </is>
      </c>
      <c r="D2141" t="inlineStr">
        <is>
          <t>a11c4a4b078821ac00177f52c59d9990</t>
        </is>
      </c>
      <c r="E2141" t="inlineStr">
        <is>
          <t>display</t>
        </is>
      </c>
      <c r="F2141">
        <f>IFERROR(MATCH(A2141,Deals!$A$2:$A$843,0),"")</f>
        <v/>
      </c>
      <c r="G2141">
        <f>IF(F2141="",0,1)</f>
        <v/>
      </c>
      <c r="H2141" s="29">
        <f>IF(F2141="","",INDEX(Deals!$E$2:$E$843,F2141))</f>
        <v/>
      </c>
      <c r="I2141">
        <f>IF(F2141="","",INDEX(Deals!$D$2:$D$843,F2141))</f>
        <v/>
      </c>
      <c r="J2141">
        <f>IF(F2141="","",INT(H2141)-B2141)</f>
        <v/>
      </c>
      <c r="K2141">
        <f>IF(B2141&gt;=Settings!$C$5,1,0)</f>
        <v/>
      </c>
    </row>
    <row r="2142">
      <c r="A2142" t="inlineStr">
        <is>
          <t>6a83281271574c5862e937abe66b2e23</t>
        </is>
      </c>
      <c r="B2142" s="29" t="n">
        <v>43250</v>
      </c>
      <c r="C2142" t="inlineStr">
        <is>
          <t>2018-05</t>
        </is>
      </c>
      <c r="D2142" t="inlineStr">
        <is>
          <t>7fa6214d82e911d070f51ef79381b956</t>
        </is>
      </c>
      <c r="E2142" t="inlineStr">
        <is>
          <t>direct_traffic</t>
        </is>
      </c>
      <c r="F2142">
        <f>IFERROR(MATCH(A2142,Deals!$A$2:$A$843,0),"")</f>
        <v/>
      </c>
      <c r="G2142">
        <f>IF(F2142="",0,1)</f>
        <v/>
      </c>
      <c r="H2142" s="29">
        <f>IF(F2142="","",INDEX(Deals!$E$2:$E$843,F2142))</f>
        <v/>
      </c>
      <c r="I2142">
        <f>IF(F2142="","",INDEX(Deals!$D$2:$D$843,F2142))</f>
        <v/>
      </c>
      <c r="J2142">
        <f>IF(F2142="","",INT(H2142)-B2142)</f>
        <v/>
      </c>
      <c r="K2142">
        <f>IF(B2142&gt;=Settings!$C$5,1,0)</f>
        <v/>
      </c>
    </row>
    <row r="2143">
      <c r="A2143" t="inlineStr">
        <is>
          <t>efda1f74bbe96f65d38c079fc9c0ca32</t>
        </is>
      </c>
      <c r="B2143" s="29" t="n">
        <v>43130</v>
      </c>
      <c r="C2143" t="inlineStr">
        <is>
          <t>2018-01</t>
        </is>
      </c>
      <c r="D2143" t="inlineStr">
        <is>
          <t>88740e65d5d6b056e0cda098e1ea6313</t>
        </is>
      </c>
      <c r="E2143" t="inlineStr">
        <is>
          <t>social</t>
        </is>
      </c>
      <c r="F2143">
        <f>IFERROR(MATCH(A2143,Deals!$A$2:$A$843,0),"")</f>
        <v/>
      </c>
      <c r="G2143">
        <f>IF(F2143="",0,1)</f>
        <v/>
      </c>
      <c r="H2143" s="29">
        <f>IF(F2143="","",INDEX(Deals!$E$2:$E$843,F2143))</f>
        <v/>
      </c>
      <c r="I2143">
        <f>IF(F2143="","",INDEX(Deals!$D$2:$D$843,F2143))</f>
        <v/>
      </c>
      <c r="J2143">
        <f>IF(F2143="","",INT(H2143)-B2143)</f>
        <v/>
      </c>
      <c r="K2143">
        <f>IF(B2143&gt;=Settings!$C$5,1,0)</f>
        <v/>
      </c>
    </row>
    <row r="2144">
      <c r="A2144" t="inlineStr">
        <is>
          <t>7378210190a8c382ad226ab9a7b54523</t>
        </is>
      </c>
      <c r="B2144" s="29" t="n">
        <v>43121</v>
      </c>
      <c r="C2144" t="inlineStr">
        <is>
          <t>2018-01</t>
        </is>
      </c>
      <c r="D2144" t="inlineStr">
        <is>
          <t>b48ec5f3b04e9068441002a19df93c6c</t>
        </is>
      </c>
      <c r="E2144" t="inlineStr">
        <is>
          <t>organic_search</t>
        </is>
      </c>
      <c r="F2144">
        <f>IFERROR(MATCH(A2144,Deals!$A$2:$A$843,0),"")</f>
        <v/>
      </c>
      <c r="G2144">
        <f>IF(F2144="",0,1)</f>
        <v/>
      </c>
      <c r="H2144" s="29">
        <f>IF(F2144="","",INDEX(Deals!$E$2:$E$843,F2144))</f>
        <v/>
      </c>
      <c r="I2144">
        <f>IF(F2144="","",INDEX(Deals!$D$2:$D$843,F2144))</f>
        <v/>
      </c>
      <c r="J2144">
        <f>IF(F2144="","",INT(H2144)-B2144)</f>
        <v/>
      </c>
      <c r="K2144">
        <f>IF(B2144&gt;=Settings!$C$5,1,0)</f>
        <v/>
      </c>
    </row>
    <row r="2145">
      <c r="A2145" t="inlineStr">
        <is>
          <t>36fa774e2070c58cdc2ddb03d8645356</t>
        </is>
      </c>
      <c r="B2145" s="29" t="n">
        <v>43220</v>
      </c>
      <c r="C2145" t="inlineStr">
        <is>
          <t>2018-04</t>
        </is>
      </c>
      <c r="D2145" t="inlineStr">
        <is>
          <t>1ceb590cd1e00c7ee95220971f82693d</t>
        </is>
      </c>
      <c r="E2145" t="inlineStr">
        <is>
          <t>paid_search</t>
        </is>
      </c>
      <c r="F2145">
        <f>IFERROR(MATCH(A2145,Deals!$A$2:$A$843,0),"")</f>
        <v/>
      </c>
      <c r="G2145">
        <f>IF(F2145="",0,1)</f>
        <v/>
      </c>
      <c r="H2145" s="29">
        <f>IF(F2145="","",INDEX(Deals!$E$2:$E$843,F2145))</f>
        <v/>
      </c>
      <c r="I2145">
        <f>IF(F2145="","",INDEX(Deals!$D$2:$D$843,F2145))</f>
        <v/>
      </c>
      <c r="J2145">
        <f>IF(F2145="","",INT(H2145)-B2145)</f>
        <v/>
      </c>
      <c r="K2145">
        <f>IF(B2145&gt;=Settings!$C$5,1,0)</f>
        <v/>
      </c>
    </row>
    <row r="2146">
      <c r="A2146" t="inlineStr">
        <is>
          <t>1e4cb2e03f2f23188afd6326c1ccd15b</t>
        </is>
      </c>
      <c r="B2146" s="29" t="n">
        <v>43004</v>
      </c>
      <c r="C2146" t="inlineStr">
        <is>
          <t>2017-09</t>
        </is>
      </c>
      <c r="D2146" t="inlineStr">
        <is>
          <t>c555aa36478386fdf85a2d0ca5cd0ff8</t>
        </is>
      </c>
      <c r="E2146" t="inlineStr">
        <is>
          <t>organic_search</t>
        </is>
      </c>
      <c r="F2146">
        <f>IFERROR(MATCH(A2146,Deals!$A$2:$A$843,0),"")</f>
        <v/>
      </c>
      <c r="G2146">
        <f>IF(F2146="",0,1)</f>
        <v/>
      </c>
      <c r="H2146" s="29">
        <f>IF(F2146="","",INDEX(Deals!$E$2:$E$843,F2146))</f>
        <v/>
      </c>
      <c r="I2146">
        <f>IF(F2146="","",INDEX(Deals!$D$2:$D$843,F2146))</f>
        <v/>
      </c>
      <c r="J2146">
        <f>IF(F2146="","",INT(H2146)-B2146)</f>
        <v/>
      </c>
      <c r="K2146">
        <f>IF(B2146&gt;=Settings!$C$5,1,0)</f>
        <v/>
      </c>
    </row>
    <row r="2147">
      <c r="A2147" t="inlineStr">
        <is>
          <t>5117923acfec808f84c1108340268328</t>
        </is>
      </c>
      <c r="B2147" s="29" t="n">
        <v>43181</v>
      </c>
      <c r="C2147" t="inlineStr">
        <is>
          <t>2018-03</t>
        </is>
      </c>
      <c r="D2147" t="inlineStr">
        <is>
          <t>2f08471dfb83baef522f952438a36f6e</t>
        </is>
      </c>
      <c r="E2147" t="inlineStr">
        <is>
          <t>organic_search</t>
        </is>
      </c>
      <c r="F2147">
        <f>IFERROR(MATCH(A2147,Deals!$A$2:$A$843,0),"")</f>
        <v/>
      </c>
      <c r="G2147">
        <f>IF(F2147="",0,1)</f>
        <v/>
      </c>
      <c r="H2147" s="29">
        <f>IF(F2147="","",INDEX(Deals!$E$2:$E$843,F2147))</f>
        <v/>
      </c>
      <c r="I2147">
        <f>IF(F2147="","",INDEX(Deals!$D$2:$D$843,F2147))</f>
        <v/>
      </c>
      <c r="J2147">
        <f>IF(F2147="","",INT(H2147)-B2147)</f>
        <v/>
      </c>
      <c r="K2147">
        <f>IF(B2147&gt;=Settings!$C$5,1,0)</f>
        <v/>
      </c>
    </row>
    <row r="2148">
      <c r="A2148" t="inlineStr">
        <is>
          <t>31415e86b6cfa88ee7580b08922c0dca</t>
        </is>
      </c>
      <c r="B2148" s="29" t="n">
        <v>43220</v>
      </c>
      <c r="C2148" t="inlineStr">
        <is>
          <t>2018-04</t>
        </is>
      </c>
      <c r="D2148" t="inlineStr">
        <is>
          <t>58326e62183c14b0c03085c33b9fdc44</t>
        </is>
      </c>
      <c r="E2148" t="inlineStr">
        <is>
          <t>social</t>
        </is>
      </c>
      <c r="F2148">
        <f>IFERROR(MATCH(A2148,Deals!$A$2:$A$843,0),"")</f>
        <v/>
      </c>
      <c r="G2148">
        <f>IF(F2148="",0,1)</f>
        <v/>
      </c>
      <c r="H2148" s="29">
        <f>IF(F2148="","",INDEX(Deals!$E$2:$E$843,F2148))</f>
        <v/>
      </c>
      <c r="I2148">
        <f>IF(F2148="","",INDEX(Deals!$D$2:$D$843,F2148))</f>
        <v/>
      </c>
      <c r="J2148">
        <f>IF(F2148="","",INT(H2148)-B2148)</f>
        <v/>
      </c>
      <c r="K2148">
        <f>IF(B2148&gt;=Settings!$C$5,1,0)</f>
        <v/>
      </c>
    </row>
    <row r="2149">
      <c r="A2149" t="inlineStr">
        <is>
          <t>c6a16e20d228020b3e2f28d3ba692399</t>
        </is>
      </c>
      <c r="B2149" s="29" t="n">
        <v>43126</v>
      </c>
      <c r="C2149" t="inlineStr">
        <is>
          <t>2018-01</t>
        </is>
      </c>
      <c r="D2149" t="inlineStr">
        <is>
          <t>c6f28f804cf6330e6de735ef6e6fe95c</t>
        </is>
      </c>
      <c r="E2149" t="inlineStr">
        <is>
          <t>organic_search</t>
        </is>
      </c>
      <c r="F2149">
        <f>IFERROR(MATCH(A2149,Deals!$A$2:$A$843,0),"")</f>
        <v/>
      </c>
      <c r="G2149">
        <f>IF(F2149="",0,1)</f>
        <v/>
      </c>
      <c r="H2149" s="29">
        <f>IF(F2149="","",INDEX(Deals!$E$2:$E$843,F2149))</f>
        <v/>
      </c>
      <c r="I2149">
        <f>IF(F2149="","",INDEX(Deals!$D$2:$D$843,F2149))</f>
        <v/>
      </c>
      <c r="J2149">
        <f>IF(F2149="","",INT(H2149)-B2149)</f>
        <v/>
      </c>
      <c r="K2149">
        <f>IF(B2149&gt;=Settings!$C$5,1,0)</f>
        <v/>
      </c>
    </row>
    <row r="2150">
      <c r="A2150" t="inlineStr">
        <is>
          <t>4e12a64387b9e833d5a82b5ce26b4a50</t>
        </is>
      </c>
      <c r="B2150" s="29" t="n">
        <v>42963</v>
      </c>
      <c r="C2150" t="inlineStr">
        <is>
          <t>2017-08</t>
        </is>
      </c>
      <c r="D2150" t="inlineStr">
        <is>
          <t>f017be4dbf86243af5c1ebed0cff36a2</t>
        </is>
      </c>
      <c r="E2150" t="inlineStr">
        <is>
          <t>organic_search</t>
        </is>
      </c>
      <c r="F2150">
        <f>IFERROR(MATCH(A2150,Deals!$A$2:$A$843,0),"")</f>
        <v/>
      </c>
      <c r="G2150">
        <f>IF(F2150="",0,1)</f>
        <v/>
      </c>
      <c r="H2150" s="29">
        <f>IF(F2150="","",INDEX(Deals!$E$2:$E$843,F2150))</f>
        <v/>
      </c>
      <c r="I2150">
        <f>IF(F2150="","",INDEX(Deals!$D$2:$D$843,F2150))</f>
        <v/>
      </c>
      <c r="J2150">
        <f>IF(F2150="","",INT(H2150)-B2150)</f>
        <v/>
      </c>
      <c r="K2150">
        <f>IF(B2150&gt;=Settings!$C$5,1,0)</f>
        <v/>
      </c>
    </row>
    <row r="2151">
      <c r="A2151" t="inlineStr">
        <is>
          <t>0de705dc7d8026cc9b2128b775e4c35e</t>
        </is>
      </c>
      <c r="B2151" s="29" t="n">
        <v>42948</v>
      </c>
      <c r="C2151" t="inlineStr">
        <is>
          <t>2017-08</t>
        </is>
      </c>
      <c r="D2151" t="inlineStr">
        <is>
          <t>3cd2a8301d5395f21cdd3094c9eaa2f4</t>
        </is>
      </c>
      <c r="E2151" t="inlineStr">
        <is>
          <t>paid_search</t>
        </is>
      </c>
      <c r="F2151">
        <f>IFERROR(MATCH(A2151,Deals!$A$2:$A$843,0),"")</f>
        <v/>
      </c>
      <c r="G2151">
        <f>IF(F2151="",0,1)</f>
        <v/>
      </c>
      <c r="H2151" s="29">
        <f>IF(F2151="","",INDEX(Deals!$E$2:$E$843,F2151))</f>
        <v/>
      </c>
      <c r="I2151">
        <f>IF(F2151="","",INDEX(Deals!$D$2:$D$843,F2151))</f>
        <v/>
      </c>
      <c r="J2151">
        <f>IF(F2151="","",INT(H2151)-B2151)</f>
        <v/>
      </c>
      <c r="K2151">
        <f>IF(B2151&gt;=Settings!$C$5,1,0)</f>
        <v/>
      </c>
    </row>
    <row r="2152">
      <c r="A2152" t="inlineStr">
        <is>
          <t>1accc1c92278a9bc2bbc6a8002026b25</t>
        </is>
      </c>
      <c r="B2152" s="29" t="n">
        <v>43198</v>
      </c>
      <c r="C2152" t="inlineStr">
        <is>
          <t>2018-04</t>
        </is>
      </c>
      <c r="D2152" t="inlineStr">
        <is>
          <t>649b7b8b46b254497e92038d88f6ced8</t>
        </is>
      </c>
      <c r="E2152" t="inlineStr">
        <is>
          <t>social</t>
        </is>
      </c>
      <c r="F2152">
        <f>IFERROR(MATCH(A2152,Deals!$A$2:$A$843,0),"")</f>
        <v/>
      </c>
      <c r="G2152">
        <f>IF(F2152="",0,1)</f>
        <v/>
      </c>
      <c r="H2152" s="29">
        <f>IF(F2152="","",INDEX(Deals!$E$2:$E$843,F2152))</f>
        <v/>
      </c>
      <c r="I2152">
        <f>IF(F2152="","",INDEX(Deals!$D$2:$D$843,F2152))</f>
        <v/>
      </c>
      <c r="J2152">
        <f>IF(F2152="","",INT(H2152)-B2152)</f>
        <v/>
      </c>
      <c r="K2152">
        <f>IF(B2152&gt;=Settings!$C$5,1,0)</f>
        <v/>
      </c>
    </row>
    <row r="2153">
      <c r="A2153" t="inlineStr">
        <is>
          <t>74349b2e19170fe0bbb4feb6f5720c5a</t>
        </is>
      </c>
      <c r="B2153" s="29" t="n">
        <v>43012</v>
      </c>
      <c r="C2153" t="inlineStr">
        <is>
          <t>2017-10</t>
        </is>
      </c>
      <c r="D2153" t="inlineStr">
        <is>
          <t>1722481ac9e5371e5099dea226b5421d</t>
        </is>
      </c>
      <c r="E2153" t="inlineStr">
        <is>
          <t>organic_search</t>
        </is>
      </c>
      <c r="F2153">
        <f>IFERROR(MATCH(A2153,Deals!$A$2:$A$843,0),"")</f>
        <v/>
      </c>
      <c r="G2153">
        <f>IF(F2153="",0,1)</f>
        <v/>
      </c>
      <c r="H2153" s="29">
        <f>IF(F2153="","",INDEX(Deals!$E$2:$E$843,F2153))</f>
        <v/>
      </c>
      <c r="I2153">
        <f>IF(F2153="","",INDEX(Deals!$D$2:$D$843,F2153))</f>
        <v/>
      </c>
      <c r="J2153">
        <f>IF(F2153="","",INT(H2153)-B2153)</f>
        <v/>
      </c>
      <c r="K2153">
        <f>IF(B2153&gt;=Settings!$C$5,1,0)</f>
        <v/>
      </c>
    </row>
    <row r="2154">
      <c r="A2154" t="inlineStr">
        <is>
          <t>0c239762d3a80dad4458be9d4540ba95</t>
        </is>
      </c>
      <c r="B2154" s="29" t="n">
        <v>43235</v>
      </c>
      <c r="C2154" t="inlineStr">
        <is>
          <t>2018-05</t>
        </is>
      </c>
      <c r="D2154" t="inlineStr">
        <is>
          <t>0f25be78376bbbaba8553051e980b83c</t>
        </is>
      </c>
      <c r="E2154" t="inlineStr">
        <is>
          <t>organic_search</t>
        </is>
      </c>
      <c r="F2154">
        <f>IFERROR(MATCH(A2154,Deals!$A$2:$A$843,0),"")</f>
        <v/>
      </c>
      <c r="G2154">
        <f>IF(F2154="",0,1)</f>
        <v/>
      </c>
      <c r="H2154" s="29">
        <f>IF(F2154="","",INDEX(Deals!$E$2:$E$843,F2154))</f>
        <v/>
      </c>
      <c r="I2154">
        <f>IF(F2154="","",INDEX(Deals!$D$2:$D$843,F2154))</f>
        <v/>
      </c>
      <c r="J2154">
        <f>IF(F2154="","",INT(H2154)-B2154)</f>
        <v/>
      </c>
      <c r="K2154">
        <f>IF(B2154&gt;=Settings!$C$5,1,0)</f>
        <v/>
      </c>
    </row>
    <row r="2155">
      <c r="A2155" t="inlineStr">
        <is>
          <t>508cfab9631f5b501a9991a62d93b669</t>
        </is>
      </c>
      <c r="B2155" s="29" t="n">
        <v>43244</v>
      </c>
      <c r="C2155" t="inlineStr">
        <is>
          <t>2018-05</t>
        </is>
      </c>
      <c r="D2155" t="inlineStr">
        <is>
          <t>32d0cd3623c4eab3ededbe84943049d2</t>
        </is>
      </c>
      <c r="E2155" t="inlineStr">
        <is>
          <t>organic_search</t>
        </is>
      </c>
      <c r="F2155">
        <f>IFERROR(MATCH(A2155,Deals!$A$2:$A$843,0),"")</f>
        <v/>
      </c>
      <c r="G2155">
        <f>IF(F2155="",0,1)</f>
        <v/>
      </c>
      <c r="H2155" s="29">
        <f>IF(F2155="","",INDEX(Deals!$E$2:$E$843,F2155))</f>
        <v/>
      </c>
      <c r="I2155">
        <f>IF(F2155="","",INDEX(Deals!$D$2:$D$843,F2155))</f>
        <v/>
      </c>
      <c r="J2155">
        <f>IF(F2155="","",INT(H2155)-B2155)</f>
        <v/>
      </c>
      <c r="K2155">
        <f>IF(B2155&gt;=Settings!$C$5,1,0)</f>
        <v/>
      </c>
    </row>
    <row r="2156">
      <c r="A2156" t="inlineStr">
        <is>
          <t>11354ac67b0edf60148085d3567844a5</t>
        </is>
      </c>
      <c r="B2156" s="29" t="n">
        <v>43196</v>
      </c>
      <c r="C2156" t="inlineStr">
        <is>
          <t>2018-04</t>
        </is>
      </c>
      <c r="D2156" t="inlineStr">
        <is>
          <t>22c29808c4f815213303f8933030604c</t>
        </is>
      </c>
      <c r="E2156" t="inlineStr">
        <is>
          <t>unknown</t>
        </is>
      </c>
      <c r="F2156">
        <f>IFERROR(MATCH(A2156,Deals!$A$2:$A$843,0),"")</f>
        <v/>
      </c>
      <c r="G2156">
        <f>IF(F2156="",0,1)</f>
        <v/>
      </c>
      <c r="H2156" s="29">
        <f>IF(F2156="","",INDEX(Deals!$E$2:$E$843,F2156))</f>
        <v/>
      </c>
      <c r="I2156">
        <f>IF(F2156="","",INDEX(Deals!$D$2:$D$843,F2156))</f>
        <v/>
      </c>
      <c r="J2156">
        <f>IF(F2156="","",INT(H2156)-B2156)</f>
        <v/>
      </c>
      <c r="K2156">
        <f>IF(B2156&gt;=Settings!$C$5,1,0)</f>
        <v/>
      </c>
    </row>
    <row r="2157">
      <c r="A2157" t="inlineStr">
        <is>
          <t>4e342d4579c83b48ac6b9ed83a646fcb</t>
        </is>
      </c>
      <c r="B2157" s="29" t="n">
        <v>43102</v>
      </c>
      <c r="C2157" t="inlineStr">
        <is>
          <t>2018-01</t>
        </is>
      </c>
      <c r="D2157" t="inlineStr">
        <is>
          <t>270c9837c3b21fb83bee9224f701f3aa</t>
        </is>
      </c>
      <c r="E2157" t="inlineStr">
        <is>
          <t>organic_search</t>
        </is>
      </c>
      <c r="F2157">
        <f>IFERROR(MATCH(A2157,Deals!$A$2:$A$843,0),"")</f>
        <v/>
      </c>
      <c r="G2157">
        <f>IF(F2157="",0,1)</f>
        <v/>
      </c>
      <c r="H2157" s="29">
        <f>IF(F2157="","",INDEX(Deals!$E$2:$E$843,F2157))</f>
        <v/>
      </c>
      <c r="I2157">
        <f>IF(F2157="","",INDEX(Deals!$D$2:$D$843,F2157))</f>
        <v/>
      </c>
      <c r="J2157">
        <f>IF(F2157="","",INT(H2157)-B2157)</f>
        <v/>
      </c>
      <c r="K2157">
        <f>IF(B2157&gt;=Settings!$C$5,1,0)</f>
        <v/>
      </c>
    </row>
    <row r="2158">
      <c r="A2158" t="inlineStr">
        <is>
          <t>7cd26db58f0de31308f6954245630c03</t>
        </is>
      </c>
      <c r="B2158" s="29" t="n">
        <v>43115</v>
      </c>
      <c r="C2158" t="inlineStr">
        <is>
          <t>2018-01</t>
        </is>
      </c>
      <c r="D2158" t="inlineStr">
        <is>
          <t>22c29808c4f815213303f8933030604c</t>
        </is>
      </c>
      <c r="E2158" t="inlineStr">
        <is>
          <t>organic_search</t>
        </is>
      </c>
      <c r="F2158">
        <f>IFERROR(MATCH(A2158,Deals!$A$2:$A$843,0),"")</f>
        <v/>
      </c>
      <c r="G2158">
        <f>IF(F2158="",0,1)</f>
        <v/>
      </c>
      <c r="H2158" s="29">
        <f>IF(F2158="","",INDEX(Deals!$E$2:$E$843,F2158))</f>
        <v/>
      </c>
      <c r="I2158">
        <f>IF(F2158="","",INDEX(Deals!$D$2:$D$843,F2158))</f>
        <v/>
      </c>
      <c r="J2158">
        <f>IF(F2158="","",INT(H2158)-B2158)</f>
        <v/>
      </c>
      <c r="K2158">
        <f>IF(B2158&gt;=Settings!$C$5,1,0)</f>
        <v/>
      </c>
    </row>
    <row r="2159">
      <c r="A2159" t="inlineStr">
        <is>
          <t>52a6b7e16cac1d84b4e832c1aa0005e3</t>
        </is>
      </c>
      <c r="B2159" s="29" t="n">
        <v>42998</v>
      </c>
      <c r="C2159" t="inlineStr">
        <is>
          <t>2017-09</t>
        </is>
      </c>
      <c r="D2159" t="inlineStr">
        <is>
          <t>007f9098284a86ee80ddeb25d53e0af8</t>
        </is>
      </c>
      <c r="E2159" t="inlineStr">
        <is>
          <t>paid_search</t>
        </is>
      </c>
      <c r="F2159">
        <f>IFERROR(MATCH(A2159,Deals!$A$2:$A$843,0),"")</f>
        <v/>
      </c>
      <c r="G2159">
        <f>IF(F2159="",0,1)</f>
        <v/>
      </c>
      <c r="H2159" s="29">
        <f>IF(F2159="","",INDEX(Deals!$E$2:$E$843,F2159))</f>
        <v/>
      </c>
      <c r="I2159">
        <f>IF(F2159="","",INDEX(Deals!$D$2:$D$843,F2159))</f>
        <v/>
      </c>
      <c r="J2159">
        <f>IF(F2159="","",INT(H2159)-B2159)</f>
        <v/>
      </c>
      <c r="K2159">
        <f>IF(B2159&gt;=Settings!$C$5,1,0)</f>
        <v/>
      </c>
    </row>
    <row r="2160">
      <c r="A2160" t="inlineStr">
        <is>
          <t>44e67a303e887000a5489eeece7f6d14</t>
        </is>
      </c>
      <c r="B2160" s="29" t="n">
        <v>43155</v>
      </c>
      <c r="C2160" t="inlineStr">
        <is>
          <t>2018-02</t>
        </is>
      </c>
      <c r="D2160" t="inlineStr">
        <is>
          <t>bdaeb752e5c3caa215ebe04c61e22325</t>
        </is>
      </c>
      <c r="E2160" t="inlineStr">
        <is>
          <t>organic_search</t>
        </is>
      </c>
      <c r="F2160">
        <f>IFERROR(MATCH(A2160,Deals!$A$2:$A$843,0),"")</f>
        <v/>
      </c>
      <c r="G2160">
        <f>IF(F2160="",0,1)</f>
        <v/>
      </c>
      <c r="H2160" s="29">
        <f>IF(F2160="","",INDEX(Deals!$E$2:$E$843,F2160))</f>
        <v/>
      </c>
      <c r="I2160">
        <f>IF(F2160="","",INDEX(Deals!$D$2:$D$843,F2160))</f>
        <v/>
      </c>
      <c r="J2160">
        <f>IF(F2160="","",INT(H2160)-B2160)</f>
        <v/>
      </c>
      <c r="K2160">
        <f>IF(B2160&gt;=Settings!$C$5,1,0)</f>
        <v/>
      </c>
    </row>
    <row r="2161">
      <c r="A2161" t="inlineStr">
        <is>
          <t>0283baf7c9ff556f467ccc5d6b41740c</t>
        </is>
      </c>
      <c r="B2161" s="29" t="n">
        <v>43158</v>
      </c>
      <c r="C2161" t="inlineStr">
        <is>
          <t>2018-02</t>
        </is>
      </c>
      <c r="D2161" t="inlineStr">
        <is>
          <t>0e5a178e3cd2368607f3e72f46140476</t>
        </is>
      </c>
      <c r="E2161" t="inlineStr">
        <is>
          <t>unknown</t>
        </is>
      </c>
      <c r="F2161">
        <f>IFERROR(MATCH(A2161,Deals!$A$2:$A$843,0),"")</f>
        <v/>
      </c>
      <c r="G2161">
        <f>IF(F2161="",0,1)</f>
        <v/>
      </c>
      <c r="H2161" s="29">
        <f>IF(F2161="","",INDEX(Deals!$E$2:$E$843,F2161))</f>
        <v/>
      </c>
      <c r="I2161">
        <f>IF(F2161="","",INDEX(Deals!$D$2:$D$843,F2161))</f>
        <v/>
      </c>
      <c r="J2161">
        <f>IF(F2161="","",INT(H2161)-B2161)</f>
        <v/>
      </c>
      <c r="K2161">
        <f>IF(B2161&gt;=Settings!$C$5,1,0)</f>
        <v/>
      </c>
    </row>
    <row r="2162">
      <c r="A2162" t="inlineStr">
        <is>
          <t>4e902e89b55e2b76c93ed971cf8fda92</t>
        </is>
      </c>
      <c r="B2162" s="29" t="n">
        <v>43153</v>
      </c>
      <c r="C2162" t="inlineStr">
        <is>
          <t>2018-02</t>
        </is>
      </c>
      <c r="D2162" t="inlineStr">
        <is>
          <t>b76ef37428e6799c421989521c0e5077</t>
        </is>
      </c>
      <c r="E2162" t="inlineStr">
        <is>
          <t>organic_search</t>
        </is>
      </c>
      <c r="F2162">
        <f>IFERROR(MATCH(A2162,Deals!$A$2:$A$843,0),"")</f>
        <v/>
      </c>
      <c r="G2162">
        <f>IF(F2162="",0,1)</f>
        <v/>
      </c>
      <c r="H2162" s="29">
        <f>IF(F2162="","",INDEX(Deals!$E$2:$E$843,F2162))</f>
        <v/>
      </c>
      <c r="I2162">
        <f>IF(F2162="","",INDEX(Deals!$D$2:$D$843,F2162))</f>
        <v/>
      </c>
      <c r="J2162">
        <f>IF(F2162="","",INT(H2162)-B2162)</f>
        <v/>
      </c>
      <c r="K2162">
        <f>IF(B2162&gt;=Settings!$C$5,1,0)</f>
        <v/>
      </c>
    </row>
    <row r="2163">
      <c r="A2163" t="inlineStr">
        <is>
          <t>0e327f32dbb22d433600688b7e9af0db</t>
        </is>
      </c>
      <c r="B2163" s="29" t="n">
        <v>43245</v>
      </c>
      <c r="C2163" t="inlineStr">
        <is>
          <t>2018-05</t>
        </is>
      </c>
      <c r="D2163" t="inlineStr">
        <is>
          <t>40dec9f3d5259a3d2dbcdab2114fae47</t>
        </is>
      </c>
      <c r="E2163" t="inlineStr">
        <is>
          <t>paid_search</t>
        </is>
      </c>
      <c r="F2163">
        <f>IFERROR(MATCH(A2163,Deals!$A$2:$A$843,0),"")</f>
        <v/>
      </c>
      <c r="G2163">
        <f>IF(F2163="",0,1)</f>
        <v/>
      </c>
      <c r="H2163" s="29">
        <f>IF(F2163="","",INDEX(Deals!$E$2:$E$843,F2163))</f>
        <v/>
      </c>
      <c r="I2163">
        <f>IF(F2163="","",INDEX(Deals!$D$2:$D$843,F2163))</f>
        <v/>
      </c>
      <c r="J2163">
        <f>IF(F2163="","",INT(H2163)-B2163)</f>
        <v/>
      </c>
      <c r="K2163">
        <f>IF(B2163&gt;=Settings!$C$5,1,0)</f>
        <v/>
      </c>
    </row>
    <row r="2164">
      <c r="A2164" t="inlineStr">
        <is>
          <t>8e0f5a9efbf3ad58606380abe0decf95</t>
        </is>
      </c>
      <c r="B2164" s="29" t="n">
        <v>43165</v>
      </c>
      <c r="C2164" t="inlineStr">
        <is>
          <t>2018-03</t>
        </is>
      </c>
      <c r="D2164" t="inlineStr">
        <is>
          <t>f017be4dbf86243af5c1ebed0cff36a2</t>
        </is>
      </c>
      <c r="E2164" t="inlineStr">
        <is>
          <t>organic_search</t>
        </is>
      </c>
      <c r="F2164">
        <f>IFERROR(MATCH(A2164,Deals!$A$2:$A$843,0),"")</f>
        <v/>
      </c>
      <c r="G2164">
        <f>IF(F2164="",0,1)</f>
        <v/>
      </c>
      <c r="H2164" s="29">
        <f>IF(F2164="","",INDEX(Deals!$E$2:$E$843,F2164))</f>
        <v/>
      </c>
      <c r="I2164">
        <f>IF(F2164="","",INDEX(Deals!$D$2:$D$843,F2164))</f>
        <v/>
      </c>
      <c r="J2164">
        <f>IF(F2164="","",INT(H2164)-B2164)</f>
        <v/>
      </c>
      <c r="K2164">
        <f>IF(B2164&gt;=Settings!$C$5,1,0)</f>
        <v/>
      </c>
    </row>
    <row r="2165">
      <c r="A2165" t="inlineStr">
        <is>
          <t>95167ae279a3d7d96f8b54e6e97cc3e6</t>
        </is>
      </c>
      <c r="B2165" s="29" t="n">
        <v>43228</v>
      </c>
      <c r="C2165" t="inlineStr">
        <is>
          <t>2018-05</t>
        </is>
      </c>
      <c r="D2165" t="inlineStr">
        <is>
          <t>b76ef37428e6799c421989521c0e5077</t>
        </is>
      </c>
      <c r="E2165" t="inlineStr">
        <is>
          <t>unknown</t>
        </is>
      </c>
      <c r="F2165">
        <f>IFERROR(MATCH(A2165,Deals!$A$2:$A$843,0),"")</f>
        <v/>
      </c>
      <c r="G2165">
        <f>IF(F2165="",0,1)</f>
        <v/>
      </c>
      <c r="H2165" s="29">
        <f>IF(F2165="","",INDEX(Deals!$E$2:$E$843,F2165))</f>
        <v/>
      </c>
      <c r="I2165">
        <f>IF(F2165="","",INDEX(Deals!$D$2:$D$843,F2165))</f>
        <v/>
      </c>
      <c r="J2165">
        <f>IF(F2165="","",INT(H2165)-B2165)</f>
        <v/>
      </c>
      <c r="K2165">
        <f>IF(B2165&gt;=Settings!$C$5,1,0)</f>
        <v/>
      </c>
    </row>
    <row r="2166">
      <c r="A2166" t="inlineStr">
        <is>
          <t>cd84d9ba87f839044df81b56aa7667f3</t>
        </is>
      </c>
      <c r="B2166" s="29" t="n">
        <v>42987</v>
      </c>
      <c r="C2166" t="inlineStr">
        <is>
          <t>2017-09</t>
        </is>
      </c>
      <c r="D2166" t="inlineStr">
        <is>
          <t>87732658ba41d8775e8577df347a64db</t>
        </is>
      </c>
      <c r="E2166" t="inlineStr">
        <is>
          <t>social</t>
        </is>
      </c>
      <c r="F2166">
        <f>IFERROR(MATCH(A2166,Deals!$A$2:$A$843,0),"")</f>
        <v/>
      </c>
      <c r="G2166">
        <f>IF(F2166="",0,1)</f>
        <v/>
      </c>
      <c r="H2166" s="29">
        <f>IF(F2166="","",INDEX(Deals!$E$2:$E$843,F2166))</f>
        <v/>
      </c>
      <c r="I2166">
        <f>IF(F2166="","",INDEX(Deals!$D$2:$D$843,F2166))</f>
        <v/>
      </c>
      <c r="J2166">
        <f>IF(F2166="","",INT(H2166)-B2166)</f>
        <v/>
      </c>
      <c r="K2166">
        <f>IF(B2166&gt;=Settings!$C$5,1,0)</f>
        <v/>
      </c>
    </row>
    <row r="2167">
      <c r="A2167" t="inlineStr">
        <is>
          <t>1c1487a542f4b4c0b2f14890514f178b</t>
        </is>
      </c>
      <c r="B2167" s="29" t="n">
        <v>43169</v>
      </c>
      <c r="C2167" t="inlineStr">
        <is>
          <t>2018-03</t>
        </is>
      </c>
      <c r="D2167" t="inlineStr">
        <is>
          <t>88740e65d5d6b056e0cda098e1ea6313</t>
        </is>
      </c>
      <c r="E2167" t="inlineStr">
        <is>
          <t>social</t>
        </is>
      </c>
      <c r="F2167">
        <f>IFERROR(MATCH(A2167,Deals!$A$2:$A$843,0),"")</f>
        <v/>
      </c>
      <c r="G2167">
        <f>IF(F2167="",0,1)</f>
        <v/>
      </c>
      <c r="H2167" s="29">
        <f>IF(F2167="","",INDEX(Deals!$E$2:$E$843,F2167))</f>
        <v/>
      </c>
      <c r="I2167">
        <f>IF(F2167="","",INDEX(Deals!$D$2:$D$843,F2167))</f>
        <v/>
      </c>
      <c r="J2167">
        <f>IF(F2167="","",INT(H2167)-B2167)</f>
        <v/>
      </c>
      <c r="K2167">
        <f>IF(B2167&gt;=Settings!$C$5,1,0)</f>
        <v/>
      </c>
    </row>
    <row r="2168">
      <c r="A2168" t="inlineStr">
        <is>
          <t>0a70b4e9e53d81c726eb245123e2b384</t>
        </is>
      </c>
      <c r="B2168" s="29" t="n">
        <v>43214</v>
      </c>
      <c r="C2168" t="inlineStr">
        <is>
          <t>2018-04</t>
        </is>
      </c>
      <c r="D2168" t="inlineStr">
        <is>
          <t>58326e62183c14b0c03085c33b9fdc44</t>
        </is>
      </c>
      <c r="E2168" t="inlineStr">
        <is>
          <t>social</t>
        </is>
      </c>
      <c r="F2168">
        <f>IFERROR(MATCH(A2168,Deals!$A$2:$A$843,0),"")</f>
        <v/>
      </c>
      <c r="G2168">
        <f>IF(F2168="",0,1)</f>
        <v/>
      </c>
      <c r="H2168" s="29">
        <f>IF(F2168="","",INDEX(Deals!$E$2:$E$843,F2168))</f>
        <v/>
      </c>
      <c r="I2168">
        <f>IF(F2168="","",INDEX(Deals!$D$2:$D$843,F2168))</f>
        <v/>
      </c>
      <c r="J2168">
        <f>IF(F2168="","",INT(H2168)-B2168)</f>
        <v/>
      </c>
      <c r="K2168">
        <f>IF(B2168&gt;=Settings!$C$5,1,0)</f>
        <v/>
      </c>
    </row>
    <row r="2169">
      <c r="A2169" t="inlineStr">
        <is>
          <t>69a4241986721658eb6237d56c1b8abc</t>
        </is>
      </c>
      <c r="B2169" s="29" t="n">
        <v>43137</v>
      </c>
      <c r="C2169" t="inlineStr">
        <is>
          <t>2018-02</t>
        </is>
      </c>
      <c r="D2169" t="inlineStr">
        <is>
          <t>b76ef37428e6799c421989521c0e5077</t>
        </is>
      </c>
      <c r="E2169" t="inlineStr">
        <is>
          <t>email</t>
        </is>
      </c>
      <c r="F2169">
        <f>IFERROR(MATCH(A2169,Deals!$A$2:$A$843,0),"")</f>
        <v/>
      </c>
      <c r="G2169">
        <f>IF(F2169="",0,1)</f>
        <v/>
      </c>
      <c r="H2169" s="29">
        <f>IF(F2169="","",INDEX(Deals!$E$2:$E$843,F2169))</f>
        <v/>
      </c>
      <c r="I2169">
        <f>IF(F2169="","",INDEX(Deals!$D$2:$D$843,F2169))</f>
        <v/>
      </c>
      <c r="J2169">
        <f>IF(F2169="","",INT(H2169)-B2169)</f>
        <v/>
      </c>
      <c r="K2169">
        <f>IF(B2169&gt;=Settings!$C$5,1,0)</f>
        <v/>
      </c>
    </row>
    <row r="2170">
      <c r="A2170" t="inlineStr">
        <is>
          <t>9f365ac1b27ce95a3f99bdcc68420756</t>
        </is>
      </c>
      <c r="B2170" s="29" t="n">
        <v>42955</v>
      </c>
      <c r="C2170" t="inlineStr">
        <is>
          <t>2017-08</t>
        </is>
      </c>
      <c r="D2170" t="inlineStr">
        <is>
          <t>87732658ba41d8775e8577df347a64db</t>
        </is>
      </c>
      <c r="E2170" t="inlineStr">
        <is>
          <t>social</t>
        </is>
      </c>
      <c r="F2170">
        <f>IFERROR(MATCH(A2170,Deals!$A$2:$A$843,0),"")</f>
        <v/>
      </c>
      <c r="G2170">
        <f>IF(F2170="",0,1)</f>
        <v/>
      </c>
      <c r="H2170" s="29">
        <f>IF(F2170="","",INDEX(Deals!$E$2:$E$843,F2170))</f>
        <v/>
      </c>
      <c r="I2170">
        <f>IF(F2170="","",INDEX(Deals!$D$2:$D$843,F2170))</f>
        <v/>
      </c>
      <c r="J2170">
        <f>IF(F2170="","",INT(H2170)-B2170)</f>
        <v/>
      </c>
      <c r="K2170">
        <f>IF(B2170&gt;=Settings!$C$5,1,0)</f>
        <v/>
      </c>
    </row>
    <row r="2171">
      <c r="A2171" t="inlineStr">
        <is>
          <t>d805b3977c018e4f8d30c5e6b0e59b42</t>
        </is>
      </c>
      <c r="B2171" s="29" t="n">
        <v>43130</v>
      </c>
      <c r="C2171" t="inlineStr">
        <is>
          <t>2018-01</t>
        </is>
      </c>
      <c r="D2171" t="inlineStr">
        <is>
          <t>40dec9f3d5259a3d2dbcdab2114fae47</t>
        </is>
      </c>
      <c r="E2171" t="inlineStr">
        <is>
          <t>referral</t>
        </is>
      </c>
      <c r="F2171">
        <f>IFERROR(MATCH(A2171,Deals!$A$2:$A$843,0),"")</f>
        <v/>
      </c>
      <c r="G2171">
        <f>IF(F2171="",0,1)</f>
        <v/>
      </c>
      <c r="H2171" s="29">
        <f>IF(F2171="","",INDEX(Deals!$E$2:$E$843,F2171))</f>
        <v/>
      </c>
      <c r="I2171">
        <f>IF(F2171="","",INDEX(Deals!$D$2:$D$843,F2171))</f>
        <v/>
      </c>
      <c r="J2171">
        <f>IF(F2171="","",INT(H2171)-B2171)</f>
        <v/>
      </c>
      <c r="K2171">
        <f>IF(B2171&gt;=Settings!$C$5,1,0)</f>
        <v/>
      </c>
    </row>
    <row r="2172">
      <c r="A2172" t="inlineStr">
        <is>
          <t>d4d2775cb2a95db2d267b98def4c3e6b</t>
        </is>
      </c>
      <c r="B2172" s="29" t="n">
        <v>43048</v>
      </c>
      <c r="C2172" t="inlineStr">
        <is>
          <t>2017-11</t>
        </is>
      </c>
      <c r="D2172" t="inlineStr">
        <is>
          <t>88740e65d5d6b056e0cda098e1ea6313</t>
        </is>
      </c>
      <c r="E2172" t="inlineStr">
        <is>
          <t>social</t>
        </is>
      </c>
      <c r="F2172">
        <f>IFERROR(MATCH(A2172,Deals!$A$2:$A$843,0),"")</f>
        <v/>
      </c>
      <c r="G2172">
        <f>IF(F2172="",0,1)</f>
        <v/>
      </c>
      <c r="H2172" s="29">
        <f>IF(F2172="","",INDEX(Deals!$E$2:$E$843,F2172))</f>
        <v/>
      </c>
      <c r="I2172">
        <f>IF(F2172="","",INDEX(Deals!$D$2:$D$843,F2172))</f>
        <v/>
      </c>
      <c r="J2172">
        <f>IF(F2172="","",INT(H2172)-B2172)</f>
        <v/>
      </c>
      <c r="K2172">
        <f>IF(B2172&gt;=Settings!$C$5,1,0)</f>
        <v/>
      </c>
    </row>
    <row r="2173">
      <c r="A2173" t="inlineStr">
        <is>
          <t>1da76f4e60189995aa60cc1d19993ae9</t>
        </is>
      </c>
      <c r="B2173" s="29" t="n">
        <v>42967</v>
      </c>
      <c r="C2173" t="inlineStr">
        <is>
          <t>2017-08</t>
        </is>
      </c>
      <c r="D2173" t="inlineStr">
        <is>
          <t>87732658ba41d8775e8577df347a64db</t>
        </is>
      </c>
      <c r="E2173" t="inlineStr">
        <is>
          <t>social</t>
        </is>
      </c>
      <c r="F2173">
        <f>IFERROR(MATCH(A2173,Deals!$A$2:$A$843,0),"")</f>
        <v/>
      </c>
      <c r="G2173">
        <f>IF(F2173="",0,1)</f>
        <v/>
      </c>
      <c r="H2173" s="29">
        <f>IF(F2173="","",INDEX(Deals!$E$2:$E$843,F2173))</f>
        <v/>
      </c>
      <c r="I2173">
        <f>IF(F2173="","",INDEX(Deals!$D$2:$D$843,F2173))</f>
        <v/>
      </c>
      <c r="J2173">
        <f>IF(F2173="","",INT(H2173)-B2173)</f>
        <v/>
      </c>
      <c r="K2173">
        <f>IF(B2173&gt;=Settings!$C$5,1,0)</f>
        <v/>
      </c>
    </row>
    <row r="2174">
      <c r="A2174" t="inlineStr">
        <is>
          <t>cc0e12fa2fbc6425a7a810921be3eac3</t>
        </is>
      </c>
      <c r="B2174" s="29" t="n">
        <v>43237</v>
      </c>
      <c r="C2174" t="inlineStr">
        <is>
          <t>2018-05</t>
        </is>
      </c>
      <c r="D2174" t="inlineStr">
        <is>
          <t>e42a14209c69c3e9cc6b042620465f12</t>
        </is>
      </c>
      <c r="E2174" t="inlineStr">
        <is>
          <t>email</t>
        </is>
      </c>
      <c r="F2174">
        <f>IFERROR(MATCH(A2174,Deals!$A$2:$A$843,0),"")</f>
        <v/>
      </c>
      <c r="G2174">
        <f>IF(F2174="",0,1)</f>
        <v/>
      </c>
      <c r="H2174" s="29">
        <f>IF(F2174="","",INDEX(Deals!$E$2:$E$843,F2174))</f>
        <v/>
      </c>
      <c r="I2174">
        <f>IF(F2174="","",INDEX(Deals!$D$2:$D$843,F2174))</f>
        <v/>
      </c>
      <c r="J2174">
        <f>IF(F2174="","",INT(H2174)-B2174)</f>
        <v/>
      </c>
      <c r="K2174">
        <f>IF(B2174&gt;=Settings!$C$5,1,0)</f>
        <v/>
      </c>
    </row>
    <row r="2175">
      <c r="A2175" t="inlineStr">
        <is>
          <t>c73f4d8f3e0c84920eef1464c4c73cb8</t>
        </is>
      </c>
      <c r="B2175" s="29" t="n">
        <v>43221</v>
      </c>
      <c r="C2175" t="inlineStr">
        <is>
          <t>2018-05</t>
        </is>
      </c>
      <c r="D2175" t="inlineStr">
        <is>
          <t>5dc848e7dd9418dffe183215b8ff0bc1</t>
        </is>
      </c>
      <c r="E2175" t="inlineStr">
        <is>
          <t>paid_search</t>
        </is>
      </c>
      <c r="F2175">
        <f>IFERROR(MATCH(A2175,Deals!$A$2:$A$843,0),"")</f>
        <v/>
      </c>
      <c r="G2175">
        <f>IF(F2175="",0,1)</f>
        <v/>
      </c>
      <c r="H2175" s="29">
        <f>IF(F2175="","",INDEX(Deals!$E$2:$E$843,F2175))</f>
        <v/>
      </c>
      <c r="I2175">
        <f>IF(F2175="","",INDEX(Deals!$D$2:$D$843,F2175))</f>
        <v/>
      </c>
      <c r="J2175">
        <f>IF(F2175="","",INT(H2175)-B2175)</f>
        <v/>
      </c>
      <c r="K2175">
        <f>IF(B2175&gt;=Settings!$C$5,1,0)</f>
        <v/>
      </c>
    </row>
    <row r="2176">
      <c r="A2176" t="inlineStr">
        <is>
          <t>ce4b094fc70468917d37378c7f0175d1</t>
        </is>
      </c>
      <c r="B2176" s="29" t="n">
        <v>43127</v>
      </c>
      <c r="C2176" t="inlineStr">
        <is>
          <t>2018-01</t>
        </is>
      </c>
      <c r="D2176" t="inlineStr">
        <is>
          <t>40dec9f3d5259a3d2dbcdab2114fae47</t>
        </is>
      </c>
      <c r="E2176" t="inlineStr">
        <is>
          <t>paid_search</t>
        </is>
      </c>
      <c r="F2176">
        <f>IFERROR(MATCH(A2176,Deals!$A$2:$A$843,0),"")</f>
        <v/>
      </c>
      <c r="G2176">
        <f>IF(F2176="",0,1)</f>
        <v/>
      </c>
      <c r="H2176" s="29">
        <f>IF(F2176="","",INDEX(Deals!$E$2:$E$843,F2176))</f>
        <v/>
      </c>
      <c r="I2176">
        <f>IF(F2176="","",INDEX(Deals!$D$2:$D$843,F2176))</f>
        <v/>
      </c>
      <c r="J2176">
        <f>IF(F2176="","",INT(H2176)-B2176)</f>
        <v/>
      </c>
      <c r="K2176">
        <f>IF(B2176&gt;=Settings!$C$5,1,0)</f>
        <v/>
      </c>
    </row>
    <row r="2177">
      <c r="A2177" t="inlineStr">
        <is>
          <t>c801f0b7dfb4c99d8daeede22e16e7b6</t>
        </is>
      </c>
      <c r="B2177" s="29" t="n">
        <v>43191</v>
      </c>
      <c r="C2177" t="inlineStr">
        <is>
          <t>2018-04</t>
        </is>
      </c>
      <c r="D2177" t="inlineStr">
        <is>
          <t>22c29808c4f815213303f8933030604c</t>
        </is>
      </c>
      <c r="E2177" t="inlineStr">
        <is>
          <t>organic_search</t>
        </is>
      </c>
      <c r="F2177">
        <f>IFERROR(MATCH(A2177,Deals!$A$2:$A$843,0),"")</f>
        <v/>
      </c>
      <c r="G2177">
        <f>IF(F2177="",0,1)</f>
        <v/>
      </c>
      <c r="H2177" s="29">
        <f>IF(F2177="","",INDEX(Deals!$E$2:$E$843,F2177))</f>
        <v/>
      </c>
      <c r="I2177">
        <f>IF(F2177="","",INDEX(Deals!$D$2:$D$843,F2177))</f>
        <v/>
      </c>
      <c r="J2177">
        <f>IF(F2177="","",INT(H2177)-B2177)</f>
        <v/>
      </c>
      <c r="K2177">
        <f>IF(B2177&gt;=Settings!$C$5,1,0)</f>
        <v/>
      </c>
    </row>
    <row r="2178">
      <c r="A2178" t="inlineStr">
        <is>
          <t>bb7ec17dfd5fcce3cd424b09a7ebb688</t>
        </is>
      </c>
      <c r="B2178" s="29" t="n">
        <v>43109</v>
      </c>
      <c r="C2178" t="inlineStr">
        <is>
          <t>2018-01</t>
        </is>
      </c>
      <c r="D2178" t="inlineStr">
        <is>
          <t>40dec9f3d5259a3d2dbcdab2114fae47</t>
        </is>
      </c>
      <c r="E2178" t="inlineStr">
        <is>
          <t>paid_search</t>
        </is>
      </c>
      <c r="F2178">
        <f>IFERROR(MATCH(A2178,Deals!$A$2:$A$843,0),"")</f>
        <v/>
      </c>
      <c r="G2178">
        <f>IF(F2178="",0,1)</f>
        <v/>
      </c>
      <c r="H2178" s="29">
        <f>IF(F2178="","",INDEX(Deals!$E$2:$E$843,F2178))</f>
        <v/>
      </c>
      <c r="I2178">
        <f>IF(F2178="","",INDEX(Deals!$D$2:$D$843,F2178))</f>
        <v/>
      </c>
      <c r="J2178">
        <f>IF(F2178="","",INT(H2178)-B2178)</f>
        <v/>
      </c>
      <c r="K2178">
        <f>IF(B2178&gt;=Settings!$C$5,1,0)</f>
        <v/>
      </c>
    </row>
    <row r="2179">
      <c r="A2179" t="inlineStr">
        <is>
          <t>04d2aa72d47158c3893f1eb1b63a4d7d</t>
        </is>
      </c>
      <c r="B2179" s="29" t="n">
        <v>43129</v>
      </c>
      <c r="C2179" t="inlineStr">
        <is>
          <t>2018-01</t>
        </is>
      </c>
      <c r="D2179" t="inlineStr">
        <is>
          <t>f017be4dbf86243af5c1ebed0cff36a2</t>
        </is>
      </c>
      <c r="E2179" t="inlineStr">
        <is>
          <t>social</t>
        </is>
      </c>
      <c r="F2179">
        <f>IFERROR(MATCH(A2179,Deals!$A$2:$A$843,0),"")</f>
        <v/>
      </c>
      <c r="G2179">
        <f>IF(F2179="",0,1)</f>
        <v/>
      </c>
      <c r="H2179" s="29">
        <f>IF(F2179="","",INDEX(Deals!$E$2:$E$843,F2179))</f>
        <v/>
      </c>
      <c r="I2179">
        <f>IF(F2179="","",INDEX(Deals!$D$2:$D$843,F2179))</f>
        <v/>
      </c>
      <c r="J2179">
        <f>IF(F2179="","",INT(H2179)-B2179)</f>
        <v/>
      </c>
      <c r="K2179">
        <f>IF(B2179&gt;=Settings!$C$5,1,0)</f>
        <v/>
      </c>
    </row>
    <row r="2180">
      <c r="A2180" t="inlineStr">
        <is>
          <t>46b58cc60d2381f5329ccaef74edea93</t>
        </is>
      </c>
      <c r="B2180" s="29" t="n">
        <v>43177</v>
      </c>
      <c r="C2180" t="inlineStr">
        <is>
          <t>2018-03</t>
        </is>
      </c>
      <c r="D2180" t="inlineStr">
        <is>
          <t>c35447dcd1a50b2e2ee3184be602b597</t>
        </is>
      </c>
      <c r="E2180" t="inlineStr">
        <is>
          <t>social</t>
        </is>
      </c>
      <c r="F2180">
        <f>IFERROR(MATCH(A2180,Deals!$A$2:$A$843,0),"")</f>
        <v/>
      </c>
      <c r="G2180">
        <f>IF(F2180="",0,1)</f>
        <v/>
      </c>
      <c r="H2180" s="29">
        <f>IF(F2180="","",INDEX(Deals!$E$2:$E$843,F2180))</f>
        <v/>
      </c>
      <c r="I2180">
        <f>IF(F2180="","",INDEX(Deals!$D$2:$D$843,F2180))</f>
        <v/>
      </c>
      <c r="J2180">
        <f>IF(F2180="","",INT(H2180)-B2180)</f>
        <v/>
      </c>
      <c r="K2180">
        <f>IF(B2180&gt;=Settings!$C$5,1,0)</f>
        <v/>
      </c>
    </row>
    <row r="2181">
      <c r="A2181" t="inlineStr">
        <is>
          <t>0fa55706c70cfddbae6b05020b195b07</t>
        </is>
      </c>
      <c r="B2181" s="29" t="n">
        <v>42938</v>
      </c>
      <c r="C2181" t="inlineStr">
        <is>
          <t>2017-07</t>
        </is>
      </c>
      <c r="D2181" t="inlineStr">
        <is>
          <t>b6885f18d203a61176418c1fb3764815</t>
        </is>
      </c>
      <c r="E2181" t="inlineStr">
        <is>
          <t>paid_search</t>
        </is>
      </c>
      <c r="F2181">
        <f>IFERROR(MATCH(A2181,Deals!$A$2:$A$843,0),"")</f>
        <v/>
      </c>
      <c r="G2181">
        <f>IF(F2181="",0,1)</f>
        <v/>
      </c>
      <c r="H2181" s="29">
        <f>IF(F2181="","",INDEX(Deals!$E$2:$E$843,F2181))</f>
        <v/>
      </c>
      <c r="I2181">
        <f>IF(F2181="","",INDEX(Deals!$D$2:$D$843,F2181))</f>
        <v/>
      </c>
      <c r="J2181">
        <f>IF(F2181="","",INT(H2181)-B2181)</f>
        <v/>
      </c>
      <c r="K2181">
        <f>IF(B2181&gt;=Settings!$C$5,1,0)</f>
        <v/>
      </c>
    </row>
    <row r="2182">
      <c r="A2182" t="inlineStr">
        <is>
          <t>00d424190dde9518f8edc5a2658b230d</t>
        </is>
      </c>
      <c r="B2182" s="29" t="n">
        <v>43171</v>
      </c>
      <c r="C2182" t="inlineStr">
        <is>
          <t>2018-03</t>
        </is>
      </c>
      <c r="D2182" t="inlineStr">
        <is>
          <t>22c29808c4f815213303f8933030604c</t>
        </is>
      </c>
      <c r="E2182" t="inlineStr">
        <is>
          <t>paid_search</t>
        </is>
      </c>
      <c r="F2182">
        <f>IFERROR(MATCH(A2182,Deals!$A$2:$A$843,0),"")</f>
        <v/>
      </c>
      <c r="G2182">
        <f>IF(F2182="",0,1)</f>
        <v/>
      </c>
      <c r="H2182" s="29">
        <f>IF(F2182="","",INDEX(Deals!$E$2:$E$843,F2182))</f>
        <v/>
      </c>
      <c r="I2182">
        <f>IF(F2182="","",INDEX(Deals!$D$2:$D$843,F2182))</f>
        <v/>
      </c>
      <c r="J2182">
        <f>IF(F2182="","",INT(H2182)-B2182)</f>
        <v/>
      </c>
      <c r="K2182">
        <f>IF(B2182&gt;=Settings!$C$5,1,0)</f>
        <v/>
      </c>
    </row>
    <row r="2183">
      <c r="A2183" t="inlineStr">
        <is>
          <t>c7c6102d3e9a9c2796099bdb93d3d23f</t>
        </is>
      </c>
      <c r="B2183" s="29" t="n">
        <v>43160</v>
      </c>
      <c r="C2183" t="inlineStr">
        <is>
          <t>2018-03</t>
        </is>
      </c>
      <c r="D2183" t="inlineStr">
        <is>
          <t>241f79c7a8fe0270f4fb79fcbbcd17ad</t>
        </is>
      </c>
      <c r="E2183" t="inlineStr">
        <is>
          <t>paid_search</t>
        </is>
      </c>
      <c r="F2183">
        <f>IFERROR(MATCH(A2183,Deals!$A$2:$A$843,0),"")</f>
        <v/>
      </c>
      <c r="G2183">
        <f>IF(F2183="",0,1)</f>
        <v/>
      </c>
      <c r="H2183" s="29">
        <f>IF(F2183="","",INDEX(Deals!$E$2:$E$843,F2183))</f>
        <v/>
      </c>
      <c r="I2183">
        <f>IF(F2183="","",INDEX(Deals!$D$2:$D$843,F2183))</f>
        <v/>
      </c>
      <c r="J2183">
        <f>IF(F2183="","",INT(H2183)-B2183)</f>
        <v/>
      </c>
      <c r="K2183">
        <f>IF(B2183&gt;=Settings!$C$5,1,0)</f>
        <v/>
      </c>
    </row>
    <row r="2184">
      <c r="A2184" t="inlineStr">
        <is>
          <t>aaa77a0735b6312a741f903324a022b2</t>
        </is>
      </c>
      <c r="B2184" s="29" t="n">
        <v>42962</v>
      </c>
      <c r="C2184" t="inlineStr">
        <is>
          <t>2017-08</t>
        </is>
      </c>
      <c r="D2184" t="inlineStr">
        <is>
          <t>b76ef37428e6799c421989521c0e5077</t>
        </is>
      </c>
      <c r="E2184" t="inlineStr">
        <is>
          <t>unknown</t>
        </is>
      </c>
      <c r="F2184">
        <f>IFERROR(MATCH(A2184,Deals!$A$2:$A$843,0),"")</f>
        <v/>
      </c>
      <c r="G2184">
        <f>IF(F2184="",0,1)</f>
        <v/>
      </c>
      <c r="H2184" s="29">
        <f>IF(F2184="","",INDEX(Deals!$E$2:$E$843,F2184))</f>
        <v/>
      </c>
      <c r="I2184">
        <f>IF(F2184="","",INDEX(Deals!$D$2:$D$843,F2184))</f>
        <v/>
      </c>
      <c r="J2184">
        <f>IF(F2184="","",INT(H2184)-B2184)</f>
        <v/>
      </c>
      <c r="K2184">
        <f>IF(B2184&gt;=Settings!$C$5,1,0)</f>
        <v/>
      </c>
    </row>
    <row r="2185">
      <c r="A2185" t="inlineStr">
        <is>
          <t>8d1f15fe248cf8a3911eedaa5a006a3e</t>
        </is>
      </c>
      <c r="B2185" s="29" t="n">
        <v>43032</v>
      </c>
      <c r="C2185" t="inlineStr">
        <is>
          <t>2017-10</t>
        </is>
      </c>
      <c r="D2185" t="inlineStr">
        <is>
          <t>fe82aeadeaea2186478fe6353d6d5301</t>
        </is>
      </c>
      <c r="E2185" t="inlineStr">
        <is>
          <t>paid_search</t>
        </is>
      </c>
      <c r="F2185">
        <f>IFERROR(MATCH(A2185,Deals!$A$2:$A$843,0),"")</f>
        <v/>
      </c>
      <c r="G2185">
        <f>IF(F2185="",0,1)</f>
        <v/>
      </c>
      <c r="H2185" s="29">
        <f>IF(F2185="","",INDEX(Deals!$E$2:$E$843,F2185))</f>
        <v/>
      </c>
      <c r="I2185">
        <f>IF(F2185="","",INDEX(Deals!$D$2:$D$843,F2185))</f>
        <v/>
      </c>
      <c r="J2185">
        <f>IF(F2185="","",INT(H2185)-B2185)</f>
        <v/>
      </c>
      <c r="K2185">
        <f>IF(B2185&gt;=Settings!$C$5,1,0)</f>
        <v/>
      </c>
    </row>
    <row r="2186">
      <c r="A2186" t="inlineStr">
        <is>
          <t>dead87a4c00de43486ca1c34d9b33c3c</t>
        </is>
      </c>
      <c r="B2186" s="29" t="n">
        <v>43230</v>
      </c>
      <c r="C2186" t="inlineStr">
        <is>
          <t>2018-05</t>
        </is>
      </c>
      <c r="D2186" t="inlineStr">
        <is>
          <t>b76ef37428e6799c421989521c0e5077</t>
        </is>
      </c>
      <c r="E2186" t="inlineStr">
        <is>
          <t>unknown</t>
        </is>
      </c>
      <c r="F2186">
        <f>IFERROR(MATCH(A2186,Deals!$A$2:$A$843,0),"")</f>
        <v/>
      </c>
      <c r="G2186">
        <f>IF(F2186="",0,1)</f>
        <v/>
      </c>
      <c r="H2186" s="29">
        <f>IF(F2186="","",INDEX(Deals!$E$2:$E$843,F2186))</f>
        <v/>
      </c>
      <c r="I2186">
        <f>IF(F2186="","",INDEX(Deals!$D$2:$D$843,F2186))</f>
        <v/>
      </c>
      <c r="J2186">
        <f>IF(F2186="","",INT(H2186)-B2186)</f>
        <v/>
      </c>
      <c r="K2186">
        <f>IF(B2186&gt;=Settings!$C$5,1,0)</f>
        <v/>
      </c>
    </row>
    <row r="2187">
      <c r="A2187" t="inlineStr">
        <is>
          <t>15afaeb2c3c4446728e3adfbd35d0801</t>
        </is>
      </c>
      <c r="B2187" s="29" t="n">
        <v>43180</v>
      </c>
      <c r="C2187" t="inlineStr">
        <is>
          <t>2018-03</t>
        </is>
      </c>
      <c r="D2187" t="inlineStr">
        <is>
          <t>111313f5b9ceedf17ab5af7317a9f9bc</t>
        </is>
      </c>
      <c r="E2187" t="inlineStr">
        <is>
          <t>organic_search</t>
        </is>
      </c>
      <c r="F2187">
        <f>IFERROR(MATCH(A2187,Deals!$A$2:$A$843,0),"")</f>
        <v/>
      </c>
      <c r="G2187">
        <f>IF(F2187="",0,1)</f>
        <v/>
      </c>
      <c r="H2187" s="29">
        <f>IF(F2187="","",INDEX(Deals!$E$2:$E$843,F2187))</f>
        <v/>
      </c>
      <c r="I2187">
        <f>IF(F2187="","",INDEX(Deals!$D$2:$D$843,F2187))</f>
        <v/>
      </c>
      <c r="J2187">
        <f>IF(F2187="","",INT(H2187)-B2187)</f>
        <v/>
      </c>
      <c r="K2187">
        <f>IF(B2187&gt;=Settings!$C$5,1,0)</f>
        <v/>
      </c>
    </row>
    <row r="2188">
      <c r="A2188" t="inlineStr">
        <is>
          <t>a7c3525b2c5e24f3f212246ee3a64b6d</t>
        </is>
      </c>
      <c r="B2188" s="29" t="n">
        <v>43166</v>
      </c>
      <c r="C2188" t="inlineStr">
        <is>
          <t>2018-03</t>
        </is>
      </c>
      <c r="D2188" t="inlineStr">
        <is>
          <t>da14b7e2eb0d1eecf65abbd05a31c87d</t>
        </is>
      </c>
      <c r="E2188" t="inlineStr">
        <is>
          <t>unknown</t>
        </is>
      </c>
      <c r="F2188">
        <f>IFERROR(MATCH(A2188,Deals!$A$2:$A$843,0),"")</f>
        <v/>
      </c>
      <c r="G2188">
        <f>IF(F2188="",0,1)</f>
        <v/>
      </c>
      <c r="H2188" s="29">
        <f>IF(F2188="","",INDEX(Deals!$E$2:$E$843,F2188))</f>
        <v/>
      </c>
      <c r="I2188">
        <f>IF(F2188="","",INDEX(Deals!$D$2:$D$843,F2188))</f>
        <v/>
      </c>
      <c r="J2188">
        <f>IF(F2188="","",INT(H2188)-B2188)</f>
        <v/>
      </c>
      <c r="K2188">
        <f>IF(B2188&gt;=Settings!$C$5,1,0)</f>
        <v/>
      </c>
    </row>
    <row r="2189">
      <c r="A2189" t="inlineStr">
        <is>
          <t>d5f61adf90fbec61cd8c251392bad27d</t>
        </is>
      </c>
      <c r="B2189" s="29" t="n">
        <v>43239</v>
      </c>
      <c r="C2189" t="inlineStr">
        <is>
          <t>2018-05</t>
        </is>
      </c>
      <c r="D2189" t="inlineStr">
        <is>
          <t>7fa6214d82e911d070f51ef79381b956</t>
        </is>
      </c>
      <c r="E2189" t="inlineStr">
        <is>
          <t>organic_search</t>
        </is>
      </c>
      <c r="F2189">
        <f>IFERROR(MATCH(A2189,Deals!$A$2:$A$843,0),"")</f>
        <v/>
      </c>
      <c r="G2189">
        <f>IF(F2189="",0,1)</f>
        <v/>
      </c>
      <c r="H2189" s="29">
        <f>IF(F2189="","",INDEX(Deals!$E$2:$E$843,F2189))</f>
        <v/>
      </c>
      <c r="I2189">
        <f>IF(F2189="","",INDEX(Deals!$D$2:$D$843,F2189))</f>
        <v/>
      </c>
      <c r="J2189">
        <f>IF(F2189="","",INT(H2189)-B2189)</f>
        <v/>
      </c>
      <c r="K2189">
        <f>IF(B2189&gt;=Settings!$C$5,1,0)</f>
        <v/>
      </c>
    </row>
    <row r="2190">
      <c r="A2190" t="inlineStr">
        <is>
          <t>c0eab7b86485ab4672f0c8b4d62af19e</t>
        </is>
      </c>
      <c r="B2190" s="29" t="n">
        <v>43157</v>
      </c>
      <c r="C2190" t="inlineStr">
        <is>
          <t>2018-02</t>
        </is>
      </c>
      <c r="D2190" t="inlineStr">
        <is>
          <t>bddebc4f4d44106c427bd00695840e64</t>
        </is>
      </c>
      <c r="E2190" t="inlineStr">
        <is>
          <t>email</t>
        </is>
      </c>
      <c r="F2190">
        <f>IFERROR(MATCH(A2190,Deals!$A$2:$A$843,0),"")</f>
        <v/>
      </c>
      <c r="G2190">
        <f>IF(F2190="",0,1)</f>
        <v/>
      </c>
      <c r="H2190" s="29">
        <f>IF(F2190="","",INDEX(Deals!$E$2:$E$843,F2190))</f>
        <v/>
      </c>
      <c r="I2190">
        <f>IF(F2190="","",INDEX(Deals!$D$2:$D$843,F2190))</f>
        <v/>
      </c>
      <c r="J2190">
        <f>IF(F2190="","",INT(H2190)-B2190)</f>
        <v/>
      </c>
      <c r="K2190">
        <f>IF(B2190&gt;=Settings!$C$5,1,0)</f>
        <v/>
      </c>
    </row>
    <row r="2191">
      <c r="A2191" t="inlineStr">
        <is>
          <t>93c6c0bd09a280606df12f66752d7b76</t>
        </is>
      </c>
      <c r="B2191" s="29" t="n">
        <v>42983</v>
      </c>
      <c r="C2191" t="inlineStr">
        <is>
          <t>2017-09</t>
        </is>
      </c>
      <c r="D2191" t="inlineStr">
        <is>
          <t>ee3c3bad6ed3eb9d5de56688d1f9c91b</t>
        </is>
      </c>
      <c r="E2191" t="inlineStr">
        <is>
          <t>unknown</t>
        </is>
      </c>
      <c r="F2191">
        <f>IFERROR(MATCH(A2191,Deals!$A$2:$A$843,0),"")</f>
        <v/>
      </c>
      <c r="G2191">
        <f>IF(F2191="",0,1)</f>
        <v/>
      </c>
      <c r="H2191" s="29">
        <f>IF(F2191="","",INDEX(Deals!$E$2:$E$843,F2191))</f>
        <v/>
      </c>
      <c r="I2191">
        <f>IF(F2191="","",INDEX(Deals!$D$2:$D$843,F2191))</f>
        <v/>
      </c>
      <c r="J2191">
        <f>IF(F2191="","",INT(H2191)-B2191)</f>
        <v/>
      </c>
      <c r="K2191">
        <f>IF(B2191&gt;=Settings!$C$5,1,0)</f>
        <v/>
      </c>
    </row>
    <row r="2192">
      <c r="A2192" t="inlineStr">
        <is>
          <t>cb8750613b57d53ea7abfbbdf742976c</t>
        </is>
      </c>
      <c r="B2192" s="29" t="n">
        <v>43220</v>
      </c>
      <c r="C2192" t="inlineStr">
        <is>
          <t>2018-04</t>
        </is>
      </c>
      <c r="D2192" t="inlineStr">
        <is>
          <t>966098efaef7a4d665be6b0cb617541b</t>
        </is>
      </c>
      <c r="E2192" t="inlineStr">
        <is>
          <t>organic_search</t>
        </is>
      </c>
      <c r="F2192">
        <f>IFERROR(MATCH(A2192,Deals!$A$2:$A$843,0),"")</f>
        <v/>
      </c>
      <c r="G2192">
        <f>IF(F2192="",0,1)</f>
        <v/>
      </c>
      <c r="H2192" s="29">
        <f>IF(F2192="","",INDEX(Deals!$E$2:$E$843,F2192))</f>
        <v/>
      </c>
      <c r="I2192">
        <f>IF(F2192="","",INDEX(Deals!$D$2:$D$843,F2192))</f>
        <v/>
      </c>
      <c r="J2192">
        <f>IF(F2192="","",INT(H2192)-B2192)</f>
        <v/>
      </c>
      <c r="K2192">
        <f>IF(B2192&gt;=Settings!$C$5,1,0)</f>
        <v/>
      </c>
    </row>
    <row r="2193">
      <c r="A2193" t="inlineStr">
        <is>
          <t>81ed4d7130d22722194f33b1ab0f937c</t>
        </is>
      </c>
      <c r="B2193" s="29" t="n">
        <v>43172</v>
      </c>
      <c r="C2193" t="inlineStr">
        <is>
          <t>2018-03</t>
        </is>
      </c>
      <c r="D2193" t="inlineStr">
        <is>
          <t>b76ef37428e6799c421989521c0e5077</t>
        </is>
      </c>
      <c r="E2193" t="inlineStr">
        <is>
          <t>unknown</t>
        </is>
      </c>
      <c r="F2193">
        <f>IFERROR(MATCH(A2193,Deals!$A$2:$A$843,0),"")</f>
        <v/>
      </c>
      <c r="G2193">
        <f>IF(F2193="",0,1)</f>
        <v/>
      </c>
      <c r="H2193" s="29">
        <f>IF(F2193="","",INDEX(Deals!$E$2:$E$843,F2193))</f>
        <v/>
      </c>
      <c r="I2193">
        <f>IF(F2193="","",INDEX(Deals!$D$2:$D$843,F2193))</f>
        <v/>
      </c>
      <c r="J2193">
        <f>IF(F2193="","",INT(H2193)-B2193)</f>
        <v/>
      </c>
      <c r="K2193">
        <f>IF(B2193&gt;=Settings!$C$5,1,0)</f>
        <v/>
      </c>
    </row>
    <row r="2194">
      <c r="A2194" t="inlineStr">
        <is>
          <t>68cc2a928d18fc6a91e6c944dc8538d0</t>
        </is>
      </c>
      <c r="B2194" s="29" t="n">
        <v>43097</v>
      </c>
      <c r="C2194" t="inlineStr">
        <is>
          <t>2017-12</t>
        </is>
      </c>
      <c r="D2194" t="inlineStr">
        <is>
          <t>f4cb9c7b1dc31afca77d4896d2ae8d4b</t>
        </is>
      </c>
      <c r="E2194" t="inlineStr">
        <is>
          <t>display</t>
        </is>
      </c>
      <c r="F2194">
        <f>IFERROR(MATCH(A2194,Deals!$A$2:$A$843,0),"")</f>
        <v/>
      </c>
      <c r="G2194">
        <f>IF(F2194="",0,1)</f>
        <v/>
      </c>
      <c r="H2194" s="29">
        <f>IF(F2194="","",INDEX(Deals!$E$2:$E$843,F2194))</f>
        <v/>
      </c>
      <c r="I2194">
        <f>IF(F2194="","",INDEX(Deals!$D$2:$D$843,F2194))</f>
        <v/>
      </c>
      <c r="J2194">
        <f>IF(F2194="","",INT(H2194)-B2194)</f>
        <v/>
      </c>
      <c r="K2194">
        <f>IF(B2194&gt;=Settings!$C$5,1,0)</f>
        <v/>
      </c>
    </row>
    <row r="2195">
      <c r="A2195" t="inlineStr">
        <is>
          <t>ce53c47e9ce09161564a02707c0b409b</t>
        </is>
      </c>
      <c r="B2195" s="29" t="n">
        <v>43118</v>
      </c>
      <c r="C2195" t="inlineStr">
        <is>
          <t>2018-01</t>
        </is>
      </c>
      <c r="D2195" t="inlineStr">
        <is>
          <t>b6cd08ac77c501fd6857f7916d2c24f3</t>
        </is>
      </c>
      <c r="E2195" t="inlineStr">
        <is>
          <t>organic_search</t>
        </is>
      </c>
      <c r="F2195">
        <f>IFERROR(MATCH(A2195,Deals!$A$2:$A$843,0),"")</f>
        <v/>
      </c>
      <c r="G2195">
        <f>IF(F2195="",0,1)</f>
        <v/>
      </c>
      <c r="H2195" s="29">
        <f>IF(F2195="","",INDEX(Deals!$E$2:$E$843,F2195))</f>
        <v/>
      </c>
      <c r="I2195">
        <f>IF(F2195="","",INDEX(Deals!$D$2:$D$843,F2195))</f>
        <v/>
      </c>
      <c r="J2195">
        <f>IF(F2195="","",INT(H2195)-B2195)</f>
        <v/>
      </c>
      <c r="K2195">
        <f>IF(B2195&gt;=Settings!$C$5,1,0)</f>
        <v/>
      </c>
    </row>
    <row r="2196">
      <c r="A2196" t="inlineStr">
        <is>
          <t>17b3df6678b9e61d8c61dc98cf282915</t>
        </is>
      </c>
      <c r="B2196" s="29" t="n">
        <v>43234</v>
      </c>
      <c r="C2196" t="inlineStr">
        <is>
          <t>2018-05</t>
        </is>
      </c>
      <c r="D2196" t="inlineStr">
        <is>
          <t>b76ef37428e6799c421989521c0e5077</t>
        </is>
      </c>
      <c r="E2196" t="inlineStr">
        <is>
          <t>paid_search</t>
        </is>
      </c>
      <c r="F2196">
        <f>IFERROR(MATCH(A2196,Deals!$A$2:$A$843,0),"")</f>
        <v/>
      </c>
      <c r="G2196">
        <f>IF(F2196="",0,1)</f>
        <v/>
      </c>
      <c r="H2196" s="29">
        <f>IF(F2196="","",INDEX(Deals!$E$2:$E$843,F2196))</f>
        <v/>
      </c>
      <c r="I2196">
        <f>IF(F2196="","",INDEX(Deals!$D$2:$D$843,F2196))</f>
        <v/>
      </c>
      <c r="J2196">
        <f>IF(F2196="","",INT(H2196)-B2196)</f>
        <v/>
      </c>
      <c r="K2196">
        <f>IF(B2196&gt;=Settings!$C$5,1,0)</f>
        <v/>
      </c>
    </row>
    <row r="2197">
      <c r="A2197" t="inlineStr">
        <is>
          <t>3db893ff5d6c0e9dccfed451a741853f</t>
        </is>
      </c>
      <c r="B2197" s="29" t="n">
        <v>42976</v>
      </c>
      <c r="C2197" t="inlineStr">
        <is>
          <t>2017-08</t>
        </is>
      </c>
      <c r="D2197" t="inlineStr">
        <is>
          <t>007f9098284a86ee80ddeb25d53e0af8</t>
        </is>
      </c>
      <c r="E2197" t="inlineStr">
        <is>
          <t>organic_search</t>
        </is>
      </c>
      <c r="F2197">
        <f>IFERROR(MATCH(A2197,Deals!$A$2:$A$843,0),"")</f>
        <v/>
      </c>
      <c r="G2197">
        <f>IF(F2197="",0,1)</f>
        <v/>
      </c>
      <c r="H2197" s="29">
        <f>IF(F2197="","",INDEX(Deals!$E$2:$E$843,F2197))</f>
        <v/>
      </c>
      <c r="I2197">
        <f>IF(F2197="","",INDEX(Deals!$D$2:$D$843,F2197))</f>
        <v/>
      </c>
      <c r="J2197">
        <f>IF(F2197="","",INT(H2197)-B2197)</f>
        <v/>
      </c>
      <c r="K2197">
        <f>IF(B2197&gt;=Settings!$C$5,1,0)</f>
        <v/>
      </c>
    </row>
    <row r="2198">
      <c r="A2198" t="inlineStr">
        <is>
          <t>bc9e82730f512b188638dde8d5f51cd2</t>
        </is>
      </c>
      <c r="B2198" s="29" t="n">
        <v>43217</v>
      </c>
      <c r="C2198" t="inlineStr">
        <is>
          <t>2018-04</t>
        </is>
      </c>
      <c r="D2198" t="inlineStr">
        <is>
          <t>649b7b8b46b254497e92038d88f6ced8</t>
        </is>
      </c>
      <c r="E2198" t="inlineStr">
        <is>
          <t>social</t>
        </is>
      </c>
      <c r="F2198">
        <f>IFERROR(MATCH(A2198,Deals!$A$2:$A$843,0),"")</f>
        <v/>
      </c>
      <c r="G2198">
        <f>IF(F2198="",0,1)</f>
        <v/>
      </c>
      <c r="H2198" s="29">
        <f>IF(F2198="","",INDEX(Deals!$E$2:$E$843,F2198))</f>
        <v/>
      </c>
      <c r="I2198">
        <f>IF(F2198="","",INDEX(Deals!$D$2:$D$843,F2198))</f>
        <v/>
      </c>
      <c r="J2198">
        <f>IF(F2198="","",INT(H2198)-B2198)</f>
        <v/>
      </c>
      <c r="K2198">
        <f>IF(B2198&gt;=Settings!$C$5,1,0)</f>
        <v/>
      </c>
    </row>
    <row r="2199">
      <c r="A2199" t="inlineStr">
        <is>
          <t>064206d63ed10088b994526b21057921</t>
        </is>
      </c>
      <c r="B2199" s="29" t="n">
        <v>43144</v>
      </c>
      <c r="C2199" t="inlineStr">
        <is>
          <t>2018-02</t>
        </is>
      </c>
      <c r="D2199" t="inlineStr">
        <is>
          <t>b76ef37428e6799c421989521c0e5077</t>
        </is>
      </c>
      <c r="E2199" t="inlineStr">
        <is>
          <t>unknown</t>
        </is>
      </c>
      <c r="F2199">
        <f>IFERROR(MATCH(A2199,Deals!$A$2:$A$843,0),"")</f>
        <v/>
      </c>
      <c r="G2199">
        <f>IF(F2199="",0,1)</f>
        <v/>
      </c>
      <c r="H2199" s="29">
        <f>IF(F2199="","",INDEX(Deals!$E$2:$E$843,F2199))</f>
        <v/>
      </c>
      <c r="I2199">
        <f>IF(F2199="","",INDEX(Deals!$D$2:$D$843,F2199))</f>
        <v/>
      </c>
      <c r="J2199">
        <f>IF(F2199="","",INT(H2199)-B2199)</f>
        <v/>
      </c>
      <c r="K2199">
        <f>IF(B2199&gt;=Settings!$C$5,1,0)</f>
        <v/>
      </c>
    </row>
    <row r="2200">
      <c r="A2200" t="inlineStr">
        <is>
          <t>8f118ab2a5c0d99362fb67e29856acab</t>
        </is>
      </c>
      <c r="B2200" s="29" t="n">
        <v>43136</v>
      </c>
      <c r="C2200" t="inlineStr">
        <is>
          <t>2018-02</t>
        </is>
      </c>
      <c r="D2200" t="inlineStr">
        <is>
          <t>22c29808c4f815213303f8933030604c</t>
        </is>
      </c>
      <c r="E2200" t="inlineStr">
        <is>
          <t>organic_search</t>
        </is>
      </c>
      <c r="F2200">
        <f>IFERROR(MATCH(A2200,Deals!$A$2:$A$843,0),"")</f>
        <v/>
      </c>
      <c r="G2200">
        <f>IF(F2200="",0,1)</f>
        <v/>
      </c>
      <c r="H2200" s="29">
        <f>IF(F2200="","",INDEX(Deals!$E$2:$E$843,F2200))</f>
        <v/>
      </c>
      <c r="I2200">
        <f>IF(F2200="","",INDEX(Deals!$D$2:$D$843,F2200))</f>
        <v/>
      </c>
      <c r="J2200">
        <f>IF(F2200="","",INT(H2200)-B2200)</f>
        <v/>
      </c>
      <c r="K2200">
        <f>IF(B2200&gt;=Settings!$C$5,1,0)</f>
        <v/>
      </c>
    </row>
    <row r="2201">
      <c r="A2201" t="inlineStr">
        <is>
          <t>a2b3cbe949d6c9cdd5e41ae444be14f5</t>
        </is>
      </c>
      <c r="B2201" s="29" t="n">
        <v>43235</v>
      </c>
      <c r="C2201" t="inlineStr">
        <is>
          <t>2018-05</t>
        </is>
      </c>
      <c r="D2201" t="inlineStr">
        <is>
          <t>35c9b150ab36fe584c1f24fd458c453a</t>
        </is>
      </c>
      <c r="E2201" t="inlineStr">
        <is>
          <t>paid_search</t>
        </is>
      </c>
      <c r="F2201">
        <f>IFERROR(MATCH(A2201,Deals!$A$2:$A$843,0),"")</f>
        <v/>
      </c>
      <c r="G2201">
        <f>IF(F2201="",0,1)</f>
        <v/>
      </c>
      <c r="H2201" s="29">
        <f>IF(F2201="","",INDEX(Deals!$E$2:$E$843,F2201))</f>
        <v/>
      </c>
      <c r="I2201">
        <f>IF(F2201="","",INDEX(Deals!$D$2:$D$843,F2201))</f>
        <v/>
      </c>
      <c r="J2201">
        <f>IF(F2201="","",INT(H2201)-B2201)</f>
        <v/>
      </c>
      <c r="K2201">
        <f>IF(B2201&gt;=Settings!$C$5,1,0)</f>
        <v/>
      </c>
    </row>
    <row r="2202">
      <c r="A2202" t="inlineStr">
        <is>
          <t>68d9b6f0ca40f114c048f4a91d701085</t>
        </is>
      </c>
      <c r="B2202" s="29" t="n">
        <v>42948</v>
      </c>
      <c r="C2202" t="inlineStr">
        <is>
          <t>2017-08</t>
        </is>
      </c>
      <c r="D2202" t="inlineStr">
        <is>
          <t>b76ef37428e6799c421989521c0e5077</t>
        </is>
      </c>
      <c r="E2202" t="inlineStr">
        <is>
          <t>unknown</t>
        </is>
      </c>
      <c r="F2202">
        <f>IFERROR(MATCH(A2202,Deals!$A$2:$A$843,0),"")</f>
        <v/>
      </c>
      <c r="G2202">
        <f>IF(F2202="",0,1)</f>
        <v/>
      </c>
      <c r="H2202" s="29">
        <f>IF(F2202="","",INDEX(Deals!$E$2:$E$843,F2202))</f>
        <v/>
      </c>
      <c r="I2202">
        <f>IF(F2202="","",INDEX(Deals!$D$2:$D$843,F2202))</f>
        <v/>
      </c>
      <c r="J2202">
        <f>IF(F2202="","",INT(H2202)-B2202)</f>
        <v/>
      </c>
      <c r="K2202">
        <f>IF(B2202&gt;=Settings!$C$5,1,0)</f>
        <v/>
      </c>
    </row>
    <row r="2203">
      <c r="A2203" t="inlineStr">
        <is>
          <t>de9605e0626838ac9bc425bbafec7050</t>
        </is>
      </c>
      <c r="B2203" s="29" t="n">
        <v>43250</v>
      </c>
      <c r="C2203" t="inlineStr">
        <is>
          <t>2018-05</t>
        </is>
      </c>
      <c r="D2203" t="inlineStr">
        <is>
          <t>0218f6be0b76aca72ab4d00ee9e8cf10</t>
        </is>
      </c>
      <c r="E2203" t="inlineStr">
        <is>
          <t>paid_search</t>
        </is>
      </c>
      <c r="F2203">
        <f>IFERROR(MATCH(A2203,Deals!$A$2:$A$843,0),"")</f>
        <v/>
      </c>
      <c r="G2203">
        <f>IF(F2203="",0,1)</f>
        <v/>
      </c>
      <c r="H2203" s="29">
        <f>IF(F2203="","",INDEX(Deals!$E$2:$E$843,F2203))</f>
        <v/>
      </c>
      <c r="I2203">
        <f>IF(F2203="","",INDEX(Deals!$D$2:$D$843,F2203))</f>
        <v/>
      </c>
      <c r="J2203">
        <f>IF(F2203="","",INT(H2203)-B2203)</f>
        <v/>
      </c>
      <c r="K2203">
        <f>IF(B2203&gt;=Settings!$C$5,1,0)</f>
        <v/>
      </c>
    </row>
    <row r="2204">
      <c r="A2204" t="inlineStr">
        <is>
          <t>003d859bbd84a526b9e06340ce7d185f</t>
        </is>
      </c>
      <c r="B2204" s="29" t="n">
        <v>43192</v>
      </c>
      <c r="C2204" t="inlineStr">
        <is>
          <t>2018-04</t>
        </is>
      </c>
      <c r="D2204" t="inlineStr">
        <is>
          <t>22c29808c4f815213303f8933030604c</t>
        </is>
      </c>
      <c r="E2204" t="inlineStr">
        <is>
          <t>direct_traffic</t>
        </is>
      </c>
      <c r="F2204">
        <f>IFERROR(MATCH(A2204,Deals!$A$2:$A$843,0),"")</f>
        <v/>
      </c>
      <c r="G2204">
        <f>IF(F2204="",0,1)</f>
        <v/>
      </c>
      <c r="H2204" s="29">
        <f>IF(F2204="","",INDEX(Deals!$E$2:$E$843,F2204))</f>
        <v/>
      </c>
      <c r="I2204">
        <f>IF(F2204="","",INDEX(Deals!$D$2:$D$843,F2204))</f>
        <v/>
      </c>
      <c r="J2204">
        <f>IF(F2204="","",INT(H2204)-B2204)</f>
        <v/>
      </c>
      <c r="K2204">
        <f>IF(B2204&gt;=Settings!$C$5,1,0)</f>
        <v/>
      </c>
    </row>
    <row r="2205">
      <c r="A2205" t="inlineStr">
        <is>
          <t>932b37d0151f3368360515ee9397841c</t>
        </is>
      </c>
      <c r="B2205" s="29" t="n">
        <v>43110</v>
      </c>
      <c r="C2205" t="inlineStr">
        <is>
          <t>2018-01</t>
        </is>
      </c>
      <c r="D2205" t="inlineStr">
        <is>
          <t>ce1a65abd0973638f1c887a6efcfa82d</t>
        </is>
      </c>
      <c r="E2205" t="inlineStr">
        <is>
          <t>organic_search</t>
        </is>
      </c>
      <c r="F2205">
        <f>IFERROR(MATCH(A2205,Deals!$A$2:$A$843,0),"")</f>
        <v/>
      </c>
      <c r="G2205">
        <f>IF(F2205="",0,1)</f>
        <v/>
      </c>
      <c r="H2205" s="29">
        <f>IF(F2205="","",INDEX(Deals!$E$2:$E$843,F2205))</f>
        <v/>
      </c>
      <c r="I2205">
        <f>IF(F2205="","",INDEX(Deals!$D$2:$D$843,F2205))</f>
        <v/>
      </c>
      <c r="J2205">
        <f>IF(F2205="","",INT(H2205)-B2205)</f>
        <v/>
      </c>
      <c r="K2205">
        <f>IF(B2205&gt;=Settings!$C$5,1,0)</f>
        <v/>
      </c>
    </row>
    <row r="2206">
      <c r="A2206" t="inlineStr">
        <is>
          <t>45af4af2ae6bf55e858a019a76aa20a7</t>
        </is>
      </c>
      <c r="B2206" s="29" t="n">
        <v>43191</v>
      </c>
      <c r="C2206" t="inlineStr">
        <is>
          <t>2018-04</t>
        </is>
      </c>
      <c r="D2206" t="inlineStr">
        <is>
          <t>ce1a65abd0973638f1c887a6efcfa82d</t>
        </is>
      </c>
      <c r="E2206" t="inlineStr">
        <is>
          <t>display</t>
        </is>
      </c>
      <c r="F2206">
        <f>IFERROR(MATCH(A2206,Deals!$A$2:$A$843,0),"")</f>
        <v/>
      </c>
      <c r="G2206">
        <f>IF(F2206="",0,1)</f>
        <v/>
      </c>
      <c r="H2206" s="29">
        <f>IF(F2206="","",INDEX(Deals!$E$2:$E$843,F2206))</f>
        <v/>
      </c>
      <c r="I2206">
        <f>IF(F2206="","",INDEX(Deals!$D$2:$D$843,F2206))</f>
        <v/>
      </c>
      <c r="J2206">
        <f>IF(F2206="","",INT(H2206)-B2206)</f>
        <v/>
      </c>
      <c r="K2206">
        <f>IF(B2206&gt;=Settings!$C$5,1,0)</f>
        <v/>
      </c>
    </row>
    <row r="2207">
      <c r="A2207" t="inlineStr">
        <is>
          <t>626dc1c3716c817b064632fded168e35</t>
        </is>
      </c>
      <c r="B2207" s="29" t="n">
        <v>43150</v>
      </c>
      <c r="C2207" t="inlineStr">
        <is>
          <t>2018-02</t>
        </is>
      </c>
      <c r="D2207" t="inlineStr">
        <is>
          <t>b76ef37428e6799c421989521c0e5077</t>
        </is>
      </c>
      <c r="E2207" t="inlineStr">
        <is>
          <t>organic_search</t>
        </is>
      </c>
      <c r="F2207">
        <f>IFERROR(MATCH(A2207,Deals!$A$2:$A$843,0),"")</f>
        <v/>
      </c>
      <c r="G2207">
        <f>IF(F2207="",0,1)</f>
        <v/>
      </c>
      <c r="H2207" s="29">
        <f>IF(F2207="","",INDEX(Deals!$E$2:$E$843,F2207))</f>
        <v/>
      </c>
      <c r="I2207">
        <f>IF(F2207="","",INDEX(Deals!$D$2:$D$843,F2207))</f>
        <v/>
      </c>
      <c r="J2207">
        <f>IF(F2207="","",INT(H2207)-B2207)</f>
        <v/>
      </c>
      <c r="K2207">
        <f>IF(B2207&gt;=Settings!$C$5,1,0)</f>
        <v/>
      </c>
    </row>
    <row r="2208">
      <c r="A2208" t="inlineStr">
        <is>
          <t>7570fece02991134d0785190d9e5a4eb</t>
        </is>
      </c>
      <c r="B2208" s="29" t="n">
        <v>42979</v>
      </c>
      <c r="C2208" t="inlineStr">
        <is>
          <t>2017-09</t>
        </is>
      </c>
      <c r="D2208" t="inlineStr">
        <is>
          <t>ee3c3bad6ed3eb9d5de56688d1f9c91b</t>
        </is>
      </c>
      <c r="E2208" t="inlineStr">
        <is>
          <t>organic_search</t>
        </is>
      </c>
      <c r="F2208">
        <f>IFERROR(MATCH(A2208,Deals!$A$2:$A$843,0),"")</f>
        <v/>
      </c>
      <c r="G2208">
        <f>IF(F2208="",0,1)</f>
        <v/>
      </c>
      <c r="H2208" s="29">
        <f>IF(F2208="","",INDEX(Deals!$E$2:$E$843,F2208))</f>
        <v/>
      </c>
      <c r="I2208">
        <f>IF(F2208="","",INDEX(Deals!$D$2:$D$843,F2208))</f>
        <v/>
      </c>
      <c r="J2208">
        <f>IF(F2208="","",INT(H2208)-B2208)</f>
        <v/>
      </c>
      <c r="K2208">
        <f>IF(B2208&gt;=Settings!$C$5,1,0)</f>
        <v/>
      </c>
    </row>
    <row r="2209">
      <c r="A2209" t="inlineStr">
        <is>
          <t>4f6f19ea03fdcda778f33d42c250fc0a</t>
        </is>
      </c>
      <c r="B2209" s="29" t="n">
        <v>43247</v>
      </c>
      <c r="C2209" t="inlineStr">
        <is>
          <t>2018-05</t>
        </is>
      </c>
      <c r="D2209" t="inlineStr">
        <is>
          <t>a7982125ff7aa3b2054c6e44f9d28522</t>
        </is>
      </c>
      <c r="E2209" t="inlineStr">
        <is>
          <t>organic_search</t>
        </is>
      </c>
      <c r="F2209">
        <f>IFERROR(MATCH(A2209,Deals!$A$2:$A$843,0),"")</f>
        <v/>
      </c>
      <c r="G2209">
        <f>IF(F2209="",0,1)</f>
        <v/>
      </c>
      <c r="H2209" s="29">
        <f>IF(F2209="","",INDEX(Deals!$E$2:$E$843,F2209))</f>
        <v/>
      </c>
      <c r="I2209">
        <f>IF(F2209="","",INDEX(Deals!$D$2:$D$843,F2209))</f>
        <v/>
      </c>
      <c r="J2209">
        <f>IF(F2209="","",INT(H2209)-B2209)</f>
        <v/>
      </c>
      <c r="K2209">
        <f>IF(B2209&gt;=Settings!$C$5,1,0)</f>
        <v/>
      </c>
    </row>
    <row r="2210">
      <c r="A2210" t="inlineStr">
        <is>
          <t>22ecc5d03493ba26f7778851c126bee3</t>
        </is>
      </c>
      <c r="B2210" s="29" t="n">
        <v>43182</v>
      </c>
      <c r="C2210" t="inlineStr">
        <is>
          <t>2018-03</t>
        </is>
      </c>
      <c r="D2210" t="inlineStr">
        <is>
          <t>e492ee5eaf1697716985cc6f33f9cd9b</t>
        </is>
      </c>
      <c r="E2210" t="inlineStr">
        <is>
          <t>organic_search</t>
        </is>
      </c>
      <c r="F2210">
        <f>IFERROR(MATCH(A2210,Deals!$A$2:$A$843,0),"")</f>
        <v/>
      </c>
      <c r="G2210">
        <f>IF(F2210="",0,1)</f>
        <v/>
      </c>
      <c r="H2210" s="29">
        <f>IF(F2210="","",INDEX(Deals!$E$2:$E$843,F2210))</f>
        <v/>
      </c>
      <c r="I2210">
        <f>IF(F2210="","",INDEX(Deals!$D$2:$D$843,F2210))</f>
        <v/>
      </c>
      <c r="J2210">
        <f>IF(F2210="","",INT(H2210)-B2210)</f>
        <v/>
      </c>
      <c r="K2210">
        <f>IF(B2210&gt;=Settings!$C$5,1,0)</f>
        <v/>
      </c>
    </row>
    <row r="2211">
      <c r="A2211" t="inlineStr">
        <is>
          <t>8a6a6209090b90fbc29026916155dec2</t>
        </is>
      </c>
      <c r="B2211" s="29" t="n">
        <v>43139</v>
      </c>
      <c r="C2211" t="inlineStr">
        <is>
          <t>2018-02</t>
        </is>
      </c>
      <c r="D2211" t="inlineStr">
        <is>
          <t>24d866dcbe66afe0feee5936c5d54cac</t>
        </is>
      </c>
      <c r="E2211" t="inlineStr">
        <is>
          <t>email</t>
        </is>
      </c>
      <c r="F2211">
        <f>IFERROR(MATCH(A2211,Deals!$A$2:$A$843,0),"")</f>
        <v/>
      </c>
      <c r="G2211">
        <f>IF(F2211="",0,1)</f>
        <v/>
      </c>
      <c r="H2211" s="29">
        <f>IF(F2211="","",INDEX(Deals!$E$2:$E$843,F2211))</f>
        <v/>
      </c>
      <c r="I2211">
        <f>IF(F2211="","",INDEX(Deals!$D$2:$D$843,F2211))</f>
        <v/>
      </c>
      <c r="J2211">
        <f>IF(F2211="","",INT(H2211)-B2211)</f>
        <v/>
      </c>
      <c r="K2211">
        <f>IF(B2211&gt;=Settings!$C$5,1,0)</f>
        <v/>
      </c>
    </row>
    <row r="2212">
      <c r="A2212" t="inlineStr">
        <is>
          <t>4433c8475916d6e6ebb8cf4994d2f1d1</t>
        </is>
      </c>
      <c r="B2212" s="29" t="n">
        <v>43187</v>
      </c>
      <c r="C2212" t="inlineStr">
        <is>
          <t>2018-03</t>
        </is>
      </c>
      <c r="D2212" t="inlineStr">
        <is>
          <t>e873d2cf0661d3eaf417b952c7147578</t>
        </is>
      </c>
      <c r="E2212" t="inlineStr">
        <is>
          <t>email</t>
        </is>
      </c>
      <c r="F2212">
        <f>IFERROR(MATCH(A2212,Deals!$A$2:$A$843,0),"")</f>
        <v/>
      </c>
      <c r="G2212">
        <f>IF(F2212="",0,1)</f>
        <v/>
      </c>
      <c r="H2212" s="29">
        <f>IF(F2212="","",INDEX(Deals!$E$2:$E$843,F2212))</f>
        <v/>
      </c>
      <c r="I2212">
        <f>IF(F2212="","",INDEX(Deals!$D$2:$D$843,F2212))</f>
        <v/>
      </c>
      <c r="J2212">
        <f>IF(F2212="","",INT(H2212)-B2212)</f>
        <v/>
      </c>
      <c r="K2212">
        <f>IF(B2212&gt;=Settings!$C$5,1,0)</f>
        <v/>
      </c>
    </row>
    <row r="2213">
      <c r="A2213" t="inlineStr">
        <is>
          <t>8eda503db8f01a5fe0006e1c27655211</t>
        </is>
      </c>
      <c r="B2213" s="29" t="n">
        <v>43222</v>
      </c>
      <c r="C2213" t="inlineStr">
        <is>
          <t>2018-05</t>
        </is>
      </c>
      <c r="D2213" t="inlineStr">
        <is>
          <t>35c9b150ab36fe584c1f24fd458c453a</t>
        </is>
      </c>
      <c r="E2213" t="inlineStr">
        <is>
          <t>paid_search</t>
        </is>
      </c>
      <c r="F2213">
        <f>IFERROR(MATCH(A2213,Deals!$A$2:$A$843,0),"")</f>
        <v/>
      </c>
      <c r="G2213">
        <f>IF(F2213="",0,1)</f>
        <v/>
      </c>
      <c r="H2213" s="29">
        <f>IF(F2213="","",INDEX(Deals!$E$2:$E$843,F2213))</f>
        <v/>
      </c>
      <c r="I2213">
        <f>IF(F2213="","",INDEX(Deals!$D$2:$D$843,F2213))</f>
        <v/>
      </c>
      <c r="J2213">
        <f>IF(F2213="","",INT(H2213)-B2213)</f>
        <v/>
      </c>
      <c r="K2213">
        <f>IF(B2213&gt;=Settings!$C$5,1,0)</f>
        <v/>
      </c>
    </row>
    <row r="2214">
      <c r="A2214" t="inlineStr">
        <is>
          <t>a08c49164c7d28e6084d1cb99da28f2f</t>
        </is>
      </c>
      <c r="B2214" s="29" t="n">
        <v>43195</v>
      </c>
      <c r="C2214" t="inlineStr">
        <is>
          <t>2018-04</t>
        </is>
      </c>
      <c r="D2214" t="inlineStr">
        <is>
          <t>b76ef37428e6799c421989521c0e5077</t>
        </is>
      </c>
      <c r="E2214" t="inlineStr">
        <is>
          <t>unknown</t>
        </is>
      </c>
      <c r="F2214">
        <f>IFERROR(MATCH(A2214,Deals!$A$2:$A$843,0),"")</f>
        <v/>
      </c>
      <c r="G2214">
        <f>IF(F2214="",0,1)</f>
        <v/>
      </c>
      <c r="H2214" s="29">
        <f>IF(F2214="","",INDEX(Deals!$E$2:$E$843,F2214))</f>
        <v/>
      </c>
      <c r="I2214">
        <f>IF(F2214="","",INDEX(Deals!$D$2:$D$843,F2214))</f>
        <v/>
      </c>
      <c r="J2214">
        <f>IF(F2214="","",INT(H2214)-B2214)</f>
        <v/>
      </c>
      <c r="K2214">
        <f>IF(B2214&gt;=Settings!$C$5,1,0)</f>
        <v/>
      </c>
    </row>
    <row r="2215">
      <c r="A2215" t="inlineStr">
        <is>
          <t>9d02788d7cf4ed2fd71f530add408b8f</t>
        </is>
      </c>
      <c r="B2215" s="29" t="n">
        <v>43225</v>
      </c>
      <c r="C2215" t="inlineStr">
        <is>
          <t>2018-05</t>
        </is>
      </c>
      <c r="D2215" t="inlineStr">
        <is>
          <t>f017be4dbf86243af5c1ebed0cff36a2</t>
        </is>
      </c>
      <c r="E2215" t="inlineStr">
        <is>
          <t>organic_search</t>
        </is>
      </c>
      <c r="F2215">
        <f>IFERROR(MATCH(A2215,Deals!$A$2:$A$843,0),"")</f>
        <v/>
      </c>
      <c r="G2215">
        <f>IF(F2215="",0,1)</f>
        <v/>
      </c>
      <c r="H2215" s="29">
        <f>IF(F2215="","",INDEX(Deals!$E$2:$E$843,F2215))</f>
        <v/>
      </c>
      <c r="I2215">
        <f>IF(F2215="","",INDEX(Deals!$D$2:$D$843,F2215))</f>
        <v/>
      </c>
      <c r="J2215">
        <f>IF(F2215="","",INT(H2215)-B2215)</f>
        <v/>
      </c>
      <c r="K2215">
        <f>IF(B2215&gt;=Settings!$C$5,1,0)</f>
        <v/>
      </c>
    </row>
    <row r="2216">
      <c r="A2216" t="inlineStr">
        <is>
          <t>e2f8878a9018464d0e6c32e6c5f755f1</t>
        </is>
      </c>
      <c r="B2216" s="29" t="n">
        <v>42983</v>
      </c>
      <c r="C2216" t="inlineStr">
        <is>
          <t>2017-09</t>
        </is>
      </c>
      <c r="D2216" t="inlineStr">
        <is>
          <t>97338d2165e7d6d9bc1348573a405642</t>
        </is>
      </c>
      <c r="E2216" t="inlineStr">
        <is>
          <t>direct_traffic</t>
        </is>
      </c>
      <c r="F2216">
        <f>IFERROR(MATCH(A2216,Deals!$A$2:$A$843,0),"")</f>
        <v/>
      </c>
      <c r="G2216">
        <f>IF(F2216="",0,1)</f>
        <v/>
      </c>
      <c r="H2216" s="29">
        <f>IF(F2216="","",INDEX(Deals!$E$2:$E$843,F2216))</f>
        <v/>
      </c>
      <c r="I2216">
        <f>IF(F2216="","",INDEX(Deals!$D$2:$D$843,F2216))</f>
        <v/>
      </c>
      <c r="J2216">
        <f>IF(F2216="","",INT(H2216)-B2216)</f>
        <v/>
      </c>
      <c r="K2216">
        <f>IF(B2216&gt;=Settings!$C$5,1,0)</f>
        <v/>
      </c>
    </row>
    <row r="2217">
      <c r="A2217" t="inlineStr">
        <is>
          <t>667f061b738858573caad66f5cc56b32</t>
        </is>
      </c>
      <c r="B2217" s="29" t="n">
        <v>43131</v>
      </c>
      <c r="C2217" t="inlineStr">
        <is>
          <t>2018-01</t>
        </is>
      </c>
      <c r="D2217" t="inlineStr">
        <is>
          <t>a7982125ff7aa3b2054c6e44f9d28522</t>
        </is>
      </c>
      <c r="E2217" t="inlineStr">
        <is>
          <t>organic_search</t>
        </is>
      </c>
      <c r="F2217">
        <f>IFERROR(MATCH(A2217,Deals!$A$2:$A$843,0),"")</f>
        <v/>
      </c>
      <c r="G2217">
        <f>IF(F2217="",0,1)</f>
        <v/>
      </c>
      <c r="H2217" s="29">
        <f>IF(F2217="","",INDEX(Deals!$E$2:$E$843,F2217))</f>
        <v/>
      </c>
      <c r="I2217">
        <f>IF(F2217="","",INDEX(Deals!$D$2:$D$843,F2217))</f>
        <v/>
      </c>
      <c r="J2217">
        <f>IF(F2217="","",INT(H2217)-B2217)</f>
        <v/>
      </c>
      <c r="K2217">
        <f>IF(B2217&gt;=Settings!$C$5,1,0)</f>
        <v/>
      </c>
    </row>
    <row r="2218">
      <c r="A2218" t="inlineStr">
        <is>
          <t>8f012eb115c6b37cd310b1643497d6d6</t>
        </is>
      </c>
      <c r="B2218" s="29" t="n">
        <v>43148</v>
      </c>
      <c r="C2218" t="inlineStr">
        <is>
          <t>2018-02</t>
        </is>
      </c>
      <c r="D2218" t="inlineStr">
        <is>
          <t>b16779a74f2b20eb9a17a785519f63a0</t>
        </is>
      </c>
      <c r="E2218" t="inlineStr">
        <is>
          <t>organic_search</t>
        </is>
      </c>
      <c r="F2218">
        <f>IFERROR(MATCH(A2218,Deals!$A$2:$A$843,0),"")</f>
        <v/>
      </c>
      <c r="G2218">
        <f>IF(F2218="",0,1)</f>
        <v/>
      </c>
      <c r="H2218" s="29">
        <f>IF(F2218="","",INDEX(Deals!$E$2:$E$843,F2218))</f>
        <v/>
      </c>
      <c r="I2218">
        <f>IF(F2218="","",INDEX(Deals!$D$2:$D$843,F2218))</f>
        <v/>
      </c>
      <c r="J2218">
        <f>IF(F2218="","",INT(H2218)-B2218)</f>
        <v/>
      </c>
      <c r="K2218">
        <f>IF(B2218&gt;=Settings!$C$5,1,0)</f>
        <v/>
      </c>
    </row>
    <row r="2219">
      <c r="A2219" t="inlineStr">
        <is>
          <t>ae2da010af91a365a412e97d26ae4e59</t>
        </is>
      </c>
      <c r="B2219" s="29" t="n">
        <v>43122</v>
      </c>
      <c r="C2219" t="inlineStr">
        <is>
          <t>2018-01</t>
        </is>
      </c>
      <c r="D2219" t="inlineStr">
        <is>
          <t>d45d558f0daeecf3cccdffe3c59684aa</t>
        </is>
      </c>
      <c r="E2219" t="inlineStr">
        <is>
          <t>referral</t>
        </is>
      </c>
      <c r="F2219">
        <f>IFERROR(MATCH(A2219,Deals!$A$2:$A$843,0),"")</f>
        <v/>
      </c>
      <c r="G2219">
        <f>IF(F2219="",0,1)</f>
        <v/>
      </c>
      <c r="H2219" s="29">
        <f>IF(F2219="","",INDEX(Deals!$E$2:$E$843,F2219))</f>
        <v/>
      </c>
      <c r="I2219">
        <f>IF(F2219="","",INDEX(Deals!$D$2:$D$843,F2219))</f>
        <v/>
      </c>
      <c r="J2219">
        <f>IF(F2219="","",INT(H2219)-B2219)</f>
        <v/>
      </c>
      <c r="K2219">
        <f>IF(B2219&gt;=Settings!$C$5,1,0)</f>
        <v/>
      </c>
    </row>
    <row r="2220">
      <c r="A2220" t="inlineStr">
        <is>
          <t>843966e79e757cf797b7dfe514e30af1</t>
        </is>
      </c>
      <c r="B2220" s="29" t="n">
        <v>43246</v>
      </c>
      <c r="C2220" t="inlineStr">
        <is>
          <t>2018-05</t>
        </is>
      </c>
      <c r="D2220" t="inlineStr">
        <is>
          <t>22c29808c4f815213303f8933030604c</t>
        </is>
      </c>
      <c r="E2220" t="inlineStr">
        <is>
          <t>organic_search</t>
        </is>
      </c>
      <c r="F2220">
        <f>IFERROR(MATCH(A2220,Deals!$A$2:$A$843,0),"")</f>
        <v/>
      </c>
      <c r="G2220">
        <f>IF(F2220="",0,1)</f>
        <v/>
      </c>
      <c r="H2220" s="29">
        <f>IF(F2220="","",INDEX(Deals!$E$2:$E$843,F2220))</f>
        <v/>
      </c>
      <c r="I2220">
        <f>IF(F2220="","",INDEX(Deals!$D$2:$D$843,F2220))</f>
        <v/>
      </c>
      <c r="J2220">
        <f>IF(F2220="","",INT(H2220)-B2220)</f>
        <v/>
      </c>
      <c r="K2220">
        <f>IF(B2220&gt;=Settings!$C$5,1,0)</f>
        <v/>
      </c>
    </row>
    <row r="2221">
      <c r="A2221" t="inlineStr">
        <is>
          <t>a0cc6870eeb1114255bb4866b98151ac</t>
        </is>
      </c>
      <c r="B2221" s="29" t="n">
        <v>43212</v>
      </c>
      <c r="C2221" t="inlineStr">
        <is>
          <t>2018-04</t>
        </is>
      </c>
      <c r="D2221" t="inlineStr">
        <is>
          <t>5ecb50153794666e90bc04c0076b7834</t>
        </is>
      </c>
      <c r="E2221" t="inlineStr">
        <is>
          <t>paid_search</t>
        </is>
      </c>
      <c r="F2221">
        <f>IFERROR(MATCH(A2221,Deals!$A$2:$A$843,0),"")</f>
        <v/>
      </c>
      <c r="G2221">
        <f>IF(F2221="",0,1)</f>
        <v/>
      </c>
      <c r="H2221" s="29">
        <f>IF(F2221="","",INDEX(Deals!$E$2:$E$843,F2221))</f>
        <v/>
      </c>
      <c r="I2221">
        <f>IF(F2221="","",INDEX(Deals!$D$2:$D$843,F2221))</f>
        <v/>
      </c>
      <c r="J2221">
        <f>IF(F2221="","",INT(H2221)-B2221)</f>
        <v/>
      </c>
      <c r="K2221">
        <f>IF(B2221&gt;=Settings!$C$5,1,0)</f>
        <v/>
      </c>
    </row>
    <row r="2222">
      <c r="A2222" t="inlineStr">
        <is>
          <t>fe0cb52457d81488e822c9f05591a0dc</t>
        </is>
      </c>
      <c r="B2222" s="29" t="n">
        <v>43215</v>
      </c>
      <c r="C2222" t="inlineStr">
        <is>
          <t>2018-04</t>
        </is>
      </c>
      <c r="D2222" t="inlineStr">
        <is>
          <t>16d718d40146b50ca7a8a045f1b06834</t>
        </is>
      </c>
      <c r="E2222" t="inlineStr">
        <is>
          <t>organic_search</t>
        </is>
      </c>
      <c r="F2222">
        <f>IFERROR(MATCH(A2222,Deals!$A$2:$A$843,0),"")</f>
        <v/>
      </c>
      <c r="G2222">
        <f>IF(F2222="",0,1)</f>
        <v/>
      </c>
      <c r="H2222" s="29">
        <f>IF(F2222="","",INDEX(Deals!$E$2:$E$843,F2222))</f>
        <v/>
      </c>
      <c r="I2222">
        <f>IF(F2222="","",INDEX(Deals!$D$2:$D$843,F2222))</f>
        <v/>
      </c>
      <c r="J2222">
        <f>IF(F2222="","",INT(H2222)-B2222)</f>
        <v/>
      </c>
      <c r="K2222">
        <f>IF(B2222&gt;=Settings!$C$5,1,0)</f>
        <v/>
      </c>
    </row>
    <row r="2223">
      <c r="A2223" t="inlineStr">
        <is>
          <t>c6dc54236a1eec66569a098d8984177e</t>
        </is>
      </c>
      <c r="B2223" s="29" t="n">
        <v>43092</v>
      </c>
      <c r="C2223" t="inlineStr">
        <is>
          <t>2017-12</t>
        </is>
      </c>
      <c r="D2223" t="inlineStr">
        <is>
          <t>f017be4dbf86243af5c1ebed0cff36a2</t>
        </is>
      </c>
      <c r="E2223" t="inlineStr">
        <is>
          <t>referral</t>
        </is>
      </c>
      <c r="F2223">
        <f>IFERROR(MATCH(A2223,Deals!$A$2:$A$843,0),"")</f>
        <v/>
      </c>
      <c r="G2223">
        <f>IF(F2223="",0,1)</f>
        <v/>
      </c>
      <c r="H2223" s="29">
        <f>IF(F2223="","",INDEX(Deals!$E$2:$E$843,F2223))</f>
        <v/>
      </c>
      <c r="I2223">
        <f>IF(F2223="","",INDEX(Deals!$D$2:$D$843,F2223))</f>
        <v/>
      </c>
      <c r="J2223">
        <f>IF(F2223="","",INT(H2223)-B2223)</f>
        <v/>
      </c>
      <c r="K2223">
        <f>IF(B2223&gt;=Settings!$C$5,1,0)</f>
        <v/>
      </c>
    </row>
    <row r="2224">
      <c r="A2224" t="inlineStr">
        <is>
          <t>48c166e714c21cbdb72f2e85d87fb118</t>
        </is>
      </c>
      <c r="B2224" s="29" t="n">
        <v>42949</v>
      </c>
      <c r="C2224" t="inlineStr">
        <is>
          <t>2017-08</t>
        </is>
      </c>
      <c r="D2224" t="inlineStr">
        <is>
          <t>e92a6f37ebb87a6bfbc569d439cf1635</t>
        </is>
      </c>
      <c r="E2224" t="inlineStr">
        <is>
          <t>organic_search</t>
        </is>
      </c>
      <c r="F2224">
        <f>IFERROR(MATCH(A2224,Deals!$A$2:$A$843,0),"")</f>
        <v/>
      </c>
      <c r="G2224">
        <f>IF(F2224="",0,1)</f>
        <v/>
      </c>
      <c r="H2224" s="29">
        <f>IF(F2224="","",INDEX(Deals!$E$2:$E$843,F2224))</f>
        <v/>
      </c>
      <c r="I2224">
        <f>IF(F2224="","",INDEX(Deals!$D$2:$D$843,F2224))</f>
        <v/>
      </c>
      <c r="J2224">
        <f>IF(F2224="","",INT(H2224)-B2224)</f>
        <v/>
      </c>
      <c r="K2224">
        <f>IF(B2224&gt;=Settings!$C$5,1,0)</f>
        <v/>
      </c>
    </row>
    <row r="2225">
      <c r="A2225" t="inlineStr">
        <is>
          <t>10f39dba81ce772b450e776e718ccff3</t>
        </is>
      </c>
      <c r="B2225" s="29" t="n">
        <v>43224</v>
      </c>
      <c r="C2225" t="inlineStr">
        <is>
          <t>2018-05</t>
        </is>
      </c>
      <c r="D2225" t="inlineStr">
        <is>
          <t>b8cc49b19db5de8ec30f938aa3d916a9</t>
        </is>
      </c>
      <c r="E2225" t="inlineStr">
        <is>
          <t>email</t>
        </is>
      </c>
      <c r="F2225">
        <f>IFERROR(MATCH(A2225,Deals!$A$2:$A$843,0),"")</f>
        <v/>
      </c>
      <c r="G2225">
        <f>IF(F2225="",0,1)</f>
        <v/>
      </c>
      <c r="H2225" s="29">
        <f>IF(F2225="","",INDEX(Deals!$E$2:$E$843,F2225))</f>
        <v/>
      </c>
      <c r="I2225">
        <f>IF(F2225="","",INDEX(Deals!$D$2:$D$843,F2225))</f>
        <v/>
      </c>
      <c r="J2225">
        <f>IF(F2225="","",INT(H2225)-B2225)</f>
        <v/>
      </c>
      <c r="K2225">
        <f>IF(B2225&gt;=Settings!$C$5,1,0)</f>
        <v/>
      </c>
    </row>
    <row r="2226">
      <c r="A2226" t="inlineStr">
        <is>
          <t>cf8f0678e67cb002c2b68f9f68629885</t>
        </is>
      </c>
      <c r="B2226" s="29" t="n">
        <v>43157</v>
      </c>
      <c r="C2226" t="inlineStr">
        <is>
          <t>2018-02</t>
        </is>
      </c>
      <c r="D2226" t="inlineStr">
        <is>
          <t>241f79c7a8fe0270f4fb79fcbbcd17ad</t>
        </is>
      </c>
      <c r="E2226" t="inlineStr">
        <is>
          <t>paid_search</t>
        </is>
      </c>
      <c r="F2226">
        <f>IFERROR(MATCH(A2226,Deals!$A$2:$A$843,0),"")</f>
        <v/>
      </c>
      <c r="G2226">
        <f>IF(F2226="",0,1)</f>
        <v/>
      </c>
      <c r="H2226" s="29">
        <f>IF(F2226="","",INDEX(Deals!$E$2:$E$843,F2226))</f>
        <v/>
      </c>
      <c r="I2226">
        <f>IF(F2226="","",INDEX(Deals!$D$2:$D$843,F2226))</f>
        <v/>
      </c>
      <c r="J2226">
        <f>IF(F2226="","",INT(H2226)-B2226)</f>
        <v/>
      </c>
      <c r="K2226">
        <f>IF(B2226&gt;=Settings!$C$5,1,0)</f>
        <v/>
      </c>
    </row>
    <row r="2227">
      <c r="A2227" t="inlineStr">
        <is>
          <t>34e81352505555b8fea122cba1403273</t>
        </is>
      </c>
      <c r="B2227" s="29" t="n">
        <v>43186</v>
      </c>
      <c r="C2227" t="inlineStr">
        <is>
          <t>2018-03</t>
        </is>
      </c>
      <c r="D2227" t="inlineStr">
        <is>
          <t>7fa6214d82e911d070f51ef79381b956</t>
        </is>
      </c>
      <c r="E2227" t="inlineStr">
        <is>
          <t>paid_search</t>
        </is>
      </c>
      <c r="F2227">
        <f>IFERROR(MATCH(A2227,Deals!$A$2:$A$843,0),"")</f>
        <v/>
      </c>
      <c r="G2227">
        <f>IF(F2227="",0,1)</f>
        <v/>
      </c>
      <c r="H2227" s="29">
        <f>IF(F2227="","",INDEX(Deals!$E$2:$E$843,F2227))</f>
        <v/>
      </c>
      <c r="I2227">
        <f>IF(F2227="","",INDEX(Deals!$D$2:$D$843,F2227))</f>
        <v/>
      </c>
      <c r="J2227">
        <f>IF(F2227="","",INT(H2227)-B2227)</f>
        <v/>
      </c>
      <c r="K2227">
        <f>IF(B2227&gt;=Settings!$C$5,1,0)</f>
        <v/>
      </c>
    </row>
    <row r="2228">
      <c r="A2228" t="inlineStr">
        <is>
          <t>181d697ba3986e50233a8dfb70d2d11a</t>
        </is>
      </c>
      <c r="B2228" s="29" t="n">
        <v>43195</v>
      </c>
      <c r="C2228" t="inlineStr">
        <is>
          <t>2018-04</t>
        </is>
      </c>
      <c r="D2228" t="inlineStr">
        <is>
          <t>58326e62183c14b0c03085c33b9fdc44</t>
        </is>
      </c>
      <c r="E2228" t="inlineStr">
        <is>
          <t>social</t>
        </is>
      </c>
      <c r="F2228">
        <f>IFERROR(MATCH(A2228,Deals!$A$2:$A$843,0),"")</f>
        <v/>
      </c>
      <c r="G2228">
        <f>IF(F2228="",0,1)</f>
        <v/>
      </c>
      <c r="H2228" s="29">
        <f>IF(F2228="","",INDEX(Deals!$E$2:$E$843,F2228))</f>
        <v/>
      </c>
      <c r="I2228">
        <f>IF(F2228="","",INDEX(Deals!$D$2:$D$843,F2228))</f>
        <v/>
      </c>
      <c r="J2228">
        <f>IF(F2228="","",INT(H2228)-B2228)</f>
        <v/>
      </c>
      <c r="K2228">
        <f>IF(B2228&gt;=Settings!$C$5,1,0)</f>
        <v/>
      </c>
    </row>
    <row r="2229">
      <c r="A2229" t="inlineStr">
        <is>
          <t>5a48316dcefbfd05ab7a7d98a5e9ec13</t>
        </is>
      </c>
      <c r="B2229" s="29" t="n">
        <v>43206</v>
      </c>
      <c r="C2229" t="inlineStr">
        <is>
          <t>2018-04</t>
        </is>
      </c>
      <c r="D2229" t="inlineStr">
        <is>
          <t>ce1a65abd0973638f1c887a6efcfa82d</t>
        </is>
      </c>
      <c r="E2229" t="inlineStr">
        <is>
          <t>referral</t>
        </is>
      </c>
      <c r="F2229">
        <f>IFERROR(MATCH(A2229,Deals!$A$2:$A$843,0),"")</f>
        <v/>
      </c>
      <c r="G2229">
        <f>IF(F2229="",0,1)</f>
        <v/>
      </c>
      <c r="H2229" s="29">
        <f>IF(F2229="","",INDEX(Deals!$E$2:$E$843,F2229))</f>
        <v/>
      </c>
      <c r="I2229">
        <f>IF(F2229="","",INDEX(Deals!$D$2:$D$843,F2229))</f>
        <v/>
      </c>
      <c r="J2229">
        <f>IF(F2229="","",INT(H2229)-B2229)</f>
        <v/>
      </c>
      <c r="K2229">
        <f>IF(B2229&gt;=Settings!$C$5,1,0)</f>
        <v/>
      </c>
    </row>
    <row r="2230">
      <c r="A2230" t="inlineStr">
        <is>
          <t>84a4b37779ee88caf98a810ddc375033</t>
        </is>
      </c>
      <c r="B2230" s="29" t="n">
        <v>43117</v>
      </c>
      <c r="C2230" t="inlineStr">
        <is>
          <t>2018-01</t>
        </is>
      </c>
      <c r="D2230" t="inlineStr">
        <is>
          <t>b48ec5f3b04e9068441002a19df93c6c</t>
        </is>
      </c>
      <c r="E2230" t="inlineStr">
        <is>
          <t>organic_search</t>
        </is>
      </c>
      <c r="F2230">
        <f>IFERROR(MATCH(A2230,Deals!$A$2:$A$843,0),"")</f>
        <v/>
      </c>
      <c r="G2230">
        <f>IF(F2230="",0,1)</f>
        <v/>
      </c>
      <c r="H2230" s="29">
        <f>IF(F2230="","",INDEX(Deals!$E$2:$E$843,F2230))</f>
        <v/>
      </c>
      <c r="I2230">
        <f>IF(F2230="","",INDEX(Deals!$D$2:$D$843,F2230))</f>
        <v/>
      </c>
      <c r="J2230">
        <f>IF(F2230="","",INT(H2230)-B2230)</f>
        <v/>
      </c>
      <c r="K2230">
        <f>IF(B2230&gt;=Settings!$C$5,1,0)</f>
        <v/>
      </c>
    </row>
    <row r="2231">
      <c r="A2231" t="inlineStr">
        <is>
          <t>3b0297d5f6b35c9ce9075e5873628a72</t>
        </is>
      </c>
      <c r="B2231" s="29" t="n">
        <v>43105</v>
      </c>
      <c r="C2231" t="inlineStr">
        <is>
          <t>2018-01</t>
        </is>
      </c>
      <c r="D2231" t="inlineStr">
        <is>
          <t>73f31a40697cc90a86c1273563ac230e</t>
        </is>
      </c>
      <c r="E2231" t="inlineStr">
        <is>
          <t>other</t>
        </is>
      </c>
      <c r="F2231">
        <f>IFERROR(MATCH(A2231,Deals!$A$2:$A$843,0),"")</f>
        <v/>
      </c>
      <c r="G2231">
        <f>IF(F2231="",0,1)</f>
        <v/>
      </c>
      <c r="H2231" s="29">
        <f>IF(F2231="","",INDEX(Deals!$E$2:$E$843,F2231))</f>
        <v/>
      </c>
      <c r="I2231">
        <f>IF(F2231="","",INDEX(Deals!$D$2:$D$843,F2231))</f>
        <v/>
      </c>
      <c r="J2231">
        <f>IF(F2231="","",INT(H2231)-B2231)</f>
        <v/>
      </c>
      <c r="K2231">
        <f>IF(B2231&gt;=Settings!$C$5,1,0)</f>
        <v/>
      </c>
    </row>
    <row r="2232">
      <c r="A2232" t="inlineStr">
        <is>
          <t>a37f6eb69c0ec999a1679da5e7968c73</t>
        </is>
      </c>
      <c r="B2232" s="29" t="n">
        <v>43145</v>
      </c>
      <c r="C2232" t="inlineStr">
        <is>
          <t>2018-02</t>
        </is>
      </c>
      <c r="D2232" t="inlineStr">
        <is>
          <t>b76ef37428e6799c421989521c0e5077</t>
        </is>
      </c>
      <c r="E2232" t="inlineStr">
        <is>
          <t>unknown</t>
        </is>
      </c>
      <c r="F2232">
        <f>IFERROR(MATCH(A2232,Deals!$A$2:$A$843,0),"")</f>
        <v/>
      </c>
      <c r="G2232">
        <f>IF(F2232="",0,1)</f>
        <v/>
      </c>
      <c r="H2232" s="29">
        <f>IF(F2232="","",INDEX(Deals!$E$2:$E$843,F2232))</f>
        <v/>
      </c>
      <c r="I2232">
        <f>IF(F2232="","",INDEX(Deals!$D$2:$D$843,F2232))</f>
        <v/>
      </c>
      <c r="J2232">
        <f>IF(F2232="","",INT(H2232)-B2232)</f>
        <v/>
      </c>
      <c r="K2232">
        <f>IF(B2232&gt;=Settings!$C$5,1,0)</f>
        <v/>
      </c>
    </row>
    <row r="2233">
      <c r="A2233" t="inlineStr">
        <is>
          <t>af6b3a926fd801b68dbe0a5e10d76fa8</t>
        </is>
      </c>
      <c r="B2233" s="29" t="n">
        <v>43111</v>
      </c>
      <c r="C2233" t="inlineStr">
        <is>
          <t>2018-01</t>
        </is>
      </c>
      <c r="D2233" t="inlineStr">
        <is>
          <t>f017be4dbf86243af5c1ebed0cff36a2</t>
        </is>
      </c>
      <c r="E2233" t="inlineStr">
        <is>
          <t>organic_search</t>
        </is>
      </c>
      <c r="F2233">
        <f>IFERROR(MATCH(A2233,Deals!$A$2:$A$843,0),"")</f>
        <v/>
      </c>
      <c r="G2233">
        <f>IF(F2233="",0,1)</f>
        <v/>
      </c>
      <c r="H2233" s="29">
        <f>IF(F2233="","",INDEX(Deals!$E$2:$E$843,F2233))</f>
        <v/>
      </c>
      <c r="I2233">
        <f>IF(F2233="","",INDEX(Deals!$D$2:$D$843,F2233))</f>
        <v/>
      </c>
      <c r="J2233">
        <f>IF(F2233="","",INT(H2233)-B2233)</f>
        <v/>
      </c>
      <c r="K2233">
        <f>IF(B2233&gt;=Settings!$C$5,1,0)</f>
        <v/>
      </c>
    </row>
    <row r="2234">
      <c r="A2234" t="inlineStr">
        <is>
          <t>5b8f025dafb56cb8d3088b7259aadcfb</t>
        </is>
      </c>
      <c r="B2234" s="29" t="n">
        <v>43107</v>
      </c>
      <c r="C2234" t="inlineStr">
        <is>
          <t>2018-01</t>
        </is>
      </c>
      <c r="D2234" t="inlineStr">
        <is>
          <t>b6885f18d203a61176418c1fb3764815</t>
        </is>
      </c>
      <c r="E2234" t="inlineStr">
        <is>
          <t>paid_search</t>
        </is>
      </c>
      <c r="F2234">
        <f>IFERROR(MATCH(A2234,Deals!$A$2:$A$843,0),"")</f>
        <v/>
      </c>
      <c r="G2234">
        <f>IF(F2234="",0,1)</f>
        <v/>
      </c>
      <c r="H2234" s="29">
        <f>IF(F2234="","",INDEX(Deals!$E$2:$E$843,F2234))</f>
        <v/>
      </c>
      <c r="I2234">
        <f>IF(F2234="","",INDEX(Deals!$D$2:$D$843,F2234))</f>
        <v/>
      </c>
      <c r="J2234">
        <f>IF(F2234="","",INT(H2234)-B2234)</f>
        <v/>
      </c>
      <c r="K2234">
        <f>IF(B2234&gt;=Settings!$C$5,1,0)</f>
        <v/>
      </c>
    </row>
    <row r="2235">
      <c r="A2235" t="inlineStr">
        <is>
          <t>0c48d6d0f656b10e4c01ad9f83cbc1e9</t>
        </is>
      </c>
      <c r="B2235" s="29" t="n">
        <v>43224</v>
      </c>
      <c r="C2235" t="inlineStr">
        <is>
          <t>2018-05</t>
        </is>
      </c>
      <c r="D2235" t="inlineStr">
        <is>
          <t>21a104c3279681d9856b8a48723c4fee</t>
        </is>
      </c>
      <c r="E2235" t="inlineStr">
        <is>
          <t>social</t>
        </is>
      </c>
      <c r="F2235">
        <f>IFERROR(MATCH(A2235,Deals!$A$2:$A$843,0),"")</f>
        <v/>
      </c>
      <c r="G2235">
        <f>IF(F2235="",0,1)</f>
        <v/>
      </c>
      <c r="H2235" s="29">
        <f>IF(F2235="","",INDEX(Deals!$E$2:$E$843,F2235))</f>
        <v/>
      </c>
      <c r="I2235">
        <f>IF(F2235="","",INDEX(Deals!$D$2:$D$843,F2235))</f>
        <v/>
      </c>
      <c r="J2235">
        <f>IF(F2235="","",INT(H2235)-B2235)</f>
        <v/>
      </c>
      <c r="K2235">
        <f>IF(B2235&gt;=Settings!$C$5,1,0)</f>
        <v/>
      </c>
    </row>
    <row r="2236">
      <c r="A2236" t="inlineStr">
        <is>
          <t>49117628ac2ccc7459e70c95fc9f55f1</t>
        </is>
      </c>
      <c r="B2236" s="29" t="n">
        <v>43207</v>
      </c>
      <c r="C2236" t="inlineStr">
        <is>
          <t>2018-04</t>
        </is>
      </c>
      <c r="D2236" t="inlineStr">
        <is>
          <t>3aea860a87895eee6b72f666b3d7b98a</t>
        </is>
      </c>
      <c r="E2236" t="inlineStr">
        <is>
          <t>(missing)</t>
        </is>
      </c>
      <c r="F2236">
        <f>IFERROR(MATCH(A2236,Deals!$A$2:$A$843,0),"")</f>
        <v/>
      </c>
      <c r="G2236">
        <f>IF(F2236="",0,1)</f>
        <v/>
      </c>
      <c r="H2236" s="29">
        <f>IF(F2236="","",INDEX(Deals!$E$2:$E$843,F2236))</f>
        <v/>
      </c>
      <c r="I2236">
        <f>IF(F2236="","",INDEX(Deals!$D$2:$D$843,F2236))</f>
        <v/>
      </c>
      <c r="J2236">
        <f>IF(F2236="","",INT(H2236)-B2236)</f>
        <v/>
      </c>
      <c r="K2236">
        <f>IF(B2236&gt;=Settings!$C$5,1,0)</f>
        <v/>
      </c>
    </row>
    <row r="2237">
      <c r="A2237" t="inlineStr">
        <is>
          <t>81551074cfb8ca8453f46a9e3332044c</t>
        </is>
      </c>
      <c r="B2237" s="29" t="n">
        <v>43250</v>
      </c>
      <c r="C2237" t="inlineStr">
        <is>
          <t>2018-05</t>
        </is>
      </c>
      <c r="D2237" t="inlineStr">
        <is>
          <t>ce1a65abd0973638f1c887a6efcfa82d</t>
        </is>
      </c>
      <c r="E2237" t="inlineStr">
        <is>
          <t>organic_search</t>
        </is>
      </c>
      <c r="F2237">
        <f>IFERROR(MATCH(A2237,Deals!$A$2:$A$843,0),"")</f>
        <v/>
      </c>
      <c r="G2237">
        <f>IF(F2237="",0,1)</f>
        <v/>
      </c>
      <c r="H2237" s="29">
        <f>IF(F2237="","",INDEX(Deals!$E$2:$E$843,F2237))</f>
        <v/>
      </c>
      <c r="I2237">
        <f>IF(F2237="","",INDEX(Deals!$D$2:$D$843,F2237))</f>
        <v/>
      </c>
      <c r="J2237">
        <f>IF(F2237="","",INT(H2237)-B2237)</f>
        <v/>
      </c>
      <c r="K2237">
        <f>IF(B2237&gt;=Settings!$C$5,1,0)</f>
        <v/>
      </c>
    </row>
    <row r="2238">
      <c r="A2238" t="inlineStr">
        <is>
          <t>ce3ecbaee3cc8014c4c2cba7b7106a38</t>
        </is>
      </c>
      <c r="B2238" s="29" t="n">
        <v>43218</v>
      </c>
      <c r="C2238" t="inlineStr">
        <is>
          <t>2018-04</t>
        </is>
      </c>
      <c r="D2238" t="inlineStr">
        <is>
          <t>58326e62183c14b0c03085c33b9fdc44</t>
        </is>
      </c>
      <c r="E2238" t="inlineStr">
        <is>
          <t>social</t>
        </is>
      </c>
      <c r="F2238">
        <f>IFERROR(MATCH(A2238,Deals!$A$2:$A$843,0),"")</f>
        <v/>
      </c>
      <c r="G2238">
        <f>IF(F2238="",0,1)</f>
        <v/>
      </c>
      <c r="H2238" s="29">
        <f>IF(F2238="","",INDEX(Deals!$E$2:$E$843,F2238))</f>
        <v/>
      </c>
      <c r="I2238">
        <f>IF(F2238="","",INDEX(Deals!$D$2:$D$843,F2238))</f>
        <v/>
      </c>
      <c r="J2238">
        <f>IF(F2238="","",INT(H2238)-B2238)</f>
        <v/>
      </c>
      <c r="K2238">
        <f>IF(B2238&gt;=Settings!$C$5,1,0)</f>
        <v/>
      </c>
    </row>
    <row r="2239">
      <c r="A2239" t="inlineStr">
        <is>
          <t>48b0c1e73495f288ff1e4c1244101cc8</t>
        </is>
      </c>
      <c r="B2239" s="29" t="n">
        <v>43234</v>
      </c>
      <c r="C2239" t="inlineStr">
        <is>
          <t>2018-05</t>
        </is>
      </c>
      <c r="D2239" t="inlineStr">
        <is>
          <t>58326e62183c14b0c03085c33b9fdc44</t>
        </is>
      </c>
      <c r="E2239" t="inlineStr">
        <is>
          <t>social</t>
        </is>
      </c>
      <c r="F2239">
        <f>IFERROR(MATCH(A2239,Deals!$A$2:$A$843,0),"")</f>
        <v/>
      </c>
      <c r="G2239">
        <f>IF(F2239="",0,1)</f>
        <v/>
      </c>
      <c r="H2239" s="29">
        <f>IF(F2239="","",INDEX(Deals!$E$2:$E$843,F2239))</f>
        <v/>
      </c>
      <c r="I2239">
        <f>IF(F2239="","",INDEX(Deals!$D$2:$D$843,F2239))</f>
        <v/>
      </c>
      <c r="J2239">
        <f>IF(F2239="","",INT(H2239)-B2239)</f>
        <v/>
      </c>
      <c r="K2239">
        <f>IF(B2239&gt;=Settings!$C$5,1,0)</f>
        <v/>
      </c>
    </row>
    <row r="2240">
      <c r="A2240" t="inlineStr">
        <is>
          <t>299d8968ef74c5086cb3ee21f13ed27a</t>
        </is>
      </c>
      <c r="B2240" s="29" t="n">
        <v>43138</v>
      </c>
      <c r="C2240" t="inlineStr">
        <is>
          <t>2018-02</t>
        </is>
      </c>
      <c r="D2240" t="inlineStr">
        <is>
          <t>3e3371f8470ce094c7c82c09b7bd59d9</t>
        </is>
      </c>
      <c r="E2240" t="inlineStr">
        <is>
          <t>unknown</t>
        </is>
      </c>
      <c r="F2240">
        <f>IFERROR(MATCH(A2240,Deals!$A$2:$A$843,0),"")</f>
        <v/>
      </c>
      <c r="G2240">
        <f>IF(F2240="",0,1)</f>
        <v/>
      </c>
      <c r="H2240" s="29">
        <f>IF(F2240="","",INDEX(Deals!$E$2:$E$843,F2240))</f>
        <v/>
      </c>
      <c r="I2240">
        <f>IF(F2240="","",INDEX(Deals!$D$2:$D$843,F2240))</f>
        <v/>
      </c>
      <c r="J2240">
        <f>IF(F2240="","",INT(H2240)-B2240)</f>
        <v/>
      </c>
      <c r="K2240">
        <f>IF(B2240&gt;=Settings!$C$5,1,0)</f>
        <v/>
      </c>
    </row>
    <row r="2241">
      <c r="A2241" t="inlineStr">
        <is>
          <t>994a333e90d888a480e45e6e6e41707a</t>
        </is>
      </c>
      <c r="B2241" s="29" t="n">
        <v>43195</v>
      </c>
      <c r="C2241" t="inlineStr">
        <is>
          <t>2018-04</t>
        </is>
      </c>
      <c r="D2241" t="inlineStr">
        <is>
          <t>e42a14209c69c3e9cc6b042620465f12</t>
        </is>
      </c>
      <c r="E2241" t="inlineStr">
        <is>
          <t>unknown</t>
        </is>
      </c>
      <c r="F2241">
        <f>IFERROR(MATCH(A2241,Deals!$A$2:$A$843,0),"")</f>
        <v/>
      </c>
      <c r="G2241">
        <f>IF(F2241="",0,1)</f>
        <v/>
      </c>
      <c r="H2241" s="29">
        <f>IF(F2241="","",INDEX(Deals!$E$2:$E$843,F2241))</f>
        <v/>
      </c>
      <c r="I2241">
        <f>IF(F2241="","",INDEX(Deals!$D$2:$D$843,F2241))</f>
        <v/>
      </c>
      <c r="J2241">
        <f>IF(F2241="","",INT(H2241)-B2241)</f>
        <v/>
      </c>
      <c r="K2241">
        <f>IF(B2241&gt;=Settings!$C$5,1,0)</f>
        <v/>
      </c>
    </row>
    <row r="2242">
      <c r="A2242" t="inlineStr">
        <is>
          <t>108a42bc32d9f01c45d9cdc93156edd5</t>
        </is>
      </c>
      <c r="B2242" s="29" t="n">
        <v>43219</v>
      </c>
      <c r="C2242" t="inlineStr">
        <is>
          <t>2018-04</t>
        </is>
      </c>
      <c r="D2242" t="inlineStr">
        <is>
          <t>58326e62183c14b0c03085c33b9fdc44</t>
        </is>
      </c>
      <c r="E2242" t="inlineStr">
        <is>
          <t>social</t>
        </is>
      </c>
      <c r="F2242">
        <f>IFERROR(MATCH(A2242,Deals!$A$2:$A$843,0),"")</f>
        <v/>
      </c>
      <c r="G2242">
        <f>IF(F2242="",0,1)</f>
        <v/>
      </c>
      <c r="H2242" s="29">
        <f>IF(F2242="","",INDEX(Deals!$E$2:$E$843,F2242))</f>
        <v/>
      </c>
      <c r="I2242">
        <f>IF(F2242="","",INDEX(Deals!$D$2:$D$843,F2242))</f>
        <v/>
      </c>
      <c r="J2242">
        <f>IF(F2242="","",INT(H2242)-B2242)</f>
        <v/>
      </c>
      <c r="K2242">
        <f>IF(B2242&gt;=Settings!$C$5,1,0)</f>
        <v/>
      </c>
    </row>
    <row r="2243">
      <c r="A2243" t="inlineStr">
        <is>
          <t>f5aa7691b4059b96dbdb0439f1b43c7f</t>
        </is>
      </c>
      <c r="B2243" s="29" t="n">
        <v>43046</v>
      </c>
      <c r="C2243" t="inlineStr">
        <is>
          <t>2017-11</t>
        </is>
      </c>
      <c r="D2243" t="inlineStr">
        <is>
          <t>64078d75b35c1df83ebde92c7babe9d4</t>
        </is>
      </c>
      <c r="E2243" t="inlineStr">
        <is>
          <t>display</t>
        </is>
      </c>
      <c r="F2243">
        <f>IFERROR(MATCH(A2243,Deals!$A$2:$A$843,0),"")</f>
        <v/>
      </c>
      <c r="G2243">
        <f>IF(F2243="",0,1)</f>
        <v/>
      </c>
      <c r="H2243" s="29">
        <f>IF(F2243="","",INDEX(Deals!$E$2:$E$843,F2243))</f>
        <v/>
      </c>
      <c r="I2243">
        <f>IF(F2243="","",INDEX(Deals!$D$2:$D$843,F2243))</f>
        <v/>
      </c>
      <c r="J2243">
        <f>IF(F2243="","",INT(H2243)-B2243)</f>
        <v/>
      </c>
      <c r="K2243">
        <f>IF(B2243&gt;=Settings!$C$5,1,0)</f>
        <v/>
      </c>
    </row>
    <row r="2244">
      <c r="A2244" t="inlineStr">
        <is>
          <t>643d9e3a6e58bde642a3ee358ff7b63b</t>
        </is>
      </c>
      <c r="B2244" s="29" t="n">
        <v>43122</v>
      </c>
      <c r="C2244" t="inlineStr">
        <is>
          <t>2018-01</t>
        </is>
      </c>
      <c r="D2244" t="inlineStr">
        <is>
          <t>d45d558f0daeecf3cccdffe3c59684aa</t>
        </is>
      </c>
      <c r="E2244" t="inlineStr">
        <is>
          <t>email</t>
        </is>
      </c>
      <c r="F2244">
        <f>IFERROR(MATCH(A2244,Deals!$A$2:$A$843,0),"")</f>
        <v/>
      </c>
      <c r="G2244">
        <f>IF(F2244="",0,1)</f>
        <v/>
      </c>
      <c r="H2244" s="29">
        <f>IF(F2244="","",INDEX(Deals!$E$2:$E$843,F2244))</f>
        <v/>
      </c>
      <c r="I2244">
        <f>IF(F2244="","",INDEX(Deals!$D$2:$D$843,F2244))</f>
        <v/>
      </c>
      <c r="J2244">
        <f>IF(F2244="","",INT(H2244)-B2244)</f>
        <v/>
      </c>
      <c r="K2244">
        <f>IF(B2244&gt;=Settings!$C$5,1,0)</f>
        <v/>
      </c>
    </row>
    <row r="2245">
      <c r="A2245" t="inlineStr">
        <is>
          <t>23d2204075d31bb041a8603d053651b2</t>
        </is>
      </c>
      <c r="B2245" s="29" t="n">
        <v>43175</v>
      </c>
      <c r="C2245" t="inlineStr">
        <is>
          <t>2018-03</t>
        </is>
      </c>
      <c r="D2245" t="inlineStr">
        <is>
          <t>daa9619c6f8ed06d059265dca0f9257f</t>
        </is>
      </c>
      <c r="E2245" t="inlineStr">
        <is>
          <t>email</t>
        </is>
      </c>
      <c r="F2245">
        <f>IFERROR(MATCH(A2245,Deals!$A$2:$A$843,0),"")</f>
        <v/>
      </c>
      <c r="G2245">
        <f>IF(F2245="",0,1)</f>
        <v/>
      </c>
      <c r="H2245" s="29">
        <f>IF(F2245="","",INDEX(Deals!$E$2:$E$843,F2245))</f>
        <v/>
      </c>
      <c r="I2245">
        <f>IF(F2245="","",INDEX(Deals!$D$2:$D$843,F2245))</f>
        <v/>
      </c>
      <c r="J2245">
        <f>IF(F2245="","",INT(H2245)-B2245)</f>
        <v/>
      </c>
      <c r="K2245">
        <f>IF(B2245&gt;=Settings!$C$5,1,0)</f>
        <v/>
      </c>
    </row>
    <row r="2246">
      <c r="A2246" t="inlineStr">
        <is>
          <t>e9dcae4d924ac8fff2334db6e5b99482</t>
        </is>
      </c>
      <c r="B2246" s="29" t="n">
        <v>43161</v>
      </c>
      <c r="C2246" t="inlineStr">
        <is>
          <t>2018-03</t>
        </is>
      </c>
      <c r="D2246" t="inlineStr">
        <is>
          <t>a7982125ff7aa3b2054c6e44f9d28522</t>
        </is>
      </c>
      <c r="E2246" t="inlineStr">
        <is>
          <t>organic_search</t>
        </is>
      </c>
      <c r="F2246">
        <f>IFERROR(MATCH(A2246,Deals!$A$2:$A$843,0),"")</f>
        <v/>
      </c>
      <c r="G2246">
        <f>IF(F2246="",0,1)</f>
        <v/>
      </c>
      <c r="H2246" s="29">
        <f>IF(F2246="","",INDEX(Deals!$E$2:$E$843,F2246))</f>
        <v/>
      </c>
      <c r="I2246">
        <f>IF(F2246="","",INDEX(Deals!$D$2:$D$843,F2246))</f>
        <v/>
      </c>
      <c r="J2246">
        <f>IF(F2246="","",INT(H2246)-B2246)</f>
        <v/>
      </c>
      <c r="K2246">
        <f>IF(B2246&gt;=Settings!$C$5,1,0)</f>
        <v/>
      </c>
    </row>
    <row r="2247">
      <c r="A2247" t="inlineStr">
        <is>
          <t>91091ac32f525d88daa6d6b721420ac1</t>
        </is>
      </c>
      <c r="B2247" s="29" t="n">
        <v>43242</v>
      </c>
      <c r="C2247" t="inlineStr">
        <is>
          <t>2018-05</t>
        </is>
      </c>
      <c r="D2247" t="inlineStr">
        <is>
          <t>ef8fd2bd651e9bede81dfb6e45480793</t>
        </is>
      </c>
      <c r="E2247" t="inlineStr">
        <is>
          <t>organic_search</t>
        </is>
      </c>
      <c r="F2247">
        <f>IFERROR(MATCH(A2247,Deals!$A$2:$A$843,0),"")</f>
        <v/>
      </c>
      <c r="G2247">
        <f>IF(F2247="",0,1)</f>
        <v/>
      </c>
      <c r="H2247" s="29">
        <f>IF(F2247="","",INDEX(Deals!$E$2:$E$843,F2247))</f>
        <v/>
      </c>
      <c r="I2247">
        <f>IF(F2247="","",INDEX(Deals!$D$2:$D$843,F2247))</f>
        <v/>
      </c>
      <c r="J2247">
        <f>IF(F2247="","",INT(H2247)-B2247)</f>
        <v/>
      </c>
      <c r="K2247">
        <f>IF(B2247&gt;=Settings!$C$5,1,0)</f>
        <v/>
      </c>
    </row>
    <row r="2248">
      <c r="A2248" t="inlineStr">
        <is>
          <t>0b3f0a040caa140654d4f7cea2630275</t>
        </is>
      </c>
      <c r="B2248" s="29" t="n">
        <v>43205</v>
      </c>
      <c r="C2248" t="inlineStr">
        <is>
          <t>2018-04</t>
        </is>
      </c>
      <c r="D2248" t="inlineStr">
        <is>
          <t>fa5a0151e1f37d0055a3478fbb48827a</t>
        </is>
      </c>
      <c r="E2248" t="inlineStr">
        <is>
          <t>paid_search</t>
        </is>
      </c>
      <c r="F2248">
        <f>IFERROR(MATCH(A2248,Deals!$A$2:$A$843,0),"")</f>
        <v/>
      </c>
      <c r="G2248">
        <f>IF(F2248="",0,1)</f>
        <v/>
      </c>
      <c r="H2248" s="29">
        <f>IF(F2248="","",INDEX(Deals!$E$2:$E$843,F2248))</f>
        <v/>
      </c>
      <c r="I2248">
        <f>IF(F2248="","",INDEX(Deals!$D$2:$D$843,F2248))</f>
        <v/>
      </c>
      <c r="J2248">
        <f>IF(F2248="","",INT(H2248)-B2248)</f>
        <v/>
      </c>
      <c r="K2248">
        <f>IF(B2248&gt;=Settings!$C$5,1,0)</f>
        <v/>
      </c>
    </row>
    <row r="2249">
      <c r="A2249" t="inlineStr">
        <is>
          <t>89b6ae7e9c0ae4761036f785812c313a</t>
        </is>
      </c>
      <c r="B2249" s="29" t="n">
        <v>43068</v>
      </c>
      <c r="C2249" t="inlineStr">
        <is>
          <t>2017-11</t>
        </is>
      </c>
      <c r="D2249" t="inlineStr">
        <is>
          <t>88740e65d5d6b056e0cda098e1ea6313</t>
        </is>
      </c>
      <c r="E2249" t="inlineStr">
        <is>
          <t>social</t>
        </is>
      </c>
      <c r="F2249">
        <f>IFERROR(MATCH(A2249,Deals!$A$2:$A$843,0),"")</f>
        <v/>
      </c>
      <c r="G2249">
        <f>IF(F2249="",0,1)</f>
        <v/>
      </c>
      <c r="H2249" s="29">
        <f>IF(F2249="","",INDEX(Deals!$E$2:$E$843,F2249))</f>
        <v/>
      </c>
      <c r="I2249">
        <f>IF(F2249="","",INDEX(Deals!$D$2:$D$843,F2249))</f>
        <v/>
      </c>
      <c r="J2249">
        <f>IF(F2249="","",INT(H2249)-B2249)</f>
        <v/>
      </c>
      <c r="K2249">
        <f>IF(B2249&gt;=Settings!$C$5,1,0)</f>
        <v/>
      </c>
    </row>
    <row r="2250">
      <c r="A2250" t="inlineStr">
        <is>
          <t>3d3156f5541daae6744fdcf2e27a099f</t>
        </is>
      </c>
      <c r="B2250" s="29" t="n">
        <v>43220</v>
      </c>
      <c r="C2250" t="inlineStr">
        <is>
          <t>2018-04</t>
        </is>
      </c>
      <c r="D2250" t="inlineStr">
        <is>
          <t>30534107aa0013db92899c96a1017d0b</t>
        </is>
      </c>
      <c r="E2250" t="inlineStr">
        <is>
          <t>social</t>
        </is>
      </c>
      <c r="F2250">
        <f>IFERROR(MATCH(A2250,Deals!$A$2:$A$843,0),"")</f>
        <v/>
      </c>
      <c r="G2250">
        <f>IF(F2250="",0,1)</f>
        <v/>
      </c>
      <c r="H2250" s="29">
        <f>IF(F2250="","",INDEX(Deals!$E$2:$E$843,F2250))</f>
        <v/>
      </c>
      <c r="I2250">
        <f>IF(F2250="","",INDEX(Deals!$D$2:$D$843,F2250))</f>
        <v/>
      </c>
      <c r="J2250">
        <f>IF(F2250="","",INT(H2250)-B2250)</f>
        <v/>
      </c>
      <c r="K2250">
        <f>IF(B2250&gt;=Settings!$C$5,1,0)</f>
        <v/>
      </c>
    </row>
    <row r="2251">
      <c r="A2251" t="inlineStr">
        <is>
          <t>9b7080d2be0c83c547f822e62dcc2c02</t>
        </is>
      </c>
      <c r="B2251" s="29" t="n">
        <v>43213</v>
      </c>
      <c r="C2251" t="inlineStr">
        <is>
          <t>2018-04</t>
        </is>
      </c>
      <c r="D2251" t="inlineStr">
        <is>
          <t>58326e62183c14b0c03085c33b9fdc44</t>
        </is>
      </c>
      <c r="E2251" t="inlineStr">
        <is>
          <t>social</t>
        </is>
      </c>
      <c r="F2251">
        <f>IFERROR(MATCH(A2251,Deals!$A$2:$A$843,0),"")</f>
        <v/>
      </c>
      <c r="G2251">
        <f>IF(F2251="",0,1)</f>
        <v/>
      </c>
      <c r="H2251" s="29">
        <f>IF(F2251="","",INDEX(Deals!$E$2:$E$843,F2251))</f>
        <v/>
      </c>
      <c r="I2251">
        <f>IF(F2251="","",INDEX(Deals!$D$2:$D$843,F2251))</f>
        <v/>
      </c>
      <c r="J2251">
        <f>IF(F2251="","",INT(H2251)-B2251)</f>
        <v/>
      </c>
      <c r="K2251">
        <f>IF(B2251&gt;=Settings!$C$5,1,0)</f>
        <v/>
      </c>
    </row>
    <row r="2252">
      <c r="A2252" t="inlineStr">
        <is>
          <t>bad8918c94004ec3b357281f01ad4af1</t>
        </is>
      </c>
      <c r="B2252" s="29" t="n">
        <v>43070</v>
      </c>
      <c r="C2252" t="inlineStr">
        <is>
          <t>2017-12</t>
        </is>
      </c>
      <c r="D2252" t="inlineStr">
        <is>
          <t>58f8c0a253663304e348e81298bc255e</t>
        </is>
      </c>
      <c r="E2252" t="inlineStr">
        <is>
          <t>direct_traffic</t>
        </is>
      </c>
      <c r="F2252">
        <f>IFERROR(MATCH(A2252,Deals!$A$2:$A$843,0),"")</f>
        <v/>
      </c>
      <c r="G2252">
        <f>IF(F2252="",0,1)</f>
        <v/>
      </c>
      <c r="H2252" s="29">
        <f>IF(F2252="","",INDEX(Deals!$E$2:$E$843,F2252))</f>
        <v/>
      </c>
      <c r="I2252">
        <f>IF(F2252="","",INDEX(Deals!$D$2:$D$843,F2252))</f>
        <v/>
      </c>
      <c r="J2252">
        <f>IF(F2252="","",INT(H2252)-B2252)</f>
        <v/>
      </c>
      <c r="K2252">
        <f>IF(B2252&gt;=Settings!$C$5,1,0)</f>
        <v/>
      </c>
    </row>
    <row r="2253">
      <c r="A2253" t="inlineStr">
        <is>
          <t>18b30c4ac2b116fdb322b3a7f749979e</t>
        </is>
      </c>
      <c r="B2253" s="29" t="n">
        <v>42948</v>
      </c>
      <c r="C2253" t="inlineStr">
        <is>
          <t>2017-08</t>
        </is>
      </c>
      <c r="D2253" t="inlineStr">
        <is>
          <t>872eb32141128a5320bfe7b8cf80fc14</t>
        </is>
      </c>
      <c r="E2253" t="inlineStr">
        <is>
          <t>organic_search</t>
        </is>
      </c>
      <c r="F2253">
        <f>IFERROR(MATCH(A2253,Deals!$A$2:$A$843,0),"")</f>
        <v/>
      </c>
      <c r="G2253">
        <f>IF(F2253="",0,1)</f>
        <v/>
      </c>
      <c r="H2253" s="29">
        <f>IF(F2253="","",INDEX(Deals!$E$2:$E$843,F2253))</f>
        <v/>
      </c>
      <c r="I2253">
        <f>IF(F2253="","",INDEX(Deals!$D$2:$D$843,F2253))</f>
        <v/>
      </c>
      <c r="J2253">
        <f>IF(F2253="","",INT(H2253)-B2253)</f>
        <v/>
      </c>
      <c r="K2253">
        <f>IF(B2253&gt;=Settings!$C$5,1,0)</f>
        <v/>
      </c>
    </row>
    <row r="2254">
      <c r="A2254" t="inlineStr">
        <is>
          <t>e5f733249a6f0dc11a6b1d4568c786da</t>
        </is>
      </c>
      <c r="B2254" s="29" t="n">
        <v>42969</v>
      </c>
      <c r="C2254" t="inlineStr">
        <is>
          <t>2017-08</t>
        </is>
      </c>
      <c r="D2254" t="inlineStr">
        <is>
          <t>b76ef37428e6799c421989521c0e5077</t>
        </is>
      </c>
      <c r="E2254" t="inlineStr">
        <is>
          <t>unknown</t>
        </is>
      </c>
      <c r="F2254">
        <f>IFERROR(MATCH(A2254,Deals!$A$2:$A$843,0),"")</f>
        <v/>
      </c>
      <c r="G2254">
        <f>IF(F2254="",0,1)</f>
        <v/>
      </c>
      <c r="H2254" s="29">
        <f>IF(F2254="","",INDEX(Deals!$E$2:$E$843,F2254))</f>
        <v/>
      </c>
      <c r="I2254">
        <f>IF(F2254="","",INDEX(Deals!$D$2:$D$843,F2254))</f>
        <v/>
      </c>
      <c r="J2254">
        <f>IF(F2254="","",INT(H2254)-B2254)</f>
        <v/>
      </c>
      <c r="K2254">
        <f>IF(B2254&gt;=Settings!$C$5,1,0)</f>
        <v/>
      </c>
    </row>
    <row r="2255">
      <c r="A2255" t="inlineStr">
        <is>
          <t>a330238f5e5026982abe38b8f2215898</t>
        </is>
      </c>
      <c r="B2255" s="29" t="n">
        <v>43200</v>
      </c>
      <c r="C2255" t="inlineStr">
        <is>
          <t>2018-04</t>
        </is>
      </c>
      <c r="D2255" t="inlineStr">
        <is>
          <t>b76ef37428e6799c421989521c0e5077</t>
        </is>
      </c>
      <c r="E2255" t="inlineStr">
        <is>
          <t>unknown</t>
        </is>
      </c>
      <c r="F2255">
        <f>IFERROR(MATCH(A2255,Deals!$A$2:$A$843,0),"")</f>
        <v/>
      </c>
      <c r="G2255">
        <f>IF(F2255="",0,1)</f>
        <v/>
      </c>
      <c r="H2255" s="29">
        <f>IF(F2255="","",INDEX(Deals!$E$2:$E$843,F2255))</f>
        <v/>
      </c>
      <c r="I2255">
        <f>IF(F2255="","",INDEX(Deals!$D$2:$D$843,F2255))</f>
        <v/>
      </c>
      <c r="J2255">
        <f>IF(F2255="","",INT(H2255)-B2255)</f>
        <v/>
      </c>
      <c r="K2255">
        <f>IF(B2255&gt;=Settings!$C$5,1,0)</f>
        <v/>
      </c>
    </row>
    <row r="2256">
      <c r="A2256" t="inlineStr">
        <is>
          <t>c4d219d519a87e6dfe9d8b7a5bf3d352</t>
        </is>
      </c>
      <c r="B2256" s="29" t="n">
        <v>43250</v>
      </c>
      <c r="C2256" t="inlineStr">
        <is>
          <t>2018-05</t>
        </is>
      </c>
      <c r="D2256" t="inlineStr">
        <is>
          <t>b76ef37428e6799c421989521c0e5077</t>
        </is>
      </c>
      <c r="E2256" t="inlineStr">
        <is>
          <t>unknown</t>
        </is>
      </c>
      <c r="F2256">
        <f>IFERROR(MATCH(A2256,Deals!$A$2:$A$843,0),"")</f>
        <v/>
      </c>
      <c r="G2256">
        <f>IF(F2256="",0,1)</f>
        <v/>
      </c>
      <c r="H2256" s="29">
        <f>IF(F2256="","",INDEX(Deals!$E$2:$E$843,F2256))</f>
        <v/>
      </c>
      <c r="I2256">
        <f>IF(F2256="","",INDEX(Deals!$D$2:$D$843,F2256))</f>
        <v/>
      </c>
      <c r="J2256">
        <f>IF(F2256="","",INT(H2256)-B2256)</f>
        <v/>
      </c>
      <c r="K2256">
        <f>IF(B2256&gt;=Settings!$C$5,1,0)</f>
        <v/>
      </c>
    </row>
    <row r="2257">
      <c r="A2257" t="inlineStr">
        <is>
          <t>16d40a3be745187190a9683cc8a9e1c0</t>
        </is>
      </c>
      <c r="B2257" s="29" t="n">
        <v>43213</v>
      </c>
      <c r="C2257" t="inlineStr">
        <is>
          <t>2018-04</t>
        </is>
      </c>
      <c r="D2257" t="inlineStr">
        <is>
          <t>36120633c8737035fbabf079082f4ec1</t>
        </is>
      </c>
      <c r="E2257" t="inlineStr">
        <is>
          <t>organic_search</t>
        </is>
      </c>
      <c r="F2257">
        <f>IFERROR(MATCH(A2257,Deals!$A$2:$A$843,0),"")</f>
        <v/>
      </c>
      <c r="G2257">
        <f>IF(F2257="",0,1)</f>
        <v/>
      </c>
      <c r="H2257" s="29">
        <f>IF(F2257="","",INDEX(Deals!$E$2:$E$843,F2257))</f>
        <v/>
      </c>
      <c r="I2257">
        <f>IF(F2257="","",INDEX(Deals!$D$2:$D$843,F2257))</f>
        <v/>
      </c>
      <c r="J2257">
        <f>IF(F2257="","",INT(H2257)-B2257)</f>
        <v/>
      </c>
      <c r="K2257">
        <f>IF(B2257&gt;=Settings!$C$5,1,0)</f>
        <v/>
      </c>
    </row>
    <row r="2258">
      <c r="A2258" t="inlineStr">
        <is>
          <t>081c243a74472af67b65145cff5221c7</t>
        </is>
      </c>
      <c r="B2258" s="29" t="n">
        <v>43152</v>
      </c>
      <c r="C2258" t="inlineStr">
        <is>
          <t>2018-02</t>
        </is>
      </c>
      <c r="D2258" t="inlineStr">
        <is>
          <t>40dec9f3d5259a3d2dbcdab2114fae47</t>
        </is>
      </c>
      <c r="E2258" t="inlineStr">
        <is>
          <t>paid_search</t>
        </is>
      </c>
      <c r="F2258">
        <f>IFERROR(MATCH(A2258,Deals!$A$2:$A$843,0),"")</f>
        <v/>
      </c>
      <c r="G2258">
        <f>IF(F2258="",0,1)</f>
        <v/>
      </c>
      <c r="H2258" s="29">
        <f>IF(F2258="","",INDEX(Deals!$E$2:$E$843,F2258))</f>
        <v/>
      </c>
      <c r="I2258">
        <f>IF(F2258="","",INDEX(Deals!$D$2:$D$843,F2258))</f>
        <v/>
      </c>
      <c r="J2258">
        <f>IF(F2258="","",INT(H2258)-B2258)</f>
        <v/>
      </c>
      <c r="K2258">
        <f>IF(B2258&gt;=Settings!$C$5,1,0)</f>
        <v/>
      </c>
    </row>
    <row r="2259">
      <c r="A2259" t="inlineStr">
        <is>
          <t>34662410ceec47a14953059e1a1ceed1</t>
        </is>
      </c>
      <c r="B2259" s="29" t="n">
        <v>43108</v>
      </c>
      <c r="C2259" t="inlineStr">
        <is>
          <t>2018-01</t>
        </is>
      </c>
      <c r="D2259" t="inlineStr">
        <is>
          <t>f017be4dbf86243af5c1ebed0cff36a2</t>
        </is>
      </c>
      <c r="E2259" t="inlineStr">
        <is>
          <t>organic_search</t>
        </is>
      </c>
      <c r="F2259">
        <f>IFERROR(MATCH(A2259,Deals!$A$2:$A$843,0),"")</f>
        <v/>
      </c>
      <c r="G2259">
        <f>IF(F2259="",0,1)</f>
        <v/>
      </c>
      <c r="H2259" s="29">
        <f>IF(F2259="","",INDEX(Deals!$E$2:$E$843,F2259))</f>
        <v/>
      </c>
      <c r="I2259">
        <f>IF(F2259="","",INDEX(Deals!$D$2:$D$843,F2259))</f>
        <v/>
      </c>
      <c r="J2259">
        <f>IF(F2259="","",INT(H2259)-B2259)</f>
        <v/>
      </c>
      <c r="K2259">
        <f>IF(B2259&gt;=Settings!$C$5,1,0)</f>
        <v/>
      </c>
    </row>
    <row r="2260">
      <c r="A2260" t="inlineStr">
        <is>
          <t>08a3025fd10fa889271712e6c66951e0</t>
        </is>
      </c>
      <c r="B2260" s="29" t="n">
        <v>43206</v>
      </c>
      <c r="C2260" t="inlineStr">
        <is>
          <t>2018-04</t>
        </is>
      </c>
      <c r="D2260" t="inlineStr">
        <is>
          <t>58326e62183c14b0c03085c33b9fdc44</t>
        </is>
      </c>
      <c r="E2260" t="inlineStr">
        <is>
          <t>social</t>
        </is>
      </c>
      <c r="F2260">
        <f>IFERROR(MATCH(A2260,Deals!$A$2:$A$843,0),"")</f>
        <v/>
      </c>
      <c r="G2260">
        <f>IF(F2260="",0,1)</f>
        <v/>
      </c>
      <c r="H2260" s="29">
        <f>IF(F2260="","",INDEX(Deals!$E$2:$E$843,F2260))</f>
        <v/>
      </c>
      <c r="I2260">
        <f>IF(F2260="","",INDEX(Deals!$D$2:$D$843,F2260))</f>
        <v/>
      </c>
      <c r="J2260">
        <f>IF(F2260="","",INT(H2260)-B2260)</f>
        <v/>
      </c>
      <c r="K2260">
        <f>IF(B2260&gt;=Settings!$C$5,1,0)</f>
        <v/>
      </c>
    </row>
    <row r="2261">
      <c r="A2261" t="inlineStr">
        <is>
          <t>c645af1622ea09472ecda1b012d444e8</t>
        </is>
      </c>
      <c r="B2261" s="29" t="n">
        <v>43060</v>
      </c>
      <c r="C2261" t="inlineStr">
        <is>
          <t>2017-11</t>
        </is>
      </c>
      <c r="D2261" t="inlineStr">
        <is>
          <t>1d4ddc25ccaa2adeded340b6eda66182</t>
        </is>
      </c>
      <c r="E2261" t="inlineStr">
        <is>
          <t>organic_search</t>
        </is>
      </c>
      <c r="F2261">
        <f>IFERROR(MATCH(A2261,Deals!$A$2:$A$843,0),"")</f>
        <v/>
      </c>
      <c r="G2261">
        <f>IF(F2261="",0,1)</f>
        <v/>
      </c>
      <c r="H2261" s="29">
        <f>IF(F2261="","",INDEX(Deals!$E$2:$E$843,F2261))</f>
        <v/>
      </c>
      <c r="I2261">
        <f>IF(F2261="","",INDEX(Deals!$D$2:$D$843,F2261))</f>
        <v/>
      </c>
      <c r="J2261">
        <f>IF(F2261="","",INT(H2261)-B2261)</f>
        <v/>
      </c>
      <c r="K2261">
        <f>IF(B2261&gt;=Settings!$C$5,1,0)</f>
        <v/>
      </c>
    </row>
    <row r="2262">
      <c r="A2262" t="inlineStr">
        <is>
          <t>82bb153bc3037adf373b43babcfffd03</t>
        </is>
      </c>
      <c r="B2262" s="29" t="n">
        <v>43039</v>
      </c>
      <c r="C2262" t="inlineStr">
        <is>
          <t>2017-10</t>
        </is>
      </c>
      <c r="D2262" t="inlineStr">
        <is>
          <t>63355b003224fe06badbd9de99644792</t>
        </is>
      </c>
      <c r="E2262" t="inlineStr">
        <is>
          <t>other_publicities</t>
        </is>
      </c>
      <c r="F2262">
        <f>IFERROR(MATCH(A2262,Deals!$A$2:$A$843,0),"")</f>
        <v/>
      </c>
      <c r="G2262">
        <f>IF(F2262="",0,1)</f>
        <v/>
      </c>
      <c r="H2262" s="29">
        <f>IF(F2262="","",INDEX(Deals!$E$2:$E$843,F2262))</f>
        <v/>
      </c>
      <c r="I2262">
        <f>IF(F2262="","",INDEX(Deals!$D$2:$D$843,F2262))</f>
        <v/>
      </c>
      <c r="J2262">
        <f>IF(F2262="","",INT(H2262)-B2262)</f>
        <v/>
      </c>
      <c r="K2262">
        <f>IF(B2262&gt;=Settings!$C$5,1,0)</f>
        <v/>
      </c>
    </row>
    <row r="2263">
      <c r="A2263" t="inlineStr">
        <is>
          <t>69daeea8d60db98c428f11dc980effdc</t>
        </is>
      </c>
      <c r="B2263" s="29" t="n">
        <v>43122</v>
      </c>
      <c r="C2263" t="inlineStr">
        <is>
          <t>2018-01</t>
        </is>
      </c>
      <c r="D2263" t="inlineStr">
        <is>
          <t>b76ef37428e6799c421989521c0e5077</t>
        </is>
      </c>
      <c r="E2263" t="inlineStr">
        <is>
          <t>unknown</t>
        </is>
      </c>
      <c r="F2263">
        <f>IFERROR(MATCH(A2263,Deals!$A$2:$A$843,0),"")</f>
        <v/>
      </c>
      <c r="G2263">
        <f>IF(F2263="",0,1)</f>
        <v/>
      </c>
      <c r="H2263" s="29">
        <f>IF(F2263="","",INDEX(Deals!$E$2:$E$843,F2263))</f>
        <v/>
      </c>
      <c r="I2263">
        <f>IF(F2263="","",INDEX(Deals!$D$2:$D$843,F2263))</f>
        <v/>
      </c>
      <c r="J2263">
        <f>IF(F2263="","",INT(H2263)-B2263)</f>
        <v/>
      </c>
      <c r="K2263">
        <f>IF(B2263&gt;=Settings!$C$5,1,0)</f>
        <v/>
      </c>
    </row>
    <row r="2264">
      <c r="A2264" t="inlineStr">
        <is>
          <t>39ecc5282d4511dca4c757113e1312d1</t>
        </is>
      </c>
      <c r="B2264" s="29" t="n">
        <v>43167</v>
      </c>
      <c r="C2264" t="inlineStr">
        <is>
          <t>2018-03</t>
        </is>
      </c>
      <c r="D2264" t="inlineStr">
        <is>
          <t>f017be4dbf86243af5c1ebed0cff36a2</t>
        </is>
      </c>
      <c r="E2264" t="inlineStr">
        <is>
          <t>organic_search</t>
        </is>
      </c>
      <c r="F2264">
        <f>IFERROR(MATCH(A2264,Deals!$A$2:$A$843,0),"")</f>
        <v/>
      </c>
      <c r="G2264">
        <f>IF(F2264="",0,1)</f>
        <v/>
      </c>
      <c r="H2264" s="29">
        <f>IF(F2264="","",INDEX(Deals!$E$2:$E$843,F2264))</f>
        <v/>
      </c>
      <c r="I2264">
        <f>IF(F2264="","",INDEX(Deals!$D$2:$D$843,F2264))</f>
        <v/>
      </c>
      <c r="J2264">
        <f>IF(F2264="","",INT(H2264)-B2264)</f>
        <v/>
      </c>
      <c r="K2264">
        <f>IF(B2264&gt;=Settings!$C$5,1,0)</f>
        <v/>
      </c>
    </row>
    <row r="2265">
      <c r="A2265" t="inlineStr">
        <is>
          <t>0460c5723b287202cf850b7ae996f03e</t>
        </is>
      </c>
      <c r="B2265" s="29" t="n">
        <v>42927</v>
      </c>
      <c r="C2265" t="inlineStr">
        <is>
          <t>2017-07</t>
        </is>
      </c>
      <c r="D2265" t="inlineStr">
        <is>
          <t>30077c17f2ec5010a82e37ad8925b95f</t>
        </is>
      </c>
      <c r="E2265" t="inlineStr">
        <is>
          <t>email</t>
        </is>
      </c>
      <c r="F2265">
        <f>IFERROR(MATCH(A2265,Deals!$A$2:$A$843,0),"")</f>
        <v/>
      </c>
      <c r="G2265">
        <f>IF(F2265="",0,1)</f>
        <v/>
      </c>
      <c r="H2265" s="29">
        <f>IF(F2265="","",INDEX(Deals!$E$2:$E$843,F2265))</f>
        <v/>
      </c>
      <c r="I2265">
        <f>IF(F2265="","",INDEX(Deals!$D$2:$D$843,F2265))</f>
        <v/>
      </c>
      <c r="J2265">
        <f>IF(F2265="","",INT(H2265)-B2265)</f>
        <v/>
      </c>
      <c r="K2265">
        <f>IF(B2265&gt;=Settings!$C$5,1,0)</f>
        <v/>
      </c>
    </row>
    <row r="2266">
      <c r="A2266" t="inlineStr">
        <is>
          <t>b374d856eb3d8f78c56820a5eb29629d</t>
        </is>
      </c>
      <c r="B2266" s="29" t="n">
        <v>43117</v>
      </c>
      <c r="C2266" t="inlineStr">
        <is>
          <t>2018-01</t>
        </is>
      </c>
      <c r="D2266" t="inlineStr">
        <is>
          <t>ce1a65abd0973638f1c887a6efcfa82d</t>
        </is>
      </c>
      <c r="E2266" t="inlineStr">
        <is>
          <t>organic_search</t>
        </is>
      </c>
      <c r="F2266">
        <f>IFERROR(MATCH(A2266,Deals!$A$2:$A$843,0),"")</f>
        <v/>
      </c>
      <c r="G2266">
        <f>IF(F2266="",0,1)</f>
        <v/>
      </c>
      <c r="H2266" s="29">
        <f>IF(F2266="","",INDEX(Deals!$E$2:$E$843,F2266))</f>
        <v/>
      </c>
      <c r="I2266">
        <f>IF(F2266="","",INDEX(Deals!$D$2:$D$843,F2266))</f>
        <v/>
      </c>
      <c r="J2266">
        <f>IF(F2266="","",INT(H2266)-B2266)</f>
        <v/>
      </c>
      <c r="K2266">
        <f>IF(B2266&gt;=Settings!$C$5,1,0)</f>
        <v/>
      </c>
    </row>
    <row r="2267">
      <c r="A2267" t="inlineStr">
        <is>
          <t>0d046bfbcea5badab201f3b708d12b3a</t>
        </is>
      </c>
      <c r="B2267" s="29" t="n">
        <v>43175</v>
      </c>
      <c r="C2267" t="inlineStr">
        <is>
          <t>2018-03</t>
        </is>
      </c>
      <c r="D2267" t="inlineStr">
        <is>
          <t>241f79c7a8fe0270f4fb79fcbbcd17ad</t>
        </is>
      </c>
      <c r="E2267" t="inlineStr">
        <is>
          <t>paid_search</t>
        </is>
      </c>
      <c r="F2267">
        <f>IFERROR(MATCH(A2267,Deals!$A$2:$A$843,0),"")</f>
        <v/>
      </c>
      <c r="G2267">
        <f>IF(F2267="",0,1)</f>
        <v/>
      </c>
      <c r="H2267" s="29">
        <f>IF(F2267="","",INDEX(Deals!$E$2:$E$843,F2267))</f>
        <v/>
      </c>
      <c r="I2267">
        <f>IF(F2267="","",INDEX(Deals!$D$2:$D$843,F2267))</f>
        <v/>
      </c>
      <c r="J2267">
        <f>IF(F2267="","",INT(H2267)-B2267)</f>
        <v/>
      </c>
      <c r="K2267">
        <f>IF(B2267&gt;=Settings!$C$5,1,0)</f>
        <v/>
      </c>
    </row>
    <row r="2268">
      <c r="A2268" t="inlineStr">
        <is>
          <t>cf4352a7d775ba25bc66ac22006a13cb</t>
        </is>
      </c>
      <c r="B2268" s="29" t="n">
        <v>42943</v>
      </c>
      <c r="C2268" t="inlineStr">
        <is>
          <t>2017-07</t>
        </is>
      </c>
      <c r="D2268" t="inlineStr">
        <is>
          <t>22c29808c4f815213303f8933030604c</t>
        </is>
      </c>
      <c r="E2268" t="inlineStr">
        <is>
          <t>direct_traffic</t>
        </is>
      </c>
      <c r="F2268">
        <f>IFERROR(MATCH(A2268,Deals!$A$2:$A$843,0),"")</f>
        <v/>
      </c>
      <c r="G2268">
        <f>IF(F2268="",0,1)</f>
        <v/>
      </c>
      <c r="H2268" s="29">
        <f>IF(F2268="","",INDEX(Deals!$E$2:$E$843,F2268))</f>
        <v/>
      </c>
      <c r="I2268">
        <f>IF(F2268="","",INDEX(Deals!$D$2:$D$843,F2268))</f>
        <v/>
      </c>
      <c r="J2268">
        <f>IF(F2268="","",INT(H2268)-B2268)</f>
        <v/>
      </c>
      <c r="K2268">
        <f>IF(B2268&gt;=Settings!$C$5,1,0)</f>
        <v/>
      </c>
    </row>
    <row r="2269">
      <c r="A2269" t="inlineStr">
        <is>
          <t>6cfe342b4bf39298aada48c80ad8c49d</t>
        </is>
      </c>
      <c r="B2269" s="29" t="n">
        <v>43237</v>
      </c>
      <c r="C2269" t="inlineStr">
        <is>
          <t>2018-05</t>
        </is>
      </c>
      <c r="D2269" t="inlineStr">
        <is>
          <t>22c29808c4f815213303f8933030604c</t>
        </is>
      </c>
      <c r="E2269" t="inlineStr">
        <is>
          <t>organic_search</t>
        </is>
      </c>
      <c r="F2269">
        <f>IFERROR(MATCH(A2269,Deals!$A$2:$A$843,0),"")</f>
        <v/>
      </c>
      <c r="G2269">
        <f>IF(F2269="",0,1)</f>
        <v/>
      </c>
      <c r="H2269" s="29">
        <f>IF(F2269="","",INDEX(Deals!$E$2:$E$843,F2269))</f>
        <v/>
      </c>
      <c r="I2269">
        <f>IF(F2269="","",INDEX(Deals!$D$2:$D$843,F2269))</f>
        <v/>
      </c>
      <c r="J2269">
        <f>IF(F2269="","",INT(H2269)-B2269)</f>
        <v/>
      </c>
      <c r="K2269">
        <f>IF(B2269&gt;=Settings!$C$5,1,0)</f>
        <v/>
      </c>
    </row>
    <row r="2270">
      <c r="A2270" t="inlineStr">
        <is>
          <t>acd5b6d5d51950ae88fae89262a97aa0</t>
        </is>
      </c>
      <c r="B2270" s="29" t="n">
        <v>43056</v>
      </c>
      <c r="C2270" t="inlineStr">
        <is>
          <t>2017-11</t>
        </is>
      </c>
      <c r="D2270" t="inlineStr">
        <is>
          <t>fd660f5d9a62d444c76191307b3a0514</t>
        </is>
      </c>
      <c r="E2270" t="inlineStr">
        <is>
          <t>organic_search</t>
        </is>
      </c>
      <c r="F2270">
        <f>IFERROR(MATCH(A2270,Deals!$A$2:$A$843,0),"")</f>
        <v/>
      </c>
      <c r="G2270">
        <f>IF(F2270="",0,1)</f>
        <v/>
      </c>
      <c r="H2270" s="29">
        <f>IF(F2270="","",INDEX(Deals!$E$2:$E$843,F2270))</f>
        <v/>
      </c>
      <c r="I2270">
        <f>IF(F2270="","",INDEX(Deals!$D$2:$D$843,F2270))</f>
        <v/>
      </c>
      <c r="J2270">
        <f>IF(F2270="","",INT(H2270)-B2270)</f>
        <v/>
      </c>
      <c r="K2270">
        <f>IF(B2270&gt;=Settings!$C$5,1,0)</f>
        <v/>
      </c>
    </row>
    <row r="2271">
      <c r="A2271" t="inlineStr">
        <is>
          <t>02c1f06978b821b2996ec257932f2947</t>
        </is>
      </c>
      <c r="B2271" s="29" t="n">
        <v>43229</v>
      </c>
      <c r="C2271" t="inlineStr">
        <is>
          <t>2018-05</t>
        </is>
      </c>
      <c r="D2271" t="inlineStr">
        <is>
          <t>22c29808c4f815213303f8933030604c</t>
        </is>
      </c>
      <c r="E2271" t="inlineStr">
        <is>
          <t>organic_search</t>
        </is>
      </c>
      <c r="F2271">
        <f>IFERROR(MATCH(A2271,Deals!$A$2:$A$843,0),"")</f>
        <v/>
      </c>
      <c r="G2271">
        <f>IF(F2271="",0,1)</f>
        <v/>
      </c>
      <c r="H2271" s="29">
        <f>IF(F2271="","",INDEX(Deals!$E$2:$E$843,F2271))</f>
        <v/>
      </c>
      <c r="I2271">
        <f>IF(F2271="","",INDEX(Deals!$D$2:$D$843,F2271))</f>
        <v/>
      </c>
      <c r="J2271">
        <f>IF(F2271="","",INT(H2271)-B2271)</f>
        <v/>
      </c>
      <c r="K2271">
        <f>IF(B2271&gt;=Settings!$C$5,1,0)</f>
        <v/>
      </c>
    </row>
    <row r="2272">
      <c r="A2272" t="inlineStr">
        <is>
          <t>b17dd06dc3e1db6768768c56cfcadd40</t>
        </is>
      </c>
      <c r="B2272" s="29" t="n">
        <v>43115</v>
      </c>
      <c r="C2272" t="inlineStr">
        <is>
          <t>2018-01</t>
        </is>
      </c>
      <c r="D2272" t="inlineStr">
        <is>
          <t>40dec9f3d5259a3d2dbcdab2114fae47</t>
        </is>
      </c>
      <c r="E2272" t="inlineStr">
        <is>
          <t>organic_search</t>
        </is>
      </c>
      <c r="F2272">
        <f>IFERROR(MATCH(A2272,Deals!$A$2:$A$843,0),"")</f>
        <v/>
      </c>
      <c r="G2272">
        <f>IF(F2272="",0,1)</f>
        <v/>
      </c>
      <c r="H2272" s="29">
        <f>IF(F2272="","",INDEX(Deals!$E$2:$E$843,F2272))</f>
        <v/>
      </c>
      <c r="I2272">
        <f>IF(F2272="","",INDEX(Deals!$D$2:$D$843,F2272))</f>
        <v/>
      </c>
      <c r="J2272">
        <f>IF(F2272="","",INT(H2272)-B2272)</f>
        <v/>
      </c>
      <c r="K2272">
        <f>IF(B2272&gt;=Settings!$C$5,1,0)</f>
        <v/>
      </c>
    </row>
    <row r="2273">
      <c r="A2273" t="inlineStr">
        <is>
          <t>44007f34034857cf878ebe2f0fa15e06</t>
        </is>
      </c>
      <c r="B2273" s="29" t="n">
        <v>43229</v>
      </c>
      <c r="C2273" t="inlineStr">
        <is>
          <t>2018-05</t>
        </is>
      </c>
      <c r="D2273" t="inlineStr">
        <is>
          <t>22c29808c4f815213303f8933030604c</t>
        </is>
      </c>
      <c r="E2273" t="inlineStr">
        <is>
          <t>organic_search</t>
        </is>
      </c>
      <c r="F2273">
        <f>IFERROR(MATCH(A2273,Deals!$A$2:$A$843,0),"")</f>
        <v/>
      </c>
      <c r="G2273">
        <f>IF(F2273="",0,1)</f>
        <v/>
      </c>
      <c r="H2273" s="29">
        <f>IF(F2273="","",INDEX(Deals!$E$2:$E$843,F2273))</f>
        <v/>
      </c>
      <c r="I2273">
        <f>IF(F2273="","",INDEX(Deals!$D$2:$D$843,F2273))</f>
        <v/>
      </c>
      <c r="J2273">
        <f>IF(F2273="","",INT(H2273)-B2273)</f>
        <v/>
      </c>
      <c r="K2273">
        <f>IF(B2273&gt;=Settings!$C$5,1,0)</f>
        <v/>
      </c>
    </row>
    <row r="2274">
      <c r="A2274" t="inlineStr">
        <is>
          <t>20dd4cde4ef566b0b6756dbbcb6cebc9</t>
        </is>
      </c>
      <c r="B2274" s="29" t="n">
        <v>43151</v>
      </c>
      <c r="C2274" t="inlineStr">
        <is>
          <t>2018-02</t>
        </is>
      </c>
      <c r="D2274" t="inlineStr">
        <is>
          <t>4aab772aeb9833c170d8ea5413e02eac</t>
        </is>
      </c>
      <c r="E2274" t="inlineStr">
        <is>
          <t>unknown</t>
        </is>
      </c>
      <c r="F2274">
        <f>IFERROR(MATCH(A2274,Deals!$A$2:$A$843,0),"")</f>
        <v/>
      </c>
      <c r="G2274">
        <f>IF(F2274="",0,1)</f>
        <v/>
      </c>
      <c r="H2274" s="29">
        <f>IF(F2274="","",INDEX(Deals!$E$2:$E$843,F2274))</f>
        <v/>
      </c>
      <c r="I2274">
        <f>IF(F2274="","",INDEX(Deals!$D$2:$D$843,F2274))</f>
        <v/>
      </c>
      <c r="J2274">
        <f>IF(F2274="","",INT(H2274)-B2274)</f>
        <v/>
      </c>
      <c r="K2274">
        <f>IF(B2274&gt;=Settings!$C$5,1,0)</f>
        <v/>
      </c>
    </row>
    <row r="2275">
      <c r="A2275" t="inlineStr">
        <is>
          <t>dcbfce59b437eb4cef494a921fc7f79a</t>
        </is>
      </c>
      <c r="B2275" s="29" t="n">
        <v>43199</v>
      </c>
      <c r="C2275" t="inlineStr">
        <is>
          <t>2018-04</t>
        </is>
      </c>
      <c r="D2275" t="inlineStr">
        <is>
          <t>908dad5b22342480f5cc055b8dd55e7e</t>
        </is>
      </c>
      <c r="E2275" t="inlineStr">
        <is>
          <t>social</t>
        </is>
      </c>
      <c r="F2275">
        <f>IFERROR(MATCH(A2275,Deals!$A$2:$A$843,0),"")</f>
        <v/>
      </c>
      <c r="G2275">
        <f>IF(F2275="",0,1)</f>
        <v/>
      </c>
      <c r="H2275" s="29">
        <f>IF(F2275="","",INDEX(Deals!$E$2:$E$843,F2275))</f>
        <v/>
      </c>
      <c r="I2275">
        <f>IF(F2275="","",INDEX(Deals!$D$2:$D$843,F2275))</f>
        <v/>
      </c>
      <c r="J2275">
        <f>IF(F2275="","",INT(H2275)-B2275)</f>
        <v/>
      </c>
      <c r="K2275">
        <f>IF(B2275&gt;=Settings!$C$5,1,0)</f>
        <v/>
      </c>
    </row>
    <row r="2276">
      <c r="A2276" t="inlineStr">
        <is>
          <t>80082ade64b01197cca8376811426b1f</t>
        </is>
      </c>
      <c r="B2276" s="29" t="n">
        <v>43152</v>
      </c>
      <c r="C2276" t="inlineStr">
        <is>
          <t>2018-02</t>
        </is>
      </c>
      <c r="D2276" t="inlineStr">
        <is>
          <t>e492ee5eaf1697716985cc6f33f9cd9b</t>
        </is>
      </c>
      <c r="E2276" t="inlineStr">
        <is>
          <t>email</t>
        </is>
      </c>
      <c r="F2276">
        <f>IFERROR(MATCH(A2276,Deals!$A$2:$A$843,0),"")</f>
        <v/>
      </c>
      <c r="G2276">
        <f>IF(F2276="",0,1)</f>
        <v/>
      </c>
      <c r="H2276" s="29">
        <f>IF(F2276="","",INDEX(Deals!$E$2:$E$843,F2276))</f>
        <v/>
      </c>
      <c r="I2276">
        <f>IF(F2276="","",INDEX(Deals!$D$2:$D$843,F2276))</f>
        <v/>
      </c>
      <c r="J2276">
        <f>IF(F2276="","",INT(H2276)-B2276)</f>
        <v/>
      </c>
      <c r="K2276">
        <f>IF(B2276&gt;=Settings!$C$5,1,0)</f>
        <v/>
      </c>
    </row>
    <row r="2277">
      <c r="A2277" t="inlineStr">
        <is>
          <t>1951440c60517e1646b22e78584305b1</t>
        </is>
      </c>
      <c r="B2277" s="29" t="n">
        <v>42987</v>
      </c>
      <c r="C2277" t="inlineStr">
        <is>
          <t>2017-09</t>
        </is>
      </c>
      <c r="D2277" t="inlineStr">
        <is>
          <t>b76ef37428e6799c421989521c0e5077</t>
        </is>
      </c>
      <c r="E2277" t="inlineStr">
        <is>
          <t>paid_search</t>
        </is>
      </c>
      <c r="F2277">
        <f>IFERROR(MATCH(A2277,Deals!$A$2:$A$843,0),"")</f>
        <v/>
      </c>
      <c r="G2277">
        <f>IF(F2277="",0,1)</f>
        <v/>
      </c>
      <c r="H2277" s="29">
        <f>IF(F2277="","",INDEX(Deals!$E$2:$E$843,F2277))</f>
        <v/>
      </c>
      <c r="I2277">
        <f>IF(F2277="","",INDEX(Deals!$D$2:$D$843,F2277))</f>
        <v/>
      </c>
      <c r="J2277">
        <f>IF(F2277="","",INT(H2277)-B2277)</f>
        <v/>
      </c>
      <c r="K2277">
        <f>IF(B2277&gt;=Settings!$C$5,1,0)</f>
        <v/>
      </c>
    </row>
    <row r="2278">
      <c r="A2278" t="inlineStr">
        <is>
          <t>41ca9e4fc93fff22596daa94dd437689</t>
        </is>
      </c>
      <c r="B2278" s="29" t="n">
        <v>43131</v>
      </c>
      <c r="C2278" t="inlineStr">
        <is>
          <t>2018-01</t>
        </is>
      </c>
      <c r="D2278" t="inlineStr">
        <is>
          <t>f017be4dbf86243af5c1ebed0cff36a2</t>
        </is>
      </c>
      <c r="E2278" t="inlineStr">
        <is>
          <t>organic_search</t>
        </is>
      </c>
      <c r="F2278">
        <f>IFERROR(MATCH(A2278,Deals!$A$2:$A$843,0),"")</f>
        <v/>
      </c>
      <c r="G2278">
        <f>IF(F2278="",0,1)</f>
        <v/>
      </c>
      <c r="H2278" s="29">
        <f>IF(F2278="","",INDEX(Deals!$E$2:$E$843,F2278))</f>
        <v/>
      </c>
      <c r="I2278">
        <f>IF(F2278="","",INDEX(Deals!$D$2:$D$843,F2278))</f>
        <v/>
      </c>
      <c r="J2278">
        <f>IF(F2278="","",INT(H2278)-B2278)</f>
        <v/>
      </c>
      <c r="K2278">
        <f>IF(B2278&gt;=Settings!$C$5,1,0)</f>
        <v/>
      </c>
    </row>
    <row r="2279">
      <c r="A2279" t="inlineStr">
        <is>
          <t>9012dbd23c4d2e33be5eccb0e5f72517</t>
        </is>
      </c>
      <c r="B2279" s="29" t="n">
        <v>43055</v>
      </c>
      <c r="C2279" t="inlineStr">
        <is>
          <t>2017-11</t>
        </is>
      </c>
      <c r="D2279" t="inlineStr">
        <is>
          <t>909e333f8f23574f93115bd3d402e202</t>
        </is>
      </c>
      <c r="E2279" t="inlineStr">
        <is>
          <t>email</t>
        </is>
      </c>
      <c r="F2279">
        <f>IFERROR(MATCH(A2279,Deals!$A$2:$A$843,0),"")</f>
        <v/>
      </c>
      <c r="G2279">
        <f>IF(F2279="",0,1)</f>
        <v/>
      </c>
      <c r="H2279" s="29">
        <f>IF(F2279="","",INDEX(Deals!$E$2:$E$843,F2279))</f>
        <v/>
      </c>
      <c r="I2279">
        <f>IF(F2279="","",INDEX(Deals!$D$2:$D$843,F2279))</f>
        <v/>
      </c>
      <c r="J2279">
        <f>IF(F2279="","",INT(H2279)-B2279)</f>
        <v/>
      </c>
      <c r="K2279">
        <f>IF(B2279&gt;=Settings!$C$5,1,0)</f>
        <v/>
      </c>
    </row>
    <row r="2280">
      <c r="A2280" t="inlineStr">
        <is>
          <t>65951d951d3b5df75fc887290a473774</t>
        </is>
      </c>
      <c r="B2280" s="29" t="n">
        <v>43035</v>
      </c>
      <c r="C2280" t="inlineStr">
        <is>
          <t>2017-10</t>
        </is>
      </c>
      <c r="D2280" t="inlineStr">
        <is>
          <t>c555aa36478386fdf85a2d0ca5cd0ff8</t>
        </is>
      </c>
      <c r="E2280" t="inlineStr">
        <is>
          <t>unknown</t>
        </is>
      </c>
      <c r="F2280">
        <f>IFERROR(MATCH(A2280,Deals!$A$2:$A$843,0),"")</f>
        <v/>
      </c>
      <c r="G2280">
        <f>IF(F2280="",0,1)</f>
        <v/>
      </c>
      <c r="H2280" s="29">
        <f>IF(F2280="","",INDEX(Deals!$E$2:$E$843,F2280))</f>
        <v/>
      </c>
      <c r="I2280">
        <f>IF(F2280="","",INDEX(Deals!$D$2:$D$843,F2280))</f>
        <v/>
      </c>
      <c r="J2280">
        <f>IF(F2280="","",INT(H2280)-B2280)</f>
        <v/>
      </c>
      <c r="K2280">
        <f>IF(B2280&gt;=Settings!$C$5,1,0)</f>
        <v/>
      </c>
    </row>
    <row r="2281">
      <c r="A2281" t="inlineStr">
        <is>
          <t>744a37185fa8c4449a60bd11976f9045</t>
        </is>
      </c>
      <c r="B2281" s="29" t="n">
        <v>43114</v>
      </c>
      <c r="C2281" t="inlineStr">
        <is>
          <t>2018-01</t>
        </is>
      </c>
      <c r="D2281" t="inlineStr">
        <is>
          <t>88740e65d5d6b056e0cda098e1ea6313</t>
        </is>
      </c>
      <c r="E2281" t="inlineStr">
        <is>
          <t>social</t>
        </is>
      </c>
      <c r="F2281">
        <f>IFERROR(MATCH(A2281,Deals!$A$2:$A$843,0),"")</f>
        <v/>
      </c>
      <c r="G2281">
        <f>IF(F2281="",0,1)</f>
        <v/>
      </c>
      <c r="H2281" s="29">
        <f>IF(F2281="","",INDEX(Deals!$E$2:$E$843,F2281))</f>
        <v/>
      </c>
      <c r="I2281">
        <f>IF(F2281="","",INDEX(Deals!$D$2:$D$843,F2281))</f>
        <v/>
      </c>
      <c r="J2281">
        <f>IF(F2281="","",INT(H2281)-B2281)</f>
        <v/>
      </c>
      <c r="K2281">
        <f>IF(B2281&gt;=Settings!$C$5,1,0)</f>
        <v/>
      </c>
    </row>
    <row r="2282">
      <c r="A2282" t="inlineStr">
        <is>
          <t>a05def2ffe22028e9db25b4e6e99543d</t>
        </is>
      </c>
      <c r="B2282" s="29" t="n">
        <v>43147</v>
      </c>
      <c r="C2282" t="inlineStr">
        <is>
          <t>2018-02</t>
        </is>
      </c>
      <c r="D2282" t="inlineStr">
        <is>
          <t>5da54625ee0a9560dc9b9b9f6ccb03d0</t>
        </is>
      </c>
      <c r="E2282" t="inlineStr">
        <is>
          <t>paid_search</t>
        </is>
      </c>
      <c r="F2282">
        <f>IFERROR(MATCH(A2282,Deals!$A$2:$A$843,0),"")</f>
        <v/>
      </c>
      <c r="G2282">
        <f>IF(F2282="",0,1)</f>
        <v/>
      </c>
      <c r="H2282" s="29">
        <f>IF(F2282="","",INDEX(Deals!$E$2:$E$843,F2282))</f>
        <v/>
      </c>
      <c r="I2282">
        <f>IF(F2282="","",INDEX(Deals!$D$2:$D$843,F2282))</f>
        <v/>
      </c>
      <c r="J2282">
        <f>IF(F2282="","",INT(H2282)-B2282)</f>
        <v/>
      </c>
      <c r="K2282">
        <f>IF(B2282&gt;=Settings!$C$5,1,0)</f>
        <v/>
      </c>
    </row>
    <row r="2283">
      <c r="A2283" t="inlineStr">
        <is>
          <t>f925a12c1605eac85a75144b0043c343</t>
        </is>
      </c>
      <c r="B2283" s="29" t="n">
        <v>42971</v>
      </c>
      <c r="C2283" t="inlineStr">
        <is>
          <t>2017-08</t>
        </is>
      </c>
      <c r="D2283" t="inlineStr">
        <is>
          <t>0f25be78376bbbaba8553051e980b83c</t>
        </is>
      </c>
      <c r="E2283" t="inlineStr">
        <is>
          <t>referral</t>
        </is>
      </c>
      <c r="F2283">
        <f>IFERROR(MATCH(A2283,Deals!$A$2:$A$843,0),"")</f>
        <v/>
      </c>
      <c r="G2283">
        <f>IF(F2283="",0,1)</f>
        <v/>
      </c>
      <c r="H2283" s="29">
        <f>IF(F2283="","",INDEX(Deals!$E$2:$E$843,F2283))</f>
        <v/>
      </c>
      <c r="I2283">
        <f>IF(F2283="","",INDEX(Deals!$D$2:$D$843,F2283))</f>
        <v/>
      </c>
      <c r="J2283">
        <f>IF(F2283="","",INT(H2283)-B2283)</f>
        <v/>
      </c>
      <c r="K2283">
        <f>IF(B2283&gt;=Settings!$C$5,1,0)</f>
        <v/>
      </c>
    </row>
    <row r="2284">
      <c r="A2284" t="inlineStr">
        <is>
          <t>ac936595d26d8c1d3d2db539dce0fffa</t>
        </is>
      </c>
      <c r="B2284" s="29" t="n">
        <v>43154</v>
      </c>
      <c r="C2284" t="inlineStr">
        <is>
          <t>2018-02</t>
        </is>
      </c>
      <c r="D2284" t="inlineStr">
        <is>
          <t>645b2f3e4380afe5121a2a90ca732c74</t>
        </is>
      </c>
      <c r="E2284" t="inlineStr">
        <is>
          <t>direct_traffic</t>
        </is>
      </c>
      <c r="F2284">
        <f>IFERROR(MATCH(A2284,Deals!$A$2:$A$843,0),"")</f>
        <v/>
      </c>
      <c r="G2284">
        <f>IF(F2284="",0,1)</f>
        <v/>
      </c>
      <c r="H2284" s="29">
        <f>IF(F2284="","",INDEX(Deals!$E$2:$E$843,F2284))</f>
        <v/>
      </c>
      <c r="I2284">
        <f>IF(F2284="","",INDEX(Deals!$D$2:$D$843,F2284))</f>
        <v/>
      </c>
      <c r="J2284">
        <f>IF(F2284="","",INT(H2284)-B2284)</f>
        <v/>
      </c>
      <c r="K2284">
        <f>IF(B2284&gt;=Settings!$C$5,1,0)</f>
        <v/>
      </c>
    </row>
    <row r="2285">
      <c r="A2285" t="inlineStr">
        <is>
          <t>e03cba77a01e29e49e8fe0d2fd26d577</t>
        </is>
      </c>
      <c r="B2285" s="29" t="n">
        <v>43000</v>
      </c>
      <c r="C2285" t="inlineStr">
        <is>
          <t>2017-09</t>
        </is>
      </c>
      <c r="D2285" t="inlineStr">
        <is>
          <t>e92a6f37ebb87a6bfbc569d439cf1635</t>
        </is>
      </c>
      <c r="E2285" t="inlineStr">
        <is>
          <t>social</t>
        </is>
      </c>
      <c r="F2285">
        <f>IFERROR(MATCH(A2285,Deals!$A$2:$A$843,0),"")</f>
        <v/>
      </c>
      <c r="G2285">
        <f>IF(F2285="",0,1)</f>
        <v/>
      </c>
      <c r="H2285" s="29">
        <f>IF(F2285="","",INDEX(Deals!$E$2:$E$843,F2285))</f>
        <v/>
      </c>
      <c r="I2285">
        <f>IF(F2285="","",INDEX(Deals!$D$2:$D$843,F2285))</f>
        <v/>
      </c>
      <c r="J2285">
        <f>IF(F2285="","",INT(H2285)-B2285)</f>
        <v/>
      </c>
      <c r="K2285">
        <f>IF(B2285&gt;=Settings!$C$5,1,0)</f>
        <v/>
      </c>
    </row>
    <row r="2286">
      <c r="A2286" t="inlineStr">
        <is>
          <t>229f6715312aa818e40a6b8475f0d280</t>
        </is>
      </c>
      <c r="B2286" s="29" t="n">
        <v>43173</v>
      </c>
      <c r="C2286" t="inlineStr">
        <is>
          <t>2018-03</t>
        </is>
      </c>
      <c r="D2286" t="inlineStr">
        <is>
          <t>daa9619c6f8ed06d059265dca0f9257f</t>
        </is>
      </c>
      <c r="E2286" t="inlineStr">
        <is>
          <t>other</t>
        </is>
      </c>
      <c r="F2286">
        <f>IFERROR(MATCH(A2286,Deals!$A$2:$A$843,0),"")</f>
        <v/>
      </c>
      <c r="G2286">
        <f>IF(F2286="",0,1)</f>
        <v/>
      </c>
      <c r="H2286" s="29">
        <f>IF(F2286="","",INDEX(Deals!$E$2:$E$843,F2286))</f>
        <v/>
      </c>
      <c r="I2286">
        <f>IF(F2286="","",INDEX(Deals!$D$2:$D$843,F2286))</f>
        <v/>
      </c>
      <c r="J2286">
        <f>IF(F2286="","",INT(H2286)-B2286)</f>
        <v/>
      </c>
      <c r="K2286">
        <f>IF(B2286&gt;=Settings!$C$5,1,0)</f>
        <v/>
      </c>
    </row>
    <row r="2287">
      <c r="A2287" t="inlineStr">
        <is>
          <t>a544abb197a74a4fce50a04e5537c39f</t>
        </is>
      </c>
      <c r="B2287" s="29" t="n">
        <v>43021</v>
      </c>
      <c r="C2287" t="inlineStr">
        <is>
          <t>2017-10</t>
        </is>
      </c>
      <c r="D2287" t="inlineStr">
        <is>
          <t>22c29808c4f815213303f8933030604c</t>
        </is>
      </c>
      <c r="E2287" t="inlineStr">
        <is>
          <t>organic_search</t>
        </is>
      </c>
      <c r="F2287">
        <f>IFERROR(MATCH(A2287,Deals!$A$2:$A$843,0),"")</f>
        <v/>
      </c>
      <c r="G2287">
        <f>IF(F2287="",0,1)</f>
        <v/>
      </c>
      <c r="H2287" s="29">
        <f>IF(F2287="","",INDEX(Deals!$E$2:$E$843,F2287))</f>
        <v/>
      </c>
      <c r="I2287">
        <f>IF(F2287="","",INDEX(Deals!$D$2:$D$843,F2287))</f>
        <v/>
      </c>
      <c r="J2287">
        <f>IF(F2287="","",INT(H2287)-B2287)</f>
        <v/>
      </c>
      <c r="K2287">
        <f>IF(B2287&gt;=Settings!$C$5,1,0)</f>
        <v/>
      </c>
    </row>
    <row r="2288">
      <c r="A2288" t="inlineStr">
        <is>
          <t>4557bf99646c0bf1d9773e671d5a55fc</t>
        </is>
      </c>
      <c r="B2288" s="29" t="n">
        <v>43163</v>
      </c>
      <c r="C2288" t="inlineStr">
        <is>
          <t>2018-03</t>
        </is>
      </c>
      <c r="D2288" t="inlineStr">
        <is>
          <t>88740e65d5d6b056e0cda098e1ea6313</t>
        </is>
      </c>
      <c r="E2288" t="inlineStr">
        <is>
          <t>social</t>
        </is>
      </c>
      <c r="F2288">
        <f>IFERROR(MATCH(A2288,Deals!$A$2:$A$843,0),"")</f>
        <v/>
      </c>
      <c r="G2288">
        <f>IF(F2288="",0,1)</f>
        <v/>
      </c>
      <c r="H2288" s="29">
        <f>IF(F2288="","",INDEX(Deals!$E$2:$E$843,F2288))</f>
        <v/>
      </c>
      <c r="I2288">
        <f>IF(F2288="","",INDEX(Deals!$D$2:$D$843,F2288))</f>
        <v/>
      </c>
      <c r="J2288">
        <f>IF(F2288="","",INT(H2288)-B2288)</f>
        <v/>
      </c>
      <c r="K2288">
        <f>IF(B2288&gt;=Settings!$C$5,1,0)</f>
        <v/>
      </c>
    </row>
    <row r="2289">
      <c r="A2289" t="inlineStr">
        <is>
          <t>1736246cb52ecbe46bddc1cd2b60cf48</t>
        </is>
      </c>
      <c r="B2289" s="29" t="n">
        <v>43249</v>
      </c>
      <c r="C2289" t="inlineStr">
        <is>
          <t>2018-05</t>
        </is>
      </c>
      <c r="D2289" t="inlineStr">
        <is>
          <t>e0d41e6d874fd065008378950917bca3</t>
        </is>
      </c>
      <c r="E2289" t="inlineStr">
        <is>
          <t>organic_search</t>
        </is>
      </c>
      <c r="F2289">
        <f>IFERROR(MATCH(A2289,Deals!$A$2:$A$843,0),"")</f>
        <v/>
      </c>
      <c r="G2289">
        <f>IF(F2289="",0,1)</f>
        <v/>
      </c>
      <c r="H2289" s="29">
        <f>IF(F2289="","",INDEX(Deals!$E$2:$E$843,F2289))</f>
        <v/>
      </c>
      <c r="I2289">
        <f>IF(F2289="","",INDEX(Deals!$D$2:$D$843,F2289))</f>
        <v/>
      </c>
      <c r="J2289">
        <f>IF(F2289="","",INT(H2289)-B2289)</f>
        <v/>
      </c>
      <c r="K2289">
        <f>IF(B2289&gt;=Settings!$C$5,1,0)</f>
        <v/>
      </c>
    </row>
    <row r="2290">
      <c r="A2290" t="inlineStr">
        <is>
          <t>7a8c5bb149dd17a1ead52c15e3ed4f47</t>
        </is>
      </c>
      <c r="B2290" s="29" t="n">
        <v>43111</v>
      </c>
      <c r="C2290" t="inlineStr">
        <is>
          <t>2018-01</t>
        </is>
      </c>
      <c r="D2290" t="inlineStr">
        <is>
          <t>909e333f8f23574f93115bd3d402e202</t>
        </is>
      </c>
      <c r="E2290" t="inlineStr">
        <is>
          <t>direct_traffic</t>
        </is>
      </c>
      <c r="F2290">
        <f>IFERROR(MATCH(A2290,Deals!$A$2:$A$843,0),"")</f>
        <v/>
      </c>
      <c r="G2290">
        <f>IF(F2290="",0,1)</f>
        <v/>
      </c>
      <c r="H2290" s="29">
        <f>IF(F2290="","",INDEX(Deals!$E$2:$E$843,F2290))</f>
        <v/>
      </c>
      <c r="I2290">
        <f>IF(F2290="","",INDEX(Deals!$D$2:$D$843,F2290))</f>
        <v/>
      </c>
      <c r="J2290">
        <f>IF(F2290="","",INT(H2290)-B2290)</f>
        <v/>
      </c>
      <c r="K2290">
        <f>IF(B2290&gt;=Settings!$C$5,1,0)</f>
        <v/>
      </c>
    </row>
    <row r="2291">
      <c r="A2291" t="inlineStr">
        <is>
          <t>072446c6aa02c85a9a91d6a75116def5</t>
        </is>
      </c>
      <c r="B2291" s="29" t="n">
        <v>43196</v>
      </c>
      <c r="C2291" t="inlineStr">
        <is>
          <t>2018-04</t>
        </is>
      </c>
      <c r="D2291" t="inlineStr">
        <is>
          <t>22c29808c4f815213303f8933030604c</t>
        </is>
      </c>
      <c r="E2291" t="inlineStr">
        <is>
          <t>organic_search</t>
        </is>
      </c>
      <c r="F2291">
        <f>IFERROR(MATCH(A2291,Deals!$A$2:$A$843,0),"")</f>
        <v/>
      </c>
      <c r="G2291">
        <f>IF(F2291="",0,1)</f>
        <v/>
      </c>
      <c r="H2291" s="29">
        <f>IF(F2291="","",INDEX(Deals!$E$2:$E$843,F2291))</f>
        <v/>
      </c>
      <c r="I2291">
        <f>IF(F2291="","",INDEX(Deals!$D$2:$D$843,F2291))</f>
        <v/>
      </c>
      <c r="J2291">
        <f>IF(F2291="","",INT(H2291)-B2291)</f>
        <v/>
      </c>
      <c r="K2291">
        <f>IF(B2291&gt;=Settings!$C$5,1,0)</f>
        <v/>
      </c>
    </row>
    <row r="2292">
      <c r="A2292" t="inlineStr">
        <is>
          <t>e5a55ca0e0c107c9ece3e8c09650a4a1</t>
        </is>
      </c>
      <c r="B2292" s="29" t="n">
        <v>43125</v>
      </c>
      <c r="C2292" t="inlineStr">
        <is>
          <t>2018-01</t>
        </is>
      </c>
      <c r="D2292" t="inlineStr">
        <is>
          <t>241f79c7a8fe0270f4fb79fcbbcd17ad</t>
        </is>
      </c>
      <c r="E2292" t="inlineStr">
        <is>
          <t>paid_search</t>
        </is>
      </c>
      <c r="F2292">
        <f>IFERROR(MATCH(A2292,Deals!$A$2:$A$843,0),"")</f>
        <v/>
      </c>
      <c r="G2292">
        <f>IF(F2292="",0,1)</f>
        <v/>
      </c>
      <c r="H2292" s="29">
        <f>IF(F2292="","",INDEX(Deals!$E$2:$E$843,F2292))</f>
        <v/>
      </c>
      <c r="I2292">
        <f>IF(F2292="","",INDEX(Deals!$D$2:$D$843,F2292))</f>
        <v/>
      </c>
      <c r="J2292">
        <f>IF(F2292="","",INT(H2292)-B2292)</f>
        <v/>
      </c>
      <c r="K2292">
        <f>IF(B2292&gt;=Settings!$C$5,1,0)</f>
        <v/>
      </c>
    </row>
    <row r="2293">
      <c r="A2293" t="inlineStr">
        <is>
          <t>d890f33e2b71506322bde37f3abafb71</t>
        </is>
      </c>
      <c r="B2293" s="29" t="n">
        <v>43164</v>
      </c>
      <c r="C2293" t="inlineStr">
        <is>
          <t>2018-03</t>
        </is>
      </c>
      <c r="D2293" t="inlineStr">
        <is>
          <t>f017be4dbf86243af5c1ebed0cff36a2</t>
        </is>
      </c>
      <c r="E2293" t="inlineStr">
        <is>
          <t>organic_search</t>
        </is>
      </c>
      <c r="F2293">
        <f>IFERROR(MATCH(A2293,Deals!$A$2:$A$843,0),"")</f>
        <v/>
      </c>
      <c r="G2293">
        <f>IF(F2293="",0,1)</f>
        <v/>
      </c>
      <c r="H2293" s="29">
        <f>IF(F2293="","",INDEX(Deals!$E$2:$E$843,F2293))</f>
        <v/>
      </c>
      <c r="I2293">
        <f>IF(F2293="","",INDEX(Deals!$D$2:$D$843,F2293))</f>
        <v/>
      </c>
      <c r="J2293">
        <f>IF(F2293="","",INT(H2293)-B2293)</f>
        <v/>
      </c>
      <c r="K2293">
        <f>IF(B2293&gt;=Settings!$C$5,1,0)</f>
        <v/>
      </c>
    </row>
    <row r="2294">
      <c r="A2294" t="inlineStr">
        <is>
          <t>c3fbc138598bb208f9a02bff183976c3</t>
        </is>
      </c>
      <c r="B2294" s="29" t="n">
        <v>43117</v>
      </c>
      <c r="C2294" t="inlineStr">
        <is>
          <t>2018-01</t>
        </is>
      </c>
      <c r="D2294" t="inlineStr">
        <is>
          <t>c30d0b4337fd05444a3fe502562508d1</t>
        </is>
      </c>
      <c r="E2294" t="inlineStr">
        <is>
          <t>email</t>
        </is>
      </c>
      <c r="F2294">
        <f>IFERROR(MATCH(A2294,Deals!$A$2:$A$843,0),"")</f>
        <v/>
      </c>
      <c r="G2294">
        <f>IF(F2294="",0,1)</f>
        <v/>
      </c>
      <c r="H2294" s="29">
        <f>IF(F2294="","",INDEX(Deals!$E$2:$E$843,F2294))</f>
        <v/>
      </c>
      <c r="I2294">
        <f>IF(F2294="","",INDEX(Deals!$D$2:$D$843,F2294))</f>
        <v/>
      </c>
      <c r="J2294">
        <f>IF(F2294="","",INT(H2294)-B2294)</f>
        <v/>
      </c>
      <c r="K2294">
        <f>IF(B2294&gt;=Settings!$C$5,1,0)</f>
        <v/>
      </c>
    </row>
    <row r="2295">
      <c r="A2295" t="inlineStr">
        <is>
          <t>fb77fa236d1bb1ce3973d53b8576c3eb</t>
        </is>
      </c>
      <c r="B2295" s="29" t="n">
        <v>42957</v>
      </c>
      <c r="C2295" t="inlineStr">
        <is>
          <t>2017-08</t>
        </is>
      </c>
      <c r="D2295" t="inlineStr">
        <is>
          <t>c555aa36478386fdf85a2d0ca5cd0ff8</t>
        </is>
      </c>
      <c r="E2295" t="inlineStr">
        <is>
          <t>organic_search</t>
        </is>
      </c>
      <c r="F2295">
        <f>IFERROR(MATCH(A2295,Deals!$A$2:$A$843,0),"")</f>
        <v/>
      </c>
      <c r="G2295">
        <f>IF(F2295="",0,1)</f>
        <v/>
      </c>
      <c r="H2295" s="29">
        <f>IF(F2295="","",INDEX(Deals!$E$2:$E$843,F2295))</f>
        <v/>
      </c>
      <c r="I2295">
        <f>IF(F2295="","",INDEX(Deals!$D$2:$D$843,F2295))</f>
        <v/>
      </c>
      <c r="J2295">
        <f>IF(F2295="","",INT(H2295)-B2295)</f>
        <v/>
      </c>
      <c r="K2295">
        <f>IF(B2295&gt;=Settings!$C$5,1,0)</f>
        <v/>
      </c>
    </row>
    <row r="2296">
      <c r="A2296" t="inlineStr">
        <is>
          <t>53dd89df1de277e4661ba844d4853bb5</t>
        </is>
      </c>
      <c r="B2296" s="29" t="n">
        <v>43171</v>
      </c>
      <c r="C2296" t="inlineStr">
        <is>
          <t>2018-03</t>
        </is>
      </c>
      <c r="D2296" t="inlineStr">
        <is>
          <t>0218f6be0b76aca72ab4d00ee9e8cf10</t>
        </is>
      </c>
      <c r="E2296" t="inlineStr">
        <is>
          <t>unknown</t>
        </is>
      </c>
      <c r="F2296">
        <f>IFERROR(MATCH(A2296,Deals!$A$2:$A$843,0),"")</f>
        <v/>
      </c>
      <c r="G2296">
        <f>IF(F2296="",0,1)</f>
        <v/>
      </c>
      <c r="H2296" s="29">
        <f>IF(F2296="","",INDEX(Deals!$E$2:$E$843,F2296))</f>
        <v/>
      </c>
      <c r="I2296">
        <f>IF(F2296="","",INDEX(Deals!$D$2:$D$843,F2296))</f>
        <v/>
      </c>
      <c r="J2296">
        <f>IF(F2296="","",INT(H2296)-B2296)</f>
        <v/>
      </c>
      <c r="K2296">
        <f>IF(B2296&gt;=Settings!$C$5,1,0)</f>
        <v/>
      </c>
    </row>
    <row r="2297">
      <c r="A2297" t="inlineStr">
        <is>
          <t>ca1c804883933ab8227beb75dece4b5b</t>
        </is>
      </c>
      <c r="B2297" s="29" t="n">
        <v>43200</v>
      </c>
      <c r="C2297" t="inlineStr">
        <is>
          <t>2018-04</t>
        </is>
      </c>
      <c r="D2297" t="inlineStr">
        <is>
          <t>1ceb590cd1e00c7ee95220971f82693d</t>
        </is>
      </c>
      <c r="E2297" t="inlineStr">
        <is>
          <t>paid_search</t>
        </is>
      </c>
      <c r="F2297">
        <f>IFERROR(MATCH(A2297,Deals!$A$2:$A$843,0),"")</f>
        <v/>
      </c>
      <c r="G2297">
        <f>IF(F2297="",0,1)</f>
        <v/>
      </c>
      <c r="H2297" s="29">
        <f>IF(F2297="","",INDEX(Deals!$E$2:$E$843,F2297))</f>
        <v/>
      </c>
      <c r="I2297">
        <f>IF(F2297="","",INDEX(Deals!$D$2:$D$843,F2297))</f>
        <v/>
      </c>
      <c r="J2297">
        <f>IF(F2297="","",INT(H2297)-B2297)</f>
        <v/>
      </c>
      <c r="K2297">
        <f>IF(B2297&gt;=Settings!$C$5,1,0)</f>
        <v/>
      </c>
    </row>
    <row r="2298">
      <c r="A2298" t="inlineStr">
        <is>
          <t>c8097345b2fc2ffa3ce19c9a02305f76</t>
        </is>
      </c>
      <c r="B2298" s="29" t="n">
        <v>43247</v>
      </c>
      <c r="C2298" t="inlineStr">
        <is>
          <t>2018-05</t>
        </is>
      </c>
      <c r="D2298" t="inlineStr">
        <is>
          <t>58326e62183c14b0c03085c33b9fdc44</t>
        </is>
      </c>
      <c r="E2298" t="inlineStr">
        <is>
          <t>social</t>
        </is>
      </c>
      <c r="F2298">
        <f>IFERROR(MATCH(A2298,Deals!$A$2:$A$843,0),"")</f>
        <v/>
      </c>
      <c r="G2298">
        <f>IF(F2298="",0,1)</f>
        <v/>
      </c>
      <c r="H2298" s="29">
        <f>IF(F2298="","",INDEX(Deals!$E$2:$E$843,F2298))</f>
        <v/>
      </c>
      <c r="I2298">
        <f>IF(F2298="","",INDEX(Deals!$D$2:$D$843,F2298))</f>
        <v/>
      </c>
      <c r="J2298">
        <f>IF(F2298="","",INT(H2298)-B2298)</f>
        <v/>
      </c>
      <c r="K2298">
        <f>IF(B2298&gt;=Settings!$C$5,1,0)</f>
        <v/>
      </c>
    </row>
    <row r="2299">
      <c r="A2299" t="inlineStr">
        <is>
          <t>544c524548645636cc8aa7ee8ad63b75</t>
        </is>
      </c>
      <c r="B2299" s="29" t="n">
        <v>43197</v>
      </c>
      <c r="C2299" t="inlineStr">
        <is>
          <t>2018-04</t>
        </is>
      </c>
      <c r="D2299" t="inlineStr">
        <is>
          <t>a7982125ff7aa3b2054c6e44f9d28522</t>
        </is>
      </c>
      <c r="E2299" t="inlineStr">
        <is>
          <t>display</t>
        </is>
      </c>
      <c r="F2299">
        <f>IFERROR(MATCH(A2299,Deals!$A$2:$A$843,0),"")</f>
        <v/>
      </c>
      <c r="G2299">
        <f>IF(F2299="",0,1)</f>
        <v/>
      </c>
      <c r="H2299" s="29">
        <f>IF(F2299="","",INDEX(Deals!$E$2:$E$843,F2299))</f>
        <v/>
      </c>
      <c r="I2299">
        <f>IF(F2299="","",INDEX(Deals!$D$2:$D$843,F2299))</f>
        <v/>
      </c>
      <c r="J2299">
        <f>IF(F2299="","",INT(H2299)-B2299)</f>
        <v/>
      </c>
      <c r="K2299">
        <f>IF(B2299&gt;=Settings!$C$5,1,0)</f>
        <v/>
      </c>
    </row>
    <row r="2300">
      <c r="A2300" t="inlineStr">
        <is>
          <t>325e0fb6c663a5fc2dc128dc8798563a</t>
        </is>
      </c>
      <c r="B2300" s="29" t="n">
        <v>43110</v>
      </c>
      <c r="C2300" t="inlineStr">
        <is>
          <t>2018-01</t>
        </is>
      </c>
      <c r="D2300" t="inlineStr">
        <is>
          <t>ce1a65abd0973638f1c887a6efcfa82d</t>
        </is>
      </c>
      <c r="E2300" t="inlineStr">
        <is>
          <t>organic_search</t>
        </is>
      </c>
      <c r="F2300">
        <f>IFERROR(MATCH(A2300,Deals!$A$2:$A$843,0),"")</f>
        <v/>
      </c>
      <c r="G2300">
        <f>IF(F2300="",0,1)</f>
        <v/>
      </c>
      <c r="H2300" s="29">
        <f>IF(F2300="","",INDEX(Deals!$E$2:$E$843,F2300))</f>
        <v/>
      </c>
      <c r="I2300">
        <f>IF(F2300="","",INDEX(Deals!$D$2:$D$843,F2300))</f>
        <v/>
      </c>
      <c r="J2300">
        <f>IF(F2300="","",INT(H2300)-B2300)</f>
        <v/>
      </c>
      <c r="K2300">
        <f>IF(B2300&gt;=Settings!$C$5,1,0)</f>
        <v/>
      </c>
    </row>
    <row r="2301">
      <c r="A2301" t="inlineStr">
        <is>
          <t>07882514141f3f7512e11dfd1757d2d3</t>
        </is>
      </c>
      <c r="B2301" s="29" t="n">
        <v>43234</v>
      </c>
      <c r="C2301" t="inlineStr">
        <is>
          <t>2018-05</t>
        </is>
      </c>
      <c r="D2301" t="inlineStr">
        <is>
          <t>58326e62183c14b0c03085c33b9fdc44</t>
        </is>
      </c>
      <c r="E2301" t="inlineStr">
        <is>
          <t>social</t>
        </is>
      </c>
      <c r="F2301">
        <f>IFERROR(MATCH(A2301,Deals!$A$2:$A$843,0),"")</f>
        <v/>
      </c>
      <c r="G2301">
        <f>IF(F2301="",0,1)</f>
        <v/>
      </c>
      <c r="H2301" s="29">
        <f>IF(F2301="","",INDEX(Deals!$E$2:$E$843,F2301))</f>
        <v/>
      </c>
      <c r="I2301">
        <f>IF(F2301="","",INDEX(Deals!$D$2:$D$843,F2301))</f>
        <v/>
      </c>
      <c r="J2301">
        <f>IF(F2301="","",INT(H2301)-B2301)</f>
        <v/>
      </c>
      <c r="K2301">
        <f>IF(B2301&gt;=Settings!$C$5,1,0)</f>
        <v/>
      </c>
    </row>
    <row r="2302">
      <c r="A2302" t="inlineStr">
        <is>
          <t>a8abf6982a83e0d8eb7ec924962f7424</t>
        </is>
      </c>
      <c r="B2302" s="29" t="n">
        <v>43111</v>
      </c>
      <c r="C2302" t="inlineStr">
        <is>
          <t>2018-01</t>
        </is>
      </c>
      <c r="D2302" t="inlineStr">
        <is>
          <t>fbc24da54d531c6204ae2d17b1090bb1</t>
        </is>
      </c>
      <c r="E2302" t="inlineStr">
        <is>
          <t>paid_search</t>
        </is>
      </c>
      <c r="F2302">
        <f>IFERROR(MATCH(A2302,Deals!$A$2:$A$843,0),"")</f>
        <v/>
      </c>
      <c r="G2302">
        <f>IF(F2302="",0,1)</f>
        <v/>
      </c>
      <c r="H2302" s="29">
        <f>IF(F2302="","",INDEX(Deals!$E$2:$E$843,F2302))</f>
        <v/>
      </c>
      <c r="I2302">
        <f>IF(F2302="","",INDEX(Deals!$D$2:$D$843,F2302))</f>
        <v/>
      </c>
      <c r="J2302">
        <f>IF(F2302="","",INT(H2302)-B2302)</f>
        <v/>
      </c>
      <c r="K2302">
        <f>IF(B2302&gt;=Settings!$C$5,1,0)</f>
        <v/>
      </c>
    </row>
    <row r="2303">
      <c r="A2303" t="inlineStr">
        <is>
          <t>eef43b55de33c2d530ea4a9669b81062</t>
        </is>
      </c>
      <c r="B2303" s="29" t="n">
        <v>43115</v>
      </c>
      <c r="C2303" t="inlineStr">
        <is>
          <t>2018-01</t>
        </is>
      </c>
      <c r="D2303" t="inlineStr">
        <is>
          <t>e492ee5eaf1697716985cc6f33f9cd9b</t>
        </is>
      </c>
      <c r="E2303" t="inlineStr">
        <is>
          <t>direct_traffic</t>
        </is>
      </c>
      <c r="F2303">
        <f>IFERROR(MATCH(A2303,Deals!$A$2:$A$843,0),"")</f>
        <v/>
      </c>
      <c r="G2303">
        <f>IF(F2303="",0,1)</f>
        <v/>
      </c>
      <c r="H2303" s="29">
        <f>IF(F2303="","",INDEX(Deals!$E$2:$E$843,F2303))</f>
        <v/>
      </c>
      <c r="I2303">
        <f>IF(F2303="","",INDEX(Deals!$D$2:$D$843,F2303))</f>
        <v/>
      </c>
      <c r="J2303">
        <f>IF(F2303="","",INT(H2303)-B2303)</f>
        <v/>
      </c>
      <c r="K2303">
        <f>IF(B2303&gt;=Settings!$C$5,1,0)</f>
        <v/>
      </c>
    </row>
    <row r="2304">
      <c r="A2304" t="inlineStr">
        <is>
          <t>4161e625f532bf71b6919eba99dd0c25</t>
        </is>
      </c>
      <c r="B2304" s="29" t="n">
        <v>43208</v>
      </c>
      <c r="C2304" t="inlineStr">
        <is>
          <t>2018-04</t>
        </is>
      </c>
      <c r="D2304" t="inlineStr">
        <is>
          <t>ce1a65abd0973638f1c887a6efcfa82d</t>
        </is>
      </c>
      <c r="E2304" t="inlineStr">
        <is>
          <t>referral</t>
        </is>
      </c>
      <c r="F2304">
        <f>IFERROR(MATCH(A2304,Deals!$A$2:$A$843,0),"")</f>
        <v/>
      </c>
      <c r="G2304">
        <f>IF(F2304="",0,1)</f>
        <v/>
      </c>
      <c r="H2304" s="29">
        <f>IF(F2304="","",INDEX(Deals!$E$2:$E$843,F2304))</f>
        <v/>
      </c>
      <c r="I2304">
        <f>IF(F2304="","",INDEX(Deals!$D$2:$D$843,F2304))</f>
        <v/>
      </c>
      <c r="J2304">
        <f>IF(F2304="","",INT(H2304)-B2304)</f>
        <v/>
      </c>
      <c r="K2304">
        <f>IF(B2304&gt;=Settings!$C$5,1,0)</f>
        <v/>
      </c>
    </row>
    <row r="2305">
      <c r="A2305" t="inlineStr">
        <is>
          <t>0d8b45d95dc4bd9712dc67f87db79a8e</t>
        </is>
      </c>
      <c r="B2305" s="29" t="n">
        <v>43159</v>
      </c>
      <c r="C2305" t="inlineStr">
        <is>
          <t>2018-02</t>
        </is>
      </c>
      <c r="D2305" t="inlineStr">
        <is>
          <t>b6885f18d203a61176418c1fb3764815</t>
        </is>
      </c>
      <c r="E2305" t="inlineStr">
        <is>
          <t>paid_search</t>
        </is>
      </c>
      <c r="F2305">
        <f>IFERROR(MATCH(A2305,Deals!$A$2:$A$843,0),"")</f>
        <v/>
      </c>
      <c r="G2305">
        <f>IF(F2305="",0,1)</f>
        <v/>
      </c>
      <c r="H2305" s="29">
        <f>IF(F2305="","",INDEX(Deals!$E$2:$E$843,F2305))</f>
        <v/>
      </c>
      <c r="I2305">
        <f>IF(F2305="","",INDEX(Deals!$D$2:$D$843,F2305))</f>
        <v/>
      </c>
      <c r="J2305">
        <f>IF(F2305="","",INT(H2305)-B2305)</f>
        <v/>
      </c>
      <c r="K2305">
        <f>IF(B2305&gt;=Settings!$C$5,1,0)</f>
        <v/>
      </c>
    </row>
    <row r="2306">
      <c r="A2306" t="inlineStr">
        <is>
          <t>cb12ca193d39b38f33f7d09a2ce6d080</t>
        </is>
      </c>
      <c r="B2306" s="29" t="n">
        <v>43224</v>
      </c>
      <c r="C2306" t="inlineStr">
        <is>
          <t>2018-05</t>
        </is>
      </c>
      <c r="D2306" t="inlineStr">
        <is>
          <t>22c29808c4f815213303f8933030604c</t>
        </is>
      </c>
      <c r="E2306" t="inlineStr">
        <is>
          <t>unknown</t>
        </is>
      </c>
      <c r="F2306">
        <f>IFERROR(MATCH(A2306,Deals!$A$2:$A$843,0),"")</f>
        <v/>
      </c>
      <c r="G2306">
        <f>IF(F2306="",0,1)</f>
        <v/>
      </c>
      <c r="H2306" s="29">
        <f>IF(F2306="","",INDEX(Deals!$E$2:$E$843,F2306))</f>
        <v/>
      </c>
      <c r="I2306">
        <f>IF(F2306="","",INDEX(Deals!$D$2:$D$843,F2306))</f>
        <v/>
      </c>
      <c r="J2306">
        <f>IF(F2306="","",INT(H2306)-B2306)</f>
        <v/>
      </c>
      <c r="K2306">
        <f>IF(B2306&gt;=Settings!$C$5,1,0)</f>
        <v/>
      </c>
    </row>
    <row r="2307">
      <c r="A2307" t="inlineStr">
        <is>
          <t>ec2324256bdb9d5159c9195b002f851b</t>
        </is>
      </c>
      <c r="B2307" s="29" t="n">
        <v>43187</v>
      </c>
      <c r="C2307" t="inlineStr">
        <is>
          <t>2018-03</t>
        </is>
      </c>
      <c r="D2307" t="inlineStr">
        <is>
          <t>b76ef37428e6799c421989521c0e5077</t>
        </is>
      </c>
      <c r="E2307" t="inlineStr">
        <is>
          <t>paid_search</t>
        </is>
      </c>
      <c r="F2307">
        <f>IFERROR(MATCH(A2307,Deals!$A$2:$A$843,0),"")</f>
        <v/>
      </c>
      <c r="G2307">
        <f>IF(F2307="",0,1)</f>
        <v/>
      </c>
      <c r="H2307" s="29">
        <f>IF(F2307="","",INDEX(Deals!$E$2:$E$843,F2307))</f>
        <v/>
      </c>
      <c r="I2307">
        <f>IF(F2307="","",INDEX(Deals!$D$2:$D$843,F2307))</f>
        <v/>
      </c>
      <c r="J2307">
        <f>IF(F2307="","",INT(H2307)-B2307)</f>
        <v/>
      </c>
      <c r="K2307">
        <f>IF(B2307&gt;=Settings!$C$5,1,0)</f>
        <v/>
      </c>
    </row>
    <row r="2308">
      <c r="A2308" t="inlineStr">
        <is>
          <t>d40bdee0fd721835b35fd121261946f9</t>
        </is>
      </c>
      <c r="B2308" s="29" t="n">
        <v>43159</v>
      </c>
      <c r="C2308" t="inlineStr">
        <is>
          <t>2018-02</t>
        </is>
      </c>
      <c r="D2308" t="inlineStr">
        <is>
          <t>cc99b45713ce89a0a569e36be200e8ca</t>
        </is>
      </c>
      <c r="E2308" t="inlineStr">
        <is>
          <t>unknown</t>
        </is>
      </c>
      <c r="F2308">
        <f>IFERROR(MATCH(A2308,Deals!$A$2:$A$843,0),"")</f>
        <v/>
      </c>
      <c r="G2308">
        <f>IF(F2308="",0,1)</f>
        <v/>
      </c>
      <c r="H2308" s="29">
        <f>IF(F2308="","",INDEX(Deals!$E$2:$E$843,F2308))</f>
        <v/>
      </c>
      <c r="I2308">
        <f>IF(F2308="","",INDEX(Deals!$D$2:$D$843,F2308))</f>
        <v/>
      </c>
      <c r="J2308">
        <f>IF(F2308="","",INT(H2308)-B2308)</f>
        <v/>
      </c>
      <c r="K2308">
        <f>IF(B2308&gt;=Settings!$C$5,1,0)</f>
        <v/>
      </c>
    </row>
    <row r="2309">
      <c r="A2309" t="inlineStr">
        <is>
          <t>6121a3272f178b1627bbe55eab85cd78</t>
        </is>
      </c>
      <c r="B2309" s="29" t="n">
        <v>42936</v>
      </c>
      <c r="C2309" t="inlineStr">
        <is>
          <t>2017-07</t>
        </is>
      </c>
      <c r="D2309" t="inlineStr">
        <is>
          <t>ce7bafe02f8fb1a3f15f52a9c239d0ef</t>
        </is>
      </c>
      <c r="E2309" t="inlineStr">
        <is>
          <t>organic_search</t>
        </is>
      </c>
      <c r="F2309">
        <f>IFERROR(MATCH(A2309,Deals!$A$2:$A$843,0),"")</f>
        <v/>
      </c>
      <c r="G2309">
        <f>IF(F2309="",0,1)</f>
        <v/>
      </c>
      <c r="H2309" s="29">
        <f>IF(F2309="","",INDEX(Deals!$E$2:$E$843,F2309))</f>
        <v/>
      </c>
      <c r="I2309">
        <f>IF(F2309="","",INDEX(Deals!$D$2:$D$843,F2309))</f>
        <v/>
      </c>
      <c r="J2309">
        <f>IF(F2309="","",INT(H2309)-B2309)</f>
        <v/>
      </c>
      <c r="K2309">
        <f>IF(B2309&gt;=Settings!$C$5,1,0)</f>
        <v/>
      </c>
    </row>
    <row r="2310">
      <c r="A2310" t="inlineStr">
        <is>
          <t>4a11791c655ba29d3978d655a68516e5</t>
        </is>
      </c>
      <c r="B2310" s="29" t="n">
        <v>43213</v>
      </c>
      <c r="C2310" t="inlineStr">
        <is>
          <t>2018-04</t>
        </is>
      </c>
      <c r="D2310" t="inlineStr">
        <is>
          <t>b76ef37428e6799c421989521c0e5077</t>
        </is>
      </c>
      <c r="E2310" t="inlineStr">
        <is>
          <t>organic_search</t>
        </is>
      </c>
      <c r="F2310">
        <f>IFERROR(MATCH(A2310,Deals!$A$2:$A$843,0),"")</f>
        <v/>
      </c>
      <c r="G2310">
        <f>IF(F2310="",0,1)</f>
        <v/>
      </c>
      <c r="H2310" s="29">
        <f>IF(F2310="","",INDEX(Deals!$E$2:$E$843,F2310))</f>
        <v/>
      </c>
      <c r="I2310">
        <f>IF(F2310="","",INDEX(Deals!$D$2:$D$843,F2310))</f>
        <v/>
      </c>
      <c r="J2310">
        <f>IF(F2310="","",INT(H2310)-B2310)</f>
        <v/>
      </c>
      <c r="K2310">
        <f>IF(B2310&gt;=Settings!$C$5,1,0)</f>
        <v/>
      </c>
    </row>
    <row r="2311">
      <c r="A2311" t="inlineStr">
        <is>
          <t>9c108d0cb8dd18ea82733a05930b1aed</t>
        </is>
      </c>
      <c r="B2311" s="29" t="n">
        <v>43026</v>
      </c>
      <c r="C2311" t="inlineStr">
        <is>
          <t>2017-10</t>
        </is>
      </c>
      <c r="D2311" t="inlineStr">
        <is>
          <t>87780f7c05ecd79791bde76af663db15</t>
        </is>
      </c>
      <c r="E2311" t="inlineStr">
        <is>
          <t>unknown</t>
        </is>
      </c>
      <c r="F2311">
        <f>IFERROR(MATCH(A2311,Deals!$A$2:$A$843,0),"")</f>
        <v/>
      </c>
      <c r="G2311">
        <f>IF(F2311="",0,1)</f>
        <v/>
      </c>
      <c r="H2311" s="29">
        <f>IF(F2311="","",INDEX(Deals!$E$2:$E$843,F2311))</f>
        <v/>
      </c>
      <c r="I2311">
        <f>IF(F2311="","",INDEX(Deals!$D$2:$D$843,F2311))</f>
        <v/>
      </c>
      <c r="J2311">
        <f>IF(F2311="","",INT(H2311)-B2311)</f>
        <v/>
      </c>
      <c r="K2311">
        <f>IF(B2311&gt;=Settings!$C$5,1,0)</f>
        <v/>
      </c>
    </row>
    <row r="2312">
      <c r="A2312" t="inlineStr">
        <is>
          <t>3c841cee5b2497ea9617f7e630b8ead1</t>
        </is>
      </c>
      <c r="B2312" s="29" t="n">
        <v>43241</v>
      </c>
      <c r="C2312" t="inlineStr">
        <is>
          <t>2018-05</t>
        </is>
      </c>
      <c r="D2312" t="inlineStr">
        <is>
          <t>f017be4dbf86243af5c1ebed0cff36a2</t>
        </is>
      </c>
      <c r="E2312" t="inlineStr">
        <is>
          <t>organic_search</t>
        </is>
      </c>
      <c r="F2312">
        <f>IFERROR(MATCH(A2312,Deals!$A$2:$A$843,0),"")</f>
        <v/>
      </c>
      <c r="G2312">
        <f>IF(F2312="",0,1)</f>
        <v/>
      </c>
      <c r="H2312" s="29">
        <f>IF(F2312="","",INDEX(Deals!$E$2:$E$843,F2312))</f>
        <v/>
      </c>
      <c r="I2312">
        <f>IF(F2312="","",INDEX(Deals!$D$2:$D$843,F2312))</f>
        <v/>
      </c>
      <c r="J2312">
        <f>IF(F2312="","",INT(H2312)-B2312)</f>
        <v/>
      </c>
      <c r="K2312">
        <f>IF(B2312&gt;=Settings!$C$5,1,0)</f>
        <v/>
      </c>
    </row>
    <row r="2313">
      <c r="A2313" t="inlineStr">
        <is>
          <t>a528bca9b3e06f60ba610a7249ab99e5</t>
        </is>
      </c>
      <c r="B2313" s="29" t="n">
        <v>43110</v>
      </c>
      <c r="C2313" t="inlineStr">
        <is>
          <t>2018-01</t>
        </is>
      </c>
      <c r="D2313" t="inlineStr">
        <is>
          <t>fe82aeadeaea2186478fe6353d6d5301</t>
        </is>
      </c>
      <c r="E2313" t="inlineStr">
        <is>
          <t>unknown</t>
        </is>
      </c>
      <c r="F2313">
        <f>IFERROR(MATCH(A2313,Deals!$A$2:$A$843,0),"")</f>
        <v/>
      </c>
      <c r="G2313">
        <f>IF(F2313="",0,1)</f>
        <v/>
      </c>
      <c r="H2313" s="29">
        <f>IF(F2313="","",INDEX(Deals!$E$2:$E$843,F2313))</f>
        <v/>
      </c>
      <c r="I2313">
        <f>IF(F2313="","",INDEX(Deals!$D$2:$D$843,F2313))</f>
        <v/>
      </c>
      <c r="J2313">
        <f>IF(F2313="","",INT(H2313)-B2313)</f>
        <v/>
      </c>
      <c r="K2313">
        <f>IF(B2313&gt;=Settings!$C$5,1,0)</f>
        <v/>
      </c>
    </row>
    <row r="2314">
      <c r="A2314" t="inlineStr">
        <is>
          <t>9339be1158aa50c53147b3b53bf0f259</t>
        </is>
      </c>
      <c r="B2314" s="29" t="n">
        <v>43024</v>
      </c>
      <c r="C2314" t="inlineStr">
        <is>
          <t>2017-10</t>
        </is>
      </c>
      <c r="D2314" t="inlineStr">
        <is>
          <t>22c29808c4f815213303f8933030604c</t>
        </is>
      </c>
      <c r="E2314" t="inlineStr">
        <is>
          <t>unknown</t>
        </is>
      </c>
      <c r="F2314">
        <f>IFERROR(MATCH(A2314,Deals!$A$2:$A$843,0),"")</f>
        <v/>
      </c>
      <c r="G2314">
        <f>IF(F2314="",0,1)</f>
        <v/>
      </c>
      <c r="H2314" s="29">
        <f>IF(F2314="","",INDEX(Deals!$E$2:$E$843,F2314))</f>
        <v/>
      </c>
      <c r="I2314">
        <f>IF(F2314="","",INDEX(Deals!$D$2:$D$843,F2314))</f>
        <v/>
      </c>
      <c r="J2314">
        <f>IF(F2314="","",INT(H2314)-B2314)</f>
        <v/>
      </c>
      <c r="K2314">
        <f>IF(B2314&gt;=Settings!$C$5,1,0)</f>
        <v/>
      </c>
    </row>
    <row r="2315">
      <c r="A2315" t="inlineStr">
        <is>
          <t>6625f532eb7087a824ae1ac3cf43ea98</t>
        </is>
      </c>
      <c r="B2315" s="29" t="n">
        <v>43235</v>
      </c>
      <c r="C2315" t="inlineStr">
        <is>
          <t>2018-05</t>
        </is>
      </c>
      <c r="D2315" t="inlineStr">
        <is>
          <t>e492ee5eaf1697716985cc6f33f9cd9b</t>
        </is>
      </c>
      <c r="E2315" t="inlineStr">
        <is>
          <t>paid_search</t>
        </is>
      </c>
      <c r="F2315">
        <f>IFERROR(MATCH(A2315,Deals!$A$2:$A$843,0),"")</f>
        <v/>
      </c>
      <c r="G2315">
        <f>IF(F2315="",0,1)</f>
        <v/>
      </c>
      <c r="H2315" s="29">
        <f>IF(F2315="","",INDEX(Deals!$E$2:$E$843,F2315))</f>
        <v/>
      </c>
      <c r="I2315">
        <f>IF(F2315="","",INDEX(Deals!$D$2:$D$843,F2315))</f>
        <v/>
      </c>
      <c r="J2315">
        <f>IF(F2315="","",INT(H2315)-B2315)</f>
        <v/>
      </c>
      <c r="K2315">
        <f>IF(B2315&gt;=Settings!$C$5,1,0)</f>
        <v/>
      </c>
    </row>
    <row r="2316">
      <c r="A2316" t="inlineStr">
        <is>
          <t>f3f64102d3726f3a58c564c77b11117a</t>
        </is>
      </c>
      <c r="B2316" s="29" t="n">
        <v>43114</v>
      </c>
      <c r="C2316" t="inlineStr">
        <is>
          <t>2018-01</t>
        </is>
      </c>
      <c r="D2316" t="inlineStr">
        <is>
          <t>88740e65d5d6b056e0cda098e1ea6313</t>
        </is>
      </c>
      <c r="E2316" t="inlineStr">
        <is>
          <t>social</t>
        </is>
      </c>
      <c r="F2316">
        <f>IFERROR(MATCH(A2316,Deals!$A$2:$A$843,0),"")</f>
        <v/>
      </c>
      <c r="G2316">
        <f>IF(F2316="",0,1)</f>
        <v/>
      </c>
      <c r="H2316" s="29">
        <f>IF(F2316="","",INDEX(Deals!$E$2:$E$843,F2316))</f>
        <v/>
      </c>
      <c r="I2316">
        <f>IF(F2316="","",INDEX(Deals!$D$2:$D$843,F2316))</f>
        <v/>
      </c>
      <c r="J2316">
        <f>IF(F2316="","",INT(H2316)-B2316)</f>
        <v/>
      </c>
      <c r="K2316">
        <f>IF(B2316&gt;=Settings!$C$5,1,0)</f>
        <v/>
      </c>
    </row>
    <row r="2317">
      <c r="A2317" t="inlineStr">
        <is>
          <t>6829f04c08f76d864d84dfad889698f2</t>
        </is>
      </c>
      <c r="B2317" s="29" t="n">
        <v>43052</v>
      </c>
      <c r="C2317" t="inlineStr">
        <is>
          <t>2017-11</t>
        </is>
      </c>
      <c r="D2317" t="inlineStr">
        <is>
          <t>b76ef37428e6799c421989521c0e5077</t>
        </is>
      </c>
      <c r="E2317" t="inlineStr">
        <is>
          <t>direct_traffic</t>
        </is>
      </c>
      <c r="F2317">
        <f>IFERROR(MATCH(A2317,Deals!$A$2:$A$843,0),"")</f>
        <v/>
      </c>
      <c r="G2317">
        <f>IF(F2317="",0,1)</f>
        <v/>
      </c>
      <c r="H2317" s="29">
        <f>IF(F2317="","",INDEX(Deals!$E$2:$E$843,F2317))</f>
        <v/>
      </c>
      <c r="I2317">
        <f>IF(F2317="","",INDEX(Deals!$D$2:$D$843,F2317))</f>
        <v/>
      </c>
      <c r="J2317">
        <f>IF(F2317="","",INT(H2317)-B2317)</f>
        <v/>
      </c>
      <c r="K2317">
        <f>IF(B2317&gt;=Settings!$C$5,1,0)</f>
        <v/>
      </c>
    </row>
    <row r="2318">
      <c r="A2318" t="inlineStr">
        <is>
          <t>e7fec9502eb4a715cff899dc03e6fcff</t>
        </is>
      </c>
      <c r="B2318" s="29" t="n">
        <v>43207</v>
      </c>
      <c r="C2318" t="inlineStr">
        <is>
          <t>2018-04</t>
        </is>
      </c>
      <c r="D2318" t="inlineStr">
        <is>
          <t>91dbdf987124ca09b297bd87f06b5e64</t>
        </is>
      </c>
      <c r="E2318" t="inlineStr">
        <is>
          <t>organic_search</t>
        </is>
      </c>
      <c r="F2318">
        <f>IFERROR(MATCH(A2318,Deals!$A$2:$A$843,0),"")</f>
        <v/>
      </c>
      <c r="G2318">
        <f>IF(F2318="",0,1)</f>
        <v/>
      </c>
      <c r="H2318" s="29">
        <f>IF(F2318="","",INDEX(Deals!$E$2:$E$843,F2318))</f>
        <v/>
      </c>
      <c r="I2318">
        <f>IF(F2318="","",INDEX(Deals!$D$2:$D$843,F2318))</f>
        <v/>
      </c>
      <c r="J2318">
        <f>IF(F2318="","",INT(H2318)-B2318)</f>
        <v/>
      </c>
      <c r="K2318">
        <f>IF(B2318&gt;=Settings!$C$5,1,0)</f>
        <v/>
      </c>
    </row>
    <row r="2319">
      <c r="A2319" t="inlineStr">
        <is>
          <t>ed4f2064045ca72b7f2a53f052d82c55</t>
        </is>
      </c>
      <c r="B2319" s="29" t="n">
        <v>43201</v>
      </c>
      <c r="C2319" t="inlineStr">
        <is>
          <t>2018-04</t>
        </is>
      </c>
      <c r="D2319" t="inlineStr">
        <is>
          <t>382c8bbbcb0aab881c1a340d390b5e32</t>
        </is>
      </c>
      <c r="E2319" t="inlineStr">
        <is>
          <t>direct_traffic</t>
        </is>
      </c>
      <c r="F2319">
        <f>IFERROR(MATCH(A2319,Deals!$A$2:$A$843,0),"")</f>
        <v/>
      </c>
      <c r="G2319">
        <f>IF(F2319="",0,1)</f>
        <v/>
      </c>
      <c r="H2319" s="29">
        <f>IF(F2319="","",INDEX(Deals!$E$2:$E$843,F2319))</f>
        <v/>
      </c>
      <c r="I2319">
        <f>IF(F2319="","",INDEX(Deals!$D$2:$D$843,F2319))</f>
        <v/>
      </c>
      <c r="J2319">
        <f>IF(F2319="","",INT(H2319)-B2319)</f>
        <v/>
      </c>
      <c r="K2319">
        <f>IF(B2319&gt;=Settings!$C$5,1,0)</f>
        <v/>
      </c>
    </row>
    <row r="2320">
      <c r="A2320" t="inlineStr">
        <is>
          <t>c08845406b78842b7ee7f3339c31cef6</t>
        </is>
      </c>
      <c r="B2320" s="29" t="n">
        <v>43218</v>
      </c>
      <c r="C2320" t="inlineStr">
        <is>
          <t>2018-04</t>
        </is>
      </c>
      <c r="D2320" t="inlineStr">
        <is>
          <t>58326e62183c14b0c03085c33b9fdc44</t>
        </is>
      </c>
      <c r="E2320" t="inlineStr">
        <is>
          <t>social</t>
        </is>
      </c>
      <c r="F2320">
        <f>IFERROR(MATCH(A2320,Deals!$A$2:$A$843,0),"")</f>
        <v/>
      </c>
      <c r="G2320">
        <f>IF(F2320="",0,1)</f>
        <v/>
      </c>
      <c r="H2320" s="29">
        <f>IF(F2320="","",INDEX(Deals!$E$2:$E$843,F2320))</f>
        <v/>
      </c>
      <c r="I2320">
        <f>IF(F2320="","",INDEX(Deals!$D$2:$D$843,F2320))</f>
        <v/>
      </c>
      <c r="J2320">
        <f>IF(F2320="","",INT(H2320)-B2320)</f>
        <v/>
      </c>
      <c r="K2320">
        <f>IF(B2320&gt;=Settings!$C$5,1,0)</f>
        <v/>
      </c>
    </row>
    <row r="2321">
      <c r="A2321" t="inlineStr">
        <is>
          <t>a7a89b342fac79af75d36d7fca34fa28</t>
        </is>
      </c>
      <c r="B2321" s="29" t="n">
        <v>43185</v>
      </c>
      <c r="C2321" t="inlineStr">
        <is>
          <t>2018-03</t>
        </is>
      </c>
      <c r="D2321" t="inlineStr">
        <is>
          <t>e492ee5eaf1697716985cc6f33f9cd9b</t>
        </is>
      </c>
      <c r="E2321" t="inlineStr">
        <is>
          <t>referral</t>
        </is>
      </c>
      <c r="F2321">
        <f>IFERROR(MATCH(A2321,Deals!$A$2:$A$843,0),"")</f>
        <v/>
      </c>
      <c r="G2321">
        <f>IF(F2321="",0,1)</f>
        <v/>
      </c>
      <c r="H2321" s="29">
        <f>IF(F2321="","",INDEX(Deals!$E$2:$E$843,F2321))</f>
        <v/>
      </c>
      <c r="I2321">
        <f>IF(F2321="","",INDEX(Deals!$D$2:$D$843,F2321))</f>
        <v/>
      </c>
      <c r="J2321">
        <f>IF(F2321="","",INT(H2321)-B2321)</f>
        <v/>
      </c>
      <c r="K2321">
        <f>IF(B2321&gt;=Settings!$C$5,1,0)</f>
        <v/>
      </c>
    </row>
    <row r="2322">
      <c r="A2322" t="inlineStr">
        <is>
          <t>3096906059efe2c9098fe8b265ebb949</t>
        </is>
      </c>
      <c r="B2322" s="29" t="n">
        <v>43065</v>
      </c>
      <c r="C2322" t="inlineStr">
        <is>
          <t>2017-11</t>
        </is>
      </c>
      <c r="D2322" t="inlineStr">
        <is>
          <t>22c29808c4f815213303f8933030604c</t>
        </is>
      </c>
      <c r="E2322" t="inlineStr">
        <is>
          <t>direct_traffic</t>
        </is>
      </c>
      <c r="F2322">
        <f>IFERROR(MATCH(A2322,Deals!$A$2:$A$843,0),"")</f>
        <v/>
      </c>
      <c r="G2322">
        <f>IF(F2322="",0,1)</f>
        <v/>
      </c>
      <c r="H2322" s="29">
        <f>IF(F2322="","",INDEX(Deals!$E$2:$E$843,F2322))</f>
        <v/>
      </c>
      <c r="I2322">
        <f>IF(F2322="","",INDEX(Deals!$D$2:$D$843,F2322))</f>
        <v/>
      </c>
      <c r="J2322">
        <f>IF(F2322="","",INT(H2322)-B2322)</f>
        <v/>
      </c>
      <c r="K2322">
        <f>IF(B2322&gt;=Settings!$C$5,1,0)</f>
        <v/>
      </c>
    </row>
    <row r="2323">
      <c r="A2323" t="inlineStr">
        <is>
          <t>f88920d4589dae7abec2eb05fca153e3</t>
        </is>
      </c>
      <c r="B2323" s="29" t="n">
        <v>43047</v>
      </c>
      <c r="C2323" t="inlineStr">
        <is>
          <t>2017-11</t>
        </is>
      </c>
      <c r="D2323" t="inlineStr">
        <is>
          <t>40dec9f3d5259a3d2dbcdab2114fae47</t>
        </is>
      </c>
      <c r="E2323" t="inlineStr">
        <is>
          <t>paid_search</t>
        </is>
      </c>
      <c r="F2323">
        <f>IFERROR(MATCH(A2323,Deals!$A$2:$A$843,0),"")</f>
        <v/>
      </c>
      <c r="G2323">
        <f>IF(F2323="",0,1)</f>
        <v/>
      </c>
      <c r="H2323" s="29">
        <f>IF(F2323="","",INDEX(Deals!$E$2:$E$843,F2323))</f>
        <v/>
      </c>
      <c r="I2323">
        <f>IF(F2323="","",INDEX(Deals!$D$2:$D$843,F2323))</f>
        <v/>
      </c>
      <c r="J2323">
        <f>IF(F2323="","",INT(H2323)-B2323)</f>
        <v/>
      </c>
      <c r="K2323">
        <f>IF(B2323&gt;=Settings!$C$5,1,0)</f>
        <v/>
      </c>
    </row>
    <row r="2324">
      <c r="A2324" t="inlineStr">
        <is>
          <t>7211907fcb1520b6c0ff323be1c9c670</t>
        </is>
      </c>
      <c r="B2324" s="29" t="n">
        <v>43193</v>
      </c>
      <c r="C2324" t="inlineStr">
        <is>
          <t>2018-04</t>
        </is>
      </c>
      <c r="D2324" t="inlineStr">
        <is>
          <t>ce1a65abd0973638f1c887a6efcfa82d</t>
        </is>
      </c>
      <c r="E2324" t="inlineStr">
        <is>
          <t>email</t>
        </is>
      </c>
      <c r="F2324">
        <f>IFERROR(MATCH(A2324,Deals!$A$2:$A$843,0),"")</f>
        <v/>
      </c>
      <c r="G2324">
        <f>IF(F2324="",0,1)</f>
        <v/>
      </c>
      <c r="H2324" s="29">
        <f>IF(F2324="","",INDEX(Deals!$E$2:$E$843,F2324))</f>
        <v/>
      </c>
      <c r="I2324">
        <f>IF(F2324="","",INDEX(Deals!$D$2:$D$843,F2324))</f>
        <v/>
      </c>
      <c r="J2324">
        <f>IF(F2324="","",INT(H2324)-B2324)</f>
        <v/>
      </c>
      <c r="K2324">
        <f>IF(B2324&gt;=Settings!$C$5,1,0)</f>
        <v/>
      </c>
    </row>
    <row r="2325">
      <c r="A2325" t="inlineStr">
        <is>
          <t>8f71156e9df4967ceca8023b36710673</t>
        </is>
      </c>
      <c r="B2325" s="29" t="n">
        <v>43192</v>
      </c>
      <c r="C2325" t="inlineStr">
        <is>
          <t>2018-04</t>
        </is>
      </c>
      <c r="D2325" t="inlineStr">
        <is>
          <t>40dec9f3d5259a3d2dbcdab2114fae47</t>
        </is>
      </c>
      <c r="E2325" t="inlineStr">
        <is>
          <t>paid_search</t>
        </is>
      </c>
      <c r="F2325">
        <f>IFERROR(MATCH(A2325,Deals!$A$2:$A$843,0),"")</f>
        <v/>
      </c>
      <c r="G2325">
        <f>IF(F2325="",0,1)</f>
        <v/>
      </c>
      <c r="H2325" s="29">
        <f>IF(F2325="","",INDEX(Deals!$E$2:$E$843,F2325))</f>
        <v/>
      </c>
      <c r="I2325">
        <f>IF(F2325="","",INDEX(Deals!$D$2:$D$843,F2325))</f>
        <v/>
      </c>
      <c r="J2325">
        <f>IF(F2325="","",INT(H2325)-B2325)</f>
        <v/>
      </c>
      <c r="K2325">
        <f>IF(B2325&gt;=Settings!$C$5,1,0)</f>
        <v/>
      </c>
    </row>
    <row r="2326">
      <c r="A2326" t="inlineStr">
        <is>
          <t>934a966c733eda15d17c38e6456b4571</t>
        </is>
      </c>
      <c r="B2326" s="29" t="n">
        <v>42986</v>
      </c>
      <c r="C2326" t="inlineStr">
        <is>
          <t>2017-09</t>
        </is>
      </c>
      <c r="D2326" t="inlineStr">
        <is>
          <t>ef0b482996664cc1107b9051efd3ca84</t>
        </is>
      </c>
      <c r="E2326" t="inlineStr">
        <is>
          <t>organic_search</t>
        </is>
      </c>
      <c r="F2326">
        <f>IFERROR(MATCH(A2326,Deals!$A$2:$A$843,0),"")</f>
        <v/>
      </c>
      <c r="G2326">
        <f>IF(F2326="",0,1)</f>
        <v/>
      </c>
      <c r="H2326" s="29">
        <f>IF(F2326="","",INDEX(Deals!$E$2:$E$843,F2326))</f>
        <v/>
      </c>
      <c r="I2326">
        <f>IF(F2326="","",INDEX(Deals!$D$2:$D$843,F2326))</f>
        <v/>
      </c>
      <c r="J2326">
        <f>IF(F2326="","",INT(H2326)-B2326)</f>
        <v/>
      </c>
      <c r="K2326">
        <f>IF(B2326&gt;=Settings!$C$5,1,0)</f>
        <v/>
      </c>
    </row>
    <row r="2327">
      <c r="A2327" t="inlineStr">
        <is>
          <t>39f08ca9bf44368a6a029b0ff7c43ab3</t>
        </is>
      </c>
      <c r="B2327" s="29" t="n">
        <v>43163</v>
      </c>
      <c r="C2327" t="inlineStr">
        <is>
          <t>2018-03</t>
        </is>
      </c>
      <c r="D2327" t="inlineStr">
        <is>
          <t>88740e65d5d6b056e0cda098e1ea6313</t>
        </is>
      </c>
      <c r="E2327" t="inlineStr">
        <is>
          <t>other_publicities</t>
        </is>
      </c>
      <c r="F2327">
        <f>IFERROR(MATCH(A2327,Deals!$A$2:$A$843,0),"")</f>
        <v/>
      </c>
      <c r="G2327">
        <f>IF(F2327="",0,1)</f>
        <v/>
      </c>
      <c r="H2327" s="29">
        <f>IF(F2327="","",INDEX(Deals!$E$2:$E$843,F2327))</f>
        <v/>
      </c>
      <c r="I2327">
        <f>IF(F2327="","",INDEX(Deals!$D$2:$D$843,F2327))</f>
        <v/>
      </c>
      <c r="J2327">
        <f>IF(F2327="","",INT(H2327)-B2327)</f>
        <v/>
      </c>
      <c r="K2327">
        <f>IF(B2327&gt;=Settings!$C$5,1,0)</f>
        <v/>
      </c>
    </row>
    <row r="2328">
      <c r="A2328" t="inlineStr">
        <is>
          <t>6710565534bb35faf7fad5971cf885b3</t>
        </is>
      </c>
      <c r="B2328" s="29" t="n">
        <v>43133</v>
      </c>
      <c r="C2328" t="inlineStr">
        <is>
          <t>2018-02</t>
        </is>
      </c>
      <c r="D2328" t="inlineStr">
        <is>
          <t>0c83f57c786a0b4a39efab23731c7ebc</t>
        </is>
      </c>
      <c r="E2328" t="inlineStr">
        <is>
          <t>(missing)</t>
        </is>
      </c>
      <c r="F2328">
        <f>IFERROR(MATCH(A2328,Deals!$A$2:$A$843,0),"")</f>
        <v/>
      </c>
      <c r="G2328">
        <f>IF(F2328="",0,1)</f>
        <v/>
      </c>
      <c r="H2328" s="29">
        <f>IF(F2328="","",INDEX(Deals!$E$2:$E$843,F2328))</f>
        <v/>
      </c>
      <c r="I2328">
        <f>IF(F2328="","",INDEX(Deals!$D$2:$D$843,F2328))</f>
        <v/>
      </c>
      <c r="J2328">
        <f>IF(F2328="","",INT(H2328)-B2328)</f>
        <v/>
      </c>
      <c r="K2328">
        <f>IF(B2328&gt;=Settings!$C$5,1,0)</f>
        <v/>
      </c>
    </row>
    <row r="2329">
      <c r="A2329" t="inlineStr">
        <is>
          <t>10b83e434ddcd9c79ad2b9be2fd0aa84</t>
        </is>
      </c>
      <c r="B2329" s="29" t="n">
        <v>42971</v>
      </c>
      <c r="C2329" t="inlineStr">
        <is>
          <t>2017-08</t>
        </is>
      </c>
      <c r="D2329" t="inlineStr">
        <is>
          <t>83ccc33d426eab8a3db70bd15aba46b8</t>
        </is>
      </c>
      <c r="E2329" t="inlineStr">
        <is>
          <t>social</t>
        </is>
      </c>
      <c r="F2329">
        <f>IFERROR(MATCH(A2329,Deals!$A$2:$A$843,0),"")</f>
        <v/>
      </c>
      <c r="G2329">
        <f>IF(F2329="",0,1)</f>
        <v/>
      </c>
      <c r="H2329" s="29">
        <f>IF(F2329="","",INDEX(Deals!$E$2:$E$843,F2329))</f>
        <v/>
      </c>
      <c r="I2329">
        <f>IF(F2329="","",INDEX(Deals!$D$2:$D$843,F2329))</f>
        <v/>
      </c>
      <c r="J2329">
        <f>IF(F2329="","",INT(H2329)-B2329)</f>
        <v/>
      </c>
      <c r="K2329">
        <f>IF(B2329&gt;=Settings!$C$5,1,0)</f>
        <v/>
      </c>
    </row>
    <row r="2330">
      <c r="A2330" t="inlineStr">
        <is>
          <t>14ea0c66c8880377adab0c2c561dbdda</t>
        </is>
      </c>
      <c r="B2330" s="29" t="n">
        <v>43187</v>
      </c>
      <c r="C2330" t="inlineStr">
        <is>
          <t>2018-03</t>
        </is>
      </c>
      <c r="D2330" t="inlineStr">
        <is>
          <t>40dec9f3d5259a3d2dbcdab2114fae47</t>
        </is>
      </c>
      <c r="E2330" t="inlineStr">
        <is>
          <t>other_publicities</t>
        </is>
      </c>
      <c r="F2330">
        <f>IFERROR(MATCH(A2330,Deals!$A$2:$A$843,0),"")</f>
        <v/>
      </c>
      <c r="G2330">
        <f>IF(F2330="",0,1)</f>
        <v/>
      </c>
      <c r="H2330" s="29">
        <f>IF(F2330="","",INDEX(Deals!$E$2:$E$843,F2330))</f>
        <v/>
      </c>
      <c r="I2330">
        <f>IF(F2330="","",INDEX(Deals!$D$2:$D$843,F2330))</f>
        <v/>
      </c>
      <c r="J2330">
        <f>IF(F2330="","",INT(H2330)-B2330)</f>
        <v/>
      </c>
      <c r="K2330">
        <f>IF(B2330&gt;=Settings!$C$5,1,0)</f>
        <v/>
      </c>
    </row>
    <row r="2331">
      <c r="A2331" t="inlineStr">
        <is>
          <t>dcebacc996ed40656c7097704c600386</t>
        </is>
      </c>
      <c r="B2331" s="29" t="n">
        <v>43224</v>
      </c>
      <c r="C2331" t="inlineStr">
        <is>
          <t>2018-05</t>
        </is>
      </c>
      <c r="D2331" t="inlineStr">
        <is>
          <t>22c29808c4f815213303f8933030604c</t>
        </is>
      </c>
      <c r="E2331" t="inlineStr">
        <is>
          <t>referral</t>
        </is>
      </c>
      <c r="F2331">
        <f>IFERROR(MATCH(A2331,Deals!$A$2:$A$843,0),"")</f>
        <v/>
      </c>
      <c r="G2331">
        <f>IF(F2331="",0,1)</f>
        <v/>
      </c>
      <c r="H2331" s="29">
        <f>IF(F2331="","",INDEX(Deals!$E$2:$E$843,F2331))</f>
        <v/>
      </c>
      <c r="I2331">
        <f>IF(F2331="","",INDEX(Deals!$D$2:$D$843,F2331))</f>
        <v/>
      </c>
      <c r="J2331">
        <f>IF(F2331="","",INT(H2331)-B2331)</f>
        <v/>
      </c>
      <c r="K2331">
        <f>IF(B2331&gt;=Settings!$C$5,1,0)</f>
        <v/>
      </c>
    </row>
    <row r="2332">
      <c r="A2332" t="inlineStr">
        <is>
          <t>d2b60f53253f7048bee93e4986a440dc</t>
        </is>
      </c>
      <c r="B2332" s="29" t="n">
        <v>43137</v>
      </c>
      <c r="C2332" t="inlineStr">
        <is>
          <t>2018-02</t>
        </is>
      </c>
      <c r="D2332" t="inlineStr">
        <is>
          <t>f017be4dbf86243af5c1ebed0cff36a2</t>
        </is>
      </c>
      <c r="E2332" t="inlineStr">
        <is>
          <t>social</t>
        </is>
      </c>
      <c r="F2332">
        <f>IFERROR(MATCH(A2332,Deals!$A$2:$A$843,0),"")</f>
        <v/>
      </c>
      <c r="G2332">
        <f>IF(F2332="",0,1)</f>
        <v/>
      </c>
      <c r="H2332" s="29">
        <f>IF(F2332="","",INDEX(Deals!$E$2:$E$843,F2332))</f>
        <v/>
      </c>
      <c r="I2332">
        <f>IF(F2332="","",INDEX(Deals!$D$2:$D$843,F2332))</f>
        <v/>
      </c>
      <c r="J2332">
        <f>IF(F2332="","",INT(H2332)-B2332)</f>
        <v/>
      </c>
      <c r="K2332">
        <f>IF(B2332&gt;=Settings!$C$5,1,0)</f>
        <v/>
      </c>
    </row>
    <row r="2333">
      <c r="A2333" t="inlineStr">
        <is>
          <t>67f55bdfb5f4a130f5b5d53dbcd915e5</t>
        </is>
      </c>
      <c r="B2333" s="29" t="n">
        <v>43087</v>
      </c>
      <c r="C2333" t="inlineStr">
        <is>
          <t>2017-12</t>
        </is>
      </c>
      <c r="D2333" t="inlineStr">
        <is>
          <t>88740e65d5d6b056e0cda098e1ea6313</t>
        </is>
      </c>
      <c r="E2333" t="inlineStr">
        <is>
          <t>social</t>
        </is>
      </c>
      <c r="F2333">
        <f>IFERROR(MATCH(A2333,Deals!$A$2:$A$843,0),"")</f>
        <v/>
      </c>
      <c r="G2333">
        <f>IF(F2333="",0,1)</f>
        <v/>
      </c>
      <c r="H2333" s="29">
        <f>IF(F2333="","",INDEX(Deals!$E$2:$E$843,F2333))</f>
        <v/>
      </c>
      <c r="I2333">
        <f>IF(F2333="","",INDEX(Deals!$D$2:$D$843,F2333))</f>
        <v/>
      </c>
      <c r="J2333">
        <f>IF(F2333="","",INT(H2333)-B2333)</f>
        <v/>
      </c>
      <c r="K2333">
        <f>IF(B2333&gt;=Settings!$C$5,1,0)</f>
        <v/>
      </c>
    </row>
    <row r="2334">
      <c r="A2334" t="inlineStr">
        <is>
          <t>1b97f9e9b29e9fb69eebb6f936b9570b</t>
        </is>
      </c>
      <c r="B2334" s="29" t="n">
        <v>43151</v>
      </c>
      <c r="C2334" t="inlineStr">
        <is>
          <t>2018-02</t>
        </is>
      </c>
      <c r="D2334" t="inlineStr">
        <is>
          <t>83bfeb1d106df88a2cde0965999161f0</t>
        </is>
      </c>
      <c r="E2334" t="inlineStr">
        <is>
          <t>organic_search</t>
        </is>
      </c>
      <c r="F2334">
        <f>IFERROR(MATCH(A2334,Deals!$A$2:$A$843,0),"")</f>
        <v/>
      </c>
      <c r="G2334">
        <f>IF(F2334="",0,1)</f>
        <v/>
      </c>
      <c r="H2334" s="29">
        <f>IF(F2334="","",INDEX(Deals!$E$2:$E$843,F2334))</f>
        <v/>
      </c>
      <c r="I2334">
        <f>IF(F2334="","",INDEX(Deals!$D$2:$D$843,F2334))</f>
        <v/>
      </c>
      <c r="J2334">
        <f>IF(F2334="","",INT(H2334)-B2334)</f>
        <v/>
      </c>
      <c r="K2334">
        <f>IF(B2334&gt;=Settings!$C$5,1,0)</f>
        <v/>
      </c>
    </row>
    <row r="2335">
      <c r="A2335" t="inlineStr">
        <is>
          <t>34164328c04dabc126f4fe82bbb2d5e6</t>
        </is>
      </c>
      <c r="B2335" s="29" t="n">
        <v>43199</v>
      </c>
      <c r="C2335" t="inlineStr">
        <is>
          <t>2018-04</t>
        </is>
      </c>
      <c r="D2335" t="inlineStr">
        <is>
          <t>908dad5b22342480f5cc055b8dd55e7e</t>
        </is>
      </c>
      <c r="E2335" t="inlineStr">
        <is>
          <t>referral</t>
        </is>
      </c>
      <c r="F2335">
        <f>IFERROR(MATCH(A2335,Deals!$A$2:$A$843,0),"")</f>
        <v/>
      </c>
      <c r="G2335">
        <f>IF(F2335="",0,1)</f>
        <v/>
      </c>
      <c r="H2335" s="29">
        <f>IF(F2335="","",INDEX(Deals!$E$2:$E$843,F2335))</f>
        <v/>
      </c>
      <c r="I2335">
        <f>IF(F2335="","",INDEX(Deals!$D$2:$D$843,F2335))</f>
        <v/>
      </c>
      <c r="J2335">
        <f>IF(F2335="","",INT(H2335)-B2335)</f>
        <v/>
      </c>
      <c r="K2335">
        <f>IF(B2335&gt;=Settings!$C$5,1,0)</f>
        <v/>
      </c>
    </row>
    <row r="2336">
      <c r="A2336" t="inlineStr">
        <is>
          <t>d4763bd84aff781165cf12e29435a527</t>
        </is>
      </c>
      <c r="B2336" s="29" t="n">
        <v>43183</v>
      </c>
      <c r="C2336" t="inlineStr">
        <is>
          <t>2018-03</t>
        </is>
      </c>
      <c r="D2336" t="inlineStr">
        <is>
          <t>cf747f07a385ddb157f79df52898ab14</t>
        </is>
      </c>
      <c r="E2336" t="inlineStr">
        <is>
          <t>other</t>
        </is>
      </c>
      <c r="F2336">
        <f>IFERROR(MATCH(A2336,Deals!$A$2:$A$843,0),"")</f>
        <v/>
      </c>
      <c r="G2336">
        <f>IF(F2336="",0,1)</f>
        <v/>
      </c>
      <c r="H2336" s="29">
        <f>IF(F2336="","",INDEX(Deals!$E$2:$E$843,F2336))</f>
        <v/>
      </c>
      <c r="I2336">
        <f>IF(F2336="","",INDEX(Deals!$D$2:$D$843,F2336))</f>
        <v/>
      </c>
      <c r="J2336">
        <f>IF(F2336="","",INT(H2336)-B2336)</f>
        <v/>
      </c>
      <c r="K2336">
        <f>IF(B2336&gt;=Settings!$C$5,1,0)</f>
        <v/>
      </c>
    </row>
    <row r="2337">
      <c r="A2337" t="inlineStr">
        <is>
          <t>f4c1f8a98bd9d71eacac4a85c855e149</t>
        </is>
      </c>
      <c r="B2337" s="29" t="n">
        <v>42952</v>
      </c>
      <c r="C2337" t="inlineStr">
        <is>
          <t>2017-08</t>
        </is>
      </c>
      <c r="D2337" t="inlineStr">
        <is>
          <t>214b0943d4ad794c4086cf7e38785ef2</t>
        </is>
      </c>
      <c r="E2337" t="inlineStr">
        <is>
          <t>referral</t>
        </is>
      </c>
      <c r="F2337">
        <f>IFERROR(MATCH(A2337,Deals!$A$2:$A$843,0),"")</f>
        <v/>
      </c>
      <c r="G2337">
        <f>IF(F2337="",0,1)</f>
        <v/>
      </c>
      <c r="H2337" s="29">
        <f>IF(F2337="","",INDEX(Deals!$E$2:$E$843,F2337))</f>
        <v/>
      </c>
      <c r="I2337">
        <f>IF(F2337="","",INDEX(Deals!$D$2:$D$843,F2337))</f>
        <v/>
      </c>
      <c r="J2337">
        <f>IF(F2337="","",INT(H2337)-B2337)</f>
        <v/>
      </c>
      <c r="K2337">
        <f>IF(B2337&gt;=Settings!$C$5,1,0)</f>
        <v/>
      </c>
    </row>
    <row r="2338">
      <c r="A2338" t="inlineStr">
        <is>
          <t>56f2eaa35dee4797dc86b2c6e1bbfacc</t>
        </is>
      </c>
      <c r="B2338" s="29" t="n">
        <v>43241</v>
      </c>
      <c r="C2338" t="inlineStr">
        <is>
          <t>2018-05</t>
        </is>
      </c>
      <c r="D2338" t="inlineStr">
        <is>
          <t>65c9e96d17d8d12bc0ad3b2cde0bb8b7</t>
        </is>
      </c>
      <c r="E2338" t="inlineStr">
        <is>
          <t>email</t>
        </is>
      </c>
      <c r="F2338">
        <f>IFERROR(MATCH(A2338,Deals!$A$2:$A$843,0),"")</f>
        <v/>
      </c>
      <c r="G2338">
        <f>IF(F2338="",0,1)</f>
        <v/>
      </c>
      <c r="H2338" s="29">
        <f>IF(F2338="","",INDEX(Deals!$E$2:$E$843,F2338))</f>
        <v/>
      </c>
      <c r="I2338">
        <f>IF(F2338="","",INDEX(Deals!$D$2:$D$843,F2338))</f>
        <v/>
      </c>
      <c r="J2338">
        <f>IF(F2338="","",INT(H2338)-B2338)</f>
        <v/>
      </c>
      <c r="K2338">
        <f>IF(B2338&gt;=Settings!$C$5,1,0)</f>
        <v/>
      </c>
    </row>
    <row r="2339">
      <c r="A2339" t="inlineStr">
        <is>
          <t>39d03a3562c450fec0091a5391c27e11</t>
        </is>
      </c>
      <c r="B2339" s="29" t="n">
        <v>43188</v>
      </c>
      <c r="C2339" t="inlineStr">
        <is>
          <t>2018-03</t>
        </is>
      </c>
      <c r="D2339" t="inlineStr">
        <is>
          <t>b76ef37428e6799c421989521c0e5077</t>
        </is>
      </c>
      <c r="E2339" t="inlineStr">
        <is>
          <t>unknown</t>
        </is>
      </c>
      <c r="F2339">
        <f>IFERROR(MATCH(A2339,Deals!$A$2:$A$843,0),"")</f>
        <v/>
      </c>
      <c r="G2339">
        <f>IF(F2339="",0,1)</f>
        <v/>
      </c>
      <c r="H2339" s="29">
        <f>IF(F2339="","",INDEX(Deals!$E$2:$E$843,F2339))</f>
        <v/>
      </c>
      <c r="I2339">
        <f>IF(F2339="","",INDEX(Deals!$D$2:$D$843,F2339))</f>
        <v/>
      </c>
      <c r="J2339">
        <f>IF(F2339="","",INT(H2339)-B2339)</f>
        <v/>
      </c>
      <c r="K2339">
        <f>IF(B2339&gt;=Settings!$C$5,1,0)</f>
        <v/>
      </c>
    </row>
    <row r="2340">
      <c r="A2340" t="inlineStr">
        <is>
          <t>5990d9872c5c85cd62ef6ffb0f09c202</t>
        </is>
      </c>
      <c r="B2340" s="29" t="n">
        <v>43194</v>
      </c>
      <c r="C2340" t="inlineStr">
        <is>
          <t>2018-04</t>
        </is>
      </c>
      <c r="D2340" t="inlineStr">
        <is>
          <t>73f31a40697cc90a86c1273563ac230e</t>
        </is>
      </c>
      <c r="E2340" t="inlineStr">
        <is>
          <t>other</t>
        </is>
      </c>
      <c r="F2340">
        <f>IFERROR(MATCH(A2340,Deals!$A$2:$A$843,0),"")</f>
        <v/>
      </c>
      <c r="G2340">
        <f>IF(F2340="",0,1)</f>
        <v/>
      </c>
      <c r="H2340" s="29">
        <f>IF(F2340="","",INDEX(Deals!$E$2:$E$843,F2340))</f>
        <v/>
      </c>
      <c r="I2340">
        <f>IF(F2340="","",INDEX(Deals!$D$2:$D$843,F2340))</f>
        <v/>
      </c>
      <c r="J2340">
        <f>IF(F2340="","",INT(H2340)-B2340)</f>
        <v/>
      </c>
      <c r="K2340">
        <f>IF(B2340&gt;=Settings!$C$5,1,0)</f>
        <v/>
      </c>
    </row>
    <row r="2341">
      <c r="A2341" t="inlineStr">
        <is>
          <t>684c02747b08547490f9fca80f2e5cf1</t>
        </is>
      </c>
      <c r="B2341" s="29" t="n">
        <v>43007</v>
      </c>
      <c r="C2341" t="inlineStr">
        <is>
          <t>2017-09</t>
        </is>
      </c>
      <c r="D2341" t="inlineStr">
        <is>
          <t>4e82dd1f6d00626bda0723eef0a269a6</t>
        </is>
      </c>
      <c r="E2341" t="inlineStr">
        <is>
          <t>unknown</t>
        </is>
      </c>
      <c r="F2341">
        <f>IFERROR(MATCH(A2341,Deals!$A$2:$A$843,0),"")</f>
        <v/>
      </c>
      <c r="G2341">
        <f>IF(F2341="",0,1)</f>
        <v/>
      </c>
      <c r="H2341" s="29">
        <f>IF(F2341="","",INDEX(Deals!$E$2:$E$843,F2341))</f>
        <v/>
      </c>
      <c r="I2341">
        <f>IF(F2341="","",INDEX(Deals!$D$2:$D$843,F2341))</f>
        <v/>
      </c>
      <c r="J2341">
        <f>IF(F2341="","",INT(H2341)-B2341)</f>
        <v/>
      </c>
      <c r="K2341">
        <f>IF(B2341&gt;=Settings!$C$5,1,0)</f>
        <v/>
      </c>
    </row>
    <row r="2342">
      <c r="A2342" t="inlineStr">
        <is>
          <t>1eaceb6978b52baa6d14ca600f5349ea</t>
        </is>
      </c>
      <c r="B2342" s="29" t="n">
        <v>43202</v>
      </c>
      <c r="C2342" t="inlineStr">
        <is>
          <t>2018-04</t>
        </is>
      </c>
      <c r="D2342" t="inlineStr">
        <is>
          <t>ce1a65abd0973638f1c887a6efcfa82d</t>
        </is>
      </c>
      <c r="E2342" t="inlineStr">
        <is>
          <t>organic_search</t>
        </is>
      </c>
      <c r="F2342">
        <f>IFERROR(MATCH(A2342,Deals!$A$2:$A$843,0),"")</f>
        <v/>
      </c>
      <c r="G2342">
        <f>IF(F2342="",0,1)</f>
        <v/>
      </c>
      <c r="H2342" s="29">
        <f>IF(F2342="","",INDEX(Deals!$E$2:$E$843,F2342))</f>
        <v/>
      </c>
      <c r="I2342">
        <f>IF(F2342="","",INDEX(Deals!$D$2:$D$843,F2342))</f>
        <v/>
      </c>
      <c r="J2342">
        <f>IF(F2342="","",INT(H2342)-B2342)</f>
        <v/>
      </c>
      <c r="K2342">
        <f>IF(B2342&gt;=Settings!$C$5,1,0)</f>
        <v/>
      </c>
    </row>
    <row r="2343">
      <c r="A2343" t="inlineStr">
        <is>
          <t>e4204b5b0b924745e0e5ab8d0082bc42</t>
        </is>
      </c>
      <c r="B2343" s="29" t="n">
        <v>43066</v>
      </c>
      <c r="C2343" t="inlineStr">
        <is>
          <t>2017-11</t>
        </is>
      </c>
      <c r="D2343" t="inlineStr">
        <is>
          <t>7e11885cec8e2f84909c7b365e255413</t>
        </is>
      </c>
      <c r="E2343" t="inlineStr">
        <is>
          <t>social</t>
        </is>
      </c>
      <c r="F2343">
        <f>IFERROR(MATCH(A2343,Deals!$A$2:$A$843,0),"")</f>
        <v/>
      </c>
      <c r="G2343">
        <f>IF(F2343="",0,1)</f>
        <v/>
      </c>
      <c r="H2343" s="29">
        <f>IF(F2343="","",INDEX(Deals!$E$2:$E$843,F2343))</f>
        <v/>
      </c>
      <c r="I2343">
        <f>IF(F2343="","",INDEX(Deals!$D$2:$D$843,F2343))</f>
        <v/>
      </c>
      <c r="J2343">
        <f>IF(F2343="","",INT(H2343)-B2343)</f>
        <v/>
      </c>
      <c r="K2343">
        <f>IF(B2343&gt;=Settings!$C$5,1,0)</f>
        <v/>
      </c>
    </row>
    <row r="2344">
      <c r="A2344" t="inlineStr">
        <is>
          <t>65f97a5d3b797cb062824e3baf8610e0</t>
        </is>
      </c>
      <c r="B2344" s="29" t="n">
        <v>43182</v>
      </c>
      <c r="C2344" t="inlineStr">
        <is>
          <t>2018-03</t>
        </is>
      </c>
      <c r="D2344" t="inlineStr">
        <is>
          <t>6eb30e742d5ee0762fd726e9690c2a1a</t>
        </is>
      </c>
      <c r="E2344" t="inlineStr">
        <is>
          <t>unknown</t>
        </is>
      </c>
      <c r="F2344">
        <f>IFERROR(MATCH(A2344,Deals!$A$2:$A$843,0),"")</f>
        <v/>
      </c>
      <c r="G2344">
        <f>IF(F2344="",0,1)</f>
        <v/>
      </c>
      <c r="H2344" s="29">
        <f>IF(F2344="","",INDEX(Deals!$E$2:$E$843,F2344))</f>
        <v/>
      </c>
      <c r="I2344">
        <f>IF(F2344="","",INDEX(Deals!$D$2:$D$843,F2344))</f>
        <v/>
      </c>
      <c r="J2344">
        <f>IF(F2344="","",INT(H2344)-B2344)</f>
        <v/>
      </c>
      <c r="K2344">
        <f>IF(B2344&gt;=Settings!$C$5,1,0)</f>
        <v/>
      </c>
    </row>
    <row r="2345">
      <c r="A2345" t="inlineStr">
        <is>
          <t>d1ced6defcf8c0b6faa930336a1f7e79</t>
        </is>
      </c>
      <c r="B2345" s="29" t="n">
        <v>43068</v>
      </c>
      <c r="C2345" t="inlineStr">
        <is>
          <t>2017-11</t>
        </is>
      </c>
      <c r="D2345" t="inlineStr">
        <is>
          <t>ce1a65abd0973638f1c887a6efcfa82d</t>
        </is>
      </c>
      <c r="E2345" t="inlineStr">
        <is>
          <t>organic_search</t>
        </is>
      </c>
      <c r="F2345">
        <f>IFERROR(MATCH(A2345,Deals!$A$2:$A$843,0),"")</f>
        <v/>
      </c>
      <c r="G2345">
        <f>IF(F2345="",0,1)</f>
        <v/>
      </c>
      <c r="H2345" s="29">
        <f>IF(F2345="","",INDEX(Deals!$E$2:$E$843,F2345))</f>
        <v/>
      </c>
      <c r="I2345">
        <f>IF(F2345="","",INDEX(Deals!$D$2:$D$843,F2345))</f>
        <v/>
      </c>
      <c r="J2345">
        <f>IF(F2345="","",INT(H2345)-B2345)</f>
        <v/>
      </c>
      <c r="K2345">
        <f>IF(B2345&gt;=Settings!$C$5,1,0)</f>
        <v/>
      </c>
    </row>
    <row r="2346">
      <c r="A2346" t="inlineStr">
        <is>
          <t>26d0c91010aed04a15325e72861cfee7</t>
        </is>
      </c>
      <c r="B2346" s="29" t="n">
        <v>43097</v>
      </c>
      <c r="C2346" t="inlineStr">
        <is>
          <t>2017-12</t>
        </is>
      </c>
      <c r="D2346" t="inlineStr">
        <is>
          <t>15cf89bab2c3163b4f9d8601d108f8b2</t>
        </is>
      </c>
      <c r="E2346" t="inlineStr">
        <is>
          <t>organic_search</t>
        </is>
      </c>
      <c r="F2346">
        <f>IFERROR(MATCH(A2346,Deals!$A$2:$A$843,0),"")</f>
        <v/>
      </c>
      <c r="G2346">
        <f>IF(F2346="",0,1)</f>
        <v/>
      </c>
      <c r="H2346" s="29">
        <f>IF(F2346="","",INDEX(Deals!$E$2:$E$843,F2346))</f>
        <v/>
      </c>
      <c r="I2346">
        <f>IF(F2346="","",INDEX(Deals!$D$2:$D$843,F2346))</f>
        <v/>
      </c>
      <c r="J2346">
        <f>IF(F2346="","",INT(H2346)-B2346)</f>
        <v/>
      </c>
      <c r="K2346">
        <f>IF(B2346&gt;=Settings!$C$5,1,0)</f>
        <v/>
      </c>
    </row>
    <row r="2347">
      <c r="A2347" t="inlineStr">
        <is>
          <t>e4dcab5f7c33b62eb67f0a87c1b7f162</t>
        </is>
      </c>
      <c r="B2347" s="29" t="n">
        <v>43181</v>
      </c>
      <c r="C2347" t="inlineStr">
        <is>
          <t>2018-03</t>
        </is>
      </c>
      <c r="D2347" t="inlineStr">
        <is>
          <t>58326e62183c14b0c03085c33b9fdc44</t>
        </is>
      </c>
      <c r="E2347" t="inlineStr">
        <is>
          <t>social</t>
        </is>
      </c>
      <c r="F2347">
        <f>IFERROR(MATCH(A2347,Deals!$A$2:$A$843,0),"")</f>
        <v/>
      </c>
      <c r="G2347">
        <f>IF(F2347="",0,1)</f>
        <v/>
      </c>
      <c r="H2347" s="29">
        <f>IF(F2347="","",INDEX(Deals!$E$2:$E$843,F2347))</f>
        <v/>
      </c>
      <c r="I2347">
        <f>IF(F2347="","",INDEX(Deals!$D$2:$D$843,F2347))</f>
        <v/>
      </c>
      <c r="J2347">
        <f>IF(F2347="","",INT(H2347)-B2347)</f>
        <v/>
      </c>
      <c r="K2347">
        <f>IF(B2347&gt;=Settings!$C$5,1,0)</f>
        <v/>
      </c>
    </row>
    <row r="2348">
      <c r="A2348" t="inlineStr">
        <is>
          <t>3ed01b2f00d103d14fc020557a7c6ee2</t>
        </is>
      </c>
      <c r="B2348" s="29" t="n">
        <v>42948</v>
      </c>
      <c r="C2348" t="inlineStr">
        <is>
          <t>2017-08</t>
        </is>
      </c>
      <c r="D2348" t="inlineStr">
        <is>
          <t>e92a6f37ebb87a6bfbc569d439cf1635</t>
        </is>
      </c>
      <c r="E2348" t="inlineStr">
        <is>
          <t>organic_search</t>
        </is>
      </c>
      <c r="F2348">
        <f>IFERROR(MATCH(A2348,Deals!$A$2:$A$843,0),"")</f>
        <v/>
      </c>
      <c r="G2348">
        <f>IF(F2348="",0,1)</f>
        <v/>
      </c>
      <c r="H2348" s="29">
        <f>IF(F2348="","",INDEX(Deals!$E$2:$E$843,F2348))</f>
        <v/>
      </c>
      <c r="I2348">
        <f>IF(F2348="","",INDEX(Deals!$D$2:$D$843,F2348))</f>
        <v/>
      </c>
      <c r="J2348">
        <f>IF(F2348="","",INT(H2348)-B2348)</f>
        <v/>
      </c>
      <c r="K2348">
        <f>IF(B2348&gt;=Settings!$C$5,1,0)</f>
        <v/>
      </c>
    </row>
    <row r="2349">
      <c r="A2349" t="inlineStr">
        <is>
          <t>049f1769058084a60645ec6bb65cc463</t>
        </is>
      </c>
      <c r="B2349" s="29" t="n">
        <v>43209</v>
      </c>
      <c r="C2349" t="inlineStr">
        <is>
          <t>2018-04</t>
        </is>
      </c>
      <c r="D2349" t="inlineStr">
        <is>
          <t>22c29808c4f815213303f8933030604c</t>
        </is>
      </c>
      <c r="E2349" t="inlineStr">
        <is>
          <t>organic_search</t>
        </is>
      </c>
      <c r="F2349">
        <f>IFERROR(MATCH(A2349,Deals!$A$2:$A$843,0),"")</f>
        <v/>
      </c>
      <c r="G2349">
        <f>IF(F2349="",0,1)</f>
        <v/>
      </c>
      <c r="H2349" s="29">
        <f>IF(F2349="","",INDEX(Deals!$E$2:$E$843,F2349))</f>
        <v/>
      </c>
      <c r="I2349">
        <f>IF(F2349="","",INDEX(Deals!$D$2:$D$843,F2349))</f>
        <v/>
      </c>
      <c r="J2349">
        <f>IF(F2349="","",INT(H2349)-B2349)</f>
        <v/>
      </c>
      <c r="K2349">
        <f>IF(B2349&gt;=Settings!$C$5,1,0)</f>
        <v/>
      </c>
    </row>
    <row r="2350">
      <c r="A2350" t="inlineStr">
        <is>
          <t>5738ac7801a7ea5896a95bba26b30c3f</t>
        </is>
      </c>
      <c r="B2350" s="29" t="n">
        <v>43160</v>
      </c>
      <c r="C2350" t="inlineStr">
        <is>
          <t>2018-03</t>
        </is>
      </c>
      <c r="D2350" t="inlineStr">
        <is>
          <t>313edefdee4adcd34e8cbec1854ba5a9</t>
        </is>
      </c>
      <c r="E2350" t="inlineStr">
        <is>
          <t>direct_traffic</t>
        </is>
      </c>
      <c r="F2350">
        <f>IFERROR(MATCH(A2350,Deals!$A$2:$A$843,0),"")</f>
        <v/>
      </c>
      <c r="G2350">
        <f>IF(F2350="",0,1)</f>
        <v/>
      </c>
      <c r="H2350" s="29">
        <f>IF(F2350="","",INDEX(Deals!$E$2:$E$843,F2350))</f>
        <v/>
      </c>
      <c r="I2350">
        <f>IF(F2350="","",INDEX(Deals!$D$2:$D$843,F2350))</f>
        <v/>
      </c>
      <c r="J2350">
        <f>IF(F2350="","",INT(H2350)-B2350)</f>
        <v/>
      </c>
      <c r="K2350">
        <f>IF(B2350&gt;=Settings!$C$5,1,0)</f>
        <v/>
      </c>
    </row>
    <row r="2351">
      <c r="A2351" t="inlineStr">
        <is>
          <t>dbe3bcfb77f7bcbb56c0a4e7e3200e54</t>
        </is>
      </c>
      <c r="B2351" s="29" t="n">
        <v>43071</v>
      </c>
      <c r="C2351" t="inlineStr">
        <is>
          <t>2017-12</t>
        </is>
      </c>
      <c r="D2351" t="inlineStr">
        <is>
          <t>f017be4dbf86243af5c1ebed0cff36a2</t>
        </is>
      </c>
      <c r="E2351" t="inlineStr">
        <is>
          <t>organic_search</t>
        </is>
      </c>
      <c r="F2351">
        <f>IFERROR(MATCH(A2351,Deals!$A$2:$A$843,0),"")</f>
        <v/>
      </c>
      <c r="G2351">
        <f>IF(F2351="",0,1)</f>
        <v/>
      </c>
      <c r="H2351" s="29">
        <f>IF(F2351="","",INDEX(Deals!$E$2:$E$843,F2351))</f>
        <v/>
      </c>
      <c r="I2351">
        <f>IF(F2351="","",INDEX(Deals!$D$2:$D$843,F2351))</f>
        <v/>
      </c>
      <c r="J2351">
        <f>IF(F2351="","",INT(H2351)-B2351)</f>
        <v/>
      </c>
      <c r="K2351">
        <f>IF(B2351&gt;=Settings!$C$5,1,0)</f>
        <v/>
      </c>
    </row>
    <row r="2352">
      <c r="A2352" t="inlineStr">
        <is>
          <t>9f73f765160d33280216b73b6378c068</t>
        </is>
      </c>
      <c r="B2352" s="29" t="n">
        <v>43001</v>
      </c>
      <c r="C2352" t="inlineStr">
        <is>
          <t>2017-09</t>
        </is>
      </c>
      <c r="D2352" t="inlineStr">
        <is>
          <t>007f9098284a86ee80ddeb25d53e0af8</t>
        </is>
      </c>
      <c r="E2352" t="inlineStr">
        <is>
          <t>paid_search</t>
        </is>
      </c>
      <c r="F2352">
        <f>IFERROR(MATCH(A2352,Deals!$A$2:$A$843,0),"")</f>
        <v/>
      </c>
      <c r="G2352">
        <f>IF(F2352="",0,1)</f>
        <v/>
      </c>
      <c r="H2352" s="29">
        <f>IF(F2352="","",INDEX(Deals!$E$2:$E$843,F2352))</f>
        <v/>
      </c>
      <c r="I2352">
        <f>IF(F2352="","",INDEX(Deals!$D$2:$D$843,F2352))</f>
        <v/>
      </c>
      <c r="J2352">
        <f>IF(F2352="","",INT(H2352)-B2352)</f>
        <v/>
      </c>
      <c r="K2352">
        <f>IF(B2352&gt;=Settings!$C$5,1,0)</f>
        <v/>
      </c>
    </row>
    <row r="2353">
      <c r="A2353" t="inlineStr">
        <is>
          <t>0bc62afce4c0004839d37c08c5f0528a</t>
        </is>
      </c>
      <c r="B2353" s="29" t="n">
        <v>43177</v>
      </c>
      <c r="C2353" t="inlineStr">
        <is>
          <t>2018-03</t>
        </is>
      </c>
      <c r="D2353" t="inlineStr">
        <is>
          <t>b06203ae0aa50dc524712b1f59c85fc1</t>
        </is>
      </c>
      <c r="E2353" t="inlineStr">
        <is>
          <t>paid_search</t>
        </is>
      </c>
      <c r="F2353">
        <f>IFERROR(MATCH(A2353,Deals!$A$2:$A$843,0),"")</f>
        <v/>
      </c>
      <c r="G2353">
        <f>IF(F2353="",0,1)</f>
        <v/>
      </c>
      <c r="H2353" s="29">
        <f>IF(F2353="","",INDEX(Deals!$E$2:$E$843,F2353))</f>
        <v/>
      </c>
      <c r="I2353">
        <f>IF(F2353="","",INDEX(Deals!$D$2:$D$843,F2353))</f>
        <v/>
      </c>
      <c r="J2353">
        <f>IF(F2353="","",INT(H2353)-B2353)</f>
        <v/>
      </c>
      <c r="K2353">
        <f>IF(B2353&gt;=Settings!$C$5,1,0)</f>
        <v/>
      </c>
    </row>
    <row r="2354">
      <c r="A2354" t="inlineStr">
        <is>
          <t>0c6067e0417d32f71a6a15556ee5d6c6</t>
        </is>
      </c>
      <c r="B2354" s="29" t="n">
        <v>42922</v>
      </c>
      <c r="C2354" t="inlineStr">
        <is>
          <t>2017-07</t>
        </is>
      </c>
      <c r="D2354" t="inlineStr">
        <is>
          <t>061c3918f72d289ee93d5d8a06c15c2e</t>
        </is>
      </c>
      <c r="E2354" t="inlineStr">
        <is>
          <t>organic_search</t>
        </is>
      </c>
      <c r="F2354">
        <f>IFERROR(MATCH(A2354,Deals!$A$2:$A$843,0),"")</f>
        <v/>
      </c>
      <c r="G2354">
        <f>IF(F2354="",0,1)</f>
        <v/>
      </c>
      <c r="H2354" s="29">
        <f>IF(F2354="","",INDEX(Deals!$E$2:$E$843,F2354))</f>
        <v/>
      </c>
      <c r="I2354">
        <f>IF(F2354="","",INDEX(Deals!$D$2:$D$843,F2354))</f>
        <v/>
      </c>
      <c r="J2354">
        <f>IF(F2354="","",INT(H2354)-B2354)</f>
        <v/>
      </c>
      <c r="K2354">
        <f>IF(B2354&gt;=Settings!$C$5,1,0)</f>
        <v/>
      </c>
    </row>
    <row r="2355">
      <c r="A2355" t="inlineStr">
        <is>
          <t>672021d2a6b68c01099af2678964b82c</t>
        </is>
      </c>
      <c r="B2355" s="29" t="n">
        <v>43192</v>
      </c>
      <c r="C2355" t="inlineStr">
        <is>
          <t>2018-04</t>
        </is>
      </c>
      <c r="D2355" t="inlineStr">
        <is>
          <t>73f31a40697cc90a86c1273563ac230e</t>
        </is>
      </c>
      <c r="E2355" t="inlineStr">
        <is>
          <t>social</t>
        </is>
      </c>
      <c r="F2355">
        <f>IFERROR(MATCH(A2355,Deals!$A$2:$A$843,0),"")</f>
        <v/>
      </c>
      <c r="G2355">
        <f>IF(F2355="",0,1)</f>
        <v/>
      </c>
      <c r="H2355" s="29">
        <f>IF(F2355="","",INDEX(Deals!$E$2:$E$843,F2355))</f>
        <v/>
      </c>
      <c r="I2355">
        <f>IF(F2355="","",INDEX(Deals!$D$2:$D$843,F2355))</f>
        <v/>
      </c>
      <c r="J2355">
        <f>IF(F2355="","",INT(H2355)-B2355)</f>
        <v/>
      </c>
      <c r="K2355">
        <f>IF(B2355&gt;=Settings!$C$5,1,0)</f>
        <v/>
      </c>
    </row>
    <row r="2356">
      <c r="A2356" t="inlineStr">
        <is>
          <t>e5f26eb284909fb8f3719559f57babc4</t>
        </is>
      </c>
      <c r="B2356" s="29" t="n">
        <v>43159</v>
      </c>
      <c r="C2356" t="inlineStr">
        <is>
          <t>2018-02</t>
        </is>
      </c>
      <c r="D2356" t="inlineStr">
        <is>
          <t>f57543dba03374705c8ea62d65808076</t>
        </is>
      </c>
      <c r="E2356" t="inlineStr">
        <is>
          <t>organic_search</t>
        </is>
      </c>
      <c r="F2356">
        <f>IFERROR(MATCH(A2356,Deals!$A$2:$A$843,0),"")</f>
        <v/>
      </c>
      <c r="G2356">
        <f>IF(F2356="",0,1)</f>
        <v/>
      </c>
      <c r="H2356" s="29">
        <f>IF(F2356="","",INDEX(Deals!$E$2:$E$843,F2356))</f>
        <v/>
      </c>
      <c r="I2356">
        <f>IF(F2356="","",INDEX(Deals!$D$2:$D$843,F2356))</f>
        <v/>
      </c>
      <c r="J2356">
        <f>IF(F2356="","",INT(H2356)-B2356)</f>
        <v/>
      </c>
      <c r="K2356">
        <f>IF(B2356&gt;=Settings!$C$5,1,0)</f>
        <v/>
      </c>
    </row>
    <row r="2357">
      <c r="A2357" t="inlineStr">
        <is>
          <t>70d5c573c693c4053f908d9d9314ce87</t>
        </is>
      </c>
      <c r="B2357" s="29" t="n">
        <v>42999</v>
      </c>
      <c r="C2357" t="inlineStr">
        <is>
          <t>2017-09</t>
        </is>
      </c>
      <c r="D2357" t="inlineStr">
        <is>
          <t>f4cb9c7b1dc31afca77d4896d2ae8d4b</t>
        </is>
      </c>
      <c r="E2357" t="inlineStr">
        <is>
          <t>organic_search</t>
        </is>
      </c>
      <c r="F2357">
        <f>IFERROR(MATCH(A2357,Deals!$A$2:$A$843,0),"")</f>
        <v/>
      </c>
      <c r="G2357">
        <f>IF(F2357="",0,1)</f>
        <v/>
      </c>
      <c r="H2357" s="29">
        <f>IF(F2357="","",INDEX(Deals!$E$2:$E$843,F2357))</f>
        <v/>
      </c>
      <c r="I2357">
        <f>IF(F2357="","",INDEX(Deals!$D$2:$D$843,F2357))</f>
        <v/>
      </c>
      <c r="J2357">
        <f>IF(F2357="","",INT(H2357)-B2357)</f>
        <v/>
      </c>
      <c r="K2357">
        <f>IF(B2357&gt;=Settings!$C$5,1,0)</f>
        <v/>
      </c>
    </row>
    <row r="2358">
      <c r="A2358" t="inlineStr">
        <is>
          <t>465ecc6b3833a9cd97ebf3561b10753c</t>
        </is>
      </c>
      <c r="B2358" s="29" t="n">
        <v>42991</v>
      </c>
      <c r="C2358" t="inlineStr">
        <is>
          <t>2017-09</t>
        </is>
      </c>
      <c r="D2358" t="inlineStr">
        <is>
          <t>298895230612f85f0742434fc434ad10</t>
        </is>
      </c>
      <c r="E2358" t="inlineStr">
        <is>
          <t>email</t>
        </is>
      </c>
      <c r="F2358">
        <f>IFERROR(MATCH(A2358,Deals!$A$2:$A$843,0),"")</f>
        <v/>
      </c>
      <c r="G2358">
        <f>IF(F2358="",0,1)</f>
        <v/>
      </c>
      <c r="H2358" s="29">
        <f>IF(F2358="","",INDEX(Deals!$E$2:$E$843,F2358))</f>
        <v/>
      </c>
      <c r="I2358">
        <f>IF(F2358="","",INDEX(Deals!$D$2:$D$843,F2358))</f>
        <v/>
      </c>
      <c r="J2358">
        <f>IF(F2358="","",INT(H2358)-B2358)</f>
        <v/>
      </c>
      <c r="K2358">
        <f>IF(B2358&gt;=Settings!$C$5,1,0)</f>
        <v/>
      </c>
    </row>
    <row r="2359">
      <c r="A2359" t="inlineStr">
        <is>
          <t>fe75268bb28b40ef89979d0ec2c54497</t>
        </is>
      </c>
      <c r="B2359" s="29" t="n">
        <v>43124</v>
      </c>
      <c r="C2359" t="inlineStr">
        <is>
          <t>2018-01</t>
        </is>
      </c>
      <c r="D2359" t="inlineStr">
        <is>
          <t>5bc6da5f353093c37734eddd2eafc993</t>
        </is>
      </c>
      <c r="E2359" t="inlineStr">
        <is>
          <t>direct_traffic</t>
        </is>
      </c>
      <c r="F2359">
        <f>IFERROR(MATCH(A2359,Deals!$A$2:$A$843,0),"")</f>
        <v/>
      </c>
      <c r="G2359">
        <f>IF(F2359="",0,1)</f>
        <v/>
      </c>
      <c r="H2359" s="29">
        <f>IF(F2359="","",INDEX(Deals!$E$2:$E$843,F2359))</f>
        <v/>
      </c>
      <c r="I2359">
        <f>IF(F2359="","",INDEX(Deals!$D$2:$D$843,F2359))</f>
        <v/>
      </c>
      <c r="J2359">
        <f>IF(F2359="","",INT(H2359)-B2359)</f>
        <v/>
      </c>
      <c r="K2359">
        <f>IF(B2359&gt;=Settings!$C$5,1,0)</f>
        <v/>
      </c>
    </row>
    <row r="2360">
      <c r="A2360" t="inlineStr">
        <is>
          <t>514d7c19ec76427e74c6688774f4e2e7</t>
        </is>
      </c>
      <c r="B2360" s="29" t="n">
        <v>43147</v>
      </c>
      <c r="C2360" t="inlineStr">
        <is>
          <t>2018-02</t>
        </is>
      </c>
      <c r="D2360" t="inlineStr">
        <is>
          <t>40dec9f3d5259a3d2dbcdab2114fae47</t>
        </is>
      </c>
      <c r="E2360" t="inlineStr">
        <is>
          <t>paid_search</t>
        </is>
      </c>
      <c r="F2360">
        <f>IFERROR(MATCH(A2360,Deals!$A$2:$A$843,0),"")</f>
        <v/>
      </c>
      <c r="G2360">
        <f>IF(F2360="",0,1)</f>
        <v/>
      </c>
      <c r="H2360" s="29">
        <f>IF(F2360="","",INDEX(Deals!$E$2:$E$843,F2360))</f>
        <v/>
      </c>
      <c r="I2360">
        <f>IF(F2360="","",INDEX(Deals!$D$2:$D$843,F2360))</f>
        <v/>
      </c>
      <c r="J2360">
        <f>IF(F2360="","",INT(H2360)-B2360)</f>
        <v/>
      </c>
      <c r="K2360">
        <f>IF(B2360&gt;=Settings!$C$5,1,0)</f>
        <v/>
      </c>
    </row>
    <row r="2361">
      <c r="A2361" t="inlineStr">
        <is>
          <t>052ec8fc3baf1d017b9a0f7559a18b5a</t>
        </is>
      </c>
      <c r="B2361" s="29" t="n">
        <v>43034</v>
      </c>
      <c r="C2361" t="inlineStr">
        <is>
          <t>2017-10</t>
        </is>
      </c>
      <c r="D2361" t="inlineStr">
        <is>
          <t>a2e36e3b44b3b692ac65005125f04db9</t>
        </is>
      </c>
      <c r="E2361" t="inlineStr">
        <is>
          <t>social</t>
        </is>
      </c>
      <c r="F2361">
        <f>IFERROR(MATCH(A2361,Deals!$A$2:$A$843,0),"")</f>
        <v/>
      </c>
      <c r="G2361">
        <f>IF(F2361="",0,1)</f>
        <v/>
      </c>
      <c r="H2361" s="29">
        <f>IF(F2361="","",INDEX(Deals!$E$2:$E$843,F2361))</f>
        <v/>
      </c>
      <c r="I2361">
        <f>IF(F2361="","",INDEX(Deals!$D$2:$D$843,F2361))</f>
        <v/>
      </c>
      <c r="J2361">
        <f>IF(F2361="","",INT(H2361)-B2361)</f>
        <v/>
      </c>
      <c r="K2361">
        <f>IF(B2361&gt;=Settings!$C$5,1,0)</f>
        <v/>
      </c>
    </row>
    <row r="2362">
      <c r="A2362" t="inlineStr">
        <is>
          <t>30a6f14072f934a20887fc88f51e922f</t>
        </is>
      </c>
      <c r="B2362" s="29" t="n">
        <v>43095</v>
      </c>
      <c r="C2362" t="inlineStr">
        <is>
          <t>2017-12</t>
        </is>
      </c>
      <c r="D2362" t="inlineStr">
        <is>
          <t>de6d03557a0274d452fc442797717b8a</t>
        </is>
      </c>
      <c r="E2362" t="inlineStr">
        <is>
          <t>email</t>
        </is>
      </c>
      <c r="F2362">
        <f>IFERROR(MATCH(A2362,Deals!$A$2:$A$843,0),"")</f>
        <v/>
      </c>
      <c r="G2362">
        <f>IF(F2362="",0,1)</f>
        <v/>
      </c>
      <c r="H2362" s="29">
        <f>IF(F2362="","",INDEX(Deals!$E$2:$E$843,F2362))</f>
        <v/>
      </c>
      <c r="I2362">
        <f>IF(F2362="","",INDEX(Deals!$D$2:$D$843,F2362))</f>
        <v/>
      </c>
      <c r="J2362">
        <f>IF(F2362="","",INT(H2362)-B2362)</f>
        <v/>
      </c>
      <c r="K2362">
        <f>IF(B2362&gt;=Settings!$C$5,1,0)</f>
        <v/>
      </c>
    </row>
    <row r="2363">
      <c r="A2363" t="inlineStr">
        <is>
          <t>bd0c413c4350a9a29fb9bec5de64e2a6</t>
        </is>
      </c>
      <c r="B2363" s="29" t="n">
        <v>43196</v>
      </c>
      <c r="C2363" t="inlineStr">
        <is>
          <t>2018-04</t>
        </is>
      </c>
      <c r="D2363" t="inlineStr">
        <is>
          <t>b76ef37428e6799c421989521c0e5077</t>
        </is>
      </c>
      <c r="E2363" t="inlineStr">
        <is>
          <t>unknown</t>
        </is>
      </c>
      <c r="F2363">
        <f>IFERROR(MATCH(A2363,Deals!$A$2:$A$843,0),"")</f>
        <v/>
      </c>
      <c r="G2363">
        <f>IF(F2363="",0,1)</f>
        <v/>
      </c>
      <c r="H2363" s="29">
        <f>IF(F2363="","",INDEX(Deals!$E$2:$E$843,F2363))</f>
        <v/>
      </c>
      <c r="I2363">
        <f>IF(F2363="","",INDEX(Deals!$D$2:$D$843,F2363))</f>
        <v/>
      </c>
      <c r="J2363">
        <f>IF(F2363="","",INT(H2363)-B2363)</f>
        <v/>
      </c>
      <c r="K2363">
        <f>IF(B2363&gt;=Settings!$C$5,1,0)</f>
        <v/>
      </c>
    </row>
    <row r="2364">
      <c r="A2364" t="inlineStr">
        <is>
          <t>5dca5f20a1b1baf0ad0729137f901dc3</t>
        </is>
      </c>
      <c r="B2364" s="29" t="n">
        <v>43178</v>
      </c>
      <c r="C2364" t="inlineStr">
        <is>
          <t>2018-03</t>
        </is>
      </c>
      <c r="D2364" t="inlineStr">
        <is>
          <t>f017be4dbf86243af5c1ebed0cff36a2</t>
        </is>
      </c>
      <c r="E2364" t="inlineStr">
        <is>
          <t>organic_search</t>
        </is>
      </c>
      <c r="F2364">
        <f>IFERROR(MATCH(A2364,Deals!$A$2:$A$843,0),"")</f>
        <v/>
      </c>
      <c r="G2364">
        <f>IF(F2364="",0,1)</f>
        <v/>
      </c>
      <c r="H2364" s="29">
        <f>IF(F2364="","",INDEX(Deals!$E$2:$E$843,F2364))</f>
        <v/>
      </c>
      <c r="I2364">
        <f>IF(F2364="","",INDEX(Deals!$D$2:$D$843,F2364))</f>
        <v/>
      </c>
      <c r="J2364">
        <f>IF(F2364="","",INT(H2364)-B2364)</f>
        <v/>
      </c>
      <c r="K2364">
        <f>IF(B2364&gt;=Settings!$C$5,1,0)</f>
        <v/>
      </c>
    </row>
    <row r="2365">
      <c r="A2365" t="inlineStr">
        <is>
          <t>e0d90dcc491a3323763c77d1dff7248b</t>
        </is>
      </c>
      <c r="B2365" s="29" t="n">
        <v>43069</v>
      </c>
      <c r="C2365" t="inlineStr">
        <is>
          <t>2017-11</t>
        </is>
      </c>
      <c r="D2365" t="inlineStr">
        <is>
          <t>58f8c0a253663304e348e81298bc255e</t>
        </is>
      </c>
      <c r="E2365" t="inlineStr">
        <is>
          <t>unknown</t>
        </is>
      </c>
      <c r="F2365">
        <f>IFERROR(MATCH(A2365,Deals!$A$2:$A$843,0),"")</f>
        <v/>
      </c>
      <c r="G2365">
        <f>IF(F2365="",0,1)</f>
        <v/>
      </c>
      <c r="H2365" s="29">
        <f>IF(F2365="","",INDEX(Deals!$E$2:$E$843,F2365))</f>
        <v/>
      </c>
      <c r="I2365">
        <f>IF(F2365="","",INDEX(Deals!$D$2:$D$843,F2365))</f>
        <v/>
      </c>
      <c r="J2365">
        <f>IF(F2365="","",INT(H2365)-B2365)</f>
        <v/>
      </c>
      <c r="K2365">
        <f>IF(B2365&gt;=Settings!$C$5,1,0)</f>
        <v/>
      </c>
    </row>
    <row r="2366">
      <c r="A2366" t="inlineStr">
        <is>
          <t>b72d941d680f092a8da24e4a8cfaf83a</t>
        </is>
      </c>
      <c r="B2366" s="29" t="n">
        <v>43117</v>
      </c>
      <c r="C2366" t="inlineStr">
        <is>
          <t>2018-01</t>
        </is>
      </c>
      <c r="D2366" t="inlineStr">
        <is>
          <t>b76ef37428e6799c421989521c0e5077</t>
        </is>
      </c>
      <c r="E2366" t="inlineStr">
        <is>
          <t>unknown</t>
        </is>
      </c>
      <c r="F2366">
        <f>IFERROR(MATCH(A2366,Deals!$A$2:$A$843,0),"")</f>
        <v/>
      </c>
      <c r="G2366">
        <f>IF(F2366="",0,1)</f>
        <v/>
      </c>
      <c r="H2366" s="29">
        <f>IF(F2366="","",INDEX(Deals!$E$2:$E$843,F2366))</f>
        <v/>
      </c>
      <c r="I2366">
        <f>IF(F2366="","",INDEX(Deals!$D$2:$D$843,F2366))</f>
        <v/>
      </c>
      <c r="J2366">
        <f>IF(F2366="","",INT(H2366)-B2366)</f>
        <v/>
      </c>
      <c r="K2366">
        <f>IF(B2366&gt;=Settings!$C$5,1,0)</f>
        <v/>
      </c>
    </row>
    <row r="2367">
      <c r="A2367" t="inlineStr">
        <is>
          <t>409b474080e928bbb5664659407b5947</t>
        </is>
      </c>
      <c r="B2367" s="29" t="n">
        <v>43225</v>
      </c>
      <c r="C2367" t="inlineStr">
        <is>
          <t>2018-05</t>
        </is>
      </c>
      <c r="D2367" t="inlineStr">
        <is>
          <t>5dc848e7dd9418dffe183215b8ff0bc1</t>
        </is>
      </c>
      <c r="E2367" t="inlineStr">
        <is>
          <t>paid_search</t>
        </is>
      </c>
      <c r="F2367">
        <f>IFERROR(MATCH(A2367,Deals!$A$2:$A$843,0),"")</f>
        <v/>
      </c>
      <c r="G2367">
        <f>IF(F2367="",0,1)</f>
        <v/>
      </c>
      <c r="H2367" s="29">
        <f>IF(F2367="","",INDEX(Deals!$E$2:$E$843,F2367))</f>
        <v/>
      </c>
      <c r="I2367">
        <f>IF(F2367="","",INDEX(Deals!$D$2:$D$843,F2367))</f>
        <v/>
      </c>
      <c r="J2367">
        <f>IF(F2367="","",INT(H2367)-B2367)</f>
        <v/>
      </c>
      <c r="K2367">
        <f>IF(B2367&gt;=Settings!$C$5,1,0)</f>
        <v/>
      </c>
    </row>
    <row r="2368">
      <c r="A2368" t="inlineStr">
        <is>
          <t>580c4496c6753715f35135749ec09bb3</t>
        </is>
      </c>
      <c r="B2368" s="29" t="n">
        <v>43227</v>
      </c>
      <c r="C2368" t="inlineStr">
        <is>
          <t>2018-05</t>
        </is>
      </c>
      <c r="D2368" t="inlineStr">
        <is>
          <t>ce1a65abd0973638f1c887a6efcfa82d</t>
        </is>
      </c>
      <c r="E2368" t="inlineStr">
        <is>
          <t>direct_traffic</t>
        </is>
      </c>
      <c r="F2368">
        <f>IFERROR(MATCH(A2368,Deals!$A$2:$A$843,0),"")</f>
        <v/>
      </c>
      <c r="G2368">
        <f>IF(F2368="",0,1)</f>
        <v/>
      </c>
      <c r="H2368" s="29">
        <f>IF(F2368="","",INDEX(Deals!$E$2:$E$843,F2368))</f>
        <v/>
      </c>
      <c r="I2368">
        <f>IF(F2368="","",INDEX(Deals!$D$2:$D$843,F2368))</f>
        <v/>
      </c>
      <c r="J2368">
        <f>IF(F2368="","",INT(H2368)-B2368)</f>
        <v/>
      </c>
      <c r="K2368">
        <f>IF(B2368&gt;=Settings!$C$5,1,0)</f>
        <v/>
      </c>
    </row>
    <row r="2369">
      <c r="A2369" t="inlineStr">
        <is>
          <t>279a8a4af46de7caf29071434c2aa9d9</t>
        </is>
      </c>
      <c r="B2369" s="29" t="n">
        <v>43178</v>
      </c>
      <c r="C2369" t="inlineStr">
        <is>
          <t>2018-03</t>
        </is>
      </c>
      <c r="D2369" t="inlineStr">
        <is>
          <t>c35447dcd1a50b2e2ee3184be602b597</t>
        </is>
      </c>
      <c r="E2369" t="inlineStr">
        <is>
          <t>social</t>
        </is>
      </c>
      <c r="F2369">
        <f>IFERROR(MATCH(A2369,Deals!$A$2:$A$843,0),"")</f>
        <v/>
      </c>
      <c r="G2369">
        <f>IF(F2369="",0,1)</f>
        <v/>
      </c>
      <c r="H2369" s="29">
        <f>IF(F2369="","",INDEX(Deals!$E$2:$E$843,F2369))</f>
        <v/>
      </c>
      <c r="I2369">
        <f>IF(F2369="","",INDEX(Deals!$D$2:$D$843,F2369))</f>
        <v/>
      </c>
      <c r="J2369">
        <f>IF(F2369="","",INT(H2369)-B2369)</f>
        <v/>
      </c>
      <c r="K2369">
        <f>IF(B2369&gt;=Settings!$C$5,1,0)</f>
        <v/>
      </c>
    </row>
    <row r="2370">
      <c r="A2370" t="inlineStr">
        <is>
          <t>515d801464ef09ae12425ce6be85447c</t>
        </is>
      </c>
      <c r="B2370" s="29" t="n">
        <v>43165</v>
      </c>
      <c r="C2370" t="inlineStr">
        <is>
          <t>2018-03</t>
        </is>
      </c>
      <c r="D2370" t="inlineStr">
        <is>
          <t>b76ef37428e6799c421989521c0e5077</t>
        </is>
      </c>
      <c r="E2370" t="inlineStr">
        <is>
          <t>unknown</t>
        </is>
      </c>
      <c r="F2370">
        <f>IFERROR(MATCH(A2370,Deals!$A$2:$A$843,0),"")</f>
        <v/>
      </c>
      <c r="G2370">
        <f>IF(F2370="",0,1)</f>
        <v/>
      </c>
      <c r="H2370" s="29">
        <f>IF(F2370="","",INDEX(Deals!$E$2:$E$843,F2370))</f>
        <v/>
      </c>
      <c r="I2370">
        <f>IF(F2370="","",INDEX(Deals!$D$2:$D$843,F2370))</f>
        <v/>
      </c>
      <c r="J2370">
        <f>IF(F2370="","",INT(H2370)-B2370)</f>
        <v/>
      </c>
      <c r="K2370">
        <f>IF(B2370&gt;=Settings!$C$5,1,0)</f>
        <v/>
      </c>
    </row>
    <row r="2371">
      <c r="A2371" t="inlineStr">
        <is>
          <t>2d776f635af2685af7b556b3bf270c33</t>
        </is>
      </c>
      <c r="B2371" s="29" t="n">
        <v>43172</v>
      </c>
      <c r="C2371" t="inlineStr">
        <is>
          <t>2018-03</t>
        </is>
      </c>
      <c r="D2371" t="inlineStr">
        <is>
          <t>0b37d43dbde6452cdd94c17bf61a88e4</t>
        </is>
      </c>
      <c r="E2371" t="inlineStr">
        <is>
          <t>referral</t>
        </is>
      </c>
      <c r="F2371">
        <f>IFERROR(MATCH(A2371,Deals!$A$2:$A$843,0),"")</f>
        <v/>
      </c>
      <c r="G2371">
        <f>IF(F2371="",0,1)</f>
        <v/>
      </c>
      <c r="H2371" s="29">
        <f>IF(F2371="","",INDEX(Deals!$E$2:$E$843,F2371))</f>
        <v/>
      </c>
      <c r="I2371">
        <f>IF(F2371="","",INDEX(Deals!$D$2:$D$843,F2371))</f>
        <v/>
      </c>
      <c r="J2371">
        <f>IF(F2371="","",INT(H2371)-B2371)</f>
        <v/>
      </c>
      <c r="K2371">
        <f>IF(B2371&gt;=Settings!$C$5,1,0)</f>
        <v/>
      </c>
    </row>
    <row r="2372">
      <c r="A2372" t="inlineStr">
        <is>
          <t>2b73fd917ee9cc38ec528df06d5b8561</t>
        </is>
      </c>
      <c r="B2372" s="29" t="n">
        <v>43243</v>
      </c>
      <c r="C2372" t="inlineStr">
        <is>
          <t>2018-05</t>
        </is>
      </c>
      <c r="D2372" t="inlineStr">
        <is>
          <t>22c29808c4f815213303f8933030604c</t>
        </is>
      </c>
      <c r="E2372" t="inlineStr">
        <is>
          <t>paid_search</t>
        </is>
      </c>
      <c r="F2372">
        <f>IFERROR(MATCH(A2372,Deals!$A$2:$A$843,0),"")</f>
        <v/>
      </c>
      <c r="G2372">
        <f>IF(F2372="",0,1)</f>
        <v/>
      </c>
      <c r="H2372" s="29">
        <f>IF(F2372="","",INDEX(Deals!$E$2:$E$843,F2372))</f>
        <v/>
      </c>
      <c r="I2372">
        <f>IF(F2372="","",INDEX(Deals!$D$2:$D$843,F2372))</f>
        <v/>
      </c>
      <c r="J2372">
        <f>IF(F2372="","",INT(H2372)-B2372)</f>
        <v/>
      </c>
      <c r="K2372">
        <f>IF(B2372&gt;=Settings!$C$5,1,0)</f>
        <v/>
      </c>
    </row>
    <row r="2373">
      <c r="A2373" t="inlineStr">
        <is>
          <t>dfc9e4d35fdc35e6f3afeec8d7e0e474</t>
        </is>
      </c>
      <c r="B2373" s="29" t="n">
        <v>43174</v>
      </c>
      <c r="C2373" t="inlineStr">
        <is>
          <t>2018-03</t>
        </is>
      </c>
      <c r="D2373" t="inlineStr">
        <is>
          <t>241f79c7a8fe0270f4fb79fcbbcd17ad</t>
        </is>
      </c>
      <c r="E2373" t="inlineStr">
        <is>
          <t>paid_search</t>
        </is>
      </c>
      <c r="F2373">
        <f>IFERROR(MATCH(A2373,Deals!$A$2:$A$843,0),"")</f>
        <v/>
      </c>
      <c r="G2373">
        <f>IF(F2373="",0,1)</f>
        <v/>
      </c>
      <c r="H2373" s="29">
        <f>IF(F2373="","",INDEX(Deals!$E$2:$E$843,F2373))</f>
        <v/>
      </c>
      <c r="I2373">
        <f>IF(F2373="","",INDEX(Deals!$D$2:$D$843,F2373))</f>
        <v/>
      </c>
      <c r="J2373">
        <f>IF(F2373="","",INT(H2373)-B2373)</f>
        <v/>
      </c>
      <c r="K2373">
        <f>IF(B2373&gt;=Settings!$C$5,1,0)</f>
        <v/>
      </c>
    </row>
    <row r="2374">
      <c r="A2374" t="inlineStr">
        <is>
          <t>5415a1b662e89ddebdfac1c5e9b98701</t>
        </is>
      </c>
      <c r="B2374" s="29" t="n">
        <v>43249</v>
      </c>
      <c r="C2374" t="inlineStr">
        <is>
          <t>2018-05</t>
        </is>
      </c>
      <c r="D2374" t="inlineStr">
        <is>
          <t>a0fbc0263cb98bdb0d72b9f9f283a172</t>
        </is>
      </c>
      <c r="E2374" t="inlineStr">
        <is>
          <t>paid_search</t>
        </is>
      </c>
      <c r="F2374">
        <f>IFERROR(MATCH(A2374,Deals!$A$2:$A$843,0),"")</f>
        <v/>
      </c>
      <c r="G2374">
        <f>IF(F2374="",0,1)</f>
        <v/>
      </c>
      <c r="H2374" s="29">
        <f>IF(F2374="","",INDEX(Deals!$E$2:$E$843,F2374))</f>
        <v/>
      </c>
      <c r="I2374">
        <f>IF(F2374="","",INDEX(Deals!$D$2:$D$843,F2374))</f>
        <v/>
      </c>
      <c r="J2374">
        <f>IF(F2374="","",INT(H2374)-B2374)</f>
        <v/>
      </c>
      <c r="K2374">
        <f>IF(B2374&gt;=Settings!$C$5,1,0)</f>
        <v/>
      </c>
    </row>
    <row r="2375">
      <c r="A2375" t="inlineStr">
        <is>
          <t>a1a72c40f696aeee9d7110b922d3b534</t>
        </is>
      </c>
      <c r="B2375" s="29" t="n">
        <v>43046</v>
      </c>
      <c r="C2375" t="inlineStr">
        <is>
          <t>2017-11</t>
        </is>
      </c>
      <c r="D2375" t="inlineStr">
        <is>
          <t>8d25d9ae4ed5f78b8614b81350173e99</t>
        </is>
      </c>
      <c r="E2375" t="inlineStr">
        <is>
          <t>paid_search</t>
        </is>
      </c>
      <c r="F2375">
        <f>IFERROR(MATCH(A2375,Deals!$A$2:$A$843,0),"")</f>
        <v/>
      </c>
      <c r="G2375">
        <f>IF(F2375="",0,1)</f>
        <v/>
      </c>
      <c r="H2375" s="29">
        <f>IF(F2375="","",INDEX(Deals!$E$2:$E$843,F2375))</f>
        <v/>
      </c>
      <c r="I2375">
        <f>IF(F2375="","",INDEX(Deals!$D$2:$D$843,F2375))</f>
        <v/>
      </c>
      <c r="J2375">
        <f>IF(F2375="","",INT(H2375)-B2375)</f>
        <v/>
      </c>
      <c r="K2375">
        <f>IF(B2375&gt;=Settings!$C$5,1,0)</f>
        <v/>
      </c>
    </row>
    <row r="2376">
      <c r="A2376" t="inlineStr">
        <is>
          <t>54cbacbc5d8130ebcec9891bf80027d8</t>
        </is>
      </c>
      <c r="B2376" s="29" t="n">
        <v>43132</v>
      </c>
      <c r="C2376" t="inlineStr">
        <is>
          <t>2018-02</t>
        </is>
      </c>
      <c r="D2376" t="inlineStr">
        <is>
          <t>0f7f8ed9a1db8fc2a42e273972db10d4</t>
        </is>
      </c>
      <c r="E2376" t="inlineStr">
        <is>
          <t>paid_search</t>
        </is>
      </c>
      <c r="F2376">
        <f>IFERROR(MATCH(A2376,Deals!$A$2:$A$843,0),"")</f>
        <v/>
      </c>
      <c r="G2376">
        <f>IF(F2376="",0,1)</f>
        <v/>
      </c>
      <c r="H2376" s="29">
        <f>IF(F2376="","",INDEX(Deals!$E$2:$E$843,F2376))</f>
        <v/>
      </c>
      <c r="I2376">
        <f>IF(F2376="","",INDEX(Deals!$D$2:$D$843,F2376))</f>
        <v/>
      </c>
      <c r="J2376">
        <f>IF(F2376="","",INT(H2376)-B2376)</f>
        <v/>
      </c>
      <c r="K2376">
        <f>IF(B2376&gt;=Settings!$C$5,1,0)</f>
        <v/>
      </c>
    </row>
    <row r="2377">
      <c r="A2377" t="inlineStr">
        <is>
          <t>10b7aacb4303a22494c755fd942ab5b8</t>
        </is>
      </c>
      <c r="B2377" s="29" t="n">
        <v>43066</v>
      </c>
      <c r="C2377" t="inlineStr">
        <is>
          <t>2017-11</t>
        </is>
      </c>
      <c r="D2377" t="inlineStr">
        <is>
          <t>58f8c0a253663304e348e81298bc255e</t>
        </is>
      </c>
      <c r="E2377" t="inlineStr">
        <is>
          <t>unknown</t>
        </is>
      </c>
      <c r="F2377">
        <f>IFERROR(MATCH(A2377,Deals!$A$2:$A$843,0),"")</f>
        <v/>
      </c>
      <c r="G2377">
        <f>IF(F2377="",0,1)</f>
        <v/>
      </c>
      <c r="H2377" s="29">
        <f>IF(F2377="","",INDEX(Deals!$E$2:$E$843,F2377))</f>
        <v/>
      </c>
      <c r="I2377">
        <f>IF(F2377="","",INDEX(Deals!$D$2:$D$843,F2377))</f>
        <v/>
      </c>
      <c r="J2377">
        <f>IF(F2377="","",INT(H2377)-B2377)</f>
        <v/>
      </c>
      <c r="K2377">
        <f>IF(B2377&gt;=Settings!$C$5,1,0)</f>
        <v/>
      </c>
    </row>
    <row r="2378">
      <c r="A2378" t="inlineStr">
        <is>
          <t>4258f3315c6167919da625f44d6fe61e</t>
        </is>
      </c>
      <c r="B2378" s="29" t="n">
        <v>43125</v>
      </c>
      <c r="C2378" t="inlineStr">
        <is>
          <t>2018-01</t>
        </is>
      </c>
      <c r="D2378" t="inlineStr">
        <is>
          <t>40dec9f3d5259a3d2dbcdab2114fae47</t>
        </is>
      </c>
      <c r="E2378" t="inlineStr">
        <is>
          <t>email</t>
        </is>
      </c>
      <c r="F2378">
        <f>IFERROR(MATCH(A2378,Deals!$A$2:$A$843,0),"")</f>
        <v/>
      </c>
      <c r="G2378">
        <f>IF(F2378="",0,1)</f>
        <v/>
      </c>
      <c r="H2378" s="29">
        <f>IF(F2378="","",INDEX(Deals!$E$2:$E$843,F2378))</f>
        <v/>
      </c>
      <c r="I2378">
        <f>IF(F2378="","",INDEX(Deals!$D$2:$D$843,F2378))</f>
        <v/>
      </c>
      <c r="J2378">
        <f>IF(F2378="","",INT(H2378)-B2378)</f>
        <v/>
      </c>
      <c r="K2378">
        <f>IF(B2378&gt;=Settings!$C$5,1,0)</f>
        <v/>
      </c>
    </row>
    <row r="2379">
      <c r="A2379" t="inlineStr">
        <is>
          <t>16a766553d27e24a2ecb59dda7126dd8</t>
        </is>
      </c>
      <c r="B2379" s="29" t="n">
        <v>42935</v>
      </c>
      <c r="C2379" t="inlineStr">
        <is>
          <t>2017-07</t>
        </is>
      </c>
      <c r="D2379" t="inlineStr">
        <is>
          <t>b76ef37428e6799c421989521c0e5077</t>
        </is>
      </c>
      <c r="E2379" t="inlineStr">
        <is>
          <t>unknown</t>
        </is>
      </c>
      <c r="F2379">
        <f>IFERROR(MATCH(A2379,Deals!$A$2:$A$843,0),"")</f>
        <v/>
      </c>
      <c r="G2379">
        <f>IF(F2379="",0,1)</f>
        <v/>
      </c>
      <c r="H2379" s="29">
        <f>IF(F2379="","",INDEX(Deals!$E$2:$E$843,F2379))</f>
        <v/>
      </c>
      <c r="I2379">
        <f>IF(F2379="","",INDEX(Deals!$D$2:$D$843,F2379))</f>
        <v/>
      </c>
      <c r="J2379">
        <f>IF(F2379="","",INT(H2379)-B2379)</f>
        <v/>
      </c>
      <c r="K2379">
        <f>IF(B2379&gt;=Settings!$C$5,1,0)</f>
        <v/>
      </c>
    </row>
    <row r="2380">
      <c r="A2380" t="inlineStr">
        <is>
          <t>f6a55a2a55a160ba72bb9acdfccf164e</t>
        </is>
      </c>
      <c r="B2380" s="29" t="n">
        <v>43219</v>
      </c>
      <c r="C2380" t="inlineStr">
        <is>
          <t>2018-04</t>
        </is>
      </c>
      <c r="D2380" t="inlineStr">
        <is>
          <t>22c29808c4f815213303f8933030604c</t>
        </is>
      </c>
      <c r="E2380" t="inlineStr">
        <is>
          <t>referral</t>
        </is>
      </c>
      <c r="F2380">
        <f>IFERROR(MATCH(A2380,Deals!$A$2:$A$843,0),"")</f>
        <v/>
      </c>
      <c r="G2380">
        <f>IF(F2380="",0,1)</f>
        <v/>
      </c>
      <c r="H2380" s="29">
        <f>IF(F2380="","",INDEX(Deals!$E$2:$E$843,F2380))</f>
        <v/>
      </c>
      <c r="I2380">
        <f>IF(F2380="","",INDEX(Deals!$D$2:$D$843,F2380))</f>
        <v/>
      </c>
      <c r="J2380">
        <f>IF(F2380="","",INT(H2380)-B2380)</f>
        <v/>
      </c>
      <c r="K2380">
        <f>IF(B2380&gt;=Settings!$C$5,1,0)</f>
        <v/>
      </c>
    </row>
    <row r="2381">
      <c r="A2381" t="inlineStr">
        <is>
          <t>a4965216e237306510bc0e0f2dc67a79</t>
        </is>
      </c>
      <c r="B2381" s="29" t="n">
        <v>43138</v>
      </c>
      <c r="C2381" t="inlineStr">
        <is>
          <t>2018-02</t>
        </is>
      </c>
      <c r="D2381" t="inlineStr">
        <is>
          <t>f017be4dbf86243af5c1ebed0cff36a2</t>
        </is>
      </c>
      <c r="E2381" t="inlineStr">
        <is>
          <t>social</t>
        </is>
      </c>
      <c r="F2381">
        <f>IFERROR(MATCH(A2381,Deals!$A$2:$A$843,0),"")</f>
        <v/>
      </c>
      <c r="G2381">
        <f>IF(F2381="",0,1)</f>
        <v/>
      </c>
      <c r="H2381" s="29">
        <f>IF(F2381="","",INDEX(Deals!$E$2:$E$843,F2381))</f>
        <v/>
      </c>
      <c r="I2381">
        <f>IF(F2381="","",INDEX(Deals!$D$2:$D$843,F2381))</f>
        <v/>
      </c>
      <c r="J2381">
        <f>IF(F2381="","",INT(H2381)-B2381)</f>
        <v/>
      </c>
      <c r="K2381">
        <f>IF(B2381&gt;=Settings!$C$5,1,0)</f>
        <v/>
      </c>
    </row>
    <row r="2382">
      <c r="A2382" t="inlineStr">
        <is>
          <t>06f38e7909709a72b521a4a9d1c05841</t>
        </is>
      </c>
      <c r="B2382" s="29" t="n">
        <v>43130</v>
      </c>
      <c r="C2382" t="inlineStr">
        <is>
          <t>2018-01</t>
        </is>
      </c>
      <c r="D2382" t="inlineStr">
        <is>
          <t>b76ef37428e6799c421989521c0e5077</t>
        </is>
      </c>
      <c r="E2382" t="inlineStr">
        <is>
          <t>unknown</t>
        </is>
      </c>
      <c r="F2382">
        <f>IFERROR(MATCH(A2382,Deals!$A$2:$A$843,0),"")</f>
        <v/>
      </c>
      <c r="G2382">
        <f>IF(F2382="",0,1)</f>
        <v/>
      </c>
      <c r="H2382" s="29">
        <f>IF(F2382="","",INDEX(Deals!$E$2:$E$843,F2382))</f>
        <v/>
      </c>
      <c r="I2382">
        <f>IF(F2382="","",INDEX(Deals!$D$2:$D$843,F2382))</f>
        <v/>
      </c>
      <c r="J2382">
        <f>IF(F2382="","",INT(H2382)-B2382)</f>
        <v/>
      </c>
      <c r="K2382">
        <f>IF(B2382&gt;=Settings!$C$5,1,0)</f>
        <v/>
      </c>
    </row>
    <row r="2383">
      <c r="A2383" t="inlineStr">
        <is>
          <t>aa67a5155398e6ffede7cf8b4825fe39</t>
        </is>
      </c>
      <c r="B2383" s="29" t="n">
        <v>43236</v>
      </c>
      <c r="C2383" t="inlineStr">
        <is>
          <t>2018-05</t>
        </is>
      </c>
      <c r="D2383" t="inlineStr">
        <is>
          <t>e492ee5eaf1697716985cc6f33f9cd9b</t>
        </is>
      </c>
      <c r="E2383" t="inlineStr">
        <is>
          <t>email</t>
        </is>
      </c>
      <c r="F2383">
        <f>IFERROR(MATCH(A2383,Deals!$A$2:$A$843,0),"")</f>
        <v/>
      </c>
      <c r="G2383">
        <f>IF(F2383="",0,1)</f>
        <v/>
      </c>
      <c r="H2383" s="29">
        <f>IF(F2383="","",INDEX(Deals!$E$2:$E$843,F2383))</f>
        <v/>
      </c>
      <c r="I2383">
        <f>IF(F2383="","",INDEX(Deals!$D$2:$D$843,F2383))</f>
        <v/>
      </c>
      <c r="J2383">
        <f>IF(F2383="","",INT(H2383)-B2383)</f>
        <v/>
      </c>
      <c r="K2383">
        <f>IF(B2383&gt;=Settings!$C$5,1,0)</f>
        <v/>
      </c>
    </row>
    <row r="2384">
      <c r="A2384" t="inlineStr">
        <is>
          <t>03a07d614ab1040c167f45a3560de124</t>
        </is>
      </c>
      <c r="B2384" s="29" t="n">
        <v>43170</v>
      </c>
      <c r="C2384" t="inlineStr">
        <is>
          <t>2018-03</t>
        </is>
      </c>
      <c r="D2384" t="inlineStr">
        <is>
          <t>22c29808c4f815213303f8933030604c</t>
        </is>
      </c>
      <c r="E2384" t="inlineStr">
        <is>
          <t>paid_search</t>
        </is>
      </c>
      <c r="F2384">
        <f>IFERROR(MATCH(A2384,Deals!$A$2:$A$843,0),"")</f>
        <v/>
      </c>
      <c r="G2384">
        <f>IF(F2384="",0,1)</f>
        <v/>
      </c>
      <c r="H2384" s="29">
        <f>IF(F2384="","",INDEX(Deals!$E$2:$E$843,F2384))</f>
        <v/>
      </c>
      <c r="I2384">
        <f>IF(F2384="","",INDEX(Deals!$D$2:$D$843,F2384))</f>
        <v/>
      </c>
      <c r="J2384">
        <f>IF(F2384="","",INT(H2384)-B2384)</f>
        <v/>
      </c>
      <c r="K2384">
        <f>IF(B2384&gt;=Settings!$C$5,1,0)</f>
        <v/>
      </c>
    </row>
    <row r="2385">
      <c r="A2385" t="inlineStr">
        <is>
          <t>8bd73c11f9e36c039ff3cee4f3f5e2d2</t>
        </is>
      </c>
      <c r="B2385" s="29" t="n">
        <v>43087</v>
      </c>
      <c r="C2385" t="inlineStr">
        <is>
          <t>2017-12</t>
        </is>
      </c>
      <c r="D2385" t="inlineStr">
        <is>
          <t>b76ef37428e6799c421989521c0e5077</t>
        </is>
      </c>
      <c r="E2385" t="inlineStr">
        <is>
          <t>unknown</t>
        </is>
      </c>
      <c r="F2385">
        <f>IFERROR(MATCH(A2385,Deals!$A$2:$A$843,0),"")</f>
        <v/>
      </c>
      <c r="G2385">
        <f>IF(F2385="",0,1)</f>
        <v/>
      </c>
      <c r="H2385" s="29">
        <f>IF(F2385="","",INDEX(Deals!$E$2:$E$843,F2385))</f>
        <v/>
      </c>
      <c r="I2385">
        <f>IF(F2385="","",INDEX(Deals!$D$2:$D$843,F2385))</f>
        <v/>
      </c>
      <c r="J2385">
        <f>IF(F2385="","",INT(H2385)-B2385)</f>
        <v/>
      </c>
      <c r="K2385">
        <f>IF(B2385&gt;=Settings!$C$5,1,0)</f>
        <v/>
      </c>
    </row>
    <row r="2386">
      <c r="A2386" t="inlineStr">
        <is>
          <t>de6ddd41822944b7a1c6f82769b53fa6</t>
        </is>
      </c>
      <c r="B2386" s="29" t="n">
        <v>43220</v>
      </c>
      <c r="C2386" t="inlineStr">
        <is>
          <t>2018-04</t>
        </is>
      </c>
      <c r="D2386" t="inlineStr">
        <is>
          <t>30534107aa0013db92899c96a1017d0b</t>
        </is>
      </c>
      <c r="E2386" t="inlineStr">
        <is>
          <t>social</t>
        </is>
      </c>
      <c r="F2386">
        <f>IFERROR(MATCH(A2386,Deals!$A$2:$A$843,0),"")</f>
        <v/>
      </c>
      <c r="G2386">
        <f>IF(F2386="",0,1)</f>
        <v/>
      </c>
      <c r="H2386" s="29">
        <f>IF(F2386="","",INDEX(Deals!$E$2:$E$843,F2386))</f>
        <v/>
      </c>
      <c r="I2386">
        <f>IF(F2386="","",INDEX(Deals!$D$2:$D$843,F2386))</f>
        <v/>
      </c>
      <c r="J2386">
        <f>IF(F2386="","",INT(H2386)-B2386)</f>
        <v/>
      </c>
      <c r="K2386">
        <f>IF(B2386&gt;=Settings!$C$5,1,0)</f>
        <v/>
      </c>
    </row>
    <row r="2387">
      <c r="A2387" t="inlineStr">
        <is>
          <t>0b6412624cfd8ebee546fa2dc1db6945</t>
        </is>
      </c>
      <c r="B2387" s="29" t="n">
        <v>43144</v>
      </c>
      <c r="C2387" t="inlineStr">
        <is>
          <t>2018-02</t>
        </is>
      </c>
      <c r="D2387" t="inlineStr">
        <is>
          <t>88740e65d5d6b056e0cda098e1ea6313</t>
        </is>
      </c>
      <c r="E2387" t="inlineStr">
        <is>
          <t>social</t>
        </is>
      </c>
      <c r="F2387">
        <f>IFERROR(MATCH(A2387,Deals!$A$2:$A$843,0),"")</f>
        <v/>
      </c>
      <c r="G2387">
        <f>IF(F2387="",0,1)</f>
        <v/>
      </c>
      <c r="H2387" s="29">
        <f>IF(F2387="","",INDEX(Deals!$E$2:$E$843,F2387))</f>
        <v/>
      </c>
      <c r="I2387">
        <f>IF(F2387="","",INDEX(Deals!$D$2:$D$843,F2387))</f>
        <v/>
      </c>
      <c r="J2387">
        <f>IF(F2387="","",INT(H2387)-B2387)</f>
        <v/>
      </c>
      <c r="K2387">
        <f>IF(B2387&gt;=Settings!$C$5,1,0)</f>
        <v/>
      </c>
    </row>
    <row r="2388">
      <c r="A2388" t="inlineStr">
        <is>
          <t>8928ccba6d94d5f1481c1065330c6066</t>
        </is>
      </c>
      <c r="B2388" s="29" t="n">
        <v>43244</v>
      </c>
      <c r="C2388" t="inlineStr">
        <is>
          <t>2018-05</t>
        </is>
      </c>
      <c r="D2388" t="inlineStr">
        <is>
          <t>22c29808c4f815213303f8933030604c</t>
        </is>
      </c>
      <c r="E2388" t="inlineStr">
        <is>
          <t>organic_search</t>
        </is>
      </c>
      <c r="F2388">
        <f>IFERROR(MATCH(A2388,Deals!$A$2:$A$843,0),"")</f>
        <v/>
      </c>
      <c r="G2388">
        <f>IF(F2388="",0,1)</f>
        <v/>
      </c>
      <c r="H2388" s="29">
        <f>IF(F2388="","",INDEX(Deals!$E$2:$E$843,F2388))</f>
        <v/>
      </c>
      <c r="I2388">
        <f>IF(F2388="","",INDEX(Deals!$D$2:$D$843,F2388))</f>
        <v/>
      </c>
      <c r="J2388">
        <f>IF(F2388="","",INT(H2388)-B2388)</f>
        <v/>
      </c>
      <c r="K2388">
        <f>IF(B2388&gt;=Settings!$C$5,1,0)</f>
        <v/>
      </c>
    </row>
    <row r="2389">
      <c r="A2389" t="inlineStr">
        <is>
          <t>55b3c1a839223ee808021abbf6d0dc52</t>
        </is>
      </c>
      <c r="B2389" s="29" t="n">
        <v>43159</v>
      </c>
      <c r="C2389" t="inlineStr">
        <is>
          <t>2018-02</t>
        </is>
      </c>
      <c r="D2389" t="inlineStr">
        <is>
          <t>ce1a65abd0973638f1c887a6efcfa82d</t>
        </is>
      </c>
      <c r="E2389" t="inlineStr">
        <is>
          <t>organic_search</t>
        </is>
      </c>
      <c r="F2389">
        <f>IFERROR(MATCH(A2389,Deals!$A$2:$A$843,0),"")</f>
        <v/>
      </c>
      <c r="G2389">
        <f>IF(F2389="",0,1)</f>
        <v/>
      </c>
      <c r="H2389" s="29">
        <f>IF(F2389="","",INDEX(Deals!$E$2:$E$843,F2389))</f>
        <v/>
      </c>
      <c r="I2389">
        <f>IF(F2389="","",INDEX(Deals!$D$2:$D$843,F2389))</f>
        <v/>
      </c>
      <c r="J2389">
        <f>IF(F2389="","",INT(H2389)-B2389)</f>
        <v/>
      </c>
      <c r="K2389">
        <f>IF(B2389&gt;=Settings!$C$5,1,0)</f>
        <v/>
      </c>
    </row>
    <row r="2390">
      <c r="A2390" t="inlineStr">
        <is>
          <t>58b26e6eaeb6ed078b51e6cde7925d71</t>
        </is>
      </c>
      <c r="B2390" s="29" t="n">
        <v>43131</v>
      </c>
      <c r="C2390" t="inlineStr">
        <is>
          <t>2018-01</t>
        </is>
      </c>
      <c r="D2390" t="inlineStr">
        <is>
          <t>b76ef37428e6799c421989521c0e5077</t>
        </is>
      </c>
      <c r="E2390" t="inlineStr">
        <is>
          <t>unknown</t>
        </is>
      </c>
      <c r="F2390">
        <f>IFERROR(MATCH(A2390,Deals!$A$2:$A$843,0),"")</f>
        <v/>
      </c>
      <c r="G2390">
        <f>IF(F2390="",0,1)</f>
        <v/>
      </c>
      <c r="H2390" s="29">
        <f>IF(F2390="","",INDEX(Deals!$E$2:$E$843,F2390))</f>
        <v/>
      </c>
      <c r="I2390">
        <f>IF(F2390="","",INDEX(Deals!$D$2:$D$843,F2390))</f>
        <v/>
      </c>
      <c r="J2390">
        <f>IF(F2390="","",INT(H2390)-B2390)</f>
        <v/>
      </c>
      <c r="K2390">
        <f>IF(B2390&gt;=Settings!$C$5,1,0)</f>
        <v/>
      </c>
    </row>
    <row r="2391">
      <c r="A2391" t="inlineStr">
        <is>
          <t>ade022cfc5a5e59959b5df2e4c0cd06a</t>
        </is>
      </c>
      <c r="B2391" s="29" t="n">
        <v>43228</v>
      </c>
      <c r="C2391" t="inlineStr">
        <is>
          <t>2018-05</t>
        </is>
      </c>
      <c r="D2391" t="inlineStr">
        <is>
          <t>27cd3540bace1f4a4b2bc6d319b0553c</t>
        </is>
      </c>
      <c r="E2391" t="inlineStr">
        <is>
          <t>paid_search</t>
        </is>
      </c>
      <c r="F2391">
        <f>IFERROR(MATCH(A2391,Deals!$A$2:$A$843,0),"")</f>
        <v/>
      </c>
      <c r="G2391">
        <f>IF(F2391="",0,1)</f>
        <v/>
      </c>
      <c r="H2391" s="29">
        <f>IF(F2391="","",INDEX(Deals!$E$2:$E$843,F2391))</f>
        <v/>
      </c>
      <c r="I2391">
        <f>IF(F2391="","",INDEX(Deals!$D$2:$D$843,F2391))</f>
        <v/>
      </c>
      <c r="J2391">
        <f>IF(F2391="","",INT(H2391)-B2391)</f>
        <v/>
      </c>
      <c r="K2391">
        <f>IF(B2391&gt;=Settings!$C$5,1,0)</f>
        <v/>
      </c>
    </row>
    <row r="2392">
      <c r="A2392" t="inlineStr">
        <is>
          <t>1f3a4f7715b9fd855595b4836101ec30</t>
        </is>
      </c>
      <c r="B2392" s="29" t="n">
        <v>42963</v>
      </c>
      <c r="C2392" t="inlineStr">
        <is>
          <t>2017-08</t>
        </is>
      </c>
      <c r="D2392" t="inlineStr">
        <is>
          <t>f017be4dbf86243af5c1ebed0cff36a2</t>
        </is>
      </c>
      <c r="E2392" t="inlineStr">
        <is>
          <t>organic_search</t>
        </is>
      </c>
      <c r="F2392">
        <f>IFERROR(MATCH(A2392,Deals!$A$2:$A$843,0),"")</f>
        <v/>
      </c>
      <c r="G2392">
        <f>IF(F2392="",0,1)</f>
        <v/>
      </c>
      <c r="H2392" s="29">
        <f>IF(F2392="","",INDEX(Deals!$E$2:$E$843,F2392))</f>
        <v/>
      </c>
      <c r="I2392">
        <f>IF(F2392="","",INDEX(Deals!$D$2:$D$843,F2392))</f>
        <v/>
      </c>
      <c r="J2392">
        <f>IF(F2392="","",INT(H2392)-B2392)</f>
        <v/>
      </c>
      <c r="K2392">
        <f>IF(B2392&gt;=Settings!$C$5,1,0)</f>
        <v/>
      </c>
    </row>
    <row r="2393">
      <c r="A2393" t="inlineStr">
        <is>
          <t>56b65de416c2c508f3b53298e3059fe6</t>
        </is>
      </c>
      <c r="B2393" s="29" t="n">
        <v>43209</v>
      </c>
      <c r="C2393" t="inlineStr">
        <is>
          <t>2018-04</t>
        </is>
      </c>
      <c r="D2393" t="inlineStr">
        <is>
          <t>1ceb590cd1e00c7ee95220971f82693d</t>
        </is>
      </c>
      <c r="E2393" t="inlineStr">
        <is>
          <t>paid_search</t>
        </is>
      </c>
      <c r="F2393">
        <f>IFERROR(MATCH(A2393,Deals!$A$2:$A$843,0),"")</f>
        <v/>
      </c>
      <c r="G2393">
        <f>IF(F2393="",0,1)</f>
        <v/>
      </c>
      <c r="H2393" s="29">
        <f>IF(F2393="","",INDEX(Deals!$E$2:$E$843,F2393))</f>
        <v/>
      </c>
      <c r="I2393">
        <f>IF(F2393="","",INDEX(Deals!$D$2:$D$843,F2393))</f>
        <v/>
      </c>
      <c r="J2393">
        <f>IF(F2393="","",INT(H2393)-B2393)</f>
        <v/>
      </c>
      <c r="K2393">
        <f>IF(B2393&gt;=Settings!$C$5,1,0)</f>
        <v/>
      </c>
    </row>
    <row r="2394">
      <c r="A2394" t="inlineStr">
        <is>
          <t>daaed502af6c37e34477e1dee6cb38fd</t>
        </is>
      </c>
      <c r="B2394" s="29" t="n">
        <v>43168</v>
      </c>
      <c r="C2394" t="inlineStr">
        <is>
          <t>2018-03</t>
        </is>
      </c>
      <c r="D2394" t="inlineStr">
        <is>
          <t>7fa6214d82e911d070f51ef79381b956</t>
        </is>
      </c>
      <c r="E2394" t="inlineStr">
        <is>
          <t>organic_search</t>
        </is>
      </c>
      <c r="F2394">
        <f>IFERROR(MATCH(A2394,Deals!$A$2:$A$843,0),"")</f>
        <v/>
      </c>
      <c r="G2394">
        <f>IF(F2394="",0,1)</f>
        <v/>
      </c>
      <c r="H2394" s="29">
        <f>IF(F2394="","",INDEX(Deals!$E$2:$E$843,F2394))</f>
        <v/>
      </c>
      <c r="I2394">
        <f>IF(F2394="","",INDEX(Deals!$D$2:$D$843,F2394))</f>
        <v/>
      </c>
      <c r="J2394">
        <f>IF(F2394="","",INT(H2394)-B2394)</f>
        <v/>
      </c>
      <c r="K2394">
        <f>IF(B2394&gt;=Settings!$C$5,1,0)</f>
        <v/>
      </c>
    </row>
    <row r="2395">
      <c r="A2395" t="inlineStr">
        <is>
          <t>795daa0834ca092ed52b5d0a5848387d</t>
        </is>
      </c>
      <c r="B2395" s="29" t="n">
        <v>43014</v>
      </c>
      <c r="C2395" t="inlineStr">
        <is>
          <t>2017-10</t>
        </is>
      </c>
      <c r="D2395" t="inlineStr">
        <is>
          <t>425a9f1cd945cb291c58c4212654eb8d</t>
        </is>
      </c>
      <c r="E2395" t="inlineStr">
        <is>
          <t>unknown</t>
        </is>
      </c>
      <c r="F2395">
        <f>IFERROR(MATCH(A2395,Deals!$A$2:$A$843,0),"")</f>
        <v/>
      </c>
      <c r="G2395">
        <f>IF(F2395="",0,1)</f>
        <v/>
      </c>
      <c r="H2395" s="29">
        <f>IF(F2395="","",INDEX(Deals!$E$2:$E$843,F2395))</f>
        <v/>
      </c>
      <c r="I2395">
        <f>IF(F2395="","",INDEX(Deals!$D$2:$D$843,F2395))</f>
        <v/>
      </c>
      <c r="J2395">
        <f>IF(F2395="","",INT(H2395)-B2395)</f>
        <v/>
      </c>
      <c r="K2395">
        <f>IF(B2395&gt;=Settings!$C$5,1,0)</f>
        <v/>
      </c>
    </row>
    <row r="2396">
      <c r="A2396" t="inlineStr">
        <is>
          <t>9b46cae14639ee92bc8477140c8cf2f1</t>
        </is>
      </c>
      <c r="B2396" s="29" t="n">
        <v>43165</v>
      </c>
      <c r="C2396" t="inlineStr">
        <is>
          <t>2018-03</t>
        </is>
      </c>
      <c r="D2396" t="inlineStr">
        <is>
          <t>120ad10683075526ee1b3b00489dafec</t>
        </is>
      </c>
      <c r="E2396" t="inlineStr">
        <is>
          <t>email</t>
        </is>
      </c>
      <c r="F2396">
        <f>IFERROR(MATCH(A2396,Deals!$A$2:$A$843,0),"")</f>
        <v/>
      </c>
      <c r="G2396">
        <f>IF(F2396="",0,1)</f>
        <v/>
      </c>
      <c r="H2396" s="29">
        <f>IF(F2396="","",INDEX(Deals!$E$2:$E$843,F2396))</f>
        <v/>
      </c>
      <c r="I2396">
        <f>IF(F2396="","",INDEX(Deals!$D$2:$D$843,F2396))</f>
        <v/>
      </c>
      <c r="J2396">
        <f>IF(F2396="","",INT(H2396)-B2396)</f>
        <v/>
      </c>
      <c r="K2396">
        <f>IF(B2396&gt;=Settings!$C$5,1,0)</f>
        <v/>
      </c>
    </row>
    <row r="2397">
      <c r="A2397" t="inlineStr">
        <is>
          <t>0434e46664b3b1cc05543b6ee7e9aa0b</t>
        </is>
      </c>
      <c r="B2397" s="29" t="n">
        <v>43240</v>
      </c>
      <c r="C2397" t="inlineStr">
        <is>
          <t>2018-05</t>
        </is>
      </c>
      <c r="D2397" t="inlineStr">
        <is>
          <t>22c29808c4f815213303f8933030604c</t>
        </is>
      </c>
      <c r="E2397" t="inlineStr">
        <is>
          <t>paid_search</t>
        </is>
      </c>
      <c r="F2397">
        <f>IFERROR(MATCH(A2397,Deals!$A$2:$A$843,0),"")</f>
        <v/>
      </c>
      <c r="G2397">
        <f>IF(F2397="",0,1)</f>
        <v/>
      </c>
      <c r="H2397" s="29">
        <f>IF(F2397="","",INDEX(Deals!$E$2:$E$843,F2397))</f>
        <v/>
      </c>
      <c r="I2397">
        <f>IF(F2397="","",INDEX(Deals!$D$2:$D$843,F2397))</f>
        <v/>
      </c>
      <c r="J2397">
        <f>IF(F2397="","",INT(H2397)-B2397)</f>
        <v/>
      </c>
      <c r="K2397">
        <f>IF(B2397&gt;=Settings!$C$5,1,0)</f>
        <v/>
      </c>
    </row>
    <row r="2398">
      <c r="A2398" t="inlineStr">
        <is>
          <t>0823c49a9e65383b45002784b5220bf8</t>
        </is>
      </c>
      <c r="B2398" s="29" t="n">
        <v>43017</v>
      </c>
      <c r="C2398" t="inlineStr">
        <is>
          <t>2017-10</t>
        </is>
      </c>
      <c r="D2398" t="inlineStr">
        <is>
          <t>f98c2bd96ac4a5d9476734e790c91384</t>
        </is>
      </c>
      <c r="E2398" t="inlineStr">
        <is>
          <t>email</t>
        </is>
      </c>
      <c r="F2398">
        <f>IFERROR(MATCH(A2398,Deals!$A$2:$A$843,0),"")</f>
        <v/>
      </c>
      <c r="G2398">
        <f>IF(F2398="",0,1)</f>
        <v/>
      </c>
      <c r="H2398" s="29">
        <f>IF(F2398="","",INDEX(Deals!$E$2:$E$843,F2398))</f>
        <v/>
      </c>
      <c r="I2398">
        <f>IF(F2398="","",INDEX(Deals!$D$2:$D$843,F2398))</f>
        <v/>
      </c>
      <c r="J2398">
        <f>IF(F2398="","",INT(H2398)-B2398)</f>
        <v/>
      </c>
      <c r="K2398">
        <f>IF(B2398&gt;=Settings!$C$5,1,0)</f>
        <v/>
      </c>
    </row>
    <row r="2399">
      <c r="A2399" t="inlineStr">
        <is>
          <t>b16caa2fa08a03ed5bfe3e889dfba641</t>
        </is>
      </c>
      <c r="B2399" s="29" t="n">
        <v>43235</v>
      </c>
      <c r="C2399" t="inlineStr">
        <is>
          <t>2018-05</t>
        </is>
      </c>
      <c r="D2399" t="inlineStr">
        <is>
          <t>fc4db0e1e8dfd5a305da563f9b2fc192</t>
        </is>
      </c>
      <c r="E2399" t="inlineStr">
        <is>
          <t>paid_search</t>
        </is>
      </c>
      <c r="F2399">
        <f>IFERROR(MATCH(A2399,Deals!$A$2:$A$843,0),"")</f>
        <v/>
      </c>
      <c r="G2399">
        <f>IF(F2399="",0,1)</f>
        <v/>
      </c>
      <c r="H2399" s="29">
        <f>IF(F2399="","",INDEX(Deals!$E$2:$E$843,F2399))</f>
        <v/>
      </c>
      <c r="I2399">
        <f>IF(F2399="","",INDEX(Deals!$D$2:$D$843,F2399))</f>
        <v/>
      </c>
      <c r="J2399">
        <f>IF(F2399="","",INT(H2399)-B2399)</f>
        <v/>
      </c>
      <c r="K2399">
        <f>IF(B2399&gt;=Settings!$C$5,1,0)</f>
        <v/>
      </c>
    </row>
    <row r="2400">
      <c r="A2400" t="inlineStr">
        <is>
          <t>01b4c766324890206fd9c3236aea50f8</t>
        </is>
      </c>
      <c r="B2400" s="29" t="n">
        <v>43047</v>
      </c>
      <c r="C2400" t="inlineStr">
        <is>
          <t>2017-11</t>
        </is>
      </c>
      <c r="D2400" t="inlineStr">
        <is>
          <t>f98c2bd96ac4a5d9476734e790c91384</t>
        </is>
      </c>
      <c r="E2400" t="inlineStr">
        <is>
          <t>organic_search</t>
        </is>
      </c>
      <c r="F2400">
        <f>IFERROR(MATCH(A2400,Deals!$A$2:$A$843,0),"")</f>
        <v/>
      </c>
      <c r="G2400">
        <f>IF(F2400="",0,1)</f>
        <v/>
      </c>
      <c r="H2400" s="29">
        <f>IF(F2400="","",INDEX(Deals!$E$2:$E$843,F2400))</f>
        <v/>
      </c>
      <c r="I2400">
        <f>IF(F2400="","",INDEX(Deals!$D$2:$D$843,F2400))</f>
        <v/>
      </c>
      <c r="J2400">
        <f>IF(F2400="","",INT(H2400)-B2400)</f>
        <v/>
      </c>
      <c r="K2400">
        <f>IF(B2400&gt;=Settings!$C$5,1,0)</f>
        <v/>
      </c>
    </row>
    <row r="2401">
      <c r="A2401" t="inlineStr">
        <is>
          <t>934b94f18de135e7d781b57311c687a0</t>
        </is>
      </c>
      <c r="B2401" s="29" t="n">
        <v>43207</v>
      </c>
      <c r="C2401" t="inlineStr">
        <is>
          <t>2018-04</t>
        </is>
      </c>
      <c r="D2401" t="inlineStr">
        <is>
          <t>649b7b8b46b254497e92038d88f6ced8</t>
        </is>
      </c>
      <c r="E2401" t="inlineStr">
        <is>
          <t>social</t>
        </is>
      </c>
      <c r="F2401">
        <f>IFERROR(MATCH(A2401,Deals!$A$2:$A$843,0),"")</f>
        <v/>
      </c>
      <c r="G2401">
        <f>IF(F2401="",0,1)</f>
        <v/>
      </c>
      <c r="H2401" s="29">
        <f>IF(F2401="","",INDEX(Deals!$E$2:$E$843,F2401))</f>
        <v/>
      </c>
      <c r="I2401">
        <f>IF(F2401="","",INDEX(Deals!$D$2:$D$843,F2401))</f>
        <v/>
      </c>
      <c r="J2401">
        <f>IF(F2401="","",INT(H2401)-B2401)</f>
        <v/>
      </c>
      <c r="K2401">
        <f>IF(B2401&gt;=Settings!$C$5,1,0)</f>
        <v/>
      </c>
    </row>
    <row r="2402">
      <c r="A2402" t="inlineStr">
        <is>
          <t>04fae60fb65ed1515d4d9baa61e73adb</t>
        </is>
      </c>
      <c r="B2402" s="29" t="n">
        <v>43182</v>
      </c>
      <c r="C2402" t="inlineStr">
        <is>
          <t>2018-03</t>
        </is>
      </c>
      <c r="D2402" t="inlineStr">
        <is>
          <t>22c29808c4f815213303f8933030604c</t>
        </is>
      </c>
      <c r="E2402" t="inlineStr">
        <is>
          <t>organic_search</t>
        </is>
      </c>
      <c r="F2402">
        <f>IFERROR(MATCH(A2402,Deals!$A$2:$A$843,0),"")</f>
        <v/>
      </c>
      <c r="G2402">
        <f>IF(F2402="",0,1)</f>
        <v/>
      </c>
      <c r="H2402" s="29">
        <f>IF(F2402="","",INDEX(Deals!$E$2:$E$843,F2402))</f>
        <v/>
      </c>
      <c r="I2402">
        <f>IF(F2402="","",INDEX(Deals!$D$2:$D$843,F2402))</f>
        <v/>
      </c>
      <c r="J2402">
        <f>IF(F2402="","",INT(H2402)-B2402)</f>
        <v/>
      </c>
      <c r="K2402">
        <f>IF(B2402&gt;=Settings!$C$5,1,0)</f>
        <v/>
      </c>
    </row>
    <row r="2403">
      <c r="A2403" t="inlineStr">
        <is>
          <t>15992174039ff729f588d6c82cf022c1</t>
        </is>
      </c>
      <c r="B2403" s="29" t="n">
        <v>43140</v>
      </c>
      <c r="C2403" t="inlineStr">
        <is>
          <t>2018-02</t>
        </is>
      </c>
      <c r="D2403" t="inlineStr">
        <is>
          <t>40dec9f3d5259a3d2dbcdab2114fae47</t>
        </is>
      </c>
      <c r="E2403" t="inlineStr">
        <is>
          <t>paid_search</t>
        </is>
      </c>
      <c r="F2403">
        <f>IFERROR(MATCH(A2403,Deals!$A$2:$A$843,0),"")</f>
        <v/>
      </c>
      <c r="G2403">
        <f>IF(F2403="",0,1)</f>
        <v/>
      </c>
      <c r="H2403" s="29">
        <f>IF(F2403="","",INDEX(Deals!$E$2:$E$843,F2403))</f>
        <v/>
      </c>
      <c r="I2403">
        <f>IF(F2403="","",INDEX(Deals!$D$2:$D$843,F2403))</f>
        <v/>
      </c>
      <c r="J2403">
        <f>IF(F2403="","",INT(H2403)-B2403)</f>
        <v/>
      </c>
      <c r="K2403">
        <f>IF(B2403&gt;=Settings!$C$5,1,0)</f>
        <v/>
      </c>
    </row>
    <row r="2404">
      <c r="A2404" t="inlineStr">
        <is>
          <t>239ce949b3bcb25a0c47779fe37c80e0</t>
        </is>
      </c>
      <c r="B2404" s="29" t="n">
        <v>43186</v>
      </c>
      <c r="C2404" t="inlineStr">
        <is>
          <t>2018-03</t>
        </is>
      </c>
      <c r="D2404" t="inlineStr">
        <is>
          <t>b76ef37428e6799c421989521c0e5077</t>
        </is>
      </c>
      <c r="E2404" t="inlineStr">
        <is>
          <t>unknown</t>
        </is>
      </c>
      <c r="F2404">
        <f>IFERROR(MATCH(A2404,Deals!$A$2:$A$843,0),"")</f>
        <v/>
      </c>
      <c r="G2404">
        <f>IF(F2404="",0,1)</f>
        <v/>
      </c>
      <c r="H2404" s="29">
        <f>IF(F2404="","",INDEX(Deals!$E$2:$E$843,F2404))</f>
        <v/>
      </c>
      <c r="I2404">
        <f>IF(F2404="","",INDEX(Deals!$D$2:$D$843,F2404))</f>
        <v/>
      </c>
      <c r="J2404">
        <f>IF(F2404="","",INT(H2404)-B2404)</f>
        <v/>
      </c>
      <c r="K2404">
        <f>IF(B2404&gt;=Settings!$C$5,1,0)</f>
        <v/>
      </c>
    </row>
    <row r="2405">
      <c r="A2405" t="inlineStr">
        <is>
          <t>3344c30b90c7038aeb1b0dedc8def929</t>
        </is>
      </c>
      <c r="B2405" s="29" t="n">
        <v>43180</v>
      </c>
      <c r="C2405" t="inlineStr">
        <is>
          <t>2018-03</t>
        </is>
      </c>
      <c r="D2405" t="inlineStr">
        <is>
          <t>dcdbbb0bb43f5c9ea457a8363db87e73</t>
        </is>
      </c>
      <c r="E2405" t="inlineStr">
        <is>
          <t>organic_search</t>
        </is>
      </c>
      <c r="F2405">
        <f>IFERROR(MATCH(A2405,Deals!$A$2:$A$843,0),"")</f>
        <v/>
      </c>
      <c r="G2405">
        <f>IF(F2405="",0,1)</f>
        <v/>
      </c>
      <c r="H2405" s="29">
        <f>IF(F2405="","",INDEX(Deals!$E$2:$E$843,F2405))</f>
        <v/>
      </c>
      <c r="I2405">
        <f>IF(F2405="","",INDEX(Deals!$D$2:$D$843,F2405))</f>
        <v/>
      </c>
      <c r="J2405">
        <f>IF(F2405="","",INT(H2405)-B2405)</f>
        <v/>
      </c>
      <c r="K2405">
        <f>IF(B2405&gt;=Settings!$C$5,1,0)</f>
        <v/>
      </c>
    </row>
    <row r="2406">
      <c r="A2406" t="inlineStr">
        <is>
          <t>e1335d95cb3b93d835eb22780be7327f</t>
        </is>
      </c>
      <c r="B2406" s="29" t="n">
        <v>43146</v>
      </c>
      <c r="C2406" t="inlineStr">
        <is>
          <t>2018-02</t>
        </is>
      </c>
      <c r="D2406" t="inlineStr">
        <is>
          <t>f017be4dbf86243af5c1ebed0cff36a2</t>
        </is>
      </c>
      <c r="E2406" t="inlineStr">
        <is>
          <t>organic_search</t>
        </is>
      </c>
      <c r="F2406">
        <f>IFERROR(MATCH(A2406,Deals!$A$2:$A$843,0),"")</f>
        <v/>
      </c>
      <c r="G2406">
        <f>IF(F2406="",0,1)</f>
        <v/>
      </c>
      <c r="H2406" s="29">
        <f>IF(F2406="","",INDEX(Deals!$E$2:$E$843,F2406))</f>
        <v/>
      </c>
      <c r="I2406">
        <f>IF(F2406="","",INDEX(Deals!$D$2:$D$843,F2406))</f>
        <v/>
      </c>
      <c r="J2406">
        <f>IF(F2406="","",INT(H2406)-B2406)</f>
        <v/>
      </c>
      <c r="K2406">
        <f>IF(B2406&gt;=Settings!$C$5,1,0)</f>
        <v/>
      </c>
    </row>
    <row r="2407">
      <c r="A2407" t="inlineStr">
        <is>
          <t>4564fdd57f5486b8207d166d33bb937a</t>
        </is>
      </c>
      <c r="B2407" s="29" t="n">
        <v>43108</v>
      </c>
      <c r="C2407" t="inlineStr">
        <is>
          <t>2018-01</t>
        </is>
      </c>
      <c r="D2407" t="inlineStr">
        <is>
          <t>88740e65d5d6b056e0cda098e1ea6313</t>
        </is>
      </c>
      <c r="E2407" t="inlineStr">
        <is>
          <t>organic_search</t>
        </is>
      </c>
      <c r="F2407">
        <f>IFERROR(MATCH(A2407,Deals!$A$2:$A$843,0),"")</f>
        <v/>
      </c>
      <c r="G2407">
        <f>IF(F2407="",0,1)</f>
        <v/>
      </c>
      <c r="H2407" s="29">
        <f>IF(F2407="","",INDEX(Deals!$E$2:$E$843,F2407))</f>
        <v/>
      </c>
      <c r="I2407">
        <f>IF(F2407="","",INDEX(Deals!$D$2:$D$843,F2407))</f>
        <v/>
      </c>
      <c r="J2407">
        <f>IF(F2407="","",INT(H2407)-B2407)</f>
        <v/>
      </c>
      <c r="K2407">
        <f>IF(B2407&gt;=Settings!$C$5,1,0)</f>
        <v/>
      </c>
    </row>
    <row r="2408">
      <c r="A2408" t="inlineStr">
        <is>
          <t>f01b7be7d43d51e505a307a223676662</t>
        </is>
      </c>
      <c r="B2408" s="29" t="n">
        <v>43186</v>
      </c>
      <c r="C2408" t="inlineStr">
        <is>
          <t>2018-03</t>
        </is>
      </c>
      <c r="D2408" t="inlineStr">
        <is>
          <t>22c29808c4f815213303f8933030604c</t>
        </is>
      </c>
      <c r="E2408" t="inlineStr">
        <is>
          <t>referral</t>
        </is>
      </c>
      <c r="F2408">
        <f>IFERROR(MATCH(A2408,Deals!$A$2:$A$843,0),"")</f>
        <v/>
      </c>
      <c r="G2408">
        <f>IF(F2408="",0,1)</f>
        <v/>
      </c>
      <c r="H2408" s="29">
        <f>IF(F2408="","",INDEX(Deals!$E$2:$E$843,F2408))</f>
        <v/>
      </c>
      <c r="I2408">
        <f>IF(F2408="","",INDEX(Deals!$D$2:$D$843,F2408))</f>
        <v/>
      </c>
      <c r="J2408">
        <f>IF(F2408="","",INT(H2408)-B2408)</f>
        <v/>
      </c>
      <c r="K2408">
        <f>IF(B2408&gt;=Settings!$C$5,1,0)</f>
        <v/>
      </c>
    </row>
    <row r="2409">
      <c r="A2409" t="inlineStr">
        <is>
          <t>6992eedfcf2e59f50aaf0d0c9f07ae9d</t>
        </is>
      </c>
      <c r="B2409" s="29" t="n">
        <v>43131</v>
      </c>
      <c r="C2409" t="inlineStr">
        <is>
          <t>2018-01</t>
        </is>
      </c>
      <c r="D2409" t="inlineStr">
        <is>
          <t>22c29808c4f815213303f8933030604c</t>
        </is>
      </c>
      <c r="E2409" t="inlineStr">
        <is>
          <t>organic_search</t>
        </is>
      </c>
      <c r="F2409">
        <f>IFERROR(MATCH(A2409,Deals!$A$2:$A$843,0),"")</f>
        <v/>
      </c>
      <c r="G2409">
        <f>IF(F2409="",0,1)</f>
        <v/>
      </c>
      <c r="H2409" s="29">
        <f>IF(F2409="","",INDEX(Deals!$E$2:$E$843,F2409))</f>
        <v/>
      </c>
      <c r="I2409">
        <f>IF(F2409="","",INDEX(Deals!$D$2:$D$843,F2409))</f>
        <v/>
      </c>
      <c r="J2409">
        <f>IF(F2409="","",INT(H2409)-B2409)</f>
        <v/>
      </c>
      <c r="K2409">
        <f>IF(B2409&gt;=Settings!$C$5,1,0)</f>
        <v/>
      </c>
    </row>
    <row r="2410">
      <c r="A2410" t="inlineStr">
        <is>
          <t>3e864b47b8a2d0bbc43aca4c5da5ddbe</t>
        </is>
      </c>
      <c r="B2410" s="29" t="n">
        <v>43179</v>
      </c>
      <c r="C2410" t="inlineStr">
        <is>
          <t>2018-03</t>
        </is>
      </c>
      <c r="D2410" t="inlineStr">
        <is>
          <t>b76ef37428e6799c421989521c0e5077</t>
        </is>
      </c>
      <c r="E2410" t="inlineStr">
        <is>
          <t>unknown</t>
        </is>
      </c>
      <c r="F2410">
        <f>IFERROR(MATCH(A2410,Deals!$A$2:$A$843,0),"")</f>
        <v/>
      </c>
      <c r="G2410">
        <f>IF(F2410="",0,1)</f>
        <v/>
      </c>
      <c r="H2410" s="29">
        <f>IF(F2410="","",INDEX(Deals!$E$2:$E$843,F2410))</f>
        <v/>
      </c>
      <c r="I2410">
        <f>IF(F2410="","",INDEX(Deals!$D$2:$D$843,F2410))</f>
        <v/>
      </c>
      <c r="J2410">
        <f>IF(F2410="","",INT(H2410)-B2410)</f>
        <v/>
      </c>
      <c r="K2410">
        <f>IF(B2410&gt;=Settings!$C$5,1,0)</f>
        <v/>
      </c>
    </row>
    <row r="2411">
      <c r="A2411" t="inlineStr">
        <is>
          <t>b8bb2a1d59f4ecae0646fc039b75391e</t>
        </is>
      </c>
      <c r="B2411" s="29" t="n">
        <v>43118</v>
      </c>
      <c r="C2411" t="inlineStr">
        <is>
          <t>2018-01</t>
        </is>
      </c>
      <c r="D2411" t="inlineStr">
        <is>
          <t>73f31a40697cc90a86c1273563ac230e</t>
        </is>
      </c>
      <c r="E2411" t="inlineStr">
        <is>
          <t>other</t>
        </is>
      </c>
      <c r="F2411">
        <f>IFERROR(MATCH(A2411,Deals!$A$2:$A$843,0),"")</f>
        <v/>
      </c>
      <c r="G2411">
        <f>IF(F2411="",0,1)</f>
        <v/>
      </c>
      <c r="H2411" s="29">
        <f>IF(F2411="","",INDEX(Deals!$E$2:$E$843,F2411))</f>
        <v/>
      </c>
      <c r="I2411">
        <f>IF(F2411="","",INDEX(Deals!$D$2:$D$843,F2411))</f>
        <v/>
      </c>
      <c r="J2411">
        <f>IF(F2411="","",INT(H2411)-B2411)</f>
        <v/>
      </c>
      <c r="K2411">
        <f>IF(B2411&gt;=Settings!$C$5,1,0)</f>
        <v/>
      </c>
    </row>
    <row r="2412">
      <c r="A2412" t="inlineStr">
        <is>
          <t>e58a710561d2841bbe6f99df0113a818</t>
        </is>
      </c>
      <c r="B2412" s="29" t="n">
        <v>43224</v>
      </c>
      <c r="C2412" t="inlineStr">
        <is>
          <t>2018-05</t>
        </is>
      </c>
      <c r="D2412" t="inlineStr">
        <is>
          <t>d83b0d0e48c8447d1d5507a44027a955</t>
        </is>
      </c>
      <c r="E2412" t="inlineStr">
        <is>
          <t>organic_search</t>
        </is>
      </c>
      <c r="F2412">
        <f>IFERROR(MATCH(A2412,Deals!$A$2:$A$843,0),"")</f>
        <v/>
      </c>
      <c r="G2412">
        <f>IF(F2412="",0,1)</f>
        <v/>
      </c>
      <c r="H2412" s="29">
        <f>IF(F2412="","",INDEX(Deals!$E$2:$E$843,F2412))</f>
        <v/>
      </c>
      <c r="I2412">
        <f>IF(F2412="","",INDEX(Deals!$D$2:$D$843,F2412))</f>
        <v/>
      </c>
      <c r="J2412">
        <f>IF(F2412="","",INT(H2412)-B2412)</f>
        <v/>
      </c>
      <c r="K2412">
        <f>IF(B2412&gt;=Settings!$C$5,1,0)</f>
        <v/>
      </c>
    </row>
    <row r="2413">
      <c r="A2413" t="inlineStr">
        <is>
          <t>4927e1395ab1d386386a762cad17d7a7</t>
        </is>
      </c>
      <c r="B2413" s="29" t="n">
        <v>42949</v>
      </c>
      <c r="C2413" t="inlineStr">
        <is>
          <t>2017-08</t>
        </is>
      </c>
      <c r="D2413" t="inlineStr">
        <is>
          <t>3b86d7e8c33da2767ad2af9782f383d5</t>
        </is>
      </c>
      <c r="E2413" t="inlineStr">
        <is>
          <t>paid_search</t>
        </is>
      </c>
      <c r="F2413">
        <f>IFERROR(MATCH(A2413,Deals!$A$2:$A$843,0),"")</f>
        <v/>
      </c>
      <c r="G2413">
        <f>IF(F2413="",0,1)</f>
        <v/>
      </c>
      <c r="H2413" s="29">
        <f>IF(F2413="","",INDEX(Deals!$E$2:$E$843,F2413))</f>
        <v/>
      </c>
      <c r="I2413">
        <f>IF(F2413="","",INDEX(Deals!$D$2:$D$843,F2413))</f>
        <v/>
      </c>
      <c r="J2413">
        <f>IF(F2413="","",INT(H2413)-B2413)</f>
        <v/>
      </c>
      <c r="K2413">
        <f>IF(B2413&gt;=Settings!$C$5,1,0)</f>
        <v/>
      </c>
    </row>
    <row r="2414">
      <c r="A2414" t="inlineStr">
        <is>
          <t>89e47f8946a9789ab2ad43d084afac90</t>
        </is>
      </c>
      <c r="B2414" s="29" t="n">
        <v>42958</v>
      </c>
      <c r="C2414" t="inlineStr">
        <is>
          <t>2017-08</t>
        </is>
      </c>
      <c r="D2414" t="inlineStr">
        <is>
          <t>c555aa36478386fdf85a2d0ca5cd0ff8</t>
        </is>
      </c>
      <c r="E2414" t="inlineStr">
        <is>
          <t>email</t>
        </is>
      </c>
      <c r="F2414">
        <f>IFERROR(MATCH(A2414,Deals!$A$2:$A$843,0),"")</f>
        <v/>
      </c>
      <c r="G2414">
        <f>IF(F2414="",0,1)</f>
        <v/>
      </c>
      <c r="H2414" s="29">
        <f>IF(F2414="","",INDEX(Deals!$E$2:$E$843,F2414))</f>
        <v/>
      </c>
      <c r="I2414">
        <f>IF(F2414="","",INDEX(Deals!$D$2:$D$843,F2414))</f>
        <v/>
      </c>
      <c r="J2414">
        <f>IF(F2414="","",INT(H2414)-B2414)</f>
        <v/>
      </c>
      <c r="K2414">
        <f>IF(B2414&gt;=Settings!$C$5,1,0)</f>
        <v/>
      </c>
    </row>
    <row r="2415">
      <c r="A2415" t="inlineStr">
        <is>
          <t>dcb11c8709d0fa789e651fdb3a4cf26a</t>
        </is>
      </c>
      <c r="B2415" s="29" t="n">
        <v>42964</v>
      </c>
      <c r="C2415" t="inlineStr">
        <is>
          <t>2017-08</t>
        </is>
      </c>
      <c r="D2415" t="inlineStr">
        <is>
          <t>128d8c3f32b8aa66b5bcbe4e26dfc78d</t>
        </is>
      </c>
      <c r="E2415" t="inlineStr">
        <is>
          <t>social</t>
        </is>
      </c>
      <c r="F2415">
        <f>IFERROR(MATCH(A2415,Deals!$A$2:$A$843,0),"")</f>
        <v/>
      </c>
      <c r="G2415">
        <f>IF(F2415="",0,1)</f>
        <v/>
      </c>
      <c r="H2415" s="29">
        <f>IF(F2415="","",INDEX(Deals!$E$2:$E$843,F2415))</f>
        <v/>
      </c>
      <c r="I2415">
        <f>IF(F2415="","",INDEX(Deals!$D$2:$D$843,F2415))</f>
        <v/>
      </c>
      <c r="J2415">
        <f>IF(F2415="","",INT(H2415)-B2415)</f>
        <v/>
      </c>
      <c r="K2415">
        <f>IF(B2415&gt;=Settings!$C$5,1,0)</f>
        <v/>
      </c>
    </row>
    <row r="2416">
      <c r="A2416" t="inlineStr">
        <is>
          <t>6d78dcbeb39103c047f486abd2519ee4</t>
        </is>
      </c>
      <c r="B2416" s="29" t="n">
        <v>43133</v>
      </c>
      <c r="C2416" t="inlineStr">
        <is>
          <t>2018-02</t>
        </is>
      </c>
      <c r="D2416" t="inlineStr">
        <is>
          <t>22c29808c4f815213303f8933030604c</t>
        </is>
      </c>
      <c r="E2416" t="inlineStr">
        <is>
          <t>paid_search</t>
        </is>
      </c>
      <c r="F2416">
        <f>IFERROR(MATCH(A2416,Deals!$A$2:$A$843,0),"")</f>
        <v/>
      </c>
      <c r="G2416">
        <f>IF(F2416="",0,1)</f>
        <v/>
      </c>
      <c r="H2416" s="29">
        <f>IF(F2416="","",INDEX(Deals!$E$2:$E$843,F2416))</f>
        <v/>
      </c>
      <c r="I2416">
        <f>IF(F2416="","",INDEX(Deals!$D$2:$D$843,F2416))</f>
        <v/>
      </c>
      <c r="J2416">
        <f>IF(F2416="","",INT(H2416)-B2416)</f>
        <v/>
      </c>
      <c r="K2416">
        <f>IF(B2416&gt;=Settings!$C$5,1,0)</f>
        <v/>
      </c>
    </row>
    <row r="2417">
      <c r="A2417" t="inlineStr">
        <is>
          <t>ad92301430dc5fe354e6d0b1946e537f</t>
        </is>
      </c>
      <c r="B2417" s="29" t="n">
        <v>43132</v>
      </c>
      <c r="C2417" t="inlineStr">
        <is>
          <t>2018-02</t>
        </is>
      </c>
      <c r="D2417" t="inlineStr">
        <is>
          <t>f017be4dbf86243af5c1ebed0cff36a2</t>
        </is>
      </c>
      <c r="E2417" t="inlineStr">
        <is>
          <t>organic_search</t>
        </is>
      </c>
      <c r="F2417">
        <f>IFERROR(MATCH(A2417,Deals!$A$2:$A$843,0),"")</f>
        <v/>
      </c>
      <c r="G2417">
        <f>IF(F2417="",0,1)</f>
        <v/>
      </c>
      <c r="H2417" s="29">
        <f>IF(F2417="","",INDEX(Deals!$E$2:$E$843,F2417))</f>
        <v/>
      </c>
      <c r="I2417">
        <f>IF(F2417="","",INDEX(Deals!$D$2:$D$843,F2417))</f>
        <v/>
      </c>
      <c r="J2417">
        <f>IF(F2417="","",INT(H2417)-B2417)</f>
        <v/>
      </c>
      <c r="K2417">
        <f>IF(B2417&gt;=Settings!$C$5,1,0)</f>
        <v/>
      </c>
    </row>
    <row r="2418">
      <c r="A2418" t="inlineStr">
        <is>
          <t>5fd69e4f4037bc5b912ebb242fe8821b</t>
        </is>
      </c>
      <c r="B2418" s="29" t="n">
        <v>43146</v>
      </c>
      <c r="C2418" t="inlineStr">
        <is>
          <t>2018-02</t>
        </is>
      </c>
      <c r="D2418" t="inlineStr">
        <is>
          <t>73f31a40697cc90a86c1273563ac230e</t>
        </is>
      </c>
      <c r="E2418" t="inlineStr">
        <is>
          <t>organic_search</t>
        </is>
      </c>
      <c r="F2418">
        <f>IFERROR(MATCH(A2418,Deals!$A$2:$A$843,0),"")</f>
        <v/>
      </c>
      <c r="G2418">
        <f>IF(F2418="",0,1)</f>
        <v/>
      </c>
      <c r="H2418" s="29">
        <f>IF(F2418="","",INDEX(Deals!$E$2:$E$843,F2418))</f>
        <v/>
      </c>
      <c r="I2418">
        <f>IF(F2418="","",INDEX(Deals!$D$2:$D$843,F2418))</f>
        <v/>
      </c>
      <c r="J2418">
        <f>IF(F2418="","",INT(H2418)-B2418)</f>
        <v/>
      </c>
      <c r="K2418">
        <f>IF(B2418&gt;=Settings!$C$5,1,0)</f>
        <v/>
      </c>
    </row>
    <row r="2419">
      <c r="A2419" t="inlineStr">
        <is>
          <t>0271b2789051bd61d1b7d97ba4fe6449</t>
        </is>
      </c>
      <c r="B2419" s="29" t="n">
        <v>43207</v>
      </c>
      <c r="C2419" t="inlineStr">
        <is>
          <t>2018-04</t>
        </is>
      </c>
      <c r="D2419" t="inlineStr">
        <is>
          <t>35c9b150ab36fe584c1f24fd458c453a</t>
        </is>
      </c>
      <c r="E2419" t="inlineStr">
        <is>
          <t>organic_search</t>
        </is>
      </c>
      <c r="F2419">
        <f>IFERROR(MATCH(A2419,Deals!$A$2:$A$843,0),"")</f>
        <v/>
      </c>
      <c r="G2419">
        <f>IF(F2419="",0,1)</f>
        <v/>
      </c>
      <c r="H2419" s="29">
        <f>IF(F2419="","",INDEX(Deals!$E$2:$E$843,F2419))</f>
        <v/>
      </c>
      <c r="I2419">
        <f>IF(F2419="","",INDEX(Deals!$D$2:$D$843,F2419))</f>
        <v/>
      </c>
      <c r="J2419">
        <f>IF(F2419="","",INT(H2419)-B2419)</f>
        <v/>
      </c>
      <c r="K2419">
        <f>IF(B2419&gt;=Settings!$C$5,1,0)</f>
        <v/>
      </c>
    </row>
    <row r="2420">
      <c r="A2420" t="inlineStr">
        <is>
          <t>4a9afaeb2472f426769ee7fe737f82ff</t>
        </is>
      </c>
      <c r="B2420" s="29" t="n">
        <v>42967</v>
      </c>
      <c r="C2420" t="inlineStr">
        <is>
          <t>2017-08</t>
        </is>
      </c>
      <c r="D2420" t="inlineStr">
        <is>
          <t>007f9098284a86ee80ddeb25d53e0af8</t>
        </is>
      </c>
      <c r="E2420" t="inlineStr">
        <is>
          <t>paid_search</t>
        </is>
      </c>
      <c r="F2420">
        <f>IFERROR(MATCH(A2420,Deals!$A$2:$A$843,0),"")</f>
        <v/>
      </c>
      <c r="G2420">
        <f>IF(F2420="",0,1)</f>
        <v/>
      </c>
      <c r="H2420" s="29">
        <f>IF(F2420="","",INDEX(Deals!$E$2:$E$843,F2420))</f>
        <v/>
      </c>
      <c r="I2420">
        <f>IF(F2420="","",INDEX(Deals!$D$2:$D$843,F2420))</f>
        <v/>
      </c>
      <c r="J2420">
        <f>IF(F2420="","",INT(H2420)-B2420)</f>
        <v/>
      </c>
      <c r="K2420">
        <f>IF(B2420&gt;=Settings!$C$5,1,0)</f>
        <v/>
      </c>
    </row>
    <row r="2421">
      <c r="A2421" t="inlineStr">
        <is>
          <t>4fbe9e8a0ace3a44f0a9e1d7fe41da02</t>
        </is>
      </c>
      <c r="B2421" s="29" t="n">
        <v>43199</v>
      </c>
      <c r="C2421" t="inlineStr">
        <is>
          <t>2018-04</t>
        </is>
      </c>
      <c r="D2421" t="inlineStr">
        <is>
          <t>22c29808c4f815213303f8933030604c</t>
        </is>
      </c>
      <c r="E2421" t="inlineStr">
        <is>
          <t>organic_search</t>
        </is>
      </c>
      <c r="F2421">
        <f>IFERROR(MATCH(A2421,Deals!$A$2:$A$843,0),"")</f>
        <v/>
      </c>
      <c r="G2421">
        <f>IF(F2421="",0,1)</f>
        <v/>
      </c>
      <c r="H2421" s="29">
        <f>IF(F2421="","",INDEX(Deals!$E$2:$E$843,F2421))</f>
        <v/>
      </c>
      <c r="I2421">
        <f>IF(F2421="","",INDEX(Deals!$D$2:$D$843,F2421))</f>
        <v/>
      </c>
      <c r="J2421">
        <f>IF(F2421="","",INT(H2421)-B2421)</f>
        <v/>
      </c>
      <c r="K2421">
        <f>IF(B2421&gt;=Settings!$C$5,1,0)</f>
        <v/>
      </c>
    </row>
    <row r="2422">
      <c r="A2422" t="inlineStr">
        <is>
          <t>909356f33e0f20f0bc5737c086ed9234</t>
        </is>
      </c>
      <c r="B2422" s="29" t="n">
        <v>43133</v>
      </c>
      <c r="C2422" t="inlineStr">
        <is>
          <t>2018-02</t>
        </is>
      </c>
      <c r="D2422" t="inlineStr">
        <is>
          <t>b76ef37428e6799c421989521c0e5077</t>
        </is>
      </c>
      <c r="E2422" t="inlineStr">
        <is>
          <t>unknown</t>
        </is>
      </c>
      <c r="F2422">
        <f>IFERROR(MATCH(A2422,Deals!$A$2:$A$843,0),"")</f>
        <v/>
      </c>
      <c r="G2422">
        <f>IF(F2422="",0,1)</f>
        <v/>
      </c>
      <c r="H2422" s="29">
        <f>IF(F2422="","",INDEX(Deals!$E$2:$E$843,F2422))</f>
        <v/>
      </c>
      <c r="I2422">
        <f>IF(F2422="","",INDEX(Deals!$D$2:$D$843,F2422))</f>
        <v/>
      </c>
      <c r="J2422">
        <f>IF(F2422="","",INT(H2422)-B2422)</f>
        <v/>
      </c>
      <c r="K2422">
        <f>IF(B2422&gt;=Settings!$C$5,1,0)</f>
        <v/>
      </c>
    </row>
    <row r="2423">
      <c r="A2423" t="inlineStr">
        <is>
          <t>5c6ccef01fc04bcec1297ec5a752c9ad</t>
        </is>
      </c>
      <c r="B2423" s="29" t="n">
        <v>43157</v>
      </c>
      <c r="C2423" t="inlineStr">
        <is>
          <t>2018-02</t>
        </is>
      </c>
      <c r="D2423" t="inlineStr">
        <is>
          <t>0e5a178e3cd2368607f3e72f46140476</t>
        </is>
      </c>
      <c r="E2423" t="inlineStr">
        <is>
          <t>email</t>
        </is>
      </c>
      <c r="F2423">
        <f>IFERROR(MATCH(A2423,Deals!$A$2:$A$843,0),"")</f>
        <v/>
      </c>
      <c r="G2423">
        <f>IF(F2423="",0,1)</f>
        <v/>
      </c>
      <c r="H2423" s="29">
        <f>IF(F2423="","",INDEX(Deals!$E$2:$E$843,F2423))</f>
        <v/>
      </c>
      <c r="I2423">
        <f>IF(F2423="","",INDEX(Deals!$D$2:$D$843,F2423))</f>
        <v/>
      </c>
      <c r="J2423">
        <f>IF(F2423="","",INT(H2423)-B2423)</f>
        <v/>
      </c>
      <c r="K2423">
        <f>IF(B2423&gt;=Settings!$C$5,1,0)</f>
        <v/>
      </c>
    </row>
    <row r="2424">
      <c r="A2424" t="inlineStr">
        <is>
          <t>6c6094f256f51e83fe02bce6091163e7</t>
        </is>
      </c>
      <c r="B2424" s="29" t="n">
        <v>43107</v>
      </c>
      <c r="C2424" t="inlineStr">
        <is>
          <t>2018-01</t>
        </is>
      </c>
      <c r="D2424" t="inlineStr">
        <is>
          <t>40dec9f3d5259a3d2dbcdab2114fae47</t>
        </is>
      </c>
      <c r="E2424" t="inlineStr">
        <is>
          <t>organic_search</t>
        </is>
      </c>
      <c r="F2424">
        <f>IFERROR(MATCH(A2424,Deals!$A$2:$A$843,0),"")</f>
        <v/>
      </c>
      <c r="G2424">
        <f>IF(F2424="",0,1)</f>
        <v/>
      </c>
      <c r="H2424" s="29">
        <f>IF(F2424="","",INDEX(Deals!$E$2:$E$843,F2424))</f>
        <v/>
      </c>
      <c r="I2424">
        <f>IF(F2424="","",INDEX(Deals!$D$2:$D$843,F2424))</f>
        <v/>
      </c>
      <c r="J2424">
        <f>IF(F2424="","",INT(H2424)-B2424)</f>
        <v/>
      </c>
      <c r="K2424">
        <f>IF(B2424&gt;=Settings!$C$5,1,0)</f>
        <v/>
      </c>
    </row>
    <row r="2425">
      <c r="A2425" t="inlineStr">
        <is>
          <t>0b32d6a87c09c32b3cd90dfd5ef5699f</t>
        </is>
      </c>
      <c r="B2425" s="29" t="n">
        <v>43200</v>
      </c>
      <c r="C2425" t="inlineStr">
        <is>
          <t>2018-04</t>
        </is>
      </c>
      <c r="D2425" t="inlineStr">
        <is>
          <t>b76ef37428e6799c421989521c0e5077</t>
        </is>
      </c>
      <c r="E2425" t="inlineStr">
        <is>
          <t>paid_search</t>
        </is>
      </c>
      <c r="F2425">
        <f>IFERROR(MATCH(A2425,Deals!$A$2:$A$843,0),"")</f>
        <v/>
      </c>
      <c r="G2425">
        <f>IF(F2425="",0,1)</f>
        <v/>
      </c>
      <c r="H2425" s="29">
        <f>IF(F2425="","",INDEX(Deals!$E$2:$E$843,F2425))</f>
        <v/>
      </c>
      <c r="I2425">
        <f>IF(F2425="","",INDEX(Deals!$D$2:$D$843,F2425))</f>
        <v/>
      </c>
      <c r="J2425">
        <f>IF(F2425="","",INT(H2425)-B2425)</f>
        <v/>
      </c>
      <c r="K2425">
        <f>IF(B2425&gt;=Settings!$C$5,1,0)</f>
        <v/>
      </c>
    </row>
    <row r="2426">
      <c r="A2426" t="inlineStr">
        <is>
          <t>f63f7107398c54c17b5d14eadfa76842</t>
        </is>
      </c>
      <c r="B2426" s="29" t="n">
        <v>43230</v>
      </c>
      <c r="C2426" t="inlineStr">
        <is>
          <t>2018-05</t>
        </is>
      </c>
      <c r="D2426" t="inlineStr">
        <is>
          <t>b76ef37428e6799c421989521c0e5077</t>
        </is>
      </c>
      <c r="E2426" t="inlineStr">
        <is>
          <t>direct_traffic</t>
        </is>
      </c>
      <c r="F2426">
        <f>IFERROR(MATCH(A2426,Deals!$A$2:$A$843,0),"")</f>
        <v/>
      </c>
      <c r="G2426">
        <f>IF(F2426="",0,1)</f>
        <v/>
      </c>
      <c r="H2426" s="29">
        <f>IF(F2426="","",INDEX(Deals!$E$2:$E$843,F2426))</f>
        <v/>
      </c>
      <c r="I2426">
        <f>IF(F2426="","",INDEX(Deals!$D$2:$D$843,F2426))</f>
        <v/>
      </c>
      <c r="J2426">
        <f>IF(F2426="","",INT(H2426)-B2426)</f>
        <v/>
      </c>
      <c r="K2426">
        <f>IF(B2426&gt;=Settings!$C$5,1,0)</f>
        <v/>
      </c>
    </row>
    <row r="2427">
      <c r="A2427" t="inlineStr">
        <is>
          <t>c0b54a064244ef7bad433580da897bad</t>
        </is>
      </c>
      <c r="B2427" s="29" t="n">
        <v>43192</v>
      </c>
      <c r="C2427" t="inlineStr">
        <is>
          <t>2018-04</t>
        </is>
      </c>
      <c r="D2427" t="inlineStr">
        <is>
          <t>87e8cbe800fd79c7109fb24081c1c31d</t>
        </is>
      </c>
      <c r="E2427" t="inlineStr">
        <is>
          <t>paid_search</t>
        </is>
      </c>
      <c r="F2427">
        <f>IFERROR(MATCH(A2427,Deals!$A$2:$A$843,0),"")</f>
        <v/>
      </c>
      <c r="G2427">
        <f>IF(F2427="",0,1)</f>
        <v/>
      </c>
      <c r="H2427" s="29">
        <f>IF(F2427="","",INDEX(Deals!$E$2:$E$843,F2427))</f>
        <v/>
      </c>
      <c r="I2427">
        <f>IF(F2427="","",INDEX(Deals!$D$2:$D$843,F2427))</f>
        <v/>
      </c>
      <c r="J2427">
        <f>IF(F2427="","",INT(H2427)-B2427)</f>
        <v/>
      </c>
      <c r="K2427">
        <f>IF(B2427&gt;=Settings!$C$5,1,0)</f>
        <v/>
      </c>
    </row>
    <row r="2428">
      <c r="A2428" t="inlineStr">
        <is>
          <t>f15f14f5ad42b6afabb5680c5d2c940d</t>
        </is>
      </c>
      <c r="B2428" s="29" t="n">
        <v>43133</v>
      </c>
      <c r="C2428" t="inlineStr">
        <is>
          <t>2018-02</t>
        </is>
      </c>
      <c r="D2428" t="inlineStr">
        <is>
          <t>b76ef37428e6799c421989521c0e5077</t>
        </is>
      </c>
      <c r="E2428" t="inlineStr">
        <is>
          <t>unknown</t>
        </is>
      </c>
      <c r="F2428">
        <f>IFERROR(MATCH(A2428,Deals!$A$2:$A$843,0),"")</f>
        <v/>
      </c>
      <c r="G2428">
        <f>IF(F2428="",0,1)</f>
        <v/>
      </c>
      <c r="H2428" s="29">
        <f>IF(F2428="","",INDEX(Deals!$E$2:$E$843,F2428))</f>
        <v/>
      </c>
      <c r="I2428">
        <f>IF(F2428="","",INDEX(Deals!$D$2:$D$843,F2428))</f>
        <v/>
      </c>
      <c r="J2428">
        <f>IF(F2428="","",INT(H2428)-B2428)</f>
        <v/>
      </c>
      <c r="K2428">
        <f>IF(B2428&gt;=Settings!$C$5,1,0)</f>
        <v/>
      </c>
    </row>
    <row r="2429">
      <c r="A2429" t="inlineStr">
        <is>
          <t>0576b5fad6276ca587c160062b91360e</t>
        </is>
      </c>
      <c r="B2429" s="29" t="n">
        <v>43221</v>
      </c>
      <c r="C2429" t="inlineStr">
        <is>
          <t>2018-05</t>
        </is>
      </c>
      <c r="D2429" t="inlineStr">
        <is>
          <t>1baca9df5850e5ba75545d8b2eb8d966</t>
        </is>
      </c>
      <c r="E2429" t="inlineStr">
        <is>
          <t>email</t>
        </is>
      </c>
      <c r="F2429">
        <f>IFERROR(MATCH(A2429,Deals!$A$2:$A$843,0),"")</f>
        <v/>
      </c>
      <c r="G2429">
        <f>IF(F2429="",0,1)</f>
        <v/>
      </c>
      <c r="H2429" s="29">
        <f>IF(F2429="","",INDEX(Deals!$E$2:$E$843,F2429))</f>
        <v/>
      </c>
      <c r="I2429">
        <f>IF(F2429="","",INDEX(Deals!$D$2:$D$843,F2429))</f>
        <v/>
      </c>
      <c r="J2429">
        <f>IF(F2429="","",INT(H2429)-B2429)</f>
        <v/>
      </c>
      <c r="K2429">
        <f>IF(B2429&gt;=Settings!$C$5,1,0)</f>
        <v/>
      </c>
    </row>
    <row r="2430">
      <c r="A2430" t="inlineStr">
        <is>
          <t>faf743ecf661c0daf83e52c4cd0811be</t>
        </is>
      </c>
      <c r="B2430" s="29" t="n">
        <v>43199</v>
      </c>
      <c r="C2430" t="inlineStr">
        <is>
          <t>2018-04</t>
        </is>
      </c>
      <c r="D2430" t="inlineStr">
        <is>
          <t>649b7b8b46b254497e92038d88f6ced8</t>
        </is>
      </c>
      <c r="E2430" t="inlineStr">
        <is>
          <t>social</t>
        </is>
      </c>
      <c r="F2430">
        <f>IFERROR(MATCH(A2430,Deals!$A$2:$A$843,0),"")</f>
        <v/>
      </c>
      <c r="G2430">
        <f>IF(F2430="",0,1)</f>
        <v/>
      </c>
      <c r="H2430" s="29">
        <f>IF(F2430="","",INDEX(Deals!$E$2:$E$843,F2430))</f>
        <v/>
      </c>
      <c r="I2430">
        <f>IF(F2430="","",INDEX(Deals!$D$2:$D$843,F2430))</f>
        <v/>
      </c>
      <c r="J2430">
        <f>IF(F2430="","",INT(H2430)-B2430)</f>
        <v/>
      </c>
      <c r="K2430">
        <f>IF(B2430&gt;=Settings!$C$5,1,0)</f>
        <v/>
      </c>
    </row>
    <row r="2431">
      <c r="A2431" t="inlineStr">
        <is>
          <t>e2d5466377ae503933e23110e5942a3a</t>
        </is>
      </c>
      <c r="B2431" s="29" t="n">
        <v>43222</v>
      </c>
      <c r="C2431" t="inlineStr">
        <is>
          <t>2018-05</t>
        </is>
      </c>
      <c r="D2431" t="inlineStr">
        <is>
          <t>1ceb590cd1e00c7ee95220971f82693d</t>
        </is>
      </c>
      <c r="E2431" t="inlineStr">
        <is>
          <t>paid_search</t>
        </is>
      </c>
      <c r="F2431">
        <f>IFERROR(MATCH(A2431,Deals!$A$2:$A$843,0),"")</f>
        <v/>
      </c>
      <c r="G2431">
        <f>IF(F2431="",0,1)</f>
        <v/>
      </c>
      <c r="H2431" s="29">
        <f>IF(F2431="","",INDEX(Deals!$E$2:$E$843,F2431))</f>
        <v/>
      </c>
      <c r="I2431">
        <f>IF(F2431="","",INDEX(Deals!$D$2:$D$843,F2431))</f>
        <v/>
      </c>
      <c r="J2431">
        <f>IF(F2431="","",INT(H2431)-B2431)</f>
        <v/>
      </c>
      <c r="K2431">
        <f>IF(B2431&gt;=Settings!$C$5,1,0)</f>
        <v/>
      </c>
    </row>
    <row r="2432">
      <c r="A2432" t="inlineStr">
        <is>
          <t>ce7cf3a2f1334f82df304f443b1339ef</t>
        </is>
      </c>
      <c r="B2432" s="29" t="n">
        <v>43031</v>
      </c>
      <c r="C2432" t="inlineStr">
        <is>
          <t>2017-10</t>
        </is>
      </c>
      <c r="D2432" t="inlineStr">
        <is>
          <t>b76ef37428e6799c421989521c0e5077</t>
        </is>
      </c>
      <c r="E2432" t="inlineStr">
        <is>
          <t>paid_search</t>
        </is>
      </c>
      <c r="F2432">
        <f>IFERROR(MATCH(A2432,Deals!$A$2:$A$843,0),"")</f>
        <v/>
      </c>
      <c r="G2432">
        <f>IF(F2432="",0,1)</f>
        <v/>
      </c>
      <c r="H2432" s="29">
        <f>IF(F2432="","",INDEX(Deals!$E$2:$E$843,F2432))</f>
        <v/>
      </c>
      <c r="I2432">
        <f>IF(F2432="","",INDEX(Deals!$D$2:$D$843,F2432))</f>
        <v/>
      </c>
      <c r="J2432">
        <f>IF(F2432="","",INT(H2432)-B2432)</f>
        <v/>
      </c>
      <c r="K2432">
        <f>IF(B2432&gt;=Settings!$C$5,1,0)</f>
        <v/>
      </c>
    </row>
    <row r="2433">
      <c r="A2433" t="inlineStr">
        <is>
          <t>d98a1d25616198cda311476afeade289</t>
        </is>
      </c>
      <c r="B2433" s="29" t="n">
        <v>43166</v>
      </c>
      <c r="C2433" t="inlineStr">
        <is>
          <t>2018-03</t>
        </is>
      </c>
      <c r="D2433" t="inlineStr">
        <is>
          <t>ce1a65abd0973638f1c887a6efcfa82d</t>
        </is>
      </c>
      <c r="E2433" t="inlineStr">
        <is>
          <t>organic_search</t>
        </is>
      </c>
      <c r="F2433">
        <f>IFERROR(MATCH(A2433,Deals!$A$2:$A$843,0),"")</f>
        <v/>
      </c>
      <c r="G2433">
        <f>IF(F2433="",0,1)</f>
        <v/>
      </c>
      <c r="H2433" s="29">
        <f>IF(F2433="","",INDEX(Deals!$E$2:$E$843,F2433))</f>
        <v/>
      </c>
      <c r="I2433">
        <f>IF(F2433="","",INDEX(Deals!$D$2:$D$843,F2433))</f>
        <v/>
      </c>
      <c r="J2433">
        <f>IF(F2433="","",INT(H2433)-B2433)</f>
        <v/>
      </c>
      <c r="K2433">
        <f>IF(B2433&gt;=Settings!$C$5,1,0)</f>
        <v/>
      </c>
    </row>
    <row r="2434">
      <c r="A2434" t="inlineStr">
        <is>
          <t>15ade92dceaab28c5a6a7f7fb4c669be</t>
        </is>
      </c>
      <c r="B2434" s="29" t="n">
        <v>43178</v>
      </c>
      <c r="C2434" t="inlineStr">
        <is>
          <t>2018-03</t>
        </is>
      </c>
      <c r="D2434" t="inlineStr">
        <is>
          <t>330b9d44078a1ae5a221d655dcb77afa</t>
        </is>
      </c>
      <c r="E2434" t="inlineStr">
        <is>
          <t>organic_search</t>
        </is>
      </c>
      <c r="F2434">
        <f>IFERROR(MATCH(A2434,Deals!$A$2:$A$843,0),"")</f>
        <v/>
      </c>
      <c r="G2434">
        <f>IF(F2434="",0,1)</f>
        <v/>
      </c>
      <c r="H2434" s="29">
        <f>IF(F2434="","",INDEX(Deals!$E$2:$E$843,F2434))</f>
        <v/>
      </c>
      <c r="I2434">
        <f>IF(F2434="","",INDEX(Deals!$D$2:$D$843,F2434))</f>
        <v/>
      </c>
      <c r="J2434">
        <f>IF(F2434="","",INT(H2434)-B2434)</f>
        <v/>
      </c>
      <c r="K2434">
        <f>IF(B2434&gt;=Settings!$C$5,1,0)</f>
        <v/>
      </c>
    </row>
    <row r="2435">
      <c r="A2435" t="inlineStr">
        <is>
          <t>11d8270a3399de3133c7096617e6c8ca</t>
        </is>
      </c>
      <c r="B2435" s="29" t="n">
        <v>43223</v>
      </c>
      <c r="C2435" t="inlineStr">
        <is>
          <t>2018-05</t>
        </is>
      </c>
      <c r="D2435" t="inlineStr">
        <is>
          <t>b76ef37428e6799c421989521c0e5077</t>
        </is>
      </c>
      <c r="E2435" t="inlineStr">
        <is>
          <t>unknown</t>
        </is>
      </c>
      <c r="F2435">
        <f>IFERROR(MATCH(A2435,Deals!$A$2:$A$843,0),"")</f>
        <v/>
      </c>
      <c r="G2435">
        <f>IF(F2435="",0,1)</f>
        <v/>
      </c>
      <c r="H2435" s="29">
        <f>IF(F2435="","",INDEX(Deals!$E$2:$E$843,F2435))</f>
        <v/>
      </c>
      <c r="I2435">
        <f>IF(F2435="","",INDEX(Deals!$D$2:$D$843,F2435))</f>
        <v/>
      </c>
      <c r="J2435">
        <f>IF(F2435="","",INT(H2435)-B2435)</f>
        <v/>
      </c>
      <c r="K2435">
        <f>IF(B2435&gt;=Settings!$C$5,1,0)</f>
        <v/>
      </c>
    </row>
    <row r="2436">
      <c r="A2436" t="inlineStr">
        <is>
          <t>07020a9491ae4a41e9189fb185196a42</t>
        </is>
      </c>
      <c r="B2436" s="29" t="n">
        <v>42947</v>
      </c>
      <c r="C2436" t="inlineStr">
        <is>
          <t>2017-07</t>
        </is>
      </c>
      <c r="D2436" t="inlineStr">
        <is>
          <t>e492ee5eaf1697716985cc6f33f9cd9b</t>
        </is>
      </c>
      <c r="E2436" t="inlineStr">
        <is>
          <t>social</t>
        </is>
      </c>
      <c r="F2436">
        <f>IFERROR(MATCH(A2436,Deals!$A$2:$A$843,0),"")</f>
        <v/>
      </c>
      <c r="G2436">
        <f>IF(F2436="",0,1)</f>
        <v/>
      </c>
      <c r="H2436" s="29">
        <f>IF(F2436="","",INDEX(Deals!$E$2:$E$843,F2436))</f>
        <v/>
      </c>
      <c r="I2436">
        <f>IF(F2436="","",INDEX(Deals!$D$2:$D$843,F2436))</f>
        <v/>
      </c>
      <c r="J2436">
        <f>IF(F2436="","",INT(H2436)-B2436)</f>
        <v/>
      </c>
      <c r="K2436">
        <f>IF(B2436&gt;=Settings!$C$5,1,0)</f>
        <v/>
      </c>
    </row>
    <row r="2437">
      <c r="A2437" t="inlineStr">
        <is>
          <t>e71fceaf910b1065b49f118cbde48313</t>
        </is>
      </c>
      <c r="B2437" s="29" t="n">
        <v>43128</v>
      </c>
      <c r="C2437" t="inlineStr">
        <is>
          <t>2018-01</t>
        </is>
      </c>
      <c r="D2437" t="inlineStr">
        <is>
          <t>88740e65d5d6b056e0cda098e1ea6313</t>
        </is>
      </c>
      <c r="E2437" t="inlineStr">
        <is>
          <t>social</t>
        </is>
      </c>
      <c r="F2437">
        <f>IFERROR(MATCH(A2437,Deals!$A$2:$A$843,0),"")</f>
        <v/>
      </c>
      <c r="G2437">
        <f>IF(F2437="",0,1)</f>
        <v/>
      </c>
      <c r="H2437" s="29">
        <f>IF(F2437="","",INDEX(Deals!$E$2:$E$843,F2437))</f>
        <v/>
      </c>
      <c r="I2437">
        <f>IF(F2437="","",INDEX(Deals!$D$2:$D$843,F2437))</f>
        <v/>
      </c>
      <c r="J2437">
        <f>IF(F2437="","",INT(H2437)-B2437)</f>
        <v/>
      </c>
      <c r="K2437">
        <f>IF(B2437&gt;=Settings!$C$5,1,0)</f>
        <v/>
      </c>
    </row>
    <row r="2438">
      <c r="A2438" t="inlineStr">
        <is>
          <t>85e5e0842d745041f29f57f0f3c7a92c</t>
        </is>
      </c>
      <c r="B2438" s="29" t="n">
        <v>42940</v>
      </c>
      <c r="C2438" t="inlineStr">
        <is>
          <t>2017-07</t>
        </is>
      </c>
      <c r="D2438" t="inlineStr">
        <is>
          <t>b76ef37428e6799c421989521c0e5077</t>
        </is>
      </c>
      <c r="E2438" t="inlineStr">
        <is>
          <t>unknown</t>
        </is>
      </c>
      <c r="F2438">
        <f>IFERROR(MATCH(A2438,Deals!$A$2:$A$843,0),"")</f>
        <v/>
      </c>
      <c r="G2438">
        <f>IF(F2438="",0,1)</f>
        <v/>
      </c>
      <c r="H2438" s="29">
        <f>IF(F2438="","",INDEX(Deals!$E$2:$E$843,F2438))</f>
        <v/>
      </c>
      <c r="I2438">
        <f>IF(F2438="","",INDEX(Deals!$D$2:$D$843,F2438))</f>
        <v/>
      </c>
      <c r="J2438">
        <f>IF(F2438="","",INT(H2438)-B2438)</f>
        <v/>
      </c>
      <c r="K2438">
        <f>IF(B2438&gt;=Settings!$C$5,1,0)</f>
        <v/>
      </c>
    </row>
    <row r="2439">
      <c r="A2439" t="inlineStr">
        <is>
          <t>afbaf584fc421873bc405e388c95e220</t>
        </is>
      </c>
      <c r="B2439" s="29" t="n">
        <v>43019</v>
      </c>
      <c r="C2439" t="inlineStr">
        <is>
          <t>2017-10</t>
        </is>
      </c>
      <c r="D2439" t="inlineStr">
        <is>
          <t>f98c2bd96ac4a5d9476734e790c91384</t>
        </is>
      </c>
      <c r="E2439" t="inlineStr">
        <is>
          <t>organic_search</t>
        </is>
      </c>
      <c r="F2439">
        <f>IFERROR(MATCH(A2439,Deals!$A$2:$A$843,0),"")</f>
        <v/>
      </c>
      <c r="G2439">
        <f>IF(F2439="",0,1)</f>
        <v/>
      </c>
      <c r="H2439" s="29">
        <f>IF(F2439="","",INDEX(Deals!$E$2:$E$843,F2439))</f>
        <v/>
      </c>
      <c r="I2439">
        <f>IF(F2439="","",INDEX(Deals!$D$2:$D$843,F2439))</f>
        <v/>
      </c>
      <c r="J2439">
        <f>IF(F2439="","",INT(H2439)-B2439)</f>
        <v/>
      </c>
      <c r="K2439">
        <f>IF(B2439&gt;=Settings!$C$5,1,0)</f>
        <v/>
      </c>
    </row>
    <row r="2440">
      <c r="A2440" t="inlineStr">
        <is>
          <t>10fa97233fb64af4b6ce8316d0bc2eca</t>
        </is>
      </c>
      <c r="B2440" s="29" t="n">
        <v>43171</v>
      </c>
      <c r="C2440" t="inlineStr">
        <is>
          <t>2018-03</t>
        </is>
      </c>
      <c r="D2440" t="inlineStr">
        <is>
          <t>88740e65d5d6b056e0cda098e1ea6313</t>
        </is>
      </c>
      <c r="E2440" t="inlineStr">
        <is>
          <t>social</t>
        </is>
      </c>
      <c r="F2440">
        <f>IFERROR(MATCH(A2440,Deals!$A$2:$A$843,0),"")</f>
        <v/>
      </c>
      <c r="G2440">
        <f>IF(F2440="",0,1)</f>
        <v/>
      </c>
      <c r="H2440" s="29">
        <f>IF(F2440="","",INDEX(Deals!$E$2:$E$843,F2440))</f>
        <v/>
      </c>
      <c r="I2440">
        <f>IF(F2440="","",INDEX(Deals!$D$2:$D$843,F2440))</f>
        <v/>
      </c>
      <c r="J2440">
        <f>IF(F2440="","",INT(H2440)-B2440)</f>
        <v/>
      </c>
      <c r="K2440">
        <f>IF(B2440&gt;=Settings!$C$5,1,0)</f>
        <v/>
      </c>
    </row>
    <row r="2441">
      <c r="A2441" t="inlineStr">
        <is>
          <t>3e477743dda87ebc24d3c93bfb817d58</t>
        </is>
      </c>
      <c r="B2441" s="29" t="n">
        <v>43240</v>
      </c>
      <c r="C2441" t="inlineStr">
        <is>
          <t>2018-05</t>
        </is>
      </c>
      <c r="D2441" t="inlineStr">
        <is>
          <t>ce1a65abd0973638f1c887a6efcfa82d</t>
        </is>
      </c>
      <c r="E2441" t="inlineStr">
        <is>
          <t>organic_search</t>
        </is>
      </c>
      <c r="F2441">
        <f>IFERROR(MATCH(A2441,Deals!$A$2:$A$843,0),"")</f>
        <v/>
      </c>
      <c r="G2441">
        <f>IF(F2441="",0,1)</f>
        <v/>
      </c>
      <c r="H2441" s="29">
        <f>IF(F2441="","",INDEX(Deals!$E$2:$E$843,F2441))</f>
        <v/>
      </c>
      <c r="I2441">
        <f>IF(F2441="","",INDEX(Deals!$D$2:$D$843,F2441))</f>
        <v/>
      </c>
      <c r="J2441">
        <f>IF(F2441="","",INT(H2441)-B2441)</f>
        <v/>
      </c>
      <c r="K2441">
        <f>IF(B2441&gt;=Settings!$C$5,1,0)</f>
        <v/>
      </c>
    </row>
    <row r="2442">
      <c r="A2442" t="inlineStr">
        <is>
          <t>67ca3192a9793d768d6706d0541842f4</t>
        </is>
      </c>
      <c r="B2442" s="29" t="n">
        <v>43209</v>
      </c>
      <c r="C2442" t="inlineStr">
        <is>
          <t>2018-04</t>
        </is>
      </c>
      <c r="D2442" t="inlineStr">
        <is>
          <t>b76ef37428e6799c421989521c0e5077</t>
        </is>
      </c>
      <c r="E2442" t="inlineStr">
        <is>
          <t>unknown</t>
        </is>
      </c>
      <c r="F2442">
        <f>IFERROR(MATCH(A2442,Deals!$A$2:$A$843,0),"")</f>
        <v/>
      </c>
      <c r="G2442">
        <f>IF(F2442="",0,1)</f>
        <v/>
      </c>
      <c r="H2442" s="29">
        <f>IF(F2442="","",INDEX(Deals!$E$2:$E$843,F2442))</f>
        <v/>
      </c>
      <c r="I2442">
        <f>IF(F2442="","",INDEX(Deals!$D$2:$D$843,F2442))</f>
        <v/>
      </c>
      <c r="J2442">
        <f>IF(F2442="","",INT(H2442)-B2442)</f>
        <v/>
      </c>
      <c r="K2442">
        <f>IF(B2442&gt;=Settings!$C$5,1,0)</f>
        <v/>
      </c>
    </row>
    <row r="2443">
      <c r="A2443" t="inlineStr">
        <is>
          <t>4da6c4d07033d355453ce49273d591c6</t>
        </is>
      </c>
      <c r="B2443" s="29" t="n">
        <v>43238</v>
      </c>
      <c r="C2443" t="inlineStr">
        <is>
          <t>2018-05</t>
        </is>
      </c>
      <c r="D2443" t="inlineStr">
        <is>
          <t>0c83f57c786a0b4a39efab23731c7ebc</t>
        </is>
      </c>
      <c r="E2443" t="inlineStr">
        <is>
          <t>(missing)</t>
        </is>
      </c>
      <c r="F2443">
        <f>IFERROR(MATCH(A2443,Deals!$A$2:$A$843,0),"")</f>
        <v/>
      </c>
      <c r="G2443">
        <f>IF(F2443="",0,1)</f>
        <v/>
      </c>
      <c r="H2443" s="29">
        <f>IF(F2443="","",INDEX(Deals!$E$2:$E$843,F2443))</f>
        <v/>
      </c>
      <c r="I2443">
        <f>IF(F2443="","",INDEX(Deals!$D$2:$D$843,F2443))</f>
        <v/>
      </c>
      <c r="J2443">
        <f>IF(F2443="","",INT(H2443)-B2443)</f>
        <v/>
      </c>
      <c r="K2443">
        <f>IF(B2443&gt;=Settings!$C$5,1,0)</f>
        <v/>
      </c>
    </row>
    <row r="2444">
      <c r="A2444" t="inlineStr">
        <is>
          <t>0067035172fc786488ff7c6317ed88c9</t>
        </is>
      </c>
      <c r="B2444" s="29" t="n">
        <v>43131</v>
      </c>
      <c r="C2444" t="inlineStr">
        <is>
          <t>2018-01</t>
        </is>
      </c>
      <c r="D2444" t="inlineStr">
        <is>
          <t>ce1a65abd0973638f1c887a6efcfa82d</t>
        </is>
      </c>
      <c r="E2444" t="inlineStr">
        <is>
          <t>organic_search</t>
        </is>
      </c>
      <c r="F2444">
        <f>IFERROR(MATCH(A2444,Deals!$A$2:$A$843,0),"")</f>
        <v/>
      </c>
      <c r="G2444">
        <f>IF(F2444="",0,1)</f>
        <v/>
      </c>
      <c r="H2444" s="29">
        <f>IF(F2444="","",INDEX(Deals!$E$2:$E$843,F2444))</f>
        <v/>
      </c>
      <c r="I2444">
        <f>IF(F2444="","",INDEX(Deals!$D$2:$D$843,F2444))</f>
        <v/>
      </c>
      <c r="J2444">
        <f>IF(F2444="","",INT(H2444)-B2444)</f>
        <v/>
      </c>
      <c r="K2444">
        <f>IF(B2444&gt;=Settings!$C$5,1,0)</f>
        <v/>
      </c>
    </row>
    <row r="2445">
      <c r="A2445" t="inlineStr">
        <is>
          <t>03cab2d7904852792c985c18e53e5323</t>
        </is>
      </c>
      <c r="B2445" s="29" t="n">
        <v>43102</v>
      </c>
      <c r="C2445" t="inlineStr">
        <is>
          <t>2018-01</t>
        </is>
      </c>
      <c r="D2445" t="inlineStr">
        <is>
          <t>40dec9f3d5259a3d2dbcdab2114fae47</t>
        </is>
      </c>
      <c r="E2445" t="inlineStr">
        <is>
          <t>paid_search</t>
        </is>
      </c>
      <c r="F2445">
        <f>IFERROR(MATCH(A2445,Deals!$A$2:$A$843,0),"")</f>
        <v/>
      </c>
      <c r="G2445">
        <f>IF(F2445="",0,1)</f>
        <v/>
      </c>
      <c r="H2445" s="29">
        <f>IF(F2445="","",INDEX(Deals!$E$2:$E$843,F2445))</f>
        <v/>
      </c>
      <c r="I2445">
        <f>IF(F2445="","",INDEX(Deals!$D$2:$D$843,F2445))</f>
        <v/>
      </c>
      <c r="J2445">
        <f>IF(F2445="","",INT(H2445)-B2445)</f>
        <v/>
      </c>
      <c r="K2445">
        <f>IF(B2445&gt;=Settings!$C$5,1,0)</f>
        <v/>
      </c>
    </row>
    <row r="2446">
      <c r="A2446" t="inlineStr">
        <is>
          <t>3ae5d34ee4c3f8e40f0985b5b97c8414</t>
        </is>
      </c>
      <c r="B2446" s="29" t="n">
        <v>43062</v>
      </c>
      <c r="C2446" t="inlineStr">
        <is>
          <t>2017-11</t>
        </is>
      </c>
      <c r="D2446" t="inlineStr">
        <is>
          <t>03c7c0ace395d80182db07ae2c30f034</t>
        </is>
      </c>
      <c r="E2446" t="inlineStr">
        <is>
          <t>organic_search</t>
        </is>
      </c>
      <c r="F2446">
        <f>IFERROR(MATCH(A2446,Deals!$A$2:$A$843,0),"")</f>
        <v/>
      </c>
      <c r="G2446">
        <f>IF(F2446="",0,1)</f>
        <v/>
      </c>
      <c r="H2446" s="29">
        <f>IF(F2446="","",INDEX(Deals!$E$2:$E$843,F2446))</f>
        <v/>
      </c>
      <c r="I2446">
        <f>IF(F2446="","",INDEX(Deals!$D$2:$D$843,F2446))</f>
        <v/>
      </c>
      <c r="J2446">
        <f>IF(F2446="","",INT(H2446)-B2446)</f>
        <v/>
      </c>
      <c r="K2446">
        <f>IF(B2446&gt;=Settings!$C$5,1,0)</f>
        <v/>
      </c>
    </row>
    <row r="2447">
      <c r="A2447" t="inlineStr">
        <is>
          <t>8385583a61497aa5d15857e068482a65</t>
        </is>
      </c>
      <c r="B2447" s="29" t="n">
        <v>42963</v>
      </c>
      <c r="C2447" t="inlineStr">
        <is>
          <t>2017-08</t>
        </is>
      </c>
      <c r="D2447" t="inlineStr">
        <is>
          <t>128d8c3f32b8aa66b5bcbe4e26dfc78d</t>
        </is>
      </c>
      <c r="E2447" t="inlineStr">
        <is>
          <t>email</t>
        </is>
      </c>
      <c r="F2447">
        <f>IFERROR(MATCH(A2447,Deals!$A$2:$A$843,0),"")</f>
        <v/>
      </c>
      <c r="G2447">
        <f>IF(F2447="",0,1)</f>
        <v/>
      </c>
      <c r="H2447" s="29">
        <f>IF(F2447="","",INDEX(Deals!$E$2:$E$843,F2447))</f>
        <v/>
      </c>
      <c r="I2447">
        <f>IF(F2447="","",INDEX(Deals!$D$2:$D$843,F2447))</f>
        <v/>
      </c>
      <c r="J2447">
        <f>IF(F2447="","",INT(H2447)-B2447)</f>
        <v/>
      </c>
      <c r="K2447">
        <f>IF(B2447&gt;=Settings!$C$5,1,0)</f>
        <v/>
      </c>
    </row>
    <row r="2448">
      <c r="A2448" t="inlineStr">
        <is>
          <t>e3f665e5f5a9984682fffacba7ce9845</t>
        </is>
      </c>
      <c r="B2448" s="29" t="n">
        <v>43175</v>
      </c>
      <c r="C2448" t="inlineStr">
        <is>
          <t>2018-03</t>
        </is>
      </c>
      <c r="D2448" t="inlineStr">
        <is>
          <t>b76ef37428e6799c421989521c0e5077</t>
        </is>
      </c>
      <c r="E2448" t="inlineStr">
        <is>
          <t>paid_search</t>
        </is>
      </c>
      <c r="F2448">
        <f>IFERROR(MATCH(A2448,Deals!$A$2:$A$843,0),"")</f>
        <v/>
      </c>
      <c r="G2448">
        <f>IF(F2448="",0,1)</f>
        <v/>
      </c>
      <c r="H2448" s="29">
        <f>IF(F2448="","",INDEX(Deals!$E$2:$E$843,F2448))</f>
        <v/>
      </c>
      <c r="I2448">
        <f>IF(F2448="","",INDEX(Deals!$D$2:$D$843,F2448))</f>
        <v/>
      </c>
      <c r="J2448">
        <f>IF(F2448="","",INT(H2448)-B2448)</f>
        <v/>
      </c>
      <c r="K2448">
        <f>IF(B2448&gt;=Settings!$C$5,1,0)</f>
        <v/>
      </c>
    </row>
    <row r="2449">
      <c r="A2449" t="inlineStr">
        <is>
          <t>e3fae482c95fe489ccd717cbda2cab9a</t>
        </is>
      </c>
      <c r="B2449" s="29" t="n">
        <v>43167</v>
      </c>
      <c r="C2449" t="inlineStr">
        <is>
          <t>2018-03</t>
        </is>
      </c>
      <c r="D2449" t="inlineStr">
        <is>
          <t>22c29808c4f815213303f8933030604c</t>
        </is>
      </c>
      <c r="E2449" t="inlineStr">
        <is>
          <t>paid_search</t>
        </is>
      </c>
      <c r="F2449">
        <f>IFERROR(MATCH(A2449,Deals!$A$2:$A$843,0),"")</f>
        <v/>
      </c>
      <c r="G2449">
        <f>IF(F2449="",0,1)</f>
        <v/>
      </c>
      <c r="H2449" s="29">
        <f>IF(F2449="","",INDEX(Deals!$E$2:$E$843,F2449))</f>
        <v/>
      </c>
      <c r="I2449">
        <f>IF(F2449="","",INDEX(Deals!$D$2:$D$843,F2449))</f>
        <v/>
      </c>
      <c r="J2449">
        <f>IF(F2449="","",INT(H2449)-B2449)</f>
        <v/>
      </c>
      <c r="K2449">
        <f>IF(B2449&gt;=Settings!$C$5,1,0)</f>
        <v/>
      </c>
    </row>
    <row r="2450">
      <c r="A2450" t="inlineStr">
        <is>
          <t>1a9ee261949127cf848fadb72c8593d7</t>
        </is>
      </c>
      <c r="B2450" s="29" t="n">
        <v>43104</v>
      </c>
      <c r="C2450" t="inlineStr">
        <is>
          <t>2018-01</t>
        </is>
      </c>
      <c r="D2450" t="inlineStr">
        <is>
          <t>a7982125ff7aa3b2054c6e44f9d28522</t>
        </is>
      </c>
      <c r="E2450" t="inlineStr">
        <is>
          <t>display</t>
        </is>
      </c>
      <c r="F2450">
        <f>IFERROR(MATCH(A2450,Deals!$A$2:$A$843,0),"")</f>
        <v/>
      </c>
      <c r="G2450">
        <f>IF(F2450="",0,1)</f>
        <v/>
      </c>
      <c r="H2450" s="29">
        <f>IF(F2450="","",INDEX(Deals!$E$2:$E$843,F2450))</f>
        <v/>
      </c>
      <c r="I2450">
        <f>IF(F2450="","",INDEX(Deals!$D$2:$D$843,F2450))</f>
        <v/>
      </c>
      <c r="J2450">
        <f>IF(F2450="","",INT(H2450)-B2450)</f>
        <v/>
      </c>
      <c r="K2450">
        <f>IF(B2450&gt;=Settings!$C$5,1,0)</f>
        <v/>
      </c>
    </row>
    <row r="2451">
      <c r="A2451" t="inlineStr">
        <is>
          <t>caea84e7e50ea556a7cd84ee1d0963a8</t>
        </is>
      </c>
      <c r="B2451" s="29" t="n">
        <v>43180</v>
      </c>
      <c r="C2451" t="inlineStr">
        <is>
          <t>2018-03</t>
        </is>
      </c>
      <c r="D2451" t="inlineStr">
        <is>
          <t>b76ef37428e6799c421989521c0e5077</t>
        </is>
      </c>
      <c r="E2451" t="inlineStr">
        <is>
          <t>unknown</t>
        </is>
      </c>
      <c r="F2451">
        <f>IFERROR(MATCH(A2451,Deals!$A$2:$A$843,0),"")</f>
        <v/>
      </c>
      <c r="G2451">
        <f>IF(F2451="",0,1)</f>
        <v/>
      </c>
      <c r="H2451" s="29">
        <f>IF(F2451="","",INDEX(Deals!$E$2:$E$843,F2451))</f>
        <v/>
      </c>
      <c r="I2451">
        <f>IF(F2451="","",INDEX(Deals!$D$2:$D$843,F2451))</f>
        <v/>
      </c>
      <c r="J2451">
        <f>IF(F2451="","",INT(H2451)-B2451)</f>
        <v/>
      </c>
      <c r="K2451">
        <f>IF(B2451&gt;=Settings!$C$5,1,0)</f>
        <v/>
      </c>
    </row>
    <row r="2452">
      <c r="A2452" t="inlineStr">
        <is>
          <t>95bf5763251f491480a0c1e5b76a16d8</t>
        </is>
      </c>
      <c r="B2452" s="29" t="n">
        <v>43060</v>
      </c>
      <c r="C2452" t="inlineStr">
        <is>
          <t>2017-11</t>
        </is>
      </c>
      <c r="D2452" t="inlineStr">
        <is>
          <t>241f79c7a8fe0270f4fb79fcbbcd17ad</t>
        </is>
      </c>
      <c r="E2452" t="inlineStr">
        <is>
          <t>paid_search</t>
        </is>
      </c>
      <c r="F2452">
        <f>IFERROR(MATCH(A2452,Deals!$A$2:$A$843,0),"")</f>
        <v/>
      </c>
      <c r="G2452">
        <f>IF(F2452="",0,1)</f>
        <v/>
      </c>
      <c r="H2452" s="29">
        <f>IF(F2452="","",INDEX(Deals!$E$2:$E$843,F2452))</f>
        <v/>
      </c>
      <c r="I2452">
        <f>IF(F2452="","",INDEX(Deals!$D$2:$D$843,F2452))</f>
        <v/>
      </c>
      <c r="J2452">
        <f>IF(F2452="","",INT(H2452)-B2452)</f>
        <v/>
      </c>
      <c r="K2452">
        <f>IF(B2452&gt;=Settings!$C$5,1,0)</f>
        <v/>
      </c>
    </row>
    <row r="2453">
      <c r="A2453" t="inlineStr">
        <is>
          <t>9577bb430d9c3b7a961802108fb95292</t>
        </is>
      </c>
      <c r="B2453" s="29" t="n">
        <v>43202</v>
      </c>
      <c r="C2453" t="inlineStr">
        <is>
          <t>2018-04</t>
        </is>
      </c>
      <c r="D2453" t="inlineStr">
        <is>
          <t>1ceb590cd1e00c7ee95220971f82693d</t>
        </is>
      </c>
      <c r="E2453" t="inlineStr">
        <is>
          <t>paid_search</t>
        </is>
      </c>
      <c r="F2453">
        <f>IFERROR(MATCH(A2453,Deals!$A$2:$A$843,0),"")</f>
        <v/>
      </c>
      <c r="G2453">
        <f>IF(F2453="",0,1)</f>
        <v/>
      </c>
      <c r="H2453" s="29">
        <f>IF(F2453="","",INDEX(Deals!$E$2:$E$843,F2453))</f>
        <v/>
      </c>
      <c r="I2453">
        <f>IF(F2453="","",INDEX(Deals!$D$2:$D$843,F2453))</f>
        <v/>
      </c>
      <c r="J2453">
        <f>IF(F2453="","",INT(H2453)-B2453)</f>
        <v/>
      </c>
      <c r="K2453">
        <f>IF(B2453&gt;=Settings!$C$5,1,0)</f>
        <v/>
      </c>
    </row>
    <row r="2454">
      <c r="A2454" t="inlineStr">
        <is>
          <t>348a43bb0eadc84915bcd8d95f373b0f</t>
        </is>
      </c>
      <c r="B2454" s="29" t="n">
        <v>42977</v>
      </c>
      <c r="C2454" t="inlineStr">
        <is>
          <t>2017-08</t>
        </is>
      </c>
      <c r="D2454" t="inlineStr">
        <is>
          <t>22c29808c4f815213303f8933030604c</t>
        </is>
      </c>
      <c r="E2454" t="inlineStr">
        <is>
          <t>organic_search</t>
        </is>
      </c>
      <c r="F2454">
        <f>IFERROR(MATCH(A2454,Deals!$A$2:$A$843,0),"")</f>
        <v/>
      </c>
      <c r="G2454">
        <f>IF(F2454="",0,1)</f>
        <v/>
      </c>
      <c r="H2454" s="29">
        <f>IF(F2454="","",INDEX(Deals!$E$2:$E$843,F2454))</f>
        <v/>
      </c>
      <c r="I2454">
        <f>IF(F2454="","",INDEX(Deals!$D$2:$D$843,F2454))</f>
        <v/>
      </c>
      <c r="J2454">
        <f>IF(F2454="","",INT(H2454)-B2454)</f>
        <v/>
      </c>
      <c r="K2454">
        <f>IF(B2454&gt;=Settings!$C$5,1,0)</f>
        <v/>
      </c>
    </row>
    <row r="2455">
      <c r="A2455" t="inlineStr">
        <is>
          <t>cdd41e8e7e609526df11a959b953cc0d</t>
        </is>
      </c>
      <c r="B2455" s="29" t="n">
        <v>43230</v>
      </c>
      <c r="C2455" t="inlineStr">
        <is>
          <t>2018-05</t>
        </is>
      </c>
      <c r="D2455" t="inlineStr">
        <is>
          <t>ce1a65abd0973638f1c887a6efcfa82d</t>
        </is>
      </c>
      <c r="E2455" t="inlineStr">
        <is>
          <t>organic_search</t>
        </is>
      </c>
      <c r="F2455">
        <f>IFERROR(MATCH(A2455,Deals!$A$2:$A$843,0),"")</f>
        <v/>
      </c>
      <c r="G2455">
        <f>IF(F2455="",0,1)</f>
        <v/>
      </c>
      <c r="H2455" s="29">
        <f>IF(F2455="","",INDEX(Deals!$E$2:$E$843,F2455))</f>
        <v/>
      </c>
      <c r="I2455">
        <f>IF(F2455="","",INDEX(Deals!$D$2:$D$843,F2455))</f>
        <v/>
      </c>
      <c r="J2455">
        <f>IF(F2455="","",INT(H2455)-B2455)</f>
        <v/>
      </c>
      <c r="K2455">
        <f>IF(B2455&gt;=Settings!$C$5,1,0)</f>
        <v/>
      </c>
    </row>
    <row r="2456">
      <c r="A2456" t="inlineStr">
        <is>
          <t>cc73ed6fa658dab4deb142aa5266cff7</t>
        </is>
      </c>
      <c r="B2456" s="29" t="n">
        <v>43002</v>
      </c>
      <c r="C2456" t="inlineStr">
        <is>
          <t>2017-09</t>
        </is>
      </c>
      <c r="D2456" t="inlineStr">
        <is>
          <t>87732658ba41d8775e8577df347a64db</t>
        </is>
      </c>
      <c r="E2456" t="inlineStr">
        <is>
          <t>social</t>
        </is>
      </c>
      <c r="F2456">
        <f>IFERROR(MATCH(A2456,Deals!$A$2:$A$843,0),"")</f>
        <v/>
      </c>
      <c r="G2456">
        <f>IF(F2456="",0,1)</f>
        <v/>
      </c>
      <c r="H2456" s="29">
        <f>IF(F2456="","",INDEX(Deals!$E$2:$E$843,F2456))</f>
        <v/>
      </c>
      <c r="I2456">
        <f>IF(F2456="","",INDEX(Deals!$D$2:$D$843,F2456))</f>
        <v/>
      </c>
      <c r="J2456">
        <f>IF(F2456="","",INT(H2456)-B2456)</f>
        <v/>
      </c>
      <c r="K2456">
        <f>IF(B2456&gt;=Settings!$C$5,1,0)</f>
        <v/>
      </c>
    </row>
    <row r="2457">
      <c r="A2457" t="inlineStr">
        <is>
          <t>b3579acde25b2dab713999fa7f42c914</t>
        </is>
      </c>
      <c r="B2457" s="29" t="n">
        <v>43116</v>
      </c>
      <c r="C2457" t="inlineStr">
        <is>
          <t>2018-01</t>
        </is>
      </c>
      <c r="D2457" t="inlineStr">
        <is>
          <t>e492ee5eaf1697716985cc6f33f9cd9b</t>
        </is>
      </c>
      <c r="E2457" t="inlineStr">
        <is>
          <t>referral</t>
        </is>
      </c>
      <c r="F2457">
        <f>IFERROR(MATCH(A2457,Deals!$A$2:$A$843,0),"")</f>
        <v/>
      </c>
      <c r="G2457">
        <f>IF(F2457="",0,1)</f>
        <v/>
      </c>
      <c r="H2457" s="29">
        <f>IF(F2457="","",INDEX(Deals!$E$2:$E$843,F2457))</f>
        <v/>
      </c>
      <c r="I2457">
        <f>IF(F2457="","",INDEX(Deals!$D$2:$D$843,F2457))</f>
        <v/>
      </c>
      <c r="J2457">
        <f>IF(F2457="","",INT(H2457)-B2457)</f>
        <v/>
      </c>
      <c r="K2457">
        <f>IF(B2457&gt;=Settings!$C$5,1,0)</f>
        <v/>
      </c>
    </row>
    <row r="2458">
      <c r="A2458" t="inlineStr">
        <is>
          <t>5db413912b703e46bc1aaee48504bfae</t>
        </is>
      </c>
      <c r="B2458" s="29" t="n">
        <v>43172</v>
      </c>
      <c r="C2458" t="inlineStr">
        <is>
          <t>2018-03</t>
        </is>
      </c>
      <c r="D2458" t="inlineStr">
        <is>
          <t>b360f694e319be64b87987476137d1a2</t>
        </is>
      </c>
      <c r="E2458" t="inlineStr">
        <is>
          <t>(missing)</t>
        </is>
      </c>
      <c r="F2458">
        <f>IFERROR(MATCH(A2458,Deals!$A$2:$A$843,0),"")</f>
        <v/>
      </c>
      <c r="G2458">
        <f>IF(F2458="",0,1)</f>
        <v/>
      </c>
      <c r="H2458" s="29">
        <f>IF(F2458="","",INDEX(Deals!$E$2:$E$843,F2458))</f>
        <v/>
      </c>
      <c r="I2458">
        <f>IF(F2458="","",INDEX(Deals!$D$2:$D$843,F2458))</f>
        <v/>
      </c>
      <c r="J2458">
        <f>IF(F2458="","",INT(H2458)-B2458)</f>
        <v/>
      </c>
      <c r="K2458">
        <f>IF(B2458&gt;=Settings!$C$5,1,0)</f>
        <v/>
      </c>
    </row>
    <row r="2459">
      <c r="A2459" t="inlineStr">
        <is>
          <t>d8166895388be59b84a430ce0697df62</t>
        </is>
      </c>
      <c r="B2459" s="29" t="n">
        <v>43195</v>
      </c>
      <c r="C2459" t="inlineStr">
        <is>
          <t>2018-04</t>
        </is>
      </c>
      <c r="D2459" t="inlineStr">
        <is>
          <t>bdaeb752e5c3caa215ebe04c61e22325</t>
        </is>
      </c>
      <c r="E2459" t="inlineStr">
        <is>
          <t>organic_search</t>
        </is>
      </c>
      <c r="F2459">
        <f>IFERROR(MATCH(A2459,Deals!$A$2:$A$843,0),"")</f>
        <v/>
      </c>
      <c r="G2459">
        <f>IF(F2459="",0,1)</f>
        <v/>
      </c>
      <c r="H2459" s="29">
        <f>IF(F2459="","",INDEX(Deals!$E$2:$E$843,F2459))</f>
        <v/>
      </c>
      <c r="I2459">
        <f>IF(F2459="","",INDEX(Deals!$D$2:$D$843,F2459))</f>
        <v/>
      </c>
      <c r="J2459">
        <f>IF(F2459="","",INT(H2459)-B2459)</f>
        <v/>
      </c>
      <c r="K2459">
        <f>IF(B2459&gt;=Settings!$C$5,1,0)</f>
        <v/>
      </c>
    </row>
    <row r="2460">
      <c r="A2460" t="inlineStr">
        <is>
          <t>3a1f9e5507d13b7ef90e08ab05737391</t>
        </is>
      </c>
      <c r="B2460" s="29" t="n">
        <v>43157</v>
      </c>
      <c r="C2460" t="inlineStr">
        <is>
          <t>2018-02</t>
        </is>
      </c>
      <c r="D2460" t="inlineStr">
        <is>
          <t>a7982125ff7aa3b2054c6e44f9d28522</t>
        </is>
      </c>
      <c r="E2460" t="inlineStr">
        <is>
          <t>organic_search</t>
        </is>
      </c>
      <c r="F2460">
        <f>IFERROR(MATCH(A2460,Deals!$A$2:$A$843,0),"")</f>
        <v/>
      </c>
      <c r="G2460">
        <f>IF(F2460="",0,1)</f>
        <v/>
      </c>
      <c r="H2460" s="29">
        <f>IF(F2460="","",INDEX(Deals!$E$2:$E$843,F2460))</f>
        <v/>
      </c>
      <c r="I2460">
        <f>IF(F2460="","",INDEX(Deals!$D$2:$D$843,F2460))</f>
        <v/>
      </c>
      <c r="J2460">
        <f>IF(F2460="","",INT(H2460)-B2460)</f>
        <v/>
      </c>
      <c r="K2460">
        <f>IF(B2460&gt;=Settings!$C$5,1,0)</f>
        <v/>
      </c>
    </row>
    <row r="2461">
      <c r="A2461" t="inlineStr">
        <is>
          <t>6f58f3b172bef95307def60e8be52b00</t>
        </is>
      </c>
      <c r="B2461" s="29" t="n">
        <v>43189</v>
      </c>
      <c r="C2461" t="inlineStr">
        <is>
          <t>2018-03</t>
        </is>
      </c>
      <c r="D2461" t="inlineStr">
        <is>
          <t>e492ee5eaf1697716985cc6f33f9cd9b</t>
        </is>
      </c>
      <c r="E2461" t="inlineStr">
        <is>
          <t>organic_search</t>
        </is>
      </c>
      <c r="F2461">
        <f>IFERROR(MATCH(A2461,Deals!$A$2:$A$843,0),"")</f>
        <v/>
      </c>
      <c r="G2461">
        <f>IF(F2461="",0,1)</f>
        <v/>
      </c>
      <c r="H2461" s="29">
        <f>IF(F2461="","",INDEX(Deals!$E$2:$E$843,F2461))</f>
        <v/>
      </c>
      <c r="I2461">
        <f>IF(F2461="","",INDEX(Deals!$D$2:$D$843,F2461))</f>
        <v/>
      </c>
      <c r="J2461">
        <f>IF(F2461="","",INT(H2461)-B2461)</f>
        <v/>
      </c>
      <c r="K2461">
        <f>IF(B2461&gt;=Settings!$C$5,1,0)</f>
        <v/>
      </c>
    </row>
    <row r="2462">
      <c r="A2462" t="inlineStr">
        <is>
          <t>7f59f49965ea6a0f208e543c814b4e91</t>
        </is>
      </c>
      <c r="B2462" s="29" t="n">
        <v>43152</v>
      </c>
      <c r="C2462" t="inlineStr">
        <is>
          <t>2018-02</t>
        </is>
      </c>
      <c r="D2462" t="inlineStr">
        <is>
          <t>f98c2bd96ac4a5d9476734e790c91384</t>
        </is>
      </c>
      <c r="E2462" t="inlineStr">
        <is>
          <t>direct_traffic</t>
        </is>
      </c>
      <c r="F2462">
        <f>IFERROR(MATCH(A2462,Deals!$A$2:$A$843,0),"")</f>
        <v/>
      </c>
      <c r="G2462">
        <f>IF(F2462="",0,1)</f>
        <v/>
      </c>
      <c r="H2462" s="29">
        <f>IF(F2462="","",INDEX(Deals!$E$2:$E$843,F2462))</f>
        <v/>
      </c>
      <c r="I2462">
        <f>IF(F2462="","",INDEX(Deals!$D$2:$D$843,F2462))</f>
        <v/>
      </c>
      <c r="J2462">
        <f>IF(F2462="","",INT(H2462)-B2462)</f>
        <v/>
      </c>
      <c r="K2462">
        <f>IF(B2462&gt;=Settings!$C$5,1,0)</f>
        <v/>
      </c>
    </row>
    <row r="2463">
      <c r="A2463" t="inlineStr">
        <is>
          <t>89dd0bb688f2eb30d44361097c83be2c</t>
        </is>
      </c>
      <c r="B2463" s="29" t="n">
        <v>43178</v>
      </c>
      <c r="C2463" t="inlineStr">
        <is>
          <t>2018-03</t>
        </is>
      </c>
      <c r="D2463" t="inlineStr">
        <is>
          <t>b76ef37428e6799c421989521c0e5077</t>
        </is>
      </c>
      <c r="E2463" t="inlineStr">
        <is>
          <t>paid_search</t>
        </is>
      </c>
      <c r="F2463">
        <f>IFERROR(MATCH(A2463,Deals!$A$2:$A$843,0),"")</f>
        <v/>
      </c>
      <c r="G2463">
        <f>IF(F2463="",0,1)</f>
        <v/>
      </c>
      <c r="H2463" s="29">
        <f>IF(F2463="","",INDEX(Deals!$E$2:$E$843,F2463))</f>
        <v/>
      </c>
      <c r="I2463">
        <f>IF(F2463="","",INDEX(Deals!$D$2:$D$843,F2463))</f>
        <v/>
      </c>
      <c r="J2463">
        <f>IF(F2463="","",INT(H2463)-B2463)</f>
        <v/>
      </c>
      <c r="K2463">
        <f>IF(B2463&gt;=Settings!$C$5,1,0)</f>
        <v/>
      </c>
    </row>
    <row r="2464">
      <c r="A2464" t="inlineStr">
        <is>
          <t>09c57ba013d3f30c2c796d7605abc7b8</t>
        </is>
      </c>
      <c r="B2464" s="29" t="n">
        <v>43249</v>
      </c>
      <c r="C2464" t="inlineStr">
        <is>
          <t>2018-05</t>
        </is>
      </c>
      <c r="D2464" t="inlineStr">
        <is>
          <t>40dec9f3d5259a3d2dbcdab2114fae47</t>
        </is>
      </c>
      <c r="E2464" t="inlineStr">
        <is>
          <t>paid_search</t>
        </is>
      </c>
      <c r="F2464">
        <f>IFERROR(MATCH(A2464,Deals!$A$2:$A$843,0),"")</f>
        <v/>
      </c>
      <c r="G2464">
        <f>IF(F2464="",0,1)</f>
        <v/>
      </c>
      <c r="H2464" s="29">
        <f>IF(F2464="","",INDEX(Deals!$E$2:$E$843,F2464))</f>
        <v/>
      </c>
      <c r="I2464">
        <f>IF(F2464="","",INDEX(Deals!$D$2:$D$843,F2464))</f>
        <v/>
      </c>
      <c r="J2464">
        <f>IF(F2464="","",INT(H2464)-B2464)</f>
        <v/>
      </c>
      <c r="K2464">
        <f>IF(B2464&gt;=Settings!$C$5,1,0)</f>
        <v/>
      </c>
    </row>
    <row r="2465">
      <c r="A2465" t="inlineStr">
        <is>
          <t>8253c7f87a4ec34d392b5fb236aad608</t>
        </is>
      </c>
      <c r="B2465" s="29" t="n">
        <v>43164</v>
      </c>
      <c r="C2465" t="inlineStr">
        <is>
          <t>2018-03</t>
        </is>
      </c>
      <c r="D2465" t="inlineStr">
        <is>
          <t>88740e65d5d6b056e0cda098e1ea6313</t>
        </is>
      </c>
      <c r="E2465" t="inlineStr">
        <is>
          <t>social</t>
        </is>
      </c>
      <c r="F2465">
        <f>IFERROR(MATCH(A2465,Deals!$A$2:$A$843,0),"")</f>
        <v/>
      </c>
      <c r="G2465">
        <f>IF(F2465="",0,1)</f>
        <v/>
      </c>
      <c r="H2465" s="29">
        <f>IF(F2465="","",INDEX(Deals!$E$2:$E$843,F2465))</f>
        <v/>
      </c>
      <c r="I2465">
        <f>IF(F2465="","",INDEX(Deals!$D$2:$D$843,F2465))</f>
        <v/>
      </c>
      <c r="J2465">
        <f>IF(F2465="","",INT(H2465)-B2465)</f>
        <v/>
      </c>
      <c r="K2465">
        <f>IF(B2465&gt;=Settings!$C$5,1,0)</f>
        <v/>
      </c>
    </row>
    <row r="2466">
      <c r="A2466" t="inlineStr">
        <is>
          <t>23950fd434a60d9c5b55ce6f09bd30a6</t>
        </is>
      </c>
      <c r="B2466" s="29" t="n">
        <v>42969</v>
      </c>
      <c r="C2466" t="inlineStr">
        <is>
          <t>2017-08</t>
        </is>
      </c>
      <c r="D2466" t="inlineStr">
        <is>
          <t>0d6bc3c00e4e64927cae2e8d9c6a0b9b</t>
        </is>
      </c>
      <c r="E2466" t="inlineStr">
        <is>
          <t>paid_search</t>
        </is>
      </c>
      <c r="F2466">
        <f>IFERROR(MATCH(A2466,Deals!$A$2:$A$843,0),"")</f>
        <v/>
      </c>
      <c r="G2466">
        <f>IF(F2466="",0,1)</f>
        <v/>
      </c>
      <c r="H2466" s="29">
        <f>IF(F2466="","",INDEX(Deals!$E$2:$E$843,F2466))</f>
        <v/>
      </c>
      <c r="I2466">
        <f>IF(F2466="","",INDEX(Deals!$D$2:$D$843,F2466))</f>
        <v/>
      </c>
      <c r="J2466">
        <f>IF(F2466="","",INT(H2466)-B2466)</f>
        <v/>
      </c>
      <c r="K2466">
        <f>IF(B2466&gt;=Settings!$C$5,1,0)</f>
        <v/>
      </c>
    </row>
    <row r="2467">
      <c r="A2467" t="inlineStr">
        <is>
          <t>b210d3789a96350fb4b8e79720ea5976</t>
        </is>
      </c>
      <c r="B2467" s="29" t="n">
        <v>43113</v>
      </c>
      <c r="C2467" t="inlineStr">
        <is>
          <t>2018-01</t>
        </is>
      </c>
      <c r="D2467" t="inlineStr">
        <is>
          <t>a7982125ff7aa3b2054c6e44f9d28522</t>
        </is>
      </c>
      <c r="E2467" t="inlineStr">
        <is>
          <t>social</t>
        </is>
      </c>
      <c r="F2467">
        <f>IFERROR(MATCH(A2467,Deals!$A$2:$A$843,0),"")</f>
        <v/>
      </c>
      <c r="G2467">
        <f>IF(F2467="",0,1)</f>
        <v/>
      </c>
      <c r="H2467" s="29">
        <f>IF(F2467="","",INDEX(Deals!$E$2:$E$843,F2467))</f>
        <v/>
      </c>
      <c r="I2467">
        <f>IF(F2467="","",INDEX(Deals!$D$2:$D$843,F2467))</f>
        <v/>
      </c>
      <c r="J2467">
        <f>IF(F2467="","",INT(H2467)-B2467)</f>
        <v/>
      </c>
      <c r="K2467">
        <f>IF(B2467&gt;=Settings!$C$5,1,0)</f>
        <v/>
      </c>
    </row>
    <row r="2468">
      <c r="A2468" t="inlineStr">
        <is>
          <t>a577349580779b4a1d0146250bf13ed7</t>
        </is>
      </c>
      <c r="B2468" s="29" t="n">
        <v>43208</v>
      </c>
      <c r="C2468" t="inlineStr">
        <is>
          <t>2018-04</t>
        </is>
      </c>
      <c r="D2468" t="inlineStr">
        <is>
          <t>b76ef37428e6799c421989521c0e5077</t>
        </is>
      </c>
      <c r="E2468" t="inlineStr">
        <is>
          <t>paid_search</t>
        </is>
      </c>
      <c r="F2468">
        <f>IFERROR(MATCH(A2468,Deals!$A$2:$A$843,0),"")</f>
        <v/>
      </c>
      <c r="G2468">
        <f>IF(F2468="",0,1)</f>
        <v/>
      </c>
      <c r="H2468" s="29">
        <f>IF(F2468="","",INDEX(Deals!$E$2:$E$843,F2468))</f>
        <v/>
      </c>
      <c r="I2468">
        <f>IF(F2468="","",INDEX(Deals!$D$2:$D$843,F2468))</f>
        <v/>
      </c>
      <c r="J2468">
        <f>IF(F2468="","",INT(H2468)-B2468)</f>
        <v/>
      </c>
      <c r="K2468">
        <f>IF(B2468&gt;=Settings!$C$5,1,0)</f>
        <v/>
      </c>
    </row>
    <row r="2469">
      <c r="A2469" t="inlineStr">
        <is>
          <t>c34c0674051bde0e8850f8ce4f2ca37f</t>
        </is>
      </c>
      <c r="B2469" s="29" t="n">
        <v>43239</v>
      </c>
      <c r="C2469" t="inlineStr">
        <is>
          <t>2018-05</t>
        </is>
      </c>
      <c r="D2469" t="inlineStr">
        <is>
          <t>58326e62183c14b0c03085c33b9fdc44</t>
        </is>
      </c>
      <c r="E2469" t="inlineStr">
        <is>
          <t>social</t>
        </is>
      </c>
      <c r="F2469">
        <f>IFERROR(MATCH(A2469,Deals!$A$2:$A$843,0),"")</f>
        <v/>
      </c>
      <c r="G2469">
        <f>IF(F2469="",0,1)</f>
        <v/>
      </c>
      <c r="H2469" s="29">
        <f>IF(F2469="","",INDEX(Deals!$E$2:$E$843,F2469))</f>
        <v/>
      </c>
      <c r="I2469">
        <f>IF(F2469="","",INDEX(Deals!$D$2:$D$843,F2469))</f>
        <v/>
      </c>
      <c r="J2469">
        <f>IF(F2469="","",INT(H2469)-B2469)</f>
        <v/>
      </c>
      <c r="K2469">
        <f>IF(B2469&gt;=Settings!$C$5,1,0)</f>
        <v/>
      </c>
    </row>
    <row r="2470">
      <c r="A2470" t="inlineStr">
        <is>
          <t>bd442fb1060e3f68dde9ffdf2dedded5</t>
        </is>
      </c>
      <c r="B2470" s="29" t="n">
        <v>43069</v>
      </c>
      <c r="C2470" t="inlineStr">
        <is>
          <t>2017-11</t>
        </is>
      </c>
      <c r="D2470" t="inlineStr">
        <is>
          <t>58f8c0a253663304e348e81298bc255e</t>
        </is>
      </c>
      <c r="E2470" t="inlineStr">
        <is>
          <t>direct_traffic</t>
        </is>
      </c>
      <c r="F2470">
        <f>IFERROR(MATCH(A2470,Deals!$A$2:$A$843,0),"")</f>
        <v/>
      </c>
      <c r="G2470">
        <f>IF(F2470="",0,1)</f>
        <v/>
      </c>
      <c r="H2470" s="29">
        <f>IF(F2470="","",INDEX(Deals!$E$2:$E$843,F2470))</f>
        <v/>
      </c>
      <c r="I2470">
        <f>IF(F2470="","",INDEX(Deals!$D$2:$D$843,F2470))</f>
        <v/>
      </c>
      <c r="J2470">
        <f>IF(F2470="","",INT(H2470)-B2470)</f>
        <v/>
      </c>
      <c r="K2470">
        <f>IF(B2470&gt;=Settings!$C$5,1,0)</f>
        <v/>
      </c>
    </row>
    <row r="2471">
      <c r="A2471" t="inlineStr">
        <is>
          <t>98885cb05f04f6d492cbb85504db9787</t>
        </is>
      </c>
      <c r="B2471" s="29" t="n">
        <v>43244</v>
      </c>
      <c r="C2471" t="inlineStr">
        <is>
          <t>2018-05</t>
        </is>
      </c>
      <c r="D2471" t="inlineStr">
        <is>
          <t>1f2ef44bd62ca960c9391166cae6fd3c</t>
        </is>
      </c>
      <c r="E2471" t="inlineStr">
        <is>
          <t>other_publicities</t>
        </is>
      </c>
      <c r="F2471">
        <f>IFERROR(MATCH(A2471,Deals!$A$2:$A$843,0),"")</f>
        <v/>
      </c>
      <c r="G2471">
        <f>IF(F2471="",0,1)</f>
        <v/>
      </c>
      <c r="H2471" s="29">
        <f>IF(F2471="","",INDEX(Deals!$E$2:$E$843,F2471))</f>
        <v/>
      </c>
      <c r="I2471">
        <f>IF(F2471="","",INDEX(Deals!$D$2:$D$843,F2471))</f>
        <v/>
      </c>
      <c r="J2471">
        <f>IF(F2471="","",INT(H2471)-B2471)</f>
        <v/>
      </c>
      <c r="K2471">
        <f>IF(B2471&gt;=Settings!$C$5,1,0)</f>
        <v/>
      </c>
    </row>
    <row r="2472">
      <c r="A2472" t="inlineStr">
        <is>
          <t>3c13b54db21952663b5775d142be0ed2</t>
        </is>
      </c>
      <c r="B2472" s="29" t="n">
        <v>43126</v>
      </c>
      <c r="C2472" t="inlineStr">
        <is>
          <t>2018-01</t>
        </is>
      </c>
      <c r="D2472" t="inlineStr">
        <is>
          <t>88740e65d5d6b056e0cda098e1ea6313</t>
        </is>
      </c>
      <c r="E2472" t="inlineStr">
        <is>
          <t>social</t>
        </is>
      </c>
      <c r="F2472">
        <f>IFERROR(MATCH(A2472,Deals!$A$2:$A$843,0),"")</f>
        <v/>
      </c>
      <c r="G2472">
        <f>IF(F2472="",0,1)</f>
        <v/>
      </c>
      <c r="H2472" s="29">
        <f>IF(F2472="","",INDEX(Deals!$E$2:$E$843,F2472))</f>
        <v/>
      </c>
      <c r="I2472">
        <f>IF(F2472="","",INDEX(Deals!$D$2:$D$843,F2472))</f>
        <v/>
      </c>
      <c r="J2472">
        <f>IF(F2472="","",INT(H2472)-B2472)</f>
        <v/>
      </c>
      <c r="K2472">
        <f>IF(B2472&gt;=Settings!$C$5,1,0)</f>
        <v/>
      </c>
    </row>
    <row r="2473">
      <c r="A2473" t="inlineStr">
        <is>
          <t>88459e18041da7409cf4533bb826880b</t>
        </is>
      </c>
      <c r="B2473" s="29" t="n">
        <v>43150</v>
      </c>
      <c r="C2473" t="inlineStr">
        <is>
          <t>2018-02</t>
        </is>
      </c>
      <c r="D2473" t="inlineStr">
        <is>
          <t>649b7b8b46b254497e92038d88f6ced8</t>
        </is>
      </c>
      <c r="E2473" t="inlineStr">
        <is>
          <t>social</t>
        </is>
      </c>
      <c r="F2473">
        <f>IFERROR(MATCH(A2473,Deals!$A$2:$A$843,0),"")</f>
        <v/>
      </c>
      <c r="G2473">
        <f>IF(F2473="",0,1)</f>
        <v/>
      </c>
      <c r="H2473" s="29">
        <f>IF(F2473="","",INDEX(Deals!$E$2:$E$843,F2473))</f>
        <v/>
      </c>
      <c r="I2473">
        <f>IF(F2473="","",INDEX(Deals!$D$2:$D$843,F2473))</f>
        <v/>
      </c>
      <c r="J2473">
        <f>IF(F2473="","",INT(H2473)-B2473)</f>
        <v/>
      </c>
      <c r="K2473">
        <f>IF(B2473&gt;=Settings!$C$5,1,0)</f>
        <v/>
      </c>
    </row>
    <row r="2474">
      <c r="A2474" t="inlineStr">
        <is>
          <t>95e00030b8bd03e7c44548a60263ee6d</t>
        </is>
      </c>
      <c r="B2474" s="29" t="n">
        <v>43174</v>
      </c>
      <c r="C2474" t="inlineStr">
        <is>
          <t>2018-03</t>
        </is>
      </c>
      <c r="D2474" t="inlineStr">
        <is>
          <t>daa9619c6f8ed06d059265dca0f9257f</t>
        </is>
      </c>
      <c r="E2474" t="inlineStr">
        <is>
          <t>unknown</t>
        </is>
      </c>
      <c r="F2474">
        <f>IFERROR(MATCH(A2474,Deals!$A$2:$A$843,0),"")</f>
        <v/>
      </c>
      <c r="G2474">
        <f>IF(F2474="",0,1)</f>
        <v/>
      </c>
      <c r="H2474" s="29">
        <f>IF(F2474="","",INDEX(Deals!$E$2:$E$843,F2474))</f>
        <v/>
      </c>
      <c r="I2474">
        <f>IF(F2474="","",INDEX(Deals!$D$2:$D$843,F2474))</f>
        <v/>
      </c>
      <c r="J2474">
        <f>IF(F2474="","",INT(H2474)-B2474)</f>
        <v/>
      </c>
      <c r="K2474">
        <f>IF(B2474&gt;=Settings!$C$5,1,0)</f>
        <v/>
      </c>
    </row>
    <row r="2475">
      <c r="A2475" t="inlineStr">
        <is>
          <t>f1ac05f17b46ec530353d295ff77c508</t>
        </is>
      </c>
      <c r="B2475" s="29" t="n">
        <v>43117</v>
      </c>
      <c r="C2475" t="inlineStr">
        <is>
          <t>2018-01</t>
        </is>
      </c>
      <c r="D2475" t="inlineStr">
        <is>
          <t>88740e65d5d6b056e0cda098e1ea6313</t>
        </is>
      </c>
      <c r="E2475" t="inlineStr">
        <is>
          <t>social</t>
        </is>
      </c>
      <c r="F2475">
        <f>IFERROR(MATCH(A2475,Deals!$A$2:$A$843,0),"")</f>
        <v/>
      </c>
      <c r="G2475">
        <f>IF(F2475="",0,1)</f>
        <v/>
      </c>
      <c r="H2475" s="29">
        <f>IF(F2475="","",INDEX(Deals!$E$2:$E$843,F2475))</f>
        <v/>
      </c>
      <c r="I2475">
        <f>IF(F2475="","",INDEX(Deals!$D$2:$D$843,F2475))</f>
        <v/>
      </c>
      <c r="J2475">
        <f>IF(F2475="","",INT(H2475)-B2475)</f>
        <v/>
      </c>
      <c r="K2475">
        <f>IF(B2475&gt;=Settings!$C$5,1,0)</f>
        <v/>
      </c>
    </row>
    <row r="2476">
      <c r="A2476" t="inlineStr">
        <is>
          <t>75d281aa6b0e43509bb8bf8d6e57ca28</t>
        </is>
      </c>
      <c r="B2476" s="29" t="n">
        <v>43203</v>
      </c>
      <c r="C2476" t="inlineStr">
        <is>
          <t>2018-04</t>
        </is>
      </c>
      <c r="D2476" t="inlineStr">
        <is>
          <t>73f31a40697cc90a86c1273563ac230e</t>
        </is>
      </c>
      <c r="E2476" t="inlineStr">
        <is>
          <t>other</t>
        </is>
      </c>
      <c r="F2476">
        <f>IFERROR(MATCH(A2476,Deals!$A$2:$A$843,0),"")</f>
        <v/>
      </c>
      <c r="G2476">
        <f>IF(F2476="",0,1)</f>
        <v/>
      </c>
      <c r="H2476" s="29">
        <f>IF(F2476="","",INDEX(Deals!$E$2:$E$843,F2476))</f>
        <v/>
      </c>
      <c r="I2476">
        <f>IF(F2476="","",INDEX(Deals!$D$2:$D$843,F2476))</f>
        <v/>
      </c>
      <c r="J2476">
        <f>IF(F2476="","",INT(H2476)-B2476)</f>
        <v/>
      </c>
      <c r="K2476">
        <f>IF(B2476&gt;=Settings!$C$5,1,0)</f>
        <v/>
      </c>
    </row>
    <row r="2477">
      <c r="A2477" t="inlineStr">
        <is>
          <t>856a7819fdb79bbe8ae25fc835c35aba</t>
        </is>
      </c>
      <c r="B2477" s="29" t="n">
        <v>43234</v>
      </c>
      <c r="C2477" t="inlineStr">
        <is>
          <t>2018-05</t>
        </is>
      </c>
      <c r="D2477" t="inlineStr">
        <is>
          <t>358adb2fee9a122549618e46925a00a5</t>
        </is>
      </c>
      <c r="E2477" t="inlineStr">
        <is>
          <t>paid_search</t>
        </is>
      </c>
      <c r="F2477">
        <f>IFERROR(MATCH(A2477,Deals!$A$2:$A$843,0),"")</f>
        <v/>
      </c>
      <c r="G2477">
        <f>IF(F2477="",0,1)</f>
        <v/>
      </c>
      <c r="H2477" s="29">
        <f>IF(F2477="","",INDEX(Deals!$E$2:$E$843,F2477))</f>
        <v/>
      </c>
      <c r="I2477">
        <f>IF(F2477="","",INDEX(Deals!$D$2:$D$843,F2477))</f>
        <v/>
      </c>
      <c r="J2477">
        <f>IF(F2477="","",INT(H2477)-B2477)</f>
        <v/>
      </c>
      <c r="K2477">
        <f>IF(B2477&gt;=Settings!$C$5,1,0)</f>
        <v/>
      </c>
    </row>
    <row r="2478">
      <c r="A2478" t="inlineStr">
        <is>
          <t>a0604c9d9ef23fbf7cb7be5091201041</t>
        </is>
      </c>
      <c r="B2478" s="29" t="n">
        <v>43187</v>
      </c>
      <c r="C2478" t="inlineStr">
        <is>
          <t>2018-03</t>
        </is>
      </c>
      <c r="D2478" t="inlineStr">
        <is>
          <t>ee40ded7dc801923f81ab6dbbf6e5417</t>
        </is>
      </c>
      <c r="E2478" t="inlineStr">
        <is>
          <t>unknown</t>
        </is>
      </c>
      <c r="F2478">
        <f>IFERROR(MATCH(A2478,Deals!$A$2:$A$843,0),"")</f>
        <v/>
      </c>
      <c r="G2478">
        <f>IF(F2478="",0,1)</f>
        <v/>
      </c>
      <c r="H2478" s="29">
        <f>IF(F2478="","",INDEX(Deals!$E$2:$E$843,F2478))</f>
        <v/>
      </c>
      <c r="I2478">
        <f>IF(F2478="","",INDEX(Deals!$D$2:$D$843,F2478))</f>
        <v/>
      </c>
      <c r="J2478">
        <f>IF(F2478="","",INT(H2478)-B2478)</f>
        <v/>
      </c>
      <c r="K2478">
        <f>IF(B2478&gt;=Settings!$C$5,1,0)</f>
        <v/>
      </c>
    </row>
    <row r="2479">
      <c r="A2479" t="inlineStr">
        <is>
          <t>d589dd26d0c0260c8a2001f8db379c14</t>
        </is>
      </c>
      <c r="B2479" s="29" t="n">
        <v>43126</v>
      </c>
      <c r="C2479" t="inlineStr">
        <is>
          <t>2018-01</t>
        </is>
      </c>
      <c r="D2479" t="inlineStr">
        <is>
          <t>ce1a65abd0973638f1c887a6efcfa82d</t>
        </is>
      </c>
      <c r="E2479" t="inlineStr">
        <is>
          <t>organic_search</t>
        </is>
      </c>
      <c r="F2479">
        <f>IFERROR(MATCH(A2479,Deals!$A$2:$A$843,0),"")</f>
        <v/>
      </c>
      <c r="G2479">
        <f>IF(F2479="",0,1)</f>
        <v/>
      </c>
      <c r="H2479" s="29">
        <f>IF(F2479="","",INDEX(Deals!$E$2:$E$843,F2479))</f>
        <v/>
      </c>
      <c r="I2479">
        <f>IF(F2479="","",INDEX(Deals!$D$2:$D$843,F2479))</f>
        <v/>
      </c>
      <c r="J2479">
        <f>IF(F2479="","",INT(H2479)-B2479)</f>
        <v/>
      </c>
      <c r="K2479">
        <f>IF(B2479&gt;=Settings!$C$5,1,0)</f>
        <v/>
      </c>
    </row>
    <row r="2480">
      <c r="A2480" t="inlineStr">
        <is>
          <t>931cad0d73bc5648212d48966f6fcc21</t>
        </is>
      </c>
      <c r="B2480" s="29" t="n">
        <v>43108</v>
      </c>
      <c r="C2480" t="inlineStr">
        <is>
          <t>2018-01</t>
        </is>
      </c>
      <c r="D2480" t="inlineStr">
        <is>
          <t>73f31a40697cc90a86c1273563ac230e</t>
        </is>
      </c>
      <c r="E2480" t="inlineStr">
        <is>
          <t>other</t>
        </is>
      </c>
      <c r="F2480">
        <f>IFERROR(MATCH(A2480,Deals!$A$2:$A$843,0),"")</f>
        <v/>
      </c>
      <c r="G2480">
        <f>IF(F2480="",0,1)</f>
        <v/>
      </c>
      <c r="H2480" s="29">
        <f>IF(F2480="","",INDEX(Deals!$E$2:$E$843,F2480))</f>
        <v/>
      </c>
      <c r="I2480">
        <f>IF(F2480="","",INDEX(Deals!$D$2:$D$843,F2480))</f>
        <v/>
      </c>
      <c r="J2480">
        <f>IF(F2480="","",INT(H2480)-B2480)</f>
        <v/>
      </c>
      <c r="K2480">
        <f>IF(B2480&gt;=Settings!$C$5,1,0)</f>
        <v/>
      </c>
    </row>
    <row r="2481">
      <c r="A2481" t="inlineStr">
        <is>
          <t>a8edf505b8c0d810010b3573c9316929</t>
        </is>
      </c>
      <c r="B2481" s="29" t="n">
        <v>43122</v>
      </c>
      <c r="C2481" t="inlineStr">
        <is>
          <t>2018-01</t>
        </is>
      </c>
      <c r="D2481" t="inlineStr">
        <is>
          <t>f017be4dbf86243af5c1ebed0cff36a2</t>
        </is>
      </c>
      <c r="E2481" t="inlineStr">
        <is>
          <t>organic_search</t>
        </is>
      </c>
      <c r="F2481">
        <f>IFERROR(MATCH(A2481,Deals!$A$2:$A$843,0),"")</f>
        <v/>
      </c>
      <c r="G2481">
        <f>IF(F2481="",0,1)</f>
        <v/>
      </c>
      <c r="H2481" s="29">
        <f>IF(F2481="","",INDEX(Deals!$E$2:$E$843,F2481))</f>
        <v/>
      </c>
      <c r="I2481">
        <f>IF(F2481="","",INDEX(Deals!$D$2:$D$843,F2481))</f>
        <v/>
      </c>
      <c r="J2481">
        <f>IF(F2481="","",INT(H2481)-B2481)</f>
        <v/>
      </c>
      <c r="K2481">
        <f>IF(B2481&gt;=Settings!$C$5,1,0)</f>
        <v/>
      </c>
    </row>
    <row r="2482">
      <c r="A2482" t="inlineStr">
        <is>
          <t>cade2aee3b1062fe9c6314856ba263e7</t>
        </is>
      </c>
      <c r="B2482" s="29" t="n">
        <v>43218</v>
      </c>
      <c r="C2482" t="inlineStr">
        <is>
          <t>2018-04</t>
        </is>
      </c>
      <c r="D2482" t="inlineStr">
        <is>
          <t>f80696b73d17fb34f5c4fde157f119d8</t>
        </is>
      </c>
      <c r="E2482" t="inlineStr">
        <is>
          <t>email</t>
        </is>
      </c>
      <c r="F2482">
        <f>IFERROR(MATCH(A2482,Deals!$A$2:$A$843,0),"")</f>
        <v/>
      </c>
      <c r="G2482">
        <f>IF(F2482="",0,1)</f>
        <v/>
      </c>
      <c r="H2482" s="29">
        <f>IF(F2482="","",INDEX(Deals!$E$2:$E$843,F2482))</f>
        <v/>
      </c>
      <c r="I2482">
        <f>IF(F2482="","",INDEX(Deals!$D$2:$D$843,F2482))</f>
        <v/>
      </c>
      <c r="J2482">
        <f>IF(F2482="","",INT(H2482)-B2482)</f>
        <v/>
      </c>
      <c r="K2482">
        <f>IF(B2482&gt;=Settings!$C$5,1,0)</f>
        <v/>
      </c>
    </row>
    <row r="2483">
      <c r="A2483" t="inlineStr">
        <is>
          <t>3069e0434a72c4ca9efd86b81a43957c</t>
        </is>
      </c>
      <c r="B2483" s="29" t="n">
        <v>43117</v>
      </c>
      <c r="C2483" t="inlineStr">
        <is>
          <t>2018-01</t>
        </is>
      </c>
      <c r="D2483" t="inlineStr">
        <is>
          <t>b76ef37428e6799c421989521c0e5077</t>
        </is>
      </c>
      <c r="E2483" t="inlineStr">
        <is>
          <t>other</t>
        </is>
      </c>
      <c r="F2483">
        <f>IFERROR(MATCH(A2483,Deals!$A$2:$A$843,0),"")</f>
        <v/>
      </c>
      <c r="G2483">
        <f>IF(F2483="",0,1)</f>
        <v/>
      </c>
      <c r="H2483" s="29">
        <f>IF(F2483="","",INDEX(Deals!$E$2:$E$843,F2483))</f>
        <v/>
      </c>
      <c r="I2483">
        <f>IF(F2483="","",INDEX(Deals!$D$2:$D$843,F2483))</f>
        <v/>
      </c>
      <c r="J2483">
        <f>IF(F2483="","",INT(H2483)-B2483)</f>
        <v/>
      </c>
      <c r="K2483">
        <f>IF(B2483&gt;=Settings!$C$5,1,0)</f>
        <v/>
      </c>
    </row>
    <row r="2484">
      <c r="A2484" t="inlineStr">
        <is>
          <t>88e3fa7a7462c4ce017655ee2ea2ad46</t>
        </is>
      </c>
      <c r="B2484" s="29" t="n">
        <v>43186</v>
      </c>
      <c r="C2484" t="inlineStr">
        <is>
          <t>2018-03</t>
        </is>
      </c>
      <c r="D2484" t="inlineStr">
        <is>
          <t>b76ef37428e6799c421989521c0e5077</t>
        </is>
      </c>
      <c r="E2484" t="inlineStr">
        <is>
          <t>paid_search</t>
        </is>
      </c>
      <c r="F2484">
        <f>IFERROR(MATCH(A2484,Deals!$A$2:$A$843,0),"")</f>
        <v/>
      </c>
      <c r="G2484">
        <f>IF(F2484="",0,1)</f>
        <v/>
      </c>
      <c r="H2484" s="29">
        <f>IF(F2484="","",INDEX(Deals!$E$2:$E$843,F2484))</f>
        <v/>
      </c>
      <c r="I2484">
        <f>IF(F2484="","",INDEX(Deals!$D$2:$D$843,F2484))</f>
        <v/>
      </c>
      <c r="J2484">
        <f>IF(F2484="","",INT(H2484)-B2484)</f>
        <v/>
      </c>
      <c r="K2484">
        <f>IF(B2484&gt;=Settings!$C$5,1,0)</f>
        <v/>
      </c>
    </row>
    <row r="2485">
      <c r="A2485" t="inlineStr">
        <is>
          <t>effd6e9cd3f0b5bce88107b4cbcd4a8b</t>
        </is>
      </c>
      <c r="B2485" s="29" t="n">
        <v>43130</v>
      </c>
      <c r="C2485" t="inlineStr">
        <is>
          <t>2018-01</t>
        </is>
      </c>
      <c r="D2485" t="inlineStr">
        <is>
          <t>27cd3540bace1f4a4b2bc6d319b0553c</t>
        </is>
      </c>
      <c r="E2485" t="inlineStr">
        <is>
          <t>unknown</t>
        </is>
      </c>
      <c r="F2485">
        <f>IFERROR(MATCH(A2485,Deals!$A$2:$A$843,0),"")</f>
        <v/>
      </c>
      <c r="G2485">
        <f>IF(F2485="",0,1)</f>
        <v/>
      </c>
      <c r="H2485" s="29">
        <f>IF(F2485="","",INDEX(Deals!$E$2:$E$843,F2485))</f>
        <v/>
      </c>
      <c r="I2485">
        <f>IF(F2485="","",INDEX(Deals!$D$2:$D$843,F2485))</f>
        <v/>
      </c>
      <c r="J2485">
        <f>IF(F2485="","",INT(H2485)-B2485)</f>
        <v/>
      </c>
      <c r="K2485">
        <f>IF(B2485&gt;=Settings!$C$5,1,0)</f>
        <v/>
      </c>
    </row>
    <row r="2486">
      <c r="A2486" t="inlineStr">
        <is>
          <t>7ea03f4ac6f9e60de3b59ebf784b22d6</t>
        </is>
      </c>
      <c r="B2486" s="29" t="n">
        <v>43157</v>
      </c>
      <c r="C2486" t="inlineStr">
        <is>
          <t>2018-02</t>
        </is>
      </c>
      <c r="D2486" t="inlineStr">
        <is>
          <t>b76ef37428e6799c421989521c0e5077</t>
        </is>
      </c>
      <c r="E2486" t="inlineStr">
        <is>
          <t>unknown</t>
        </is>
      </c>
      <c r="F2486">
        <f>IFERROR(MATCH(A2486,Deals!$A$2:$A$843,0),"")</f>
        <v/>
      </c>
      <c r="G2486">
        <f>IF(F2486="",0,1)</f>
        <v/>
      </c>
      <c r="H2486" s="29">
        <f>IF(F2486="","",INDEX(Deals!$E$2:$E$843,F2486))</f>
        <v/>
      </c>
      <c r="I2486">
        <f>IF(F2486="","",INDEX(Deals!$D$2:$D$843,F2486))</f>
        <v/>
      </c>
      <c r="J2486">
        <f>IF(F2486="","",INT(H2486)-B2486)</f>
        <v/>
      </c>
      <c r="K2486">
        <f>IF(B2486&gt;=Settings!$C$5,1,0)</f>
        <v/>
      </c>
    </row>
    <row r="2487">
      <c r="A2487" t="inlineStr">
        <is>
          <t>e7b5b8a1ae60d4207a0837248daf1599</t>
        </is>
      </c>
      <c r="B2487" s="29" t="n">
        <v>43137</v>
      </c>
      <c r="C2487" t="inlineStr">
        <is>
          <t>2018-02</t>
        </is>
      </c>
      <c r="D2487" t="inlineStr">
        <is>
          <t>a7982125ff7aa3b2054c6e44f9d28522</t>
        </is>
      </c>
      <c r="E2487" t="inlineStr">
        <is>
          <t>organic_search</t>
        </is>
      </c>
      <c r="F2487">
        <f>IFERROR(MATCH(A2487,Deals!$A$2:$A$843,0),"")</f>
        <v/>
      </c>
      <c r="G2487">
        <f>IF(F2487="",0,1)</f>
        <v/>
      </c>
      <c r="H2487" s="29">
        <f>IF(F2487="","",INDEX(Deals!$E$2:$E$843,F2487))</f>
        <v/>
      </c>
      <c r="I2487">
        <f>IF(F2487="","",INDEX(Deals!$D$2:$D$843,F2487))</f>
        <v/>
      </c>
      <c r="J2487">
        <f>IF(F2487="","",INT(H2487)-B2487)</f>
        <v/>
      </c>
      <c r="K2487">
        <f>IF(B2487&gt;=Settings!$C$5,1,0)</f>
        <v/>
      </c>
    </row>
    <row r="2488">
      <c r="A2488" t="inlineStr">
        <is>
          <t>075b352cd6b628c1b964ec661127d4fa</t>
        </is>
      </c>
      <c r="B2488" s="29" t="n">
        <v>43119</v>
      </c>
      <c r="C2488" t="inlineStr">
        <is>
          <t>2018-01</t>
        </is>
      </c>
      <c r="D2488" t="inlineStr">
        <is>
          <t>b76ef37428e6799c421989521c0e5077</t>
        </is>
      </c>
      <c r="E2488" t="inlineStr">
        <is>
          <t>unknown</t>
        </is>
      </c>
      <c r="F2488">
        <f>IFERROR(MATCH(A2488,Deals!$A$2:$A$843,0),"")</f>
        <v/>
      </c>
      <c r="G2488">
        <f>IF(F2488="",0,1)</f>
        <v/>
      </c>
      <c r="H2488" s="29">
        <f>IF(F2488="","",INDEX(Deals!$E$2:$E$843,F2488))</f>
        <v/>
      </c>
      <c r="I2488">
        <f>IF(F2488="","",INDEX(Deals!$D$2:$D$843,F2488))</f>
        <v/>
      </c>
      <c r="J2488">
        <f>IF(F2488="","",INT(H2488)-B2488)</f>
        <v/>
      </c>
      <c r="K2488">
        <f>IF(B2488&gt;=Settings!$C$5,1,0)</f>
        <v/>
      </c>
    </row>
    <row r="2489">
      <c r="A2489" t="inlineStr">
        <is>
          <t>3cd2d4372341b4fab9a6775852024e45</t>
        </is>
      </c>
      <c r="B2489" s="29" t="n">
        <v>43182</v>
      </c>
      <c r="C2489" t="inlineStr">
        <is>
          <t>2018-03</t>
        </is>
      </c>
      <c r="D2489" t="inlineStr">
        <is>
          <t>cf747f07a385ddb157f79df52898ab14</t>
        </is>
      </c>
      <c r="E2489" t="inlineStr">
        <is>
          <t>organic_search</t>
        </is>
      </c>
      <c r="F2489">
        <f>IFERROR(MATCH(A2489,Deals!$A$2:$A$843,0),"")</f>
        <v/>
      </c>
      <c r="G2489">
        <f>IF(F2489="",0,1)</f>
        <v/>
      </c>
      <c r="H2489" s="29">
        <f>IF(F2489="","",INDEX(Deals!$E$2:$E$843,F2489))</f>
        <v/>
      </c>
      <c r="I2489">
        <f>IF(F2489="","",INDEX(Deals!$D$2:$D$843,F2489))</f>
        <v/>
      </c>
      <c r="J2489">
        <f>IF(F2489="","",INT(H2489)-B2489)</f>
        <v/>
      </c>
      <c r="K2489">
        <f>IF(B2489&gt;=Settings!$C$5,1,0)</f>
        <v/>
      </c>
    </row>
    <row r="2490">
      <c r="A2490" t="inlineStr">
        <is>
          <t>5ef8cf77201dc48f2a2f22cd14ec648c</t>
        </is>
      </c>
      <c r="B2490" s="29" t="n">
        <v>43174</v>
      </c>
      <c r="C2490" t="inlineStr">
        <is>
          <t>2018-03</t>
        </is>
      </c>
      <c r="D2490" t="inlineStr">
        <is>
          <t>330b9d44078a1ae5a221d655dcb77afa</t>
        </is>
      </c>
      <c r="E2490" t="inlineStr">
        <is>
          <t>email</t>
        </is>
      </c>
      <c r="F2490">
        <f>IFERROR(MATCH(A2490,Deals!$A$2:$A$843,0),"")</f>
        <v/>
      </c>
      <c r="G2490">
        <f>IF(F2490="",0,1)</f>
        <v/>
      </c>
      <c r="H2490" s="29">
        <f>IF(F2490="","",INDEX(Deals!$E$2:$E$843,F2490))</f>
        <v/>
      </c>
      <c r="I2490">
        <f>IF(F2490="","",INDEX(Deals!$D$2:$D$843,F2490))</f>
        <v/>
      </c>
      <c r="J2490">
        <f>IF(F2490="","",INT(H2490)-B2490)</f>
        <v/>
      </c>
      <c r="K2490">
        <f>IF(B2490&gt;=Settings!$C$5,1,0)</f>
        <v/>
      </c>
    </row>
    <row r="2491">
      <c r="A2491" t="inlineStr">
        <is>
          <t>6b1e2c2e15d2f2696ea4e0f911334f6b</t>
        </is>
      </c>
      <c r="B2491" s="29" t="n">
        <v>43188</v>
      </c>
      <c r="C2491" t="inlineStr">
        <is>
          <t>2018-03</t>
        </is>
      </c>
      <c r="D2491" t="inlineStr">
        <is>
          <t>fbc24da54d531c6204ae2d17b1090bb1</t>
        </is>
      </c>
      <c r="E2491" t="inlineStr">
        <is>
          <t>paid_search</t>
        </is>
      </c>
      <c r="F2491">
        <f>IFERROR(MATCH(A2491,Deals!$A$2:$A$843,0),"")</f>
        <v/>
      </c>
      <c r="G2491">
        <f>IF(F2491="",0,1)</f>
        <v/>
      </c>
      <c r="H2491" s="29">
        <f>IF(F2491="","",INDEX(Deals!$E$2:$E$843,F2491))</f>
        <v/>
      </c>
      <c r="I2491">
        <f>IF(F2491="","",INDEX(Deals!$D$2:$D$843,F2491))</f>
        <v/>
      </c>
      <c r="J2491">
        <f>IF(F2491="","",INT(H2491)-B2491)</f>
        <v/>
      </c>
      <c r="K2491">
        <f>IF(B2491&gt;=Settings!$C$5,1,0)</f>
        <v/>
      </c>
    </row>
    <row r="2492">
      <c r="A2492" t="inlineStr">
        <is>
          <t>97b3628a420221f9e6f4daab23b75070</t>
        </is>
      </c>
      <c r="B2492" s="29" t="n">
        <v>43126</v>
      </c>
      <c r="C2492" t="inlineStr">
        <is>
          <t>2018-01</t>
        </is>
      </c>
      <c r="D2492" t="inlineStr">
        <is>
          <t>b76ef37428e6799c421989521c0e5077</t>
        </is>
      </c>
      <c r="E2492" t="inlineStr">
        <is>
          <t>social</t>
        </is>
      </c>
      <c r="F2492">
        <f>IFERROR(MATCH(A2492,Deals!$A$2:$A$843,0),"")</f>
        <v/>
      </c>
      <c r="G2492">
        <f>IF(F2492="",0,1)</f>
        <v/>
      </c>
      <c r="H2492" s="29">
        <f>IF(F2492="","",INDEX(Deals!$E$2:$E$843,F2492))</f>
        <v/>
      </c>
      <c r="I2492">
        <f>IF(F2492="","",INDEX(Deals!$D$2:$D$843,F2492))</f>
        <v/>
      </c>
      <c r="J2492">
        <f>IF(F2492="","",INT(H2492)-B2492)</f>
        <v/>
      </c>
      <c r="K2492">
        <f>IF(B2492&gt;=Settings!$C$5,1,0)</f>
        <v/>
      </c>
    </row>
    <row r="2493">
      <c r="A2493" t="inlineStr">
        <is>
          <t>e7964b868c9e6d6506e5a69c1b680ee0</t>
        </is>
      </c>
      <c r="B2493" s="29" t="n">
        <v>43065</v>
      </c>
      <c r="C2493" t="inlineStr">
        <is>
          <t>2017-11</t>
        </is>
      </c>
      <c r="D2493" t="inlineStr">
        <is>
          <t>f017be4dbf86243af5c1ebed0cff36a2</t>
        </is>
      </c>
      <c r="E2493" t="inlineStr">
        <is>
          <t>referral</t>
        </is>
      </c>
      <c r="F2493">
        <f>IFERROR(MATCH(A2493,Deals!$A$2:$A$843,0),"")</f>
        <v/>
      </c>
      <c r="G2493">
        <f>IF(F2493="",0,1)</f>
        <v/>
      </c>
      <c r="H2493" s="29">
        <f>IF(F2493="","",INDEX(Deals!$E$2:$E$843,F2493))</f>
        <v/>
      </c>
      <c r="I2493">
        <f>IF(F2493="","",INDEX(Deals!$D$2:$D$843,F2493))</f>
        <v/>
      </c>
      <c r="J2493">
        <f>IF(F2493="","",INT(H2493)-B2493)</f>
        <v/>
      </c>
      <c r="K2493">
        <f>IF(B2493&gt;=Settings!$C$5,1,0)</f>
        <v/>
      </c>
    </row>
    <row r="2494">
      <c r="A2494" t="inlineStr">
        <is>
          <t>cd3b1a524a7c489164eb52735036e4c4</t>
        </is>
      </c>
      <c r="B2494" s="29" t="n">
        <v>43048</v>
      </c>
      <c r="C2494" t="inlineStr">
        <is>
          <t>2017-11</t>
        </is>
      </c>
      <c r="D2494" t="inlineStr">
        <is>
          <t>64078d75b35c1df83ebde92c7babe9d4</t>
        </is>
      </c>
      <c r="E2494" t="inlineStr">
        <is>
          <t>display</t>
        </is>
      </c>
      <c r="F2494">
        <f>IFERROR(MATCH(A2494,Deals!$A$2:$A$843,0),"")</f>
        <v/>
      </c>
      <c r="G2494">
        <f>IF(F2494="",0,1)</f>
        <v/>
      </c>
      <c r="H2494" s="29">
        <f>IF(F2494="","",INDEX(Deals!$E$2:$E$843,F2494))</f>
        <v/>
      </c>
      <c r="I2494">
        <f>IF(F2494="","",INDEX(Deals!$D$2:$D$843,F2494))</f>
        <v/>
      </c>
      <c r="J2494">
        <f>IF(F2494="","",INT(H2494)-B2494)</f>
        <v/>
      </c>
      <c r="K2494">
        <f>IF(B2494&gt;=Settings!$C$5,1,0)</f>
        <v/>
      </c>
    </row>
    <row r="2495">
      <c r="A2495" t="inlineStr">
        <is>
          <t>371e5908cd5d0f190e4479cfdd5e1d9c</t>
        </is>
      </c>
      <c r="B2495" s="29" t="n">
        <v>43208</v>
      </c>
      <c r="C2495" t="inlineStr">
        <is>
          <t>2018-04</t>
        </is>
      </c>
      <c r="D2495" t="inlineStr">
        <is>
          <t>b76ef37428e6799c421989521c0e5077</t>
        </is>
      </c>
      <c r="E2495" t="inlineStr">
        <is>
          <t>organic_search</t>
        </is>
      </c>
      <c r="F2495">
        <f>IFERROR(MATCH(A2495,Deals!$A$2:$A$843,0),"")</f>
        <v/>
      </c>
      <c r="G2495">
        <f>IF(F2495="",0,1)</f>
        <v/>
      </c>
      <c r="H2495" s="29">
        <f>IF(F2495="","",INDEX(Deals!$E$2:$E$843,F2495))</f>
        <v/>
      </c>
      <c r="I2495">
        <f>IF(F2495="","",INDEX(Deals!$D$2:$D$843,F2495))</f>
        <v/>
      </c>
      <c r="J2495">
        <f>IF(F2495="","",INT(H2495)-B2495)</f>
        <v/>
      </c>
      <c r="K2495">
        <f>IF(B2495&gt;=Settings!$C$5,1,0)</f>
        <v/>
      </c>
    </row>
    <row r="2496">
      <c r="A2496" t="inlineStr">
        <is>
          <t>867b587b7c0da5f1af73b47803e60859</t>
        </is>
      </c>
      <c r="B2496" s="29" t="n">
        <v>43194</v>
      </c>
      <c r="C2496" t="inlineStr">
        <is>
          <t>2018-04</t>
        </is>
      </c>
      <c r="D2496" t="inlineStr">
        <is>
          <t>241f79c7a8fe0270f4fb79fcbbcd17ad</t>
        </is>
      </c>
      <c r="E2496" t="inlineStr">
        <is>
          <t>paid_search</t>
        </is>
      </c>
      <c r="F2496">
        <f>IFERROR(MATCH(A2496,Deals!$A$2:$A$843,0),"")</f>
        <v/>
      </c>
      <c r="G2496">
        <f>IF(F2496="",0,1)</f>
        <v/>
      </c>
      <c r="H2496" s="29">
        <f>IF(F2496="","",INDEX(Deals!$E$2:$E$843,F2496))</f>
        <v/>
      </c>
      <c r="I2496">
        <f>IF(F2496="","",INDEX(Deals!$D$2:$D$843,F2496))</f>
        <v/>
      </c>
      <c r="J2496">
        <f>IF(F2496="","",INT(H2496)-B2496)</f>
        <v/>
      </c>
      <c r="K2496">
        <f>IF(B2496&gt;=Settings!$C$5,1,0)</f>
        <v/>
      </c>
    </row>
    <row r="2497">
      <c r="A2497" t="inlineStr">
        <is>
          <t>d26d49b8e4c08eae95a256b23bee031c</t>
        </is>
      </c>
      <c r="B2497" s="29" t="n">
        <v>43112</v>
      </c>
      <c r="C2497" t="inlineStr">
        <is>
          <t>2018-01</t>
        </is>
      </c>
      <c r="D2497" t="inlineStr">
        <is>
          <t>7fa6214d82e911d070f51ef79381b956</t>
        </is>
      </c>
      <c r="E2497" t="inlineStr">
        <is>
          <t>organic_search</t>
        </is>
      </c>
      <c r="F2497">
        <f>IFERROR(MATCH(A2497,Deals!$A$2:$A$843,0),"")</f>
        <v/>
      </c>
      <c r="G2497">
        <f>IF(F2497="",0,1)</f>
        <v/>
      </c>
      <c r="H2497" s="29">
        <f>IF(F2497="","",INDEX(Deals!$E$2:$E$843,F2497))</f>
        <v/>
      </c>
      <c r="I2497">
        <f>IF(F2497="","",INDEX(Deals!$D$2:$D$843,F2497))</f>
        <v/>
      </c>
      <c r="J2497">
        <f>IF(F2497="","",INT(H2497)-B2497)</f>
        <v/>
      </c>
      <c r="K2497">
        <f>IF(B2497&gt;=Settings!$C$5,1,0)</f>
        <v/>
      </c>
    </row>
    <row r="2498">
      <c r="A2498" t="inlineStr">
        <is>
          <t>1768bc8c31a3cd81b33098e5ec2e868f</t>
        </is>
      </c>
      <c r="B2498" s="29" t="n">
        <v>43160</v>
      </c>
      <c r="C2498" t="inlineStr">
        <is>
          <t>2018-03</t>
        </is>
      </c>
      <c r="D2498" t="inlineStr">
        <is>
          <t>22c29808c4f815213303f8933030604c</t>
        </is>
      </c>
      <c r="E2498" t="inlineStr">
        <is>
          <t>organic_search</t>
        </is>
      </c>
      <c r="F2498">
        <f>IFERROR(MATCH(A2498,Deals!$A$2:$A$843,0),"")</f>
        <v/>
      </c>
      <c r="G2498">
        <f>IF(F2498="",0,1)</f>
        <v/>
      </c>
      <c r="H2498" s="29">
        <f>IF(F2498="","",INDEX(Deals!$E$2:$E$843,F2498))</f>
        <v/>
      </c>
      <c r="I2498">
        <f>IF(F2498="","",INDEX(Deals!$D$2:$D$843,F2498))</f>
        <v/>
      </c>
      <c r="J2498">
        <f>IF(F2498="","",INT(H2498)-B2498)</f>
        <v/>
      </c>
      <c r="K2498">
        <f>IF(B2498&gt;=Settings!$C$5,1,0)</f>
        <v/>
      </c>
    </row>
    <row r="2499">
      <c r="A2499" t="inlineStr">
        <is>
          <t>5bee2861956d76fe35e91c33bc4a81b3</t>
        </is>
      </c>
      <c r="B2499" s="29" t="n">
        <v>43175</v>
      </c>
      <c r="C2499" t="inlineStr">
        <is>
          <t>2018-03</t>
        </is>
      </c>
      <c r="D2499" t="inlineStr">
        <is>
          <t>b6885f18d203a61176418c1fb3764815</t>
        </is>
      </c>
      <c r="E2499" t="inlineStr">
        <is>
          <t>paid_search</t>
        </is>
      </c>
      <c r="F2499">
        <f>IFERROR(MATCH(A2499,Deals!$A$2:$A$843,0),"")</f>
        <v/>
      </c>
      <c r="G2499">
        <f>IF(F2499="",0,1)</f>
        <v/>
      </c>
      <c r="H2499" s="29">
        <f>IF(F2499="","",INDEX(Deals!$E$2:$E$843,F2499))</f>
        <v/>
      </c>
      <c r="I2499">
        <f>IF(F2499="","",INDEX(Deals!$D$2:$D$843,F2499))</f>
        <v/>
      </c>
      <c r="J2499">
        <f>IF(F2499="","",INT(H2499)-B2499)</f>
        <v/>
      </c>
      <c r="K2499">
        <f>IF(B2499&gt;=Settings!$C$5,1,0)</f>
        <v/>
      </c>
    </row>
    <row r="2500">
      <c r="A2500" t="inlineStr">
        <is>
          <t>1e2001dab6238763e58c775cba225a16</t>
        </is>
      </c>
      <c r="B2500" s="29" t="n">
        <v>43182</v>
      </c>
      <c r="C2500" t="inlineStr">
        <is>
          <t>2018-03</t>
        </is>
      </c>
      <c r="D2500" t="inlineStr">
        <is>
          <t>b76ef37428e6799c421989521c0e5077</t>
        </is>
      </c>
      <c r="E2500" t="inlineStr">
        <is>
          <t>unknown</t>
        </is>
      </c>
      <c r="F2500">
        <f>IFERROR(MATCH(A2500,Deals!$A$2:$A$843,0),"")</f>
        <v/>
      </c>
      <c r="G2500">
        <f>IF(F2500="",0,1)</f>
        <v/>
      </c>
      <c r="H2500" s="29">
        <f>IF(F2500="","",INDEX(Deals!$E$2:$E$843,F2500))</f>
        <v/>
      </c>
      <c r="I2500">
        <f>IF(F2500="","",INDEX(Deals!$D$2:$D$843,F2500))</f>
        <v/>
      </c>
      <c r="J2500">
        <f>IF(F2500="","",INT(H2500)-B2500)</f>
        <v/>
      </c>
      <c r="K2500">
        <f>IF(B2500&gt;=Settings!$C$5,1,0)</f>
        <v/>
      </c>
    </row>
    <row r="2501">
      <c r="A2501" t="inlineStr">
        <is>
          <t>f65c00c041bab77ab44874be15c53276</t>
        </is>
      </c>
      <c r="B2501" s="29" t="n">
        <v>42979</v>
      </c>
      <c r="C2501" t="inlineStr">
        <is>
          <t>2017-09</t>
        </is>
      </c>
      <c r="D2501" t="inlineStr">
        <is>
          <t>d1bad8bf984bd4d7ee08f814ca589897</t>
        </is>
      </c>
      <c r="E2501" t="inlineStr">
        <is>
          <t>other_publicities</t>
        </is>
      </c>
      <c r="F2501">
        <f>IFERROR(MATCH(A2501,Deals!$A$2:$A$843,0),"")</f>
        <v/>
      </c>
      <c r="G2501">
        <f>IF(F2501="",0,1)</f>
        <v/>
      </c>
      <c r="H2501" s="29">
        <f>IF(F2501="","",INDEX(Deals!$E$2:$E$843,F2501))</f>
        <v/>
      </c>
      <c r="I2501">
        <f>IF(F2501="","",INDEX(Deals!$D$2:$D$843,F2501))</f>
        <v/>
      </c>
      <c r="J2501">
        <f>IF(F2501="","",INT(H2501)-B2501)</f>
        <v/>
      </c>
      <c r="K2501">
        <f>IF(B2501&gt;=Settings!$C$5,1,0)</f>
        <v/>
      </c>
    </row>
    <row r="2502">
      <c r="A2502" t="inlineStr">
        <is>
          <t>c36615321286c6ac958ad820ab896fb4</t>
        </is>
      </c>
      <c r="B2502" s="29" t="n">
        <v>43207</v>
      </c>
      <c r="C2502" t="inlineStr">
        <is>
          <t>2018-04</t>
        </is>
      </c>
      <c r="D2502" t="inlineStr">
        <is>
          <t>358adb2fee9a122549618e46925a00a5</t>
        </is>
      </c>
      <c r="E2502" t="inlineStr">
        <is>
          <t>unknown</t>
        </is>
      </c>
      <c r="F2502">
        <f>IFERROR(MATCH(A2502,Deals!$A$2:$A$843,0),"")</f>
        <v/>
      </c>
      <c r="G2502">
        <f>IF(F2502="",0,1)</f>
        <v/>
      </c>
      <c r="H2502" s="29">
        <f>IF(F2502="","",INDEX(Deals!$E$2:$E$843,F2502))</f>
        <v/>
      </c>
      <c r="I2502">
        <f>IF(F2502="","",INDEX(Deals!$D$2:$D$843,F2502))</f>
        <v/>
      </c>
      <c r="J2502">
        <f>IF(F2502="","",INT(H2502)-B2502)</f>
        <v/>
      </c>
      <c r="K2502">
        <f>IF(B2502&gt;=Settings!$C$5,1,0)</f>
        <v/>
      </c>
    </row>
    <row r="2503">
      <c r="A2503" t="inlineStr">
        <is>
          <t>70607e3a9b9376b3b41ecfc024f2c89c</t>
        </is>
      </c>
      <c r="B2503" s="29" t="n">
        <v>43214</v>
      </c>
      <c r="C2503" t="inlineStr">
        <is>
          <t>2018-04</t>
        </is>
      </c>
      <c r="D2503" t="inlineStr">
        <is>
          <t>a0fbc0263cb98bdb0d72b9f9f283a172</t>
        </is>
      </c>
      <c r="E2503" t="inlineStr">
        <is>
          <t>organic_search</t>
        </is>
      </c>
      <c r="F2503">
        <f>IFERROR(MATCH(A2503,Deals!$A$2:$A$843,0),"")</f>
        <v/>
      </c>
      <c r="G2503">
        <f>IF(F2503="",0,1)</f>
        <v/>
      </c>
      <c r="H2503" s="29">
        <f>IF(F2503="","",INDEX(Deals!$E$2:$E$843,F2503))</f>
        <v/>
      </c>
      <c r="I2503">
        <f>IF(F2503="","",INDEX(Deals!$D$2:$D$843,F2503))</f>
        <v/>
      </c>
      <c r="J2503">
        <f>IF(F2503="","",INT(H2503)-B2503)</f>
        <v/>
      </c>
      <c r="K2503">
        <f>IF(B2503&gt;=Settings!$C$5,1,0)</f>
        <v/>
      </c>
    </row>
    <row r="2504">
      <c r="A2504" t="inlineStr">
        <is>
          <t>9c1eac301f2d8111596719a7bc1b90d4</t>
        </is>
      </c>
      <c r="B2504" s="29" t="n">
        <v>43203</v>
      </c>
      <c r="C2504" t="inlineStr">
        <is>
          <t>2018-04</t>
        </is>
      </c>
      <c r="D2504" t="inlineStr">
        <is>
          <t>58326e62183c14b0c03085c33b9fdc44</t>
        </is>
      </c>
      <c r="E2504" t="inlineStr">
        <is>
          <t>social</t>
        </is>
      </c>
      <c r="F2504">
        <f>IFERROR(MATCH(A2504,Deals!$A$2:$A$843,0),"")</f>
        <v/>
      </c>
      <c r="G2504">
        <f>IF(F2504="",0,1)</f>
        <v/>
      </c>
      <c r="H2504" s="29">
        <f>IF(F2504="","",INDEX(Deals!$E$2:$E$843,F2504))</f>
        <v/>
      </c>
      <c r="I2504">
        <f>IF(F2504="","",INDEX(Deals!$D$2:$D$843,F2504))</f>
        <v/>
      </c>
      <c r="J2504">
        <f>IF(F2504="","",INT(H2504)-B2504)</f>
        <v/>
      </c>
      <c r="K2504">
        <f>IF(B2504&gt;=Settings!$C$5,1,0)</f>
        <v/>
      </c>
    </row>
    <row r="2505">
      <c r="A2505" t="inlineStr">
        <is>
          <t>5881e3923b458b99806039dd27ec0711</t>
        </is>
      </c>
      <c r="B2505" s="29" t="n">
        <v>43057</v>
      </c>
      <c r="C2505" t="inlineStr">
        <is>
          <t>2017-11</t>
        </is>
      </c>
      <c r="D2505" t="inlineStr">
        <is>
          <t>fd660f5d9a62d444c76191307b3a0514</t>
        </is>
      </c>
      <c r="E2505" t="inlineStr">
        <is>
          <t>email</t>
        </is>
      </c>
      <c r="F2505">
        <f>IFERROR(MATCH(A2505,Deals!$A$2:$A$843,0),"")</f>
        <v/>
      </c>
      <c r="G2505">
        <f>IF(F2505="",0,1)</f>
        <v/>
      </c>
      <c r="H2505" s="29">
        <f>IF(F2505="","",INDEX(Deals!$E$2:$E$843,F2505))</f>
        <v/>
      </c>
      <c r="I2505">
        <f>IF(F2505="","",INDEX(Deals!$D$2:$D$843,F2505))</f>
        <v/>
      </c>
      <c r="J2505">
        <f>IF(F2505="","",INT(H2505)-B2505)</f>
        <v/>
      </c>
      <c r="K2505">
        <f>IF(B2505&gt;=Settings!$C$5,1,0)</f>
        <v/>
      </c>
    </row>
    <row r="2506">
      <c r="A2506" t="inlineStr">
        <is>
          <t>fa5739b0a82f56a52dbdf64e32a969c4</t>
        </is>
      </c>
      <c r="B2506" s="29" t="n">
        <v>43130</v>
      </c>
      <c r="C2506" t="inlineStr">
        <is>
          <t>2018-01</t>
        </is>
      </c>
      <c r="D2506" t="inlineStr">
        <is>
          <t>f017be4dbf86243af5c1ebed0cff36a2</t>
        </is>
      </c>
      <c r="E2506" t="inlineStr">
        <is>
          <t>organic_search</t>
        </is>
      </c>
      <c r="F2506">
        <f>IFERROR(MATCH(A2506,Deals!$A$2:$A$843,0),"")</f>
        <v/>
      </c>
      <c r="G2506">
        <f>IF(F2506="",0,1)</f>
        <v/>
      </c>
      <c r="H2506" s="29">
        <f>IF(F2506="","",INDEX(Deals!$E$2:$E$843,F2506))</f>
        <v/>
      </c>
      <c r="I2506">
        <f>IF(F2506="","",INDEX(Deals!$D$2:$D$843,F2506))</f>
        <v/>
      </c>
      <c r="J2506">
        <f>IF(F2506="","",INT(H2506)-B2506)</f>
        <v/>
      </c>
      <c r="K2506">
        <f>IF(B2506&gt;=Settings!$C$5,1,0)</f>
        <v/>
      </c>
    </row>
    <row r="2507">
      <c r="A2507" t="inlineStr">
        <is>
          <t>6c2201e67e0fdd52f99c6f5332c73f24</t>
        </is>
      </c>
      <c r="B2507" s="29" t="n">
        <v>43158</v>
      </c>
      <c r="C2507" t="inlineStr">
        <is>
          <t>2018-02</t>
        </is>
      </c>
      <c r="D2507" t="inlineStr">
        <is>
          <t>bddebc4f4d44106c427bd00695840e64</t>
        </is>
      </c>
      <c r="E2507" t="inlineStr">
        <is>
          <t>paid_search</t>
        </is>
      </c>
      <c r="F2507">
        <f>IFERROR(MATCH(A2507,Deals!$A$2:$A$843,0),"")</f>
        <v/>
      </c>
      <c r="G2507">
        <f>IF(F2507="",0,1)</f>
        <v/>
      </c>
      <c r="H2507" s="29">
        <f>IF(F2507="","",INDEX(Deals!$E$2:$E$843,F2507))</f>
        <v/>
      </c>
      <c r="I2507">
        <f>IF(F2507="","",INDEX(Deals!$D$2:$D$843,F2507))</f>
        <v/>
      </c>
      <c r="J2507">
        <f>IF(F2507="","",INT(H2507)-B2507)</f>
        <v/>
      </c>
      <c r="K2507">
        <f>IF(B2507&gt;=Settings!$C$5,1,0)</f>
        <v/>
      </c>
    </row>
    <row r="2508">
      <c r="A2508" t="inlineStr">
        <is>
          <t>da017bde8667eb2a4930c964408dca42</t>
        </is>
      </c>
      <c r="B2508" s="29" t="n">
        <v>43213</v>
      </c>
      <c r="C2508" t="inlineStr">
        <is>
          <t>2018-04</t>
        </is>
      </c>
      <c r="D2508" t="inlineStr">
        <is>
          <t>5da54625ee0a9560dc9b9b9f6ccb03d0</t>
        </is>
      </c>
      <c r="E2508" t="inlineStr">
        <is>
          <t>paid_search</t>
        </is>
      </c>
      <c r="F2508">
        <f>IFERROR(MATCH(A2508,Deals!$A$2:$A$843,0),"")</f>
        <v/>
      </c>
      <c r="G2508">
        <f>IF(F2508="",0,1)</f>
        <v/>
      </c>
      <c r="H2508" s="29">
        <f>IF(F2508="","",INDEX(Deals!$E$2:$E$843,F2508))</f>
        <v/>
      </c>
      <c r="I2508">
        <f>IF(F2508="","",INDEX(Deals!$D$2:$D$843,F2508))</f>
        <v/>
      </c>
      <c r="J2508">
        <f>IF(F2508="","",INT(H2508)-B2508)</f>
        <v/>
      </c>
      <c r="K2508">
        <f>IF(B2508&gt;=Settings!$C$5,1,0)</f>
        <v/>
      </c>
    </row>
    <row r="2509">
      <c r="A2509" t="inlineStr">
        <is>
          <t>e5f6c8ca67571d3496e7e6609a197521</t>
        </is>
      </c>
      <c r="B2509" s="29" t="n">
        <v>42990</v>
      </c>
      <c r="C2509" t="inlineStr">
        <is>
          <t>2017-09</t>
        </is>
      </c>
      <c r="D2509" t="inlineStr">
        <is>
          <t>65d9f9d71e562365e8b44037c2888d98</t>
        </is>
      </c>
      <c r="E2509" t="inlineStr">
        <is>
          <t>paid_search</t>
        </is>
      </c>
      <c r="F2509">
        <f>IFERROR(MATCH(A2509,Deals!$A$2:$A$843,0),"")</f>
        <v/>
      </c>
      <c r="G2509">
        <f>IF(F2509="",0,1)</f>
        <v/>
      </c>
      <c r="H2509" s="29">
        <f>IF(F2509="","",INDEX(Deals!$E$2:$E$843,F2509))</f>
        <v/>
      </c>
      <c r="I2509">
        <f>IF(F2509="","",INDEX(Deals!$D$2:$D$843,F2509))</f>
        <v/>
      </c>
      <c r="J2509">
        <f>IF(F2509="","",INT(H2509)-B2509)</f>
        <v/>
      </c>
      <c r="K2509">
        <f>IF(B2509&gt;=Settings!$C$5,1,0)</f>
        <v/>
      </c>
    </row>
    <row r="2510">
      <c r="A2510" t="inlineStr">
        <is>
          <t>5590ca803d2831d2a3dff3fa3eaca6f4</t>
        </is>
      </c>
      <c r="B2510" s="29" t="n">
        <v>43174</v>
      </c>
      <c r="C2510" t="inlineStr">
        <is>
          <t>2018-03</t>
        </is>
      </c>
      <c r="D2510" t="inlineStr">
        <is>
          <t>872eb32141128a5320bfe7b8cf80fc14</t>
        </is>
      </c>
      <c r="E2510" t="inlineStr">
        <is>
          <t>social</t>
        </is>
      </c>
      <c r="F2510">
        <f>IFERROR(MATCH(A2510,Deals!$A$2:$A$843,0),"")</f>
        <v/>
      </c>
      <c r="G2510">
        <f>IF(F2510="",0,1)</f>
        <v/>
      </c>
      <c r="H2510" s="29">
        <f>IF(F2510="","",INDEX(Deals!$E$2:$E$843,F2510))</f>
        <v/>
      </c>
      <c r="I2510">
        <f>IF(F2510="","",INDEX(Deals!$D$2:$D$843,F2510))</f>
        <v/>
      </c>
      <c r="J2510">
        <f>IF(F2510="","",INT(H2510)-B2510)</f>
        <v/>
      </c>
      <c r="K2510">
        <f>IF(B2510&gt;=Settings!$C$5,1,0)</f>
        <v/>
      </c>
    </row>
    <row r="2511">
      <c r="A2511" t="inlineStr">
        <is>
          <t>42c6101a56e15d7ec3c8bd3695bea65d</t>
        </is>
      </c>
      <c r="B2511" s="29" t="n">
        <v>43110</v>
      </c>
      <c r="C2511" t="inlineStr">
        <is>
          <t>2018-01</t>
        </is>
      </c>
      <c r="D2511" t="inlineStr">
        <is>
          <t>e492ee5eaf1697716985cc6f33f9cd9b</t>
        </is>
      </c>
      <c r="E2511" t="inlineStr">
        <is>
          <t>organic_search</t>
        </is>
      </c>
      <c r="F2511">
        <f>IFERROR(MATCH(A2511,Deals!$A$2:$A$843,0),"")</f>
        <v/>
      </c>
      <c r="G2511">
        <f>IF(F2511="",0,1)</f>
        <v/>
      </c>
      <c r="H2511" s="29">
        <f>IF(F2511="","",INDEX(Deals!$E$2:$E$843,F2511))</f>
        <v/>
      </c>
      <c r="I2511">
        <f>IF(F2511="","",INDEX(Deals!$D$2:$D$843,F2511))</f>
        <v/>
      </c>
      <c r="J2511">
        <f>IF(F2511="","",INT(H2511)-B2511)</f>
        <v/>
      </c>
      <c r="K2511">
        <f>IF(B2511&gt;=Settings!$C$5,1,0)</f>
        <v/>
      </c>
    </row>
    <row r="2512">
      <c r="A2512" t="inlineStr">
        <is>
          <t>ca6b3a03ff85131141a80501ba7ca23b</t>
        </is>
      </c>
      <c r="B2512" s="29" t="n">
        <v>43168</v>
      </c>
      <c r="C2512" t="inlineStr">
        <is>
          <t>2018-03</t>
        </is>
      </c>
      <c r="D2512" t="inlineStr">
        <is>
          <t>b76ef37428e6799c421989521c0e5077</t>
        </is>
      </c>
      <c r="E2512" t="inlineStr">
        <is>
          <t>unknown</t>
        </is>
      </c>
      <c r="F2512">
        <f>IFERROR(MATCH(A2512,Deals!$A$2:$A$843,0),"")</f>
        <v/>
      </c>
      <c r="G2512">
        <f>IF(F2512="",0,1)</f>
        <v/>
      </c>
      <c r="H2512" s="29">
        <f>IF(F2512="","",INDEX(Deals!$E$2:$E$843,F2512))</f>
        <v/>
      </c>
      <c r="I2512">
        <f>IF(F2512="","",INDEX(Deals!$D$2:$D$843,F2512))</f>
        <v/>
      </c>
      <c r="J2512">
        <f>IF(F2512="","",INT(H2512)-B2512)</f>
        <v/>
      </c>
      <c r="K2512">
        <f>IF(B2512&gt;=Settings!$C$5,1,0)</f>
        <v/>
      </c>
    </row>
    <row r="2513">
      <c r="A2513" t="inlineStr">
        <is>
          <t>64bc5de04c2d2dee8c16bc2eb87d4ea2</t>
        </is>
      </c>
      <c r="B2513" s="29" t="n">
        <v>43222</v>
      </c>
      <c r="C2513" t="inlineStr">
        <is>
          <t>2018-05</t>
        </is>
      </c>
      <c r="D2513" t="inlineStr">
        <is>
          <t>ec1792990dc6ac02bb49c91875ee51fa</t>
        </is>
      </c>
      <c r="E2513" t="inlineStr">
        <is>
          <t>referral</t>
        </is>
      </c>
      <c r="F2513">
        <f>IFERROR(MATCH(A2513,Deals!$A$2:$A$843,0),"")</f>
        <v/>
      </c>
      <c r="G2513">
        <f>IF(F2513="",0,1)</f>
        <v/>
      </c>
      <c r="H2513" s="29">
        <f>IF(F2513="","",INDEX(Deals!$E$2:$E$843,F2513))</f>
        <v/>
      </c>
      <c r="I2513">
        <f>IF(F2513="","",INDEX(Deals!$D$2:$D$843,F2513))</f>
        <v/>
      </c>
      <c r="J2513">
        <f>IF(F2513="","",INT(H2513)-B2513)</f>
        <v/>
      </c>
      <c r="K2513">
        <f>IF(B2513&gt;=Settings!$C$5,1,0)</f>
        <v/>
      </c>
    </row>
    <row r="2514">
      <c r="A2514" t="inlineStr">
        <is>
          <t>7bf3fbacc7fe74b379f7767efc372329</t>
        </is>
      </c>
      <c r="B2514" s="29" t="n">
        <v>43040</v>
      </c>
      <c r="C2514" t="inlineStr">
        <is>
          <t>2017-11</t>
        </is>
      </c>
      <c r="D2514" t="inlineStr">
        <is>
          <t>aa8af3ebe14831a7cd1b6d1383a03755</t>
        </is>
      </c>
      <c r="E2514" t="inlineStr">
        <is>
          <t>unknown</t>
        </is>
      </c>
      <c r="F2514">
        <f>IFERROR(MATCH(A2514,Deals!$A$2:$A$843,0),"")</f>
        <v/>
      </c>
      <c r="G2514">
        <f>IF(F2514="",0,1)</f>
        <v/>
      </c>
      <c r="H2514" s="29">
        <f>IF(F2514="","",INDEX(Deals!$E$2:$E$843,F2514))</f>
        <v/>
      </c>
      <c r="I2514">
        <f>IF(F2514="","",INDEX(Deals!$D$2:$D$843,F2514))</f>
        <v/>
      </c>
      <c r="J2514">
        <f>IF(F2514="","",INT(H2514)-B2514)</f>
        <v/>
      </c>
      <c r="K2514">
        <f>IF(B2514&gt;=Settings!$C$5,1,0)</f>
        <v/>
      </c>
    </row>
    <row r="2515">
      <c r="A2515" t="inlineStr">
        <is>
          <t>fe9216af121c8adb375578f7622274c2</t>
        </is>
      </c>
      <c r="B2515" s="29" t="n">
        <v>43201</v>
      </c>
      <c r="C2515" t="inlineStr">
        <is>
          <t>2018-04</t>
        </is>
      </c>
      <c r="D2515" t="inlineStr">
        <is>
          <t>58326e62183c14b0c03085c33b9fdc44</t>
        </is>
      </c>
      <c r="E2515" t="inlineStr">
        <is>
          <t>social</t>
        </is>
      </c>
      <c r="F2515">
        <f>IFERROR(MATCH(A2515,Deals!$A$2:$A$843,0),"")</f>
        <v/>
      </c>
      <c r="G2515">
        <f>IF(F2515="",0,1)</f>
        <v/>
      </c>
      <c r="H2515" s="29">
        <f>IF(F2515="","",INDEX(Deals!$E$2:$E$843,F2515))</f>
        <v/>
      </c>
      <c r="I2515">
        <f>IF(F2515="","",INDEX(Deals!$D$2:$D$843,F2515))</f>
        <v/>
      </c>
      <c r="J2515">
        <f>IF(F2515="","",INT(H2515)-B2515)</f>
        <v/>
      </c>
      <c r="K2515">
        <f>IF(B2515&gt;=Settings!$C$5,1,0)</f>
        <v/>
      </c>
    </row>
    <row r="2516">
      <c r="A2516" t="inlineStr">
        <is>
          <t>71a592ef199d8e8f91b3ee5feecd86f1</t>
        </is>
      </c>
      <c r="B2516" s="29" t="n">
        <v>43194</v>
      </c>
      <c r="C2516" t="inlineStr">
        <is>
          <t>2018-04</t>
        </is>
      </c>
      <c r="D2516" t="inlineStr">
        <is>
          <t>f017be4dbf86243af5c1ebed0cff36a2</t>
        </is>
      </c>
      <c r="E2516" t="inlineStr">
        <is>
          <t>direct_traffic</t>
        </is>
      </c>
      <c r="F2516">
        <f>IFERROR(MATCH(A2516,Deals!$A$2:$A$843,0),"")</f>
        <v/>
      </c>
      <c r="G2516">
        <f>IF(F2516="",0,1)</f>
        <v/>
      </c>
      <c r="H2516" s="29">
        <f>IF(F2516="","",INDEX(Deals!$E$2:$E$843,F2516))</f>
        <v/>
      </c>
      <c r="I2516">
        <f>IF(F2516="","",INDEX(Deals!$D$2:$D$843,F2516))</f>
        <v/>
      </c>
      <c r="J2516">
        <f>IF(F2516="","",INT(H2516)-B2516)</f>
        <v/>
      </c>
      <c r="K2516">
        <f>IF(B2516&gt;=Settings!$C$5,1,0)</f>
        <v/>
      </c>
    </row>
    <row r="2517">
      <c r="A2517" t="inlineStr">
        <is>
          <t>4bd106ffe5e8ef167227db73267a1011</t>
        </is>
      </c>
      <c r="B2517" s="29" t="n">
        <v>42954</v>
      </c>
      <c r="C2517" t="inlineStr">
        <is>
          <t>2017-08</t>
        </is>
      </c>
      <c r="D2517" t="inlineStr">
        <is>
          <t>65d9f9d71e562365e8b44037c2888d98</t>
        </is>
      </c>
      <c r="E2517" t="inlineStr">
        <is>
          <t>paid_search</t>
        </is>
      </c>
      <c r="F2517">
        <f>IFERROR(MATCH(A2517,Deals!$A$2:$A$843,0),"")</f>
        <v/>
      </c>
      <c r="G2517">
        <f>IF(F2517="",0,1)</f>
        <v/>
      </c>
      <c r="H2517" s="29">
        <f>IF(F2517="","",INDEX(Deals!$E$2:$E$843,F2517))</f>
        <v/>
      </c>
      <c r="I2517">
        <f>IF(F2517="","",INDEX(Deals!$D$2:$D$843,F2517))</f>
        <v/>
      </c>
      <c r="J2517">
        <f>IF(F2517="","",INT(H2517)-B2517)</f>
        <v/>
      </c>
      <c r="K2517">
        <f>IF(B2517&gt;=Settings!$C$5,1,0)</f>
        <v/>
      </c>
    </row>
    <row r="2518">
      <c r="A2518" t="inlineStr">
        <is>
          <t>ffd5a146054a13ce7bd23f9ed8612e7c</t>
        </is>
      </c>
      <c r="B2518" s="29" t="n">
        <v>42988</v>
      </c>
      <c r="C2518" t="inlineStr">
        <is>
          <t>2017-09</t>
        </is>
      </c>
      <c r="D2518" t="inlineStr">
        <is>
          <t>22c29808c4f815213303f8933030604c</t>
        </is>
      </c>
      <c r="E2518" t="inlineStr">
        <is>
          <t>organic_search</t>
        </is>
      </c>
      <c r="F2518">
        <f>IFERROR(MATCH(A2518,Deals!$A$2:$A$843,0),"")</f>
        <v/>
      </c>
      <c r="G2518">
        <f>IF(F2518="",0,1)</f>
        <v/>
      </c>
      <c r="H2518" s="29">
        <f>IF(F2518="","",INDEX(Deals!$E$2:$E$843,F2518))</f>
        <v/>
      </c>
      <c r="I2518">
        <f>IF(F2518="","",INDEX(Deals!$D$2:$D$843,F2518))</f>
        <v/>
      </c>
      <c r="J2518">
        <f>IF(F2518="","",INT(H2518)-B2518)</f>
        <v/>
      </c>
      <c r="K2518">
        <f>IF(B2518&gt;=Settings!$C$5,1,0)</f>
        <v/>
      </c>
    </row>
    <row r="2519">
      <c r="A2519" t="inlineStr">
        <is>
          <t>e136876296da8524fd7568266c80bfe2</t>
        </is>
      </c>
      <c r="B2519" s="29" t="n">
        <v>43211</v>
      </c>
      <c r="C2519" t="inlineStr">
        <is>
          <t>2018-04</t>
        </is>
      </c>
      <c r="D2519" t="inlineStr">
        <is>
          <t>58326e62183c14b0c03085c33b9fdc44</t>
        </is>
      </c>
      <c r="E2519" t="inlineStr">
        <is>
          <t>social</t>
        </is>
      </c>
      <c r="F2519">
        <f>IFERROR(MATCH(A2519,Deals!$A$2:$A$843,0),"")</f>
        <v/>
      </c>
      <c r="G2519">
        <f>IF(F2519="",0,1)</f>
        <v/>
      </c>
      <c r="H2519" s="29">
        <f>IF(F2519="","",INDEX(Deals!$E$2:$E$843,F2519))</f>
        <v/>
      </c>
      <c r="I2519">
        <f>IF(F2519="","",INDEX(Deals!$D$2:$D$843,F2519))</f>
        <v/>
      </c>
      <c r="J2519">
        <f>IF(F2519="","",INT(H2519)-B2519)</f>
        <v/>
      </c>
      <c r="K2519">
        <f>IF(B2519&gt;=Settings!$C$5,1,0)</f>
        <v/>
      </c>
    </row>
    <row r="2520">
      <c r="A2520" t="inlineStr">
        <is>
          <t>7debb2fb5d95fdb307d636dd3972171a</t>
        </is>
      </c>
      <c r="B2520" s="29" t="n">
        <v>42999</v>
      </c>
      <c r="C2520" t="inlineStr">
        <is>
          <t>2017-09</t>
        </is>
      </c>
      <c r="D2520" t="inlineStr">
        <is>
          <t>4e82dd1f6d00626bda0723eef0a269a6</t>
        </is>
      </c>
      <c r="E2520" t="inlineStr">
        <is>
          <t>organic_search</t>
        </is>
      </c>
      <c r="F2520">
        <f>IFERROR(MATCH(A2520,Deals!$A$2:$A$843,0),"")</f>
        <v/>
      </c>
      <c r="G2520">
        <f>IF(F2520="",0,1)</f>
        <v/>
      </c>
      <c r="H2520" s="29">
        <f>IF(F2520="","",INDEX(Deals!$E$2:$E$843,F2520))</f>
        <v/>
      </c>
      <c r="I2520">
        <f>IF(F2520="","",INDEX(Deals!$D$2:$D$843,F2520))</f>
        <v/>
      </c>
      <c r="J2520">
        <f>IF(F2520="","",INT(H2520)-B2520)</f>
        <v/>
      </c>
      <c r="K2520">
        <f>IF(B2520&gt;=Settings!$C$5,1,0)</f>
        <v/>
      </c>
    </row>
    <row r="2521">
      <c r="A2521" t="inlineStr">
        <is>
          <t>a40c9d844c1b8800c8939aaecd6f3ba8</t>
        </is>
      </c>
      <c r="B2521" s="29" t="n">
        <v>43170</v>
      </c>
      <c r="C2521" t="inlineStr">
        <is>
          <t>2018-03</t>
        </is>
      </c>
      <c r="D2521" t="inlineStr">
        <is>
          <t>40dec9f3d5259a3d2dbcdab2114fae47</t>
        </is>
      </c>
      <c r="E2521" t="inlineStr">
        <is>
          <t>unknown</t>
        </is>
      </c>
      <c r="F2521">
        <f>IFERROR(MATCH(A2521,Deals!$A$2:$A$843,0),"")</f>
        <v/>
      </c>
      <c r="G2521">
        <f>IF(F2521="",0,1)</f>
        <v/>
      </c>
      <c r="H2521" s="29">
        <f>IF(F2521="","",INDEX(Deals!$E$2:$E$843,F2521))</f>
        <v/>
      </c>
      <c r="I2521">
        <f>IF(F2521="","",INDEX(Deals!$D$2:$D$843,F2521))</f>
        <v/>
      </c>
      <c r="J2521">
        <f>IF(F2521="","",INT(H2521)-B2521)</f>
        <v/>
      </c>
      <c r="K2521">
        <f>IF(B2521&gt;=Settings!$C$5,1,0)</f>
        <v/>
      </c>
    </row>
    <row r="2522">
      <c r="A2522" t="inlineStr">
        <is>
          <t>f4b33a92a256fd5341c5275020bb8e45</t>
        </is>
      </c>
      <c r="B2522" s="29" t="n">
        <v>43108</v>
      </c>
      <c r="C2522" t="inlineStr">
        <is>
          <t>2018-01</t>
        </is>
      </c>
      <c r="D2522" t="inlineStr">
        <is>
          <t>88740e65d5d6b056e0cda098e1ea6313</t>
        </is>
      </c>
      <c r="E2522" t="inlineStr">
        <is>
          <t>unknown</t>
        </is>
      </c>
      <c r="F2522">
        <f>IFERROR(MATCH(A2522,Deals!$A$2:$A$843,0),"")</f>
        <v/>
      </c>
      <c r="G2522">
        <f>IF(F2522="",0,1)</f>
        <v/>
      </c>
      <c r="H2522" s="29">
        <f>IF(F2522="","",INDEX(Deals!$E$2:$E$843,F2522))</f>
        <v/>
      </c>
      <c r="I2522">
        <f>IF(F2522="","",INDEX(Deals!$D$2:$D$843,F2522))</f>
        <v/>
      </c>
      <c r="J2522">
        <f>IF(F2522="","",INT(H2522)-B2522)</f>
        <v/>
      </c>
      <c r="K2522">
        <f>IF(B2522&gt;=Settings!$C$5,1,0)</f>
        <v/>
      </c>
    </row>
    <row r="2523">
      <c r="A2523" t="inlineStr">
        <is>
          <t>37d92d59a2b02e0256aa1d2bddcfa50d</t>
        </is>
      </c>
      <c r="B2523" s="29" t="n">
        <v>43107</v>
      </c>
      <c r="C2523" t="inlineStr">
        <is>
          <t>2018-01</t>
        </is>
      </c>
      <c r="D2523" t="inlineStr">
        <is>
          <t>88740e65d5d6b056e0cda098e1ea6313</t>
        </is>
      </c>
      <c r="E2523" t="inlineStr">
        <is>
          <t>social</t>
        </is>
      </c>
      <c r="F2523">
        <f>IFERROR(MATCH(A2523,Deals!$A$2:$A$843,0),"")</f>
        <v/>
      </c>
      <c r="G2523">
        <f>IF(F2523="",0,1)</f>
        <v/>
      </c>
      <c r="H2523" s="29">
        <f>IF(F2523="","",INDEX(Deals!$E$2:$E$843,F2523))</f>
        <v/>
      </c>
      <c r="I2523">
        <f>IF(F2523="","",INDEX(Deals!$D$2:$D$843,F2523))</f>
        <v/>
      </c>
      <c r="J2523">
        <f>IF(F2523="","",INT(H2523)-B2523)</f>
        <v/>
      </c>
      <c r="K2523">
        <f>IF(B2523&gt;=Settings!$C$5,1,0)</f>
        <v/>
      </c>
    </row>
    <row r="2524">
      <c r="A2524" t="inlineStr">
        <is>
          <t>3545258378f2a3566e4a823d0ad28a3e</t>
        </is>
      </c>
      <c r="B2524" s="29" t="n">
        <v>43210</v>
      </c>
      <c r="C2524" t="inlineStr">
        <is>
          <t>2018-04</t>
        </is>
      </c>
      <c r="D2524" t="inlineStr">
        <is>
          <t>b76ef37428e6799c421989521c0e5077</t>
        </is>
      </c>
      <c r="E2524" t="inlineStr">
        <is>
          <t>unknown</t>
        </is>
      </c>
      <c r="F2524">
        <f>IFERROR(MATCH(A2524,Deals!$A$2:$A$843,0),"")</f>
        <v/>
      </c>
      <c r="G2524">
        <f>IF(F2524="",0,1)</f>
        <v/>
      </c>
      <c r="H2524" s="29">
        <f>IF(F2524="","",INDEX(Deals!$E$2:$E$843,F2524))</f>
        <v/>
      </c>
      <c r="I2524">
        <f>IF(F2524="","",INDEX(Deals!$D$2:$D$843,F2524))</f>
        <v/>
      </c>
      <c r="J2524">
        <f>IF(F2524="","",INT(H2524)-B2524)</f>
        <v/>
      </c>
      <c r="K2524">
        <f>IF(B2524&gt;=Settings!$C$5,1,0)</f>
        <v/>
      </c>
    </row>
    <row r="2525">
      <c r="A2525" t="inlineStr">
        <is>
          <t>8fd647489f12678592421f0c386c74f0</t>
        </is>
      </c>
      <c r="B2525" s="29" t="n">
        <v>43166</v>
      </c>
      <c r="C2525" t="inlineStr">
        <is>
          <t>2018-03</t>
        </is>
      </c>
      <c r="D2525" t="inlineStr">
        <is>
          <t>b217afa2c1f4cb502423005639878f6d</t>
        </is>
      </c>
      <c r="E2525" t="inlineStr">
        <is>
          <t>paid_search</t>
        </is>
      </c>
      <c r="F2525">
        <f>IFERROR(MATCH(A2525,Deals!$A$2:$A$843,0),"")</f>
        <v/>
      </c>
      <c r="G2525">
        <f>IF(F2525="",0,1)</f>
        <v/>
      </c>
      <c r="H2525" s="29">
        <f>IF(F2525="","",INDEX(Deals!$E$2:$E$843,F2525))</f>
        <v/>
      </c>
      <c r="I2525">
        <f>IF(F2525="","",INDEX(Deals!$D$2:$D$843,F2525))</f>
        <v/>
      </c>
      <c r="J2525">
        <f>IF(F2525="","",INT(H2525)-B2525)</f>
        <v/>
      </c>
      <c r="K2525">
        <f>IF(B2525&gt;=Settings!$C$5,1,0)</f>
        <v/>
      </c>
    </row>
    <row r="2526">
      <c r="A2526" t="inlineStr">
        <is>
          <t>116c87e094144d0002cff857e56a322f</t>
        </is>
      </c>
      <c r="B2526" s="29" t="n">
        <v>43103</v>
      </c>
      <c r="C2526" t="inlineStr">
        <is>
          <t>2018-01</t>
        </is>
      </c>
      <c r="D2526" t="inlineStr">
        <is>
          <t>30077c17f2ec5010a82e37ad8925b95f</t>
        </is>
      </c>
      <c r="E2526" t="inlineStr">
        <is>
          <t>organic_search</t>
        </is>
      </c>
      <c r="F2526">
        <f>IFERROR(MATCH(A2526,Deals!$A$2:$A$843,0),"")</f>
        <v/>
      </c>
      <c r="G2526">
        <f>IF(F2526="",0,1)</f>
        <v/>
      </c>
      <c r="H2526" s="29">
        <f>IF(F2526="","",INDEX(Deals!$E$2:$E$843,F2526))</f>
        <v/>
      </c>
      <c r="I2526">
        <f>IF(F2526="","",INDEX(Deals!$D$2:$D$843,F2526))</f>
        <v/>
      </c>
      <c r="J2526">
        <f>IF(F2526="","",INT(H2526)-B2526)</f>
        <v/>
      </c>
      <c r="K2526">
        <f>IF(B2526&gt;=Settings!$C$5,1,0)</f>
        <v/>
      </c>
    </row>
    <row r="2527">
      <c r="A2527" t="inlineStr">
        <is>
          <t>503831c6265361a08aa4113b4d867178</t>
        </is>
      </c>
      <c r="B2527" s="29" t="n">
        <v>43110</v>
      </c>
      <c r="C2527" t="inlineStr">
        <is>
          <t>2018-01</t>
        </is>
      </c>
      <c r="D2527" t="inlineStr">
        <is>
          <t>ce1a65abd0973638f1c887a6efcfa82d</t>
        </is>
      </c>
      <c r="E2527" t="inlineStr">
        <is>
          <t>paid_search</t>
        </is>
      </c>
      <c r="F2527">
        <f>IFERROR(MATCH(A2527,Deals!$A$2:$A$843,0),"")</f>
        <v/>
      </c>
      <c r="G2527">
        <f>IF(F2527="",0,1)</f>
        <v/>
      </c>
      <c r="H2527" s="29">
        <f>IF(F2527="","",INDEX(Deals!$E$2:$E$843,F2527))</f>
        <v/>
      </c>
      <c r="I2527">
        <f>IF(F2527="","",INDEX(Deals!$D$2:$D$843,F2527))</f>
        <v/>
      </c>
      <c r="J2527">
        <f>IF(F2527="","",INT(H2527)-B2527)</f>
        <v/>
      </c>
      <c r="K2527">
        <f>IF(B2527&gt;=Settings!$C$5,1,0)</f>
        <v/>
      </c>
    </row>
    <row r="2528">
      <c r="A2528" t="inlineStr">
        <is>
          <t>1389f372d9685b20d2e3477c47ed568f</t>
        </is>
      </c>
      <c r="B2528" s="29" t="n">
        <v>43180</v>
      </c>
      <c r="C2528" t="inlineStr">
        <is>
          <t>2018-03</t>
        </is>
      </c>
      <c r="D2528" t="inlineStr">
        <is>
          <t>58326e62183c14b0c03085c33b9fdc44</t>
        </is>
      </c>
      <c r="E2528" t="inlineStr">
        <is>
          <t>social</t>
        </is>
      </c>
      <c r="F2528">
        <f>IFERROR(MATCH(A2528,Deals!$A$2:$A$843,0),"")</f>
        <v/>
      </c>
      <c r="G2528">
        <f>IF(F2528="",0,1)</f>
        <v/>
      </c>
      <c r="H2528" s="29">
        <f>IF(F2528="","",INDEX(Deals!$E$2:$E$843,F2528))</f>
        <v/>
      </c>
      <c r="I2528">
        <f>IF(F2528="","",INDEX(Deals!$D$2:$D$843,F2528))</f>
        <v/>
      </c>
      <c r="J2528">
        <f>IF(F2528="","",INT(H2528)-B2528)</f>
        <v/>
      </c>
      <c r="K2528">
        <f>IF(B2528&gt;=Settings!$C$5,1,0)</f>
        <v/>
      </c>
    </row>
    <row r="2529">
      <c r="A2529" t="inlineStr">
        <is>
          <t>755f12c05f69fc1dbd113cf9599fbfd4</t>
        </is>
      </c>
      <c r="B2529" s="29" t="n">
        <v>43248</v>
      </c>
      <c r="C2529" t="inlineStr">
        <is>
          <t>2018-05</t>
        </is>
      </c>
      <c r="D2529" t="inlineStr">
        <is>
          <t>40dec9f3d5259a3d2dbcdab2114fae47</t>
        </is>
      </c>
      <c r="E2529" t="inlineStr">
        <is>
          <t>organic_search</t>
        </is>
      </c>
      <c r="F2529">
        <f>IFERROR(MATCH(A2529,Deals!$A$2:$A$843,0),"")</f>
        <v/>
      </c>
      <c r="G2529">
        <f>IF(F2529="",0,1)</f>
        <v/>
      </c>
      <c r="H2529" s="29">
        <f>IF(F2529="","",INDEX(Deals!$E$2:$E$843,F2529))</f>
        <v/>
      </c>
      <c r="I2529">
        <f>IF(F2529="","",INDEX(Deals!$D$2:$D$843,F2529))</f>
        <v/>
      </c>
      <c r="J2529">
        <f>IF(F2529="","",INT(H2529)-B2529)</f>
        <v/>
      </c>
      <c r="K2529">
        <f>IF(B2529&gt;=Settings!$C$5,1,0)</f>
        <v/>
      </c>
    </row>
    <row r="2530">
      <c r="A2530" t="inlineStr">
        <is>
          <t>91e0cbfbdfa13d641eb6d7c734790b41</t>
        </is>
      </c>
      <c r="B2530" s="29" t="n">
        <v>43158</v>
      </c>
      <c r="C2530" t="inlineStr">
        <is>
          <t>2018-02</t>
        </is>
      </c>
      <c r="D2530" t="inlineStr">
        <is>
          <t>f98c2bd96ac4a5d9476734e790c91384</t>
        </is>
      </c>
      <c r="E2530" t="inlineStr">
        <is>
          <t>email</t>
        </is>
      </c>
      <c r="F2530">
        <f>IFERROR(MATCH(A2530,Deals!$A$2:$A$843,0),"")</f>
        <v/>
      </c>
      <c r="G2530">
        <f>IF(F2530="",0,1)</f>
        <v/>
      </c>
      <c r="H2530" s="29">
        <f>IF(F2530="","",INDEX(Deals!$E$2:$E$843,F2530))</f>
        <v/>
      </c>
      <c r="I2530">
        <f>IF(F2530="","",INDEX(Deals!$D$2:$D$843,F2530))</f>
        <v/>
      </c>
      <c r="J2530">
        <f>IF(F2530="","",INT(H2530)-B2530)</f>
        <v/>
      </c>
      <c r="K2530">
        <f>IF(B2530&gt;=Settings!$C$5,1,0)</f>
        <v/>
      </c>
    </row>
    <row r="2531">
      <c r="A2531" t="inlineStr">
        <is>
          <t>dcc8a9fd507393fbe719661712d9ad64</t>
        </is>
      </c>
      <c r="B2531" s="29" t="n">
        <v>43117</v>
      </c>
      <c r="C2531" t="inlineStr">
        <is>
          <t>2018-01</t>
        </is>
      </c>
      <c r="D2531" t="inlineStr">
        <is>
          <t>b76ef37428e6799c421989521c0e5077</t>
        </is>
      </c>
      <c r="E2531" t="inlineStr">
        <is>
          <t>unknown</t>
        </is>
      </c>
      <c r="F2531">
        <f>IFERROR(MATCH(A2531,Deals!$A$2:$A$843,0),"")</f>
        <v/>
      </c>
      <c r="G2531">
        <f>IF(F2531="",0,1)</f>
        <v/>
      </c>
      <c r="H2531" s="29">
        <f>IF(F2531="","",INDEX(Deals!$E$2:$E$843,F2531))</f>
        <v/>
      </c>
      <c r="I2531">
        <f>IF(F2531="","",INDEX(Deals!$D$2:$D$843,F2531))</f>
        <v/>
      </c>
      <c r="J2531">
        <f>IF(F2531="","",INT(H2531)-B2531)</f>
        <v/>
      </c>
      <c r="K2531">
        <f>IF(B2531&gt;=Settings!$C$5,1,0)</f>
        <v/>
      </c>
    </row>
    <row r="2532">
      <c r="A2532" t="inlineStr">
        <is>
          <t>2130c1eb94bf7767173970321cca0a89</t>
        </is>
      </c>
      <c r="B2532" s="29" t="n">
        <v>43209</v>
      </c>
      <c r="C2532" t="inlineStr">
        <is>
          <t>2018-04</t>
        </is>
      </c>
      <c r="D2532" t="inlineStr">
        <is>
          <t>f98c2bd96ac4a5d9476734e790c91384</t>
        </is>
      </c>
      <c r="E2532" t="inlineStr">
        <is>
          <t>organic_search</t>
        </is>
      </c>
      <c r="F2532">
        <f>IFERROR(MATCH(A2532,Deals!$A$2:$A$843,0),"")</f>
        <v/>
      </c>
      <c r="G2532">
        <f>IF(F2532="",0,1)</f>
        <v/>
      </c>
      <c r="H2532" s="29">
        <f>IF(F2532="","",INDEX(Deals!$E$2:$E$843,F2532))</f>
        <v/>
      </c>
      <c r="I2532">
        <f>IF(F2532="","",INDEX(Deals!$D$2:$D$843,F2532))</f>
        <v/>
      </c>
      <c r="J2532">
        <f>IF(F2532="","",INT(H2532)-B2532)</f>
        <v/>
      </c>
      <c r="K2532">
        <f>IF(B2532&gt;=Settings!$C$5,1,0)</f>
        <v/>
      </c>
    </row>
    <row r="2533">
      <c r="A2533" t="inlineStr">
        <is>
          <t>78da6fd6770a2d61fbee51b8834d418d</t>
        </is>
      </c>
      <c r="B2533" s="29" t="n">
        <v>43204</v>
      </c>
      <c r="C2533" t="inlineStr">
        <is>
          <t>2018-04</t>
        </is>
      </c>
      <c r="D2533" t="inlineStr">
        <is>
          <t>58326e62183c14b0c03085c33b9fdc44</t>
        </is>
      </c>
      <c r="E2533" t="inlineStr">
        <is>
          <t>social</t>
        </is>
      </c>
      <c r="F2533">
        <f>IFERROR(MATCH(A2533,Deals!$A$2:$A$843,0),"")</f>
        <v/>
      </c>
      <c r="G2533">
        <f>IF(F2533="",0,1)</f>
        <v/>
      </c>
      <c r="H2533" s="29">
        <f>IF(F2533="","",INDEX(Deals!$E$2:$E$843,F2533))</f>
        <v/>
      </c>
      <c r="I2533">
        <f>IF(F2533="","",INDEX(Deals!$D$2:$D$843,F2533))</f>
        <v/>
      </c>
      <c r="J2533">
        <f>IF(F2533="","",INT(H2533)-B2533)</f>
        <v/>
      </c>
      <c r="K2533">
        <f>IF(B2533&gt;=Settings!$C$5,1,0)</f>
        <v/>
      </c>
    </row>
    <row r="2534">
      <c r="A2534" t="inlineStr">
        <is>
          <t>1164aaba098a3dcba8b6e7713cd2fb64</t>
        </is>
      </c>
      <c r="B2534" s="29" t="n">
        <v>43238</v>
      </c>
      <c r="C2534" t="inlineStr">
        <is>
          <t>2018-05</t>
        </is>
      </c>
      <c r="D2534" t="inlineStr">
        <is>
          <t>ce1a65abd0973638f1c887a6efcfa82d</t>
        </is>
      </c>
      <c r="E2534" t="inlineStr">
        <is>
          <t>organic_search</t>
        </is>
      </c>
      <c r="F2534">
        <f>IFERROR(MATCH(A2534,Deals!$A$2:$A$843,0),"")</f>
        <v/>
      </c>
      <c r="G2534">
        <f>IF(F2534="",0,1)</f>
        <v/>
      </c>
      <c r="H2534" s="29">
        <f>IF(F2534="","",INDEX(Deals!$E$2:$E$843,F2534))</f>
        <v/>
      </c>
      <c r="I2534">
        <f>IF(F2534="","",INDEX(Deals!$D$2:$D$843,F2534))</f>
        <v/>
      </c>
      <c r="J2534">
        <f>IF(F2534="","",INT(H2534)-B2534)</f>
        <v/>
      </c>
      <c r="K2534">
        <f>IF(B2534&gt;=Settings!$C$5,1,0)</f>
        <v/>
      </c>
    </row>
    <row r="2535">
      <c r="A2535" t="inlineStr">
        <is>
          <t>6d19b223b7e2905a5c47a7748fc01699</t>
        </is>
      </c>
      <c r="B2535" s="29" t="n">
        <v>43157</v>
      </c>
      <c r="C2535" t="inlineStr">
        <is>
          <t>2018-02</t>
        </is>
      </c>
      <c r="D2535" t="inlineStr">
        <is>
          <t>0e5a178e3cd2368607f3e72f46140476</t>
        </is>
      </c>
      <c r="E2535" t="inlineStr">
        <is>
          <t>email</t>
        </is>
      </c>
      <c r="F2535">
        <f>IFERROR(MATCH(A2535,Deals!$A$2:$A$843,0),"")</f>
        <v/>
      </c>
      <c r="G2535">
        <f>IF(F2535="",0,1)</f>
        <v/>
      </c>
      <c r="H2535" s="29">
        <f>IF(F2535="","",INDEX(Deals!$E$2:$E$843,F2535))</f>
        <v/>
      </c>
      <c r="I2535">
        <f>IF(F2535="","",INDEX(Deals!$D$2:$D$843,F2535))</f>
        <v/>
      </c>
      <c r="J2535">
        <f>IF(F2535="","",INT(H2535)-B2535)</f>
        <v/>
      </c>
      <c r="K2535">
        <f>IF(B2535&gt;=Settings!$C$5,1,0)</f>
        <v/>
      </c>
    </row>
    <row r="2536">
      <c r="A2536" t="inlineStr">
        <is>
          <t>768a48621db6578fbfcda8edc7d647e2</t>
        </is>
      </c>
      <c r="B2536" s="29" t="n">
        <v>43251</v>
      </c>
      <c r="C2536" t="inlineStr">
        <is>
          <t>2018-05</t>
        </is>
      </c>
      <c r="D2536" t="inlineStr">
        <is>
          <t>58326e62183c14b0c03085c33b9fdc44</t>
        </is>
      </c>
      <c r="E2536" t="inlineStr">
        <is>
          <t>social</t>
        </is>
      </c>
      <c r="F2536">
        <f>IFERROR(MATCH(A2536,Deals!$A$2:$A$843,0),"")</f>
        <v/>
      </c>
      <c r="G2536">
        <f>IF(F2536="",0,1)</f>
        <v/>
      </c>
      <c r="H2536" s="29">
        <f>IF(F2536="","",INDEX(Deals!$E$2:$E$843,F2536))</f>
        <v/>
      </c>
      <c r="I2536">
        <f>IF(F2536="","",INDEX(Deals!$D$2:$D$843,F2536))</f>
        <v/>
      </c>
      <c r="J2536">
        <f>IF(F2536="","",INT(H2536)-B2536)</f>
        <v/>
      </c>
      <c r="K2536">
        <f>IF(B2536&gt;=Settings!$C$5,1,0)</f>
        <v/>
      </c>
    </row>
    <row r="2537">
      <c r="A2537" t="inlineStr">
        <is>
          <t>9f32a0554217915208ab7dfedc7943ac</t>
        </is>
      </c>
      <c r="B2537" s="29" t="n">
        <v>43251</v>
      </c>
      <c r="C2537" t="inlineStr">
        <is>
          <t>2018-05</t>
        </is>
      </c>
      <c r="D2537" t="inlineStr">
        <is>
          <t>b76ef37428e6799c421989521c0e5077</t>
        </is>
      </c>
      <c r="E2537" t="inlineStr">
        <is>
          <t>organic_search</t>
        </is>
      </c>
      <c r="F2537">
        <f>IFERROR(MATCH(A2537,Deals!$A$2:$A$843,0),"")</f>
        <v/>
      </c>
      <c r="G2537">
        <f>IF(F2537="",0,1)</f>
        <v/>
      </c>
      <c r="H2537" s="29">
        <f>IF(F2537="","",INDEX(Deals!$E$2:$E$843,F2537))</f>
        <v/>
      </c>
      <c r="I2537">
        <f>IF(F2537="","",INDEX(Deals!$D$2:$D$843,F2537))</f>
        <v/>
      </c>
      <c r="J2537">
        <f>IF(F2537="","",INT(H2537)-B2537)</f>
        <v/>
      </c>
      <c r="K2537">
        <f>IF(B2537&gt;=Settings!$C$5,1,0)</f>
        <v/>
      </c>
    </row>
    <row r="2538">
      <c r="A2538" t="inlineStr">
        <is>
          <t>8870f76779e7c585e74cdb4f300921f1</t>
        </is>
      </c>
      <c r="B2538" s="29" t="n">
        <v>43145</v>
      </c>
      <c r="C2538" t="inlineStr">
        <is>
          <t>2018-02</t>
        </is>
      </c>
      <c r="D2538" t="inlineStr">
        <is>
          <t>5209e2e679d32a6619feb6942702fd14</t>
        </is>
      </c>
      <c r="E2538" t="inlineStr">
        <is>
          <t>organic_search</t>
        </is>
      </c>
      <c r="F2538">
        <f>IFERROR(MATCH(A2538,Deals!$A$2:$A$843,0),"")</f>
        <v/>
      </c>
      <c r="G2538">
        <f>IF(F2538="",0,1)</f>
        <v/>
      </c>
      <c r="H2538" s="29">
        <f>IF(F2538="","",INDEX(Deals!$E$2:$E$843,F2538))</f>
        <v/>
      </c>
      <c r="I2538">
        <f>IF(F2538="","",INDEX(Deals!$D$2:$D$843,F2538))</f>
        <v/>
      </c>
      <c r="J2538">
        <f>IF(F2538="","",INT(H2538)-B2538)</f>
        <v/>
      </c>
      <c r="K2538">
        <f>IF(B2538&gt;=Settings!$C$5,1,0)</f>
        <v/>
      </c>
    </row>
    <row r="2539">
      <c r="A2539" t="inlineStr">
        <is>
          <t>f1a58918e5937cbf008a17b8ce77b579</t>
        </is>
      </c>
      <c r="B2539" s="29" t="n">
        <v>42936</v>
      </c>
      <c r="C2539" t="inlineStr">
        <is>
          <t>2017-07</t>
        </is>
      </c>
      <c r="D2539" t="inlineStr">
        <is>
          <t>ce7bafe02f8fb1a3f15f52a9c239d0ef</t>
        </is>
      </c>
      <c r="E2539" t="inlineStr">
        <is>
          <t>(missing)</t>
        </is>
      </c>
      <c r="F2539">
        <f>IFERROR(MATCH(A2539,Deals!$A$2:$A$843,0),"")</f>
        <v/>
      </c>
      <c r="G2539">
        <f>IF(F2539="",0,1)</f>
        <v/>
      </c>
      <c r="H2539" s="29">
        <f>IF(F2539="","",INDEX(Deals!$E$2:$E$843,F2539))</f>
        <v/>
      </c>
      <c r="I2539">
        <f>IF(F2539="","",INDEX(Deals!$D$2:$D$843,F2539))</f>
        <v/>
      </c>
      <c r="J2539">
        <f>IF(F2539="","",INT(H2539)-B2539)</f>
        <v/>
      </c>
      <c r="K2539">
        <f>IF(B2539&gt;=Settings!$C$5,1,0)</f>
        <v/>
      </c>
    </row>
    <row r="2540">
      <c r="A2540" t="inlineStr">
        <is>
          <t>99edc3daf630586eae1fa7529e68bb78</t>
        </is>
      </c>
      <c r="B2540" s="29" t="n">
        <v>43224</v>
      </c>
      <c r="C2540" t="inlineStr">
        <is>
          <t>2018-05</t>
        </is>
      </c>
      <c r="D2540" t="inlineStr">
        <is>
          <t>c0f9e439226ea0373a7e3c0dfe71e4f9</t>
        </is>
      </c>
      <c r="E2540" t="inlineStr">
        <is>
          <t>organic_search</t>
        </is>
      </c>
      <c r="F2540">
        <f>IFERROR(MATCH(A2540,Deals!$A$2:$A$843,0),"")</f>
        <v/>
      </c>
      <c r="G2540">
        <f>IF(F2540="",0,1)</f>
        <v/>
      </c>
      <c r="H2540" s="29">
        <f>IF(F2540="","",INDEX(Deals!$E$2:$E$843,F2540))</f>
        <v/>
      </c>
      <c r="I2540">
        <f>IF(F2540="","",INDEX(Deals!$D$2:$D$843,F2540))</f>
        <v/>
      </c>
      <c r="J2540">
        <f>IF(F2540="","",INT(H2540)-B2540)</f>
        <v/>
      </c>
      <c r="K2540">
        <f>IF(B2540&gt;=Settings!$C$5,1,0)</f>
        <v/>
      </c>
    </row>
    <row r="2541">
      <c r="A2541" t="inlineStr">
        <is>
          <t>46bbc4a56de136ad319e59e37ef55644</t>
        </is>
      </c>
      <c r="B2541" s="29" t="n">
        <v>43209</v>
      </c>
      <c r="C2541" t="inlineStr">
        <is>
          <t>2018-04</t>
        </is>
      </c>
      <c r="D2541" t="inlineStr">
        <is>
          <t>22c29808c4f815213303f8933030604c</t>
        </is>
      </c>
      <c r="E2541" t="inlineStr">
        <is>
          <t>organic_search</t>
        </is>
      </c>
      <c r="F2541">
        <f>IFERROR(MATCH(A2541,Deals!$A$2:$A$843,0),"")</f>
        <v/>
      </c>
      <c r="G2541">
        <f>IF(F2541="",0,1)</f>
        <v/>
      </c>
      <c r="H2541" s="29">
        <f>IF(F2541="","",INDEX(Deals!$E$2:$E$843,F2541))</f>
        <v/>
      </c>
      <c r="I2541">
        <f>IF(F2541="","",INDEX(Deals!$D$2:$D$843,F2541))</f>
        <v/>
      </c>
      <c r="J2541">
        <f>IF(F2541="","",INT(H2541)-B2541)</f>
        <v/>
      </c>
      <c r="K2541">
        <f>IF(B2541&gt;=Settings!$C$5,1,0)</f>
        <v/>
      </c>
    </row>
    <row r="2542">
      <c r="A2542" t="inlineStr">
        <is>
          <t>e1c1027ff3bdee0557d38637781802f8</t>
        </is>
      </c>
      <c r="B2542" s="29" t="n">
        <v>43118</v>
      </c>
      <c r="C2542" t="inlineStr">
        <is>
          <t>2018-01</t>
        </is>
      </c>
      <c r="D2542" t="inlineStr">
        <is>
          <t>b76ef37428e6799c421989521c0e5077</t>
        </is>
      </c>
      <c r="E2542" t="inlineStr">
        <is>
          <t>unknown</t>
        </is>
      </c>
      <c r="F2542">
        <f>IFERROR(MATCH(A2542,Deals!$A$2:$A$843,0),"")</f>
        <v/>
      </c>
      <c r="G2542">
        <f>IF(F2542="",0,1)</f>
        <v/>
      </c>
      <c r="H2542" s="29">
        <f>IF(F2542="","",INDEX(Deals!$E$2:$E$843,F2542))</f>
        <v/>
      </c>
      <c r="I2542">
        <f>IF(F2542="","",INDEX(Deals!$D$2:$D$843,F2542))</f>
        <v/>
      </c>
      <c r="J2542">
        <f>IF(F2542="","",INT(H2542)-B2542)</f>
        <v/>
      </c>
      <c r="K2542">
        <f>IF(B2542&gt;=Settings!$C$5,1,0)</f>
        <v/>
      </c>
    </row>
    <row r="2543">
      <c r="A2543" t="inlineStr">
        <is>
          <t>bc55d3363ee659d6ab6c908b932c7705</t>
        </is>
      </c>
      <c r="B2543" s="29" t="n">
        <v>43209</v>
      </c>
      <c r="C2543" t="inlineStr">
        <is>
          <t>2018-04</t>
        </is>
      </c>
      <c r="D2543" t="inlineStr">
        <is>
          <t>40dec9f3d5259a3d2dbcdab2114fae47</t>
        </is>
      </c>
      <c r="E2543" t="inlineStr">
        <is>
          <t>paid_search</t>
        </is>
      </c>
      <c r="F2543">
        <f>IFERROR(MATCH(A2543,Deals!$A$2:$A$843,0),"")</f>
        <v/>
      </c>
      <c r="G2543">
        <f>IF(F2543="",0,1)</f>
        <v/>
      </c>
      <c r="H2543" s="29">
        <f>IF(F2543="","",INDEX(Deals!$E$2:$E$843,F2543))</f>
        <v/>
      </c>
      <c r="I2543">
        <f>IF(F2543="","",INDEX(Deals!$D$2:$D$843,F2543))</f>
        <v/>
      </c>
      <c r="J2543">
        <f>IF(F2543="","",INT(H2543)-B2543)</f>
        <v/>
      </c>
      <c r="K2543">
        <f>IF(B2543&gt;=Settings!$C$5,1,0)</f>
        <v/>
      </c>
    </row>
    <row r="2544">
      <c r="A2544" t="inlineStr">
        <is>
          <t>6e35148cd8189c67fc462bb214e77f46</t>
        </is>
      </c>
      <c r="B2544" s="29" t="n">
        <v>43035</v>
      </c>
      <c r="C2544" t="inlineStr">
        <is>
          <t>2017-10</t>
        </is>
      </c>
      <c r="D2544" t="inlineStr">
        <is>
          <t>21a104c3279681d9856b8a48723c4fee</t>
        </is>
      </c>
      <c r="E2544" t="inlineStr">
        <is>
          <t>unknown</t>
        </is>
      </c>
      <c r="F2544">
        <f>IFERROR(MATCH(A2544,Deals!$A$2:$A$843,0),"")</f>
        <v/>
      </c>
      <c r="G2544">
        <f>IF(F2544="",0,1)</f>
        <v/>
      </c>
      <c r="H2544" s="29">
        <f>IF(F2544="","",INDEX(Deals!$E$2:$E$843,F2544))</f>
        <v/>
      </c>
      <c r="I2544">
        <f>IF(F2544="","",INDEX(Deals!$D$2:$D$843,F2544))</f>
        <v/>
      </c>
      <c r="J2544">
        <f>IF(F2544="","",INT(H2544)-B2544)</f>
        <v/>
      </c>
      <c r="K2544">
        <f>IF(B2544&gt;=Settings!$C$5,1,0)</f>
        <v/>
      </c>
    </row>
    <row r="2545">
      <c r="A2545" t="inlineStr">
        <is>
          <t>74c51c08166a444760e2363ae10eaaa7</t>
        </is>
      </c>
      <c r="B2545" s="29" t="n">
        <v>43031</v>
      </c>
      <c r="C2545" t="inlineStr">
        <is>
          <t>2017-10</t>
        </is>
      </c>
      <c r="D2545" t="inlineStr">
        <is>
          <t>a7982125ff7aa3b2054c6e44f9d28522</t>
        </is>
      </c>
      <c r="E2545" t="inlineStr">
        <is>
          <t>direct_traffic</t>
        </is>
      </c>
      <c r="F2545">
        <f>IFERROR(MATCH(A2545,Deals!$A$2:$A$843,0),"")</f>
        <v/>
      </c>
      <c r="G2545">
        <f>IF(F2545="",0,1)</f>
        <v/>
      </c>
      <c r="H2545" s="29">
        <f>IF(F2545="","",INDEX(Deals!$E$2:$E$843,F2545))</f>
        <v/>
      </c>
      <c r="I2545">
        <f>IF(F2545="","",INDEX(Deals!$D$2:$D$843,F2545))</f>
        <v/>
      </c>
      <c r="J2545">
        <f>IF(F2545="","",INT(H2545)-B2545)</f>
        <v/>
      </c>
      <c r="K2545">
        <f>IF(B2545&gt;=Settings!$C$5,1,0)</f>
        <v/>
      </c>
    </row>
    <row r="2546">
      <c r="A2546" t="inlineStr">
        <is>
          <t>b8e8d48caa87e495e8b371564efbd9c3</t>
        </is>
      </c>
      <c r="B2546" s="29" t="n">
        <v>43104</v>
      </c>
      <c r="C2546" t="inlineStr">
        <is>
          <t>2018-01</t>
        </is>
      </c>
      <c r="D2546" t="inlineStr">
        <is>
          <t>22c29808c4f815213303f8933030604c</t>
        </is>
      </c>
      <c r="E2546" t="inlineStr">
        <is>
          <t>organic_search</t>
        </is>
      </c>
      <c r="F2546">
        <f>IFERROR(MATCH(A2546,Deals!$A$2:$A$843,0),"")</f>
        <v/>
      </c>
      <c r="G2546">
        <f>IF(F2546="",0,1)</f>
        <v/>
      </c>
      <c r="H2546" s="29">
        <f>IF(F2546="","",INDEX(Deals!$E$2:$E$843,F2546))</f>
        <v/>
      </c>
      <c r="I2546">
        <f>IF(F2546="","",INDEX(Deals!$D$2:$D$843,F2546))</f>
        <v/>
      </c>
      <c r="J2546">
        <f>IF(F2546="","",INT(H2546)-B2546)</f>
        <v/>
      </c>
      <c r="K2546">
        <f>IF(B2546&gt;=Settings!$C$5,1,0)</f>
        <v/>
      </c>
    </row>
    <row r="2547">
      <c r="A2547" t="inlineStr">
        <is>
          <t>d1c366f7e48f4c707261d658dab76623</t>
        </is>
      </c>
      <c r="B2547" s="29" t="n">
        <v>43100</v>
      </c>
      <c r="C2547" t="inlineStr">
        <is>
          <t>2017-12</t>
        </is>
      </c>
      <c r="D2547" t="inlineStr">
        <is>
          <t>40dec9f3d5259a3d2dbcdab2114fae47</t>
        </is>
      </c>
      <c r="E2547" t="inlineStr">
        <is>
          <t>paid_search</t>
        </is>
      </c>
      <c r="F2547">
        <f>IFERROR(MATCH(A2547,Deals!$A$2:$A$843,0),"")</f>
        <v/>
      </c>
      <c r="G2547">
        <f>IF(F2547="",0,1)</f>
        <v/>
      </c>
      <c r="H2547" s="29">
        <f>IF(F2547="","",INDEX(Deals!$E$2:$E$843,F2547))</f>
        <v/>
      </c>
      <c r="I2547">
        <f>IF(F2547="","",INDEX(Deals!$D$2:$D$843,F2547))</f>
        <v/>
      </c>
      <c r="J2547">
        <f>IF(F2547="","",INT(H2547)-B2547)</f>
        <v/>
      </c>
      <c r="K2547">
        <f>IF(B2547&gt;=Settings!$C$5,1,0)</f>
        <v/>
      </c>
    </row>
    <row r="2548">
      <c r="A2548" t="inlineStr">
        <is>
          <t>7c995df1ffa78d4ccac4e2e8b2fa3f88</t>
        </is>
      </c>
      <c r="B2548" s="29" t="n">
        <v>43201</v>
      </c>
      <c r="C2548" t="inlineStr">
        <is>
          <t>2018-04</t>
        </is>
      </c>
      <c r="D2548" t="inlineStr">
        <is>
          <t>ce1a65abd0973638f1c887a6efcfa82d</t>
        </is>
      </c>
      <c r="E2548" t="inlineStr">
        <is>
          <t>organic_search</t>
        </is>
      </c>
      <c r="F2548">
        <f>IFERROR(MATCH(A2548,Deals!$A$2:$A$843,0),"")</f>
        <v/>
      </c>
      <c r="G2548">
        <f>IF(F2548="",0,1)</f>
        <v/>
      </c>
      <c r="H2548" s="29">
        <f>IF(F2548="","",INDEX(Deals!$E$2:$E$843,F2548))</f>
        <v/>
      </c>
      <c r="I2548">
        <f>IF(F2548="","",INDEX(Deals!$D$2:$D$843,F2548))</f>
        <v/>
      </c>
      <c r="J2548">
        <f>IF(F2548="","",INT(H2548)-B2548)</f>
        <v/>
      </c>
      <c r="K2548">
        <f>IF(B2548&gt;=Settings!$C$5,1,0)</f>
        <v/>
      </c>
    </row>
    <row r="2549">
      <c r="A2549" t="inlineStr">
        <is>
          <t>4e6bdf8e5aed24d7a26d7318e0c87417</t>
        </is>
      </c>
      <c r="B2549" s="29" t="n">
        <v>42976</v>
      </c>
      <c r="C2549" t="inlineStr">
        <is>
          <t>2017-08</t>
        </is>
      </c>
      <c r="D2549" t="inlineStr">
        <is>
          <t>b76ef37428e6799c421989521c0e5077</t>
        </is>
      </c>
      <c r="E2549" t="inlineStr">
        <is>
          <t>paid_search</t>
        </is>
      </c>
      <c r="F2549">
        <f>IFERROR(MATCH(A2549,Deals!$A$2:$A$843,0),"")</f>
        <v/>
      </c>
      <c r="G2549">
        <f>IF(F2549="",0,1)</f>
        <v/>
      </c>
      <c r="H2549" s="29">
        <f>IF(F2549="","",INDEX(Deals!$E$2:$E$843,F2549))</f>
        <v/>
      </c>
      <c r="I2549">
        <f>IF(F2549="","",INDEX(Deals!$D$2:$D$843,F2549))</f>
        <v/>
      </c>
      <c r="J2549">
        <f>IF(F2549="","",INT(H2549)-B2549)</f>
        <v/>
      </c>
      <c r="K2549">
        <f>IF(B2549&gt;=Settings!$C$5,1,0)</f>
        <v/>
      </c>
    </row>
    <row r="2550">
      <c r="A2550" t="inlineStr">
        <is>
          <t>77fb534c73679ddb543437d0b3db77c4</t>
        </is>
      </c>
      <c r="B2550" s="29" t="n">
        <v>43131</v>
      </c>
      <c r="C2550" t="inlineStr">
        <is>
          <t>2018-01</t>
        </is>
      </c>
      <c r="D2550" t="inlineStr">
        <is>
          <t>b76ef37428e6799c421989521c0e5077</t>
        </is>
      </c>
      <c r="E2550" t="inlineStr">
        <is>
          <t>unknown</t>
        </is>
      </c>
      <c r="F2550">
        <f>IFERROR(MATCH(A2550,Deals!$A$2:$A$843,0),"")</f>
        <v/>
      </c>
      <c r="G2550">
        <f>IF(F2550="",0,1)</f>
        <v/>
      </c>
      <c r="H2550" s="29">
        <f>IF(F2550="","",INDEX(Deals!$E$2:$E$843,F2550))</f>
        <v/>
      </c>
      <c r="I2550">
        <f>IF(F2550="","",INDEX(Deals!$D$2:$D$843,F2550))</f>
        <v/>
      </c>
      <c r="J2550">
        <f>IF(F2550="","",INT(H2550)-B2550)</f>
        <v/>
      </c>
      <c r="K2550">
        <f>IF(B2550&gt;=Settings!$C$5,1,0)</f>
        <v/>
      </c>
    </row>
    <row r="2551">
      <c r="A2551" t="inlineStr">
        <is>
          <t>1b34d47c57a081fbfeec93a1065e69bd</t>
        </is>
      </c>
      <c r="B2551" s="29" t="n">
        <v>43108</v>
      </c>
      <c r="C2551" t="inlineStr">
        <is>
          <t>2018-01</t>
        </is>
      </c>
      <c r="D2551" t="inlineStr">
        <is>
          <t>40dec9f3d5259a3d2dbcdab2114fae47</t>
        </is>
      </c>
      <c r="E2551" t="inlineStr">
        <is>
          <t>paid_search</t>
        </is>
      </c>
      <c r="F2551">
        <f>IFERROR(MATCH(A2551,Deals!$A$2:$A$843,0),"")</f>
        <v/>
      </c>
      <c r="G2551">
        <f>IF(F2551="",0,1)</f>
        <v/>
      </c>
      <c r="H2551" s="29">
        <f>IF(F2551="","",INDEX(Deals!$E$2:$E$843,F2551))</f>
        <v/>
      </c>
      <c r="I2551">
        <f>IF(F2551="","",INDEX(Deals!$D$2:$D$843,F2551))</f>
        <v/>
      </c>
      <c r="J2551">
        <f>IF(F2551="","",INT(H2551)-B2551)</f>
        <v/>
      </c>
      <c r="K2551">
        <f>IF(B2551&gt;=Settings!$C$5,1,0)</f>
        <v/>
      </c>
    </row>
    <row r="2552">
      <c r="A2552" t="inlineStr">
        <is>
          <t>90a85209de63519f0c04728a1bdb9313</t>
        </is>
      </c>
      <c r="B2552" s="29" t="n">
        <v>42972</v>
      </c>
      <c r="C2552" t="inlineStr">
        <is>
          <t>2017-08</t>
        </is>
      </c>
      <c r="D2552" t="inlineStr">
        <is>
          <t>b76ef37428e6799c421989521c0e5077</t>
        </is>
      </c>
      <c r="E2552" t="inlineStr">
        <is>
          <t>unknown</t>
        </is>
      </c>
      <c r="F2552">
        <f>IFERROR(MATCH(A2552,Deals!$A$2:$A$843,0),"")</f>
        <v/>
      </c>
      <c r="G2552">
        <f>IF(F2552="",0,1)</f>
        <v/>
      </c>
      <c r="H2552" s="29">
        <f>IF(F2552="","",INDEX(Deals!$E$2:$E$843,F2552))</f>
        <v/>
      </c>
      <c r="I2552">
        <f>IF(F2552="","",INDEX(Deals!$D$2:$D$843,F2552))</f>
        <v/>
      </c>
      <c r="J2552">
        <f>IF(F2552="","",INT(H2552)-B2552)</f>
        <v/>
      </c>
      <c r="K2552">
        <f>IF(B2552&gt;=Settings!$C$5,1,0)</f>
        <v/>
      </c>
    </row>
    <row r="2553">
      <c r="A2553" t="inlineStr">
        <is>
          <t>5a50de67f810f5450045a367a19fdb03</t>
        </is>
      </c>
      <c r="B2553" s="29" t="n">
        <v>43177</v>
      </c>
      <c r="C2553" t="inlineStr">
        <is>
          <t>2018-03</t>
        </is>
      </c>
      <c r="D2553" t="inlineStr">
        <is>
          <t>c35447dcd1a50b2e2ee3184be602b597</t>
        </is>
      </c>
      <c r="E2553" t="inlineStr">
        <is>
          <t>social</t>
        </is>
      </c>
      <c r="F2553">
        <f>IFERROR(MATCH(A2553,Deals!$A$2:$A$843,0),"")</f>
        <v/>
      </c>
      <c r="G2553">
        <f>IF(F2553="",0,1)</f>
        <v/>
      </c>
      <c r="H2553" s="29">
        <f>IF(F2553="","",INDEX(Deals!$E$2:$E$843,F2553))</f>
        <v/>
      </c>
      <c r="I2553">
        <f>IF(F2553="","",INDEX(Deals!$D$2:$D$843,F2553))</f>
        <v/>
      </c>
      <c r="J2553">
        <f>IF(F2553="","",INT(H2553)-B2553)</f>
        <v/>
      </c>
      <c r="K2553">
        <f>IF(B2553&gt;=Settings!$C$5,1,0)</f>
        <v/>
      </c>
    </row>
    <row r="2554">
      <c r="A2554" t="inlineStr">
        <is>
          <t>ac3f291f10e6cded34a8c10cce182b10</t>
        </is>
      </c>
      <c r="B2554" s="29" t="n">
        <v>43248</v>
      </c>
      <c r="C2554" t="inlineStr">
        <is>
          <t>2018-05</t>
        </is>
      </c>
      <c r="D2554" t="inlineStr">
        <is>
          <t>22c29808c4f815213303f8933030604c</t>
        </is>
      </c>
      <c r="E2554" t="inlineStr">
        <is>
          <t>referral</t>
        </is>
      </c>
      <c r="F2554">
        <f>IFERROR(MATCH(A2554,Deals!$A$2:$A$843,0),"")</f>
        <v/>
      </c>
      <c r="G2554">
        <f>IF(F2554="",0,1)</f>
        <v/>
      </c>
      <c r="H2554" s="29">
        <f>IF(F2554="","",INDEX(Deals!$E$2:$E$843,F2554))</f>
        <v/>
      </c>
      <c r="I2554">
        <f>IF(F2554="","",INDEX(Deals!$D$2:$D$843,F2554))</f>
        <v/>
      </c>
      <c r="J2554">
        <f>IF(F2554="","",INT(H2554)-B2554)</f>
        <v/>
      </c>
      <c r="K2554">
        <f>IF(B2554&gt;=Settings!$C$5,1,0)</f>
        <v/>
      </c>
    </row>
    <row r="2555">
      <c r="A2555" t="inlineStr">
        <is>
          <t>bb3e90115fe0edc297846a47dc731ae4</t>
        </is>
      </c>
      <c r="B2555" s="29" t="n">
        <v>43131</v>
      </c>
      <c r="C2555" t="inlineStr">
        <is>
          <t>2018-01</t>
        </is>
      </c>
      <c r="D2555" t="inlineStr">
        <is>
          <t>b76ef37428e6799c421989521c0e5077</t>
        </is>
      </c>
      <c r="E2555" t="inlineStr">
        <is>
          <t>unknown</t>
        </is>
      </c>
      <c r="F2555">
        <f>IFERROR(MATCH(A2555,Deals!$A$2:$A$843,0),"")</f>
        <v/>
      </c>
      <c r="G2555">
        <f>IF(F2555="",0,1)</f>
        <v/>
      </c>
      <c r="H2555" s="29">
        <f>IF(F2555="","",INDEX(Deals!$E$2:$E$843,F2555))</f>
        <v/>
      </c>
      <c r="I2555">
        <f>IF(F2555="","",INDEX(Deals!$D$2:$D$843,F2555))</f>
        <v/>
      </c>
      <c r="J2555">
        <f>IF(F2555="","",INT(H2555)-B2555)</f>
        <v/>
      </c>
      <c r="K2555">
        <f>IF(B2555&gt;=Settings!$C$5,1,0)</f>
        <v/>
      </c>
    </row>
    <row r="2556">
      <c r="A2556" t="inlineStr">
        <is>
          <t>b901ad8e8c03a6f22f40b7de9a5041be</t>
        </is>
      </c>
      <c r="B2556" s="29" t="n">
        <v>43130</v>
      </c>
      <c r="C2556" t="inlineStr">
        <is>
          <t>2018-01</t>
        </is>
      </c>
      <c r="D2556" t="inlineStr">
        <is>
          <t>22c29808c4f815213303f8933030604c</t>
        </is>
      </c>
      <c r="E2556" t="inlineStr">
        <is>
          <t>paid_search</t>
        </is>
      </c>
      <c r="F2556">
        <f>IFERROR(MATCH(A2556,Deals!$A$2:$A$843,0),"")</f>
        <v/>
      </c>
      <c r="G2556">
        <f>IF(F2556="",0,1)</f>
        <v/>
      </c>
      <c r="H2556" s="29">
        <f>IF(F2556="","",INDEX(Deals!$E$2:$E$843,F2556))</f>
        <v/>
      </c>
      <c r="I2556">
        <f>IF(F2556="","",INDEX(Deals!$D$2:$D$843,F2556))</f>
        <v/>
      </c>
      <c r="J2556">
        <f>IF(F2556="","",INT(H2556)-B2556)</f>
        <v/>
      </c>
      <c r="K2556">
        <f>IF(B2556&gt;=Settings!$C$5,1,0)</f>
        <v/>
      </c>
    </row>
    <row r="2557">
      <c r="A2557" t="inlineStr">
        <is>
          <t>a548ddf8b00548a20b3e63373476c6ea</t>
        </is>
      </c>
      <c r="B2557" s="29" t="n">
        <v>43183</v>
      </c>
      <c r="C2557" t="inlineStr">
        <is>
          <t>2018-03</t>
        </is>
      </c>
      <c r="D2557" t="inlineStr">
        <is>
          <t>22c29808c4f815213303f8933030604c</t>
        </is>
      </c>
      <c r="E2557" t="inlineStr">
        <is>
          <t>organic_search</t>
        </is>
      </c>
      <c r="F2557">
        <f>IFERROR(MATCH(A2557,Deals!$A$2:$A$843,0),"")</f>
        <v/>
      </c>
      <c r="G2557">
        <f>IF(F2557="",0,1)</f>
        <v/>
      </c>
      <c r="H2557" s="29">
        <f>IF(F2557="","",INDEX(Deals!$E$2:$E$843,F2557))</f>
        <v/>
      </c>
      <c r="I2557">
        <f>IF(F2557="","",INDEX(Deals!$D$2:$D$843,F2557))</f>
        <v/>
      </c>
      <c r="J2557">
        <f>IF(F2557="","",INT(H2557)-B2557)</f>
        <v/>
      </c>
      <c r="K2557">
        <f>IF(B2557&gt;=Settings!$C$5,1,0)</f>
        <v/>
      </c>
    </row>
    <row r="2558">
      <c r="A2558" t="inlineStr">
        <is>
          <t>71e04d8a85ed261e4763a9b0dab3ab79</t>
        </is>
      </c>
      <c r="B2558" s="29" t="n">
        <v>43126</v>
      </c>
      <c r="C2558" t="inlineStr">
        <is>
          <t>2018-01</t>
        </is>
      </c>
      <c r="D2558" t="inlineStr">
        <is>
          <t>f017be4dbf86243af5c1ebed0cff36a2</t>
        </is>
      </c>
      <c r="E2558" t="inlineStr">
        <is>
          <t>organic_search</t>
        </is>
      </c>
      <c r="F2558">
        <f>IFERROR(MATCH(A2558,Deals!$A$2:$A$843,0),"")</f>
        <v/>
      </c>
      <c r="G2558">
        <f>IF(F2558="",0,1)</f>
        <v/>
      </c>
      <c r="H2558" s="29">
        <f>IF(F2558="","",INDEX(Deals!$E$2:$E$843,F2558))</f>
        <v/>
      </c>
      <c r="I2558">
        <f>IF(F2558="","",INDEX(Deals!$D$2:$D$843,F2558))</f>
        <v/>
      </c>
      <c r="J2558">
        <f>IF(F2558="","",INT(H2558)-B2558)</f>
        <v/>
      </c>
      <c r="K2558">
        <f>IF(B2558&gt;=Settings!$C$5,1,0)</f>
        <v/>
      </c>
    </row>
    <row r="2559">
      <c r="A2559" t="inlineStr">
        <is>
          <t>9338c9d9365d0f2793a7723c264660b4</t>
        </is>
      </c>
      <c r="B2559" s="29" t="n">
        <v>43243</v>
      </c>
      <c r="C2559" t="inlineStr">
        <is>
          <t>2018-05</t>
        </is>
      </c>
      <c r="D2559" t="inlineStr">
        <is>
          <t>68f817c510c978e3a3a7474ad2aeb75c</t>
        </is>
      </c>
      <c r="E2559" t="inlineStr">
        <is>
          <t>organic_search</t>
        </is>
      </c>
      <c r="F2559">
        <f>IFERROR(MATCH(A2559,Deals!$A$2:$A$843,0),"")</f>
        <v/>
      </c>
      <c r="G2559">
        <f>IF(F2559="",0,1)</f>
        <v/>
      </c>
      <c r="H2559" s="29">
        <f>IF(F2559="","",INDEX(Deals!$E$2:$E$843,F2559))</f>
        <v/>
      </c>
      <c r="I2559">
        <f>IF(F2559="","",INDEX(Deals!$D$2:$D$843,F2559))</f>
        <v/>
      </c>
      <c r="J2559">
        <f>IF(F2559="","",INT(H2559)-B2559)</f>
        <v/>
      </c>
      <c r="K2559">
        <f>IF(B2559&gt;=Settings!$C$5,1,0)</f>
        <v/>
      </c>
    </row>
    <row r="2560">
      <c r="A2560" t="inlineStr">
        <is>
          <t>04ee08ead1a259009cab6b2198fb6d93</t>
        </is>
      </c>
      <c r="B2560" s="29" t="n">
        <v>43112</v>
      </c>
      <c r="C2560" t="inlineStr">
        <is>
          <t>2018-01</t>
        </is>
      </c>
      <c r="D2560" t="inlineStr">
        <is>
          <t>e492ee5eaf1697716985cc6f33f9cd9b</t>
        </is>
      </c>
      <c r="E2560" t="inlineStr">
        <is>
          <t>organic_search</t>
        </is>
      </c>
      <c r="F2560">
        <f>IFERROR(MATCH(A2560,Deals!$A$2:$A$843,0),"")</f>
        <v/>
      </c>
      <c r="G2560">
        <f>IF(F2560="",0,1)</f>
        <v/>
      </c>
      <c r="H2560" s="29">
        <f>IF(F2560="","",INDEX(Deals!$E$2:$E$843,F2560))</f>
        <v/>
      </c>
      <c r="I2560">
        <f>IF(F2560="","",INDEX(Deals!$D$2:$D$843,F2560))</f>
        <v/>
      </c>
      <c r="J2560">
        <f>IF(F2560="","",INT(H2560)-B2560)</f>
        <v/>
      </c>
      <c r="K2560">
        <f>IF(B2560&gt;=Settings!$C$5,1,0)</f>
        <v/>
      </c>
    </row>
    <row r="2561">
      <c r="A2561" t="inlineStr">
        <is>
          <t>02c29fad5f164d62227212fbb95e02f1</t>
        </is>
      </c>
      <c r="B2561" s="29" t="n">
        <v>43188</v>
      </c>
      <c r="C2561" t="inlineStr">
        <is>
          <t>2018-03</t>
        </is>
      </c>
      <c r="D2561" t="inlineStr">
        <is>
          <t>65d9f9d71e562365e8b44037c2888d98</t>
        </is>
      </c>
      <c r="E2561" t="inlineStr">
        <is>
          <t>organic_search</t>
        </is>
      </c>
      <c r="F2561">
        <f>IFERROR(MATCH(A2561,Deals!$A$2:$A$843,0),"")</f>
        <v/>
      </c>
      <c r="G2561">
        <f>IF(F2561="",0,1)</f>
        <v/>
      </c>
      <c r="H2561" s="29">
        <f>IF(F2561="","",INDEX(Deals!$E$2:$E$843,F2561))</f>
        <v/>
      </c>
      <c r="I2561">
        <f>IF(F2561="","",INDEX(Deals!$D$2:$D$843,F2561))</f>
        <v/>
      </c>
      <c r="J2561">
        <f>IF(F2561="","",INT(H2561)-B2561)</f>
        <v/>
      </c>
      <c r="K2561">
        <f>IF(B2561&gt;=Settings!$C$5,1,0)</f>
        <v/>
      </c>
    </row>
    <row r="2562">
      <c r="A2562" t="inlineStr">
        <is>
          <t>29eafc27fdf31dfc7feae0d495fb8ead</t>
        </is>
      </c>
      <c r="B2562" s="29" t="n">
        <v>43192</v>
      </c>
      <c r="C2562" t="inlineStr">
        <is>
          <t>2018-04</t>
        </is>
      </c>
      <c r="D2562" t="inlineStr">
        <is>
          <t>36120633c8737035fbabf079082f4ec1</t>
        </is>
      </c>
      <c r="E2562" t="inlineStr">
        <is>
          <t>organic_search</t>
        </is>
      </c>
      <c r="F2562">
        <f>IFERROR(MATCH(A2562,Deals!$A$2:$A$843,0),"")</f>
        <v/>
      </c>
      <c r="G2562">
        <f>IF(F2562="",0,1)</f>
        <v/>
      </c>
      <c r="H2562" s="29">
        <f>IF(F2562="","",INDEX(Deals!$E$2:$E$843,F2562))</f>
        <v/>
      </c>
      <c r="I2562">
        <f>IF(F2562="","",INDEX(Deals!$D$2:$D$843,F2562))</f>
        <v/>
      </c>
      <c r="J2562">
        <f>IF(F2562="","",INT(H2562)-B2562)</f>
        <v/>
      </c>
      <c r="K2562">
        <f>IF(B2562&gt;=Settings!$C$5,1,0)</f>
        <v/>
      </c>
    </row>
    <row r="2563">
      <c r="A2563" t="inlineStr">
        <is>
          <t>42751fb669b1fe8b899c5a70deb061d8</t>
        </is>
      </c>
      <c r="B2563" s="29" t="n">
        <v>42982</v>
      </c>
      <c r="C2563" t="inlineStr">
        <is>
          <t>2017-09</t>
        </is>
      </c>
      <c r="D2563" t="inlineStr">
        <is>
          <t>97338d2165e7d6d9bc1348573a405642</t>
        </is>
      </c>
      <c r="E2563" t="inlineStr">
        <is>
          <t>direct_traffic</t>
        </is>
      </c>
      <c r="F2563">
        <f>IFERROR(MATCH(A2563,Deals!$A$2:$A$843,0),"")</f>
        <v/>
      </c>
      <c r="G2563">
        <f>IF(F2563="",0,1)</f>
        <v/>
      </c>
      <c r="H2563" s="29">
        <f>IF(F2563="","",INDEX(Deals!$E$2:$E$843,F2563))</f>
        <v/>
      </c>
      <c r="I2563">
        <f>IF(F2563="","",INDEX(Deals!$D$2:$D$843,F2563))</f>
        <v/>
      </c>
      <c r="J2563">
        <f>IF(F2563="","",INT(H2563)-B2563)</f>
        <v/>
      </c>
      <c r="K2563">
        <f>IF(B2563&gt;=Settings!$C$5,1,0)</f>
        <v/>
      </c>
    </row>
    <row r="2564">
      <c r="A2564" t="inlineStr">
        <is>
          <t>7fd60e83598ba7103b06e21feac9f435</t>
        </is>
      </c>
      <c r="B2564" s="29" t="n">
        <v>42948</v>
      </c>
      <c r="C2564" t="inlineStr">
        <is>
          <t>2017-08</t>
        </is>
      </c>
      <c r="D2564" t="inlineStr">
        <is>
          <t>b76ef37428e6799c421989521c0e5077</t>
        </is>
      </c>
      <c r="E2564" t="inlineStr">
        <is>
          <t>unknown</t>
        </is>
      </c>
      <c r="F2564">
        <f>IFERROR(MATCH(A2564,Deals!$A$2:$A$843,0),"")</f>
        <v/>
      </c>
      <c r="G2564">
        <f>IF(F2564="",0,1)</f>
        <v/>
      </c>
      <c r="H2564" s="29">
        <f>IF(F2564="","",INDEX(Deals!$E$2:$E$843,F2564))</f>
        <v/>
      </c>
      <c r="I2564">
        <f>IF(F2564="","",INDEX(Deals!$D$2:$D$843,F2564))</f>
        <v/>
      </c>
      <c r="J2564">
        <f>IF(F2564="","",INT(H2564)-B2564)</f>
        <v/>
      </c>
      <c r="K2564">
        <f>IF(B2564&gt;=Settings!$C$5,1,0)</f>
        <v/>
      </c>
    </row>
    <row r="2565">
      <c r="A2565" t="inlineStr">
        <is>
          <t>74b846eb2dcd22fe703bebcd75a3aff1</t>
        </is>
      </c>
      <c r="B2565" s="29" t="n">
        <v>43027</v>
      </c>
      <c r="C2565" t="inlineStr">
        <is>
          <t>2017-10</t>
        </is>
      </c>
      <c r="D2565" t="inlineStr">
        <is>
          <t>22c29808c4f815213303f8933030604c</t>
        </is>
      </c>
      <c r="E2565" t="inlineStr">
        <is>
          <t>organic_search</t>
        </is>
      </c>
      <c r="F2565">
        <f>IFERROR(MATCH(A2565,Deals!$A$2:$A$843,0),"")</f>
        <v/>
      </c>
      <c r="G2565">
        <f>IF(F2565="",0,1)</f>
        <v/>
      </c>
      <c r="H2565" s="29">
        <f>IF(F2565="","",INDEX(Deals!$E$2:$E$843,F2565))</f>
        <v/>
      </c>
      <c r="I2565">
        <f>IF(F2565="","",INDEX(Deals!$D$2:$D$843,F2565))</f>
        <v/>
      </c>
      <c r="J2565">
        <f>IF(F2565="","",INT(H2565)-B2565)</f>
        <v/>
      </c>
      <c r="K2565">
        <f>IF(B2565&gt;=Settings!$C$5,1,0)</f>
        <v/>
      </c>
    </row>
    <row r="2566">
      <c r="A2566" t="inlineStr">
        <is>
          <t>ccfca21346c3478e872460bfaa0ba337</t>
        </is>
      </c>
      <c r="B2566" s="29" t="n">
        <v>42982</v>
      </c>
      <c r="C2566" t="inlineStr">
        <is>
          <t>2017-09</t>
        </is>
      </c>
      <c r="D2566" t="inlineStr">
        <is>
          <t>97338d2165e7d6d9bc1348573a405642</t>
        </is>
      </c>
      <c r="E2566" t="inlineStr">
        <is>
          <t>other</t>
        </is>
      </c>
      <c r="F2566">
        <f>IFERROR(MATCH(A2566,Deals!$A$2:$A$843,0),"")</f>
        <v/>
      </c>
      <c r="G2566">
        <f>IF(F2566="",0,1)</f>
        <v/>
      </c>
      <c r="H2566" s="29">
        <f>IF(F2566="","",INDEX(Deals!$E$2:$E$843,F2566))</f>
        <v/>
      </c>
      <c r="I2566">
        <f>IF(F2566="","",INDEX(Deals!$D$2:$D$843,F2566))</f>
        <v/>
      </c>
      <c r="J2566">
        <f>IF(F2566="","",INT(H2566)-B2566)</f>
        <v/>
      </c>
      <c r="K2566">
        <f>IF(B2566&gt;=Settings!$C$5,1,0)</f>
        <v/>
      </c>
    </row>
    <row r="2567">
      <c r="A2567" t="inlineStr">
        <is>
          <t>bf2f4d60479ee325b2fa8308009230b6</t>
        </is>
      </c>
      <c r="B2567" s="29" t="n">
        <v>43244</v>
      </c>
      <c r="C2567" t="inlineStr">
        <is>
          <t>2018-05</t>
        </is>
      </c>
      <c r="D2567" t="inlineStr">
        <is>
          <t>ce1a65abd0973638f1c887a6efcfa82d</t>
        </is>
      </c>
      <c r="E2567" t="inlineStr">
        <is>
          <t>organic_search</t>
        </is>
      </c>
      <c r="F2567">
        <f>IFERROR(MATCH(A2567,Deals!$A$2:$A$843,0),"")</f>
        <v/>
      </c>
      <c r="G2567">
        <f>IF(F2567="",0,1)</f>
        <v/>
      </c>
      <c r="H2567" s="29">
        <f>IF(F2567="","",INDEX(Deals!$E$2:$E$843,F2567))</f>
        <v/>
      </c>
      <c r="I2567">
        <f>IF(F2567="","",INDEX(Deals!$D$2:$D$843,F2567))</f>
        <v/>
      </c>
      <c r="J2567">
        <f>IF(F2567="","",INT(H2567)-B2567)</f>
        <v/>
      </c>
      <c r="K2567">
        <f>IF(B2567&gt;=Settings!$C$5,1,0)</f>
        <v/>
      </c>
    </row>
    <row r="2568">
      <c r="A2568" t="inlineStr">
        <is>
          <t>9ae0e1661f21a790e485c6d9b7299180</t>
        </is>
      </c>
      <c r="B2568" s="29" t="n">
        <v>43136</v>
      </c>
      <c r="C2568" t="inlineStr">
        <is>
          <t>2018-02</t>
        </is>
      </c>
      <c r="D2568" t="inlineStr">
        <is>
          <t>22c29808c4f815213303f8933030604c</t>
        </is>
      </c>
      <c r="E2568" t="inlineStr">
        <is>
          <t>direct_traffic</t>
        </is>
      </c>
      <c r="F2568">
        <f>IFERROR(MATCH(A2568,Deals!$A$2:$A$843,0),"")</f>
        <v/>
      </c>
      <c r="G2568">
        <f>IF(F2568="",0,1)</f>
        <v/>
      </c>
      <c r="H2568" s="29">
        <f>IF(F2568="","",INDEX(Deals!$E$2:$E$843,F2568))</f>
        <v/>
      </c>
      <c r="I2568">
        <f>IF(F2568="","",INDEX(Deals!$D$2:$D$843,F2568))</f>
        <v/>
      </c>
      <c r="J2568">
        <f>IF(F2568="","",INT(H2568)-B2568)</f>
        <v/>
      </c>
      <c r="K2568">
        <f>IF(B2568&gt;=Settings!$C$5,1,0)</f>
        <v/>
      </c>
    </row>
    <row r="2569">
      <c r="A2569" t="inlineStr">
        <is>
          <t>28eb72beb39c803322c843071024b921</t>
        </is>
      </c>
      <c r="B2569" s="29" t="n">
        <v>43218</v>
      </c>
      <c r="C2569" t="inlineStr">
        <is>
          <t>2018-04</t>
        </is>
      </c>
      <c r="D2569" t="inlineStr">
        <is>
          <t>58326e62183c14b0c03085c33b9fdc44</t>
        </is>
      </c>
      <c r="E2569" t="inlineStr">
        <is>
          <t>social</t>
        </is>
      </c>
      <c r="F2569">
        <f>IFERROR(MATCH(A2569,Deals!$A$2:$A$843,0),"")</f>
        <v/>
      </c>
      <c r="G2569">
        <f>IF(F2569="",0,1)</f>
        <v/>
      </c>
      <c r="H2569" s="29">
        <f>IF(F2569="","",INDEX(Deals!$E$2:$E$843,F2569))</f>
        <v/>
      </c>
      <c r="I2569">
        <f>IF(F2569="","",INDEX(Deals!$D$2:$D$843,F2569))</f>
        <v/>
      </c>
      <c r="J2569">
        <f>IF(F2569="","",INT(H2569)-B2569)</f>
        <v/>
      </c>
      <c r="K2569">
        <f>IF(B2569&gt;=Settings!$C$5,1,0)</f>
        <v/>
      </c>
    </row>
    <row r="2570">
      <c r="A2570" t="inlineStr">
        <is>
          <t>57c1b7b72487b5ad15e6f2abe2370c17</t>
        </is>
      </c>
      <c r="B2570" s="29" t="n">
        <v>43187</v>
      </c>
      <c r="C2570" t="inlineStr">
        <is>
          <t>2018-03</t>
        </is>
      </c>
      <c r="D2570" t="inlineStr">
        <is>
          <t>166fa7410ac1923b2cf2680f79e08850</t>
        </is>
      </c>
      <c r="E2570" t="inlineStr">
        <is>
          <t>unknown</t>
        </is>
      </c>
      <c r="F2570">
        <f>IFERROR(MATCH(A2570,Deals!$A$2:$A$843,0),"")</f>
        <v/>
      </c>
      <c r="G2570">
        <f>IF(F2570="",0,1)</f>
        <v/>
      </c>
      <c r="H2570" s="29">
        <f>IF(F2570="","",INDEX(Deals!$E$2:$E$843,F2570))</f>
        <v/>
      </c>
      <c r="I2570">
        <f>IF(F2570="","",INDEX(Deals!$D$2:$D$843,F2570))</f>
        <v/>
      </c>
      <c r="J2570">
        <f>IF(F2570="","",INT(H2570)-B2570)</f>
        <v/>
      </c>
      <c r="K2570">
        <f>IF(B2570&gt;=Settings!$C$5,1,0)</f>
        <v/>
      </c>
    </row>
    <row r="2571">
      <c r="A2571" t="inlineStr">
        <is>
          <t>8164a0c13d70c3caee61a85d035d5f25</t>
        </is>
      </c>
      <c r="B2571" s="29" t="n">
        <v>43199</v>
      </c>
      <c r="C2571" t="inlineStr">
        <is>
          <t>2018-04</t>
        </is>
      </c>
      <c r="D2571" t="inlineStr">
        <is>
          <t>40dec9f3d5259a3d2dbcdab2114fae47</t>
        </is>
      </c>
      <c r="E2571" t="inlineStr">
        <is>
          <t>paid_search</t>
        </is>
      </c>
      <c r="F2571">
        <f>IFERROR(MATCH(A2571,Deals!$A$2:$A$843,0),"")</f>
        <v/>
      </c>
      <c r="G2571">
        <f>IF(F2571="",0,1)</f>
        <v/>
      </c>
      <c r="H2571" s="29">
        <f>IF(F2571="","",INDEX(Deals!$E$2:$E$843,F2571))</f>
        <v/>
      </c>
      <c r="I2571">
        <f>IF(F2571="","",INDEX(Deals!$D$2:$D$843,F2571))</f>
        <v/>
      </c>
      <c r="J2571">
        <f>IF(F2571="","",INT(H2571)-B2571)</f>
        <v/>
      </c>
      <c r="K2571">
        <f>IF(B2571&gt;=Settings!$C$5,1,0)</f>
        <v/>
      </c>
    </row>
    <row r="2572">
      <c r="A2572" t="inlineStr">
        <is>
          <t>d0c7b759a5c678852d78b8a3e4d3c36d</t>
        </is>
      </c>
      <c r="B2572" s="29" t="n">
        <v>43242</v>
      </c>
      <c r="C2572" t="inlineStr">
        <is>
          <t>2018-05</t>
        </is>
      </c>
      <c r="D2572" t="inlineStr">
        <is>
          <t>73fec6021437e723ff5adae8dff89e23</t>
        </is>
      </c>
      <c r="E2572" t="inlineStr">
        <is>
          <t>social</t>
        </is>
      </c>
      <c r="F2572">
        <f>IFERROR(MATCH(A2572,Deals!$A$2:$A$843,0),"")</f>
        <v/>
      </c>
      <c r="G2572">
        <f>IF(F2572="",0,1)</f>
        <v/>
      </c>
      <c r="H2572" s="29">
        <f>IF(F2572="","",INDEX(Deals!$E$2:$E$843,F2572))</f>
        <v/>
      </c>
      <c r="I2572">
        <f>IF(F2572="","",INDEX(Deals!$D$2:$D$843,F2572))</f>
        <v/>
      </c>
      <c r="J2572">
        <f>IF(F2572="","",INT(H2572)-B2572)</f>
        <v/>
      </c>
      <c r="K2572">
        <f>IF(B2572&gt;=Settings!$C$5,1,0)</f>
        <v/>
      </c>
    </row>
    <row r="2573">
      <c r="A2573" t="inlineStr">
        <is>
          <t>c2cb1fc76f1bbf73ce680c2b78aa328f</t>
        </is>
      </c>
      <c r="B2573" s="29" t="n">
        <v>42974</v>
      </c>
      <c r="C2573" t="inlineStr">
        <is>
          <t>2017-08</t>
        </is>
      </c>
      <c r="D2573" t="inlineStr">
        <is>
          <t>b6885f18d203a61176418c1fb3764815</t>
        </is>
      </c>
      <c r="E2573" t="inlineStr">
        <is>
          <t>paid_search</t>
        </is>
      </c>
      <c r="F2573">
        <f>IFERROR(MATCH(A2573,Deals!$A$2:$A$843,0),"")</f>
        <v/>
      </c>
      <c r="G2573">
        <f>IF(F2573="",0,1)</f>
        <v/>
      </c>
      <c r="H2573" s="29">
        <f>IF(F2573="","",INDEX(Deals!$E$2:$E$843,F2573))</f>
        <v/>
      </c>
      <c r="I2573">
        <f>IF(F2573="","",INDEX(Deals!$D$2:$D$843,F2573))</f>
        <v/>
      </c>
      <c r="J2573">
        <f>IF(F2573="","",INT(H2573)-B2573)</f>
        <v/>
      </c>
      <c r="K2573">
        <f>IF(B2573&gt;=Settings!$C$5,1,0)</f>
        <v/>
      </c>
    </row>
    <row r="2574">
      <c r="A2574" t="inlineStr">
        <is>
          <t>82b311985747d95c7164ae295f539c95</t>
        </is>
      </c>
      <c r="B2574" s="29" t="n">
        <v>42971</v>
      </c>
      <c r="C2574" t="inlineStr">
        <is>
          <t>2017-08</t>
        </is>
      </c>
      <c r="D2574" t="inlineStr">
        <is>
          <t>0f25be78376bbbaba8553051e980b83c</t>
        </is>
      </c>
      <c r="E2574" t="inlineStr">
        <is>
          <t>paid_search</t>
        </is>
      </c>
      <c r="F2574">
        <f>IFERROR(MATCH(A2574,Deals!$A$2:$A$843,0),"")</f>
        <v/>
      </c>
      <c r="G2574">
        <f>IF(F2574="",0,1)</f>
        <v/>
      </c>
      <c r="H2574" s="29">
        <f>IF(F2574="","",INDEX(Deals!$E$2:$E$843,F2574))</f>
        <v/>
      </c>
      <c r="I2574">
        <f>IF(F2574="","",INDEX(Deals!$D$2:$D$843,F2574))</f>
        <v/>
      </c>
      <c r="J2574">
        <f>IF(F2574="","",INT(H2574)-B2574)</f>
        <v/>
      </c>
      <c r="K2574">
        <f>IF(B2574&gt;=Settings!$C$5,1,0)</f>
        <v/>
      </c>
    </row>
    <row r="2575">
      <c r="A2575" t="inlineStr">
        <is>
          <t>975643d32f495b3ef6409c11fa1dec18</t>
        </is>
      </c>
      <c r="B2575" s="29" t="n">
        <v>42956</v>
      </c>
      <c r="C2575" t="inlineStr">
        <is>
          <t>2017-08</t>
        </is>
      </c>
      <c r="D2575" t="inlineStr">
        <is>
          <t>154e7506c0176dc761f19fa0cb4988c4</t>
        </is>
      </c>
      <c r="E2575" t="inlineStr">
        <is>
          <t>unknown</t>
        </is>
      </c>
      <c r="F2575">
        <f>IFERROR(MATCH(A2575,Deals!$A$2:$A$843,0),"")</f>
        <v/>
      </c>
      <c r="G2575">
        <f>IF(F2575="",0,1)</f>
        <v/>
      </c>
      <c r="H2575" s="29">
        <f>IF(F2575="","",INDEX(Deals!$E$2:$E$843,F2575))</f>
        <v/>
      </c>
      <c r="I2575">
        <f>IF(F2575="","",INDEX(Deals!$D$2:$D$843,F2575))</f>
        <v/>
      </c>
      <c r="J2575">
        <f>IF(F2575="","",INT(H2575)-B2575)</f>
        <v/>
      </c>
      <c r="K2575">
        <f>IF(B2575&gt;=Settings!$C$5,1,0)</f>
        <v/>
      </c>
    </row>
    <row r="2576">
      <c r="A2576" t="inlineStr">
        <is>
          <t>db6812fe6a7155525f318274bdf46c4c</t>
        </is>
      </c>
      <c r="B2576" s="29" t="n">
        <v>43165</v>
      </c>
      <c r="C2576" t="inlineStr">
        <is>
          <t>2018-03</t>
        </is>
      </c>
      <c r="D2576" t="inlineStr">
        <is>
          <t>120ad10683075526ee1b3b00489dafec</t>
        </is>
      </c>
      <c r="E2576" t="inlineStr">
        <is>
          <t>email</t>
        </is>
      </c>
      <c r="F2576">
        <f>IFERROR(MATCH(A2576,Deals!$A$2:$A$843,0),"")</f>
        <v/>
      </c>
      <c r="G2576">
        <f>IF(F2576="",0,1)</f>
        <v/>
      </c>
      <c r="H2576" s="29">
        <f>IF(F2576="","",INDEX(Deals!$E$2:$E$843,F2576))</f>
        <v/>
      </c>
      <c r="I2576">
        <f>IF(F2576="","",INDEX(Deals!$D$2:$D$843,F2576))</f>
        <v/>
      </c>
      <c r="J2576">
        <f>IF(F2576="","",INT(H2576)-B2576)</f>
        <v/>
      </c>
      <c r="K2576">
        <f>IF(B2576&gt;=Settings!$C$5,1,0)</f>
        <v/>
      </c>
    </row>
    <row r="2577">
      <c r="A2577" t="inlineStr">
        <is>
          <t>2d879a9dc61db834e7597d21c9f65101</t>
        </is>
      </c>
      <c r="B2577" s="29" t="n">
        <v>43209</v>
      </c>
      <c r="C2577" t="inlineStr">
        <is>
          <t>2018-04</t>
        </is>
      </c>
      <c r="D2577" t="inlineStr">
        <is>
          <t>40dec9f3d5259a3d2dbcdab2114fae47</t>
        </is>
      </c>
      <c r="E2577" t="inlineStr">
        <is>
          <t>paid_search</t>
        </is>
      </c>
      <c r="F2577">
        <f>IFERROR(MATCH(A2577,Deals!$A$2:$A$843,0),"")</f>
        <v/>
      </c>
      <c r="G2577">
        <f>IF(F2577="",0,1)</f>
        <v/>
      </c>
      <c r="H2577" s="29">
        <f>IF(F2577="","",INDEX(Deals!$E$2:$E$843,F2577))</f>
        <v/>
      </c>
      <c r="I2577">
        <f>IF(F2577="","",INDEX(Deals!$D$2:$D$843,F2577))</f>
        <v/>
      </c>
      <c r="J2577">
        <f>IF(F2577="","",INT(H2577)-B2577)</f>
        <v/>
      </c>
      <c r="K2577">
        <f>IF(B2577&gt;=Settings!$C$5,1,0)</f>
        <v/>
      </c>
    </row>
    <row r="2578">
      <c r="A2578" t="inlineStr">
        <is>
          <t>1d52e8b258d574501d81d697920317b7</t>
        </is>
      </c>
      <c r="B2578" s="29" t="n">
        <v>43227</v>
      </c>
      <c r="C2578" t="inlineStr">
        <is>
          <t>2018-05</t>
        </is>
      </c>
      <c r="D2578" t="inlineStr">
        <is>
          <t>b76ef37428e6799c421989521c0e5077</t>
        </is>
      </c>
      <c r="E2578" t="inlineStr">
        <is>
          <t>unknown</t>
        </is>
      </c>
      <c r="F2578">
        <f>IFERROR(MATCH(A2578,Deals!$A$2:$A$843,0),"")</f>
        <v/>
      </c>
      <c r="G2578">
        <f>IF(F2578="",0,1)</f>
        <v/>
      </c>
      <c r="H2578" s="29">
        <f>IF(F2578="","",INDEX(Deals!$E$2:$E$843,F2578))</f>
        <v/>
      </c>
      <c r="I2578">
        <f>IF(F2578="","",INDEX(Deals!$D$2:$D$843,F2578))</f>
        <v/>
      </c>
      <c r="J2578">
        <f>IF(F2578="","",INT(H2578)-B2578)</f>
        <v/>
      </c>
      <c r="K2578">
        <f>IF(B2578&gt;=Settings!$C$5,1,0)</f>
        <v/>
      </c>
    </row>
    <row r="2579">
      <c r="A2579" t="inlineStr">
        <is>
          <t>9dc8c63495af559018c3a33fa4ee71f4</t>
        </is>
      </c>
      <c r="B2579" s="29" t="n">
        <v>43240</v>
      </c>
      <c r="C2579" t="inlineStr">
        <is>
          <t>2018-05</t>
        </is>
      </c>
      <c r="D2579" t="inlineStr">
        <is>
          <t>22c29808c4f815213303f8933030604c</t>
        </is>
      </c>
      <c r="E2579" t="inlineStr">
        <is>
          <t>social</t>
        </is>
      </c>
      <c r="F2579">
        <f>IFERROR(MATCH(A2579,Deals!$A$2:$A$843,0),"")</f>
        <v/>
      </c>
      <c r="G2579">
        <f>IF(F2579="",0,1)</f>
        <v/>
      </c>
      <c r="H2579" s="29">
        <f>IF(F2579="","",INDEX(Deals!$E$2:$E$843,F2579))</f>
        <v/>
      </c>
      <c r="I2579">
        <f>IF(F2579="","",INDEX(Deals!$D$2:$D$843,F2579))</f>
        <v/>
      </c>
      <c r="J2579">
        <f>IF(F2579="","",INT(H2579)-B2579)</f>
        <v/>
      </c>
      <c r="K2579">
        <f>IF(B2579&gt;=Settings!$C$5,1,0)</f>
        <v/>
      </c>
    </row>
    <row r="2580">
      <c r="A2580" t="inlineStr">
        <is>
          <t>2546165141cc6ca7f363a38c5f1c382b</t>
        </is>
      </c>
      <c r="B2580" s="29" t="n">
        <v>43206</v>
      </c>
      <c r="C2580" t="inlineStr">
        <is>
          <t>2018-04</t>
        </is>
      </c>
      <c r="D2580" t="inlineStr">
        <is>
          <t>58326e62183c14b0c03085c33b9fdc44</t>
        </is>
      </c>
      <c r="E2580" t="inlineStr">
        <is>
          <t>social</t>
        </is>
      </c>
      <c r="F2580">
        <f>IFERROR(MATCH(A2580,Deals!$A$2:$A$843,0),"")</f>
        <v/>
      </c>
      <c r="G2580">
        <f>IF(F2580="",0,1)</f>
        <v/>
      </c>
      <c r="H2580" s="29">
        <f>IF(F2580="","",INDEX(Deals!$E$2:$E$843,F2580))</f>
        <v/>
      </c>
      <c r="I2580">
        <f>IF(F2580="","",INDEX(Deals!$D$2:$D$843,F2580))</f>
        <v/>
      </c>
      <c r="J2580">
        <f>IF(F2580="","",INT(H2580)-B2580)</f>
        <v/>
      </c>
      <c r="K2580">
        <f>IF(B2580&gt;=Settings!$C$5,1,0)</f>
        <v/>
      </c>
    </row>
    <row r="2581">
      <c r="A2581" t="inlineStr">
        <is>
          <t>f48379ea32cff607c810d55e03611bf2</t>
        </is>
      </c>
      <c r="B2581" s="29" t="n">
        <v>43240</v>
      </c>
      <c r="C2581" t="inlineStr">
        <is>
          <t>2018-05</t>
        </is>
      </c>
      <c r="D2581" t="inlineStr">
        <is>
          <t>e492ee5eaf1697716985cc6f33f9cd9b</t>
        </is>
      </c>
      <c r="E2581" t="inlineStr">
        <is>
          <t>paid_search</t>
        </is>
      </c>
      <c r="F2581">
        <f>IFERROR(MATCH(A2581,Deals!$A$2:$A$843,0),"")</f>
        <v/>
      </c>
      <c r="G2581">
        <f>IF(F2581="",0,1)</f>
        <v/>
      </c>
      <c r="H2581" s="29">
        <f>IF(F2581="","",INDEX(Deals!$E$2:$E$843,F2581))</f>
        <v/>
      </c>
      <c r="I2581">
        <f>IF(F2581="","",INDEX(Deals!$D$2:$D$843,F2581))</f>
        <v/>
      </c>
      <c r="J2581">
        <f>IF(F2581="","",INT(H2581)-B2581)</f>
        <v/>
      </c>
      <c r="K2581">
        <f>IF(B2581&gt;=Settings!$C$5,1,0)</f>
        <v/>
      </c>
    </row>
    <row r="2582">
      <c r="A2582" t="inlineStr">
        <is>
          <t>fef0383cea937628ff95eb48ba1ffd17</t>
        </is>
      </c>
      <c r="B2582" s="29" t="n">
        <v>43212</v>
      </c>
      <c r="C2582" t="inlineStr">
        <is>
          <t>2018-04</t>
        </is>
      </c>
      <c r="D2582" t="inlineStr">
        <is>
          <t>0625ca637bf063abf254a66fe91fa84b</t>
        </is>
      </c>
      <c r="E2582" t="inlineStr">
        <is>
          <t>organic_search</t>
        </is>
      </c>
      <c r="F2582">
        <f>IFERROR(MATCH(A2582,Deals!$A$2:$A$843,0),"")</f>
        <v/>
      </c>
      <c r="G2582">
        <f>IF(F2582="",0,1)</f>
        <v/>
      </c>
      <c r="H2582" s="29">
        <f>IF(F2582="","",INDEX(Deals!$E$2:$E$843,F2582))</f>
        <v/>
      </c>
      <c r="I2582">
        <f>IF(F2582="","",INDEX(Deals!$D$2:$D$843,F2582))</f>
        <v/>
      </c>
      <c r="J2582">
        <f>IF(F2582="","",INT(H2582)-B2582)</f>
        <v/>
      </c>
      <c r="K2582">
        <f>IF(B2582&gt;=Settings!$C$5,1,0)</f>
        <v/>
      </c>
    </row>
    <row r="2583">
      <c r="A2583" t="inlineStr">
        <is>
          <t>dc8913dbc5afc5fe40f10ac6aabf6854</t>
        </is>
      </c>
      <c r="B2583" s="29" t="n">
        <v>42928</v>
      </c>
      <c r="C2583" t="inlineStr">
        <is>
          <t>2017-07</t>
        </is>
      </c>
      <c r="D2583" t="inlineStr">
        <is>
          <t>c754e5846c791d26b1c34070c41adf6e</t>
        </is>
      </c>
      <c r="E2583" t="inlineStr">
        <is>
          <t>paid_search</t>
        </is>
      </c>
      <c r="F2583">
        <f>IFERROR(MATCH(A2583,Deals!$A$2:$A$843,0),"")</f>
        <v/>
      </c>
      <c r="G2583">
        <f>IF(F2583="",0,1)</f>
        <v/>
      </c>
      <c r="H2583" s="29">
        <f>IF(F2583="","",INDEX(Deals!$E$2:$E$843,F2583))</f>
        <v/>
      </c>
      <c r="I2583">
        <f>IF(F2583="","",INDEX(Deals!$D$2:$D$843,F2583))</f>
        <v/>
      </c>
      <c r="J2583">
        <f>IF(F2583="","",INT(H2583)-B2583)</f>
        <v/>
      </c>
      <c r="K2583">
        <f>IF(B2583&gt;=Settings!$C$5,1,0)</f>
        <v/>
      </c>
    </row>
    <row r="2584">
      <c r="A2584" t="inlineStr">
        <is>
          <t>f89b10e626692ac7a87c19d69f261db2</t>
        </is>
      </c>
      <c r="B2584" s="29" t="n">
        <v>43165</v>
      </c>
      <c r="C2584" t="inlineStr">
        <is>
          <t>2018-03</t>
        </is>
      </c>
      <c r="D2584" t="inlineStr">
        <is>
          <t>ce1a65abd0973638f1c887a6efcfa82d</t>
        </is>
      </c>
      <c r="E2584" t="inlineStr">
        <is>
          <t>paid_search</t>
        </is>
      </c>
      <c r="F2584">
        <f>IFERROR(MATCH(A2584,Deals!$A$2:$A$843,0),"")</f>
        <v/>
      </c>
      <c r="G2584">
        <f>IF(F2584="",0,1)</f>
        <v/>
      </c>
      <c r="H2584" s="29">
        <f>IF(F2584="","",INDEX(Deals!$E$2:$E$843,F2584))</f>
        <v/>
      </c>
      <c r="I2584">
        <f>IF(F2584="","",INDEX(Deals!$D$2:$D$843,F2584))</f>
        <v/>
      </c>
      <c r="J2584">
        <f>IF(F2584="","",INT(H2584)-B2584)</f>
        <v/>
      </c>
      <c r="K2584">
        <f>IF(B2584&gt;=Settings!$C$5,1,0)</f>
        <v/>
      </c>
    </row>
    <row r="2585">
      <c r="A2585" t="inlineStr">
        <is>
          <t>e785289359e17762a5385b7f44da20ce</t>
        </is>
      </c>
      <c r="B2585" s="29" t="n">
        <v>42951</v>
      </c>
      <c r="C2585" t="inlineStr">
        <is>
          <t>2017-08</t>
        </is>
      </c>
      <c r="D2585" t="inlineStr">
        <is>
          <t>3cd2a8301d5395f21cdd3094c9eaa2f4</t>
        </is>
      </c>
      <c r="E2585" t="inlineStr">
        <is>
          <t>paid_search</t>
        </is>
      </c>
      <c r="F2585">
        <f>IFERROR(MATCH(A2585,Deals!$A$2:$A$843,0),"")</f>
        <v/>
      </c>
      <c r="G2585">
        <f>IF(F2585="",0,1)</f>
        <v/>
      </c>
      <c r="H2585" s="29">
        <f>IF(F2585="","",INDEX(Deals!$E$2:$E$843,F2585))</f>
        <v/>
      </c>
      <c r="I2585">
        <f>IF(F2585="","",INDEX(Deals!$D$2:$D$843,F2585))</f>
        <v/>
      </c>
      <c r="J2585">
        <f>IF(F2585="","",INT(H2585)-B2585)</f>
        <v/>
      </c>
      <c r="K2585">
        <f>IF(B2585&gt;=Settings!$C$5,1,0)</f>
        <v/>
      </c>
    </row>
    <row r="2586">
      <c r="A2586" t="inlineStr">
        <is>
          <t>b0e7419bb3a9c888b3fa988b5c4e552a</t>
        </is>
      </c>
      <c r="B2586" s="29" t="n">
        <v>43035</v>
      </c>
      <c r="C2586" t="inlineStr">
        <is>
          <t>2017-10</t>
        </is>
      </c>
      <c r="D2586" t="inlineStr">
        <is>
          <t>88740e65d5d6b056e0cda098e1ea6313</t>
        </is>
      </c>
      <c r="E2586" t="inlineStr">
        <is>
          <t>social</t>
        </is>
      </c>
      <c r="F2586">
        <f>IFERROR(MATCH(A2586,Deals!$A$2:$A$843,0),"")</f>
        <v/>
      </c>
      <c r="G2586">
        <f>IF(F2586="",0,1)</f>
        <v/>
      </c>
      <c r="H2586" s="29">
        <f>IF(F2586="","",INDEX(Deals!$E$2:$E$843,F2586))</f>
        <v/>
      </c>
      <c r="I2586">
        <f>IF(F2586="","",INDEX(Deals!$D$2:$D$843,F2586))</f>
        <v/>
      </c>
      <c r="J2586">
        <f>IF(F2586="","",INT(H2586)-B2586)</f>
        <v/>
      </c>
      <c r="K2586">
        <f>IF(B2586&gt;=Settings!$C$5,1,0)</f>
        <v/>
      </c>
    </row>
    <row r="2587">
      <c r="A2587" t="inlineStr">
        <is>
          <t>11b8d3b78031b222c720affbaf39f9e7</t>
        </is>
      </c>
      <c r="B2587" s="29" t="n">
        <v>42958</v>
      </c>
      <c r="C2587" t="inlineStr">
        <is>
          <t>2017-08</t>
        </is>
      </c>
      <c r="D2587" t="inlineStr">
        <is>
          <t>c555aa36478386fdf85a2d0ca5cd0ff8</t>
        </is>
      </c>
      <c r="E2587" t="inlineStr">
        <is>
          <t>referral</t>
        </is>
      </c>
      <c r="F2587">
        <f>IFERROR(MATCH(A2587,Deals!$A$2:$A$843,0),"")</f>
        <v/>
      </c>
      <c r="G2587">
        <f>IF(F2587="",0,1)</f>
        <v/>
      </c>
      <c r="H2587" s="29">
        <f>IF(F2587="","",INDEX(Deals!$E$2:$E$843,F2587))</f>
        <v/>
      </c>
      <c r="I2587">
        <f>IF(F2587="","",INDEX(Deals!$D$2:$D$843,F2587))</f>
        <v/>
      </c>
      <c r="J2587">
        <f>IF(F2587="","",INT(H2587)-B2587)</f>
        <v/>
      </c>
      <c r="K2587">
        <f>IF(B2587&gt;=Settings!$C$5,1,0)</f>
        <v/>
      </c>
    </row>
    <row r="2588">
      <c r="A2588" t="inlineStr">
        <is>
          <t>f8758b0bd918708613c2c550c67327ba</t>
        </is>
      </c>
      <c r="B2588" s="29" t="n">
        <v>43215</v>
      </c>
      <c r="C2588" t="inlineStr">
        <is>
          <t>2018-04</t>
        </is>
      </c>
      <c r="D2588" t="inlineStr">
        <is>
          <t>9fa37f5177115156b1814ffc237402a6</t>
        </is>
      </c>
      <c r="E2588" t="inlineStr">
        <is>
          <t>organic_search</t>
        </is>
      </c>
      <c r="F2588">
        <f>IFERROR(MATCH(A2588,Deals!$A$2:$A$843,0),"")</f>
        <v/>
      </c>
      <c r="G2588">
        <f>IF(F2588="",0,1)</f>
        <v/>
      </c>
      <c r="H2588" s="29">
        <f>IF(F2588="","",INDEX(Deals!$E$2:$E$843,F2588))</f>
        <v/>
      </c>
      <c r="I2588">
        <f>IF(F2588="","",INDEX(Deals!$D$2:$D$843,F2588))</f>
        <v/>
      </c>
      <c r="J2588">
        <f>IF(F2588="","",INT(H2588)-B2588)</f>
        <v/>
      </c>
      <c r="K2588">
        <f>IF(B2588&gt;=Settings!$C$5,1,0)</f>
        <v/>
      </c>
    </row>
    <row r="2589">
      <c r="A2589" t="inlineStr">
        <is>
          <t>e90925dc271ec13b3e8f0bf306759bd5</t>
        </is>
      </c>
      <c r="B2589" s="29" t="n">
        <v>43223</v>
      </c>
      <c r="C2589" t="inlineStr">
        <is>
          <t>2018-05</t>
        </is>
      </c>
      <c r="D2589" t="inlineStr">
        <is>
          <t>1ceb590cd1e00c7ee95220971f82693d</t>
        </is>
      </c>
      <c r="E2589" t="inlineStr">
        <is>
          <t>paid_search</t>
        </is>
      </c>
      <c r="F2589">
        <f>IFERROR(MATCH(A2589,Deals!$A$2:$A$843,0),"")</f>
        <v/>
      </c>
      <c r="G2589">
        <f>IF(F2589="",0,1)</f>
        <v/>
      </c>
      <c r="H2589" s="29">
        <f>IF(F2589="","",INDEX(Deals!$E$2:$E$843,F2589))</f>
        <v/>
      </c>
      <c r="I2589">
        <f>IF(F2589="","",INDEX(Deals!$D$2:$D$843,F2589))</f>
        <v/>
      </c>
      <c r="J2589">
        <f>IF(F2589="","",INT(H2589)-B2589)</f>
        <v/>
      </c>
      <c r="K2589">
        <f>IF(B2589&gt;=Settings!$C$5,1,0)</f>
        <v/>
      </c>
    </row>
    <row r="2590">
      <c r="A2590" t="inlineStr">
        <is>
          <t>b80ee7270cb478f771821dd00951ea56</t>
        </is>
      </c>
      <c r="B2590" s="29" t="n">
        <v>43122</v>
      </c>
      <c r="C2590" t="inlineStr">
        <is>
          <t>2018-01</t>
        </is>
      </c>
      <c r="D2590" t="inlineStr">
        <is>
          <t>c70eb6fb5bd6e939b0d5ef32f21f61e8</t>
        </is>
      </c>
      <c r="E2590" t="inlineStr">
        <is>
          <t>referral</t>
        </is>
      </c>
      <c r="F2590">
        <f>IFERROR(MATCH(A2590,Deals!$A$2:$A$843,0),"")</f>
        <v/>
      </c>
      <c r="G2590">
        <f>IF(F2590="",0,1)</f>
        <v/>
      </c>
      <c r="H2590" s="29">
        <f>IF(F2590="","",INDEX(Deals!$E$2:$E$843,F2590))</f>
        <v/>
      </c>
      <c r="I2590">
        <f>IF(F2590="","",INDEX(Deals!$D$2:$D$843,F2590))</f>
        <v/>
      </c>
      <c r="J2590">
        <f>IF(F2590="","",INT(H2590)-B2590)</f>
        <v/>
      </c>
      <c r="K2590">
        <f>IF(B2590&gt;=Settings!$C$5,1,0)</f>
        <v/>
      </c>
    </row>
    <row r="2591">
      <c r="A2591" t="inlineStr">
        <is>
          <t>1d0949fd6674f963b44662838ef3ae09</t>
        </is>
      </c>
      <c r="B2591" s="29" t="n">
        <v>43107</v>
      </c>
      <c r="C2591" t="inlineStr">
        <is>
          <t>2018-01</t>
        </is>
      </c>
      <c r="D2591" t="inlineStr">
        <is>
          <t>22c29808c4f815213303f8933030604c</t>
        </is>
      </c>
      <c r="E2591" t="inlineStr">
        <is>
          <t>organic_search</t>
        </is>
      </c>
      <c r="F2591">
        <f>IFERROR(MATCH(A2591,Deals!$A$2:$A$843,0),"")</f>
        <v/>
      </c>
      <c r="G2591">
        <f>IF(F2591="",0,1)</f>
        <v/>
      </c>
      <c r="H2591" s="29">
        <f>IF(F2591="","",INDEX(Deals!$E$2:$E$843,F2591))</f>
        <v/>
      </c>
      <c r="I2591">
        <f>IF(F2591="","",INDEX(Deals!$D$2:$D$843,F2591))</f>
        <v/>
      </c>
      <c r="J2591">
        <f>IF(F2591="","",INT(H2591)-B2591)</f>
        <v/>
      </c>
      <c r="K2591">
        <f>IF(B2591&gt;=Settings!$C$5,1,0)</f>
        <v/>
      </c>
    </row>
    <row r="2592">
      <c r="A2592" t="inlineStr">
        <is>
          <t>e22c4e5078ccb5b8b8677392986ce186</t>
        </is>
      </c>
      <c r="B2592" s="29" t="n">
        <v>43167</v>
      </c>
      <c r="C2592" t="inlineStr">
        <is>
          <t>2018-03</t>
        </is>
      </c>
      <c r="D2592" t="inlineStr">
        <is>
          <t>73fec6021437e723ff5adae8dff89e23</t>
        </is>
      </c>
      <c r="E2592" t="inlineStr">
        <is>
          <t>social</t>
        </is>
      </c>
      <c r="F2592">
        <f>IFERROR(MATCH(A2592,Deals!$A$2:$A$843,0),"")</f>
        <v/>
      </c>
      <c r="G2592">
        <f>IF(F2592="",0,1)</f>
        <v/>
      </c>
      <c r="H2592" s="29">
        <f>IF(F2592="","",INDEX(Deals!$E$2:$E$843,F2592))</f>
        <v/>
      </c>
      <c r="I2592">
        <f>IF(F2592="","",INDEX(Deals!$D$2:$D$843,F2592))</f>
        <v/>
      </c>
      <c r="J2592">
        <f>IF(F2592="","",INT(H2592)-B2592)</f>
        <v/>
      </c>
      <c r="K2592">
        <f>IF(B2592&gt;=Settings!$C$5,1,0)</f>
        <v/>
      </c>
    </row>
    <row r="2593">
      <c r="A2593" t="inlineStr">
        <is>
          <t>a127c5a2ed0a7a7790327f59706b0b77</t>
        </is>
      </c>
      <c r="B2593" s="29" t="n">
        <v>43130</v>
      </c>
      <c r="C2593" t="inlineStr">
        <is>
          <t>2018-01</t>
        </is>
      </c>
      <c r="D2593" t="inlineStr">
        <is>
          <t>ce1a65abd0973638f1c887a6efcfa82d</t>
        </is>
      </c>
      <c r="E2593" t="inlineStr">
        <is>
          <t>paid_search</t>
        </is>
      </c>
      <c r="F2593">
        <f>IFERROR(MATCH(A2593,Deals!$A$2:$A$843,0),"")</f>
        <v/>
      </c>
      <c r="G2593">
        <f>IF(F2593="",0,1)</f>
        <v/>
      </c>
      <c r="H2593" s="29">
        <f>IF(F2593="","",INDEX(Deals!$E$2:$E$843,F2593))</f>
        <v/>
      </c>
      <c r="I2593">
        <f>IF(F2593="","",INDEX(Deals!$D$2:$D$843,F2593))</f>
        <v/>
      </c>
      <c r="J2593">
        <f>IF(F2593="","",INT(H2593)-B2593)</f>
        <v/>
      </c>
      <c r="K2593">
        <f>IF(B2593&gt;=Settings!$C$5,1,0)</f>
        <v/>
      </c>
    </row>
    <row r="2594">
      <c r="A2594" t="inlineStr">
        <is>
          <t>164ec3053b616b5034ece5db18f4faf0</t>
        </is>
      </c>
      <c r="B2594" s="29" t="n">
        <v>43104</v>
      </c>
      <c r="C2594" t="inlineStr">
        <is>
          <t>2018-01</t>
        </is>
      </c>
      <c r="D2594" t="inlineStr">
        <is>
          <t>97338d2165e7d6d9bc1348573a405642</t>
        </is>
      </c>
      <c r="E2594" t="inlineStr">
        <is>
          <t>social</t>
        </is>
      </c>
      <c r="F2594">
        <f>IFERROR(MATCH(A2594,Deals!$A$2:$A$843,0),"")</f>
        <v/>
      </c>
      <c r="G2594">
        <f>IF(F2594="",0,1)</f>
        <v/>
      </c>
      <c r="H2594" s="29">
        <f>IF(F2594="","",INDEX(Deals!$E$2:$E$843,F2594))</f>
        <v/>
      </c>
      <c r="I2594">
        <f>IF(F2594="","",INDEX(Deals!$D$2:$D$843,F2594))</f>
        <v/>
      </c>
      <c r="J2594">
        <f>IF(F2594="","",INT(H2594)-B2594)</f>
        <v/>
      </c>
      <c r="K2594">
        <f>IF(B2594&gt;=Settings!$C$5,1,0)</f>
        <v/>
      </c>
    </row>
    <row r="2595">
      <c r="A2595" t="inlineStr">
        <is>
          <t>a463cac2327534f6f02563ffbdf92918</t>
        </is>
      </c>
      <c r="B2595" s="29" t="n">
        <v>43115</v>
      </c>
      <c r="C2595" t="inlineStr">
        <is>
          <t>2018-01</t>
        </is>
      </c>
      <c r="D2595" t="inlineStr">
        <is>
          <t>22c29808c4f815213303f8933030604c</t>
        </is>
      </c>
      <c r="E2595" t="inlineStr">
        <is>
          <t>unknown</t>
        </is>
      </c>
      <c r="F2595">
        <f>IFERROR(MATCH(A2595,Deals!$A$2:$A$843,0),"")</f>
        <v/>
      </c>
      <c r="G2595">
        <f>IF(F2595="",0,1)</f>
        <v/>
      </c>
      <c r="H2595" s="29">
        <f>IF(F2595="","",INDEX(Deals!$E$2:$E$843,F2595))</f>
        <v/>
      </c>
      <c r="I2595">
        <f>IF(F2595="","",INDEX(Deals!$D$2:$D$843,F2595))</f>
        <v/>
      </c>
      <c r="J2595">
        <f>IF(F2595="","",INT(H2595)-B2595)</f>
        <v/>
      </c>
      <c r="K2595">
        <f>IF(B2595&gt;=Settings!$C$5,1,0)</f>
        <v/>
      </c>
    </row>
    <row r="2596">
      <c r="A2596" t="inlineStr">
        <is>
          <t>c91d5eb1b3f05dc2e98aab23a7945181</t>
        </is>
      </c>
      <c r="B2596" s="29" t="n">
        <v>43207</v>
      </c>
      <c r="C2596" t="inlineStr">
        <is>
          <t>2018-04</t>
        </is>
      </c>
      <c r="D2596" t="inlineStr">
        <is>
          <t>bdaeb752e5c3caa215ebe04c61e22325</t>
        </is>
      </c>
      <c r="E2596" t="inlineStr">
        <is>
          <t>organic_search</t>
        </is>
      </c>
      <c r="F2596">
        <f>IFERROR(MATCH(A2596,Deals!$A$2:$A$843,0),"")</f>
        <v/>
      </c>
      <c r="G2596">
        <f>IF(F2596="",0,1)</f>
        <v/>
      </c>
      <c r="H2596" s="29">
        <f>IF(F2596="","",INDEX(Deals!$E$2:$E$843,F2596))</f>
        <v/>
      </c>
      <c r="I2596">
        <f>IF(F2596="","",INDEX(Deals!$D$2:$D$843,F2596))</f>
        <v/>
      </c>
      <c r="J2596">
        <f>IF(F2596="","",INT(H2596)-B2596)</f>
        <v/>
      </c>
      <c r="K2596">
        <f>IF(B2596&gt;=Settings!$C$5,1,0)</f>
        <v/>
      </c>
    </row>
    <row r="2597">
      <c r="A2597" t="inlineStr">
        <is>
          <t>dad2d19c60c361ea558c6a6fef7155d7</t>
        </is>
      </c>
      <c r="B2597" s="29" t="n">
        <v>43168</v>
      </c>
      <c r="C2597" t="inlineStr">
        <is>
          <t>2018-03</t>
        </is>
      </c>
      <c r="D2597" t="inlineStr">
        <is>
          <t>e492ee5eaf1697716985cc6f33f9cd9b</t>
        </is>
      </c>
      <c r="E2597" t="inlineStr">
        <is>
          <t>email</t>
        </is>
      </c>
      <c r="F2597">
        <f>IFERROR(MATCH(A2597,Deals!$A$2:$A$843,0),"")</f>
        <v/>
      </c>
      <c r="G2597">
        <f>IF(F2597="",0,1)</f>
        <v/>
      </c>
      <c r="H2597" s="29">
        <f>IF(F2597="","",INDEX(Deals!$E$2:$E$843,F2597))</f>
        <v/>
      </c>
      <c r="I2597">
        <f>IF(F2597="","",INDEX(Deals!$D$2:$D$843,F2597))</f>
        <v/>
      </c>
      <c r="J2597">
        <f>IF(F2597="","",INT(H2597)-B2597)</f>
        <v/>
      </c>
      <c r="K2597">
        <f>IF(B2597&gt;=Settings!$C$5,1,0)</f>
        <v/>
      </c>
    </row>
    <row r="2598">
      <c r="A2598" t="inlineStr">
        <is>
          <t>bb997d580d9b9d97167966b8591917fb</t>
        </is>
      </c>
      <c r="B2598" s="29" t="n">
        <v>43209</v>
      </c>
      <c r="C2598" t="inlineStr">
        <is>
          <t>2018-04</t>
        </is>
      </c>
      <c r="D2598" t="inlineStr">
        <is>
          <t>e534a08b23c682d94859d0ab860bd57a</t>
        </is>
      </c>
      <c r="E2598" t="inlineStr">
        <is>
          <t>social</t>
        </is>
      </c>
      <c r="F2598">
        <f>IFERROR(MATCH(A2598,Deals!$A$2:$A$843,0),"")</f>
        <v/>
      </c>
      <c r="G2598">
        <f>IF(F2598="",0,1)</f>
        <v/>
      </c>
      <c r="H2598" s="29">
        <f>IF(F2598="","",INDEX(Deals!$E$2:$E$843,F2598))</f>
        <v/>
      </c>
      <c r="I2598">
        <f>IF(F2598="","",INDEX(Deals!$D$2:$D$843,F2598))</f>
        <v/>
      </c>
      <c r="J2598">
        <f>IF(F2598="","",INT(H2598)-B2598)</f>
        <v/>
      </c>
      <c r="K2598">
        <f>IF(B2598&gt;=Settings!$C$5,1,0)</f>
        <v/>
      </c>
    </row>
    <row r="2599">
      <c r="A2599" t="inlineStr">
        <is>
          <t>585a999cb6b22b1e8ced8066e496784c</t>
        </is>
      </c>
      <c r="B2599" s="29" t="n">
        <v>43132</v>
      </c>
      <c r="C2599" t="inlineStr">
        <is>
          <t>2018-02</t>
        </is>
      </c>
      <c r="D2599" t="inlineStr">
        <is>
          <t>40dec9f3d5259a3d2dbcdab2114fae47</t>
        </is>
      </c>
      <c r="E2599" t="inlineStr">
        <is>
          <t>paid_search</t>
        </is>
      </c>
      <c r="F2599">
        <f>IFERROR(MATCH(A2599,Deals!$A$2:$A$843,0),"")</f>
        <v/>
      </c>
      <c r="G2599">
        <f>IF(F2599="",0,1)</f>
        <v/>
      </c>
      <c r="H2599" s="29">
        <f>IF(F2599="","",INDEX(Deals!$E$2:$E$843,F2599))</f>
        <v/>
      </c>
      <c r="I2599">
        <f>IF(F2599="","",INDEX(Deals!$D$2:$D$843,F2599))</f>
        <v/>
      </c>
      <c r="J2599">
        <f>IF(F2599="","",INT(H2599)-B2599)</f>
        <v/>
      </c>
      <c r="K2599">
        <f>IF(B2599&gt;=Settings!$C$5,1,0)</f>
        <v/>
      </c>
    </row>
    <row r="2600">
      <c r="A2600" t="inlineStr">
        <is>
          <t>b76bb256fc4184f4c961819bd60d469a</t>
        </is>
      </c>
      <c r="B2600" s="29" t="n">
        <v>43242</v>
      </c>
      <c r="C2600" t="inlineStr">
        <is>
          <t>2018-05</t>
        </is>
      </c>
      <c r="D2600" t="inlineStr">
        <is>
          <t>b76ef37428e6799c421989521c0e5077</t>
        </is>
      </c>
      <c r="E2600" t="inlineStr">
        <is>
          <t>paid_search</t>
        </is>
      </c>
      <c r="F2600">
        <f>IFERROR(MATCH(A2600,Deals!$A$2:$A$843,0),"")</f>
        <v/>
      </c>
      <c r="G2600">
        <f>IF(F2600="",0,1)</f>
        <v/>
      </c>
      <c r="H2600" s="29">
        <f>IF(F2600="","",INDEX(Deals!$E$2:$E$843,F2600))</f>
        <v/>
      </c>
      <c r="I2600">
        <f>IF(F2600="","",INDEX(Deals!$D$2:$D$843,F2600))</f>
        <v/>
      </c>
      <c r="J2600">
        <f>IF(F2600="","",INT(H2600)-B2600)</f>
        <v/>
      </c>
      <c r="K2600">
        <f>IF(B2600&gt;=Settings!$C$5,1,0)</f>
        <v/>
      </c>
    </row>
    <row r="2601">
      <c r="A2601" t="inlineStr">
        <is>
          <t>7636a7f2c22f93b7632c0ee463af2718</t>
        </is>
      </c>
      <c r="B2601" s="29" t="n">
        <v>43208</v>
      </c>
      <c r="C2601" t="inlineStr">
        <is>
          <t>2018-04</t>
        </is>
      </c>
      <c r="D2601" t="inlineStr">
        <is>
          <t>e492ee5eaf1697716985cc6f33f9cd9b</t>
        </is>
      </c>
      <c r="E2601" t="inlineStr">
        <is>
          <t>social</t>
        </is>
      </c>
      <c r="F2601">
        <f>IFERROR(MATCH(A2601,Deals!$A$2:$A$843,0),"")</f>
        <v/>
      </c>
      <c r="G2601">
        <f>IF(F2601="",0,1)</f>
        <v/>
      </c>
      <c r="H2601" s="29">
        <f>IF(F2601="","",INDEX(Deals!$E$2:$E$843,F2601))</f>
        <v/>
      </c>
      <c r="I2601">
        <f>IF(F2601="","",INDEX(Deals!$D$2:$D$843,F2601))</f>
        <v/>
      </c>
      <c r="J2601">
        <f>IF(F2601="","",INT(H2601)-B2601)</f>
        <v/>
      </c>
      <c r="K2601">
        <f>IF(B2601&gt;=Settings!$C$5,1,0)</f>
        <v/>
      </c>
    </row>
    <row r="2602">
      <c r="A2602" t="inlineStr">
        <is>
          <t>a19fbff55f49a023807bfe3ea9a9946e</t>
        </is>
      </c>
      <c r="B2602" s="29" t="n">
        <v>43132</v>
      </c>
      <c r="C2602" t="inlineStr">
        <is>
          <t>2018-02</t>
        </is>
      </c>
      <c r="D2602" t="inlineStr">
        <is>
          <t>e492ee5eaf1697716985cc6f33f9cd9b</t>
        </is>
      </c>
      <c r="E2602" t="inlineStr">
        <is>
          <t>other</t>
        </is>
      </c>
      <c r="F2602">
        <f>IFERROR(MATCH(A2602,Deals!$A$2:$A$843,0),"")</f>
        <v/>
      </c>
      <c r="G2602">
        <f>IF(F2602="",0,1)</f>
        <v/>
      </c>
      <c r="H2602" s="29">
        <f>IF(F2602="","",INDEX(Deals!$E$2:$E$843,F2602))</f>
        <v/>
      </c>
      <c r="I2602">
        <f>IF(F2602="","",INDEX(Deals!$D$2:$D$843,F2602))</f>
        <v/>
      </c>
      <c r="J2602">
        <f>IF(F2602="","",INT(H2602)-B2602)</f>
        <v/>
      </c>
      <c r="K2602">
        <f>IF(B2602&gt;=Settings!$C$5,1,0)</f>
        <v/>
      </c>
    </row>
    <row r="2603">
      <c r="A2603" t="inlineStr">
        <is>
          <t>204dbb40a6272d96566a58b0b2387bc5</t>
        </is>
      </c>
      <c r="B2603" s="29" t="n">
        <v>43236</v>
      </c>
      <c r="C2603" t="inlineStr">
        <is>
          <t>2018-05</t>
        </is>
      </c>
      <c r="D2603" t="inlineStr">
        <is>
          <t>8ff57dffc365fcb5233232fff6e6bfd0</t>
        </is>
      </c>
      <c r="E2603" t="inlineStr">
        <is>
          <t>direct_traffic</t>
        </is>
      </c>
      <c r="F2603">
        <f>IFERROR(MATCH(A2603,Deals!$A$2:$A$843,0),"")</f>
        <v/>
      </c>
      <c r="G2603">
        <f>IF(F2603="",0,1)</f>
        <v/>
      </c>
      <c r="H2603" s="29">
        <f>IF(F2603="","",INDEX(Deals!$E$2:$E$843,F2603))</f>
        <v/>
      </c>
      <c r="I2603">
        <f>IF(F2603="","",INDEX(Deals!$D$2:$D$843,F2603))</f>
        <v/>
      </c>
      <c r="J2603">
        <f>IF(F2603="","",INT(H2603)-B2603)</f>
        <v/>
      </c>
      <c r="K2603">
        <f>IF(B2603&gt;=Settings!$C$5,1,0)</f>
        <v/>
      </c>
    </row>
    <row r="2604">
      <c r="A2604" t="inlineStr">
        <is>
          <t>a80788ea7a51aea6758580944fd40b5d</t>
        </is>
      </c>
      <c r="B2604" s="29" t="n">
        <v>42941</v>
      </c>
      <c r="C2604" t="inlineStr">
        <is>
          <t>2017-07</t>
        </is>
      </c>
      <c r="D2604" t="inlineStr">
        <is>
          <t>b76ef37428e6799c421989521c0e5077</t>
        </is>
      </c>
      <c r="E2604" t="inlineStr">
        <is>
          <t>other_publicities</t>
        </is>
      </c>
      <c r="F2604">
        <f>IFERROR(MATCH(A2604,Deals!$A$2:$A$843,0),"")</f>
        <v/>
      </c>
      <c r="G2604">
        <f>IF(F2604="",0,1)</f>
        <v/>
      </c>
      <c r="H2604" s="29">
        <f>IF(F2604="","",INDEX(Deals!$E$2:$E$843,F2604))</f>
        <v/>
      </c>
      <c r="I2604">
        <f>IF(F2604="","",INDEX(Deals!$D$2:$D$843,F2604))</f>
        <v/>
      </c>
      <c r="J2604">
        <f>IF(F2604="","",INT(H2604)-B2604)</f>
        <v/>
      </c>
      <c r="K2604">
        <f>IF(B2604&gt;=Settings!$C$5,1,0)</f>
        <v/>
      </c>
    </row>
    <row r="2605">
      <c r="A2605" t="inlineStr">
        <is>
          <t>bc8147ca69573b8a699c18e7ddbcfb48</t>
        </is>
      </c>
      <c r="B2605" s="29" t="n">
        <v>42957</v>
      </c>
      <c r="C2605" t="inlineStr">
        <is>
          <t>2017-08</t>
        </is>
      </c>
      <c r="D2605" t="inlineStr">
        <is>
          <t>c555aa36478386fdf85a2d0ca5cd0ff8</t>
        </is>
      </c>
      <c r="E2605" t="inlineStr">
        <is>
          <t>unknown</t>
        </is>
      </c>
      <c r="F2605">
        <f>IFERROR(MATCH(A2605,Deals!$A$2:$A$843,0),"")</f>
        <v/>
      </c>
      <c r="G2605">
        <f>IF(F2605="",0,1)</f>
        <v/>
      </c>
      <c r="H2605" s="29">
        <f>IF(F2605="","",INDEX(Deals!$E$2:$E$843,F2605))</f>
        <v/>
      </c>
      <c r="I2605">
        <f>IF(F2605="","",INDEX(Deals!$D$2:$D$843,F2605))</f>
        <v/>
      </c>
      <c r="J2605">
        <f>IF(F2605="","",INT(H2605)-B2605)</f>
        <v/>
      </c>
      <c r="K2605">
        <f>IF(B2605&gt;=Settings!$C$5,1,0)</f>
        <v/>
      </c>
    </row>
    <row r="2606">
      <c r="A2606" t="inlineStr">
        <is>
          <t>7e810f05bd88ff0f86dce7116b9fa527</t>
        </is>
      </c>
      <c r="B2606" s="29" t="n">
        <v>43216</v>
      </c>
      <c r="C2606" t="inlineStr">
        <is>
          <t>2018-04</t>
        </is>
      </c>
      <c r="D2606" t="inlineStr">
        <is>
          <t>d28554990d8c5273fedfde51f1f8a59d</t>
        </is>
      </c>
      <c r="E2606" t="inlineStr">
        <is>
          <t>paid_search</t>
        </is>
      </c>
      <c r="F2606">
        <f>IFERROR(MATCH(A2606,Deals!$A$2:$A$843,0),"")</f>
        <v/>
      </c>
      <c r="G2606">
        <f>IF(F2606="",0,1)</f>
        <v/>
      </c>
      <c r="H2606" s="29">
        <f>IF(F2606="","",INDEX(Deals!$E$2:$E$843,F2606))</f>
        <v/>
      </c>
      <c r="I2606">
        <f>IF(F2606="","",INDEX(Deals!$D$2:$D$843,F2606))</f>
        <v/>
      </c>
      <c r="J2606">
        <f>IF(F2606="","",INT(H2606)-B2606)</f>
        <v/>
      </c>
      <c r="K2606">
        <f>IF(B2606&gt;=Settings!$C$5,1,0)</f>
        <v/>
      </c>
    </row>
    <row r="2607">
      <c r="A2607" t="inlineStr">
        <is>
          <t>4ccf5109bc31de5bc4ea47993b515836</t>
        </is>
      </c>
      <c r="B2607" s="29" t="n">
        <v>43220</v>
      </c>
      <c r="C2607" t="inlineStr">
        <is>
          <t>2018-04</t>
        </is>
      </c>
      <c r="D2607" t="inlineStr">
        <is>
          <t>30534107aa0013db92899c96a1017d0b</t>
        </is>
      </c>
      <c r="E2607" t="inlineStr">
        <is>
          <t>social</t>
        </is>
      </c>
      <c r="F2607">
        <f>IFERROR(MATCH(A2607,Deals!$A$2:$A$843,0),"")</f>
        <v/>
      </c>
      <c r="G2607">
        <f>IF(F2607="",0,1)</f>
        <v/>
      </c>
      <c r="H2607" s="29">
        <f>IF(F2607="","",INDEX(Deals!$E$2:$E$843,F2607))</f>
        <v/>
      </c>
      <c r="I2607">
        <f>IF(F2607="","",INDEX(Deals!$D$2:$D$843,F2607))</f>
        <v/>
      </c>
      <c r="J2607">
        <f>IF(F2607="","",INT(H2607)-B2607)</f>
        <v/>
      </c>
      <c r="K2607">
        <f>IF(B2607&gt;=Settings!$C$5,1,0)</f>
        <v/>
      </c>
    </row>
    <row r="2608">
      <c r="A2608" t="inlineStr">
        <is>
          <t>33a900397522c1d3f78ba2f8744a653b</t>
        </is>
      </c>
      <c r="B2608" s="29" t="n">
        <v>42998</v>
      </c>
      <c r="C2608" t="inlineStr">
        <is>
          <t>2017-09</t>
        </is>
      </c>
      <c r="D2608" t="inlineStr">
        <is>
          <t>d1c953566a3133574fc8e3f7bc1c126b</t>
        </is>
      </c>
      <c r="E2608" t="inlineStr">
        <is>
          <t>organic_search</t>
        </is>
      </c>
      <c r="F2608">
        <f>IFERROR(MATCH(A2608,Deals!$A$2:$A$843,0),"")</f>
        <v/>
      </c>
      <c r="G2608">
        <f>IF(F2608="",0,1)</f>
        <v/>
      </c>
      <c r="H2608" s="29">
        <f>IF(F2608="","",INDEX(Deals!$E$2:$E$843,F2608))</f>
        <v/>
      </c>
      <c r="I2608">
        <f>IF(F2608="","",INDEX(Deals!$D$2:$D$843,F2608))</f>
        <v/>
      </c>
      <c r="J2608">
        <f>IF(F2608="","",INT(H2608)-B2608)</f>
        <v/>
      </c>
      <c r="K2608">
        <f>IF(B2608&gt;=Settings!$C$5,1,0)</f>
        <v/>
      </c>
    </row>
    <row r="2609">
      <c r="A2609" t="inlineStr">
        <is>
          <t>709a255d7ae6859551c9cb810d091a7b</t>
        </is>
      </c>
      <c r="B2609" s="29" t="n">
        <v>43121</v>
      </c>
      <c r="C2609" t="inlineStr">
        <is>
          <t>2018-01</t>
        </is>
      </c>
      <c r="D2609" t="inlineStr">
        <is>
          <t>aeac92c0f5ae22a04ed3b746cce3a1b6</t>
        </is>
      </c>
      <c r="E2609" t="inlineStr">
        <is>
          <t>organic_search</t>
        </is>
      </c>
      <c r="F2609">
        <f>IFERROR(MATCH(A2609,Deals!$A$2:$A$843,0),"")</f>
        <v/>
      </c>
      <c r="G2609">
        <f>IF(F2609="",0,1)</f>
        <v/>
      </c>
      <c r="H2609" s="29">
        <f>IF(F2609="","",INDEX(Deals!$E$2:$E$843,F2609))</f>
        <v/>
      </c>
      <c r="I2609">
        <f>IF(F2609="","",INDEX(Deals!$D$2:$D$843,F2609))</f>
        <v/>
      </c>
      <c r="J2609">
        <f>IF(F2609="","",INT(H2609)-B2609)</f>
        <v/>
      </c>
      <c r="K2609">
        <f>IF(B2609&gt;=Settings!$C$5,1,0)</f>
        <v/>
      </c>
    </row>
    <row r="2610">
      <c r="A2610" t="inlineStr">
        <is>
          <t>22a993565308ccff8a1db375e32fdaee</t>
        </is>
      </c>
      <c r="B2610" s="29" t="n">
        <v>43209</v>
      </c>
      <c r="C2610" t="inlineStr">
        <is>
          <t>2018-04</t>
        </is>
      </c>
      <c r="D2610" t="inlineStr">
        <is>
          <t>f017be4dbf86243af5c1ebed0cff36a2</t>
        </is>
      </c>
      <c r="E2610" t="inlineStr">
        <is>
          <t>organic_search</t>
        </is>
      </c>
      <c r="F2610">
        <f>IFERROR(MATCH(A2610,Deals!$A$2:$A$843,0),"")</f>
        <v/>
      </c>
      <c r="G2610">
        <f>IF(F2610="",0,1)</f>
        <v/>
      </c>
      <c r="H2610" s="29">
        <f>IF(F2610="","",INDEX(Deals!$E$2:$E$843,F2610))</f>
        <v/>
      </c>
      <c r="I2610">
        <f>IF(F2610="","",INDEX(Deals!$D$2:$D$843,F2610))</f>
        <v/>
      </c>
      <c r="J2610">
        <f>IF(F2610="","",INT(H2610)-B2610)</f>
        <v/>
      </c>
      <c r="K2610">
        <f>IF(B2610&gt;=Settings!$C$5,1,0)</f>
        <v/>
      </c>
    </row>
    <row r="2611">
      <c r="A2611" t="inlineStr">
        <is>
          <t>3bb76268c4e97fceb80480530d8ee462</t>
        </is>
      </c>
      <c r="B2611" s="29" t="n">
        <v>43137</v>
      </c>
      <c r="C2611" t="inlineStr">
        <is>
          <t>2018-02</t>
        </is>
      </c>
      <c r="D2611" t="inlineStr">
        <is>
          <t>40dec9f3d5259a3d2dbcdab2114fae47</t>
        </is>
      </c>
      <c r="E2611" t="inlineStr">
        <is>
          <t>organic_search</t>
        </is>
      </c>
      <c r="F2611">
        <f>IFERROR(MATCH(A2611,Deals!$A$2:$A$843,0),"")</f>
        <v/>
      </c>
      <c r="G2611">
        <f>IF(F2611="",0,1)</f>
        <v/>
      </c>
      <c r="H2611" s="29">
        <f>IF(F2611="","",INDEX(Deals!$E$2:$E$843,F2611))</f>
        <v/>
      </c>
      <c r="I2611">
        <f>IF(F2611="","",INDEX(Deals!$D$2:$D$843,F2611))</f>
        <v/>
      </c>
      <c r="J2611">
        <f>IF(F2611="","",INT(H2611)-B2611)</f>
        <v/>
      </c>
      <c r="K2611">
        <f>IF(B2611&gt;=Settings!$C$5,1,0)</f>
        <v/>
      </c>
    </row>
    <row r="2612">
      <c r="A2612" t="inlineStr">
        <is>
          <t>758206fbaf1b624515dc37767ef6edc8</t>
        </is>
      </c>
      <c r="B2612" s="29" t="n">
        <v>43060</v>
      </c>
      <c r="C2612" t="inlineStr">
        <is>
          <t>2017-11</t>
        </is>
      </c>
      <c r="D2612" t="inlineStr">
        <is>
          <t>5209e2e679d32a6619feb6942702fd14</t>
        </is>
      </c>
      <c r="E2612" t="inlineStr">
        <is>
          <t>organic_search</t>
        </is>
      </c>
      <c r="F2612">
        <f>IFERROR(MATCH(A2612,Deals!$A$2:$A$843,0),"")</f>
        <v/>
      </c>
      <c r="G2612">
        <f>IF(F2612="",0,1)</f>
        <v/>
      </c>
      <c r="H2612" s="29">
        <f>IF(F2612="","",INDEX(Deals!$E$2:$E$843,F2612))</f>
        <v/>
      </c>
      <c r="I2612">
        <f>IF(F2612="","",INDEX(Deals!$D$2:$D$843,F2612))</f>
        <v/>
      </c>
      <c r="J2612">
        <f>IF(F2612="","",INT(H2612)-B2612)</f>
        <v/>
      </c>
      <c r="K2612">
        <f>IF(B2612&gt;=Settings!$C$5,1,0)</f>
        <v/>
      </c>
    </row>
    <row r="2613">
      <c r="A2613" t="inlineStr">
        <is>
          <t>d0cefa43d15f7e4b74ae21595155ec91</t>
        </is>
      </c>
      <c r="B2613" s="29" t="n">
        <v>42974</v>
      </c>
      <c r="C2613" t="inlineStr">
        <is>
          <t>2017-08</t>
        </is>
      </c>
      <c r="D2613" t="inlineStr">
        <is>
          <t>87732658ba41d8775e8577df347a64db</t>
        </is>
      </c>
      <c r="E2613" t="inlineStr">
        <is>
          <t>social</t>
        </is>
      </c>
      <c r="F2613">
        <f>IFERROR(MATCH(A2613,Deals!$A$2:$A$843,0),"")</f>
        <v/>
      </c>
      <c r="G2613">
        <f>IF(F2613="",0,1)</f>
        <v/>
      </c>
      <c r="H2613" s="29">
        <f>IF(F2613="","",INDEX(Deals!$E$2:$E$843,F2613))</f>
        <v/>
      </c>
      <c r="I2613">
        <f>IF(F2613="","",INDEX(Deals!$D$2:$D$843,F2613))</f>
        <v/>
      </c>
      <c r="J2613">
        <f>IF(F2613="","",INT(H2613)-B2613)</f>
        <v/>
      </c>
      <c r="K2613">
        <f>IF(B2613&gt;=Settings!$C$5,1,0)</f>
        <v/>
      </c>
    </row>
    <row r="2614">
      <c r="A2614" t="inlineStr">
        <is>
          <t>4b4234f02431d2179f5d18fd1db0ef8e</t>
        </is>
      </c>
      <c r="B2614" s="29" t="n">
        <v>43206</v>
      </c>
      <c r="C2614" t="inlineStr">
        <is>
          <t>2018-04</t>
        </is>
      </c>
      <c r="D2614" t="inlineStr">
        <is>
          <t>22c29808c4f815213303f8933030604c</t>
        </is>
      </c>
      <c r="E2614" t="inlineStr">
        <is>
          <t>organic_search</t>
        </is>
      </c>
      <c r="F2614">
        <f>IFERROR(MATCH(A2614,Deals!$A$2:$A$843,0),"")</f>
        <v/>
      </c>
      <c r="G2614">
        <f>IF(F2614="",0,1)</f>
        <v/>
      </c>
      <c r="H2614" s="29">
        <f>IF(F2614="","",INDEX(Deals!$E$2:$E$843,F2614))</f>
        <v/>
      </c>
      <c r="I2614">
        <f>IF(F2614="","",INDEX(Deals!$D$2:$D$843,F2614))</f>
        <v/>
      </c>
      <c r="J2614">
        <f>IF(F2614="","",INT(H2614)-B2614)</f>
        <v/>
      </c>
      <c r="K2614">
        <f>IF(B2614&gt;=Settings!$C$5,1,0)</f>
        <v/>
      </c>
    </row>
    <row r="2615">
      <c r="A2615" t="inlineStr">
        <is>
          <t>331ffa63ab5f2d214d68a6cbbddb3095</t>
        </is>
      </c>
      <c r="B2615" s="29" t="n">
        <v>43237</v>
      </c>
      <c r="C2615" t="inlineStr">
        <is>
          <t>2018-05</t>
        </is>
      </c>
      <c r="D2615" t="inlineStr">
        <is>
          <t>b76ef37428e6799c421989521c0e5077</t>
        </is>
      </c>
      <c r="E2615" t="inlineStr">
        <is>
          <t>unknown</t>
        </is>
      </c>
      <c r="F2615">
        <f>IFERROR(MATCH(A2615,Deals!$A$2:$A$843,0),"")</f>
        <v/>
      </c>
      <c r="G2615">
        <f>IF(F2615="",0,1)</f>
        <v/>
      </c>
      <c r="H2615" s="29">
        <f>IF(F2615="","",INDEX(Deals!$E$2:$E$843,F2615))</f>
        <v/>
      </c>
      <c r="I2615">
        <f>IF(F2615="","",INDEX(Deals!$D$2:$D$843,F2615))</f>
        <v/>
      </c>
      <c r="J2615">
        <f>IF(F2615="","",INT(H2615)-B2615)</f>
        <v/>
      </c>
      <c r="K2615">
        <f>IF(B2615&gt;=Settings!$C$5,1,0)</f>
        <v/>
      </c>
    </row>
    <row r="2616">
      <c r="A2616" t="inlineStr">
        <is>
          <t>05ede5cedad6c61ef99376296b0699ef</t>
        </is>
      </c>
      <c r="B2616" s="29" t="n">
        <v>43210</v>
      </c>
      <c r="C2616" t="inlineStr">
        <is>
          <t>2018-04</t>
        </is>
      </c>
      <c r="D2616" t="inlineStr">
        <is>
          <t>358adb2fee9a122549618e46925a00a5</t>
        </is>
      </c>
      <c r="E2616" t="inlineStr">
        <is>
          <t>organic_search</t>
        </is>
      </c>
      <c r="F2616">
        <f>IFERROR(MATCH(A2616,Deals!$A$2:$A$843,0),"")</f>
        <v/>
      </c>
      <c r="G2616">
        <f>IF(F2616="",0,1)</f>
        <v/>
      </c>
      <c r="H2616" s="29">
        <f>IF(F2616="","",INDEX(Deals!$E$2:$E$843,F2616))</f>
        <v/>
      </c>
      <c r="I2616">
        <f>IF(F2616="","",INDEX(Deals!$D$2:$D$843,F2616))</f>
        <v/>
      </c>
      <c r="J2616">
        <f>IF(F2616="","",INT(H2616)-B2616)</f>
        <v/>
      </c>
      <c r="K2616">
        <f>IF(B2616&gt;=Settings!$C$5,1,0)</f>
        <v/>
      </c>
    </row>
    <row r="2617">
      <c r="A2617" t="inlineStr">
        <is>
          <t>1db703eb6e8207f4b34233a69bcdc6dc</t>
        </is>
      </c>
      <c r="B2617" s="29" t="n">
        <v>43173</v>
      </c>
      <c r="C2617" t="inlineStr">
        <is>
          <t>2018-03</t>
        </is>
      </c>
      <c r="D2617" t="inlineStr">
        <is>
          <t>40dec9f3d5259a3d2dbcdab2114fae47</t>
        </is>
      </c>
      <c r="E2617" t="inlineStr">
        <is>
          <t>paid_search</t>
        </is>
      </c>
      <c r="F2617">
        <f>IFERROR(MATCH(A2617,Deals!$A$2:$A$843,0),"")</f>
        <v/>
      </c>
      <c r="G2617">
        <f>IF(F2617="",0,1)</f>
        <v/>
      </c>
      <c r="H2617" s="29">
        <f>IF(F2617="","",INDEX(Deals!$E$2:$E$843,F2617))</f>
        <v/>
      </c>
      <c r="I2617">
        <f>IF(F2617="","",INDEX(Deals!$D$2:$D$843,F2617))</f>
        <v/>
      </c>
      <c r="J2617">
        <f>IF(F2617="","",INT(H2617)-B2617)</f>
        <v/>
      </c>
      <c r="K2617">
        <f>IF(B2617&gt;=Settings!$C$5,1,0)</f>
        <v/>
      </c>
    </row>
    <row r="2618">
      <c r="A2618" t="inlineStr">
        <is>
          <t>7aeaa881c9a72b62b4842549c501a8aa</t>
        </is>
      </c>
      <c r="B2618" s="29" t="n">
        <v>43179</v>
      </c>
      <c r="C2618" t="inlineStr">
        <is>
          <t>2018-03</t>
        </is>
      </c>
      <c r="D2618" t="inlineStr">
        <is>
          <t>62a620c9f1f5dbe99651c2c9e369cbb0</t>
        </is>
      </c>
      <c r="E2618" t="inlineStr">
        <is>
          <t>organic_search</t>
        </is>
      </c>
      <c r="F2618">
        <f>IFERROR(MATCH(A2618,Deals!$A$2:$A$843,0),"")</f>
        <v/>
      </c>
      <c r="G2618">
        <f>IF(F2618="",0,1)</f>
        <v/>
      </c>
      <c r="H2618" s="29">
        <f>IF(F2618="","",INDEX(Deals!$E$2:$E$843,F2618))</f>
        <v/>
      </c>
      <c r="I2618">
        <f>IF(F2618="","",INDEX(Deals!$D$2:$D$843,F2618))</f>
        <v/>
      </c>
      <c r="J2618">
        <f>IF(F2618="","",INT(H2618)-B2618)</f>
        <v/>
      </c>
      <c r="K2618">
        <f>IF(B2618&gt;=Settings!$C$5,1,0)</f>
        <v/>
      </c>
    </row>
    <row r="2619">
      <c r="A2619" t="inlineStr">
        <is>
          <t>9e30387be1bdc568dfca37927852dc94</t>
        </is>
      </c>
      <c r="B2619" s="29" t="n">
        <v>43209</v>
      </c>
      <c r="C2619" t="inlineStr">
        <is>
          <t>2018-04</t>
        </is>
      </c>
      <c r="D2619" t="inlineStr">
        <is>
          <t>f4cb9c7b1dc31afca77d4896d2ae8d4b</t>
        </is>
      </c>
      <c r="E2619" t="inlineStr">
        <is>
          <t>organic_search</t>
        </is>
      </c>
      <c r="F2619">
        <f>IFERROR(MATCH(A2619,Deals!$A$2:$A$843,0),"")</f>
        <v/>
      </c>
      <c r="G2619">
        <f>IF(F2619="",0,1)</f>
        <v/>
      </c>
      <c r="H2619" s="29">
        <f>IF(F2619="","",INDEX(Deals!$E$2:$E$843,F2619))</f>
        <v/>
      </c>
      <c r="I2619">
        <f>IF(F2619="","",INDEX(Deals!$D$2:$D$843,F2619))</f>
        <v/>
      </c>
      <c r="J2619">
        <f>IF(F2619="","",INT(H2619)-B2619)</f>
        <v/>
      </c>
      <c r="K2619">
        <f>IF(B2619&gt;=Settings!$C$5,1,0)</f>
        <v/>
      </c>
    </row>
    <row r="2620">
      <c r="A2620" t="inlineStr">
        <is>
          <t>aba5f32ff88dba3c5522c176deb5ae92</t>
        </is>
      </c>
      <c r="B2620" s="29" t="n">
        <v>43238</v>
      </c>
      <c r="C2620" t="inlineStr">
        <is>
          <t>2018-05</t>
        </is>
      </c>
      <c r="D2620" t="inlineStr">
        <is>
          <t>b76ef37428e6799c421989521c0e5077</t>
        </is>
      </c>
      <c r="E2620" t="inlineStr">
        <is>
          <t>unknown</t>
        </is>
      </c>
      <c r="F2620">
        <f>IFERROR(MATCH(A2620,Deals!$A$2:$A$843,0),"")</f>
        <v/>
      </c>
      <c r="G2620">
        <f>IF(F2620="",0,1)</f>
        <v/>
      </c>
      <c r="H2620" s="29">
        <f>IF(F2620="","",INDEX(Deals!$E$2:$E$843,F2620))</f>
        <v/>
      </c>
      <c r="I2620">
        <f>IF(F2620="","",INDEX(Deals!$D$2:$D$843,F2620))</f>
        <v/>
      </c>
      <c r="J2620">
        <f>IF(F2620="","",INT(H2620)-B2620)</f>
        <v/>
      </c>
      <c r="K2620">
        <f>IF(B2620&gt;=Settings!$C$5,1,0)</f>
        <v/>
      </c>
    </row>
    <row r="2621">
      <c r="A2621" t="inlineStr">
        <is>
          <t>50ccab9fbc343b7cf1a1f149bf4facfd</t>
        </is>
      </c>
      <c r="B2621" s="29" t="n">
        <v>43108</v>
      </c>
      <c r="C2621" t="inlineStr">
        <is>
          <t>2018-01</t>
        </is>
      </c>
      <c r="D2621" t="inlineStr">
        <is>
          <t>22c29808c4f815213303f8933030604c</t>
        </is>
      </c>
      <c r="E2621" t="inlineStr">
        <is>
          <t>organic_search</t>
        </is>
      </c>
      <c r="F2621">
        <f>IFERROR(MATCH(A2621,Deals!$A$2:$A$843,0),"")</f>
        <v/>
      </c>
      <c r="G2621">
        <f>IF(F2621="",0,1)</f>
        <v/>
      </c>
      <c r="H2621" s="29">
        <f>IF(F2621="","",INDEX(Deals!$E$2:$E$843,F2621))</f>
        <v/>
      </c>
      <c r="I2621">
        <f>IF(F2621="","",INDEX(Deals!$D$2:$D$843,F2621))</f>
        <v/>
      </c>
      <c r="J2621">
        <f>IF(F2621="","",INT(H2621)-B2621)</f>
        <v/>
      </c>
      <c r="K2621">
        <f>IF(B2621&gt;=Settings!$C$5,1,0)</f>
        <v/>
      </c>
    </row>
    <row r="2622">
      <c r="A2622" t="inlineStr">
        <is>
          <t>ac72056e309158cc9cb768fe36feba61</t>
        </is>
      </c>
      <c r="B2622" s="29" t="n">
        <v>43139</v>
      </c>
      <c r="C2622" t="inlineStr">
        <is>
          <t>2018-02</t>
        </is>
      </c>
      <c r="D2622" t="inlineStr">
        <is>
          <t>b76ef37428e6799c421989521c0e5077</t>
        </is>
      </c>
      <c r="E2622" t="inlineStr">
        <is>
          <t>unknown</t>
        </is>
      </c>
      <c r="F2622">
        <f>IFERROR(MATCH(A2622,Deals!$A$2:$A$843,0),"")</f>
        <v/>
      </c>
      <c r="G2622">
        <f>IF(F2622="",0,1)</f>
        <v/>
      </c>
      <c r="H2622" s="29">
        <f>IF(F2622="","",INDEX(Deals!$E$2:$E$843,F2622))</f>
        <v/>
      </c>
      <c r="I2622">
        <f>IF(F2622="","",INDEX(Deals!$D$2:$D$843,F2622))</f>
        <v/>
      </c>
      <c r="J2622">
        <f>IF(F2622="","",INT(H2622)-B2622)</f>
        <v/>
      </c>
      <c r="K2622">
        <f>IF(B2622&gt;=Settings!$C$5,1,0)</f>
        <v/>
      </c>
    </row>
    <row r="2623">
      <c r="A2623" t="inlineStr">
        <is>
          <t>2b20f55922bf6019d6da6ee6a5518080</t>
        </is>
      </c>
      <c r="B2623" s="29" t="n">
        <v>43103</v>
      </c>
      <c r="C2623" t="inlineStr">
        <is>
          <t>2018-01</t>
        </is>
      </c>
      <c r="D2623" t="inlineStr">
        <is>
          <t>b76ef37428e6799c421989521c0e5077</t>
        </is>
      </c>
      <c r="E2623" t="inlineStr">
        <is>
          <t>organic_search</t>
        </is>
      </c>
      <c r="F2623">
        <f>IFERROR(MATCH(A2623,Deals!$A$2:$A$843,0),"")</f>
        <v/>
      </c>
      <c r="G2623">
        <f>IF(F2623="",0,1)</f>
        <v/>
      </c>
      <c r="H2623" s="29">
        <f>IF(F2623="","",INDEX(Deals!$E$2:$E$843,F2623))</f>
        <v/>
      </c>
      <c r="I2623">
        <f>IF(F2623="","",INDEX(Deals!$D$2:$D$843,F2623))</f>
        <v/>
      </c>
      <c r="J2623">
        <f>IF(F2623="","",INT(H2623)-B2623)</f>
        <v/>
      </c>
      <c r="K2623">
        <f>IF(B2623&gt;=Settings!$C$5,1,0)</f>
        <v/>
      </c>
    </row>
    <row r="2624">
      <c r="A2624" t="inlineStr">
        <is>
          <t>8aa7c17161d6a6270218e8a7b0806263</t>
        </is>
      </c>
      <c r="B2624" s="29" t="n">
        <v>43110</v>
      </c>
      <c r="C2624" t="inlineStr">
        <is>
          <t>2018-01</t>
        </is>
      </c>
      <c r="D2624" t="inlineStr">
        <is>
          <t>b76ef37428e6799c421989521c0e5077</t>
        </is>
      </c>
      <c r="E2624" t="inlineStr">
        <is>
          <t>direct_traffic</t>
        </is>
      </c>
      <c r="F2624">
        <f>IFERROR(MATCH(A2624,Deals!$A$2:$A$843,0),"")</f>
        <v/>
      </c>
      <c r="G2624">
        <f>IF(F2624="",0,1)</f>
        <v/>
      </c>
      <c r="H2624" s="29">
        <f>IF(F2624="","",INDEX(Deals!$E$2:$E$843,F2624))</f>
        <v/>
      </c>
      <c r="I2624">
        <f>IF(F2624="","",INDEX(Deals!$D$2:$D$843,F2624))</f>
        <v/>
      </c>
      <c r="J2624">
        <f>IF(F2624="","",INT(H2624)-B2624)</f>
        <v/>
      </c>
      <c r="K2624">
        <f>IF(B2624&gt;=Settings!$C$5,1,0)</f>
        <v/>
      </c>
    </row>
    <row r="2625">
      <c r="A2625" t="inlineStr">
        <is>
          <t>59a05c7d027eb14c8207e64d7b73fd98</t>
        </is>
      </c>
      <c r="B2625" s="29" t="n">
        <v>43153</v>
      </c>
      <c r="C2625" t="inlineStr">
        <is>
          <t>2018-02</t>
        </is>
      </c>
      <c r="D2625" t="inlineStr">
        <is>
          <t>b76ef37428e6799c421989521c0e5077</t>
        </is>
      </c>
      <c r="E2625" t="inlineStr">
        <is>
          <t>organic_search</t>
        </is>
      </c>
      <c r="F2625">
        <f>IFERROR(MATCH(A2625,Deals!$A$2:$A$843,0),"")</f>
        <v/>
      </c>
      <c r="G2625">
        <f>IF(F2625="",0,1)</f>
        <v/>
      </c>
      <c r="H2625" s="29">
        <f>IF(F2625="","",INDEX(Deals!$E$2:$E$843,F2625))</f>
        <v/>
      </c>
      <c r="I2625">
        <f>IF(F2625="","",INDEX(Deals!$D$2:$D$843,F2625))</f>
        <v/>
      </c>
      <c r="J2625">
        <f>IF(F2625="","",INT(H2625)-B2625)</f>
        <v/>
      </c>
      <c r="K2625">
        <f>IF(B2625&gt;=Settings!$C$5,1,0)</f>
        <v/>
      </c>
    </row>
    <row r="2626">
      <c r="A2626" t="inlineStr">
        <is>
          <t>18f91d43eb4c7f0e879697f012ea3815</t>
        </is>
      </c>
      <c r="B2626" s="29" t="n">
        <v>42969</v>
      </c>
      <c r="C2626" t="inlineStr">
        <is>
          <t>2017-08</t>
        </is>
      </c>
      <c r="D2626" t="inlineStr">
        <is>
          <t>87732658ba41d8775e8577df347a64db</t>
        </is>
      </c>
      <c r="E2626" t="inlineStr">
        <is>
          <t>social</t>
        </is>
      </c>
      <c r="F2626">
        <f>IFERROR(MATCH(A2626,Deals!$A$2:$A$843,0),"")</f>
        <v/>
      </c>
      <c r="G2626">
        <f>IF(F2626="",0,1)</f>
        <v/>
      </c>
      <c r="H2626" s="29">
        <f>IF(F2626="","",INDEX(Deals!$E$2:$E$843,F2626))</f>
        <v/>
      </c>
      <c r="I2626">
        <f>IF(F2626="","",INDEX(Deals!$D$2:$D$843,F2626))</f>
        <v/>
      </c>
      <c r="J2626">
        <f>IF(F2626="","",INT(H2626)-B2626)</f>
        <v/>
      </c>
      <c r="K2626">
        <f>IF(B2626&gt;=Settings!$C$5,1,0)</f>
        <v/>
      </c>
    </row>
    <row r="2627">
      <c r="A2627" t="inlineStr">
        <is>
          <t>facc76c5fedb359064cffc3b6ef6b311</t>
        </is>
      </c>
      <c r="B2627" s="29" t="n">
        <v>42993</v>
      </c>
      <c r="C2627" t="inlineStr">
        <is>
          <t>2017-09</t>
        </is>
      </c>
      <c r="D2627" t="inlineStr">
        <is>
          <t>f017be4dbf86243af5c1ebed0cff36a2</t>
        </is>
      </c>
      <c r="E2627" t="inlineStr">
        <is>
          <t>organic_search</t>
        </is>
      </c>
      <c r="F2627">
        <f>IFERROR(MATCH(A2627,Deals!$A$2:$A$843,0),"")</f>
        <v/>
      </c>
      <c r="G2627">
        <f>IF(F2627="",0,1)</f>
        <v/>
      </c>
      <c r="H2627" s="29">
        <f>IF(F2627="","",INDEX(Deals!$E$2:$E$843,F2627))</f>
        <v/>
      </c>
      <c r="I2627">
        <f>IF(F2627="","",INDEX(Deals!$D$2:$D$843,F2627))</f>
        <v/>
      </c>
      <c r="J2627">
        <f>IF(F2627="","",INT(H2627)-B2627)</f>
        <v/>
      </c>
      <c r="K2627">
        <f>IF(B2627&gt;=Settings!$C$5,1,0)</f>
        <v/>
      </c>
    </row>
    <row r="2628">
      <c r="A2628" t="inlineStr">
        <is>
          <t>aa052871fcf883780072ada1301e9773</t>
        </is>
      </c>
      <c r="B2628" s="29" t="n">
        <v>43138</v>
      </c>
      <c r="C2628" t="inlineStr">
        <is>
          <t>2018-02</t>
        </is>
      </c>
      <c r="D2628" t="inlineStr">
        <is>
          <t>22c29808c4f815213303f8933030604c</t>
        </is>
      </c>
      <c r="E2628" t="inlineStr">
        <is>
          <t>organic_search</t>
        </is>
      </c>
      <c r="F2628">
        <f>IFERROR(MATCH(A2628,Deals!$A$2:$A$843,0),"")</f>
        <v/>
      </c>
      <c r="G2628">
        <f>IF(F2628="",0,1)</f>
        <v/>
      </c>
      <c r="H2628" s="29">
        <f>IF(F2628="","",INDEX(Deals!$E$2:$E$843,F2628))</f>
        <v/>
      </c>
      <c r="I2628">
        <f>IF(F2628="","",INDEX(Deals!$D$2:$D$843,F2628))</f>
        <v/>
      </c>
      <c r="J2628">
        <f>IF(F2628="","",INT(H2628)-B2628)</f>
        <v/>
      </c>
      <c r="K2628">
        <f>IF(B2628&gt;=Settings!$C$5,1,0)</f>
        <v/>
      </c>
    </row>
    <row r="2629">
      <c r="A2629" t="inlineStr">
        <is>
          <t>032608a0d8ef4946d0f7bec3707c024f</t>
        </is>
      </c>
      <c r="B2629" s="29" t="n">
        <v>43117</v>
      </c>
      <c r="C2629" t="inlineStr">
        <is>
          <t>2018-01</t>
        </is>
      </c>
      <c r="D2629" t="inlineStr">
        <is>
          <t>88740e65d5d6b056e0cda098e1ea6313</t>
        </is>
      </c>
      <c r="E2629" t="inlineStr">
        <is>
          <t>social</t>
        </is>
      </c>
      <c r="F2629">
        <f>IFERROR(MATCH(A2629,Deals!$A$2:$A$843,0),"")</f>
        <v/>
      </c>
      <c r="G2629">
        <f>IF(F2629="",0,1)</f>
        <v/>
      </c>
      <c r="H2629" s="29">
        <f>IF(F2629="","",INDEX(Deals!$E$2:$E$843,F2629))</f>
        <v/>
      </c>
      <c r="I2629">
        <f>IF(F2629="","",INDEX(Deals!$D$2:$D$843,F2629))</f>
        <v/>
      </c>
      <c r="J2629">
        <f>IF(F2629="","",INT(H2629)-B2629)</f>
        <v/>
      </c>
      <c r="K2629">
        <f>IF(B2629&gt;=Settings!$C$5,1,0)</f>
        <v/>
      </c>
    </row>
    <row r="2630">
      <c r="A2630" t="inlineStr">
        <is>
          <t>baf4c5540f5b865947895d6f7ed30b68</t>
        </is>
      </c>
      <c r="B2630" s="29" t="n">
        <v>43214</v>
      </c>
      <c r="C2630" t="inlineStr">
        <is>
          <t>2018-04</t>
        </is>
      </c>
      <c r="D2630" t="inlineStr">
        <is>
          <t>58326e62183c14b0c03085c33b9fdc44</t>
        </is>
      </c>
      <c r="E2630" t="inlineStr">
        <is>
          <t>social</t>
        </is>
      </c>
      <c r="F2630">
        <f>IFERROR(MATCH(A2630,Deals!$A$2:$A$843,0),"")</f>
        <v/>
      </c>
      <c r="G2630">
        <f>IF(F2630="",0,1)</f>
        <v/>
      </c>
      <c r="H2630" s="29">
        <f>IF(F2630="","",INDEX(Deals!$E$2:$E$843,F2630))</f>
        <v/>
      </c>
      <c r="I2630">
        <f>IF(F2630="","",INDEX(Deals!$D$2:$D$843,F2630))</f>
        <v/>
      </c>
      <c r="J2630">
        <f>IF(F2630="","",INT(H2630)-B2630)</f>
        <v/>
      </c>
      <c r="K2630">
        <f>IF(B2630&gt;=Settings!$C$5,1,0)</f>
        <v/>
      </c>
    </row>
    <row r="2631">
      <c r="A2631" t="inlineStr">
        <is>
          <t>ec169a34f974ccb7e834fbfc88d61ff3</t>
        </is>
      </c>
      <c r="B2631" s="29" t="n">
        <v>43193</v>
      </c>
      <c r="C2631" t="inlineStr">
        <is>
          <t>2018-04</t>
        </is>
      </c>
      <c r="D2631" t="inlineStr">
        <is>
          <t>b76ef37428e6799c421989521c0e5077</t>
        </is>
      </c>
      <c r="E2631" t="inlineStr">
        <is>
          <t>unknown</t>
        </is>
      </c>
      <c r="F2631">
        <f>IFERROR(MATCH(A2631,Deals!$A$2:$A$843,0),"")</f>
        <v/>
      </c>
      <c r="G2631">
        <f>IF(F2631="",0,1)</f>
        <v/>
      </c>
      <c r="H2631" s="29">
        <f>IF(F2631="","",INDEX(Deals!$E$2:$E$843,F2631))</f>
        <v/>
      </c>
      <c r="I2631">
        <f>IF(F2631="","",INDEX(Deals!$D$2:$D$843,F2631))</f>
        <v/>
      </c>
      <c r="J2631">
        <f>IF(F2631="","",INT(H2631)-B2631)</f>
        <v/>
      </c>
      <c r="K2631">
        <f>IF(B2631&gt;=Settings!$C$5,1,0)</f>
        <v/>
      </c>
    </row>
    <row r="2632">
      <c r="A2632" t="inlineStr">
        <is>
          <t>90d2301e323b1809708324229782def2</t>
        </is>
      </c>
      <c r="B2632" s="29" t="n">
        <v>43108</v>
      </c>
      <c r="C2632" t="inlineStr">
        <is>
          <t>2018-01</t>
        </is>
      </c>
      <c r="D2632" t="inlineStr">
        <is>
          <t>241f79c7a8fe0270f4fb79fcbbcd17ad</t>
        </is>
      </c>
      <c r="E2632" t="inlineStr">
        <is>
          <t>direct_traffic</t>
        </is>
      </c>
      <c r="F2632">
        <f>IFERROR(MATCH(A2632,Deals!$A$2:$A$843,0),"")</f>
        <v/>
      </c>
      <c r="G2632">
        <f>IF(F2632="",0,1)</f>
        <v/>
      </c>
      <c r="H2632" s="29">
        <f>IF(F2632="","",INDEX(Deals!$E$2:$E$843,F2632))</f>
        <v/>
      </c>
      <c r="I2632">
        <f>IF(F2632="","",INDEX(Deals!$D$2:$D$843,F2632))</f>
        <v/>
      </c>
      <c r="J2632">
        <f>IF(F2632="","",INT(H2632)-B2632)</f>
        <v/>
      </c>
      <c r="K2632">
        <f>IF(B2632&gt;=Settings!$C$5,1,0)</f>
        <v/>
      </c>
    </row>
    <row r="2633">
      <c r="A2633" t="inlineStr">
        <is>
          <t>4ef93030a385d1fb29b83ecce3644ec2</t>
        </is>
      </c>
      <c r="B2633" s="29" t="n">
        <v>43130</v>
      </c>
      <c r="C2633" t="inlineStr">
        <is>
          <t>2018-01</t>
        </is>
      </c>
      <c r="D2633" t="inlineStr">
        <is>
          <t>acd502dc52a068d7c4014af6d5dbcd11</t>
        </is>
      </c>
      <c r="E2633" t="inlineStr">
        <is>
          <t>social</t>
        </is>
      </c>
      <c r="F2633">
        <f>IFERROR(MATCH(A2633,Deals!$A$2:$A$843,0),"")</f>
        <v/>
      </c>
      <c r="G2633">
        <f>IF(F2633="",0,1)</f>
        <v/>
      </c>
      <c r="H2633" s="29">
        <f>IF(F2633="","",INDEX(Deals!$E$2:$E$843,F2633))</f>
        <v/>
      </c>
      <c r="I2633">
        <f>IF(F2633="","",INDEX(Deals!$D$2:$D$843,F2633))</f>
        <v/>
      </c>
      <c r="J2633">
        <f>IF(F2633="","",INT(H2633)-B2633)</f>
        <v/>
      </c>
      <c r="K2633">
        <f>IF(B2633&gt;=Settings!$C$5,1,0)</f>
        <v/>
      </c>
    </row>
    <row r="2634">
      <c r="A2634" t="inlineStr">
        <is>
          <t>e5d0a99e3684733914f594116839e0c2</t>
        </is>
      </c>
      <c r="B2634" s="29" t="n">
        <v>43112</v>
      </c>
      <c r="C2634" t="inlineStr">
        <is>
          <t>2018-01</t>
        </is>
      </c>
      <c r="D2634" t="inlineStr">
        <is>
          <t>b76ef37428e6799c421989521c0e5077</t>
        </is>
      </c>
      <c r="E2634" t="inlineStr">
        <is>
          <t>unknown</t>
        </is>
      </c>
      <c r="F2634">
        <f>IFERROR(MATCH(A2634,Deals!$A$2:$A$843,0),"")</f>
        <v/>
      </c>
      <c r="G2634">
        <f>IF(F2634="",0,1)</f>
        <v/>
      </c>
      <c r="H2634" s="29">
        <f>IF(F2634="","",INDEX(Deals!$E$2:$E$843,F2634))</f>
        <v/>
      </c>
      <c r="I2634">
        <f>IF(F2634="","",INDEX(Deals!$D$2:$D$843,F2634))</f>
        <v/>
      </c>
      <c r="J2634">
        <f>IF(F2634="","",INT(H2634)-B2634)</f>
        <v/>
      </c>
      <c r="K2634">
        <f>IF(B2634&gt;=Settings!$C$5,1,0)</f>
        <v/>
      </c>
    </row>
    <row r="2635">
      <c r="A2635" t="inlineStr">
        <is>
          <t>5d7f3ae5e70092e467df4fd3001215a5</t>
        </is>
      </c>
      <c r="B2635" s="29" t="n">
        <v>43216</v>
      </c>
      <c r="C2635" t="inlineStr">
        <is>
          <t>2018-04</t>
        </is>
      </c>
      <c r="D2635" t="inlineStr">
        <is>
          <t>e492ee5eaf1697716985cc6f33f9cd9b</t>
        </is>
      </c>
      <c r="E2635" t="inlineStr">
        <is>
          <t>organic_search</t>
        </is>
      </c>
      <c r="F2635">
        <f>IFERROR(MATCH(A2635,Deals!$A$2:$A$843,0),"")</f>
        <v/>
      </c>
      <c r="G2635">
        <f>IF(F2635="",0,1)</f>
        <v/>
      </c>
      <c r="H2635" s="29">
        <f>IF(F2635="","",INDEX(Deals!$E$2:$E$843,F2635))</f>
        <v/>
      </c>
      <c r="I2635">
        <f>IF(F2635="","",INDEX(Deals!$D$2:$D$843,F2635))</f>
        <v/>
      </c>
      <c r="J2635">
        <f>IF(F2635="","",INT(H2635)-B2635)</f>
        <v/>
      </c>
      <c r="K2635">
        <f>IF(B2635&gt;=Settings!$C$5,1,0)</f>
        <v/>
      </c>
    </row>
    <row r="2636">
      <c r="A2636" t="inlineStr">
        <is>
          <t>a07ee351d0b3e5104dc2777f647f52ea</t>
        </is>
      </c>
      <c r="B2636" s="29" t="n">
        <v>43171</v>
      </c>
      <c r="C2636" t="inlineStr">
        <is>
          <t>2018-03</t>
        </is>
      </c>
      <c r="D2636" t="inlineStr">
        <is>
          <t>241f79c7a8fe0270f4fb79fcbbcd17ad</t>
        </is>
      </c>
      <c r="E2636" t="inlineStr">
        <is>
          <t>paid_search</t>
        </is>
      </c>
      <c r="F2636">
        <f>IFERROR(MATCH(A2636,Deals!$A$2:$A$843,0),"")</f>
        <v/>
      </c>
      <c r="G2636">
        <f>IF(F2636="",0,1)</f>
        <v/>
      </c>
      <c r="H2636" s="29">
        <f>IF(F2636="","",INDEX(Deals!$E$2:$E$843,F2636))</f>
        <v/>
      </c>
      <c r="I2636">
        <f>IF(F2636="","",INDEX(Deals!$D$2:$D$843,F2636))</f>
        <v/>
      </c>
      <c r="J2636">
        <f>IF(F2636="","",INT(H2636)-B2636)</f>
        <v/>
      </c>
      <c r="K2636">
        <f>IF(B2636&gt;=Settings!$C$5,1,0)</f>
        <v/>
      </c>
    </row>
    <row r="2637">
      <c r="A2637" t="inlineStr">
        <is>
          <t>790d8fa56e05ff05080e6e66fae0272a</t>
        </is>
      </c>
      <c r="B2637" s="29" t="n">
        <v>43171</v>
      </c>
      <c r="C2637" t="inlineStr">
        <is>
          <t>2018-03</t>
        </is>
      </c>
      <c r="D2637" t="inlineStr">
        <is>
          <t>22c29808c4f815213303f8933030604c</t>
        </is>
      </c>
      <c r="E2637" t="inlineStr">
        <is>
          <t>organic_search</t>
        </is>
      </c>
      <c r="F2637">
        <f>IFERROR(MATCH(A2637,Deals!$A$2:$A$843,0),"")</f>
        <v/>
      </c>
      <c r="G2637">
        <f>IF(F2637="",0,1)</f>
        <v/>
      </c>
      <c r="H2637" s="29">
        <f>IF(F2637="","",INDEX(Deals!$E$2:$E$843,F2637))</f>
        <v/>
      </c>
      <c r="I2637">
        <f>IF(F2637="","",INDEX(Deals!$D$2:$D$843,F2637))</f>
        <v/>
      </c>
      <c r="J2637">
        <f>IF(F2637="","",INT(H2637)-B2637)</f>
        <v/>
      </c>
      <c r="K2637">
        <f>IF(B2637&gt;=Settings!$C$5,1,0)</f>
        <v/>
      </c>
    </row>
    <row r="2638">
      <c r="A2638" t="inlineStr">
        <is>
          <t>ea7a98942b8033462a7c54397555e842</t>
        </is>
      </c>
      <c r="B2638" s="29" t="n">
        <v>43194</v>
      </c>
      <c r="C2638" t="inlineStr">
        <is>
          <t>2018-04</t>
        </is>
      </c>
      <c r="D2638" t="inlineStr">
        <is>
          <t>22c29808c4f815213303f8933030604c</t>
        </is>
      </c>
      <c r="E2638" t="inlineStr">
        <is>
          <t>organic_search</t>
        </is>
      </c>
      <c r="F2638">
        <f>IFERROR(MATCH(A2638,Deals!$A$2:$A$843,0),"")</f>
        <v/>
      </c>
      <c r="G2638">
        <f>IF(F2638="",0,1)</f>
        <v/>
      </c>
      <c r="H2638" s="29">
        <f>IF(F2638="","",INDEX(Deals!$E$2:$E$843,F2638))</f>
        <v/>
      </c>
      <c r="I2638">
        <f>IF(F2638="","",INDEX(Deals!$D$2:$D$843,F2638))</f>
        <v/>
      </c>
      <c r="J2638">
        <f>IF(F2638="","",INT(H2638)-B2638)</f>
        <v/>
      </c>
      <c r="K2638">
        <f>IF(B2638&gt;=Settings!$C$5,1,0)</f>
        <v/>
      </c>
    </row>
    <row r="2639">
      <c r="A2639" t="inlineStr">
        <is>
          <t>4d94505c21dcf1b185fe555ef07c5ca5</t>
        </is>
      </c>
      <c r="B2639" s="29" t="n">
        <v>43018</v>
      </c>
      <c r="C2639" t="inlineStr">
        <is>
          <t>2017-10</t>
        </is>
      </c>
      <c r="D2639" t="inlineStr">
        <is>
          <t>65d9f9d71e562365e8b44037c2888d98</t>
        </is>
      </c>
      <c r="E2639" t="inlineStr">
        <is>
          <t>paid_search</t>
        </is>
      </c>
      <c r="F2639">
        <f>IFERROR(MATCH(A2639,Deals!$A$2:$A$843,0),"")</f>
        <v/>
      </c>
      <c r="G2639">
        <f>IF(F2639="",0,1)</f>
        <v/>
      </c>
      <c r="H2639" s="29">
        <f>IF(F2639="","",INDEX(Deals!$E$2:$E$843,F2639))</f>
        <v/>
      </c>
      <c r="I2639">
        <f>IF(F2639="","",INDEX(Deals!$D$2:$D$843,F2639))</f>
        <v/>
      </c>
      <c r="J2639">
        <f>IF(F2639="","",INT(H2639)-B2639)</f>
        <v/>
      </c>
      <c r="K2639">
        <f>IF(B2639&gt;=Settings!$C$5,1,0)</f>
        <v/>
      </c>
    </row>
    <row r="2640">
      <c r="A2640" t="inlineStr">
        <is>
          <t>102b91e75544875f2a482fe6f9fe18b6</t>
        </is>
      </c>
      <c r="B2640" s="29" t="n">
        <v>43158</v>
      </c>
      <c r="C2640" t="inlineStr">
        <is>
          <t>2018-02</t>
        </is>
      </c>
      <c r="D2640" t="inlineStr">
        <is>
          <t>b76ef37428e6799c421989521c0e5077</t>
        </is>
      </c>
      <c r="E2640" t="inlineStr">
        <is>
          <t>direct_traffic</t>
        </is>
      </c>
      <c r="F2640">
        <f>IFERROR(MATCH(A2640,Deals!$A$2:$A$843,0),"")</f>
        <v/>
      </c>
      <c r="G2640">
        <f>IF(F2640="",0,1)</f>
        <v/>
      </c>
      <c r="H2640" s="29">
        <f>IF(F2640="","",INDEX(Deals!$E$2:$E$843,F2640))</f>
        <v/>
      </c>
      <c r="I2640">
        <f>IF(F2640="","",INDEX(Deals!$D$2:$D$843,F2640))</f>
        <v/>
      </c>
      <c r="J2640">
        <f>IF(F2640="","",INT(H2640)-B2640)</f>
        <v/>
      </c>
      <c r="K2640">
        <f>IF(B2640&gt;=Settings!$C$5,1,0)</f>
        <v/>
      </c>
    </row>
    <row r="2641">
      <c r="A2641" t="inlineStr">
        <is>
          <t>0df6570042b58ec026e899f45b8e840a</t>
        </is>
      </c>
      <c r="B2641" s="29" t="n">
        <v>43235</v>
      </c>
      <c r="C2641" t="inlineStr">
        <is>
          <t>2018-05</t>
        </is>
      </c>
      <c r="D2641" t="inlineStr">
        <is>
          <t>35c9b150ab36fe584c1f24fd458c453a</t>
        </is>
      </c>
      <c r="E2641" t="inlineStr">
        <is>
          <t>paid_search</t>
        </is>
      </c>
      <c r="F2641">
        <f>IFERROR(MATCH(A2641,Deals!$A$2:$A$843,0),"")</f>
        <v/>
      </c>
      <c r="G2641">
        <f>IF(F2641="",0,1)</f>
        <v/>
      </c>
      <c r="H2641" s="29">
        <f>IF(F2641="","",INDEX(Deals!$E$2:$E$843,F2641))</f>
        <v/>
      </c>
      <c r="I2641">
        <f>IF(F2641="","",INDEX(Deals!$D$2:$D$843,F2641))</f>
        <v/>
      </c>
      <c r="J2641">
        <f>IF(F2641="","",INT(H2641)-B2641)</f>
        <v/>
      </c>
      <c r="K2641">
        <f>IF(B2641&gt;=Settings!$C$5,1,0)</f>
        <v/>
      </c>
    </row>
    <row r="2642">
      <c r="A2642" t="inlineStr">
        <is>
          <t>2fb795a41461f9664f41efb0c07e9461</t>
        </is>
      </c>
      <c r="B2642" s="29" t="n">
        <v>42991</v>
      </c>
      <c r="C2642" t="inlineStr">
        <is>
          <t>2017-09</t>
        </is>
      </c>
      <c r="D2642" t="inlineStr">
        <is>
          <t>b76ef37428e6799c421989521c0e5077</t>
        </is>
      </c>
      <c r="E2642" t="inlineStr">
        <is>
          <t>unknown</t>
        </is>
      </c>
      <c r="F2642">
        <f>IFERROR(MATCH(A2642,Deals!$A$2:$A$843,0),"")</f>
        <v/>
      </c>
      <c r="G2642">
        <f>IF(F2642="",0,1)</f>
        <v/>
      </c>
      <c r="H2642" s="29">
        <f>IF(F2642="","",INDEX(Deals!$E$2:$E$843,F2642))</f>
        <v/>
      </c>
      <c r="I2642">
        <f>IF(F2642="","",INDEX(Deals!$D$2:$D$843,F2642))</f>
        <v/>
      </c>
      <c r="J2642">
        <f>IF(F2642="","",INT(H2642)-B2642)</f>
        <v/>
      </c>
      <c r="K2642">
        <f>IF(B2642&gt;=Settings!$C$5,1,0)</f>
        <v/>
      </c>
    </row>
    <row r="2643">
      <c r="A2643" t="inlineStr">
        <is>
          <t>f4058a5d761d71d61086fcad052b5240</t>
        </is>
      </c>
      <c r="B2643" s="29" t="n">
        <v>43130</v>
      </c>
      <c r="C2643" t="inlineStr">
        <is>
          <t>2018-01</t>
        </is>
      </c>
      <c r="D2643" t="inlineStr">
        <is>
          <t>4e82dd1f6d00626bda0723eef0a269a6</t>
        </is>
      </c>
      <c r="E2643" t="inlineStr">
        <is>
          <t>organic_search</t>
        </is>
      </c>
      <c r="F2643">
        <f>IFERROR(MATCH(A2643,Deals!$A$2:$A$843,0),"")</f>
        <v/>
      </c>
      <c r="G2643">
        <f>IF(F2643="",0,1)</f>
        <v/>
      </c>
      <c r="H2643" s="29">
        <f>IF(F2643="","",INDEX(Deals!$E$2:$E$843,F2643))</f>
        <v/>
      </c>
      <c r="I2643">
        <f>IF(F2643="","",INDEX(Deals!$D$2:$D$843,F2643))</f>
        <v/>
      </c>
      <c r="J2643">
        <f>IF(F2643="","",INT(H2643)-B2643)</f>
        <v/>
      </c>
      <c r="K2643">
        <f>IF(B2643&gt;=Settings!$C$5,1,0)</f>
        <v/>
      </c>
    </row>
    <row r="2644">
      <c r="A2644" t="inlineStr">
        <is>
          <t>04e7a0ec8d1e93cc858d552490a56bcf</t>
        </is>
      </c>
      <c r="B2644" s="29" t="n">
        <v>43053</v>
      </c>
      <c r="C2644" t="inlineStr">
        <is>
          <t>2017-11</t>
        </is>
      </c>
      <c r="D2644" t="inlineStr">
        <is>
          <t>8d25d9ae4ed5f78b8614b81350173e99</t>
        </is>
      </c>
      <c r="E2644" t="inlineStr">
        <is>
          <t>other_publicities</t>
        </is>
      </c>
      <c r="F2644">
        <f>IFERROR(MATCH(A2644,Deals!$A$2:$A$843,0),"")</f>
        <v/>
      </c>
      <c r="G2644">
        <f>IF(F2644="",0,1)</f>
        <v/>
      </c>
      <c r="H2644" s="29">
        <f>IF(F2644="","",INDEX(Deals!$E$2:$E$843,F2644))</f>
        <v/>
      </c>
      <c r="I2644">
        <f>IF(F2644="","",INDEX(Deals!$D$2:$D$843,F2644))</f>
        <v/>
      </c>
      <c r="J2644">
        <f>IF(F2644="","",INT(H2644)-B2644)</f>
        <v/>
      </c>
      <c r="K2644">
        <f>IF(B2644&gt;=Settings!$C$5,1,0)</f>
        <v/>
      </c>
    </row>
    <row r="2645">
      <c r="A2645" t="inlineStr">
        <is>
          <t>15166d5c89154c879fb5d866fa9708d7</t>
        </is>
      </c>
      <c r="B2645" s="29" t="n">
        <v>43172</v>
      </c>
      <c r="C2645" t="inlineStr">
        <is>
          <t>2018-03</t>
        </is>
      </c>
      <c r="D2645" t="inlineStr">
        <is>
          <t>daa9619c6f8ed06d059265dca0f9257f</t>
        </is>
      </c>
      <c r="E2645" t="inlineStr">
        <is>
          <t>email</t>
        </is>
      </c>
      <c r="F2645">
        <f>IFERROR(MATCH(A2645,Deals!$A$2:$A$843,0),"")</f>
        <v/>
      </c>
      <c r="G2645">
        <f>IF(F2645="",0,1)</f>
        <v/>
      </c>
      <c r="H2645" s="29">
        <f>IF(F2645="","",INDEX(Deals!$E$2:$E$843,F2645))</f>
        <v/>
      </c>
      <c r="I2645">
        <f>IF(F2645="","",INDEX(Deals!$D$2:$D$843,F2645))</f>
        <v/>
      </c>
      <c r="J2645">
        <f>IF(F2645="","",INT(H2645)-B2645)</f>
        <v/>
      </c>
      <c r="K2645">
        <f>IF(B2645&gt;=Settings!$C$5,1,0)</f>
        <v/>
      </c>
    </row>
    <row r="2646">
      <c r="A2646" t="inlineStr">
        <is>
          <t>e723a81a98983a235ca76982097868df</t>
        </is>
      </c>
      <c r="B2646" s="29" t="n">
        <v>43222</v>
      </c>
      <c r="C2646" t="inlineStr">
        <is>
          <t>2018-05</t>
        </is>
      </c>
      <c r="D2646" t="inlineStr">
        <is>
          <t>58326e62183c14b0c03085c33b9fdc44</t>
        </is>
      </c>
      <c r="E2646" t="inlineStr">
        <is>
          <t>social</t>
        </is>
      </c>
      <c r="F2646">
        <f>IFERROR(MATCH(A2646,Deals!$A$2:$A$843,0),"")</f>
        <v/>
      </c>
      <c r="G2646">
        <f>IF(F2646="",0,1)</f>
        <v/>
      </c>
      <c r="H2646" s="29">
        <f>IF(F2646="","",INDEX(Deals!$E$2:$E$843,F2646))</f>
        <v/>
      </c>
      <c r="I2646">
        <f>IF(F2646="","",INDEX(Deals!$D$2:$D$843,F2646))</f>
        <v/>
      </c>
      <c r="J2646">
        <f>IF(F2646="","",INT(H2646)-B2646)</f>
        <v/>
      </c>
      <c r="K2646">
        <f>IF(B2646&gt;=Settings!$C$5,1,0)</f>
        <v/>
      </c>
    </row>
    <row r="2647">
      <c r="A2647" t="inlineStr">
        <is>
          <t>ce10b99820f24fb3dc769a4f9fb67672</t>
        </is>
      </c>
      <c r="B2647" s="29" t="n">
        <v>43202</v>
      </c>
      <c r="C2647" t="inlineStr">
        <is>
          <t>2018-04</t>
        </is>
      </c>
      <c r="D2647" t="inlineStr">
        <is>
          <t>73fec6021437e723ff5adae8dff89e23</t>
        </is>
      </c>
      <c r="E2647" t="inlineStr">
        <is>
          <t>social</t>
        </is>
      </c>
      <c r="F2647">
        <f>IFERROR(MATCH(A2647,Deals!$A$2:$A$843,0),"")</f>
        <v/>
      </c>
      <c r="G2647">
        <f>IF(F2647="",0,1)</f>
        <v/>
      </c>
      <c r="H2647" s="29">
        <f>IF(F2647="","",INDEX(Deals!$E$2:$E$843,F2647))</f>
        <v/>
      </c>
      <c r="I2647">
        <f>IF(F2647="","",INDEX(Deals!$D$2:$D$843,F2647))</f>
        <v/>
      </c>
      <c r="J2647">
        <f>IF(F2647="","",INT(H2647)-B2647)</f>
        <v/>
      </c>
      <c r="K2647">
        <f>IF(B2647&gt;=Settings!$C$5,1,0)</f>
        <v/>
      </c>
    </row>
    <row r="2648">
      <c r="A2648" t="inlineStr">
        <is>
          <t>0c117e6a0b3f700bd997a11500a5c2e2</t>
        </is>
      </c>
      <c r="B2648" s="29" t="n">
        <v>43164</v>
      </c>
      <c r="C2648" t="inlineStr">
        <is>
          <t>2018-03</t>
        </is>
      </c>
      <c r="D2648" t="inlineStr">
        <is>
          <t>22c29808c4f815213303f8933030604c</t>
        </is>
      </c>
      <c r="E2648" t="inlineStr">
        <is>
          <t>organic_search</t>
        </is>
      </c>
      <c r="F2648">
        <f>IFERROR(MATCH(A2648,Deals!$A$2:$A$843,0),"")</f>
        <v/>
      </c>
      <c r="G2648">
        <f>IF(F2648="",0,1)</f>
        <v/>
      </c>
      <c r="H2648" s="29">
        <f>IF(F2648="","",INDEX(Deals!$E$2:$E$843,F2648))</f>
        <v/>
      </c>
      <c r="I2648">
        <f>IF(F2648="","",INDEX(Deals!$D$2:$D$843,F2648))</f>
        <v/>
      </c>
      <c r="J2648">
        <f>IF(F2648="","",INT(H2648)-B2648)</f>
        <v/>
      </c>
      <c r="K2648">
        <f>IF(B2648&gt;=Settings!$C$5,1,0)</f>
        <v/>
      </c>
    </row>
    <row r="2649">
      <c r="A2649" t="inlineStr">
        <is>
          <t>d750e19732486e9e38f209862486c1cc</t>
        </is>
      </c>
      <c r="B2649" s="29" t="n">
        <v>43060</v>
      </c>
      <c r="C2649" t="inlineStr">
        <is>
          <t>2017-11</t>
        </is>
      </c>
      <c r="D2649" t="inlineStr">
        <is>
          <t>1722481ac9e5371e5099dea226b5421d</t>
        </is>
      </c>
      <c r="E2649" t="inlineStr">
        <is>
          <t>unknown</t>
        </is>
      </c>
      <c r="F2649">
        <f>IFERROR(MATCH(A2649,Deals!$A$2:$A$843,0),"")</f>
        <v/>
      </c>
      <c r="G2649">
        <f>IF(F2649="",0,1)</f>
        <v/>
      </c>
      <c r="H2649" s="29">
        <f>IF(F2649="","",INDEX(Deals!$E$2:$E$843,F2649))</f>
        <v/>
      </c>
      <c r="I2649">
        <f>IF(F2649="","",INDEX(Deals!$D$2:$D$843,F2649))</f>
        <v/>
      </c>
      <c r="J2649">
        <f>IF(F2649="","",INT(H2649)-B2649)</f>
        <v/>
      </c>
      <c r="K2649">
        <f>IF(B2649&gt;=Settings!$C$5,1,0)</f>
        <v/>
      </c>
    </row>
    <row r="2650">
      <c r="A2650" t="inlineStr">
        <is>
          <t>68fa8bc4c8b50ad66a583462a1c684e4</t>
        </is>
      </c>
      <c r="B2650" s="29" t="n">
        <v>43153</v>
      </c>
      <c r="C2650" t="inlineStr">
        <is>
          <t>2018-02</t>
        </is>
      </c>
      <c r="D2650" t="inlineStr">
        <is>
          <t>1722481ac9e5371e5099dea226b5421d</t>
        </is>
      </c>
      <c r="E2650" t="inlineStr">
        <is>
          <t>organic_search</t>
        </is>
      </c>
      <c r="F2650">
        <f>IFERROR(MATCH(A2650,Deals!$A$2:$A$843,0),"")</f>
        <v/>
      </c>
      <c r="G2650">
        <f>IF(F2650="",0,1)</f>
        <v/>
      </c>
      <c r="H2650" s="29">
        <f>IF(F2650="","",INDEX(Deals!$E$2:$E$843,F2650))</f>
        <v/>
      </c>
      <c r="I2650">
        <f>IF(F2650="","",INDEX(Deals!$D$2:$D$843,F2650))</f>
        <v/>
      </c>
      <c r="J2650">
        <f>IF(F2650="","",INT(H2650)-B2650)</f>
        <v/>
      </c>
      <c r="K2650">
        <f>IF(B2650&gt;=Settings!$C$5,1,0)</f>
        <v/>
      </c>
    </row>
    <row r="2651">
      <c r="A2651" t="inlineStr">
        <is>
          <t>5ae48b4c96448759db40185ccec22661</t>
        </is>
      </c>
      <c r="B2651" s="29" t="n">
        <v>42948</v>
      </c>
      <c r="C2651" t="inlineStr">
        <is>
          <t>2017-08</t>
        </is>
      </c>
      <c r="D2651" t="inlineStr">
        <is>
          <t>3b86d7e8c33da2767ad2af9782f383d5</t>
        </is>
      </c>
      <c r="E2651" t="inlineStr">
        <is>
          <t>email</t>
        </is>
      </c>
      <c r="F2651">
        <f>IFERROR(MATCH(A2651,Deals!$A$2:$A$843,0),"")</f>
        <v/>
      </c>
      <c r="G2651">
        <f>IF(F2651="",0,1)</f>
        <v/>
      </c>
      <c r="H2651" s="29">
        <f>IF(F2651="","",INDEX(Deals!$E$2:$E$843,F2651))</f>
        <v/>
      </c>
      <c r="I2651">
        <f>IF(F2651="","",INDEX(Deals!$D$2:$D$843,F2651))</f>
        <v/>
      </c>
      <c r="J2651">
        <f>IF(F2651="","",INT(H2651)-B2651)</f>
        <v/>
      </c>
      <c r="K2651">
        <f>IF(B2651&gt;=Settings!$C$5,1,0)</f>
        <v/>
      </c>
    </row>
    <row r="2652">
      <c r="A2652" t="inlineStr">
        <is>
          <t>593b67e33629da61d6b95433e2db89a1</t>
        </is>
      </c>
      <c r="B2652" s="29" t="n">
        <v>43003</v>
      </c>
      <c r="C2652" t="inlineStr">
        <is>
          <t>2017-09</t>
        </is>
      </c>
      <c r="D2652" t="inlineStr">
        <is>
          <t>87732658ba41d8775e8577df347a64db</t>
        </is>
      </c>
      <c r="E2652" t="inlineStr">
        <is>
          <t>social</t>
        </is>
      </c>
      <c r="F2652">
        <f>IFERROR(MATCH(A2652,Deals!$A$2:$A$843,0),"")</f>
        <v/>
      </c>
      <c r="G2652">
        <f>IF(F2652="",0,1)</f>
        <v/>
      </c>
      <c r="H2652" s="29">
        <f>IF(F2652="","",INDEX(Deals!$E$2:$E$843,F2652))</f>
        <v/>
      </c>
      <c r="I2652">
        <f>IF(F2652="","",INDEX(Deals!$D$2:$D$843,F2652))</f>
        <v/>
      </c>
      <c r="J2652">
        <f>IF(F2652="","",INT(H2652)-B2652)</f>
        <v/>
      </c>
      <c r="K2652">
        <f>IF(B2652&gt;=Settings!$C$5,1,0)</f>
        <v/>
      </c>
    </row>
    <row r="2653">
      <c r="A2653" t="inlineStr">
        <is>
          <t>f63882d3bda05f2da7b8127a2b308364</t>
        </is>
      </c>
      <c r="B2653" s="29" t="n">
        <v>43096</v>
      </c>
      <c r="C2653" t="inlineStr">
        <is>
          <t>2017-12</t>
        </is>
      </c>
      <c r="D2653" t="inlineStr">
        <is>
          <t>22c29808c4f815213303f8933030604c</t>
        </is>
      </c>
      <c r="E2653" t="inlineStr">
        <is>
          <t>organic_search</t>
        </is>
      </c>
      <c r="F2653">
        <f>IFERROR(MATCH(A2653,Deals!$A$2:$A$843,0),"")</f>
        <v/>
      </c>
      <c r="G2653">
        <f>IF(F2653="",0,1)</f>
        <v/>
      </c>
      <c r="H2653" s="29">
        <f>IF(F2653="","",INDEX(Deals!$E$2:$E$843,F2653))</f>
        <v/>
      </c>
      <c r="I2653">
        <f>IF(F2653="","",INDEX(Deals!$D$2:$D$843,F2653))</f>
        <v/>
      </c>
      <c r="J2653">
        <f>IF(F2653="","",INT(H2653)-B2653)</f>
        <v/>
      </c>
      <c r="K2653">
        <f>IF(B2653&gt;=Settings!$C$5,1,0)</f>
        <v/>
      </c>
    </row>
    <row r="2654">
      <c r="A2654" t="inlineStr">
        <is>
          <t>c9c9f8e41433ff4ad15aa577a465e599</t>
        </is>
      </c>
      <c r="B2654" s="29" t="n">
        <v>43209</v>
      </c>
      <c r="C2654" t="inlineStr">
        <is>
          <t>2018-04</t>
        </is>
      </c>
      <c r="D2654" t="inlineStr">
        <is>
          <t>58326e62183c14b0c03085c33b9fdc44</t>
        </is>
      </c>
      <c r="E2654" t="inlineStr">
        <is>
          <t>social</t>
        </is>
      </c>
      <c r="F2654">
        <f>IFERROR(MATCH(A2654,Deals!$A$2:$A$843,0),"")</f>
        <v/>
      </c>
      <c r="G2654">
        <f>IF(F2654="",0,1)</f>
        <v/>
      </c>
      <c r="H2654" s="29">
        <f>IF(F2654="","",INDEX(Deals!$E$2:$E$843,F2654))</f>
        <v/>
      </c>
      <c r="I2654">
        <f>IF(F2654="","",INDEX(Deals!$D$2:$D$843,F2654))</f>
        <v/>
      </c>
      <c r="J2654">
        <f>IF(F2654="","",INT(H2654)-B2654)</f>
        <v/>
      </c>
      <c r="K2654">
        <f>IF(B2654&gt;=Settings!$C$5,1,0)</f>
        <v/>
      </c>
    </row>
    <row r="2655">
      <c r="A2655" t="inlineStr">
        <is>
          <t>7e77ed13c0304ebec4e12f5beb25c3b4</t>
        </is>
      </c>
      <c r="B2655" s="29" t="n">
        <v>43151</v>
      </c>
      <c r="C2655" t="inlineStr">
        <is>
          <t>2018-02</t>
        </is>
      </c>
      <c r="D2655" t="inlineStr">
        <is>
          <t>5209e2e679d32a6619feb6942702fd14</t>
        </is>
      </c>
      <c r="E2655" t="inlineStr">
        <is>
          <t>organic_search</t>
        </is>
      </c>
      <c r="F2655">
        <f>IFERROR(MATCH(A2655,Deals!$A$2:$A$843,0),"")</f>
        <v/>
      </c>
      <c r="G2655">
        <f>IF(F2655="",0,1)</f>
        <v/>
      </c>
      <c r="H2655" s="29">
        <f>IF(F2655="","",INDEX(Deals!$E$2:$E$843,F2655))</f>
        <v/>
      </c>
      <c r="I2655">
        <f>IF(F2655="","",INDEX(Deals!$D$2:$D$843,F2655))</f>
        <v/>
      </c>
      <c r="J2655">
        <f>IF(F2655="","",INT(H2655)-B2655)</f>
        <v/>
      </c>
      <c r="K2655">
        <f>IF(B2655&gt;=Settings!$C$5,1,0)</f>
        <v/>
      </c>
    </row>
    <row r="2656">
      <c r="A2656" t="inlineStr">
        <is>
          <t>036efd498a7ed0c32b04e1d663965bd9</t>
        </is>
      </c>
      <c r="B2656" s="29" t="n">
        <v>43182</v>
      </c>
      <c r="C2656" t="inlineStr">
        <is>
          <t>2018-03</t>
        </is>
      </c>
      <c r="D2656" t="inlineStr">
        <is>
          <t>cf747f07a385ddb157f79df52898ab14</t>
        </is>
      </c>
      <c r="E2656" t="inlineStr">
        <is>
          <t>direct_traffic</t>
        </is>
      </c>
      <c r="F2656">
        <f>IFERROR(MATCH(A2656,Deals!$A$2:$A$843,0),"")</f>
        <v/>
      </c>
      <c r="G2656">
        <f>IF(F2656="",0,1)</f>
        <v/>
      </c>
      <c r="H2656" s="29">
        <f>IF(F2656="","",INDEX(Deals!$E$2:$E$843,F2656))</f>
        <v/>
      </c>
      <c r="I2656">
        <f>IF(F2656="","",INDEX(Deals!$D$2:$D$843,F2656))</f>
        <v/>
      </c>
      <c r="J2656">
        <f>IF(F2656="","",INT(H2656)-B2656)</f>
        <v/>
      </c>
      <c r="K2656">
        <f>IF(B2656&gt;=Settings!$C$5,1,0)</f>
        <v/>
      </c>
    </row>
    <row r="2657">
      <c r="A2657" t="inlineStr">
        <is>
          <t>b240984b4cc0f84615308bf708df6516</t>
        </is>
      </c>
      <c r="B2657" s="29" t="n">
        <v>43154</v>
      </c>
      <c r="C2657" t="inlineStr">
        <is>
          <t>2018-02</t>
        </is>
      </c>
      <c r="D2657" t="inlineStr">
        <is>
          <t>6d45066876e395f8fe89add37704b90d</t>
        </is>
      </c>
      <c r="E2657" t="inlineStr">
        <is>
          <t>direct_traffic</t>
        </is>
      </c>
      <c r="F2657">
        <f>IFERROR(MATCH(A2657,Deals!$A$2:$A$843,0),"")</f>
        <v/>
      </c>
      <c r="G2657">
        <f>IF(F2657="",0,1)</f>
        <v/>
      </c>
      <c r="H2657" s="29">
        <f>IF(F2657="","",INDEX(Deals!$E$2:$E$843,F2657))</f>
        <v/>
      </c>
      <c r="I2657">
        <f>IF(F2657="","",INDEX(Deals!$D$2:$D$843,F2657))</f>
        <v/>
      </c>
      <c r="J2657">
        <f>IF(F2657="","",INT(H2657)-B2657)</f>
        <v/>
      </c>
      <c r="K2657">
        <f>IF(B2657&gt;=Settings!$C$5,1,0)</f>
        <v/>
      </c>
    </row>
    <row r="2658">
      <c r="A2658" t="inlineStr">
        <is>
          <t>d7c07a4975a495b6f48b5bd597797366</t>
        </is>
      </c>
      <c r="B2658" s="29" t="n">
        <v>43235</v>
      </c>
      <c r="C2658" t="inlineStr">
        <is>
          <t>2018-05</t>
        </is>
      </c>
      <c r="D2658" t="inlineStr">
        <is>
          <t>58326e62183c14b0c03085c33b9fdc44</t>
        </is>
      </c>
      <c r="E2658" t="inlineStr">
        <is>
          <t>social</t>
        </is>
      </c>
      <c r="F2658">
        <f>IFERROR(MATCH(A2658,Deals!$A$2:$A$843,0),"")</f>
        <v/>
      </c>
      <c r="G2658">
        <f>IF(F2658="",0,1)</f>
        <v/>
      </c>
      <c r="H2658" s="29">
        <f>IF(F2658="","",INDEX(Deals!$E$2:$E$843,F2658))</f>
        <v/>
      </c>
      <c r="I2658">
        <f>IF(F2658="","",INDEX(Deals!$D$2:$D$843,F2658))</f>
        <v/>
      </c>
      <c r="J2658">
        <f>IF(F2658="","",INT(H2658)-B2658)</f>
        <v/>
      </c>
      <c r="K2658">
        <f>IF(B2658&gt;=Settings!$C$5,1,0)</f>
        <v/>
      </c>
    </row>
    <row r="2659">
      <c r="A2659" t="inlineStr">
        <is>
          <t>25d55323f4e0a8da13ad296f41c8c574</t>
        </is>
      </c>
      <c r="B2659" s="29" t="n">
        <v>43159</v>
      </c>
      <c r="C2659" t="inlineStr">
        <is>
          <t>2018-02</t>
        </is>
      </c>
      <c r="D2659" t="inlineStr">
        <is>
          <t>b76ef37428e6799c421989521c0e5077</t>
        </is>
      </c>
      <c r="E2659" t="inlineStr">
        <is>
          <t>unknown</t>
        </is>
      </c>
      <c r="F2659">
        <f>IFERROR(MATCH(A2659,Deals!$A$2:$A$843,0),"")</f>
        <v/>
      </c>
      <c r="G2659">
        <f>IF(F2659="",0,1)</f>
        <v/>
      </c>
      <c r="H2659" s="29">
        <f>IF(F2659="","",INDEX(Deals!$E$2:$E$843,F2659))</f>
        <v/>
      </c>
      <c r="I2659">
        <f>IF(F2659="","",INDEX(Deals!$D$2:$D$843,F2659))</f>
        <v/>
      </c>
      <c r="J2659">
        <f>IF(F2659="","",INT(H2659)-B2659)</f>
        <v/>
      </c>
      <c r="K2659">
        <f>IF(B2659&gt;=Settings!$C$5,1,0)</f>
        <v/>
      </c>
    </row>
    <row r="2660">
      <c r="A2660" t="inlineStr">
        <is>
          <t>01478c73428e40a234730b5096efce0d</t>
        </is>
      </c>
      <c r="B2660" s="29" t="n">
        <v>43067</v>
      </c>
      <c r="C2660" t="inlineStr">
        <is>
          <t>2017-11</t>
        </is>
      </c>
      <c r="D2660" t="inlineStr">
        <is>
          <t>15cf89bab2c3163b4f9d8601d108f8b2</t>
        </is>
      </c>
      <c r="E2660" t="inlineStr">
        <is>
          <t>unknown</t>
        </is>
      </c>
      <c r="F2660">
        <f>IFERROR(MATCH(A2660,Deals!$A$2:$A$843,0),"")</f>
        <v/>
      </c>
      <c r="G2660">
        <f>IF(F2660="",0,1)</f>
        <v/>
      </c>
      <c r="H2660" s="29">
        <f>IF(F2660="","",INDEX(Deals!$E$2:$E$843,F2660))</f>
        <v/>
      </c>
      <c r="I2660">
        <f>IF(F2660="","",INDEX(Deals!$D$2:$D$843,F2660))</f>
        <v/>
      </c>
      <c r="J2660">
        <f>IF(F2660="","",INT(H2660)-B2660)</f>
        <v/>
      </c>
      <c r="K2660">
        <f>IF(B2660&gt;=Settings!$C$5,1,0)</f>
        <v/>
      </c>
    </row>
    <row r="2661">
      <c r="A2661" t="inlineStr">
        <is>
          <t>ad0e1110d4470fa5d4b1481688337b26</t>
        </is>
      </c>
      <c r="B2661" s="29" t="n">
        <v>43132</v>
      </c>
      <c r="C2661" t="inlineStr">
        <is>
          <t>2018-02</t>
        </is>
      </c>
      <c r="D2661" t="inlineStr">
        <is>
          <t>b76ef37428e6799c421989521c0e5077</t>
        </is>
      </c>
      <c r="E2661" t="inlineStr">
        <is>
          <t>organic_search</t>
        </is>
      </c>
      <c r="F2661">
        <f>IFERROR(MATCH(A2661,Deals!$A$2:$A$843,0),"")</f>
        <v/>
      </c>
      <c r="G2661">
        <f>IF(F2661="",0,1)</f>
        <v/>
      </c>
      <c r="H2661" s="29">
        <f>IF(F2661="","",INDEX(Deals!$E$2:$E$843,F2661))</f>
        <v/>
      </c>
      <c r="I2661">
        <f>IF(F2661="","",INDEX(Deals!$D$2:$D$843,F2661))</f>
        <v/>
      </c>
      <c r="J2661">
        <f>IF(F2661="","",INT(H2661)-B2661)</f>
        <v/>
      </c>
      <c r="K2661">
        <f>IF(B2661&gt;=Settings!$C$5,1,0)</f>
        <v/>
      </c>
    </row>
    <row r="2662">
      <c r="A2662" t="inlineStr">
        <is>
          <t>f9fb432b73278bb1b3d13dd41f30cf8e</t>
        </is>
      </c>
      <c r="B2662" s="29" t="n">
        <v>43152</v>
      </c>
      <c r="C2662" t="inlineStr">
        <is>
          <t>2018-02</t>
        </is>
      </c>
      <c r="D2662" t="inlineStr">
        <is>
          <t>65d9f9d71e562365e8b44037c2888d98</t>
        </is>
      </c>
      <c r="E2662" t="inlineStr">
        <is>
          <t>unknown</t>
        </is>
      </c>
      <c r="F2662">
        <f>IFERROR(MATCH(A2662,Deals!$A$2:$A$843,0),"")</f>
        <v/>
      </c>
      <c r="G2662">
        <f>IF(F2662="",0,1)</f>
        <v/>
      </c>
      <c r="H2662" s="29">
        <f>IF(F2662="","",INDEX(Deals!$E$2:$E$843,F2662))</f>
        <v/>
      </c>
      <c r="I2662">
        <f>IF(F2662="","",INDEX(Deals!$D$2:$D$843,F2662))</f>
        <v/>
      </c>
      <c r="J2662">
        <f>IF(F2662="","",INT(H2662)-B2662)</f>
        <v/>
      </c>
      <c r="K2662">
        <f>IF(B2662&gt;=Settings!$C$5,1,0)</f>
        <v/>
      </c>
    </row>
    <row r="2663">
      <c r="A2663" t="inlineStr">
        <is>
          <t>31fbbf027ddf70f3db56c2382758d9c9</t>
        </is>
      </c>
      <c r="B2663" s="29" t="n">
        <v>42975</v>
      </c>
      <c r="C2663" t="inlineStr">
        <is>
          <t>2017-08</t>
        </is>
      </c>
      <c r="D2663" t="inlineStr">
        <is>
          <t>f017be4dbf86243af5c1ebed0cff36a2</t>
        </is>
      </c>
      <c r="E2663" t="inlineStr">
        <is>
          <t>organic_search</t>
        </is>
      </c>
      <c r="F2663">
        <f>IFERROR(MATCH(A2663,Deals!$A$2:$A$843,0),"")</f>
        <v/>
      </c>
      <c r="G2663">
        <f>IF(F2663="",0,1)</f>
        <v/>
      </c>
      <c r="H2663" s="29">
        <f>IF(F2663="","",INDEX(Deals!$E$2:$E$843,F2663))</f>
        <v/>
      </c>
      <c r="I2663">
        <f>IF(F2663="","",INDEX(Deals!$D$2:$D$843,F2663))</f>
        <v/>
      </c>
      <c r="J2663">
        <f>IF(F2663="","",INT(H2663)-B2663)</f>
        <v/>
      </c>
      <c r="K2663">
        <f>IF(B2663&gt;=Settings!$C$5,1,0)</f>
        <v/>
      </c>
    </row>
    <row r="2664">
      <c r="A2664" t="inlineStr">
        <is>
          <t>87876ca731b4c56b3f48110c953e0401</t>
        </is>
      </c>
      <c r="B2664" s="29" t="n">
        <v>43150</v>
      </c>
      <c r="C2664" t="inlineStr">
        <is>
          <t>2018-02</t>
        </is>
      </c>
      <c r="D2664" t="inlineStr">
        <is>
          <t>f98c2bd96ac4a5d9476734e790c91384</t>
        </is>
      </c>
      <c r="E2664" t="inlineStr">
        <is>
          <t>direct_traffic</t>
        </is>
      </c>
      <c r="F2664">
        <f>IFERROR(MATCH(A2664,Deals!$A$2:$A$843,0),"")</f>
        <v/>
      </c>
      <c r="G2664">
        <f>IF(F2664="",0,1)</f>
        <v/>
      </c>
      <c r="H2664" s="29">
        <f>IF(F2664="","",INDEX(Deals!$E$2:$E$843,F2664))</f>
        <v/>
      </c>
      <c r="I2664">
        <f>IF(F2664="","",INDEX(Deals!$D$2:$D$843,F2664))</f>
        <v/>
      </c>
      <c r="J2664">
        <f>IF(F2664="","",INT(H2664)-B2664)</f>
        <v/>
      </c>
      <c r="K2664">
        <f>IF(B2664&gt;=Settings!$C$5,1,0)</f>
        <v/>
      </c>
    </row>
    <row r="2665">
      <c r="A2665" t="inlineStr">
        <is>
          <t>40ca42a23b5d855b75f16932e8509b2a</t>
        </is>
      </c>
      <c r="B2665" s="29" t="n">
        <v>43224</v>
      </c>
      <c r="C2665" t="inlineStr">
        <is>
          <t>2018-05</t>
        </is>
      </c>
      <c r="D2665" t="inlineStr">
        <is>
          <t>58326e62183c14b0c03085c33b9fdc44</t>
        </is>
      </c>
      <c r="E2665" t="inlineStr">
        <is>
          <t>social</t>
        </is>
      </c>
      <c r="F2665">
        <f>IFERROR(MATCH(A2665,Deals!$A$2:$A$843,0),"")</f>
        <v/>
      </c>
      <c r="G2665">
        <f>IF(F2665="",0,1)</f>
        <v/>
      </c>
      <c r="H2665" s="29">
        <f>IF(F2665="","",INDEX(Deals!$E$2:$E$843,F2665))</f>
        <v/>
      </c>
      <c r="I2665">
        <f>IF(F2665="","",INDEX(Deals!$D$2:$D$843,F2665))</f>
        <v/>
      </c>
      <c r="J2665">
        <f>IF(F2665="","",INT(H2665)-B2665)</f>
        <v/>
      </c>
      <c r="K2665">
        <f>IF(B2665&gt;=Settings!$C$5,1,0)</f>
        <v/>
      </c>
    </row>
    <row r="2666">
      <c r="A2666" t="inlineStr">
        <is>
          <t>3461d99a30c72933c66cac4f1c02bd14</t>
        </is>
      </c>
      <c r="B2666" s="29" t="n">
        <v>43161</v>
      </c>
      <c r="C2666" t="inlineStr">
        <is>
          <t>2018-03</t>
        </is>
      </c>
      <c r="D2666" t="inlineStr">
        <is>
          <t>b76ef37428e6799c421989521c0e5077</t>
        </is>
      </c>
      <c r="E2666" t="inlineStr">
        <is>
          <t>unknown</t>
        </is>
      </c>
      <c r="F2666">
        <f>IFERROR(MATCH(A2666,Deals!$A$2:$A$843,0),"")</f>
        <v/>
      </c>
      <c r="G2666">
        <f>IF(F2666="",0,1)</f>
        <v/>
      </c>
      <c r="H2666" s="29">
        <f>IF(F2666="","",INDEX(Deals!$E$2:$E$843,F2666))</f>
        <v/>
      </c>
      <c r="I2666">
        <f>IF(F2666="","",INDEX(Deals!$D$2:$D$843,F2666))</f>
        <v/>
      </c>
      <c r="J2666">
        <f>IF(F2666="","",INT(H2666)-B2666)</f>
        <v/>
      </c>
      <c r="K2666">
        <f>IF(B2666&gt;=Settings!$C$5,1,0)</f>
        <v/>
      </c>
    </row>
    <row r="2667">
      <c r="A2667" t="inlineStr">
        <is>
          <t>3f471e0e587a9e83b568eb6759d1fa15</t>
        </is>
      </c>
      <c r="B2667" s="29" t="n">
        <v>43232</v>
      </c>
      <c r="C2667" t="inlineStr">
        <is>
          <t>2018-05</t>
        </is>
      </c>
      <c r="D2667" t="inlineStr">
        <is>
          <t>58326e62183c14b0c03085c33b9fdc44</t>
        </is>
      </c>
      <c r="E2667" t="inlineStr">
        <is>
          <t>social</t>
        </is>
      </c>
      <c r="F2667">
        <f>IFERROR(MATCH(A2667,Deals!$A$2:$A$843,0),"")</f>
        <v/>
      </c>
      <c r="G2667">
        <f>IF(F2667="",0,1)</f>
        <v/>
      </c>
      <c r="H2667" s="29">
        <f>IF(F2667="","",INDEX(Deals!$E$2:$E$843,F2667))</f>
        <v/>
      </c>
      <c r="I2667">
        <f>IF(F2667="","",INDEX(Deals!$D$2:$D$843,F2667))</f>
        <v/>
      </c>
      <c r="J2667">
        <f>IF(F2667="","",INT(H2667)-B2667)</f>
        <v/>
      </c>
      <c r="K2667">
        <f>IF(B2667&gt;=Settings!$C$5,1,0)</f>
        <v/>
      </c>
    </row>
    <row r="2668">
      <c r="A2668" t="inlineStr">
        <is>
          <t>10164f723a34e25cd518da38b02af653</t>
        </is>
      </c>
      <c r="B2668" s="29" t="n">
        <v>42930</v>
      </c>
      <c r="C2668" t="inlineStr">
        <is>
          <t>2017-07</t>
        </is>
      </c>
      <c r="D2668" t="inlineStr">
        <is>
          <t>aa8af3ebe14831a7cd1b6d1383a03755</t>
        </is>
      </c>
      <c r="E2668" t="inlineStr">
        <is>
          <t>unknown</t>
        </is>
      </c>
      <c r="F2668">
        <f>IFERROR(MATCH(A2668,Deals!$A$2:$A$843,0),"")</f>
        <v/>
      </c>
      <c r="G2668">
        <f>IF(F2668="",0,1)</f>
        <v/>
      </c>
      <c r="H2668" s="29">
        <f>IF(F2668="","",INDEX(Deals!$E$2:$E$843,F2668))</f>
        <v/>
      </c>
      <c r="I2668">
        <f>IF(F2668="","",INDEX(Deals!$D$2:$D$843,F2668))</f>
        <v/>
      </c>
      <c r="J2668">
        <f>IF(F2668="","",INT(H2668)-B2668)</f>
        <v/>
      </c>
      <c r="K2668">
        <f>IF(B2668&gt;=Settings!$C$5,1,0)</f>
        <v/>
      </c>
    </row>
    <row r="2669">
      <c r="A2669" t="inlineStr">
        <is>
          <t>9e98b948f4f3c15274939173e5c20799</t>
        </is>
      </c>
      <c r="B2669" s="29" t="n">
        <v>43144</v>
      </c>
      <c r="C2669" t="inlineStr">
        <is>
          <t>2018-02</t>
        </is>
      </c>
      <c r="D2669" t="inlineStr">
        <is>
          <t>ce1a65abd0973638f1c887a6efcfa82d</t>
        </is>
      </c>
      <c r="E2669" t="inlineStr">
        <is>
          <t>direct_traffic</t>
        </is>
      </c>
      <c r="F2669">
        <f>IFERROR(MATCH(A2669,Deals!$A$2:$A$843,0),"")</f>
        <v/>
      </c>
      <c r="G2669">
        <f>IF(F2669="",0,1)</f>
        <v/>
      </c>
      <c r="H2669" s="29">
        <f>IF(F2669="","",INDEX(Deals!$E$2:$E$843,F2669))</f>
        <v/>
      </c>
      <c r="I2669">
        <f>IF(F2669="","",INDEX(Deals!$D$2:$D$843,F2669))</f>
        <v/>
      </c>
      <c r="J2669">
        <f>IF(F2669="","",INT(H2669)-B2669)</f>
        <v/>
      </c>
      <c r="K2669">
        <f>IF(B2669&gt;=Settings!$C$5,1,0)</f>
        <v/>
      </c>
    </row>
    <row r="2670">
      <c r="A2670" t="inlineStr">
        <is>
          <t>fb8b25d02a3d508548a993c59946c1e6</t>
        </is>
      </c>
      <c r="B2670" s="29" t="n">
        <v>43063</v>
      </c>
      <c r="C2670" t="inlineStr">
        <is>
          <t>2017-11</t>
        </is>
      </c>
      <c r="D2670" t="inlineStr">
        <is>
          <t>e597d6ea31ca28a6355e2dbf5b3013ee</t>
        </is>
      </c>
      <c r="E2670" t="inlineStr">
        <is>
          <t>paid_search</t>
        </is>
      </c>
      <c r="F2670">
        <f>IFERROR(MATCH(A2670,Deals!$A$2:$A$843,0),"")</f>
        <v/>
      </c>
      <c r="G2670">
        <f>IF(F2670="",0,1)</f>
        <v/>
      </c>
      <c r="H2670" s="29">
        <f>IF(F2670="","",INDEX(Deals!$E$2:$E$843,F2670))</f>
        <v/>
      </c>
      <c r="I2670">
        <f>IF(F2670="","",INDEX(Deals!$D$2:$D$843,F2670))</f>
        <v/>
      </c>
      <c r="J2670">
        <f>IF(F2670="","",INT(H2670)-B2670)</f>
        <v/>
      </c>
      <c r="K2670">
        <f>IF(B2670&gt;=Settings!$C$5,1,0)</f>
        <v/>
      </c>
    </row>
    <row r="2671">
      <c r="A2671" t="inlineStr">
        <is>
          <t>a5707b0085dc71b1783efc16453fb0bf</t>
        </is>
      </c>
      <c r="B2671" s="29" t="n">
        <v>43031</v>
      </c>
      <c r="C2671" t="inlineStr">
        <is>
          <t>2017-10</t>
        </is>
      </c>
      <c r="D2671" t="inlineStr">
        <is>
          <t>1722481ac9e5371e5099dea226b5421d</t>
        </is>
      </c>
      <c r="E2671" t="inlineStr">
        <is>
          <t>unknown</t>
        </is>
      </c>
      <c r="F2671">
        <f>IFERROR(MATCH(A2671,Deals!$A$2:$A$843,0),"")</f>
        <v/>
      </c>
      <c r="G2671">
        <f>IF(F2671="",0,1)</f>
        <v/>
      </c>
      <c r="H2671" s="29">
        <f>IF(F2671="","",INDEX(Deals!$E$2:$E$843,F2671))</f>
        <v/>
      </c>
      <c r="I2671">
        <f>IF(F2671="","",INDEX(Deals!$D$2:$D$843,F2671))</f>
        <v/>
      </c>
      <c r="J2671">
        <f>IF(F2671="","",INT(H2671)-B2671)</f>
        <v/>
      </c>
      <c r="K2671">
        <f>IF(B2671&gt;=Settings!$C$5,1,0)</f>
        <v/>
      </c>
    </row>
    <row r="2672">
      <c r="A2672" t="inlineStr">
        <is>
          <t>69f1d5a45626923b41a978215de0174a</t>
        </is>
      </c>
      <c r="B2672" s="29" t="n">
        <v>43139</v>
      </c>
      <c r="C2672" t="inlineStr">
        <is>
          <t>2018-02</t>
        </is>
      </c>
      <c r="D2672" t="inlineStr">
        <is>
          <t>ce1a65abd0973638f1c887a6efcfa82d</t>
        </is>
      </c>
      <c r="E2672" t="inlineStr">
        <is>
          <t>organic_search</t>
        </is>
      </c>
      <c r="F2672">
        <f>IFERROR(MATCH(A2672,Deals!$A$2:$A$843,0),"")</f>
        <v/>
      </c>
      <c r="G2672">
        <f>IF(F2672="",0,1)</f>
        <v/>
      </c>
      <c r="H2672" s="29">
        <f>IF(F2672="","",INDEX(Deals!$E$2:$E$843,F2672))</f>
        <v/>
      </c>
      <c r="I2672">
        <f>IF(F2672="","",INDEX(Deals!$D$2:$D$843,F2672))</f>
        <v/>
      </c>
      <c r="J2672">
        <f>IF(F2672="","",INT(H2672)-B2672)</f>
        <v/>
      </c>
      <c r="K2672">
        <f>IF(B2672&gt;=Settings!$C$5,1,0)</f>
        <v/>
      </c>
    </row>
    <row r="2673">
      <c r="A2673" t="inlineStr">
        <is>
          <t>9eb87b710e10e833e9259aab3276c2a7</t>
        </is>
      </c>
      <c r="B2673" s="29" t="n">
        <v>43208</v>
      </c>
      <c r="C2673" t="inlineStr">
        <is>
          <t>2018-04</t>
        </is>
      </c>
      <c r="D2673" t="inlineStr">
        <is>
          <t>40dec9f3d5259a3d2dbcdab2114fae47</t>
        </is>
      </c>
      <c r="E2673" t="inlineStr">
        <is>
          <t>paid_search</t>
        </is>
      </c>
      <c r="F2673">
        <f>IFERROR(MATCH(A2673,Deals!$A$2:$A$843,0),"")</f>
        <v/>
      </c>
      <c r="G2673">
        <f>IF(F2673="",0,1)</f>
        <v/>
      </c>
      <c r="H2673" s="29">
        <f>IF(F2673="","",INDEX(Deals!$E$2:$E$843,F2673))</f>
        <v/>
      </c>
      <c r="I2673">
        <f>IF(F2673="","",INDEX(Deals!$D$2:$D$843,F2673))</f>
        <v/>
      </c>
      <c r="J2673">
        <f>IF(F2673="","",INT(H2673)-B2673)</f>
        <v/>
      </c>
      <c r="K2673">
        <f>IF(B2673&gt;=Settings!$C$5,1,0)</f>
        <v/>
      </c>
    </row>
    <row r="2674">
      <c r="A2674" t="inlineStr">
        <is>
          <t>4dce7b5d590277e9993b439f902c3291</t>
        </is>
      </c>
      <c r="B2674" s="29" t="n">
        <v>43229</v>
      </c>
      <c r="C2674" t="inlineStr">
        <is>
          <t>2018-05</t>
        </is>
      </c>
      <c r="D2674" t="inlineStr">
        <is>
          <t>7fa6214d82e911d070f51ef79381b956</t>
        </is>
      </c>
      <c r="E2674" t="inlineStr">
        <is>
          <t>paid_search</t>
        </is>
      </c>
      <c r="F2674">
        <f>IFERROR(MATCH(A2674,Deals!$A$2:$A$843,0),"")</f>
        <v/>
      </c>
      <c r="G2674">
        <f>IF(F2674="",0,1)</f>
        <v/>
      </c>
      <c r="H2674" s="29">
        <f>IF(F2674="","",INDEX(Deals!$E$2:$E$843,F2674))</f>
        <v/>
      </c>
      <c r="I2674">
        <f>IF(F2674="","",INDEX(Deals!$D$2:$D$843,F2674))</f>
        <v/>
      </c>
      <c r="J2674">
        <f>IF(F2674="","",INT(H2674)-B2674)</f>
        <v/>
      </c>
      <c r="K2674">
        <f>IF(B2674&gt;=Settings!$C$5,1,0)</f>
        <v/>
      </c>
    </row>
    <row r="2675">
      <c r="A2675" t="inlineStr">
        <is>
          <t>36179605b136215afcba7b1344c136a8</t>
        </is>
      </c>
      <c r="B2675" s="29" t="n">
        <v>43028</v>
      </c>
      <c r="C2675" t="inlineStr">
        <is>
          <t>2017-10</t>
        </is>
      </c>
      <c r="D2675" t="inlineStr">
        <is>
          <t>b76ef37428e6799c421989521c0e5077</t>
        </is>
      </c>
      <c r="E2675" t="inlineStr">
        <is>
          <t>unknown</t>
        </is>
      </c>
      <c r="F2675">
        <f>IFERROR(MATCH(A2675,Deals!$A$2:$A$843,0),"")</f>
        <v/>
      </c>
      <c r="G2675">
        <f>IF(F2675="",0,1)</f>
        <v/>
      </c>
      <c r="H2675" s="29">
        <f>IF(F2675="","",INDEX(Deals!$E$2:$E$843,F2675))</f>
        <v/>
      </c>
      <c r="I2675">
        <f>IF(F2675="","",INDEX(Deals!$D$2:$D$843,F2675))</f>
        <v/>
      </c>
      <c r="J2675">
        <f>IF(F2675="","",INT(H2675)-B2675)</f>
        <v/>
      </c>
      <c r="K2675">
        <f>IF(B2675&gt;=Settings!$C$5,1,0)</f>
        <v/>
      </c>
    </row>
    <row r="2676">
      <c r="A2676" t="inlineStr">
        <is>
          <t>355cd105f79507780fad8848469baca1</t>
        </is>
      </c>
      <c r="B2676" s="29" t="n">
        <v>42927</v>
      </c>
      <c r="C2676" t="inlineStr">
        <is>
          <t>2017-07</t>
        </is>
      </c>
      <c r="D2676" t="inlineStr">
        <is>
          <t>c754e5846c791d26b1c34070c41adf6e</t>
        </is>
      </c>
      <c r="E2676" t="inlineStr">
        <is>
          <t>other</t>
        </is>
      </c>
      <c r="F2676">
        <f>IFERROR(MATCH(A2676,Deals!$A$2:$A$843,0),"")</f>
        <v/>
      </c>
      <c r="G2676">
        <f>IF(F2676="",0,1)</f>
        <v/>
      </c>
      <c r="H2676" s="29">
        <f>IF(F2676="","",INDEX(Deals!$E$2:$E$843,F2676))</f>
        <v/>
      </c>
      <c r="I2676">
        <f>IF(F2676="","",INDEX(Deals!$D$2:$D$843,F2676))</f>
        <v/>
      </c>
      <c r="J2676">
        <f>IF(F2676="","",INT(H2676)-B2676)</f>
        <v/>
      </c>
      <c r="K2676">
        <f>IF(B2676&gt;=Settings!$C$5,1,0)</f>
        <v/>
      </c>
    </row>
    <row r="2677">
      <c r="A2677" t="inlineStr">
        <is>
          <t>569195aae6620c164f78f5afdc29f4de</t>
        </is>
      </c>
      <c r="B2677" s="29" t="n">
        <v>43175</v>
      </c>
      <c r="C2677" t="inlineStr">
        <is>
          <t>2018-03</t>
        </is>
      </c>
      <c r="D2677" t="inlineStr">
        <is>
          <t>ce1a65abd0973638f1c887a6efcfa82d</t>
        </is>
      </c>
      <c r="E2677" t="inlineStr">
        <is>
          <t>organic_search</t>
        </is>
      </c>
      <c r="F2677">
        <f>IFERROR(MATCH(A2677,Deals!$A$2:$A$843,0),"")</f>
        <v/>
      </c>
      <c r="G2677">
        <f>IF(F2677="",0,1)</f>
        <v/>
      </c>
      <c r="H2677" s="29">
        <f>IF(F2677="","",INDEX(Deals!$E$2:$E$843,F2677))</f>
        <v/>
      </c>
      <c r="I2677">
        <f>IF(F2677="","",INDEX(Deals!$D$2:$D$843,F2677))</f>
        <v/>
      </c>
      <c r="J2677">
        <f>IF(F2677="","",INT(H2677)-B2677)</f>
        <v/>
      </c>
      <c r="K2677">
        <f>IF(B2677&gt;=Settings!$C$5,1,0)</f>
        <v/>
      </c>
    </row>
    <row r="2678">
      <c r="A2678" t="inlineStr">
        <is>
          <t>98c9832865e4ab224a1649e8e6e9a2a0</t>
        </is>
      </c>
      <c r="B2678" s="29" t="n">
        <v>42906</v>
      </c>
      <c r="C2678" t="inlineStr">
        <is>
          <t>2017-06</t>
        </is>
      </c>
      <c r="D2678" t="inlineStr">
        <is>
          <t>b6cd08ac77c501fd6857f7916d2c24f3</t>
        </is>
      </c>
      <c r="E2678" t="inlineStr">
        <is>
          <t>email</t>
        </is>
      </c>
      <c r="F2678">
        <f>IFERROR(MATCH(A2678,Deals!$A$2:$A$843,0),"")</f>
        <v/>
      </c>
      <c r="G2678">
        <f>IF(F2678="",0,1)</f>
        <v/>
      </c>
      <c r="H2678" s="29">
        <f>IF(F2678="","",INDEX(Deals!$E$2:$E$843,F2678))</f>
        <v/>
      </c>
      <c r="I2678">
        <f>IF(F2678="","",INDEX(Deals!$D$2:$D$843,F2678))</f>
        <v/>
      </c>
      <c r="J2678">
        <f>IF(F2678="","",INT(H2678)-B2678)</f>
        <v/>
      </c>
      <c r="K2678">
        <f>IF(B2678&gt;=Settings!$C$5,1,0)</f>
        <v/>
      </c>
    </row>
    <row r="2679">
      <c r="A2679" t="inlineStr">
        <is>
          <t>fa17a68f853853baf9cf1ee222cfe999</t>
        </is>
      </c>
      <c r="B2679" s="29" t="n">
        <v>43042</v>
      </c>
      <c r="C2679" t="inlineStr">
        <is>
          <t>2017-11</t>
        </is>
      </c>
      <c r="D2679" t="inlineStr">
        <is>
          <t>88740e65d5d6b056e0cda098e1ea6313</t>
        </is>
      </c>
      <c r="E2679" t="inlineStr">
        <is>
          <t>referral</t>
        </is>
      </c>
      <c r="F2679">
        <f>IFERROR(MATCH(A2679,Deals!$A$2:$A$843,0),"")</f>
        <v/>
      </c>
      <c r="G2679">
        <f>IF(F2679="",0,1)</f>
        <v/>
      </c>
      <c r="H2679" s="29">
        <f>IF(F2679="","",INDEX(Deals!$E$2:$E$843,F2679))</f>
        <v/>
      </c>
      <c r="I2679">
        <f>IF(F2679="","",INDEX(Deals!$D$2:$D$843,F2679))</f>
        <v/>
      </c>
      <c r="J2679">
        <f>IF(F2679="","",INT(H2679)-B2679)</f>
        <v/>
      </c>
      <c r="K2679">
        <f>IF(B2679&gt;=Settings!$C$5,1,0)</f>
        <v/>
      </c>
    </row>
    <row r="2680">
      <c r="A2680" t="inlineStr">
        <is>
          <t>4457906f472a0a4e966a17de3054a8bc</t>
        </is>
      </c>
      <c r="B2680" s="29" t="n">
        <v>43102</v>
      </c>
      <c r="C2680" t="inlineStr">
        <is>
          <t>2018-01</t>
        </is>
      </c>
      <c r="D2680" t="inlineStr">
        <is>
          <t>73f31a40697cc90a86c1273563ac230e</t>
        </is>
      </c>
      <c r="E2680" t="inlineStr">
        <is>
          <t>email</t>
        </is>
      </c>
      <c r="F2680">
        <f>IFERROR(MATCH(A2680,Deals!$A$2:$A$843,0),"")</f>
        <v/>
      </c>
      <c r="G2680">
        <f>IF(F2680="",0,1)</f>
        <v/>
      </c>
      <c r="H2680" s="29">
        <f>IF(F2680="","",INDEX(Deals!$E$2:$E$843,F2680))</f>
        <v/>
      </c>
      <c r="I2680">
        <f>IF(F2680="","",INDEX(Deals!$D$2:$D$843,F2680))</f>
        <v/>
      </c>
      <c r="J2680">
        <f>IF(F2680="","",INT(H2680)-B2680)</f>
        <v/>
      </c>
      <c r="K2680">
        <f>IF(B2680&gt;=Settings!$C$5,1,0)</f>
        <v/>
      </c>
    </row>
    <row r="2681">
      <c r="A2681" t="inlineStr">
        <is>
          <t>6b998835b626af9fd58e2c3521628217</t>
        </is>
      </c>
      <c r="B2681" s="29" t="n">
        <v>42964</v>
      </c>
      <c r="C2681" t="inlineStr">
        <is>
          <t>2017-08</t>
        </is>
      </c>
      <c r="D2681" t="inlineStr">
        <is>
          <t>87732658ba41d8775e8577df347a64db</t>
        </is>
      </c>
      <c r="E2681" t="inlineStr">
        <is>
          <t>paid_search</t>
        </is>
      </c>
      <c r="F2681">
        <f>IFERROR(MATCH(A2681,Deals!$A$2:$A$843,0),"")</f>
        <v/>
      </c>
      <c r="G2681">
        <f>IF(F2681="",0,1)</f>
        <v/>
      </c>
      <c r="H2681" s="29">
        <f>IF(F2681="","",INDEX(Deals!$E$2:$E$843,F2681))</f>
        <v/>
      </c>
      <c r="I2681">
        <f>IF(F2681="","",INDEX(Deals!$D$2:$D$843,F2681))</f>
        <v/>
      </c>
      <c r="J2681">
        <f>IF(F2681="","",INT(H2681)-B2681)</f>
        <v/>
      </c>
      <c r="K2681">
        <f>IF(B2681&gt;=Settings!$C$5,1,0)</f>
        <v/>
      </c>
    </row>
    <row r="2682">
      <c r="A2682" t="inlineStr">
        <is>
          <t>8de1db0c3bd1ffe5fa7383a7bfee2beb</t>
        </is>
      </c>
      <c r="B2682" s="29" t="n">
        <v>42991</v>
      </c>
      <c r="C2682" t="inlineStr">
        <is>
          <t>2017-09</t>
        </is>
      </c>
      <c r="D2682" t="inlineStr">
        <is>
          <t>87732658ba41d8775e8577df347a64db</t>
        </is>
      </c>
      <c r="E2682" t="inlineStr">
        <is>
          <t>social</t>
        </is>
      </c>
      <c r="F2682">
        <f>IFERROR(MATCH(A2682,Deals!$A$2:$A$843,0),"")</f>
        <v/>
      </c>
      <c r="G2682">
        <f>IF(F2682="",0,1)</f>
        <v/>
      </c>
      <c r="H2682" s="29">
        <f>IF(F2682="","",INDEX(Deals!$E$2:$E$843,F2682))</f>
        <v/>
      </c>
      <c r="I2682">
        <f>IF(F2682="","",INDEX(Deals!$D$2:$D$843,F2682))</f>
        <v/>
      </c>
      <c r="J2682">
        <f>IF(F2682="","",INT(H2682)-B2682)</f>
        <v/>
      </c>
      <c r="K2682">
        <f>IF(B2682&gt;=Settings!$C$5,1,0)</f>
        <v/>
      </c>
    </row>
    <row r="2683">
      <c r="A2683" t="inlineStr">
        <is>
          <t>8c98ec1d4947ca23fbf9ed07c8adbfa5</t>
        </is>
      </c>
      <c r="B2683" s="29" t="n">
        <v>43111</v>
      </c>
      <c r="C2683" t="inlineStr">
        <is>
          <t>2018-01</t>
        </is>
      </c>
      <c r="D2683" t="inlineStr">
        <is>
          <t>87d670b00a8db612286ba8419cf82e83</t>
        </is>
      </c>
      <c r="E2683" t="inlineStr">
        <is>
          <t>paid_search</t>
        </is>
      </c>
      <c r="F2683">
        <f>IFERROR(MATCH(A2683,Deals!$A$2:$A$843,0),"")</f>
        <v/>
      </c>
      <c r="G2683">
        <f>IF(F2683="",0,1)</f>
        <v/>
      </c>
      <c r="H2683" s="29">
        <f>IF(F2683="","",INDEX(Deals!$E$2:$E$843,F2683))</f>
        <v/>
      </c>
      <c r="I2683">
        <f>IF(F2683="","",INDEX(Deals!$D$2:$D$843,F2683))</f>
        <v/>
      </c>
      <c r="J2683">
        <f>IF(F2683="","",INT(H2683)-B2683)</f>
        <v/>
      </c>
      <c r="K2683">
        <f>IF(B2683&gt;=Settings!$C$5,1,0)</f>
        <v/>
      </c>
    </row>
    <row r="2684">
      <c r="A2684" t="inlineStr">
        <is>
          <t>f5d0adbd21d9afa3d701967462202f4b</t>
        </is>
      </c>
      <c r="B2684" s="29" t="n">
        <v>42958</v>
      </c>
      <c r="C2684" t="inlineStr">
        <is>
          <t>2017-08</t>
        </is>
      </c>
      <c r="D2684" t="inlineStr">
        <is>
          <t>15cf89bab2c3163b4f9d8601d108f8b2</t>
        </is>
      </c>
      <c r="E2684" t="inlineStr">
        <is>
          <t>direct_traffic</t>
        </is>
      </c>
      <c r="F2684">
        <f>IFERROR(MATCH(A2684,Deals!$A$2:$A$843,0),"")</f>
        <v/>
      </c>
      <c r="G2684">
        <f>IF(F2684="",0,1)</f>
        <v/>
      </c>
      <c r="H2684" s="29">
        <f>IF(F2684="","",INDEX(Deals!$E$2:$E$843,F2684))</f>
        <v/>
      </c>
      <c r="I2684">
        <f>IF(F2684="","",INDEX(Deals!$D$2:$D$843,F2684))</f>
        <v/>
      </c>
      <c r="J2684">
        <f>IF(F2684="","",INT(H2684)-B2684)</f>
        <v/>
      </c>
      <c r="K2684">
        <f>IF(B2684&gt;=Settings!$C$5,1,0)</f>
        <v/>
      </c>
    </row>
    <row r="2685">
      <c r="A2685" t="inlineStr">
        <is>
          <t>85c8395916ffc2198dd670da1b20d108</t>
        </is>
      </c>
      <c r="B2685" s="29" t="n">
        <v>42934</v>
      </c>
      <c r="C2685" t="inlineStr">
        <is>
          <t>2017-07</t>
        </is>
      </c>
      <c r="D2685" t="inlineStr">
        <is>
          <t>b48ec5f3b04e9068441002a19df93c6c</t>
        </is>
      </c>
      <c r="E2685" t="inlineStr">
        <is>
          <t>organic_search</t>
        </is>
      </c>
      <c r="F2685">
        <f>IFERROR(MATCH(A2685,Deals!$A$2:$A$843,0),"")</f>
        <v/>
      </c>
      <c r="G2685">
        <f>IF(F2685="",0,1)</f>
        <v/>
      </c>
      <c r="H2685" s="29">
        <f>IF(F2685="","",INDEX(Deals!$E$2:$E$843,F2685))</f>
        <v/>
      </c>
      <c r="I2685">
        <f>IF(F2685="","",INDEX(Deals!$D$2:$D$843,F2685))</f>
        <v/>
      </c>
      <c r="J2685">
        <f>IF(F2685="","",INT(H2685)-B2685)</f>
        <v/>
      </c>
      <c r="K2685">
        <f>IF(B2685&gt;=Settings!$C$5,1,0)</f>
        <v/>
      </c>
    </row>
    <row r="2686">
      <c r="A2686" t="inlineStr">
        <is>
          <t>34576207c8c0fab46627c880a109c01f</t>
        </is>
      </c>
      <c r="B2686" s="29" t="n">
        <v>43042</v>
      </c>
      <c r="C2686" t="inlineStr">
        <is>
          <t>2017-11</t>
        </is>
      </c>
      <c r="D2686" t="inlineStr">
        <is>
          <t>e492ee5eaf1697716985cc6f33f9cd9b</t>
        </is>
      </c>
      <c r="E2686" t="inlineStr">
        <is>
          <t>referral</t>
        </is>
      </c>
      <c r="F2686">
        <f>IFERROR(MATCH(A2686,Deals!$A$2:$A$843,0),"")</f>
        <v/>
      </c>
      <c r="G2686">
        <f>IF(F2686="",0,1)</f>
        <v/>
      </c>
      <c r="H2686" s="29">
        <f>IF(F2686="","",INDEX(Deals!$E$2:$E$843,F2686))</f>
        <v/>
      </c>
      <c r="I2686">
        <f>IF(F2686="","",INDEX(Deals!$D$2:$D$843,F2686))</f>
        <v/>
      </c>
      <c r="J2686">
        <f>IF(F2686="","",INT(H2686)-B2686)</f>
        <v/>
      </c>
      <c r="K2686">
        <f>IF(B2686&gt;=Settings!$C$5,1,0)</f>
        <v/>
      </c>
    </row>
    <row r="2687">
      <c r="A2687" t="inlineStr">
        <is>
          <t>2a7391fb632a4dac9422201bb041c043</t>
        </is>
      </c>
      <c r="B2687" s="29" t="n">
        <v>42995</v>
      </c>
      <c r="C2687" t="inlineStr">
        <is>
          <t>2017-09</t>
        </is>
      </c>
      <c r="D2687" t="inlineStr">
        <is>
          <t>87732658ba41d8775e8577df347a64db</t>
        </is>
      </c>
      <c r="E2687" t="inlineStr">
        <is>
          <t>social</t>
        </is>
      </c>
      <c r="F2687">
        <f>IFERROR(MATCH(A2687,Deals!$A$2:$A$843,0),"")</f>
        <v/>
      </c>
      <c r="G2687">
        <f>IF(F2687="",0,1)</f>
        <v/>
      </c>
      <c r="H2687" s="29">
        <f>IF(F2687="","",INDEX(Deals!$E$2:$E$843,F2687))</f>
        <v/>
      </c>
      <c r="I2687">
        <f>IF(F2687="","",INDEX(Deals!$D$2:$D$843,F2687))</f>
        <v/>
      </c>
      <c r="J2687">
        <f>IF(F2687="","",INT(H2687)-B2687)</f>
        <v/>
      </c>
      <c r="K2687">
        <f>IF(B2687&gt;=Settings!$C$5,1,0)</f>
        <v/>
      </c>
    </row>
    <row r="2688">
      <c r="A2688" t="inlineStr">
        <is>
          <t>3d88841ebcc0f7920755726b280302e7</t>
        </is>
      </c>
      <c r="B2688" s="29" t="n">
        <v>43192</v>
      </c>
      <c r="C2688" t="inlineStr">
        <is>
          <t>2018-04</t>
        </is>
      </c>
      <c r="D2688" t="inlineStr">
        <is>
          <t>58326e62183c14b0c03085c33b9fdc44</t>
        </is>
      </c>
      <c r="E2688" t="inlineStr">
        <is>
          <t>social</t>
        </is>
      </c>
      <c r="F2688">
        <f>IFERROR(MATCH(A2688,Deals!$A$2:$A$843,0),"")</f>
        <v/>
      </c>
      <c r="G2688">
        <f>IF(F2688="",0,1)</f>
        <v/>
      </c>
      <c r="H2688" s="29">
        <f>IF(F2688="","",INDEX(Deals!$E$2:$E$843,F2688))</f>
        <v/>
      </c>
      <c r="I2688">
        <f>IF(F2688="","",INDEX(Deals!$D$2:$D$843,F2688))</f>
        <v/>
      </c>
      <c r="J2688">
        <f>IF(F2688="","",INT(H2688)-B2688)</f>
        <v/>
      </c>
      <c r="K2688">
        <f>IF(B2688&gt;=Settings!$C$5,1,0)</f>
        <v/>
      </c>
    </row>
    <row r="2689">
      <c r="A2689" t="inlineStr">
        <is>
          <t>5a2c8a18227cbb0bc2634e610a3c1746</t>
        </is>
      </c>
      <c r="B2689" s="29" t="n">
        <v>43175</v>
      </c>
      <c r="C2689" t="inlineStr">
        <is>
          <t>2018-03</t>
        </is>
      </c>
      <c r="D2689" t="inlineStr">
        <is>
          <t>40dec9f3d5259a3d2dbcdab2114fae47</t>
        </is>
      </c>
      <c r="E2689" t="inlineStr">
        <is>
          <t>paid_search</t>
        </is>
      </c>
      <c r="F2689">
        <f>IFERROR(MATCH(A2689,Deals!$A$2:$A$843,0),"")</f>
        <v/>
      </c>
      <c r="G2689">
        <f>IF(F2689="",0,1)</f>
        <v/>
      </c>
      <c r="H2689" s="29">
        <f>IF(F2689="","",INDEX(Deals!$E$2:$E$843,F2689))</f>
        <v/>
      </c>
      <c r="I2689">
        <f>IF(F2689="","",INDEX(Deals!$D$2:$D$843,F2689))</f>
        <v/>
      </c>
      <c r="J2689">
        <f>IF(F2689="","",INT(H2689)-B2689)</f>
        <v/>
      </c>
      <c r="K2689">
        <f>IF(B2689&gt;=Settings!$C$5,1,0)</f>
        <v/>
      </c>
    </row>
    <row r="2690">
      <c r="A2690" t="inlineStr">
        <is>
          <t>a87a1dd7a916d6d29a3eead260040e87</t>
        </is>
      </c>
      <c r="B2690" s="29" t="n">
        <v>42978</v>
      </c>
      <c r="C2690" t="inlineStr">
        <is>
          <t>2017-08</t>
        </is>
      </c>
      <c r="D2690" t="inlineStr">
        <is>
          <t>3c5cc1a2e1d86abfce2a16a1bcc80e26</t>
        </is>
      </c>
      <c r="E2690" t="inlineStr">
        <is>
          <t>unknown</t>
        </is>
      </c>
      <c r="F2690">
        <f>IFERROR(MATCH(A2690,Deals!$A$2:$A$843,0),"")</f>
        <v/>
      </c>
      <c r="G2690">
        <f>IF(F2690="",0,1)</f>
        <v/>
      </c>
      <c r="H2690" s="29">
        <f>IF(F2690="","",INDEX(Deals!$E$2:$E$843,F2690))</f>
        <v/>
      </c>
      <c r="I2690">
        <f>IF(F2690="","",INDEX(Deals!$D$2:$D$843,F2690))</f>
        <v/>
      </c>
      <c r="J2690">
        <f>IF(F2690="","",INT(H2690)-B2690)</f>
        <v/>
      </c>
      <c r="K2690">
        <f>IF(B2690&gt;=Settings!$C$5,1,0)</f>
        <v/>
      </c>
    </row>
    <row r="2691">
      <c r="A2691" t="inlineStr">
        <is>
          <t>fc6abf7b29980aa85f2fb4b97682190f</t>
        </is>
      </c>
      <c r="B2691" s="29" t="n">
        <v>42998</v>
      </c>
      <c r="C2691" t="inlineStr">
        <is>
          <t>2017-09</t>
        </is>
      </c>
      <c r="D2691" t="inlineStr">
        <is>
          <t>007f9098284a86ee80ddeb25d53e0af8</t>
        </is>
      </c>
      <c r="E2691" t="inlineStr">
        <is>
          <t>paid_search</t>
        </is>
      </c>
      <c r="F2691">
        <f>IFERROR(MATCH(A2691,Deals!$A$2:$A$843,0),"")</f>
        <v/>
      </c>
      <c r="G2691">
        <f>IF(F2691="",0,1)</f>
        <v/>
      </c>
      <c r="H2691" s="29">
        <f>IF(F2691="","",INDEX(Deals!$E$2:$E$843,F2691))</f>
        <v/>
      </c>
      <c r="I2691">
        <f>IF(F2691="","",INDEX(Deals!$D$2:$D$843,F2691))</f>
        <v/>
      </c>
      <c r="J2691">
        <f>IF(F2691="","",INT(H2691)-B2691)</f>
        <v/>
      </c>
      <c r="K2691">
        <f>IF(B2691&gt;=Settings!$C$5,1,0)</f>
        <v/>
      </c>
    </row>
    <row r="2692">
      <c r="A2692" t="inlineStr">
        <is>
          <t>39026fc58808a001437223b5bc0be8a6</t>
        </is>
      </c>
      <c r="B2692" s="29" t="n">
        <v>43117</v>
      </c>
      <c r="C2692" t="inlineStr">
        <is>
          <t>2018-01</t>
        </is>
      </c>
      <c r="D2692" t="inlineStr">
        <is>
          <t>40dec9f3d5259a3d2dbcdab2114fae47</t>
        </is>
      </c>
      <c r="E2692" t="inlineStr">
        <is>
          <t>paid_search</t>
        </is>
      </c>
      <c r="F2692">
        <f>IFERROR(MATCH(A2692,Deals!$A$2:$A$843,0),"")</f>
        <v/>
      </c>
      <c r="G2692">
        <f>IF(F2692="",0,1)</f>
        <v/>
      </c>
      <c r="H2692" s="29">
        <f>IF(F2692="","",INDEX(Deals!$E$2:$E$843,F2692))</f>
        <v/>
      </c>
      <c r="I2692">
        <f>IF(F2692="","",INDEX(Deals!$D$2:$D$843,F2692))</f>
        <v/>
      </c>
      <c r="J2692">
        <f>IF(F2692="","",INT(H2692)-B2692)</f>
        <v/>
      </c>
      <c r="K2692">
        <f>IF(B2692&gt;=Settings!$C$5,1,0)</f>
        <v/>
      </c>
    </row>
    <row r="2693">
      <c r="A2693" t="inlineStr">
        <is>
          <t>123547595da482ffd2775d9a481f6b4e</t>
        </is>
      </c>
      <c r="B2693" s="29" t="n">
        <v>43106</v>
      </c>
      <c r="C2693" t="inlineStr">
        <is>
          <t>2018-01</t>
        </is>
      </c>
      <c r="D2693" t="inlineStr">
        <is>
          <t>22c29808c4f815213303f8933030604c</t>
        </is>
      </c>
      <c r="E2693" t="inlineStr">
        <is>
          <t>organic_search</t>
        </is>
      </c>
      <c r="F2693">
        <f>IFERROR(MATCH(A2693,Deals!$A$2:$A$843,0),"")</f>
        <v/>
      </c>
      <c r="G2693">
        <f>IF(F2693="",0,1)</f>
        <v/>
      </c>
      <c r="H2693" s="29">
        <f>IF(F2693="","",INDEX(Deals!$E$2:$E$843,F2693))</f>
        <v/>
      </c>
      <c r="I2693">
        <f>IF(F2693="","",INDEX(Deals!$D$2:$D$843,F2693))</f>
        <v/>
      </c>
      <c r="J2693">
        <f>IF(F2693="","",INT(H2693)-B2693)</f>
        <v/>
      </c>
      <c r="K2693">
        <f>IF(B2693&gt;=Settings!$C$5,1,0)</f>
        <v/>
      </c>
    </row>
    <row r="2694">
      <c r="A2694" t="inlineStr">
        <is>
          <t>fc7bb39f8162e580740d570464b3d85a</t>
        </is>
      </c>
      <c r="B2694" s="29" t="n">
        <v>43158</v>
      </c>
      <c r="C2694" t="inlineStr">
        <is>
          <t>2018-02</t>
        </is>
      </c>
      <c r="D2694" t="inlineStr">
        <is>
          <t>c30d0b4337fd05444a3fe502562508d1</t>
        </is>
      </c>
      <c r="E2694" t="inlineStr">
        <is>
          <t>email</t>
        </is>
      </c>
      <c r="F2694">
        <f>IFERROR(MATCH(A2694,Deals!$A$2:$A$843,0),"")</f>
        <v/>
      </c>
      <c r="G2694">
        <f>IF(F2694="",0,1)</f>
        <v/>
      </c>
      <c r="H2694" s="29">
        <f>IF(F2694="","",INDEX(Deals!$E$2:$E$843,F2694))</f>
        <v/>
      </c>
      <c r="I2694">
        <f>IF(F2694="","",INDEX(Deals!$D$2:$D$843,F2694))</f>
        <v/>
      </c>
      <c r="J2694">
        <f>IF(F2694="","",INT(H2694)-B2694)</f>
        <v/>
      </c>
      <c r="K2694">
        <f>IF(B2694&gt;=Settings!$C$5,1,0)</f>
        <v/>
      </c>
    </row>
    <row r="2695">
      <c r="A2695" t="inlineStr">
        <is>
          <t>46b9cf2d91977c26d75e1edd363ab08b</t>
        </is>
      </c>
      <c r="B2695" s="29" t="n">
        <v>43026</v>
      </c>
      <c r="C2695" t="inlineStr">
        <is>
          <t>2017-10</t>
        </is>
      </c>
      <c r="D2695" t="inlineStr">
        <is>
          <t>a5f7caba65f90d45005f62cb85bced39</t>
        </is>
      </c>
      <c r="E2695" t="inlineStr">
        <is>
          <t>unknown</t>
        </is>
      </c>
      <c r="F2695">
        <f>IFERROR(MATCH(A2695,Deals!$A$2:$A$843,0),"")</f>
        <v/>
      </c>
      <c r="G2695">
        <f>IF(F2695="",0,1)</f>
        <v/>
      </c>
      <c r="H2695" s="29">
        <f>IF(F2695="","",INDEX(Deals!$E$2:$E$843,F2695))</f>
        <v/>
      </c>
      <c r="I2695">
        <f>IF(F2695="","",INDEX(Deals!$D$2:$D$843,F2695))</f>
        <v/>
      </c>
      <c r="J2695">
        <f>IF(F2695="","",INT(H2695)-B2695)</f>
        <v/>
      </c>
      <c r="K2695">
        <f>IF(B2695&gt;=Settings!$C$5,1,0)</f>
        <v/>
      </c>
    </row>
    <row r="2696">
      <c r="A2696" t="inlineStr">
        <is>
          <t>c15e297925c4cff8760eead96426b961</t>
        </is>
      </c>
      <c r="B2696" s="29" t="n">
        <v>42982</v>
      </c>
      <c r="C2696" t="inlineStr">
        <is>
          <t>2017-09</t>
        </is>
      </c>
      <c r="D2696" t="inlineStr">
        <is>
          <t>e42a14209c69c3e9cc6b042620465f12</t>
        </is>
      </c>
      <c r="E2696" t="inlineStr">
        <is>
          <t>unknown</t>
        </is>
      </c>
      <c r="F2696">
        <f>IFERROR(MATCH(A2696,Deals!$A$2:$A$843,0),"")</f>
        <v/>
      </c>
      <c r="G2696">
        <f>IF(F2696="",0,1)</f>
        <v/>
      </c>
      <c r="H2696" s="29">
        <f>IF(F2696="","",INDEX(Deals!$E$2:$E$843,F2696))</f>
        <v/>
      </c>
      <c r="I2696">
        <f>IF(F2696="","",INDEX(Deals!$D$2:$D$843,F2696))</f>
        <v/>
      </c>
      <c r="J2696">
        <f>IF(F2696="","",INT(H2696)-B2696)</f>
        <v/>
      </c>
      <c r="K2696">
        <f>IF(B2696&gt;=Settings!$C$5,1,0)</f>
        <v/>
      </c>
    </row>
    <row r="2697">
      <c r="A2697" t="inlineStr">
        <is>
          <t>457ad4752923de991424e3d0f5a6abb6</t>
        </is>
      </c>
      <c r="B2697" s="29" t="n">
        <v>43130</v>
      </c>
      <c r="C2697" t="inlineStr">
        <is>
          <t>2018-01</t>
        </is>
      </c>
      <c r="D2697" t="inlineStr">
        <is>
          <t>fbc24da54d531c6204ae2d17b1090bb1</t>
        </is>
      </c>
      <c r="E2697" t="inlineStr">
        <is>
          <t>organic_search</t>
        </is>
      </c>
      <c r="F2697">
        <f>IFERROR(MATCH(A2697,Deals!$A$2:$A$843,0),"")</f>
        <v/>
      </c>
      <c r="G2697">
        <f>IF(F2697="",0,1)</f>
        <v/>
      </c>
      <c r="H2697" s="29">
        <f>IF(F2697="","",INDEX(Deals!$E$2:$E$843,F2697))</f>
        <v/>
      </c>
      <c r="I2697">
        <f>IF(F2697="","",INDEX(Deals!$D$2:$D$843,F2697))</f>
        <v/>
      </c>
      <c r="J2697">
        <f>IF(F2697="","",INT(H2697)-B2697)</f>
        <v/>
      </c>
      <c r="K2697">
        <f>IF(B2697&gt;=Settings!$C$5,1,0)</f>
        <v/>
      </c>
    </row>
    <row r="2698">
      <c r="A2698" t="inlineStr">
        <is>
          <t>19476197eb1991bedc8ce1c956fc9829</t>
        </is>
      </c>
      <c r="B2698" s="29" t="n">
        <v>43145</v>
      </c>
      <c r="C2698" t="inlineStr">
        <is>
          <t>2018-02</t>
        </is>
      </c>
      <c r="D2698" t="inlineStr">
        <is>
          <t>22c29808c4f815213303f8933030604c</t>
        </is>
      </c>
      <c r="E2698" t="inlineStr">
        <is>
          <t>organic_search</t>
        </is>
      </c>
      <c r="F2698">
        <f>IFERROR(MATCH(A2698,Deals!$A$2:$A$843,0),"")</f>
        <v/>
      </c>
      <c r="G2698">
        <f>IF(F2698="",0,1)</f>
        <v/>
      </c>
      <c r="H2698" s="29">
        <f>IF(F2698="","",INDEX(Deals!$E$2:$E$843,F2698))</f>
        <v/>
      </c>
      <c r="I2698">
        <f>IF(F2698="","",INDEX(Deals!$D$2:$D$843,F2698))</f>
        <v/>
      </c>
      <c r="J2698">
        <f>IF(F2698="","",INT(H2698)-B2698)</f>
        <v/>
      </c>
      <c r="K2698">
        <f>IF(B2698&gt;=Settings!$C$5,1,0)</f>
        <v/>
      </c>
    </row>
    <row r="2699">
      <c r="A2699" t="inlineStr">
        <is>
          <t>0338bf13624f52beaca91ec4a23c860c</t>
        </is>
      </c>
      <c r="B2699" s="29" t="n">
        <v>43195</v>
      </c>
      <c r="C2699" t="inlineStr">
        <is>
          <t>2018-04</t>
        </is>
      </c>
      <c r="D2699" t="inlineStr">
        <is>
          <t>22c29808c4f815213303f8933030604c</t>
        </is>
      </c>
      <c r="E2699" t="inlineStr">
        <is>
          <t>display</t>
        </is>
      </c>
      <c r="F2699">
        <f>IFERROR(MATCH(A2699,Deals!$A$2:$A$843,0),"")</f>
        <v/>
      </c>
      <c r="G2699">
        <f>IF(F2699="",0,1)</f>
        <v/>
      </c>
      <c r="H2699" s="29">
        <f>IF(F2699="","",INDEX(Deals!$E$2:$E$843,F2699))</f>
        <v/>
      </c>
      <c r="I2699">
        <f>IF(F2699="","",INDEX(Deals!$D$2:$D$843,F2699))</f>
        <v/>
      </c>
      <c r="J2699">
        <f>IF(F2699="","",INT(H2699)-B2699)</f>
        <v/>
      </c>
      <c r="K2699">
        <f>IF(B2699&gt;=Settings!$C$5,1,0)</f>
        <v/>
      </c>
    </row>
    <row r="2700">
      <c r="A2700" t="inlineStr">
        <is>
          <t>5eff46c7fc603910e15eb944d97c13c0</t>
        </is>
      </c>
      <c r="B2700" s="29" t="n">
        <v>43182</v>
      </c>
      <c r="C2700" t="inlineStr">
        <is>
          <t>2018-03</t>
        </is>
      </c>
      <c r="D2700" t="inlineStr">
        <is>
          <t>22c29808c4f815213303f8933030604c</t>
        </is>
      </c>
      <c r="E2700" t="inlineStr">
        <is>
          <t>organic_search</t>
        </is>
      </c>
      <c r="F2700">
        <f>IFERROR(MATCH(A2700,Deals!$A$2:$A$843,0),"")</f>
        <v/>
      </c>
      <c r="G2700">
        <f>IF(F2700="",0,1)</f>
        <v/>
      </c>
      <c r="H2700" s="29">
        <f>IF(F2700="","",INDEX(Deals!$E$2:$E$843,F2700))</f>
        <v/>
      </c>
      <c r="I2700">
        <f>IF(F2700="","",INDEX(Deals!$D$2:$D$843,F2700))</f>
        <v/>
      </c>
      <c r="J2700">
        <f>IF(F2700="","",INT(H2700)-B2700)</f>
        <v/>
      </c>
      <c r="K2700">
        <f>IF(B2700&gt;=Settings!$C$5,1,0)</f>
        <v/>
      </c>
    </row>
    <row r="2701">
      <c r="A2701" t="inlineStr">
        <is>
          <t>49d3b4db2721b0aa94033cd2bbbdde43</t>
        </is>
      </c>
      <c r="B2701" s="29" t="n">
        <v>43229</v>
      </c>
      <c r="C2701" t="inlineStr">
        <is>
          <t>2018-05</t>
        </is>
      </c>
      <c r="D2701" t="inlineStr">
        <is>
          <t>35c9b150ab36fe584c1f24fd458c453a</t>
        </is>
      </c>
      <c r="E2701" t="inlineStr">
        <is>
          <t>paid_search</t>
        </is>
      </c>
      <c r="F2701">
        <f>IFERROR(MATCH(A2701,Deals!$A$2:$A$843,0),"")</f>
        <v/>
      </c>
      <c r="G2701">
        <f>IF(F2701="",0,1)</f>
        <v/>
      </c>
      <c r="H2701" s="29">
        <f>IF(F2701="","",INDEX(Deals!$E$2:$E$843,F2701))</f>
        <v/>
      </c>
      <c r="I2701">
        <f>IF(F2701="","",INDEX(Deals!$D$2:$D$843,F2701))</f>
        <v/>
      </c>
      <c r="J2701">
        <f>IF(F2701="","",INT(H2701)-B2701)</f>
        <v/>
      </c>
      <c r="K2701">
        <f>IF(B2701&gt;=Settings!$C$5,1,0)</f>
        <v/>
      </c>
    </row>
    <row r="2702">
      <c r="A2702" t="inlineStr">
        <is>
          <t>245e57794c369c8617378e285ee9755c</t>
        </is>
      </c>
      <c r="B2702" s="29" t="n">
        <v>43181</v>
      </c>
      <c r="C2702" t="inlineStr">
        <is>
          <t>2018-03</t>
        </is>
      </c>
      <c r="D2702" t="inlineStr">
        <is>
          <t>b76ef37428e6799c421989521c0e5077</t>
        </is>
      </c>
      <c r="E2702" t="inlineStr">
        <is>
          <t>unknown</t>
        </is>
      </c>
      <c r="F2702">
        <f>IFERROR(MATCH(A2702,Deals!$A$2:$A$843,0),"")</f>
        <v/>
      </c>
      <c r="G2702">
        <f>IF(F2702="",0,1)</f>
        <v/>
      </c>
      <c r="H2702" s="29">
        <f>IF(F2702="","",INDEX(Deals!$E$2:$E$843,F2702))</f>
        <v/>
      </c>
      <c r="I2702">
        <f>IF(F2702="","",INDEX(Deals!$D$2:$D$843,F2702))</f>
        <v/>
      </c>
      <c r="J2702">
        <f>IF(F2702="","",INT(H2702)-B2702)</f>
        <v/>
      </c>
      <c r="K2702">
        <f>IF(B2702&gt;=Settings!$C$5,1,0)</f>
        <v/>
      </c>
    </row>
    <row r="2703">
      <c r="A2703" t="inlineStr">
        <is>
          <t>b5ab90fa9773176f49e9e5c51fbfac9f</t>
        </is>
      </c>
      <c r="B2703" s="29" t="n">
        <v>42985</v>
      </c>
      <c r="C2703" t="inlineStr">
        <is>
          <t>2017-09</t>
        </is>
      </c>
      <c r="D2703" t="inlineStr">
        <is>
          <t>e42a14209c69c3e9cc6b042620465f12</t>
        </is>
      </c>
      <c r="E2703" t="inlineStr">
        <is>
          <t>email</t>
        </is>
      </c>
      <c r="F2703">
        <f>IFERROR(MATCH(A2703,Deals!$A$2:$A$843,0),"")</f>
        <v/>
      </c>
      <c r="G2703">
        <f>IF(F2703="",0,1)</f>
        <v/>
      </c>
      <c r="H2703" s="29">
        <f>IF(F2703="","",INDEX(Deals!$E$2:$E$843,F2703))</f>
        <v/>
      </c>
      <c r="I2703">
        <f>IF(F2703="","",INDEX(Deals!$D$2:$D$843,F2703))</f>
        <v/>
      </c>
      <c r="J2703">
        <f>IF(F2703="","",INT(H2703)-B2703)</f>
        <v/>
      </c>
      <c r="K2703">
        <f>IF(B2703&gt;=Settings!$C$5,1,0)</f>
        <v/>
      </c>
    </row>
    <row r="2704">
      <c r="A2704" t="inlineStr">
        <is>
          <t>6b68749e7c77847afa55dd65082ab603</t>
        </is>
      </c>
      <c r="B2704" s="29" t="n">
        <v>43179</v>
      </c>
      <c r="C2704" t="inlineStr">
        <is>
          <t>2018-03</t>
        </is>
      </c>
      <c r="D2704" t="inlineStr">
        <is>
          <t>dcdbbb0bb43f5c9ea457a8363db87e73</t>
        </is>
      </c>
      <c r="E2704" t="inlineStr">
        <is>
          <t>paid_search</t>
        </is>
      </c>
      <c r="F2704">
        <f>IFERROR(MATCH(A2704,Deals!$A$2:$A$843,0),"")</f>
        <v/>
      </c>
      <c r="G2704">
        <f>IF(F2704="",0,1)</f>
        <v/>
      </c>
      <c r="H2704" s="29">
        <f>IF(F2704="","",INDEX(Deals!$E$2:$E$843,F2704))</f>
        <v/>
      </c>
      <c r="I2704">
        <f>IF(F2704="","",INDEX(Deals!$D$2:$D$843,F2704))</f>
        <v/>
      </c>
      <c r="J2704">
        <f>IF(F2704="","",INT(H2704)-B2704)</f>
        <v/>
      </c>
      <c r="K2704">
        <f>IF(B2704&gt;=Settings!$C$5,1,0)</f>
        <v/>
      </c>
    </row>
    <row r="2705">
      <c r="A2705" t="inlineStr">
        <is>
          <t>6bca76cea8f3c180cd035d70f9bc7b0c</t>
        </is>
      </c>
      <c r="B2705" s="29" t="n">
        <v>43009</v>
      </c>
      <c r="C2705" t="inlineStr">
        <is>
          <t>2017-10</t>
        </is>
      </c>
      <c r="D2705" t="inlineStr">
        <is>
          <t>c2f7f172d3275d27cba772ab70ac3052</t>
        </is>
      </c>
      <c r="E2705" t="inlineStr">
        <is>
          <t>organic_search</t>
        </is>
      </c>
      <c r="F2705">
        <f>IFERROR(MATCH(A2705,Deals!$A$2:$A$843,0),"")</f>
        <v/>
      </c>
      <c r="G2705">
        <f>IF(F2705="",0,1)</f>
        <v/>
      </c>
      <c r="H2705" s="29">
        <f>IF(F2705="","",INDEX(Deals!$E$2:$E$843,F2705))</f>
        <v/>
      </c>
      <c r="I2705">
        <f>IF(F2705="","",INDEX(Deals!$D$2:$D$843,F2705))</f>
        <v/>
      </c>
      <c r="J2705">
        <f>IF(F2705="","",INT(H2705)-B2705)</f>
        <v/>
      </c>
      <c r="K2705">
        <f>IF(B2705&gt;=Settings!$C$5,1,0)</f>
        <v/>
      </c>
    </row>
    <row r="2706">
      <c r="A2706" t="inlineStr">
        <is>
          <t>ccb946faf2ff655ccffee7f306a81888</t>
        </is>
      </c>
      <c r="B2706" s="29" t="n">
        <v>42998</v>
      </c>
      <c r="C2706" t="inlineStr">
        <is>
          <t>2017-09</t>
        </is>
      </c>
      <c r="D2706" t="inlineStr">
        <is>
          <t>dd6f55db3947b0aeaadb65a610334799</t>
        </is>
      </c>
      <c r="E2706" t="inlineStr">
        <is>
          <t>direct_traffic</t>
        </is>
      </c>
      <c r="F2706">
        <f>IFERROR(MATCH(A2706,Deals!$A$2:$A$843,0),"")</f>
        <v/>
      </c>
      <c r="G2706">
        <f>IF(F2706="",0,1)</f>
        <v/>
      </c>
      <c r="H2706" s="29">
        <f>IF(F2706="","",INDEX(Deals!$E$2:$E$843,F2706))</f>
        <v/>
      </c>
      <c r="I2706">
        <f>IF(F2706="","",INDEX(Deals!$D$2:$D$843,F2706))</f>
        <v/>
      </c>
      <c r="J2706">
        <f>IF(F2706="","",INT(H2706)-B2706)</f>
        <v/>
      </c>
      <c r="K2706">
        <f>IF(B2706&gt;=Settings!$C$5,1,0)</f>
        <v/>
      </c>
    </row>
    <row r="2707">
      <c r="A2707" t="inlineStr">
        <is>
          <t>cbfad8cfc479906fe118a2696d34ee4f</t>
        </is>
      </c>
      <c r="B2707" s="29" t="n">
        <v>43204</v>
      </c>
      <c r="C2707" t="inlineStr">
        <is>
          <t>2018-04</t>
        </is>
      </c>
      <c r="D2707" t="inlineStr">
        <is>
          <t>e534a08b23c682d94859d0ab860bd57a</t>
        </is>
      </c>
      <c r="E2707" t="inlineStr">
        <is>
          <t>organic_search</t>
        </is>
      </c>
      <c r="F2707">
        <f>IFERROR(MATCH(A2707,Deals!$A$2:$A$843,0),"")</f>
        <v/>
      </c>
      <c r="G2707">
        <f>IF(F2707="",0,1)</f>
        <v/>
      </c>
      <c r="H2707" s="29">
        <f>IF(F2707="","",INDEX(Deals!$E$2:$E$843,F2707))</f>
        <v/>
      </c>
      <c r="I2707">
        <f>IF(F2707="","",INDEX(Deals!$D$2:$D$843,F2707))</f>
        <v/>
      </c>
      <c r="J2707">
        <f>IF(F2707="","",INT(H2707)-B2707)</f>
        <v/>
      </c>
      <c r="K2707">
        <f>IF(B2707&gt;=Settings!$C$5,1,0)</f>
        <v/>
      </c>
    </row>
    <row r="2708">
      <c r="A2708" t="inlineStr">
        <is>
          <t>a0260f9d42dabf3b109e60acef594ad0</t>
        </is>
      </c>
      <c r="B2708" s="29" t="n">
        <v>43151</v>
      </c>
      <c r="C2708" t="inlineStr">
        <is>
          <t>2018-02</t>
        </is>
      </c>
      <c r="D2708" t="inlineStr">
        <is>
          <t>73f31a40697cc90a86c1273563ac230e</t>
        </is>
      </c>
      <c r="E2708" t="inlineStr">
        <is>
          <t>other</t>
        </is>
      </c>
      <c r="F2708">
        <f>IFERROR(MATCH(A2708,Deals!$A$2:$A$843,0),"")</f>
        <v/>
      </c>
      <c r="G2708">
        <f>IF(F2708="",0,1)</f>
        <v/>
      </c>
      <c r="H2708" s="29">
        <f>IF(F2708="","",INDEX(Deals!$E$2:$E$843,F2708))</f>
        <v/>
      </c>
      <c r="I2708">
        <f>IF(F2708="","",INDEX(Deals!$D$2:$D$843,F2708))</f>
        <v/>
      </c>
      <c r="J2708">
        <f>IF(F2708="","",INT(H2708)-B2708)</f>
        <v/>
      </c>
      <c r="K2708">
        <f>IF(B2708&gt;=Settings!$C$5,1,0)</f>
        <v/>
      </c>
    </row>
    <row r="2709">
      <c r="A2709" t="inlineStr">
        <is>
          <t>9271667269fe565003bebc03c3c03444</t>
        </is>
      </c>
      <c r="B2709" s="29" t="n">
        <v>43049</v>
      </c>
      <c r="C2709" t="inlineStr">
        <is>
          <t>2017-11</t>
        </is>
      </c>
      <c r="D2709" t="inlineStr">
        <is>
          <t>f03e241af08912ba7ffb65d69b0eb4d9</t>
        </is>
      </c>
      <c r="E2709" t="inlineStr">
        <is>
          <t>organic_search</t>
        </is>
      </c>
      <c r="F2709">
        <f>IFERROR(MATCH(A2709,Deals!$A$2:$A$843,0),"")</f>
        <v/>
      </c>
      <c r="G2709">
        <f>IF(F2709="",0,1)</f>
        <v/>
      </c>
      <c r="H2709" s="29">
        <f>IF(F2709="","",INDEX(Deals!$E$2:$E$843,F2709))</f>
        <v/>
      </c>
      <c r="I2709">
        <f>IF(F2709="","",INDEX(Deals!$D$2:$D$843,F2709))</f>
        <v/>
      </c>
      <c r="J2709">
        <f>IF(F2709="","",INT(H2709)-B2709)</f>
        <v/>
      </c>
      <c r="K2709">
        <f>IF(B2709&gt;=Settings!$C$5,1,0)</f>
        <v/>
      </c>
    </row>
    <row r="2710">
      <c r="A2710" t="inlineStr">
        <is>
          <t>24cc88c5956669234ce6c4dcb803c715</t>
        </is>
      </c>
      <c r="B2710" s="29" t="n">
        <v>43201</v>
      </c>
      <c r="C2710" t="inlineStr">
        <is>
          <t>2018-04</t>
        </is>
      </c>
      <c r="D2710" t="inlineStr">
        <is>
          <t>b76ef37428e6799c421989521c0e5077</t>
        </is>
      </c>
      <c r="E2710" t="inlineStr">
        <is>
          <t>unknown</t>
        </is>
      </c>
      <c r="F2710">
        <f>IFERROR(MATCH(A2710,Deals!$A$2:$A$843,0),"")</f>
        <v/>
      </c>
      <c r="G2710">
        <f>IF(F2710="",0,1)</f>
        <v/>
      </c>
      <c r="H2710" s="29">
        <f>IF(F2710="","",INDEX(Deals!$E$2:$E$843,F2710))</f>
        <v/>
      </c>
      <c r="I2710">
        <f>IF(F2710="","",INDEX(Deals!$D$2:$D$843,F2710))</f>
        <v/>
      </c>
      <c r="J2710">
        <f>IF(F2710="","",INT(H2710)-B2710)</f>
        <v/>
      </c>
      <c r="K2710">
        <f>IF(B2710&gt;=Settings!$C$5,1,0)</f>
        <v/>
      </c>
    </row>
    <row r="2711">
      <c r="A2711" t="inlineStr">
        <is>
          <t>bead7746a397e7cba55be9edd37486ba</t>
        </is>
      </c>
      <c r="B2711" s="29" t="n">
        <v>43220</v>
      </c>
      <c r="C2711" t="inlineStr">
        <is>
          <t>2018-04</t>
        </is>
      </c>
      <c r="D2711" t="inlineStr">
        <is>
          <t>f017be4dbf86243af5c1ebed0cff36a2</t>
        </is>
      </c>
      <c r="E2711" t="inlineStr">
        <is>
          <t>referral</t>
        </is>
      </c>
      <c r="F2711">
        <f>IFERROR(MATCH(A2711,Deals!$A$2:$A$843,0),"")</f>
        <v/>
      </c>
      <c r="G2711">
        <f>IF(F2711="",0,1)</f>
        <v/>
      </c>
      <c r="H2711" s="29">
        <f>IF(F2711="","",INDEX(Deals!$E$2:$E$843,F2711))</f>
        <v/>
      </c>
      <c r="I2711">
        <f>IF(F2711="","",INDEX(Deals!$D$2:$D$843,F2711))</f>
        <v/>
      </c>
      <c r="J2711">
        <f>IF(F2711="","",INT(H2711)-B2711)</f>
        <v/>
      </c>
      <c r="K2711">
        <f>IF(B2711&gt;=Settings!$C$5,1,0)</f>
        <v/>
      </c>
    </row>
    <row r="2712">
      <c r="A2712" t="inlineStr">
        <is>
          <t>9d2f78b13eda78c1cb7627677db9935f</t>
        </is>
      </c>
      <c r="B2712" s="29" t="n">
        <v>43242</v>
      </c>
      <c r="C2712" t="inlineStr">
        <is>
          <t>2018-05</t>
        </is>
      </c>
      <c r="D2712" t="inlineStr">
        <is>
          <t>22c29808c4f815213303f8933030604c</t>
        </is>
      </c>
      <c r="E2712" t="inlineStr">
        <is>
          <t>paid_search</t>
        </is>
      </c>
      <c r="F2712">
        <f>IFERROR(MATCH(A2712,Deals!$A$2:$A$843,0),"")</f>
        <v/>
      </c>
      <c r="G2712">
        <f>IF(F2712="",0,1)</f>
        <v/>
      </c>
      <c r="H2712" s="29">
        <f>IF(F2712="","",INDEX(Deals!$E$2:$E$843,F2712))</f>
        <v/>
      </c>
      <c r="I2712">
        <f>IF(F2712="","",INDEX(Deals!$D$2:$D$843,F2712))</f>
        <v/>
      </c>
      <c r="J2712">
        <f>IF(F2712="","",INT(H2712)-B2712)</f>
        <v/>
      </c>
      <c r="K2712">
        <f>IF(B2712&gt;=Settings!$C$5,1,0)</f>
        <v/>
      </c>
    </row>
    <row r="2713">
      <c r="A2713" t="inlineStr">
        <is>
          <t>b9ed46d1ff01c4fb8e3f2453091804d0</t>
        </is>
      </c>
      <c r="B2713" s="29" t="n">
        <v>43229</v>
      </c>
      <c r="C2713" t="inlineStr">
        <is>
          <t>2018-05</t>
        </is>
      </c>
      <c r="D2713" t="inlineStr">
        <is>
          <t>22c29808c4f815213303f8933030604c</t>
        </is>
      </c>
      <c r="E2713" t="inlineStr">
        <is>
          <t>organic_search</t>
        </is>
      </c>
      <c r="F2713">
        <f>IFERROR(MATCH(A2713,Deals!$A$2:$A$843,0),"")</f>
        <v/>
      </c>
      <c r="G2713">
        <f>IF(F2713="",0,1)</f>
        <v/>
      </c>
      <c r="H2713" s="29">
        <f>IF(F2713="","",INDEX(Deals!$E$2:$E$843,F2713))</f>
        <v/>
      </c>
      <c r="I2713">
        <f>IF(F2713="","",INDEX(Deals!$D$2:$D$843,F2713))</f>
        <v/>
      </c>
      <c r="J2713">
        <f>IF(F2713="","",INT(H2713)-B2713)</f>
        <v/>
      </c>
      <c r="K2713">
        <f>IF(B2713&gt;=Settings!$C$5,1,0)</f>
        <v/>
      </c>
    </row>
    <row r="2714">
      <c r="A2714" t="inlineStr">
        <is>
          <t>0d173a5f998a6ce4a461508bd6e72668</t>
        </is>
      </c>
      <c r="B2714" s="29" t="n">
        <v>42998</v>
      </c>
      <c r="C2714" t="inlineStr">
        <is>
          <t>2017-09</t>
        </is>
      </c>
      <c r="D2714" t="inlineStr">
        <is>
          <t>ce1a65abd0973638f1c887a6efcfa82d</t>
        </is>
      </c>
      <c r="E2714" t="inlineStr">
        <is>
          <t>paid_search</t>
        </is>
      </c>
      <c r="F2714">
        <f>IFERROR(MATCH(A2714,Deals!$A$2:$A$843,0),"")</f>
        <v/>
      </c>
      <c r="G2714">
        <f>IF(F2714="",0,1)</f>
        <v/>
      </c>
      <c r="H2714" s="29">
        <f>IF(F2714="","",INDEX(Deals!$E$2:$E$843,F2714))</f>
        <v/>
      </c>
      <c r="I2714">
        <f>IF(F2714="","",INDEX(Deals!$D$2:$D$843,F2714))</f>
        <v/>
      </c>
      <c r="J2714">
        <f>IF(F2714="","",INT(H2714)-B2714)</f>
        <v/>
      </c>
      <c r="K2714">
        <f>IF(B2714&gt;=Settings!$C$5,1,0)</f>
        <v/>
      </c>
    </row>
    <row r="2715">
      <c r="A2715" t="inlineStr">
        <is>
          <t>b44bb13a1a7c7fe75b44a21c85b4a035</t>
        </is>
      </c>
      <c r="B2715" s="29" t="n">
        <v>42997</v>
      </c>
      <c r="C2715" t="inlineStr">
        <is>
          <t>2017-09</t>
        </is>
      </c>
      <c r="D2715" t="inlineStr">
        <is>
          <t>c79bafc4a099ff23e3bab1534797fb45</t>
        </is>
      </c>
      <c r="E2715" t="inlineStr">
        <is>
          <t>paid_search</t>
        </is>
      </c>
      <c r="F2715">
        <f>IFERROR(MATCH(A2715,Deals!$A$2:$A$843,0),"")</f>
        <v/>
      </c>
      <c r="G2715">
        <f>IF(F2715="",0,1)</f>
        <v/>
      </c>
      <c r="H2715" s="29">
        <f>IF(F2715="","",INDEX(Deals!$E$2:$E$843,F2715))</f>
        <v/>
      </c>
      <c r="I2715">
        <f>IF(F2715="","",INDEX(Deals!$D$2:$D$843,F2715))</f>
        <v/>
      </c>
      <c r="J2715">
        <f>IF(F2715="","",INT(H2715)-B2715)</f>
        <v/>
      </c>
      <c r="K2715">
        <f>IF(B2715&gt;=Settings!$C$5,1,0)</f>
        <v/>
      </c>
    </row>
    <row r="2716">
      <c r="A2716" t="inlineStr">
        <is>
          <t>5180c117b826676fbc02291d16ffd03d</t>
        </is>
      </c>
      <c r="B2716" s="29" t="n">
        <v>43067</v>
      </c>
      <c r="C2716" t="inlineStr">
        <is>
          <t>2017-11</t>
        </is>
      </c>
      <c r="D2716" t="inlineStr">
        <is>
          <t>b76ef37428e6799c421989521c0e5077</t>
        </is>
      </c>
      <c r="E2716" t="inlineStr">
        <is>
          <t>unknown</t>
        </is>
      </c>
      <c r="F2716">
        <f>IFERROR(MATCH(A2716,Deals!$A$2:$A$843,0),"")</f>
        <v/>
      </c>
      <c r="G2716">
        <f>IF(F2716="",0,1)</f>
        <v/>
      </c>
      <c r="H2716" s="29">
        <f>IF(F2716="","",INDEX(Deals!$E$2:$E$843,F2716))</f>
        <v/>
      </c>
      <c r="I2716">
        <f>IF(F2716="","",INDEX(Deals!$D$2:$D$843,F2716))</f>
        <v/>
      </c>
      <c r="J2716">
        <f>IF(F2716="","",INT(H2716)-B2716)</f>
        <v/>
      </c>
      <c r="K2716">
        <f>IF(B2716&gt;=Settings!$C$5,1,0)</f>
        <v/>
      </c>
    </row>
    <row r="2717">
      <c r="A2717" t="inlineStr">
        <is>
          <t>bf5a72f10c8a5910f76537e4a7ed07dc</t>
        </is>
      </c>
      <c r="B2717" s="29" t="n">
        <v>43152</v>
      </c>
      <c r="C2717" t="inlineStr">
        <is>
          <t>2018-02</t>
        </is>
      </c>
      <c r="D2717" t="inlineStr">
        <is>
          <t>8e3b5d566a45e76ba85c3a2e34428668</t>
        </is>
      </c>
      <c r="E2717" t="inlineStr">
        <is>
          <t>unknown</t>
        </is>
      </c>
      <c r="F2717">
        <f>IFERROR(MATCH(A2717,Deals!$A$2:$A$843,0),"")</f>
        <v/>
      </c>
      <c r="G2717">
        <f>IF(F2717="",0,1)</f>
        <v/>
      </c>
      <c r="H2717" s="29">
        <f>IF(F2717="","",INDEX(Deals!$E$2:$E$843,F2717))</f>
        <v/>
      </c>
      <c r="I2717">
        <f>IF(F2717="","",INDEX(Deals!$D$2:$D$843,F2717))</f>
        <v/>
      </c>
      <c r="J2717">
        <f>IF(F2717="","",INT(H2717)-B2717)</f>
        <v/>
      </c>
      <c r="K2717">
        <f>IF(B2717&gt;=Settings!$C$5,1,0)</f>
        <v/>
      </c>
    </row>
    <row r="2718">
      <c r="A2718" t="inlineStr">
        <is>
          <t>ad0c3f343a1862b516d46b7344ffc209</t>
        </is>
      </c>
      <c r="B2718" s="29" t="n">
        <v>43244</v>
      </c>
      <c r="C2718" t="inlineStr">
        <is>
          <t>2018-05</t>
        </is>
      </c>
      <c r="D2718" t="inlineStr">
        <is>
          <t>22c29808c4f815213303f8933030604c</t>
        </is>
      </c>
      <c r="E2718" t="inlineStr">
        <is>
          <t>organic_search</t>
        </is>
      </c>
      <c r="F2718">
        <f>IFERROR(MATCH(A2718,Deals!$A$2:$A$843,0),"")</f>
        <v/>
      </c>
      <c r="G2718">
        <f>IF(F2718="",0,1)</f>
        <v/>
      </c>
      <c r="H2718" s="29">
        <f>IF(F2718="","",INDEX(Deals!$E$2:$E$843,F2718))</f>
        <v/>
      </c>
      <c r="I2718">
        <f>IF(F2718="","",INDEX(Deals!$D$2:$D$843,F2718))</f>
        <v/>
      </c>
      <c r="J2718">
        <f>IF(F2718="","",INT(H2718)-B2718)</f>
        <v/>
      </c>
      <c r="K2718">
        <f>IF(B2718&gt;=Settings!$C$5,1,0)</f>
        <v/>
      </c>
    </row>
    <row r="2719">
      <c r="A2719" t="inlineStr">
        <is>
          <t>e363d655ac00b1517a688689f4295eaf</t>
        </is>
      </c>
      <c r="B2719" s="29" t="n">
        <v>43125</v>
      </c>
      <c r="C2719" t="inlineStr">
        <is>
          <t>2018-01</t>
        </is>
      </c>
      <c r="D2719" t="inlineStr">
        <is>
          <t>da14b7e2eb0d1eecf65abbd05a31c87d</t>
        </is>
      </c>
      <c r="E2719" t="inlineStr">
        <is>
          <t>organic_search</t>
        </is>
      </c>
      <c r="F2719">
        <f>IFERROR(MATCH(A2719,Deals!$A$2:$A$843,0),"")</f>
        <v/>
      </c>
      <c r="G2719">
        <f>IF(F2719="",0,1)</f>
        <v/>
      </c>
      <c r="H2719" s="29">
        <f>IF(F2719="","",INDEX(Deals!$E$2:$E$843,F2719))</f>
        <v/>
      </c>
      <c r="I2719">
        <f>IF(F2719="","",INDEX(Deals!$D$2:$D$843,F2719))</f>
        <v/>
      </c>
      <c r="J2719">
        <f>IF(F2719="","",INT(H2719)-B2719)</f>
        <v/>
      </c>
      <c r="K2719">
        <f>IF(B2719&gt;=Settings!$C$5,1,0)</f>
        <v/>
      </c>
    </row>
    <row r="2720">
      <c r="A2720" t="inlineStr">
        <is>
          <t>6b6ed5a249b7e07c8579fe97e165423e</t>
        </is>
      </c>
      <c r="B2720" s="29" t="n">
        <v>43164</v>
      </c>
      <c r="C2720" t="inlineStr">
        <is>
          <t>2018-03</t>
        </is>
      </c>
      <c r="D2720" t="inlineStr">
        <is>
          <t>7fa6214d82e911d070f51ef79381b956</t>
        </is>
      </c>
      <c r="E2720" t="inlineStr">
        <is>
          <t>direct_traffic</t>
        </is>
      </c>
      <c r="F2720">
        <f>IFERROR(MATCH(A2720,Deals!$A$2:$A$843,0),"")</f>
        <v/>
      </c>
      <c r="G2720">
        <f>IF(F2720="",0,1)</f>
        <v/>
      </c>
      <c r="H2720" s="29">
        <f>IF(F2720="","",INDEX(Deals!$E$2:$E$843,F2720))</f>
        <v/>
      </c>
      <c r="I2720">
        <f>IF(F2720="","",INDEX(Deals!$D$2:$D$843,F2720))</f>
        <v/>
      </c>
      <c r="J2720">
        <f>IF(F2720="","",INT(H2720)-B2720)</f>
        <v/>
      </c>
      <c r="K2720">
        <f>IF(B2720&gt;=Settings!$C$5,1,0)</f>
        <v/>
      </c>
    </row>
    <row r="2721">
      <c r="A2721" t="inlineStr">
        <is>
          <t>9cad35fe6e63c2113d38a7c97b4a919c</t>
        </is>
      </c>
      <c r="B2721" s="29" t="n">
        <v>43059</v>
      </c>
      <c r="C2721" t="inlineStr">
        <is>
          <t>2017-11</t>
        </is>
      </c>
      <c r="D2721" t="inlineStr">
        <is>
          <t>bddebc4f4d44106c427bd00695840e64</t>
        </is>
      </c>
      <c r="E2721" t="inlineStr">
        <is>
          <t>unknown</t>
        </is>
      </c>
      <c r="F2721">
        <f>IFERROR(MATCH(A2721,Deals!$A$2:$A$843,0),"")</f>
        <v/>
      </c>
      <c r="G2721">
        <f>IF(F2721="",0,1)</f>
        <v/>
      </c>
      <c r="H2721" s="29">
        <f>IF(F2721="","",INDEX(Deals!$E$2:$E$843,F2721))</f>
        <v/>
      </c>
      <c r="I2721">
        <f>IF(F2721="","",INDEX(Deals!$D$2:$D$843,F2721))</f>
        <v/>
      </c>
      <c r="J2721">
        <f>IF(F2721="","",INT(H2721)-B2721)</f>
        <v/>
      </c>
      <c r="K2721">
        <f>IF(B2721&gt;=Settings!$C$5,1,0)</f>
        <v/>
      </c>
    </row>
    <row r="2722">
      <c r="A2722" t="inlineStr">
        <is>
          <t>a8edd0eb1714923dd0ad7fcb1ec305de</t>
        </is>
      </c>
      <c r="B2722" s="29" t="n">
        <v>43188</v>
      </c>
      <c r="C2722" t="inlineStr">
        <is>
          <t>2018-03</t>
        </is>
      </c>
      <c r="D2722" t="inlineStr">
        <is>
          <t>54d5e01ab35155d4bd8cf723fc6f04a0</t>
        </is>
      </c>
      <c r="E2722" t="inlineStr">
        <is>
          <t>display</t>
        </is>
      </c>
      <c r="F2722">
        <f>IFERROR(MATCH(A2722,Deals!$A$2:$A$843,0),"")</f>
        <v/>
      </c>
      <c r="G2722">
        <f>IF(F2722="",0,1)</f>
        <v/>
      </c>
      <c r="H2722" s="29">
        <f>IF(F2722="","",INDEX(Deals!$E$2:$E$843,F2722))</f>
        <v/>
      </c>
      <c r="I2722">
        <f>IF(F2722="","",INDEX(Deals!$D$2:$D$843,F2722))</f>
        <v/>
      </c>
      <c r="J2722">
        <f>IF(F2722="","",INT(H2722)-B2722)</f>
        <v/>
      </c>
      <c r="K2722">
        <f>IF(B2722&gt;=Settings!$C$5,1,0)</f>
        <v/>
      </c>
    </row>
    <row r="2723">
      <c r="A2723" t="inlineStr">
        <is>
          <t>8cbf80b9807fe5a9303612d700338aba</t>
        </is>
      </c>
      <c r="B2723" s="29" t="n">
        <v>43244</v>
      </c>
      <c r="C2723" t="inlineStr">
        <is>
          <t>2018-05</t>
        </is>
      </c>
      <c r="D2723" t="inlineStr">
        <is>
          <t>58326e62183c14b0c03085c33b9fdc44</t>
        </is>
      </c>
      <c r="E2723" t="inlineStr">
        <is>
          <t>social</t>
        </is>
      </c>
      <c r="F2723">
        <f>IFERROR(MATCH(A2723,Deals!$A$2:$A$843,0),"")</f>
        <v/>
      </c>
      <c r="G2723">
        <f>IF(F2723="",0,1)</f>
        <v/>
      </c>
      <c r="H2723" s="29">
        <f>IF(F2723="","",INDEX(Deals!$E$2:$E$843,F2723))</f>
        <v/>
      </c>
      <c r="I2723">
        <f>IF(F2723="","",INDEX(Deals!$D$2:$D$843,F2723))</f>
        <v/>
      </c>
      <c r="J2723">
        <f>IF(F2723="","",INT(H2723)-B2723)</f>
        <v/>
      </c>
      <c r="K2723">
        <f>IF(B2723&gt;=Settings!$C$5,1,0)</f>
        <v/>
      </c>
    </row>
    <row r="2724">
      <c r="A2724" t="inlineStr">
        <is>
          <t>8bd1189eabd85baf05782c2e1c463672</t>
        </is>
      </c>
      <c r="B2724" s="29" t="n">
        <v>43242</v>
      </c>
      <c r="C2724" t="inlineStr">
        <is>
          <t>2018-05</t>
        </is>
      </c>
      <c r="D2724" t="inlineStr">
        <is>
          <t>35c9b150ab36fe584c1f24fd458c453a</t>
        </is>
      </c>
      <c r="E2724" t="inlineStr">
        <is>
          <t>paid_search</t>
        </is>
      </c>
      <c r="F2724">
        <f>IFERROR(MATCH(A2724,Deals!$A$2:$A$843,0),"")</f>
        <v/>
      </c>
      <c r="G2724">
        <f>IF(F2724="",0,1)</f>
        <v/>
      </c>
      <c r="H2724" s="29">
        <f>IF(F2724="","",INDEX(Deals!$E$2:$E$843,F2724))</f>
        <v/>
      </c>
      <c r="I2724">
        <f>IF(F2724="","",INDEX(Deals!$D$2:$D$843,F2724))</f>
        <v/>
      </c>
      <c r="J2724">
        <f>IF(F2724="","",INT(H2724)-B2724)</f>
        <v/>
      </c>
      <c r="K2724">
        <f>IF(B2724&gt;=Settings!$C$5,1,0)</f>
        <v/>
      </c>
    </row>
    <row r="2725">
      <c r="A2725" t="inlineStr">
        <is>
          <t>598bb634aacec76b3f16edb4bda29a3f</t>
        </is>
      </c>
      <c r="B2725" s="29" t="n">
        <v>43222</v>
      </c>
      <c r="C2725" t="inlineStr">
        <is>
          <t>2018-05</t>
        </is>
      </c>
      <c r="D2725" t="inlineStr">
        <is>
          <t>fb58285f6f6c4e504dfa628de116cae8</t>
        </is>
      </c>
      <c r="E2725" t="inlineStr">
        <is>
          <t>email</t>
        </is>
      </c>
      <c r="F2725">
        <f>IFERROR(MATCH(A2725,Deals!$A$2:$A$843,0),"")</f>
        <v/>
      </c>
      <c r="G2725">
        <f>IF(F2725="",0,1)</f>
        <v/>
      </c>
      <c r="H2725" s="29">
        <f>IF(F2725="","",INDEX(Deals!$E$2:$E$843,F2725))</f>
        <v/>
      </c>
      <c r="I2725">
        <f>IF(F2725="","",INDEX(Deals!$D$2:$D$843,F2725))</f>
        <v/>
      </c>
      <c r="J2725">
        <f>IF(F2725="","",INT(H2725)-B2725)</f>
        <v/>
      </c>
      <c r="K2725">
        <f>IF(B2725&gt;=Settings!$C$5,1,0)</f>
        <v/>
      </c>
    </row>
    <row r="2726">
      <c r="A2726" t="inlineStr">
        <is>
          <t>6422800bdd4c6b0e4df31535c3f93c07</t>
        </is>
      </c>
      <c r="B2726" s="29" t="n">
        <v>43146</v>
      </c>
      <c r="C2726" t="inlineStr">
        <is>
          <t>2018-02</t>
        </is>
      </c>
      <c r="D2726" t="inlineStr">
        <is>
          <t>b16779a74f2b20eb9a17a785519f63a0</t>
        </is>
      </c>
      <c r="E2726" t="inlineStr">
        <is>
          <t>social</t>
        </is>
      </c>
      <c r="F2726">
        <f>IFERROR(MATCH(A2726,Deals!$A$2:$A$843,0),"")</f>
        <v/>
      </c>
      <c r="G2726">
        <f>IF(F2726="",0,1)</f>
        <v/>
      </c>
      <c r="H2726" s="29">
        <f>IF(F2726="","",INDEX(Deals!$E$2:$E$843,F2726))</f>
        <v/>
      </c>
      <c r="I2726">
        <f>IF(F2726="","",INDEX(Deals!$D$2:$D$843,F2726))</f>
        <v/>
      </c>
      <c r="J2726">
        <f>IF(F2726="","",INT(H2726)-B2726)</f>
        <v/>
      </c>
      <c r="K2726">
        <f>IF(B2726&gt;=Settings!$C$5,1,0)</f>
        <v/>
      </c>
    </row>
    <row r="2727">
      <c r="A2727" t="inlineStr">
        <is>
          <t>34c5d87943fe70502a8e9d5f758d92cb</t>
        </is>
      </c>
      <c r="B2727" s="29" t="n">
        <v>43217</v>
      </c>
      <c r="C2727" t="inlineStr">
        <is>
          <t>2018-04</t>
        </is>
      </c>
      <c r="D2727" t="inlineStr">
        <is>
          <t>e492ee5eaf1697716985cc6f33f9cd9b</t>
        </is>
      </c>
      <c r="E2727" t="inlineStr">
        <is>
          <t>direct_traffic</t>
        </is>
      </c>
      <c r="F2727">
        <f>IFERROR(MATCH(A2727,Deals!$A$2:$A$843,0),"")</f>
        <v/>
      </c>
      <c r="G2727">
        <f>IF(F2727="",0,1)</f>
        <v/>
      </c>
      <c r="H2727" s="29">
        <f>IF(F2727="","",INDEX(Deals!$E$2:$E$843,F2727))</f>
        <v/>
      </c>
      <c r="I2727">
        <f>IF(F2727="","",INDEX(Deals!$D$2:$D$843,F2727))</f>
        <v/>
      </c>
      <c r="J2727">
        <f>IF(F2727="","",INT(H2727)-B2727)</f>
        <v/>
      </c>
      <c r="K2727">
        <f>IF(B2727&gt;=Settings!$C$5,1,0)</f>
        <v/>
      </c>
    </row>
    <row r="2728">
      <c r="A2728" t="inlineStr">
        <is>
          <t>f766062778cfe284c267e9bb1bd5499d</t>
        </is>
      </c>
      <c r="B2728" s="29" t="n">
        <v>42947</v>
      </c>
      <c r="C2728" t="inlineStr">
        <is>
          <t>2017-07</t>
        </is>
      </c>
      <c r="D2728" t="inlineStr">
        <is>
          <t>7eb40e4e44fef8bff604b621119446c7</t>
        </is>
      </c>
      <c r="E2728" t="inlineStr">
        <is>
          <t>social</t>
        </is>
      </c>
      <c r="F2728">
        <f>IFERROR(MATCH(A2728,Deals!$A$2:$A$843,0),"")</f>
        <v/>
      </c>
      <c r="G2728">
        <f>IF(F2728="",0,1)</f>
        <v/>
      </c>
      <c r="H2728" s="29">
        <f>IF(F2728="","",INDEX(Deals!$E$2:$E$843,F2728))</f>
        <v/>
      </c>
      <c r="I2728">
        <f>IF(F2728="","",INDEX(Deals!$D$2:$D$843,F2728))</f>
        <v/>
      </c>
      <c r="J2728">
        <f>IF(F2728="","",INT(H2728)-B2728)</f>
        <v/>
      </c>
      <c r="K2728">
        <f>IF(B2728&gt;=Settings!$C$5,1,0)</f>
        <v/>
      </c>
    </row>
    <row r="2729">
      <c r="A2729" t="inlineStr">
        <is>
          <t>d23f1d1cd4efe77dac5482f856a9d12d</t>
        </is>
      </c>
      <c r="B2729" s="29" t="n">
        <v>43218</v>
      </c>
      <c r="C2729" t="inlineStr">
        <is>
          <t>2018-04</t>
        </is>
      </c>
      <c r="D2729" t="inlineStr">
        <is>
          <t>ce1a65abd0973638f1c887a6efcfa82d</t>
        </is>
      </c>
      <c r="E2729" t="inlineStr">
        <is>
          <t>organic_search</t>
        </is>
      </c>
      <c r="F2729">
        <f>IFERROR(MATCH(A2729,Deals!$A$2:$A$843,0),"")</f>
        <v/>
      </c>
      <c r="G2729">
        <f>IF(F2729="",0,1)</f>
        <v/>
      </c>
      <c r="H2729" s="29">
        <f>IF(F2729="","",INDEX(Deals!$E$2:$E$843,F2729))</f>
        <v/>
      </c>
      <c r="I2729">
        <f>IF(F2729="","",INDEX(Deals!$D$2:$D$843,F2729))</f>
        <v/>
      </c>
      <c r="J2729">
        <f>IF(F2729="","",INT(H2729)-B2729)</f>
        <v/>
      </c>
      <c r="K2729">
        <f>IF(B2729&gt;=Settings!$C$5,1,0)</f>
        <v/>
      </c>
    </row>
    <row r="2730">
      <c r="A2730" t="inlineStr">
        <is>
          <t>65b43ff2de82ea9f9df478f53b59feb9</t>
        </is>
      </c>
      <c r="B2730" s="29" t="n">
        <v>43248</v>
      </c>
      <c r="C2730" t="inlineStr">
        <is>
          <t>2018-05</t>
        </is>
      </c>
      <c r="D2730" t="inlineStr">
        <is>
          <t>58326e62183c14b0c03085c33b9fdc44</t>
        </is>
      </c>
      <c r="E2730" t="inlineStr">
        <is>
          <t>social</t>
        </is>
      </c>
      <c r="F2730">
        <f>IFERROR(MATCH(A2730,Deals!$A$2:$A$843,0),"")</f>
        <v/>
      </c>
      <c r="G2730">
        <f>IF(F2730="",0,1)</f>
        <v/>
      </c>
      <c r="H2730" s="29">
        <f>IF(F2730="","",INDEX(Deals!$E$2:$E$843,F2730))</f>
        <v/>
      </c>
      <c r="I2730">
        <f>IF(F2730="","",INDEX(Deals!$D$2:$D$843,F2730))</f>
        <v/>
      </c>
      <c r="J2730">
        <f>IF(F2730="","",INT(H2730)-B2730)</f>
        <v/>
      </c>
      <c r="K2730">
        <f>IF(B2730&gt;=Settings!$C$5,1,0)</f>
        <v/>
      </c>
    </row>
    <row r="2731">
      <c r="A2731" t="inlineStr">
        <is>
          <t>da0c03acd1f39210011e050871fa3570</t>
        </is>
      </c>
      <c r="B2731" s="29" t="n">
        <v>43146</v>
      </c>
      <c r="C2731" t="inlineStr">
        <is>
          <t>2018-02</t>
        </is>
      </c>
      <c r="D2731" t="inlineStr">
        <is>
          <t>ce1a65abd0973638f1c887a6efcfa82d</t>
        </is>
      </c>
      <c r="E2731" t="inlineStr">
        <is>
          <t>organic_search</t>
        </is>
      </c>
      <c r="F2731">
        <f>IFERROR(MATCH(A2731,Deals!$A$2:$A$843,0),"")</f>
        <v/>
      </c>
      <c r="G2731">
        <f>IF(F2731="",0,1)</f>
        <v/>
      </c>
      <c r="H2731" s="29">
        <f>IF(F2731="","",INDEX(Deals!$E$2:$E$843,F2731))</f>
        <v/>
      </c>
      <c r="I2731">
        <f>IF(F2731="","",INDEX(Deals!$D$2:$D$843,F2731))</f>
        <v/>
      </c>
      <c r="J2731">
        <f>IF(F2731="","",INT(H2731)-B2731)</f>
        <v/>
      </c>
      <c r="K2731">
        <f>IF(B2731&gt;=Settings!$C$5,1,0)</f>
        <v/>
      </c>
    </row>
    <row r="2732">
      <c r="A2732" t="inlineStr">
        <is>
          <t>518fe3cd7d052ab4bc27c50d5584d8b2</t>
        </is>
      </c>
      <c r="B2732" s="29" t="n">
        <v>43065</v>
      </c>
      <c r="C2732" t="inlineStr">
        <is>
          <t>2017-11</t>
        </is>
      </c>
      <c r="D2732" t="inlineStr">
        <is>
          <t>40dec9f3d5259a3d2dbcdab2114fae47</t>
        </is>
      </c>
      <c r="E2732" t="inlineStr">
        <is>
          <t>paid_search</t>
        </is>
      </c>
      <c r="F2732">
        <f>IFERROR(MATCH(A2732,Deals!$A$2:$A$843,0),"")</f>
        <v/>
      </c>
      <c r="G2732">
        <f>IF(F2732="",0,1)</f>
        <v/>
      </c>
      <c r="H2732" s="29">
        <f>IF(F2732="","",INDEX(Deals!$E$2:$E$843,F2732))</f>
        <v/>
      </c>
      <c r="I2732">
        <f>IF(F2732="","",INDEX(Deals!$D$2:$D$843,F2732))</f>
        <v/>
      </c>
      <c r="J2732">
        <f>IF(F2732="","",INT(H2732)-B2732)</f>
        <v/>
      </c>
      <c r="K2732">
        <f>IF(B2732&gt;=Settings!$C$5,1,0)</f>
        <v/>
      </c>
    </row>
    <row r="2733">
      <c r="A2733" t="inlineStr">
        <is>
          <t>fc9ca3e4d1a80974540180b18e5783e3</t>
        </is>
      </c>
      <c r="B2733" s="29" t="n">
        <v>43068</v>
      </c>
      <c r="C2733" t="inlineStr">
        <is>
          <t>2017-11</t>
        </is>
      </c>
      <c r="D2733" t="inlineStr">
        <is>
          <t>22c29808c4f815213303f8933030604c</t>
        </is>
      </c>
      <c r="E2733" t="inlineStr">
        <is>
          <t>organic_search</t>
        </is>
      </c>
      <c r="F2733">
        <f>IFERROR(MATCH(A2733,Deals!$A$2:$A$843,0),"")</f>
        <v/>
      </c>
      <c r="G2733">
        <f>IF(F2733="",0,1)</f>
        <v/>
      </c>
      <c r="H2733" s="29">
        <f>IF(F2733="","",INDEX(Deals!$E$2:$E$843,F2733))</f>
        <v/>
      </c>
      <c r="I2733">
        <f>IF(F2733="","",INDEX(Deals!$D$2:$D$843,F2733))</f>
        <v/>
      </c>
      <c r="J2733">
        <f>IF(F2733="","",INT(H2733)-B2733)</f>
        <v/>
      </c>
      <c r="K2733">
        <f>IF(B2733&gt;=Settings!$C$5,1,0)</f>
        <v/>
      </c>
    </row>
    <row r="2734">
      <c r="A2734" t="inlineStr">
        <is>
          <t>60acfecba1f22c46c0298f303655f520</t>
        </is>
      </c>
      <c r="B2734" s="29" t="n">
        <v>43070</v>
      </c>
      <c r="C2734" t="inlineStr">
        <is>
          <t>2017-12</t>
        </is>
      </c>
      <c r="D2734" t="inlineStr">
        <is>
          <t>30077c17f2ec5010a82e37ad8925b95f</t>
        </is>
      </c>
      <c r="E2734" t="inlineStr">
        <is>
          <t>other_publicities</t>
        </is>
      </c>
      <c r="F2734">
        <f>IFERROR(MATCH(A2734,Deals!$A$2:$A$843,0),"")</f>
        <v/>
      </c>
      <c r="G2734">
        <f>IF(F2734="",0,1)</f>
        <v/>
      </c>
      <c r="H2734" s="29">
        <f>IF(F2734="","",INDEX(Deals!$E$2:$E$843,F2734))</f>
        <v/>
      </c>
      <c r="I2734">
        <f>IF(F2734="","",INDEX(Deals!$D$2:$D$843,F2734))</f>
        <v/>
      </c>
      <c r="J2734">
        <f>IF(F2734="","",INT(H2734)-B2734)</f>
        <v/>
      </c>
      <c r="K2734">
        <f>IF(B2734&gt;=Settings!$C$5,1,0)</f>
        <v/>
      </c>
    </row>
    <row r="2735">
      <c r="A2735" t="inlineStr">
        <is>
          <t>cc80340474901bf4636a8630bb8edd3b</t>
        </is>
      </c>
      <c r="B2735" s="29" t="n">
        <v>43158</v>
      </c>
      <c r="C2735" t="inlineStr">
        <is>
          <t>2018-02</t>
        </is>
      </c>
      <c r="D2735" t="inlineStr">
        <is>
          <t>bddebc4f4d44106c427bd00695840e64</t>
        </is>
      </c>
      <c r="E2735" t="inlineStr">
        <is>
          <t>email</t>
        </is>
      </c>
      <c r="F2735">
        <f>IFERROR(MATCH(A2735,Deals!$A$2:$A$843,0),"")</f>
        <v/>
      </c>
      <c r="G2735">
        <f>IF(F2735="",0,1)</f>
        <v/>
      </c>
      <c r="H2735" s="29">
        <f>IF(F2735="","",INDEX(Deals!$E$2:$E$843,F2735))</f>
        <v/>
      </c>
      <c r="I2735">
        <f>IF(F2735="","",INDEX(Deals!$D$2:$D$843,F2735))</f>
        <v/>
      </c>
      <c r="J2735">
        <f>IF(F2735="","",INT(H2735)-B2735)</f>
        <v/>
      </c>
      <c r="K2735">
        <f>IF(B2735&gt;=Settings!$C$5,1,0)</f>
        <v/>
      </c>
    </row>
    <row r="2736">
      <c r="A2736" t="inlineStr">
        <is>
          <t>4fc6dab4a7563bdae6315d673ff09f3b</t>
        </is>
      </c>
      <c r="B2736" s="29" t="n">
        <v>43208</v>
      </c>
      <c r="C2736" t="inlineStr">
        <is>
          <t>2018-04</t>
        </is>
      </c>
      <c r="D2736" t="inlineStr">
        <is>
          <t>58326e62183c14b0c03085c33b9fdc44</t>
        </is>
      </c>
      <c r="E2736" t="inlineStr">
        <is>
          <t>social</t>
        </is>
      </c>
      <c r="F2736">
        <f>IFERROR(MATCH(A2736,Deals!$A$2:$A$843,0),"")</f>
        <v/>
      </c>
      <c r="G2736">
        <f>IF(F2736="",0,1)</f>
        <v/>
      </c>
      <c r="H2736" s="29">
        <f>IF(F2736="","",INDEX(Deals!$E$2:$E$843,F2736))</f>
        <v/>
      </c>
      <c r="I2736">
        <f>IF(F2736="","",INDEX(Deals!$D$2:$D$843,F2736))</f>
        <v/>
      </c>
      <c r="J2736">
        <f>IF(F2736="","",INT(H2736)-B2736)</f>
        <v/>
      </c>
      <c r="K2736">
        <f>IF(B2736&gt;=Settings!$C$5,1,0)</f>
        <v/>
      </c>
    </row>
    <row r="2737">
      <c r="A2737" t="inlineStr">
        <is>
          <t>b95e6f83cab58477a9fbac688fc3cc3e</t>
        </is>
      </c>
      <c r="B2737" s="29" t="n">
        <v>43134</v>
      </c>
      <c r="C2737" t="inlineStr">
        <is>
          <t>2018-02</t>
        </is>
      </c>
      <c r="D2737" t="inlineStr">
        <is>
          <t>ce1a65abd0973638f1c887a6efcfa82d</t>
        </is>
      </c>
      <c r="E2737" t="inlineStr">
        <is>
          <t>organic_search</t>
        </is>
      </c>
      <c r="F2737">
        <f>IFERROR(MATCH(A2737,Deals!$A$2:$A$843,0),"")</f>
        <v/>
      </c>
      <c r="G2737">
        <f>IF(F2737="",0,1)</f>
        <v/>
      </c>
      <c r="H2737" s="29">
        <f>IF(F2737="","",INDEX(Deals!$E$2:$E$843,F2737))</f>
        <v/>
      </c>
      <c r="I2737">
        <f>IF(F2737="","",INDEX(Deals!$D$2:$D$843,F2737))</f>
        <v/>
      </c>
      <c r="J2737">
        <f>IF(F2737="","",INT(H2737)-B2737)</f>
        <v/>
      </c>
      <c r="K2737">
        <f>IF(B2737&gt;=Settings!$C$5,1,0)</f>
        <v/>
      </c>
    </row>
    <row r="2738">
      <c r="A2738" t="inlineStr">
        <is>
          <t>94243d5d15ba8508b70d6197ca46173a</t>
        </is>
      </c>
      <c r="B2738" s="29" t="n">
        <v>43111</v>
      </c>
      <c r="C2738" t="inlineStr">
        <is>
          <t>2018-01</t>
        </is>
      </c>
      <c r="D2738" t="inlineStr">
        <is>
          <t>99b00c6e27db383d844d1763dbcbfe06</t>
        </is>
      </c>
      <c r="E2738" t="inlineStr">
        <is>
          <t>direct_traffic</t>
        </is>
      </c>
      <c r="F2738">
        <f>IFERROR(MATCH(A2738,Deals!$A$2:$A$843,0),"")</f>
        <v/>
      </c>
      <c r="G2738">
        <f>IF(F2738="",0,1)</f>
        <v/>
      </c>
      <c r="H2738" s="29">
        <f>IF(F2738="","",INDEX(Deals!$E$2:$E$843,F2738))</f>
        <v/>
      </c>
      <c r="I2738">
        <f>IF(F2738="","",INDEX(Deals!$D$2:$D$843,F2738))</f>
        <v/>
      </c>
      <c r="J2738">
        <f>IF(F2738="","",INT(H2738)-B2738)</f>
        <v/>
      </c>
      <c r="K2738">
        <f>IF(B2738&gt;=Settings!$C$5,1,0)</f>
        <v/>
      </c>
    </row>
    <row r="2739">
      <c r="A2739" t="inlineStr">
        <is>
          <t>ea09e5eec6c0977bfc617baa6d75e339</t>
        </is>
      </c>
      <c r="B2739" s="29" t="n">
        <v>43222</v>
      </c>
      <c r="C2739" t="inlineStr">
        <is>
          <t>2018-05</t>
        </is>
      </c>
      <c r="D2739" t="inlineStr">
        <is>
          <t>fb58285f6f6c4e504dfa628de116cae8</t>
        </is>
      </c>
      <c r="E2739" t="inlineStr">
        <is>
          <t>organic_search</t>
        </is>
      </c>
      <c r="F2739">
        <f>IFERROR(MATCH(A2739,Deals!$A$2:$A$843,0),"")</f>
        <v/>
      </c>
      <c r="G2739">
        <f>IF(F2739="",0,1)</f>
        <v/>
      </c>
      <c r="H2739" s="29">
        <f>IF(F2739="","",INDEX(Deals!$E$2:$E$843,F2739))</f>
        <v/>
      </c>
      <c r="I2739">
        <f>IF(F2739="","",INDEX(Deals!$D$2:$D$843,F2739))</f>
        <v/>
      </c>
      <c r="J2739">
        <f>IF(F2739="","",INT(H2739)-B2739)</f>
        <v/>
      </c>
      <c r="K2739">
        <f>IF(B2739&gt;=Settings!$C$5,1,0)</f>
        <v/>
      </c>
    </row>
    <row r="2740">
      <c r="A2740" t="inlineStr">
        <is>
          <t>f0f42953e6ac78566f36c5824c795c7f</t>
        </is>
      </c>
      <c r="B2740" s="29" t="n">
        <v>42950</v>
      </c>
      <c r="C2740" t="inlineStr">
        <is>
          <t>2017-08</t>
        </is>
      </c>
      <c r="D2740" t="inlineStr">
        <is>
          <t>b76ef37428e6799c421989521c0e5077</t>
        </is>
      </c>
      <c r="E2740" t="inlineStr">
        <is>
          <t>unknown</t>
        </is>
      </c>
      <c r="F2740">
        <f>IFERROR(MATCH(A2740,Deals!$A$2:$A$843,0),"")</f>
        <v/>
      </c>
      <c r="G2740">
        <f>IF(F2740="",0,1)</f>
        <v/>
      </c>
      <c r="H2740" s="29">
        <f>IF(F2740="","",INDEX(Deals!$E$2:$E$843,F2740))</f>
        <v/>
      </c>
      <c r="I2740">
        <f>IF(F2740="","",INDEX(Deals!$D$2:$D$843,F2740))</f>
        <v/>
      </c>
      <c r="J2740">
        <f>IF(F2740="","",INT(H2740)-B2740)</f>
        <v/>
      </c>
      <c r="K2740">
        <f>IF(B2740&gt;=Settings!$C$5,1,0)</f>
        <v/>
      </c>
    </row>
    <row r="2741">
      <c r="A2741" t="inlineStr">
        <is>
          <t>34435249b8b3b8e48ea4460075fe0d4a</t>
        </is>
      </c>
      <c r="B2741" s="29" t="n">
        <v>43222</v>
      </c>
      <c r="C2741" t="inlineStr">
        <is>
          <t>2018-05</t>
        </is>
      </c>
      <c r="D2741" t="inlineStr">
        <is>
          <t>e42a14209c69c3e9cc6b042620465f12</t>
        </is>
      </c>
      <c r="E2741" t="inlineStr">
        <is>
          <t>email</t>
        </is>
      </c>
      <c r="F2741">
        <f>IFERROR(MATCH(A2741,Deals!$A$2:$A$843,0),"")</f>
        <v/>
      </c>
      <c r="G2741">
        <f>IF(F2741="",0,1)</f>
        <v/>
      </c>
      <c r="H2741" s="29">
        <f>IF(F2741="","",INDEX(Deals!$E$2:$E$843,F2741))</f>
        <v/>
      </c>
      <c r="I2741">
        <f>IF(F2741="","",INDEX(Deals!$D$2:$D$843,F2741))</f>
        <v/>
      </c>
      <c r="J2741">
        <f>IF(F2741="","",INT(H2741)-B2741)</f>
        <v/>
      </c>
      <c r="K2741">
        <f>IF(B2741&gt;=Settings!$C$5,1,0)</f>
        <v/>
      </c>
    </row>
    <row r="2742">
      <c r="A2742" t="inlineStr">
        <is>
          <t>a05feb5ea711fae86b501c3dcc77c00c</t>
        </is>
      </c>
      <c r="B2742" s="29" t="n">
        <v>43193</v>
      </c>
      <c r="C2742" t="inlineStr">
        <is>
          <t>2018-04</t>
        </is>
      </c>
      <c r="D2742" t="inlineStr">
        <is>
          <t>58326e62183c14b0c03085c33b9fdc44</t>
        </is>
      </c>
      <c r="E2742" t="inlineStr">
        <is>
          <t>social</t>
        </is>
      </c>
      <c r="F2742">
        <f>IFERROR(MATCH(A2742,Deals!$A$2:$A$843,0),"")</f>
        <v/>
      </c>
      <c r="G2742">
        <f>IF(F2742="",0,1)</f>
        <v/>
      </c>
      <c r="H2742" s="29">
        <f>IF(F2742="","",INDEX(Deals!$E$2:$E$843,F2742))</f>
        <v/>
      </c>
      <c r="I2742">
        <f>IF(F2742="","",INDEX(Deals!$D$2:$D$843,F2742))</f>
        <v/>
      </c>
      <c r="J2742">
        <f>IF(F2742="","",INT(H2742)-B2742)</f>
        <v/>
      </c>
      <c r="K2742">
        <f>IF(B2742&gt;=Settings!$C$5,1,0)</f>
        <v/>
      </c>
    </row>
    <row r="2743">
      <c r="A2743" t="inlineStr">
        <is>
          <t>38427015e9934ea855bd9adcdf32055f</t>
        </is>
      </c>
      <c r="B2743" s="29" t="n">
        <v>43105</v>
      </c>
      <c r="C2743" t="inlineStr">
        <is>
          <t>2018-01</t>
        </is>
      </c>
      <c r="D2743" t="inlineStr">
        <is>
          <t>b217afa2c1f4cb502423005639878f6d</t>
        </is>
      </c>
      <c r="E2743" t="inlineStr">
        <is>
          <t>paid_search</t>
        </is>
      </c>
      <c r="F2743">
        <f>IFERROR(MATCH(A2743,Deals!$A$2:$A$843,0),"")</f>
        <v/>
      </c>
      <c r="G2743">
        <f>IF(F2743="",0,1)</f>
        <v/>
      </c>
      <c r="H2743" s="29">
        <f>IF(F2743="","",INDEX(Deals!$E$2:$E$843,F2743))</f>
        <v/>
      </c>
      <c r="I2743">
        <f>IF(F2743="","",INDEX(Deals!$D$2:$D$843,F2743))</f>
        <v/>
      </c>
      <c r="J2743">
        <f>IF(F2743="","",INT(H2743)-B2743)</f>
        <v/>
      </c>
      <c r="K2743">
        <f>IF(B2743&gt;=Settings!$C$5,1,0)</f>
        <v/>
      </c>
    </row>
    <row r="2744">
      <c r="A2744" t="inlineStr">
        <is>
          <t>a528cdb26f26b20fecd0d76902990f0b</t>
        </is>
      </c>
      <c r="B2744" s="29" t="n">
        <v>43150</v>
      </c>
      <c r="C2744" t="inlineStr">
        <is>
          <t>2018-02</t>
        </is>
      </c>
      <c r="D2744" t="inlineStr">
        <is>
          <t>f017be4dbf86243af5c1ebed0cff36a2</t>
        </is>
      </c>
      <c r="E2744" t="inlineStr">
        <is>
          <t>unknown</t>
        </is>
      </c>
      <c r="F2744">
        <f>IFERROR(MATCH(A2744,Deals!$A$2:$A$843,0),"")</f>
        <v/>
      </c>
      <c r="G2744">
        <f>IF(F2744="",0,1)</f>
        <v/>
      </c>
      <c r="H2744" s="29">
        <f>IF(F2744="","",INDEX(Deals!$E$2:$E$843,F2744))</f>
        <v/>
      </c>
      <c r="I2744">
        <f>IF(F2744="","",INDEX(Deals!$D$2:$D$843,F2744))</f>
        <v/>
      </c>
      <c r="J2744">
        <f>IF(F2744="","",INT(H2744)-B2744)</f>
        <v/>
      </c>
      <c r="K2744">
        <f>IF(B2744&gt;=Settings!$C$5,1,0)</f>
        <v/>
      </c>
    </row>
    <row r="2745">
      <c r="A2745" t="inlineStr">
        <is>
          <t>c3daacb733cbbe636db5b70ace98d520</t>
        </is>
      </c>
      <c r="B2745" s="29" t="n">
        <v>43235</v>
      </c>
      <c r="C2745" t="inlineStr">
        <is>
          <t>2018-05</t>
        </is>
      </c>
      <c r="D2745" t="inlineStr">
        <is>
          <t>22c29808c4f815213303f8933030604c</t>
        </is>
      </c>
      <c r="E2745" t="inlineStr">
        <is>
          <t>paid_search</t>
        </is>
      </c>
      <c r="F2745">
        <f>IFERROR(MATCH(A2745,Deals!$A$2:$A$843,0),"")</f>
        <v/>
      </c>
      <c r="G2745">
        <f>IF(F2745="",0,1)</f>
        <v/>
      </c>
      <c r="H2745" s="29">
        <f>IF(F2745="","",INDEX(Deals!$E$2:$E$843,F2745))</f>
        <v/>
      </c>
      <c r="I2745">
        <f>IF(F2745="","",INDEX(Deals!$D$2:$D$843,F2745))</f>
        <v/>
      </c>
      <c r="J2745">
        <f>IF(F2745="","",INT(H2745)-B2745)</f>
        <v/>
      </c>
      <c r="K2745">
        <f>IF(B2745&gt;=Settings!$C$5,1,0)</f>
        <v/>
      </c>
    </row>
    <row r="2746">
      <c r="A2746" t="inlineStr">
        <is>
          <t>593f4a8705fd0d72d47efb651bdfb135</t>
        </is>
      </c>
      <c r="B2746" s="29" t="n">
        <v>43227</v>
      </c>
      <c r="C2746" t="inlineStr">
        <is>
          <t>2018-05</t>
        </is>
      </c>
      <c r="D2746" t="inlineStr">
        <is>
          <t>a7982125ff7aa3b2054c6e44f9d28522</t>
        </is>
      </c>
      <c r="E2746" t="inlineStr">
        <is>
          <t>display</t>
        </is>
      </c>
      <c r="F2746">
        <f>IFERROR(MATCH(A2746,Deals!$A$2:$A$843,0),"")</f>
        <v/>
      </c>
      <c r="G2746">
        <f>IF(F2746="",0,1)</f>
        <v/>
      </c>
      <c r="H2746" s="29">
        <f>IF(F2746="","",INDEX(Deals!$E$2:$E$843,F2746))</f>
        <v/>
      </c>
      <c r="I2746">
        <f>IF(F2746="","",INDEX(Deals!$D$2:$D$843,F2746))</f>
        <v/>
      </c>
      <c r="J2746">
        <f>IF(F2746="","",INT(H2746)-B2746)</f>
        <v/>
      </c>
      <c r="K2746">
        <f>IF(B2746&gt;=Settings!$C$5,1,0)</f>
        <v/>
      </c>
    </row>
    <row r="2747">
      <c r="A2747" t="inlineStr">
        <is>
          <t>9304e840061f69214ea586ac8c0c7c65</t>
        </is>
      </c>
      <c r="B2747" s="29" t="n">
        <v>43171</v>
      </c>
      <c r="C2747" t="inlineStr">
        <is>
          <t>2018-03</t>
        </is>
      </c>
      <c r="D2747" t="inlineStr">
        <is>
          <t>e492ee5eaf1697716985cc6f33f9cd9b</t>
        </is>
      </c>
      <c r="E2747" t="inlineStr">
        <is>
          <t>organic_search</t>
        </is>
      </c>
      <c r="F2747">
        <f>IFERROR(MATCH(A2747,Deals!$A$2:$A$843,0),"")</f>
        <v/>
      </c>
      <c r="G2747">
        <f>IF(F2747="",0,1)</f>
        <v/>
      </c>
      <c r="H2747" s="29">
        <f>IF(F2747="","",INDEX(Deals!$E$2:$E$843,F2747))</f>
        <v/>
      </c>
      <c r="I2747">
        <f>IF(F2747="","",INDEX(Deals!$D$2:$D$843,F2747))</f>
        <v/>
      </c>
      <c r="J2747">
        <f>IF(F2747="","",INT(H2747)-B2747)</f>
        <v/>
      </c>
      <c r="K2747">
        <f>IF(B2747&gt;=Settings!$C$5,1,0)</f>
        <v/>
      </c>
    </row>
    <row r="2748">
      <c r="A2748" t="inlineStr">
        <is>
          <t>2424d8d387f02e81c63aa227e4b0ebe6</t>
        </is>
      </c>
      <c r="B2748" s="29" t="n">
        <v>43211</v>
      </c>
      <c r="C2748" t="inlineStr">
        <is>
          <t>2018-04</t>
        </is>
      </c>
      <c r="D2748" t="inlineStr">
        <is>
          <t>649b7b8b46b254497e92038d88f6ced8</t>
        </is>
      </c>
      <c r="E2748" t="inlineStr">
        <is>
          <t>social</t>
        </is>
      </c>
      <c r="F2748">
        <f>IFERROR(MATCH(A2748,Deals!$A$2:$A$843,0),"")</f>
        <v/>
      </c>
      <c r="G2748">
        <f>IF(F2748="",0,1)</f>
        <v/>
      </c>
      <c r="H2748" s="29">
        <f>IF(F2748="","",INDEX(Deals!$E$2:$E$843,F2748))</f>
        <v/>
      </c>
      <c r="I2748">
        <f>IF(F2748="","",INDEX(Deals!$D$2:$D$843,F2748))</f>
        <v/>
      </c>
      <c r="J2748">
        <f>IF(F2748="","",INT(H2748)-B2748)</f>
        <v/>
      </c>
      <c r="K2748">
        <f>IF(B2748&gt;=Settings!$C$5,1,0)</f>
        <v/>
      </c>
    </row>
    <row r="2749">
      <c r="A2749" t="inlineStr">
        <is>
          <t>a8641042a65f0cb99c82df186d88b182</t>
        </is>
      </c>
      <c r="B2749" s="29" t="n">
        <v>43150</v>
      </c>
      <c r="C2749" t="inlineStr">
        <is>
          <t>2018-02</t>
        </is>
      </c>
      <c r="D2749" t="inlineStr">
        <is>
          <t>1e884e3078d9978e216a027ecd57fb34</t>
        </is>
      </c>
      <c r="E2749" t="inlineStr">
        <is>
          <t>(missing)</t>
        </is>
      </c>
      <c r="F2749">
        <f>IFERROR(MATCH(A2749,Deals!$A$2:$A$843,0),"")</f>
        <v/>
      </c>
      <c r="G2749">
        <f>IF(F2749="",0,1)</f>
        <v/>
      </c>
      <c r="H2749" s="29">
        <f>IF(F2749="","",INDEX(Deals!$E$2:$E$843,F2749))</f>
        <v/>
      </c>
      <c r="I2749">
        <f>IF(F2749="","",INDEX(Deals!$D$2:$D$843,F2749))</f>
        <v/>
      </c>
      <c r="J2749">
        <f>IF(F2749="","",INT(H2749)-B2749)</f>
        <v/>
      </c>
      <c r="K2749">
        <f>IF(B2749&gt;=Settings!$C$5,1,0)</f>
        <v/>
      </c>
    </row>
    <row r="2750">
      <c r="A2750" t="inlineStr">
        <is>
          <t>6b595bb87a53c615a535554667cfdde0</t>
        </is>
      </c>
      <c r="B2750" s="29" t="n">
        <v>43012</v>
      </c>
      <c r="C2750" t="inlineStr">
        <is>
          <t>2017-10</t>
        </is>
      </c>
      <c r="D2750" t="inlineStr">
        <is>
          <t>64078d75b35c1df83ebde92c7babe9d4</t>
        </is>
      </c>
      <c r="E2750" t="inlineStr">
        <is>
          <t>organic_search</t>
        </is>
      </c>
      <c r="F2750">
        <f>IFERROR(MATCH(A2750,Deals!$A$2:$A$843,0),"")</f>
        <v/>
      </c>
      <c r="G2750">
        <f>IF(F2750="",0,1)</f>
        <v/>
      </c>
      <c r="H2750" s="29">
        <f>IF(F2750="","",INDEX(Deals!$E$2:$E$843,F2750))</f>
        <v/>
      </c>
      <c r="I2750">
        <f>IF(F2750="","",INDEX(Deals!$D$2:$D$843,F2750))</f>
        <v/>
      </c>
      <c r="J2750">
        <f>IF(F2750="","",INT(H2750)-B2750)</f>
        <v/>
      </c>
      <c r="K2750">
        <f>IF(B2750&gt;=Settings!$C$5,1,0)</f>
        <v/>
      </c>
    </row>
    <row r="2751">
      <c r="A2751" t="inlineStr">
        <is>
          <t>edac623c2ba3e8d8c388378f8645aafe</t>
        </is>
      </c>
      <c r="B2751" s="29" t="n">
        <v>43114</v>
      </c>
      <c r="C2751" t="inlineStr">
        <is>
          <t>2018-01</t>
        </is>
      </c>
      <c r="D2751" t="inlineStr">
        <is>
          <t>e492ee5eaf1697716985cc6f33f9cd9b</t>
        </is>
      </c>
      <c r="E2751" t="inlineStr">
        <is>
          <t>organic_search</t>
        </is>
      </c>
      <c r="F2751">
        <f>IFERROR(MATCH(A2751,Deals!$A$2:$A$843,0),"")</f>
        <v/>
      </c>
      <c r="G2751">
        <f>IF(F2751="",0,1)</f>
        <v/>
      </c>
      <c r="H2751" s="29">
        <f>IF(F2751="","",INDEX(Deals!$E$2:$E$843,F2751))</f>
        <v/>
      </c>
      <c r="I2751">
        <f>IF(F2751="","",INDEX(Deals!$D$2:$D$843,F2751))</f>
        <v/>
      </c>
      <c r="J2751">
        <f>IF(F2751="","",INT(H2751)-B2751)</f>
        <v/>
      </c>
      <c r="K2751">
        <f>IF(B2751&gt;=Settings!$C$5,1,0)</f>
        <v/>
      </c>
    </row>
    <row r="2752">
      <c r="A2752" t="inlineStr">
        <is>
          <t>91d054b242704a7a9196a568fb02974a</t>
        </is>
      </c>
      <c r="B2752" s="29" t="n">
        <v>43223</v>
      </c>
      <c r="C2752" t="inlineStr">
        <is>
          <t>2018-05</t>
        </is>
      </c>
      <c r="D2752" t="inlineStr">
        <is>
          <t>58326e62183c14b0c03085c33b9fdc44</t>
        </is>
      </c>
      <c r="E2752" t="inlineStr">
        <is>
          <t>social</t>
        </is>
      </c>
      <c r="F2752">
        <f>IFERROR(MATCH(A2752,Deals!$A$2:$A$843,0),"")</f>
        <v/>
      </c>
      <c r="G2752">
        <f>IF(F2752="",0,1)</f>
        <v/>
      </c>
      <c r="H2752" s="29">
        <f>IF(F2752="","",INDEX(Deals!$E$2:$E$843,F2752))</f>
        <v/>
      </c>
      <c r="I2752">
        <f>IF(F2752="","",INDEX(Deals!$D$2:$D$843,F2752))</f>
        <v/>
      </c>
      <c r="J2752">
        <f>IF(F2752="","",INT(H2752)-B2752)</f>
        <v/>
      </c>
      <c r="K2752">
        <f>IF(B2752&gt;=Settings!$C$5,1,0)</f>
        <v/>
      </c>
    </row>
    <row r="2753">
      <c r="A2753" t="inlineStr">
        <is>
          <t>578a7cb268f4a87693a8efa93554b1e5</t>
        </is>
      </c>
      <c r="B2753" s="29" t="n">
        <v>43215</v>
      </c>
      <c r="C2753" t="inlineStr">
        <is>
          <t>2018-04</t>
        </is>
      </c>
      <c r="D2753" t="inlineStr">
        <is>
          <t>f80696b73d17fb34f5c4fde157f119d8</t>
        </is>
      </c>
      <c r="E2753" t="inlineStr">
        <is>
          <t>organic_search</t>
        </is>
      </c>
      <c r="F2753">
        <f>IFERROR(MATCH(A2753,Deals!$A$2:$A$843,0),"")</f>
        <v/>
      </c>
      <c r="G2753">
        <f>IF(F2753="",0,1)</f>
        <v/>
      </c>
      <c r="H2753" s="29">
        <f>IF(F2753="","",INDEX(Deals!$E$2:$E$843,F2753))</f>
        <v/>
      </c>
      <c r="I2753">
        <f>IF(F2753="","",INDEX(Deals!$D$2:$D$843,F2753))</f>
        <v/>
      </c>
      <c r="J2753">
        <f>IF(F2753="","",INT(H2753)-B2753)</f>
        <v/>
      </c>
      <c r="K2753">
        <f>IF(B2753&gt;=Settings!$C$5,1,0)</f>
        <v/>
      </c>
    </row>
    <row r="2754">
      <c r="A2754" t="inlineStr">
        <is>
          <t>0a25c20c0e39acbc6c7d8bda405d3af1</t>
        </is>
      </c>
      <c r="B2754" s="29" t="n">
        <v>43197</v>
      </c>
      <c r="C2754" t="inlineStr">
        <is>
          <t>2018-04</t>
        </is>
      </c>
      <c r="D2754" t="inlineStr">
        <is>
          <t>58326e62183c14b0c03085c33b9fdc44</t>
        </is>
      </c>
      <c r="E2754" t="inlineStr">
        <is>
          <t>organic_search</t>
        </is>
      </c>
      <c r="F2754">
        <f>IFERROR(MATCH(A2754,Deals!$A$2:$A$843,0),"")</f>
        <v/>
      </c>
      <c r="G2754">
        <f>IF(F2754="",0,1)</f>
        <v/>
      </c>
      <c r="H2754" s="29">
        <f>IF(F2754="","",INDEX(Deals!$E$2:$E$843,F2754))</f>
        <v/>
      </c>
      <c r="I2754">
        <f>IF(F2754="","",INDEX(Deals!$D$2:$D$843,F2754))</f>
        <v/>
      </c>
      <c r="J2754">
        <f>IF(F2754="","",INT(H2754)-B2754)</f>
        <v/>
      </c>
      <c r="K2754">
        <f>IF(B2754&gt;=Settings!$C$5,1,0)</f>
        <v/>
      </c>
    </row>
    <row r="2755">
      <c r="A2755" t="inlineStr">
        <is>
          <t>01a28000ad28de1acf07bb4d830a5ae5</t>
        </is>
      </c>
      <c r="B2755" s="29" t="n">
        <v>43138</v>
      </c>
      <c r="C2755" t="inlineStr">
        <is>
          <t>2018-02</t>
        </is>
      </c>
      <c r="D2755" t="inlineStr">
        <is>
          <t>b6885f18d203a61176418c1fb3764815</t>
        </is>
      </c>
      <c r="E2755" t="inlineStr">
        <is>
          <t>organic_search</t>
        </is>
      </c>
      <c r="F2755">
        <f>IFERROR(MATCH(A2755,Deals!$A$2:$A$843,0),"")</f>
        <v/>
      </c>
      <c r="G2755">
        <f>IF(F2755="",0,1)</f>
        <v/>
      </c>
      <c r="H2755" s="29">
        <f>IF(F2755="","",INDEX(Deals!$E$2:$E$843,F2755))</f>
        <v/>
      </c>
      <c r="I2755">
        <f>IF(F2755="","",INDEX(Deals!$D$2:$D$843,F2755))</f>
        <v/>
      </c>
      <c r="J2755">
        <f>IF(F2755="","",INT(H2755)-B2755)</f>
        <v/>
      </c>
      <c r="K2755">
        <f>IF(B2755&gt;=Settings!$C$5,1,0)</f>
        <v/>
      </c>
    </row>
    <row r="2756">
      <c r="A2756" t="inlineStr">
        <is>
          <t>7cd7cb3db3154d9b1b3b57b675963bb2</t>
        </is>
      </c>
      <c r="B2756" s="29" t="n">
        <v>43200</v>
      </c>
      <c r="C2756" t="inlineStr">
        <is>
          <t>2018-04</t>
        </is>
      </c>
      <c r="D2756" t="inlineStr">
        <is>
          <t>58326e62183c14b0c03085c33b9fdc44</t>
        </is>
      </c>
      <c r="E2756" t="inlineStr">
        <is>
          <t>social</t>
        </is>
      </c>
      <c r="F2756">
        <f>IFERROR(MATCH(A2756,Deals!$A$2:$A$843,0),"")</f>
        <v/>
      </c>
      <c r="G2756">
        <f>IF(F2756="",0,1)</f>
        <v/>
      </c>
      <c r="H2756" s="29">
        <f>IF(F2756="","",INDEX(Deals!$E$2:$E$843,F2756))</f>
        <v/>
      </c>
      <c r="I2756">
        <f>IF(F2756="","",INDEX(Deals!$D$2:$D$843,F2756))</f>
        <v/>
      </c>
      <c r="J2756">
        <f>IF(F2756="","",INT(H2756)-B2756)</f>
        <v/>
      </c>
      <c r="K2756">
        <f>IF(B2756&gt;=Settings!$C$5,1,0)</f>
        <v/>
      </c>
    </row>
    <row r="2757">
      <c r="A2757" t="inlineStr">
        <is>
          <t>77487ac14aa5a4e7e5521642407eea5c</t>
        </is>
      </c>
      <c r="B2757" s="29" t="n">
        <v>43241</v>
      </c>
      <c r="C2757" t="inlineStr">
        <is>
          <t>2018-05</t>
        </is>
      </c>
      <c r="D2757" t="inlineStr">
        <is>
          <t>b76ef37428e6799c421989521c0e5077</t>
        </is>
      </c>
      <c r="E2757" t="inlineStr">
        <is>
          <t>unknown</t>
        </is>
      </c>
      <c r="F2757">
        <f>IFERROR(MATCH(A2757,Deals!$A$2:$A$843,0),"")</f>
        <v/>
      </c>
      <c r="G2757">
        <f>IF(F2757="",0,1)</f>
        <v/>
      </c>
      <c r="H2757" s="29">
        <f>IF(F2757="","",INDEX(Deals!$E$2:$E$843,F2757))</f>
        <v/>
      </c>
      <c r="I2757">
        <f>IF(F2757="","",INDEX(Deals!$D$2:$D$843,F2757))</f>
        <v/>
      </c>
      <c r="J2757">
        <f>IF(F2757="","",INT(H2757)-B2757)</f>
        <v/>
      </c>
      <c r="K2757">
        <f>IF(B2757&gt;=Settings!$C$5,1,0)</f>
        <v/>
      </c>
    </row>
    <row r="2758">
      <c r="A2758" t="inlineStr">
        <is>
          <t>4d458f5bff55df79373f54f73f7e3472</t>
        </is>
      </c>
      <c r="B2758" s="29" t="n">
        <v>43108</v>
      </c>
      <c r="C2758" t="inlineStr">
        <is>
          <t>2018-01</t>
        </is>
      </c>
      <c r="D2758" t="inlineStr">
        <is>
          <t>88740e65d5d6b056e0cda098e1ea6313</t>
        </is>
      </c>
      <c r="E2758" t="inlineStr">
        <is>
          <t>social</t>
        </is>
      </c>
      <c r="F2758">
        <f>IFERROR(MATCH(A2758,Deals!$A$2:$A$843,0),"")</f>
        <v/>
      </c>
      <c r="G2758">
        <f>IF(F2758="",0,1)</f>
        <v/>
      </c>
      <c r="H2758" s="29">
        <f>IF(F2758="","",INDEX(Deals!$E$2:$E$843,F2758))</f>
        <v/>
      </c>
      <c r="I2758">
        <f>IF(F2758="","",INDEX(Deals!$D$2:$D$843,F2758))</f>
        <v/>
      </c>
      <c r="J2758">
        <f>IF(F2758="","",INT(H2758)-B2758)</f>
        <v/>
      </c>
      <c r="K2758">
        <f>IF(B2758&gt;=Settings!$C$5,1,0)</f>
        <v/>
      </c>
    </row>
    <row r="2759">
      <c r="A2759" t="inlineStr">
        <is>
          <t>df0e19d29493ef2136fc3e2fc029c054</t>
        </is>
      </c>
      <c r="B2759" s="29" t="n">
        <v>43028</v>
      </c>
      <c r="C2759" t="inlineStr">
        <is>
          <t>2017-10</t>
        </is>
      </c>
      <c r="D2759" t="inlineStr">
        <is>
          <t>b76ef37428e6799c421989521c0e5077</t>
        </is>
      </c>
      <c r="E2759" t="inlineStr">
        <is>
          <t>other_publicities</t>
        </is>
      </c>
      <c r="F2759">
        <f>IFERROR(MATCH(A2759,Deals!$A$2:$A$843,0),"")</f>
        <v/>
      </c>
      <c r="G2759">
        <f>IF(F2759="",0,1)</f>
        <v/>
      </c>
      <c r="H2759" s="29">
        <f>IF(F2759="","",INDEX(Deals!$E$2:$E$843,F2759))</f>
        <v/>
      </c>
      <c r="I2759">
        <f>IF(F2759="","",INDEX(Deals!$D$2:$D$843,F2759))</f>
        <v/>
      </c>
      <c r="J2759">
        <f>IF(F2759="","",INT(H2759)-B2759)</f>
        <v/>
      </c>
      <c r="K2759">
        <f>IF(B2759&gt;=Settings!$C$5,1,0)</f>
        <v/>
      </c>
    </row>
    <row r="2760">
      <c r="A2760" t="inlineStr">
        <is>
          <t>be8eca3856293b0591f6240af2b62091</t>
        </is>
      </c>
      <c r="B2760" s="29" t="n">
        <v>43163</v>
      </c>
      <c r="C2760" t="inlineStr">
        <is>
          <t>2018-03</t>
        </is>
      </c>
      <c r="D2760" t="inlineStr">
        <is>
          <t>40dec9f3d5259a3d2dbcdab2114fae47</t>
        </is>
      </c>
      <c r="E2760" t="inlineStr">
        <is>
          <t>paid_search</t>
        </is>
      </c>
      <c r="F2760">
        <f>IFERROR(MATCH(A2760,Deals!$A$2:$A$843,0),"")</f>
        <v/>
      </c>
      <c r="G2760">
        <f>IF(F2760="",0,1)</f>
        <v/>
      </c>
      <c r="H2760" s="29">
        <f>IF(F2760="","",INDEX(Deals!$E$2:$E$843,F2760))</f>
        <v/>
      </c>
      <c r="I2760">
        <f>IF(F2760="","",INDEX(Deals!$D$2:$D$843,F2760))</f>
        <v/>
      </c>
      <c r="J2760">
        <f>IF(F2760="","",INT(H2760)-B2760)</f>
        <v/>
      </c>
      <c r="K2760">
        <f>IF(B2760&gt;=Settings!$C$5,1,0)</f>
        <v/>
      </c>
    </row>
    <row r="2761">
      <c r="A2761" t="inlineStr">
        <is>
          <t>bbb96d7adad8c94da269ae0494bb2ec2</t>
        </is>
      </c>
      <c r="B2761" s="29" t="n">
        <v>43118</v>
      </c>
      <c r="C2761" t="inlineStr">
        <is>
          <t>2018-01</t>
        </is>
      </c>
      <c r="D2761" t="inlineStr">
        <is>
          <t>b217afa2c1f4cb502423005639878f6d</t>
        </is>
      </c>
      <c r="E2761" t="inlineStr">
        <is>
          <t>organic_search</t>
        </is>
      </c>
      <c r="F2761">
        <f>IFERROR(MATCH(A2761,Deals!$A$2:$A$843,0),"")</f>
        <v/>
      </c>
      <c r="G2761">
        <f>IF(F2761="",0,1)</f>
        <v/>
      </c>
      <c r="H2761" s="29">
        <f>IF(F2761="","",INDEX(Deals!$E$2:$E$843,F2761))</f>
        <v/>
      </c>
      <c r="I2761">
        <f>IF(F2761="","",INDEX(Deals!$D$2:$D$843,F2761))</f>
        <v/>
      </c>
      <c r="J2761">
        <f>IF(F2761="","",INT(H2761)-B2761)</f>
        <v/>
      </c>
      <c r="K2761">
        <f>IF(B2761&gt;=Settings!$C$5,1,0)</f>
        <v/>
      </c>
    </row>
    <row r="2762">
      <c r="A2762" t="inlineStr">
        <is>
          <t>720a860f1a870a7f103b2518f7f9843a</t>
        </is>
      </c>
      <c r="B2762" s="29" t="n">
        <v>43193</v>
      </c>
      <c r="C2762" t="inlineStr">
        <is>
          <t>2018-04</t>
        </is>
      </c>
      <c r="D2762" t="inlineStr">
        <is>
          <t>58326e62183c14b0c03085c33b9fdc44</t>
        </is>
      </c>
      <c r="E2762" t="inlineStr">
        <is>
          <t>social</t>
        </is>
      </c>
      <c r="F2762">
        <f>IFERROR(MATCH(A2762,Deals!$A$2:$A$843,0),"")</f>
        <v/>
      </c>
      <c r="G2762">
        <f>IF(F2762="",0,1)</f>
        <v/>
      </c>
      <c r="H2762" s="29">
        <f>IF(F2762="","",INDEX(Deals!$E$2:$E$843,F2762))</f>
        <v/>
      </c>
      <c r="I2762">
        <f>IF(F2762="","",INDEX(Deals!$D$2:$D$843,F2762))</f>
        <v/>
      </c>
      <c r="J2762">
        <f>IF(F2762="","",INT(H2762)-B2762)</f>
        <v/>
      </c>
      <c r="K2762">
        <f>IF(B2762&gt;=Settings!$C$5,1,0)</f>
        <v/>
      </c>
    </row>
    <row r="2763">
      <c r="A2763" t="inlineStr">
        <is>
          <t>094bc4aa468a6cb48642c3ebbf2b8b71</t>
        </is>
      </c>
      <c r="B2763" s="29" t="n">
        <v>43105</v>
      </c>
      <c r="C2763" t="inlineStr">
        <is>
          <t>2018-01</t>
        </is>
      </c>
      <c r="D2763" t="inlineStr">
        <is>
          <t>22c29808c4f815213303f8933030604c</t>
        </is>
      </c>
      <c r="E2763" t="inlineStr">
        <is>
          <t>paid_search</t>
        </is>
      </c>
      <c r="F2763">
        <f>IFERROR(MATCH(A2763,Deals!$A$2:$A$843,0),"")</f>
        <v/>
      </c>
      <c r="G2763">
        <f>IF(F2763="",0,1)</f>
        <v/>
      </c>
      <c r="H2763" s="29">
        <f>IF(F2763="","",INDEX(Deals!$E$2:$E$843,F2763))</f>
        <v/>
      </c>
      <c r="I2763">
        <f>IF(F2763="","",INDEX(Deals!$D$2:$D$843,F2763))</f>
        <v/>
      </c>
      <c r="J2763">
        <f>IF(F2763="","",INT(H2763)-B2763)</f>
        <v/>
      </c>
      <c r="K2763">
        <f>IF(B2763&gt;=Settings!$C$5,1,0)</f>
        <v/>
      </c>
    </row>
    <row r="2764">
      <c r="A2764" t="inlineStr">
        <is>
          <t>42e63e1b4d6aa921fd566bdef26e5ef4</t>
        </is>
      </c>
      <c r="B2764" s="29" t="n">
        <v>43193</v>
      </c>
      <c r="C2764" t="inlineStr">
        <is>
          <t>2018-04</t>
        </is>
      </c>
      <c r="D2764" t="inlineStr">
        <is>
          <t>58326e62183c14b0c03085c33b9fdc44</t>
        </is>
      </c>
      <c r="E2764" t="inlineStr">
        <is>
          <t>social</t>
        </is>
      </c>
      <c r="F2764">
        <f>IFERROR(MATCH(A2764,Deals!$A$2:$A$843,0),"")</f>
        <v/>
      </c>
      <c r="G2764">
        <f>IF(F2764="",0,1)</f>
        <v/>
      </c>
      <c r="H2764" s="29">
        <f>IF(F2764="","",INDEX(Deals!$E$2:$E$843,F2764))</f>
        <v/>
      </c>
      <c r="I2764">
        <f>IF(F2764="","",INDEX(Deals!$D$2:$D$843,F2764))</f>
        <v/>
      </c>
      <c r="J2764">
        <f>IF(F2764="","",INT(H2764)-B2764)</f>
        <v/>
      </c>
      <c r="K2764">
        <f>IF(B2764&gt;=Settings!$C$5,1,0)</f>
        <v/>
      </c>
    </row>
    <row r="2765">
      <c r="A2765" t="inlineStr">
        <is>
          <t>bb2dba24644723c5ee4d687215836391</t>
        </is>
      </c>
      <c r="B2765" s="29" t="n">
        <v>42929</v>
      </c>
      <c r="C2765" t="inlineStr">
        <is>
          <t>2017-07</t>
        </is>
      </c>
      <c r="D2765" t="inlineStr">
        <is>
          <t>a56671a54260a44923d32c2f08fad39c</t>
        </is>
      </c>
      <c r="E2765" t="inlineStr">
        <is>
          <t>organic_search</t>
        </is>
      </c>
      <c r="F2765">
        <f>IFERROR(MATCH(A2765,Deals!$A$2:$A$843,0),"")</f>
        <v/>
      </c>
      <c r="G2765">
        <f>IF(F2765="",0,1)</f>
        <v/>
      </c>
      <c r="H2765" s="29">
        <f>IF(F2765="","",INDEX(Deals!$E$2:$E$843,F2765))</f>
        <v/>
      </c>
      <c r="I2765">
        <f>IF(F2765="","",INDEX(Deals!$D$2:$D$843,F2765))</f>
        <v/>
      </c>
      <c r="J2765">
        <f>IF(F2765="","",INT(H2765)-B2765)</f>
        <v/>
      </c>
      <c r="K2765">
        <f>IF(B2765&gt;=Settings!$C$5,1,0)</f>
        <v/>
      </c>
    </row>
    <row r="2766">
      <c r="A2766" t="inlineStr">
        <is>
          <t>e0a1ea6d27cd898fd92395d5228c22ff</t>
        </is>
      </c>
      <c r="B2766" s="29" t="n">
        <v>43210</v>
      </c>
      <c r="C2766" t="inlineStr">
        <is>
          <t>2018-04</t>
        </is>
      </c>
      <c r="D2766" t="inlineStr">
        <is>
          <t>b76ef37428e6799c421989521c0e5077</t>
        </is>
      </c>
      <c r="E2766" t="inlineStr">
        <is>
          <t>unknown</t>
        </is>
      </c>
      <c r="F2766">
        <f>IFERROR(MATCH(A2766,Deals!$A$2:$A$843,0),"")</f>
        <v/>
      </c>
      <c r="G2766">
        <f>IF(F2766="",0,1)</f>
        <v/>
      </c>
      <c r="H2766" s="29">
        <f>IF(F2766="","",INDEX(Deals!$E$2:$E$843,F2766))</f>
        <v/>
      </c>
      <c r="I2766">
        <f>IF(F2766="","",INDEX(Deals!$D$2:$D$843,F2766))</f>
        <v/>
      </c>
      <c r="J2766">
        <f>IF(F2766="","",INT(H2766)-B2766)</f>
        <v/>
      </c>
      <c r="K2766">
        <f>IF(B2766&gt;=Settings!$C$5,1,0)</f>
        <v/>
      </c>
    </row>
    <row r="2767">
      <c r="A2767" t="inlineStr">
        <is>
          <t>d2d5b139c2d31f6055633cba79228a33</t>
        </is>
      </c>
      <c r="B2767" s="29" t="n">
        <v>43094</v>
      </c>
      <c r="C2767" t="inlineStr">
        <is>
          <t>2017-12</t>
        </is>
      </c>
      <c r="D2767" t="inlineStr">
        <is>
          <t>88740e65d5d6b056e0cda098e1ea6313</t>
        </is>
      </c>
      <c r="E2767" t="inlineStr">
        <is>
          <t>social</t>
        </is>
      </c>
      <c r="F2767">
        <f>IFERROR(MATCH(A2767,Deals!$A$2:$A$843,0),"")</f>
        <v/>
      </c>
      <c r="G2767">
        <f>IF(F2767="",0,1)</f>
        <v/>
      </c>
      <c r="H2767" s="29">
        <f>IF(F2767="","",INDEX(Deals!$E$2:$E$843,F2767))</f>
        <v/>
      </c>
      <c r="I2767">
        <f>IF(F2767="","",INDEX(Deals!$D$2:$D$843,F2767))</f>
        <v/>
      </c>
      <c r="J2767">
        <f>IF(F2767="","",INT(H2767)-B2767)</f>
        <v/>
      </c>
      <c r="K2767">
        <f>IF(B2767&gt;=Settings!$C$5,1,0)</f>
        <v/>
      </c>
    </row>
    <row r="2768">
      <c r="A2768" t="inlineStr">
        <is>
          <t>29b348bed4010ff28d9fe86ddedd4d21</t>
        </is>
      </c>
      <c r="B2768" s="29" t="n">
        <v>43060</v>
      </c>
      <c r="C2768" t="inlineStr">
        <is>
          <t>2017-11</t>
        </is>
      </c>
      <c r="D2768" t="inlineStr">
        <is>
          <t>88740e65d5d6b056e0cda098e1ea6313</t>
        </is>
      </c>
      <c r="E2768" t="inlineStr">
        <is>
          <t>social</t>
        </is>
      </c>
      <c r="F2768">
        <f>IFERROR(MATCH(A2768,Deals!$A$2:$A$843,0),"")</f>
        <v/>
      </c>
      <c r="G2768">
        <f>IF(F2768="",0,1)</f>
        <v/>
      </c>
      <c r="H2768" s="29">
        <f>IF(F2768="","",INDEX(Deals!$E$2:$E$843,F2768))</f>
        <v/>
      </c>
      <c r="I2768">
        <f>IF(F2768="","",INDEX(Deals!$D$2:$D$843,F2768))</f>
        <v/>
      </c>
      <c r="J2768">
        <f>IF(F2768="","",INT(H2768)-B2768)</f>
        <v/>
      </c>
      <c r="K2768">
        <f>IF(B2768&gt;=Settings!$C$5,1,0)</f>
        <v/>
      </c>
    </row>
    <row r="2769">
      <c r="A2769" t="inlineStr">
        <is>
          <t>d57b5430f8c6a9fa9d91cb60bd237336</t>
        </is>
      </c>
      <c r="B2769" s="29" t="n">
        <v>43137</v>
      </c>
      <c r="C2769" t="inlineStr">
        <is>
          <t>2018-02</t>
        </is>
      </c>
      <c r="D2769" t="inlineStr">
        <is>
          <t>73f31a40697cc90a86c1273563ac230e</t>
        </is>
      </c>
      <c r="E2769" t="inlineStr">
        <is>
          <t>organic_search</t>
        </is>
      </c>
      <c r="F2769">
        <f>IFERROR(MATCH(A2769,Deals!$A$2:$A$843,0),"")</f>
        <v/>
      </c>
      <c r="G2769">
        <f>IF(F2769="",0,1)</f>
        <v/>
      </c>
      <c r="H2769" s="29">
        <f>IF(F2769="","",INDEX(Deals!$E$2:$E$843,F2769))</f>
        <v/>
      </c>
      <c r="I2769">
        <f>IF(F2769="","",INDEX(Deals!$D$2:$D$843,F2769))</f>
        <v/>
      </c>
      <c r="J2769">
        <f>IF(F2769="","",INT(H2769)-B2769)</f>
        <v/>
      </c>
      <c r="K2769">
        <f>IF(B2769&gt;=Settings!$C$5,1,0)</f>
        <v/>
      </c>
    </row>
    <row r="2770">
      <c r="A2770" t="inlineStr">
        <is>
          <t>4491e3b53b2927d21cfef53e66058bd5</t>
        </is>
      </c>
      <c r="B2770" s="29" t="n">
        <v>43183</v>
      </c>
      <c r="C2770" t="inlineStr">
        <is>
          <t>2018-03</t>
        </is>
      </c>
      <c r="D2770" t="inlineStr">
        <is>
          <t>58326e62183c14b0c03085c33b9fdc44</t>
        </is>
      </c>
      <c r="E2770" t="inlineStr">
        <is>
          <t>social</t>
        </is>
      </c>
      <c r="F2770">
        <f>IFERROR(MATCH(A2770,Deals!$A$2:$A$843,0),"")</f>
        <v/>
      </c>
      <c r="G2770">
        <f>IF(F2770="",0,1)</f>
        <v/>
      </c>
      <c r="H2770" s="29">
        <f>IF(F2770="","",INDEX(Deals!$E$2:$E$843,F2770))</f>
        <v/>
      </c>
      <c r="I2770">
        <f>IF(F2770="","",INDEX(Deals!$D$2:$D$843,F2770))</f>
        <v/>
      </c>
      <c r="J2770">
        <f>IF(F2770="","",INT(H2770)-B2770)</f>
        <v/>
      </c>
      <c r="K2770">
        <f>IF(B2770&gt;=Settings!$C$5,1,0)</f>
        <v/>
      </c>
    </row>
    <row r="2771">
      <c r="A2771" t="inlineStr">
        <is>
          <t>1ba4d572a08babfe8c7d9c9717ec1599</t>
        </is>
      </c>
      <c r="B2771" s="29" t="n">
        <v>42960</v>
      </c>
      <c r="C2771" t="inlineStr">
        <is>
          <t>2017-08</t>
        </is>
      </c>
      <c r="D2771" t="inlineStr">
        <is>
          <t>87732658ba41d8775e8577df347a64db</t>
        </is>
      </c>
      <c r="E2771" t="inlineStr">
        <is>
          <t>social</t>
        </is>
      </c>
      <c r="F2771">
        <f>IFERROR(MATCH(A2771,Deals!$A$2:$A$843,0),"")</f>
        <v/>
      </c>
      <c r="G2771">
        <f>IF(F2771="",0,1)</f>
        <v/>
      </c>
      <c r="H2771" s="29">
        <f>IF(F2771="","",INDEX(Deals!$E$2:$E$843,F2771))</f>
        <v/>
      </c>
      <c r="I2771">
        <f>IF(F2771="","",INDEX(Deals!$D$2:$D$843,F2771))</f>
        <v/>
      </c>
      <c r="J2771">
        <f>IF(F2771="","",INT(H2771)-B2771)</f>
        <v/>
      </c>
      <c r="K2771">
        <f>IF(B2771&gt;=Settings!$C$5,1,0)</f>
        <v/>
      </c>
    </row>
    <row r="2772">
      <c r="A2772" t="inlineStr">
        <is>
          <t>274aa30dfa6ebfc053832b395598c1aa</t>
        </is>
      </c>
      <c r="B2772" s="29" t="n">
        <v>43127</v>
      </c>
      <c r="C2772" t="inlineStr">
        <is>
          <t>2018-01</t>
        </is>
      </c>
      <c r="D2772" t="inlineStr">
        <is>
          <t>6511fd3ad2fc59d7f907bf22b13d19e3</t>
        </is>
      </c>
      <c r="E2772" t="inlineStr">
        <is>
          <t>direct_traffic</t>
        </is>
      </c>
      <c r="F2772">
        <f>IFERROR(MATCH(A2772,Deals!$A$2:$A$843,0),"")</f>
        <v/>
      </c>
      <c r="G2772">
        <f>IF(F2772="",0,1)</f>
        <v/>
      </c>
      <c r="H2772" s="29">
        <f>IF(F2772="","",INDEX(Deals!$E$2:$E$843,F2772))</f>
        <v/>
      </c>
      <c r="I2772">
        <f>IF(F2772="","",INDEX(Deals!$D$2:$D$843,F2772))</f>
        <v/>
      </c>
      <c r="J2772">
        <f>IF(F2772="","",INT(H2772)-B2772)</f>
        <v/>
      </c>
      <c r="K2772">
        <f>IF(B2772&gt;=Settings!$C$5,1,0)</f>
        <v/>
      </c>
    </row>
    <row r="2773">
      <c r="A2773" t="inlineStr">
        <is>
          <t>761635701a1b57e55385d45e8e868498</t>
        </is>
      </c>
      <c r="B2773" s="29" t="n">
        <v>43160</v>
      </c>
      <c r="C2773" t="inlineStr">
        <is>
          <t>2018-03</t>
        </is>
      </c>
      <c r="D2773" t="inlineStr">
        <is>
          <t>73f31a40697cc90a86c1273563ac230e</t>
        </is>
      </c>
      <c r="E2773" t="inlineStr">
        <is>
          <t>other</t>
        </is>
      </c>
      <c r="F2773">
        <f>IFERROR(MATCH(A2773,Deals!$A$2:$A$843,0),"")</f>
        <v/>
      </c>
      <c r="G2773">
        <f>IF(F2773="",0,1)</f>
        <v/>
      </c>
      <c r="H2773" s="29">
        <f>IF(F2773="","",INDEX(Deals!$E$2:$E$843,F2773))</f>
        <v/>
      </c>
      <c r="I2773">
        <f>IF(F2773="","",INDEX(Deals!$D$2:$D$843,F2773))</f>
        <v/>
      </c>
      <c r="J2773">
        <f>IF(F2773="","",INT(H2773)-B2773)</f>
        <v/>
      </c>
      <c r="K2773">
        <f>IF(B2773&gt;=Settings!$C$5,1,0)</f>
        <v/>
      </c>
    </row>
    <row r="2774">
      <c r="A2774" t="inlineStr">
        <is>
          <t>4e1213b3b6b7ff55099c76ffd9eb4b58</t>
        </is>
      </c>
      <c r="B2774" s="29" t="n">
        <v>43024</v>
      </c>
      <c r="C2774" t="inlineStr">
        <is>
          <t>2017-10</t>
        </is>
      </c>
      <c r="D2774" t="inlineStr">
        <is>
          <t>22c29808c4f815213303f8933030604c</t>
        </is>
      </c>
      <c r="E2774" t="inlineStr">
        <is>
          <t>organic_search</t>
        </is>
      </c>
      <c r="F2774">
        <f>IFERROR(MATCH(A2774,Deals!$A$2:$A$843,0),"")</f>
        <v/>
      </c>
      <c r="G2774">
        <f>IF(F2774="",0,1)</f>
        <v/>
      </c>
      <c r="H2774" s="29">
        <f>IF(F2774="","",INDEX(Deals!$E$2:$E$843,F2774))</f>
        <v/>
      </c>
      <c r="I2774">
        <f>IF(F2774="","",INDEX(Deals!$D$2:$D$843,F2774))</f>
        <v/>
      </c>
      <c r="J2774">
        <f>IF(F2774="","",INT(H2774)-B2774)</f>
        <v/>
      </c>
      <c r="K2774">
        <f>IF(B2774&gt;=Settings!$C$5,1,0)</f>
        <v/>
      </c>
    </row>
    <row r="2775">
      <c r="A2775" t="inlineStr">
        <is>
          <t>8d70a49aa04daef1ff57762246c51978</t>
        </is>
      </c>
      <c r="B2775" s="29" t="n">
        <v>43108</v>
      </c>
      <c r="C2775" t="inlineStr">
        <is>
          <t>2018-01</t>
        </is>
      </c>
      <c r="D2775" t="inlineStr">
        <is>
          <t>22c29808c4f815213303f8933030604c</t>
        </is>
      </c>
      <c r="E2775" t="inlineStr">
        <is>
          <t>organic_search</t>
        </is>
      </c>
      <c r="F2775">
        <f>IFERROR(MATCH(A2775,Deals!$A$2:$A$843,0),"")</f>
        <v/>
      </c>
      <c r="G2775">
        <f>IF(F2775="",0,1)</f>
        <v/>
      </c>
      <c r="H2775" s="29">
        <f>IF(F2775="","",INDEX(Deals!$E$2:$E$843,F2775))</f>
        <v/>
      </c>
      <c r="I2775">
        <f>IF(F2775="","",INDEX(Deals!$D$2:$D$843,F2775))</f>
        <v/>
      </c>
      <c r="J2775">
        <f>IF(F2775="","",INT(H2775)-B2775)</f>
        <v/>
      </c>
      <c r="K2775">
        <f>IF(B2775&gt;=Settings!$C$5,1,0)</f>
        <v/>
      </c>
    </row>
    <row r="2776">
      <c r="A2776" t="inlineStr">
        <is>
          <t>c5e247391bbdd57927e2930538296f2e</t>
        </is>
      </c>
      <c r="B2776" s="29" t="n">
        <v>43031</v>
      </c>
      <c r="C2776" t="inlineStr">
        <is>
          <t>2017-10</t>
        </is>
      </c>
      <c r="D2776" t="inlineStr">
        <is>
          <t>241f79c7a8fe0270f4fb79fcbbcd17ad</t>
        </is>
      </c>
      <c r="E2776" t="inlineStr">
        <is>
          <t>organic_search</t>
        </is>
      </c>
      <c r="F2776">
        <f>IFERROR(MATCH(A2776,Deals!$A$2:$A$843,0),"")</f>
        <v/>
      </c>
      <c r="G2776">
        <f>IF(F2776="",0,1)</f>
        <v/>
      </c>
      <c r="H2776" s="29">
        <f>IF(F2776="","",INDEX(Deals!$E$2:$E$843,F2776))</f>
        <v/>
      </c>
      <c r="I2776">
        <f>IF(F2776="","",INDEX(Deals!$D$2:$D$843,F2776))</f>
        <v/>
      </c>
      <c r="J2776">
        <f>IF(F2776="","",INT(H2776)-B2776)</f>
        <v/>
      </c>
      <c r="K2776">
        <f>IF(B2776&gt;=Settings!$C$5,1,0)</f>
        <v/>
      </c>
    </row>
    <row r="2777">
      <c r="A2777" t="inlineStr">
        <is>
          <t>3505514e9f9ba3724fc51cb3278e0e67</t>
        </is>
      </c>
      <c r="B2777" s="29" t="n">
        <v>43060</v>
      </c>
      <c r="C2777" t="inlineStr">
        <is>
          <t>2017-11</t>
        </is>
      </c>
      <c r="D2777" t="inlineStr">
        <is>
          <t>b76ef37428e6799c421989521c0e5077</t>
        </is>
      </c>
      <c r="E2777" t="inlineStr">
        <is>
          <t>unknown</t>
        </is>
      </c>
      <c r="F2777">
        <f>IFERROR(MATCH(A2777,Deals!$A$2:$A$843,0),"")</f>
        <v/>
      </c>
      <c r="G2777">
        <f>IF(F2777="",0,1)</f>
        <v/>
      </c>
      <c r="H2777" s="29">
        <f>IF(F2777="","",INDEX(Deals!$E$2:$E$843,F2777))</f>
        <v/>
      </c>
      <c r="I2777">
        <f>IF(F2777="","",INDEX(Deals!$D$2:$D$843,F2777))</f>
        <v/>
      </c>
      <c r="J2777">
        <f>IF(F2777="","",INT(H2777)-B2777)</f>
        <v/>
      </c>
      <c r="K2777">
        <f>IF(B2777&gt;=Settings!$C$5,1,0)</f>
        <v/>
      </c>
    </row>
    <row r="2778">
      <c r="A2778" t="inlineStr">
        <is>
          <t>fb6bb1278f020833319dd6e557ca4d88</t>
        </is>
      </c>
      <c r="B2778" s="29" t="n">
        <v>43230</v>
      </c>
      <c r="C2778" t="inlineStr">
        <is>
          <t>2018-05</t>
        </is>
      </c>
      <c r="D2778" t="inlineStr">
        <is>
          <t>ce1a65abd0973638f1c887a6efcfa82d</t>
        </is>
      </c>
      <c r="E2778" t="inlineStr">
        <is>
          <t>direct_traffic</t>
        </is>
      </c>
      <c r="F2778">
        <f>IFERROR(MATCH(A2778,Deals!$A$2:$A$843,0),"")</f>
        <v/>
      </c>
      <c r="G2778">
        <f>IF(F2778="",0,1)</f>
        <v/>
      </c>
      <c r="H2778" s="29">
        <f>IF(F2778="","",INDEX(Deals!$E$2:$E$843,F2778))</f>
        <v/>
      </c>
      <c r="I2778">
        <f>IF(F2778="","",INDEX(Deals!$D$2:$D$843,F2778))</f>
        <v/>
      </c>
      <c r="J2778">
        <f>IF(F2778="","",INT(H2778)-B2778)</f>
        <v/>
      </c>
      <c r="K2778">
        <f>IF(B2778&gt;=Settings!$C$5,1,0)</f>
        <v/>
      </c>
    </row>
    <row r="2779">
      <c r="A2779" t="inlineStr">
        <is>
          <t>47bae4cea2f848fe1d91c9051a300a29</t>
        </is>
      </c>
      <c r="B2779" s="29" t="n">
        <v>43125</v>
      </c>
      <c r="C2779" t="inlineStr">
        <is>
          <t>2018-01</t>
        </is>
      </c>
      <c r="D2779" t="inlineStr">
        <is>
          <t>da14b7e2eb0d1eecf65abbd05a31c87d</t>
        </is>
      </c>
      <c r="E2779" t="inlineStr">
        <is>
          <t>email</t>
        </is>
      </c>
      <c r="F2779">
        <f>IFERROR(MATCH(A2779,Deals!$A$2:$A$843,0),"")</f>
        <v/>
      </c>
      <c r="G2779">
        <f>IF(F2779="",0,1)</f>
        <v/>
      </c>
      <c r="H2779" s="29">
        <f>IF(F2779="","",INDEX(Deals!$E$2:$E$843,F2779))</f>
        <v/>
      </c>
      <c r="I2779">
        <f>IF(F2779="","",INDEX(Deals!$D$2:$D$843,F2779))</f>
        <v/>
      </c>
      <c r="J2779">
        <f>IF(F2779="","",INT(H2779)-B2779)</f>
        <v/>
      </c>
      <c r="K2779">
        <f>IF(B2779&gt;=Settings!$C$5,1,0)</f>
        <v/>
      </c>
    </row>
    <row r="2780">
      <c r="A2780" t="inlineStr">
        <is>
          <t>d374d0c18780e492c3d2e63f91752d0d</t>
        </is>
      </c>
      <c r="B2780" s="29" t="n">
        <v>43245</v>
      </c>
      <c r="C2780" t="inlineStr">
        <is>
          <t>2018-05</t>
        </is>
      </c>
      <c r="D2780" t="inlineStr">
        <is>
          <t>358adb2fee9a122549618e46925a00a5</t>
        </is>
      </c>
      <c r="E2780" t="inlineStr">
        <is>
          <t>direct_traffic</t>
        </is>
      </c>
      <c r="F2780">
        <f>IFERROR(MATCH(A2780,Deals!$A$2:$A$843,0),"")</f>
        <v/>
      </c>
      <c r="G2780">
        <f>IF(F2780="",0,1)</f>
        <v/>
      </c>
      <c r="H2780" s="29">
        <f>IF(F2780="","",INDEX(Deals!$E$2:$E$843,F2780))</f>
        <v/>
      </c>
      <c r="I2780">
        <f>IF(F2780="","",INDEX(Deals!$D$2:$D$843,F2780))</f>
        <v/>
      </c>
      <c r="J2780">
        <f>IF(F2780="","",INT(H2780)-B2780)</f>
        <v/>
      </c>
      <c r="K2780">
        <f>IF(B2780&gt;=Settings!$C$5,1,0)</f>
        <v/>
      </c>
    </row>
    <row r="2781">
      <c r="A2781" t="inlineStr">
        <is>
          <t>75e889ffb4c956022354ba317a6626ed</t>
        </is>
      </c>
      <c r="B2781" s="29" t="n">
        <v>43138</v>
      </c>
      <c r="C2781" t="inlineStr">
        <is>
          <t>2018-02</t>
        </is>
      </c>
      <c r="D2781" t="inlineStr">
        <is>
          <t>22c29808c4f815213303f8933030604c</t>
        </is>
      </c>
      <c r="E2781" t="inlineStr">
        <is>
          <t>organic_search</t>
        </is>
      </c>
      <c r="F2781">
        <f>IFERROR(MATCH(A2781,Deals!$A$2:$A$843,0),"")</f>
        <v/>
      </c>
      <c r="G2781">
        <f>IF(F2781="",0,1)</f>
        <v/>
      </c>
      <c r="H2781" s="29">
        <f>IF(F2781="","",INDEX(Deals!$E$2:$E$843,F2781))</f>
        <v/>
      </c>
      <c r="I2781">
        <f>IF(F2781="","",INDEX(Deals!$D$2:$D$843,F2781))</f>
        <v/>
      </c>
      <c r="J2781">
        <f>IF(F2781="","",INT(H2781)-B2781)</f>
        <v/>
      </c>
      <c r="K2781">
        <f>IF(B2781&gt;=Settings!$C$5,1,0)</f>
        <v/>
      </c>
    </row>
    <row r="2782">
      <c r="A2782" t="inlineStr">
        <is>
          <t>dcef2760cae209169100185640b5a2a0</t>
        </is>
      </c>
      <c r="B2782" s="29" t="n">
        <v>42972</v>
      </c>
      <c r="C2782" t="inlineStr">
        <is>
          <t>2017-08</t>
        </is>
      </c>
      <c r="D2782" t="inlineStr">
        <is>
          <t>22c29808c4f815213303f8933030604c</t>
        </is>
      </c>
      <c r="E2782" t="inlineStr">
        <is>
          <t>organic_search</t>
        </is>
      </c>
      <c r="F2782">
        <f>IFERROR(MATCH(A2782,Deals!$A$2:$A$843,0),"")</f>
        <v/>
      </c>
      <c r="G2782">
        <f>IF(F2782="",0,1)</f>
        <v/>
      </c>
      <c r="H2782" s="29">
        <f>IF(F2782="","",INDEX(Deals!$E$2:$E$843,F2782))</f>
        <v/>
      </c>
      <c r="I2782">
        <f>IF(F2782="","",INDEX(Deals!$D$2:$D$843,F2782))</f>
        <v/>
      </c>
      <c r="J2782">
        <f>IF(F2782="","",INT(H2782)-B2782)</f>
        <v/>
      </c>
      <c r="K2782">
        <f>IF(B2782&gt;=Settings!$C$5,1,0)</f>
        <v/>
      </c>
    </row>
    <row r="2783">
      <c r="A2783" t="inlineStr">
        <is>
          <t>dee39f3a5ab881ab30a36b0ee71300aa</t>
        </is>
      </c>
      <c r="B2783" s="29" t="n">
        <v>43220</v>
      </c>
      <c r="C2783" t="inlineStr">
        <is>
          <t>2018-04</t>
        </is>
      </c>
      <c r="D2783" t="inlineStr">
        <is>
          <t>5ecb50153794666e90bc04c0076b7834</t>
        </is>
      </c>
      <c r="E2783" t="inlineStr">
        <is>
          <t>paid_search</t>
        </is>
      </c>
      <c r="F2783">
        <f>IFERROR(MATCH(A2783,Deals!$A$2:$A$843,0),"")</f>
        <v/>
      </c>
      <c r="G2783">
        <f>IF(F2783="",0,1)</f>
        <v/>
      </c>
      <c r="H2783" s="29">
        <f>IF(F2783="","",INDEX(Deals!$E$2:$E$843,F2783))</f>
        <v/>
      </c>
      <c r="I2783">
        <f>IF(F2783="","",INDEX(Deals!$D$2:$D$843,F2783))</f>
        <v/>
      </c>
      <c r="J2783">
        <f>IF(F2783="","",INT(H2783)-B2783)</f>
        <v/>
      </c>
      <c r="K2783">
        <f>IF(B2783&gt;=Settings!$C$5,1,0)</f>
        <v/>
      </c>
    </row>
    <row r="2784">
      <c r="A2784" t="inlineStr">
        <is>
          <t>fdd68c10c38eb2811cbf1e13bc95b5a1</t>
        </is>
      </c>
      <c r="B2784" s="29" t="n">
        <v>43200</v>
      </c>
      <c r="C2784" t="inlineStr">
        <is>
          <t>2018-04</t>
        </is>
      </c>
      <c r="D2784" t="inlineStr">
        <is>
          <t>22c29808c4f815213303f8933030604c</t>
        </is>
      </c>
      <c r="E2784" t="inlineStr">
        <is>
          <t>organic_search</t>
        </is>
      </c>
      <c r="F2784">
        <f>IFERROR(MATCH(A2784,Deals!$A$2:$A$843,0),"")</f>
        <v/>
      </c>
      <c r="G2784">
        <f>IF(F2784="",0,1)</f>
        <v/>
      </c>
      <c r="H2784" s="29">
        <f>IF(F2784="","",INDEX(Deals!$E$2:$E$843,F2784))</f>
        <v/>
      </c>
      <c r="I2784">
        <f>IF(F2784="","",INDEX(Deals!$D$2:$D$843,F2784))</f>
        <v/>
      </c>
      <c r="J2784">
        <f>IF(F2784="","",INT(H2784)-B2784)</f>
        <v/>
      </c>
      <c r="K2784">
        <f>IF(B2784&gt;=Settings!$C$5,1,0)</f>
        <v/>
      </c>
    </row>
    <row r="2785">
      <c r="A2785" t="inlineStr">
        <is>
          <t>564ed2dbdd6f0567500e8a1b7981f28b</t>
        </is>
      </c>
      <c r="B2785" s="29" t="n">
        <v>43015</v>
      </c>
      <c r="C2785" t="inlineStr">
        <is>
          <t>2017-10</t>
        </is>
      </c>
      <c r="D2785" t="inlineStr">
        <is>
          <t>872eb32141128a5320bfe7b8cf80fc14</t>
        </is>
      </c>
      <c r="E2785" t="inlineStr">
        <is>
          <t>organic_search</t>
        </is>
      </c>
      <c r="F2785">
        <f>IFERROR(MATCH(A2785,Deals!$A$2:$A$843,0),"")</f>
        <v/>
      </c>
      <c r="G2785">
        <f>IF(F2785="",0,1)</f>
        <v/>
      </c>
      <c r="H2785" s="29">
        <f>IF(F2785="","",INDEX(Deals!$E$2:$E$843,F2785))</f>
        <v/>
      </c>
      <c r="I2785">
        <f>IF(F2785="","",INDEX(Deals!$D$2:$D$843,F2785))</f>
        <v/>
      </c>
      <c r="J2785">
        <f>IF(F2785="","",INT(H2785)-B2785)</f>
        <v/>
      </c>
      <c r="K2785">
        <f>IF(B2785&gt;=Settings!$C$5,1,0)</f>
        <v/>
      </c>
    </row>
    <row r="2786">
      <c r="A2786" t="inlineStr">
        <is>
          <t>10ab26922e2648bd3f79f8f8631af7cf</t>
        </is>
      </c>
      <c r="B2786" s="29" t="n">
        <v>43108</v>
      </c>
      <c r="C2786" t="inlineStr">
        <is>
          <t>2018-01</t>
        </is>
      </c>
      <c r="D2786" t="inlineStr">
        <is>
          <t>22c29808c4f815213303f8933030604c</t>
        </is>
      </c>
      <c r="E2786" t="inlineStr">
        <is>
          <t>paid_search</t>
        </is>
      </c>
      <c r="F2786">
        <f>IFERROR(MATCH(A2786,Deals!$A$2:$A$843,0),"")</f>
        <v/>
      </c>
      <c r="G2786">
        <f>IF(F2786="",0,1)</f>
        <v/>
      </c>
      <c r="H2786" s="29">
        <f>IF(F2786="","",INDEX(Deals!$E$2:$E$843,F2786))</f>
        <v/>
      </c>
      <c r="I2786">
        <f>IF(F2786="","",INDEX(Deals!$D$2:$D$843,F2786))</f>
        <v/>
      </c>
      <c r="J2786">
        <f>IF(F2786="","",INT(H2786)-B2786)</f>
        <v/>
      </c>
      <c r="K2786">
        <f>IF(B2786&gt;=Settings!$C$5,1,0)</f>
        <v/>
      </c>
    </row>
    <row r="2787">
      <c r="A2787" t="inlineStr">
        <is>
          <t>55b0dce57b47df0013b6bfdfd5636f3f</t>
        </is>
      </c>
      <c r="B2787" s="29" t="n">
        <v>43107</v>
      </c>
      <c r="C2787" t="inlineStr">
        <is>
          <t>2018-01</t>
        </is>
      </c>
      <c r="D2787" t="inlineStr">
        <is>
          <t>88740e65d5d6b056e0cda098e1ea6313</t>
        </is>
      </c>
      <c r="E2787" t="inlineStr">
        <is>
          <t>social</t>
        </is>
      </c>
      <c r="F2787">
        <f>IFERROR(MATCH(A2787,Deals!$A$2:$A$843,0),"")</f>
        <v/>
      </c>
      <c r="G2787">
        <f>IF(F2787="",0,1)</f>
        <v/>
      </c>
      <c r="H2787" s="29">
        <f>IF(F2787="","",INDEX(Deals!$E$2:$E$843,F2787))</f>
        <v/>
      </c>
      <c r="I2787">
        <f>IF(F2787="","",INDEX(Deals!$D$2:$D$843,F2787))</f>
        <v/>
      </c>
      <c r="J2787">
        <f>IF(F2787="","",INT(H2787)-B2787)</f>
        <v/>
      </c>
      <c r="K2787">
        <f>IF(B2787&gt;=Settings!$C$5,1,0)</f>
        <v/>
      </c>
    </row>
    <row r="2788">
      <c r="A2788" t="inlineStr">
        <is>
          <t>f7066703eb3987f21f0d102ea8caaeb5</t>
        </is>
      </c>
      <c r="B2788" s="29" t="n">
        <v>43122</v>
      </c>
      <c r="C2788" t="inlineStr">
        <is>
          <t>2018-01</t>
        </is>
      </c>
      <c r="D2788" t="inlineStr">
        <is>
          <t>22c29808c4f815213303f8933030604c</t>
        </is>
      </c>
      <c r="E2788" t="inlineStr">
        <is>
          <t>organic_search</t>
        </is>
      </c>
      <c r="F2788">
        <f>IFERROR(MATCH(A2788,Deals!$A$2:$A$843,0),"")</f>
        <v/>
      </c>
      <c r="G2788">
        <f>IF(F2788="",0,1)</f>
        <v/>
      </c>
      <c r="H2788" s="29">
        <f>IF(F2788="","",INDEX(Deals!$E$2:$E$843,F2788))</f>
        <v/>
      </c>
      <c r="I2788">
        <f>IF(F2788="","",INDEX(Deals!$D$2:$D$843,F2788))</f>
        <v/>
      </c>
      <c r="J2788">
        <f>IF(F2788="","",INT(H2788)-B2788)</f>
        <v/>
      </c>
      <c r="K2788">
        <f>IF(B2788&gt;=Settings!$C$5,1,0)</f>
        <v/>
      </c>
    </row>
    <row r="2789">
      <c r="A2789" t="inlineStr">
        <is>
          <t>8423896e04d8cc356ddbb29d4cc9288d</t>
        </is>
      </c>
      <c r="B2789" s="29" t="n">
        <v>43198</v>
      </c>
      <c r="C2789" t="inlineStr">
        <is>
          <t>2018-04</t>
        </is>
      </c>
      <c r="D2789" t="inlineStr">
        <is>
          <t>22c29808c4f815213303f8933030604c</t>
        </is>
      </c>
      <c r="E2789" t="inlineStr">
        <is>
          <t>direct_traffic</t>
        </is>
      </c>
      <c r="F2789">
        <f>IFERROR(MATCH(A2789,Deals!$A$2:$A$843,0),"")</f>
        <v/>
      </c>
      <c r="G2789">
        <f>IF(F2789="",0,1)</f>
        <v/>
      </c>
      <c r="H2789" s="29">
        <f>IF(F2789="","",INDEX(Deals!$E$2:$E$843,F2789))</f>
        <v/>
      </c>
      <c r="I2789">
        <f>IF(F2789="","",INDEX(Deals!$D$2:$D$843,F2789))</f>
        <v/>
      </c>
      <c r="J2789">
        <f>IF(F2789="","",INT(H2789)-B2789)</f>
        <v/>
      </c>
      <c r="K2789">
        <f>IF(B2789&gt;=Settings!$C$5,1,0)</f>
        <v/>
      </c>
    </row>
    <row r="2790">
      <c r="A2790" t="inlineStr">
        <is>
          <t>7753eb3f2d2f5dd5bda141d7761e38e4</t>
        </is>
      </c>
      <c r="B2790" s="29" t="n">
        <v>42985</v>
      </c>
      <c r="C2790" t="inlineStr">
        <is>
          <t>2017-09</t>
        </is>
      </c>
      <c r="D2790" t="inlineStr">
        <is>
          <t>87732658ba41d8775e8577df347a64db</t>
        </is>
      </c>
      <c r="E2790" t="inlineStr">
        <is>
          <t>social</t>
        </is>
      </c>
      <c r="F2790">
        <f>IFERROR(MATCH(A2790,Deals!$A$2:$A$843,0),"")</f>
        <v/>
      </c>
      <c r="G2790">
        <f>IF(F2790="",0,1)</f>
        <v/>
      </c>
      <c r="H2790" s="29">
        <f>IF(F2790="","",INDEX(Deals!$E$2:$E$843,F2790))</f>
        <v/>
      </c>
      <c r="I2790">
        <f>IF(F2790="","",INDEX(Deals!$D$2:$D$843,F2790))</f>
        <v/>
      </c>
      <c r="J2790">
        <f>IF(F2790="","",INT(H2790)-B2790)</f>
        <v/>
      </c>
      <c r="K2790">
        <f>IF(B2790&gt;=Settings!$C$5,1,0)</f>
        <v/>
      </c>
    </row>
    <row r="2791">
      <c r="A2791" t="inlineStr">
        <is>
          <t>eecd44ca6cde2b98f9c7150cb135861c</t>
        </is>
      </c>
      <c r="B2791" s="29" t="n">
        <v>43110</v>
      </c>
      <c r="C2791" t="inlineStr">
        <is>
          <t>2018-01</t>
        </is>
      </c>
      <c r="D2791" t="inlineStr">
        <is>
          <t>99b00c6e27db383d844d1763dbcbfe06</t>
        </is>
      </c>
      <c r="E2791" t="inlineStr">
        <is>
          <t>direct_traffic</t>
        </is>
      </c>
      <c r="F2791">
        <f>IFERROR(MATCH(A2791,Deals!$A$2:$A$843,0),"")</f>
        <v/>
      </c>
      <c r="G2791">
        <f>IF(F2791="",0,1)</f>
        <v/>
      </c>
      <c r="H2791" s="29">
        <f>IF(F2791="","",INDEX(Deals!$E$2:$E$843,F2791))</f>
        <v/>
      </c>
      <c r="I2791">
        <f>IF(F2791="","",INDEX(Deals!$D$2:$D$843,F2791))</f>
        <v/>
      </c>
      <c r="J2791">
        <f>IF(F2791="","",INT(H2791)-B2791)</f>
        <v/>
      </c>
      <c r="K2791">
        <f>IF(B2791&gt;=Settings!$C$5,1,0)</f>
        <v/>
      </c>
    </row>
    <row r="2792">
      <c r="A2792" t="inlineStr">
        <is>
          <t>ef17814ab770a950071cfdd5c635d5de</t>
        </is>
      </c>
      <c r="B2792" s="29" t="n">
        <v>43209</v>
      </c>
      <c r="C2792" t="inlineStr">
        <is>
          <t>2018-04</t>
        </is>
      </c>
      <c r="D2792" t="inlineStr">
        <is>
          <t>a56671a54260a44923d32c2f08fad39c</t>
        </is>
      </c>
      <c r="E2792" t="inlineStr">
        <is>
          <t>direct_traffic</t>
        </is>
      </c>
      <c r="F2792">
        <f>IFERROR(MATCH(A2792,Deals!$A$2:$A$843,0),"")</f>
        <v/>
      </c>
      <c r="G2792">
        <f>IF(F2792="",0,1)</f>
        <v/>
      </c>
      <c r="H2792" s="29">
        <f>IF(F2792="","",INDEX(Deals!$E$2:$E$843,F2792))</f>
        <v/>
      </c>
      <c r="I2792">
        <f>IF(F2792="","",INDEX(Deals!$D$2:$D$843,F2792))</f>
        <v/>
      </c>
      <c r="J2792">
        <f>IF(F2792="","",INT(H2792)-B2792)</f>
        <v/>
      </c>
      <c r="K2792">
        <f>IF(B2792&gt;=Settings!$C$5,1,0)</f>
        <v/>
      </c>
    </row>
    <row r="2793">
      <c r="A2793" t="inlineStr">
        <is>
          <t>dc86e5c1b77c661891d91aeca52ad8b6</t>
        </is>
      </c>
      <c r="B2793" s="29" t="n">
        <v>43204</v>
      </c>
      <c r="C2793" t="inlineStr">
        <is>
          <t>2018-04</t>
        </is>
      </c>
      <c r="D2793" t="inlineStr">
        <is>
          <t>22c29808c4f815213303f8933030604c</t>
        </is>
      </c>
      <c r="E2793" t="inlineStr">
        <is>
          <t>organic_search</t>
        </is>
      </c>
      <c r="F2793">
        <f>IFERROR(MATCH(A2793,Deals!$A$2:$A$843,0),"")</f>
        <v/>
      </c>
      <c r="G2793">
        <f>IF(F2793="",0,1)</f>
        <v/>
      </c>
      <c r="H2793" s="29">
        <f>IF(F2793="","",INDEX(Deals!$E$2:$E$843,F2793))</f>
        <v/>
      </c>
      <c r="I2793">
        <f>IF(F2793="","",INDEX(Deals!$D$2:$D$843,F2793))</f>
        <v/>
      </c>
      <c r="J2793">
        <f>IF(F2793="","",INT(H2793)-B2793)</f>
        <v/>
      </c>
      <c r="K2793">
        <f>IF(B2793&gt;=Settings!$C$5,1,0)</f>
        <v/>
      </c>
    </row>
    <row r="2794">
      <c r="A2794" t="inlineStr">
        <is>
          <t>f7baa5d5ed7d88c6b4a99873955915a0</t>
        </is>
      </c>
      <c r="B2794" s="29" t="n">
        <v>43217</v>
      </c>
      <c r="C2794" t="inlineStr">
        <is>
          <t>2018-04</t>
        </is>
      </c>
      <c r="D2794" t="inlineStr">
        <is>
          <t>f80696b73d17fb34f5c4fde157f119d8</t>
        </is>
      </c>
      <c r="E2794" t="inlineStr">
        <is>
          <t>referral</t>
        </is>
      </c>
      <c r="F2794">
        <f>IFERROR(MATCH(A2794,Deals!$A$2:$A$843,0),"")</f>
        <v/>
      </c>
      <c r="G2794">
        <f>IF(F2794="",0,1)</f>
        <v/>
      </c>
      <c r="H2794" s="29">
        <f>IF(F2794="","",INDEX(Deals!$E$2:$E$843,F2794))</f>
        <v/>
      </c>
      <c r="I2794">
        <f>IF(F2794="","",INDEX(Deals!$D$2:$D$843,F2794))</f>
        <v/>
      </c>
      <c r="J2794">
        <f>IF(F2794="","",INT(H2794)-B2794)</f>
        <v/>
      </c>
      <c r="K2794">
        <f>IF(B2794&gt;=Settings!$C$5,1,0)</f>
        <v/>
      </c>
    </row>
    <row r="2795">
      <c r="A2795" t="inlineStr">
        <is>
          <t>7cbabebc4ff57faf9cd22b4188243793</t>
        </is>
      </c>
      <c r="B2795" s="29" t="n">
        <v>43191</v>
      </c>
      <c r="C2795" t="inlineStr">
        <is>
          <t>2018-04</t>
        </is>
      </c>
      <c r="D2795" t="inlineStr">
        <is>
          <t>58326e62183c14b0c03085c33b9fdc44</t>
        </is>
      </c>
      <c r="E2795" t="inlineStr">
        <is>
          <t>social</t>
        </is>
      </c>
      <c r="F2795">
        <f>IFERROR(MATCH(A2795,Deals!$A$2:$A$843,0),"")</f>
        <v/>
      </c>
      <c r="G2795">
        <f>IF(F2795="",0,1)</f>
        <v/>
      </c>
      <c r="H2795" s="29">
        <f>IF(F2795="","",INDEX(Deals!$E$2:$E$843,F2795))</f>
        <v/>
      </c>
      <c r="I2795">
        <f>IF(F2795="","",INDEX(Deals!$D$2:$D$843,F2795))</f>
        <v/>
      </c>
      <c r="J2795">
        <f>IF(F2795="","",INT(H2795)-B2795)</f>
        <v/>
      </c>
      <c r="K2795">
        <f>IF(B2795&gt;=Settings!$C$5,1,0)</f>
        <v/>
      </c>
    </row>
    <row r="2796">
      <c r="A2796" t="inlineStr">
        <is>
          <t>04c227d911d48c609eb763c34c5bef82</t>
        </is>
      </c>
      <c r="B2796" s="29" t="n">
        <v>43216</v>
      </c>
      <c r="C2796" t="inlineStr">
        <is>
          <t>2018-04</t>
        </is>
      </c>
      <c r="D2796" t="inlineStr">
        <is>
          <t>b76ef37428e6799c421989521c0e5077</t>
        </is>
      </c>
      <c r="E2796" t="inlineStr">
        <is>
          <t>unknown</t>
        </is>
      </c>
      <c r="F2796">
        <f>IFERROR(MATCH(A2796,Deals!$A$2:$A$843,0),"")</f>
        <v/>
      </c>
      <c r="G2796">
        <f>IF(F2796="",0,1)</f>
        <v/>
      </c>
      <c r="H2796" s="29">
        <f>IF(F2796="","",INDEX(Deals!$E$2:$E$843,F2796))</f>
        <v/>
      </c>
      <c r="I2796">
        <f>IF(F2796="","",INDEX(Deals!$D$2:$D$843,F2796))</f>
        <v/>
      </c>
      <c r="J2796">
        <f>IF(F2796="","",INT(H2796)-B2796)</f>
        <v/>
      </c>
      <c r="K2796">
        <f>IF(B2796&gt;=Settings!$C$5,1,0)</f>
        <v/>
      </c>
    </row>
    <row r="2797">
      <c r="A2797" t="inlineStr">
        <is>
          <t>3d6506f8e91b91b051c8f1d956c4429f</t>
        </is>
      </c>
      <c r="B2797" s="29" t="n">
        <v>43138</v>
      </c>
      <c r="C2797" t="inlineStr">
        <is>
          <t>2018-02</t>
        </is>
      </c>
      <c r="D2797" t="inlineStr">
        <is>
          <t>5209e2e679d32a6619feb6942702fd14</t>
        </is>
      </c>
      <c r="E2797" t="inlineStr">
        <is>
          <t>organic_search</t>
        </is>
      </c>
      <c r="F2797">
        <f>IFERROR(MATCH(A2797,Deals!$A$2:$A$843,0),"")</f>
        <v/>
      </c>
      <c r="G2797">
        <f>IF(F2797="",0,1)</f>
        <v/>
      </c>
      <c r="H2797" s="29">
        <f>IF(F2797="","",INDEX(Deals!$E$2:$E$843,F2797))</f>
        <v/>
      </c>
      <c r="I2797">
        <f>IF(F2797="","",INDEX(Deals!$D$2:$D$843,F2797))</f>
        <v/>
      </c>
      <c r="J2797">
        <f>IF(F2797="","",INT(H2797)-B2797)</f>
        <v/>
      </c>
      <c r="K2797">
        <f>IF(B2797&gt;=Settings!$C$5,1,0)</f>
        <v/>
      </c>
    </row>
    <row r="2798">
      <c r="A2798" t="inlineStr">
        <is>
          <t>2daeba9b5d09c2ebd5ad42e5477e5d8f</t>
        </is>
      </c>
      <c r="B2798" s="29" t="n">
        <v>43143</v>
      </c>
      <c r="C2798" t="inlineStr">
        <is>
          <t>2018-02</t>
        </is>
      </c>
      <c r="D2798" t="inlineStr">
        <is>
          <t>88740e65d5d6b056e0cda098e1ea6313</t>
        </is>
      </c>
      <c r="E2798" t="inlineStr">
        <is>
          <t>social</t>
        </is>
      </c>
      <c r="F2798">
        <f>IFERROR(MATCH(A2798,Deals!$A$2:$A$843,0),"")</f>
        <v/>
      </c>
      <c r="G2798">
        <f>IF(F2798="",0,1)</f>
        <v/>
      </c>
      <c r="H2798" s="29">
        <f>IF(F2798="","",INDEX(Deals!$E$2:$E$843,F2798))</f>
        <v/>
      </c>
      <c r="I2798">
        <f>IF(F2798="","",INDEX(Deals!$D$2:$D$843,F2798))</f>
        <v/>
      </c>
      <c r="J2798">
        <f>IF(F2798="","",INT(H2798)-B2798)</f>
        <v/>
      </c>
      <c r="K2798">
        <f>IF(B2798&gt;=Settings!$C$5,1,0)</f>
        <v/>
      </c>
    </row>
    <row r="2799">
      <c r="A2799" t="inlineStr">
        <is>
          <t>bb51ee24da672e857c3d9775b0abee4c</t>
        </is>
      </c>
      <c r="B2799" s="29" t="n">
        <v>43146</v>
      </c>
      <c r="C2799" t="inlineStr">
        <is>
          <t>2018-02</t>
        </is>
      </c>
      <c r="D2799" t="inlineStr">
        <is>
          <t>88740e65d5d6b056e0cda098e1ea6313</t>
        </is>
      </c>
      <c r="E2799" t="inlineStr">
        <is>
          <t>social</t>
        </is>
      </c>
      <c r="F2799">
        <f>IFERROR(MATCH(A2799,Deals!$A$2:$A$843,0),"")</f>
        <v/>
      </c>
      <c r="G2799">
        <f>IF(F2799="",0,1)</f>
        <v/>
      </c>
      <c r="H2799" s="29">
        <f>IF(F2799="","",INDEX(Deals!$E$2:$E$843,F2799))</f>
        <v/>
      </c>
      <c r="I2799">
        <f>IF(F2799="","",INDEX(Deals!$D$2:$D$843,F2799))</f>
        <v/>
      </c>
      <c r="J2799">
        <f>IF(F2799="","",INT(H2799)-B2799)</f>
        <v/>
      </c>
      <c r="K2799">
        <f>IF(B2799&gt;=Settings!$C$5,1,0)</f>
        <v/>
      </c>
    </row>
    <row r="2800">
      <c r="A2800" t="inlineStr">
        <is>
          <t>8ababfb3b5bfd90b512efe5304de5977</t>
        </is>
      </c>
      <c r="B2800" s="29" t="n">
        <v>43222</v>
      </c>
      <c r="C2800" t="inlineStr">
        <is>
          <t>2018-05</t>
        </is>
      </c>
      <c r="D2800" t="inlineStr">
        <is>
          <t>58326e62183c14b0c03085c33b9fdc44</t>
        </is>
      </c>
      <c r="E2800" t="inlineStr">
        <is>
          <t>social</t>
        </is>
      </c>
      <c r="F2800">
        <f>IFERROR(MATCH(A2800,Deals!$A$2:$A$843,0),"")</f>
        <v/>
      </c>
      <c r="G2800">
        <f>IF(F2800="",0,1)</f>
        <v/>
      </c>
      <c r="H2800" s="29">
        <f>IF(F2800="","",INDEX(Deals!$E$2:$E$843,F2800))</f>
        <v/>
      </c>
      <c r="I2800">
        <f>IF(F2800="","",INDEX(Deals!$D$2:$D$843,F2800))</f>
        <v/>
      </c>
      <c r="J2800">
        <f>IF(F2800="","",INT(H2800)-B2800)</f>
        <v/>
      </c>
      <c r="K2800">
        <f>IF(B2800&gt;=Settings!$C$5,1,0)</f>
        <v/>
      </c>
    </row>
    <row r="2801">
      <c r="A2801" t="inlineStr">
        <is>
          <t>bb5e4f2974573e970a73419f0a5f7f41</t>
        </is>
      </c>
      <c r="B2801" s="29" t="n">
        <v>43186</v>
      </c>
      <c r="C2801" t="inlineStr">
        <is>
          <t>2018-03</t>
        </is>
      </c>
      <c r="D2801" t="inlineStr">
        <is>
          <t>5da54625ee0a9560dc9b9b9f6ccb03d0</t>
        </is>
      </c>
      <c r="E2801" t="inlineStr">
        <is>
          <t>paid_search</t>
        </is>
      </c>
      <c r="F2801">
        <f>IFERROR(MATCH(A2801,Deals!$A$2:$A$843,0),"")</f>
        <v/>
      </c>
      <c r="G2801">
        <f>IF(F2801="",0,1)</f>
        <v/>
      </c>
      <c r="H2801" s="29">
        <f>IF(F2801="","",INDEX(Deals!$E$2:$E$843,F2801))</f>
        <v/>
      </c>
      <c r="I2801">
        <f>IF(F2801="","",INDEX(Deals!$D$2:$D$843,F2801))</f>
        <v/>
      </c>
      <c r="J2801">
        <f>IF(F2801="","",INT(H2801)-B2801)</f>
        <v/>
      </c>
      <c r="K2801">
        <f>IF(B2801&gt;=Settings!$C$5,1,0)</f>
        <v/>
      </c>
    </row>
    <row r="2802">
      <c r="A2802" t="inlineStr">
        <is>
          <t>54007efbb2ae51f02c995466f0738caa</t>
        </is>
      </c>
      <c r="B2802" s="29" t="n">
        <v>43234</v>
      </c>
      <c r="C2802" t="inlineStr">
        <is>
          <t>2018-05</t>
        </is>
      </c>
      <c r="D2802" t="inlineStr">
        <is>
          <t>ce1a65abd0973638f1c887a6efcfa82d</t>
        </is>
      </c>
      <c r="E2802" t="inlineStr">
        <is>
          <t>organic_search</t>
        </is>
      </c>
      <c r="F2802">
        <f>IFERROR(MATCH(A2802,Deals!$A$2:$A$843,0),"")</f>
        <v/>
      </c>
      <c r="G2802">
        <f>IF(F2802="",0,1)</f>
        <v/>
      </c>
      <c r="H2802" s="29">
        <f>IF(F2802="","",INDEX(Deals!$E$2:$E$843,F2802))</f>
        <v/>
      </c>
      <c r="I2802">
        <f>IF(F2802="","",INDEX(Deals!$D$2:$D$843,F2802))</f>
        <v/>
      </c>
      <c r="J2802">
        <f>IF(F2802="","",INT(H2802)-B2802)</f>
        <v/>
      </c>
      <c r="K2802">
        <f>IF(B2802&gt;=Settings!$C$5,1,0)</f>
        <v/>
      </c>
    </row>
    <row r="2803">
      <c r="A2803" t="inlineStr">
        <is>
          <t>1991b2c8479598ad84ed59f5446bb589</t>
        </is>
      </c>
      <c r="B2803" s="29" t="n">
        <v>43237</v>
      </c>
      <c r="C2803" t="inlineStr">
        <is>
          <t>2018-05</t>
        </is>
      </c>
      <c r="D2803" t="inlineStr">
        <is>
          <t>b76ef37428e6799c421989521c0e5077</t>
        </is>
      </c>
      <c r="E2803" t="inlineStr">
        <is>
          <t>unknown</t>
        </is>
      </c>
      <c r="F2803">
        <f>IFERROR(MATCH(A2803,Deals!$A$2:$A$843,0),"")</f>
        <v/>
      </c>
      <c r="G2803">
        <f>IF(F2803="",0,1)</f>
        <v/>
      </c>
      <c r="H2803" s="29">
        <f>IF(F2803="","",INDEX(Deals!$E$2:$E$843,F2803))</f>
        <v/>
      </c>
      <c r="I2803">
        <f>IF(F2803="","",INDEX(Deals!$D$2:$D$843,F2803))</f>
        <v/>
      </c>
      <c r="J2803">
        <f>IF(F2803="","",INT(H2803)-B2803)</f>
        <v/>
      </c>
      <c r="K2803">
        <f>IF(B2803&gt;=Settings!$C$5,1,0)</f>
        <v/>
      </c>
    </row>
    <row r="2804">
      <c r="A2804" t="inlineStr">
        <is>
          <t>f49de2e342635d248eb162cb55e7dac1</t>
        </is>
      </c>
      <c r="B2804" s="29" t="n">
        <v>43117</v>
      </c>
      <c r="C2804" t="inlineStr">
        <is>
          <t>2018-01</t>
        </is>
      </c>
      <c r="D2804" t="inlineStr">
        <is>
          <t>a0fbc0263cb98bdb0d72b9f9f283a172</t>
        </is>
      </c>
      <c r="E2804" t="inlineStr">
        <is>
          <t>paid_search</t>
        </is>
      </c>
      <c r="F2804">
        <f>IFERROR(MATCH(A2804,Deals!$A$2:$A$843,0),"")</f>
        <v/>
      </c>
      <c r="G2804">
        <f>IF(F2804="",0,1)</f>
        <v/>
      </c>
      <c r="H2804" s="29">
        <f>IF(F2804="","",INDEX(Deals!$E$2:$E$843,F2804))</f>
        <v/>
      </c>
      <c r="I2804">
        <f>IF(F2804="","",INDEX(Deals!$D$2:$D$843,F2804))</f>
        <v/>
      </c>
      <c r="J2804">
        <f>IF(F2804="","",INT(H2804)-B2804)</f>
        <v/>
      </c>
      <c r="K2804">
        <f>IF(B2804&gt;=Settings!$C$5,1,0)</f>
        <v/>
      </c>
    </row>
    <row r="2805">
      <c r="A2805" t="inlineStr">
        <is>
          <t>fea42d70f2e3905853625e0e9762120f</t>
        </is>
      </c>
      <c r="B2805" s="29" t="n">
        <v>42923</v>
      </c>
      <c r="C2805" t="inlineStr">
        <is>
          <t>2017-07</t>
        </is>
      </c>
      <c r="D2805" t="inlineStr">
        <is>
          <t>83ccc33d426eab8a3db70bd15aba46b8</t>
        </is>
      </c>
      <c r="E2805" t="inlineStr">
        <is>
          <t>organic_search</t>
        </is>
      </c>
      <c r="F2805">
        <f>IFERROR(MATCH(A2805,Deals!$A$2:$A$843,0),"")</f>
        <v/>
      </c>
      <c r="G2805">
        <f>IF(F2805="",0,1)</f>
        <v/>
      </c>
      <c r="H2805" s="29">
        <f>IF(F2805="","",INDEX(Deals!$E$2:$E$843,F2805))</f>
        <v/>
      </c>
      <c r="I2805">
        <f>IF(F2805="","",INDEX(Deals!$D$2:$D$843,F2805))</f>
        <v/>
      </c>
      <c r="J2805">
        <f>IF(F2805="","",INT(H2805)-B2805)</f>
        <v/>
      </c>
      <c r="K2805">
        <f>IF(B2805&gt;=Settings!$C$5,1,0)</f>
        <v/>
      </c>
    </row>
    <row r="2806">
      <c r="A2806" t="inlineStr">
        <is>
          <t>3d830ca43771c3ac56b1c24d2a9f1779</t>
        </is>
      </c>
      <c r="B2806" s="29" t="n">
        <v>43152</v>
      </c>
      <c r="C2806" t="inlineStr">
        <is>
          <t>2018-02</t>
        </is>
      </c>
      <c r="D2806" t="inlineStr">
        <is>
          <t>88740e65d5d6b056e0cda098e1ea6313</t>
        </is>
      </c>
      <c r="E2806" t="inlineStr">
        <is>
          <t>social</t>
        </is>
      </c>
      <c r="F2806">
        <f>IFERROR(MATCH(A2806,Deals!$A$2:$A$843,0),"")</f>
        <v/>
      </c>
      <c r="G2806">
        <f>IF(F2806="",0,1)</f>
        <v/>
      </c>
      <c r="H2806" s="29">
        <f>IF(F2806="","",INDEX(Deals!$E$2:$E$843,F2806))</f>
        <v/>
      </c>
      <c r="I2806">
        <f>IF(F2806="","",INDEX(Deals!$D$2:$D$843,F2806))</f>
        <v/>
      </c>
      <c r="J2806">
        <f>IF(F2806="","",INT(H2806)-B2806)</f>
        <v/>
      </c>
      <c r="K2806">
        <f>IF(B2806&gt;=Settings!$C$5,1,0)</f>
        <v/>
      </c>
    </row>
    <row r="2807">
      <c r="A2807" t="inlineStr">
        <is>
          <t>180d9ac0990bb42907fe9cc7aa3eb5a1</t>
        </is>
      </c>
      <c r="B2807" s="29" t="n">
        <v>43187</v>
      </c>
      <c r="C2807" t="inlineStr">
        <is>
          <t>2018-03</t>
        </is>
      </c>
      <c r="D2807" t="inlineStr">
        <is>
          <t>b76ef37428e6799c421989521c0e5077</t>
        </is>
      </c>
      <c r="E2807" t="inlineStr">
        <is>
          <t>unknown</t>
        </is>
      </c>
      <c r="F2807">
        <f>IFERROR(MATCH(A2807,Deals!$A$2:$A$843,0),"")</f>
        <v/>
      </c>
      <c r="G2807">
        <f>IF(F2807="",0,1)</f>
        <v/>
      </c>
      <c r="H2807" s="29">
        <f>IF(F2807="","",INDEX(Deals!$E$2:$E$843,F2807))</f>
        <v/>
      </c>
      <c r="I2807">
        <f>IF(F2807="","",INDEX(Deals!$D$2:$D$843,F2807))</f>
        <v/>
      </c>
      <c r="J2807">
        <f>IF(F2807="","",INT(H2807)-B2807)</f>
        <v/>
      </c>
      <c r="K2807">
        <f>IF(B2807&gt;=Settings!$C$5,1,0)</f>
        <v/>
      </c>
    </row>
    <row r="2808">
      <c r="A2808" t="inlineStr">
        <is>
          <t>e1b6c6fb7a203ca62d0108642cc5767c</t>
        </is>
      </c>
      <c r="B2808" s="29" t="n">
        <v>43150</v>
      </c>
      <c r="C2808" t="inlineStr">
        <is>
          <t>2018-02</t>
        </is>
      </c>
      <c r="D2808" t="inlineStr">
        <is>
          <t>b76ef37428e6799c421989521c0e5077</t>
        </is>
      </c>
      <c r="E2808" t="inlineStr">
        <is>
          <t>unknown</t>
        </is>
      </c>
      <c r="F2808">
        <f>IFERROR(MATCH(A2808,Deals!$A$2:$A$843,0),"")</f>
        <v/>
      </c>
      <c r="G2808">
        <f>IF(F2808="",0,1)</f>
        <v/>
      </c>
      <c r="H2808" s="29">
        <f>IF(F2808="","",INDEX(Deals!$E$2:$E$843,F2808))</f>
        <v/>
      </c>
      <c r="I2808">
        <f>IF(F2808="","",INDEX(Deals!$D$2:$D$843,F2808))</f>
        <v/>
      </c>
      <c r="J2808">
        <f>IF(F2808="","",INT(H2808)-B2808)</f>
        <v/>
      </c>
      <c r="K2808">
        <f>IF(B2808&gt;=Settings!$C$5,1,0)</f>
        <v/>
      </c>
    </row>
    <row r="2809">
      <c r="A2809" t="inlineStr">
        <is>
          <t>4be3f33048a13363e1e434aebb27ce99</t>
        </is>
      </c>
      <c r="B2809" s="29" t="n">
        <v>43116</v>
      </c>
      <c r="C2809" t="inlineStr">
        <is>
          <t>2018-01</t>
        </is>
      </c>
      <c r="D2809" t="inlineStr">
        <is>
          <t>a0fbc0263cb98bdb0d72b9f9f283a172</t>
        </is>
      </c>
      <c r="E2809" t="inlineStr">
        <is>
          <t>paid_search</t>
        </is>
      </c>
      <c r="F2809">
        <f>IFERROR(MATCH(A2809,Deals!$A$2:$A$843,0),"")</f>
        <v/>
      </c>
      <c r="G2809">
        <f>IF(F2809="",0,1)</f>
        <v/>
      </c>
      <c r="H2809" s="29">
        <f>IF(F2809="","",INDEX(Deals!$E$2:$E$843,F2809))</f>
        <v/>
      </c>
      <c r="I2809">
        <f>IF(F2809="","",INDEX(Deals!$D$2:$D$843,F2809))</f>
        <v/>
      </c>
      <c r="J2809">
        <f>IF(F2809="","",INT(H2809)-B2809)</f>
        <v/>
      </c>
      <c r="K2809">
        <f>IF(B2809&gt;=Settings!$C$5,1,0)</f>
        <v/>
      </c>
    </row>
    <row r="2810">
      <c r="A2810" t="inlineStr">
        <is>
          <t>9588bf5a0386ffed13edebe714ee75e5</t>
        </is>
      </c>
      <c r="B2810" s="29" t="n">
        <v>43227</v>
      </c>
      <c r="C2810" t="inlineStr">
        <is>
          <t>2018-05</t>
        </is>
      </c>
      <c r="D2810" t="inlineStr">
        <is>
          <t>5dc848e7dd9418dffe183215b8ff0bc1</t>
        </is>
      </c>
      <c r="E2810" t="inlineStr">
        <is>
          <t>paid_search</t>
        </is>
      </c>
      <c r="F2810">
        <f>IFERROR(MATCH(A2810,Deals!$A$2:$A$843,0),"")</f>
        <v/>
      </c>
      <c r="G2810">
        <f>IF(F2810="",0,1)</f>
        <v/>
      </c>
      <c r="H2810" s="29">
        <f>IF(F2810="","",INDEX(Deals!$E$2:$E$843,F2810))</f>
        <v/>
      </c>
      <c r="I2810">
        <f>IF(F2810="","",INDEX(Deals!$D$2:$D$843,F2810))</f>
        <v/>
      </c>
      <c r="J2810">
        <f>IF(F2810="","",INT(H2810)-B2810)</f>
        <v/>
      </c>
      <c r="K2810">
        <f>IF(B2810&gt;=Settings!$C$5,1,0)</f>
        <v/>
      </c>
    </row>
    <row r="2811">
      <c r="A2811" t="inlineStr">
        <is>
          <t>f945420454f21243509f5cfc441dc799</t>
        </is>
      </c>
      <c r="B2811" s="29" t="n">
        <v>43113</v>
      </c>
      <c r="C2811" t="inlineStr">
        <is>
          <t>2018-01</t>
        </is>
      </c>
      <c r="D2811" t="inlineStr">
        <is>
          <t>4a295a87a340012cd5cb23cbb5e7461b</t>
        </is>
      </c>
      <c r="E2811" t="inlineStr">
        <is>
          <t>social</t>
        </is>
      </c>
      <c r="F2811">
        <f>IFERROR(MATCH(A2811,Deals!$A$2:$A$843,0),"")</f>
        <v/>
      </c>
      <c r="G2811">
        <f>IF(F2811="",0,1)</f>
        <v/>
      </c>
      <c r="H2811" s="29">
        <f>IF(F2811="","",INDEX(Deals!$E$2:$E$843,F2811))</f>
        <v/>
      </c>
      <c r="I2811">
        <f>IF(F2811="","",INDEX(Deals!$D$2:$D$843,F2811))</f>
        <v/>
      </c>
      <c r="J2811">
        <f>IF(F2811="","",INT(H2811)-B2811)</f>
        <v/>
      </c>
      <c r="K2811">
        <f>IF(B2811&gt;=Settings!$C$5,1,0)</f>
        <v/>
      </c>
    </row>
    <row r="2812">
      <c r="A2812" t="inlineStr">
        <is>
          <t>fadfdf637107815db80af769d997a32d</t>
        </is>
      </c>
      <c r="B2812" s="29" t="n">
        <v>43180</v>
      </c>
      <c r="C2812" t="inlineStr">
        <is>
          <t>2018-03</t>
        </is>
      </c>
      <c r="D2812" t="inlineStr">
        <is>
          <t>b76ef37428e6799c421989521c0e5077</t>
        </is>
      </c>
      <c r="E2812" t="inlineStr">
        <is>
          <t>unknown</t>
        </is>
      </c>
      <c r="F2812">
        <f>IFERROR(MATCH(A2812,Deals!$A$2:$A$843,0),"")</f>
        <v/>
      </c>
      <c r="G2812">
        <f>IF(F2812="",0,1)</f>
        <v/>
      </c>
      <c r="H2812" s="29">
        <f>IF(F2812="","",INDEX(Deals!$E$2:$E$843,F2812))</f>
        <v/>
      </c>
      <c r="I2812">
        <f>IF(F2812="","",INDEX(Deals!$D$2:$D$843,F2812))</f>
        <v/>
      </c>
      <c r="J2812">
        <f>IF(F2812="","",INT(H2812)-B2812)</f>
        <v/>
      </c>
      <c r="K2812">
        <f>IF(B2812&gt;=Settings!$C$5,1,0)</f>
        <v/>
      </c>
    </row>
    <row r="2813">
      <c r="A2813" t="inlineStr">
        <is>
          <t>5f68d79da98d5ad7e2fa873c8c8c0383</t>
        </is>
      </c>
      <c r="B2813" s="29" t="n">
        <v>43116</v>
      </c>
      <c r="C2813" t="inlineStr">
        <is>
          <t>2018-01</t>
        </is>
      </c>
      <c r="D2813" t="inlineStr">
        <is>
          <t>22c29808c4f815213303f8933030604c</t>
        </is>
      </c>
      <c r="E2813" t="inlineStr">
        <is>
          <t>referral</t>
        </is>
      </c>
      <c r="F2813">
        <f>IFERROR(MATCH(A2813,Deals!$A$2:$A$843,0),"")</f>
        <v/>
      </c>
      <c r="G2813">
        <f>IF(F2813="",0,1)</f>
        <v/>
      </c>
      <c r="H2813" s="29">
        <f>IF(F2813="","",INDEX(Deals!$E$2:$E$843,F2813))</f>
        <v/>
      </c>
      <c r="I2813">
        <f>IF(F2813="","",INDEX(Deals!$D$2:$D$843,F2813))</f>
        <v/>
      </c>
      <c r="J2813">
        <f>IF(F2813="","",INT(H2813)-B2813)</f>
        <v/>
      </c>
      <c r="K2813">
        <f>IF(B2813&gt;=Settings!$C$5,1,0)</f>
        <v/>
      </c>
    </row>
    <row r="2814">
      <c r="A2814" t="inlineStr">
        <is>
          <t>611a80e9562b4c0738021647c910846f</t>
        </is>
      </c>
      <c r="B2814" s="29" t="n">
        <v>43199</v>
      </c>
      <c r="C2814" t="inlineStr">
        <is>
          <t>2018-04</t>
        </is>
      </c>
      <c r="D2814" t="inlineStr">
        <is>
          <t>bdaeb752e5c3caa215ebe04c61e22325</t>
        </is>
      </c>
      <c r="E2814" t="inlineStr">
        <is>
          <t>direct_traffic</t>
        </is>
      </c>
      <c r="F2814">
        <f>IFERROR(MATCH(A2814,Deals!$A$2:$A$843,0),"")</f>
        <v/>
      </c>
      <c r="G2814">
        <f>IF(F2814="",0,1)</f>
        <v/>
      </c>
      <c r="H2814" s="29">
        <f>IF(F2814="","",INDEX(Deals!$E$2:$E$843,F2814))</f>
        <v/>
      </c>
      <c r="I2814">
        <f>IF(F2814="","",INDEX(Deals!$D$2:$D$843,F2814))</f>
        <v/>
      </c>
      <c r="J2814">
        <f>IF(F2814="","",INT(H2814)-B2814)</f>
        <v/>
      </c>
      <c r="K2814">
        <f>IF(B2814&gt;=Settings!$C$5,1,0)</f>
        <v/>
      </c>
    </row>
    <row r="2815">
      <c r="A2815" t="inlineStr">
        <is>
          <t>e1a2719218ad9000036929229c99cd3a</t>
        </is>
      </c>
      <c r="B2815" s="29" t="n">
        <v>43132</v>
      </c>
      <c r="C2815" t="inlineStr">
        <is>
          <t>2018-02</t>
        </is>
      </c>
      <c r="D2815" t="inlineStr">
        <is>
          <t>d83b0d0e48c8447d1d5507a44027a955</t>
        </is>
      </c>
      <c r="E2815" t="inlineStr">
        <is>
          <t>organic_search</t>
        </is>
      </c>
      <c r="F2815">
        <f>IFERROR(MATCH(A2815,Deals!$A$2:$A$843,0),"")</f>
        <v/>
      </c>
      <c r="G2815">
        <f>IF(F2815="",0,1)</f>
        <v/>
      </c>
      <c r="H2815" s="29">
        <f>IF(F2815="","",INDEX(Deals!$E$2:$E$843,F2815))</f>
        <v/>
      </c>
      <c r="I2815">
        <f>IF(F2815="","",INDEX(Deals!$D$2:$D$843,F2815))</f>
        <v/>
      </c>
      <c r="J2815">
        <f>IF(F2815="","",INT(H2815)-B2815)</f>
        <v/>
      </c>
      <c r="K2815">
        <f>IF(B2815&gt;=Settings!$C$5,1,0)</f>
        <v/>
      </c>
    </row>
    <row r="2816">
      <c r="A2816" t="inlineStr">
        <is>
          <t>daef884ea3a9751b7f2de19244903bd0</t>
        </is>
      </c>
      <c r="B2816" s="29" t="n">
        <v>43107</v>
      </c>
      <c r="C2816" t="inlineStr">
        <is>
          <t>2018-01</t>
        </is>
      </c>
      <c r="D2816" t="inlineStr">
        <is>
          <t>88740e65d5d6b056e0cda098e1ea6313</t>
        </is>
      </c>
      <c r="E2816" t="inlineStr">
        <is>
          <t>social</t>
        </is>
      </c>
      <c r="F2816">
        <f>IFERROR(MATCH(A2816,Deals!$A$2:$A$843,0),"")</f>
        <v/>
      </c>
      <c r="G2816">
        <f>IF(F2816="",0,1)</f>
        <v/>
      </c>
      <c r="H2816" s="29">
        <f>IF(F2816="","",INDEX(Deals!$E$2:$E$843,F2816))</f>
        <v/>
      </c>
      <c r="I2816">
        <f>IF(F2816="","",INDEX(Deals!$D$2:$D$843,F2816))</f>
        <v/>
      </c>
      <c r="J2816">
        <f>IF(F2816="","",INT(H2816)-B2816)</f>
        <v/>
      </c>
      <c r="K2816">
        <f>IF(B2816&gt;=Settings!$C$5,1,0)</f>
        <v/>
      </c>
    </row>
    <row r="2817">
      <c r="A2817" t="inlineStr">
        <is>
          <t>55c4128949ee2224ac9108e9601f53f8</t>
        </is>
      </c>
      <c r="B2817" s="29" t="n">
        <v>43049</v>
      </c>
      <c r="C2817" t="inlineStr">
        <is>
          <t>2017-11</t>
        </is>
      </c>
      <c r="D2817" t="inlineStr">
        <is>
          <t>ff3416719616ad4921acb8c74e21d6f0</t>
        </is>
      </c>
      <c r="E2817" t="inlineStr">
        <is>
          <t>email</t>
        </is>
      </c>
      <c r="F2817">
        <f>IFERROR(MATCH(A2817,Deals!$A$2:$A$843,0),"")</f>
        <v/>
      </c>
      <c r="G2817">
        <f>IF(F2817="",0,1)</f>
        <v/>
      </c>
      <c r="H2817" s="29">
        <f>IF(F2817="","",INDEX(Deals!$E$2:$E$843,F2817))</f>
        <v/>
      </c>
      <c r="I2817">
        <f>IF(F2817="","",INDEX(Deals!$D$2:$D$843,F2817))</f>
        <v/>
      </c>
      <c r="J2817">
        <f>IF(F2817="","",INT(H2817)-B2817)</f>
        <v/>
      </c>
      <c r="K2817">
        <f>IF(B2817&gt;=Settings!$C$5,1,0)</f>
        <v/>
      </c>
    </row>
    <row r="2818">
      <c r="A2818" t="inlineStr">
        <is>
          <t>4b6424d40c97d82d476d0b30522253c0</t>
        </is>
      </c>
      <c r="B2818" s="29" t="n">
        <v>43210</v>
      </c>
      <c r="C2818" t="inlineStr">
        <is>
          <t>2018-04</t>
        </is>
      </c>
      <c r="D2818" t="inlineStr">
        <is>
          <t>f017be4dbf86243af5c1ebed0cff36a2</t>
        </is>
      </c>
      <c r="E2818" t="inlineStr">
        <is>
          <t>organic_search</t>
        </is>
      </c>
      <c r="F2818">
        <f>IFERROR(MATCH(A2818,Deals!$A$2:$A$843,0),"")</f>
        <v/>
      </c>
      <c r="G2818">
        <f>IF(F2818="",0,1)</f>
        <v/>
      </c>
      <c r="H2818" s="29">
        <f>IF(F2818="","",INDEX(Deals!$E$2:$E$843,F2818))</f>
        <v/>
      </c>
      <c r="I2818">
        <f>IF(F2818="","",INDEX(Deals!$D$2:$D$843,F2818))</f>
        <v/>
      </c>
      <c r="J2818">
        <f>IF(F2818="","",INT(H2818)-B2818)</f>
        <v/>
      </c>
      <c r="K2818">
        <f>IF(B2818&gt;=Settings!$C$5,1,0)</f>
        <v/>
      </c>
    </row>
    <row r="2819">
      <c r="A2819" t="inlineStr">
        <is>
          <t>cab36570c534dcc2d3649d43dbe3e903</t>
        </is>
      </c>
      <c r="B2819" s="29" t="n">
        <v>43120</v>
      </c>
      <c r="C2819" t="inlineStr">
        <is>
          <t>2018-01</t>
        </is>
      </c>
      <c r="D2819" t="inlineStr">
        <is>
          <t>1694e838dffa97f640fcfa35e86e438e</t>
        </is>
      </c>
      <c r="E2819" t="inlineStr">
        <is>
          <t>organic_search</t>
        </is>
      </c>
      <c r="F2819">
        <f>IFERROR(MATCH(A2819,Deals!$A$2:$A$843,0),"")</f>
        <v/>
      </c>
      <c r="G2819">
        <f>IF(F2819="",0,1)</f>
        <v/>
      </c>
      <c r="H2819" s="29">
        <f>IF(F2819="","",INDEX(Deals!$E$2:$E$843,F2819))</f>
        <v/>
      </c>
      <c r="I2819">
        <f>IF(F2819="","",INDEX(Deals!$D$2:$D$843,F2819))</f>
        <v/>
      </c>
      <c r="J2819">
        <f>IF(F2819="","",INT(H2819)-B2819)</f>
        <v/>
      </c>
      <c r="K2819">
        <f>IF(B2819&gt;=Settings!$C$5,1,0)</f>
        <v/>
      </c>
    </row>
    <row r="2820">
      <c r="A2820" t="inlineStr">
        <is>
          <t>33361cd70854b41ce5b022000f77b434</t>
        </is>
      </c>
      <c r="B2820" s="29" t="n">
        <v>43115</v>
      </c>
      <c r="C2820" t="inlineStr">
        <is>
          <t>2018-01</t>
        </is>
      </c>
      <c r="D2820" t="inlineStr">
        <is>
          <t>22c29808c4f815213303f8933030604c</t>
        </is>
      </c>
      <c r="E2820" t="inlineStr">
        <is>
          <t>organic_search</t>
        </is>
      </c>
      <c r="F2820">
        <f>IFERROR(MATCH(A2820,Deals!$A$2:$A$843,0),"")</f>
        <v/>
      </c>
      <c r="G2820">
        <f>IF(F2820="",0,1)</f>
        <v/>
      </c>
      <c r="H2820" s="29">
        <f>IF(F2820="","",INDEX(Deals!$E$2:$E$843,F2820))</f>
        <v/>
      </c>
      <c r="I2820">
        <f>IF(F2820="","",INDEX(Deals!$D$2:$D$843,F2820))</f>
        <v/>
      </c>
      <c r="J2820">
        <f>IF(F2820="","",INT(H2820)-B2820)</f>
        <v/>
      </c>
      <c r="K2820">
        <f>IF(B2820&gt;=Settings!$C$5,1,0)</f>
        <v/>
      </c>
    </row>
    <row r="2821">
      <c r="A2821" t="inlineStr">
        <is>
          <t>f3ff512452bab41fce871de6cfbb2911</t>
        </is>
      </c>
      <c r="B2821" s="29" t="n">
        <v>43215</v>
      </c>
      <c r="C2821" t="inlineStr">
        <is>
          <t>2018-04</t>
        </is>
      </c>
      <c r="D2821" t="inlineStr">
        <is>
          <t>68f817c510c978e3a3a7474ad2aeb75c</t>
        </is>
      </c>
      <c r="E2821" t="inlineStr">
        <is>
          <t>paid_search</t>
        </is>
      </c>
      <c r="F2821">
        <f>IFERROR(MATCH(A2821,Deals!$A$2:$A$843,0),"")</f>
        <v/>
      </c>
      <c r="G2821">
        <f>IF(F2821="",0,1)</f>
        <v/>
      </c>
      <c r="H2821" s="29">
        <f>IF(F2821="","",INDEX(Deals!$E$2:$E$843,F2821))</f>
        <v/>
      </c>
      <c r="I2821">
        <f>IF(F2821="","",INDEX(Deals!$D$2:$D$843,F2821))</f>
        <v/>
      </c>
      <c r="J2821">
        <f>IF(F2821="","",INT(H2821)-B2821)</f>
        <v/>
      </c>
      <c r="K2821">
        <f>IF(B2821&gt;=Settings!$C$5,1,0)</f>
        <v/>
      </c>
    </row>
    <row r="2822">
      <c r="A2822" t="inlineStr">
        <is>
          <t>0c28423a88b5dbffd0d1ee2aec41efd0</t>
        </is>
      </c>
      <c r="B2822" s="29" t="n">
        <v>43195</v>
      </c>
      <c r="C2822" t="inlineStr">
        <is>
          <t>2018-04</t>
        </is>
      </c>
      <c r="D2822" t="inlineStr">
        <is>
          <t>0218f6be0b76aca72ab4d00ee9e8cf10</t>
        </is>
      </c>
      <c r="E2822" t="inlineStr">
        <is>
          <t>organic_search</t>
        </is>
      </c>
      <c r="F2822">
        <f>IFERROR(MATCH(A2822,Deals!$A$2:$A$843,0),"")</f>
        <v/>
      </c>
      <c r="G2822">
        <f>IF(F2822="",0,1)</f>
        <v/>
      </c>
      <c r="H2822" s="29">
        <f>IF(F2822="","",INDEX(Deals!$E$2:$E$843,F2822))</f>
        <v/>
      </c>
      <c r="I2822">
        <f>IF(F2822="","",INDEX(Deals!$D$2:$D$843,F2822))</f>
        <v/>
      </c>
      <c r="J2822">
        <f>IF(F2822="","",INT(H2822)-B2822)</f>
        <v/>
      </c>
      <c r="K2822">
        <f>IF(B2822&gt;=Settings!$C$5,1,0)</f>
        <v/>
      </c>
    </row>
    <row r="2823">
      <c r="A2823" t="inlineStr">
        <is>
          <t>f0a7d979c6e57d746e1164ed6e44678e</t>
        </is>
      </c>
      <c r="B2823" s="29" t="n">
        <v>43155</v>
      </c>
      <c r="C2823" t="inlineStr">
        <is>
          <t>2018-02</t>
        </is>
      </c>
      <c r="D2823" t="inlineStr">
        <is>
          <t>22c29808c4f815213303f8933030604c</t>
        </is>
      </c>
      <c r="E2823" t="inlineStr">
        <is>
          <t>social</t>
        </is>
      </c>
      <c r="F2823">
        <f>IFERROR(MATCH(A2823,Deals!$A$2:$A$843,0),"")</f>
        <v/>
      </c>
      <c r="G2823">
        <f>IF(F2823="",0,1)</f>
        <v/>
      </c>
      <c r="H2823" s="29">
        <f>IF(F2823="","",INDEX(Deals!$E$2:$E$843,F2823))</f>
        <v/>
      </c>
      <c r="I2823">
        <f>IF(F2823="","",INDEX(Deals!$D$2:$D$843,F2823))</f>
        <v/>
      </c>
      <c r="J2823">
        <f>IF(F2823="","",INT(H2823)-B2823)</f>
        <v/>
      </c>
      <c r="K2823">
        <f>IF(B2823&gt;=Settings!$C$5,1,0)</f>
        <v/>
      </c>
    </row>
    <row r="2824">
      <c r="A2824" t="inlineStr">
        <is>
          <t>24e793957f197ac27745a8818586ec8c</t>
        </is>
      </c>
      <c r="B2824" s="29" t="n">
        <v>43201</v>
      </c>
      <c r="C2824" t="inlineStr">
        <is>
          <t>2018-04</t>
        </is>
      </c>
      <c r="D2824" t="inlineStr">
        <is>
          <t>b76ef37428e6799c421989521c0e5077</t>
        </is>
      </c>
      <c r="E2824" t="inlineStr">
        <is>
          <t>unknown</t>
        </is>
      </c>
      <c r="F2824">
        <f>IFERROR(MATCH(A2824,Deals!$A$2:$A$843,0),"")</f>
        <v/>
      </c>
      <c r="G2824">
        <f>IF(F2824="",0,1)</f>
        <v/>
      </c>
      <c r="H2824" s="29">
        <f>IF(F2824="","",INDEX(Deals!$E$2:$E$843,F2824))</f>
        <v/>
      </c>
      <c r="I2824">
        <f>IF(F2824="","",INDEX(Deals!$D$2:$D$843,F2824))</f>
        <v/>
      </c>
      <c r="J2824">
        <f>IF(F2824="","",INT(H2824)-B2824)</f>
        <v/>
      </c>
      <c r="K2824">
        <f>IF(B2824&gt;=Settings!$C$5,1,0)</f>
        <v/>
      </c>
    </row>
    <row r="2825">
      <c r="A2825" t="inlineStr">
        <is>
          <t>01b04548cc5b5a18f025db4bf5f32064</t>
        </is>
      </c>
      <c r="B2825" s="29" t="n">
        <v>43229</v>
      </c>
      <c r="C2825" t="inlineStr">
        <is>
          <t>2018-05</t>
        </is>
      </c>
      <c r="D2825" t="inlineStr">
        <is>
          <t>82028478fef3ab881990e8d1fb24ba3a</t>
        </is>
      </c>
      <c r="E2825" t="inlineStr">
        <is>
          <t>email</t>
        </is>
      </c>
      <c r="F2825">
        <f>IFERROR(MATCH(A2825,Deals!$A$2:$A$843,0),"")</f>
        <v/>
      </c>
      <c r="G2825">
        <f>IF(F2825="",0,1)</f>
        <v/>
      </c>
      <c r="H2825" s="29">
        <f>IF(F2825="","",INDEX(Deals!$E$2:$E$843,F2825))</f>
        <v/>
      </c>
      <c r="I2825">
        <f>IF(F2825="","",INDEX(Deals!$D$2:$D$843,F2825))</f>
        <v/>
      </c>
      <c r="J2825">
        <f>IF(F2825="","",INT(H2825)-B2825)</f>
        <v/>
      </c>
      <c r="K2825">
        <f>IF(B2825&gt;=Settings!$C$5,1,0)</f>
        <v/>
      </c>
    </row>
    <row r="2826">
      <c r="A2826" t="inlineStr">
        <is>
          <t>4ec90e56bd5c0e3c0b3496496ef0d3e2</t>
        </is>
      </c>
      <c r="B2826" s="29" t="n">
        <v>43235</v>
      </c>
      <c r="C2826" t="inlineStr">
        <is>
          <t>2018-05</t>
        </is>
      </c>
      <c r="D2826" t="inlineStr">
        <is>
          <t>58326e62183c14b0c03085c33b9fdc44</t>
        </is>
      </c>
      <c r="E2826" t="inlineStr">
        <is>
          <t>social</t>
        </is>
      </c>
      <c r="F2826">
        <f>IFERROR(MATCH(A2826,Deals!$A$2:$A$843,0),"")</f>
        <v/>
      </c>
      <c r="G2826">
        <f>IF(F2826="",0,1)</f>
        <v/>
      </c>
      <c r="H2826" s="29">
        <f>IF(F2826="","",INDEX(Deals!$E$2:$E$843,F2826))</f>
        <v/>
      </c>
      <c r="I2826">
        <f>IF(F2826="","",INDEX(Deals!$D$2:$D$843,F2826))</f>
        <v/>
      </c>
      <c r="J2826">
        <f>IF(F2826="","",INT(H2826)-B2826)</f>
        <v/>
      </c>
      <c r="K2826">
        <f>IF(B2826&gt;=Settings!$C$5,1,0)</f>
        <v/>
      </c>
    </row>
    <row r="2827">
      <c r="A2827" t="inlineStr">
        <is>
          <t>cb9fad4d3a1f53ba5f5409eb8865ee00</t>
        </is>
      </c>
      <c r="B2827" s="29" t="n">
        <v>43235</v>
      </c>
      <c r="C2827" t="inlineStr">
        <is>
          <t>2018-05</t>
        </is>
      </c>
      <c r="D2827" t="inlineStr">
        <is>
          <t>bddebc4f4d44106c427bd00695840e64</t>
        </is>
      </c>
      <c r="E2827" t="inlineStr">
        <is>
          <t>email</t>
        </is>
      </c>
      <c r="F2827">
        <f>IFERROR(MATCH(A2827,Deals!$A$2:$A$843,0),"")</f>
        <v/>
      </c>
      <c r="G2827">
        <f>IF(F2827="",0,1)</f>
        <v/>
      </c>
      <c r="H2827" s="29">
        <f>IF(F2827="","",INDEX(Deals!$E$2:$E$843,F2827))</f>
        <v/>
      </c>
      <c r="I2827">
        <f>IF(F2827="","",INDEX(Deals!$D$2:$D$843,F2827))</f>
        <v/>
      </c>
      <c r="J2827">
        <f>IF(F2827="","",INT(H2827)-B2827)</f>
        <v/>
      </c>
      <c r="K2827">
        <f>IF(B2827&gt;=Settings!$C$5,1,0)</f>
        <v/>
      </c>
    </row>
    <row r="2828">
      <c r="A2828" t="inlineStr">
        <is>
          <t>286313479c3c890d2aebb38af6375722</t>
        </is>
      </c>
      <c r="B2828" s="29" t="n">
        <v>43136</v>
      </c>
      <c r="C2828" t="inlineStr">
        <is>
          <t>2018-02</t>
        </is>
      </c>
      <c r="D2828" t="inlineStr">
        <is>
          <t>40dec9f3d5259a3d2dbcdab2114fae47</t>
        </is>
      </c>
      <c r="E2828" t="inlineStr">
        <is>
          <t>paid_search</t>
        </is>
      </c>
      <c r="F2828">
        <f>IFERROR(MATCH(A2828,Deals!$A$2:$A$843,0),"")</f>
        <v/>
      </c>
      <c r="G2828">
        <f>IF(F2828="",0,1)</f>
        <v/>
      </c>
      <c r="H2828" s="29">
        <f>IF(F2828="","",INDEX(Deals!$E$2:$E$843,F2828))</f>
        <v/>
      </c>
      <c r="I2828">
        <f>IF(F2828="","",INDEX(Deals!$D$2:$D$843,F2828))</f>
        <v/>
      </c>
      <c r="J2828">
        <f>IF(F2828="","",INT(H2828)-B2828)</f>
        <v/>
      </c>
      <c r="K2828">
        <f>IF(B2828&gt;=Settings!$C$5,1,0)</f>
        <v/>
      </c>
    </row>
    <row r="2829">
      <c r="A2829" t="inlineStr">
        <is>
          <t>5d6df14111efdde523323f1e8815ea68</t>
        </is>
      </c>
      <c r="B2829" s="29" t="n">
        <v>43223</v>
      </c>
      <c r="C2829" t="inlineStr">
        <is>
          <t>2018-05</t>
        </is>
      </c>
      <c r="D2829" t="inlineStr">
        <is>
          <t>fa5a0151e1f37d0055a3478fbb48827a</t>
        </is>
      </c>
      <c r="E2829" t="inlineStr">
        <is>
          <t>paid_search</t>
        </is>
      </c>
      <c r="F2829">
        <f>IFERROR(MATCH(A2829,Deals!$A$2:$A$843,0),"")</f>
        <v/>
      </c>
      <c r="G2829">
        <f>IF(F2829="",0,1)</f>
        <v/>
      </c>
      <c r="H2829" s="29">
        <f>IF(F2829="","",INDEX(Deals!$E$2:$E$843,F2829))</f>
        <v/>
      </c>
      <c r="I2829">
        <f>IF(F2829="","",INDEX(Deals!$D$2:$D$843,F2829))</f>
        <v/>
      </c>
      <c r="J2829">
        <f>IF(F2829="","",INT(H2829)-B2829)</f>
        <v/>
      </c>
      <c r="K2829">
        <f>IF(B2829&gt;=Settings!$C$5,1,0)</f>
        <v/>
      </c>
    </row>
    <row r="2830">
      <c r="A2830" t="inlineStr">
        <is>
          <t>a702207db66fc2b8859a0e7aa413f0b2</t>
        </is>
      </c>
      <c r="B2830" s="29" t="n">
        <v>43065</v>
      </c>
      <c r="C2830" t="inlineStr">
        <is>
          <t>2017-11</t>
        </is>
      </c>
      <c r="D2830" t="inlineStr">
        <is>
          <t>22c29808c4f815213303f8933030604c</t>
        </is>
      </c>
      <c r="E2830" t="inlineStr">
        <is>
          <t>social</t>
        </is>
      </c>
      <c r="F2830">
        <f>IFERROR(MATCH(A2830,Deals!$A$2:$A$843,0),"")</f>
        <v/>
      </c>
      <c r="G2830">
        <f>IF(F2830="",0,1)</f>
        <v/>
      </c>
      <c r="H2830" s="29">
        <f>IF(F2830="","",INDEX(Deals!$E$2:$E$843,F2830))</f>
        <v/>
      </c>
      <c r="I2830">
        <f>IF(F2830="","",INDEX(Deals!$D$2:$D$843,F2830))</f>
        <v/>
      </c>
      <c r="J2830">
        <f>IF(F2830="","",INT(H2830)-B2830)</f>
        <v/>
      </c>
      <c r="K2830">
        <f>IF(B2830&gt;=Settings!$C$5,1,0)</f>
        <v/>
      </c>
    </row>
    <row r="2831">
      <c r="A2831" t="inlineStr">
        <is>
          <t>7a076925b6494fc1ccf0db99d7965203</t>
        </is>
      </c>
      <c r="B2831" s="29" t="n">
        <v>43236</v>
      </c>
      <c r="C2831" t="inlineStr">
        <is>
          <t>2018-05</t>
        </is>
      </c>
      <c r="D2831" t="inlineStr">
        <is>
          <t>22c29808c4f815213303f8933030604c</t>
        </is>
      </c>
      <c r="E2831" t="inlineStr">
        <is>
          <t>organic_search</t>
        </is>
      </c>
      <c r="F2831">
        <f>IFERROR(MATCH(A2831,Deals!$A$2:$A$843,0),"")</f>
        <v/>
      </c>
      <c r="G2831">
        <f>IF(F2831="",0,1)</f>
        <v/>
      </c>
      <c r="H2831" s="29">
        <f>IF(F2831="","",INDEX(Deals!$E$2:$E$843,F2831))</f>
        <v/>
      </c>
      <c r="I2831">
        <f>IF(F2831="","",INDEX(Deals!$D$2:$D$843,F2831))</f>
        <v/>
      </c>
      <c r="J2831">
        <f>IF(F2831="","",INT(H2831)-B2831)</f>
        <v/>
      </c>
      <c r="K2831">
        <f>IF(B2831&gt;=Settings!$C$5,1,0)</f>
        <v/>
      </c>
    </row>
    <row r="2832">
      <c r="A2832" t="inlineStr">
        <is>
          <t>3985c3f6f10fa559cb7403cd0121d5c1</t>
        </is>
      </c>
      <c r="B2832" s="29" t="n">
        <v>42991</v>
      </c>
      <c r="C2832" t="inlineStr">
        <is>
          <t>2017-09</t>
        </is>
      </c>
      <c r="D2832" t="inlineStr">
        <is>
          <t>e0d33c8fbfd9fe342f3449b6391b7edc</t>
        </is>
      </c>
      <c r="E2832" t="inlineStr">
        <is>
          <t>other</t>
        </is>
      </c>
      <c r="F2832">
        <f>IFERROR(MATCH(A2832,Deals!$A$2:$A$843,0),"")</f>
        <v/>
      </c>
      <c r="G2832">
        <f>IF(F2832="",0,1)</f>
        <v/>
      </c>
      <c r="H2832" s="29">
        <f>IF(F2832="","",INDEX(Deals!$E$2:$E$843,F2832))</f>
        <v/>
      </c>
      <c r="I2832">
        <f>IF(F2832="","",INDEX(Deals!$D$2:$D$843,F2832))</f>
        <v/>
      </c>
      <c r="J2832">
        <f>IF(F2832="","",INT(H2832)-B2832)</f>
        <v/>
      </c>
      <c r="K2832">
        <f>IF(B2832&gt;=Settings!$C$5,1,0)</f>
        <v/>
      </c>
    </row>
    <row r="2833">
      <c r="A2833" t="inlineStr">
        <is>
          <t>433db795566d9f51a72086333588e655</t>
        </is>
      </c>
      <c r="B2833" s="29" t="n">
        <v>42955</v>
      </c>
      <c r="C2833" t="inlineStr">
        <is>
          <t>2017-08</t>
        </is>
      </c>
      <c r="D2833" t="inlineStr">
        <is>
          <t>872eb32141128a5320bfe7b8cf80fc14</t>
        </is>
      </c>
      <c r="E2833" t="inlineStr">
        <is>
          <t>paid_search</t>
        </is>
      </c>
      <c r="F2833">
        <f>IFERROR(MATCH(A2833,Deals!$A$2:$A$843,0),"")</f>
        <v/>
      </c>
      <c r="G2833">
        <f>IF(F2833="",0,1)</f>
        <v/>
      </c>
      <c r="H2833" s="29">
        <f>IF(F2833="","",INDEX(Deals!$E$2:$E$843,F2833))</f>
        <v/>
      </c>
      <c r="I2833">
        <f>IF(F2833="","",INDEX(Deals!$D$2:$D$843,F2833))</f>
        <v/>
      </c>
      <c r="J2833">
        <f>IF(F2833="","",INT(H2833)-B2833)</f>
        <v/>
      </c>
      <c r="K2833">
        <f>IF(B2833&gt;=Settings!$C$5,1,0)</f>
        <v/>
      </c>
    </row>
    <row r="2834">
      <c r="A2834" t="inlineStr">
        <is>
          <t>e66160e598192a253a015cb90ab371dc</t>
        </is>
      </c>
      <c r="B2834" s="29" t="n">
        <v>43157</v>
      </c>
      <c r="C2834" t="inlineStr">
        <is>
          <t>2018-02</t>
        </is>
      </c>
      <c r="D2834" t="inlineStr">
        <is>
          <t>0e5a178e3cd2368607f3e72f46140476</t>
        </is>
      </c>
      <c r="E2834" t="inlineStr">
        <is>
          <t>email</t>
        </is>
      </c>
      <c r="F2834">
        <f>IFERROR(MATCH(A2834,Deals!$A$2:$A$843,0),"")</f>
        <v/>
      </c>
      <c r="G2834">
        <f>IF(F2834="",0,1)</f>
        <v/>
      </c>
      <c r="H2834" s="29">
        <f>IF(F2834="","",INDEX(Deals!$E$2:$E$843,F2834))</f>
        <v/>
      </c>
      <c r="I2834">
        <f>IF(F2834="","",INDEX(Deals!$D$2:$D$843,F2834))</f>
        <v/>
      </c>
      <c r="J2834">
        <f>IF(F2834="","",INT(H2834)-B2834)</f>
        <v/>
      </c>
      <c r="K2834">
        <f>IF(B2834&gt;=Settings!$C$5,1,0)</f>
        <v/>
      </c>
    </row>
    <row r="2835">
      <c r="A2835" t="inlineStr">
        <is>
          <t>afa4488056658f524727d7911f8f801c</t>
        </is>
      </c>
      <c r="B2835" s="29" t="n">
        <v>43135</v>
      </c>
      <c r="C2835" t="inlineStr">
        <is>
          <t>2018-02</t>
        </is>
      </c>
      <c r="D2835" t="inlineStr">
        <is>
          <t>88740e65d5d6b056e0cda098e1ea6313</t>
        </is>
      </c>
      <c r="E2835" t="inlineStr">
        <is>
          <t>social</t>
        </is>
      </c>
      <c r="F2835">
        <f>IFERROR(MATCH(A2835,Deals!$A$2:$A$843,0),"")</f>
        <v/>
      </c>
      <c r="G2835">
        <f>IF(F2835="",0,1)</f>
        <v/>
      </c>
      <c r="H2835" s="29">
        <f>IF(F2835="","",INDEX(Deals!$E$2:$E$843,F2835))</f>
        <v/>
      </c>
      <c r="I2835">
        <f>IF(F2835="","",INDEX(Deals!$D$2:$D$843,F2835))</f>
        <v/>
      </c>
      <c r="J2835">
        <f>IF(F2835="","",INT(H2835)-B2835)</f>
        <v/>
      </c>
      <c r="K2835">
        <f>IF(B2835&gt;=Settings!$C$5,1,0)</f>
        <v/>
      </c>
    </row>
    <row r="2836">
      <c r="A2836" t="inlineStr">
        <is>
          <t>5b2bf96684c3e37470d69b6c701cb7b3</t>
        </is>
      </c>
      <c r="B2836" s="29" t="n">
        <v>43185</v>
      </c>
      <c r="C2836" t="inlineStr">
        <is>
          <t>2018-03</t>
        </is>
      </c>
      <c r="D2836" t="inlineStr">
        <is>
          <t>40dec9f3d5259a3d2dbcdab2114fae47</t>
        </is>
      </c>
      <c r="E2836" t="inlineStr">
        <is>
          <t>paid_search</t>
        </is>
      </c>
      <c r="F2836">
        <f>IFERROR(MATCH(A2836,Deals!$A$2:$A$843,0),"")</f>
        <v/>
      </c>
      <c r="G2836">
        <f>IF(F2836="",0,1)</f>
        <v/>
      </c>
      <c r="H2836" s="29">
        <f>IF(F2836="","",INDEX(Deals!$E$2:$E$843,F2836))</f>
        <v/>
      </c>
      <c r="I2836">
        <f>IF(F2836="","",INDEX(Deals!$D$2:$D$843,F2836))</f>
        <v/>
      </c>
      <c r="J2836">
        <f>IF(F2836="","",INT(H2836)-B2836)</f>
        <v/>
      </c>
      <c r="K2836">
        <f>IF(B2836&gt;=Settings!$C$5,1,0)</f>
        <v/>
      </c>
    </row>
    <row r="2837">
      <c r="A2837" t="inlineStr">
        <is>
          <t>3e5fa5d77c90f90b0ddb3c43f64c2a78</t>
        </is>
      </c>
      <c r="B2837" s="29" t="n">
        <v>43131</v>
      </c>
      <c r="C2837" t="inlineStr">
        <is>
          <t>2018-01</t>
        </is>
      </c>
      <c r="D2837" t="inlineStr">
        <is>
          <t>b76ef37428e6799c421989521c0e5077</t>
        </is>
      </c>
      <c r="E2837" t="inlineStr">
        <is>
          <t>paid_search</t>
        </is>
      </c>
      <c r="F2837">
        <f>IFERROR(MATCH(A2837,Deals!$A$2:$A$843,0),"")</f>
        <v/>
      </c>
      <c r="G2837">
        <f>IF(F2837="",0,1)</f>
        <v/>
      </c>
      <c r="H2837" s="29">
        <f>IF(F2837="","",INDEX(Deals!$E$2:$E$843,F2837))</f>
        <v/>
      </c>
      <c r="I2837">
        <f>IF(F2837="","",INDEX(Deals!$D$2:$D$843,F2837))</f>
        <v/>
      </c>
      <c r="J2837">
        <f>IF(F2837="","",INT(H2837)-B2837)</f>
        <v/>
      </c>
      <c r="K2837">
        <f>IF(B2837&gt;=Settings!$C$5,1,0)</f>
        <v/>
      </c>
    </row>
    <row r="2838">
      <c r="A2838" t="inlineStr">
        <is>
          <t>169ea72d893b7bfe6a36b531a78b48af</t>
        </is>
      </c>
      <c r="B2838" s="29" t="n">
        <v>43215</v>
      </c>
      <c r="C2838" t="inlineStr">
        <is>
          <t>2018-04</t>
        </is>
      </c>
      <c r="D2838" t="inlineStr">
        <is>
          <t>9fa37f5177115156b1814ffc237402a6</t>
        </is>
      </c>
      <c r="E2838" t="inlineStr">
        <is>
          <t>(missing)</t>
        </is>
      </c>
      <c r="F2838">
        <f>IFERROR(MATCH(A2838,Deals!$A$2:$A$843,0),"")</f>
        <v/>
      </c>
      <c r="G2838">
        <f>IF(F2838="",0,1)</f>
        <v/>
      </c>
      <c r="H2838" s="29">
        <f>IF(F2838="","",INDEX(Deals!$E$2:$E$843,F2838))</f>
        <v/>
      </c>
      <c r="I2838">
        <f>IF(F2838="","",INDEX(Deals!$D$2:$D$843,F2838))</f>
        <v/>
      </c>
      <c r="J2838">
        <f>IF(F2838="","",INT(H2838)-B2838)</f>
        <v/>
      </c>
      <c r="K2838">
        <f>IF(B2838&gt;=Settings!$C$5,1,0)</f>
        <v/>
      </c>
    </row>
    <row r="2839">
      <c r="A2839" t="inlineStr">
        <is>
          <t>c59f4b333f4ceb69eefde0d9c5ac8afc</t>
        </is>
      </c>
      <c r="B2839" s="29" t="n">
        <v>43250</v>
      </c>
      <c r="C2839" t="inlineStr">
        <is>
          <t>2018-05</t>
        </is>
      </c>
      <c r="D2839" t="inlineStr">
        <is>
          <t>e492ee5eaf1697716985cc6f33f9cd9b</t>
        </is>
      </c>
      <c r="E2839" t="inlineStr">
        <is>
          <t>organic_search</t>
        </is>
      </c>
      <c r="F2839">
        <f>IFERROR(MATCH(A2839,Deals!$A$2:$A$843,0),"")</f>
        <v/>
      </c>
      <c r="G2839">
        <f>IF(F2839="",0,1)</f>
        <v/>
      </c>
      <c r="H2839" s="29">
        <f>IF(F2839="","",INDEX(Deals!$E$2:$E$843,F2839))</f>
        <v/>
      </c>
      <c r="I2839">
        <f>IF(F2839="","",INDEX(Deals!$D$2:$D$843,F2839))</f>
        <v/>
      </c>
      <c r="J2839">
        <f>IF(F2839="","",INT(H2839)-B2839)</f>
        <v/>
      </c>
      <c r="K2839">
        <f>IF(B2839&gt;=Settings!$C$5,1,0)</f>
        <v/>
      </c>
    </row>
    <row r="2840">
      <c r="A2840" t="inlineStr">
        <is>
          <t>478c412ba6aaa1c6dc3d4b02284d4041</t>
        </is>
      </c>
      <c r="B2840" s="29" t="n">
        <v>43216</v>
      </c>
      <c r="C2840" t="inlineStr">
        <is>
          <t>2018-04</t>
        </is>
      </c>
      <c r="D2840" t="inlineStr">
        <is>
          <t>120ad10683075526ee1b3b00489dafec</t>
        </is>
      </c>
      <c r="E2840" t="inlineStr">
        <is>
          <t>referral</t>
        </is>
      </c>
      <c r="F2840">
        <f>IFERROR(MATCH(A2840,Deals!$A$2:$A$843,0),"")</f>
        <v/>
      </c>
      <c r="G2840">
        <f>IF(F2840="",0,1)</f>
        <v/>
      </c>
      <c r="H2840" s="29">
        <f>IF(F2840="","",INDEX(Deals!$E$2:$E$843,F2840))</f>
        <v/>
      </c>
      <c r="I2840">
        <f>IF(F2840="","",INDEX(Deals!$D$2:$D$843,F2840))</f>
        <v/>
      </c>
      <c r="J2840">
        <f>IF(F2840="","",INT(H2840)-B2840)</f>
        <v/>
      </c>
      <c r="K2840">
        <f>IF(B2840&gt;=Settings!$C$5,1,0)</f>
        <v/>
      </c>
    </row>
    <row r="2841">
      <c r="A2841" t="inlineStr">
        <is>
          <t>4edac96613950d6c00a872b37ee20e5d</t>
        </is>
      </c>
      <c r="B2841" s="29" t="n">
        <v>43214</v>
      </c>
      <c r="C2841" t="inlineStr">
        <is>
          <t>2018-04</t>
        </is>
      </c>
      <c r="D2841" t="inlineStr">
        <is>
          <t>2f08471dfb83baef522f952438a36f6e</t>
        </is>
      </c>
      <c r="E2841" t="inlineStr">
        <is>
          <t>organic_search</t>
        </is>
      </c>
      <c r="F2841">
        <f>IFERROR(MATCH(A2841,Deals!$A$2:$A$843,0),"")</f>
        <v/>
      </c>
      <c r="G2841">
        <f>IF(F2841="",0,1)</f>
        <v/>
      </c>
      <c r="H2841" s="29">
        <f>IF(F2841="","",INDEX(Deals!$E$2:$E$843,F2841))</f>
        <v/>
      </c>
      <c r="I2841">
        <f>IF(F2841="","",INDEX(Deals!$D$2:$D$843,F2841))</f>
        <v/>
      </c>
      <c r="J2841">
        <f>IF(F2841="","",INT(H2841)-B2841)</f>
        <v/>
      </c>
      <c r="K2841">
        <f>IF(B2841&gt;=Settings!$C$5,1,0)</f>
        <v/>
      </c>
    </row>
    <row r="2842">
      <c r="A2842" t="inlineStr">
        <is>
          <t>2c439bc245533a95d51329968b9b26be</t>
        </is>
      </c>
      <c r="B2842" s="29" t="n">
        <v>43216</v>
      </c>
      <c r="C2842" t="inlineStr">
        <is>
          <t>2018-04</t>
        </is>
      </c>
      <c r="D2842" t="inlineStr">
        <is>
          <t>1baca9df5850e5ba75545d8b2eb8d966</t>
        </is>
      </c>
      <c r="E2842" t="inlineStr">
        <is>
          <t>direct_traffic</t>
        </is>
      </c>
      <c r="F2842">
        <f>IFERROR(MATCH(A2842,Deals!$A$2:$A$843,0),"")</f>
        <v/>
      </c>
      <c r="G2842">
        <f>IF(F2842="",0,1)</f>
        <v/>
      </c>
      <c r="H2842" s="29">
        <f>IF(F2842="","",INDEX(Deals!$E$2:$E$843,F2842))</f>
        <v/>
      </c>
      <c r="I2842">
        <f>IF(F2842="","",INDEX(Deals!$D$2:$D$843,F2842))</f>
        <v/>
      </c>
      <c r="J2842">
        <f>IF(F2842="","",INT(H2842)-B2842)</f>
        <v/>
      </c>
      <c r="K2842">
        <f>IF(B2842&gt;=Settings!$C$5,1,0)</f>
        <v/>
      </c>
    </row>
    <row r="2843">
      <c r="A2843" t="inlineStr">
        <is>
          <t>256740a0777be3553c8d8ebdb23a443e</t>
        </is>
      </c>
      <c r="B2843" s="29" t="n">
        <v>43068</v>
      </c>
      <c r="C2843" t="inlineStr">
        <is>
          <t>2017-11</t>
        </is>
      </c>
      <c r="D2843" t="inlineStr">
        <is>
          <t>40dec9f3d5259a3d2dbcdab2114fae47</t>
        </is>
      </c>
      <c r="E2843" t="inlineStr">
        <is>
          <t>paid_search</t>
        </is>
      </c>
      <c r="F2843">
        <f>IFERROR(MATCH(A2843,Deals!$A$2:$A$843,0),"")</f>
        <v/>
      </c>
      <c r="G2843">
        <f>IF(F2843="",0,1)</f>
        <v/>
      </c>
      <c r="H2843" s="29">
        <f>IF(F2843="","",INDEX(Deals!$E$2:$E$843,F2843))</f>
        <v/>
      </c>
      <c r="I2843">
        <f>IF(F2843="","",INDEX(Deals!$D$2:$D$843,F2843))</f>
        <v/>
      </c>
      <c r="J2843">
        <f>IF(F2843="","",INT(H2843)-B2843)</f>
        <v/>
      </c>
      <c r="K2843">
        <f>IF(B2843&gt;=Settings!$C$5,1,0)</f>
        <v/>
      </c>
    </row>
    <row r="2844">
      <c r="A2844" t="inlineStr">
        <is>
          <t>b128623086957955b92331ca412595fc</t>
        </is>
      </c>
      <c r="B2844" s="29" t="n">
        <v>43095</v>
      </c>
      <c r="C2844" t="inlineStr">
        <is>
          <t>2017-12</t>
        </is>
      </c>
      <c r="D2844" t="inlineStr">
        <is>
          <t>88740e65d5d6b056e0cda098e1ea6313</t>
        </is>
      </c>
      <c r="E2844" t="inlineStr">
        <is>
          <t>unknown</t>
        </is>
      </c>
      <c r="F2844">
        <f>IFERROR(MATCH(A2844,Deals!$A$2:$A$843,0),"")</f>
        <v/>
      </c>
      <c r="G2844">
        <f>IF(F2844="",0,1)</f>
        <v/>
      </c>
      <c r="H2844" s="29">
        <f>IF(F2844="","",INDEX(Deals!$E$2:$E$843,F2844))</f>
        <v/>
      </c>
      <c r="I2844">
        <f>IF(F2844="","",INDEX(Deals!$D$2:$D$843,F2844))</f>
        <v/>
      </c>
      <c r="J2844">
        <f>IF(F2844="","",INT(H2844)-B2844)</f>
        <v/>
      </c>
      <c r="K2844">
        <f>IF(B2844&gt;=Settings!$C$5,1,0)</f>
        <v/>
      </c>
    </row>
    <row r="2845">
      <c r="A2845" t="inlineStr">
        <is>
          <t>14cb4025dd2c4c63b76f1f5795e293eb</t>
        </is>
      </c>
      <c r="B2845" s="29" t="n">
        <v>43220</v>
      </c>
      <c r="C2845" t="inlineStr">
        <is>
          <t>2018-04</t>
        </is>
      </c>
      <c r="D2845" t="inlineStr">
        <is>
          <t>58326e62183c14b0c03085c33b9fdc44</t>
        </is>
      </c>
      <c r="E2845" t="inlineStr">
        <is>
          <t>social</t>
        </is>
      </c>
      <c r="F2845">
        <f>IFERROR(MATCH(A2845,Deals!$A$2:$A$843,0),"")</f>
        <v/>
      </c>
      <c r="G2845">
        <f>IF(F2845="",0,1)</f>
        <v/>
      </c>
      <c r="H2845" s="29">
        <f>IF(F2845="","",INDEX(Deals!$E$2:$E$843,F2845))</f>
        <v/>
      </c>
      <c r="I2845">
        <f>IF(F2845="","",INDEX(Deals!$D$2:$D$843,F2845))</f>
        <v/>
      </c>
      <c r="J2845">
        <f>IF(F2845="","",INT(H2845)-B2845)</f>
        <v/>
      </c>
      <c r="K2845">
        <f>IF(B2845&gt;=Settings!$C$5,1,0)</f>
        <v/>
      </c>
    </row>
    <row r="2846">
      <c r="A2846" t="inlineStr">
        <is>
          <t>a57b6cfb606cac574dc5be0dc524f1cf</t>
        </is>
      </c>
      <c r="B2846" s="29" t="n">
        <v>43129</v>
      </c>
      <c r="C2846" t="inlineStr">
        <is>
          <t>2018-01</t>
        </is>
      </c>
      <c r="D2846" t="inlineStr">
        <is>
          <t>f017be4dbf86243af5c1ebed0cff36a2</t>
        </is>
      </c>
      <c r="E2846" t="inlineStr">
        <is>
          <t>display</t>
        </is>
      </c>
      <c r="F2846">
        <f>IFERROR(MATCH(A2846,Deals!$A$2:$A$843,0),"")</f>
        <v/>
      </c>
      <c r="G2846">
        <f>IF(F2846="",0,1)</f>
        <v/>
      </c>
      <c r="H2846" s="29">
        <f>IF(F2846="","",INDEX(Deals!$E$2:$E$843,F2846))</f>
        <v/>
      </c>
      <c r="I2846">
        <f>IF(F2846="","",INDEX(Deals!$D$2:$D$843,F2846))</f>
        <v/>
      </c>
      <c r="J2846">
        <f>IF(F2846="","",INT(H2846)-B2846)</f>
        <v/>
      </c>
      <c r="K2846">
        <f>IF(B2846&gt;=Settings!$C$5,1,0)</f>
        <v/>
      </c>
    </row>
    <row r="2847">
      <c r="A2847" t="inlineStr">
        <is>
          <t>c2a79fe39f4801bdd710e19cd30e4999</t>
        </is>
      </c>
      <c r="B2847" s="29" t="n">
        <v>43148</v>
      </c>
      <c r="C2847" t="inlineStr">
        <is>
          <t>2018-02</t>
        </is>
      </c>
      <c r="D2847" t="inlineStr">
        <is>
          <t>30077c17f2ec5010a82e37ad8925b95f</t>
        </is>
      </c>
      <c r="E2847" t="inlineStr">
        <is>
          <t>direct_traffic</t>
        </is>
      </c>
      <c r="F2847">
        <f>IFERROR(MATCH(A2847,Deals!$A$2:$A$843,0),"")</f>
        <v/>
      </c>
      <c r="G2847">
        <f>IF(F2847="",0,1)</f>
        <v/>
      </c>
      <c r="H2847" s="29">
        <f>IF(F2847="","",INDEX(Deals!$E$2:$E$843,F2847))</f>
        <v/>
      </c>
      <c r="I2847">
        <f>IF(F2847="","",INDEX(Deals!$D$2:$D$843,F2847))</f>
        <v/>
      </c>
      <c r="J2847">
        <f>IF(F2847="","",INT(H2847)-B2847)</f>
        <v/>
      </c>
      <c r="K2847">
        <f>IF(B2847&gt;=Settings!$C$5,1,0)</f>
        <v/>
      </c>
    </row>
    <row r="2848">
      <c r="A2848" t="inlineStr">
        <is>
          <t>332d62c00e4e7218915d19a6f084d0ae</t>
        </is>
      </c>
      <c r="B2848" s="29" t="n">
        <v>43172</v>
      </c>
      <c r="C2848" t="inlineStr">
        <is>
          <t>2018-03</t>
        </is>
      </c>
      <c r="D2848" t="inlineStr">
        <is>
          <t>daa9619c6f8ed06d059265dca0f9257f</t>
        </is>
      </c>
      <c r="E2848" t="inlineStr">
        <is>
          <t>email</t>
        </is>
      </c>
      <c r="F2848">
        <f>IFERROR(MATCH(A2848,Deals!$A$2:$A$843,0),"")</f>
        <v/>
      </c>
      <c r="G2848">
        <f>IF(F2848="",0,1)</f>
        <v/>
      </c>
      <c r="H2848" s="29">
        <f>IF(F2848="","",INDEX(Deals!$E$2:$E$843,F2848))</f>
        <v/>
      </c>
      <c r="I2848">
        <f>IF(F2848="","",INDEX(Deals!$D$2:$D$843,F2848))</f>
        <v/>
      </c>
      <c r="J2848">
        <f>IF(F2848="","",INT(H2848)-B2848)</f>
        <v/>
      </c>
      <c r="K2848">
        <f>IF(B2848&gt;=Settings!$C$5,1,0)</f>
        <v/>
      </c>
    </row>
    <row r="2849">
      <c r="A2849" t="inlineStr">
        <is>
          <t>8e65aff4b74febf52c314c22e34c2d32</t>
        </is>
      </c>
      <c r="B2849" s="29" t="n">
        <v>43236</v>
      </c>
      <c r="C2849" t="inlineStr">
        <is>
          <t>2018-05</t>
        </is>
      </c>
      <c r="D2849" t="inlineStr">
        <is>
          <t>58326e62183c14b0c03085c33b9fdc44</t>
        </is>
      </c>
      <c r="E2849" t="inlineStr">
        <is>
          <t>social</t>
        </is>
      </c>
      <c r="F2849">
        <f>IFERROR(MATCH(A2849,Deals!$A$2:$A$843,0),"")</f>
        <v/>
      </c>
      <c r="G2849">
        <f>IF(F2849="",0,1)</f>
        <v/>
      </c>
      <c r="H2849" s="29">
        <f>IF(F2849="","",INDEX(Deals!$E$2:$E$843,F2849))</f>
        <v/>
      </c>
      <c r="I2849">
        <f>IF(F2849="","",INDEX(Deals!$D$2:$D$843,F2849))</f>
        <v/>
      </c>
      <c r="J2849">
        <f>IF(F2849="","",INT(H2849)-B2849)</f>
        <v/>
      </c>
      <c r="K2849">
        <f>IF(B2849&gt;=Settings!$C$5,1,0)</f>
        <v/>
      </c>
    </row>
    <row r="2850">
      <c r="A2850" t="inlineStr">
        <is>
          <t>9cfb1408152933f6fd6361560194325e</t>
        </is>
      </c>
      <c r="B2850" s="29" t="n">
        <v>43217</v>
      </c>
      <c r="C2850" t="inlineStr">
        <is>
          <t>2018-04</t>
        </is>
      </c>
      <c r="D2850" t="inlineStr">
        <is>
          <t>21a104c3279681d9856b8a48723c4fee</t>
        </is>
      </c>
      <c r="E2850" t="inlineStr">
        <is>
          <t>referral</t>
        </is>
      </c>
      <c r="F2850">
        <f>IFERROR(MATCH(A2850,Deals!$A$2:$A$843,0),"")</f>
        <v/>
      </c>
      <c r="G2850">
        <f>IF(F2850="",0,1)</f>
        <v/>
      </c>
      <c r="H2850" s="29">
        <f>IF(F2850="","",INDEX(Deals!$E$2:$E$843,F2850))</f>
        <v/>
      </c>
      <c r="I2850">
        <f>IF(F2850="","",INDEX(Deals!$D$2:$D$843,F2850))</f>
        <v/>
      </c>
      <c r="J2850">
        <f>IF(F2850="","",INT(H2850)-B2850)</f>
        <v/>
      </c>
      <c r="K2850">
        <f>IF(B2850&gt;=Settings!$C$5,1,0)</f>
        <v/>
      </c>
    </row>
    <row r="2851">
      <c r="A2851" t="inlineStr">
        <is>
          <t>6bacc516b88b78d62e578cd9ad50c08b</t>
        </is>
      </c>
      <c r="B2851" s="29" t="n">
        <v>43180</v>
      </c>
      <c r="C2851" t="inlineStr">
        <is>
          <t>2018-03</t>
        </is>
      </c>
      <c r="D2851" t="inlineStr">
        <is>
          <t>b76ef37428e6799c421989521c0e5077</t>
        </is>
      </c>
      <c r="E2851" t="inlineStr">
        <is>
          <t>organic_search</t>
        </is>
      </c>
      <c r="F2851">
        <f>IFERROR(MATCH(A2851,Deals!$A$2:$A$843,0),"")</f>
        <v/>
      </c>
      <c r="G2851">
        <f>IF(F2851="",0,1)</f>
        <v/>
      </c>
      <c r="H2851" s="29">
        <f>IF(F2851="","",INDEX(Deals!$E$2:$E$843,F2851))</f>
        <v/>
      </c>
      <c r="I2851">
        <f>IF(F2851="","",INDEX(Deals!$D$2:$D$843,F2851))</f>
        <v/>
      </c>
      <c r="J2851">
        <f>IF(F2851="","",INT(H2851)-B2851)</f>
        <v/>
      </c>
      <c r="K2851">
        <f>IF(B2851&gt;=Settings!$C$5,1,0)</f>
        <v/>
      </c>
    </row>
    <row r="2852">
      <c r="A2852" t="inlineStr">
        <is>
          <t>ae7ccf3b05a225121e4f9f9eccd6ece6</t>
        </is>
      </c>
      <c r="B2852" s="29" t="n">
        <v>43126</v>
      </c>
      <c r="C2852" t="inlineStr">
        <is>
          <t>2018-01</t>
        </is>
      </c>
      <c r="D2852" t="inlineStr">
        <is>
          <t>b76ef37428e6799c421989521c0e5077</t>
        </is>
      </c>
      <c r="E2852" t="inlineStr">
        <is>
          <t>direct_traffic</t>
        </is>
      </c>
      <c r="F2852">
        <f>IFERROR(MATCH(A2852,Deals!$A$2:$A$843,0),"")</f>
        <v/>
      </c>
      <c r="G2852">
        <f>IF(F2852="",0,1)</f>
        <v/>
      </c>
      <c r="H2852" s="29">
        <f>IF(F2852="","",INDEX(Deals!$E$2:$E$843,F2852))</f>
        <v/>
      </c>
      <c r="I2852">
        <f>IF(F2852="","",INDEX(Deals!$D$2:$D$843,F2852))</f>
        <v/>
      </c>
      <c r="J2852">
        <f>IF(F2852="","",INT(H2852)-B2852)</f>
        <v/>
      </c>
      <c r="K2852">
        <f>IF(B2852&gt;=Settings!$C$5,1,0)</f>
        <v/>
      </c>
    </row>
    <row r="2853">
      <c r="A2853" t="inlineStr">
        <is>
          <t>f9c3adf1303060c6e57a765820c6372a</t>
        </is>
      </c>
      <c r="B2853" s="29" t="n">
        <v>43228</v>
      </c>
      <c r="C2853" t="inlineStr">
        <is>
          <t>2018-05</t>
        </is>
      </c>
      <c r="D2853" t="inlineStr">
        <is>
          <t>b76ef37428e6799c421989521c0e5077</t>
        </is>
      </c>
      <c r="E2853" t="inlineStr">
        <is>
          <t>direct_traffic</t>
        </is>
      </c>
      <c r="F2853">
        <f>IFERROR(MATCH(A2853,Deals!$A$2:$A$843,0),"")</f>
        <v/>
      </c>
      <c r="G2853">
        <f>IF(F2853="",0,1)</f>
        <v/>
      </c>
      <c r="H2853" s="29">
        <f>IF(F2853="","",INDEX(Deals!$E$2:$E$843,F2853))</f>
        <v/>
      </c>
      <c r="I2853">
        <f>IF(F2853="","",INDEX(Deals!$D$2:$D$843,F2853))</f>
        <v/>
      </c>
      <c r="J2853">
        <f>IF(F2853="","",INT(H2853)-B2853)</f>
        <v/>
      </c>
      <c r="K2853">
        <f>IF(B2853&gt;=Settings!$C$5,1,0)</f>
        <v/>
      </c>
    </row>
    <row r="2854">
      <c r="A2854" t="inlineStr">
        <is>
          <t>cf9c63dd842330b6e9b6b20fe80ebb14</t>
        </is>
      </c>
      <c r="B2854" s="29" t="n">
        <v>43217</v>
      </c>
      <c r="C2854" t="inlineStr">
        <is>
          <t>2018-04</t>
        </is>
      </c>
      <c r="D2854" t="inlineStr">
        <is>
          <t>649b7b8b46b254497e92038d88f6ced8</t>
        </is>
      </c>
      <c r="E2854" t="inlineStr">
        <is>
          <t>social</t>
        </is>
      </c>
      <c r="F2854">
        <f>IFERROR(MATCH(A2854,Deals!$A$2:$A$843,0),"")</f>
        <v/>
      </c>
      <c r="G2854">
        <f>IF(F2854="",0,1)</f>
        <v/>
      </c>
      <c r="H2854" s="29">
        <f>IF(F2854="","",INDEX(Deals!$E$2:$E$843,F2854))</f>
        <v/>
      </c>
      <c r="I2854">
        <f>IF(F2854="","",INDEX(Deals!$D$2:$D$843,F2854))</f>
        <v/>
      </c>
      <c r="J2854">
        <f>IF(F2854="","",INT(H2854)-B2854)</f>
        <v/>
      </c>
      <c r="K2854">
        <f>IF(B2854&gt;=Settings!$C$5,1,0)</f>
        <v/>
      </c>
    </row>
    <row r="2855">
      <c r="A2855" t="inlineStr">
        <is>
          <t>95795d94cbc066886798b2d75e86705b</t>
        </is>
      </c>
      <c r="B2855" s="29" t="n">
        <v>43198</v>
      </c>
      <c r="C2855" t="inlineStr">
        <is>
          <t>2018-04</t>
        </is>
      </c>
      <c r="D2855" t="inlineStr">
        <is>
          <t>58326e62183c14b0c03085c33b9fdc44</t>
        </is>
      </c>
      <c r="E2855" t="inlineStr">
        <is>
          <t>social</t>
        </is>
      </c>
      <c r="F2855">
        <f>IFERROR(MATCH(A2855,Deals!$A$2:$A$843,0),"")</f>
        <v/>
      </c>
      <c r="G2855">
        <f>IF(F2855="",0,1)</f>
        <v/>
      </c>
      <c r="H2855" s="29">
        <f>IF(F2855="","",INDEX(Deals!$E$2:$E$843,F2855))</f>
        <v/>
      </c>
      <c r="I2855">
        <f>IF(F2855="","",INDEX(Deals!$D$2:$D$843,F2855))</f>
        <v/>
      </c>
      <c r="J2855">
        <f>IF(F2855="","",INT(H2855)-B2855)</f>
        <v/>
      </c>
      <c r="K2855">
        <f>IF(B2855&gt;=Settings!$C$5,1,0)</f>
        <v/>
      </c>
    </row>
    <row r="2856">
      <c r="A2856" t="inlineStr">
        <is>
          <t>9081d2e0daa8f21191bf58b26102c144</t>
        </is>
      </c>
      <c r="B2856" s="29" t="n">
        <v>43193</v>
      </c>
      <c r="C2856" t="inlineStr">
        <is>
          <t>2018-04</t>
        </is>
      </c>
      <c r="D2856" t="inlineStr">
        <is>
          <t>0b37d43dbde6452cdd94c17bf61a88e4</t>
        </is>
      </c>
      <c r="E2856" t="inlineStr">
        <is>
          <t>organic_search</t>
        </is>
      </c>
      <c r="F2856">
        <f>IFERROR(MATCH(A2856,Deals!$A$2:$A$843,0),"")</f>
        <v/>
      </c>
      <c r="G2856">
        <f>IF(F2856="",0,1)</f>
        <v/>
      </c>
      <c r="H2856" s="29">
        <f>IF(F2856="","",INDEX(Deals!$E$2:$E$843,F2856))</f>
        <v/>
      </c>
      <c r="I2856">
        <f>IF(F2856="","",INDEX(Deals!$D$2:$D$843,F2856))</f>
        <v/>
      </c>
      <c r="J2856">
        <f>IF(F2856="","",INT(H2856)-B2856)</f>
        <v/>
      </c>
      <c r="K2856">
        <f>IF(B2856&gt;=Settings!$C$5,1,0)</f>
        <v/>
      </c>
    </row>
    <row r="2857">
      <c r="A2857" t="inlineStr">
        <is>
          <t>90092a96d41dc90bde569b2383465360</t>
        </is>
      </c>
      <c r="B2857" s="29" t="n">
        <v>43033</v>
      </c>
      <c r="C2857" t="inlineStr">
        <is>
          <t>2017-10</t>
        </is>
      </c>
      <c r="D2857" t="inlineStr">
        <is>
          <t>67e4b3ca7fb7e6e1e24767b1a6df70fe</t>
        </is>
      </c>
      <c r="E2857" t="inlineStr">
        <is>
          <t>social</t>
        </is>
      </c>
      <c r="F2857">
        <f>IFERROR(MATCH(A2857,Deals!$A$2:$A$843,0),"")</f>
        <v/>
      </c>
      <c r="G2857">
        <f>IF(F2857="",0,1)</f>
        <v/>
      </c>
      <c r="H2857" s="29">
        <f>IF(F2857="","",INDEX(Deals!$E$2:$E$843,F2857))</f>
        <v/>
      </c>
      <c r="I2857">
        <f>IF(F2857="","",INDEX(Deals!$D$2:$D$843,F2857))</f>
        <v/>
      </c>
      <c r="J2857">
        <f>IF(F2857="","",INT(H2857)-B2857)</f>
        <v/>
      </c>
      <c r="K2857">
        <f>IF(B2857&gt;=Settings!$C$5,1,0)</f>
        <v/>
      </c>
    </row>
    <row r="2858">
      <c r="A2858" t="inlineStr">
        <is>
          <t>24fad321d1c4ae6e3d44878694f17590</t>
        </is>
      </c>
      <c r="B2858" s="29" t="n">
        <v>43155</v>
      </c>
      <c r="C2858" t="inlineStr">
        <is>
          <t>2018-02</t>
        </is>
      </c>
      <c r="D2858" t="inlineStr">
        <is>
          <t>f017be4dbf86243af5c1ebed0cff36a2</t>
        </is>
      </c>
      <c r="E2858" t="inlineStr">
        <is>
          <t>organic_search</t>
        </is>
      </c>
      <c r="F2858">
        <f>IFERROR(MATCH(A2858,Deals!$A$2:$A$843,0),"")</f>
        <v/>
      </c>
      <c r="G2858">
        <f>IF(F2858="",0,1)</f>
        <v/>
      </c>
      <c r="H2858" s="29">
        <f>IF(F2858="","",INDEX(Deals!$E$2:$E$843,F2858))</f>
        <v/>
      </c>
      <c r="I2858">
        <f>IF(F2858="","",INDEX(Deals!$D$2:$D$843,F2858))</f>
        <v/>
      </c>
      <c r="J2858">
        <f>IF(F2858="","",INT(H2858)-B2858)</f>
        <v/>
      </c>
      <c r="K2858">
        <f>IF(B2858&gt;=Settings!$C$5,1,0)</f>
        <v/>
      </c>
    </row>
    <row r="2859">
      <c r="A2859" t="inlineStr">
        <is>
          <t>97d84fba14b84fb843751040837c95b4</t>
        </is>
      </c>
      <c r="B2859" s="29" t="n">
        <v>42947</v>
      </c>
      <c r="C2859" t="inlineStr">
        <is>
          <t>2017-07</t>
        </is>
      </c>
      <c r="D2859" t="inlineStr">
        <is>
          <t>b76ef37428e6799c421989521c0e5077</t>
        </is>
      </c>
      <c r="E2859" t="inlineStr">
        <is>
          <t>unknown</t>
        </is>
      </c>
      <c r="F2859">
        <f>IFERROR(MATCH(A2859,Deals!$A$2:$A$843,0),"")</f>
        <v/>
      </c>
      <c r="G2859">
        <f>IF(F2859="",0,1)</f>
        <v/>
      </c>
      <c r="H2859" s="29">
        <f>IF(F2859="","",INDEX(Deals!$E$2:$E$843,F2859))</f>
        <v/>
      </c>
      <c r="I2859">
        <f>IF(F2859="","",INDEX(Deals!$D$2:$D$843,F2859))</f>
        <v/>
      </c>
      <c r="J2859">
        <f>IF(F2859="","",INT(H2859)-B2859)</f>
        <v/>
      </c>
      <c r="K2859">
        <f>IF(B2859&gt;=Settings!$C$5,1,0)</f>
        <v/>
      </c>
    </row>
    <row r="2860">
      <c r="A2860" t="inlineStr">
        <is>
          <t>0c7105be927a03bb3567bf01feec05a5</t>
        </is>
      </c>
      <c r="B2860" s="29" t="n">
        <v>43210</v>
      </c>
      <c r="C2860" t="inlineStr">
        <is>
          <t>2018-04</t>
        </is>
      </c>
      <c r="D2860" t="inlineStr">
        <is>
          <t>1ceb590cd1e00c7ee95220971f82693d</t>
        </is>
      </c>
      <c r="E2860" t="inlineStr">
        <is>
          <t>paid_search</t>
        </is>
      </c>
      <c r="F2860">
        <f>IFERROR(MATCH(A2860,Deals!$A$2:$A$843,0),"")</f>
        <v/>
      </c>
      <c r="G2860">
        <f>IF(F2860="",0,1)</f>
        <v/>
      </c>
      <c r="H2860" s="29">
        <f>IF(F2860="","",INDEX(Deals!$E$2:$E$843,F2860))</f>
        <v/>
      </c>
      <c r="I2860">
        <f>IF(F2860="","",INDEX(Deals!$D$2:$D$843,F2860))</f>
        <v/>
      </c>
      <c r="J2860">
        <f>IF(F2860="","",INT(H2860)-B2860)</f>
        <v/>
      </c>
      <c r="K2860">
        <f>IF(B2860&gt;=Settings!$C$5,1,0)</f>
        <v/>
      </c>
    </row>
    <row r="2861">
      <c r="A2861" t="inlineStr">
        <is>
          <t>6174526bec27e6cf9343ff9b2585e67c</t>
        </is>
      </c>
      <c r="B2861" s="29" t="n">
        <v>42993</v>
      </c>
      <c r="C2861" t="inlineStr">
        <is>
          <t>2017-09</t>
        </is>
      </c>
      <c r="D2861" t="inlineStr">
        <is>
          <t>87732658ba41d8775e8577df347a64db</t>
        </is>
      </c>
      <c r="E2861" t="inlineStr">
        <is>
          <t>social</t>
        </is>
      </c>
      <c r="F2861">
        <f>IFERROR(MATCH(A2861,Deals!$A$2:$A$843,0),"")</f>
        <v/>
      </c>
      <c r="G2861">
        <f>IF(F2861="",0,1)</f>
        <v/>
      </c>
      <c r="H2861" s="29">
        <f>IF(F2861="","",INDEX(Deals!$E$2:$E$843,F2861))</f>
        <v/>
      </c>
      <c r="I2861">
        <f>IF(F2861="","",INDEX(Deals!$D$2:$D$843,F2861))</f>
        <v/>
      </c>
      <c r="J2861">
        <f>IF(F2861="","",INT(H2861)-B2861)</f>
        <v/>
      </c>
      <c r="K2861">
        <f>IF(B2861&gt;=Settings!$C$5,1,0)</f>
        <v/>
      </c>
    </row>
    <row r="2862">
      <c r="A2862" t="inlineStr">
        <is>
          <t>ac9dab4e2a08d5e2c595cbbf45c5cc78</t>
        </is>
      </c>
      <c r="B2862" s="29" t="n">
        <v>42935</v>
      </c>
      <c r="C2862" t="inlineStr">
        <is>
          <t>2017-07</t>
        </is>
      </c>
      <c r="D2862" t="inlineStr">
        <is>
          <t>ce7bafe02f8fb1a3f15f52a9c239d0ef</t>
        </is>
      </c>
      <c r="E2862" t="inlineStr">
        <is>
          <t>email</t>
        </is>
      </c>
      <c r="F2862">
        <f>IFERROR(MATCH(A2862,Deals!$A$2:$A$843,0),"")</f>
        <v/>
      </c>
      <c r="G2862">
        <f>IF(F2862="",0,1)</f>
        <v/>
      </c>
      <c r="H2862" s="29">
        <f>IF(F2862="","",INDEX(Deals!$E$2:$E$843,F2862))</f>
        <v/>
      </c>
      <c r="I2862">
        <f>IF(F2862="","",INDEX(Deals!$D$2:$D$843,F2862))</f>
        <v/>
      </c>
      <c r="J2862">
        <f>IF(F2862="","",INT(H2862)-B2862)</f>
        <v/>
      </c>
      <c r="K2862">
        <f>IF(B2862&gt;=Settings!$C$5,1,0)</f>
        <v/>
      </c>
    </row>
    <row r="2863">
      <c r="A2863" t="inlineStr">
        <is>
          <t>af1ea7c59c7e37f0b95b48bc972ceb67</t>
        </is>
      </c>
      <c r="B2863" s="29" t="n">
        <v>43245</v>
      </c>
      <c r="C2863" t="inlineStr">
        <is>
          <t>2018-05</t>
        </is>
      </c>
      <c r="D2863" t="inlineStr">
        <is>
          <t>b76ef37428e6799c421989521c0e5077</t>
        </is>
      </c>
      <c r="E2863" t="inlineStr">
        <is>
          <t>unknown</t>
        </is>
      </c>
      <c r="F2863">
        <f>IFERROR(MATCH(A2863,Deals!$A$2:$A$843,0),"")</f>
        <v/>
      </c>
      <c r="G2863">
        <f>IF(F2863="",0,1)</f>
        <v/>
      </c>
      <c r="H2863" s="29">
        <f>IF(F2863="","",INDEX(Deals!$E$2:$E$843,F2863))</f>
        <v/>
      </c>
      <c r="I2863">
        <f>IF(F2863="","",INDEX(Deals!$D$2:$D$843,F2863))</f>
        <v/>
      </c>
      <c r="J2863">
        <f>IF(F2863="","",INT(H2863)-B2863)</f>
        <v/>
      </c>
      <c r="K2863">
        <f>IF(B2863&gt;=Settings!$C$5,1,0)</f>
        <v/>
      </c>
    </row>
    <row r="2864">
      <c r="A2864" t="inlineStr">
        <is>
          <t>63aec506bcfd90818d4d4eeed163edf6</t>
        </is>
      </c>
      <c r="B2864" s="29" t="n">
        <v>43171</v>
      </c>
      <c r="C2864" t="inlineStr">
        <is>
          <t>2018-03</t>
        </is>
      </c>
      <c r="D2864" t="inlineStr">
        <is>
          <t>65d9f9d71e562365e8b44037c2888d98</t>
        </is>
      </c>
      <c r="E2864" t="inlineStr">
        <is>
          <t>unknown</t>
        </is>
      </c>
      <c r="F2864">
        <f>IFERROR(MATCH(A2864,Deals!$A$2:$A$843,0),"")</f>
        <v/>
      </c>
      <c r="G2864">
        <f>IF(F2864="",0,1)</f>
        <v/>
      </c>
      <c r="H2864" s="29">
        <f>IF(F2864="","",INDEX(Deals!$E$2:$E$843,F2864))</f>
        <v/>
      </c>
      <c r="I2864">
        <f>IF(F2864="","",INDEX(Deals!$D$2:$D$843,F2864))</f>
        <v/>
      </c>
      <c r="J2864">
        <f>IF(F2864="","",INT(H2864)-B2864)</f>
        <v/>
      </c>
      <c r="K2864">
        <f>IF(B2864&gt;=Settings!$C$5,1,0)</f>
        <v/>
      </c>
    </row>
    <row r="2865">
      <c r="A2865" t="inlineStr">
        <is>
          <t>88dc6aff105a14cb76f8cde8ddce74e2</t>
        </is>
      </c>
      <c r="B2865" s="29" t="n">
        <v>43201</v>
      </c>
      <c r="C2865" t="inlineStr">
        <is>
          <t>2018-04</t>
        </is>
      </c>
      <c r="D2865" t="inlineStr">
        <is>
          <t>5209e2e679d32a6619feb6942702fd14</t>
        </is>
      </c>
      <c r="E2865" t="inlineStr">
        <is>
          <t>organic_search</t>
        </is>
      </c>
      <c r="F2865">
        <f>IFERROR(MATCH(A2865,Deals!$A$2:$A$843,0),"")</f>
        <v/>
      </c>
      <c r="G2865">
        <f>IF(F2865="",0,1)</f>
        <v/>
      </c>
      <c r="H2865" s="29">
        <f>IF(F2865="","",INDEX(Deals!$E$2:$E$843,F2865))</f>
        <v/>
      </c>
      <c r="I2865">
        <f>IF(F2865="","",INDEX(Deals!$D$2:$D$843,F2865))</f>
        <v/>
      </c>
      <c r="J2865">
        <f>IF(F2865="","",INT(H2865)-B2865)</f>
        <v/>
      </c>
      <c r="K2865">
        <f>IF(B2865&gt;=Settings!$C$5,1,0)</f>
        <v/>
      </c>
    </row>
    <row r="2866">
      <c r="A2866" t="inlineStr">
        <is>
          <t>cbd159e576d9b7ede8622c4fe355d50b</t>
        </is>
      </c>
      <c r="B2866" s="29" t="n">
        <v>43117</v>
      </c>
      <c r="C2866" t="inlineStr">
        <is>
          <t>2018-01</t>
        </is>
      </c>
      <c r="D2866" t="inlineStr">
        <is>
          <t>22c29808c4f815213303f8933030604c</t>
        </is>
      </c>
      <c r="E2866" t="inlineStr">
        <is>
          <t>organic_search</t>
        </is>
      </c>
      <c r="F2866">
        <f>IFERROR(MATCH(A2866,Deals!$A$2:$A$843,0),"")</f>
        <v/>
      </c>
      <c r="G2866">
        <f>IF(F2866="",0,1)</f>
        <v/>
      </c>
      <c r="H2866" s="29">
        <f>IF(F2866="","",INDEX(Deals!$E$2:$E$843,F2866))</f>
        <v/>
      </c>
      <c r="I2866">
        <f>IF(F2866="","",INDEX(Deals!$D$2:$D$843,F2866))</f>
        <v/>
      </c>
      <c r="J2866">
        <f>IF(F2866="","",INT(H2866)-B2866)</f>
        <v/>
      </c>
      <c r="K2866">
        <f>IF(B2866&gt;=Settings!$C$5,1,0)</f>
        <v/>
      </c>
    </row>
    <row r="2867">
      <c r="A2867" t="inlineStr">
        <is>
          <t>97f415c3bb3fe916c116c41d3746cc73</t>
        </is>
      </c>
      <c r="B2867" s="29" t="n">
        <v>42929</v>
      </c>
      <c r="C2867" t="inlineStr">
        <is>
          <t>2017-07</t>
        </is>
      </c>
      <c r="D2867" t="inlineStr">
        <is>
          <t>a56671a54260a44923d32c2f08fad39c</t>
        </is>
      </c>
      <c r="E2867" t="inlineStr">
        <is>
          <t>paid_search</t>
        </is>
      </c>
      <c r="F2867">
        <f>IFERROR(MATCH(A2867,Deals!$A$2:$A$843,0),"")</f>
        <v/>
      </c>
      <c r="G2867">
        <f>IF(F2867="",0,1)</f>
        <v/>
      </c>
      <c r="H2867" s="29">
        <f>IF(F2867="","",INDEX(Deals!$E$2:$E$843,F2867))</f>
        <v/>
      </c>
      <c r="I2867">
        <f>IF(F2867="","",INDEX(Deals!$D$2:$D$843,F2867))</f>
        <v/>
      </c>
      <c r="J2867">
        <f>IF(F2867="","",INT(H2867)-B2867)</f>
        <v/>
      </c>
      <c r="K2867">
        <f>IF(B2867&gt;=Settings!$C$5,1,0)</f>
        <v/>
      </c>
    </row>
    <row r="2868">
      <c r="A2868" t="inlineStr">
        <is>
          <t>898c823ce97aab66b5ef0fd1ca661b4c</t>
        </is>
      </c>
      <c r="B2868" s="29" t="n">
        <v>43196</v>
      </c>
      <c r="C2868" t="inlineStr">
        <is>
          <t>2018-04</t>
        </is>
      </c>
      <c r="D2868" t="inlineStr">
        <is>
          <t>73f31a40697cc90a86c1273563ac230e</t>
        </is>
      </c>
      <c r="E2868" t="inlineStr">
        <is>
          <t>other</t>
        </is>
      </c>
      <c r="F2868">
        <f>IFERROR(MATCH(A2868,Deals!$A$2:$A$843,0),"")</f>
        <v/>
      </c>
      <c r="G2868">
        <f>IF(F2868="",0,1)</f>
        <v/>
      </c>
      <c r="H2868" s="29">
        <f>IF(F2868="","",INDEX(Deals!$E$2:$E$843,F2868))</f>
        <v/>
      </c>
      <c r="I2868">
        <f>IF(F2868="","",INDEX(Deals!$D$2:$D$843,F2868))</f>
        <v/>
      </c>
      <c r="J2868">
        <f>IF(F2868="","",INT(H2868)-B2868)</f>
        <v/>
      </c>
      <c r="K2868">
        <f>IF(B2868&gt;=Settings!$C$5,1,0)</f>
        <v/>
      </c>
    </row>
    <row r="2869">
      <c r="A2869" t="inlineStr">
        <is>
          <t>0a2c8d94e057ab72ea4f88b67e0bb40e</t>
        </is>
      </c>
      <c r="B2869" s="29" t="n">
        <v>43106</v>
      </c>
      <c r="C2869" t="inlineStr">
        <is>
          <t>2018-01</t>
        </is>
      </c>
      <c r="D2869" t="inlineStr">
        <is>
          <t>ce1a65abd0973638f1c887a6efcfa82d</t>
        </is>
      </c>
      <c r="E2869" t="inlineStr">
        <is>
          <t>organic_search</t>
        </is>
      </c>
      <c r="F2869">
        <f>IFERROR(MATCH(A2869,Deals!$A$2:$A$843,0),"")</f>
        <v/>
      </c>
      <c r="G2869">
        <f>IF(F2869="",0,1)</f>
        <v/>
      </c>
      <c r="H2869" s="29">
        <f>IF(F2869="","",INDEX(Deals!$E$2:$E$843,F2869))</f>
        <v/>
      </c>
      <c r="I2869">
        <f>IF(F2869="","",INDEX(Deals!$D$2:$D$843,F2869))</f>
        <v/>
      </c>
      <c r="J2869">
        <f>IF(F2869="","",INT(H2869)-B2869)</f>
        <v/>
      </c>
      <c r="K2869">
        <f>IF(B2869&gt;=Settings!$C$5,1,0)</f>
        <v/>
      </c>
    </row>
    <row r="2870">
      <c r="A2870" t="inlineStr">
        <is>
          <t>98229e47efcf293ba35164fa38faba05</t>
        </is>
      </c>
      <c r="B2870" s="29" t="n">
        <v>43063</v>
      </c>
      <c r="C2870" t="inlineStr">
        <is>
          <t>2017-11</t>
        </is>
      </c>
      <c r="D2870" t="inlineStr">
        <is>
          <t>88740e65d5d6b056e0cda098e1ea6313</t>
        </is>
      </c>
      <c r="E2870" t="inlineStr">
        <is>
          <t>social</t>
        </is>
      </c>
      <c r="F2870">
        <f>IFERROR(MATCH(A2870,Deals!$A$2:$A$843,0),"")</f>
        <v/>
      </c>
      <c r="G2870">
        <f>IF(F2870="",0,1)</f>
        <v/>
      </c>
      <c r="H2870" s="29">
        <f>IF(F2870="","",INDEX(Deals!$E$2:$E$843,F2870))</f>
        <v/>
      </c>
      <c r="I2870">
        <f>IF(F2870="","",INDEX(Deals!$D$2:$D$843,F2870))</f>
        <v/>
      </c>
      <c r="J2870">
        <f>IF(F2870="","",INT(H2870)-B2870)</f>
        <v/>
      </c>
      <c r="K2870">
        <f>IF(B2870&gt;=Settings!$C$5,1,0)</f>
        <v/>
      </c>
    </row>
    <row r="2871">
      <c r="A2871" t="inlineStr">
        <is>
          <t>1074afbd8b5b7eb6576c26ecbf6f7e17</t>
        </is>
      </c>
      <c r="B2871" s="29" t="n">
        <v>43207</v>
      </c>
      <c r="C2871" t="inlineStr">
        <is>
          <t>2018-04</t>
        </is>
      </c>
      <c r="D2871" t="inlineStr">
        <is>
          <t>22c29808c4f815213303f8933030604c</t>
        </is>
      </c>
      <c r="E2871" t="inlineStr">
        <is>
          <t>organic_search</t>
        </is>
      </c>
      <c r="F2871">
        <f>IFERROR(MATCH(A2871,Deals!$A$2:$A$843,0),"")</f>
        <v/>
      </c>
      <c r="G2871">
        <f>IF(F2871="",0,1)</f>
        <v/>
      </c>
      <c r="H2871" s="29">
        <f>IF(F2871="","",INDEX(Deals!$E$2:$E$843,F2871))</f>
        <v/>
      </c>
      <c r="I2871">
        <f>IF(F2871="","",INDEX(Deals!$D$2:$D$843,F2871))</f>
        <v/>
      </c>
      <c r="J2871">
        <f>IF(F2871="","",INT(H2871)-B2871)</f>
        <v/>
      </c>
      <c r="K2871">
        <f>IF(B2871&gt;=Settings!$C$5,1,0)</f>
        <v/>
      </c>
    </row>
    <row r="2872">
      <c r="A2872" t="inlineStr">
        <is>
          <t>170978449a44d129b9548d122cf7f42f</t>
        </is>
      </c>
      <c r="B2872" s="29" t="n">
        <v>43029</v>
      </c>
      <c r="C2872" t="inlineStr">
        <is>
          <t>2017-10</t>
        </is>
      </c>
      <c r="D2872" t="inlineStr">
        <is>
          <t>a7982125ff7aa3b2054c6e44f9d28522</t>
        </is>
      </c>
      <c r="E2872" t="inlineStr">
        <is>
          <t>display</t>
        </is>
      </c>
      <c r="F2872">
        <f>IFERROR(MATCH(A2872,Deals!$A$2:$A$843,0),"")</f>
        <v/>
      </c>
      <c r="G2872">
        <f>IF(F2872="",0,1)</f>
        <v/>
      </c>
      <c r="H2872" s="29">
        <f>IF(F2872="","",INDEX(Deals!$E$2:$E$843,F2872))</f>
        <v/>
      </c>
      <c r="I2872">
        <f>IF(F2872="","",INDEX(Deals!$D$2:$D$843,F2872))</f>
        <v/>
      </c>
      <c r="J2872">
        <f>IF(F2872="","",INT(H2872)-B2872)</f>
        <v/>
      </c>
      <c r="K2872">
        <f>IF(B2872&gt;=Settings!$C$5,1,0)</f>
        <v/>
      </c>
    </row>
    <row r="2873">
      <c r="A2873" t="inlineStr">
        <is>
          <t>b26e97075acf7373fe8430b66cba271d</t>
        </is>
      </c>
      <c r="B2873" s="29" t="n">
        <v>43109</v>
      </c>
      <c r="C2873" t="inlineStr">
        <is>
          <t>2018-01</t>
        </is>
      </c>
      <c r="D2873" t="inlineStr">
        <is>
          <t>88740e65d5d6b056e0cda098e1ea6313</t>
        </is>
      </c>
      <c r="E2873" t="inlineStr">
        <is>
          <t>social</t>
        </is>
      </c>
      <c r="F2873">
        <f>IFERROR(MATCH(A2873,Deals!$A$2:$A$843,0),"")</f>
        <v/>
      </c>
      <c r="G2873">
        <f>IF(F2873="",0,1)</f>
        <v/>
      </c>
      <c r="H2873" s="29">
        <f>IF(F2873="","",INDEX(Deals!$E$2:$E$843,F2873))</f>
        <v/>
      </c>
      <c r="I2873">
        <f>IF(F2873="","",INDEX(Deals!$D$2:$D$843,F2873))</f>
        <v/>
      </c>
      <c r="J2873">
        <f>IF(F2873="","",INT(H2873)-B2873)</f>
        <v/>
      </c>
      <c r="K2873">
        <f>IF(B2873&gt;=Settings!$C$5,1,0)</f>
        <v/>
      </c>
    </row>
    <row r="2874">
      <c r="A2874" t="inlineStr">
        <is>
          <t>bc94f75c7d9299fef1c8445e33a43291</t>
        </is>
      </c>
      <c r="B2874" s="29" t="n">
        <v>43244</v>
      </c>
      <c r="C2874" t="inlineStr">
        <is>
          <t>2018-05</t>
        </is>
      </c>
      <c r="D2874" t="inlineStr">
        <is>
          <t>ce1a65abd0973638f1c887a6efcfa82d</t>
        </is>
      </c>
      <c r="E2874" t="inlineStr">
        <is>
          <t>paid_search</t>
        </is>
      </c>
      <c r="F2874">
        <f>IFERROR(MATCH(A2874,Deals!$A$2:$A$843,0),"")</f>
        <v/>
      </c>
      <c r="G2874">
        <f>IF(F2874="",0,1)</f>
        <v/>
      </c>
      <c r="H2874" s="29">
        <f>IF(F2874="","",INDEX(Deals!$E$2:$E$843,F2874))</f>
        <v/>
      </c>
      <c r="I2874">
        <f>IF(F2874="","",INDEX(Deals!$D$2:$D$843,F2874))</f>
        <v/>
      </c>
      <c r="J2874">
        <f>IF(F2874="","",INT(H2874)-B2874)</f>
        <v/>
      </c>
      <c r="K2874">
        <f>IF(B2874&gt;=Settings!$C$5,1,0)</f>
        <v/>
      </c>
    </row>
    <row r="2875">
      <c r="A2875" t="inlineStr">
        <is>
          <t>5ca177e9af12f0d5d9c4c72668c81b63</t>
        </is>
      </c>
      <c r="B2875" s="29" t="n">
        <v>42962</v>
      </c>
      <c r="C2875" t="inlineStr">
        <is>
          <t>2017-08</t>
        </is>
      </c>
      <c r="D2875" t="inlineStr">
        <is>
          <t>f017be4dbf86243af5c1ebed0cff36a2</t>
        </is>
      </c>
      <c r="E2875" t="inlineStr">
        <is>
          <t>organic_search</t>
        </is>
      </c>
      <c r="F2875">
        <f>IFERROR(MATCH(A2875,Deals!$A$2:$A$843,0),"")</f>
        <v/>
      </c>
      <c r="G2875">
        <f>IF(F2875="",0,1)</f>
        <v/>
      </c>
      <c r="H2875" s="29">
        <f>IF(F2875="","",INDEX(Deals!$E$2:$E$843,F2875))</f>
        <v/>
      </c>
      <c r="I2875">
        <f>IF(F2875="","",INDEX(Deals!$D$2:$D$843,F2875))</f>
        <v/>
      </c>
      <c r="J2875">
        <f>IF(F2875="","",INT(H2875)-B2875)</f>
        <v/>
      </c>
      <c r="K2875">
        <f>IF(B2875&gt;=Settings!$C$5,1,0)</f>
        <v/>
      </c>
    </row>
    <row r="2876">
      <c r="A2876" t="inlineStr">
        <is>
          <t>16b88c4db6ea7cb431e96c118b97939a</t>
        </is>
      </c>
      <c r="B2876" s="29" t="n">
        <v>43061</v>
      </c>
      <c r="C2876" t="inlineStr">
        <is>
          <t>2017-11</t>
        </is>
      </c>
      <c r="D2876" t="inlineStr">
        <is>
          <t>d83b0d0e48c8447d1d5507a44027a955</t>
        </is>
      </c>
      <c r="E2876" t="inlineStr">
        <is>
          <t>referral</t>
        </is>
      </c>
      <c r="F2876">
        <f>IFERROR(MATCH(A2876,Deals!$A$2:$A$843,0),"")</f>
        <v/>
      </c>
      <c r="G2876">
        <f>IF(F2876="",0,1)</f>
        <v/>
      </c>
      <c r="H2876" s="29">
        <f>IF(F2876="","",INDEX(Deals!$E$2:$E$843,F2876))</f>
        <v/>
      </c>
      <c r="I2876">
        <f>IF(F2876="","",INDEX(Deals!$D$2:$D$843,F2876))</f>
        <v/>
      </c>
      <c r="J2876">
        <f>IF(F2876="","",INT(H2876)-B2876)</f>
        <v/>
      </c>
      <c r="K2876">
        <f>IF(B2876&gt;=Settings!$C$5,1,0)</f>
        <v/>
      </c>
    </row>
    <row r="2877">
      <c r="A2877" t="inlineStr">
        <is>
          <t>ce65b72ad2e2a92b35b6b97377ee6d2e</t>
        </is>
      </c>
      <c r="B2877" s="29" t="n">
        <v>43159</v>
      </c>
      <c r="C2877" t="inlineStr">
        <is>
          <t>2018-02</t>
        </is>
      </c>
      <c r="D2877" t="inlineStr">
        <is>
          <t>e492ee5eaf1697716985cc6f33f9cd9b</t>
        </is>
      </c>
      <c r="E2877" t="inlineStr">
        <is>
          <t>referral</t>
        </is>
      </c>
      <c r="F2877">
        <f>IFERROR(MATCH(A2877,Deals!$A$2:$A$843,0),"")</f>
        <v/>
      </c>
      <c r="G2877">
        <f>IF(F2877="",0,1)</f>
        <v/>
      </c>
      <c r="H2877" s="29">
        <f>IF(F2877="","",INDEX(Deals!$E$2:$E$843,F2877))</f>
        <v/>
      </c>
      <c r="I2877">
        <f>IF(F2877="","",INDEX(Deals!$D$2:$D$843,F2877))</f>
        <v/>
      </c>
      <c r="J2877">
        <f>IF(F2877="","",INT(H2877)-B2877)</f>
        <v/>
      </c>
      <c r="K2877">
        <f>IF(B2877&gt;=Settings!$C$5,1,0)</f>
        <v/>
      </c>
    </row>
    <row r="2878">
      <c r="A2878" t="inlineStr">
        <is>
          <t>bf7526b5d27b25b06b99a95e1e690f05</t>
        </is>
      </c>
      <c r="B2878" s="29" t="n">
        <v>43162</v>
      </c>
      <c r="C2878" t="inlineStr">
        <is>
          <t>2018-03</t>
        </is>
      </c>
      <c r="D2878" t="inlineStr">
        <is>
          <t>88740e65d5d6b056e0cda098e1ea6313</t>
        </is>
      </c>
      <c r="E2878" t="inlineStr">
        <is>
          <t>social</t>
        </is>
      </c>
      <c r="F2878">
        <f>IFERROR(MATCH(A2878,Deals!$A$2:$A$843,0),"")</f>
        <v/>
      </c>
      <c r="G2878">
        <f>IF(F2878="",0,1)</f>
        <v/>
      </c>
      <c r="H2878" s="29">
        <f>IF(F2878="","",INDEX(Deals!$E$2:$E$843,F2878))</f>
        <v/>
      </c>
      <c r="I2878">
        <f>IF(F2878="","",INDEX(Deals!$D$2:$D$843,F2878))</f>
        <v/>
      </c>
      <c r="J2878">
        <f>IF(F2878="","",INT(H2878)-B2878)</f>
        <v/>
      </c>
      <c r="K2878">
        <f>IF(B2878&gt;=Settings!$C$5,1,0)</f>
        <v/>
      </c>
    </row>
    <row r="2879">
      <c r="A2879" t="inlineStr">
        <is>
          <t>c9db91a33f7c9b95eeb17aa5d3cdef5c</t>
        </is>
      </c>
      <c r="B2879" s="29" t="n">
        <v>42966</v>
      </c>
      <c r="C2879" t="inlineStr">
        <is>
          <t>2017-08</t>
        </is>
      </c>
      <c r="D2879" t="inlineStr">
        <is>
          <t>87732658ba41d8775e8577df347a64db</t>
        </is>
      </c>
      <c r="E2879" t="inlineStr">
        <is>
          <t>social</t>
        </is>
      </c>
      <c r="F2879">
        <f>IFERROR(MATCH(A2879,Deals!$A$2:$A$843,0),"")</f>
        <v/>
      </c>
      <c r="G2879">
        <f>IF(F2879="",0,1)</f>
        <v/>
      </c>
      <c r="H2879" s="29">
        <f>IF(F2879="","",INDEX(Deals!$E$2:$E$843,F2879))</f>
        <v/>
      </c>
      <c r="I2879">
        <f>IF(F2879="","",INDEX(Deals!$D$2:$D$843,F2879))</f>
        <v/>
      </c>
      <c r="J2879">
        <f>IF(F2879="","",INT(H2879)-B2879)</f>
        <v/>
      </c>
      <c r="K2879">
        <f>IF(B2879&gt;=Settings!$C$5,1,0)</f>
        <v/>
      </c>
    </row>
    <row r="2880">
      <c r="A2880" t="inlineStr">
        <is>
          <t>dfab173bb4e49a200b37e660e2677709</t>
        </is>
      </c>
      <c r="B2880" s="29" t="n">
        <v>43104</v>
      </c>
      <c r="C2880" t="inlineStr">
        <is>
          <t>2018-01</t>
        </is>
      </c>
      <c r="D2880" t="inlineStr">
        <is>
          <t>73f31a40697cc90a86c1273563ac230e</t>
        </is>
      </c>
      <c r="E2880" t="inlineStr">
        <is>
          <t>unknown</t>
        </is>
      </c>
      <c r="F2880">
        <f>IFERROR(MATCH(A2880,Deals!$A$2:$A$843,0),"")</f>
        <v/>
      </c>
      <c r="G2880">
        <f>IF(F2880="",0,1)</f>
        <v/>
      </c>
      <c r="H2880" s="29">
        <f>IF(F2880="","",INDEX(Deals!$E$2:$E$843,F2880))</f>
        <v/>
      </c>
      <c r="I2880">
        <f>IF(F2880="","",INDEX(Deals!$D$2:$D$843,F2880))</f>
        <v/>
      </c>
      <c r="J2880">
        <f>IF(F2880="","",INT(H2880)-B2880)</f>
        <v/>
      </c>
      <c r="K2880">
        <f>IF(B2880&gt;=Settings!$C$5,1,0)</f>
        <v/>
      </c>
    </row>
    <row r="2881">
      <c r="A2881" t="inlineStr">
        <is>
          <t>cb92c899ab0e2c0fcf4d4e11e9930f6a</t>
        </is>
      </c>
      <c r="B2881" s="29" t="n">
        <v>43203</v>
      </c>
      <c r="C2881" t="inlineStr">
        <is>
          <t>2018-04</t>
        </is>
      </c>
      <c r="D2881" t="inlineStr">
        <is>
          <t>35c9b150ab36fe584c1f24fd458c453a</t>
        </is>
      </c>
      <c r="E2881" t="inlineStr">
        <is>
          <t>paid_search</t>
        </is>
      </c>
      <c r="F2881">
        <f>IFERROR(MATCH(A2881,Deals!$A$2:$A$843,0),"")</f>
        <v/>
      </c>
      <c r="G2881">
        <f>IF(F2881="",0,1)</f>
        <v/>
      </c>
      <c r="H2881" s="29">
        <f>IF(F2881="","",INDEX(Deals!$E$2:$E$843,F2881))</f>
        <v/>
      </c>
      <c r="I2881">
        <f>IF(F2881="","",INDEX(Deals!$D$2:$D$843,F2881))</f>
        <v/>
      </c>
      <c r="J2881">
        <f>IF(F2881="","",INT(H2881)-B2881)</f>
        <v/>
      </c>
      <c r="K2881">
        <f>IF(B2881&gt;=Settings!$C$5,1,0)</f>
        <v/>
      </c>
    </row>
    <row r="2882">
      <c r="A2882" t="inlineStr">
        <is>
          <t>933aef03173f263ee5b7eb84a5dd19e1</t>
        </is>
      </c>
      <c r="B2882" s="29" t="n">
        <v>43166</v>
      </c>
      <c r="C2882" t="inlineStr">
        <is>
          <t>2018-03</t>
        </is>
      </c>
      <c r="D2882" t="inlineStr">
        <is>
          <t>241f79c7a8fe0270f4fb79fcbbcd17ad</t>
        </is>
      </c>
      <c r="E2882" t="inlineStr">
        <is>
          <t>paid_search</t>
        </is>
      </c>
      <c r="F2882">
        <f>IFERROR(MATCH(A2882,Deals!$A$2:$A$843,0),"")</f>
        <v/>
      </c>
      <c r="G2882">
        <f>IF(F2882="",0,1)</f>
        <v/>
      </c>
      <c r="H2882" s="29">
        <f>IF(F2882="","",INDEX(Deals!$E$2:$E$843,F2882))</f>
        <v/>
      </c>
      <c r="I2882">
        <f>IF(F2882="","",INDEX(Deals!$D$2:$D$843,F2882))</f>
        <v/>
      </c>
      <c r="J2882">
        <f>IF(F2882="","",INT(H2882)-B2882)</f>
        <v/>
      </c>
      <c r="K2882">
        <f>IF(B2882&gt;=Settings!$C$5,1,0)</f>
        <v/>
      </c>
    </row>
    <row r="2883">
      <c r="A2883" t="inlineStr">
        <is>
          <t>3d2a67b164177142ff0a63a068c4ed6d</t>
        </is>
      </c>
      <c r="B2883" s="29" t="n">
        <v>43250</v>
      </c>
      <c r="C2883" t="inlineStr">
        <is>
          <t>2018-05</t>
        </is>
      </c>
      <c r="D2883" t="inlineStr">
        <is>
          <t>22c29808c4f815213303f8933030604c</t>
        </is>
      </c>
      <c r="E2883" t="inlineStr">
        <is>
          <t>direct_traffic</t>
        </is>
      </c>
      <c r="F2883">
        <f>IFERROR(MATCH(A2883,Deals!$A$2:$A$843,0),"")</f>
        <v/>
      </c>
      <c r="G2883">
        <f>IF(F2883="",0,1)</f>
        <v/>
      </c>
      <c r="H2883" s="29">
        <f>IF(F2883="","",INDEX(Deals!$E$2:$E$843,F2883))</f>
        <v/>
      </c>
      <c r="I2883">
        <f>IF(F2883="","",INDEX(Deals!$D$2:$D$843,F2883))</f>
        <v/>
      </c>
      <c r="J2883">
        <f>IF(F2883="","",INT(H2883)-B2883)</f>
        <v/>
      </c>
      <c r="K2883">
        <f>IF(B2883&gt;=Settings!$C$5,1,0)</f>
        <v/>
      </c>
    </row>
    <row r="2884">
      <c r="A2884" t="inlineStr">
        <is>
          <t>fa520d9c2a0ed06a90e3ebc59df2a0d4</t>
        </is>
      </c>
      <c r="B2884" s="29" t="n">
        <v>43034</v>
      </c>
      <c r="C2884" t="inlineStr">
        <is>
          <t>2017-10</t>
        </is>
      </c>
      <c r="D2884" t="inlineStr">
        <is>
          <t>1722481ac9e5371e5099dea226b5421d</t>
        </is>
      </c>
      <c r="E2884" t="inlineStr">
        <is>
          <t>organic_search</t>
        </is>
      </c>
      <c r="F2884">
        <f>IFERROR(MATCH(A2884,Deals!$A$2:$A$843,0),"")</f>
        <v/>
      </c>
      <c r="G2884">
        <f>IF(F2884="",0,1)</f>
        <v/>
      </c>
      <c r="H2884" s="29">
        <f>IF(F2884="","",INDEX(Deals!$E$2:$E$843,F2884))</f>
        <v/>
      </c>
      <c r="I2884">
        <f>IF(F2884="","",INDEX(Deals!$D$2:$D$843,F2884))</f>
        <v/>
      </c>
      <c r="J2884">
        <f>IF(F2884="","",INT(H2884)-B2884)</f>
        <v/>
      </c>
      <c r="K2884">
        <f>IF(B2884&gt;=Settings!$C$5,1,0)</f>
        <v/>
      </c>
    </row>
    <row r="2885">
      <c r="A2885" t="inlineStr">
        <is>
          <t>8513d71f50e57e470cd1b333f514cc3d</t>
        </is>
      </c>
      <c r="B2885" s="29" t="n">
        <v>43215</v>
      </c>
      <c r="C2885" t="inlineStr">
        <is>
          <t>2018-04</t>
        </is>
      </c>
      <c r="D2885" t="inlineStr">
        <is>
          <t>3e2dbc66617ded5ca6a69bdb3a354d4a</t>
        </is>
      </c>
      <c r="E2885" t="inlineStr">
        <is>
          <t>social</t>
        </is>
      </c>
      <c r="F2885">
        <f>IFERROR(MATCH(A2885,Deals!$A$2:$A$843,0),"")</f>
        <v/>
      </c>
      <c r="G2885">
        <f>IF(F2885="",0,1)</f>
        <v/>
      </c>
      <c r="H2885" s="29">
        <f>IF(F2885="","",INDEX(Deals!$E$2:$E$843,F2885))</f>
        <v/>
      </c>
      <c r="I2885">
        <f>IF(F2885="","",INDEX(Deals!$D$2:$D$843,F2885))</f>
        <v/>
      </c>
      <c r="J2885">
        <f>IF(F2885="","",INT(H2885)-B2885)</f>
        <v/>
      </c>
      <c r="K2885">
        <f>IF(B2885&gt;=Settings!$C$5,1,0)</f>
        <v/>
      </c>
    </row>
    <row r="2886">
      <c r="A2886" t="inlineStr">
        <is>
          <t>6a8c083c3f7029f6c4d81d0c22a5f106</t>
        </is>
      </c>
      <c r="B2886" s="29" t="n">
        <v>43109</v>
      </c>
      <c r="C2886" t="inlineStr">
        <is>
          <t>2018-01</t>
        </is>
      </c>
      <c r="D2886" t="inlineStr">
        <is>
          <t>99b00c6e27db383d844d1763dbcbfe06</t>
        </is>
      </c>
      <c r="E2886" t="inlineStr">
        <is>
          <t>direct_traffic</t>
        </is>
      </c>
      <c r="F2886">
        <f>IFERROR(MATCH(A2886,Deals!$A$2:$A$843,0),"")</f>
        <v/>
      </c>
      <c r="G2886">
        <f>IF(F2886="",0,1)</f>
        <v/>
      </c>
      <c r="H2886" s="29">
        <f>IF(F2886="","",INDEX(Deals!$E$2:$E$843,F2886))</f>
        <v/>
      </c>
      <c r="I2886">
        <f>IF(F2886="","",INDEX(Deals!$D$2:$D$843,F2886))</f>
        <v/>
      </c>
      <c r="J2886">
        <f>IF(F2886="","",INT(H2886)-B2886)</f>
        <v/>
      </c>
      <c r="K2886">
        <f>IF(B2886&gt;=Settings!$C$5,1,0)</f>
        <v/>
      </c>
    </row>
    <row r="2887">
      <c r="A2887" t="inlineStr">
        <is>
          <t>ac5579a7c19935299cd01e0f0d6ac56a</t>
        </is>
      </c>
      <c r="B2887" s="29" t="n">
        <v>43107</v>
      </c>
      <c r="C2887" t="inlineStr">
        <is>
          <t>2018-01</t>
        </is>
      </c>
      <c r="D2887" t="inlineStr">
        <is>
          <t>40dec9f3d5259a3d2dbcdab2114fae47</t>
        </is>
      </c>
      <c r="E2887" t="inlineStr">
        <is>
          <t>paid_search</t>
        </is>
      </c>
      <c r="F2887">
        <f>IFERROR(MATCH(A2887,Deals!$A$2:$A$843,0),"")</f>
        <v/>
      </c>
      <c r="G2887">
        <f>IF(F2887="",0,1)</f>
        <v/>
      </c>
      <c r="H2887" s="29">
        <f>IF(F2887="","",INDEX(Deals!$E$2:$E$843,F2887))</f>
        <v/>
      </c>
      <c r="I2887">
        <f>IF(F2887="","",INDEX(Deals!$D$2:$D$843,F2887))</f>
        <v/>
      </c>
      <c r="J2887">
        <f>IF(F2887="","",INT(H2887)-B2887)</f>
        <v/>
      </c>
      <c r="K2887">
        <f>IF(B2887&gt;=Settings!$C$5,1,0)</f>
        <v/>
      </c>
    </row>
    <row r="2888">
      <c r="A2888" t="inlineStr">
        <is>
          <t>155722af3900b91a17eeb5a3c987defe</t>
        </is>
      </c>
      <c r="B2888" s="29" t="n">
        <v>43131</v>
      </c>
      <c r="C2888" t="inlineStr">
        <is>
          <t>2018-01</t>
        </is>
      </c>
      <c r="D2888" t="inlineStr">
        <is>
          <t>5da54625ee0a9560dc9b9b9f6ccb03d0</t>
        </is>
      </c>
      <c r="E2888" t="inlineStr">
        <is>
          <t>paid_search</t>
        </is>
      </c>
      <c r="F2888">
        <f>IFERROR(MATCH(A2888,Deals!$A$2:$A$843,0),"")</f>
        <v/>
      </c>
      <c r="G2888">
        <f>IF(F2888="",0,1)</f>
        <v/>
      </c>
      <c r="H2888" s="29">
        <f>IF(F2888="","",INDEX(Deals!$E$2:$E$843,F2888))</f>
        <v/>
      </c>
      <c r="I2888">
        <f>IF(F2888="","",INDEX(Deals!$D$2:$D$843,F2888))</f>
        <v/>
      </c>
      <c r="J2888">
        <f>IF(F2888="","",INT(H2888)-B2888)</f>
        <v/>
      </c>
      <c r="K2888">
        <f>IF(B2888&gt;=Settings!$C$5,1,0)</f>
        <v/>
      </c>
    </row>
    <row r="2889">
      <c r="A2889" t="inlineStr">
        <is>
          <t>6bdffb19c15963b8e630b6a1861b477f</t>
        </is>
      </c>
      <c r="B2889" s="29" t="n">
        <v>43193</v>
      </c>
      <c r="C2889" t="inlineStr">
        <is>
          <t>2018-04</t>
        </is>
      </c>
      <c r="D2889" t="inlineStr">
        <is>
          <t>b76ef37428e6799c421989521c0e5077</t>
        </is>
      </c>
      <c r="E2889" t="inlineStr">
        <is>
          <t>unknown</t>
        </is>
      </c>
      <c r="F2889">
        <f>IFERROR(MATCH(A2889,Deals!$A$2:$A$843,0),"")</f>
        <v/>
      </c>
      <c r="G2889">
        <f>IF(F2889="",0,1)</f>
        <v/>
      </c>
      <c r="H2889" s="29">
        <f>IF(F2889="","",INDEX(Deals!$E$2:$E$843,F2889))</f>
        <v/>
      </c>
      <c r="I2889">
        <f>IF(F2889="","",INDEX(Deals!$D$2:$D$843,F2889))</f>
        <v/>
      </c>
      <c r="J2889">
        <f>IF(F2889="","",INT(H2889)-B2889)</f>
        <v/>
      </c>
      <c r="K2889">
        <f>IF(B2889&gt;=Settings!$C$5,1,0)</f>
        <v/>
      </c>
    </row>
    <row r="2890">
      <c r="A2890" t="inlineStr">
        <is>
          <t>4e7c4a8df5bda13793353b73ef49a287</t>
        </is>
      </c>
      <c r="B2890" s="29" t="n">
        <v>43247</v>
      </c>
      <c r="C2890" t="inlineStr">
        <is>
          <t>2018-05</t>
        </is>
      </c>
      <c r="D2890" t="inlineStr">
        <is>
          <t>58326e62183c14b0c03085c33b9fdc44</t>
        </is>
      </c>
      <c r="E2890" t="inlineStr">
        <is>
          <t>social</t>
        </is>
      </c>
      <c r="F2890">
        <f>IFERROR(MATCH(A2890,Deals!$A$2:$A$843,0),"")</f>
        <v/>
      </c>
      <c r="G2890">
        <f>IF(F2890="",0,1)</f>
        <v/>
      </c>
      <c r="H2890" s="29">
        <f>IF(F2890="","",INDEX(Deals!$E$2:$E$843,F2890))</f>
        <v/>
      </c>
      <c r="I2890">
        <f>IF(F2890="","",INDEX(Deals!$D$2:$D$843,F2890))</f>
        <v/>
      </c>
      <c r="J2890">
        <f>IF(F2890="","",INT(H2890)-B2890)</f>
        <v/>
      </c>
      <c r="K2890">
        <f>IF(B2890&gt;=Settings!$C$5,1,0)</f>
        <v/>
      </c>
    </row>
    <row r="2891">
      <c r="A2891" t="inlineStr">
        <is>
          <t>768e0cc7e7645b8ef7f9e6846fb31a48</t>
        </is>
      </c>
      <c r="B2891" s="29" t="n">
        <v>43234</v>
      </c>
      <c r="C2891" t="inlineStr">
        <is>
          <t>2018-05</t>
        </is>
      </c>
      <c r="D2891" t="inlineStr">
        <is>
          <t>a3d84321c2ae810ea876baffd7ae050d</t>
        </is>
      </c>
      <c r="E2891" t="inlineStr">
        <is>
          <t>organic_search</t>
        </is>
      </c>
      <c r="F2891">
        <f>IFERROR(MATCH(A2891,Deals!$A$2:$A$843,0),"")</f>
        <v/>
      </c>
      <c r="G2891">
        <f>IF(F2891="",0,1)</f>
        <v/>
      </c>
      <c r="H2891" s="29">
        <f>IF(F2891="","",INDEX(Deals!$E$2:$E$843,F2891))</f>
        <v/>
      </c>
      <c r="I2891">
        <f>IF(F2891="","",INDEX(Deals!$D$2:$D$843,F2891))</f>
        <v/>
      </c>
      <c r="J2891">
        <f>IF(F2891="","",INT(H2891)-B2891)</f>
        <v/>
      </c>
      <c r="K2891">
        <f>IF(B2891&gt;=Settings!$C$5,1,0)</f>
        <v/>
      </c>
    </row>
    <row r="2892">
      <c r="A2892" t="inlineStr">
        <is>
          <t>18c7d3e908572f255a619c09e04b461a</t>
        </is>
      </c>
      <c r="B2892" s="29" t="n">
        <v>43185</v>
      </c>
      <c r="C2892" t="inlineStr">
        <is>
          <t>2018-03</t>
        </is>
      </c>
      <c r="D2892" t="inlineStr">
        <is>
          <t>c494978688ccf66ad9fad3d6a3338c22</t>
        </is>
      </c>
      <c r="E2892" t="inlineStr">
        <is>
          <t>paid_search</t>
        </is>
      </c>
      <c r="F2892">
        <f>IFERROR(MATCH(A2892,Deals!$A$2:$A$843,0),"")</f>
        <v/>
      </c>
      <c r="G2892">
        <f>IF(F2892="",0,1)</f>
        <v/>
      </c>
      <c r="H2892" s="29">
        <f>IF(F2892="","",INDEX(Deals!$E$2:$E$843,F2892))</f>
        <v/>
      </c>
      <c r="I2892">
        <f>IF(F2892="","",INDEX(Deals!$D$2:$D$843,F2892))</f>
        <v/>
      </c>
      <c r="J2892">
        <f>IF(F2892="","",INT(H2892)-B2892)</f>
        <v/>
      </c>
      <c r="K2892">
        <f>IF(B2892&gt;=Settings!$C$5,1,0)</f>
        <v/>
      </c>
    </row>
    <row r="2893">
      <c r="A2893" t="inlineStr">
        <is>
          <t>decf0953ee783d807db519f9cc4bb27f</t>
        </is>
      </c>
      <c r="B2893" s="29" t="n">
        <v>43060</v>
      </c>
      <c r="C2893" t="inlineStr">
        <is>
          <t>2017-11</t>
        </is>
      </c>
      <c r="D2893" t="inlineStr">
        <is>
          <t>88740e65d5d6b056e0cda098e1ea6313</t>
        </is>
      </c>
      <c r="E2893" t="inlineStr">
        <is>
          <t>social</t>
        </is>
      </c>
      <c r="F2893">
        <f>IFERROR(MATCH(A2893,Deals!$A$2:$A$843,0),"")</f>
        <v/>
      </c>
      <c r="G2893">
        <f>IF(F2893="",0,1)</f>
        <v/>
      </c>
      <c r="H2893" s="29">
        <f>IF(F2893="","",INDEX(Deals!$E$2:$E$843,F2893))</f>
        <v/>
      </c>
      <c r="I2893">
        <f>IF(F2893="","",INDEX(Deals!$D$2:$D$843,F2893))</f>
        <v/>
      </c>
      <c r="J2893">
        <f>IF(F2893="","",INT(H2893)-B2893)</f>
        <v/>
      </c>
      <c r="K2893">
        <f>IF(B2893&gt;=Settings!$C$5,1,0)</f>
        <v/>
      </c>
    </row>
    <row r="2894">
      <c r="A2894" t="inlineStr">
        <is>
          <t>f970d678e6dd06c055be0ba1113664ab</t>
        </is>
      </c>
      <c r="B2894" s="29" t="n">
        <v>42935</v>
      </c>
      <c r="C2894" t="inlineStr">
        <is>
          <t>2017-07</t>
        </is>
      </c>
      <c r="D2894" t="inlineStr">
        <is>
          <t>5ce25abc7206b8285aa756867eb2c590</t>
        </is>
      </c>
      <c r="E2894" t="inlineStr">
        <is>
          <t>organic_search</t>
        </is>
      </c>
      <c r="F2894">
        <f>IFERROR(MATCH(A2894,Deals!$A$2:$A$843,0),"")</f>
        <v/>
      </c>
      <c r="G2894">
        <f>IF(F2894="",0,1)</f>
        <v/>
      </c>
      <c r="H2894" s="29">
        <f>IF(F2894="","",INDEX(Deals!$E$2:$E$843,F2894))</f>
        <v/>
      </c>
      <c r="I2894">
        <f>IF(F2894="","",INDEX(Deals!$D$2:$D$843,F2894))</f>
        <v/>
      </c>
      <c r="J2894">
        <f>IF(F2894="","",INT(H2894)-B2894)</f>
        <v/>
      </c>
      <c r="K2894">
        <f>IF(B2894&gt;=Settings!$C$5,1,0)</f>
        <v/>
      </c>
    </row>
    <row r="2895">
      <c r="A2895" t="inlineStr">
        <is>
          <t>cbdc5c18ea592c0c0e15c5a003b21cea</t>
        </is>
      </c>
      <c r="B2895" s="29" t="n">
        <v>43179</v>
      </c>
      <c r="C2895" t="inlineStr">
        <is>
          <t>2018-03</t>
        </is>
      </c>
      <c r="D2895" t="inlineStr">
        <is>
          <t>b76ef37428e6799c421989521c0e5077</t>
        </is>
      </c>
      <c r="E2895" t="inlineStr">
        <is>
          <t>unknown</t>
        </is>
      </c>
      <c r="F2895">
        <f>IFERROR(MATCH(A2895,Deals!$A$2:$A$843,0),"")</f>
        <v/>
      </c>
      <c r="G2895">
        <f>IF(F2895="",0,1)</f>
        <v/>
      </c>
      <c r="H2895" s="29">
        <f>IF(F2895="","",INDEX(Deals!$E$2:$E$843,F2895))</f>
        <v/>
      </c>
      <c r="I2895">
        <f>IF(F2895="","",INDEX(Deals!$D$2:$D$843,F2895))</f>
        <v/>
      </c>
      <c r="J2895">
        <f>IF(F2895="","",INT(H2895)-B2895)</f>
        <v/>
      </c>
      <c r="K2895">
        <f>IF(B2895&gt;=Settings!$C$5,1,0)</f>
        <v/>
      </c>
    </row>
    <row r="2896">
      <c r="A2896" t="inlineStr">
        <is>
          <t>a3af76f69a3c9c55f12cf5fc418a0593</t>
        </is>
      </c>
      <c r="B2896" s="29" t="n">
        <v>43088</v>
      </c>
      <c r="C2896" t="inlineStr">
        <is>
          <t>2017-12</t>
        </is>
      </c>
      <c r="D2896" t="inlineStr">
        <is>
          <t>22c29808c4f815213303f8933030604c</t>
        </is>
      </c>
      <c r="E2896" t="inlineStr">
        <is>
          <t>organic_search</t>
        </is>
      </c>
      <c r="F2896">
        <f>IFERROR(MATCH(A2896,Deals!$A$2:$A$843,0),"")</f>
        <v/>
      </c>
      <c r="G2896">
        <f>IF(F2896="",0,1)</f>
        <v/>
      </c>
      <c r="H2896" s="29">
        <f>IF(F2896="","",INDEX(Deals!$E$2:$E$843,F2896))</f>
        <v/>
      </c>
      <c r="I2896">
        <f>IF(F2896="","",INDEX(Deals!$D$2:$D$843,F2896))</f>
        <v/>
      </c>
      <c r="J2896">
        <f>IF(F2896="","",INT(H2896)-B2896)</f>
        <v/>
      </c>
      <c r="K2896">
        <f>IF(B2896&gt;=Settings!$C$5,1,0)</f>
        <v/>
      </c>
    </row>
    <row r="2897">
      <c r="A2897" t="inlineStr">
        <is>
          <t>834e43588167648b6f83961cf22f940e</t>
        </is>
      </c>
      <c r="B2897" s="29" t="n">
        <v>43159</v>
      </c>
      <c r="C2897" t="inlineStr">
        <is>
          <t>2018-02</t>
        </is>
      </c>
      <c r="D2897" t="inlineStr">
        <is>
          <t>b76ef37428e6799c421989521c0e5077</t>
        </is>
      </c>
      <c r="E2897" t="inlineStr">
        <is>
          <t>unknown</t>
        </is>
      </c>
      <c r="F2897">
        <f>IFERROR(MATCH(A2897,Deals!$A$2:$A$843,0),"")</f>
        <v/>
      </c>
      <c r="G2897">
        <f>IF(F2897="",0,1)</f>
        <v/>
      </c>
      <c r="H2897" s="29">
        <f>IF(F2897="","",INDEX(Deals!$E$2:$E$843,F2897))</f>
        <v/>
      </c>
      <c r="I2897">
        <f>IF(F2897="","",INDEX(Deals!$D$2:$D$843,F2897))</f>
        <v/>
      </c>
      <c r="J2897">
        <f>IF(F2897="","",INT(H2897)-B2897)</f>
        <v/>
      </c>
      <c r="K2897">
        <f>IF(B2897&gt;=Settings!$C$5,1,0)</f>
        <v/>
      </c>
    </row>
    <row r="2898">
      <c r="A2898" t="inlineStr">
        <is>
          <t>a4b3ca4ada2759e31078d66feb588e94</t>
        </is>
      </c>
      <c r="B2898" s="29" t="n">
        <v>43180</v>
      </c>
      <c r="C2898" t="inlineStr">
        <is>
          <t>2018-03</t>
        </is>
      </c>
      <c r="D2898" t="inlineStr">
        <is>
          <t>ce1a65abd0973638f1c887a6efcfa82d</t>
        </is>
      </c>
      <c r="E2898" t="inlineStr">
        <is>
          <t>referral</t>
        </is>
      </c>
      <c r="F2898">
        <f>IFERROR(MATCH(A2898,Deals!$A$2:$A$843,0),"")</f>
        <v/>
      </c>
      <c r="G2898">
        <f>IF(F2898="",0,1)</f>
        <v/>
      </c>
      <c r="H2898" s="29">
        <f>IF(F2898="","",INDEX(Deals!$E$2:$E$843,F2898))</f>
        <v/>
      </c>
      <c r="I2898">
        <f>IF(F2898="","",INDEX(Deals!$D$2:$D$843,F2898))</f>
        <v/>
      </c>
      <c r="J2898">
        <f>IF(F2898="","",INT(H2898)-B2898)</f>
        <v/>
      </c>
      <c r="K2898">
        <f>IF(B2898&gt;=Settings!$C$5,1,0)</f>
        <v/>
      </c>
    </row>
    <row r="2899">
      <c r="A2899" t="inlineStr">
        <is>
          <t>227aef76fd3e65664c541ae9c04cca44</t>
        </is>
      </c>
      <c r="B2899" s="29" t="n">
        <v>43171</v>
      </c>
      <c r="C2899" t="inlineStr">
        <is>
          <t>2018-03</t>
        </is>
      </c>
      <c r="D2899" t="inlineStr">
        <is>
          <t>fe82aeadeaea2186478fe6353d6d5301</t>
        </is>
      </c>
      <c r="E2899" t="inlineStr">
        <is>
          <t>paid_search</t>
        </is>
      </c>
      <c r="F2899">
        <f>IFERROR(MATCH(A2899,Deals!$A$2:$A$843,0),"")</f>
        <v/>
      </c>
      <c r="G2899">
        <f>IF(F2899="",0,1)</f>
        <v/>
      </c>
      <c r="H2899" s="29">
        <f>IF(F2899="","",INDEX(Deals!$E$2:$E$843,F2899))</f>
        <v/>
      </c>
      <c r="I2899">
        <f>IF(F2899="","",INDEX(Deals!$D$2:$D$843,F2899))</f>
        <v/>
      </c>
      <c r="J2899">
        <f>IF(F2899="","",INT(H2899)-B2899)</f>
        <v/>
      </c>
      <c r="K2899">
        <f>IF(B2899&gt;=Settings!$C$5,1,0)</f>
        <v/>
      </c>
    </row>
    <row r="2900">
      <c r="A2900" t="inlineStr">
        <is>
          <t>baf29ae762c297c344e58ef23c982a9f</t>
        </is>
      </c>
      <c r="B2900" s="29" t="n">
        <v>43111</v>
      </c>
      <c r="C2900" t="inlineStr">
        <is>
          <t>2018-01</t>
        </is>
      </c>
      <c r="D2900" t="inlineStr">
        <is>
          <t>b6cd08ac77c501fd6857f7916d2c24f3</t>
        </is>
      </c>
      <c r="E2900" t="inlineStr">
        <is>
          <t>organic_search</t>
        </is>
      </c>
      <c r="F2900">
        <f>IFERROR(MATCH(A2900,Deals!$A$2:$A$843,0),"")</f>
        <v/>
      </c>
      <c r="G2900">
        <f>IF(F2900="",0,1)</f>
        <v/>
      </c>
      <c r="H2900" s="29">
        <f>IF(F2900="","",INDEX(Deals!$E$2:$E$843,F2900))</f>
        <v/>
      </c>
      <c r="I2900">
        <f>IF(F2900="","",INDEX(Deals!$D$2:$D$843,F2900))</f>
        <v/>
      </c>
      <c r="J2900">
        <f>IF(F2900="","",INT(H2900)-B2900)</f>
        <v/>
      </c>
      <c r="K2900">
        <f>IF(B2900&gt;=Settings!$C$5,1,0)</f>
        <v/>
      </c>
    </row>
    <row r="2901">
      <c r="A2901" t="inlineStr">
        <is>
          <t>97b7e121d7fbde23d1f19991e52793a3</t>
        </is>
      </c>
      <c r="B2901" s="29" t="n">
        <v>43165</v>
      </c>
      <c r="C2901" t="inlineStr">
        <is>
          <t>2018-03</t>
        </is>
      </c>
      <c r="D2901" t="inlineStr">
        <is>
          <t>b6885f18d203a61176418c1fb3764815</t>
        </is>
      </c>
      <c r="E2901" t="inlineStr">
        <is>
          <t>paid_search</t>
        </is>
      </c>
      <c r="F2901">
        <f>IFERROR(MATCH(A2901,Deals!$A$2:$A$843,0),"")</f>
        <v/>
      </c>
      <c r="G2901">
        <f>IF(F2901="",0,1)</f>
        <v/>
      </c>
      <c r="H2901" s="29">
        <f>IF(F2901="","",INDEX(Deals!$E$2:$E$843,F2901))</f>
        <v/>
      </c>
      <c r="I2901">
        <f>IF(F2901="","",INDEX(Deals!$D$2:$D$843,F2901))</f>
        <v/>
      </c>
      <c r="J2901">
        <f>IF(F2901="","",INT(H2901)-B2901)</f>
        <v/>
      </c>
      <c r="K2901">
        <f>IF(B2901&gt;=Settings!$C$5,1,0)</f>
        <v/>
      </c>
    </row>
    <row r="2902">
      <c r="A2902" t="inlineStr">
        <is>
          <t>2bc7db4afbb8a8df863bc439257b2915</t>
        </is>
      </c>
      <c r="B2902" s="29" t="n">
        <v>43189</v>
      </c>
      <c r="C2902" t="inlineStr">
        <is>
          <t>2018-03</t>
        </is>
      </c>
      <c r="D2902" t="inlineStr">
        <is>
          <t>54d5e01ab35155d4bd8cf723fc6f04a0</t>
        </is>
      </c>
      <c r="E2902" t="inlineStr">
        <is>
          <t>email</t>
        </is>
      </c>
      <c r="F2902">
        <f>IFERROR(MATCH(A2902,Deals!$A$2:$A$843,0),"")</f>
        <v/>
      </c>
      <c r="G2902">
        <f>IF(F2902="",0,1)</f>
        <v/>
      </c>
      <c r="H2902" s="29">
        <f>IF(F2902="","",INDEX(Deals!$E$2:$E$843,F2902))</f>
        <v/>
      </c>
      <c r="I2902">
        <f>IF(F2902="","",INDEX(Deals!$D$2:$D$843,F2902))</f>
        <v/>
      </c>
      <c r="J2902">
        <f>IF(F2902="","",INT(H2902)-B2902)</f>
        <v/>
      </c>
      <c r="K2902">
        <f>IF(B2902&gt;=Settings!$C$5,1,0)</f>
        <v/>
      </c>
    </row>
    <row r="2903">
      <c r="A2903" t="inlineStr">
        <is>
          <t>b5bde7db296c1837f75b77a2e4e6013b</t>
        </is>
      </c>
      <c r="B2903" s="29" t="n">
        <v>43004</v>
      </c>
      <c r="C2903" t="inlineStr">
        <is>
          <t>2017-09</t>
        </is>
      </c>
      <c r="D2903" t="inlineStr">
        <is>
          <t>87732658ba41d8775e8577df347a64db</t>
        </is>
      </c>
      <c r="E2903" t="inlineStr">
        <is>
          <t>social</t>
        </is>
      </c>
      <c r="F2903">
        <f>IFERROR(MATCH(A2903,Deals!$A$2:$A$843,0),"")</f>
        <v/>
      </c>
      <c r="G2903">
        <f>IF(F2903="",0,1)</f>
        <v/>
      </c>
      <c r="H2903" s="29">
        <f>IF(F2903="","",INDEX(Deals!$E$2:$E$843,F2903))</f>
        <v/>
      </c>
      <c r="I2903">
        <f>IF(F2903="","",INDEX(Deals!$D$2:$D$843,F2903))</f>
        <v/>
      </c>
      <c r="J2903">
        <f>IF(F2903="","",INT(H2903)-B2903)</f>
        <v/>
      </c>
      <c r="K2903">
        <f>IF(B2903&gt;=Settings!$C$5,1,0)</f>
        <v/>
      </c>
    </row>
    <row r="2904">
      <c r="A2904" t="inlineStr">
        <is>
          <t>39fd0bb6df13c8e89bbf7db0372df7ea</t>
        </is>
      </c>
      <c r="B2904" s="29" t="n">
        <v>43244</v>
      </c>
      <c r="C2904" t="inlineStr">
        <is>
          <t>2018-05</t>
        </is>
      </c>
      <c r="D2904" t="inlineStr">
        <is>
          <t>ce1a65abd0973638f1c887a6efcfa82d</t>
        </is>
      </c>
      <c r="E2904" t="inlineStr">
        <is>
          <t>organic_search</t>
        </is>
      </c>
      <c r="F2904">
        <f>IFERROR(MATCH(A2904,Deals!$A$2:$A$843,0),"")</f>
        <v/>
      </c>
      <c r="G2904">
        <f>IF(F2904="",0,1)</f>
        <v/>
      </c>
      <c r="H2904" s="29">
        <f>IF(F2904="","",INDEX(Deals!$E$2:$E$843,F2904))</f>
        <v/>
      </c>
      <c r="I2904">
        <f>IF(F2904="","",INDEX(Deals!$D$2:$D$843,F2904))</f>
        <v/>
      </c>
      <c r="J2904">
        <f>IF(F2904="","",INT(H2904)-B2904)</f>
        <v/>
      </c>
      <c r="K2904">
        <f>IF(B2904&gt;=Settings!$C$5,1,0)</f>
        <v/>
      </c>
    </row>
    <row r="2905">
      <c r="A2905" t="inlineStr">
        <is>
          <t>b5c4df4f16237128934c0b239a2e49b3</t>
        </is>
      </c>
      <c r="B2905" s="29" t="n">
        <v>43138</v>
      </c>
      <c r="C2905" t="inlineStr">
        <is>
          <t>2018-02</t>
        </is>
      </c>
      <c r="D2905" t="inlineStr">
        <is>
          <t>73f31a40697cc90a86c1273563ac230e</t>
        </is>
      </c>
      <c r="E2905" t="inlineStr">
        <is>
          <t>other</t>
        </is>
      </c>
      <c r="F2905">
        <f>IFERROR(MATCH(A2905,Deals!$A$2:$A$843,0),"")</f>
        <v/>
      </c>
      <c r="G2905">
        <f>IF(F2905="",0,1)</f>
        <v/>
      </c>
      <c r="H2905" s="29">
        <f>IF(F2905="","",INDEX(Deals!$E$2:$E$843,F2905))</f>
        <v/>
      </c>
      <c r="I2905">
        <f>IF(F2905="","",INDEX(Deals!$D$2:$D$843,F2905))</f>
        <v/>
      </c>
      <c r="J2905">
        <f>IF(F2905="","",INT(H2905)-B2905)</f>
        <v/>
      </c>
      <c r="K2905">
        <f>IF(B2905&gt;=Settings!$C$5,1,0)</f>
        <v/>
      </c>
    </row>
    <row r="2906">
      <c r="A2906" t="inlineStr">
        <is>
          <t>baf0353461042119372ff1b4ec01cff6</t>
        </is>
      </c>
      <c r="B2906" s="29" t="n">
        <v>43220</v>
      </c>
      <c r="C2906" t="inlineStr">
        <is>
          <t>2018-04</t>
        </is>
      </c>
      <c r="D2906" t="inlineStr">
        <is>
          <t>a7982125ff7aa3b2054c6e44f9d28522</t>
        </is>
      </c>
      <c r="E2906" t="inlineStr">
        <is>
          <t>paid_search</t>
        </is>
      </c>
      <c r="F2906">
        <f>IFERROR(MATCH(A2906,Deals!$A$2:$A$843,0),"")</f>
        <v/>
      </c>
      <c r="G2906">
        <f>IF(F2906="",0,1)</f>
        <v/>
      </c>
      <c r="H2906" s="29">
        <f>IF(F2906="","",INDEX(Deals!$E$2:$E$843,F2906))</f>
        <v/>
      </c>
      <c r="I2906">
        <f>IF(F2906="","",INDEX(Deals!$D$2:$D$843,F2906))</f>
        <v/>
      </c>
      <c r="J2906">
        <f>IF(F2906="","",INT(H2906)-B2906)</f>
        <v/>
      </c>
      <c r="K2906">
        <f>IF(B2906&gt;=Settings!$C$5,1,0)</f>
        <v/>
      </c>
    </row>
    <row r="2907">
      <c r="A2907" t="inlineStr">
        <is>
          <t>3a03f9afd886282d8d1de4e0af465056</t>
        </is>
      </c>
      <c r="B2907" s="29" t="n">
        <v>42935</v>
      </c>
      <c r="C2907" t="inlineStr">
        <is>
          <t>2017-07</t>
        </is>
      </c>
      <c r="D2907" t="inlineStr">
        <is>
          <t>7fa6214d82e911d070f51ef79381b956</t>
        </is>
      </c>
      <c r="E2907" t="inlineStr">
        <is>
          <t>organic_search</t>
        </is>
      </c>
      <c r="F2907">
        <f>IFERROR(MATCH(A2907,Deals!$A$2:$A$843,0),"")</f>
        <v/>
      </c>
      <c r="G2907">
        <f>IF(F2907="",0,1)</f>
        <v/>
      </c>
      <c r="H2907" s="29">
        <f>IF(F2907="","",INDEX(Deals!$E$2:$E$843,F2907))</f>
        <v/>
      </c>
      <c r="I2907">
        <f>IF(F2907="","",INDEX(Deals!$D$2:$D$843,F2907))</f>
        <v/>
      </c>
      <c r="J2907">
        <f>IF(F2907="","",INT(H2907)-B2907)</f>
        <v/>
      </c>
      <c r="K2907">
        <f>IF(B2907&gt;=Settings!$C$5,1,0)</f>
        <v/>
      </c>
    </row>
    <row r="2908">
      <c r="A2908" t="inlineStr">
        <is>
          <t>04c7ec3579a0033ab281960fbd7b84c3</t>
        </is>
      </c>
      <c r="B2908" s="29" t="n">
        <v>43180</v>
      </c>
      <c r="C2908" t="inlineStr">
        <is>
          <t>2018-03</t>
        </is>
      </c>
      <c r="D2908" t="inlineStr">
        <is>
          <t>36120633c8737035fbabf079082f4ec1</t>
        </is>
      </c>
      <c r="E2908" t="inlineStr">
        <is>
          <t>social</t>
        </is>
      </c>
      <c r="F2908">
        <f>IFERROR(MATCH(A2908,Deals!$A$2:$A$843,0),"")</f>
        <v/>
      </c>
      <c r="G2908">
        <f>IF(F2908="",0,1)</f>
        <v/>
      </c>
      <c r="H2908" s="29">
        <f>IF(F2908="","",INDEX(Deals!$E$2:$E$843,F2908))</f>
        <v/>
      </c>
      <c r="I2908">
        <f>IF(F2908="","",INDEX(Deals!$D$2:$D$843,F2908))</f>
        <v/>
      </c>
      <c r="J2908">
        <f>IF(F2908="","",INT(H2908)-B2908)</f>
        <v/>
      </c>
      <c r="K2908">
        <f>IF(B2908&gt;=Settings!$C$5,1,0)</f>
        <v/>
      </c>
    </row>
    <row r="2909">
      <c r="A2909" t="inlineStr">
        <is>
          <t>75f5a325280e4f8d8402d0300e9da4f7</t>
        </is>
      </c>
      <c r="B2909" s="29" t="n">
        <v>43056</v>
      </c>
      <c r="C2909" t="inlineStr">
        <is>
          <t>2017-11</t>
        </is>
      </c>
      <c r="D2909" t="inlineStr">
        <is>
          <t>6be62e2d792dfec1333ce271c9a1d906</t>
        </is>
      </c>
      <c r="E2909" t="inlineStr">
        <is>
          <t>unknown</t>
        </is>
      </c>
      <c r="F2909">
        <f>IFERROR(MATCH(A2909,Deals!$A$2:$A$843,0),"")</f>
        <v/>
      </c>
      <c r="G2909">
        <f>IF(F2909="",0,1)</f>
        <v/>
      </c>
      <c r="H2909" s="29">
        <f>IF(F2909="","",INDEX(Deals!$E$2:$E$843,F2909))</f>
        <v/>
      </c>
      <c r="I2909">
        <f>IF(F2909="","",INDEX(Deals!$D$2:$D$843,F2909))</f>
        <v/>
      </c>
      <c r="J2909">
        <f>IF(F2909="","",INT(H2909)-B2909)</f>
        <v/>
      </c>
      <c r="K2909">
        <f>IF(B2909&gt;=Settings!$C$5,1,0)</f>
        <v/>
      </c>
    </row>
    <row r="2910">
      <c r="A2910" t="inlineStr">
        <is>
          <t>8494f6ad42261c6a8acc39ddafbbe080</t>
        </is>
      </c>
      <c r="B2910" s="29" t="n">
        <v>43189</v>
      </c>
      <c r="C2910" t="inlineStr">
        <is>
          <t>2018-03</t>
        </is>
      </c>
      <c r="D2910" t="inlineStr">
        <is>
          <t>c12c73f22a34ac35f2c45f74b55402b0</t>
        </is>
      </c>
      <c r="E2910" t="inlineStr">
        <is>
          <t>paid_search</t>
        </is>
      </c>
      <c r="F2910">
        <f>IFERROR(MATCH(A2910,Deals!$A$2:$A$843,0),"")</f>
        <v/>
      </c>
      <c r="G2910">
        <f>IF(F2910="",0,1)</f>
        <v/>
      </c>
      <c r="H2910" s="29">
        <f>IF(F2910="","",INDEX(Deals!$E$2:$E$843,F2910))</f>
        <v/>
      </c>
      <c r="I2910">
        <f>IF(F2910="","",INDEX(Deals!$D$2:$D$843,F2910))</f>
        <v/>
      </c>
      <c r="J2910">
        <f>IF(F2910="","",INT(H2910)-B2910)</f>
        <v/>
      </c>
      <c r="K2910">
        <f>IF(B2910&gt;=Settings!$C$5,1,0)</f>
        <v/>
      </c>
    </row>
    <row r="2911">
      <c r="A2911" t="inlineStr">
        <is>
          <t>e3f20d78aa268dbc5a1ba6a2860eaec7</t>
        </is>
      </c>
      <c r="B2911" s="29" t="n">
        <v>43241</v>
      </c>
      <c r="C2911" t="inlineStr">
        <is>
          <t>2018-05</t>
        </is>
      </c>
      <c r="D2911" t="inlineStr">
        <is>
          <t>65c9e96d17d8d12bc0ad3b2cde0bb8b7</t>
        </is>
      </c>
      <c r="E2911" t="inlineStr">
        <is>
          <t>organic_search</t>
        </is>
      </c>
      <c r="F2911">
        <f>IFERROR(MATCH(A2911,Deals!$A$2:$A$843,0),"")</f>
        <v/>
      </c>
      <c r="G2911">
        <f>IF(F2911="",0,1)</f>
        <v/>
      </c>
      <c r="H2911" s="29">
        <f>IF(F2911="","",INDEX(Deals!$E$2:$E$843,F2911))</f>
        <v/>
      </c>
      <c r="I2911">
        <f>IF(F2911="","",INDEX(Deals!$D$2:$D$843,F2911))</f>
        <v/>
      </c>
      <c r="J2911">
        <f>IF(F2911="","",INT(H2911)-B2911)</f>
        <v/>
      </c>
      <c r="K2911">
        <f>IF(B2911&gt;=Settings!$C$5,1,0)</f>
        <v/>
      </c>
    </row>
    <row r="2912">
      <c r="A2912" t="inlineStr">
        <is>
          <t>688026f6edb29cc7c96b287b186b03c9</t>
        </is>
      </c>
      <c r="B2912" s="29" t="n">
        <v>43145</v>
      </c>
      <c r="C2912" t="inlineStr">
        <is>
          <t>2018-02</t>
        </is>
      </c>
      <c r="D2912" t="inlineStr">
        <is>
          <t>241f79c7a8fe0270f4fb79fcbbcd17ad</t>
        </is>
      </c>
      <c r="E2912" t="inlineStr">
        <is>
          <t>paid_search</t>
        </is>
      </c>
      <c r="F2912">
        <f>IFERROR(MATCH(A2912,Deals!$A$2:$A$843,0),"")</f>
        <v/>
      </c>
      <c r="G2912">
        <f>IF(F2912="",0,1)</f>
        <v/>
      </c>
      <c r="H2912" s="29">
        <f>IF(F2912="","",INDEX(Deals!$E$2:$E$843,F2912))</f>
        <v/>
      </c>
      <c r="I2912">
        <f>IF(F2912="","",INDEX(Deals!$D$2:$D$843,F2912))</f>
        <v/>
      </c>
      <c r="J2912">
        <f>IF(F2912="","",INT(H2912)-B2912)</f>
        <v/>
      </c>
      <c r="K2912">
        <f>IF(B2912&gt;=Settings!$C$5,1,0)</f>
        <v/>
      </c>
    </row>
    <row r="2913">
      <c r="A2913" t="inlineStr">
        <is>
          <t>1afc2196baf7c236bdf6a200de6af8b2</t>
        </is>
      </c>
      <c r="B2913" s="29" t="n">
        <v>43109</v>
      </c>
      <c r="C2913" t="inlineStr">
        <is>
          <t>2018-01</t>
        </is>
      </c>
      <c r="D2913" t="inlineStr">
        <is>
          <t>b6885f18d203a61176418c1fb3764815</t>
        </is>
      </c>
      <c r="E2913" t="inlineStr">
        <is>
          <t>organic_search</t>
        </is>
      </c>
      <c r="F2913">
        <f>IFERROR(MATCH(A2913,Deals!$A$2:$A$843,0),"")</f>
        <v/>
      </c>
      <c r="G2913">
        <f>IF(F2913="",0,1)</f>
        <v/>
      </c>
      <c r="H2913" s="29">
        <f>IF(F2913="","",INDEX(Deals!$E$2:$E$843,F2913))</f>
        <v/>
      </c>
      <c r="I2913">
        <f>IF(F2913="","",INDEX(Deals!$D$2:$D$843,F2913))</f>
        <v/>
      </c>
      <c r="J2913">
        <f>IF(F2913="","",INT(H2913)-B2913)</f>
        <v/>
      </c>
      <c r="K2913">
        <f>IF(B2913&gt;=Settings!$C$5,1,0)</f>
        <v/>
      </c>
    </row>
    <row r="2914">
      <c r="A2914" t="inlineStr">
        <is>
          <t>7b672a4ef6b0fe8b994efa382c5a53c3</t>
        </is>
      </c>
      <c r="B2914" s="29" t="n">
        <v>43245</v>
      </c>
      <c r="C2914" t="inlineStr">
        <is>
          <t>2018-05</t>
        </is>
      </c>
      <c r="D2914" t="inlineStr">
        <is>
          <t>e492ee5eaf1697716985cc6f33f9cd9b</t>
        </is>
      </c>
      <c r="E2914" t="inlineStr">
        <is>
          <t>direct_traffic</t>
        </is>
      </c>
      <c r="F2914">
        <f>IFERROR(MATCH(A2914,Deals!$A$2:$A$843,0),"")</f>
        <v/>
      </c>
      <c r="G2914">
        <f>IF(F2914="",0,1)</f>
        <v/>
      </c>
      <c r="H2914" s="29">
        <f>IF(F2914="","",INDEX(Deals!$E$2:$E$843,F2914))</f>
        <v/>
      </c>
      <c r="I2914">
        <f>IF(F2914="","",INDEX(Deals!$D$2:$D$843,F2914))</f>
        <v/>
      </c>
      <c r="J2914">
        <f>IF(F2914="","",INT(H2914)-B2914)</f>
        <v/>
      </c>
      <c r="K2914">
        <f>IF(B2914&gt;=Settings!$C$5,1,0)</f>
        <v/>
      </c>
    </row>
    <row r="2915">
      <c r="A2915" t="inlineStr">
        <is>
          <t>2c9d9225385f6be2f576647e9e49e631</t>
        </is>
      </c>
      <c r="B2915" s="29" t="n">
        <v>43201</v>
      </c>
      <c r="C2915" t="inlineStr">
        <is>
          <t>2018-04</t>
        </is>
      </c>
      <c r="D2915" t="inlineStr">
        <is>
          <t>73f31a40697cc90a86c1273563ac230e</t>
        </is>
      </c>
      <c r="E2915" t="inlineStr">
        <is>
          <t>other</t>
        </is>
      </c>
      <c r="F2915">
        <f>IFERROR(MATCH(A2915,Deals!$A$2:$A$843,0),"")</f>
        <v/>
      </c>
      <c r="G2915">
        <f>IF(F2915="",0,1)</f>
        <v/>
      </c>
      <c r="H2915" s="29">
        <f>IF(F2915="","",INDEX(Deals!$E$2:$E$843,F2915))</f>
        <v/>
      </c>
      <c r="I2915">
        <f>IF(F2915="","",INDEX(Deals!$D$2:$D$843,F2915))</f>
        <v/>
      </c>
      <c r="J2915">
        <f>IF(F2915="","",INT(H2915)-B2915)</f>
        <v/>
      </c>
      <c r="K2915">
        <f>IF(B2915&gt;=Settings!$C$5,1,0)</f>
        <v/>
      </c>
    </row>
    <row r="2916">
      <c r="A2916" t="inlineStr">
        <is>
          <t>1fcf4e6a7771f35daf0b98c69fb10528</t>
        </is>
      </c>
      <c r="B2916" s="29" t="n">
        <v>43130</v>
      </c>
      <c r="C2916" t="inlineStr">
        <is>
          <t>2018-01</t>
        </is>
      </c>
      <c r="D2916" t="inlineStr">
        <is>
          <t>90b8b59c5597af1c719d701bddb575f2</t>
        </is>
      </c>
      <c r="E2916" t="inlineStr">
        <is>
          <t>social</t>
        </is>
      </c>
      <c r="F2916">
        <f>IFERROR(MATCH(A2916,Deals!$A$2:$A$843,0),"")</f>
        <v/>
      </c>
      <c r="G2916">
        <f>IF(F2916="",0,1)</f>
        <v/>
      </c>
      <c r="H2916" s="29">
        <f>IF(F2916="","",INDEX(Deals!$E$2:$E$843,F2916))</f>
        <v/>
      </c>
      <c r="I2916">
        <f>IF(F2916="","",INDEX(Deals!$D$2:$D$843,F2916))</f>
        <v/>
      </c>
      <c r="J2916">
        <f>IF(F2916="","",INT(H2916)-B2916)</f>
        <v/>
      </c>
      <c r="K2916">
        <f>IF(B2916&gt;=Settings!$C$5,1,0)</f>
        <v/>
      </c>
    </row>
    <row r="2917">
      <c r="A2917" t="inlineStr">
        <is>
          <t>439c56de17208ac25a2abee9beca46f7</t>
        </is>
      </c>
      <c r="B2917" s="29" t="n">
        <v>43041</v>
      </c>
      <c r="C2917" t="inlineStr">
        <is>
          <t>2017-11</t>
        </is>
      </c>
      <c r="D2917" t="inlineStr">
        <is>
          <t>241f79c7a8fe0270f4fb79fcbbcd17ad</t>
        </is>
      </c>
      <c r="E2917" t="inlineStr">
        <is>
          <t>paid_search</t>
        </is>
      </c>
      <c r="F2917">
        <f>IFERROR(MATCH(A2917,Deals!$A$2:$A$843,0),"")</f>
        <v/>
      </c>
      <c r="G2917">
        <f>IF(F2917="",0,1)</f>
        <v/>
      </c>
      <c r="H2917" s="29">
        <f>IF(F2917="","",INDEX(Deals!$E$2:$E$843,F2917))</f>
        <v/>
      </c>
      <c r="I2917">
        <f>IF(F2917="","",INDEX(Deals!$D$2:$D$843,F2917))</f>
        <v/>
      </c>
      <c r="J2917">
        <f>IF(F2917="","",INT(H2917)-B2917)</f>
        <v/>
      </c>
      <c r="K2917">
        <f>IF(B2917&gt;=Settings!$C$5,1,0)</f>
        <v/>
      </c>
    </row>
    <row r="2918">
      <c r="A2918" t="inlineStr">
        <is>
          <t>ed1f42da2c5662307df13fe5648b05bf</t>
        </is>
      </c>
      <c r="B2918" s="29" t="n">
        <v>43209</v>
      </c>
      <c r="C2918" t="inlineStr">
        <is>
          <t>2018-04</t>
        </is>
      </c>
      <c r="D2918" t="inlineStr">
        <is>
          <t>8999524db83541c7f1ad48906d5d4b86</t>
        </is>
      </c>
      <c r="E2918" t="inlineStr">
        <is>
          <t>referral</t>
        </is>
      </c>
      <c r="F2918">
        <f>IFERROR(MATCH(A2918,Deals!$A$2:$A$843,0),"")</f>
        <v/>
      </c>
      <c r="G2918">
        <f>IF(F2918="",0,1)</f>
        <v/>
      </c>
      <c r="H2918" s="29">
        <f>IF(F2918="","",INDEX(Deals!$E$2:$E$843,F2918))</f>
        <v/>
      </c>
      <c r="I2918">
        <f>IF(F2918="","",INDEX(Deals!$D$2:$D$843,F2918))</f>
        <v/>
      </c>
      <c r="J2918">
        <f>IF(F2918="","",INT(H2918)-B2918)</f>
        <v/>
      </c>
      <c r="K2918">
        <f>IF(B2918&gt;=Settings!$C$5,1,0)</f>
        <v/>
      </c>
    </row>
    <row r="2919">
      <c r="A2919" t="inlineStr">
        <is>
          <t>9577014358ebabb5010e7513a7439a82</t>
        </is>
      </c>
      <c r="B2919" s="29" t="n">
        <v>43198</v>
      </c>
      <c r="C2919" t="inlineStr">
        <is>
          <t>2018-04</t>
        </is>
      </c>
      <c r="D2919" t="inlineStr">
        <is>
          <t>22c29808c4f815213303f8933030604c</t>
        </is>
      </c>
      <c r="E2919" t="inlineStr">
        <is>
          <t>direct_traffic</t>
        </is>
      </c>
      <c r="F2919">
        <f>IFERROR(MATCH(A2919,Deals!$A$2:$A$843,0),"")</f>
        <v/>
      </c>
      <c r="G2919">
        <f>IF(F2919="",0,1)</f>
        <v/>
      </c>
      <c r="H2919" s="29">
        <f>IF(F2919="","",INDEX(Deals!$E$2:$E$843,F2919))</f>
        <v/>
      </c>
      <c r="I2919">
        <f>IF(F2919="","",INDEX(Deals!$D$2:$D$843,F2919))</f>
        <v/>
      </c>
      <c r="J2919">
        <f>IF(F2919="","",INT(H2919)-B2919)</f>
        <v/>
      </c>
      <c r="K2919">
        <f>IF(B2919&gt;=Settings!$C$5,1,0)</f>
        <v/>
      </c>
    </row>
    <row r="2920">
      <c r="A2920" t="inlineStr">
        <is>
          <t>95d40515d78b92d75f485224d51a7ea6</t>
        </is>
      </c>
      <c r="B2920" s="29" t="n">
        <v>42964</v>
      </c>
      <c r="C2920" t="inlineStr">
        <is>
          <t>2017-08</t>
        </is>
      </c>
      <c r="D2920" t="inlineStr">
        <is>
          <t>128d8c3f32b8aa66b5bcbe4e26dfc78d</t>
        </is>
      </c>
      <c r="E2920" t="inlineStr">
        <is>
          <t>unknown</t>
        </is>
      </c>
      <c r="F2920">
        <f>IFERROR(MATCH(A2920,Deals!$A$2:$A$843,0),"")</f>
        <v/>
      </c>
      <c r="G2920">
        <f>IF(F2920="",0,1)</f>
        <v/>
      </c>
      <c r="H2920" s="29">
        <f>IF(F2920="","",INDEX(Deals!$E$2:$E$843,F2920))</f>
        <v/>
      </c>
      <c r="I2920">
        <f>IF(F2920="","",INDEX(Deals!$D$2:$D$843,F2920))</f>
        <v/>
      </c>
      <c r="J2920">
        <f>IF(F2920="","",INT(H2920)-B2920)</f>
        <v/>
      </c>
      <c r="K2920">
        <f>IF(B2920&gt;=Settings!$C$5,1,0)</f>
        <v/>
      </c>
    </row>
    <row r="2921">
      <c r="A2921" t="inlineStr">
        <is>
          <t>0312c4b8f08be04fc109109fba92a7b0</t>
        </is>
      </c>
      <c r="B2921" s="29" t="n">
        <v>42936</v>
      </c>
      <c r="C2921" t="inlineStr">
        <is>
          <t>2017-07</t>
        </is>
      </c>
      <c r="D2921" t="inlineStr">
        <is>
          <t>3cd2a8301d5395f21cdd3094c9eaa2f4</t>
        </is>
      </c>
      <c r="E2921" t="inlineStr">
        <is>
          <t>paid_search</t>
        </is>
      </c>
      <c r="F2921">
        <f>IFERROR(MATCH(A2921,Deals!$A$2:$A$843,0),"")</f>
        <v/>
      </c>
      <c r="G2921">
        <f>IF(F2921="",0,1)</f>
        <v/>
      </c>
      <c r="H2921" s="29">
        <f>IF(F2921="","",INDEX(Deals!$E$2:$E$843,F2921))</f>
        <v/>
      </c>
      <c r="I2921">
        <f>IF(F2921="","",INDEX(Deals!$D$2:$D$843,F2921))</f>
        <v/>
      </c>
      <c r="J2921">
        <f>IF(F2921="","",INT(H2921)-B2921)</f>
        <v/>
      </c>
      <c r="K2921">
        <f>IF(B2921&gt;=Settings!$C$5,1,0)</f>
        <v/>
      </c>
    </row>
    <row r="2922">
      <c r="A2922" t="inlineStr">
        <is>
          <t>f1e513f02d2dbe70b939178cb7d4fbac</t>
        </is>
      </c>
      <c r="B2922" s="29" t="n">
        <v>43132</v>
      </c>
      <c r="C2922" t="inlineStr">
        <is>
          <t>2018-02</t>
        </is>
      </c>
      <c r="D2922" t="inlineStr">
        <is>
          <t>0218f6be0b76aca72ab4d00ee9e8cf10</t>
        </is>
      </c>
      <c r="E2922" t="inlineStr">
        <is>
          <t>referral</t>
        </is>
      </c>
      <c r="F2922">
        <f>IFERROR(MATCH(A2922,Deals!$A$2:$A$843,0),"")</f>
        <v/>
      </c>
      <c r="G2922">
        <f>IF(F2922="",0,1)</f>
        <v/>
      </c>
      <c r="H2922" s="29">
        <f>IF(F2922="","",INDEX(Deals!$E$2:$E$843,F2922))</f>
        <v/>
      </c>
      <c r="I2922">
        <f>IF(F2922="","",INDEX(Deals!$D$2:$D$843,F2922))</f>
        <v/>
      </c>
      <c r="J2922">
        <f>IF(F2922="","",INT(H2922)-B2922)</f>
        <v/>
      </c>
      <c r="K2922">
        <f>IF(B2922&gt;=Settings!$C$5,1,0)</f>
        <v/>
      </c>
    </row>
    <row r="2923">
      <c r="A2923" t="inlineStr">
        <is>
          <t>d70aaf1069fec18cb3786a7d96780aa1</t>
        </is>
      </c>
      <c r="B2923" s="29" t="n">
        <v>42998</v>
      </c>
      <c r="C2923" t="inlineStr">
        <is>
          <t>2017-09</t>
        </is>
      </c>
      <c r="D2923" t="inlineStr">
        <is>
          <t>dd6f55db3947b0aeaadb65a610334799</t>
        </is>
      </c>
      <c r="E2923" t="inlineStr">
        <is>
          <t>other_publicities</t>
        </is>
      </c>
      <c r="F2923">
        <f>IFERROR(MATCH(A2923,Deals!$A$2:$A$843,0),"")</f>
        <v/>
      </c>
      <c r="G2923">
        <f>IF(F2923="",0,1)</f>
        <v/>
      </c>
      <c r="H2923" s="29">
        <f>IF(F2923="","",INDEX(Deals!$E$2:$E$843,F2923))</f>
        <v/>
      </c>
      <c r="I2923">
        <f>IF(F2923="","",INDEX(Deals!$D$2:$D$843,F2923))</f>
        <v/>
      </c>
      <c r="J2923">
        <f>IF(F2923="","",INT(H2923)-B2923)</f>
        <v/>
      </c>
      <c r="K2923">
        <f>IF(B2923&gt;=Settings!$C$5,1,0)</f>
        <v/>
      </c>
    </row>
    <row r="2924">
      <c r="A2924" t="inlineStr">
        <is>
          <t>f2b50255f80e6fe6c7cac43fd89bd820</t>
        </is>
      </c>
      <c r="B2924" s="29" t="n">
        <v>43174</v>
      </c>
      <c r="C2924" t="inlineStr">
        <is>
          <t>2018-03</t>
        </is>
      </c>
      <c r="D2924" t="inlineStr">
        <is>
          <t>241f79c7a8fe0270f4fb79fcbbcd17ad</t>
        </is>
      </c>
      <c r="E2924" t="inlineStr">
        <is>
          <t>paid_search</t>
        </is>
      </c>
      <c r="F2924">
        <f>IFERROR(MATCH(A2924,Deals!$A$2:$A$843,0),"")</f>
        <v/>
      </c>
      <c r="G2924">
        <f>IF(F2924="",0,1)</f>
        <v/>
      </c>
      <c r="H2924" s="29">
        <f>IF(F2924="","",INDEX(Deals!$E$2:$E$843,F2924))</f>
        <v/>
      </c>
      <c r="I2924">
        <f>IF(F2924="","",INDEX(Deals!$D$2:$D$843,F2924))</f>
        <v/>
      </c>
      <c r="J2924">
        <f>IF(F2924="","",INT(H2924)-B2924)</f>
        <v/>
      </c>
      <c r="K2924">
        <f>IF(B2924&gt;=Settings!$C$5,1,0)</f>
        <v/>
      </c>
    </row>
    <row r="2925">
      <c r="A2925" t="inlineStr">
        <is>
          <t>eec4de6968164aaa8fc148df613e4c61</t>
        </is>
      </c>
      <c r="B2925" s="29" t="n">
        <v>43207</v>
      </c>
      <c r="C2925" t="inlineStr">
        <is>
          <t>2018-04</t>
        </is>
      </c>
      <c r="D2925" t="inlineStr">
        <is>
          <t>b76ef37428e6799c421989521c0e5077</t>
        </is>
      </c>
      <c r="E2925" t="inlineStr">
        <is>
          <t>organic_search</t>
        </is>
      </c>
      <c r="F2925">
        <f>IFERROR(MATCH(A2925,Deals!$A$2:$A$843,0),"")</f>
        <v/>
      </c>
      <c r="G2925">
        <f>IF(F2925="",0,1)</f>
        <v/>
      </c>
      <c r="H2925" s="29">
        <f>IF(F2925="","",INDEX(Deals!$E$2:$E$843,F2925))</f>
        <v/>
      </c>
      <c r="I2925">
        <f>IF(F2925="","",INDEX(Deals!$D$2:$D$843,F2925))</f>
        <v/>
      </c>
      <c r="J2925">
        <f>IF(F2925="","",INT(H2925)-B2925)</f>
        <v/>
      </c>
      <c r="K2925">
        <f>IF(B2925&gt;=Settings!$C$5,1,0)</f>
        <v/>
      </c>
    </row>
    <row r="2926">
      <c r="A2926" t="inlineStr">
        <is>
          <t>1d3ac27a2d81ce37c69a148abaaf609d</t>
        </is>
      </c>
      <c r="B2926" s="29" t="n">
        <v>43210</v>
      </c>
      <c r="C2926" t="inlineStr">
        <is>
          <t>2018-04</t>
        </is>
      </c>
      <c r="D2926" t="inlineStr">
        <is>
          <t>40dec9f3d5259a3d2dbcdab2114fae47</t>
        </is>
      </c>
      <c r="E2926" t="inlineStr">
        <is>
          <t>paid_search</t>
        </is>
      </c>
      <c r="F2926">
        <f>IFERROR(MATCH(A2926,Deals!$A$2:$A$843,0),"")</f>
        <v/>
      </c>
      <c r="G2926">
        <f>IF(F2926="",0,1)</f>
        <v/>
      </c>
      <c r="H2926" s="29">
        <f>IF(F2926="","",INDEX(Deals!$E$2:$E$843,F2926))</f>
        <v/>
      </c>
      <c r="I2926">
        <f>IF(F2926="","",INDEX(Deals!$D$2:$D$843,F2926))</f>
        <v/>
      </c>
      <c r="J2926">
        <f>IF(F2926="","",INT(H2926)-B2926)</f>
        <v/>
      </c>
      <c r="K2926">
        <f>IF(B2926&gt;=Settings!$C$5,1,0)</f>
        <v/>
      </c>
    </row>
    <row r="2927">
      <c r="A2927" t="inlineStr">
        <is>
          <t>794f4d170884d586a02eb907a0c9c0dd</t>
        </is>
      </c>
      <c r="B2927" s="29" t="n">
        <v>42974</v>
      </c>
      <c r="C2927" t="inlineStr">
        <is>
          <t>2017-08</t>
        </is>
      </c>
      <c r="D2927" t="inlineStr">
        <is>
          <t>f017be4dbf86243af5c1ebed0cff36a2</t>
        </is>
      </c>
      <c r="E2927" t="inlineStr">
        <is>
          <t>organic_search</t>
        </is>
      </c>
      <c r="F2927">
        <f>IFERROR(MATCH(A2927,Deals!$A$2:$A$843,0),"")</f>
        <v/>
      </c>
      <c r="G2927">
        <f>IF(F2927="",0,1)</f>
        <v/>
      </c>
      <c r="H2927" s="29">
        <f>IF(F2927="","",INDEX(Deals!$E$2:$E$843,F2927))</f>
        <v/>
      </c>
      <c r="I2927">
        <f>IF(F2927="","",INDEX(Deals!$D$2:$D$843,F2927))</f>
        <v/>
      </c>
      <c r="J2927">
        <f>IF(F2927="","",INT(H2927)-B2927)</f>
        <v/>
      </c>
      <c r="K2927">
        <f>IF(B2927&gt;=Settings!$C$5,1,0)</f>
        <v/>
      </c>
    </row>
    <row r="2928">
      <c r="A2928" t="inlineStr">
        <is>
          <t>5a64e013840f248e9ca5d648856a6cba</t>
        </is>
      </c>
      <c r="B2928" s="29" t="n">
        <v>43146</v>
      </c>
      <c r="C2928" t="inlineStr">
        <is>
          <t>2018-02</t>
        </is>
      </c>
      <c r="D2928" t="inlineStr">
        <is>
          <t>e492ee5eaf1697716985cc6f33f9cd9b</t>
        </is>
      </c>
      <c r="E2928" t="inlineStr">
        <is>
          <t>unknown</t>
        </is>
      </c>
      <c r="F2928">
        <f>IFERROR(MATCH(A2928,Deals!$A$2:$A$843,0),"")</f>
        <v/>
      </c>
      <c r="G2928">
        <f>IF(F2928="",0,1)</f>
        <v/>
      </c>
      <c r="H2928" s="29">
        <f>IF(F2928="","",INDEX(Deals!$E$2:$E$843,F2928))</f>
        <v/>
      </c>
      <c r="I2928">
        <f>IF(F2928="","",INDEX(Deals!$D$2:$D$843,F2928))</f>
        <v/>
      </c>
      <c r="J2928">
        <f>IF(F2928="","",INT(H2928)-B2928)</f>
        <v/>
      </c>
      <c r="K2928">
        <f>IF(B2928&gt;=Settings!$C$5,1,0)</f>
        <v/>
      </c>
    </row>
    <row r="2929">
      <c r="A2929" t="inlineStr">
        <is>
          <t>4798443501a54a147b4098b919f7b44c</t>
        </is>
      </c>
      <c r="B2929" s="29" t="n">
        <v>43052</v>
      </c>
      <c r="C2929" t="inlineStr">
        <is>
          <t>2017-11</t>
        </is>
      </c>
      <c r="D2929" t="inlineStr">
        <is>
          <t>f03e241af08912ba7ffb65d69b0eb4d9</t>
        </is>
      </c>
      <c r="E2929" t="inlineStr">
        <is>
          <t>organic_search</t>
        </is>
      </c>
      <c r="F2929">
        <f>IFERROR(MATCH(A2929,Deals!$A$2:$A$843,0),"")</f>
        <v/>
      </c>
      <c r="G2929">
        <f>IF(F2929="",0,1)</f>
        <v/>
      </c>
      <c r="H2929" s="29">
        <f>IF(F2929="","",INDEX(Deals!$E$2:$E$843,F2929))</f>
        <v/>
      </c>
      <c r="I2929">
        <f>IF(F2929="","",INDEX(Deals!$D$2:$D$843,F2929))</f>
        <v/>
      </c>
      <c r="J2929">
        <f>IF(F2929="","",INT(H2929)-B2929)</f>
        <v/>
      </c>
      <c r="K2929">
        <f>IF(B2929&gt;=Settings!$C$5,1,0)</f>
        <v/>
      </c>
    </row>
    <row r="2930">
      <c r="A2930" t="inlineStr">
        <is>
          <t>65546ed1aea0d4a89d6aa035968c2a3d</t>
        </is>
      </c>
      <c r="B2930" s="29" t="n">
        <v>43131</v>
      </c>
      <c r="C2930" t="inlineStr">
        <is>
          <t>2018-01</t>
        </is>
      </c>
      <c r="D2930" t="inlineStr">
        <is>
          <t>b76ef37428e6799c421989521c0e5077</t>
        </is>
      </c>
      <c r="E2930" t="inlineStr">
        <is>
          <t>unknown</t>
        </is>
      </c>
      <c r="F2930">
        <f>IFERROR(MATCH(A2930,Deals!$A$2:$A$843,0),"")</f>
        <v/>
      </c>
      <c r="G2930">
        <f>IF(F2930="",0,1)</f>
        <v/>
      </c>
      <c r="H2930" s="29">
        <f>IF(F2930="","",INDEX(Deals!$E$2:$E$843,F2930))</f>
        <v/>
      </c>
      <c r="I2930">
        <f>IF(F2930="","",INDEX(Deals!$D$2:$D$843,F2930))</f>
        <v/>
      </c>
      <c r="J2930">
        <f>IF(F2930="","",INT(H2930)-B2930)</f>
        <v/>
      </c>
      <c r="K2930">
        <f>IF(B2930&gt;=Settings!$C$5,1,0)</f>
        <v/>
      </c>
    </row>
    <row r="2931">
      <c r="A2931" t="inlineStr">
        <is>
          <t>4a66c94e04d3094b75356c2cda68c8d9</t>
        </is>
      </c>
      <c r="B2931" s="29" t="n">
        <v>43229</v>
      </c>
      <c r="C2931" t="inlineStr">
        <is>
          <t>2018-05</t>
        </is>
      </c>
      <c r="D2931" t="inlineStr">
        <is>
          <t>ce1a65abd0973638f1c887a6efcfa82d</t>
        </is>
      </c>
      <c r="E2931" t="inlineStr">
        <is>
          <t>organic_search</t>
        </is>
      </c>
      <c r="F2931">
        <f>IFERROR(MATCH(A2931,Deals!$A$2:$A$843,0),"")</f>
        <v/>
      </c>
      <c r="G2931">
        <f>IF(F2931="",0,1)</f>
        <v/>
      </c>
      <c r="H2931" s="29">
        <f>IF(F2931="","",INDEX(Deals!$E$2:$E$843,F2931))</f>
        <v/>
      </c>
      <c r="I2931">
        <f>IF(F2931="","",INDEX(Deals!$D$2:$D$843,F2931))</f>
        <v/>
      </c>
      <c r="J2931">
        <f>IF(F2931="","",INT(H2931)-B2931)</f>
        <v/>
      </c>
      <c r="K2931">
        <f>IF(B2931&gt;=Settings!$C$5,1,0)</f>
        <v/>
      </c>
    </row>
    <row r="2932">
      <c r="A2932" t="inlineStr">
        <is>
          <t>a42419f3420cc448a514307a35d8eda2</t>
        </is>
      </c>
      <c r="B2932" s="29" t="n">
        <v>43180</v>
      </c>
      <c r="C2932" t="inlineStr">
        <is>
          <t>2018-03</t>
        </is>
      </c>
      <c r="D2932" t="inlineStr">
        <is>
          <t>62a620c9f1f5dbe99651c2c9e369cbb0</t>
        </is>
      </c>
      <c r="E2932" t="inlineStr">
        <is>
          <t>email</t>
        </is>
      </c>
      <c r="F2932">
        <f>IFERROR(MATCH(A2932,Deals!$A$2:$A$843,0),"")</f>
        <v/>
      </c>
      <c r="G2932">
        <f>IF(F2932="",0,1)</f>
        <v/>
      </c>
      <c r="H2932" s="29">
        <f>IF(F2932="","",INDEX(Deals!$E$2:$E$843,F2932))</f>
        <v/>
      </c>
      <c r="I2932">
        <f>IF(F2932="","",INDEX(Deals!$D$2:$D$843,F2932))</f>
        <v/>
      </c>
      <c r="J2932">
        <f>IF(F2932="","",INT(H2932)-B2932)</f>
        <v/>
      </c>
      <c r="K2932">
        <f>IF(B2932&gt;=Settings!$C$5,1,0)</f>
        <v/>
      </c>
    </row>
    <row r="2933">
      <c r="A2933" t="inlineStr">
        <is>
          <t>48f02bed60a8daf40921885dc057107f</t>
        </is>
      </c>
      <c r="B2933" s="29" t="n">
        <v>43235</v>
      </c>
      <c r="C2933" t="inlineStr">
        <is>
          <t>2018-05</t>
        </is>
      </c>
      <c r="D2933" t="inlineStr">
        <is>
          <t>d83b0d0e48c8447d1d5507a44027a955</t>
        </is>
      </c>
      <c r="E2933" t="inlineStr">
        <is>
          <t>email</t>
        </is>
      </c>
      <c r="F2933">
        <f>IFERROR(MATCH(A2933,Deals!$A$2:$A$843,0),"")</f>
        <v/>
      </c>
      <c r="G2933">
        <f>IF(F2933="",0,1)</f>
        <v/>
      </c>
      <c r="H2933" s="29">
        <f>IF(F2933="","",INDEX(Deals!$E$2:$E$843,F2933))</f>
        <v/>
      </c>
      <c r="I2933">
        <f>IF(F2933="","",INDEX(Deals!$D$2:$D$843,F2933))</f>
        <v/>
      </c>
      <c r="J2933">
        <f>IF(F2933="","",INT(H2933)-B2933)</f>
        <v/>
      </c>
      <c r="K2933">
        <f>IF(B2933&gt;=Settings!$C$5,1,0)</f>
        <v/>
      </c>
    </row>
    <row r="2934">
      <c r="A2934" t="inlineStr">
        <is>
          <t>b13245211331d16e2a04423665d4b3a8</t>
        </is>
      </c>
      <c r="B2934" s="29" t="n">
        <v>43042</v>
      </c>
      <c r="C2934" t="inlineStr">
        <is>
          <t>2017-11</t>
        </is>
      </c>
      <c r="D2934" t="inlineStr">
        <is>
          <t>15cf89bab2c3163b4f9d8601d108f8b2</t>
        </is>
      </c>
      <c r="E2934" t="inlineStr">
        <is>
          <t>referral</t>
        </is>
      </c>
      <c r="F2934">
        <f>IFERROR(MATCH(A2934,Deals!$A$2:$A$843,0),"")</f>
        <v/>
      </c>
      <c r="G2934">
        <f>IF(F2934="",0,1)</f>
        <v/>
      </c>
      <c r="H2934" s="29">
        <f>IF(F2934="","",INDEX(Deals!$E$2:$E$843,F2934))</f>
        <v/>
      </c>
      <c r="I2934">
        <f>IF(F2934="","",INDEX(Deals!$D$2:$D$843,F2934))</f>
        <v/>
      </c>
      <c r="J2934">
        <f>IF(F2934="","",INT(H2934)-B2934)</f>
        <v/>
      </c>
      <c r="K2934">
        <f>IF(B2934&gt;=Settings!$C$5,1,0)</f>
        <v/>
      </c>
    </row>
    <row r="2935">
      <c r="A2935" t="inlineStr">
        <is>
          <t>c6c02ef92aa0dcb6c333a27cfb22d47c</t>
        </is>
      </c>
      <c r="B2935" s="29" t="n">
        <v>43230</v>
      </c>
      <c r="C2935" t="inlineStr">
        <is>
          <t>2018-05</t>
        </is>
      </c>
      <c r="D2935" t="inlineStr">
        <is>
          <t>22c29808c4f815213303f8933030604c</t>
        </is>
      </c>
      <c r="E2935" t="inlineStr">
        <is>
          <t>direct_traffic</t>
        </is>
      </c>
      <c r="F2935">
        <f>IFERROR(MATCH(A2935,Deals!$A$2:$A$843,0),"")</f>
        <v/>
      </c>
      <c r="G2935">
        <f>IF(F2935="",0,1)</f>
        <v/>
      </c>
      <c r="H2935" s="29">
        <f>IF(F2935="","",INDEX(Deals!$E$2:$E$843,F2935))</f>
        <v/>
      </c>
      <c r="I2935">
        <f>IF(F2935="","",INDEX(Deals!$D$2:$D$843,F2935))</f>
        <v/>
      </c>
      <c r="J2935">
        <f>IF(F2935="","",INT(H2935)-B2935)</f>
        <v/>
      </c>
      <c r="K2935">
        <f>IF(B2935&gt;=Settings!$C$5,1,0)</f>
        <v/>
      </c>
    </row>
    <row r="2936">
      <c r="A2936" t="inlineStr">
        <is>
          <t>312dbec06d3efb840e10513e8775bc74</t>
        </is>
      </c>
      <c r="B2936" s="29" t="n">
        <v>43106</v>
      </c>
      <c r="C2936" t="inlineStr">
        <is>
          <t>2018-01</t>
        </is>
      </c>
      <c r="D2936" t="inlineStr">
        <is>
          <t>ce1a65abd0973638f1c887a6efcfa82d</t>
        </is>
      </c>
      <c r="E2936" t="inlineStr">
        <is>
          <t>paid_search</t>
        </is>
      </c>
      <c r="F2936">
        <f>IFERROR(MATCH(A2936,Deals!$A$2:$A$843,0),"")</f>
        <v/>
      </c>
      <c r="G2936">
        <f>IF(F2936="",0,1)</f>
        <v/>
      </c>
      <c r="H2936" s="29">
        <f>IF(F2936="","",INDEX(Deals!$E$2:$E$843,F2936))</f>
        <v/>
      </c>
      <c r="I2936">
        <f>IF(F2936="","",INDEX(Deals!$D$2:$D$843,F2936))</f>
        <v/>
      </c>
      <c r="J2936">
        <f>IF(F2936="","",INT(H2936)-B2936)</f>
        <v/>
      </c>
      <c r="K2936">
        <f>IF(B2936&gt;=Settings!$C$5,1,0)</f>
        <v/>
      </c>
    </row>
    <row r="2937">
      <c r="A2937" t="inlineStr">
        <is>
          <t>2df9c7c23d39de0710ec45bb2348a287</t>
        </is>
      </c>
      <c r="B2937" s="29" t="n">
        <v>43194</v>
      </c>
      <c r="C2937" t="inlineStr">
        <is>
          <t>2018-04</t>
        </is>
      </c>
      <c r="D2937" t="inlineStr">
        <is>
          <t>b76ef37428e6799c421989521c0e5077</t>
        </is>
      </c>
      <c r="E2937" t="inlineStr">
        <is>
          <t>unknown</t>
        </is>
      </c>
      <c r="F2937">
        <f>IFERROR(MATCH(A2937,Deals!$A$2:$A$843,0),"")</f>
        <v/>
      </c>
      <c r="G2937">
        <f>IF(F2937="",0,1)</f>
        <v/>
      </c>
      <c r="H2937" s="29">
        <f>IF(F2937="","",INDEX(Deals!$E$2:$E$843,F2937))</f>
        <v/>
      </c>
      <c r="I2937">
        <f>IF(F2937="","",INDEX(Deals!$D$2:$D$843,F2937))</f>
        <v/>
      </c>
      <c r="J2937">
        <f>IF(F2937="","",INT(H2937)-B2937)</f>
        <v/>
      </c>
      <c r="K2937">
        <f>IF(B2937&gt;=Settings!$C$5,1,0)</f>
        <v/>
      </c>
    </row>
    <row r="2938">
      <c r="A2938" t="inlineStr">
        <is>
          <t>bd9a32d45f2cdfba6e942425c9c87960</t>
        </is>
      </c>
      <c r="B2938" s="29" t="n">
        <v>43181</v>
      </c>
      <c r="C2938" t="inlineStr">
        <is>
          <t>2018-03</t>
        </is>
      </c>
      <c r="D2938" t="inlineStr">
        <is>
          <t>fbc24da54d531c6204ae2d17b1090bb1</t>
        </is>
      </c>
      <c r="E2938" t="inlineStr">
        <is>
          <t>paid_search</t>
        </is>
      </c>
      <c r="F2938">
        <f>IFERROR(MATCH(A2938,Deals!$A$2:$A$843,0),"")</f>
        <v/>
      </c>
      <c r="G2938">
        <f>IF(F2938="",0,1)</f>
        <v/>
      </c>
      <c r="H2938" s="29">
        <f>IF(F2938="","",INDEX(Deals!$E$2:$E$843,F2938))</f>
        <v/>
      </c>
      <c r="I2938">
        <f>IF(F2938="","",INDEX(Deals!$D$2:$D$843,F2938))</f>
        <v/>
      </c>
      <c r="J2938">
        <f>IF(F2938="","",INT(H2938)-B2938)</f>
        <v/>
      </c>
      <c r="K2938">
        <f>IF(B2938&gt;=Settings!$C$5,1,0)</f>
        <v/>
      </c>
    </row>
    <row r="2939">
      <c r="A2939" t="inlineStr">
        <is>
          <t>cb2dc70c84b332c8e5aef3045e20c16f</t>
        </is>
      </c>
      <c r="B2939" s="29" t="n">
        <v>43134</v>
      </c>
      <c r="C2939" t="inlineStr">
        <is>
          <t>2018-02</t>
        </is>
      </c>
      <c r="D2939" t="inlineStr">
        <is>
          <t>88740e65d5d6b056e0cda098e1ea6313</t>
        </is>
      </c>
      <c r="E2939" t="inlineStr">
        <is>
          <t>social</t>
        </is>
      </c>
      <c r="F2939">
        <f>IFERROR(MATCH(A2939,Deals!$A$2:$A$843,0),"")</f>
        <v/>
      </c>
      <c r="G2939">
        <f>IF(F2939="",0,1)</f>
        <v/>
      </c>
      <c r="H2939" s="29">
        <f>IF(F2939="","",INDEX(Deals!$E$2:$E$843,F2939))</f>
        <v/>
      </c>
      <c r="I2939">
        <f>IF(F2939="","",INDEX(Deals!$D$2:$D$843,F2939))</f>
        <v/>
      </c>
      <c r="J2939">
        <f>IF(F2939="","",INT(H2939)-B2939)</f>
        <v/>
      </c>
      <c r="K2939">
        <f>IF(B2939&gt;=Settings!$C$5,1,0)</f>
        <v/>
      </c>
    </row>
    <row r="2940">
      <c r="A2940" t="inlineStr">
        <is>
          <t>711d9476d2d0fe26320f8b0a41cd0289</t>
        </is>
      </c>
      <c r="B2940" s="29" t="n">
        <v>43054</v>
      </c>
      <c r="C2940" t="inlineStr">
        <is>
          <t>2017-11</t>
        </is>
      </c>
      <c r="D2940" t="inlineStr">
        <is>
          <t>88740e65d5d6b056e0cda098e1ea6313</t>
        </is>
      </c>
      <c r="E2940" t="inlineStr">
        <is>
          <t>social</t>
        </is>
      </c>
      <c r="F2940">
        <f>IFERROR(MATCH(A2940,Deals!$A$2:$A$843,0),"")</f>
        <v/>
      </c>
      <c r="G2940">
        <f>IF(F2940="",0,1)</f>
        <v/>
      </c>
      <c r="H2940" s="29">
        <f>IF(F2940="","",INDEX(Deals!$E$2:$E$843,F2940))</f>
        <v/>
      </c>
      <c r="I2940">
        <f>IF(F2940="","",INDEX(Deals!$D$2:$D$843,F2940))</f>
        <v/>
      </c>
      <c r="J2940">
        <f>IF(F2940="","",INT(H2940)-B2940)</f>
        <v/>
      </c>
      <c r="K2940">
        <f>IF(B2940&gt;=Settings!$C$5,1,0)</f>
        <v/>
      </c>
    </row>
    <row r="2941">
      <c r="A2941" t="inlineStr">
        <is>
          <t>27816fed47150f6fda5f96e75013749f</t>
        </is>
      </c>
      <c r="B2941" s="29" t="n">
        <v>42957</v>
      </c>
      <c r="C2941" t="inlineStr">
        <is>
          <t>2017-08</t>
        </is>
      </c>
      <c r="D2941" t="inlineStr">
        <is>
          <t>c555aa36478386fdf85a2d0ca5cd0ff8</t>
        </is>
      </c>
      <c r="E2941" t="inlineStr">
        <is>
          <t>unknown</t>
        </is>
      </c>
      <c r="F2941">
        <f>IFERROR(MATCH(A2941,Deals!$A$2:$A$843,0),"")</f>
        <v/>
      </c>
      <c r="G2941">
        <f>IF(F2941="",0,1)</f>
        <v/>
      </c>
      <c r="H2941" s="29">
        <f>IF(F2941="","",INDEX(Deals!$E$2:$E$843,F2941))</f>
        <v/>
      </c>
      <c r="I2941">
        <f>IF(F2941="","",INDEX(Deals!$D$2:$D$843,F2941))</f>
        <v/>
      </c>
      <c r="J2941">
        <f>IF(F2941="","",INT(H2941)-B2941)</f>
        <v/>
      </c>
      <c r="K2941">
        <f>IF(B2941&gt;=Settings!$C$5,1,0)</f>
        <v/>
      </c>
    </row>
    <row r="2942">
      <c r="A2942" t="inlineStr">
        <is>
          <t>f01d69a56fe9491dae460bf266ca4998</t>
        </is>
      </c>
      <c r="B2942" s="29" t="n">
        <v>43005</v>
      </c>
      <c r="C2942" t="inlineStr">
        <is>
          <t>2017-09</t>
        </is>
      </c>
      <c r="D2942" t="inlineStr">
        <is>
          <t>7b8106a8b4d2982573b70980cbb01e9d</t>
        </is>
      </c>
      <c r="E2942" t="inlineStr">
        <is>
          <t>social</t>
        </is>
      </c>
      <c r="F2942">
        <f>IFERROR(MATCH(A2942,Deals!$A$2:$A$843,0),"")</f>
        <v/>
      </c>
      <c r="G2942">
        <f>IF(F2942="",0,1)</f>
        <v/>
      </c>
      <c r="H2942" s="29">
        <f>IF(F2942="","",INDEX(Deals!$E$2:$E$843,F2942))</f>
        <v/>
      </c>
      <c r="I2942">
        <f>IF(F2942="","",INDEX(Deals!$D$2:$D$843,F2942))</f>
        <v/>
      </c>
      <c r="J2942">
        <f>IF(F2942="","",INT(H2942)-B2942)</f>
        <v/>
      </c>
      <c r="K2942">
        <f>IF(B2942&gt;=Settings!$C$5,1,0)</f>
        <v/>
      </c>
    </row>
    <row r="2943">
      <c r="A2943" t="inlineStr">
        <is>
          <t>22c0b2a19a05fff19e92fab5a0b7728b</t>
        </is>
      </c>
      <c r="B2943" s="29" t="n">
        <v>43215</v>
      </c>
      <c r="C2943" t="inlineStr">
        <is>
          <t>2018-04</t>
        </is>
      </c>
      <c r="D2943" t="inlineStr">
        <is>
          <t>22c29808c4f815213303f8933030604c</t>
        </is>
      </c>
      <c r="E2943" t="inlineStr">
        <is>
          <t>paid_search</t>
        </is>
      </c>
      <c r="F2943">
        <f>IFERROR(MATCH(A2943,Deals!$A$2:$A$843,0),"")</f>
        <v/>
      </c>
      <c r="G2943">
        <f>IF(F2943="",0,1)</f>
        <v/>
      </c>
      <c r="H2943" s="29">
        <f>IF(F2943="","",INDEX(Deals!$E$2:$E$843,F2943))</f>
        <v/>
      </c>
      <c r="I2943">
        <f>IF(F2943="","",INDEX(Deals!$D$2:$D$843,F2943))</f>
        <v/>
      </c>
      <c r="J2943">
        <f>IF(F2943="","",INT(H2943)-B2943)</f>
        <v/>
      </c>
      <c r="K2943">
        <f>IF(B2943&gt;=Settings!$C$5,1,0)</f>
        <v/>
      </c>
    </row>
    <row r="2944">
      <c r="A2944" t="inlineStr">
        <is>
          <t>234c7ac2c77173bbfe2e1495dc47c363</t>
        </is>
      </c>
      <c r="B2944" s="29" t="n">
        <v>42993</v>
      </c>
      <c r="C2944" t="inlineStr">
        <is>
          <t>2017-09</t>
        </is>
      </c>
      <c r="D2944" t="inlineStr">
        <is>
          <t>a7982125ff7aa3b2054c6e44f9d28522</t>
        </is>
      </c>
      <c r="E2944" t="inlineStr">
        <is>
          <t>organic_search</t>
        </is>
      </c>
      <c r="F2944">
        <f>IFERROR(MATCH(A2944,Deals!$A$2:$A$843,0),"")</f>
        <v/>
      </c>
      <c r="G2944">
        <f>IF(F2944="",0,1)</f>
        <v/>
      </c>
      <c r="H2944" s="29">
        <f>IF(F2944="","",INDEX(Deals!$E$2:$E$843,F2944))</f>
        <v/>
      </c>
      <c r="I2944">
        <f>IF(F2944="","",INDEX(Deals!$D$2:$D$843,F2944))</f>
        <v/>
      </c>
      <c r="J2944">
        <f>IF(F2944="","",INT(H2944)-B2944)</f>
        <v/>
      </c>
      <c r="K2944">
        <f>IF(B2944&gt;=Settings!$C$5,1,0)</f>
        <v/>
      </c>
    </row>
    <row r="2945">
      <c r="A2945" t="inlineStr">
        <is>
          <t>71395be63174d9842f3e2b0c3520ed5e</t>
        </is>
      </c>
      <c r="B2945" s="29" t="n">
        <v>42978</v>
      </c>
      <c r="C2945" t="inlineStr">
        <is>
          <t>2017-08</t>
        </is>
      </c>
      <c r="D2945" t="inlineStr">
        <is>
          <t>0b37d43dbde6452cdd94c17bf61a88e4</t>
        </is>
      </c>
      <c r="E2945" t="inlineStr">
        <is>
          <t>organic_search</t>
        </is>
      </c>
      <c r="F2945">
        <f>IFERROR(MATCH(A2945,Deals!$A$2:$A$843,0),"")</f>
        <v/>
      </c>
      <c r="G2945">
        <f>IF(F2945="",0,1)</f>
        <v/>
      </c>
      <c r="H2945" s="29">
        <f>IF(F2945="","",INDEX(Deals!$E$2:$E$843,F2945))</f>
        <v/>
      </c>
      <c r="I2945">
        <f>IF(F2945="","",INDEX(Deals!$D$2:$D$843,F2945))</f>
        <v/>
      </c>
      <c r="J2945">
        <f>IF(F2945="","",INT(H2945)-B2945)</f>
        <v/>
      </c>
      <c r="K2945">
        <f>IF(B2945&gt;=Settings!$C$5,1,0)</f>
        <v/>
      </c>
    </row>
    <row r="2946">
      <c r="A2946" t="inlineStr">
        <is>
          <t>b757aa8b4d5f403e9c6c0a50a8cef71f</t>
        </is>
      </c>
      <c r="B2946" s="29" t="n">
        <v>42963</v>
      </c>
      <c r="C2946" t="inlineStr">
        <is>
          <t>2017-08</t>
        </is>
      </c>
      <c r="D2946" t="inlineStr">
        <is>
          <t>be7f31219be243061a39a4a158898688</t>
        </is>
      </c>
      <c r="E2946" t="inlineStr">
        <is>
          <t>email</t>
        </is>
      </c>
      <c r="F2946">
        <f>IFERROR(MATCH(A2946,Deals!$A$2:$A$843,0),"")</f>
        <v/>
      </c>
      <c r="G2946">
        <f>IF(F2946="",0,1)</f>
        <v/>
      </c>
      <c r="H2946" s="29">
        <f>IF(F2946="","",INDEX(Deals!$E$2:$E$843,F2946))</f>
        <v/>
      </c>
      <c r="I2946">
        <f>IF(F2946="","",INDEX(Deals!$D$2:$D$843,F2946))</f>
        <v/>
      </c>
      <c r="J2946">
        <f>IF(F2946="","",INT(H2946)-B2946)</f>
        <v/>
      </c>
      <c r="K2946">
        <f>IF(B2946&gt;=Settings!$C$5,1,0)</f>
        <v/>
      </c>
    </row>
    <row r="2947">
      <c r="A2947" t="inlineStr">
        <is>
          <t>41fb0fd43593de7d24448de9f5aea38e</t>
        </is>
      </c>
      <c r="B2947" s="29" t="n">
        <v>43161</v>
      </c>
      <c r="C2947" t="inlineStr">
        <is>
          <t>2018-03</t>
        </is>
      </c>
      <c r="D2947" t="inlineStr">
        <is>
          <t>ea4434c9a6df0098e720204ba3dbb76d</t>
        </is>
      </c>
      <c r="E2947" t="inlineStr">
        <is>
          <t>paid_search</t>
        </is>
      </c>
      <c r="F2947">
        <f>IFERROR(MATCH(A2947,Deals!$A$2:$A$843,0),"")</f>
        <v/>
      </c>
      <c r="G2947">
        <f>IF(F2947="",0,1)</f>
        <v/>
      </c>
      <c r="H2947" s="29">
        <f>IF(F2947="","",INDEX(Deals!$E$2:$E$843,F2947))</f>
        <v/>
      </c>
      <c r="I2947">
        <f>IF(F2947="","",INDEX(Deals!$D$2:$D$843,F2947))</f>
        <v/>
      </c>
      <c r="J2947">
        <f>IF(F2947="","",INT(H2947)-B2947)</f>
        <v/>
      </c>
      <c r="K2947">
        <f>IF(B2947&gt;=Settings!$C$5,1,0)</f>
        <v/>
      </c>
    </row>
    <row r="2948">
      <c r="A2948" t="inlineStr">
        <is>
          <t>6602aa0b985afb4059ebbebf05e46d76</t>
        </is>
      </c>
      <c r="B2948" s="29" t="n">
        <v>43242</v>
      </c>
      <c r="C2948" t="inlineStr">
        <is>
          <t>2018-05</t>
        </is>
      </c>
      <c r="D2948" t="inlineStr">
        <is>
          <t>b76ef37428e6799c421989521c0e5077</t>
        </is>
      </c>
      <c r="E2948" t="inlineStr">
        <is>
          <t>unknown</t>
        </is>
      </c>
      <c r="F2948">
        <f>IFERROR(MATCH(A2948,Deals!$A$2:$A$843,0),"")</f>
        <v/>
      </c>
      <c r="G2948">
        <f>IF(F2948="",0,1)</f>
        <v/>
      </c>
      <c r="H2948" s="29">
        <f>IF(F2948="","",INDEX(Deals!$E$2:$E$843,F2948))</f>
        <v/>
      </c>
      <c r="I2948">
        <f>IF(F2948="","",INDEX(Deals!$D$2:$D$843,F2948))</f>
        <v/>
      </c>
      <c r="J2948">
        <f>IF(F2948="","",INT(H2948)-B2948)</f>
        <v/>
      </c>
      <c r="K2948">
        <f>IF(B2948&gt;=Settings!$C$5,1,0)</f>
        <v/>
      </c>
    </row>
    <row r="2949">
      <c r="A2949" t="inlineStr">
        <is>
          <t>11172787bdf65ba27b6349969d340af4</t>
        </is>
      </c>
      <c r="B2949" s="29" t="n">
        <v>42934</v>
      </c>
      <c r="C2949" t="inlineStr">
        <is>
          <t>2017-07</t>
        </is>
      </c>
      <c r="D2949" t="inlineStr">
        <is>
          <t>e492ee5eaf1697716985cc6f33f9cd9b</t>
        </is>
      </c>
      <c r="E2949" t="inlineStr">
        <is>
          <t>paid_search</t>
        </is>
      </c>
      <c r="F2949">
        <f>IFERROR(MATCH(A2949,Deals!$A$2:$A$843,0),"")</f>
        <v/>
      </c>
      <c r="G2949">
        <f>IF(F2949="",0,1)</f>
        <v/>
      </c>
      <c r="H2949" s="29">
        <f>IF(F2949="","",INDEX(Deals!$E$2:$E$843,F2949))</f>
        <v/>
      </c>
      <c r="I2949">
        <f>IF(F2949="","",INDEX(Deals!$D$2:$D$843,F2949))</f>
        <v/>
      </c>
      <c r="J2949">
        <f>IF(F2949="","",INT(H2949)-B2949)</f>
        <v/>
      </c>
      <c r="K2949">
        <f>IF(B2949&gt;=Settings!$C$5,1,0)</f>
        <v/>
      </c>
    </row>
    <row r="2950">
      <c r="A2950" t="inlineStr">
        <is>
          <t>a160021eef38166360109540526c4766</t>
        </is>
      </c>
      <c r="B2950" s="29" t="n">
        <v>43185</v>
      </c>
      <c r="C2950" t="inlineStr">
        <is>
          <t>2018-03</t>
        </is>
      </c>
      <c r="D2950" t="inlineStr">
        <is>
          <t>649b7b8b46b254497e92038d88f6ced8</t>
        </is>
      </c>
      <c r="E2950" t="inlineStr">
        <is>
          <t>social</t>
        </is>
      </c>
      <c r="F2950">
        <f>IFERROR(MATCH(A2950,Deals!$A$2:$A$843,0),"")</f>
        <v/>
      </c>
      <c r="G2950">
        <f>IF(F2950="",0,1)</f>
        <v/>
      </c>
      <c r="H2950" s="29">
        <f>IF(F2950="","",INDEX(Deals!$E$2:$E$843,F2950))</f>
        <v/>
      </c>
      <c r="I2950">
        <f>IF(F2950="","",INDEX(Deals!$D$2:$D$843,F2950))</f>
        <v/>
      </c>
      <c r="J2950">
        <f>IF(F2950="","",INT(H2950)-B2950)</f>
        <v/>
      </c>
      <c r="K2950">
        <f>IF(B2950&gt;=Settings!$C$5,1,0)</f>
        <v/>
      </c>
    </row>
    <row r="2951">
      <c r="A2951" t="inlineStr">
        <is>
          <t>735f56c58c9c94f1e16df8134386a1bc</t>
        </is>
      </c>
      <c r="B2951" s="29" t="n">
        <v>43221</v>
      </c>
      <c r="C2951" t="inlineStr">
        <is>
          <t>2018-05</t>
        </is>
      </c>
      <c r="D2951" t="inlineStr">
        <is>
          <t>58326e62183c14b0c03085c33b9fdc44</t>
        </is>
      </c>
      <c r="E2951" t="inlineStr">
        <is>
          <t>social</t>
        </is>
      </c>
      <c r="F2951">
        <f>IFERROR(MATCH(A2951,Deals!$A$2:$A$843,0),"")</f>
        <v/>
      </c>
      <c r="G2951">
        <f>IF(F2951="",0,1)</f>
        <v/>
      </c>
      <c r="H2951" s="29">
        <f>IF(F2951="","",INDEX(Deals!$E$2:$E$843,F2951))</f>
        <v/>
      </c>
      <c r="I2951">
        <f>IF(F2951="","",INDEX(Deals!$D$2:$D$843,F2951))</f>
        <v/>
      </c>
      <c r="J2951">
        <f>IF(F2951="","",INT(H2951)-B2951)</f>
        <v/>
      </c>
      <c r="K2951">
        <f>IF(B2951&gt;=Settings!$C$5,1,0)</f>
        <v/>
      </c>
    </row>
    <row r="2952">
      <c r="A2952" t="inlineStr">
        <is>
          <t>45af559f3798063d200ffcd455f90e5f</t>
        </is>
      </c>
      <c r="B2952" s="29" t="n">
        <v>42949</v>
      </c>
      <c r="C2952" t="inlineStr">
        <is>
          <t>2017-08</t>
        </is>
      </c>
      <c r="D2952" t="inlineStr">
        <is>
          <t>e492ee5eaf1697716985cc6f33f9cd9b</t>
        </is>
      </c>
      <c r="E2952" t="inlineStr">
        <is>
          <t>organic_search</t>
        </is>
      </c>
      <c r="F2952">
        <f>IFERROR(MATCH(A2952,Deals!$A$2:$A$843,0),"")</f>
        <v/>
      </c>
      <c r="G2952">
        <f>IF(F2952="",0,1)</f>
        <v/>
      </c>
      <c r="H2952" s="29">
        <f>IF(F2952="","",INDEX(Deals!$E$2:$E$843,F2952))</f>
        <v/>
      </c>
      <c r="I2952">
        <f>IF(F2952="","",INDEX(Deals!$D$2:$D$843,F2952))</f>
        <v/>
      </c>
      <c r="J2952">
        <f>IF(F2952="","",INT(H2952)-B2952)</f>
        <v/>
      </c>
      <c r="K2952">
        <f>IF(B2952&gt;=Settings!$C$5,1,0)</f>
        <v/>
      </c>
    </row>
    <row r="2953">
      <c r="A2953" t="inlineStr">
        <is>
          <t>84a98e9bea194d59e442e2be756a2e08</t>
        </is>
      </c>
      <c r="B2953" s="29" t="n">
        <v>43137</v>
      </c>
      <c r="C2953" t="inlineStr">
        <is>
          <t>2018-02</t>
        </is>
      </c>
      <c r="D2953" t="inlineStr">
        <is>
          <t>40dec9f3d5259a3d2dbcdab2114fae47</t>
        </is>
      </c>
      <c r="E2953" t="inlineStr">
        <is>
          <t>organic_search</t>
        </is>
      </c>
      <c r="F2953">
        <f>IFERROR(MATCH(A2953,Deals!$A$2:$A$843,0),"")</f>
        <v/>
      </c>
      <c r="G2953">
        <f>IF(F2953="",0,1)</f>
        <v/>
      </c>
      <c r="H2953" s="29">
        <f>IF(F2953="","",INDEX(Deals!$E$2:$E$843,F2953))</f>
        <v/>
      </c>
      <c r="I2953">
        <f>IF(F2953="","",INDEX(Deals!$D$2:$D$843,F2953))</f>
        <v/>
      </c>
      <c r="J2953">
        <f>IF(F2953="","",INT(H2953)-B2953)</f>
        <v/>
      </c>
      <c r="K2953">
        <f>IF(B2953&gt;=Settings!$C$5,1,0)</f>
        <v/>
      </c>
    </row>
    <row r="2954">
      <c r="A2954" t="inlineStr">
        <is>
          <t>89146fe19c2c2381bf5e65a881ec218f</t>
        </is>
      </c>
      <c r="B2954" s="29" t="n">
        <v>43249</v>
      </c>
      <c r="C2954" t="inlineStr">
        <is>
          <t>2018-05</t>
        </is>
      </c>
      <c r="D2954" t="inlineStr">
        <is>
          <t>b76ef37428e6799c421989521c0e5077</t>
        </is>
      </c>
      <c r="E2954" t="inlineStr">
        <is>
          <t>unknown</t>
        </is>
      </c>
      <c r="F2954">
        <f>IFERROR(MATCH(A2954,Deals!$A$2:$A$843,0),"")</f>
        <v/>
      </c>
      <c r="G2954">
        <f>IF(F2954="",0,1)</f>
        <v/>
      </c>
      <c r="H2954" s="29">
        <f>IF(F2954="","",INDEX(Deals!$E$2:$E$843,F2954))</f>
        <v/>
      </c>
      <c r="I2954">
        <f>IF(F2954="","",INDEX(Deals!$D$2:$D$843,F2954))</f>
        <v/>
      </c>
      <c r="J2954">
        <f>IF(F2954="","",INT(H2954)-B2954)</f>
        <v/>
      </c>
      <c r="K2954">
        <f>IF(B2954&gt;=Settings!$C$5,1,0)</f>
        <v/>
      </c>
    </row>
    <row r="2955">
      <c r="A2955" t="inlineStr">
        <is>
          <t>9971bf4009012efdc5a9cb7ed7417e90</t>
        </is>
      </c>
      <c r="B2955" s="29" t="n">
        <v>43121</v>
      </c>
      <c r="C2955" t="inlineStr">
        <is>
          <t>2018-01</t>
        </is>
      </c>
      <c r="D2955" t="inlineStr">
        <is>
          <t>22c29808c4f815213303f8933030604c</t>
        </is>
      </c>
      <c r="E2955" t="inlineStr">
        <is>
          <t>organic_search</t>
        </is>
      </c>
      <c r="F2955">
        <f>IFERROR(MATCH(A2955,Deals!$A$2:$A$843,0),"")</f>
        <v/>
      </c>
      <c r="G2955">
        <f>IF(F2955="",0,1)</f>
        <v/>
      </c>
      <c r="H2955" s="29">
        <f>IF(F2955="","",INDEX(Deals!$E$2:$E$843,F2955))</f>
        <v/>
      </c>
      <c r="I2955">
        <f>IF(F2955="","",INDEX(Deals!$D$2:$D$843,F2955))</f>
        <v/>
      </c>
      <c r="J2955">
        <f>IF(F2955="","",INT(H2955)-B2955)</f>
        <v/>
      </c>
      <c r="K2955">
        <f>IF(B2955&gt;=Settings!$C$5,1,0)</f>
        <v/>
      </c>
    </row>
    <row r="2956">
      <c r="A2956" t="inlineStr">
        <is>
          <t>7b27ab2fbcbe3b67935da0694742ed0e</t>
        </is>
      </c>
      <c r="B2956" s="29" t="n">
        <v>43129</v>
      </c>
      <c r="C2956" t="inlineStr">
        <is>
          <t>2018-01</t>
        </is>
      </c>
      <c r="D2956" t="inlineStr">
        <is>
          <t>22c29808c4f815213303f8933030604c</t>
        </is>
      </c>
      <c r="E2956" t="inlineStr">
        <is>
          <t>organic_search</t>
        </is>
      </c>
      <c r="F2956">
        <f>IFERROR(MATCH(A2956,Deals!$A$2:$A$843,0),"")</f>
        <v/>
      </c>
      <c r="G2956">
        <f>IF(F2956="",0,1)</f>
        <v/>
      </c>
      <c r="H2956" s="29">
        <f>IF(F2956="","",INDEX(Deals!$E$2:$E$843,F2956))</f>
        <v/>
      </c>
      <c r="I2956">
        <f>IF(F2956="","",INDEX(Deals!$D$2:$D$843,F2956))</f>
        <v/>
      </c>
      <c r="J2956">
        <f>IF(F2956="","",INT(H2956)-B2956)</f>
        <v/>
      </c>
      <c r="K2956">
        <f>IF(B2956&gt;=Settings!$C$5,1,0)</f>
        <v/>
      </c>
    </row>
    <row r="2957">
      <c r="A2957" t="inlineStr">
        <is>
          <t>386db06624c16f236b9815a220896e90</t>
        </is>
      </c>
      <c r="B2957" s="29" t="n">
        <v>43113</v>
      </c>
      <c r="C2957" t="inlineStr">
        <is>
          <t>2018-01</t>
        </is>
      </c>
      <c r="D2957" t="inlineStr">
        <is>
          <t>22c29808c4f815213303f8933030604c</t>
        </is>
      </c>
      <c r="E2957" t="inlineStr">
        <is>
          <t>organic_search</t>
        </is>
      </c>
      <c r="F2957">
        <f>IFERROR(MATCH(A2957,Deals!$A$2:$A$843,0),"")</f>
        <v/>
      </c>
      <c r="G2957">
        <f>IF(F2957="",0,1)</f>
        <v/>
      </c>
      <c r="H2957" s="29">
        <f>IF(F2957="","",INDEX(Deals!$E$2:$E$843,F2957))</f>
        <v/>
      </c>
      <c r="I2957">
        <f>IF(F2957="","",INDEX(Deals!$D$2:$D$843,F2957))</f>
        <v/>
      </c>
      <c r="J2957">
        <f>IF(F2957="","",INT(H2957)-B2957)</f>
        <v/>
      </c>
      <c r="K2957">
        <f>IF(B2957&gt;=Settings!$C$5,1,0)</f>
        <v/>
      </c>
    </row>
    <row r="2958">
      <c r="A2958" t="inlineStr">
        <is>
          <t>ce1542ca94b4c1147ab2c8155fb41578</t>
        </is>
      </c>
      <c r="B2958" s="29" t="n">
        <v>43033</v>
      </c>
      <c r="C2958" t="inlineStr">
        <is>
          <t>2017-10</t>
        </is>
      </c>
      <c r="D2958" t="inlineStr">
        <is>
          <t>22c29808c4f815213303f8933030604c</t>
        </is>
      </c>
      <c r="E2958" t="inlineStr">
        <is>
          <t>organic_search</t>
        </is>
      </c>
      <c r="F2958">
        <f>IFERROR(MATCH(A2958,Deals!$A$2:$A$843,0),"")</f>
        <v/>
      </c>
      <c r="G2958">
        <f>IF(F2958="",0,1)</f>
        <v/>
      </c>
      <c r="H2958" s="29">
        <f>IF(F2958="","",INDEX(Deals!$E$2:$E$843,F2958))</f>
        <v/>
      </c>
      <c r="I2958">
        <f>IF(F2958="","",INDEX(Deals!$D$2:$D$843,F2958))</f>
        <v/>
      </c>
      <c r="J2958">
        <f>IF(F2958="","",INT(H2958)-B2958)</f>
        <v/>
      </c>
      <c r="K2958">
        <f>IF(B2958&gt;=Settings!$C$5,1,0)</f>
        <v/>
      </c>
    </row>
    <row r="2959">
      <c r="A2959" t="inlineStr">
        <is>
          <t>41117e4291a10cd6720bc6fe706ed521</t>
        </is>
      </c>
      <c r="B2959" s="29" t="n">
        <v>43240</v>
      </c>
      <c r="C2959" t="inlineStr">
        <is>
          <t>2018-05</t>
        </is>
      </c>
      <c r="D2959" t="inlineStr">
        <is>
          <t>58326e62183c14b0c03085c33b9fdc44</t>
        </is>
      </c>
      <c r="E2959" t="inlineStr">
        <is>
          <t>social</t>
        </is>
      </c>
      <c r="F2959">
        <f>IFERROR(MATCH(A2959,Deals!$A$2:$A$843,0),"")</f>
        <v/>
      </c>
      <c r="G2959">
        <f>IF(F2959="",0,1)</f>
        <v/>
      </c>
      <c r="H2959" s="29">
        <f>IF(F2959="","",INDEX(Deals!$E$2:$E$843,F2959))</f>
        <v/>
      </c>
      <c r="I2959">
        <f>IF(F2959="","",INDEX(Deals!$D$2:$D$843,F2959))</f>
        <v/>
      </c>
      <c r="J2959">
        <f>IF(F2959="","",INT(H2959)-B2959)</f>
        <v/>
      </c>
      <c r="K2959">
        <f>IF(B2959&gt;=Settings!$C$5,1,0)</f>
        <v/>
      </c>
    </row>
    <row r="2960">
      <c r="A2960" t="inlineStr">
        <is>
          <t>fae30afa0073712435e3302fa439ad4c</t>
        </is>
      </c>
      <c r="B2960" s="29" t="n">
        <v>43029</v>
      </c>
      <c r="C2960" t="inlineStr">
        <is>
          <t>2017-10</t>
        </is>
      </c>
      <c r="D2960" t="inlineStr">
        <is>
          <t>ef0b482996664cc1107b9051efd3ca84</t>
        </is>
      </c>
      <c r="E2960" t="inlineStr">
        <is>
          <t>organic_search</t>
        </is>
      </c>
      <c r="F2960">
        <f>IFERROR(MATCH(A2960,Deals!$A$2:$A$843,0),"")</f>
        <v/>
      </c>
      <c r="G2960">
        <f>IF(F2960="",0,1)</f>
        <v/>
      </c>
      <c r="H2960" s="29">
        <f>IF(F2960="","",INDEX(Deals!$E$2:$E$843,F2960))</f>
        <v/>
      </c>
      <c r="I2960">
        <f>IF(F2960="","",INDEX(Deals!$D$2:$D$843,F2960))</f>
        <v/>
      </c>
      <c r="J2960">
        <f>IF(F2960="","",INT(H2960)-B2960)</f>
        <v/>
      </c>
      <c r="K2960">
        <f>IF(B2960&gt;=Settings!$C$5,1,0)</f>
        <v/>
      </c>
    </row>
    <row r="2961">
      <c r="A2961" t="inlineStr">
        <is>
          <t>ab29fe6d1217894ad5cd4e77c34855e7</t>
        </is>
      </c>
      <c r="B2961" s="29" t="n">
        <v>43033</v>
      </c>
      <c r="C2961" t="inlineStr">
        <is>
          <t>2017-10</t>
        </is>
      </c>
      <c r="D2961" t="inlineStr">
        <is>
          <t>1722481ac9e5371e5099dea226b5421d</t>
        </is>
      </c>
      <c r="E2961" t="inlineStr">
        <is>
          <t>organic_search</t>
        </is>
      </c>
      <c r="F2961">
        <f>IFERROR(MATCH(A2961,Deals!$A$2:$A$843,0),"")</f>
        <v/>
      </c>
      <c r="G2961">
        <f>IF(F2961="",0,1)</f>
        <v/>
      </c>
      <c r="H2961" s="29">
        <f>IF(F2961="","",INDEX(Deals!$E$2:$E$843,F2961))</f>
        <v/>
      </c>
      <c r="I2961">
        <f>IF(F2961="","",INDEX(Deals!$D$2:$D$843,F2961))</f>
        <v/>
      </c>
      <c r="J2961">
        <f>IF(F2961="","",INT(H2961)-B2961)</f>
        <v/>
      </c>
      <c r="K2961">
        <f>IF(B2961&gt;=Settings!$C$5,1,0)</f>
        <v/>
      </c>
    </row>
    <row r="2962">
      <c r="A2962" t="inlineStr">
        <is>
          <t>62c19c2e9965481203a681b55a05e65a</t>
        </is>
      </c>
      <c r="B2962" s="29" t="n">
        <v>43228</v>
      </c>
      <c r="C2962" t="inlineStr">
        <is>
          <t>2018-05</t>
        </is>
      </c>
      <c r="D2962" t="inlineStr">
        <is>
          <t>22c29808c4f815213303f8933030604c</t>
        </is>
      </c>
      <c r="E2962" t="inlineStr">
        <is>
          <t>paid_search</t>
        </is>
      </c>
      <c r="F2962">
        <f>IFERROR(MATCH(A2962,Deals!$A$2:$A$843,0),"")</f>
        <v/>
      </c>
      <c r="G2962">
        <f>IF(F2962="",0,1)</f>
        <v/>
      </c>
      <c r="H2962" s="29">
        <f>IF(F2962="","",INDEX(Deals!$E$2:$E$843,F2962))</f>
        <v/>
      </c>
      <c r="I2962">
        <f>IF(F2962="","",INDEX(Deals!$D$2:$D$843,F2962))</f>
        <v/>
      </c>
      <c r="J2962">
        <f>IF(F2962="","",INT(H2962)-B2962)</f>
        <v/>
      </c>
      <c r="K2962">
        <f>IF(B2962&gt;=Settings!$C$5,1,0)</f>
        <v/>
      </c>
    </row>
    <row r="2963">
      <c r="A2963" t="inlineStr">
        <is>
          <t>bea6f48261d29b0dba555367e277f670</t>
        </is>
      </c>
      <c r="B2963" s="29" t="n">
        <v>43218</v>
      </c>
      <c r="C2963" t="inlineStr">
        <is>
          <t>2018-04</t>
        </is>
      </c>
      <c r="D2963" t="inlineStr">
        <is>
          <t>f017be4dbf86243af5c1ebed0cff36a2</t>
        </is>
      </c>
      <c r="E2963" t="inlineStr">
        <is>
          <t>organic_search</t>
        </is>
      </c>
      <c r="F2963">
        <f>IFERROR(MATCH(A2963,Deals!$A$2:$A$843,0),"")</f>
        <v/>
      </c>
      <c r="G2963">
        <f>IF(F2963="",0,1)</f>
        <v/>
      </c>
      <c r="H2963" s="29">
        <f>IF(F2963="","",INDEX(Deals!$E$2:$E$843,F2963))</f>
        <v/>
      </c>
      <c r="I2963">
        <f>IF(F2963="","",INDEX(Deals!$D$2:$D$843,F2963))</f>
        <v/>
      </c>
      <c r="J2963">
        <f>IF(F2963="","",INT(H2963)-B2963)</f>
        <v/>
      </c>
      <c r="K2963">
        <f>IF(B2963&gt;=Settings!$C$5,1,0)</f>
        <v/>
      </c>
    </row>
    <row r="2964">
      <c r="A2964" t="inlineStr">
        <is>
          <t>84ca5950143557353793f24e65e1af22</t>
        </is>
      </c>
      <c r="B2964" s="29" t="n">
        <v>43209</v>
      </c>
      <c r="C2964" t="inlineStr">
        <is>
          <t>2018-04</t>
        </is>
      </c>
      <c r="D2964" t="inlineStr">
        <is>
          <t>b76ef37428e6799c421989521c0e5077</t>
        </is>
      </c>
      <c r="E2964" t="inlineStr">
        <is>
          <t>unknown</t>
        </is>
      </c>
      <c r="F2964">
        <f>IFERROR(MATCH(A2964,Deals!$A$2:$A$843,0),"")</f>
        <v/>
      </c>
      <c r="G2964">
        <f>IF(F2964="",0,1)</f>
        <v/>
      </c>
      <c r="H2964" s="29">
        <f>IF(F2964="","",INDEX(Deals!$E$2:$E$843,F2964))</f>
        <v/>
      </c>
      <c r="I2964">
        <f>IF(F2964="","",INDEX(Deals!$D$2:$D$843,F2964))</f>
        <v/>
      </c>
      <c r="J2964">
        <f>IF(F2964="","",INT(H2964)-B2964)</f>
        <v/>
      </c>
      <c r="K2964">
        <f>IF(B2964&gt;=Settings!$C$5,1,0)</f>
        <v/>
      </c>
    </row>
    <row r="2965">
      <c r="A2965" t="inlineStr">
        <is>
          <t>6ce8b21f4a3e266c37ba54cbb0fd2bc4</t>
        </is>
      </c>
      <c r="B2965" s="29" t="n">
        <v>43164</v>
      </c>
      <c r="C2965" t="inlineStr">
        <is>
          <t>2018-03</t>
        </is>
      </c>
      <c r="D2965" t="inlineStr">
        <is>
          <t>22c29808c4f815213303f8933030604c</t>
        </is>
      </c>
      <c r="E2965" t="inlineStr">
        <is>
          <t>organic_search</t>
        </is>
      </c>
      <c r="F2965">
        <f>IFERROR(MATCH(A2965,Deals!$A$2:$A$843,0),"")</f>
        <v/>
      </c>
      <c r="G2965">
        <f>IF(F2965="",0,1)</f>
        <v/>
      </c>
      <c r="H2965" s="29">
        <f>IF(F2965="","",INDEX(Deals!$E$2:$E$843,F2965))</f>
        <v/>
      </c>
      <c r="I2965">
        <f>IF(F2965="","",INDEX(Deals!$D$2:$D$843,F2965))</f>
        <v/>
      </c>
      <c r="J2965">
        <f>IF(F2965="","",INT(H2965)-B2965)</f>
        <v/>
      </c>
      <c r="K2965">
        <f>IF(B2965&gt;=Settings!$C$5,1,0)</f>
        <v/>
      </c>
    </row>
    <row r="2966">
      <c r="A2966" t="inlineStr">
        <is>
          <t>ff6fb10988a20c8d51c53e75bc6d5e3b</t>
        </is>
      </c>
      <c r="B2966" s="29" t="n">
        <v>43216</v>
      </c>
      <c r="C2966" t="inlineStr">
        <is>
          <t>2018-04</t>
        </is>
      </c>
      <c r="D2966" t="inlineStr">
        <is>
          <t>ce1a65abd0973638f1c887a6efcfa82d</t>
        </is>
      </c>
      <c r="E2966" t="inlineStr">
        <is>
          <t>organic_search</t>
        </is>
      </c>
      <c r="F2966">
        <f>IFERROR(MATCH(A2966,Deals!$A$2:$A$843,0),"")</f>
        <v/>
      </c>
      <c r="G2966">
        <f>IF(F2966="",0,1)</f>
        <v/>
      </c>
      <c r="H2966" s="29">
        <f>IF(F2966="","",INDEX(Deals!$E$2:$E$843,F2966))</f>
        <v/>
      </c>
      <c r="I2966">
        <f>IF(F2966="","",INDEX(Deals!$D$2:$D$843,F2966))</f>
        <v/>
      </c>
      <c r="J2966">
        <f>IF(F2966="","",INT(H2966)-B2966)</f>
        <v/>
      </c>
      <c r="K2966">
        <f>IF(B2966&gt;=Settings!$C$5,1,0)</f>
        <v/>
      </c>
    </row>
    <row r="2967">
      <c r="A2967" t="inlineStr">
        <is>
          <t>a521033c5d6c1afc9fc668aea0972a1b</t>
        </is>
      </c>
      <c r="B2967" s="29" t="n">
        <v>43244</v>
      </c>
      <c r="C2967" t="inlineStr">
        <is>
          <t>2018-05</t>
        </is>
      </c>
      <c r="D2967" t="inlineStr">
        <is>
          <t>e5eaa929c6697d69cd76727daa809042</t>
        </is>
      </c>
      <c r="E2967" t="inlineStr">
        <is>
          <t>social</t>
        </is>
      </c>
      <c r="F2967">
        <f>IFERROR(MATCH(A2967,Deals!$A$2:$A$843,0),"")</f>
        <v/>
      </c>
      <c r="G2967">
        <f>IF(F2967="",0,1)</f>
        <v/>
      </c>
      <c r="H2967" s="29">
        <f>IF(F2967="","",INDEX(Deals!$E$2:$E$843,F2967))</f>
        <v/>
      </c>
      <c r="I2967">
        <f>IF(F2967="","",INDEX(Deals!$D$2:$D$843,F2967))</f>
        <v/>
      </c>
      <c r="J2967">
        <f>IF(F2967="","",INT(H2967)-B2967)</f>
        <v/>
      </c>
      <c r="K2967">
        <f>IF(B2967&gt;=Settings!$C$5,1,0)</f>
        <v/>
      </c>
    </row>
    <row r="2968">
      <c r="A2968" t="inlineStr">
        <is>
          <t>ab881944a0881e36f759347e6c1735ed</t>
        </is>
      </c>
      <c r="B2968" s="29" t="n">
        <v>43172</v>
      </c>
      <c r="C2968" t="inlineStr">
        <is>
          <t>2018-03</t>
        </is>
      </c>
      <c r="D2968" t="inlineStr">
        <is>
          <t>40dec9f3d5259a3d2dbcdab2114fae47</t>
        </is>
      </c>
      <c r="E2968" t="inlineStr">
        <is>
          <t>organic_search</t>
        </is>
      </c>
      <c r="F2968">
        <f>IFERROR(MATCH(A2968,Deals!$A$2:$A$843,0),"")</f>
        <v/>
      </c>
      <c r="G2968">
        <f>IF(F2968="",0,1)</f>
        <v/>
      </c>
      <c r="H2968" s="29">
        <f>IF(F2968="","",INDEX(Deals!$E$2:$E$843,F2968))</f>
        <v/>
      </c>
      <c r="I2968">
        <f>IF(F2968="","",INDEX(Deals!$D$2:$D$843,F2968))</f>
        <v/>
      </c>
      <c r="J2968">
        <f>IF(F2968="","",INT(H2968)-B2968)</f>
        <v/>
      </c>
      <c r="K2968">
        <f>IF(B2968&gt;=Settings!$C$5,1,0)</f>
        <v/>
      </c>
    </row>
    <row r="2969">
      <c r="A2969" t="inlineStr">
        <is>
          <t>610dd082e924e67330156da59ac3db00</t>
        </is>
      </c>
      <c r="B2969" s="29" t="n">
        <v>43140</v>
      </c>
      <c r="C2969" t="inlineStr">
        <is>
          <t>2018-02</t>
        </is>
      </c>
      <c r="D2969" t="inlineStr">
        <is>
          <t>a7982125ff7aa3b2054c6e44f9d28522</t>
        </is>
      </c>
      <c r="E2969" t="inlineStr">
        <is>
          <t>organic_search</t>
        </is>
      </c>
      <c r="F2969">
        <f>IFERROR(MATCH(A2969,Deals!$A$2:$A$843,0),"")</f>
        <v/>
      </c>
      <c r="G2969">
        <f>IF(F2969="",0,1)</f>
        <v/>
      </c>
      <c r="H2969" s="29">
        <f>IF(F2969="","",INDEX(Deals!$E$2:$E$843,F2969))</f>
        <v/>
      </c>
      <c r="I2969">
        <f>IF(F2969="","",INDEX(Deals!$D$2:$D$843,F2969))</f>
        <v/>
      </c>
      <c r="J2969">
        <f>IF(F2969="","",INT(H2969)-B2969)</f>
        <v/>
      </c>
      <c r="K2969">
        <f>IF(B2969&gt;=Settings!$C$5,1,0)</f>
        <v/>
      </c>
    </row>
    <row r="2970">
      <c r="A2970" t="inlineStr">
        <is>
          <t>a1c1c34f2d042043b7b6798a85500ce4</t>
        </is>
      </c>
      <c r="B2970" s="29" t="n">
        <v>43173</v>
      </c>
      <c r="C2970" t="inlineStr">
        <is>
          <t>2018-03</t>
        </is>
      </c>
      <c r="D2970" t="inlineStr">
        <is>
          <t>330b9d44078a1ae5a221d655dcb77afa</t>
        </is>
      </c>
      <c r="E2970" t="inlineStr">
        <is>
          <t>organic_search</t>
        </is>
      </c>
      <c r="F2970">
        <f>IFERROR(MATCH(A2970,Deals!$A$2:$A$843,0),"")</f>
        <v/>
      </c>
      <c r="G2970">
        <f>IF(F2970="",0,1)</f>
        <v/>
      </c>
      <c r="H2970" s="29">
        <f>IF(F2970="","",INDEX(Deals!$E$2:$E$843,F2970))</f>
        <v/>
      </c>
      <c r="I2970">
        <f>IF(F2970="","",INDEX(Deals!$D$2:$D$843,F2970))</f>
        <v/>
      </c>
      <c r="J2970">
        <f>IF(F2970="","",INT(H2970)-B2970)</f>
        <v/>
      </c>
      <c r="K2970">
        <f>IF(B2970&gt;=Settings!$C$5,1,0)</f>
        <v/>
      </c>
    </row>
    <row r="2971">
      <c r="A2971" t="inlineStr">
        <is>
          <t>45d95af3e246cc5a1514a05b6c5a172a</t>
        </is>
      </c>
      <c r="B2971" s="29" t="n">
        <v>42984</v>
      </c>
      <c r="C2971" t="inlineStr">
        <is>
          <t>2017-09</t>
        </is>
      </c>
      <c r="D2971" t="inlineStr">
        <is>
          <t>b51b5a040fd76d72567c599481147956</t>
        </is>
      </c>
      <c r="E2971" t="inlineStr">
        <is>
          <t>organic_search</t>
        </is>
      </c>
      <c r="F2971">
        <f>IFERROR(MATCH(A2971,Deals!$A$2:$A$843,0),"")</f>
        <v/>
      </c>
      <c r="G2971">
        <f>IF(F2971="",0,1)</f>
        <v/>
      </c>
      <c r="H2971" s="29">
        <f>IF(F2971="","",INDEX(Deals!$E$2:$E$843,F2971))</f>
        <v/>
      </c>
      <c r="I2971">
        <f>IF(F2971="","",INDEX(Deals!$D$2:$D$843,F2971))</f>
        <v/>
      </c>
      <c r="J2971">
        <f>IF(F2971="","",INT(H2971)-B2971)</f>
        <v/>
      </c>
      <c r="K2971">
        <f>IF(B2971&gt;=Settings!$C$5,1,0)</f>
        <v/>
      </c>
    </row>
    <row r="2972">
      <c r="A2972" t="inlineStr">
        <is>
          <t>7f22f2ce01a1d2ec3cb03a27a0db321f</t>
        </is>
      </c>
      <c r="B2972" s="29" t="n">
        <v>43058</v>
      </c>
      <c r="C2972" t="inlineStr">
        <is>
          <t>2017-11</t>
        </is>
      </c>
      <c r="D2972" t="inlineStr">
        <is>
          <t>f017be4dbf86243af5c1ebed0cff36a2</t>
        </is>
      </c>
      <c r="E2972" t="inlineStr">
        <is>
          <t>direct_traffic</t>
        </is>
      </c>
      <c r="F2972">
        <f>IFERROR(MATCH(A2972,Deals!$A$2:$A$843,0),"")</f>
        <v/>
      </c>
      <c r="G2972">
        <f>IF(F2972="",0,1)</f>
        <v/>
      </c>
      <c r="H2972" s="29">
        <f>IF(F2972="","",INDEX(Deals!$E$2:$E$843,F2972))</f>
        <v/>
      </c>
      <c r="I2972">
        <f>IF(F2972="","",INDEX(Deals!$D$2:$D$843,F2972))</f>
        <v/>
      </c>
      <c r="J2972">
        <f>IF(F2972="","",INT(H2972)-B2972)</f>
        <v/>
      </c>
      <c r="K2972">
        <f>IF(B2972&gt;=Settings!$C$5,1,0)</f>
        <v/>
      </c>
    </row>
    <row r="2973">
      <c r="A2973" t="inlineStr">
        <is>
          <t>c6aae98722a05d2a1a2370faef8b1b66</t>
        </is>
      </c>
      <c r="B2973" s="29" t="n">
        <v>43025</v>
      </c>
      <c r="C2973" t="inlineStr">
        <is>
          <t>2017-10</t>
        </is>
      </c>
      <c r="D2973" t="inlineStr">
        <is>
          <t>a5f7caba65f90d45005f62cb85bced39</t>
        </is>
      </c>
      <c r="E2973" t="inlineStr">
        <is>
          <t>email</t>
        </is>
      </c>
      <c r="F2973">
        <f>IFERROR(MATCH(A2973,Deals!$A$2:$A$843,0),"")</f>
        <v/>
      </c>
      <c r="G2973">
        <f>IF(F2973="",0,1)</f>
        <v/>
      </c>
      <c r="H2973" s="29">
        <f>IF(F2973="","",INDEX(Deals!$E$2:$E$843,F2973))</f>
        <v/>
      </c>
      <c r="I2973">
        <f>IF(F2973="","",INDEX(Deals!$D$2:$D$843,F2973))</f>
        <v/>
      </c>
      <c r="J2973">
        <f>IF(F2973="","",INT(H2973)-B2973)</f>
        <v/>
      </c>
      <c r="K2973">
        <f>IF(B2973&gt;=Settings!$C$5,1,0)</f>
        <v/>
      </c>
    </row>
    <row r="2974">
      <c r="A2974" t="inlineStr">
        <is>
          <t>9a176baf810d96d12324b97d562117cd</t>
        </is>
      </c>
      <c r="B2974" s="29" t="n">
        <v>43131</v>
      </c>
      <c r="C2974" t="inlineStr">
        <is>
          <t>2018-01</t>
        </is>
      </c>
      <c r="D2974" t="inlineStr">
        <is>
          <t>65d9f9d71e562365e8b44037c2888d98</t>
        </is>
      </c>
      <c r="E2974" t="inlineStr">
        <is>
          <t>paid_search</t>
        </is>
      </c>
      <c r="F2974">
        <f>IFERROR(MATCH(A2974,Deals!$A$2:$A$843,0),"")</f>
        <v/>
      </c>
      <c r="G2974">
        <f>IF(F2974="",0,1)</f>
        <v/>
      </c>
      <c r="H2974" s="29">
        <f>IF(F2974="","",INDEX(Deals!$E$2:$E$843,F2974))</f>
        <v/>
      </c>
      <c r="I2974">
        <f>IF(F2974="","",INDEX(Deals!$D$2:$D$843,F2974))</f>
        <v/>
      </c>
      <c r="J2974">
        <f>IF(F2974="","",INT(H2974)-B2974)</f>
        <v/>
      </c>
      <c r="K2974">
        <f>IF(B2974&gt;=Settings!$C$5,1,0)</f>
        <v/>
      </c>
    </row>
    <row r="2975">
      <c r="A2975" t="inlineStr">
        <is>
          <t>3bb7e223dd6fe07da16874517cf3fa54</t>
        </is>
      </c>
      <c r="B2975" s="29" t="n">
        <v>42922</v>
      </c>
      <c r="C2975" t="inlineStr">
        <is>
          <t>2017-07</t>
        </is>
      </c>
      <c r="D2975" t="inlineStr">
        <is>
          <t>d1bad8bf984bd4d7ee08f814ca589897</t>
        </is>
      </c>
      <c r="E2975" t="inlineStr">
        <is>
          <t>paid_search</t>
        </is>
      </c>
      <c r="F2975">
        <f>IFERROR(MATCH(A2975,Deals!$A$2:$A$843,0),"")</f>
        <v/>
      </c>
      <c r="G2975">
        <f>IF(F2975="",0,1)</f>
        <v/>
      </c>
      <c r="H2975" s="29">
        <f>IF(F2975="","",INDEX(Deals!$E$2:$E$843,F2975))</f>
        <v/>
      </c>
      <c r="I2975">
        <f>IF(F2975="","",INDEX(Deals!$D$2:$D$843,F2975))</f>
        <v/>
      </c>
      <c r="J2975">
        <f>IF(F2975="","",INT(H2975)-B2975)</f>
        <v/>
      </c>
      <c r="K2975">
        <f>IF(B2975&gt;=Settings!$C$5,1,0)</f>
        <v/>
      </c>
    </row>
    <row r="2976">
      <c r="A2976" t="inlineStr">
        <is>
          <t>ba9be94b9a84fd28d757834ac32c0d60</t>
        </is>
      </c>
      <c r="B2976" s="29" t="n">
        <v>43150</v>
      </c>
      <c r="C2976" t="inlineStr">
        <is>
          <t>2018-02</t>
        </is>
      </c>
      <c r="D2976" t="inlineStr">
        <is>
          <t>ce1a65abd0973638f1c887a6efcfa82d</t>
        </is>
      </c>
      <c r="E2976" t="inlineStr">
        <is>
          <t>paid_search</t>
        </is>
      </c>
      <c r="F2976">
        <f>IFERROR(MATCH(A2976,Deals!$A$2:$A$843,0),"")</f>
        <v/>
      </c>
      <c r="G2976">
        <f>IF(F2976="",0,1)</f>
        <v/>
      </c>
      <c r="H2976" s="29">
        <f>IF(F2976="","",INDEX(Deals!$E$2:$E$843,F2976))</f>
        <v/>
      </c>
      <c r="I2976">
        <f>IF(F2976="","",INDEX(Deals!$D$2:$D$843,F2976))</f>
        <v/>
      </c>
      <c r="J2976">
        <f>IF(F2976="","",INT(H2976)-B2976)</f>
        <v/>
      </c>
      <c r="K2976">
        <f>IF(B2976&gt;=Settings!$C$5,1,0)</f>
        <v/>
      </c>
    </row>
    <row r="2977">
      <c r="A2977" t="inlineStr">
        <is>
          <t>68482ad368c7b9779cf50a7164815379</t>
        </is>
      </c>
      <c r="B2977" s="29" t="n">
        <v>43242</v>
      </c>
      <c r="C2977" t="inlineStr">
        <is>
          <t>2018-05</t>
        </is>
      </c>
      <c r="D2977" t="inlineStr">
        <is>
          <t>b76ef37428e6799c421989521c0e5077</t>
        </is>
      </c>
      <c r="E2977" t="inlineStr">
        <is>
          <t>unknown</t>
        </is>
      </c>
      <c r="F2977">
        <f>IFERROR(MATCH(A2977,Deals!$A$2:$A$843,0),"")</f>
        <v/>
      </c>
      <c r="G2977">
        <f>IF(F2977="",0,1)</f>
        <v/>
      </c>
      <c r="H2977" s="29">
        <f>IF(F2977="","",INDEX(Deals!$E$2:$E$843,F2977))</f>
        <v/>
      </c>
      <c r="I2977">
        <f>IF(F2977="","",INDEX(Deals!$D$2:$D$843,F2977))</f>
        <v/>
      </c>
      <c r="J2977">
        <f>IF(F2977="","",INT(H2977)-B2977)</f>
        <v/>
      </c>
      <c r="K2977">
        <f>IF(B2977&gt;=Settings!$C$5,1,0)</f>
        <v/>
      </c>
    </row>
    <row r="2978">
      <c r="A2978" t="inlineStr">
        <is>
          <t>e1e32379b464961f67fba6ddf6d4b3b7</t>
        </is>
      </c>
      <c r="B2978" s="29" t="n">
        <v>42918</v>
      </c>
      <c r="C2978" t="inlineStr">
        <is>
          <t>2017-07</t>
        </is>
      </c>
      <c r="D2978" t="inlineStr">
        <is>
          <t>0b37d43dbde6452cdd94c17bf61a88e4</t>
        </is>
      </c>
      <c r="E2978" t="inlineStr">
        <is>
          <t>direct_traffic</t>
        </is>
      </c>
      <c r="F2978">
        <f>IFERROR(MATCH(A2978,Deals!$A$2:$A$843,0),"")</f>
        <v/>
      </c>
      <c r="G2978">
        <f>IF(F2978="",0,1)</f>
        <v/>
      </c>
      <c r="H2978" s="29">
        <f>IF(F2978="","",INDEX(Deals!$E$2:$E$843,F2978))</f>
        <v/>
      </c>
      <c r="I2978">
        <f>IF(F2978="","",INDEX(Deals!$D$2:$D$843,F2978))</f>
        <v/>
      </c>
      <c r="J2978">
        <f>IF(F2978="","",INT(H2978)-B2978)</f>
        <v/>
      </c>
      <c r="K2978">
        <f>IF(B2978&gt;=Settings!$C$5,1,0)</f>
        <v/>
      </c>
    </row>
    <row r="2979">
      <c r="A2979" t="inlineStr">
        <is>
          <t>eeee10ca0e0d0bef8556dc43da2097dc</t>
        </is>
      </c>
      <c r="B2979" s="29" t="n">
        <v>43242</v>
      </c>
      <c r="C2979" t="inlineStr">
        <is>
          <t>2018-05</t>
        </is>
      </c>
      <c r="D2979" t="inlineStr">
        <is>
          <t>330b9d44078a1ae5a221d655dcb77afa</t>
        </is>
      </c>
      <c r="E2979" t="inlineStr">
        <is>
          <t>organic_search</t>
        </is>
      </c>
      <c r="F2979">
        <f>IFERROR(MATCH(A2979,Deals!$A$2:$A$843,0),"")</f>
        <v/>
      </c>
      <c r="G2979">
        <f>IF(F2979="",0,1)</f>
        <v/>
      </c>
      <c r="H2979" s="29">
        <f>IF(F2979="","",INDEX(Deals!$E$2:$E$843,F2979))</f>
        <v/>
      </c>
      <c r="I2979">
        <f>IF(F2979="","",INDEX(Deals!$D$2:$D$843,F2979))</f>
        <v/>
      </c>
      <c r="J2979">
        <f>IF(F2979="","",INT(H2979)-B2979)</f>
        <v/>
      </c>
      <c r="K2979">
        <f>IF(B2979&gt;=Settings!$C$5,1,0)</f>
        <v/>
      </c>
    </row>
    <row r="2980">
      <c r="A2980" t="inlineStr">
        <is>
          <t>08be83f454d1b25bc644a44783b8b7d2</t>
        </is>
      </c>
      <c r="B2980" s="29" t="n">
        <v>43223</v>
      </c>
      <c r="C2980" t="inlineStr">
        <is>
          <t>2018-05</t>
        </is>
      </c>
      <c r="D2980" t="inlineStr">
        <is>
          <t>b76ef37428e6799c421989521c0e5077</t>
        </is>
      </c>
      <c r="E2980" t="inlineStr">
        <is>
          <t>unknown</t>
        </is>
      </c>
      <c r="F2980">
        <f>IFERROR(MATCH(A2980,Deals!$A$2:$A$843,0),"")</f>
        <v/>
      </c>
      <c r="G2980">
        <f>IF(F2980="",0,1)</f>
        <v/>
      </c>
      <c r="H2980" s="29">
        <f>IF(F2980="","",INDEX(Deals!$E$2:$E$843,F2980))</f>
        <v/>
      </c>
      <c r="I2980">
        <f>IF(F2980="","",INDEX(Deals!$D$2:$D$843,F2980))</f>
        <v/>
      </c>
      <c r="J2980">
        <f>IF(F2980="","",INT(H2980)-B2980)</f>
        <v/>
      </c>
      <c r="K2980">
        <f>IF(B2980&gt;=Settings!$C$5,1,0)</f>
        <v/>
      </c>
    </row>
    <row r="2981">
      <c r="A2981" t="inlineStr">
        <is>
          <t>093ace40ff7076ad59a3ab71dea56df0</t>
        </is>
      </c>
      <c r="B2981" s="29" t="n">
        <v>43166</v>
      </c>
      <c r="C2981" t="inlineStr">
        <is>
          <t>2018-03</t>
        </is>
      </c>
      <c r="D2981" t="inlineStr">
        <is>
          <t>40dec9f3d5259a3d2dbcdab2114fae47</t>
        </is>
      </c>
      <c r="E2981" t="inlineStr">
        <is>
          <t>paid_search</t>
        </is>
      </c>
      <c r="F2981">
        <f>IFERROR(MATCH(A2981,Deals!$A$2:$A$843,0),"")</f>
        <v/>
      </c>
      <c r="G2981">
        <f>IF(F2981="",0,1)</f>
        <v/>
      </c>
      <c r="H2981" s="29">
        <f>IF(F2981="","",INDEX(Deals!$E$2:$E$843,F2981))</f>
        <v/>
      </c>
      <c r="I2981">
        <f>IF(F2981="","",INDEX(Deals!$D$2:$D$843,F2981))</f>
        <v/>
      </c>
      <c r="J2981">
        <f>IF(F2981="","",INT(H2981)-B2981)</f>
        <v/>
      </c>
      <c r="K2981">
        <f>IF(B2981&gt;=Settings!$C$5,1,0)</f>
        <v/>
      </c>
    </row>
    <row r="2982">
      <c r="A2982" t="inlineStr">
        <is>
          <t>70699f79c6aeddeb2d322d7074c2f366</t>
        </is>
      </c>
      <c r="B2982" s="29" t="n">
        <v>43192</v>
      </c>
      <c r="C2982" t="inlineStr">
        <is>
          <t>2018-04</t>
        </is>
      </c>
      <c r="D2982" t="inlineStr">
        <is>
          <t>68f817c510c978e3a3a7474ad2aeb75c</t>
        </is>
      </c>
      <c r="E2982" t="inlineStr">
        <is>
          <t>paid_search</t>
        </is>
      </c>
      <c r="F2982">
        <f>IFERROR(MATCH(A2982,Deals!$A$2:$A$843,0),"")</f>
        <v/>
      </c>
      <c r="G2982">
        <f>IF(F2982="",0,1)</f>
        <v/>
      </c>
      <c r="H2982" s="29">
        <f>IF(F2982="","",INDEX(Deals!$E$2:$E$843,F2982))</f>
        <v/>
      </c>
      <c r="I2982">
        <f>IF(F2982="","",INDEX(Deals!$D$2:$D$843,F2982))</f>
        <v/>
      </c>
      <c r="J2982">
        <f>IF(F2982="","",INT(H2982)-B2982)</f>
        <v/>
      </c>
      <c r="K2982">
        <f>IF(B2982&gt;=Settings!$C$5,1,0)</f>
        <v/>
      </c>
    </row>
    <row r="2983">
      <c r="A2983" t="inlineStr">
        <is>
          <t>20004d9171f2c39562975a104b3b9d7d</t>
        </is>
      </c>
      <c r="B2983" s="29" t="n">
        <v>43004</v>
      </c>
      <c r="C2983" t="inlineStr">
        <is>
          <t>2017-09</t>
        </is>
      </c>
      <c r="D2983" t="inlineStr">
        <is>
          <t>82ce7345d29d3003d376f9382fc0eba0</t>
        </is>
      </c>
      <c r="E2983" t="inlineStr">
        <is>
          <t>organic_search</t>
        </is>
      </c>
      <c r="F2983">
        <f>IFERROR(MATCH(A2983,Deals!$A$2:$A$843,0),"")</f>
        <v/>
      </c>
      <c r="G2983">
        <f>IF(F2983="",0,1)</f>
        <v/>
      </c>
      <c r="H2983" s="29">
        <f>IF(F2983="","",INDEX(Deals!$E$2:$E$843,F2983))</f>
        <v/>
      </c>
      <c r="I2983">
        <f>IF(F2983="","",INDEX(Deals!$D$2:$D$843,F2983))</f>
        <v/>
      </c>
      <c r="J2983">
        <f>IF(F2983="","",INT(H2983)-B2983)</f>
        <v/>
      </c>
      <c r="K2983">
        <f>IF(B2983&gt;=Settings!$C$5,1,0)</f>
        <v/>
      </c>
    </row>
    <row r="2984">
      <c r="A2984" t="inlineStr">
        <is>
          <t>29ed0987440c24898ae109b05a1d3f8e</t>
        </is>
      </c>
      <c r="B2984" s="29" t="n">
        <v>43228</v>
      </c>
      <c r="C2984" t="inlineStr">
        <is>
          <t>2018-05</t>
        </is>
      </c>
      <c r="D2984" t="inlineStr">
        <is>
          <t>b76ef37428e6799c421989521c0e5077</t>
        </is>
      </c>
      <c r="E2984" t="inlineStr">
        <is>
          <t>unknown</t>
        </is>
      </c>
      <c r="F2984">
        <f>IFERROR(MATCH(A2984,Deals!$A$2:$A$843,0),"")</f>
        <v/>
      </c>
      <c r="G2984">
        <f>IF(F2984="",0,1)</f>
        <v/>
      </c>
      <c r="H2984" s="29">
        <f>IF(F2984="","",INDEX(Deals!$E$2:$E$843,F2984))</f>
        <v/>
      </c>
      <c r="I2984">
        <f>IF(F2984="","",INDEX(Deals!$D$2:$D$843,F2984))</f>
        <v/>
      </c>
      <c r="J2984">
        <f>IF(F2984="","",INT(H2984)-B2984)</f>
        <v/>
      </c>
      <c r="K2984">
        <f>IF(B2984&gt;=Settings!$C$5,1,0)</f>
        <v/>
      </c>
    </row>
    <row r="2985">
      <c r="A2985" t="inlineStr">
        <is>
          <t>8433ddfeaa9887f62f36e8c05b6e7022</t>
        </is>
      </c>
      <c r="B2985" s="29" t="n">
        <v>43207</v>
      </c>
      <c r="C2985" t="inlineStr">
        <is>
          <t>2018-04</t>
        </is>
      </c>
      <c r="D2985" t="inlineStr">
        <is>
          <t>7fa6214d82e911d070f51ef79381b956</t>
        </is>
      </c>
      <c r="E2985" t="inlineStr">
        <is>
          <t>direct_traffic</t>
        </is>
      </c>
      <c r="F2985">
        <f>IFERROR(MATCH(A2985,Deals!$A$2:$A$843,0),"")</f>
        <v/>
      </c>
      <c r="G2985">
        <f>IF(F2985="",0,1)</f>
        <v/>
      </c>
      <c r="H2985" s="29">
        <f>IF(F2985="","",INDEX(Deals!$E$2:$E$843,F2985))</f>
        <v/>
      </c>
      <c r="I2985">
        <f>IF(F2985="","",INDEX(Deals!$D$2:$D$843,F2985))</f>
        <v/>
      </c>
      <c r="J2985">
        <f>IF(F2985="","",INT(H2985)-B2985)</f>
        <v/>
      </c>
      <c r="K2985">
        <f>IF(B2985&gt;=Settings!$C$5,1,0)</f>
        <v/>
      </c>
    </row>
    <row r="2986">
      <c r="A2986" t="inlineStr">
        <is>
          <t>ab99bdd324780a346267d29dc02230d2</t>
        </is>
      </c>
      <c r="B2986" s="29" t="n">
        <v>43158</v>
      </c>
      <c r="C2986" t="inlineStr">
        <is>
          <t>2018-02</t>
        </is>
      </c>
      <c r="D2986" t="inlineStr">
        <is>
          <t>ce1a65abd0973638f1c887a6efcfa82d</t>
        </is>
      </c>
      <c r="E2986" t="inlineStr">
        <is>
          <t>organic_search</t>
        </is>
      </c>
      <c r="F2986">
        <f>IFERROR(MATCH(A2986,Deals!$A$2:$A$843,0),"")</f>
        <v/>
      </c>
      <c r="G2986">
        <f>IF(F2986="",0,1)</f>
        <v/>
      </c>
      <c r="H2986" s="29">
        <f>IF(F2986="","",INDEX(Deals!$E$2:$E$843,F2986))</f>
        <v/>
      </c>
      <c r="I2986">
        <f>IF(F2986="","",INDEX(Deals!$D$2:$D$843,F2986))</f>
        <v/>
      </c>
      <c r="J2986">
        <f>IF(F2986="","",INT(H2986)-B2986)</f>
        <v/>
      </c>
      <c r="K2986">
        <f>IF(B2986&gt;=Settings!$C$5,1,0)</f>
        <v/>
      </c>
    </row>
    <row r="2987">
      <c r="A2987" t="inlineStr">
        <is>
          <t>6b8df87e67318f5c70bf4ffad3485829</t>
        </is>
      </c>
      <c r="B2987" s="29" t="n">
        <v>42969</v>
      </c>
      <c r="C2987" t="inlineStr">
        <is>
          <t>2017-08</t>
        </is>
      </c>
      <c r="D2987" t="inlineStr">
        <is>
          <t>87732658ba41d8775e8577df347a64db</t>
        </is>
      </c>
      <c r="E2987" t="inlineStr">
        <is>
          <t>social</t>
        </is>
      </c>
      <c r="F2987">
        <f>IFERROR(MATCH(A2987,Deals!$A$2:$A$843,0),"")</f>
        <v/>
      </c>
      <c r="G2987">
        <f>IF(F2987="",0,1)</f>
        <v/>
      </c>
      <c r="H2987" s="29">
        <f>IF(F2987="","",INDEX(Deals!$E$2:$E$843,F2987))</f>
        <v/>
      </c>
      <c r="I2987">
        <f>IF(F2987="","",INDEX(Deals!$D$2:$D$843,F2987))</f>
        <v/>
      </c>
      <c r="J2987">
        <f>IF(F2987="","",INT(H2987)-B2987)</f>
        <v/>
      </c>
      <c r="K2987">
        <f>IF(B2987&gt;=Settings!$C$5,1,0)</f>
        <v/>
      </c>
    </row>
    <row r="2988">
      <c r="A2988" t="inlineStr">
        <is>
          <t>10295c3028a55d58e22ef9b29c00071a</t>
        </is>
      </c>
      <c r="B2988" s="29" t="n">
        <v>43197</v>
      </c>
      <c r="C2988" t="inlineStr">
        <is>
          <t>2018-04</t>
        </is>
      </c>
      <c r="D2988" t="inlineStr">
        <is>
          <t>ce1a65abd0973638f1c887a6efcfa82d</t>
        </is>
      </c>
      <c r="E2988" t="inlineStr">
        <is>
          <t>social</t>
        </is>
      </c>
      <c r="F2988">
        <f>IFERROR(MATCH(A2988,Deals!$A$2:$A$843,0),"")</f>
        <v/>
      </c>
      <c r="G2988">
        <f>IF(F2988="",0,1)</f>
        <v/>
      </c>
      <c r="H2988" s="29">
        <f>IF(F2988="","",INDEX(Deals!$E$2:$E$843,F2988))</f>
        <v/>
      </c>
      <c r="I2988">
        <f>IF(F2988="","",INDEX(Deals!$D$2:$D$843,F2988))</f>
        <v/>
      </c>
      <c r="J2988">
        <f>IF(F2988="","",INT(H2988)-B2988)</f>
        <v/>
      </c>
      <c r="K2988">
        <f>IF(B2988&gt;=Settings!$C$5,1,0)</f>
        <v/>
      </c>
    </row>
    <row r="2989">
      <c r="A2989" t="inlineStr">
        <is>
          <t>85fb7822c0e202d4b3bb8c1ad5e0280c</t>
        </is>
      </c>
      <c r="B2989" s="29" t="n">
        <v>43174</v>
      </c>
      <c r="C2989" t="inlineStr">
        <is>
          <t>2018-03</t>
        </is>
      </c>
      <c r="D2989" t="inlineStr">
        <is>
          <t>b76ef37428e6799c421989521c0e5077</t>
        </is>
      </c>
      <c r="E2989" t="inlineStr">
        <is>
          <t>organic_search</t>
        </is>
      </c>
      <c r="F2989">
        <f>IFERROR(MATCH(A2989,Deals!$A$2:$A$843,0),"")</f>
        <v/>
      </c>
      <c r="G2989">
        <f>IF(F2989="",0,1)</f>
        <v/>
      </c>
      <c r="H2989" s="29">
        <f>IF(F2989="","",INDEX(Deals!$E$2:$E$843,F2989))</f>
        <v/>
      </c>
      <c r="I2989">
        <f>IF(F2989="","",INDEX(Deals!$D$2:$D$843,F2989))</f>
        <v/>
      </c>
      <c r="J2989">
        <f>IF(F2989="","",INT(H2989)-B2989)</f>
        <v/>
      </c>
      <c r="K2989">
        <f>IF(B2989&gt;=Settings!$C$5,1,0)</f>
        <v/>
      </c>
    </row>
    <row r="2990">
      <c r="A2990" t="inlineStr">
        <is>
          <t>601477f166ad8e20492d52c5888a1ce8</t>
        </is>
      </c>
      <c r="B2990" s="29" t="n">
        <v>43143</v>
      </c>
      <c r="C2990" t="inlineStr">
        <is>
          <t>2018-02</t>
        </is>
      </c>
      <c r="D2990" t="inlineStr">
        <is>
          <t>e492ee5eaf1697716985cc6f33f9cd9b</t>
        </is>
      </c>
      <c r="E2990" t="inlineStr">
        <is>
          <t>email</t>
        </is>
      </c>
      <c r="F2990">
        <f>IFERROR(MATCH(A2990,Deals!$A$2:$A$843,0),"")</f>
        <v/>
      </c>
      <c r="G2990">
        <f>IF(F2990="",0,1)</f>
        <v/>
      </c>
      <c r="H2990" s="29">
        <f>IF(F2990="","",INDEX(Deals!$E$2:$E$843,F2990))</f>
        <v/>
      </c>
      <c r="I2990">
        <f>IF(F2990="","",INDEX(Deals!$D$2:$D$843,F2990))</f>
        <v/>
      </c>
      <c r="J2990">
        <f>IF(F2990="","",INT(H2990)-B2990)</f>
        <v/>
      </c>
      <c r="K2990">
        <f>IF(B2990&gt;=Settings!$C$5,1,0)</f>
        <v/>
      </c>
    </row>
    <row r="2991">
      <c r="A2991" t="inlineStr">
        <is>
          <t>105c713f26aceeeb177effaba81c5768</t>
        </is>
      </c>
      <c r="B2991" s="29" t="n">
        <v>43199</v>
      </c>
      <c r="C2991" t="inlineStr">
        <is>
          <t>2018-04</t>
        </is>
      </c>
      <c r="D2991" t="inlineStr">
        <is>
          <t>5dc848e7dd9418dffe183215b8ff0bc1</t>
        </is>
      </c>
      <c r="E2991" t="inlineStr">
        <is>
          <t>paid_search</t>
        </is>
      </c>
      <c r="F2991">
        <f>IFERROR(MATCH(A2991,Deals!$A$2:$A$843,0),"")</f>
        <v/>
      </c>
      <c r="G2991">
        <f>IF(F2991="",0,1)</f>
        <v/>
      </c>
      <c r="H2991" s="29">
        <f>IF(F2991="","",INDEX(Deals!$E$2:$E$843,F2991))</f>
        <v/>
      </c>
      <c r="I2991">
        <f>IF(F2991="","",INDEX(Deals!$D$2:$D$843,F2991))</f>
        <v/>
      </c>
      <c r="J2991">
        <f>IF(F2991="","",INT(H2991)-B2991)</f>
        <v/>
      </c>
      <c r="K2991">
        <f>IF(B2991&gt;=Settings!$C$5,1,0)</f>
        <v/>
      </c>
    </row>
    <row r="2992">
      <c r="A2992" t="inlineStr">
        <is>
          <t>cc2079f1f86ce2f9765a8659f9d07c8b</t>
        </is>
      </c>
      <c r="B2992" s="29" t="n">
        <v>43250</v>
      </c>
      <c r="C2992" t="inlineStr">
        <is>
          <t>2018-05</t>
        </is>
      </c>
      <c r="D2992" t="inlineStr">
        <is>
          <t>22c29808c4f815213303f8933030604c</t>
        </is>
      </c>
      <c r="E2992" t="inlineStr">
        <is>
          <t>organic_search</t>
        </is>
      </c>
      <c r="F2992">
        <f>IFERROR(MATCH(A2992,Deals!$A$2:$A$843,0),"")</f>
        <v/>
      </c>
      <c r="G2992">
        <f>IF(F2992="",0,1)</f>
        <v/>
      </c>
      <c r="H2992" s="29">
        <f>IF(F2992="","",INDEX(Deals!$E$2:$E$843,F2992))</f>
        <v/>
      </c>
      <c r="I2992">
        <f>IF(F2992="","",INDEX(Deals!$D$2:$D$843,F2992))</f>
        <v/>
      </c>
      <c r="J2992">
        <f>IF(F2992="","",INT(H2992)-B2992)</f>
        <v/>
      </c>
      <c r="K2992">
        <f>IF(B2992&gt;=Settings!$C$5,1,0)</f>
        <v/>
      </c>
    </row>
    <row r="2993">
      <c r="A2993" t="inlineStr">
        <is>
          <t>387ba2ba73ce1e4c81fb09175bf2a1f3</t>
        </is>
      </c>
      <c r="B2993" s="29" t="n">
        <v>43132</v>
      </c>
      <c r="C2993" t="inlineStr">
        <is>
          <t>2018-02</t>
        </is>
      </c>
      <c r="D2993" t="inlineStr">
        <is>
          <t>83bfeb1d106df88a2cde0965999161f0</t>
        </is>
      </c>
      <c r="E2993" t="inlineStr">
        <is>
          <t>organic_search</t>
        </is>
      </c>
      <c r="F2993">
        <f>IFERROR(MATCH(A2993,Deals!$A$2:$A$843,0),"")</f>
        <v/>
      </c>
      <c r="G2993">
        <f>IF(F2993="",0,1)</f>
        <v/>
      </c>
      <c r="H2993" s="29">
        <f>IF(F2993="","",INDEX(Deals!$E$2:$E$843,F2993))</f>
        <v/>
      </c>
      <c r="I2993">
        <f>IF(F2993="","",INDEX(Deals!$D$2:$D$843,F2993))</f>
        <v/>
      </c>
      <c r="J2993">
        <f>IF(F2993="","",INT(H2993)-B2993)</f>
        <v/>
      </c>
      <c r="K2993">
        <f>IF(B2993&gt;=Settings!$C$5,1,0)</f>
        <v/>
      </c>
    </row>
    <row r="2994">
      <c r="A2994" t="inlineStr">
        <is>
          <t>9173003064218a5f9e5a2504b53210ad</t>
        </is>
      </c>
      <c r="B2994" s="29" t="n">
        <v>43179</v>
      </c>
      <c r="C2994" t="inlineStr">
        <is>
          <t>2018-03</t>
        </is>
      </c>
      <c r="D2994" t="inlineStr">
        <is>
          <t>b76ef37428e6799c421989521c0e5077</t>
        </is>
      </c>
      <c r="E2994" t="inlineStr">
        <is>
          <t>unknown</t>
        </is>
      </c>
      <c r="F2994">
        <f>IFERROR(MATCH(A2994,Deals!$A$2:$A$843,0),"")</f>
        <v/>
      </c>
      <c r="G2994">
        <f>IF(F2994="",0,1)</f>
        <v/>
      </c>
      <c r="H2994" s="29">
        <f>IF(F2994="","",INDEX(Deals!$E$2:$E$843,F2994))</f>
        <v/>
      </c>
      <c r="I2994">
        <f>IF(F2994="","",INDEX(Deals!$D$2:$D$843,F2994))</f>
        <v/>
      </c>
      <c r="J2994">
        <f>IF(F2994="","",INT(H2994)-B2994)</f>
        <v/>
      </c>
      <c r="K2994">
        <f>IF(B2994&gt;=Settings!$C$5,1,0)</f>
        <v/>
      </c>
    </row>
    <row r="2995">
      <c r="A2995" t="inlineStr">
        <is>
          <t>06866f020cb80790b158b1ea301680a3</t>
        </is>
      </c>
      <c r="B2995" s="29" t="n">
        <v>43217</v>
      </c>
      <c r="C2995" t="inlineStr">
        <is>
          <t>2018-04</t>
        </is>
      </c>
      <c r="D2995" t="inlineStr">
        <is>
          <t>b76ef37428e6799c421989521c0e5077</t>
        </is>
      </c>
      <c r="E2995" t="inlineStr">
        <is>
          <t>organic_search</t>
        </is>
      </c>
      <c r="F2995">
        <f>IFERROR(MATCH(A2995,Deals!$A$2:$A$843,0),"")</f>
        <v/>
      </c>
      <c r="G2995">
        <f>IF(F2995="",0,1)</f>
        <v/>
      </c>
      <c r="H2995" s="29">
        <f>IF(F2995="","",INDEX(Deals!$E$2:$E$843,F2995))</f>
        <v/>
      </c>
      <c r="I2995">
        <f>IF(F2995="","",INDEX(Deals!$D$2:$D$843,F2995))</f>
        <v/>
      </c>
      <c r="J2995">
        <f>IF(F2995="","",INT(H2995)-B2995)</f>
        <v/>
      </c>
      <c r="K2995">
        <f>IF(B2995&gt;=Settings!$C$5,1,0)</f>
        <v/>
      </c>
    </row>
    <row r="2996">
      <c r="A2996" t="inlineStr">
        <is>
          <t>99bc9f7d864b6291861728d671d61890</t>
        </is>
      </c>
      <c r="B2996" s="29" t="n">
        <v>43024</v>
      </c>
      <c r="C2996" t="inlineStr">
        <is>
          <t>2017-10</t>
        </is>
      </c>
      <c r="D2996" t="inlineStr">
        <is>
          <t>87780f7c05ecd79791bde76af663db15</t>
        </is>
      </c>
      <c r="E2996" t="inlineStr">
        <is>
          <t>social</t>
        </is>
      </c>
      <c r="F2996">
        <f>IFERROR(MATCH(A2996,Deals!$A$2:$A$843,0),"")</f>
        <v/>
      </c>
      <c r="G2996">
        <f>IF(F2996="",0,1)</f>
        <v/>
      </c>
      <c r="H2996" s="29">
        <f>IF(F2996="","",INDEX(Deals!$E$2:$E$843,F2996))</f>
        <v/>
      </c>
      <c r="I2996">
        <f>IF(F2996="","",INDEX(Deals!$D$2:$D$843,F2996))</f>
        <v/>
      </c>
      <c r="J2996">
        <f>IF(F2996="","",INT(H2996)-B2996)</f>
        <v/>
      </c>
      <c r="K2996">
        <f>IF(B2996&gt;=Settings!$C$5,1,0)</f>
        <v/>
      </c>
    </row>
    <row r="2997">
      <c r="A2997" t="inlineStr">
        <is>
          <t>0c1a046883bb8a4141228501feece7c1</t>
        </is>
      </c>
      <c r="B2997" s="29" t="n">
        <v>43146</v>
      </c>
      <c r="C2997" t="inlineStr">
        <is>
          <t>2018-02</t>
        </is>
      </c>
      <c r="D2997" t="inlineStr">
        <is>
          <t>bdaeb752e5c3caa215ebe04c61e22325</t>
        </is>
      </c>
      <c r="E2997" t="inlineStr">
        <is>
          <t>organic_search</t>
        </is>
      </c>
      <c r="F2997">
        <f>IFERROR(MATCH(A2997,Deals!$A$2:$A$843,0),"")</f>
        <v/>
      </c>
      <c r="G2997">
        <f>IF(F2997="",0,1)</f>
        <v/>
      </c>
      <c r="H2997" s="29">
        <f>IF(F2997="","",INDEX(Deals!$E$2:$E$843,F2997))</f>
        <v/>
      </c>
      <c r="I2997">
        <f>IF(F2997="","",INDEX(Deals!$D$2:$D$843,F2997))</f>
        <v/>
      </c>
      <c r="J2997">
        <f>IF(F2997="","",INT(H2997)-B2997)</f>
        <v/>
      </c>
      <c r="K2997">
        <f>IF(B2997&gt;=Settings!$C$5,1,0)</f>
        <v/>
      </c>
    </row>
    <row r="2998">
      <c r="A2998" t="inlineStr">
        <is>
          <t>1d9b1a8b18c79139022fa537f4a12fd7</t>
        </is>
      </c>
      <c r="B2998" s="29" t="n">
        <v>43053</v>
      </c>
      <c r="C2998" t="inlineStr">
        <is>
          <t>2017-11</t>
        </is>
      </c>
      <c r="D2998" t="inlineStr">
        <is>
          <t>f017be4dbf86243af5c1ebed0cff36a2</t>
        </is>
      </c>
      <c r="E2998" t="inlineStr">
        <is>
          <t>referral</t>
        </is>
      </c>
      <c r="F2998">
        <f>IFERROR(MATCH(A2998,Deals!$A$2:$A$843,0),"")</f>
        <v/>
      </c>
      <c r="G2998">
        <f>IF(F2998="",0,1)</f>
        <v/>
      </c>
      <c r="H2998" s="29">
        <f>IF(F2998="","",INDEX(Deals!$E$2:$E$843,F2998))</f>
        <v/>
      </c>
      <c r="I2998">
        <f>IF(F2998="","",INDEX(Deals!$D$2:$D$843,F2998))</f>
        <v/>
      </c>
      <c r="J2998">
        <f>IF(F2998="","",INT(H2998)-B2998)</f>
        <v/>
      </c>
      <c r="K2998">
        <f>IF(B2998&gt;=Settings!$C$5,1,0)</f>
        <v/>
      </c>
    </row>
    <row r="2999">
      <c r="A2999" t="inlineStr">
        <is>
          <t>743159ebd0cb34f3a437e429724078f9</t>
        </is>
      </c>
      <c r="B2999" s="29" t="n">
        <v>43004</v>
      </c>
      <c r="C2999" t="inlineStr">
        <is>
          <t>2017-09</t>
        </is>
      </c>
      <c r="D2999" t="inlineStr">
        <is>
          <t>7fa6214d82e911d070f51ef79381b956</t>
        </is>
      </c>
      <c r="E2999" t="inlineStr">
        <is>
          <t>organic_search</t>
        </is>
      </c>
      <c r="F2999">
        <f>IFERROR(MATCH(A2999,Deals!$A$2:$A$843,0),"")</f>
        <v/>
      </c>
      <c r="G2999">
        <f>IF(F2999="",0,1)</f>
        <v/>
      </c>
      <c r="H2999" s="29">
        <f>IF(F2999="","",INDEX(Deals!$E$2:$E$843,F2999))</f>
        <v/>
      </c>
      <c r="I2999">
        <f>IF(F2999="","",INDEX(Deals!$D$2:$D$843,F2999))</f>
        <v/>
      </c>
      <c r="J2999">
        <f>IF(F2999="","",INT(H2999)-B2999)</f>
        <v/>
      </c>
      <c r="K2999">
        <f>IF(B2999&gt;=Settings!$C$5,1,0)</f>
        <v/>
      </c>
    </row>
    <row r="3000">
      <c r="A3000" t="inlineStr">
        <is>
          <t>035470355c525490c9db87b4f0a48b51</t>
        </is>
      </c>
      <c r="B3000" s="29" t="n">
        <v>43129</v>
      </c>
      <c r="C3000" t="inlineStr">
        <is>
          <t>2018-01</t>
        </is>
      </c>
      <c r="D3000" t="inlineStr">
        <is>
          <t>b76ef37428e6799c421989521c0e5077</t>
        </is>
      </c>
      <c r="E3000" t="inlineStr">
        <is>
          <t>unknown</t>
        </is>
      </c>
      <c r="F3000">
        <f>IFERROR(MATCH(A3000,Deals!$A$2:$A$843,0),"")</f>
        <v/>
      </c>
      <c r="G3000">
        <f>IF(F3000="",0,1)</f>
        <v/>
      </c>
      <c r="H3000" s="29">
        <f>IF(F3000="","",INDEX(Deals!$E$2:$E$843,F3000))</f>
        <v/>
      </c>
      <c r="I3000">
        <f>IF(F3000="","",INDEX(Deals!$D$2:$D$843,F3000))</f>
        <v/>
      </c>
      <c r="J3000">
        <f>IF(F3000="","",INT(H3000)-B3000)</f>
        <v/>
      </c>
      <c r="K3000">
        <f>IF(B3000&gt;=Settings!$C$5,1,0)</f>
        <v/>
      </c>
    </row>
    <row r="3001">
      <c r="A3001" t="inlineStr">
        <is>
          <t>d5a934d2db319845f83ff215eb10c452</t>
        </is>
      </c>
      <c r="B3001" s="29" t="n">
        <v>42998</v>
      </c>
      <c r="C3001" t="inlineStr">
        <is>
          <t>2017-09</t>
        </is>
      </c>
      <c r="D3001" t="inlineStr">
        <is>
          <t>241f79c7a8fe0270f4fb79fcbbcd17ad</t>
        </is>
      </c>
      <c r="E3001" t="inlineStr">
        <is>
          <t>paid_search</t>
        </is>
      </c>
      <c r="F3001">
        <f>IFERROR(MATCH(A3001,Deals!$A$2:$A$843,0),"")</f>
        <v/>
      </c>
      <c r="G3001">
        <f>IF(F3001="",0,1)</f>
        <v/>
      </c>
      <c r="H3001" s="29">
        <f>IF(F3001="","",INDEX(Deals!$E$2:$E$843,F3001))</f>
        <v/>
      </c>
      <c r="I3001">
        <f>IF(F3001="","",INDEX(Deals!$D$2:$D$843,F3001))</f>
        <v/>
      </c>
      <c r="J3001">
        <f>IF(F3001="","",INT(H3001)-B3001)</f>
        <v/>
      </c>
      <c r="K3001">
        <f>IF(B3001&gt;=Settings!$C$5,1,0)</f>
        <v/>
      </c>
    </row>
    <row r="3002">
      <c r="A3002" t="inlineStr">
        <is>
          <t>ab65e1a4d850fa15d38469a1ad02ce90</t>
        </is>
      </c>
      <c r="B3002" s="29" t="n">
        <v>43132</v>
      </c>
      <c r="C3002" t="inlineStr">
        <is>
          <t>2018-02</t>
        </is>
      </c>
      <c r="D3002" t="inlineStr">
        <is>
          <t>22c29808c4f815213303f8933030604c</t>
        </is>
      </c>
      <c r="E3002" t="inlineStr">
        <is>
          <t>organic_search</t>
        </is>
      </c>
      <c r="F3002">
        <f>IFERROR(MATCH(A3002,Deals!$A$2:$A$843,0),"")</f>
        <v/>
      </c>
      <c r="G3002">
        <f>IF(F3002="",0,1)</f>
        <v/>
      </c>
      <c r="H3002" s="29">
        <f>IF(F3002="","",INDEX(Deals!$E$2:$E$843,F3002))</f>
        <v/>
      </c>
      <c r="I3002">
        <f>IF(F3002="","",INDEX(Deals!$D$2:$D$843,F3002))</f>
        <v/>
      </c>
      <c r="J3002">
        <f>IF(F3002="","",INT(H3002)-B3002)</f>
        <v/>
      </c>
      <c r="K3002">
        <f>IF(B3002&gt;=Settings!$C$5,1,0)</f>
        <v/>
      </c>
    </row>
    <row r="3003">
      <c r="A3003" t="inlineStr">
        <is>
          <t>b21376ad4cebc51c2c0d2de9839dfcbb</t>
        </is>
      </c>
      <c r="B3003" s="29" t="n">
        <v>43120</v>
      </c>
      <c r="C3003" t="inlineStr">
        <is>
          <t>2018-01</t>
        </is>
      </c>
      <c r="D3003" t="inlineStr">
        <is>
          <t>e492ee5eaf1697716985cc6f33f9cd9b</t>
        </is>
      </c>
      <c r="E3003" t="inlineStr">
        <is>
          <t>organic_search</t>
        </is>
      </c>
      <c r="F3003">
        <f>IFERROR(MATCH(A3003,Deals!$A$2:$A$843,0),"")</f>
        <v/>
      </c>
      <c r="G3003">
        <f>IF(F3003="",0,1)</f>
        <v/>
      </c>
      <c r="H3003" s="29">
        <f>IF(F3003="","",INDEX(Deals!$E$2:$E$843,F3003))</f>
        <v/>
      </c>
      <c r="I3003">
        <f>IF(F3003="","",INDEX(Deals!$D$2:$D$843,F3003))</f>
        <v/>
      </c>
      <c r="J3003">
        <f>IF(F3003="","",INT(H3003)-B3003)</f>
        <v/>
      </c>
      <c r="K3003">
        <f>IF(B3003&gt;=Settings!$C$5,1,0)</f>
        <v/>
      </c>
    </row>
    <row r="3004">
      <c r="A3004" t="inlineStr">
        <is>
          <t>ccefa32875cbd01d9ca6025da13d83a2</t>
        </is>
      </c>
      <c r="B3004" s="29" t="n">
        <v>43179</v>
      </c>
      <c r="C3004" t="inlineStr">
        <is>
          <t>2018-03</t>
        </is>
      </c>
      <c r="D3004" t="inlineStr">
        <is>
          <t>e492ee5eaf1697716985cc6f33f9cd9b</t>
        </is>
      </c>
      <c r="E3004" t="inlineStr">
        <is>
          <t>unknown</t>
        </is>
      </c>
      <c r="F3004">
        <f>IFERROR(MATCH(A3004,Deals!$A$2:$A$843,0),"")</f>
        <v/>
      </c>
      <c r="G3004">
        <f>IF(F3004="",0,1)</f>
        <v/>
      </c>
      <c r="H3004" s="29">
        <f>IF(F3004="","",INDEX(Deals!$E$2:$E$843,F3004))</f>
        <v/>
      </c>
      <c r="I3004">
        <f>IF(F3004="","",INDEX(Deals!$D$2:$D$843,F3004))</f>
        <v/>
      </c>
      <c r="J3004">
        <f>IF(F3004="","",INT(H3004)-B3004)</f>
        <v/>
      </c>
      <c r="K3004">
        <f>IF(B3004&gt;=Settings!$C$5,1,0)</f>
        <v/>
      </c>
    </row>
    <row r="3005">
      <c r="A3005" t="inlineStr">
        <is>
          <t>f9879a7e19f868752efe9914fe370118</t>
        </is>
      </c>
      <c r="B3005" s="29" t="n">
        <v>43157</v>
      </c>
      <c r="C3005" t="inlineStr">
        <is>
          <t>2018-02</t>
        </is>
      </c>
      <c r="D3005" t="inlineStr">
        <is>
          <t>b76ef37428e6799c421989521c0e5077</t>
        </is>
      </c>
      <c r="E3005" t="inlineStr">
        <is>
          <t>direct_traffic</t>
        </is>
      </c>
      <c r="F3005">
        <f>IFERROR(MATCH(A3005,Deals!$A$2:$A$843,0),"")</f>
        <v/>
      </c>
      <c r="G3005">
        <f>IF(F3005="",0,1)</f>
        <v/>
      </c>
      <c r="H3005" s="29">
        <f>IF(F3005="","",INDEX(Deals!$E$2:$E$843,F3005))</f>
        <v/>
      </c>
      <c r="I3005">
        <f>IF(F3005="","",INDEX(Deals!$D$2:$D$843,F3005))</f>
        <v/>
      </c>
      <c r="J3005">
        <f>IF(F3005="","",INT(H3005)-B3005)</f>
        <v/>
      </c>
      <c r="K3005">
        <f>IF(B3005&gt;=Settings!$C$5,1,0)</f>
        <v/>
      </c>
    </row>
    <row r="3006">
      <c r="A3006" t="inlineStr">
        <is>
          <t>69c1b055b72973acb3d4e3b75b33deb8</t>
        </is>
      </c>
      <c r="B3006" s="29" t="n">
        <v>43222</v>
      </c>
      <c r="C3006" t="inlineStr">
        <is>
          <t>2018-05</t>
        </is>
      </c>
      <c r="D3006" t="inlineStr">
        <is>
          <t>21a104c3279681d9856b8a48723c4fee</t>
        </is>
      </c>
      <c r="E3006" t="inlineStr">
        <is>
          <t>organic_search</t>
        </is>
      </c>
      <c r="F3006">
        <f>IFERROR(MATCH(A3006,Deals!$A$2:$A$843,0),"")</f>
        <v/>
      </c>
      <c r="G3006">
        <f>IF(F3006="",0,1)</f>
        <v/>
      </c>
      <c r="H3006" s="29">
        <f>IF(F3006="","",INDEX(Deals!$E$2:$E$843,F3006))</f>
        <v/>
      </c>
      <c r="I3006">
        <f>IF(F3006="","",INDEX(Deals!$D$2:$D$843,F3006))</f>
        <v/>
      </c>
      <c r="J3006">
        <f>IF(F3006="","",INT(H3006)-B3006)</f>
        <v/>
      </c>
      <c r="K3006">
        <f>IF(B3006&gt;=Settings!$C$5,1,0)</f>
        <v/>
      </c>
    </row>
    <row r="3007">
      <c r="A3007" t="inlineStr">
        <is>
          <t>dd05f857aff427aad73e4c634b1cf060</t>
        </is>
      </c>
      <c r="B3007" s="29" t="n">
        <v>43161</v>
      </c>
      <c r="C3007" t="inlineStr">
        <is>
          <t>2018-03</t>
        </is>
      </c>
      <c r="D3007" t="inlineStr">
        <is>
          <t>22c29808c4f815213303f8933030604c</t>
        </is>
      </c>
      <c r="E3007" t="inlineStr">
        <is>
          <t>referral</t>
        </is>
      </c>
      <c r="F3007">
        <f>IFERROR(MATCH(A3007,Deals!$A$2:$A$843,0),"")</f>
        <v/>
      </c>
      <c r="G3007">
        <f>IF(F3007="",0,1)</f>
        <v/>
      </c>
      <c r="H3007" s="29">
        <f>IF(F3007="","",INDEX(Deals!$E$2:$E$843,F3007))</f>
        <v/>
      </c>
      <c r="I3007">
        <f>IF(F3007="","",INDEX(Deals!$D$2:$D$843,F3007))</f>
        <v/>
      </c>
      <c r="J3007">
        <f>IF(F3007="","",INT(H3007)-B3007)</f>
        <v/>
      </c>
      <c r="K3007">
        <f>IF(B3007&gt;=Settings!$C$5,1,0)</f>
        <v/>
      </c>
    </row>
    <row r="3008">
      <c r="A3008" t="inlineStr">
        <is>
          <t>5f3083037c3660fda57fa58f31d89a63</t>
        </is>
      </c>
      <c r="B3008" s="29" t="n">
        <v>43223</v>
      </c>
      <c r="C3008" t="inlineStr">
        <is>
          <t>2018-05</t>
        </is>
      </c>
      <c r="D3008" t="inlineStr">
        <is>
          <t>65c9e96d17d8d12bc0ad3b2cde0bb8b7</t>
        </is>
      </c>
      <c r="E3008" t="inlineStr">
        <is>
          <t>email</t>
        </is>
      </c>
      <c r="F3008">
        <f>IFERROR(MATCH(A3008,Deals!$A$2:$A$843,0),"")</f>
        <v/>
      </c>
      <c r="G3008">
        <f>IF(F3008="",0,1)</f>
        <v/>
      </c>
      <c r="H3008" s="29">
        <f>IF(F3008="","",INDEX(Deals!$E$2:$E$843,F3008))</f>
        <v/>
      </c>
      <c r="I3008">
        <f>IF(F3008="","",INDEX(Deals!$D$2:$D$843,F3008))</f>
        <v/>
      </c>
      <c r="J3008">
        <f>IF(F3008="","",INT(H3008)-B3008)</f>
        <v/>
      </c>
      <c r="K3008">
        <f>IF(B3008&gt;=Settings!$C$5,1,0)</f>
        <v/>
      </c>
    </row>
    <row r="3009">
      <c r="A3009" t="inlineStr">
        <is>
          <t>7b85277ad0a91a4b738f853380f9f6f2</t>
        </is>
      </c>
      <c r="B3009" s="29" t="n">
        <v>43151</v>
      </c>
      <c r="C3009" t="inlineStr">
        <is>
          <t>2018-02</t>
        </is>
      </c>
      <c r="D3009" t="inlineStr">
        <is>
          <t>53afa44da0f77375f9ab54c9b8d61da8</t>
        </is>
      </c>
      <c r="E3009" t="inlineStr">
        <is>
          <t>organic_search</t>
        </is>
      </c>
      <c r="F3009">
        <f>IFERROR(MATCH(A3009,Deals!$A$2:$A$843,0),"")</f>
        <v/>
      </c>
      <c r="G3009">
        <f>IF(F3009="",0,1)</f>
        <v/>
      </c>
      <c r="H3009" s="29">
        <f>IF(F3009="","",INDEX(Deals!$E$2:$E$843,F3009))</f>
        <v/>
      </c>
      <c r="I3009">
        <f>IF(F3009="","",INDEX(Deals!$D$2:$D$843,F3009))</f>
        <v/>
      </c>
      <c r="J3009">
        <f>IF(F3009="","",INT(H3009)-B3009)</f>
        <v/>
      </c>
      <c r="K3009">
        <f>IF(B3009&gt;=Settings!$C$5,1,0)</f>
        <v/>
      </c>
    </row>
    <row r="3010">
      <c r="A3010" t="inlineStr">
        <is>
          <t>b07dae8bbe4114d04f34488119725b99</t>
        </is>
      </c>
      <c r="B3010" s="29" t="n">
        <v>43212</v>
      </c>
      <c r="C3010" t="inlineStr">
        <is>
          <t>2018-04</t>
        </is>
      </c>
      <c r="D3010" t="inlineStr">
        <is>
          <t>58326e62183c14b0c03085c33b9fdc44</t>
        </is>
      </c>
      <c r="E3010" t="inlineStr">
        <is>
          <t>social</t>
        </is>
      </c>
      <c r="F3010">
        <f>IFERROR(MATCH(A3010,Deals!$A$2:$A$843,0),"")</f>
        <v/>
      </c>
      <c r="G3010">
        <f>IF(F3010="",0,1)</f>
        <v/>
      </c>
      <c r="H3010" s="29">
        <f>IF(F3010="","",INDEX(Deals!$E$2:$E$843,F3010))</f>
        <v/>
      </c>
      <c r="I3010">
        <f>IF(F3010="","",INDEX(Deals!$D$2:$D$843,F3010))</f>
        <v/>
      </c>
      <c r="J3010">
        <f>IF(F3010="","",INT(H3010)-B3010)</f>
        <v/>
      </c>
      <c r="K3010">
        <f>IF(B3010&gt;=Settings!$C$5,1,0)</f>
        <v/>
      </c>
    </row>
    <row r="3011">
      <c r="A3011" t="inlineStr">
        <is>
          <t>3311b34d2f838ff7bc729a2a4e53c547</t>
        </is>
      </c>
      <c r="B3011" s="29" t="n">
        <v>43180</v>
      </c>
      <c r="C3011" t="inlineStr">
        <is>
          <t>2018-03</t>
        </is>
      </c>
      <c r="D3011" t="inlineStr">
        <is>
          <t>b76ef37428e6799c421989521c0e5077</t>
        </is>
      </c>
      <c r="E3011" t="inlineStr">
        <is>
          <t>unknown</t>
        </is>
      </c>
      <c r="F3011">
        <f>IFERROR(MATCH(A3011,Deals!$A$2:$A$843,0),"")</f>
        <v/>
      </c>
      <c r="G3011">
        <f>IF(F3011="",0,1)</f>
        <v/>
      </c>
      <c r="H3011" s="29">
        <f>IF(F3011="","",INDEX(Deals!$E$2:$E$843,F3011))</f>
        <v/>
      </c>
      <c r="I3011">
        <f>IF(F3011="","",INDEX(Deals!$D$2:$D$843,F3011))</f>
        <v/>
      </c>
      <c r="J3011">
        <f>IF(F3011="","",INT(H3011)-B3011)</f>
        <v/>
      </c>
      <c r="K3011">
        <f>IF(B3011&gt;=Settings!$C$5,1,0)</f>
        <v/>
      </c>
    </row>
    <row r="3012">
      <c r="A3012" t="inlineStr">
        <is>
          <t>42699380cdc9b654ffeb000a35e09272</t>
        </is>
      </c>
      <c r="B3012" s="29" t="n">
        <v>43216</v>
      </c>
      <c r="C3012" t="inlineStr">
        <is>
          <t>2018-04</t>
        </is>
      </c>
      <c r="D3012" t="inlineStr">
        <is>
          <t>58326e62183c14b0c03085c33b9fdc44</t>
        </is>
      </c>
      <c r="E3012" t="inlineStr">
        <is>
          <t>social</t>
        </is>
      </c>
      <c r="F3012">
        <f>IFERROR(MATCH(A3012,Deals!$A$2:$A$843,0),"")</f>
        <v/>
      </c>
      <c r="G3012">
        <f>IF(F3012="",0,1)</f>
        <v/>
      </c>
      <c r="H3012" s="29">
        <f>IF(F3012="","",INDEX(Deals!$E$2:$E$843,F3012))</f>
        <v/>
      </c>
      <c r="I3012">
        <f>IF(F3012="","",INDEX(Deals!$D$2:$D$843,F3012))</f>
        <v/>
      </c>
      <c r="J3012">
        <f>IF(F3012="","",INT(H3012)-B3012)</f>
        <v/>
      </c>
      <c r="K3012">
        <f>IF(B3012&gt;=Settings!$C$5,1,0)</f>
        <v/>
      </c>
    </row>
    <row r="3013">
      <c r="A3013" t="inlineStr">
        <is>
          <t>f6d454bdc87a16e0614ea35d9a737e72</t>
        </is>
      </c>
      <c r="B3013" s="29" t="n">
        <v>43224</v>
      </c>
      <c r="C3013" t="inlineStr">
        <is>
          <t>2018-05</t>
        </is>
      </c>
      <c r="D3013" t="inlineStr">
        <is>
          <t>68f817c510c978e3a3a7474ad2aeb75c</t>
        </is>
      </c>
      <c r="E3013" t="inlineStr">
        <is>
          <t>organic_search</t>
        </is>
      </c>
      <c r="F3013">
        <f>IFERROR(MATCH(A3013,Deals!$A$2:$A$843,0),"")</f>
        <v/>
      </c>
      <c r="G3013">
        <f>IF(F3013="",0,1)</f>
        <v/>
      </c>
      <c r="H3013" s="29">
        <f>IF(F3013="","",INDEX(Deals!$E$2:$E$843,F3013))</f>
        <v/>
      </c>
      <c r="I3013">
        <f>IF(F3013="","",INDEX(Deals!$D$2:$D$843,F3013))</f>
        <v/>
      </c>
      <c r="J3013">
        <f>IF(F3013="","",INT(H3013)-B3013)</f>
        <v/>
      </c>
      <c r="K3013">
        <f>IF(B3013&gt;=Settings!$C$5,1,0)</f>
        <v/>
      </c>
    </row>
    <row r="3014">
      <c r="A3014" t="inlineStr">
        <is>
          <t>40d670477ea432dea2ee336c54d03a9b</t>
        </is>
      </c>
      <c r="B3014" s="29" t="n">
        <v>43178</v>
      </c>
      <c r="C3014" t="inlineStr">
        <is>
          <t>2018-03</t>
        </is>
      </c>
      <c r="D3014" t="inlineStr">
        <is>
          <t>4aab772aeb9833c170d8ea5413e02eac</t>
        </is>
      </c>
      <c r="E3014" t="inlineStr">
        <is>
          <t>paid_search</t>
        </is>
      </c>
      <c r="F3014">
        <f>IFERROR(MATCH(A3014,Deals!$A$2:$A$843,0),"")</f>
        <v/>
      </c>
      <c r="G3014">
        <f>IF(F3014="",0,1)</f>
        <v/>
      </c>
      <c r="H3014" s="29">
        <f>IF(F3014="","",INDEX(Deals!$E$2:$E$843,F3014))</f>
        <v/>
      </c>
      <c r="I3014">
        <f>IF(F3014="","",INDEX(Deals!$D$2:$D$843,F3014))</f>
        <v/>
      </c>
      <c r="J3014">
        <f>IF(F3014="","",INT(H3014)-B3014)</f>
        <v/>
      </c>
      <c r="K3014">
        <f>IF(B3014&gt;=Settings!$C$5,1,0)</f>
        <v/>
      </c>
    </row>
    <row r="3015">
      <c r="A3015" t="inlineStr">
        <is>
          <t>10489e28509965bdbb4234b23d3dbea4</t>
        </is>
      </c>
      <c r="B3015" s="29" t="n">
        <v>43136</v>
      </c>
      <c r="C3015" t="inlineStr">
        <is>
          <t>2018-02</t>
        </is>
      </c>
      <c r="D3015" t="inlineStr">
        <is>
          <t>a7982125ff7aa3b2054c6e44f9d28522</t>
        </is>
      </c>
      <c r="E3015" t="inlineStr">
        <is>
          <t>display</t>
        </is>
      </c>
      <c r="F3015">
        <f>IFERROR(MATCH(A3015,Deals!$A$2:$A$843,0),"")</f>
        <v/>
      </c>
      <c r="G3015">
        <f>IF(F3015="",0,1)</f>
        <v/>
      </c>
      <c r="H3015" s="29">
        <f>IF(F3015="","",INDEX(Deals!$E$2:$E$843,F3015))</f>
        <v/>
      </c>
      <c r="I3015">
        <f>IF(F3015="","",INDEX(Deals!$D$2:$D$843,F3015))</f>
        <v/>
      </c>
      <c r="J3015">
        <f>IF(F3015="","",INT(H3015)-B3015)</f>
        <v/>
      </c>
      <c r="K3015">
        <f>IF(B3015&gt;=Settings!$C$5,1,0)</f>
        <v/>
      </c>
    </row>
    <row r="3016">
      <c r="A3016" t="inlineStr">
        <is>
          <t>3bc143c3f9e05d4077f369a77bf13ed4</t>
        </is>
      </c>
      <c r="B3016" s="29" t="n">
        <v>43215</v>
      </c>
      <c r="C3016" t="inlineStr">
        <is>
          <t>2018-04</t>
        </is>
      </c>
      <c r="D3016" t="inlineStr">
        <is>
          <t>f80696b73d17fb34f5c4fde157f119d8</t>
        </is>
      </c>
      <c r="E3016" t="inlineStr">
        <is>
          <t>organic_search</t>
        </is>
      </c>
      <c r="F3016">
        <f>IFERROR(MATCH(A3016,Deals!$A$2:$A$843,0),"")</f>
        <v/>
      </c>
      <c r="G3016">
        <f>IF(F3016="",0,1)</f>
        <v/>
      </c>
      <c r="H3016" s="29">
        <f>IF(F3016="","",INDEX(Deals!$E$2:$E$843,F3016))</f>
        <v/>
      </c>
      <c r="I3016">
        <f>IF(F3016="","",INDEX(Deals!$D$2:$D$843,F3016))</f>
        <v/>
      </c>
      <c r="J3016">
        <f>IF(F3016="","",INT(H3016)-B3016)</f>
        <v/>
      </c>
      <c r="K3016">
        <f>IF(B3016&gt;=Settings!$C$5,1,0)</f>
        <v/>
      </c>
    </row>
    <row r="3017">
      <c r="A3017" t="inlineStr">
        <is>
          <t>12b5aec8a9910b09c5104fb61cb35336</t>
        </is>
      </c>
      <c r="B3017" s="29" t="n">
        <v>43187</v>
      </c>
      <c r="C3017" t="inlineStr">
        <is>
          <t>2018-03</t>
        </is>
      </c>
      <c r="D3017" t="inlineStr">
        <is>
          <t>ce1a65abd0973638f1c887a6efcfa82d</t>
        </is>
      </c>
      <c r="E3017" t="inlineStr">
        <is>
          <t>organic_search</t>
        </is>
      </c>
      <c r="F3017">
        <f>IFERROR(MATCH(A3017,Deals!$A$2:$A$843,0),"")</f>
        <v/>
      </c>
      <c r="G3017">
        <f>IF(F3017="",0,1)</f>
        <v/>
      </c>
      <c r="H3017" s="29">
        <f>IF(F3017="","",INDEX(Deals!$E$2:$E$843,F3017))</f>
        <v/>
      </c>
      <c r="I3017">
        <f>IF(F3017="","",INDEX(Deals!$D$2:$D$843,F3017))</f>
        <v/>
      </c>
      <c r="J3017">
        <f>IF(F3017="","",INT(H3017)-B3017)</f>
        <v/>
      </c>
      <c r="K3017">
        <f>IF(B3017&gt;=Settings!$C$5,1,0)</f>
        <v/>
      </c>
    </row>
    <row r="3018">
      <c r="A3018" t="inlineStr">
        <is>
          <t>5dcf93a3757353548ad49dcc68d1c445</t>
        </is>
      </c>
      <c r="B3018" s="29" t="n">
        <v>43173</v>
      </c>
      <c r="C3018" t="inlineStr">
        <is>
          <t>2018-03</t>
        </is>
      </c>
      <c r="D3018" t="inlineStr">
        <is>
          <t>76d33b7836dd4396f9dd310392f570f8</t>
        </is>
      </c>
      <c r="E3018" t="inlineStr">
        <is>
          <t>organic_search</t>
        </is>
      </c>
      <c r="F3018">
        <f>IFERROR(MATCH(A3018,Deals!$A$2:$A$843,0),"")</f>
        <v/>
      </c>
      <c r="G3018">
        <f>IF(F3018="",0,1)</f>
        <v/>
      </c>
      <c r="H3018" s="29">
        <f>IF(F3018="","",INDEX(Deals!$E$2:$E$843,F3018))</f>
        <v/>
      </c>
      <c r="I3018">
        <f>IF(F3018="","",INDEX(Deals!$D$2:$D$843,F3018))</f>
        <v/>
      </c>
      <c r="J3018">
        <f>IF(F3018="","",INT(H3018)-B3018)</f>
        <v/>
      </c>
      <c r="K3018">
        <f>IF(B3018&gt;=Settings!$C$5,1,0)</f>
        <v/>
      </c>
    </row>
    <row r="3019">
      <c r="A3019" t="inlineStr">
        <is>
          <t>8d697c1323b49f7888addaf6429d74b7</t>
        </is>
      </c>
      <c r="B3019" s="29" t="n">
        <v>43125</v>
      </c>
      <c r="C3019" t="inlineStr">
        <is>
          <t>2018-01</t>
        </is>
      </c>
      <c r="D3019" t="inlineStr">
        <is>
          <t>b48ec5f3b04e9068441002a19df93c6c</t>
        </is>
      </c>
      <c r="E3019" t="inlineStr">
        <is>
          <t>direct_traffic</t>
        </is>
      </c>
      <c r="F3019">
        <f>IFERROR(MATCH(A3019,Deals!$A$2:$A$843,0),"")</f>
        <v/>
      </c>
      <c r="G3019">
        <f>IF(F3019="",0,1)</f>
        <v/>
      </c>
      <c r="H3019" s="29">
        <f>IF(F3019="","",INDEX(Deals!$E$2:$E$843,F3019))</f>
        <v/>
      </c>
      <c r="I3019">
        <f>IF(F3019="","",INDEX(Deals!$D$2:$D$843,F3019))</f>
        <v/>
      </c>
      <c r="J3019">
        <f>IF(F3019="","",INT(H3019)-B3019)</f>
        <v/>
      </c>
      <c r="K3019">
        <f>IF(B3019&gt;=Settings!$C$5,1,0)</f>
        <v/>
      </c>
    </row>
    <row r="3020">
      <c r="A3020" t="inlineStr">
        <is>
          <t>4e6cbfdf24bc563142cc847f03f5ed29</t>
        </is>
      </c>
      <c r="B3020" s="29" t="n">
        <v>43235</v>
      </c>
      <c r="C3020" t="inlineStr">
        <is>
          <t>2018-05</t>
        </is>
      </c>
      <c r="D3020" t="inlineStr">
        <is>
          <t>37cf94070e940a694969304de58debe1</t>
        </is>
      </c>
      <c r="E3020" t="inlineStr">
        <is>
          <t>paid_search</t>
        </is>
      </c>
      <c r="F3020">
        <f>IFERROR(MATCH(A3020,Deals!$A$2:$A$843,0),"")</f>
        <v/>
      </c>
      <c r="G3020">
        <f>IF(F3020="",0,1)</f>
        <v/>
      </c>
      <c r="H3020" s="29">
        <f>IF(F3020="","",INDEX(Deals!$E$2:$E$843,F3020))</f>
        <v/>
      </c>
      <c r="I3020">
        <f>IF(F3020="","",INDEX(Deals!$D$2:$D$843,F3020))</f>
        <v/>
      </c>
      <c r="J3020">
        <f>IF(F3020="","",INT(H3020)-B3020)</f>
        <v/>
      </c>
      <c r="K3020">
        <f>IF(B3020&gt;=Settings!$C$5,1,0)</f>
        <v/>
      </c>
    </row>
    <row r="3021">
      <c r="A3021" t="inlineStr">
        <is>
          <t>16baa254178accd16a8ad75c6a8f4aac</t>
        </is>
      </c>
      <c r="B3021" s="29" t="n">
        <v>43061</v>
      </c>
      <c r="C3021" t="inlineStr">
        <is>
          <t>2017-11</t>
        </is>
      </c>
      <c r="D3021" t="inlineStr">
        <is>
          <t>e42a14209c69c3e9cc6b042620465f12</t>
        </is>
      </c>
      <c r="E3021" t="inlineStr">
        <is>
          <t>direct_traffic</t>
        </is>
      </c>
      <c r="F3021">
        <f>IFERROR(MATCH(A3021,Deals!$A$2:$A$843,0),"")</f>
        <v/>
      </c>
      <c r="G3021">
        <f>IF(F3021="",0,1)</f>
        <v/>
      </c>
      <c r="H3021" s="29">
        <f>IF(F3021="","",INDEX(Deals!$E$2:$E$843,F3021))</f>
        <v/>
      </c>
      <c r="I3021">
        <f>IF(F3021="","",INDEX(Deals!$D$2:$D$843,F3021))</f>
        <v/>
      </c>
      <c r="J3021">
        <f>IF(F3021="","",INT(H3021)-B3021)</f>
        <v/>
      </c>
      <c r="K3021">
        <f>IF(B3021&gt;=Settings!$C$5,1,0)</f>
        <v/>
      </c>
    </row>
    <row r="3022">
      <c r="A3022" t="inlineStr">
        <is>
          <t>33e4319ab5bea4bd4e07a5c7160506d5</t>
        </is>
      </c>
      <c r="B3022" s="29" t="n">
        <v>43080</v>
      </c>
      <c r="C3022" t="inlineStr">
        <is>
          <t>2017-12</t>
        </is>
      </c>
      <c r="D3022" t="inlineStr">
        <is>
          <t>b76ef37428e6799c421989521c0e5077</t>
        </is>
      </c>
      <c r="E3022" t="inlineStr">
        <is>
          <t>unknown</t>
        </is>
      </c>
      <c r="F3022">
        <f>IFERROR(MATCH(A3022,Deals!$A$2:$A$843,0),"")</f>
        <v/>
      </c>
      <c r="G3022">
        <f>IF(F3022="",0,1)</f>
        <v/>
      </c>
      <c r="H3022" s="29">
        <f>IF(F3022="","",INDEX(Deals!$E$2:$E$843,F3022))</f>
        <v/>
      </c>
      <c r="I3022">
        <f>IF(F3022="","",INDEX(Deals!$D$2:$D$843,F3022))</f>
        <v/>
      </c>
      <c r="J3022">
        <f>IF(F3022="","",INT(H3022)-B3022)</f>
        <v/>
      </c>
      <c r="K3022">
        <f>IF(B3022&gt;=Settings!$C$5,1,0)</f>
        <v/>
      </c>
    </row>
    <row r="3023">
      <c r="A3023" t="inlineStr">
        <is>
          <t>1138d7c3876a16c96a96a79656551f15</t>
        </is>
      </c>
      <c r="B3023" s="29" t="n">
        <v>43200</v>
      </c>
      <c r="C3023" t="inlineStr">
        <is>
          <t>2018-04</t>
        </is>
      </c>
      <c r="D3023" t="inlineStr">
        <is>
          <t>908dad5b22342480f5cc055b8dd55e7e</t>
        </is>
      </c>
      <c r="E3023" t="inlineStr">
        <is>
          <t>email</t>
        </is>
      </c>
      <c r="F3023">
        <f>IFERROR(MATCH(A3023,Deals!$A$2:$A$843,0),"")</f>
        <v/>
      </c>
      <c r="G3023">
        <f>IF(F3023="",0,1)</f>
        <v/>
      </c>
      <c r="H3023" s="29">
        <f>IF(F3023="","",INDEX(Deals!$E$2:$E$843,F3023))</f>
        <v/>
      </c>
      <c r="I3023">
        <f>IF(F3023="","",INDEX(Deals!$D$2:$D$843,F3023))</f>
        <v/>
      </c>
      <c r="J3023">
        <f>IF(F3023="","",INT(H3023)-B3023)</f>
        <v/>
      </c>
      <c r="K3023">
        <f>IF(B3023&gt;=Settings!$C$5,1,0)</f>
        <v/>
      </c>
    </row>
    <row r="3024">
      <c r="A3024" t="inlineStr">
        <is>
          <t>9e69e41e77de02036b07dca91c05b099</t>
        </is>
      </c>
      <c r="B3024" s="29" t="n">
        <v>43067</v>
      </c>
      <c r="C3024" t="inlineStr">
        <is>
          <t>2017-11</t>
        </is>
      </c>
      <c r="D3024" t="inlineStr">
        <is>
          <t>253c51690efe34b79a8e2b516effa8cc</t>
        </is>
      </c>
      <c r="E3024" t="inlineStr">
        <is>
          <t>email</t>
        </is>
      </c>
      <c r="F3024">
        <f>IFERROR(MATCH(A3024,Deals!$A$2:$A$843,0),"")</f>
        <v/>
      </c>
      <c r="G3024">
        <f>IF(F3024="",0,1)</f>
        <v/>
      </c>
      <c r="H3024" s="29">
        <f>IF(F3024="","",INDEX(Deals!$E$2:$E$843,F3024))</f>
        <v/>
      </c>
      <c r="I3024">
        <f>IF(F3024="","",INDEX(Deals!$D$2:$D$843,F3024))</f>
        <v/>
      </c>
      <c r="J3024">
        <f>IF(F3024="","",INT(H3024)-B3024)</f>
        <v/>
      </c>
      <c r="K3024">
        <f>IF(B3024&gt;=Settings!$C$5,1,0)</f>
        <v/>
      </c>
    </row>
    <row r="3025">
      <c r="A3025" t="inlineStr">
        <is>
          <t>8ac0b1aab32e3f93c68e275171f099b9</t>
        </is>
      </c>
      <c r="B3025" s="29" t="n">
        <v>43112</v>
      </c>
      <c r="C3025" t="inlineStr">
        <is>
          <t>2018-01</t>
        </is>
      </c>
      <c r="D3025" t="inlineStr">
        <is>
          <t>22c29808c4f815213303f8933030604c</t>
        </is>
      </c>
      <c r="E3025" t="inlineStr">
        <is>
          <t>organic_search</t>
        </is>
      </c>
      <c r="F3025">
        <f>IFERROR(MATCH(A3025,Deals!$A$2:$A$843,0),"")</f>
        <v/>
      </c>
      <c r="G3025">
        <f>IF(F3025="",0,1)</f>
        <v/>
      </c>
      <c r="H3025" s="29">
        <f>IF(F3025="","",INDEX(Deals!$E$2:$E$843,F3025))</f>
        <v/>
      </c>
      <c r="I3025">
        <f>IF(F3025="","",INDEX(Deals!$D$2:$D$843,F3025))</f>
        <v/>
      </c>
      <c r="J3025">
        <f>IF(F3025="","",INT(H3025)-B3025)</f>
        <v/>
      </c>
      <c r="K3025">
        <f>IF(B3025&gt;=Settings!$C$5,1,0)</f>
        <v/>
      </c>
    </row>
    <row r="3026">
      <c r="A3026" t="inlineStr">
        <is>
          <t>faaebcdfe2773845e540b7981ee4a09b</t>
        </is>
      </c>
      <c r="B3026" s="29" t="n">
        <v>43005</v>
      </c>
      <c r="C3026" t="inlineStr">
        <is>
          <t>2017-09</t>
        </is>
      </c>
      <c r="D3026" t="inlineStr">
        <is>
          <t>142187f4dbc5f5dc401d35e896ad29f1</t>
        </is>
      </c>
      <c r="E3026" t="inlineStr">
        <is>
          <t>organic_search</t>
        </is>
      </c>
      <c r="F3026">
        <f>IFERROR(MATCH(A3026,Deals!$A$2:$A$843,0),"")</f>
        <v/>
      </c>
      <c r="G3026">
        <f>IF(F3026="",0,1)</f>
        <v/>
      </c>
      <c r="H3026" s="29">
        <f>IF(F3026="","",INDEX(Deals!$E$2:$E$843,F3026))</f>
        <v/>
      </c>
      <c r="I3026">
        <f>IF(F3026="","",INDEX(Deals!$D$2:$D$843,F3026))</f>
        <v/>
      </c>
      <c r="J3026">
        <f>IF(F3026="","",INT(H3026)-B3026)</f>
        <v/>
      </c>
      <c r="K3026">
        <f>IF(B3026&gt;=Settings!$C$5,1,0)</f>
        <v/>
      </c>
    </row>
    <row r="3027">
      <c r="A3027" t="inlineStr">
        <is>
          <t>097648fb7715dc008e029c2252f51071</t>
        </is>
      </c>
      <c r="B3027" s="29" t="n">
        <v>43238</v>
      </c>
      <c r="C3027" t="inlineStr">
        <is>
          <t>2018-05</t>
        </is>
      </c>
      <c r="D3027" t="inlineStr">
        <is>
          <t>b76ef37428e6799c421989521c0e5077</t>
        </is>
      </c>
      <c r="E3027" t="inlineStr">
        <is>
          <t>unknown</t>
        </is>
      </c>
      <c r="F3027">
        <f>IFERROR(MATCH(A3027,Deals!$A$2:$A$843,0),"")</f>
        <v/>
      </c>
      <c r="G3027">
        <f>IF(F3027="",0,1)</f>
        <v/>
      </c>
      <c r="H3027" s="29">
        <f>IF(F3027="","",INDEX(Deals!$E$2:$E$843,F3027))</f>
        <v/>
      </c>
      <c r="I3027">
        <f>IF(F3027="","",INDEX(Deals!$D$2:$D$843,F3027))</f>
        <v/>
      </c>
      <c r="J3027">
        <f>IF(F3027="","",INT(H3027)-B3027)</f>
        <v/>
      </c>
      <c r="K3027">
        <f>IF(B3027&gt;=Settings!$C$5,1,0)</f>
        <v/>
      </c>
    </row>
    <row r="3028">
      <c r="A3028" t="inlineStr">
        <is>
          <t>907f872fe100d37c2fd9a9a1a616dc54</t>
        </is>
      </c>
      <c r="B3028" s="29" t="n">
        <v>43229</v>
      </c>
      <c r="C3028" t="inlineStr">
        <is>
          <t>2018-05</t>
        </is>
      </c>
      <c r="D3028" t="inlineStr">
        <is>
          <t>9fa37f5177115156b1814ffc237402a6</t>
        </is>
      </c>
      <c r="E3028" t="inlineStr">
        <is>
          <t>paid_search</t>
        </is>
      </c>
      <c r="F3028">
        <f>IFERROR(MATCH(A3028,Deals!$A$2:$A$843,0),"")</f>
        <v/>
      </c>
      <c r="G3028">
        <f>IF(F3028="",0,1)</f>
        <v/>
      </c>
      <c r="H3028" s="29">
        <f>IF(F3028="","",INDEX(Deals!$E$2:$E$843,F3028))</f>
        <v/>
      </c>
      <c r="I3028">
        <f>IF(F3028="","",INDEX(Deals!$D$2:$D$843,F3028))</f>
        <v/>
      </c>
      <c r="J3028">
        <f>IF(F3028="","",INT(H3028)-B3028)</f>
        <v/>
      </c>
      <c r="K3028">
        <f>IF(B3028&gt;=Settings!$C$5,1,0)</f>
        <v/>
      </c>
    </row>
    <row r="3029">
      <c r="A3029" t="inlineStr">
        <is>
          <t>2f45fb6d3d46af0423ad2813249ac4a2</t>
        </is>
      </c>
      <c r="B3029" s="29" t="n">
        <v>43181</v>
      </c>
      <c r="C3029" t="inlineStr">
        <is>
          <t>2018-03</t>
        </is>
      </c>
      <c r="D3029" t="inlineStr">
        <is>
          <t>22c29808c4f815213303f8933030604c</t>
        </is>
      </c>
      <c r="E3029" t="inlineStr">
        <is>
          <t>organic_search</t>
        </is>
      </c>
      <c r="F3029">
        <f>IFERROR(MATCH(A3029,Deals!$A$2:$A$843,0),"")</f>
        <v/>
      </c>
      <c r="G3029">
        <f>IF(F3029="",0,1)</f>
        <v/>
      </c>
      <c r="H3029" s="29">
        <f>IF(F3029="","",INDEX(Deals!$E$2:$E$843,F3029))</f>
        <v/>
      </c>
      <c r="I3029">
        <f>IF(F3029="","",INDEX(Deals!$D$2:$D$843,F3029))</f>
        <v/>
      </c>
      <c r="J3029">
        <f>IF(F3029="","",INT(H3029)-B3029)</f>
        <v/>
      </c>
      <c r="K3029">
        <f>IF(B3029&gt;=Settings!$C$5,1,0)</f>
        <v/>
      </c>
    </row>
    <row r="3030">
      <c r="A3030" t="inlineStr">
        <is>
          <t>d42978e200f1862487207115227b5719</t>
        </is>
      </c>
      <c r="B3030" s="29" t="n">
        <v>43140</v>
      </c>
      <c r="C3030" t="inlineStr">
        <is>
          <t>2018-02</t>
        </is>
      </c>
      <c r="D3030" t="inlineStr">
        <is>
          <t>b48ec5f3b04e9068441002a19df93c6c</t>
        </is>
      </c>
      <c r="E3030" t="inlineStr">
        <is>
          <t>organic_search</t>
        </is>
      </c>
      <c r="F3030">
        <f>IFERROR(MATCH(A3030,Deals!$A$2:$A$843,0),"")</f>
        <v/>
      </c>
      <c r="G3030">
        <f>IF(F3030="",0,1)</f>
        <v/>
      </c>
      <c r="H3030" s="29">
        <f>IF(F3030="","",INDEX(Deals!$E$2:$E$843,F3030))</f>
        <v/>
      </c>
      <c r="I3030">
        <f>IF(F3030="","",INDEX(Deals!$D$2:$D$843,F3030))</f>
        <v/>
      </c>
      <c r="J3030">
        <f>IF(F3030="","",INT(H3030)-B3030)</f>
        <v/>
      </c>
      <c r="K3030">
        <f>IF(B3030&gt;=Settings!$C$5,1,0)</f>
        <v/>
      </c>
    </row>
    <row r="3031">
      <c r="A3031" t="inlineStr">
        <is>
          <t>80189d342698330b84a8a7999eaca843</t>
        </is>
      </c>
      <c r="B3031" s="29" t="n">
        <v>43216</v>
      </c>
      <c r="C3031" t="inlineStr">
        <is>
          <t>2018-04</t>
        </is>
      </c>
      <c r="D3031" t="inlineStr">
        <is>
          <t>f80696b73d17fb34f5c4fde157f119d8</t>
        </is>
      </c>
      <c r="E3031" t="inlineStr">
        <is>
          <t>email</t>
        </is>
      </c>
      <c r="F3031">
        <f>IFERROR(MATCH(A3031,Deals!$A$2:$A$843,0),"")</f>
        <v/>
      </c>
      <c r="G3031">
        <f>IF(F3031="",0,1)</f>
        <v/>
      </c>
      <c r="H3031" s="29">
        <f>IF(F3031="","",INDEX(Deals!$E$2:$E$843,F3031))</f>
        <v/>
      </c>
      <c r="I3031">
        <f>IF(F3031="","",INDEX(Deals!$D$2:$D$843,F3031))</f>
        <v/>
      </c>
      <c r="J3031">
        <f>IF(F3031="","",INT(H3031)-B3031)</f>
        <v/>
      </c>
      <c r="K3031">
        <f>IF(B3031&gt;=Settings!$C$5,1,0)</f>
        <v/>
      </c>
    </row>
    <row r="3032">
      <c r="A3032" t="inlineStr">
        <is>
          <t>c733f4f772bfa7b8702ccb81887f8333</t>
        </is>
      </c>
      <c r="B3032" s="29" t="n">
        <v>43203</v>
      </c>
      <c r="C3032" t="inlineStr">
        <is>
          <t>2018-04</t>
        </is>
      </c>
      <c r="D3032" t="inlineStr">
        <is>
          <t>1baca9df5850e5ba75545d8b2eb8d966</t>
        </is>
      </c>
      <c r="E3032" t="inlineStr">
        <is>
          <t>paid_search</t>
        </is>
      </c>
      <c r="F3032">
        <f>IFERROR(MATCH(A3032,Deals!$A$2:$A$843,0),"")</f>
        <v/>
      </c>
      <c r="G3032">
        <f>IF(F3032="",0,1)</f>
        <v/>
      </c>
      <c r="H3032" s="29">
        <f>IF(F3032="","",INDEX(Deals!$E$2:$E$843,F3032))</f>
        <v/>
      </c>
      <c r="I3032">
        <f>IF(F3032="","",INDEX(Deals!$D$2:$D$843,F3032))</f>
        <v/>
      </c>
      <c r="J3032">
        <f>IF(F3032="","",INT(H3032)-B3032)</f>
        <v/>
      </c>
      <c r="K3032">
        <f>IF(B3032&gt;=Settings!$C$5,1,0)</f>
        <v/>
      </c>
    </row>
    <row r="3033">
      <c r="A3033" t="inlineStr">
        <is>
          <t>da03a6389035b1470aa3d49b3ba4360c</t>
        </is>
      </c>
      <c r="B3033" s="29" t="n">
        <v>42920</v>
      </c>
      <c r="C3033" t="inlineStr">
        <is>
          <t>2017-07</t>
        </is>
      </c>
      <c r="D3033" t="inlineStr">
        <is>
          <t>22c29808c4f815213303f8933030604c</t>
        </is>
      </c>
      <c r="E3033" t="inlineStr">
        <is>
          <t>organic_search</t>
        </is>
      </c>
      <c r="F3033">
        <f>IFERROR(MATCH(A3033,Deals!$A$2:$A$843,0),"")</f>
        <v/>
      </c>
      <c r="G3033">
        <f>IF(F3033="",0,1)</f>
        <v/>
      </c>
      <c r="H3033" s="29">
        <f>IF(F3033="","",INDEX(Deals!$E$2:$E$843,F3033))</f>
        <v/>
      </c>
      <c r="I3033">
        <f>IF(F3033="","",INDEX(Deals!$D$2:$D$843,F3033))</f>
        <v/>
      </c>
      <c r="J3033">
        <f>IF(F3033="","",INT(H3033)-B3033)</f>
        <v/>
      </c>
      <c r="K3033">
        <f>IF(B3033&gt;=Settings!$C$5,1,0)</f>
        <v/>
      </c>
    </row>
    <row r="3034">
      <c r="A3034" t="inlineStr">
        <is>
          <t>5ce1696154c224dd56c13b37e0f2c618</t>
        </is>
      </c>
      <c r="B3034" s="29" t="n">
        <v>43225</v>
      </c>
      <c r="C3034" t="inlineStr">
        <is>
          <t>2018-05</t>
        </is>
      </c>
      <c r="D3034" t="inlineStr">
        <is>
          <t>22c29808c4f815213303f8933030604c</t>
        </is>
      </c>
      <c r="E3034" t="inlineStr">
        <is>
          <t>referral</t>
        </is>
      </c>
      <c r="F3034">
        <f>IFERROR(MATCH(A3034,Deals!$A$2:$A$843,0),"")</f>
        <v/>
      </c>
      <c r="G3034">
        <f>IF(F3034="",0,1)</f>
        <v/>
      </c>
      <c r="H3034" s="29">
        <f>IF(F3034="","",INDEX(Deals!$E$2:$E$843,F3034))</f>
        <v/>
      </c>
      <c r="I3034">
        <f>IF(F3034="","",INDEX(Deals!$D$2:$D$843,F3034))</f>
        <v/>
      </c>
      <c r="J3034">
        <f>IF(F3034="","",INT(H3034)-B3034)</f>
        <v/>
      </c>
      <c r="K3034">
        <f>IF(B3034&gt;=Settings!$C$5,1,0)</f>
        <v/>
      </c>
    </row>
    <row r="3035">
      <c r="A3035" t="inlineStr">
        <is>
          <t>715735a90f4b1c43c73170b1343a65d2</t>
        </is>
      </c>
      <c r="B3035" s="29" t="n">
        <v>43219</v>
      </c>
      <c r="C3035" t="inlineStr">
        <is>
          <t>2018-04</t>
        </is>
      </c>
      <c r="D3035" t="inlineStr">
        <is>
          <t>58326e62183c14b0c03085c33b9fdc44</t>
        </is>
      </c>
      <c r="E3035" t="inlineStr">
        <is>
          <t>social</t>
        </is>
      </c>
      <c r="F3035">
        <f>IFERROR(MATCH(A3035,Deals!$A$2:$A$843,0),"")</f>
        <v/>
      </c>
      <c r="G3035">
        <f>IF(F3035="",0,1)</f>
        <v/>
      </c>
      <c r="H3035" s="29">
        <f>IF(F3035="","",INDEX(Deals!$E$2:$E$843,F3035))</f>
        <v/>
      </c>
      <c r="I3035">
        <f>IF(F3035="","",INDEX(Deals!$D$2:$D$843,F3035))</f>
        <v/>
      </c>
      <c r="J3035">
        <f>IF(F3035="","",INT(H3035)-B3035)</f>
        <v/>
      </c>
      <c r="K3035">
        <f>IF(B3035&gt;=Settings!$C$5,1,0)</f>
        <v/>
      </c>
    </row>
    <row r="3036">
      <c r="A3036" t="inlineStr">
        <is>
          <t>a06df17094fd9599cad32555b897a0d3</t>
        </is>
      </c>
      <c r="B3036" s="29" t="n">
        <v>43245</v>
      </c>
      <c r="C3036" t="inlineStr">
        <is>
          <t>2018-05</t>
        </is>
      </c>
      <c r="D3036" t="inlineStr">
        <is>
          <t>ce1a65abd0973638f1c887a6efcfa82d</t>
        </is>
      </c>
      <c r="E3036" t="inlineStr">
        <is>
          <t>direct_traffic</t>
        </is>
      </c>
      <c r="F3036">
        <f>IFERROR(MATCH(A3036,Deals!$A$2:$A$843,0),"")</f>
        <v/>
      </c>
      <c r="G3036">
        <f>IF(F3036="",0,1)</f>
        <v/>
      </c>
      <c r="H3036" s="29">
        <f>IF(F3036="","",INDEX(Deals!$E$2:$E$843,F3036))</f>
        <v/>
      </c>
      <c r="I3036">
        <f>IF(F3036="","",INDEX(Deals!$D$2:$D$843,F3036))</f>
        <v/>
      </c>
      <c r="J3036">
        <f>IF(F3036="","",INT(H3036)-B3036)</f>
        <v/>
      </c>
      <c r="K3036">
        <f>IF(B3036&gt;=Settings!$C$5,1,0)</f>
        <v/>
      </c>
    </row>
    <row r="3037">
      <c r="A3037" t="inlineStr">
        <is>
          <t>d1cd0a8c9b28f58703a097d5a25534e3</t>
        </is>
      </c>
      <c r="B3037" s="29" t="n">
        <v>43138</v>
      </c>
      <c r="C3037" t="inlineStr">
        <is>
          <t>2018-02</t>
        </is>
      </c>
      <c r="D3037" t="inlineStr">
        <is>
          <t>1694e838dffa97f640fcfa35e86e438e</t>
        </is>
      </c>
      <c r="E3037" t="inlineStr">
        <is>
          <t>referral</t>
        </is>
      </c>
      <c r="F3037">
        <f>IFERROR(MATCH(A3037,Deals!$A$2:$A$843,0),"")</f>
        <v/>
      </c>
      <c r="G3037">
        <f>IF(F3037="",0,1)</f>
        <v/>
      </c>
      <c r="H3037" s="29">
        <f>IF(F3037="","",INDEX(Deals!$E$2:$E$843,F3037))</f>
        <v/>
      </c>
      <c r="I3037">
        <f>IF(F3037="","",INDEX(Deals!$D$2:$D$843,F3037))</f>
        <v/>
      </c>
      <c r="J3037">
        <f>IF(F3037="","",INT(H3037)-B3037)</f>
        <v/>
      </c>
      <c r="K3037">
        <f>IF(B3037&gt;=Settings!$C$5,1,0)</f>
        <v/>
      </c>
    </row>
    <row r="3038">
      <c r="A3038" t="inlineStr">
        <is>
          <t>ed2778e8d8cc95fc48592e71a3341841</t>
        </is>
      </c>
      <c r="B3038" s="29" t="n">
        <v>43210</v>
      </c>
      <c r="C3038" t="inlineStr">
        <is>
          <t>2018-04</t>
        </is>
      </c>
      <c r="D3038" t="inlineStr">
        <is>
          <t>649b7b8b46b254497e92038d88f6ced8</t>
        </is>
      </c>
      <c r="E3038" t="inlineStr">
        <is>
          <t>social</t>
        </is>
      </c>
      <c r="F3038">
        <f>IFERROR(MATCH(A3038,Deals!$A$2:$A$843,0),"")</f>
        <v/>
      </c>
      <c r="G3038">
        <f>IF(F3038="",0,1)</f>
        <v/>
      </c>
      <c r="H3038" s="29">
        <f>IF(F3038="","",INDEX(Deals!$E$2:$E$843,F3038))</f>
        <v/>
      </c>
      <c r="I3038">
        <f>IF(F3038="","",INDEX(Deals!$D$2:$D$843,F3038))</f>
        <v/>
      </c>
      <c r="J3038">
        <f>IF(F3038="","",INT(H3038)-B3038)</f>
        <v/>
      </c>
      <c r="K3038">
        <f>IF(B3038&gt;=Settings!$C$5,1,0)</f>
        <v/>
      </c>
    </row>
    <row r="3039">
      <c r="A3039" t="inlineStr">
        <is>
          <t>67107e5f6f1efb4409c37abd1645b0f5</t>
        </is>
      </c>
      <c r="B3039" s="29" t="n">
        <v>43130</v>
      </c>
      <c r="C3039" t="inlineStr">
        <is>
          <t>2018-01</t>
        </is>
      </c>
      <c r="D3039" t="inlineStr">
        <is>
          <t>22c29808c4f815213303f8933030604c</t>
        </is>
      </c>
      <c r="E3039" t="inlineStr">
        <is>
          <t>organic_search</t>
        </is>
      </c>
      <c r="F3039">
        <f>IFERROR(MATCH(A3039,Deals!$A$2:$A$843,0),"")</f>
        <v/>
      </c>
      <c r="G3039">
        <f>IF(F3039="",0,1)</f>
        <v/>
      </c>
      <c r="H3039" s="29">
        <f>IF(F3039="","",INDEX(Deals!$E$2:$E$843,F3039))</f>
        <v/>
      </c>
      <c r="I3039">
        <f>IF(F3039="","",INDEX(Deals!$D$2:$D$843,F3039))</f>
        <v/>
      </c>
      <c r="J3039">
        <f>IF(F3039="","",INT(H3039)-B3039)</f>
        <v/>
      </c>
      <c r="K3039">
        <f>IF(B3039&gt;=Settings!$C$5,1,0)</f>
        <v/>
      </c>
    </row>
    <row r="3040">
      <c r="A3040" t="inlineStr">
        <is>
          <t>6de5f0ac87cbfa893c5a48aa39ddd549</t>
        </is>
      </c>
      <c r="B3040" s="29" t="n">
        <v>43248</v>
      </c>
      <c r="C3040" t="inlineStr">
        <is>
          <t>2018-05</t>
        </is>
      </c>
      <c r="D3040" t="inlineStr">
        <is>
          <t>e492ee5eaf1697716985cc6f33f9cd9b</t>
        </is>
      </c>
      <c r="E3040" t="inlineStr">
        <is>
          <t>organic_search</t>
        </is>
      </c>
      <c r="F3040">
        <f>IFERROR(MATCH(A3040,Deals!$A$2:$A$843,0),"")</f>
        <v/>
      </c>
      <c r="G3040">
        <f>IF(F3040="",0,1)</f>
        <v/>
      </c>
      <c r="H3040" s="29">
        <f>IF(F3040="","",INDEX(Deals!$E$2:$E$843,F3040))</f>
        <v/>
      </c>
      <c r="I3040">
        <f>IF(F3040="","",INDEX(Deals!$D$2:$D$843,F3040))</f>
        <v/>
      </c>
      <c r="J3040">
        <f>IF(F3040="","",INT(H3040)-B3040)</f>
        <v/>
      </c>
      <c r="K3040">
        <f>IF(B3040&gt;=Settings!$C$5,1,0)</f>
        <v/>
      </c>
    </row>
    <row r="3041">
      <c r="A3041" t="inlineStr">
        <is>
          <t>3b14bb16b93056a7eab0448b99490428</t>
        </is>
      </c>
      <c r="B3041" s="29" t="n">
        <v>43235</v>
      </c>
      <c r="C3041" t="inlineStr">
        <is>
          <t>2018-05</t>
        </is>
      </c>
      <c r="D3041" t="inlineStr">
        <is>
          <t>6a110e795dd487f1cf8d7583671987af</t>
        </is>
      </c>
      <c r="E3041" t="inlineStr">
        <is>
          <t>unknown</t>
        </is>
      </c>
      <c r="F3041">
        <f>IFERROR(MATCH(A3041,Deals!$A$2:$A$843,0),"")</f>
        <v/>
      </c>
      <c r="G3041">
        <f>IF(F3041="",0,1)</f>
        <v/>
      </c>
      <c r="H3041" s="29">
        <f>IF(F3041="","",INDEX(Deals!$E$2:$E$843,F3041))</f>
        <v/>
      </c>
      <c r="I3041">
        <f>IF(F3041="","",INDEX(Deals!$D$2:$D$843,F3041))</f>
        <v/>
      </c>
      <c r="J3041">
        <f>IF(F3041="","",INT(H3041)-B3041)</f>
        <v/>
      </c>
      <c r="K3041">
        <f>IF(B3041&gt;=Settings!$C$5,1,0)</f>
        <v/>
      </c>
    </row>
    <row r="3042">
      <c r="A3042" t="inlineStr">
        <is>
          <t>8ea72b15523ac50dca6a1370d803eb19</t>
        </is>
      </c>
      <c r="B3042" s="29" t="n">
        <v>42966</v>
      </c>
      <c r="C3042" t="inlineStr">
        <is>
          <t>2017-08</t>
        </is>
      </c>
      <c r="D3042" t="inlineStr">
        <is>
          <t>15cf89bab2c3163b4f9d8601d108f8b2</t>
        </is>
      </c>
      <c r="E3042" t="inlineStr">
        <is>
          <t>organic_search</t>
        </is>
      </c>
      <c r="F3042">
        <f>IFERROR(MATCH(A3042,Deals!$A$2:$A$843,0),"")</f>
        <v/>
      </c>
      <c r="G3042">
        <f>IF(F3042="",0,1)</f>
        <v/>
      </c>
      <c r="H3042" s="29">
        <f>IF(F3042="","",INDEX(Deals!$E$2:$E$843,F3042))</f>
        <v/>
      </c>
      <c r="I3042">
        <f>IF(F3042="","",INDEX(Deals!$D$2:$D$843,F3042))</f>
        <v/>
      </c>
      <c r="J3042">
        <f>IF(F3042="","",INT(H3042)-B3042)</f>
        <v/>
      </c>
      <c r="K3042">
        <f>IF(B3042&gt;=Settings!$C$5,1,0)</f>
        <v/>
      </c>
    </row>
    <row r="3043">
      <c r="A3043" t="inlineStr">
        <is>
          <t>32caf458cd9c02201db30672a2302836</t>
        </is>
      </c>
      <c r="B3043" s="29" t="n">
        <v>43103</v>
      </c>
      <c r="C3043" t="inlineStr">
        <is>
          <t>2018-01</t>
        </is>
      </c>
      <c r="D3043" t="inlineStr">
        <is>
          <t>73f31a40697cc90a86c1273563ac230e</t>
        </is>
      </c>
      <c r="E3043" t="inlineStr">
        <is>
          <t>paid_search</t>
        </is>
      </c>
      <c r="F3043">
        <f>IFERROR(MATCH(A3043,Deals!$A$2:$A$843,0),"")</f>
        <v/>
      </c>
      <c r="G3043">
        <f>IF(F3043="",0,1)</f>
        <v/>
      </c>
      <c r="H3043" s="29">
        <f>IF(F3043="","",INDEX(Deals!$E$2:$E$843,F3043))</f>
        <v/>
      </c>
      <c r="I3043">
        <f>IF(F3043="","",INDEX(Deals!$D$2:$D$843,F3043))</f>
        <v/>
      </c>
      <c r="J3043">
        <f>IF(F3043="","",INT(H3043)-B3043)</f>
        <v/>
      </c>
      <c r="K3043">
        <f>IF(B3043&gt;=Settings!$C$5,1,0)</f>
        <v/>
      </c>
    </row>
    <row r="3044">
      <c r="A3044" t="inlineStr">
        <is>
          <t>51664f0519dc74d4ceb12b79d1d66442</t>
        </is>
      </c>
      <c r="B3044" s="29" t="n">
        <v>43166</v>
      </c>
      <c r="C3044" t="inlineStr">
        <is>
          <t>2018-03</t>
        </is>
      </c>
      <c r="D3044" t="inlineStr">
        <is>
          <t>88740e65d5d6b056e0cda098e1ea6313</t>
        </is>
      </c>
      <c r="E3044" t="inlineStr">
        <is>
          <t>social</t>
        </is>
      </c>
      <c r="F3044">
        <f>IFERROR(MATCH(A3044,Deals!$A$2:$A$843,0),"")</f>
        <v/>
      </c>
      <c r="G3044">
        <f>IF(F3044="",0,1)</f>
        <v/>
      </c>
      <c r="H3044" s="29">
        <f>IF(F3044="","",INDEX(Deals!$E$2:$E$843,F3044))</f>
        <v/>
      </c>
      <c r="I3044">
        <f>IF(F3044="","",INDEX(Deals!$D$2:$D$843,F3044))</f>
        <v/>
      </c>
      <c r="J3044">
        <f>IF(F3044="","",INT(H3044)-B3044)</f>
        <v/>
      </c>
      <c r="K3044">
        <f>IF(B3044&gt;=Settings!$C$5,1,0)</f>
        <v/>
      </c>
    </row>
    <row r="3045">
      <c r="A3045" t="inlineStr">
        <is>
          <t>80cff27b15b30ca4c0186164c64f5a18</t>
        </is>
      </c>
      <c r="B3045" s="29" t="n">
        <v>43107</v>
      </c>
      <c r="C3045" t="inlineStr">
        <is>
          <t>2018-01</t>
        </is>
      </c>
      <c r="D3045" t="inlineStr">
        <is>
          <t>7fa6214d82e911d070f51ef79381b956</t>
        </is>
      </c>
      <c r="E3045" t="inlineStr">
        <is>
          <t>social</t>
        </is>
      </c>
      <c r="F3045">
        <f>IFERROR(MATCH(A3045,Deals!$A$2:$A$843,0),"")</f>
        <v/>
      </c>
      <c r="G3045">
        <f>IF(F3045="",0,1)</f>
        <v/>
      </c>
      <c r="H3045" s="29">
        <f>IF(F3045="","",INDEX(Deals!$E$2:$E$843,F3045))</f>
        <v/>
      </c>
      <c r="I3045">
        <f>IF(F3045="","",INDEX(Deals!$D$2:$D$843,F3045))</f>
        <v/>
      </c>
      <c r="J3045">
        <f>IF(F3045="","",INT(H3045)-B3045)</f>
        <v/>
      </c>
      <c r="K3045">
        <f>IF(B3045&gt;=Settings!$C$5,1,0)</f>
        <v/>
      </c>
    </row>
    <row r="3046">
      <c r="A3046" t="inlineStr">
        <is>
          <t>5898b95f414c85269137d3aed09b7391</t>
        </is>
      </c>
      <c r="B3046" s="29" t="n">
        <v>43152</v>
      </c>
      <c r="C3046" t="inlineStr">
        <is>
          <t>2018-02</t>
        </is>
      </c>
      <c r="D3046" t="inlineStr">
        <is>
          <t>a7982125ff7aa3b2054c6e44f9d28522</t>
        </is>
      </c>
      <c r="E3046" t="inlineStr">
        <is>
          <t>organic_search</t>
        </is>
      </c>
      <c r="F3046">
        <f>IFERROR(MATCH(A3046,Deals!$A$2:$A$843,0),"")</f>
        <v/>
      </c>
      <c r="G3046">
        <f>IF(F3046="",0,1)</f>
        <v/>
      </c>
      <c r="H3046" s="29">
        <f>IF(F3046="","",INDEX(Deals!$E$2:$E$843,F3046))</f>
        <v/>
      </c>
      <c r="I3046">
        <f>IF(F3046="","",INDEX(Deals!$D$2:$D$843,F3046))</f>
        <v/>
      </c>
      <c r="J3046">
        <f>IF(F3046="","",INT(H3046)-B3046)</f>
        <v/>
      </c>
      <c r="K3046">
        <f>IF(B3046&gt;=Settings!$C$5,1,0)</f>
        <v/>
      </c>
    </row>
    <row r="3047">
      <c r="A3047" t="inlineStr">
        <is>
          <t>8760f3931e4da88677b3b650b5743f89</t>
        </is>
      </c>
      <c r="B3047" s="29" t="n">
        <v>43013</v>
      </c>
      <c r="C3047" t="inlineStr">
        <is>
          <t>2017-10</t>
        </is>
      </c>
      <c r="D3047" t="inlineStr">
        <is>
          <t>e492ee5eaf1697716985cc6f33f9cd9b</t>
        </is>
      </c>
      <c r="E3047" t="inlineStr">
        <is>
          <t>direct_traffic</t>
        </is>
      </c>
      <c r="F3047">
        <f>IFERROR(MATCH(A3047,Deals!$A$2:$A$843,0),"")</f>
        <v/>
      </c>
      <c r="G3047">
        <f>IF(F3047="",0,1)</f>
        <v/>
      </c>
      <c r="H3047" s="29">
        <f>IF(F3047="","",INDEX(Deals!$E$2:$E$843,F3047))</f>
        <v/>
      </c>
      <c r="I3047">
        <f>IF(F3047="","",INDEX(Deals!$D$2:$D$843,F3047))</f>
        <v/>
      </c>
      <c r="J3047">
        <f>IF(F3047="","",INT(H3047)-B3047)</f>
        <v/>
      </c>
      <c r="K3047">
        <f>IF(B3047&gt;=Settings!$C$5,1,0)</f>
        <v/>
      </c>
    </row>
    <row r="3048">
      <c r="A3048" t="inlineStr">
        <is>
          <t>7a8a53c680deb1b715a7dce9c0f75de0</t>
        </is>
      </c>
      <c r="B3048" s="29" t="n">
        <v>43228</v>
      </c>
      <c r="C3048" t="inlineStr">
        <is>
          <t>2018-05</t>
        </is>
      </c>
      <c r="D3048" t="inlineStr">
        <is>
          <t>0b9430edcbf2d9a95148c806af2b6699</t>
        </is>
      </c>
      <c r="E3048" t="inlineStr">
        <is>
          <t>organic_search</t>
        </is>
      </c>
      <c r="F3048">
        <f>IFERROR(MATCH(A3048,Deals!$A$2:$A$843,0),"")</f>
        <v/>
      </c>
      <c r="G3048">
        <f>IF(F3048="",0,1)</f>
        <v/>
      </c>
      <c r="H3048" s="29">
        <f>IF(F3048="","",INDEX(Deals!$E$2:$E$843,F3048))</f>
        <v/>
      </c>
      <c r="I3048">
        <f>IF(F3048="","",INDEX(Deals!$D$2:$D$843,F3048))</f>
        <v/>
      </c>
      <c r="J3048">
        <f>IF(F3048="","",INT(H3048)-B3048)</f>
        <v/>
      </c>
      <c r="K3048">
        <f>IF(B3048&gt;=Settings!$C$5,1,0)</f>
        <v/>
      </c>
    </row>
    <row r="3049">
      <c r="A3049" t="inlineStr">
        <is>
          <t>fe9ba234704f9db9852cdaa2fdc36df0</t>
        </is>
      </c>
      <c r="B3049" s="29" t="n">
        <v>43104</v>
      </c>
      <c r="C3049" t="inlineStr">
        <is>
          <t>2018-01</t>
        </is>
      </c>
      <c r="D3049" t="inlineStr">
        <is>
          <t>e492ee5eaf1697716985cc6f33f9cd9b</t>
        </is>
      </c>
      <c r="E3049" t="inlineStr">
        <is>
          <t>referral</t>
        </is>
      </c>
      <c r="F3049">
        <f>IFERROR(MATCH(A3049,Deals!$A$2:$A$843,0),"")</f>
        <v/>
      </c>
      <c r="G3049">
        <f>IF(F3049="",0,1)</f>
        <v/>
      </c>
      <c r="H3049" s="29">
        <f>IF(F3049="","",INDEX(Deals!$E$2:$E$843,F3049))</f>
        <v/>
      </c>
      <c r="I3049">
        <f>IF(F3049="","",INDEX(Deals!$D$2:$D$843,F3049))</f>
        <v/>
      </c>
      <c r="J3049">
        <f>IF(F3049="","",INT(H3049)-B3049)</f>
        <v/>
      </c>
      <c r="K3049">
        <f>IF(B3049&gt;=Settings!$C$5,1,0)</f>
        <v/>
      </c>
    </row>
    <row r="3050">
      <c r="A3050" t="inlineStr">
        <is>
          <t>89ad49151f7fe46a62314005263bdbc4</t>
        </is>
      </c>
      <c r="B3050" s="29" t="n">
        <v>43181</v>
      </c>
      <c r="C3050" t="inlineStr">
        <is>
          <t>2018-03</t>
        </is>
      </c>
      <c r="D3050" t="inlineStr">
        <is>
          <t>e492ee5eaf1697716985cc6f33f9cd9b</t>
        </is>
      </c>
      <c r="E3050" t="inlineStr">
        <is>
          <t>organic_search</t>
        </is>
      </c>
      <c r="F3050">
        <f>IFERROR(MATCH(A3050,Deals!$A$2:$A$843,0),"")</f>
        <v/>
      </c>
      <c r="G3050">
        <f>IF(F3050="",0,1)</f>
        <v/>
      </c>
      <c r="H3050" s="29">
        <f>IF(F3050="","",INDEX(Deals!$E$2:$E$843,F3050))</f>
        <v/>
      </c>
      <c r="I3050">
        <f>IF(F3050="","",INDEX(Deals!$D$2:$D$843,F3050))</f>
        <v/>
      </c>
      <c r="J3050">
        <f>IF(F3050="","",INT(H3050)-B3050)</f>
        <v/>
      </c>
      <c r="K3050">
        <f>IF(B3050&gt;=Settings!$C$5,1,0)</f>
        <v/>
      </c>
    </row>
    <row r="3051">
      <c r="A3051" t="inlineStr">
        <is>
          <t>966f9ee50b04f60e17b65e6b713acd9b</t>
        </is>
      </c>
      <c r="B3051" s="29" t="n">
        <v>43243</v>
      </c>
      <c r="C3051" t="inlineStr">
        <is>
          <t>2018-05</t>
        </is>
      </c>
      <c r="D3051" t="inlineStr">
        <is>
          <t>e492ee5eaf1697716985cc6f33f9cd9b</t>
        </is>
      </c>
      <c r="E3051" t="inlineStr">
        <is>
          <t>email</t>
        </is>
      </c>
      <c r="F3051">
        <f>IFERROR(MATCH(A3051,Deals!$A$2:$A$843,0),"")</f>
        <v/>
      </c>
      <c r="G3051">
        <f>IF(F3051="",0,1)</f>
        <v/>
      </c>
      <c r="H3051" s="29">
        <f>IF(F3051="","",INDEX(Deals!$E$2:$E$843,F3051))</f>
        <v/>
      </c>
      <c r="I3051">
        <f>IF(F3051="","",INDEX(Deals!$D$2:$D$843,F3051))</f>
        <v/>
      </c>
      <c r="J3051">
        <f>IF(F3051="","",INT(H3051)-B3051)</f>
        <v/>
      </c>
      <c r="K3051">
        <f>IF(B3051&gt;=Settings!$C$5,1,0)</f>
        <v/>
      </c>
    </row>
    <row r="3052">
      <c r="A3052" t="inlineStr">
        <is>
          <t>a692993d186a08a8ac16edf22edf706d</t>
        </is>
      </c>
      <c r="B3052" s="29" t="n">
        <v>43136</v>
      </c>
      <c r="C3052" t="inlineStr">
        <is>
          <t>2018-02</t>
        </is>
      </c>
      <c r="D3052" t="inlineStr">
        <is>
          <t>22c29808c4f815213303f8933030604c</t>
        </is>
      </c>
      <c r="E3052" t="inlineStr">
        <is>
          <t>paid_search</t>
        </is>
      </c>
      <c r="F3052">
        <f>IFERROR(MATCH(A3052,Deals!$A$2:$A$843,0),"")</f>
        <v/>
      </c>
      <c r="G3052">
        <f>IF(F3052="",0,1)</f>
        <v/>
      </c>
      <c r="H3052" s="29">
        <f>IF(F3052="","",INDEX(Deals!$E$2:$E$843,F3052))</f>
        <v/>
      </c>
      <c r="I3052">
        <f>IF(F3052="","",INDEX(Deals!$D$2:$D$843,F3052))</f>
        <v/>
      </c>
      <c r="J3052">
        <f>IF(F3052="","",INT(H3052)-B3052)</f>
        <v/>
      </c>
      <c r="K3052">
        <f>IF(B3052&gt;=Settings!$C$5,1,0)</f>
        <v/>
      </c>
    </row>
    <row r="3053">
      <c r="A3053" t="inlineStr">
        <is>
          <t>5e2572c857b95a864bebd3cf5fd2e265</t>
        </is>
      </c>
      <c r="B3053" s="29" t="n">
        <v>43107</v>
      </c>
      <c r="C3053" t="inlineStr">
        <is>
          <t>2018-01</t>
        </is>
      </c>
      <c r="D3053" t="inlineStr">
        <is>
          <t>73f31a40697cc90a86c1273563ac230e</t>
        </is>
      </c>
      <c r="E3053" t="inlineStr">
        <is>
          <t>organic_search</t>
        </is>
      </c>
      <c r="F3053">
        <f>IFERROR(MATCH(A3053,Deals!$A$2:$A$843,0),"")</f>
        <v/>
      </c>
      <c r="G3053">
        <f>IF(F3053="",0,1)</f>
        <v/>
      </c>
      <c r="H3053" s="29">
        <f>IF(F3053="","",INDEX(Deals!$E$2:$E$843,F3053))</f>
        <v/>
      </c>
      <c r="I3053">
        <f>IF(F3053="","",INDEX(Deals!$D$2:$D$843,F3053))</f>
        <v/>
      </c>
      <c r="J3053">
        <f>IF(F3053="","",INT(H3053)-B3053)</f>
        <v/>
      </c>
      <c r="K3053">
        <f>IF(B3053&gt;=Settings!$C$5,1,0)</f>
        <v/>
      </c>
    </row>
    <row r="3054">
      <c r="A3054" t="inlineStr">
        <is>
          <t>1408f1a274dfa0469b0501dd323f83c1</t>
        </is>
      </c>
      <c r="B3054" s="29" t="n">
        <v>43131</v>
      </c>
      <c r="C3054" t="inlineStr">
        <is>
          <t>2018-01</t>
        </is>
      </c>
      <c r="D3054" t="inlineStr">
        <is>
          <t>b6cd08ac77c501fd6857f7916d2c24f3</t>
        </is>
      </c>
      <c r="E3054" t="inlineStr">
        <is>
          <t>organic_search</t>
        </is>
      </c>
      <c r="F3054">
        <f>IFERROR(MATCH(A3054,Deals!$A$2:$A$843,0),"")</f>
        <v/>
      </c>
      <c r="G3054">
        <f>IF(F3054="",0,1)</f>
        <v/>
      </c>
      <c r="H3054" s="29">
        <f>IF(F3054="","",INDEX(Deals!$E$2:$E$843,F3054))</f>
        <v/>
      </c>
      <c r="I3054">
        <f>IF(F3054="","",INDEX(Deals!$D$2:$D$843,F3054))</f>
        <v/>
      </c>
      <c r="J3054">
        <f>IF(F3054="","",INT(H3054)-B3054)</f>
        <v/>
      </c>
      <c r="K3054">
        <f>IF(B3054&gt;=Settings!$C$5,1,0)</f>
        <v/>
      </c>
    </row>
    <row r="3055">
      <c r="A3055" t="inlineStr">
        <is>
          <t>52b5792567ad3ebc7313816336ec822f</t>
        </is>
      </c>
      <c r="B3055" s="29" t="n">
        <v>43185</v>
      </c>
      <c r="C3055" t="inlineStr">
        <is>
          <t>2018-03</t>
        </is>
      </c>
      <c r="D3055" t="inlineStr">
        <is>
          <t>5da54625ee0a9560dc9b9b9f6ccb03d0</t>
        </is>
      </c>
      <c r="E3055" t="inlineStr">
        <is>
          <t>paid_search</t>
        </is>
      </c>
      <c r="F3055">
        <f>IFERROR(MATCH(A3055,Deals!$A$2:$A$843,0),"")</f>
        <v/>
      </c>
      <c r="G3055">
        <f>IF(F3055="",0,1)</f>
        <v/>
      </c>
      <c r="H3055" s="29">
        <f>IF(F3055="","",INDEX(Deals!$E$2:$E$843,F3055))</f>
        <v/>
      </c>
      <c r="I3055">
        <f>IF(F3055="","",INDEX(Deals!$D$2:$D$843,F3055))</f>
        <v/>
      </c>
      <c r="J3055">
        <f>IF(F3055="","",INT(H3055)-B3055)</f>
        <v/>
      </c>
      <c r="K3055">
        <f>IF(B3055&gt;=Settings!$C$5,1,0)</f>
        <v/>
      </c>
    </row>
    <row r="3056">
      <c r="A3056" t="inlineStr">
        <is>
          <t>801e72ef2ebe2b80ef71fb8b968d9b48</t>
        </is>
      </c>
      <c r="B3056" s="29" t="n">
        <v>43220</v>
      </c>
      <c r="C3056" t="inlineStr">
        <is>
          <t>2018-04</t>
        </is>
      </c>
      <c r="D3056" t="inlineStr">
        <is>
          <t>9fa37f5177115156b1814ffc237402a6</t>
        </is>
      </c>
      <c r="E3056" t="inlineStr">
        <is>
          <t>paid_search</t>
        </is>
      </c>
      <c r="F3056">
        <f>IFERROR(MATCH(A3056,Deals!$A$2:$A$843,0),"")</f>
        <v/>
      </c>
      <c r="G3056">
        <f>IF(F3056="",0,1)</f>
        <v/>
      </c>
      <c r="H3056" s="29">
        <f>IF(F3056="","",INDEX(Deals!$E$2:$E$843,F3056))</f>
        <v/>
      </c>
      <c r="I3056">
        <f>IF(F3056="","",INDEX(Deals!$D$2:$D$843,F3056))</f>
        <v/>
      </c>
      <c r="J3056">
        <f>IF(F3056="","",INT(H3056)-B3056)</f>
        <v/>
      </c>
      <c r="K3056">
        <f>IF(B3056&gt;=Settings!$C$5,1,0)</f>
        <v/>
      </c>
    </row>
    <row r="3057">
      <c r="A3057" t="inlineStr">
        <is>
          <t>a3c31a078dc3d0dd96c1b91d39e73d38</t>
        </is>
      </c>
      <c r="B3057" s="29" t="n">
        <v>43146</v>
      </c>
      <c r="C3057" t="inlineStr">
        <is>
          <t>2018-02</t>
        </is>
      </c>
      <c r="D3057" t="inlineStr">
        <is>
          <t>22c29808c4f815213303f8933030604c</t>
        </is>
      </c>
      <c r="E3057" t="inlineStr">
        <is>
          <t>organic_search</t>
        </is>
      </c>
      <c r="F3057">
        <f>IFERROR(MATCH(A3057,Deals!$A$2:$A$843,0),"")</f>
        <v/>
      </c>
      <c r="G3057">
        <f>IF(F3057="",0,1)</f>
        <v/>
      </c>
      <c r="H3057" s="29">
        <f>IF(F3057="","",INDEX(Deals!$E$2:$E$843,F3057))</f>
        <v/>
      </c>
      <c r="I3057">
        <f>IF(F3057="","",INDEX(Deals!$D$2:$D$843,F3057))</f>
        <v/>
      </c>
      <c r="J3057">
        <f>IF(F3057="","",INT(H3057)-B3057)</f>
        <v/>
      </c>
      <c r="K3057">
        <f>IF(B3057&gt;=Settings!$C$5,1,0)</f>
        <v/>
      </c>
    </row>
    <row r="3058">
      <c r="A3058" t="inlineStr">
        <is>
          <t>cd5d786626b990d098e0407af7478475</t>
        </is>
      </c>
      <c r="B3058" s="29" t="n">
        <v>43215</v>
      </c>
      <c r="C3058" t="inlineStr">
        <is>
          <t>2018-04</t>
        </is>
      </c>
      <c r="D3058" t="inlineStr">
        <is>
          <t>f80696b73d17fb34f5c4fde157f119d8</t>
        </is>
      </c>
      <c r="E3058" t="inlineStr">
        <is>
          <t>direct_traffic</t>
        </is>
      </c>
      <c r="F3058">
        <f>IFERROR(MATCH(A3058,Deals!$A$2:$A$843,0),"")</f>
        <v/>
      </c>
      <c r="G3058">
        <f>IF(F3058="",0,1)</f>
        <v/>
      </c>
      <c r="H3058" s="29">
        <f>IF(F3058="","",INDEX(Deals!$E$2:$E$843,F3058))</f>
        <v/>
      </c>
      <c r="I3058">
        <f>IF(F3058="","",INDEX(Deals!$D$2:$D$843,F3058))</f>
        <v/>
      </c>
      <c r="J3058">
        <f>IF(F3058="","",INT(H3058)-B3058)</f>
        <v/>
      </c>
      <c r="K3058">
        <f>IF(B3058&gt;=Settings!$C$5,1,0)</f>
        <v/>
      </c>
    </row>
    <row r="3059">
      <c r="A3059" t="inlineStr">
        <is>
          <t>483cad40bcef17f30ff4139d525b6e81</t>
        </is>
      </c>
      <c r="B3059" s="29" t="n">
        <v>43196</v>
      </c>
      <c r="C3059" t="inlineStr">
        <is>
          <t>2018-04</t>
        </is>
      </c>
      <c r="D3059" t="inlineStr">
        <is>
          <t>111313f5b9ceedf17ab5af7317a9f9bc</t>
        </is>
      </c>
      <c r="E3059" t="inlineStr">
        <is>
          <t>organic_search</t>
        </is>
      </c>
      <c r="F3059">
        <f>IFERROR(MATCH(A3059,Deals!$A$2:$A$843,0),"")</f>
        <v/>
      </c>
      <c r="G3059">
        <f>IF(F3059="",0,1)</f>
        <v/>
      </c>
      <c r="H3059" s="29">
        <f>IF(F3059="","",INDEX(Deals!$E$2:$E$843,F3059))</f>
        <v/>
      </c>
      <c r="I3059">
        <f>IF(F3059="","",INDEX(Deals!$D$2:$D$843,F3059))</f>
        <v/>
      </c>
      <c r="J3059">
        <f>IF(F3059="","",INT(H3059)-B3059)</f>
        <v/>
      </c>
      <c r="K3059">
        <f>IF(B3059&gt;=Settings!$C$5,1,0)</f>
        <v/>
      </c>
    </row>
    <row r="3060">
      <c r="A3060" t="inlineStr">
        <is>
          <t>de829cc41d27f07c17771b5027167353</t>
        </is>
      </c>
      <c r="B3060" s="29" t="n">
        <v>43012</v>
      </c>
      <c r="C3060" t="inlineStr">
        <is>
          <t>2017-10</t>
        </is>
      </c>
      <c r="D3060" t="inlineStr">
        <is>
          <t>10f5ac17ed7d6ee9a7d737ac1d2fcb32</t>
        </is>
      </c>
      <c r="E3060" t="inlineStr">
        <is>
          <t>email</t>
        </is>
      </c>
      <c r="F3060">
        <f>IFERROR(MATCH(A3060,Deals!$A$2:$A$843,0),"")</f>
        <v/>
      </c>
      <c r="G3060">
        <f>IF(F3060="",0,1)</f>
        <v/>
      </c>
      <c r="H3060" s="29">
        <f>IF(F3060="","",INDEX(Deals!$E$2:$E$843,F3060))</f>
        <v/>
      </c>
      <c r="I3060">
        <f>IF(F3060="","",INDEX(Deals!$D$2:$D$843,F3060))</f>
        <v/>
      </c>
      <c r="J3060">
        <f>IF(F3060="","",INT(H3060)-B3060)</f>
        <v/>
      </c>
      <c r="K3060">
        <f>IF(B3060&gt;=Settings!$C$5,1,0)</f>
        <v/>
      </c>
    </row>
    <row r="3061">
      <c r="A3061" t="inlineStr">
        <is>
          <t>ce905b9b491b5529664506d2e8e04cbc</t>
        </is>
      </c>
      <c r="B3061" s="29" t="n">
        <v>43111</v>
      </c>
      <c r="C3061" t="inlineStr">
        <is>
          <t>2018-01</t>
        </is>
      </c>
      <c r="D3061" t="inlineStr">
        <is>
          <t>65d9f9d71e562365e8b44037c2888d98</t>
        </is>
      </c>
      <c r="E3061" t="inlineStr">
        <is>
          <t>paid_search</t>
        </is>
      </c>
      <c r="F3061">
        <f>IFERROR(MATCH(A3061,Deals!$A$2:$A$843,0),"")</f>
        <v/>
      </c>
      <c r="G3061">
        <f>IF(F3061="",0,1)</f>
        <v/>
      </c>
      <c r="H3061" s="29">
        <f>IF(F3061="","",INDEX(Deals!$E$2:$E$843,F3061))</f>
        <v/>
      </c>
      <c r="I3061">
        <f>IF(F3061="","",INDEX(Deals!$D$2:$D$843,F3061))</f>
        <v/>
      </c>
      <c r="J3061">
        <f>IF(F3061="","",INT(H3061)-B3061)</f>
        <v/>
      </c>
      <c r="K3061">
        <f>IF(B3061&gt;=Settings!$C$5,1,0)</f>
        <v/>
      </c>
    </row>
    <row r="3062">
      <c r="A3062" t="inlineStr">
        <is>
          <t>85964acbaa00690472fbacd6a419a4b5</t>
        </is>
      </c>
      <c r="B3062" s="29" t="n">
        <v>43242</v>
      </c>
      <c r="C3062" t="inlineStr">
        <is>
          <t>2018-05</t>
        </is>
      </c>
      <c r="D3062" t="inlineStr">
        <is>
          <t>e42a14209c69c3e9cc6b042620465f12</t>
        </is>
      </c>
      <c r="E3062" t="inlineStr">
        <is>
          <t>email</t>
        </is>
      </c>
      <c r="F3062">
        <f>IFERROR(MATCH(A3062,Deals!$A$2:$A$843,0),"")</f>
        <v/>
      </c>
      <c r="G3062">
        <f>IF(F3062="",0,1)</f>
        <v/>
      </c>
      <c r="H3062" s="29">
        <f>IF(F3062="","",INDEX(Deals!$E$2:$E$843,F3062))</f>
        <v/>
      </c>
      <c r="I3062">
        <f>IF(F3062="","",INDEX(Deals!$D$2:$D$843,F3062))</f>
        <v/>
      </c>
      <c r="J3062">
        <f>IF(F3062="","",INT(H3062)-B3062)</f>
        <v/>
      </c>
      <c r="K3062">
        <f>IF(B3062&gt;=Settings!$C$5,1,0)</f>
        <v/>
      </c>
    </row>
    <row r="3063">
      <c r="A3063" t="inlineStr">
        <is>
          <t>e9abec5e32203998211653b45023be1c</t>
        </is>
      </c>
      <c r="B3063" s="29" t="n">
        <v>42933</v>
      </c>
      <c r="C3063" t="inlineStr">
        <is>
          <t>2017-07</t>
        </is>
      </c>
      <c r="D3063" t="inlineStr">
        <is>
          <t>b76ef37428e6799c421989521c0e5077</t>
        </is>
      </c>
      <c r="E3063" t="inlineStr">
        <is>
          <t>unknown</t>
        </is>
      </c>
      <c r="F3063">
        <f>IFERROR(MATCH(A3063,Deals!$A$2:$A$843,0),"")</f>
        <v/>
      </c>
      <c r="G3063">
        <f>IF(F3063="",0,1)</f>
        <v/>
      </c>
      <c r="H3063" s="29">
        <f>IF(F3063="","",INDEX(Deals!$E$2:$E$843,F3063))</f>
        <v/>
      </c>
      <c r="I3063">
        <f>IF(F3063="","",INDEX(Deals!$D$2:$D$843,F3063))</f>
        <v/>
      </c>
      <c r="J3063">
        <f>IF(F3063="","",INT(H3063)-B3063)</f>
        <v/>
      </c>
      <c r="K3063">
        <f>IF(B3063&gt;=Settings!$C$5,1,0)</f>
        <v/>
      </c>
    </row>
    <row r="3064">
      <c r="A3064" t="inlineStr">
        <is>
          <t>a7949e3bfe0d90df9ba1700365ac42c9</t>
        </is>
      </c>
      <c r="B3064" s="29" t="n">
        <v>43158</v>
      </c>
      <c r="C3064" t="inlineStr">
        <is>
          <t>2018-02</t>
        </is>
      </c>
      <c r="D3064" t="inlineStr">
        <is>
          <t>22c29808c4f815213303f8933030604c</t>
        </is>
      </c>
      <c r="E3064" t="inlineStr">
        <is>
          <t>organic_search</t>
        </is>
      </c>
      <c r="F3064">
        <f>IFERROR(MATCH(A3064,Deals!$A$2:$A$843,0),"")</f>
        <v/>
      </c>
      <c r="G3064">
        <f>IF(F3064="",0,1)</f>
        <v/>
      </c>
      <c r="H3064" s="29">
        <f>IF(F3064="","",INDEX(Deals!$E$2:$E$843,F3064))</f>
        <v/>
      </c>
      <c r="I3064">
        <f>IF(F3064="","",INDEX(Deals!$D$2:$D$843,F3064))</f>
        <v/>
      </c>
      <c r="J3064">
        <f>IF(F3064="","",INT(H3064)-B3064)</f>
        <v/>
      </c>
      <c r="K3064">
        <f>IF(B3064&gt;=Settings!$C$5,1,0)</f>
        <v/>
      </c>
    </row>
    <row r="3065">
      <c r="A3065" t="inlineStr">
        <is>
          <t>3ca498a36de1c5eb1c2d01f80341383a</t>
        </is>
      </c>
      <c r="B3065" s="29" t="n">
        <v>43122</v>
      </c>
      <c r="C3065" t="inlineStr">
        <is>
          <t>2018-01</t>
        </is>
      </c>
      <c r="D3065" t="inlineStr">
        <is>
          <t>d45d558f0daeecf3cccdffe3c59684aa</t>
        </is>
      </c>
      <c r="E3065" t="inlineStr">
        <is>
          <t>email</t>
        </is>
      </c>
      <c r="F3065">
        <f>IFERROR(MATCH(A3065,Deals!$A$2:$A$843,0),"")</f>
        <v/>
      </c>
      <c r="G3065">
        <f>IF(F3065="",0,1)</f>
        <v/>
      </c>
      <c r="H3065" s="29">
        <f>IF(F3065="","",INDEX(Deals!$E$2:$E$843,F3065))</f>
        <v/>
      </c>
      <c r="I3065">
        <f>IF(F3065="","",INDEX(Deals!$D$2:$D$843,F3065))</f>
        <v/>
      </c>
      <c r="J3065">
        <f>IF(F3065="","",INT(H3065)-B3065)</f>
        <v/>
      </c>
      <c r="K3065">
        <f>IF(B3065&gt;=Settings!$C$5,1,0)</f>
        <v/>
      </c>
    </row>
    <row r="3066">
      <c r="A3066" t="inlineStr">
        <is>
          <t>d4fd3aa1fbb67249daa0ba08def28060</t>
        </is>
      </c>
      <c r="B3066" s="29" t="n">
        <v>43147</v>
      </c>
      <c r="C3066" t="inlineStr">
        <is>
          <t>2018-02</t>
        </is>
      </c>
      <c r="D3066" t="inlineStr">
        <is>
          <t>e492ee5eaf1697716985cc6f33f9cd9b</t>
        </is>
      </c>
      <c r="E3066" t="inlineStr">
        <is>
          <t>organic_search</t>
        </is>
      </c>
      <c r="F3066">
        <f>IFERROR(MATCH(A3066,Deals!$A$2:$A$843,0),"")</f>
        <v/>
      </c>
      <c r="G3066">
        <f>IF(F3066="",0,1)</f>
        <v/>
      </c>
      <c r="H3066" s="29">
        <f>IF(F3066="","",INDEX(Deals!$E$2:$E$843,F3066))</f>
        <v/>
      </c>
      <c r="I3066">
        <f>IF(F3066="","",INDEX(Deals!$D$2:$D$843,F3066))</f>
        <v/>
      </c>
      <c r="J3066">
        <f>IF(F3066="","",INT(H3066)-B3066)</f>
        <v/>
      </c>
      <c r="K3066">
        <f>IF(B3066&gt;=Settings!$C$5,1,0)</f>
        <v/>
      </c>
    </row>
    <row r="3067">
      <c r="A3067" t="inlineStr">
        <is>
          <t>26a6bd1ee535715480898b5e9ebd03a7</t>
        </is>
      </c>
      <c r="B3067" s="29" t="n">
        <v>43222</v>
      </c>
      <c r="C3067" t="inlineStr">
        <is>
          <t>2018-05</t>
        </is>
      </c>
      <c r="D3067" t="inlineStr">
        <is>
          <t>35c9b150ab36fe584c1f24fd458c453a</t>
        </is>
      </c>
      <c r="E3067" t="inlineStr">
        <is>
          <t>paid_search</t>
        </is>
      </c>
      <c r="F3067">
        <f>IFERROR(MATCH(A3067,Deals!$A$2:$A$843,0),"")</f>
        <v/>
      </c>
      <c r="G3067">
        <f>IF(F3067="",0,1)</f>
        <v/>
      </c>
      <c r="H3067" s="29">
        <f>IF(F3067="","",INDEX(Deals!$E$2:$E$843,F3067))</f>
        <v/>
      </c>
      <c r="I3067">
        <f>IF(F3067="","",INDEX(Deals!$D$2:$D$843,F3067))</f>
        <v/>
      </c>
      <c r="J3067">
        <f>IF(F3067="","",INT(H3067)-B3067)</f>
        <v/>
      </c>
      <c r="K3067">
        <f>IF(B3067&gt;=Settings!$C$5,1,0)</f>
        <v/>
      </c>
    </row>
    <row r="3068">
      <c r="A3068" t="inlineStr">
        <is>
          <t>c2bb2199cb1cff125e02122597fbfb29</t>
        </is>
      </c>
      <c r="B3068" s="29" t="n">
        <v>43193</v>
      </c>
      <c r="C3068" t="inlineStr">
        <is>
          <t>2018-04</t>
        </is>
      </c>
      <c r="D3068" t="inlineStr">
        <is>
          <t>15cf89bab2c3163b4f9d8601d108f8b2</t>
        </is>
      </c>
      <c r="E3068" t="inlineStr">
        <is>
          <t>organic_search</t>
        </is>
      </c>
      <c r="F3068">
        <f>IFERROR(MATCH(A3068,Deals!$A$2:$A$843,0),"")</f>
        <v/>
      </c>
      <c r="G3068">
        <f>IF(F3068="",0,1)</f>
        <v/>
      </c>
      <c r="H3068" s="29">
        <f>IF(F3068="","",INDEX(Deals!$E$2:$E$843,F3068))</f>
        <v/>
      </c>
      <c r="I3068">
        <f>IF(F3068="","",INDEX(Deals!$D$2:$D$843,F3068))</f>
        <v/>
      </c>
      <c r="J3068">
        <f>IF(F3068="","",INT(H3068)-B3068)</f>
        <v/>
      </c>
      <c r="K3068">
        <f>IF(B3068&gt;=Settings!$C$5,1,0)</f>
        <v/>
      </c>
    </row>
    <row r="3069">
      <c r="A3069" t="inlineStr">
        <is>
          <t>abae7d98a0ce038be2705fc36f5de8d9</t>
        </is>
      </c>
      <c r="B3069" s="29" t="n">
        <v>43166</v>
      </c>
      <c r="C3069" t="inlineStr">
        <is>
          <t>2018-03</t>
        </is>
      </c>
      <c r="D3069" t="inlineStr">
        <is>
          <t>88740e65d5d6b056e0cda098e1ea6313</t>
        </is>
      </c>
      <c r="E3069" t="inlineStr">
        <is>
          <t>other_publicities</t>
        </is>
      </c>
      <c r="F3069">
        <f>IFERROR(MATCH(A3069,Deals!$A$2:$A$843,0),"")</f>
        <v/>
      </c>
      <c r="G3069">
        <f>IF(F3069="",0,1)</f>
        <v/>
      </c>
      <c r="H3069" s="29">
        <f>IF(F3069="","",INDEX(Deals!$E$2:$E$843,F3069))</f>
        <v/>
      </c>
      <c r="I3069">
        <f>IF(F3069="","",INDEX(Deals!$D$2:$D$843,F3069))</f>
        <v/>
      </c>
      <c r="J3069">
        <f>IF(F3069="","",INT(H3069)-B3069)</f>
        <v/>
      </c>
      <c r="K3069">
        <f>IF(B3069&gt;=Settings!$C$5,1,0)</f>
        <v/>
      </c>
    </row>
    <row r="3070">
      <c r="A3070" t="inlineStr">
        <is>
          <t>cb99590f7cf124e88bdd3a40b3b1c8bb</t>
        </is>
      </c>
      <c r="B3070" s="29" t="n">
        <v>42948</v>
      </c>
      <c r="C3070" t="inlineStr">
        <is>
          <t>2017-08</t>
        </is>
      </c>
      <c r="D3070" t="inlineStr">
        <is>
          <t>b76ef37428e6799c421989521c0e5077</t>
        </is>
      </c>
      <c r="E3070" t="inlineStr">
        <is>
          <t>unknown</t>
        </is>
      </c>
      <c r="F3070">
        <f>IFERROR(MATCH(A3070,Deals!$A$2:$A$843,0),"")</f>
        <v/>
      </c>
      <c r="G3070">
        <f>IF(F3070="",0,1)</f>
        <v/>
      </c>
      <c r="H3070" s="29">
        <f>IF(F3070="","",INDEX(Deals!$E$2:$E$843,F3070))</f>
        <v/>
      </c>
      <c r="I3070">
        <f>IF(F3070="","",INDEX(Deals!$D$2:$D$843,F3070))</f>
        <v/>
      </c>
      <c r="J3070">
        <f>IF(F3070="","",INT(H3070)-B3070)</f>
        <v/>
      </c>
      <c r="K3070">
        <f>IF(B3070&gt;=Settings!$C$5,1,0)</f>
        <v/>
      </c>
    </row>
    <row r="3071">
      <c r="A3071" t="inlineStr">
        <is>
          <t>3b2dde702df788b53316c6b6e8c3bd9b</t>
        </is>
      </c>
      <c r="B3071" s="29" t="n">
        <v>43122</v>
      </c>
      <c r="C3071" t="inlineStr">
        <is>
          <t>2018-01</t>
        </is>
      </c>
      <c r="D3071" t="inlineStr">
        <is>
          <t>22c29808c4f815213303f8933030604c</t>
        </is>
      </c>
      <c r="E3071" t="inlineStr">
        <is>
          <t>organic_search</t>
        </is>
      </c>
      <c r="F3071">
        <f>IFERROR(MATCH(A3071,Deals!$A$2:$A$843,0),"")</f>
        <v/>
      </c>
      <c r="G3071">
        <f>IF(F3071="",0,1)</f>
        <v/>
      </c>
      <c r="H3071" s="29">
        <f>IF(F3071="","",INDEX(Deals!$E$2:$E$843,F3071))</f>
        <v/>
      </c>
      <c r="I3071">
        <f>IF(F3071="","",INDEX(Deals!$D$2:$D$843,F3071))</f>
        <v/>
      </c>
      <c r="J3071">
        <f>IF(F3071="","",INT(H3071)-B3071)</f>
        <v/>
      </c>
      <c r="K3071">
        <f>IF(B3071&gt;=Settings!$C$5,1,0)</f>
        <v/>
      </c>
    </row>
    <row r="3072">
      <c r="A3072" t="inlineStr">
        <is>
          <t>6e4f47d6a3e00616a565c69757bf59c5</t>
        </is>
      </c>
      <c r="B3072" s="29" t="n">
        <v>43171</v>
      </c>
      <c r="C3072" t="inlineStr">
        <is>
          <t>2018-03</t>
        </is>
      </c>
      <c r="D3072" t="inlineStr">
        <is>
          <t>120ad10683075526ee1b3b00489dafec</t>
        </is>
      </c>
      <c r="E3072" t="inlineStr">
        <is>
          <t>other</t>
        </is>
      </c>
      <c r="F3072">
        <f>IFERROR(MATCH(A3072,Deals!$A$2:$A$843,0),"")</f>
        <v/>
      </c>
      <c r="G3072">
        <f>IF(F3072="",0,1)</f>
        <v/>
      </c>
      <c r="H3072" s="29">
        <f>IF(F3072="","",INDEX(Deals!$E$2:$E$843,F3072))</f>
        <v/>
      </c>
      <c r="I3072">
        <f>IF(F3072="","",INDEX(Deals!$D$2:$D$843,F3072))</f>
        <v/>
      </c>
      <c r="J3072">
        <f>IF(F3072="","",INT(H3072)-B3072)</f>
        <v/>
      </c>
      <c r="K3072">
        <f>IF(B3072&gt;=Settings!$C$5,1,0)</f>
        <v/>
      </c>
    </row>
    <row r="3073">
      <c r="A3073" t="inlineStr">
        <is>
          <t>fc804d532af1ae8155de91061e37d756</t>
        </is>
      </c>
      <c r="B3073" s="29" t="n">
        <v>43240</v>
      </c>
      <c r="C3073" t="inlineStr">
        <is>
          <t>2018-05</t>
        </is>
      </c>
      <c r="D3073" t="inlineStr">
        <is>
          <t>f017be4dbf86243af5c1ebed0cff36a2</t>
        </is>
      </c>
      <c r="E3073" t="inlineStr">
        <is>
          <t>organic_search</t>
        </is>
      </c>
      <c r="F3073">
        <f>IFERROR(MATCH(A3073,Deals!$A$2:$A$843,0),"")</f>
        <v/>
      </c>
      <c r="G3073">
        <f>IF(F3073="",0,1)</f>
        <v/>
      </c>
      <c r="H3073" s="29">
        <f>IF(F3073="","",INDEX(Deals!$E$2:$E$843,F3073))</f>
        <v/>
      </c>
      <c r="I3073">
        <f>IF(F3073="","",INDEX(Deals!$D$2:$D$843,F3073))</f>
        <v/>
      </c>
      <c r="J3073">
        <f>IF(F3073="","",INT(H3073)-B3073)</f>
        <v/>
      </c>
      <c r="K3073">
        <f>IF(B3073&gt;=Settings!$C$5,1,0)</f>
        <v/>
      </c>
    </row>
    <row r="3074">
      <c r="A3074" t="inlineStr">
        <is>
          <t>4cd32d6e6c24dad2afe99e445b936b66</t>
        </is>
      </c>
      <c r="B3074" s="29" t="n">
        <v>42939</v>
      </c>
      <c r="C3074" t="inlineStr">
        <is>
          <t>2017-07</t>
        </is>
      </c>
      <c r="D3074" t="inlineStr">
        <is>
          <t>92bd5f77d493a36dac9bddb66d1b9dbf</t>
        </is>
      </c>
      <c r="E3074" t="inlineStr">
        <is>
          <t>organic_search</t>
        </is>
      </c>
      <c r="F3074">
        <f>IFERROR(MATCH(A3074,Deals!$A$2:$A$843,0),"")</f>
        <v/>
      </c>
      <c r="G3074">
        <f>IF(F3074="",0,1)</f>
        <v/>
      </c>
      <c r="H3074" s="29">
        <f>IF(F3074="","",INDEX(Deals!$E$2:$E$843,F3074))</f>
        <v/>
      </c>
      <c r="I3074">
        <f>IF(F3074="","",INDEX(Deals!$D$2:$D$843,F3074))</f>
        <v/>
      </c>
      <c r="J3074">
        <f>IF(F3074="","",INT(H3074)-B3074)</f>
        <v/>
      </c>
      <c r="K3074">
        <f>IF(B3074&gt;=Settings!$C$5,1,0)</f>
        <v/>
      </c>
    </row>
    <row r="3075">
      <c r="A3075" t="inlineStr">
        <is>
          <t>e46a846e522b549e338296fece070d70</t>
        </is>
      </c>
      <c r="B3075" s="29" t="n">
        <v>43218</v>
      </c>
      <c r="C3075" t="inlineStr">
        <is>
          <t>2018-04</t>
        </is>
      </c>
      <c r="D3075" t="inlineStr">
        <is>
          <t>1ec5f5ec77c51a968271b2ca9862907d</t>
        </is>
      </c>
      <c r="E3075" t="inlineStr">
        <is>
          <t>social</t>
        </is>
      </c>
      <c r="F3075">
        <f>IFERROR(MATCH(A3075,Deals!$A$2:$A$843,0),"")</f>
        <v/>
      </c>
      <c r="G3075">
        <f>IF(F3075="",0,1)</f>
        <v/>
      </c>
      <c r="H3075" s="29">
        <f>IF(F3075="","",INDEX(Deals!$E$2:$E$843,F3075))</f>
        <v/>
      </c>
      <c r="I3075">
        <f>IF(F3075="","",INDEX(Deals!$D$2:$D$843,F3075))</f>
        <v/>
      </c>
      <c r="J3075">
        <f>IF(F3075="","",INT(H3075)-B3075)</f>
        <v/>
      </c>
      <c r="K3075">
        <f>IF(B3075&gt;=Settings!$C$5,1,0)</f>
        <v/>
      </c>
    </row>
    <row r="3076">
      <c r="A3076" t="inlineStr">
        <is>
          <t>19b3fa53ed04b475f8eca3c2f862b60c</t>
        </is>
      </c>
      <c r="B3076" s="29" t="n">
        <v>43107</v>
      </c>
      <c r="C3076" t="inlineStr">
        <is>
          <t>2018-01</t>
        </is>
      </c>
      <c r="D3076" t="inlineStr">
        <is>
          <t>30077c17f2ec5010a82e37ad8925b95f</t>
        </is>
      </c>
      <c r="E3076" t="inlineStr">
        <is>
          <t>organic_search</t>
        </is>
      </c>
      <c r="F3076">
        <f>IFERROR(MATCH(A3076,Deals!$A$2:$A$843,0),"")</f>
        <v/>
      </c>
      <c r="G3076">
        <f>IF(F3076="",0,1)</f>
        <v/>
      </c>
      <c r="H3076" s="29">
        <f>IF(F3076="","",INDEX(Deals!$E$2:$E$843,F3076))</f>
        <v/>
      </c>
      <c r="I3076">
        <f>IF(F3076="","",INDEX(Deals!$D$2:$D$843,F3076))</f>
        <v/>
      </c>
      <c r="J3076">
        <f>IF(F3076="","",INT(H3076)-B3076)</f>
        <v/>
      </c>
      <c r="K3076">
        <f>IF(B3076&gt;=Settings!$C$5,1,0)</f>
        <v/>
      </c>
    </row>
    <row r="3077">
      <c r="A3077" t="inlineStr">
        <is>
          <t>fbb00e1e842e9e5350a7643e6d014863</t>
        </is>
      </c>
      <c r="B3077" s="29" t="n">
        <v>43234</v>
      </c>
      <c r="C3077" t="inlineStr">
        <is>
          <t>2018-05</t>
        </is>
      </c>
      <c r="D3077" t="inlineStr">
        <is>
          <t>9fa37f5177115156b1814ffc237402a6</t>
        </is>
      </c>
      <c r="E3077" t="inlineStr">
        <is>
          <t>paid_search</t>
        </is>
      </c>
      <c r="F3077">
        <f>IFERROR(MATCH(A3077,Deals!$A$2:$A$843,0),"")</f>
        <v/>
      </c>
      <c r="G3077">
        <f>IF(F3077="",0,1)</f>
        <v/>
      </c>
      <c r="H3077" s="29">
        <f>IF(F3077="","",INDEX(Deals!$E$2:$E$843,F3077))</f>
        <v/>
      </c>
      <c r="I3077">
        <f>IF(F3077="","",INDEX(Deals!$D$2:$D$843,F3077))</f>
        <v/>
      </c>
      <c r="J3077">
        <f>IF(F3077="","",INT(H3077)-B3077)</f>
        <v/>
      </c>
      <c r="K3077">
        <f>IF(B3077&gt;=Settings!$C$5,1,0)</f>
        <v/>
      </c>
    </row>
    <row r="3078">
      <c r="A3078" t="inlineStr">
        <is>
          <t>dd9902bc56a9d85cdc62c00083ea4871</t>
        </is>
      </c>
      <c r="B3078" s="29" t="n">
        <v>42995</v>
      </c>
      <c r="C3078" t="inlineStr">
        <is>
          <t>2017-09</t>
        </is>
      </c>
      <c r="D3078" t="inlineStr">
        <is>
          <t>22c29808c4f815213303f8933030604c</t>
        </is>
      </c>
      <c r="E3078" t="inlineStr">
        <is>
          <t>unknown</t>
        </is>
      </c>
      <c r="F3078">
        <f>IFERROR(MATCH(A3078,Deals!$A$2:$A$843,0),"")</f>
        <v/>
      </c>
      <c r="G3078">
        <f>IF(F3078="",0,1)</f>
        <v/>
      </c>
      <c r="H3078" s="29">
        <f>IF(F3078="","",INDEX(Deals!$E$2:$E$843,F3078))</f>
        <v/>
      </c>
      <c r="I3078">
        <f>IF(F3078="","",INDEX(Deals!$D$2:$D$843,F3078))</f>
        <v/>
      </c>
      <c r="J3078">
        <f>IF(F3078="","",INT(H3078)-B3078)</f>
        <v/>
      </c>
      <c r="K3078">
        <f>IF(B3078&gt;=Settings!$C$5,1,0)</f>
        <v/>
      </c>
    </row>
    <row r="3079">
      <c r="A3079" t="inlineStr">
        <is>
          <t>6681e99a8107c37b2a89c913244527a9</t>
        </is>
      </c>
      <c r="B3079" s="29" t="n">
        <v>43063</v>
      </c>
      <c r="C3079" t="inlineStr">
        <is>
          <t>2017-11</t>
        </is>
      </c>
      <c r="D3079" t="inlineStr">
        <is>
          <t>ce1a65abd0973638f1c887a6efcfa82d</t>
        </is>
      </c>
      <c r="E3079" t="inlineStr">
        <is>
          <t>direct_traffic</t>
        </is>
      </c>
      <c r="F3079">
        <f>IFERROR(MATCH(A3079,Deals!$A$2:$A$843,0),"")</f>
        <v/>
      </c>
      <c r="G3079">
        <f>IF(F3079="",0,1)</f>
        <v/>
      </c>
      <c r="H3079" s="29">
        <f>IF(F3079="","",INDEX(Deals!$E$2:$E$843,F3079))</f>
        <v/>
      </c>
      <c r="I3079">
        <f>IF(F3079="","",INDEX(Deals!$D$2:$D$843,F3079))</f>
        <v/>
      </c>
      <c r="J3079">
        <f>IF(F3079="","",INT(H3079)-B3079)</f>
        <v/>
      </c>
      <c r="K3079">
        <f>IF(B3079&gt;=Settings!$C$5,1,0)</f>
        <v/>
      </c>
    </row>
    <row r="3080">
      <c r="A3080" t="inlineStr">
        <is>
          <t>f477a6f0f6aa8c609e6491ad02c5fe66</t>
        </is>
      </c>
      <c r="B3080" s="29" t="n">
        <v>43105</v>
      </c>
      <c r="C3080" t="inlineStr">
        <is>
          <t>2018-01</t>
        </is>
      </c>
      <c r="D3080" t="inlineStr">
        <is>
          <t>22c29808c4f815213303f8933030604c</t>
        </is>
      </c>
      <c r="E3080" t="inlineStr">
        <is>
          <t>organic_search</t>
        </is>
      </c>
      <c r="F3080">
        <f>IFERROR(MATCH(A3080,Deals!$A$2:$A$843,0),"")</f>
        <v/>
      </c>
      <c r="G3080">
        <f>IF(F3080="",0,1)</f>
        <v/>
      </c>
      <c r="H3080" s="29">
        <f>IF(F3080="","",INDEX(Deals!$E$2:$E$843,F3080))</f>
        <v/>
      </c>
      <c r="I3080">
        <f>IF(F3080="","",INDEX(Deals!$D$2:$D$843,F3080))</f>
        <v/>
      </c>
      <c r="J3080">
        <f>IF(F3080="","",INT(H3080)-B3080)</f>
        <v/>
      </c>
      <c r="K3080">
        <f>IF(B3080&gt;=Settings!$C$5,1,0)</f>
        <v/>
      </c>
    </row>
    <row r="3081">
      <c r="A3081" t="inlineStr">
        <is>
          <t>1f163d2cf1782152bdd7333dbd880b46</t>
        </is>
      </c>
      <c r="B3081" s="29" t="n">
        <v>42999</v>
      </c>
      <c r="C3081" t="inlineStr">
        <is>
          <t>2017-09</t>
        </is>
      </c>
      <c r="D3081" t="inlineStr">
        <is>
          <t>1d4ddc25ccaa2adeded340b6eda66182</t>
        </is>
      </c>
      <c r="E3081" t="inlineStr">
        <is>
          <t>paid_search</t>
        </is>
      </c>
      <c r="F3081">
        <f>IFERROR(MATCH(A3081,Deals!$A$2:$A$843,0),"")</f>
        <v/>
      </c>
      <c r="G3081">
        <f>IF(F3081="",0,1)</f>
        <v/>
      </c>
      <c r="H3081" s="29">
        <f>IF(F3081="","",INDEX(Deals!$E$2:$E$843,F3081))</f>
        <v/>
      </c>
      <c r="I3081">
        <f>IF(F3081="","",INDEX(Deals!$D$2:$D$843,F3081))</f>
        <v/>
      </c>
      <c r="J3081">
        <f>IF(F3081="","",INT(H3081)-B3081)</f>
        <v/>
      </c>
      <c r="K3081">
        <f>IF(B3081&gt;=Settings!$C$5,1,0)</f>
        <v/>
      </c>
    </row>
    <row r="3082">
      <c r="A3082" t="inlineStr">
        <is>
          <t>76069877da8f1384cce3ca8826982c1a</t>
        </is>
      </c>
      <c r="B3082" s="29" t="n">
        <v>43219</v>
      </c>
      <c r="C3082" t="inlineStr">
        <is>
          <t>2018-04</t>
        </is>
      </c>
      <c r="D3082" t="inlineStr">
        <is>
          <t>30534107aa0013db92899c96a1017d0b</t>
        </is>
      </c>
      <c r="E3082" t="inlineStr">
        <is>
          <t>direct_traffic</t>
        </is>
      </c>
      <c r="F3082">
        <f>IFERROR(MATCH(A3082,Deals!$A$2:$A$843,0),"")</f>
        <v/>
      </c>
      <c r="G3082">
        <f>IF(F3082="",0,1)</f>
        <v/>
      </c>
      <c r="H3082" s="29">
        <f>IF(F3082="","",INDEX(Deals!$E$2:$E$843,F3082))</f>
        <v/>
      </c>
      <c r="I3082">
        <f>IF(F3082="","",INDEX(Deals!$D$2:$D$843,F3082))</f>
        <v/>
      </c>
      <c r="J3082">
        <f>IF(F3082="","",INT(H3082)-B3082)</f>
        <v/>
      </c>
      <c r="K3082">
        <f>IF(B3082&gt;=Settings!$C$5,1,0)</f>
        <v/>
      </c>
    </row>
    <row r="3083">
      <c r="A3083" t="inlineStr">
        <is>
          <t>e9c519a82a563ea4613914e83d06acda</t>
        </is>
      </c>
      <c r="B3083" s="29" t="n">
        <v>43127</v>
      </c>
      <c r="C3083" t="inlineStr">
        <is>
          <t>2018-01</t>
        </is>
      </c>
      <c r="D3083" t="inlineStr">
        <is>
          <t>40dec9f3d5259a3d2dbcdab2114fae47</t>
        </is>
      </c>
      <c r="E3083" t="inlineStr">
        <is>
          <t>paid_search</t>
        </is>
      </c>
      <c r="F3083">
        <f>IFERROR(MATCH(A3083,Deals!$A$2:$A$843,0),"")</f>
        <v/>
      </c>
      <c r="G3083">
        <f>IF(F3083="",0,1)</f>
        <v/>
      </c>
      <c r="H3083" s="29">
        <f>IF(F3083="","",INDEX(Deals!$E$2:$E$843,F3083))</f>
        <v/>
      </c>
      <c r="I3083">
        <f>IF(F3083="","",INDEX(Deals!$D$2:$D$843,F3083))</f>
        <v/>
      </c>
      <c r="J3083">
        <f>IF(F3083="","",INT(H3083)-B3083)</f>
        <v/>
      </c>
      <c r="K3083">
        <f>IF(B3083&gt;=Settings!$C$5,1,0)</f>
        <v/>
      </c>
    </row>
    <row r="3084">
      <c r="A3084" t="inlineStr">
        <is>
          <t>c336e823d31280b5ded5f32cdaa0fe0c</t>
        </is>
      </c>
      <c r="B3084" s="29" t="n">
        <v>43081</v>
      </c>
      <c r="C3084" t="inlineStr">
        <is>
          <t>2017-12</t>
        </is>
      </c>
      <c r="D3084" t="inlineStr">
        <is>
          <t>ff3416719616ad4921acb8c74e21d6f0</t>
        </is>
      </c>
      <c r="E3084" t="inlineStr">
        <is>
          <t>social</t>
        </is>
      </c>
      <c r="F3084">
        <f>IFERROR(MATCH(A3084,Deals!$A$2:$A$843,0),"")</f>
        <v/>
      </c>
      <c r="G3084">
        <f>IF(F3084="",0,1)</f>
        <v/>
      </c>
      <c r="H3084" s="29">
        <f>IF(F3084="","",INDEX(Deals!$E$2:$E$843,F3084))</f>
        <v/>
      </c>
      <c r="I3084">
        <f>IF(F3084="","",INDEX(Deals!$D$2:$D$843,F3084))</f>
        <v/>
      </c>
      <c r="J3084">
        <f>IF(F3084="","",INT(H3084)-B3084)</f>
        <v/>
      </c>
      <c r="K3084">
        <f>IF(B3084&gt;=Settings!$C$5,1,0)</f>
        <v/>
      </c>
    </row>
    <row r="3085">
      <c r="A3085" t="inlineStr">
        <is>
          <t>a5ab1fa4199426a4a1f1cfa23bf299e8</t>
        </is>
      </c>
      <c r="B3085" s="29" t="n">
        <v>43044</v>
      </c>
      <c r="C3085" t="inlineStr">
        <is>
          <t>2017-11</t>
        </is>
      </c>
      <c r="D3085" t="inlineStr">
        <is>
          <t>88740e65d5d6b056e0cda098e1ea6313</t>
        </is>
      </c>
      <c r="E3085" t="inlineStr">
        <is>
          <t>social</t>
        </is>
      </c>
      <c r="F3085">
        <f>IFERROR(MATCH(A3085,Deals!$A$2:$A$843,0),"")</f>
        <v/>
      </c>
      <c r="G3085">
        <f>IF(F3085="",0,1)</f>
        <v/>
      </c>
      <c r="H3085" s="29">
        <f>IF(F3085="","",INDEX(Deals!$E$2:$E$843,F3085))</f>
        <v/>
      </c>
      <c r="I3085">
        <f>IF(F3085="","",INDEX(Deals!$D$2:$D$843,F3085))</f>
        <v/>
      </c>
      <c r="J3085">
        <f>IF(F3085="","",INT(H3085)-B3085)</f>
        <v/>
      </c>
      <c r="K3085">
        <f>IF(B3085&gt;=Settings!$C$5,1,0)</f>
        <v/>
      </c>
    </row>
    <row r="3086">
      <c r="A3086" t="inlineStr">
        <is>
          <t>5f7526ec1bdd6eebdf4f7d0054cfe163</t>
        </is>
      </c>
      <c r="B3086" s="29" t="n">
        <v>43106</v>
      </c>
      <c r="C3086" t="inlineStr">
        <is>
          <t>2018-01</t>
        </is>
      </c>
      <c r="D3086" t="inlineStr">
        <is>
          <t>50f87b85a731cec08d8380b08c573ed3</t>
        </is>
      </c>
      <c r="E3086" t="inlineStr">
        <is>
          <t>organic_search</t>
        </is>
      </c>
      <c r="F3086">
        <f>IFERROR(MATCH(A3086,Deals!$A$2:$A$843,0),"")</f>
        <v/>
      </c>
      <c r="G3086">
        <f>IF(F3086="",0,1)</f>
        <v/>
      </c>
      <c r="H3086" s="29">
        <f>IF(F3086="","",INDEX(Deals!$E$2:$E$843,F3086))</f>
        <v/>
      </c>
      <c r="I3086">
        <f>IF(F3086="","",INDEX(Deals!$D$2:$D$843,F3086))</f>
        <v/>
      </c>
      <c r="J3086">
        <f>IF(F3086="","",INT(H3086)-B3086)</f>
        <v/>
      </c>
      <c r="K3086">
        <f>IF(B3086&gt;=Settings!$C$5,1,0)</f>
        <v/>
      </c>
    </row>
    <row r="3087">
      <c r="A3087" t="inlineStr">
        <is>
          <t>2ef1bbdc45ad8e0abaa18d187033bca2</t>
        </is>
      </c>
      <c r="B3087" s="29" t="n">
        <v>43235</v>
      </c>
      <c r="C3087" t="inlineStr">
        <is>
          <t>2018-05</t>
        </is>
      </c>
      <c r="D3087" t="inlineStr">
        <is>
          <t>330b9d44078a1ae5a221d655dcb77afa</t>
        </is>
      </c>
      <c r="E3087" t="inlineStr">
        <is>
          <t>organic_search</t>
        </is>
      </c>
      <c r="F3087">
        <f>IFERROR(MATCH(A3087,Deals!$A$2:$A$843,0),"")</f>
        <v/>
      </c>
      <c r="G3087">
        <f>IF(F3087="",0,1)</f>
        <v/>
      </c>
      <c r="H3087" s="29">
        <f>IF(F3087="","",INDEX(Deals!$E$2:$E$843,F3087))</f>
        <v/>
      </c>
      <c r="I3087">
        <f>IF(F3087="","",INDEX(Deals!$D$2:$D$843,F3087))</f>
        <v/>
      </c>
      <c r="J3087">
        <f>IF(F3087="","",INT(H3087)-B3087)</f>
        <v/>
      </c>
      <c r="K3087">
        <f>IF(B3087&gt;=Settings!$C$5,1,0)</f>
        <v/>
      </c>
    </row>
    <row r="3088">
      <c r="A3088" t="inlineStr">
        <is>
          <t>e297f099ebb4b475764f76a3b49c9b3b</t>
        </is>
      </c>
      <c r="B3088" s="29" t="n">
        <v>43209</v>
      </c>
      <c r="C3088" t="inlineStr">
        <is>
          <t>2018-04</t>
        </is>
      </c>
      <c r="D3088" t="inlineStr">
        <is>
          <t>a7982125ff7aa3b2054c6e44f9d28522</t>
        </is>
      </c>
      <c r="E3088" t="inlineStr">
        <is>
          <t>organic_search</t>
        </is>
      </c>
      <c r="F3088">
        <f>IFERROR(MATCH(A3088,Deals!$A$2:$A$843,0),"")</f>
        <v/>
      </c>
      <c r="G3088">
        <f>IF(F3088="",0,1)</f>
        <v/>
      </c>
      <c r="H3088" s="29">
        <f>IF(F3088="","",INDEX(Deals!$E$2:$E$843,F3088))</f>
        <v/>
      </c>
      <c r="I3088">
        <f>IF(F3088="","",INDEX(Deals!$D$2:$D$843,F3088))</f>
        <v/>
      </c>
      <c r="J3088">
        <f>IF(F3088="","",INT(H3088)-B3088)</f>
        <v/>
      </c>
      <c r="K3088">
        <f>IF(B3088&gt;=Settings!$C$5,1,0)</f>
        <v/>
      </c>
    </row>
    <row r="3089">
      <c r="A3089" t="inlineStr">
        <is>
          <t>f4801d6ba7943af3d9d8872e81cf380e</t>
        </is>
      </c>
      <c r="B3089" s="29" t="n">
        <v>43242</v>
      </c>
      <c r="C3089" t="inlineStr">
        <is>
          <t>2018-05</t>
        </is>
      </c>
      <c r="D3089" t="inlineStr">
        <is>
          <t>36120633c8737035fbabf079082f4ec1</t>
        </is>
      </c>
      <c r="E3089" t="inlineStr">
        <is>
          <t>unknown</t>
        </is>
      </c>
      <c r="F3089">
        <f>IFERROR(MATCH(A3089,Deals!$A$2:$A$843,0),"")</f>
        <v/>
      </c>
      <c r="G3089">
        <f>IF(F3089="",0,1)</f>
        <v/>
      </c>
      <c r="H3089" s="29">
        <f>IF(F3089="","",INDEX(Deals!$E$2:$E$843,F3089))</f>
        <v/>
      </c>
      <c r="I3089">
        <f>IF(F3089="","",INDEX(Deals!$D$2:$D$843,F3089))</f>
        <v/>
      </c>
      <c r="J3089">
        <f>IF(F3089="","",INT(H3089)-B3089)</f>
        <v/>
      </c>
      <c r="K3089">
        <f>IF(B3089&gt;=Settings!$C$5,1,0)</f>
        <v/>
      </c>
    </row>
    <row r="3090">
      <c r="A3090" t="inlineStr">
        <is>
          <t>eb2f0fc72f358a3663182913cbcdb32f</t>
        </is>
      </c>
      <c r="B3090" s="29" t="n">
        <v>43152</v>
      </c>
      <c r="C3090" t="inlineStr">
        <is>
          <t>2018-02</t>
        </is>
      </c>
      <c r="D3090" t="inlineStr">
        <is>
          <t>b6885f18d203a61176418c1fb3764815</t>
        </is>
      </c>
      <c r="E3090" t="inlineStr">
        <is>
          <t>paid_search</t>
        </is>
      </c>
      <c r="F3090">
        <f>IFERROR(MATCH(A3090,Deals!$A$2:$A$843,0),"")</f>
        <v/>
      </c>
      <c r="G3090">
        <f>IF(F3090="",0,1)</f>
        <v/>
      </c>
      <c r="H3090" s="29">
        <f>IF(F3090="","",INDEX(Deals!$E$2:$E$843,F3090))</f>
        <v/>
      </c>
      <c r="I3090">
        <f>IF(F3090="","",INDEX(Deals!$D$2:$D$843,F3090))</f>
        <v/>
      </c>
      <c r="J3090">
        <f>IF(F3090="","",INT(H3090)-B3090)</f>
        <v/>
      </c>
      <c r="K3090">
        <f>IF(B3090&gt;=Settings!$C$5,1,0)</f>
        <v/>
      </c>
    </row>
    <row r="3091">
      <c r="A3091" t="inlineStr">
        <is>
          <t>54b26778c1725894f48393baf84d3b30</t>
        </is>
      </c>
      <c r="B3091" s="29" t="n">
        <v>43047</v>
      </c>
      <c r="C3091" t="inlineStr">
        <is>
          <t>2017-11</t>
        </is>
      </c>
      <c r="D3091" t="inlineStr">
        <is>
          <t>88740e65d5d6b056e0cda098e1ea6313</t>
        </is>
      </c>
      <c r="E3091" t="inlineStr">
        <is>
          <t>social</t>
        </is>
      </c>
      <c r="F3091">
        <f>IFERROR(MATCH(A3091,Deals!$A$2:$A$843,0),"")</f>
        <v/>
      </c>
      <c r="G3091">
        <f>IF(F3091="",0,1)</f>
        <v/>
      </c>
      <c r="H3091" s="29">
        <f>IF(F3091="","",INDEX(Deals!$E$2:$E$843,F3091))</f>
        <v/>
      </c>
      <c r="I3091">
        <f>IF(F3091="","",INDEX(Deals!$D$2:$D$843,F3091))</f>
        <v/>
      </c>
      <c r="J3091">
        <f>IF(F3091="","",INT(H3091)-B3091)</f>
        <v/>
      </c>
      <c r="K3091">
        <f>IF(B3091&gt;=Settings!$C$5,1,0)</f>
        <v/>
      </c>
    </row>
    <row r="3092">
      <c r="A3092" t="inlineStr">
        <is>
          <t>31fb220526c09d18bf9cfaff20bcba4e</t>
        </is>
      </c>
      <c r="B3092" s="29" t="n">
        <v>42983</v>
      </c>
      <c r="C3092" t="inlineStr">
        <is>
          <t>2017-09</t>
        </is>
      </c>
      <c r="D3092" t="inlineStr">
        <is>
          <t>0b37d43dbde6452cdd94c17bf61a88e4</t>
        </is>
      </c>
      <c r="E3092" t="inlineStr">
        <is>
          <t>organic_search</t>
        </is>
      </c>
      <c r="F3092">
        <f>IFERROR(MATCH(A3092,Deals!$A$2:$A$843,0),"")</f>
        <v/>
      </c>
      <c r="G3092">
        <f>IF(F3092="",0,1)</f>
        <v/>
      </c>
      <c r="H3092" s="29">
        <f>IF(F3092="","",INDEX(Deals!$E$2:$E$843,F3092))</f>
        <v/>
      </c>
      <c r="I3092">
        <f>IF(F3092="","",INDEX(Deals!$D$2:$D$843,F3092))</f>
        <v/>
      </c>
      <c r="J3092">
        <f>IF(F3092="","",INT(H3092)-B3092)</f>
        <v/>
      </c>
      <c r="K3092">
        <f>IF(B3092&gt;=Settings!$C$5,1,0)</f>
        <v/>
      </c>
    </row>
    <row r="3093">
      <c r="A3093" t="inlineStr">
        <is>
          <t>0965de46e3d5c19fe17b96ab3d174336</t>
        </is>
      </c>
      <c r="B3093" s="29" t="n">
        <v>43147</v>
      </c>
      <c r="C3093" t="inlineStr">
        <is>
          <t>2018-02</t>
        </is>
      </c>
      <c r="D3093" t="inlineStr">
        <is>
          <t>40dec9f3d5259a3d2dbcdab2114fae47</t>
        </is>
      </c>
      <c r="E3093" t="inlineStr">
        <is>
          <t>paid_search</t>
        </is>
      </c>
      <c r="F3093">
        <f>IFERROR(MATCH(A3093,Deals!$A$2:$A$843,0),"")</f>
        <v/>
      </c>
      <c r="G3093">
        <f>IF(F3093="",0,1)</f>
        <v/>
      </c>
      <c r="H3093" s="29">
        <f>IF(F3093="","",INDEX(Deals!$E$2:$E$843,F3093))</f>
        <v/>
      </c>
      <c r="I3093">
        <f>IF(F3093="","",INDEX(Deals!$D$2:$D$843,F3093))</f>
        <v/>
      </c>
      <c r="J3093">
        <f>IF(F3093="","",INT(H3093)-B3093)</f>
        <v/>
      </c>
      <c r="K3093">
        <f>IF(B3093&gt;=Settings!$C$5,1,0)</f>
        <v/>
      </c>
    </row>
    <row r="3094">
      <c r="A3094" t="inlineStr">
        <is>
          <t>7a456d7f29b4e7e92bb9a14c24dce430</t>
        </is>
      </c>
      <c r="B3094" s="29" t="n">
        <v>42926</v>
      </c>
      <c r="C3094" t="inlineStr">
        <is>
          <t>2017-07</t>
        </is>
      </c>
      <c r="D3094" t="inlineStr">
        <is>
          <t>ee3c3bad6ed3eb9d5de56688d1f9c91b</t>
        </is>
      </c>
      <c r="E3094" t="inlineStr">
        <is>
          <t>organic_search</t>
        </is>
      </c>
      <c r="F3094">
        <f>IFERROR(MATCH(A3094,Deals!$A$2:$A$843,0),"")</f>
        <v/>
      </c>
      <c r="G3094">
        <f>IF(F3094="",0,1)</f>
        <v/>
      </c>
      <c r="H3094" s="29">
        <f>IF(F3094="","",INDEX(Deals!$E$2:$E$843,F3094))</f>
        <v/>
      </c>
      <c r="I3094">
        <f>IF(F3094="","",INDEX(Deals!$D$2:$D$843,F3094))</f>
        <v/>
      </c>
      <c r="J3094">
        <f>IF(F3094="","",INT(H3094)-B3094)</f>
        <v/>
      </c>
      <c r="K3094">
        <f>IF(B3094&gt;=Settings!$C$5,1,0)</f>
        <v/>
      </c>
    </row>
    <row r="3095">
      <c r="A3095" t="inlineStr">
        <is>
          <t>c18329a875ee3142771b03cad25cfc79</t>
        </is>
      </c>
      <c r="B3095" s="29" t="n">
        <v>42990</v>
      </c>
      <c r="C3095" t="inlineStr">
        <is>
          <t>2017-09</t>
        </is>
      </c>
      <c r="D3095" t="inlineStr">
        <is>
          <t>6323b8a5b98bfda127cb1cdfd4a40fbb</t>
        </is>
      </c>
      <c r="E3095" t="inlineStr">
        <is>
          <t>email</t>
        </is>
      </c>
      <c r="F3095">
        <f>IFERROR(MATCH(A3095,Deals!$A$2:$A$843,0),"")</f>
        <v/>
      </c>
      <c r="G3095">
        <f>IF(F3095="",0,1)</f>
        <v/>
      </c>
      <c r="H3095" s="29">
        <f>IF(F3095="","",INDEX(Deals!$E$2:$E$843,F3095))</f>
        <v/>
      </c>
      <c r="I3095">
        <f>IF(F3095="","",INDEX(Deals!$D$2:$D$843,F3095))</f>
        <v/>
      </c>
      <c r="J3095">
        <f>IF(F3095="","",INT(H3095)-B3095)</f>
        <v/>
      </c>
      <c r="K3095">
        <f>IF(B3095&gt;=Settings!$C$5,1,0)</f>
        <v/>
      </c>
    </row>
    <row r="3096">
      <c r="A3096" t="inlineStr">
        <is>
          <t>e3b1fdbfb97eddd5f1dcc781498f1b47</t>
        </is>
      </c>
      <c r="B3096" s="29" t="n">
        <v>43129</v>
      </c>
      <c r="C3096" t="inlineStr">
        <is>
          <t>2018-01</t>
        </is>
      </c>
      <c r="D3096" t="inlineStr">
        <is>
          <t>b6885f18d203a61176418c1fb3764815</t>
        </is>
      </c>
      <c r="E3096" t="inlineStr">
        <is>
          <t>unknown</t>
        </is>
      </c>
      <c r="F3096">
        <f>IFERROR(MATCH(A3096,Deals!$A$2:$A$843,0),"")</f>
        <v/>
      </c>
      <c r="G3096">
        <f>IF(F3096="",0,1)</f>
        <v/>
      </c>
      <c r="H3096" s="29">
        <f>IF(F3096="","",INDEX(Deals!$E$2:$E$843,F3096))</f>
        <v/>
      </c>
      <c r="I3096">
        <f>IF(F3096="","",INDEX(Deals!$D$2:$D$843,F3096))</f>
        <v/>
      </c>
      <c r="J3096">
        <f>IF(F3096="","",INT(H3096)-B3096)</f>
        <v/>
      </c>
      <c r="K3096">
        <f>IF(B3096&gt;=Settings!$C$5,1,0)</f>
        <v/>
      </c>
    </row>
    <row r="3097">
      <c r="A3097" t="inlineStr">
        <is>
          <t>ce229b87ad8df6c983fb2922aeed0e23</t>
        </is>
      </c>
      <c r="B3097" s="29" t="n">
        <v>43212</v>
      </c>
      <c r="C3097" t="inlineStr">
        <is>
          <t>2018-04</t>
        </is>
      </c>
      <c r="D3097" t="inlineStr">
        <is>
          <t>58326e62183c14b0c03085c33b9fdc44</t>
        </is>
      </c>
      <c r="E3097" t="inlineStr">
        <is>
          <t>social</t>
        </is>
      </c>
      <c r="F3097">
        <f>IFERROR(MATCH(A3097,Deals!$A$2:$A$843,0),"")</f>
        <v/>
      </c>
      <c r="G3097">
        <f>IF(F3097="",0,1)</f>
        <v/>
      </c>
      <c r="H3097" s="29">
        <f>IF(F3097="","",INDEX(Deals!$E$2:$E$843,F3097))</f>
        <v/>
      </c>
      <c r="I3097">
        <f>IF(F3097="","",INDEX(Deals!$D$2:$D$843,F3097))</f>
        <v/>
      </c>
      <c r="J3097">
        <f>IF(F3097="","",INT(H3097)-B3097)</f>
        <v/>
      </c>
      <c r="K3097">
        <f>IF(B3097&gt;=Settings!$C$5,1,0)</f>
        <v/>
      </c>
    </row>
    <row r="3098">
      <c r="A3098" t="inlineStr">
        <is>
          <t>a0a8f64f5b82720a82bb36aeab48bb18</t>
        </is>
      </c>
      <c r="B3098" s="29" t="n">
        <v>43188</v>
      </c>
      <c r="C3098" t="inlineStr">
        <is>
          <t>2018-03</t>
        </is>
      </c>
      <c r="D3098" t="inlineStr">
        <is>
          <t>b76ef37428e6799c421989521c0e5077</t>
        </is>
      </c>
      <c r="E3098" t="inlineStr">
        <is>
          <t>unknown</t>
        </is>
      </c>
      <c r="F3098">
        <f>IFERROR(MATCH(A3098,Deals!$A$2:$A$843,0),"")</f>
        <v/>
      </c>
      <c r="G3098">
        <f>IF(F3098="",0,1)</f>
        <v/>
      </c>
      <c r="H3098" s="29">
        <f>IF(F3098="","",INDEX(Deals!$E$2:$E$843,F3098))</f>
        <v/>
      </c>
      <c r="I3098">
        <f>IF(F3098="","",INDEX(Deals!$D$2:$D$843,F3098))</f>
        <v/>
      </c>
      <c r="J3098">
        <f>IF(F3098="","",INT(H3098)-B3098)</f>
        <v/>
      </c>
      <c r="K3098">
        <f>IF(B3098&gt;=Settings!$C$5,1,0)</f>
        <v/>
      </c>
    </row>
    <row r="3099">
      <c r="A3099" t="inlineStr">
        <is>
          <t>1024cf4dc7f44bc2296769309fcfb4e5</t>
        </is>
      </c>
      <c r="B3099" s="29" t="n">
        <v>43242</v>
      </c>
      <c r="C3099" t="inlineStr">
        <is>
          <t>2018-05</t>
        </is>
      </c>
      <c r="D3099" t="inlineStr">
        <is>
          <t>f017be4dbf86243af5c1ebed0cff36a2</t>
        </is>
      </c>
      <c r="E3099" t="inlineStr">
        <is>
          <t>referral</t>
        </is>
      </c>
      <c r="F3099">
        <f>IFERROR(MATCH(A3099,Deals!$A$2:$A$843,0),"")</f>
        <v/>
      </c>
      <c r="G3099">
        <f>IF(F3099="",0,1)</f>
        <v/>
      </c>
      <c r="H3099" s="29">
        <f>IF(F3099="","",INDEX(Deals!$E$2:$E$843,F3099))</f>
        <v/>
      </c>
      <c r="I3099">
        <f>IF(F3099="","",INDEX(Deals!$D$2:$D$843,F3099))</f>
        <v/>
      </c>
      <c r="J3099">
        <f>IF(F3099="","",INT(H3099)-B3099)</f>
        <v/>
      </c>
      <c r="K3099">
        <f>IF(B3099&gt;=Settings!$C$5,1,0)</f>
        <v/>
      </c>
    </row>
    <row r="3100">
      <c r="A3100" t="inlineStr">
        <is>
          <t>89df30a4734b728774ac9cd022d4c8f9</t>
        </is>
      </c>
      <c r="B3100" s="29" t="n">
        <v>43192</v>
      </c>
      <c r="C3100" t="inlineStr">
        <is>
          <t>2018-04</t>
        </is>
      </c>
      <c r="D3100" t="inlineStr">
        <is>
          <t>58326e62183c14b0c03085c33b9fdc44</t>
        </is>
      </c>
      <c r="E3100" t="inlineStr">
        <is>
          <t>social</t>
        </is>
      </c>
      <c r="F3100">
        <f>IFERROR(MATCH(A3100,Deals!$A$2:$A$843,0),"")</f>
        <v/>
      </c>
      <c r="G3100">
        <f>IF(F3100="",0,1)</f>
        <v/>
      </c>
      <c r="H3100" s="29">
        <f>IF(F3100="","",INDEX(Deals!$E$2:$E$843,F3100))</f>
        <v/>
      </c>
      <c r="I3100">
        <f>IF(F3100="","",INDEX(Deals!$D$2:$D$843,F3100))</f>
        <v/>
      </c>
      <c r="J3100">
        <f>IF(F3100="","",INT(H3100)-B3100)</f>
        <v/>
      </c>
      <c r="K3100">
        <f>IF(B3100&gt;=Settings!$C$5,1,0)</f>
        <v/>
      </c>
    </row>
    <row r="3101">
      <c r="A3101" t="inlineStr">
        <is>
          <t>2ad908ea29b45df4bf8b2a3136690429</t>
        </is>
      </c>
      <c r="B3101" s="29" t="n">
        <v>43225</v>
      </c>
      <c r="C3101" t="inlineStr">
        <is>
          <t>2018-05</t>
        </is>
      </c>
      <c r="D3101" t="inlineStr">
        <is>
          <t>73fec6021437e723ff5adae8dff89e23</t>
        </is>
      </c>
      <c r="E3101" t="inlineStr">
        <is>
          <t>social</t>
        </is>
      </c>
      <c r="F3101">
        <f>IFERROR(MATCH(A3101,Deals!$A$2:$A$843,0),"")</f>
        <v/>
      </c>
      <c r="G3101">
        <f>IF(F3101="",0,1)</f>
        <v/>
      </c>
      <c r="H3101" s="29">
        <f>IF(F3101="","",INDEX(Deals!$E$2:$E$843,F3101))</f>
        <v/>
      </c>
      <c r="I3101">
        <f>IF(F3101="","",INDEX(Deals!$D$2:$D$843,F3101))</f>
        <v/>
      </c>
      <c r="J3101">
        <f>IF(F3101="","",INT(H3101)-B3101)</f>
        <v/>
      </c>
      <c r="K3101">
        <f>IF(B3101&gt;=Settings!$C$5,1,0)</f>
        <v/>
      </c>
    </row>
    <row r="3102">
      <c r="A3102" t="inlineStr">
        <is>
          <t>352409af828b39fe2353dfbe5e813752</t>
        </is>
      </c>
      <c r="B3102" s="29" t="n">
        <v>43108</v>
      </c>
      <c r="C3102" t="inlineStr">
        <is>
          <t>2018-01</t>
        </is>
      </c>
      <c r="D3102" t="inlineStr">
        <is>
          <t>ce1a65abd0973638f1c887a6efcfa82d</t>
        </is>
      </c>
      <c r="E3102" t="inlineStr">
        <is>
          <t>direct_traffic</t>
        </is>
      </c>
      <c r="F3102">
        <f>IFERROR(MATCH(A3102,Deals!$A$2:$A$843,0),"")</f>
        <v/>
      </c>
      <c r="G3102">
        <f>IF(F3102="",0,1)</f>
        <v/>
      </c>
      <c r="H3102" s="29">
        <f>IF(F3102="","",INDEX(Deals!$E$2:$E$843,F3102))</f>
        <v/>
      </c>
      <c r="I3102">
        <f>IF(F3102="","",INDEX(Deals!$D$2:$D$843,F3102))</f>
        <v/>
      </c>
      <c r="J3102">
        <f>IF(F3102="","",INT(H3102)-B3102)</f>
        <v/>
      </c>
      <c r="K3102">
        <f>IF(B3102&gt;=Settings!$C$5,1,0)</f>
        <v/>
      </c>
    </row>
    <row r="3103">
      <c r="A3103" t="inlineStr">
        <is>
          <t>7e57e1310f10c1a7fea50eb20669b057</t>
        </is>
      </c>
      <c r="B3103" s="29" t="n">
        <v>43117</v>
      </c>
      <c r="C3103" t="inlineStr">
        <is>
          <t>2018-01</t>
        </is>
      </c>
      <c r="D3103" t="inlineStr">
        <is>
          <t>f017be4dbf86243af5c1ebed0cff36a2</t>
        </is>
      </c>
      <c r="E3103" t="inlineStr">
        <is>
          <t>organic_search</t>
        </is>
      </c>
      <c r="F3103">
        <f>IFERROR(MATCH(A3103,Deals!$A$2:$A$843,0),"")</f>
        <v/>
      </c>
      <c r="G3103">
        <f>IF(F3103="",0,1)</f>
        <v/>
      </c>
      <c r="H3103" s="29">
        <f>IF(F3103="","",INDEX(Deals!$E$2:$E$843,F3103))</f>
        <v/>
      </c>
      <c r="I3103">
        <f>IF(F3103="","",INDEX(Deals!$D$2:$D$843,F3103))</f>
        <v/>
      </c>
      <c r="J3103">
        <f>IF(F3103="","",INT(H3103)-B3103)</f>
        <v/>
      </c>
      <c r="K3103">
        <f>IF(B3103&gt;=Settings!$C$5,1,0)</f>
        <v/>
      </c>
    </row>
    <row r="3104">
      <c r="A3104" t="inlineStr">
        <is>
          <t>97d4d84826d8f8a9be5d1654df41dea9</t>
        </is>
      </c>
      <c r="B3104" s="29" t="n">
        <v>43063</v>
      </c>
      <c r="C3104" t="inlineStr">
        <is>
          <t>2017-11</t>
        </is>
      </c>
      <c r="D3104" t="inlineStr">
        <is>
          <t>ce1a65abd0973638f1c887a6efcfa82d</t>
        </is>
      </c>
      <c r="E3104" t="inlineStr">
        <is>
          <t>unknown</t>
        </is>
      </c>
      <c r="F3104">
        <f>IFERROR(MATCH(A3104,Deals!$A$2:$A$843,0),"")</f>
        <v/>
      </c>
      <c r="G3104">
        <f>IF(F3104="",0,1)</f>
        <v/>
      </c>
      <c r="H3104" s="29">
        <f>IF(F3104="","",INDEX(Deals!$E$2:$E$843,F3104))</f>
        <v/>
      </c>
      <c r="I3104">
        <f>IF(F3104="","",INDEX(Deals!$D$2:$D$843,F3104))</f>
        <v/>
      </c>
      <c r="J3104">
        <f>IF(F3104="","",INT(H3104)-B3104)</f>
        <v/>
      </c>
      <c r="K3104">
        <f>IF(B3104&gt;=Settings!$C$5,1,0)</f>
        <v/>
      </c>
    </row>
    <row r="3105">
      <c r="A3105" t="inlineStr">
        <is>
          <t>d231420fda34541e691c58019767ab04</t>
        </is>
      </c>
      <c r="B3105" s="29" t="n">
        <v>43238</v>
      </c>
      <c r="C3105" t="inlineStr">
        <is>
          <t>2018-05</t>
        </is>
      </c>
      <c r="D3105" t="inlineStr">
        <is>
          <t>58326e62183c14b0c03085c33b9fdc44</t>
        </is>
      </c>
      <c r="E3105" t="inlineStr">
        <is>
          <t>social</t>
        </is>
      </c>
      <c r="F3105">
        <f>IFERROR(MATCH(A3105,Deals!$A$2:$A$843,0),"")</f>
        <v/>
      </c>
      <c r="G3105">
        <f>IF(F3105="",0,1)</f>
        <v/>
      </c>
      <c r="H3105" s="29">
        <f>IF(F3105="","",INDEX(Deals!$E$2:$E$843,F3105))</f>
        <v/>
      </c>
      <c r="I3105">
        <f>IF(F3105="","",INDEX(Deals!$D$2:$D$843,F3105))</f>
        <v/>
      </c>
      <c r="J3105">
        <f>IF(F3105="","",INT(H3105)-B3105)</f>
        <v/>
      </c>
      <c r="K3105">
        <f>IF(B3105&gt;=Settings!$C$5,1,0)</f>
        <v/>
      </c>
    </row>
    <row r="3106">
      <c r="A3106" t="inlineStr">
        <is>
          <t>0b3246fe110a20162bb905e1baa06e50</t>
        </is>
      </c>
      <c r="B3106" s="29" t="n">
        <v>43228</v>
      </c>
      <c r="C3106" t="inlineStr">
        <is>
          <t>2018-05</t>
        </is>
      </c>
      <c r="D3106" t="inlineStr">
        <is>
          <t>65c9e96d17d8d12bc0ad3b2cde0bb8b7</t>
        </is>
      </c>
      <c r="E3106" t="inlineStr">
        <is>
          <t>organic_search</t>
        </is>
      </c>
      <c r="F3106">
        <f>IFERROR(MATCH(A3106,Deals!$A$2:$A$843,0),"")</f>
        <v/>
      </c>
      <c r="G3106">
        <f>IF(F3106="",0,1)</f>
        <v/>
      </c>
      <c r="H3106" s="29">
        <f>IF(F3106="","",INDEX(Deals!$E$2:$E$843,F3106))</f>
        <v/>
      </c>
      <c r="I3106">
        <f>IF(F3106="","",INDEX(Deals!$D$2:$D$843,F3106))</f>
        <v/>
      </c>
      <c r="J3106">
        <f>IF(F3106="","",INT(H3106)-B3106)</f>
        <v/>
      </c>
      <c r="K3106">
        <f>IF(B3106&gt;=Settings!$C$5,1,0)</f>
        <v/>
      </c>
    </row>
    <row r="3107">
      <c r="A3107" t="inlineStr">
        <is>
          <t>f90552c7a135cf7755f9cd613c06481d</t>
        </is>
      </c>
      <c r="B3107" s="29" t="n">
        <v>43149</v>
      </c>
      <c r="C3107" t="inlineStr">
        <is>
          <t>2018-02</t>
        </is>
      </c>
      <c r="D3107" t="inlineStr">
        <is>
          <t>0218f6be0b76aca72ab4d00ee9e8cf10</t>
        </is>
      </c>
      <c r="E3107" t="inlineStr">
        <is>
          <t>organic_search</t>
        </is>
      </c>
      <c r="F3107">
        <f>IFERROR(MATCH(A3107,Deals!$A$2:$A$843,0),"")</f>
        <v/>
      </c>
      <c r="G3107">
        <f>IF(F3107="",0,1)</f>
        <v/>
      </c>
      <c r="H3107" s="29">
        <f>IF(F3107="","",INDEX(Deals!$E$2:$E$843,F3107))</f>
        <v/>
      </c>
      <c r="I3107">
        <f>IF(F3107="","",INDEX(Deals!$D$2:$D$843,F3107))</f>
        <v/>
      </c>
      <c r="J3107">
        <f>IF(F3107="","",INT(H3107)-B3107)</f>
        <v/>
      </c>
      <c r="K3107">
        <f>IF(B3107&gt;=Settings!$C$5,1,0)</f>
        <v/>
      </c>
    </row>
    <row r="3108">
      <c r="A3108" t="inlineStr">
        <is>
          <t>0fec42125d40c0f55a10393582501d42</t>
        </is>
      </c>
      <c r="B3108" s="29" t="n">
        <v>42944</v>
      </c>
      <c r="C3108" t="inlineStr">
        <is>
          <t>2017-07</t>
        </is>
      </c>
      <c r="D3108" t="inlineStr">
        <is>
          <t>7eb40e4e44fef8bff604b621119446c7</t>
        </is>
      </c>
      <c r="E3108" t="inlineStr">
        <is>
          <t>social</t>
        </is>
      </c>
      <c r="F3108">
        <f>IFERROR(MATCH(A3108,Deals!$A$2:$A$843,0),"")</f>
        <v/>
      </c>
      <c r="G3108">
        <f>IF(F3108="",0,1)</f>
        <v/>
      </c>
      <c r="H3108" s="29">
        <f>IF(F3108="","",INDEX(Deals!$E$2:$E$843,F3108))</f>
        <v/>
      </c>
      <c r="I3108">
        <f>IF(F3108="","",INDEX(Deals!$D$2:$D$843,F3108))</f>
        <v/>
      </c>
      <c r="J3108">
        <f>IF(F3108="","",INT(H3108)-B3108)</f>
        <v/>
      </c>
      <c r="K3108">
        <f>IF(B3108&gt;=Settings!$C$5,1,0)</f>
        <v/>
      </c>
    </row>
    <row r="3109">
      <c r="A3109" t="inlineStr">
        <is>
          <t>f16687bf60f00b108f59df28c5fd173b</t>
        </is>
      </c>
      <c r="B3109" s="29" t="n">
        <v>43003</v>
      </c>
      <c r="C3109" t="inlineStr">
        <is>
          <t>2017-09</t>
        </is>
      </c>
      <c r="D3109" t="inlineStr">
        <is>
          <t>30077c17f2ec5010a82e37ad8925b95f</t>
        </is>
      </c>
      <c r="E3109" t="inlineStr">
        <is>
          <t>unknown</t>
        </is>
      </c>
      <c r="F3109">
        <f>IFERROR(MATCH(A3109,Deals!$A$2:$A$843,0),"")</f>
        <v/>
      </c>
      <c r="G3109">
        <f>IF(F3109="",0,1)</f>
        <v/>
      </c>
      <c r="H3109" s="29">
        <f>IF(F3109="","",INDEX(Deals!$E$2:$E$843,F3109))</f>
        <v/>
      </c>
      <c r="I3109">
        <f>IF(F3109="","",INDEX(Deals!$D$2:$D$843,F3109))</f>
        <v/>
      </c>
      <c r="J3109">
        <f>IF(F3109="","",INT(H3109)-B3109)</f>
        <v/>
      </c>
      <c r="K3109">
        <f>IF(B3109&gt;=Settings!$C$5,1,0)</f>
        <v/>
      </c>
    </row>
    <row r="3110">
      <c r="A3110" t="inlineStr">
        <is>
          <t>a83d567f09e542dbe66a7e1a9430504a</t>
        </is>
      </c>
      <c r="B3110" s="29" t="n">
        <v>42954</v>
      </c>
      <c r="C3110" t="inlineStr">
        <is>
          <t>2017-08</t>
        </is>
      </c>
      <c r="D3110" t="inlineStr">
        <is>
          <t>b76ef37428e6799c421989521c0e5077</t>
        </is>
      </c>
      <c r="E3110" t="inlineStr">
        <is>
          <t>unknown</t>
        </is>
      </c>
      <c r="F3110">
        <f>IFERROR(MATCH(A3110,Deals!$A$2:$A$843,0),"")</f>
        <v/>
      </c>
      <c r="G3110">
        <f>IF(F3110="",0,1)</f>
        <v/>
      </c>
      <c r="H3110" s="29">
        <f>IF(F3110="","",INDEX(Deals!$E$2:$E$843,F3110))</f>
        <v/>
      </c>
      <c r="I3110">
        <f>IF(F3110="","",INDEX(Deals!$D$2:$D$843,F3110))</f>
        <v/>
      </c>
      <c r="J3110">
        <f>IF(F3110="","",INT(H3110)-B3110)</f>
        <v/>
      </c>
      <c r="K3110">
        <f>IF(B3110&gt;=Settings!$C$5,1,0)</f>
        <v/>
      </c>
    </row>
    <row r="3111">
      <c r="A3111" t="inlineStr">
        <is>
          <t>5bb0b4dd9a4f5c0de3564b63d74bcf5f</t>
        </is>
      </c>
      <c r="B3111" s="29" t="n">
        <v>43214</v>
      </c>
      <c r="C3111" t="inlineStr">
        <is>
          <t>2018-04</t>
        </is>
      </c>
      <c r="D3111" t="inlineStr">
        <is>
          <t>2f08471dfb83baef522f952438a36f6e</t>
        </is>
      </c>
      <c r="E3111" t="inlineStr">
        <is>
          <t>paid_search</t>
        </is>
      </c>
      <c r="F3111">
        <f>IFERROR(MATCH(A3111,Deals!$A$2:$A$843,0),"")</f>
        <v/>
      </c>
      <c r="G3111">
        <f>IF(F3111="",0,1)</f>
        <v/>
      </c>
      <c r="H3111" s="29">
        <f>IF(F3111="","",INDEX(Deals!$E$2:$E$843,F3111))</f>
        <v/>
      </c>
      <c r="I3111">
        <f>IF(F3111="","",INDEX(Deals!$D$2:$D$843,F3111))</f>
        <v/>
      </c>
      <c r="J3111">
        <f>IF(F3111="","",INT(H3111)-B3111)</f>
        <v/>
      </c>
      <c r="K3111">
        <f>IF(B3111&gt;=Settings!$C$5,1,0)</f>
        <v/>
      </c>
    </row>
    <row r="3112">
      <c r="A3112" t="inlineStr">
        <is>
          <t>d845e2d9a29725baae2953898b1845f7</t>
        </is>
      </c>
      <c r="B3112" s="29" t="n">
        <v>43136</v>
      </c>
      <c r="C3112" t="inlineStr">
        <is>
          <t>2018-02</t>
        </is>
      </c>
      <c r="D3112" t="inlineStr">
        <is>
          <t>b76ef37428e6799c421989521c0e5077</t>
        </is>
      </c>
      <c r="E3112" t="inlineStr">
        <is>
          <t>unknown</t>
        </is>
      </c>
      <c r="F3112">
        <f>IFERROR(MATCH(A3112,Deals!$A$2:$A$843,0),"")</f>
        <v/>
      </c>
      <c r="G3112">
        <f>IF(F3112="",0,1)</f>
        <v/>
      </c>
      <c r="H3112" s="29">
        <f>IF(F3112="","",INDEX(Deals!$E$2:$E$843,F3112))</f>
        <v/>
      </c>
      <c r="I3112">
        <f>IF(F3112="","",INDEX(Deals!$D$2:$D$843,F3112))</f>
        <v/>
      </c>
      <c r="J3112">
        <f>IF(F3112="","",INT(H3112)-B3112)</f>
        <v/>
      </c>
      <c r="K3112">
        <f>IF(B3112&gt;=Settings!$C$5,1,0)</f>
        <v/>
      </c>
    </row>
    <row r="3113">
      <c r="A3113" t="inlineStr">
        <is>
          <t>29ab8937c72f36ca382c32ece8ca5595</t>
        </is>
      </c>
      <c r="B3113" s="29" t="n">
        <v>43251</v>
      </c>
      <c r="C3113" t="inlineStr">
        <is>
          <t>2018-05</t>
        </is>
      </c>
      <c r="D3113" t="inlineStr">
        <is>
          <t>22c29808c4f815213303f8933030604c</t>
        </is>
      </c>
      <c r="E3113" t="inlineStr">
        <is>
          <t>direct_traffic</t>
        </is>
      </c>
      <c r="F3113">
        <f>IFERROR(MATCH(A3113,Deals!$A$2:$A$843,0),"")</f>
        <v/>
      </c>
      <c r="G3113">
        <f>IF(F3113="",0,1)</f>
        <v/>
      </c>
      <c r="H3113" s="29">
        <f>IF(F3113="","",INDEX(Deals!$E$2:$E$843,F3113))</f>
        <v/>
      </c>
      <c r="I3113">
        <f>IF(F3113="","",INDEX(Deals!$D$2:$D$843,F3113))</f>
        <v/>
      </c>
      <c r="J3113">
        <f>IF(F3113="","",INT(H3113)-B3113)</f>
        <v/>
      </c>
      <c r="K3113">
        <f>IF(B3113&gt;=Settings!$C$5,1,0)</f>
        <v/>
      </c>
    </row>
    <row r="3114">
      <c r="A3114" t="inlineStr">
        <is>
          <t>4b86f03081bd4d9cfc59e51fccb9eb45</t>
        </is>
      </c>
      <c r="B3114" s="29" t="n">
        <v>43235</v>
      </c>
      <c r="C3114" t="inlineStr">
        <is>
          <t>2018-05</t>
        </is>
      </c>
      <c r="D3114" t="inlineStr">
        <is>
          <t>6a110e795dd487f1cf8d7583671987af</t>
        </is>
      </c>
      <c r="E3114" t="inlineStr">
        <is>
          <t>email</t>
        </is>
      </c>
      <c r="F3114">
        <f>IFERROR(MATCH(A3114,Deals!$A$2:$A$843,0),"")</f>
        <v/>
      </c>
      <c r="G3114">
        <f>IF(F3114="",0,1)</f>
        <v/>
      </c>
      <c r="H3114" s="29">
        <f>IF(F3114="","",INDEX(Deals!$E$2:$E$843,F3114))</f>
        <v/>
      </c>
      <c r="I3114">
        <f>IF(F3114="","",INDEX(Deals!$D$2:$D$843,F3114))</f>
        <v/>
      </c>
      <c r="J3114">
        <f>IF(F3114="","",INT(H3114)-B3114)</f>
        <v/>
      </c>
      <c r="K3114">
        <f>IF(B3114&gt;=Settings!$C$5,1,0)</f>
        <v/>
      </c>
    </row>
    <row r="3115">
      <c r="A3115" t="inlineStr">
        <is>
          <t>bd8694cd4794dbb5468f6b6bcabaeb4c</t>
        </is>
      </c>
      <c r="B3115" s="29" t="n">
        <v>43139</v>
      </c>
      <c r="C3115" t="inlineStr">
        <is>
          <t>2018-02</t>
        </is>
      </c>
      <c r="D3115" t="inlineStr">
        <is>
          <t>22c29808c4f815213303f8933030604c</t>
        </is>
      </c>
      <c r="E3115" t="inlineStr">
        <is>
          <t>organic_search</t>
        </is>
      </c>
      <c r="F3115">
        <f>IFERROR(MATCH(A3115,Deals!$A$2:$A$843,0),"")</f>
        <v/>
      </c>
      <c r="G3115">
        <f>IF(F3115="",0,1)</f>
        <v/>
      </c>
      <c r="H3115" s="29">
        <f>IF(F3115="","",INDEX(Deals!$E$2:$E$843,F3115))</f>
        <v/>
      </c>
      <c r="I3115">
        <f>IF(F3115="","",INDEX(Deals!$D$2:$D$843,F3115))</f>
        <v/>
      </c>
      <c r="J3115">
        <f>IF(F3115="","",INT(H3115)-B3115)</f>
        <v/>
      </c>
      <c r="K3115">
        <f>IF(B3115&gt;=Settings!$C$5,1,0)</f>
        <v/>
      </c>
    </row>
    <row r="3116">
      <c r="A3116" t="inlineStr">
        <is>
          <t>19f0e3f4af9e4ff3592924dd2c248d35</t>
        </is>
      </c>
      <c r="B3116" s="29" t="n">
        <v>43210</v>
      </c>
      <c r="C3116" t="inlineStr">
        <is>
          <t>2018-04</t>
        </is>
      </c>
      <c r="D3116" t="inlineStr">
        <is>
          <t>b76ef37428e6799c421989521c0e5077</t>
        </is>
      </c>
      <c r="E3116" t="inlineStr">
        <is>
          <t>social</t>
        </is>
      </c>
      <c r="F3116">
        <f>IFERROR(MATCH(A3116,Deals!$A$2:$A$843,0),"")</f>
        <v/>
      </c>
      <c r="G3116">
        <f>IF(F3116="",0,1)</f>
        <v/>
      </c>
      <c r="H3116" s="29">
        <f>IF(F3116="","",INDEX(Deals!$E$2:$E$843,F3116))</f>
        <v/>
      </c>
      <c r="I3116">
        <f>IF(F3116="","",INDEX(Deals!$D$2:$D$843,F3116))</f>
        <v/>
      </c>
      <c r="J3116">
        <f>IF(F3116="","",INT(H3116)-B3116)</f>
        <v/>
      </c>
      <c r="K3116">
        <f>IF(B3116&gt;=Settings!$C$5,1,0)</f>
        <v/>
      </c>
    </row>
    <row r="3117">
      <c r="A3117" t="inlineStr">
        <is>
          <t>cd726e6cc24cd0afe34ca7572891678e</t>
        </is>
      </c>
      <c r="B3117" s="29" t="n">
        <v>43113</v>
      </c>
      <c r="C3117" t="inlineStr">
        <is>
          <t>2018-01</t>
        </is>
      </c>
      <c r="D3117" t="inlineStr">
        <is>
          <t>22c29808c4f815213303f8933030604c</t>
        </is>
      </c>
      <c r="E3117" t="inlineStr">
        <is>
          <t>paid_search</t>
        </is>
      </c>
      <c r="F3117">
        <f>IFERROR(MATCH(A3117,Deals!$A$2:$A$843,0),"")</f>
        <v/>
      </c>
      <c r="G3117">
        <f>IF(F3117="",0,1)</f>
        <v/>
      </c>
      <c r="H3117" s="29">
        <f>IF(F3117="","",INDEX(Deals!$E$2:$E$843,F3117))</f>
        <v/>
      </c>
      <c r="I3117">
        <f>IF(F3117="","",INDEX(Deals!$D$2:$D$843,F3117))</f>
        <v/>
      </c>
      <c r="J3117">
        <f>IF(F3117="","",INT(H3117)-B3117)</f>
        <v/>
      </c>
      <c r="K3117">
        <f>IF(B3117&gt;=Settings!$C$5,1,0)</f>
        <v/>
      </c>
    </row>
    <row r="3118">
      <c r="A3118" t="inlineStr">
        <is>
          <t>2b7f3676262f189cbb4e3454f6330155</t>
        </is>
      </c>
      <c r="B3118" s="29" t="n">
        <v>43063</v>
      </c>
      <c r="C3118" t="inlineStr">
        <is>
          <t>2017-11</t>
        </is>
      </c>
      <c r="D3118" t="inlineStr">
        <is>
          <t>21a104c3279681d9856b8a48723c4fee</t>
        </is>
      </c>
      <c r="E3118" t="inlineStr">
        <is>
          <t>direct_traffic</t>
        </is>
      </c>
      <c r="F3118">
        <f>IFERROR(MATCH(A3118,Deals!$A$2:$A$843,0),"")</f>
        <v/>
      </c>
      <c r="G3118">
        <f>IF(F3118="",0,1)</f>
        <v/>
      </c>
      <c r="H3118" s="29">
        <f>IF(F3118="","",INDEX(Deals!$E$2:$E$843,F3118))</f>
        <v/>
      </c>
      <c r="I3118">
        <f>IF(F3118="","",INDEX(Deals!$D$2:$D$843,F3118))</f>
        <v/>
      </c>
      <c r="J3118">
        <f>IF(F3118="","",INT(H3118)-B3118)</f>
        <v/>
      </c>
      <c r="K3118">
        <f>IF(B3118&gt;=Settings!$C$5,1,0)</f>
        <v/>
      </c>
    </row>
    <row r="3119">
      <c r="A3119" t="inlineStr">
        <is>
          <t>2895912667223223c3277a2f44df5a1f</t>
        </is>
      </c>
      <c r="B3119" s="29" t="n">
        <v>43240</v>
      </c>
      <c r="C3119" t="inlineStr">
        <is>
          <t>2018-05</t>
        </is>
      </c>
      <c r="D3119" t="inlineStr">
        <is>
          <t>e492ee5eaf1697716985cc6f33f9cd9b</t>
        </is>
      </c>
      <c r="E3119" t="inlineStr">
        <is>
          <t>paid_search</t>
        </is>
      </c>
      <c r="F3119">
        <f>IFERROR(MATCH(A3119,Deals!$A$2:$A$843,0),"")</f>
        <v/>
      </c>
      <c r="G3119">
        <f>IF(F3119="",0,1)</f>
        <v/>
      </c>
      <c r="H3119" s="29">
        <f>IF(F3119="","",INDEX(Deals!$E$2:$E$843,F3119))</f>
        <v/>
      </c>
      <c r="I3119">
        <f>IF(F3119="","",INDEX(Deals!$D$2:$D$843,F3119))</f>
        <v/>
      </c>
      <c r="J3119">
        <f>IF(F3119="","",INT(H3119)-B3119)</f>
        <v/>
      </c>
      <c r="K3119">
        <f>IF(B3119&gt;=Settings!$C$5,1,0)</f>
        <v/>
      </c>
    </row>
    <row r="3120">
      <c r="A3120" t="inlineStr">
        <is>
          <t>e335b7276aee3087b73ebfa5e3193655</t>
        </is>
      </c>
      <c r="B3120" s="29" t="n">
        <v>43206</v>
      </c>
      <c r="C3120" t="inlineStr">
        <is>
          <t>2018-04</t>
        </is>
      </c>
      <c r="D3120" t="inlineStr">
        <is>
          <t>73f31a40697cc90a86c1273563ac230e</t>
        </is>
      </c>
      <c r="E3120" t="inlineStr">
        <is>
          <t>organic_search</t>
        </is>
      </c>
      <c r="F3120">
        <f>IFERROR(MATCH(A3120,Deals!$A$2:$A$843,0),"")</f>
        <v/>
      </c>
      <c r="G3120">
        <f>IF(F3120="",0,1)</f>
        <v/>
      </c>
      <c r="H3120" s="29">
        <f>IF(F3120="","",INDEX(Deals!$E$2:$E$843,F3120))</f>
        <v/>
      </c>
      <c r="I3120">
        <f>IF(F3120="","",INDEX(Deals!$D$2:$D$843,F3120))</f>
        <v/>
      </c>
      <c r="J3120">
        <f>IF(F3120="","",INT(H3120)-B3120)</f>
        <v/>
      </c>
      <c r="K3120">
        <f>IF(B3120&gt;=Settings!$C$5,1,0)</f>
        <v/>
      </c>
    </row>
    <row r="3121">
      <c r="A3121" t="inlineStr">
        <is>
          <t>d52a281185b41daea7ad4f5bab21e7dc</t>
        </is>
      </c>
      <c r="B3121" s="29" t="n">
        <v>42999</v>
      </c>
      <c r="C3121" t="inlineStr">
        <is>
          <t>2017-09</t>
        </is>
      </c>
      <c r="D3121" t="inlineStr">
        <is>
          <t>f017be4dbf86243af5c1ebed0cff36a2</t>
        </is>
      </c>
      <c r="E3121" t="inlineStr">
        <is>
          <t>unknown</t>
        </is>
      </c>
      <c r="F3121">
        <f>IFERROR(MATCH(A3121,Deals!$A$2:$A$843,0),"")</f>
        <v/>
      </c>
      <c r="G3121">
        <f>IF(F3121="",0,1)</f>
        <v/>
      </c>
      <c r="H3121" s="29">
        <f>IF(F3121="","",INDEX(Deals!$E$2:$E$843,F3121))</f>
        <v/>
      </c>
      <c r="I3121">
        <f>IF(F3121="","",INDEX(Deals!$D$2:$D$843,F3121))</f>
        <v/>
      </c>
      <c r="J3121">
        <f>IF(F3121="","",INT(H3121)-B3121)</f>
        <v/>
      </c>
      <c r="K3121">
        <f>IF(B3121&gt;=Settings!$C$5,1,0)</f>
        <v/>
      </c>
    </row>
    <row r="3122">
      <c r="A3122" t="inlineStr">
        <is>
          <t>5ec388af0251a9721a06e051c6bda168</t>
        </is>
      </c>
      <c r="B3122" s="29" t="n">
        <v>43228</v>
      </c>
      <c r="C3122" t="inlineStr">
        <is>
          <t>2018-05</t>
        </is>
      </c>
      <c r="D3122" t="inlineStr">
        <is>
          <t>82028478fef3ab881990e8d1fb24ba3a</t>
        </is>
      </c>
      <c r="E3122" t="inlineStr">
        <is>
          <t>email</t>
        </is>
      </c>
      <c r="F3122">
        <f>IFERROR(MATCH(A3122,Deals!$A$2:$A$843,0),"")</f>
        <v/>
      </c>
      <c r="G3122">
        <f>IF(F3122="",0,1)</f>
        <v/>
      </c>
      <c r="H3122" s="29">
        <f>IF(F3122="","",INDEX(Deals!$E$2:$E$843,F3122))</f>
        <v/>
      </c>
      <c r="I3122">
        <f>IF(F3122="","",INDEX(Deals!$D$2:$D$843,F3122))</f>
        <v/>
      </c>
      <c r="J3122">
        <f>IF(F3122="","",INT(H3122)-B3122)</f>
        <v/>
      </c>
      <c r="K3122">
        <f>IF(B3122&gt;=Settings!$C$5,1,0)</f>
        <v/>
      </c>
    </row>
    <row r="3123">
      <c r="A3123" t="inlineStr">
        <is>
          <t>7378482f194890f4d9109e1ba3e2cf04</t>
        </is>
      </c>
      <c r="B3123" s="29" t="n">
        <v>43172</v>
      </c>
      <c r="C3123" t="inlineStr">
        <is>
          <t>2018-03</t>
        </is>
      </c>
      <c r="D3123" t="inlineStr">
        <is>
          <t>f017be4dbf86243af5c1ebed0cff36a2</t>
        </is>
      </c>
      <c r="E3123" t="inlineStr">
        <is>
          <t>organic_search</t>
        </is>
      </c>
      <c r="F3123">
        <f>IFERROR(MATCH(A3123,Deals!$A$2:$A$843,0),"")</f>
        <v/>
      </c>
      <c r="G3123">
        <f>IF(F3123="",0,1)</f>
        <v/>
      </c>
      <c r="H3123" s="29">
        <f>IF(F3123="","",INDEX(Deals!$E$2:$E$843,F3123))</f>
        <v/>
      </c>
      <c r="I3123">
        <f>IF(F3123="","",INDEX(Deals!$D$2:$D$843,F3123))</f>
        <v/>
      </c>
      <c r="J3123">
        <f>IF(F3123="","",INT(H3123)-B3123)</f>
        <v/>
      </c>
      <c r="K3123">
        <f>IF(B3123&gt;=Settings!$C$5,1,0)</f>
        <v/>
      </c>
    </row>
    <row r="3124">
      <c r="A3124" t="inlineStr">
        <is>
          <t>8d06969939c8f260b8d1db5b900f7653</t>
        </is>
      </c>
      <c r="B3124" s="29" t="n">
        <v>42968</v>
      </c>
      <c r="C3124" t="inlineStr">
        <is>
          <t>2017-08</t>
        </is>
      </c>
      <c r="D3124" t="inlineStr">
        <is>
          <t>241f79c7a8fe0270f4fb79fcbbcd17ad</t>
        </is>
      </c>
      <c r="E3124" t="inlineStr">
        <is>
          <t>referral</t>
        </is>
      </c>
      <c r="F3124">
        <f>IFERROR(MATCH(A3124,Deals!$A$2:$A$843,0),"")</f>
        <v/>
      </c>
      <c r="G3124">
        <f>IF(F3124="",0,1)</f>
        <v/>
      </c>
      <c r="H3124" s="29">
        <f>IF(F3124="","",INDEX(Deals!$E$2:$E$843,F3124))</f>
        <v/>
      </c>
      <c r="I3124">
        <f>IF(F3124="","",INDEX(Deals!$D$2:$D$843,F3124))</f>
        <v/>
      </c>
      <c r="J3124">
        <f>IF(F3124="","",INT(H3124)-B3124)</f>
        <v/>
      </c>
      <c r="K3124">
        <f>IF(B3124&gt;=Settings!$C$5,1,0)</f>
        <v/>
      </c>
    </row>
    <row r="3125">
      <c r="A3125" t="inlineStr">
        <is>
          <t>86abd7edfb1117be399b9f519b8dd9e3</t>
        </is>
      </c>
      <c r="B3125" s="29" t="n">
        <v>43138</v>
      </c>
      <c r="C3125" t="inlineStr">
        <is>
          <t>2018-02</t>
        </is>
      </c>
      <c r="D3125" t="inlineStr">
        <is>
          <t>22c29808c4f815213303f8933030604c</t>
        </is>
      </c>
      <c r="E3125" t="inlineStr">
        <is>
          <t>social</t>
        </is>
      </c>
      <c r="F3125">
        <f>IFERROR(MATCH(A3125,Deals!$A$2:$A$843,0),"")</f>
        <v/>
      </c>
      <c r="G3125">
        <f>IF(F3125="",0,1)</f>
        <v/>
      </c>
      <c r="H3125" s="29">
        <f>IF(F3125="","",INDEX(Deals!$E$2:$E$843,F3125))</f>
        <v/>
      </c>
      <c r="I3125">
        <f>IF(F3125="","",INDEX(Deals!$D$2:$D$843,F3125))</f>
        <v/>
      </c>
      <c r="J3125">
        <f>IF(F3125="","",INT(H3125)-B3125)</f>
        <v/>
      </c>
      <c r="K3125">
        <f>IF(B3125&gt;=Settings!$C$5,1,0)</f>
        <v/>
      </c>
    </row>
    <row r="3126">
      <c r="A3126" t="inlineStr">
        <is>
          <t>8980cfa9b304002ed0b058511901b55a</t>
        </is>
      </c>
      <c r="B3126" s="29" t="n">
        <v>43215</v>
      </c>
      <c r="C3126" t="inlineStr">
        <is>
          <t>2018-04</t>
        </is>
      </c>
      <c r="D3126" t="inlineStr">
        <is>
          <t>f80696b73d17fb34f5c4fde157f119d8</t>
        </is>
      </c>
      <c r="E3126" t="inlineStr">
        <is>
          <t>paid_search</t>
        </is>
      </c>
      <c r="F3126">
        <f>IFERROR(MATCH(A3126,Deals!$A$2:$A$843,0),"")</f>
        <v/>
      </c>
      <c r="G3126">
        <f>IF(F3126="",0,1)</f>
        <v/>
      </c>
      <c r="H3126" s="29">
        <f>IF(F3126="","",INDEX(Deals!$E$2:$E$843,F3126))</f>
        <v/>
      </c>
      <c r="I3126">
        <f>IF(F3126="","",INDEX(Deals!$D$2:$D$843,F3126))</f>
        <v/>
      </c>
      <c r="J3126">
        <f>IF(F3126="","",INT(H3126)-B3126)</f>
        <v/>
      </c>
      <c r="K3126">
        <f>IF(B3126&gt;=Settings!$C$5,1,0)</f>
        <v/>
      </c>
    </row>
    <row r="3127">
      <c r="A3127" t="inlineStr">
        <is>
          <t>5801d49c965a32a5303ce2793f09750b</t>
        </is>
      </c>
      <c r="B3127" s="29" t="n">
        <v>43025</v>
      </c>
      <c r="C3127" t="inlineStr">
        <is>
          <t>2017-10</t>
        </is>
      </c>
      <c r="D3127" t="inlineStr">
        <is>
          <t>b76ef37428e6799c421989521c0e5077</t>
        </is>
      </c>
      <c r="E3127" t="inlineStr">
        <is>
          <t>unknown</t>
        </is>
      </c>
      <c r="F3127">
        <f>IFERROR(MATCH(A3127,Deals!$A$2:$A$843,0),"")</f>
        <v/>
      </c>
      <c r="G3127">
        <f>IF(F3127="",0,1)</f>
        <v/>
      </c>
      <c r="H3127" s="29">
        <f>IF(F3127="","",INDEX(Deals!$E$2:$E$843,F3127))</f>
        <v/>
      </c>
      <c r="I3127">
        <f>IF(F3127="","",INDEX(Deals!$D$2:$D$843,F3127))</f>
        <v/>
      </c>
      <c r="J3127">
        <f>IF(F3127="","",INT(H3127)-B3127)</f>
        <v/>
      </c>
      <c r="K3127">
        <f>IF(B3127&gt;=Settings!$C$5,1,0)</f>
        <v/>
      </c>
    </row>
    <row r="3128">
      <c r="A3128" t="inlineStr">
        <is>
          <t>91cd93e0fc08ec1e3067cb9c49e8f92d</t>
        </is>
      </c>
      <c r="B3128" s="29" t="n">
        <v>43177</v>
      </c>
      <c r="C3128" t="inlineStr">
        <is>
          <t>2018-03</t>
        </is>
      </c>
      <c r="D3128" t="inlineStr">
        <is>
          <t>a7982125ff7aa3b2054c6e44f9d28522</t>
        </is>
      </c>
      <c r="E3128" t="inlineStr">
        <is>
          <t>unknown</t>
        </is>
      </c>
      <c r="F3128">
        <f>IFERROR(MATCH(A3128,Deals!$A$2:$A$843,0),"")</f>
        <v/>
      </c>
      <c r="G3128">
        <f>IF(F3128="",0,1)</f>
        <v/>
      </c>
      <c r="H3128" s="29">
        <f>IF(F3128="","",INDEX(Deals!$E$2:$E$843,F3128))</f>
        <v/>
      </c>
      <c r="I3128">
        <f>IF(F3128="","",INDEX(Deals!$D$2:$D$843,F3128))</f>
        <v/>
      </c>
      <c r="J3128">
        <f>IF(F3128="","",INT(H3128)-B3128)</f>
        <v/>
      </c>
      <c r="K3128">
        <f>IF(B3128&gt;=Settings!$C$5,1,0)</f>
        <v/>
      </c>
    </row>
    <row r="3129">
      <c r="A3129" t="inlineStr">
        <is>
          <t>6751c52d7db6029b4ae52f24811dd5d5</t>
        </is>
      </c>
      <c r="B3129" s="29" t="n">
        <v>43215</v>
      </c>
      <c r="C3129" t="inlineStr">
        <is>
          <t>2018-04</t>
        </is>
      </c>
      <c r="D3129" t="inlineStr">
        <is>
          <t>e534a08b23c682d94859d0ab860bd57a</t>
        </is>
      </c>
      <c r="E3129" t="inlineStr">
        <is>
          <t>direct_traffic</t>
        </is>
      </c>
      <c r="F3129">
        <f>IFERROR(MATCH(A3129,Deals!$A$2:$A$843,0),"")</f>
        <v/>
      </c>
      <c r="G3129">
        <f>IF(F3129="",0,1)</f>
        <v/>
      </c>
      <c r="H3129" s="29">
        <f>IF(F3129="","",INDEX(Deals!$E$2:$E$843,F3129))</f>
        <v/>
      </c>
      <c r="I3129">
        <f>IF(F3129="","",INDEX(Deals!$D$2:$D$843,F3129))</f>
        <v/>
      </c>
      <c r="J3129">
        <f>IF(F3129="","",INT(H3129)-B3129)</f>
        <v/>
      </c>
      <c r="K3129">
        <f>IF(B3129&gt;=Settings!$C$5,1,0)</f>
        <v/>
      </c>
    </row>
    <row r="3130">
      <c r="A3130" t="inlineStr">
        <is>
          <t>2e283777e7e2191d23fab7566e28beca</t>
        </is>
      </c>
      <c r="B3130" s="29" t="n">
        <v>43122</v>
      </c>
      <c r="C3130" t="inlineStr">
        <is>
          <t>2018-01</t>
        </is>
      </c>
      <c r="D3130" t="inlineStr">
        <is>
          <t>d45d558f0daeecf3cccdffe3c59684aa</t>
        </is>
      </c>
      <c r="E3130" t="inlineStr">
        <is>
          <t>email</t>
        </is>
      </c>
      <c r="F3130">
        <f>IFERROR(MATCH(A3130,Deals!$A$2:$A$843,0),"")</f>
        <v/>
      </c>
      <c r="G3130">
        <f>IF(F3130="",0,1)</f>
        <v/>
      </c>
      <c r="H3130" s="29">
        <f>IF(F3130="","",INDEX(Deals!$E$2:$E$843,F3130))</f>
        <v/>
      </c>
      <c r="I3130">
        <f>IF(F3130="","",INDEX(Deals!$D$2:$D$843,F3130))</f>
        <v/>
      </c>
      <c r="J3130">
        <f>IF(F3130="","",INT(H3130)-B3130)</f>
        <v/>
      </c>
      <c r="K3130">
        <f>IF(B3130&gt;=Settings!$C$5,1,0)</f>
        <v/>
      </c>
    </row>
    <row r="3131">
      <c r="A3131" t="inlineStr">
        <is>
          <t>f4de3672ef64c527799235acd16960c6</t>
        </is>
      </c>
      <c r="B3131" s="29" t="n">
        <v>43209</v>
      </c>
      <c r="C3131" t="inlineStr">
        <is>
          <t>2018-04</t>
        </is>
      </c>
      <c r="D3131" t="inlineStr">
        <is>
          <t>e534a08b23c682d94859d0ab860bd57a</t>
        </is>
      </c>
      <c r="E3131" t="inlineStr">
        <is>
          <t>email</t>
        </is>
      </c>
      <c r="F3131">
        <f>IFERROR(MATCH(A3131,Deals!$A$2:$A$843,0),"")</f>
        <v/>
      </c>
      <c r="G3131">
        <f>IF(F3131="",0,1)</f>
        <v/>
      </c>
      <c r="H3131" s="29">
        <f>IF(F3131="","",INDEX(Deals!$E$2:$E$843,F3131))</f>
        <v/>
      </c>
      <c r="I3131">
        <f>IF(F3131="","",INDEX(Deals!$D$2:$D$843,F3131))</f>
        <v/>
      </c>
      <c r="J3131">
        <f>IF(F3131="","",INT(H3131)-B3131)</f>
        <v/>
      </c>
      <c r="K3131">
        <f>IF(B3131&gt;=Settings!$C$5,1,0)</f>
        <v/>
      </c>
    </row>
    <row r="3132">
      <c r="A3132" t="inlineStr">
        <is>
          <t>2b01c70df55e88336d156e20f583a90e</t>
        </is>
      </c>
      <c r="B3132" s="29" t="n">
        <v>43202</v>
      </c>
      <c r="C3132" t="inlineStr">
        <is>
          <t>2018-04</t>
        </is>
      </c>
      <c r="D3132" t="inlineStr">
        <is>
          <t>58326e62183c14b0c03085c33b9fdc44</t>
        </is>
      </c>
      <c r="E3132" t="inlineStr">
        <is>
          <t>social</t>
        </is>
      </c>
      <c r="F3132">
        <f>IFERROR(MATCH(A3132,Deals!$A$2:$A$843,0),"")</f>
        <v/>
      </c>
      <c r="G3132">
        <f>IF(F3132="",0,1)</f>
        <v/>
      </c>
      <c r="H3132" s="29">
        <f>IF(F3132="","",INDEX(Deals!$E$2:$E$843,F3132))</f>
        <v/>
      </c>
      <c r="I3132">
        <f>IF(F3132="","",INDEX(Deals!$D$2:$D$843,F3132))</f>
        <v/>
      </c>
      <c r="J3132">
        <f>IF(F3132="","",INT(H3132)-B3132)</f>
        <v/>
      </c>
      <c r="K3132">
        <f>IF(B3132&gt;=Settings!$C$5,1,0)</f>
        <v/>
      </c>
    </row>
    <row r="3133">
      <c r="A3133" t="inlineStr">
        <is>
          <t>5557b67c89b4ff20c165303cfa98a81a</t>
        </is>
      </c>
      <c r="B3133" s="29" t="n">
        <v>42961</v>
      </c>
      <c r="C3133" t="inlineStr">
        <is>
          <t>2017-08</t>
        </is>
      </c>
      <c r="D3133" t="inlineStr">
        <is>
          <t>f017be4dbf86243af5c1ebed0cff36a2</t>
        </is>
      </c>
      <c r="E3133" t="inlineStr">
        <is>
          <t>direct_traffic</t>
        </is>
      </c>
      <c r="F3133">
        <f>IFERROR(MATCH(A3133,Deals!$A$2:$A$843,0),"")</f>
        <v/>
      </c>
      <c r="G3133">
        <f>IF(F3133="",0,1)</f>
        <v/>
      </c>
      <c r="H3133" s="29">
        <f>IF(F3133="","",INDEX(Deals!$E$2:$E$843,F3133))</f>
        <v/>
      </c>
      <c r="I3133">
        <f>IF(F3133="","",INDEX(Deals!$D$2:$D$843,F3133))</f>
        <v/>
      </c>
      <c r="J3133">
        <f>IF(F3133="","",INT(H3133)-B3133)</f>
        <v/>
      </c>
      <c r="K3133">
        <f>IF(B3133&gt;=Settings!$C$5,1,0)</f>
        <v/>
      </c>
    </row>
    <row r="3134">
      <c r="A3134" t="inlineStr">
        <is>
          <t>b1e32544dc409b126235d7b5bc98246e</t>
        </is>
      </c>
      <c r="B3134" s="29" t="n">
        <v>43158</v>
      </c>
      <c r="C3134" t="inlineStr">
        <is>
          <t>2018-02</t>
        </is>
      </c>
      <c r="D3134" t="inlineStr">
        <is>
          <t>b76ef37428e6799c421989521c0e5077</t>
        </is>
      </c>
      <c r="E3134" t="inlineStr">
        <is>
          <t>unknown</t>
        </is>
      </c>
      <c r="F3134">
        <f>IFERROR(MATCH(A3134,Deals!$A$2:$A$843,0),"")</f>
        <v/>
      </c>
      <c r="G3134">
        <f>IF(F3134="",0,1)</f>
        <v/>
      </c>
      <c r="H3134" s="29">
        <f>IF(F3134="","",INDEX(Deals!$E$2:$E$843,F3134))</f>
        <v/>
      </c>
      <c r="I3134">
        <f>IF(F3134="","",INDEX(Deals!$D$2:$D$843,F3134))</f>
        <v/>
      </c>
      <c r="J3134">
        <f>IF(F3134="","",INT(H3134)-B3134)</f>
        <v/>
      </c>
      <c r="K3134">
        <f>IF(B3134&gt;=Settings!$C$5,1,0)</f>
        <v/>
      </c>
    </row>
    <row r="3135">
      <c r="A3135" t="inlineStr">
        <is>
          <t>49bf72bb66a00f922b002b7fcac4804f</t>
        </is>
      </c>
      <c r="B3135" s="29" t="n">
        <v>43152</v>
      </c>
      <c r="C3135" t="inlineStr">
        <is>
          <t>2018-02</t>
        </is>
      </c>
      <c r="D3135" t="inlineStr">
        <is>
          <t>2228a43ac0bc372e25f9569e69fc9015</t>
        </is>
      </c>
      <c r="E3135" t="inlineStr">
        <is>
          <t>paid_search</t>
        </is>
      </c>
      <c r="F3135">
        <f>IFERROR(MATCH(A3135,Deals!$A$2:$A$843,0),"")</f>
        <v/>
      </c>
      <c r="G3135">
        <f>IF(F3135="",0,1)</f>
        <v/>
      </c>
      <c r="H3135" s="29">
        <f>IF(F3135="","",INDEX(Deals!$E$2:$E$843,F3135))</f>
        <v/>
      </c>
      <c r="I3135">
        <f>IF(F3135="","",INDEX(Deals!$D$2:$D$843,F3135))</f>
        <v/>
      </c>
      <c r="J3135">
        <f>IF(F3135="","",INT(H3135)-B3135)</f>
        <v/>
      </c>
      <c r="K3135">
        <f>IF(B3135&gt;=Settings!$C$5,1,0)</f>
        <v/>
      </c>
    </row>
    <row r="3136">
      <c r="A3136" t="inlineStr">
        <is>
          <t>1eccc72bac34be6d4791e43d8874abc4</t>
        </is>
      </c>
      <c r="B3136" s="29" t="n">
        <v>43236</v>
      </c>
      <c r="C3136" t="inlineStr">
        <is>
          <t>2018-05</t>
        </is>
      </c>
      <c r="D3136" t="inlineStr">
        <is>
          <t>f017be4dbf86243af5c1ebed0cff36a2</t>
        </is>
      </c>
      <c r="E3136" t="inlineStr">
        <is>
          <t>referral</t>
        </is>
      </c>
      <c r="F3136">
        <f>IFERROR(MATCH(A3136,Deals!$A$2:$A$843,0),"")</f>
        <v/>
      </c>
      <c r="G3136">
        <f>IF(F3136="",0,1)</f>
        <v/>
      </c>
      <c r="H3136" s="29">
        <f>IF(F3136="","",INDEX(Deals!$E$2:$E$843,F3136))</f>
        <v/>
      </c>
      <c r="I3136">
        <f>IF(F3136="","",INDEX(Deals!$D$2:$D$843,F3136))</f>
        <v/>
      </c>
      <c r="J3136">
        <f>IF(F3136="","",INT(H3136)-B3136)</f>
        <v/>
      </c>
      <c r="K3136">
        <f>IF(B3136&gt;=Settings!$C$5,1,0)</f>
        <v/>
      </c>
    </row>
    <row r="3137">
      <c r="A3137" t="inlineStr">
        <is>
          <t>e8964b9a2e065b1067f99ff74fcdb449</t>
        </is>
      </c>
      <c r="B3137" s="29" t="n">
        <v>43157</v>
      </c>
      <c r="C3137" t="inlineStr">
        <is>
          <t>2018-02</t>
        </is>
      </c>
      <c r="D3137" t="inlineStr">
        <is>
          <t>0e5a178e3cd2368607f3e72f46140476</t>
        </is>
      </c>
      <c r="E3137" t="inlineStr">
        <is>
          <t>email</t>
        </is>
      </c>
      <c r="F3137">
        <f>IFERROR(MATCH(A3137,Deals!$A$2:$A$843,0),"")</f>
        <v/>
      </c>
      <c r="G3137">
        <f>IF(F3137="",0,1)</f>
        <v/>
      </c>
      <c r="H3137" s="29">
        <f>IF(F3137="","",INDEX(Deals!$E$2:$E$843,F3137))</f>
        <v/>
      </c>
      <c r="I3137">
        <f>IF(F3137="","",INDEX(Deals!$D$2:$D$843,F3137))</f>
        <v/>
      </c>
      <c r="J3137">
        <f>IF(F3137="","",INT(H3137)-B3137)</f>
        <v/>
      </c>
      <c r="K3137">
        <f>IF(B3137&gt;=Settings!$C$5,1,0)</f>
        <v/>
      </c>
    </row>
    <row r="3138">
      <c r="A3138" t="inlineStr">
        <is>
          <t>d65a4f032c7efea300d514fa72b0bbcc</t>
        </is>
      </c>
      <c r="B3138" s="29" t="n">
        <v>43168</v>
      </c>
      <c r="C3138" t="inlineStr">
        <is>
          <t>2018-03</t>
        </is>
      </c>
      <c r="D3138" t="inlineStr">
        <is>
          <t>22c29808c4f815213303f8933030604c</t>
        </is>
      </c>
      <c r="E3138" t="inlineStr">
        <is>
          <t>paid_search</t>
        </is>
      </c>
      <c r="F3138">
        <f>IFERROR(MATCH(A3138,Deals!$A$2:$A$843,0),"")</f>
        <v/>
      </c>
      <c r="G3138">
        <f>IF(F3138="",0,1)</f>
        <v/>
      </c>
      <c r="H3138" s="29">
        <f>IF(F3138="","",INDEX(Deals!$E$2:$E$843,F3138))</f>
        <v/>
      </c>
      <c r="I3138">
        <f>IF(F3138="","",INDEX(Deals!$D$2:$D$843,F3138))</f>
        <v/>
      </c>
      <c r="J3138">
        <f>IF(F3138="","",INT(H3138)-B3138)</f>
        <v/>
      </c>
      <c r="K3138">
        <f>IF(B3138&gt;=Settings!$C$5,1,0)</f>
        <v/>
      </c>
    </row>
    <row r="3139">
      <c r="A3139" t="inlineStr">
        <is>
          <t>a006c5c497ac22bc39a5698420ddb004</t>
        </is>
      </c>
      <c r="B3139" s="29" t="n">
        <v>43074</v>
      </c>
      <c r="C3139" t="inlineStr">
        <is>
          <t>2017-12</t>
        </is>
      </c>
      <c r="D3139" t="inlineStr">
        <is>
          <t>40dec9f3d5259a3d2dbcdab2114fae47</t>
        </is>
      </c>
      <c r="E3139" t="inlineStr">
        <is>
          <t>paid_search</t>
        </is>
      </c>
      <c r="F3139">
        <f>IFERROR(MATCH(A3139,Deals!$A$2:$A$843,0),"")</f>
        <v/>
      </c>
      <c r="G3139">
        <f>IF(F3139="",0,1)</f>
        <v/>
      </c>
      <c r="H3139" s="29">
        <f>IF(F3139="","",INDEX(Deals!$E$2:$E$843,F3139))</f>
        <v/>
      </c>
      <c r="I3139">
        <f>IF(F3139="","",INDEX(Deals!$D$2:$D$843,F3139))</f>
        <v/>
      </c>
      <c r="J3139">
        <f>IF(F3139="","",INT(H3139)-B3139)</f>
        <v/>
      </c>
      <c r="K3139">
        <f>IF(B3139&gt;=Settings!$C$5,1,0)</f>
        <v/>
      </c>
    </row>
    <row r="3140">
      <c r="A3140" t="inlineStr">
        <is>
          <t>16805acc50701e4904620cfe12273731</t>
        </is>
      </c>
      <c r="B3140" s="29" t="n">
        <v>43166</v>
      </c>
      <c r="C3140" t="inlineStr">
        <is>
          <t>2018-03</t>
        </is>
      </c>
      <c r="D3140" t="inlineStr">
        <is>
          <t>f017be4dbf86243af5c1ebed0cff36a2</t>
        </is>
      </c>
      <c r="E3140" t="inlineStr">
        <is>
          <t>organic_search</t>
        </is>
      </c>
      <c r="F3140">
        <f>IFERROR(MATCH(A3140,Deals!$A$2:$A$843,0),"")</f>
        <v/>
      </c>
      <c r="G3140">
        <f>IF(F3140="",0,1)</f>
        <v/>
      </c>
      <c r="H3140" s="29">
        <f>IF(F3140="","",INDEX(Deals!$E$2:$E$843,F3140))</f>
        <v/>
      </c>
      <c r="I3140">
        <f>IF(F3140="","",INDEX(Deals!$D$2:$D$843,F3140))</f>
        <v/>
      </c>
      <c r="J3140">
        <f>IF(F3140="","",INT(H3140)-B3140)</f>
        <v/>
      </c>
      <c r="K3140">
        <f>IF(B3140&gt;=Settings!$C$5,1,0)</f>
        <v/>
      </c>
    </row>
    <row r="3141">
      <c r="A3141" t="inlineStr">
        <is>
          <t>bf5b131e6aee15fa373fb4d113b4a65c</t>
        </is>
      </c>
      <c r="B3141" s="29" t="n">
        <v>43207</v>
      </c>
      <c r="C3141" t="inlineStr">
        <is>
          <t>2018-04</t>
        </is>
      </c>
      <c r="D3141" t="inlineStr">
        <is>
          <t>22c29808c4f815213303f8933030604c</t>
        </is>
      </c>
      <c r="E3141" t="inlineStr">
        <is>
          <t>referral</t>
        </is>
      </c>
      <c r="F3141">
        <f>IFERROR(MATCH(A3141,Deals!$A$2:$A$843,0),"")</f>
        <v/>
      </c>
      <c r="G3141">
        <f>IF(F3141="",0,1)</f>
        <v/>
      </c>
      <c r="H3141" s="29">
        <f>IF(F3141="","",INDEX(Deals!$E$2:$E$843,F3141))</f>
        <v/>
      </c>
      <c r="I3141">
        <f>IF(F3141="","",INDEX(Deals!$D$2:$D$843,F3141))</f>
        <v/>
      </c>
      <c r="J3141">
        <f>IF(F3141="","",INT(H3141)-B3141)</f>
        <v/>
      </c>
      <c r="K3141">
        <f>IF(B3141&gt;=Settings!$C$5,1,0)</f>
        <v/>
      </c>
    </row>
    <row r="3142">
      <c r="A3142" t="inlineStr">
        <is>
          <t>dffe93f985ab86301115dfe29c3e0a41</t>
        </is>
      </c>
      <c r="B3142" s="29" t="n">
        <v>43214</v>
      </c>
      <c r="C3142" t="inlineStr">
        <is>
          <t>2018-04</t>
        </is>
      </c>
      <c r="D3142" t="inlineStr">
        <is>
          <t>b76ef37428e6799c421989521c0e5077</t>
        </is>
      </c>
      <c r="E3142" t="inlineStr">
        <is>
          <t>unknown</t>
        </is>
      </c>
      <c r="F3142">
        <f>IFERROR(MATCH(A3142,Deals!$A$2:$A$843,0),"")</f>
        <v/>
      </c>
      <c r="G3142">
        <f>IF(F3142="",0,1)</f>
        <v/>
      </c>
      <c r="H3142" s="29">
        <f>IF(F3142="","",INDEX(Deals!$E$2:$E$843,F3142))</f>
        <v/>
      </c>
      <c r="I3142">
        <f>IF(F3142="","",INDEX(Deals!$D$2:$D$843,F3142))</f>
        <v/>
      </c>
      <c r="J3142">
        <f>IF(F3142="","",INT(H3142)-B3142)</f>
        <v/>
      </c>
      <c r="K3142">
        <f>IF(B3142&gt;=Settings!$C$5,1,0)</f>
        <v/>
      </c>
    </row>
    <row r="3143">
      <c r="A3143" t="inlineStr">
        <is>
          <t>eeb00ab13106ffe8c16939b9834d2536</t>
        </is>
      </c>
      <c r="B3143" s="29" t="n">
        <v>43142</v>
      </c>
      <c r="C3143" t="inlineStr">
        <is>
          <t>2018-02</t>
        </is>
      </c>
      <c r="D3143" t="inlineStr">
        <is>
          <t>30077c17f2ec5010a82e37ad8925b95f</t>
        </is>
      </c>
      <c r="E3143" t="inlineStr">
        <is>
          <t>direct_traffic</t>
        </is>
      </c>
      <c r="F3143">
        <f>IFERROR(MATCH(A3143,Deals!$A$2:$A$843,0),"")</f>
        <v/>
      </c>
      <c r="G3143">
        <f>IF(F3143="",0,1)</f>
        <v/>
      </c>
      <c r="H3143" s="29">
        <f>IF(F3143="","",INDEX(Deals!$E$2:$E$843,F3143))</f>
        <v/>
      </c>
      <c r="I3143">
        <f>IF(F3143="","",INDEX(Deals!$D$2:$D$843,F3143))</f>
        <v/>
      </c>
      <c r="J3143">
        <f>IF(F3143="","",INT(H3143)-B3143)</f>
        <v/>
      </c>
      <c r="K3143">
        <f>IF(B3143&gt;=Settings!$C$5,1,0)</f>
        <v/>
      </c>
    </row>
    <row r="3144">
      <c r="A3144" t="inlineStr">
        <is>
          <t>d6a31df893267907bc8877ec5e1b7c04</t>
        </is>
      </c>
      <c r="B3144" s="29" t="n">
        <v>43176</v>
      </c>
      <c r="C3144" t="inlineStr">
        <is>
          <t>2018-03</t>
        </is>
      </c>
      <c r="D3144" t="inlineStr">
        <is>
          <t>c35447dcd1a50b2e2ee3184be602b597</t>
        </is>
      </c>
      <c r="E3144" t="inlineStr">
        <is>
          <t>social</t>
        </is>
      </c>
      <c r="F3144">
        <f>IFERROR(MATCH(A3144,Deals!$A$2:$A$843,0),"")</f>
        <v/>
      </c>
      <c r="G3144">
        <f>IF(F3144="",0,1)</f>
        <v/>
      </c>
      <c r="H3144" s="29">
        <f>IF(F3144="","",INDEX(Deals!$E$2:$E$843,F3144))</f>
        <v/>
      </c>
      <c r="I3144">
        <f>IF(F3144="","",INDEX(Deals!$D$2:$D$843,F3144))</f>
        <v/>
      </c>
      <c r="J3144">
        <f>IF(F3144="","",INT(H3144)-B3144)</f>
        <v/>
      </c>
      <c r="K3144">
        <f>IF(B3144&gt;=Settings!$C$5,1,0)</f>
        <v/>
      </c>
    </row>
    <row r="3145">
      <c r="A3145" t="inlineStr">
        <is>
          <t>8f6240dce8bc1548c3f66bc5ed17369f</t>
        </is>
      </c>
      <c r="B3145" s="29" t="n">
        <v>43037</v>
      </c>
      <c r="C3145" t="inlineStr">
        <is>
          <t>2017-10</t>
        </is>
      </c>
      <c r="D3145" t="inlineStr">
        <is>
          <t>88740e65d5d6b056e0cda098e1ea6313</t>
        </is>
      </c>
      <c r="E3145" t="inlineStr">
        <is>
          <t>social</t>
        </is>
      </c>
      <c r="F3145">
        <f>IFERROR(MATCH(A3145,Deals!$A$2:$A$843,0),"")</f>
        <v/>
      </c>
      <c r="G3145">
        <f>IF(F3145="",0,1)</f>
        <v/>
      </c>
      <c r="H3145" s="29">
        <f>IF(F3145="","",INDEX(Deals!$E$2:$E$843,F3145))</f>
        <v/>
      </c>
      <c r="I3145">
        <f>IF(F3145="","",INDEX(Deals!$D$2:$D$843,F3145))</f>
        <v/>
      </c>
      <c r="J3145">
        <f>IF(F3145="","",INT(H3145)-B3145)</f>
        <v/>
      </c>
      <c r="K3145">
        <f>IF(B3145&gt;=Settings!$C$5,1,0)</f>
        <v/>
      </c>
    </row>
    <row r="3146">
      <c r="A3146" t="inlineStr">
        <is>
          <t>a631032a4ca53c968fd251959795ec39</t>
        </is>
      </c>
      <c r="B3146" s="29" t="n">
        <v>43034</v>
      </c>
      <c r="C3146" t="inlineStr">
        <is>
          <t>2017-10</t>
        </is>
      </c>
      <c r="D3146" t="inlineStr">
        <is>
          <t>4513838e626b499f475f9b488d177c55</t>
        </is>
      </c>
      <c r="E3146" t="inlineStr">
        <is>
          <t>paid_search</t>
        </is>
      </c>
      <c r="F3146">
        <f>IFERROR(MATCH(A3146,Deals!$A$2:$A$843,0),"")</f>
        <v/>
      </c>
      <c r="G3146">
        <f>IF(F3146="",0,1)</f>
        <v/>
      </c>
      <c r="H3146" s="29">
        <f>IF(F3146="","",INDEX(Deals!$E$2:$E$843,F3146))</f>
        <v/>
      </c>
      <c r="I3146">
        <f>IF(F3146="","",INDEX(Deals!$D$2:$D$843,F3146))</f>
        <v/>
      </c>
      <c r="J3146">
        <f>IF(F3146="","",INT(H3146)-B3146)</f>
        <v/>
      </c>
      <c r="K3146">
        <f>IF(B3146&gt;=Settings!$C$5,1,0)</f>
        <v/>
      </c>
    </row>
    <row r="3147">
      <c r="A3147" t="inlineStr">
        <is>
          <t>9fcc8beb3e7cd46714d8fa78eb705ad5</t>
        </is>
      </c>
      <c r="B3147" s="29" t="n">
        <v>43024</v>
      </c>
      <c r="C3147" t="inlineStr">
        <is>
          <t>2017-10</t>
        </is>
      </c>
      <c r="D3147" t="inlineStr">
        <is>
          <t>f98c2bd96ac4a5d9476734e790c91384</t>
        </is>
      </c>
      <c r="E3147" t="inlineStr">
        <is>
          <t>social</t>
        </is>
      </c>
      <c r="F3147">
        <f>IFERROR(MATCH(A3147,Deals!$A$2:$A$843,0),"")</f>
        <v/>
      </c>
      <c r="G3147">
        <f>IF(F3147="",0,1)</f>
        <v/>
      </c>
      <c r="H3147" s="29">
        <f>IF(F3147="","",INDEX(Deals!$E$2:$E$843,F3147))</f>
        <v/>
      </c>
      <c r="I3147">
        <f>IF(F3147="","",INDEX(Deals!$D$2:$D$843,F3147))</f>
        <v/>
      </c>
      <c r="J3147">
        <f>IF(F3147="","",INT(H3147)-B3147)</f>
        <v/>
      </c>
      <c r="K3147">
        <f>IF(B3147&gt;=Settings!$C$5,1,0)</f>
        <v/>
      </c>
    </row>
    <row r="3148">
      <c r="A3148" t="inlineStr">
        <is>
          <t>3efeff9dbd6bfd7ccc698c0baf52740c</t>
        </is>
      </c>
      <c r="B3148" s="29" t="n">
        <v>43133</v>
      </c>
      <c r="C3148" t="inlineStr">
        <is>
          <t>2018-02</t>
        </is>
      </c>
      <c r="D3148" t="inlineStr">
        <is>
          <t>b6cd08ac77c501fd6857f7916d2c24f3</t>
        </is>
      </c>
      <c r="E3148" t="inlineStr">
        <is>
          <t>email</t>
        </is>
      </c>
      <c r="F3148">
        <f>IFERROR(MATCH(A3148,Deals!$A$2:$A$843,0),"")</f>
        <v/>
      </c>
      <c r="G3148">
        <f>IF(F3148="",0,1)</f>
        <v/>
      </c>
      <c r="H3148" s="29">
        <f>IF(F3148="","",INDEX(Deals!$E$2:$E$843,F3148))</f>
        <v/>
      </c>
      <c r="I3148">
        <f>IF(F3148="","",INDEX(Deals!$D$2:$D$843,F3148))</f>
        <v/>
      </c>
      <c r="J3148">
        <f>IF(F3148="","",INT(H3148)-B3148)</f>
        <v/>
      </c>
      <c r="K3148">
        <f>IF(B3148&gt;=Settings!$C$5,1,0)</f>
        <v/>
      </c>
    </row>
    <row r="3149">
      <c r="A3149" t="inlineStr">
        <is>
          <t>e49774d191d2589093dfa6dc07095670</t>
        </is>
      </c>
      <c r="B3149" s="29" t="n">
        <v>43157</v>
      </c>
      <c r="C3149" t="inlineStr">
        <is>
          <t>2018-02</t>
        </is>
      </c>
      <c r="D3149" t="inlineStr">
        <is>
          <t>f017be4dbf86243af5c1ebed0cff36a2</t>
        </is>
      </c>
      <c r="E3149" t="inlineStr">
        <is>
          <t>social</t>
        </is>
      </c>
      <c r="F3149">
        <f>IFERROR(MATCH(A3149,Deals!$A$2:$A$843,0),"")</f>
        <v/>
      </c>
      <c r="G3149">
        <f>IF(F3149="",0,1)</f>
        <v/>
      </c>
      <c r="H3149" s="29">
        <f>IF(F3149="","",INDEX(Deals!$E$2:$E$843,F3149))</f>
        <v/>
      </c>
      <c r="I3149">
        <f>IF(F3149="","",INDEX(Deals!$D$2:$D$843,F3149))</f>
        <v/>
      </c>
      <c r="J3149">
        <f>IF(F3149="","",INT(H3149)-B3149)</f>
        <v/>
      </c>
      <c r="K3149">
        <f>IF(B3149&gt;=Settings!$C$5,1,0)</f>
        <v/>
      </c>
    </row>
    <row r="3150">
      <c r="A3150" t="inlineStr">
        <is>
          <t>eda866dc38e946b387a0520d46df50b3</t>
        </is>
      </c>
      <c r="B3150" s="29" t="n">
        <v>43109</v>
      </c>
      <c r="C3150" t="inlineStr">
        <is>
          <t>2018-01</t>
        </is>
      </c>
      <c r="D3150" t="inlineStr">
        <is>
          <t>88740e65d5d6b056e0cda098e1ea6313</t>
        </is>
      </c>
      <c r="E3150" t="inlineStr">
        <is>
          <t>social</t>
        </is>
      </c>
      <c r="F3150">
        <f>IFERROR(MATCH(A3150,Deals!$A$2:$A$843,0),"")</f>
        <v/>
      </c>
      <c r="G3150">
        <f>IF(F3150="",0,1)</f>
        <v/>
      </c>
      <c r="H3150" s="29">
        <f>IF(F3150="","",INDEX(Deals!$E$2:$E$843,F3150))</f>
        <v/>
      </c>
      <c r="I3150">
        <f>IF(F3150="","",INDEX(Deals!$D$2:$D$843,F3150))</f>
        <v/>
      </c>
      <c r="J3150">
        <f>IF(F3150="","",INT(H3150)-B3150)</f>
        <v/>
      </c>
      <c r="K3150">
        <f>IF(B3150&gt;=Settings!$C$5,1,0)</f>
        <v/>
      </c>
    </row>
    <row r="3151">
      <c r="A3151" t="inlineStr">
        <is>
          <t>647c30902deaaa927b1cdf13e4cb3dd5</t>
        </is>
      </c>
      <c r="B3151" s="29" t="n">
        <v>43028</v>
      </c>
      <c r="C3151" t="inlineStr">
        <is>
          <t>2017-10</t>
        </is>
      </c>
      <c r="D3151" t="inlineStr">
        <is>
          <t>1722481ac9e5371e5099dea226b5421d</t>
        </is>
      </c>
      <c r="E3151" t="inlineStr">
        <is>
          <t>organic_search</t>
        </is>
      </c>
      <c r="F3151">
        <f>IFERROR(MATCH(A3151,Deals!$A$2:$A$843,0),"")</f>
        <v/>
      </c>
      <c r="G3151">
        <f>IF(F3151="",0,1)</f>
        <v/>
      </c>
      <c r="H3151" s="29">
        <f>IF(F3151="","",INDEX(Deals!$E$2:$E$843,F3151))</f>
        <v/>
      </c>
      <c r="I3151">
        <f>IF(F3151="","",INDEX(Deals!$D$2:$D$843,F3151))</f>
        <v/>
      </c>
      <c r="J3151">
        <f>IF(F3151="","",INT(H3151)-B3151)</f>
        <v/>
      </c>
      <c r="K3151">
        <f>IF(B3151&gt;=Settings!$C$5,1,0)</f>
        <v/>
      </c>
    </row>
    <row r="3152">
      <c r="A3152" t="inlineStr">
        <is>
          <t>63db44691f9e40a103785a74c63543e6</t>
        </is>
      </c>
      <c r="B3152" s="29" t="n">
        <v>43162</v>
      </c>
      <c r="C3152" t="inlineStr">
        <is>
          <t>2018-03</t>
        </is>
      </c>
      <c r="D3152" t="inlineStr">
        <is>
          <t>22c29808c4f815213303f8933030604c</t>
        </is>
      </c>
      <c r="E3152" t="inlineStr">
        <is>
          <t>organic_search</t>
        </is>
      </c>
      <c r="F3152">
        <f>IFERROR(MATCH(A3152,Deals!$A$2:$A$843,0),"")</f>
        <v/>
      </c>
      <c r="G3152">
        <f>IF(F3152="",0,1)</f>
        <v/>
      </c>
      <c r="H3152" s="29">
        <f>IF(F3152="","",INDEX(Deals!$E$2:$E$843,F3152))</f>
        <v/>
      </c>
      <c r="I3152">
        <f>IF(F3152="","",INDEX(Deals!$D$2:$D$843,F3152))</f>
        <v/>
      </c>
      <c r="J3152">
        <f>IF(F3152="","",INT(H3152)-B3152)</f>
        <v/>
      </c>
      <c r="K3152">
        <f>IF(B3152&gt;=Settings!$C$5,1,0)</f>
        <v/>
      </c>
    </row>
    <row r="3153">
      <c r="A3153" t="inlineStr">
        <is>
          <t>f93373ec8954c1677f33506e439e2331</t>
        </is>
      </c>
      <c r="B3153" s="29" t="n">
        <v>43160</v>
      </c>
      <c r="C3153" t="inlineStr">
        <is>
          <t>2018-03</t>
        </is>
      </c>
      <c r="D3153" t="inlineStr">
        <is>
          <t>22c29808c4f815213303f8933030604c</t>
        </is>
      </c>
      <c r="E3153" t="inlineStr">
        <is>
          <t>direct_traffic</t>
        </is>
      </c>
      <c r="F3153">
        <f>IFERROR(MATCH(A3153,Deals!$A$2:$A$843,0),"")</f>
        <v/>
      </c>
      <c r="G3153">
        <f>IF(F3153="",0,1)</f>
        <v/>
      </c>
      <c r="H3153" s="29">
        <f>IF(F3153="","",INDEX(Deals!$E$2:$E$843,F3153))</f>
        <v/>
      </c>
      <c r="I3153">
        <f>IF(F3153="","",INDEX(Deals!$D$2:$D$843,F3153))</f>
        <v/>
      </c>
      <c r="J3153">
        <f>IF(F3153="","",INT(H3153)-B3153)</f>
        <v/>
      </c>
      <c r="K3153">
        <f>IF(B3153&gt;=Settings!$C$5,1,0)</f>
        <v/>
      </c>
    </row>
    <row r="3154">
      <c r="A3154" t="inlineStr">
        <is>
          <t>5d80f41d392a2f39804eae9eb91fe770</t>
        </is>
      </c>
      <c r="B3154" s="29" t="n">
        <v>43025</v>
      </c>
      <c r="C3154" t="inlineStr">
        <is>
          <t>2017-10</t>
        </is>
      </c>
      <c r="D3154" t="inlineStr">
        <is>
          <t>f017be4dbf86243af5c1ebed0cff36a2</t>
        </is>
      </c>
      <c r="E3154" t="inlineStr">
        <is>
          <t>organic_search</t>
        </is>
      </c>
      <c r="F3154">
        <f>IFERROR(MATCH(A3154,Deals!$A$2:$A$843,0),"")</f>
        <v/>
      </c>
      <c r="G3154">
        <f>IF(F3154="",0,1)</f>
        <v/>
      </c>
      <c r="H3154" s="29">
        <f>IF(F3154="","",INDEX(Deals!$E$2:$E$843,F3154))</f>
        <v/>
      </c>
      <c r="I3154">
        <f>IF(F3154="","",INDEX(Deals!$D$2:$D$843,F3154))</f>
        <v/>
      </c>
      <c r="J3154">
        <f>IF(F3154="","",INT(H3154)-B3154)</f>
        <v/>
      </c>
      <c r="K3154">
        <f>IF(B3154&gt;=Settings!$C$5,1,0)</f>
        <v/>
      </c>
    </row>
    <row r="3155">
      <c r="A3155" t="inlineStr">
        <is>
          <t>ee488918cd8d11b893067864f9dabddb</t>
        </is>
      </c>
      <c r="B3155" s="29" t="n">
        <v>43174</v>
      </c>
      <c r="C3155" t="inlineStr">
        <is>
          <t>2018-03</t>
        </is>
      </c>
      <c r="D3155" t="inlineStr">
        <is>
          <t>b76ef37428e6799c421989521c0e5077</t>
        </is>
      </c>
      <c r="E3155" t="inlineStr">
        <is>
          <t>unknown</t>
        </is>
      </c>
      <c r="F3155">
        <f>IFERROR(MATCH(A3155,Deals!$A$2:$A$843,0),"")</f>
        <v/>
      </c>
      <c r="G3155">
        <f>IF(F3155="",0,1)</f>
        <v/>
      </c>
      <c r="H3155" s="29">
        <f>IF(F3155="","",INDEX(Deals!$E$2:$E$843,F3155))</f>
        <v/>
      </c>
      <c r="I3155">
        <f>IF(F3155="","",INDEX(Deals!$D$2:$D$843,F3155))</f>
        <v/>
      </c>
      <c r="J3155">
        <f>IF(F3155="","",INT(H3155)-B3155)</f>
        <v/>
      </c>
      <c r="K3155">
        <f>IF(B3155&gt;=Settings!$C$5,1,0)</f>
        <v/>
      </c>
    </row>
    <row r="3156">
      <c r="A3156" t="inlineStr">
        <is>
          <t>9a80cf893678cf5d33cec3a91742837a</t>
        </is>
      </c>
      <c r="B3156" s="29" t="n">
        <v>43194</v>
      </c>
      <c r="C3156" t="inlineStr">
        <is>
          <t>2018-04</t>
        </is>
      </c>
      <c r="D3156" t="inlineStr">
        <is>
          <t>7fa6214d82e911d070f51ef79381b956</t>
        </is>
      </c>
      <c r="E3156" t="inlineStr">
        <is>
          <t>referral</t>
        </is>
      </c>
      <c r="F3156">
        <f>IFERROR(MATCH(A3156,Deals!$A$2:$A$843,0),"")</f>
        <v/>
      </c>
      <c r="G3156">
        <f>IF(F3156="",0,1)</f>
        <v/>
      </c>
      <c r="H3156" s="29">
        <f>IF(F3156="","",INDEX(Deals!$E$2:$E$843,F3156))</f>
        <v/>
      </c>
      <c r="I3156">
        <f>IF(F3156="","",INDEX(Deals!$D$2:$D$843,F3156))</f>
        <v/>
      </c>
      <c r="J3156">
        <f>IF(F3156="","",INT(H3156)-B3156)</f>
        <v/>
      </c>
      <c r="K3156">
        <f>IF(B3156&gt;=Settings!$C$5,1,0)</f>
        <v/>
      </c>
    </row>
    <row r="3157">
      <c r="A3157" t="inlineStr">
        <is>
          <t>cce119502b39f2cd9f69219bb6dbd241</t>
        </is>
      </c>
      <c r="B3157" s="29" t="n">
        <v>43195</v>
      </c>
      <c r="C3157" t="inlineStr">
        <is>
          <t>2018-04</t>
        </is>
      </c>
      <c r="D3157" t="inlineStr">
        <is>
          <t>58326e62183c14b0c03085c33b9fdc44</t>
        </is>
      </c>
      <c r="E3157" t="inlineStr">
        <is>
          <t>social</t>
        </is>
      </c>
      <c r="F3157">
        <f>IFERROR(MATCH(A3157,Deals!$A$2:$A$843,0),"")</f>
        <v/>
      </c>
      <c r="G3157">
        <f>IF(F3157="",0,1)</f>
        <v/>
      </c>
      <c r="H3157" s="29">
        <f>IF(F3157="","",INDEX(Deals!$E$2:$E$843,F3157))</f>
        <v/>
      </c>
      <c r="I3157">
        <f>IF(F3157="","",INDEX(Deals!$D$2:$D$843,F3157))</f>
        <v/>
      </c>
      <c r="J3157">
        <f>IF(F3157="","",INT(H3157)-B3157)</f>
        <v/>
      </c>
      <c r="K3157">
        <f>IF(B3157&gt;=Settings!$C$5,1,0)</f>
        <v/>
      </c>
    </row>
    <row r="3158">
      <c r="A3158" t="inlineStr">
        <is>
          <t>7fb81e85cec23c84c28f94cc331ba0bb</t>
        </is>
      </c>
      <c r="B3158" s="29" t="n">
        <v>43231</v>
      </c>
      <c r="C3158" t="inlineStr">
        <is>
          <t>2018-05</t>
        </is>
      </c>
      <c r="D3158" t="inlineStr">
        <is>
          <t>22c29808c4f815213303f8933030604c</t>
        </is>
      </c>
      <c r="E3158" t="inlineStr">
        <is>
          <t>direct_traffic</t>
        </is>
      </c>
      <c r="F3158">
        <f>IFERROR(MATCH(A3158,Deals!$A$2:$A$843,0),"")</f>
        <v/>
      </c>
      <c r="G3158">
        <f>IF(F3158="",0,1)</f>
        <v/>
      </c>
      <c r="H3158" s="29">
        <f>IF(F3158="","",INDEX(Deals!$E$2:$E$843,F3158))</f>
        <v/>
      </c>
      <c r="I3158">
        <f>IF(F3158="","",INDEX(Deals!$D$2:$D$843,F3158))</f>
        <v/>
      </c>
      <c r="J3158">
        <f>IF(F3158="","",INT(H3158)-B3158)</f>
        <v/>
      </c>
      <c r="K3158">
        <f>IF(B3158&gt;=Settings!$C$5,1,0)</f>
        <v/>
      </c>
    </row>
    <row r="3159">
      <c r="A3159" t="inlineStr">
        <is>
          <t>d348627a08fabe278a8909ed03474447</t>
        </is>
      </c>
      <c r="B3159" s="29" t="n">
        <v>43230</v>
      </c>
      <c r="C3159" t="inlineStr">
        <is>
          <t>2018-05</t>
        </is>
      </c>
      <c r="D3159" t="inlineStr">
        <is>
          <t>d75a2371281f42d607be43b08bd74905</t>
        </is>
      </c>
      <c r="E3159" t="inlineStr">
        <is>
          <t>direct_traffic</t>
        </is>
      </c>
      <c r="F3159">
        <f>IFERROR(MATCH(A3159,Deals!$A$2:$A$843,0),"")</f>
        <v/>
      </c>
      <c r="G3159">
        <f>IF(F3159="",0,1)</f>
        <v/>
      </c>
      <c r="H3159" s="29">
        <f>IF(F3159="","",INDEX(Deals!$E$2:$E$843,F3159))</f>
        <v/>
      </c>
      <c r="I3159">
        <f>IF(F3159="","",INDEX(Deals!$D$2:$D$843,F3159))</f>
        <v/>
      </c>
      <c r="J3159">
        <f>IF(F3159="","",INT(H3159)-B3159)</f>
        <v/>
      </c>
      <c r="K3159">
        <f>IF(B3159&gt;=Settings!$C$5,1,0)</f>
        <v/>
      </c>
    </row>
    <row r="3160">
      <c r="A3160" t="inlineStr">
        <is>
          <t>b328487b2b7959c38fd3c33a17bb6a00</t>
        </is>
      </c>
      <c r="B3160" s="29" t="n">
        <v>43119</v>
      </c>
      <c r="C3160" t="inlineStr">
        <is>
          <t>2018-01</t>
        </is>
      </c>
      <c r="D3160" t="inlineStr">
        <is>
          <t>f017be4dbf86243af5c1ebed0cff36a2</t>
        </is>
      </c>
      <c r="E3160" t="inlineStr">
        <is>
          <t>organic_search</t>
        </is>
      </c>
      <c r="F3160">
        <f>IFERROR(MATCH(A3160,Deals!$A$2:$A$843,0),"")</f>
        <v/>
      </c>
      <c r="G3160">
        <f>IF(F3160="",0,1)</f>
        <v/>
      </c>
      <c r="H3160" s="29">
        <f>IF(F3160="","",INDEX(Deals!$E$2:$E$843,F3160))</f>
        <v/>
      </c>
      <c r="I3160">
        <f>IF(F3160="","",INDEX(Deals!$D$2:$D$843,F3160))</f>
        <v/>
      </c>
      <c r="J3160">
        <f>IF(F3160="","",INT(H3160)-B3160)</f>
        <v/>
      </c>
      <c r="K3160">
        <f>IF(B3160&gt;=Settings!$C$5,1,0)</f>
        <v/>
      </c>
    </row>
    <row r="3161">
      <c r="A3161" t="inlineStr">
        <is>
          <t>1bf502b835ee007957e558cbb1959ecb</t>
        </is>
      </c>
      <c r="B3161" s="29" t="n">
        <v>43094</v>
      </c>
      <c r="C3161" t="inlineStr">
        <is>
          <t>2017-12</t>
        </is>
      </c>
      <c r="D3161" t="inlineStr">
        <is>
          <t>f017be4dbf86243af5c1ebed0cff36a2</t>
        </is>
      </c>
      <c r="E3161" t="inlineStr">
        <is>
          <t>direct_traffic</t>
        </is>
      </c>
      <c r="F3161">
        <f>IFERROR(MATCH(A3161,Deals!$A$2:$A$843,0),"")</f>
        <v/>
      </c>
      <c r="G3161">
        <f>IF(F3161="",0,1)</f>
        <v/>
      </c>
      <c r="H3161" s="29">
        <f>IF(F3161="","",INDEX(Deals!$E$2:$E$843,F3161))</f>
        <v/>
      </c>
      <c r="I3161">
        <f>IF(F3161="","",INDEX(Deals!$D$2:$D$843,F3161))</f>
        <v/>
      </c>
      <c r="J3161">
        <f>IF(F3161="","",INT(H3161)-B3161)</f>
        <v/>
      </c>
      <c r="K3161">
        <f>IF(B3161&gt;=Settings!$C$5,1,0)</f>
        <v/>
      </c>
    </row>
    <row r="3162">
      <c r="A3162" t="inlineStr">
        <is>
          <t>c8e8e237bfc7a4643f9c5f2841f1622f</t>
        </is>
      </c>
      <c r="B3162" s="29" t="n">
        <v>42993</v>
      </c>
      <c r="C3162" t="inlineStr">
        <is>
          <t>2017-09</t>
        </is>
      </c>
      <c r="D3162" t="inlineStr">
        <is>
          <t>c79bafc4a099ff23e3bab1534797fb45</t>
        </is>
      </c>
      <c r="E3162" t="inlineStr">
        <is>
          <t>paid_search</t>
        </is>
      </c>
      <c r="F3162">
        <f>IFERROR(MATCH(A3162,Deals!$A$2:$A$843,0),"")</f>
        <v/>
      </c>
      <c r="G3162">
        <f>IF(F3162="",0,1)</f>
        <v/>
      </c>
      <c r="H3162" s="29">
        <f>IF(F3162="","",INDEX(Deals!$E$2:$E$843,F3162))</f>
        <v/>
      </c>
      <c r="I3162">
        <f>IF(F3162="","",INDEX(Deals!$D$2:$D$843,F3162))</f>
        <v/>
      </c>
      <c r="J3162">
        <f>IF(F3162="","",INT(H3162)-B3162)</f>
        <v/>
      </c>
      <c r="K3162">
        <f>IF(B3162&gt;=Settings!$C$5,1,0)</f>
        <v/>
      </c>
    </row>
    <row r="3163">
      <c r="A3163" t="inlineStr">
        <is>
          <t>11ae9d2fb5ee5579a3a0db7674dff168</t>
        </is>
      </c>
      <c r="B3163" s="29" t="n">
        <v>43154</v>
      </c>
      <c r="C3163" t="inlineStr">
        <is>
          <t>2018-02</t>
        </is>
      </c>
      <c r="D3163" t="inlineStr">
        <is>
          <t>2228a43ac0bc372e25f9569e69fc9015</t>
        </is>
      </c>
      <c r="E3163" t="inlineStr">
        <is>
          <t>organic_search</t>
        </is>
      </c>
      <c r="F3163">
        <f>IFERROR(MATCH(A3163,Deals!$A$2:$A$843,0),"")</f>
        <v/>
      </c>
      <c r="G3163">
        <f>IF(F3163="",0,1)</f>
        <v/>
      </c>
      <c r="H3163" s="29">
        <f>IF(F3163="","",INDEX(Deals!$E$2:$E$843,F3163))</f>
        <v/>
      </c>
      <c r="I3163">
        <f>IF(F3163="","",INDEX(Deals!$D$2:$D$843,F3163))</f>
        <v/>
      </c>
      <c r="J3163">
        <f>IF(F3163="","",INT(H3163)-B3163)</f>
        <v/>
      </c>
      <c r="K3163">
        <f>IF(B3163&gt;=Settings!$C$5,1,0)</f>
        <v/>
      </c>
    </row>
    <row r="3164">
      <c r="A3164" t="inlineStr">
        <is>
          <t>b90ffa2e588795e7f7f8f73d04b5dc32</t>
        </is>
      </c>
      <c r="B3164" s="29" t="n">
        <v>43199</v>
      </c>
      <c r="C3164" t="inlineStr">
        <is>
          <t>2018-04</t>
        </is>
      </c>
      <c r="D3164" t="inlineStr">
        <is>
          <t>22c29808c4f815213303f8933030604c</t>
        </is>
      </c>
      <c r="E3164" t="inlineStr">
        <is>
          <t>organic_search</t>
        </is>
      </c>
      <c r="F3164">
        <f>IFERROR(MATCH(A3164,Deals!$A$2:$A$843,0),"")</f>
        <v/>
      </c>
      <c r="G3164">
        <f>IF(F3164="",0,1)</f>
        <v/>
      </c>
      <c r="H3164" s="29">
        <f>IF(F3164="","",INDEX(Deals!$E$2:$E$843,F3164))</f>
        <v/>
      </c>
      <c r="I3164">
        <f>IF(F3164="","",INDEX(Deals!$D$2:$D$843,F3164))</f>
        <v/>
      </c>
      <c r="J3164">
        <f>IF(F3164="","",INT(H3164)-B3164)</f>
        <v/>
      </c>
      <c r="K3164">
        <f>IF(B3164&gt;=Settings!$C$5,1,0)</f>
        <v/>
      </c>
    </row>
    <row r="3165">
      <c r="A3165" t="inlineStr">
        <is>
          <t>44f46fc20811f78bd3e34a3d04dbdc70</t>
        </is>
      </c>
      <c r="B3165" s="29" t="n">
        <v>43217</v>
      </c>
      <c r="C3165" t="inlineStr">
        <is>
          <t>2018-04</t>
        </is>
      </c>
      <c r="D3165" t="inlineStr">
        <is>
          <t>b76ef37428e6799c421989521c0e5077</t>
        </is>
      </c>
      <c r="E3165" t="inlineStr">
        <is>
          <t>paid_search</t>
        </is>
      </c>
      <c r="F3165">
        <f>IFERROR(MATCH(A3165,Deals!$A$2:$A$843,0),"")</f>
        <v/>
      </c>
      <c r="G3165">
        <f>IF(F3165="",0,1)</f>
        <v/>
      </c>
      <c r="H3165" s="29">
        <f>IF(F3165="","",INDEX(Deals!$E$2:$E$843,F3165))</f>
        <v/>
      </c>
      <c r="I3165">
        <f>IF(F3165="","",INDEX(Deals!$D$2:$D$843,F3165))</f>
        <v/>
      </c>
      <c r="J3165">
        <f>IF(F3165="","",INT(H3165)-B3165)</f>
        <v/>
      </c>
      <c r="K3165">
        <f>IF(B3165&gt;=Settings!$C$5,1,0)</f>
        <v/>
      </c>
    </row>
    <row r="3166">
      <c r="A3166" t="inlineStr">
        <is>
          <t>63b6da38dd39ce6dfce412cc36d8b1b5</t>
        </is>
      </c>
      <c r="B3166" s="29" t="n">
        <v>43154</v>
      </c>
      <c r="C3166" t="inlineStr">
        <is>
          <t>2018-02</t>
        </is>
      </c>
      <c r="D3166" t="inlineStr">
        <is>
          <t>65d9f9d71e562365e8b44037c2888d98</t>
        </is>
      </c>
      <c r="E3166" t="inlineStr">
        <is>
          <t>paid_search</t>
        </is>
      </c>
      <c r="F3166">
        <f>IFERROR(MATCH(A3166,Deals!$A$2:$A$843,0),"")</f>
        <v/>
      </c>
      <c r="G3166">
        <f>IF(F3166="",0,1)</f>
        <v/>
      </c>
      <c r="H3166" s="29">
        <f>IF(F3166="","",INDEX(Deals!$E$2:$E$843,F3166))</f>
        <v/>
      </c>
      <c r="I3166">
        <f>IF(F3166="","",INDEX(Deals!$D$2:$D$843,F3166))</f>
        <v/>
      </c>
      <c r="J3166">
        <f>IF(F3166="","",INT(H3166)-B3166)</f>
        <v/>
      </c>
      <c r="K3166">
        <f>IF(B3166&gt;=Settings!$C$5,1,0)</f>
        <v/>
      </c>
    </row>
    <row r="3167">
      <c r="A3167" t="inlineStr">
        <is>
          <t>a75361ce50e67179d38f7082d687b571</t>
        </is>
      </c>
      <c r="B3167" s="29" t="n">
        <v>43214</v>
      </c>
      <c r="C3167" t="inlineStr">
        <is>
          <t>2018-04</t>
        </is>
      </c>
      <c r="D3167" t="inlineStr">
        <is>
          <t>fa5a0151e1f37d0055a3478fbb48827a</t>
        </is>
      </c>
      <c r="E3167" t="inlineStr">
        <is>
          <t>paid_search</t>
        </is>
      </c>
      <c r="F3167">
        <f>IFERROR(MATCH(A3167,Deals!$A$2:$A$843,0),"")</f>
        <v/>
      </c>
      <c r="G3167">
        <f>IF(F3167="",0,1)</f>
        <v/>
      </c>
      <c r="H3167" s="29">
        <f>IF(F3167="","",INDEX(Deals!$E$2:$E$843,F3167))</f>
        <v/>
      </c>
      <c r="I3167">
        <f>IF(F3167="","",INDEX(Deals!$D$2:$D$843,F3167))</f>
        <v/>
      </c>
      <c r="J3167">
        <f>IF(F3167="","",INT(H3167)-B3167)</f>
        <v/>
      </c>
      <c r="K3167">
        <f>IF(B3167&gt;=Settings!$C$5,1,0)</f>
        <v/>
      </c>
    </row>
    <row r="3168">
      <c r="A3168" t="inlineStr">
        <is>
          <t>bfb542eee7ebaee0d567b99b69baf7ec</t>
        </is>
      </c>
      <c r="B3168" s="29" t="n">
        <v>43250</v>
      </c>
      <c r="C3168" t="inlineStr">
        <is>
          <t>2018-05</t>
        </is>
      </c>
      <c r="D3168" t="inlineStr">
        <is>
          <t>22c29808c4f815213303f8933030604c</t>
        </is>
      </c>
      <c r="E3168" t="inlineStr">
        <is>
          <t>paid_search</t>
        </is>
      </c>
      <c r="F3168">
        <f>IFERROR(MATCH(A3168,Deals!$A$2:$A$843,0),"")</f>
        <v/>
      </c>
      <c r="G3168">
        <f>IF(F3168="",0,1)</f>
        <v/>
      </c>
      <c r="H3168" s="29">
        <f>IF(F3168="","",INDEX(Deals!$E$2:$E$843,F3168))</f>
        <v/>
      </c>
      <c r="I3168">
        <f>IF(F3168="","",INDEX(Deals!$D$2:$D$843,F3168))</f>
        <v/>
      </c>
      <c r="J3168">
        <f>IF(F3168="","",INT(H3168)-B3168)</f>
        <v/>
      </c>
      <c r="K3168">
        <f>IF(B3168&gt;=Settings!$C$5,1,0)</f>
        <v/>
      </c>
    </row>
    <row r="3169">
      <c r="A3169" t="inlineStr">
        <is>
          <t>c863dbb08e838f7637ab6d9fa1da2091</t>
        </is>
      </c>
      <c r="B3169" s="29" t="n">
        <v>43153</v>
      </c>
      <c r="C3169" t="inlineStr">
        <is>
          <t>2018-02</t>
        </is>
      </c>
      <c r="D3169" t="inlineStr">
        <is>
          <t>e492ee5eaf1697716985cc6f33f9cd9b</t>
        </is>
      </c>
      <c r="E3169" t="inlineStr">
        <is>
          <t>referral</t>
        </is>
      </c>
      <c r="F3169">
        <f>IFERROR(MATCH(A3169,Deals!$A$2:$A$843,0),"")</f>
        <v/>
      </c>
      <c r="G3169">
        <f>IF(F3169="",0,1)</f>
        <v/>
      </c>
      <c r="H3169" s="29">
        <f>IF(F3169="","",INDEX(Deals!$E$2:$E$843,F3169))</f>
        <v/>
      </c>
      <c r="I3169">
        <f>IF(F3169="","",INDEX(Deals!$D$2:$D$843,F3169))</f>
        <v/>
      </c>
      <c r="J3169">
        <f>IF(F3169="","",INT(H3169)-B3169)</f>
        <v/>
      </c>
      <c r="K3169">
        <f>IF(B3169&gt;=Settings!$C$5,1,0)</f>
        <v/>
      </c>
    </row>
    <row r="3170">
      <c r="A3170" t="inlineStr">
        <is>
          <t>acd4dbc10fbfd65a25eda61b46fc7820</t>
        </is>
      </c>
      <c r="B3170" s="29" t="n">
        <v>43200</v>
      </c>
      <c r="C3170" t="inlineStr">
        <is>
          <t>2018-04</t>
        </is>
      </c>
      <c r="D3170" t="inlineStr">
        <is>
          <t>22c29808c4f815213303f8933030604c</t>
        </is>
      </c>
      <c r="E3170" t="inlineStr">
        <is>
          <t>organic_search</t>
        </is>
      </c>
      <c r="F3170">
        <f>IFERROR(MATCH(A3170,Deals!$A$2:$A$843,0),"")</f>
        <v/>
      </c>
      <c r="G3170">
        <f>IF(F3170="",0,1)</f>
        <v/>
      </c>
      <c r="H3170" s="29">
        <f>IF(F3170="","",INDEX(Deals!$E$2:$E$843,F3170))</f>
        <v/>
      </c>
      <c r="I3170">
        <f>IF(F3170="","",INDEX(Deals!$D$2:$D$843,F3170))</f>
        <v/>
      </c>
      <c r="J3170">
        <f>IF(F3170="","",INT(H3170)-B3170)</f>
        <v/>
      </c>
      <c r="K3170">
        <f>IF(B3170&gt;=Settings!$C$5,1,0)</f>
        <v/>
      </c>
    </row>
    <row r="3171">
      <c r="A3171" t="inlineStr">
        <is>
          <t>fc8cfa21bc52ce06040158d584ee1147</t>
        </is>
      </c>
      <c r="B3171" s="29" t="n">
        <v>43199</v>
      </c>
      <c r="C3171" t="inlineStr">
        <is>
          <t>2018-04</t>
        </is>
      </c>
      <c r="D3171" t="inlineStr">
        <is>
          <t>58326e62183c14b0c03085c33b9fdc44</t>
        </is>
      </c>
      <c r="E3171" t="inlineStr">
        <is>
          <t>social</t>
        </is>
      </c>
      <c r="F3171">
        <f>IFERROR(MATCH(A3171,Deals!$A$2:$A$843,0),"")</f>
        <v/>
      </c>
      <c r="G3171">
        <f>IF(F3171="",0,1)</f>
        <v/>
      </c>
      <c r="H3171" s="29">
        <f>IF(F3171="","",INDEX(Deals!$E$2:$E$843,F3171))</f>
        <v/>
      </c>
      <c r="I3171">
        <f>IF(F3171="","",INDEX(Deals!$D$2:$D$843,F3171))</f>
        <v/>
      </c>
      <c r="J3171">
        <f>IF(F3171="","",INT(H3171)-B3171)</f>
        <v/>
      </c>
      <c r="K3171">
        <f>IF(B3171&gt;=Settings!$C$5,1,0)</f>
        <v/>
      </c>
    </row>
    <row r="3172">
      <c r="A3172" t="inlineStr">
        <is>
          <t>ea26d7632974b9674121019875916c4b</t>
        </is>
      </c>
      <c r="B3172" s="29" t="n">
        <v>43246</v>
      </c>
      <c r="C3172" t="inlineStr">
        <is>
          <t>2018-05</t>
        </is>
      </c>
      <c r="D3172" t="inlineStr">
        <is>
          <t>22c29808c4f815213303f8933030604c</t>
        </is>
      </c>
      <c r="E3172" t="inlineStr">
        <is>
          <t>paid_search</t>
        </is>
      </c>
      <c r="F3172">
        <f>IFERROR(MATCH(A3172,Deals!$A$2:$A$843,0),"")</f>
        <v/>
      </c>
      <c r="G3172">
        <f>IF(F3172="",0,1)</f>
        <v/>
      </c>
      <c r="H3172" s="29">
        <f>IF(F3172="","",INDEX(Deals!$E$2:$E$843,F3172))</f>
        <v/>
      </c>
      <c r="I3172">
        <f>IF(F3172="","",INDEX(Deals!$D$2:$D$843,F3172))</f>
        <v/>
      </c>
      <c r="J3172">
        <f>IF(F3172="","",INT(H3172)-B3172)</f>
        <v/>
      </c>
      <c r="K3172">
        <f>IF(B3172&gt;=Settings!$C$5,1,0)</f>
        <v/>
      </c>
    </row>
    <row r="3173">
      <c r="A3173" t="inlineStr">
        <is>
          <t>145bce9926e5e1adbddd13d9ee519c3e</t>
        </is>
      </c>
      <c r="B3173" s="29" t="n">
        <v>43137</v>
      </c>
      <c r="C3173" t="inlineStr">
        <is>
          <t>2018-02</t>
        </is>
      </c>
      <c r="D3173" t="inlineStr">
        <is>
          <t>7fa6214d82e911d070f51ef79381b956</t>
        </is>
      </c>
      <c r="E3173" t="inlineStr">
        <is>
          <t>organic_search</t>
        </is>
      </c>
      <c r="F3173">
        <f>IFERROR(MATCH(A3173,Deals!$A$2:$A$843,0),"")</f>
        <v/>
      </c>
      <c r="G3173">
        <f>IF(F3173="",0,1)</f>
        <v/>
      </c>
      <c r="H3173" s="29">
        <f>IF(F3173="","",INDEX(Deals!$E$2:$E$843,F3173))</f>
        <v/>
      </c>
      <c r="I3173">
        <f>IF(F3173="","",INDEX(Deals!$D$2:$D$843,F3173))</f>
        <v/>
      </c>
      <c r="J3173">
        <f>IF(F3173="","",INT(H3173)-B3173)</f>
        <v/>
      </c>
      <c r="K3173">
        <f>IF(B3173&gt;=Settings!$C$5,1,0)</f>
        <v/>
      </c>
    </row>
    <row r="3174">
      <c r="A3174" t="inlineStr">
        <is>
          <t>5d64ea6bc3bf7929860190fe5159b5b3</t>
        </is>
      </c>
      <c r="B3174" s="29" t="n">
        <v>43137</v>
      </c>
      <c r="C3174" t="inlineStr">
        <is>
          <t>2018-02</t>
        </is>
      </c>
      <c r="D3174" t="inlineStr">
        <is>
          <t>caef563a428392ddc7807d2a529413b9</t>
        </is>
      </c>
      <c r="E3174" t="inlineStr">
        <is>
          <t>organic_search</t>
        </is>
      </c>
      <c r="F3174">
        <f>IFERROR(MATCH(A3174,Deals!$A$2:$A$843,0),"")</f>
        <v/>
      </c>
      <c r="G3174">
        <f>IF(F3174="",0,1)</f>
        <v/>
      </c>
      <c r="H3174" s="29">
        <f>IF(F3174="","",INDEX(Deals!$E$2:$E$843,F3174))</f>
        <v/>
      </c>
      <c r="I3174">
        <f>IF(F3174="","",INDEX(Deals!$D$2:$D$843,F3174))</f>
        <v/>
      </c>
      <c r="J3174">
        <f>IF(F3174="","",INT(H3174)-B3174)</f>
        <v/>
      </c>
      <c r="K3174">
        <f>IF(B3174&gt;=Settings!$C$5,1,0)</f>
        <v/>
      </c>
    </row>
    <row r="3175">
      <c r="A3175" t="inlineStr">
        <is>
          <t>4612cc4ffdf8a7dbd4174702b9b22afd</t>
        </is>
      </c>
      <c r="B3175" s="29" t="n">
        <v>42962</v>
      </c>
      <c r="C3175" t="inlineStr">
        <is>
          <t>2017-08</t>
        </is>
      </c>
      <c r="D3175" t="inlineStr">
        <is>
          <t>87732658ba41d8775e8577df347a64db</t>
        </is>
      </c>
      <c r="E3175" t="inlineStr">
        <is>
          <t>social</t>
        </is>
      </c>
      <c r="F3175">
        <f>IFERROR(MATCH(A3175,Deals!$A$2:$A$843,0),"")</f>
        <v/>
      </c>
      <c r="G3175">
        <f>IF(F3175="",0,1)</f>
        <v/>
      </c>
      <c r="H3175" s="29">
        <f>IF(F3175="","",INDEX(Deals!$E$2:$E$843,F3175))</f>
        <v/>
      </c>
      <c r="I3175">
        <f>IF(F3175="","",INDEX(Deals!$D$2:$D$843,F3175))</f>
        <v/>
      </c>
      <c r="J3175">
        <f>IF(F3175="","",INT(H3175)-B3175)</f>
        <v/>
      </c>
      <c r="K3175">
        <f>IF(B3175&gt;=Settings!$C$5,1,0)</f>
        <v/>
      </c>
    </row>
    <row r="3176">
      <c r="A3176" t="inlineStr">
        <is>
          <t>aa65c38536b38e859fdecdcea7335154</t>
        </is>
      </c>
      <c r="B3176" s="29" t="n">
        <v>43157</v>
      </c>
      <c r="C3176" t="inlineStr">
        <is>
          <t>2018-02</t>
        </is>
      </c>
      <c r="D3176" t="inlineStr">
        <is>
          <t>fbc24da54d531c6204ae2d17b1090bb1</t>
        </is>
      </c>
      <c r="E3176" t="inlineStr">
        <is>
          <t>paid_search</t>
        </is>
      </c>
      <c r="F3176">
        <f>IFERROR(MATCH(A3176,Deals!$A$2:$A$843,0),"")</f>
        <v/>
      </c>
      <c r="G3176">
        <f>IF(F3176="",0,1)</f>
        <v/>
      </c>
      <c r="H3176" s="29">
        <f>IF(F3176="","",INDEX(Deals!$E$2:$E$843,F3176))</f>
        <v/>
      </c>
      <c r="I3176">
        <f>IF(F3176="","",INDEX(Deals!$D$2:$D$843,F3176))</f>
        <v/>
      </c>
      <c r="J3176">
        <f>IF(F3176="","",INT(H3176)-B3176)</f>
        <v/>
      </c>
      <c r="K3176">
        <f>IF(B3176&gt;=Settings!$C$5,1,0)</f>
        <v/>
      </c>
    </row>
    <row r="3177">
      <c r="A3177" t="inlineStr">
        <is>
          <t>76d4ea939889f465fbd328c44cb0c3cd</t>
        </is>
      </c>
      <c r="B3177" s="29" t="n">
        <v>43228</v>
      </c>
      <c r="C3177" t="inlineStr">
        <is>
          <t>2018-05</t>
        </is>
      </c>
      <c r="D3177" t="inlineStr">
        <is>
          <t>82028478fef3ab881990e8d1fb24ba3a</t>
        </is>
      </c>
      <c r="E3177" t="inlineStr">
        <is>
          <t>email</t>
        </is>
      </c>
      <c r="F3177">
        <f>IFERROR(MATCH(A3177,Deals!$A$2:$A$843,0),"")</f>
        <v/>
      </c>
      <c r="G3177">
        <f>IF(F3177="",0,1)</f>
        <v/>
      </c>
      <c r="H3177" s="29">
        <f>IF(F3177="","",INDEX(Deals!$E$2:$E$843,F3177))</f>
        <v/>
      </c>
      <c r="I3177">
        <f>IF(F3177="","",INDEX(Deals!$D$2:$D$843,F3177))</f>
        <v/>
      </c>
      <c r="J3177">
        <f>IF(F3177="","",INT(H3177)-B3177)</f>
        <v/>
      </c>
      <c r="K3177">
        <f>IF(B3177&gt;=Settings!$C$5,1,0)</f>
        <v/>
      </c>
    </row>
    <row r="3178">
      <c r="A3178" t="inlineStr">
        <is>
          <t>d61e0dab436d2a75c7ec983d78c4a2cd</t>
        </is>
      </c>
      <c r="B3178" s="29" t="n">
        <v>42951</v>
      </c>
      <c r="C3178" t="inlineStr">
        <is>
          <t>2017-08</t>
        </is>
      </c>
      <c r="D3178" t="inlineStr">
        <is>
          <t>c555aa36478386fdf85a2d0ca5cd0ff8</t>
        </is>
      </c>
      <c r="E3178" t="inlineStr">
        <is>
          <t>direct_traffic</t>
        </is>
      </c>
      <c r="F3178">
        <f>IFERROR(MATCH(A3178,Deals!$A$2:$A$843,0),"")</f>
        <v/>
      </c>
      <c r="G3178">
        <f>IF(F3178="",0,1)</f>
        <v/>
      </c>
      <c r="H3178" s="29">
        <f>IF(F3178="","",INDEX(Deals!$E$2:$E$843,F3178))</f>
        <v/>
      </c>
      <c r="I3178">
        <f>IF(F3178="","",INDEX(Deals!$D$2:$D$843,F3178))</f>
        <v/>
      </c>
      <c r="J3178">
        <f>IF(F3178="","",INT(H3178)-B3178)</f>
        <v/>
      </c>
      <c r="K3178">
        <f>IF(B3178&gt;=Settings!$C$5,1,0)</f>
        <v/>
      </c>
    </row>
    <row r="3179">
      <c r="A3179" t="inlineStr">
        <is>
          <t>1d10712905e2faf91de6700424d443f6</t>
        </is>
      </c>
      <c r="B3179" s="29" t="n">
        <v>43018</v>
      </c>
      <c r="C3179" t="inlineStr">
        <is>
          <t>2017-10</t>
        </is>
      </c>
      <c r="D3179" t="inlineStr">
        <is>
          <t>1722481ac9e5371e5099dea226b5421d</t>
        </is>
      </c>
      <c r="E3179" t="inlineStr">
        <is>
          <t>organic_search</t>
        </is>
      </c>
      <c r="F3179">
        <f>IFERROR(MATCH(A3179,Deals!$A$2:$A$843,0),"")</f>
        <v/>
      </c>
      <c r="G3179">
        <f>IF(F3179="",0,1)</f>
        <v/>
      </c>
      <c r="H3179" s="29">
        <f>IF(F3179="","",INDEX(Deals!$E$2:$E$843,F3179))</f>
        <v/>
      </c>
      <c r="I3179">
        <f>IF(F3179="","",INDEX(Deals!$D$2:$D$843,F3179))</f>
        <v/>
      </c>
      <c r="J3179">
        <f>IF(F3179="","",INT(H3179)-B3179)</f>
        <v/>
      </c>
      <c r="K3179">
        <f>IF(B3179&gt;=Settings!$C$5,1,0)</f>
        <v/>
      </c>
    </row>
    <row r="3180">
      <c r="A3180" t="inlineStr">
        <is>
          <t>29330fd16af21aa9a9559c4450d329e2</t>
        </is>
      </c>
      <c r="B3180" s="29" t="n">
        <v>43238</v>
      </c>
      <c r="C3180" t="inlineStr">
        <is>
          <t>2018-05</t>
        </is>
      </c>
      <c r="D3180" t="inlineStr">
        <is>
          <t>15cf89bab2c3163b4f9d8601d108f8b2</t>
        </is>
      </c>
      <c r="E3180" t="inlineStr">
        <is>
          <t>organic_search</t>
        </is>
      </c>
      <c r="F3180">
        <f>IFERROR(MATCH(A3180,Deals!$A$2:$A$843,0),"")</f>
        <v/>
      </c>
      <c r="G3180">
        <f>IF(F3180="",0,1)</f>
        <v/>
      </c>
      <c r="H3180" s="29">
        <f>IF(F3180="","",INDEX(Deals!$E$2:$E$843,F3180))</f>
        <v/>
      </c>
      <c r="I3180">
        <f>IF(F3180="","",INDEX(Deals!$D$2:$D$843,F3180))</f>
        <v/>
      </c>
      <c r="J3180">
        <f>IF(F3180="","",INT(H3180)-B3180)</f>
        <v/>
      </c>
      <c r="K3180">
        <f>IF(B3180&gt;=Settings!$C$5,1,0)</f>
        <v/>
      </c>
    </row>
    <row r="3181">
      <c r="A3181" t="inlineStr">
        <is>
          <t>f7dd3d581240954722d463381dec2521</t>
        </is>
      </c>
      <c r="B3181" s="29" t="n">
        <v>43206</v>
      </c>
      <c r="C3181" t="inlineStr">
        <is>
          <t>2018-04</t>
        </is>
      </c>
      <c r="D3181" t="inlineStr">
        <is>
          <t>e534a08b23c682d94859d0ab860bd57a</t>
        </is>
      </c>
      <c r="E3181" t="inlineStr">
        <is>
          <t>paid_search</t>
        </is>
      </c>
      <c r="F3181">
        <f>IFERROR(MATCH(A3181,Deals!$A$2:$A$843,0),"")</f>
        <v/>
      </c>
      <c r="G3181">
        <f>IF(F3181="",0,1)</f>
        <v/>
      </c>
      <c r="H3181" s="29">
        <f>IF(F3181="","",INDEX(Deals!$E$2:$E$843,F3181))</f>
        <v/>
      </c>
      <c r="I3181">
        <f>IF(F3181="","",INDEX(Deals!$D$2:$D$843,F3181))</f>
        <v/>
      </c>
      <c r="J3181">
        <f>IF(F3181="","",INT(H3181)-B3181)</f>
        <v/>
      </c>
      <c r="K3181">
        <f>IF(B3181&gt;=Settings!$C$5,1,0)</f>
        <v/>
      </c>
    </row>
    <row r="3182">
      <c r="A3182" t="inlineStr">
        <is>
          <t>7a1eae3489145133fdd9dbd917810547</t>
        </is>
      </c>
      <c r="B3182" s="29" t="n">
        <v>42939</v>
      </c>
      <c r="C3182" t="inlineStr">
        <is>
          <t>2017-07</t>
        </is>
      </c>
      <c r="D3182" t="inlineStr">
        <is>
          <t>5ce25abc7206b8285aa756867eb2c590</t>
        </is>
      </c>
      <c r="E3182" t="inlineStr">
        <is>
          <t>display</t>
        </is>
      </c>
      <c r="F3182">
        <f>IFERROR(MATCH(A3182,Deals!$A$2:$A$843,0),"")</f>
        <v/>
      </c>
      <c r="G3182">
        <f>IF(F3182="",0,1)</f>
        <v/>
      </c>
      <c r="H3182" s="29">
        <f>IF(F3182="","",INDEX(Deals!$E$2:$E$843,F3182))</f>
        <v/>
      </c>
      <c r="I3182">
        <f>IF(F3182="","",INDEX(Deals!$D$2:$D$843,F3182))</f>
        <v/>
      </c>
      <c r="J3182">
        <f>IF(F3182="","",INT(H3182)-B3182)</f>
        <v/>
      </c>
      <c r="K3182">
        <f>IF(B3182&gt;=Settings!$C$5,1,0)</f>
        <v/>
      </c>
    </row>
    <row r="3183">
      <c r="A3183" t="inlineStr">
        <is>
          <t>e640e8d3c3f0f3ac92f3178396cbe044</t>
        </is>
      </c>
      <c r="B3183" s="29" t="n">
        <v>43229</v>
      </c>
      <c r="C3183" t="inlineStr">
        <is>
          <t>2018-05</t>
        </is>
      </c>
      <c r="D3183" t="inlineStr">
        <is>
          <t>e492ee5eaf1697716985cc6f33f9cd9b</t>
        </is>
      </c>
      <c r="E3183" t="inlineStr">
        <is>
          <t>email</t>
        </is>
      </c>
      <c r="F3183">
        <f>IFERROR(MATCH(A3183,Deals!$A$2:$A$843,0),"")</f>
        <v/>
      </c>
      <c r="G3183">
        <f>IF(F3183="",0,1)</f>
        <v/>
      </c>
      <c r="H3183" s="29">
        <f>IF(F3183="","",INDEX(Deals!$E$2:$E$843,F3183))</f>
        <v/>
      </c>
      <c r="I3183">
        <f>IF(F3183="","",INDEX(Deals!$D$2:$D$843,F3183))</f>
        <v/>
      </c>
      <c r="J3183">
        <f>IF(F3183="","",INT(H3183)-B3183)</f>
        <v/>
      </c>
      <c r="K3183">
        <f>IF(B3183&gt;=Settings!$C$5,1,0)</f>
        <v/>
      </c>
    </row>
    <row r="3184">
      <c r="A3184" t="inlineStr">
        <is>
          <t>498caf50e8859f04fb9cf7a4ae05a83a</t>
        </is>
      </c>
      <c r="B3184" s="29" t="n">
        <v>43224</v>
      </c>
      <c r="C3184" t="inlineStr">
        <is>
          <t>2018-05</t>
        </is>
      </c>
      <c r="D3184" t="inlineStr">
        <is>
          <t>30534107aa0013db92899c96a1017d0b</t>
        </is>
      </c>
      <c r="E3184" t="inlineStr">
        <is>
          <t>social</t>
        </is>
      </c>
      <c r="F3184">
        <f>IFERROR(MATCH(A3184,Deals!$A$2:$A$843,0),"")</f>
        <v/>
      </c>
      <c r="G3184">
        <f>IF(F3184="",0,1)</f>
        <v/>
      </c>
      <c r="H3184" s="29">
        <f>IF(F3184="","",INDEX(Deals!$E$2:$E$843,F3184))</f>
        <v/>
      </c>
      <c r="I3184">
        <f>IF(F3184="","",INDEX(Deals!$D$2:$D$843,F3184))</f>
        <v/>
      </c>
      <c r="J3184">
        <f>IF(F3184="","",INT(H3184)-B3184)</f>
        <v/>
      </c>
      <c r="K3184">
        <f>IF(B3184&gt;=Settings!$C$5,1,0)</f>
        <v/>
      </c>
    </row>
    <row r="3185">
      <c r="A3185" t="inlineStr">
        <is>
          <t>6c0edc37f0857f16a191369763104d33</t>
        </is>
      </c>
      <c r="B3185" s="29" t="n">
        <v>43184</v>
      </c>
      <c r="C3185" t="inlineStr">
        <is>
          <t>2018-03</t>
        </is>
      </c>
      <c r="D3185" t="inlineStr">
        <is>
          <t>b6885f18d203a61176418c1fb3764815</t>
        </is>
      </c>
      <c r="E3185" t="inlineStr">
        <is>
          <t>paid_search</t>
        </is>
      </c>
      <c r="F3185">
        <f>IFERROR(MATCH(A3185,Deals!$A$2:$A$843,0),"")</f>
        <v/>
      </c>
      <c r="G3185">
        <f>IF(F3185="",0,1)</f>
        <v/>
      </c>
      <c r="H3185" s="29">
        <f>IF(F3185="","",INDEX(Deals!$E$2:$E$843,F3185))</f>
        <v/>
      </c>
      <c r="I3185">
        <f>IF(F3185="","",INDEX(Deals!$D$2:$D$843,F3185))</f>
        <v/>
      </c>
      <c r="J3185">
        <f>IF(F3185="","",INT(H3185)-B3185)</f>
        <v/>
      </c>
      <c r="K3185">
        <f>IF(B3185&gt;=Settings!$C$5,1,0)</f>
        <v/>
      </c>
    </row>
    <row r="3186">
      <c r="A3186" t="inlineStr">
        <is>
          <t>2863298e1c75172824d2f5aa7517c899</t>
        </is>
      </c>
      <c r="B3186" s="29" t="n">
        <v>43170</v>
      </c>
      <c r="C3186" t="inlineStr">
        <is>
          <t>2018-03</t>
        </is>
      </c>
      <c r="D3186" t="inlineStr">
        <is>
          <t>22c29808c4f815213303f8933030604c</t>
        </is>
      </c>
      <c r="E3186" t="inlineStr">
        <is>
          <t>organic_search</t>
        </is>
      </c>
      <c r="F3186">
        <f>IFERROR(MATCH(A3186,Deals!$A$2:$A$843,0),"")</f>
        <v/>
      </c>
      <c r="G3186">
        <f>IF(F3186="",0,1)</f>
        <v/>
      </c>
      <c r="H3186" s="29">
        <f>IF(F3186="","",INDEX(Deals!$E$2:$E$843,F3186))</f>
        <v/>
      </c>
      <c r="I3186">
        <f>IF(F3186="","",INDEX(Deals!$D$2:$D$843,F3186))</f>
        <v/>
      </c>
      <c r="J3186">
        <f>IF(F3186="","",INT(H3186)-B3186)</f>
        <v/>
      </c>
      <c r="K3186">
        <f>IF(B3186&gt;=Settings!$C$5,1,0)</f>
        <v/>
      </c>
    </row>
    <row r="3187">
      <c r="A3187" t="inlineStr">
        <is>
          <t>021ff8a9becc2eff3b3ec40a10b397e6</t>
        </is>
      </c>
      <c r="B3187" s="29" t="n">
        <v>43130</v>
      </c>
      <c r="C3187" t="inlineStr">
        <is>
          <t>2018-01</t>
        </is>
      </c>
      <c r="D3187" t="inlineStr">
        <is>
          <t>909e333f8f23574f93115bd3d402e202</t>
        </is>
      </c>
      <c r="E3187" t="inlineStr">
        <is>
          <t>organic_search</t>
        </is>
      </c>
      <c r="F3187">
        <f>IFERROR(MATCH(A3187,Deals!$A$2:$A$843,0),"")</f>
        <v/>
      </c>
      <c r="G3187">
        <f>IF(F3187="",0,1)</f>
        <v/>
      </c>
      <c r="H3187" s="29">
        <f>IF(F3187="","",INDEX(Deals!$E$2:$E$843,F3187))</f>
        <v/>
      </c>
      <c r="I3187">
        <f>IF(F3187="","",INDEX(Deals!$D$2:$D$843,F3187))</f>
        <v/>
      </c>
      <c r="J3187">
        <f>IF(F3187="","",INT(H3187)-B3187)</f>
        <v/>
      </c>
      <c r="K3187">
        <f>IF(B3187&gt;=Settings!$C$5,1,0)</f>
        <v/>
      </c>
    </row>
    <row r="3188">
      <c r="A3188" t="inlineStr">
        <is>
          <t>04e28059dc3f7c648f544bf985f09e3a</t>
        </is>
      </c>
      <c r="B3188" s="29" t="n">
        <v>43192</v>
      </c>
      <c r="C3188" t="inlineStr">
        <is>
          <t>2018-04</t>
        </is>
      </c>
      <c r="D3188" t="inlineStr">
        <is>
          <t>87d670b00a8db612286ba8419cf82e83</t>
        </is>
      </c>
      <c r="E3188" t="inlineStr">
        <is>
          <t>paid_search</t>
        </is>
      </c>
      <c r="F3188">
        <f>IFERROR(MATCH(A3188,Deals!$A$2:$A$843,0),"")</f>
        <v/>
      </c>
      <c r="G3188">
        <f>IF(F3188="",0,1)</f>
        <v/>
      </c>
      <c r="H3188" s="29">
        <f>IF(F3188="","",INDEX(Deals!$E$2:$E$843,F3188))</f>
        <v/>
      </c>
      <c r="I3188">
        <f>IF(F3188="","",INDEX(Deals!$D$2:$D$843,F3188))</f>
        <v/>
      </c>
      <c r="J3188">
        <f>IF(F3188="","",INT(H3188)-B3188)</f>
        <v/>
      </c>
      <c r="K3188">
        <f>IF(B3188&gt;=Settings!$C$5,1,0)</f>
        <v/>
      </c>
    </row>
    <row r="3189">
      <c r="A3189" t="inlineStr">
        <is>
          <t>f20fd1e8deb34b1bc57a3146f2511eb2</t>
        </is>
      </c>
      <c r="B3189" s="29" t="n">
        <v>43034</v>
      </c>
      <c r="C3189" t="inlineStr">
        <is>
          <t>2017-10</t>
        </is>
      </c>
      <c r="D3189" t="inlineStr">
        <is>
          <t>5da54625ee0a9560dc9b9b9f6ccb03d0</t>
        </is>
      </c>
      <c r="E3189" t="inlineStr">
        <is>
          <t>organic_search</t>
        </is>
      </c>
      <c r="F3189">
        <f>IFERROR(MATCH(A3189,Deals!$A$2:$A$843,0),"")</f>
        <v/>
      </c>
      <c r="G3189">
        <f>IF(F3189="",0,1)</f>
        <v/>
      </c>
      <c r="H3189" s="29">
        <f>IF(F3189="","",INDEX(Deals!$E$2:$E$843,F3189))</f>
        <v/>
      </c>
      <c r="I3189">
        <f>IF(F3189="","",INDEX(Deals!$D$2:$D$843,F3189))</f>
        <v/>
      </c>
      <c r="J3189">
        <f>IF(F3189="","",INT(H3189)-B3189)</f>
        <v/>
      </c>
      <c r="K3189">
        <f>IF(B3189&gt;=Settings!$C$5,1,0)</f>
        <v/>
      </c>
    </row>
    <row r="3190">
      <c r="A3190" t="inlineStr">
        <is>
          <t>84ad88e9ffaeb60e8a2c83b6c108debd</t>
        </is>
      </c>
      <c r="B3190" s="29" t="n">
        <v>43224</v>
      </c>
      <c r="C3190" t="inlineStr">
        <is>
          <t>2018-05</t>
        </is>
      </c>
      <c r="D3190" t="inlineStr">
        <is>
          <t>b76ef37428e6799c421989521c0e5077</t>
        </is>
      </c>
      <c r="E3190" t="inlineStr">
        <is>
          <t>unknown</t>
        </is>
      </c>
      <c r="F3190">
        <f>IFERROR(MATCH(A3190,Deals!$A$2:$A$843,0),"")</f>
        <v/>
      </c>
      <c r="G3190">
        <f>IF(F3190="",0,1)</f>
        <v/>
      </c>
      <c r="H3190" s="29">
        <f>IF(F3190="","",INDEX(Deals!$E$2:$E$843,F3190))</f>
        <v/>
      </c>
      <c r="I3190">
        <f>IF(F3190="","",INDEX(Deals!$D$2:$D$843,F3190))</f>
        <v/>
      </c>
      <c r="J3190">
        <f>IF(F3190="","",INT(H3190)-B3190)</f>
        <v/>
      </c>
      <c r="K3190">
        <f>IF(B3190&gt;=Settings!$C$5,1,0)</f>
        <v/>
      </c>
    </row>
    <row r="3191">
      <c r="A3191" t="inlineStr">
        <is>
          <t>8488edf17e796d6b837dca8a46444721</t>
        </is>
      </c>
      <c r="B3191" s="29" t="n">
        <v>43249</v>
      </c>
      <c r="C3191" t="inlineStr">
        <is>
          <t>2018-05</t>
        </is>
      </c>
      <c r="D3191" t="inlineStr">
        <is>
          <t>58326e62183c14b0c03085c33b9fdc44</t>
        </is>
      </c>
      <c r="E3191" t="inlineStr">
        <is>
          <t>social</t>
        </is>
      </c>
      <c r="F3191">
        <f>IFERROR(MATCH(A3191,Deals!$A$2:$A$843,0),"")</f>
        <v/>
      </c>
      <c r="G3191">
        <f>IF(F3191="",0,1)</f>
        <v/>
      </c>
      <c r="H3191" s="29">
        <f>IF(F3191="","",INDEX(Deals!$E$2:$E$843,F3191))</f>
        <v/>
      </c>
      <c r="I3191">
        <f>IF(F3191="","",INDEX(Deals!$D$2:$D$843,F3191))</f>
        <v/>
      </c>
      <c r="J3191">
        <f>IF(F3191="","",INT(H3191)-B3191)</f>
        <v/>
      </c>
      <c r="K3191">
        <f>IF(B3191&gt;=Settings!$C$5,1,0)</f>
        <v/>
      </c>
    </row>
    <row r="3192">
      <c r="A3192" t="inlineStr">
        <is>
          <t>5290f86dffbdf4f7673878fe5a544535</t>
        </is>
      </c>
      <c r="B3192" s="29" t="n">
        <v>43244</v>
      </c>
      <c r="C3192" t="inlineStr">
        <is>
          <t>2018-05</t>
        </is>
      </c>
      <c r="D3192" t="inlineStr">
        <is>
          <t>35c9b150ab36fe584c1f24fd458c453a</t>
        </is>
      </c>
      <c r="E3192" t="inlineStr">
        <is>
          <t>paid_search</t>
        </is>
      </c>
      <c r="F3192">
        <f>IFERROR(MATCH(A3192,Deals!$A$2:$A$843,0),"")</f>
        <v/>
      </c>
      <c r="G3192">
        <f>IF(F3192="",0,1)</f>
        <v/>
      </c>
      <c r="H3192" s="29">
        <f>IF(F3192="","",INDEX(Deals!$E$2:$E$843,F3192))</f>
        <v/>
      </c>
      <c r="I3192">
        <f>IF(F3192="","",INDEX(Deals!$D$2:$D$843,F3192))</f>
        <v/>
      </c>
      <c r="J3192">
        <f>IF(F3192="","",INT(H3192)-B3192)</f>
        <v/>
      </c>
      <c r="K3192">
        <f>IF(B3192&gt;=Settings!$C$5,1,0)</f>
        <v/>
      </c>
    </row>
    <row r="3193">
      <c r="A3193" t="inlineStr">
        <is>
          <t>24227051b98de30e484412134e0d0e49</t>
        </is>
      </c>
      <c r="B3193" s="29" t="n">
        <v>43112</v>
      </c>
      <c r="C3193" t="inlineStr">
        <is>
          <t>2018-01</t>
        </is>
      </c>
      <c r="D3193" t="inlineStr">
        <is>
          <t>22c29808c4f815213303f8933030604c</t>
        </is>
      </c>
      <c r="E3193" t="inlineStr">
        <is>
          <t>organic_search</t>
        </is>
      </c>
      <c r="F3193">
        <f>IFERROR(MATCH(A3193,Deals!$A$2:$A$843,0),"")</f>
        <v/>
      </c>
      <c r="G3193">
        <f>IF(F3193="",0,1)</f>
        <v/>
      </c>
      <c r="H3193" s="29">
        <f>IF(F3193="","",INDEX(Deals!$E$2:$E$843,F3193))</f>
        <v/>
      </c>
      <c r="I3193">
        <f>IF(F3193="","",INDEX(Deals!$D$2:$D$843,F3193))</f>
        <v/>
      </c>
      <c r="J3193">
        <f>IF(F3193="","",INT(H3193)-B3193)</f>
        <v/>
      </c>
      <c r="K3193">
        <f>IF(B3193&gt;=Settings!$C$5,1,0)</f>
        <v/>
      </c>
    </row>
    <row r="3194">
      <c r="A3194" t="inlineStr">
        <is>
          <t>9d373d451beddb6c6a1134876433d259</t>
        </is>
      </c>
      <c r="B3194" s="29" t="n">
        <v>42961</v>
      </c>
      <c r="C3194" t="inlineStr">
        <is>
          <t>2017-08</t>
        </is>
      </c>
      <c r="D3194" t="inlineStr">
        <is>
          <t>ef0b482996664cc1107b9051efd3ca84</t>
        </is>
      </c>
      <c r="E3194" t="inlineStr">
        <is>
          <t>organic_search</t>
        </is>
      </c>
      <c r="F3194">
        <f>IFERROR(MATCH(A3194,Deals!$A$2:$A$843,0),"")</f>
        <v/>
      </c>
      <c r="G3194">
        <f>IF(F3194="",0,1)</f>
        <v/>
      </c>
      <c r="H3194" s="29">
        <f>IF(F3194="","",INDEX(Deals!$E$2:$E$843,F3194))</f>
        <v/>
      </c>
      <c r="I3194">
        <f>IF(F3194="","",INDEX(Deals!$D$2:$D$843,F3194))</f>
        <v/>
      </c>
      <c r="J3194">
        <f>IF(F3194="","",INT(H3194)-B3194)</f>
        <v/>
      </c>
      <c r="K3194">
        <f>IF(B3194&gt;=Settings!$C$5,1,0)</f>
        <v/>
      </c>
    </row>
    <row r="3195">
      <c r="A3195" t="inlineStr">
        <is>
          <t>6cb5686162b6b655404343ae77bd9348</t>
        </is>
      </c>
      <c r="B3195" s="29" t="n">
        <v>43058</v>
      </c>
      <c r="C3195" t="inlineStr">
        <is>
          <t>2017-11</t>
        </is>
      </c>
      <c r="D3195" t="inlineStr">
        <is>
          <t>64078d75b35c1df83ebde92c7babe9d4</t>
        </is>
      </c>
      <c r="E3195" t="inlineStr">
        <is>
          <t>display</t>
        </is>
      </c>
      <c r="F3195">
        <f>IFERROR(MATCH(A3195,Deals!$A$2:$A$843,0),"")</f>
        <v/>
      </c>
      <c r="G3195">
        <f>IF(F3195="",0,1)</f>
        <v/>
      </c>
      <c r="H3195" s="29">
        <f>IF(F3195="","",INDEX(Deals!$E$2:$E$843,F3195))</f>
        <v/>
      </c>
      <c r="I3195">
        <f>IF(F3195="","",INDEX(Deals!$D$2:$D$843,F3195))</f>
        <v/>
      </c>
      <c r="J3195">
        <f>IF(F3195="","",INT(H3195)-B3195)</f>
        <v/>
      </c>
      <c r="K3195">
        <f>IF(B3195&gt;=Settings!$C$5,1,0)</f>
        <v/>
      </c>
    </row>
    <row r="3196">
      <c r="A3196" t="inlineStr">
        <is>
          <t>f5680c1280b1c59b6bf77b0f5b3d92d6</t>
        </is>
      </c>
      <c r="B3196" s="29" t="n">
        <v>42977</v>
      </c>
      <c r="C3196" t="inlineStr">
        <is>
          <t>2017-08</t>
        </is>
      </c>
      <c r="D3196" t="inlineStr">
        <is>
          <t>b76ef37428e6799c421989521c0e5077</t>
        </is>
      </c>
      <c r="E3196" t="inlineStr">
        <is>
          <t>unknown</t>
        </is>
      </c>
      <c r="F3196">
        <f>IFERROR(MATCH(A3196,Deals!$A$2:$A$843,0),"")</f>
        <v/>
      </c>
      <c r="G3196">
        <f>IF(F3196="",0,1)</f>
        <v/>
      </c>
      <c r="H3196" s="29">
        <f>IF(F3196="","",INDEX(Deals!$E$2:$E$843,F3196))</f>
        <v/>
      </c>
      <c r="I3196">
        <f>IF(F3196="","",INDEX(Deals!$D$2:$D$843,F3196))</f>
        <v/>
      </c>
      <c r="J3196">
        <f>IF(F3196="","",INT(H3196)-B3196)</f>
        <v/>
      </c>
      <c r="K3196">
        <f>IF(B3196&gt;=Settings!$C$5,1,0)</f>
        <v/>
      </c>
    </row>
    <row r="3197">
      <c r="A3197" t="inlineStr">
        <is>
          <t>e29db7c8b090e8df0246f5a54cd72799</t>
        </is>
      </c>
      <c r="B3197" s="29" t="n">
        <v>43112</v>
      </c>
      <c r="C3197" t="inlineStr">
        <is>
          <t>2018-01</t>
        </is>
      </c>
      <c r="D3197" t="inlineStr">
        <is>
          <t>fbc24da54d531c6204ae2d17b1090bb1</t>
        </is>
      </c>
      <c r="E3197" t="inlineStr">
        <is>
          <t>paid_search</t>
        </is>
      </c>
      <c r="F3197">
        <f>IFERROR(MATCH(A3197,Deals!$A$2:$A$843,0),"")</f>
        <v/>
      </c>
      <c r="G3197">
        <f>IF(F3197="",0,1)</f>
        <v/>
      </c>
      <c r="H3197" s="29">
        <f>IF(F3197="","",INDEX(Deals!$E$2:$E$843,F3197))</f>
        <v/>
      </c>
      <c r="I3197">
        <f>IF(F3197="","",INDEX(Deals!$D$2:$D$843,F3197))</f>
        <v/>
      </c>
      <c r="J3197">
        <f>IF(F3197="","",INT(H3197)-B3197)</f>
        <v/>
      </c>
      <c r="K3197">
        <f>IF(B3197&gt;=Settings!$C$5,1,0)</f>
        <v/>
      </c>
    </row>
    <row r="3198">
      <c r="A3198" t="inlineStr">
        <is>
          <t>b2af41773def6795ea05e138b3007d75</t>
        </is>
      </c>
      <c r="B3198" s="29" t="n">
        <v>43102</v>
      </c>
      <c r="C3198" t="inlineStr">
        <is>
          <t>2018-01</t>
        </is>
      </c>
      <c r="D3198" t="inlineStr">
        <is>
          <t>88740e65d5d6b056e0cda098e1ea6313</t>
        </is>
      </c>
      <c r="E3198" t="inlineStr">
        <is>
          <t>social</t>
        </is>
      </c>
      <c r="F3198">
        <f>IFERROR(MATCH(A3198,Deals!$A$2:$A$843,0),"")</f>
        <v/>
      </c>
      <c r="G3198">
        <f>IF(F3198="",0,1)</f>
        <v/>
      </c>
      <c r="H3198" s="29">
        <f>IF(F3198="","",INDEX(Deals!$E$2:$E$843,F3198))</f>
        <v/>
      </c>
      <c r="I3198">
        <f>IF(F3198="","",INDEX(Deals!$D$2:$D$843,F3198))</f>
        <v/>
      </c>
      <c r="J3198">
        <f>IF(F3198="","",INT(H3198)-B3198)</f>
        <v/>
      </c>
      <c r="K3198">
        <f>IF(B3198&gt;=Settings!$C$5,1,0)</f>
        <v/>
      </c>
    </row>
    <row r="3199">
      <c r="A3199" t="inlineStr">
        <is>
          <t>eec15c43f6e3cf156e3649f930c89a14</t>
        </is>
      </c>
      <c r="B3199" s="29" t="n">
        <v>43163</v>
      </c>
      <c r="C3199" t="inlineStr">
        <is>
          <t>2018-03</t>
        </is>
      </c>
      <c r="D3199" t="inlineStr">
        <is>
          <t>88740e65d5d6b056e0cda098e1ea6313</t>
        </is>
      </c>
      <c r="E3199" t="inlineStr">
        <is>
          <t>social</t>
        </is>
      </c>
      <c r="F3199">
        <f>IFERROR(MATCH(A3199,Deals!$A$2:$A$843,0),"")</f>
        <v/>
      </c>
      <c r="G3199">
        <f>IF(F3199="",0,1)</f>
        <v/>
      </c>
      <c r="H3199" s="29">
        <f>IF(F3199="","",INDEX(Deals!$E$2:$E$843,F3199))</f>
        <v/>
      </c>
      <c r="I3199">
        <f>IF(F3199="","",INDEX(Deals!$D$2:$D$843,F3199))</f>
        <v/>
      </c>
      <c r="J3199">
        <f>IF(F3199="","",INT(H3199)-B3199)</f>
        <v/>
      </c>
      <c r="K3199">
        <f>IF(B3199&gt;=Settings!$C$5,1,0)</f>
        <v/>
      </c>
    </row>
    <row r="3200">
      <c r="A3200" t="inlineStr">
        <is>
          <t>1d44a1f32c916debdadfa721ebbd864d</t>
        </is>
      </c>
      <c r="B3200" s="29" t="n">
        <v>43053</v>
      </c>
      <c r="C3200" t="inlineStr">
        <is>
          <t>2017-11</t>
        </is>
      </c>
      <c r="D3200" t="inlineStr">
        <is>
          <t>ee3c3bad6ed3eb9d5de56688d1f9c91b</t>
        </is>
      </c>
      <c r="E3200" t="inlineStr">
        <is>
          <t>email</t>
        </is>
      </c>
      <c r="F3200">
        <f>IFERROR(MATCH(A3200,Deals!$A$2:$A$843,0),"")</f>
        <v/>
      </c>
      <c r="G3200">
        <f>IF(F3200="",0,1)</f>
        <v/>
      </c>
      <c r="H3200" s="29">
        <f>IF(F3200="","",INDEX(Deals!$E$2:$E$843,F3200))</f>
        <v/>
      </c>
      <c r="I3200">
        <f>IF(F3200="","",INDEX(Deals!$D$2:$D$843,F3200))</f>
        <v/>
      </c>
      <c r="J3200">
        <f>IF(F3200="","",INT(H3200)-B3200)</f>
        <v/>
      </c>
      <c r="K3200">
        <f>IF(B3200&gt;=Settings!$C$5,1,0)</f>
        <v/>
      </c>
    </row>
    <row r="3201">
      <c r="A3201" t="inlineStr">
        <is>
          <t>f0d5043436652b087d15406b9239cc19</t>
        </is>
      </c>
      <c r="B3201" s="29" t="n">
        <v>43037</v>
      </c>
      <c r="C3201" t="inlineStr">
        <is>
          <t>2017-10</t>
        </is>
      </c>
      <c r="D3201" t="inlineStr">
        <is>
          <t>f017be4dbf86243af5c1ebed0cff36a2</t>
        </is>
      </c>
      <c r="E3201" t="inlineStr">
        <is>
          <t>paid_search</t>
        </is>
      </c>
      <c r="F3201">
        <f>IFERROR(MATCH(A3201,Deals!$A$2:$A$843,0),"")</f>
        <v/>
      </c>
      <c r="G3201">
        <f>IF(F3201="",0,1)</f>
        <v/>
      </c>
      <c r="H3201" s="29">
        <f>IF(F3201="","",INDEX(Deals!$E$2:$E$843,F3201))</f>
        <v/>
      </c>
      <c r="I3201">
        <f>IF(F3201="","",INDEX(Deals!$D$2:$D$843,F3201))</f>
        <v/>
      </c>
      <c r="J3201">
        <f>IF(F3201="","",INT(H3201)-B3201)</f>
        <v/>
      </c>
      <c r="K3201">
        <f>IF(B3201&gt;=Settings!$C$5,1,0)</f>
        <v/>
      </c>
    </row>
    <row r="3202">
      <c r="A3202" t="inlineStr">
        <is>
          <t>6ad68e971f818c8b3c5c9d5fda523810</t>
        </is>
      </c>
      <c r="B3202" s="29" t="n">
        <v>43234</v>
      </c>
      <c r="C3202" t="inlineStr">
        <is>
          <t>2018-05</t>
        </is>
      </c>
      <c r="D3202" t="inlineStr">
        <is>
          <t>ce1a65abd0973638f1c887a6efcfa82d</t>
        </is>
      </c>
      <c r="E3202" t="inlineStr">
        <is>
          <t>referral</t>
        </is>
      </c>
      <c r="F3202">
        <f>IFERROR(MATCH(A3202,Deals!$A$2:$A$843,0),"")</f>
        <v/>
      </c>
      <c r="G3202">
        <f>IF(F3202="",0,1)</f>
        <v/>
      </c>
      <c r="H3202" s="29">
        <f>IF(F3202="","",INDEX(Deals!$E$2:$E$843,F3202))</f>
        <v/>
      </c>
      <c r="I3202">
        <f>IF(F3202="","",INDEX(Deals!$D$2:$D$843,F3202))</f>
        <v/>
      </c>
      <c r="J3202">
        <f>IF(F3202="","",INT(H3202)-B3202)</f>
        <v/>
      </c>
      <c r="K3202">
        <f>IF(B3202&gt;=Settings!$C$5,1,0)</f>
        <v/>
      </c>
    </row>
    <row r="3203">
      <c r="A3203" t="inlineStr">
        <is>
          <t>5290b66ff9e0c1115614365d8e20f10c</t>
        </is>
      </c>
      <c r="B3203" s="29" t="n">
        <v>43174</v>
      </c>
      <c r="C3203" t="inlineStr">
        <is>
          <t>2018-03</t>
        </is>
      </c>
      <c r="D3203" t="inlineStr">
        <is>
          <t>330b9d44078a1ae5a221d655dcb77afa</t>
        </is>
      </c>
      <c r="E3203" t="inlineStr">
        <is>
          <t>(missing)</t>
        </is>
      </c>
      <c r="F3203">
        <f>IFERROR(MATCH(A3203,Deals!$A$2:$A$843,0),"")</f>
        <v/>
      </c>
      <c r="G3203">
        <f>IF(F3203="",0,1)</f>
        <v/>
      </c>
      <c r="H3203" s="29">
        <f>IF(F3203="","",INDEX(Deals!$E$2:$E$843,F3203))</f>
        <v/>
      </c>
      <c r="I3203">
        <f>IF(F3203="","",INDEX(Deals!$D$2:$D$843,F3203))</f>
        <v/>
      </c>
      <c r="J3203">
        <f>IF(F3203="","",INT(H3203)-B3203)</f>
        <v/>
      </c>
      <c r="K3203">
        <f>IF(B3203&gt;=Settings!$C$5,1,0)</f>
        <v/>
      </c>
    </row>
    <row r="3204">
      <c r="A3204" t="inlineStr">
        <is>
          <t>1aa49d5029bedbd82075fc78ff26b05d</t>
        </is>
      </c>
      <c r="B3204" s="29" t="n">
        <v>43211</v>
      </c>
      <c r="C3204" t="inlineStr">
        <is>
          <t>2018-04</t>
        </is>
      </c>
      <c r="D3204" t="inlineStr">
        <is>
          <t>58326e62183c14b0c03085c33b9fdc44</t>
        </is>
      </c>
      <c r="E3204" t="inlineStr">
        <is>
          <t>social</t>
        </is>
      </c>
      <c r="F3204">
        <f>IFERROR(MATCH(A3204,Deals!$A$2:$A$843,0),"")</f>
        <v/>
      </c>
      <c r="G3204">
        <f>IF(F3204="",0,1)</f>
        <v/>
      </c>
      <c r="H3204" s="29">
        <f>IF(F3204="","",INDEX(Deals!$E$2:$E$843,F3204))</f>
        <v/>
      </c>
      <c r="I3204">
        <f>IF(F3204="","",INDEX(Deals!$D$2:$D$843,F3204))</f>
        <v/>
      </c>
      <c r="J3204">
        <f>IF(F3204="","",INT(H3204)-B3204)</f>
        <v/>
      </c>
      <c r="K3204">
        <f>IF(B3204&gt;=Settings!$C$5,1,0)</f>
        <v/>
      </c>
    </row>
    <row r="3205">
      <c r="A3205" t="inlineStr">
        <is>
          <t>93a48d54d1f8518e199d496b5fa77ad8</t>
        </is>
      </c>
      <c r="B3205" s="29" t="n">
        <v>43192</v>
      </c>
      <c r="C3205" t="inlineStr">
        <is>
          <t>2018-04</t>
        </is>
      </c>
      <c r="D3205" t="inlineStr">
        <is>
          <t>b76ef37428e6799c421989521c0e5077</t>
        </is>
      </c>
      <c r="E3205" t="inlineStr">
        <is>
          <t>unknown</t>
        </is>
      </c>
      <c r="F3205">
        <f>IFERROR(MATCH(A3205,Deals!$A$2:$A$843,0),"")</f>
        <v/>
      </c>
      <c r="G3205">
        <f>IF(F3205="",0,1)</f>
        <v/>
      </c>
      <c r="H3205" s="29">
        <f>IF(F3205="","",INDEX(Deals!$E$2:$E$843,F3205))</f>
        <v/>
      </c>
      <c r="I3205">
        <f>IF(F3205="","",INDEX(Deals!$D$2:$D$843,F3205))</f>
        <v/>
      </c>
      <c r="J3205">
        <f>IF(F3205="","",INT(H3205)-B3205)</f>
        <v/>
      </c>
      <c r="K3205">
        <f>IF(B3205&gt;=Settings!$C$5,1,0)</f>
        <v/>
      </c>
    </row>
    <row r="3206">
      <c r="A3206" t="inlineStr">
        <is>
          <t>69acd488f0b7effcaf18a4ce85defc85</t>
        </is>
      </c>
      <c r="B3206" s="29" t="n">
        <v>43167</v>
      </c>
      <c r="C3206" t="inlineStr">
        <is>
          <t>2018-03</t>
        </is>
      </c>
      <c r="D3206" t="inlineStr">
        <is>
          <t>b6885f18d203a61176418c1fb3764815</t>
        </is>
      </c>
      <c r="E3206" t="inlineStr">
        <is>
          <t>organic_search</t>
        </is>
      </c>
      <c r="F3206">
        <f>IFERROR(MATCH(A3206,Deals!$A$2:$A$843,0),"")</f>
        <v/>
      </c>
      <c r="G3206">
        <f>IF(F3206="",0,1)</f>
        <v/>
      </c>
      <c r="H3206" s="29">
        <f>IF(F3206="","",INDEX(Deals!$E$2:$E$843,F3206))</f>
        <v/>
      </c>
      <c r="I3206">
        <f>IF(F3206="","",INDEX(Deals!$D$2:$D$843,F3206))</f>
        <v/>
      </c>
      <c r="J3206">
        <f>IF(F3206="","",INT(H3206)-B3206)</f>
        <v/>
      </c>
      <c r="K3206">
        <f>IF(B3206&gt;=Settings!$C$5,1,0)</f>
        <v/>
      </c>
    </row>
    <row r="3207">
      <c r="A3207" t="inlineStr">
        <is>
          <t>282f81a0f102e8a41ac1e5b476779847</t>
        </is>
      </c>
      <c r="B3207" s="29" t="n">
        <v>43202</v>
      </c>
      <c r="C3207" t="inlineStr">
        <is>
          <t>2018-04</t>
        </is>
      </c>
      <c r="D3207" t="inlineStr">
        <is>
          <t>58326e62183c14b0c03085c33b9fdc44</t>
        </is>
      </c>
      <c r="E3207" t="inlineStr">
        <is>
          <t>social</t>
        </is>
      </c>
      <c r="F3207">
        <f>IFERROR(MATCH(A3207,Deals!$A$2:$A$843,0),"")</f>
        <v/>
      </c>
      <c r="G3207">
        <f>IF(F3207="",0,1)</f>
        <v/>
      </c>
      <c r="H3207" s="29">
        <f>IF(F3207="","",INDEX(Deals!$E$2:$E$843,F3207))</f>
        <v/>
      </c>
      <c r="I3207">
        <f>IF(F3207="","",INDEX(Deals!$D$2:$D$843,F3207))</f>
        <v/>
      </c>
      <c r="J3207">
        <f>IF(F3207="","",INT(H3207)-B3207)</f>
        <v/>
      </c>
      <c r="K3207">
        <f>IF(B3207&gt;=Settings!$C$5,1,0)</f>
        <v/>
      </c>
    </row>
    <row r="3208">
      <c r="A3208" t="inlineStr">
        <is>
          <t>2ade688b34d8b8adbb769b79e4fee500</t>
        </is>
      </c>
      <c r="B3208" s="29" t="n">
        <v>43222</v>
      </c>
      <c r="C3208" t="inlineStr">
        <is>
          <t>2018-05</t>
        </is>
      </c>
      <c r="D3208" t="inlineStr">
        <is>
          <t>ce1a65abd0973638f1c887a6efcfa82d</t>
        </is>
      </c>
      <c r="E3208" t="inlineStr">
        <is>
          <t>paid_search</t>
        </is>
      </c>
      <c r="F3208">
        <f>IFERROR(MATCH(A3208,Deals!$A$2:$A$843,0),"")</f>
        <v/>
      </c>
      <c r="G3208">
        <f>IF(F3208="",0,1)</f>
        <v/>
      </c>
      <c r="H3208" s="29">
        <f>IF(F3208="","",INDEX(Deals!$E$2:$E$843,F3208))</f>
        <v/>
      </c>
      <c r="I3208">
        <f>IF(F3208="","",INDEX(Deals!$D$2:$D$843,F3208))</f>
        <v/>
      </c>
      <c r="J3208">
        <f>IF(F3208="","",INT(H3208)-B3208)</f>
        <v/>
      </c>
      <c r="K3208">
        <f>IF(B3208&gt;=Settings!$C$5,1,0)</f>
        <v/>
      </c>
    </row>
    <row r="3209">
      <c r="A3209" t="inlineStr">
        <is>
          <t>b145d383541b505a53c5715a21385f80</t>
        </is>
      </c>
      <c r="B3209" s="29" t="n">
        <v>43200</v>
      </c>
      <c r="C3209" t="inlineStr">
        <is>
          <t>2018-04</t>
        </is>
      </c>
      <c r="D3209" t="inlineStr">
        <is>
          <t>908dad5b22342480f5cc055b8dd55e7e</t>
        </is>
      </c>
      <c r="E3209" t="inlineStr">
        <is>
          <t>referral</t>
        </is>
      </c>
      <c r="F3209">
        <f>IFERROR(MATCH(A3209,Deals!$A$2:$A$843,0),"")</f>
        <v/>
      </c>
      <c r="G3209">
        <f>IF(F3209="",0,1)</f>
        <v/>
      </c>
      <c r="H3209" s="29">
        <f>IF(F3209="","",INDEX(Deals!$E$2:$E$843,F3209))</f>
        <v/>
      </c>
      <c r="I3209">
        <f>IF(F3209="","",INDEX(Deals!$D$2:$D$843,F3209))</f>
        <v/>
      </c>
      <c r="J3209">
        <f>IF(F3209="","",INT(H3209)-B3209)</f>
        <v/>
      </c>
      <c r="K3209">
        <f>IF(B3209&gt;=Settings!$C$5,1,0)</f>
        <v/>
      </c>
    </row>
    <row r="3210">
      <c r="A3210" t="inlineStr">
        <is>
          <t>b31ff1b3c9984c63863cd293c9e2d5aa</t>
        </is>
      </c>
      <c r="B3210" s="29" t="n">
        <v>43032</v>
      </c>
      <c r="C3210" t="inlineStr">
        <is>
          <t>2017-10</t>
        </is>
      </c>
      <c r="D3210" t="inlineStr">
        <is>
          <t>82ce7345d29d3003d376f9382fc0eba0</t>
        </is>
      </c>
      <c r="E3210" t="inlineStr">
        <is>
          <t>paid_search</t>
        </is>
      </c>
      <c r="F3210">
        <f>IFERROR(MATCH(A3210,Deals!$A$2:$A$843,0),"")</f>
        <v/>
      </c>
      <c r="G3210">
        <f>IF(F3210="",0,1)</f>
        <v/>
      </c>
      <c r="H3210" s="29">
        <f>IF(F3210="","",INDEX(Deals!$E$2:$E$843,F3210))</f>
        <v/>
      </c>
      <c r="I3210">
        <f>IF(F3210="","",INDEX(Deals!$D$2:$D$843,F3210))</f>
        <v/>
      </c>
      <c r="J3210">
        <f>IF(F3210="","",INT(H3210)-B3210)</f>
        <v/>
      </c>
      <c r="K3210">
        <f>IF(B3210&gt;=Settings!$C$5,1,0)</f>
        <v/>
      </c>
    </row>
    <row r="3211">
      <c r="A3211" t="inlineStr">
        <is>
          <t>bd2ecba368839b7447db9829ba015e98</t>
        </is>
      </c>
      <c r="B3211" s="29" t="n">
        <v>43168</v>
      </c>
      <c r="C3211" t="inlineStr">
        <is>
          <t>2018-03</t>
        </is>
      </c>
      <c r="D3211" t="inlineStr">
        <is>
          <t>40dec9f3d5259a3d2dbcdab2114fae47</t>
        </is>
      </c>
      <c r="E3211" t="inlineStr">
        <is>
          <t>organic_search</t>
        </is>
      </c>
      <c r="F3211">
        <f>IFERROR(MATCH(A3211,Deals!$A$2:$A$843,0),"")</f>
        <v/>
      </c>
      <c r="G3211">
        <f>IF(F3211="",0,1)</f>
        <v/>
      </c>
      <c r="H3211" s="29">
        <f>IF(F3211="","",INDEX(Deals!$E$2:$E$843,F3211))</f>
        <v/>
      </c>
      <c r="I3211">
        <f>IF(F3211="","",INDEX(Deals!$D$2:$D$843,F3211))</f>
        <v/>
      </c>
      <c r="J3211">
        <f>IF(F3211="","",INT(H3211)-B3211)</f>
        <v/>
      </c>
      <c r="K3211">
        <f>IF(B3211&gt;=Settings!$C$5,1,0)</f>
        <v/>
      </c>
    </row>
    <row r="3212">
      <c r="A3212" t="inlineStr">
        <is>
          <t>834119d8cd999e0d70abd1bcabb627ad</t>
        </is>
      </c>
      <c r="B3212" s="29" t="n">
        <v>43136</v>
      </c>
      <c r="C3212" t="inlineStr">
        <is>
          <t>2018-02</t>
        </is>
      </c>
      <c r="D3212" t="inlineStr">
        <is>
          <t>b76ef37428e6799c421989521c0e5077</t>
        </is>
      </c>
      <c r="E3212" t="inlineStr">
        <is>
          <t>unknown</t>
        </is>
      </c>
      <c r="F3212">
        <f>IFERROR(MATCH(A3212,Deals!$A$2:$A$843,0),"")</f>
        <v/>
      </c>
      <c r="G3212">
        <f>IF(F3212="",0,1)</f>
        <v/>
      </c>
      <c r="H3212" s="29">
        <f>IF(F3212="","",INDEX(Deals!$E$2:$E$843,F3212))</f>
        <v/>
      </c>
      <c r="I3212">
        <f>IF(F3212="","",INDEX(Deals!$D$2:$D$843,F3212))</f>
        <v/>
      </c>
      <c r="J3212">
        <f>IF(F3212="","",INT(H3212)-B3212)</f>
        <v/>
      </c>
      <c r="K3212">
        <f>IF(B3212&gt;=Settings!$C$5,1,0)</f>
        <v/>
      </c>
    </row>
    <row r="3213">
      <c r="A3213" t="inlineStr">
        <is>
          <t>5fb2730cdffd7a73d54cf688412dfca6</t>
        </is>
      </c>
      <c r="B3213" s="29" t="n">
        <v>43175</v>
      </c>
      <c r="C3213" t="inlineStr">
        <is>
          <t>2018-03</t>
        </is>
      </c>
      <c r="D3213" t="inlineStr">
        <is>
          <t>c35447dcd1a50b2e2ee3184be602b597</t>
        </is>
      </c>
      <c r="E3213" t="inlineStr">
        <is>
          <t>social</t>
        </is>
      </c>
      <c r="F3213">
        <f>IFERROR(MATCH(A3213,Deals!$A$2:$A$843,0),"")</f>
        <v/>
      </c>
      <c r="G3213">
        <f>IF(F3213="",0,1)</f>
        <v/>
      </c>
      <c r="H3213" s="29">
        <f>IF(F3213="","",INDEX(Deals!$E$2:$E$843,F3213))</f>
        <v/>
      </c>
      <c r="I3213">
        <f>IF(F3213="","",INDEX(Deals!$D$2:$D$843,F3213))</f>
        <v/>
      </c>
      <c r="J3213">
        <f>IF(F3213="","",INT(H3213)-B3213)</f>
        <v/>
      </c>
      <c r="K3213">
        <f>IF(B3213&gt;=Settings!$C$5,1,0)</f>
        <v/>
      </c>
    </row>
    <row r="3214">
      <c r="A3214" t="inlineStr">
        <is>
          <t>0cc7e7127f06bb7859605796888358f7</t>
        </is>
      </c>
      <c r="B3214" s="29" t="n">
        <v>43197</v>
      </c>
      <c r="C3214" t="inlineStr">
        <is>
          <t>2018-04</t>
        </is>
      </c>
      <c r="D3214" t="inlineStr">
        <is>
          <t>58326e62183c14b0c03085c33b9fdc44</t>
        </is>
      </c>
      <c r="E3214" t="inlineStr">
        <is>
          <t>social</t>
        </is>
      </c>
      <c r="F3214">
        <f>IFERROR(MATCH(A3214,Deals!$A$2:$A$843,0),"")</f>
        <v/>
      </c>
      <c r="G3214">
        <f>IF(F3214="",0,1)</f>
        <v/>
      </c>
      <c r="H3214" s="29">
        <f>IF(F3214="","",INDEX(Deals!$E$2:$E$843,F3214))</f>
        <v/>
      </c>
      <c r="I3214">
        <f>IF(F3214="","",INDEX(Deals!$D$2:$D$843,F3214))</f>
        <v/>
      </c>
      <c r="J3214">
        <f>IF(F3214="","",INT(H3214)-B3214)</f>
        <v/>
      </c>
      <c r="K3214">
        <f>IF(B3214&gt;=Settings!$C$5,1,0)</f>
        <v/>
      </c>
    </row>
    <row r="3215">
      <c r="A3215" t="inlineStr">
        <is>
          <t>378af5b044618d15ad01cc0c8e370ff8</t>
        </is>
      </c>
      <c r="B3215" s="29" t="n">
        <v>43166</v>
      </c>
      <c r="C3215" t="inlineStr">
        <is>
          <t>2018-03</t>
        </is>
      </c>
      <c r="D3215" t="inlineStr">
        <is>
          <t>da14b7e2eb0d1eecf65abbd05a31c87d</t>
        </is>
      </c>
      <c r="E3215" t="inlineStr">
        <is>
          <t>social</t>
        </is>
      </c>
      <c r="F3215">
        <f>IFERROR(MATCH(A3215,Deals!$A$2:$A$843,0),"")</f>
        <v/>
      </c>
      <c r="G3215">
        <f>IF(F3215="",0,1)</f>
        <v/>
      </c>
      <c r="H3215" s="29">
        <f>IF(F3215="","",INDEX(Deals!$E$2:$E$843,F3215))</f>
        <v/>
      </c>
      <c r="I3215">
        <f>IF(F3215="","",INDEX(Deals!$D$2:$D$843,F3215))</f>
        <v/>
      </c>
      <c r="J3215">
        <f>IF(F3215="","",INT(H3215)-B3215)</f>
        <v/>
      </c>
      <c r="K3215">
        <f>IF(B3215&gt;=Settings!$C$5,1,0)</f>
        <v/>
      </c>
    </row>
    <row r="3216">
      <c r="A3216" t="inlineStr">
        <is>
          <t>d6a5ec16b128a7d93cbfda57a757537a</t>
        </is>
      </c>
      <c r="B3216" s="29" t="n">
        <v>43104</v>
      </c>
      <c r="C3216" t="inlineStr">
        <is>
          <t>2018-01</t>
        </is>
      </c>
      <c r="D3216" t="inlineStr">
        <is>
          <t>88740e65d5d6b056e0cda098e1ea6313</t>
        </is>
      </c>
      <c r="E3216" t="inlineStr">
        <is>
          <t>social</t>
        </is>
      </c>
      <c r="F3216">
        <f>IFERROR(MATCH(A3216,Deals!$A$2:$A$843,0),"")</f>
        <v/>
      </c>
      <c r="G3216">
        <f>IF(F3216="",0,1)</f>
        <v/>
      </c>
      <c r="H3216" s="29">
        <f>IF(F3216="","",INDEX(Deals!$E$2:$E$843,F3216))</f>
        <v/>
      </c>
      <c r="I3216">
        <f>IF(F3216="","",INDEX(Deals!$D$2:$D$843,F3216))</f>
        <v/>
      </c>
      <c r="J3216">
        <f>IF(F3216="","",INT(H3216)-B3216)</f>
        <v/>
      </c>
      <c r="K3216">
        <f>IF(B3216&gt;=Settings!$C$5,1,0)</f>
        <v/>
      </c>
    </row>
    <row r="3217">
      <c r="A3217" t="inlineStr">
        <is>
          <t>1d4c5efdd9d1039574051c55a39b21f7</t>
        </is>
      </c>
      <c r="B3217" s="29" t="n">
        <v>43059</v>
      </c>
      <c r="C3217" t="inlineStr">
        <is>
          <t>2017-11</t>
        </is>
      </c>
      <c r="D3217" t="inlineStr">
        <is>
          <t>7fa6214d82e911d070f51ef79381b956</t>
        </is>
      </c>
      <c r="E3217" t="inlineStr">
        <is>
          <t>organic_search</t>
        </is>
      </c>
      <c r="F3217">
        <f>IFERROR(MATCH(A3217,Deals!$A$2:$A$843,0),"")</f>
        <v/>
      </c>
      <c r="G3217">
        <f>IF(F3217="",0,1)</f>
        <v/>
      </c>
      <c r="H3217" s="29">
        <f>IF(F3217="","",INDEX(Deals!$E$2:$E$843,F3217))</f>
        <v/>
      </c>
      <c r="I3217">
        <f>IF(F3217="","",INDEX(Deals!$D$2:$D$843,F3217))</f>
        <v/>
      </c>
      <c r="J3217">
        <f>IF(F3217="","",INT(H3217)-B3217)</f>
        <v/>
      </c>
      <c r="K3217">
        <f>IF(B3217&gt;=Settings!$C$5,1,0)</f>
        <v/>
      </c>
    </row>
    <row r="3218">
      <c r="A3218" t="inlineStr">
        <is>
          <t>4461853cc6a73bc75d45fe1ea6e8ee6c</t>
        </is>
      </c>
      <c r="B3218" s="29" t="n">
        <v>43062</v>
      </c>
      <c r="C3218" t="inlineStr">
        <is>
          <t>2017-11</t>
        </is>
      </c>
      <c r="D3218" t="inlineStr">
        <is>
          <t>909e333f8f23574f93115bd3d402e202</t>
        </is>
      </c>
      <c r="E3218" t="inlineStr">
        <is>
          <t>unknown</t>
        </is>
      </c>
      <c r="F3218">
        <f>IFERROR(MATCH(A3218,Deals!$A$2:$A$843,0),"")</f>
        <v/>
      </c>
      <c r="G3218">
        <f>IF(F3218="",0,1)</f>
        <v/>
      </c>
      <c r="H3218" s="29">
        <f>IF(F3218="","",INDEX(Deals!$E$2:$E$843,F3218))</f>
        <v/>
      </c>
      <c r="I3218">
        <f>IF(F3218="","",INDEX(Deals!$D$2:$D$843,F3218))</f>
        <v/>
      </c>
      <c r="J3218">
        <f>IF(F3218="","",INT(H3218)-B3218)</f>
        <v/>
      </c>
      <c r="K3218">
        <f>IF(B3218&gt;=Settings!$C$5,1,0)</f>
        <v/>
      </c>
    </row>
    <row r="3219">
      <c r="A3219" t="inlineStr">
        <is>
          <t>11bd1fa9edc725f8d2a295da79eeb9fb</t>
        </is>
      </c>
      <c r="B3219" s="29" t="n">
        <v>43139</v>
      </c>
      <c r="C3219" t="inlineStr">
        <is>
          <t>2018-02</t>
        </is>
      </c>
      <c r="D3219" t="inlineStr">
        <is>
          <t>73f31a40697cc90a86c1273563ac230e</t>
        </is>
      </c>
      <c r="E3219" t="inlineStr">
        <is>
          <t>direct_traffic</t>
        </is>
      </c>
      <c r="F3219">
        <f>IFERROR(MATCH(A3219,Deals!$A$2:$A$843,0),"")</f>
        <v/>
      </c>
      <c r="G3219">
        <f>IF(F3219="",0,1)</f>
        <v/>
      </c>
      <c r="H3219" s="29">
        <f>IF(F3219="","",INDEX(Deals!$E$2:$E$843,F3219))</f>
        <v/>
      </c>
      <c r="I3219">
        <f>IF(F3219="","",INDEX(Deals!$D$2:$D$843,F3219))</f>
        <v/>
      </c>
      <c r="J3219">
        <f>IF(F3219="","",INT(H3219)-B3219)</f>
        <v/>
      </c>
      <c r="K3219">
        <f>IF(B3219&gt;=Settings!$C$5,1,0)</f>
        <v/>
      </c>
    </row>
    <row r="3220">
      <c r="A3220" t="inlineStr">
        <is>
          <t>182225ff10529aa86e60448b1eba2d0f</t>
        </is>
      </c>
      <c r="B3220" s="29" t="n">
        <v>43160</v>
      </c>
      <c r="C3220" t="inlineStr">
        <is>
          <t>2018-03</t>
        </is>
      </c>
      <c r="D3220" t="inlineStr">
        <is>
          <t>ce1a65abd0973638f1c887a6efcfa82d</t>
        </is>
      </c>
      <c r="E3220" t="inlineStr">
        <is>
          <t>paid_search</t>
        </is>
      </c>
      <c r="F3220">
        <f>IFERROR(MATCH(A3220,Deals!$A$2:$A$843,0),"")</f>
        <v/>
      </c>
      <c r="G3220">
        <f>IF(F3220="",0,1)</f>
        <v/>
      </c>
      <c r="H3220" s="29">
        <f>IF(F3220="","",INDEX(Deals!$E$2:$E$843,F3220))</f>
        <v/>
      </c>
      <c r="I3220">
        <f>IF(F3220="","",INDEX(Deals!$D$2:$D$843,F3220))</f>
        <v/>
      </c>
      <c r="J3220">
        <f>IF(F3220="","",INT(H3220)-B3220)</f>
        <v/>
      </c>
      <c r="K3220">
        <f>IF(B3220&gt;=Settings!$C$5,1,0)</f>
        <v/>
      </c>
    </row>
    <row r="3221">
      <c r="A3221" t="inlineStr">
        <is>
          <t>59ff461e9d87fd02300ac1b7abf19f69</t>
        </is>
      </c>
      <c r="B3221" s="29" t="n">
        <v>43206</v>
      </c>
      <c r="C3221" t="inlineStr">
        <is>
          <t>2018-04</t>
        </is>
      </c>
      <c r="D3221" t="inlineStr">
        <is>
          <t>58326e62183c14b0c03085c33b9fdc44</t>
        </is>
      </c>
      <c r="E3221" t="inlineStr">
        <is>
          <t>social</t>
        </is>
      </c>
      <c r="F3221">
        <f>IFERROR(MATCH(A3221,Deals!$A$2:$A$843,0),"")</f>
        <v/>
      </c>
      <c r="G3221">
        <f>IF(F3221="",0,1)</f>
        <v/>
      </c>
      <c r="H3221" s="29">
        <f>IF(F3221="","",INDEX(Deals!$E$2:$E$843,F3221))</f>
        <v/>
      </c>
      <c r="I3221">
        <f>IF(F3221="","",INDEX(Deals!$D$2:$D$843,F3221))</f>
        <v/>
      </c>
      <c r="J3221">
        <f>IF(F3221="","",INT(H3221)-B3221)</f>
        <v/>
      </c>
      <c r="K3221">
        <f>IF(B3221&gt;=Settings!$C$5,1,0)</f>
        <v/>
      </c>
    </row>
    <row r="3222">
      <c r="A3222" t="inlineStr">
        <is>
          <t>e9ab41bc94bcd184eba7cfae0d75e40a</t>
        </is>
      </c>
      <c r="B3222" s="29" t="n">
        <v>43185</v>
      </c>
      <c r="C3222" t="inlineStr">
        <is>
          <t>2018-03</t>
        </is>
      </c>
      <c r="D3222" t="inlineStr">
        <is>
          <t>58326e62183c14b0c03085c33b9fdc44</t>
        </is>
      </c>
      <c r="E3222" t="inlineStr">
        <is>
          <t>social</t>
        </is>
      </c>
      <c r="F3222">
        <f>IFERROR(MATCH(A3222,Deals!$A$2:$A$843,0),"")</f>
        <v/>
      </c>
      <c r="G3222">
        <f>IF(F3222="",0,1)</f>
        <v/>
      </c>
      <c r="H3222" s="29">
        <f>IF(F3222="","",INDEX(Deals!$E$2:$E$843,F3222))</f>
        <v/>
      </c>
      <c r="I3222">
        <f>IF(F3222="","",INDEX(Deals!$D$2:$D$843,F3222))</f>
        <v/>
      </c>
      <c r="J3222">
        <f>IF(F3222="","",INT(H3222)-B3222)</f>
        <v/>
      </c>
      <c r="K3222">
        <f>IF(B3222&gt;=Settings!$C$5,1,0)</f>
        <v/>
      </c>
    </row>
    <row r="3223">
      <c r="A3223" t="inlineStr">
        <is>
          <t>35d2f91fdc6df2db3ca665d9a1a410f5</t>
        </is>
      </c>
      <c r="B3223" s="29" t="n">
        <v>43165</v>
      </c>
      <c r="C3223" t="inlineStr">
        <is>
          <t>2018-03</t>
        </is>
      </c>
      <c r="D3223" t="inlineStr">
        <is>
          <t>54d5e01ab35155d4bd8cf723fc6f04a0</t>
        </is>
      </c>
      <c r="E3223" t="inlineStr">
        <is>
          <t>email</t>
        </is>
      </c>
      <c r="F3223">
        <f>IFERROR(MATCH(A3223,Deals!$A$2:$A$843,0),"")</f>
        <v/>
      </c>
      <c r="G3223">
        <f>IF(F3223="",0,1)</f>
        <v/>
      </c>
      <c r="H3223" s="29">
        <f>IF(F3223="","",INDEX(Deals!$E$2:$E$843,F3223))</f>
        <v/>
      </c>
      <c r="I3223">
        <f>IF(F3223="","",INDEX(Deals!$D$2:$D$843,F3223))</f>
        <v/>
      </c>
      <c r="J3223">
        <f>IF(F3223="","",INT(H3223)-B3223)</f>
        <v/>
      </c>
      <c r="K3223">
        <f>IF(B3223&gt;=Settings!$C$5,1,0)</f>
        <v/>
      </c>
    </row>
    <row r="3224">
      <c r="A3224" t="inlineStr">
        <is>
          <t>3fcedf144be9f3dff1145db6c515fb34</t>
        </is>
      </c>
      <c r="B3224" s="29" t="n">
        <v>43010</v>
      </c>
      <c r="C3224" t="inlineStr">
        <is>
          <t>2017-10</t>
        </is>
      </c>
      <c r="D3224" t="inlineStr">
        <is>
          <t>87732658ba41d8775e8577df347a64db</t>
        </is>
      </c>
      <c r="E3224" t="inlineStr">
        <is>
          <t>social</t>
        </is>
      </c>
      <c r="F3224">
        <f>IFERROR(MATCH(A3224,Deals!$A$2:$A$843,0),"")</f>
        <v/>
      </c>
      <c r="G3224">
        <f>IF(F3224="",0,1)</f>
        <v/>
      </c>
      <c r="H3224" s="29">
        <f>IF(F3224="","",INDEX(Deals!$E$2:$E$843,F3224))</f>
        <v/>
      </c>
      <c r="I3224">
        <f>IF(F3224="","",INDEX(Deals!$D$2:$D$843,F3224))</f>
        <v/>
      </c>
      <c r="J3224">
        <f>IF(F3224="","",INT(H3224)-B3224)</f>
        <v/>
      </c>
      <c r="K3224">
        <f>IF(B3224&gt;=Settings!$C$5,1,0)</f>
        <v/>
      </c>
    </row>
    <row r="3225">
      <c r="A3225" t="inlineStr">
        <is>
          <t>6ce911816178efa4b3b09d68d55c6c0a</t>
        </is>
      </c>
      <c r="B3225" s="29" t="n">
        <v>43173</v>
      </c>
      <c r="C3225" t="inlineStr">
        <is>
          <t>2018-03</t>
        </is>
      </c>
      <c r="D3225" t="inlineStr">
        <is>
          <t>241f79c7a8fe0270f4fb79fcbbcd17ad</t>
        </is>
      </c>
      <c r="E3225" t="inlineStr">
        <is>
          <t>paid_search</t>
        </is>
      </c>
      <c r="F3225">
        <f>IFERROR(MATCH(A3225,Deals!$A$2:$A$843,0),"")</f>
        <v/>
      </c>
      <c r="G3225">
        <f>IF(F3225="",0,1)</f>
        <v/>
      </c>
      <c r="H3225" s="29">
        <f>IF(F3225="","",INDEX(Deals!$E$2:$E$843,F3225))</f>
        <v/>
      </c>
      <c r="I3225">
        <f>IF(F3225="","",INDEX(Deals!$D$2:$D$843,F3225))</f>
        <v/>
      </c>
      <c r="J3225">
        <f>IF(F3225="","",INT(H3225)-B3225)</f>
        <v/>
      </c>
      <c r="K3225">
        <f>IF(B3225&gt;=Settings!$C$5,1,0)</f>
        <v/>
      </c>
    </row>
    <row r="3226">
      <c r="A3226" t="inlineStr">
        <is>
          <t>90a5a12198b43cd185f76c1674f140ca</t>
        </is>
      </c>
      <c r="B3226" s="29" t="n">
        <v>43025</v>
      </c>
      <c r="C3226" t="inlineStr">
        <is>
          <t>2017-10</t>
        </is>
      </c>
      <c r="D3226" t="inlineStr">
        <is>
          <t>e492ee5eaf1697716985cc6f33f9cd9b</t>
        </is>
      </c>
      <c r="E3226" t="inlineStr">
        <is>
          <t>organic_search</t>
        </is>
      </c>
      <c r="F3226">
        <f>IFERROR(MATCH(A3226,Deals!$A$2:$A$843,0),"")</f>
        <v/>
      </c>
      <c r="G3226">
        <f>IF(F3226="",0,1)</f>
        <v/>
      </c>
      <c r="H3226" s="29">
        <f>IF(F3226="","",INDEX(Deals!$E$2:$E$843,F3226))</f>
        <v/>
      </c>
      <c r="I3226">
        <f>IF(F3226="","",INDEX(Deals!$D$2:$D$843,F3226))</f>
        <v/>
      </c>
      <c r="J3226">
        <f>IF(F3226="","",INT(H3226)-B3226)</f>
        <v/>
      </c>
      <c r="K3226">
        <f>IF(B3226&gt;=Settings!$C$5,1,0)</f>
        <v/>
      </c>
    </row>
    <row r="3227">
      <c r="A3227" t="inlineStr">
        <is>
          <t>a3530a3c4ed7dfb3f7ab7fe787fea790</t>
        </is>
      </c>
      <c r="B3227" s="29" t="n">
        <v>43102</v>
      </c>
      <c r="C3227" t="inlineStr">
        <is>
          <t>2018-01</t>
        </is>
      </c>
      <c r="D3227" t="inlineStr">
        <is>
          <t>88740e65d5d6b056e0cda098e1ea6313</t>
        </is>
      </c>
      <c r="E3227" t="inlineStr">
        <is>
          <t>social</t>
        </is>
      </c>
      <c r="F3227">
        <f>IFERROR(MATCH(A3227,Deals!$A$2:$A$843,0),"")</f>
        <v/>
      </c>
      <c r="G3227">
        <f>IF(F3227="",0,1)</f>
        <v/>
      </c>
      <c r="H3227" s="29">
        <f>IF(F3227="","",INDEX(Deals!$E$2:$E$843,F3227))</f>
        <v/>
      </c>
      <c r="I3227">
        <f>IF(F3227="","",INDEX(Deals!$D$2:$D$843,F3227))</f>
        <v/>
      </c>
      <c r="J3227">
        <f>IF(F3227="","",INT(H3227)-B3227)</f>
        <v/>
      </c>
      <c r="K3227">
        <f>IF(B3227&gt;=Settings!$C$5,1,0)</f>
        <v/>
      </c>
    </row>
    <row r="3228">
      <c r="A3228" t="inlineStr">
        <is>
          <t>a9d61b085ddc473847e9397f6c0e485a</t>
        </is>
      </c>
      <c r="B3228" s="29" t="n">
        <v>43207</v>
      </c>
      <c r="C3228" t="inlineStr">
        <is>
          <t>2018-04</t>
        </is>
      </c>
      <c r="D3228" t="inlineStr">
        <is>
          <t>b76ef37428e6799c421989521c0e5077</t>
        </is>
      </c>
      <c r="E3228" t="inlineStr">
        <is>
          <t>organic_search</t>
        </is>
      </c>
      <c r="F3228">
        <f>IFERROR(MATCH(A3228,Deals!$A$2:$A$843,0),"")</f>
        <v/>
      </c>
      <c r="G3228">
        <f>IF(F3228="",0,1)</f>
        <v/>
      </c>
      <c r="H3228" s="29">
        <f>IF(F3228="","",INDEX(Deals!$E$2:$E$843,F3228))</f>
        <v/>
      </c>
      <c r="I3228">
        <f>IF(F3228="","",INDEX(Deals!$D$2:$D$843,F3228))</f>
        <v/>
      </c>
      <c r="J3228">
        <f>IF(F3228="","",INT(H3228)-B3228)</f>
        <v/>
      </c>
      <c r="K3228">
        <f>IF(B3228&gt;=Settings!$C$5,1,0)</f>
        <v/>
      </c>
    </row>
    <row r="3229">
      <c r="A3229" t="inlineStr">
        <is>
          <t>a58f8a3280b2dd6440d88af9decb9b1f</t>
        </is>
      </c>
      <c r="B3229" s="29" t="n">
        <v>43157</v>
      </c>
      <c r="C3229" t="inlineStr">
        <is>
          <t>2018-02</t>
        </is>
      </c>
      <c r="D3229" t="inlineStr">
        <is>
          <t>22c29808c4f815213303f8933030604c</t>
        </is>
      </c>
      <c r="E3229" t="inlineStr">
        <is>
          <t>organic_search</t>
        </is>
      </c>
      <c r="F3229">
        <f>IFERROR(MATCH(A3229,Deals!$A$2:$A$843,0),"")</f>
        <v/>
      </c>
      <c r="G3229">
        <f>IF(F3229="",0,1)</f>
        <v/>
      </c>
      <c r="H3229" s="29">
        <f>IF(F3229="","",INDEX(Deals!$E$2:$E$843,F3229))</f>
        <v/>
      </c>
      <c r="I3229">
        <f>IF(F3229="","",INDEX(Deals!$D$2:$D$843,F3229))</f>
        <v/>
      </c>
      <c r="J3229">
        <f>IF(F3229="","",INT(H3229)-B3229)</f>
        <v/>
      </c>
      <c r="K3229">
        <f>IF(B3229&gt;=Settings!$C$5,1,0)</f>
        <v/>
      </c>
    </row>
    <row r="3230">
      <c r="A3230" t="inlineStr">
        <is>
          <t>721e744b536889f207c3b82140a05cb5</t>
        </is>
      </c>
      <c r="B3230" s="29" t="n">
        <v>43221</v>
      </c>
      <c r="C3230" t="inlineStr">
        <is>
          <t>2018-05</t>
        </is>
      </c>
      <c r="D3230" t="inlineStr">
        <is>
          <t>30534107aa0013db92899c96a1017d0b</t>
        </is>
      </c>
      <c r="E3230" t="inlineStr">
        <is>
          <t>social</t>
        </is>
      </c>
      <c r="F3230">
        <f>IFERROR(MATCH(A3230,Deals!$A$2:$A$843,0),"")</f>
        <v/>
      </c>
      <c r="G3230">
        <f>IF(F3230="",0,1)</f>
        <v/>
      </c>
      <c r="H3230" s="29">
        <f>IF(F3230="","",INDEX(Deals!$E$2:$E$843,F3230))</f>
        <v/>
      </c>
      <c r="I3230">
        <f>IF(F3230="","",INDEX(Deals!$D$2:$D$843,F3230))</f>
        <v/>
      </c>
      <c r="J3230">
        <f>IF(F3230="","",INT(H3230)-B3230)</f>
        <v/>
      </c>
      <c r="K3230">
        <f>IF(B3230&gt;=Settings!$C$5,1,0)</f>
        <v/>
      </c>
    </row>
    <row r="3231">
      <c r="A3231" t="inlineStr">
        <is>
          <t>e5014c04644ae2e0148f218158554b16</t>
        </is>
      </c>
      <c r="B3231" s="29" t="n">
        <v>43172</v>
      </c>
      <c r="C3231" t="inlineStr">
        <is>
          <t>2018-03</t>
        </is>
      </c>
      <c r="D3231" t="inlineStr">
        <is>
          <t>241f79c7a8fe0270f4fb79fcbbcd17ad</t>
        </is>
      </c>
      <c r="E3231" t="inlineStr">
        <is>
          <t>paid_search</t>
        </is>
      </c>
      <c r="F3231">
        <f>IFERROR(MATCH(A3231,Deals!$A$2:$A$843,0),"")</f>
        <v/>
      </c>
      <c r="G3231">
        <f>IF(F3231="",0,1)</f>
        <v/>
      </c>
      <c r="H3231" s="29">
        <f>IF(F3231="","",INDEX(Deals!$E$2:$E$843,F3231))</f>
        <v/>
      </c>
      <c r="I3231">
        <f>IF(F3231="","",INDEX(Deals!$D$2:$D$843,F3231))</f>
        <v/>
      </c>
      <c r="J3231">
        <f>IF(F3231="","",INT(H3231)-B3231)</f>
        <v/>
      </c>
      <c r="K3231">
        <f>IF(B3231&gt;=Settings!$C$5,1,0)</f>
        <v/>
      </c>
    </row>
    <row r="3232">
      <c r="A3232" t="inlineStr">
        <is>
          <t>7dfca50f1976e6b46fb99619513b9215</t>
        </is>
      </c>
      <c r="B3232" s="29" t="n">
        <v>43200</v>
      </c>
      <c r="C3232" t="inlineStr">
        <is>
          <t>2018-04</t>
        </is>
      </c>
      <c r="D3232" t="inlineStr">
        <is>
          <t>e492ee5eaf1697716985cc6f33f9cd9b</t>
        </is>
      </c>
      <c r="E3232" t="inlineStr">
        <is>
          <t>direct_traffic</t>
        </is>
      </c>
      <c r="F3232">
        <f>IFERROR(MATCH(A3232,Deals!$A$2:$A$843,0),"")</f>
        <v/>
      </c>
      <c r="G3232">
        <f>IF(F3232="",0,1)</f>
        <v/>
      </c>
      <c r="H3232" s="29">
        <f>IF(F3232="","",INDEX(Deals!$E$2:$E$843,F3232))</f>
        <v/>
      </c>
      <c r="I3232">
        <f>IF(F3232="","",INDEX(Deals!$D$2:$D$843,F3232))</f>
        <v/>
      </c>
      <c r="J3232">
        <f>IF(F3232="","",INT(H3232)-B3232)</f>
        <v/>
      </c>
      <c r="K3232">
        <f>IF(B3232&gt;=Settings!$C$5,1,0)</f>
        <v/>
      </c>
    </row>
    <row r="3233">
      <c r="A3233" t="inlineStr">
        <is>
          <t>9ebeb6b99421142701bd7bdcf4fc0b47</t>
        </is>
      </c>
      <c r="B3233" s="29" t="n">
        <v>43234</v>
      </c>
      <c r="C3233" t="inlineStr">
        <is>
          <t>2018-05</t>
        </is>
      </c>
      <c r="D3233" t="inlineStr">
        <is>
          <t>58326e62183c14b0c03085c33b9fdc44</t>
        </is>
      </c>
      <c r="E3233" t="inlineStr">
        <is>
          <t>social</t>
        </is>
      </c>
      <c r="F3233">
        <f>IFERROR(MATCH(A3233,Deals!$A$2:$A$843,0),"")</f>
        <v/>
      </c>
      <c r="G3233">
        <f>IF(F3233="",0,1)</f>
        <v/>
      </c>
      <c r="H3233" s="29">
        <f>IF(F3233="","",INDEX(Deals!$E$2:$E$843,F3233))</f>
        <v/>
      </c>
      <c r="I3233">
        <f>IF(F3233="","",INDEX(Deals!$D$2:$D$843,F3233))</f>
        <v/>
      </c>
      <c r="J3233">
        <f>IF(F3233="","",INT(H3233)-B3233)</f>
        <v/>
      </c>
      <c r="K3233">
        <f>IF(B3233&gt;=Settings!$C$5,1,0)</f>
        <v/>
      </c>
    </row>
    <row r="3234">
      <c r="A3234" t="inlineStr">
        <is>
          <t>4c898465f7e0becf53dd933ab2a1b6f9</t>
        </is>
      </c>
      <c r="B3234" s="29" t="n">
        <v>43251</v>
      </c>
      <c r="C3234" t="inlineStr">
        <is>
          <t>2018-05</t>
        </is>
      </c>
      <c r="D3234" t="inlineStr">
        <is>
          <t>40dec9f3d5259a3d2dbcdab2114fae47</t>
        </is>
      </c>
      <c r="E3234" t="inlineStr">
        <is>
          <t>paid_search</t>
        </is>
      </c>
      <c r="F3234">
        <f>IFERROR(MATCH(A3234,Deals!$A$2:$A$843,0),"")</f>
        <v/>
      </c>
      <c r="G3234">
        <f>IF(F3234="",0,1)</f>
        <v/>
      </c>
      <c r="H3234" s="29">
        <f>IF(F3234="","",INDEX(Deals!$E$2:$E$843,F3234))</f>
        <v/>
      </c>
      <c r="I3234">
        <f>IF(F3234="","",INDEX(Deals!$D$2:$D$843,F3234))</f>
        <v/>
      </c>
      <c r="J3234">
        <f>IF(F3234="","",INT(H3234)-B3234)</f>
        <v/>
      </c>
      <c r="K3234">
        <f>IF(B3234&gt;=Settings!$C$5,1,0)</f>
        <v/>
      </c>
    </row>
    <row r="3235">
      <c r="A3235" t="inlineStr">
        <is>
          <t>0eeda8e4fb95a71fd5260ceabf058137</t>
        </is>
      </c>
      <c r="B3235" s="29" t="n">
        <v>43236</v>
      </c>
      <c r="C3235" t="inlineStr">
        <is>
          <t>2018-05</t>
        </is>
      </c>
      <c r="D3235" t="inlineStr">
        <is>
          <t>f017be4dbf86243af5c1ebed0cff36a2</t>
        </is>
      </c>
      <c r="E3235" t="inlineStr">
        <is>
          <t>direct_traffic</t>
        </is>
      </c>
      <c r="F3235">
        <f>IFERROR(MATCH(A3235,Deals!$A$2:$A$843,0),"")</f>
        <v/>
      </c>
      <c r="G3235">
        <f>IF(F3235="",0,1)</f>
        <v/>
      </c>
      <c r="H3235" s="29">
        <f>IF(F3235="","",INDEX(Deals!$E$2:$E$843,F3235))</f>
        <v/>
      </c>
      <c r="I3235">
        <f>IF(F3235="","",INDEX(Deals!$D$2:$D$843,F3235))</f>
        <v/>
      </c>
      <c r="J3235">
        <f>IF(F3235="","",INT(H3235)-B3235)</f>
        <v/>
      </c>
      <c r="K3235">
        <f>IF(B3235&gt;=Settings!$C$5,1,0)</f>
        <v/>
      </c>
    </row>
    <row r="3236">
      <c r="A3236" t="inlineStr">
        <is>
          <t>13506612e450df3e00db2da0f085e769</t>
        </is>
      </c>
      <c r="B3236" s="29" t="n">
        <v>43049</v>
      </c>
      <c r="C3236" t="inlineStr">
        <is>
          <t>2017-11</t>
        </is>
      </c>
      <c r="D3236" t="inlineStr">
        <is>
          <t>214b0943d4ad794c4086cf7e38785ef2</t>
        </is>
      </c>
      <c r="E3236" t="inlineStr">
        <is>
          <t>direct_traffic</t>
        </is>
      </c>
      <c r="F3236">
        <f>IFERROR(MATCH(A3236,Deals!$A$2:$A$843,0),"")</f>
        <v/>
      </c>
      <c r="G3236">
        <f>IF(F3236="",0,1)</f>
        <v/>
      </c>
      <c r="H3236" s="29">
        <f>IF(F3236="","",INDEX(Deals!$E$2:$E$843,F3236))</f>
        <v/>
      </c>
      <c r="I3236">
        <f>IF(F3236="","",INDEX(Deals!$D$2:$D$843,F3236))</f>
        <v/>
      </c>
      <c r="J3236">
        <f>IF(F3236="","",INT(H3236)-B3236)</f>
        <v/>
      </c>
      <c r="K3236">
        <f>IF(B3236&gt;=Settings!$C$5,1,0)</f>
        <v/>
      </c>
    </row>
    <row r="3237">
      <c r="A3237" t="inlineStr">
        <is>
          <t>e6fc583511b1b88c34bd2a2610248a8c</t>
        </is>
      </c>
      <c r="B3237" s="29" t="n">
        <v>43166</v>
      </c>
      <c r="C3237" t="inlineStr">
        <is>
          <t>2018-03</t>
        </is>
      </c>
      <c r="D3237" t="inlineStr">
        <is>
          <t>da14b7e2eb0d1eecf65abbd05a31c87d</t>
        </is>
      </c>
      <c r="E3237" t="inlineStr">
        <is>
          <t>paid_search</t>
        </is>
      </c>
      <c r="F3237">
        <f>IFERROR(MATCH(A3237,Deals!$A$2:$A$843,0),"")</f>
        <v/>
      </c>
      <c r="G3237">
        <f>IF(F3237="",0,1)</f>
        <v/>
      </c>
      <c r="H3237" s="29">
        <f>IF(F3237="","",INDEX(Deals!$E$2:$E$843,F3237))</f>
        <v/>
      </c>
      <c r="I3237">
        <f>IF(F3237="","",INDEX(Deals!$D$2:$D$843,F3237))</f>
        <v/>
      </c>
      <c r="J3237">
        <f>IF(F3237="","",INT(H3237)-B3237)</f>
        <v/>
      </c>
      <c r="K3237">
        <f>IF(B3237&gt;=Settings!$C$5,1,0)</f>
        <v/>
      </c>
    </row>
    <row r="3238">
      <c r="A3238" t="inlineStr">
        <is>
          <t>913eaa8841a0049cf73a60ce17d2aaf0</t>
        </is>
      </c>
      <c r="B3238" s="29" t="n">
        <v>43228</v>
      </c>
      <c r="C3238" t="inlineStr">
        <is>
          <t>2018-05</t>
        </is>
      </c>
      <c r="D3238" t="inlineStr">
        <is>
          <t>7fa6590e1b6cc9f17eb5cfdcfad63d50</t>
        </is>
      </c>
      <c r="E3238" t="inlineStr">
        <is>
          <t>email</t>
        </is>
      </c>
      <c r="F3238">
        <f>IFERROR(MATCH(A3238,Deals!$A$2:$A$843,0),"")</f>
        <v/>
      </c>
      <c r="G3238">
        <f>IF(F3238="",0,1)</f>
        <v/>
      </c>
      <c r="H3238" s="29">
        <f>IF(F3238="","",INDEX(Deals!$E$2:$E$843,F3238))</f>
        <v/>
      </c>
      <c r="I3238">
        <f>IF(F3238="","",INDEX(Deals!$D$2:$D$843,F3238))</f>
        <v/>
      </c>
      <c r="J3238">
        <f>IF(F3238="","",INT(H3238)-B3238)</f>
        <v/>
      </c>
      <c r="K3238">
        <f>IF(B3238&gt;=Settings!$C$5,1,0)</f>
        <v/>
      </c>
    </row>
    <row r="3239">
      <c r="A3239" t="inlineStr">
        <is>
          <t>6a975ab39190974c74584462181a78d8</t>
        </is>
      </c>
      <c r="B3239" s="29" t="n">
        <v>43122</v>
      </c>
      <c r="C3239" t="inlineStr">
        <is>
          <t>2018-01</t>
        </is>
      </c>
      <c r="D3239" t="inlineStr">
        <is>
          <t>f017be4dbf86243af5c1ebed0cff36a2</t>
        </is>
      </c>
      <c r="E3239" t="inlineStr">
        <is>
          <t>organic_search</t>
        </is>
      </c>
      <c r="F3239">
        <f>IFERROR(MATCH(A3239,Deals!$A$2:$A$843,0),"")</f>
        <v/>
      </c>
      <c r="G3239">
        <f>IF(F3239="",0,1)</f>
        <v/>
      </c>
      <c r="H3239" s="29">
        <f>IF(F3239="","",INDEX(Deals!$E$2:$E$843,F3239))</f>
        <v/>
      </c>
      <c r="I3239">
        <f>IF(F3239="","",INDEX(Deals!$D$2:$D$843,F3239))</f>
        <v/>
      </c>
      <c r="J3239">
        <f>IF(F3239="","",INT(H3239)-B3239)</f>
        <v/>
      </c>
      <c r="K3239">
        <f>IF(B3239&gt;=Settings!$C$5,1,0)</f>
        <v/>
      </c>
    </row>
    <row r="3240">
      <c r="A3240" t="inlineStr">
        <is>
          <t>4b751bc7d77713f88bc7c2d855e963a5</t>
        </is>
      </c>
      <c r="B3240" s="29" t="n">
        <v>42987</v>
      </c>
      <c r="C3240" t="inlineStr">
        <is>
          <t>2017-09</t>
        </is>
      </c>
      <c r="D3240" t="inlineStr">
        <is>
          <t>91dbdf987124ca09b297bd87f06b5e64</t>
        </is>
      </c>
      <c r="E3240" t="inlineStr">
        <is>
          <t>organic_search</t>
        </is>
      </c>
      <c r="F3240">
        <f>IFERROR(MATCH(A3240,Deals!$A$2:$A$843,0),"")</f>
        <v/>
      </c>
      <c r="G3240">
        <f>IF(F3240="",0,1)</f>
        <v/>
      </c>
      <c r="H3240" s="29">
        <f>IF(F3240="","",INDEX(Deals!$E$2:$E$843,F3240))</f>
        <v/>
      </c>
      <c r="I3240">
        <f>IF(F3240="","",INDEX(Deals!$D$2:$D$843,F3240))</f>
        <v/>
      </c>
      <c r="J3240">
        <f>IF(F3240="","",INT(H3240)-B3240)</f>
        <v/>
      </c>
      <c r="K3240">
        <f>IF(B3240&gt;=Settings!$C$5,1,0)</f>
        <v/>
      </c>
    </row>
    <row r="3241">
      <c r="A3241" t="inlineStr">
        <is>
          <t>a719fa25b2a1d8f332ce512e145d4e83</t>
        </is>
      </c>
      <c r="B3241" s="29" t="n">
        <v>43209</v>
      </c>
      <c r="C3241" t="inlineStr">
        <is>
          <t>2018-04</t>
        </is>
      </c>
      <c r="D3241" t="inlineStr">
        <is>
          <t>58326e62183c14b0c03085c33b9fdc44</t>
        </is>
      </c>
      <c r="E3241" t="inlineStr">
        <is>
          <t>social</t>
        </is>
      </c>
      <c r="F3241">
        <f>IFERROR(MATCH(A3241,Deals!$A$2:$A$843,0),"")</f>
        <v/>
      </c>
      <c r="G3241">
        <f>IF(F3241="",0,1)</f>
        <v/>
      </c>
      <c r="H3241" s="29">
        <f>IF(F3241="","",INDEX(Deals!$E$2:$E$843,F3241))</f>
        <v/>
      </c>
      <c r="I3241">
        <f>IF(F3241="","",INDEX(Deals!$D$2:$D$843,F3241))</f>
        <v/>
      </c>
      <c r="J3241">
        <f>IF(F3241="","",INT(H3241)-B3241)</f>
        <v/>
      </c>
      <c r="K3241">
        <f>IF(B3241&gt;=Settings!$C$5,1,0)</f>
        <v/>
      </c>
    </row>
    <row r="3242">
      <c r="A3242" t="inlineStr">
        <is>
          <t>7967058c47906d425e86394725b2afd6</t>
        </is>
      </c>
      <c r="B3242" s="29" t="n">
        <v>43165</v>
      </c>
      <c r="C3242" t="inlineStr">
        <is>
          <t>2018-03</t>
        </is>
      </c>
      <c r="D3242" t="inlineStr">
        <is>
          <t>22c29808c4f815213303f8933030604c</t>
        </is>
      </c>
      <c r="E3242" t="inlineStr">
        <is>
          <t>organic_search</t>
        </is>
      </c>
      <c r="F3242">
        <f>IFERROR(MATCH(A3242,Deals!$A$2:$A$843,0),"")</f>
        <v/>
      </c>
      <c r="G3242">
        <f>IF(F3242="",0,1)</f>
        <v/>
      </c>
      <c r="H3242" s="29">
        <f>IF(F3242="","",INDEX(Deals!$E$2:$E$843,F3242))</f>
        <v/>
      </c>
      <c r="I3242">
        <f>IF(F3242="","",INDEX(Deals!$D$2:$D$843,F3242))</f>
        <v/>
      </c>
      <c r="J3242">
        <f>IF(F3242="","",INT(H3242)-B3242)</f>
        <v/>
      </c>
      <c r="K3242">
        <f>IF(B3242&gt;=Settings!$C$5,1,0)</f>
        <v/>
      </c>
    </row>
    <row r="3243">
      <c r="A3243" t="inlineStr">
        <is>
          <t>02c32194f5d8a18f6d4aa773b988462c</t>
        </is>
      </c>
      <c r="B3243" s="29" t="n">
        <v>43188</v>
      </c>
      <c r="C3243" t="inlineStr">
        <is>
          <t>2018-03</t>
        </is>
      </c>
      <c r="D3243" t="inlineStr">
        <is>
          <t>ce1a65abd0973638f1c887a6efcfa82d</t>
        </is>
      </c>
      <c r="E3243" t="inlineStr">
        <is>
          <t>organic_search</t>
        </is>
      </c>
      <c r="F3243">
        <f>IFERROR(MATCH(A3243,Deals!$A$2:$A$843,0),"")</f>
        <v/>
      </c>
      <c r="G3243">
        <f>IF(F3243="",0,1)</f>
        <v/>
      </c>
      <c r="H3243" s="29">
        <f>IF(F3243="","",INDEX(Deals!$E$2:$E$843,F3243))</f>
        <v/>
      </c>
      <c r="I3243">
        <f>IF(F3243="","",INDEX(Deals!$D$2:$D$843,F3243))</f>
        <v/>
      </c>
      <c r="J3243">
        <f>IF(F3243="","",INT(H3243)-B3243)</f>
        <v/>
      </c>
      <c r="K3243">
        <f>IF(B3243&gt;=Settings!$C$5,1,0)</f>
        <v/>
      </c>
    </row>
    <row r="3244">
      <c r="A3244" t="inlineStr">
        <is>
          <t>367fa572c7af343a43e2dbc5cbaef903</t>
        </is>
      </c>
      <c r="B3244" s="29" t="n">
        <v>43228</v>
      </c>
      <c r="C3244" t="inlineStr">
        <is>
          <t>2018-05</t>
        </is>
      </c>
      <c r="D3244" t="inlineStr">
        <is>
          <t>dcaf9b9fe015f970d789e226c78dcc68</t>
        </is>
      </c>
      <c r="E3244" t="inlineStr">
        <is>
          <t>email</t>
        </is>
      </c>
      <c r="F3244">
        <f>IFERROR(MATCH(A3244,Deals!$A$2:$A$843,0),"")</f>
        <v/>
      </c>
      <c r="G3244">
        <f>IF(F3244="",0,1)</f>
        <v/>
      </c>
      <c r="H3244" s="29">
        <f>IF(F3244="","",INDEX(Deals!$E$2:$E$843,F3244))</f>
        <v/>
      </c>
      <c r="I3244">
        <f>IF(F3244="","",INDEX(Deals!$D$2:$D$843,F3244))</f>
        <v/>
      </c>
      <c r="J3244">
        <f>IF(F3244="","",INT(H3244)-B3244)</f>
        <v/>
      </c>
      <c r="K3244">
        <f>IF(B3244&gt;=Settings!$C$5,1,0)</f>
        <v/>
      </c>
    </row>
    <row r="3245">
      <c r="A3245" t="inlineStr">
        <is>
          <t>0fca245d13ae0fde217d65da2aeaebdc</t>
        </is>
      </c>
      <c r="B3245" s="29" t="n">
        <v>42947</v>
      </c>
      <c r="C3245" t="inlineStr">
        <is>
          <t>2017-07</t>
        </is>
      </c>
      <c r="D3245" t="inlineStr">
        <is>
          <t>83ccc33d426eab8a3db70bd15aba46b8</t>
        </is>
      </c>
      <c r="E3245" t="inlineStr">
        <is>
          <t>organic_search</t>
        </is>
      </c>
      <c r="F3245">
        <f>IFERROR(MATCH(A3245,Deals!$A$2:$A$843,0),"")</f>
        <v/>
      </c>
      <c r="G3245">
        <f>IF(F3245="",0,1)</f>
        <v/>
      </c>
      <c r="H3245" s="29">
        <f>IF(F3245="","",INDEX(Deals!$E$2:$E$843,F3245))</f>
        <v/>
      </c>
      <c r="I3245">
        <f>IF(F3245="","",INDEX(Deals!$D$2:$D$843,F3245))</f>
        <v/>
      </c>
      <c r="J3245">
        <f>IF(F3245="","",INT(H3245)-B3245)</f>
        <v/>
      </c>
      <c r="K3245">
        <f>IF(B3245&gt;=Settings!$C$5,1,0)</f>
        <v/>
      </c>
    </row>
    <row r="3246">
      <c r="A3246" t="inlineStr">
        <is>
          <t>5c27c063fe2197bcca96d018127e66f3</t>
        </is>
      </c>
      <c r="B3246" s="29" t="n">
        <v>43142</v>
      </c>
      <c r="C3246" t="inlineStr">
        <is>
          <t>2018-02</t>
        </is>
      </c>
      <c r="D3246" t="inlineStr">
        <is>
          <t>40dec9f3d5259a3d2dbcdab2114fae47</t>
        </is>
      </c>
      <c r="E3246" t="inlineStr">
        <is>
          <t>paid_search</t>
        </is>
      </c>
      <c r="F3246">
        <f>IFERROR(MATCH(A3246,Deals!$A$2:$A$843,0),"")</f>
        <v/>
      </c>
      <c r="G3246">
        <f>IF(F3246="",0,1)</f>
        <v/>
      </c>
      <c r="H3246" s="29">
        <f>IF(F3246="","",INDEX(Deals!$E$2:$E$843,F3246))</f>
        <v/>
      </c>
      <c r="I3246">
        <f>IF(F3246="","",INDEX(Deals!$D$2:$D$843,F3246))</f>
        <v/>
      </c>
      <c r="J3246">
        <f>IF(F3246="","",INT(H3246)-B3246)</f>
        <v/>
      </c>
      <c r="K3246">
        <f>IF(B3246&gt;=Settings!$C$5,1,0)</f>
        <v/>
      </c>
    </row>
    <row r="3247">
      <c r="A3247" t="inlineStr">
        <is>
          <t>3469f647707d7517364600b07bd45816</t>
        </is>
      </c>
      <c r="B3247" s="29" t="n">
        <v>43026</v>
      </c>
      <c r="C3247" t="inlineStr">
        <is>
          <t>2017-10</t>
        </is>
      </c>
      <c r="D3247" t="inlineStr">
        <is>
          <t>65d9f9d71e562365e8b44037c2888d98</t>
        </is>
      </c>
      <c r="E3247" t="inlineStr">
        <is>
          <t>paid_search</t>
        </is>
      </c>
      <c r="F3247">
        <f>IFERROR(MATCH(A3247,Deals!$A$2:$A$843,0),"")</f>
        <v/>
      </c>
      <c r="G3247">
        <f>IF(F3247="",0,1)</f>
        <v/>
      </c>
      <c r="H3247" s="29">
        <f>IF(F3247="","",INDEX(Deals!$E$2:$E$843,F3247))</f>
        <v/>
      </c>
      <c r="I3247">
        <f>IF(F3247="","",INDEX(Deals!$D$2:$D$843,F3247))</f>
        <v/>
      </c>
      <c r="J3247">
        <f>IF(F3247="","",INT(H3247)-B3247)</f>
        <v/>
      </c>
      <c r="K3247">
        <f>IF(B3247&gt;=Settings!$C$5,1,0)</f>
        <v/>
      </c>
    </row>
    <row r="3248">
      <c r="A3248" t="inlineStr">
        <is>
          <t>c3a1f23a07d6b7376ed3aae61d18a7a6</t>
        </is>
      </c>
      <c r="B3248" s="29" t="n">
        <v>43175</v>
      </c>
      <c r="C3248" t="inlineStr">
        <is>
          <t>2018-03</t>
        </is>
      </c>
      <c r="D3248" t="inlineStr">
        <is>
          <t>b76ef37428e6799c421989521c0e5077</t>
        </is>
      </c>
      <c r="E3248" t="inlineStr">
        <is>
          <t>unknown</t>
        </is>
      </c>
      <c r="F3248">
        <f>IFERROR(MATCH(A3248,Deals!$A$2:$A$843,0),"")</f>
        <v/>
      </c>
      <c r="G3248">
        <f>IF(F3248="",0,1)</f>
        <v/>
      </c>
      <c r="H3248" s="29">
        <f>IF(F3248="","",INDEX(Deals!$E$2:$E$843,F3248))</f>
        <v/>
      </c>
      <c r="I3248">
        <f>IF(F3248="","",INDEX(Deals!$D$2:$D$843,F3248))</f>
        <v/>
      </c>
      <c r="J3248">
        <f>IF(F3248="","",INT(H3248)-B3248)</f>
        <v/>
      </c>
      <c r="K3248">
        <f>IF(B3248&gt;=Settings!$C$5,1,0)</f>
        <v/>
      </c>
    </row>
    <row r="3249">
      <c r="A3249" t="inlineStr">
        <is>
          <t>5aa14e8d74a1e146fa26f5def723032d</t>
        </is>
      </c>
      <c r="B3249" s="29" t="n">
        <v>43122</v>
      </c>
      <c r="C3249" t="inlineStr">
        <is>
          <t>2018-01</t>
        </is>
      </c>
      <c r="D3249" t="inlineStr">
        <is>
          <t>b76ef37428e6799c421989521c0e5077</t>
        </is>
      </c>
      <c r="E3249" t="inlineStr">
        <is>
          <t>unknown</t>
        </is>
      </c>
      <c r="F3249">
        <f>IFERROR(MATCH(A3249,Deals!$A$2:$A$843,0),"")</f>
        <v/>
      </c>
      <c r="G3249">
        <f>IF(F3249="",0,1)</f>
        <v/>
      </c>
      <c r="H3249" s="29">
        <f>IF(F3249="","",INDEX(Deals!$E$2:$E$843,F3249))</f>
        <v/>
      </c>
      <c r="I3249">
        <f>IF(F3249="","",INDEX(Deals!$D$2:$D$843,F3249))</f>
        <v/>
      </c>
      <c r="J3249">
        <f>IF(F3249="","",INT(H3249)-B3249)</f>
        <v/>
      </c>
      <c r="K3249">
        <f>IF(B3249&gt;=Settings!$C$5,1,0)</f>
        <v/>
      </c>
    </row>
    <row r="3250">
      <c r="A3250" t="inlineStr">
        <is>
          <t>d4c54190d253fa7bf8d2a188c03bd448</t>
        </is>
      </c>
      <c r="B3250" s="29" t="n">
        <v>43223</v>
      </c>
      <c r="C3250" t="inlineStr">
        <is>
          <t>2018-05</t>
        </is>
      </c>
      <c r="D3250" t="inlineStr">
        <is>
          <t>ce1a65abd0973638f1c887a6efcfa82d</t>
        </is>
      </c>
      <c r="E3250" t="inlineStr">
        <is>
          <t>paid_search</t>
        </is>
      </c>
      <c r="F3250">
        <f>IFERROR(MATCH(A3250,Deals!$A$2:$A$843,0),"")</f>
        <v/>
      </c>
      <c r="G3250">
        <f>IF(F3250="",0,1)</f>
        <v/>
      </c>
      <c r="H3250" s="29">
        <f>IF(F3250="","",INDEX(Deals!$E$2:$E$843,F3250))</f>
        <v/>
      </c>
      <c r="I3250">
        <f>IF(F3250="","",INDEX(Deals!$D$2:$D$843,F3250))</f>
        <v/>
      </c>
      <c r="J3250">
        <f>IF(F3250="","",INT(H3250)-B3250)</f>
        <v/>
      </c>
      <c r="K3250">
        <f>IF(B3250&gt;=Settings!$C$5,1,0)</f>
        <v/>
      </c>
    </row>
    <row r="3251">
      <c r="A3251" t="inlineStr">
        <is>
          <t>5637435c4bcb65aed58744f24c8adaea</t>
        </is>
      </c>
      <c r="B3251" s="29" t="n">
        <v>43194</v>
      </c>
      <c r="C3251" t="inlineStr">
        <is>
          <t>2018-04</t>
        </is>
      </c>
      <c r="D3251" t="inlineStr">
        <is>
          <t>649b7b8b46b254497e92038d88f6ced8</t>
        </is>
      </c>
      <c r="E3251" t="inlineStr">
        <is>
          <t>social</t>
        </is>
      </c>
      <c r="F3251">
        <f>IFERROR(MATCH(A3251,Deals!$A$2:$A$843,0),"")</f>
        <v/>
      </c>
      <c r="G3251">
        <f>IF(F3251="",0,1)</f>
        <v/>
      </c>
      <c r="H3251" s="29">
        <f>IF(F3251="","",INDEX(Deals!$E$2:$E$843,F3251))</f>
        <v/>
      </c>
      <c r="I3251">
        <f>IF(F3251="","",INDEX(Deals!$D$2:$D$843,F3251))</f>
        <v/>
      </c>
      <c r="J3251">
        <f>IF(F3251="","",INT(H3251)-B3251)</f>
        <v/>
      </c>
      <c r="K3251">
        <f>IF(B3251&gt;=Settings!$C$5,1,0)</f>
        <v/>
      </c>
    </row>
    <row r="3252">
      <c r="A3252" t="inlineStr">
        <is>
          <t>b385131592e7af5c1d249376c2f7d0bc</t>
        </is>
      </c>
      <c r="B3252" s="29" t="n">
        <v>43160</v>
      </c>
      <c r="C3252" t="inlineStr">
        <is>
          <t>2018-03</t>
        </is>
      </c>
      <c r="D3252" t="inlineStr">
        <is>
          <t>65d9f9d71e562365e8b44037c2888d98</t>
        </is>
      </c>
      <c r="E3252" t="inlineStr">
        <is>
          <t>organic_search</t>
        </is>
      </c>
      <c r="F3252">
        <f>IFERROR(MATCH(A3252,Deals!$A$2:$A$843,0),"")</f>
        <v/>
      </c>
      <c r="G3252">
        <f>IF(F3252="",0,1)</f>
        <v/>
      </c>
      <c r="H3252" s="29">
        <f>IF(F3252="","",INDEX(Deals!$E$2:$E$843,F3252))</f>
        <v/>
      </c>
      <c r="I3252">
        <f>IF(F3252="","",INDEX(Deals!$D$2:$D$843,F3252))</f>
        <v/>
      </c>
      <c r="J3252">
        <f>IF(F3252="","",INT(H3252)-B3252)</f>
        <v/>
      </c>
      <c r="K3252">
        <f>IF(B3252&gt;=Settings!$C$5,1,0)</f>
        <v/>
      </c>
    </row>
    <row r="3253">
      <c r="A3253" t="inlineStr">
        <is>
          <t>c8288308562df62a6a837190f9ccaa45</t>
        </is>
      </c>
      <c r="B3253" s="29" t="n">
        <v>43108</v>
      </c>
      <c r="C3253" t="inlineStr">
        <is>
          <t>2018-01</t>
        </is>
      </c>
      <c r="D3253" t="inlineStr">
        <is>
          <t>b76ef37428e6799c421989521c0e5077</t>
        </is>
      </c>
      <c r="E3253" t="inlineStr">
        <is>
          <t>unknown</t>
        </is>
      </c>
      <c r="F3253">
        <f>IFERROR(MATCH(A3253,Deals!$A$2:$A$843,0),"")</f>
        <v/>
      </c>
      <c r="G3253">
        <f>IF(F3253="",0,1)</f>
        <v/>
      </c>
      <c r="H3253" s="29">
        <f>IF(F3253="","",INDEX(Deals!$E$2:$E$843,F3253))</f>
        <v/>
      </c>
      <c r="I3253">
        <f>IF(F3253="","",INDEX(Deals!$D$2:$D$843,F3253))</f>
        <v/>
      </c>
      <c r="J3253">
        <f>IF(F3253="","",INT(H3253)-B3253)</f>
        <v/>
      </c>
      <c r="K3253">
        <f>IF(B3253&gt;=Settings!$C$5,1,0)</f>
        <v/>
      </c>
    </row>
    <row r="3254">
      <c r="A3254" t="inlineStr">
        <is>
          <t>4e1536b061e7ec942c58bb29ae459ff4</t>
        </is>
      </c>
      <c r="B3254" s="29" t="n">
        <v>43246</v>
      </c>
      <c r="C3254" t="inlineStr">
        <is>
          <t>2018-05</t>
        </is>
      </c>
      <c r="D3254" t="inlineStr">
        <is>
          <t>58326e62183c14b0c03085c33b9fdc44</t>
        </is>
      </c>
      <c r="E3254" t="inlineStr">
        <is>
          <t>social</t>
        </is>
      </c>
      <c r="F3254">
        <f>IFERROR(MATCH(A3254,Deals!$A$2:$A$843,0),"")</f>
        <v/>
      </c>
      <c r="G3254">
        <f>IF(F3254="",0,1)</f>
        <v/>
      </c>
      <c r="H3254" s="29">
        <f>IF(F3254="","",INDEX(Deals!$E$2:$E$843,F3254))</f>
        <v/>
      </c>
      <c r="I3254">
        <f>IF(F3254="","",INDEX(Deals!$D$2:$D$843,F3254))</f>
        <v/>
      </c>
      <c r="J3254">
        <f>IF(F3254="","",INT(H3254)-B3254)</f>
        <v/>
      </c>
      <c r="K3254">
        <f>IF(B3254&gt;=Settings!$C$5,1,0)</f>
        <v/>
      </c>
    </row>
    <row r="3255">
      <c r="A3255" t="inlineStr">
        <is>
          <t>19c777b5bed02ee09375ce374cf653f1</t>
        </is>
      </c>
      <c r="B3255" s="29" t="n">
        <v>43025</v>
      </c>
      <c r="C3255" t="inlineStr">
        <is>
          <t>2017-10</t>
        </is>
      </c>
      <c r="D3255" t="inlineStr">
        <is>
          <t>b76ef37428e6799c421989521c0e5077</t>
        </is>
      </c>
      <c r="E3255" t="inlineStr">
        <is>
          <t>unknown</t>
        </is>
      </c>
      <c r="F3255">
        <f>IFERROR(MATCH(A3255,Deals!$A$2:$A$843,0),"")</f>
        <v/>
      </c>
      <c r="G3255">
        <f>IF(F3255="",0,1)</f>
        <v/>
      </c>
      <c r="H3255" s="29">
        <f>IF(F3255="","",INDEX(Deals!$E$2:$E$843,F3255))</f>
        <v/>
      </c>
      <c r="I3255">
        <f>IF(F3255="","",INDEX(Deals!$D$2:$D$843,F3255))</f>
        <v/>
      </c>
      <c r="J3255">
        <f>IF(F3255="","",INT(H3255)-B3255)</f>
        <v/>
      </c>
      <c r="K3255">
        <f>IF(B3255&gt;=Settings!$C$5,1,0)</f>
        <v/>
      </c>
    </row>
    <row r="3256">
      <c r="A3256" t="inlineStr">
        <is>
          <t>295ade13c3d8aa09b542b332336a852d</t>
        </is>
      </c>
      <c r="B3256" s="29" t="n">
        <v>43174</v>
      </c>
      <c r="C3256" t="inlineStr">
        <is>
          <t>2018-03</t>
        </is>
      </c>
      <c r="D3256" t="inlineStr">
        <is>
          <t>330b9d44078a1ae5a221d655dcb77afa</t>
        </is>
      </c>
      <c r="E3256" t="inlineStr">
        <is>
          <t>paid_search</t>
        </is>
      </c>
      <c r="F3256">
        <f>IFERROR(MATCH(A3256,Deals!$A$2:$A$843,0),"")</f>
        <v/>
      </c>
      <c r="G3256">
        <f>IF(F3256="",0,1)</f>
        <v/>
      </c>
      <c r="H3256" s="29">
        <f>IF(F3256="","",INDEX(Deals!$E$2:$E$843,F3256))</f>
        <v/>
      </c>
      <c r="I3256">
        <f>IF(F3256="","",INDEX(Deals!$D$2:$D$843,F3256))</f>
        <v/>
      </c>
      <c r="J3256">
        <f>IF(F3256="","",INT(H3256)-B3256)</f>
        <v/>
      </c>
      <c r="K3256">
        <f>IF(B3256&gt;=Settings!$C$5,1,0)</f>
        <v/>
      </c>
    </row>
    <row r="3257">
      <c r="A3257" t="inlineStr">
        <is>
          <t>028e7cccc08d94601ba3e9407c743c7f</t>
        </is>
      </c>
      <c r="B3257" s="29" t="n">
        <v>43032</v>
      </c>
      <c r="C3257" t="inlineStr">
        <is>
          <t>2017-10</t>
        </is>
      </c>
      <c r="D3257" t="inlineStr">
        <is>
          <t>7fa6214d82e911d070f51ef79381b956</t>
        </is>
      </c>
      <c r="E3257" t="inlineStr">
        <is>
          <t>organic_search</t>
        </is>
      </c>
      <c r="F3257">
        <f>IFERROR(MATCH(A3257,Deals!$A$2:$A$843,0),"")</f>
        <v/>
      </c>
      <c r="G3257">
        <f>IF(F3257="",0,1)</f>
        <v/>
      </c>
      <c r="H3257" s="29">
        <f>IF(F3257="","",INDEX(Deals!$E$2:$E$843,F3257))</f>
        <v/>
      </c>
      <c r="I3257">
        <f>IF(F3257="","",INDEX(Deals!$D$2:$D$843,F3257))</f>
        <v/>
      </c>
      <c r="J3257">
        <f>IF(F3257="","",INT(H3257)-B3257)</f>
        <v/>
      </c>
      <c r="K3257">
        <f>IF(B3257&gt;=Settings!$C$5,1,0)</f>
        <v/>
      </c>
    </row>
    <row r="3258">
      <c r="A3258" t="inlineStr">
        <is>
          <t>dea4e2001750c937ad310c6797cf674c</t>
        </is>
      </c>
      <c r="B3258" s="29" t="n">
        <v>43091</v>
      </c>
      <c r="C3258" t="inlineStr">
        <is>
          <t>2017-12</t>
        </is>
      </c>
      <c r="D3258" t="inlineStr">
        <is>
          <t>22c29808c4f815213303f8933030604c</t>
        </is>
      </c>
      <c r="E3258" t="inlineStr">
        <is>
          <t>organic_search</t>
        </is>
      </c>
      <c r="F3258">
        <f>IFERROR(MATCH(A3258,Deals!$A$2:$A$843,0),"")</f>
        <v/>
      </c>
      <c r="G3258">
        <f>IF(F3258="",0,1)</f>
        <v/>
      </c>
      <c r="H3258" s="29">
        <f>IF(F3258="","",INDEX(Deals!$E$2:$E$843,F3258))</f>
        <v/>
      </c>
      <c r="I3258">
        <f>IF(F3258="","",INDEX(Deals!$D$2:$D$843,F3258))</f>
        <v/>
      </c>
      <c r="J3258">
        <f>IF(F3258="","",INT(H3258)-B3258)</f>
        <v/>
      </c>
      <c r="K3258">
        <f>IF(B3258&gt;=Settings!$C$5,1,0)</f>
        <v/>
      </c>
    </row>
    <row r="3259">
      <c r="A3259" t="inlineStr">
        <is>
          <t>d23941275ef524a546d5921aa8c5af2d</t>
        </is>
      </c>
      <c r="B3259" s="29" t="n">
        <v>43064</v>
      </c>
      <c r="C3259" t="inlineStr">
        <is>
          <t>2017-11</t>
        </is>
      </c>
      <c r="D3259" t="inlineStr">
        <is>
          <t>5209e2e679d32a6619feb6942702fd14</t>
        </is>
      </c>
      <c r="E3259" t="inlineStr">
        <is>
          <t>paid_search</t>
        </is>
      </c>
      <c r="F3259">
        <f>IFERROR(MATCH(A3259,Deals!$A$2:$A$843,0),"")</f>
        <v/>
      </c>
      <c r="G3259">
        <f>IF(F3259="",0,1)</f>
        <v/>
      </c>
      <c r="H3259" s="29">
        <f>IF(F3259="","",INDEX(Deals!$E$2:$E$843,F3259))</f>
        <v/>
      </c>
      <c r="I3259">
        <f>IF(F3259="","",INDEX(Deals!$D$2:$D$843,F3259))</f>
        <v/>
      </c>
      <c r="J3259">
        <f>IF(F3259="","",INT(H3259)-B3259)</f>
        <v/>
      </c>
      <c r="K3259">
        <f>IF(B3259&gt;=Settings!$C$5,1,0)</f>
        <v/>
      </c>
    </row>
    <row r="3260">
      <c r="A3260" t="inlineStr">
        <is>
          <t>5028abed85ac9405d44cba75291584f3</t>
        </is>
      </c>
      <c r="B3260" s="29" t="n">
        <v>43153</v>
      </c>
      <c r="C3260" t="inlineStr">
        <is>
          <t>2018-02</t>
        </is>
      </c>
      <c r="D3260" t="inlineStr">
        <is>
          <t>b76ef37428e6799c421989521c0e5077</t>
        </is>
      </c>
      <c r="E3260" t="inlineStr">
        <is>
          <t>unknown</t>
        </is>
      </c>
      <c r="F3260">
        <f>IFERROR(MATCH(A3260,Deals!$A$2:$A$843,0),"")</f>
        <v/>
      </c>
      <c r="G3260">
        <f>IF(F3260="",0,1)</f>
        <v/>
      </c>
      <c r="H3260" s="29">
        <f>IF(F3260="","",INDEX(Deals!$E$2:$E$843,F3260))</f>
        <v/>
      </c>
      <c r="I3260">
        <f>IF(F3260="","",INDEX(Deals!$D$2:$D$843,F3260))</f>
        <v/>
      </c>
      <c r="J3260">
        <f>IF(F3260="","",INT(H3260)-B3260)</f>
        <v/>
      </c>
      <c r="K3260">
        <f>IF(B3260&gt;=Settings!$C$5,1,0)</f>
        <v/>
      </c>
    </row>
    <row r="3261">
      <c r="A3261" t="inlineStr">
        <is>
          <t>49324aa17bffaf1a43a8613a2de9db4d</t>
        </is>
      </c>
      <c r="B3261" s="29" t="n">
        <v>43211</v>
      </c>
      <c r="C3261" t="inlineStr">
        <is>
          <t>2018-04</t>
        </is>
      </c>
      <c r="D3261" t="inlineStr">
        <is>
          <t>d4d53713e4dab118111608c998bd6185</t>
        </is>
      </c>
      <c r="E3261" t="inlineStr">
        <is>
          <t>social</t>
        </is>
      </c>
      <c r="F3261">
        <f>IFERROR(MATCH(A3261,Deals!$A$2:$A$843,0),"")</f>
        <v/>
      </c>
      <c r="G3261">
        <f>IF(F3261="",0,1)</f>
        <v/>
      </c>
      <c r="H3261" s="29">
        <f>IF(F3261="","",INDEX(Deals!$E$2:$E$843,F3261))</f>
        <v/>
      </c>
      <c r="I3261">
        <f>IF(F3261="","",INDEX(Deals!$D$2:$D$843,F3261))</f>
        <v/>
      </c>
      <c r="J3261">
        <f>IF(F3261="","",INT(H3261)-B3261)</f>
        <v/>
      </c>
      <c r="K3261">
        <f>IF(B3261&gt;=Settings!$C$5,1,0)</f>
        <v/>
      </c>
    </row>
    <row r="3262">
      <c r="A3262" t="inlineStr">
        <is>
          <t>189627e6dfdb79c621a10584770d0427</t>
        </is>
      </c>
      <c r="B3262" s="29" t="n">
        <v>43228</v>
      </c>
      <c r="C3262" t="inlineStr">
        <is>
          <t>2018-05</t>
        </is>
      </c>
      <c r="D3262" t="inlineStr">
        <is>
          <t>f80696b73d17fb34f5c4fde157f119d8</t>
        </is>
      </c>
      <c r="E3262" t="inlineStr">
        <is>
          <t>organic_search</t>
        </is>
      </c>
      <c r="F3262">
        <f>IFERROR(MATCH(A3262,Deals!$A$2:$A$843,0),"")</f>
        <v/>
      </c>
      <c r="G3262">
        <f>IF(F3262="",0,1)</f>
        <v/>
      </c>
      <c r="H3262" s="29">
        <f>IF(F3262="","",INDEX(Deals!$E$2:$E$843,F3262))</f>
        <v/>
      </c>
      <c r="I3262">
        <f>IF(F3262="","",INDEX(Deals!$D$2:$D$843,F3262))</f>
        <v/>
      </c>
      <c r="J3262">
        <f>IF(F3262="","",INT(H3262)-B3262)</f>
        <v/>
      </c>
      <c r="K3262">
        <f>IF(B3262&gt;=Settings!$C$5,1,0)</f>
        <v/>
      </c>
    </row>
    <row r="3263">
      <c r="A3263" t="inlineStr">
        <is>
          <t>0e84f8f034584f597520af86a81f9ac3</t>
        </is>
      </c>
      <c r="B3263" s="29" t="n">
        <v>43154</v>
      </c>
      <c r="C3263" t="inlineStr">
        <is>
          <t>2018-02</t>
        </is>
      </c>
      <c r="D3263" t="inlineStr">
        <is>
          <t>241f79c7a8fe0270f4fb79fcbbcd17ad</t>
        </is>
      </c>
      <c r="E3263" t="inlineStr">
        <is>
          <t>paid_search</t>
        </is>
      </c>
      <c r="F3263">
        <f>IFERROR(MATCH(A3263,Deals!$A$2:$A$843,0),"")</f>
        <v/>
      </c>
      <c r="G3263">
        <f>IF(F3263="",0,1)</f>
        <v/>
      </c>
      <c r="H3263" s="29">
        <f>IF(F3263="","",INDEX(Deals!$E$2:$E$843,F3263))</f>
        <v/>
      </c>
      <c r="I3263">
        <f>IF(F3263="","",INDEX(Deals!$D$2:$D$843,F3263))</f>
        <v/>
      </c>
      <c r="J3263">
        <f>IF(F3263="","",INT(H3263)-B3263)</f>
        <v/>
      </c>
      <c r="K3263">
        <f>IF(B3263&gt;=Settings!$C$5,1,0)</f>
        <v/>
      </c>
    </row>
    <row r="3264">
      <c r="A3264" t="inlineStr">
        <is>
          <t>05b078717c0d74c1e99adc22b314fbec</t>
        </is>
      </c>
      <c r="B3264" s="29" t="n">
        <v>43193</v>
      </c>
      <c r="C3264" t="inlineStr">
        <is>
          <t>2018-04</t>
        </is>
      </c>
      <c r="D3264" t="inlineStr">
        <is>
          <t>e492ee5eaf1697716985cc6f33f9cd9b</t>
        </is>
      </c>
      <c r="E3264" t="inlineStr">
        <is>
          <t>other</t>
        </is>
      </c>
      <c r="F3264">
        <f>IFERROR(MATCH(A3264,Deals!$A$2:$A$843,0),"")</f>
        <v/>
      </c>
      <c r="G3264">
        <f>IF(F3264="",0,1)</f>
        <v/>
      </c>
      <c r="H3264" s="29">
        <f>IF(F3264="","",INDEX(Deals!$E$2:$E$843,F3264))</f>
        <v/>
      </c>
      <c r="I3264">
        <f>IF(F3264="","",INDEX(Deals!$D$2:$D$843,F3264))</f>
        <v/>
      </c>
      <c r="J3264">
        <f>IF(F3264="","",INT(H3264)-B3264)</f>
        <v/>
      </c>
      <c r="K3264">
        <f>IF(B3264&gt;=Settings!$C$5,1,0)</f>
        <v/>
      </c>
    </row>
    <row r="3265">
      <c r="A3265" t="inlineStr">
        <is>
          <t>36a530792d57e0fbb57ad2174dd62853</t>
        </is>
      </c>
      <c r="B3265" s="29" t="n">
        <v>43110</v>
      </c>
      <c r="C3265" t="inlineStr">
        <is>
          <t>2018-01</t>
        </is>
      </c>
      <c r="D3265" t="inlineStr">
        <is>
          <t>a7982125ff7aa3b2054c6e44f9d28522</t>
        </is>
      </c>
      <c r="E3265" t="inlineStr">
        <is>
          <t>paid_search</t>
        </is>
      </c>
      <c r="F3265">
        <f>IFERROR(MATCH(A3265,Deals!$A$2:$A$843,0),"")</f>
        <v/>
      </c>
      <c r="G3265">
        <f>IF(F3265="",0,1)</f>
        <v/>
      </c>
      <c r="H3265" s="29">
        <f>IF(F3265="","",INDEX(Deals!$E$2:$E$843,F3265))</f>
        <v/>
      </c>
      <c r="I3265">
        <f>IF(F3265="","",INDEX(Deals!$D$2:$D$843,F3265))</f>
        <v/>
      </c>
      <c r="J3265">
        <f>IF(F3265="","",INT(H3265)-B3265)</f>
        <v/>
      </c>
      <c r="K3265">
        <f>IF(B3265&gt;=Settings!$C$5,1,0)</f>
        <v/>
      </c>
    </row>
    <row r="3266">
      <c r="A3266" t="inlineStr">
        <is>
          <t>e7bf1017621f65d4e7858af08b345bed</t>
        </is>
      </c>
      <c r="B3266" s="29" t="n">
        <v>43143</v>
      </c>
      <c r="C3266" t="inlineStr">
        <is>
          <t>2018-02</t>
        </is>
      </c>
      <c r="D3266" t="inlineStr">
        <is>
          <t>22c29808c4f815213303f8933030604c</t>
        </is>
      </c>
      <c r="E3266" t="inlineStr">
        <is>
          <t>organic_search</t>
        </is>
      </c>
      <c r="F3266">
        <f>IFERROR(MATCH(A3266,Deals!$A$2:$A$843,0),"")</f>
        <v/>
      </c>
      <c r="G3266">
        <f>IF(F3266="",0,1)</f>
        <v/>
      </c>
      <c r="H3266" s="29">
        <f>IF(F3266="","",INDEX(Deals!$E$2:$E$843,F3266))</f>
        <v/>
      </c>
      <c r="I3266">
        <f>IF(F3266="","",INDEX(Deals!$D$2:$D$843,F3266))</f>
        <v/>
      </c>
      <c r="J3266">
        <f>IF(F3266="","",INT(H3266)-B3266)</f>
        <v/>
      </c>
      <c r="K3266">
        <f>IF(B3266&gt;=Settings!$C$5,1,0)</f>
        <v/>
      </c>
    </row>
    <row r="3267">
      <c r="A3267" t="inlineStr">
        <is>
          <t>7b1b613a6c527942b0a70a522b46e9e5</t>
        </is>
      </c>
      <c r="B3267" s="29" t="n">
        <v>43218</v>
      </c>
      <c r="C3267" t="inlineStr">
        <is>
          <t>2018-04</t>
        </is>
      </c>
      <c r="D3267" t="inlineStr">
        <is>
          <t>58326e62183c14b0c03085c33b9fdc44</t>
        </is>
      </c>
      <c r="E3267" t="inlineStr">
        <is>
          <t>social</t>
        </is>
      </c>
      <c r="F3267">
        <f>IFERROR(MATCH(A3267,Deals!$A$2:$A$843,0),"")</f>
        <v/>
      </c>
      <c r="G3267">
        <f>IF(F3267="",0,1)</f>
        <v/>
      </c>
      <c r="H3267" s="29">
        <f>IF(F3267="","",INDEX(Deals!$E$2:$E$843,F3267))</f>
        <v/>
      </c>
      <c r="I3267">
        <f>IF(F3267="","",INDEX(Deals!$D$2:$D$843,F3267))</f>
        <v/>
      </c>
      <c r="J3267">
        <f>IF(F3267="","",INT(H3267)-B3267)</f>
        <v/>
      </c>
      <c r="K3267">
        <f>IF(B3267&gt;=Settings!$C$5,1,0)</f>
        <v/>
      </c>
    </row>
    <row r="3268">
      <c r="A3268" t="inlineStr">
        <is>
          <t>ba07080c294e947a3fe56de53d907f9e</t>
        </is>
      </c>
      <c r="B3268" s="29" t="n">
        <v>43165</v>
      </c>
      <c r="C3268" t="inlineStr">
        <is>
          <t>2018-03</t>
        </is>
      </c>
      <c r="D3268" t="inlineStr">
        <is>
          <t>c6f28f804cf6330e6de735ef6e6fe95c</t>
        </is>
      </c>
      <c r="E3268" t="inlineStr">
        <is>
          <t>social</t>
        </is>
      </c>
      <c r="F3268">
        <f>IFERROR(MATCH(A3268,Deals!$A$2:$A$843,0),"")</f>
        <v/>
      </c>
      <c r="G3268">
        <f>IF(F3268="",0,1)</f>
        <v/>
      </c>
      <c r="H3268" s="29">
        <f>IF(F3268="","",INDEX(Deals!$E$2:$E$843,F3268))</f>
        <v/>
      </c>
      <c r="I3268">
        <f>IF(F3268="","",INDEX(Deals!$D$2:$D$843,F3268))</f>
        <v/>
      </c>
      <c r="J3268">
        <f>IF(F3268="","",INT(H3268)-B3268)</f>
        <v/>
      </c>
      <c r="K3268">
        <f>IF(B3268&gt;=Settings!$C$5,1,0)</f>
        <v/>
      </c>
    </row>
    <row r="3269">
      <c r="A3269" t="inlineStr">
        <is>
          <t>eb3f249ea5c5b054997c944258ddbe93</t>
        </is>
      </c>
      <c r="B3269" s="29" t="n">
        <v>43121</v>
      </c>
      <c r="C3269" t="inlineStr">
        <is>
          <t>2018-01</t>
        </is>
      </c>
      <c r="D3269" t="inlineStr">
        <is>
          <t>7f5993cdb977063bc7584810b255bc92</t>
        </is>
      </c>
      <c r="E3269" t="inlineStr">
        <is>
          <t>paid_search</t>
        </is>
      </c>
      <c r="F3269">
        <f>IFERROR(MATCH(A3269,Deals!$A$2:$A$843,0),"")</f>
        <v/>
      </c>
      <c r="G3269">
        <f>IF(F3269="",0,1)</f>
        <v/>
      </c>
      <c r="H3269" s="29">
        <f>IF(F3269="","",INDEX(Deals!$E$2:$E$843,F3269))</f>
        <v/>
      </c>
      <c r="I3269">
        <f>IF(F3269="","",INDEX(Deals!$D$2:$D$843,F3269))</f>
        <v/>
      </c>
      <c r="J3269">
        <f>IF(F3269="","",INT(H3269)-B3269)</f>
        <v/>
      </c>
      <c r="K3269">
        <f>IF(B3269&gt;=Settings!$C$5,1,0)</f>
        <v/>
      </c>
    </row>
    <row r="3270">
      <c r="A3270" t="inlineStr">
        <is>
          <t>6299f7b7e197e0a3cfb007c2c0b12a20</t>
        </is>
      </c>
      <c r="B3270" s="29" t="n">
        <v>43102</v>
      </c>
      <c r="C3270" t="inlineStr">
        <is>
          <t>2018-01</t>
        </is>
      </c>
      <c r="D3270" t="inlineStr">
        <is>
          <t>40dec9f3d5259a3d2dbcdab2114fae47</t>
        </is>
      </c>
      <c r="E3270" t="inlineStr">
        <is>
          <t>paid_search</t>
        </is>
      </c>
      <c r="F3270">
        <f>IFERROR(MATCH(A3270,Deals!$A$2:$A$843,0),"")</f>
        <v/>
      </c>
      <c r="G3270">
        <f>IF(F3270="",0,1)</f>
        <v/>
      </c>
      <c r="H3270" s="29">
        <f>IF(F3270="","",INDEX(Deals!$E$2:$E$843,F3270))</f>
        <v/>
      </c>
      <c r="I3270">
        <f>IF(F3270="","",INDEX(Deals!$D$2:$D$843,F3270))</f>
        <v/>
      </c>
      <c r="J3270">
        <f>IF(F3270="","",INT(H3270)-B3270)</f>
        <v/>
      </c>
      <c r="K3270">
        <f>IF(B3270&gt;=Settings!$C$5,1,0)</f>
        <v/>
      </c>
    </row>
    <row r="3271">
      <c r="A3271" t="inlineStr">
        <is>
          <t>7ef3c6710eb6d079171953dea45c3912</t>
        </is>
      </c>
      <c r="B3271" s="29" t="n">
        <v>43235</v>
      </c>
      <c r="C3271" t="inlineStr">
        <is>
          <t>2018-05</t>
        </is>
      </c>
      <c r="D3271" t="inlineStr">
        <is>
          <t>b76ef37428e6799c421989521c0e5077</t>
        </is>
      </c>
      <c r="E3271" t="inlineStr">
        <is>
          <t>organic_search</t>
        </is>
      </c>
      <c r="F3271">
        <f>IFERROR(MATCH(A3271,Deals!$A$2:$A$843,0),"")</f>
        <v/>
      </c>
      <c r="G3271">
        <f>IF(F3271="",0,1)</f>
        <v/>
      </c>
      <c r="H3271" s="29">
        <f>IF(F3271="","",INDEX(Deals!$E$2:$E$843,F3271))</f>
        <v/>
      </c>
      <c r="I3271">
        <f>IF(F3271="","",INDEX(Deals!$D$2:$D$843,F3271))</f>
        <v/>
      </c>
      <c r="J3271">
        <f>IF(F3271="","",INT(H3271)-B3271)</f>
        <v/>
      </c>
      <c r="K3271">
        <f>IF(B3271&gt;=Settings!$C$5,1,0)</f>
        <v/>
      </c>
    </row>
    <row r="3272">
      <c r="A3272" t="inlineStr">
        <is>
          <t>e2631772cc931ae00d9e2d730b6abb7b</t>
        </is>
      </c>
      <c r="B3272" s="29" t="n">
        <v>43202</v>
      </c>
      <c r="C3272" t="inlineStr">
        <is>
          <t>2018-04</t>
        </is>
      </c>
      <c r="D3272" t="inlineStr">
        <is>
          <t>ce1a65abd0973638f1c887a6efcfa82d</t>
        </is>
      </c>
      <c r="E3272" t="inlineStr">
        <is>
          <t>other_publicities</t>
        </is>
      </c>
      <c r="F3272">
        <f>IFERROR(MATCH(A3272,Deals!$A$2:$A$843,0),"")</f>
        <v/>
      </c>
      <c r="G3272">
        <f>IF(F3272="",0,1)</f>
        <v/>
      </c>
      <c r="H3272" s="29">
        <f>IF(F3272="","",INDEX(Deals!$E$2:$E$843,F3272))</f>
        <v/>
      </c>
      <c r="I3272">
        <f>IF(F3272="","",INDEX(Deals!$D$2:$D$843,F3272))</f>
        <v/>
      </c>
      <c r="J3272">
        <f>IF(F3272="","",INT(H3272)-B3272)</f>
        <v/>
      </c>
      <c r="K3272">
        <f>IF(B3272&gt;=Settings!$C$5,1,0)</f>
        <v/>
      </c>
    </row>
    <row r="3273">
      <c r="A3273" t="inlineStr">
        <is>
          <t>e2bd79902aa2c126084f080211564dc8</t>
        </is>
      </c>
      <c r="B3273" s="29" t="n">
        <v>43119</v>
      </c>
      <c r="C3273" t="inlineStr">
        <is>
          <t>2018-01</t>
        </is>
      </c>
      <c r="D3273" t="inlineStr">
        <is>
          <t>88740e65d5d6b056e0cda098e1ea6313</t>
        </is>
      </c>
      <c r="E3273" t="inlineStr">
        <is>
          <t>social</t>
        </is>
      </c>
      <c r="F3273">
        <f>IFERROR(MATCH(A3273,Deals!$A$2:$A$843,0),"")</f>
        <v/>
      </c>
      <c r="G3273">
        <f>IF(F3273="",0,1)</f>
        <v/>
      </c>
      <c r="H3273" s="29">
        <f>IF(F3273="","",INDEX(Deals!$E$2:$E$843,F3273))</f>
        <v/>
      </c>
      <c r="I3273">
        <f>IF(F3273="","",INDEX(Deals!$D$2:$D$843,F3273))</f>
        <v/>
      </c>
      <c r="J3273">
        <f>IF(F3273="","",INT(H3273)-B3273)</f>
        <v/>
      </c>
      <c r="K3273">
        <f>IF(B3273&gt;=Settings!$C$5,1,0)</f>
        <v/>
      </c>
    </row>
    <row r="3274">
      <c r="A3274" t="inlineStr">
        <is>
          <t>ff40bd279947ef968909c10336706f97</t>
        </is>
      </c>
      <c r="B3274" s="29" t="n">
        <v>43170</v>
      </c>
      <c r="C3274" t="inlineStr">
        <is>
          <t>2018-03</t>
        </is>
      </c>
      <c r="D3274" t="inlineStr">
        <is>
          <t>65d9f9d71e562365e8b44037c2888d98</t>
        </is>
      </c>
      <c r="E3274" t="inlineStr">
        <is>
          <t>paid_search</t>
        </is>
      </c>
      <c r="F3274">
        <f>IFERROR(MATCH(A3274,Deals!$A$2:$A$843,0),"")</f>
        <v/>
      </c>
      <c r="G3274">
        <f>IF(F3274="",0,1)</f>
        <v/>
      </c>
      <c r="H3274" s="29">
        <f>IF(F3274="","",INDEX(Deals!$E$2:$E$843,F3274))</f>
        <v/>
      </c>
      <c r="I3274">
        <f>IF(F3274="","",INDEX(Deals!$D$2:$D$843,F3274))</f>
        <v/>
      </c>
      <c r="J3274">
        <f>IF(F3274="","",INT(H3274)-B3274)</f>
        <v/>
      </c>
      <c r="K3274">
        <f>IF(B3274&gt;=Settings!$C$5,1,0)</f>
        <v/>
      </c>
    </row>
    <row r="3275">
      <c r="A3275" t="inlineStr">
        <is>
          <t>df00f51a948c0a2bbd45a32d7f047aa6</t>
        </is>
      </c>
      <c r="B3275" s="29" t="n">
        <v>43049</v>
      </c>
      <c r="C3275" t="inlineStr">
        <is>
          <t>2017-11</t>
        </is>
      </c>
      <c r="D3275" t="inlineStr">
        <is>
          <t>4e82dd1f6d00626bda0723eef0a269a6</t>
        </is>
      </c>
      <c r="E3275" t="inlineStr">
        <is>
          <t>direct_traffic</t>
        </is>
      </c>
      <c r="F3275">
        <f>IFERROR(MATCH(A3275,Deals!$A$2:$A$843,0),"")</f>
        <v/>
      </c>
      <c r="G3275">
        <f>IF(F3275="",0,1)</f>
        <v/>
      </c>
      <c r="H3275" s="29">
        <f>IF(F3275="","",INDEX(Deals!$E$2:$E$843,F3275))</f>
        <v/>
      </c>
      <c r="I3275">
        <f>IF(F3275="","",INDEX(Deals!$D$2:$D$843,F3275))</f>
        <v/>
      </c>
      <c r="J3275">
        <f>IF(F3275="","",INT(H3275)-B3275)</f>
        <v/>
      </c>
      <c r="K3275">
        <f>IF(B3275&gt;=Settings!$C$5,1,0)</f>
        <v/>
      </c>
    </row>
    <row r="3276">
      <c r="A3276" t="inlineStr">
        <is>
          <t>3416177568760e62da708674fc185ae5</t>
        </is>
      </c>
      <c r="B3276" s="29" t="n">
        <v>43217</v>
      </c>
      <c r="C3276" t="inlineStr">
        <is>
          <t>2018-04</t>
        </is>
      </c>
      <c r="D3276" t="inlineStr">
        <is>
          <t>966098efaef7a4d665be6b0cb617541b</t>
        </is>
      </c>
      <c r="E3276" t="inlineStr">
        <is>
          <t>organic_search</t>
        </is>
      </c>
      <c r="F3276">
        <f>IFERROR(MATCH(A3276,Deals!$A$2:$A$843,0),"")</f>
        <v/>
      </c>
      <c r="G3276">
        <f>IF(F3276="",0,1)</f>
        <v/>
      </c>
      <c r="H3276" s="29">
        <f>IF(F3276="","",INDEX(Deals!$E$2:$E$843,F3276))</f>
        <v/>
      </c>
      <c r="I3276">
        <f>IF(F3276="","",INDEX(Deals!$D$2:$D$843,F3276))</f>
        <v/>
      </c>
      <c r="J3276">
        <f>IF(F3276="","",INT(H3276)-B3276)</f>
        <v/>
      </c>
      <c r="K3276">
        <f>IF(B3276&gt;=Settings!$C$5,1,0)</f>
        <v/>
      </c>
    </row>
    <row r="3277">
      <c r="A3277" t="inlineStr">
        <is>
          <t>e6a07b64cc15d0ce53064207ece842dd</t>
        </is>
      </c>
      <c r="B3277" s="29" t="n">
        <v>43038</v>
      </c>
      <c r="C3277" t="inlineStr">
        <is>
          <t>2017-10</t>
        </is>
      </c>
      <c r="D3277" t="inlineStr">
        <is>
          <t>b76ef37428e6799c421989521c0e5077</t>
        </is>
      </c>
      <c r="E3277" t="inlineStr">
        <is>
          <t>unknown</t>
        </is>
      </c>
      <c r="F3277">
        <f>IFERROR(MATCH(A3277,Deals!$A$2:$A$843,0),"")</f>
        <v/>
      </c>
      <c r="G3277">
        <f>IF(F3277="",0,1)</f>
        <v/>
      </c>
      <c r="H3277" s="29">
        <f>IF(F3277="","",INDEX(Deals!$E$2:$E$843,F3277))</f>
        <v/>
      </c>
      <c r="I3277">
        <f>IF(F3277="","",INDEX(Deals!$D$2:$D$843,F3277))</f>
        <v/>
      </c>
      <c r="J3277">
        <f>IF(F3277="","",INT(H3277)-B3277)</f>
        <v/>
      </c>
      <c r="K3277">
        <f>IF(B3277&gt;=Settings!$C$5,1,0)</f>
        <v/>
      </c>
    </row>
    <row r="3278">
      <c r="A3278" t="inlineStr">
        <is>
          <t>5bc2931447642c01fa45d3de7212abdd</t>
        </is>
      </c>
      <c r="B3278" s="29" t="n">
        <v>43209</v>
      </c>
      <c r="C3278" t="inlineStr">
        <is>
          <t>2018-04</t>
        </is>
      </c>
      <c r="D3278" t="inlineStr">
        <is>
          <t>58326e62183c14b0c03085c33b9fdc44</t>
        </is>
      </c>
      <c r="E3278" t="inlineStr">
        <is>
          <t>social</t>
        </is>
      </c>
      <c r="F3278">
        <f>IFERROR(MATCH(A3278,Deals!$A$2:$A$843,0),"")</f>
        <v/>
      </c>
      <c r="G3278">
        <f>IF(F3278="",0,1)</f>
        <v/>
      </c>
      <c r="H3278" s="29">
        <f>IF(F3278="","",INDEX(Deals!$E$2:$E$843,F3278))</f>
        <v/>
      </c>
      <c r="I3278">
        <f>IF(F3278="","",INDEX(Deals!$D$2:$D$843,F3278))</f>
        <v/>
      </c>
      <c r="J3278">
        <f>IF(F3278="","",INT(H3278)-B3278)</f>
        <v/>
      </c>
      <c r="K3278">
        <f>IF(B3278&gt;=Settings!$C$5,1,0)</f>
        <v/>
      </c>
    </row>
    <row r="3279">
      <c r="A3279" t="inlineStr">
        <is>
          <t>b9603d20e1cbe010f3ed6275a0e3b885</t>
        </is>
      </c>
      <c r="B3279" s="29" t="n">
        <v>43175</v>
      </c>
      <c r="C3279" t="inlineStr">
        <is>
          <t>2018-03</t>
        </is>
      </c>
      <c r="D3279" t="inlineStr">
        <is>
          <t>e492ee5eaf1697716985cc6f33f9cd9b</t>
        </is>
      </c>
      <c r="E3279" t="inlineStr">
        <is>
          <t>organic_search</t>
        </is>
      </c>
      <c r="F3279">
        <f>IFERROR(MATCH(A3279,Deals!$A$2:$A$843,0),"")</f>
        <v/>
      </c>
      <c r="G3279">
        <f>IF(F3279="",0,1)</f>
        <v/>
      </c>
      <c r="H3279" s="29">
        <f>IF(F3279="","",INDEX(Deals!$E$2:$E$843,F3279))</f>
        <v/>
      </c>
      <c r="I3279">
        <f>IF(F3279="","",INDEX(Deals!$D$2:$D$843,F3279))</f>
        <v/>
      </c>
      <c r="J3279">
        <f>IF(F3279="","",INT(H3279)-B3279)</f>
        <v/>
      </c>
      <c r="K3279">
        <f>IF(B3279&gt;=Settings!$C$5,1,0)</f>
        <v/>
      </c>
    </row>
    <row r="3280">
      <c r="A3280" t="inlineStr">
        <is>
          <t>4810e3ec0a42f9824768643af3d99313</t>
        </is>
      </c>
      <c r="B3280" s="29" t="n">
        <v>43245</v>
      </c>
      <c r="C3280" t="inlineStr">
        <is>
          <t>2018-05</t>
        </is>
      </c>
      <c r="D3280" t="inlineStr">
        <is>
          <t>8ff57dffc365fcb5233232fff6e6bfd0</t>
        </is>
      </c>
      <c r="E3280" t="inlineStr">
        <is>
          <t>organic_search</t>
        </is>
      </c>
      <c r="F3280">
        <f>IFERROR(MATCH(A3280,Deals!$A$2:$A$843,0),"")</f>
        <v/>
      </c>
      <c r="G3280">
        <f>IF(F3280="",0,1)</f>
        <v/>
      </c>
      <c r="H3280" s="29">
        <f>IF(F3280="","",INDEX(Deals!$E$2:$E$843,F3280))</f>
        <v/>
      </c>
      <c r="I3280">
        <f>IF(F3280="","",INDEX(Deals!$D$2:$D$843,F3280))</f>
        <v/>
      </c>
      <c r="J3280">
        <f>IF(F3280="","",INT(H3280)-B3280)</f>
        <v/>
      </c>
      <c r="K3280">
        <f>IF(B3280&gt;=Settings!$C$5,1,0)</f>
        <v/>
      </c>
    </row>
    <row r="3281">
      <c r="A3281" t="inlineStr">
        <is>
          <t>f33dc5483be5538172f6e326dc2a4266</t>
        </is>
      </c>
      <c r="B3281" s="29" t="n">
        <v>43179</v>
      </c>
      <c r="C3281" t="inlineStr">
        <is>
          <t>2018-03</t>
        </is>
      </c>
      <c r="D3281" t="inlineStr">
        <is>
          <t>f017be4dbf86243af5c1ebed0cff36a2</t>
        </is>
      </c>
      <c r="E3281" t="inlineStr">
        <is>
          <t>paid_search</t>
        </is>
      </c>
      <c r="F3281">
        <f>IFERROR(MATCH(A3281,Deals!$A$2:$A$843,0),"")</f>
        <v/>
      </c>
      <c r="G3281">
        <f>IF(F3281="",0,1)</f>
        <v/>
      </c>
      <c r="H3281" s="29">
        <f>IF(F3281="","",INDEX(Deals!$E$2:$E$843,F3281))</f>
        <v/>
      </c>
      <c r="I3281">
        <f>IF(F3281="","",INDEX(Deals!$D$2:$D$843,F3281))</f>
        <v/>
      </c>
      <c r="J3281">
        <f>IF(F3281="","",INT(H3281)-B3281)</f>
        <v/>
      </c>
      <c r="K3281">
        <f>IF(B3281&gt;=Settings!$C$5,1,0)</f>
        <v/>
      </c>
    </row>
    <row r="3282">
      <c r="A3282" t="inlineStr">
        <is>
          <t>60041d31882e8d08e106b82dd4197a76</t>
        </is>
      </c>
      <c r="B3282" s="29" t="n">
        <v>43251</v>
      </c>
      <c r="C3282" t="inlineStr">
        <is>
          <t>2018-05</t>
        </is>
      </c>
      <c r="D3282" t="inlineStr">
        <is>
          <t>ce1a65abd0973638f1c887a6efcfa82d</t>
        </is>
      </c>
      <c r="E3282" t="inlineStr">
        <is>
          <t>organic_search</t>
        </is>
      </c>
      <c r="F3282">
        <f>IFERROR(MATCH(A3282,Deals!$A$2:$A$843,0),"")</f>
        <v/>
      </c>
      <c r="G3282">
        <f>IF(F3282="",0,1)</f>
        <v/>
      </c>
      <c r="H3282" s="29">
        <f>IF(F3282="","",INDEX(Deals!$E$2:$E$843,F3282))</f>
        <v/>
      </c>
      <c r="I3282">
        <f>IF(F3282="","",INDEX(Deals!$D$2:$D$843,F3282))</f>
        <v/>
      </c>
      <c r="J3282">
        <f>IF(F3282="","",INT(H3282)-B3282)</f>
        <v/>
      </c>
      <c r="K3282">
        <f>IF(B3282&gt;=Settings!$C$5,1,0)</f>
        <v/>
      </c>
    </row>
    <row r="3283">
      <c r="A3283" t="inlineStr">
        <is>
          <t>897c1eac194eb7db41acc4c73d04bf9e</t>
        </is>
      </c>
      <c r="B3283" s="29" t="n">
        <v>42958</v>
      </c>
      <c r="C3283" t="inlineStr">
        <is>
          <t>2017-08</t>
        </is>
      </c>
      <c r="D3283" t="inlineStr">
        <is>
          <t>87732658ba41d8775e8577df347a64db</t>
        </is>
      </c>
      <c r="E3283" t="inlineStr">
        <is>
          <t>direct_traffic</t>
        </is>
      </c>
      <c r="F3283">
        <f>IFERROR(MATCH(A3283,Deals!$A$2:$A$843,0),"")</f>
        <v/>
      </c>
      <c r="G3283">
        <f>IF(F3283="",0,1)</f>
        <v/>
      </c>
      <c r="H3283" s="29">
        <f>IF(F3283="","",INDEX(Deals!$E$2:$E$843,F3283))</f>
        <v/>
      </c>
      <c r="I3283">
        <f>IF(F3283="","",INDEX(Deals!$D$2:$D$843,F3283))</f>
        <v/>
      </c>
      <c r="J3283">
        <f>IF(F3283="","",INT(H3283)-B3283)</f>
        <v/>
      </c>
      <c r="K3283">
        <f>IF(B3283&gt;=Settings!$C$5,1,0)</f>
        <v/>
      </c>
    </row>
    <row r="3284">
      <c r="A3284" t="inlineStr">
        <is>
          <t>e6f6dea5ad5af912b84d619aeb71258d</t>
        </is>
      </c>
      <c r="B3284" s="29" t="n">
        <v>43242</v>
      </c>
      <c r="C3284" t="inlineStr">
        <is>
          <t>2018-05</t>
        </is>
      </c>
      <c r="D3284" t="inlineStr">
        <is>
          <t>375e354da26e8619e407002dde41f19c</t>
        </is>
      </c>
      <c r="E3284" t="inlineStr">
        <is>
          <t>unknown</t>
        </is>
      </c>
      <c r="F3284">
        <f>IFERROR(MATCH(A3284,Deals!$A$2:$A$843,0),"")</f>
        <v/>
      </c>
      <c r="G3284">
        <f>IF(F3284="",0,1)</f>
        <v/>
      </c>
      <c r="H3284" s="29">
        <f>IF(F3284="","",INDEX(Deals!$E$2:$E$843,F3284))</f>
        <v/>
      </c>
      <c r="I3284">
        <f>IF(F3284="","",INDEX(Deals!$D$2:$D$843,F3284))</f>
        <v/>
      </c>
      <c r="J3284">
        <f>IF(F3284="","",INT(H3284)-B3284)</f>
        <v/>
      </c>
      <c r="K3284">
        <f>IF(B3284&gt;=Settings!$C$5,1,0)</f>
        <v/>
      </c>
    </row>
    <row r="3285">
      <c r="A3285" t="inlineStr">
        <is>
          <t>be1f3b9abdc31feeeda082b2501c65f1</t>
        </is>
      </c>
      <c r="B3285" s="29" t="n">
        <v>43203</v>
      </c>
      <c r="C3285" t="inlineStr">
        <is>
          <t>2018-04</t>
        </is>
      </c>
      <c r="D3285" t="inlineStr">
        <is>
          <t>22c29808c4f815213303f8933030604c</t>
        </is>
      </c>
      <c r="E3285" t="inlineStr">
        <is>
          <t>unknown</t>
        </is>
      </c>
      <c r="F3285">
        <f>IFERROR(MATCH(A3285,Deals!$A$2:$A$843,0),"")</f>
        <v/>
      </c>
      <c r="G3285">
        <f>IF(F3285="",0,1)</f>
        <v/>
      </c>
      <c r="H3285" s="29">
        <f>IF(F3285="","",INDEX(Deals!$E$2:$E$843,F3285))</f>
        <v/>
      </c>
      <c r="I3285">
        <f>IF(F3285="","",INDEX(Deals!$D$2:$D$843,F3285))</f>
        <v/>
      </c>
      <c r="J3285">
        <f>IF(F3285="","",INT(H3285)-B3285)</f>
        <v/>
      </c>
      <c r="K3285">
        <f>IF(B3285&gt;=Settings!$C$5,1,0)</f>
        <v/>
      </c>
    </row>
    <row r="3286">
      <c r="A3286" t="inlineStr">
        <is>
          <t>dc65c7b3e6b2ea3a7c5aac41eeb8fbe0</t>
        </is>
      </c>
      <c r="B3286" s="29" t="n">
        <v>43024</v>
      </c>
      <c r="C3286" t="inlineStr">
        <is>
          <t>2017-10</t>
        </is>
      </c>
      <c r="D3286" t="inlineStr">
        <is>
          <t>f98c2bd96ac4a5d9476734e790c91384</t>
        </is>
      </c>
      <c r="E3286" t="inlineStr">
        <is>
          <t>email</t>
        </is>
      </c>
      <c r="F3286">
        <f>IFERROR(MATCH(A3286,Deals!$A$2:$A$843,0),"")</f>
        <v/>
      </c>
      <c r="G3286">
        <f>IF(F3286="",0,1)</f>
        <v/>
      </c>
      <c r="H3286" s="29">
        <f>IF(F3286="","",INDEX(Deals!$E$2:$E$843,F3286))</f>
        <v/>
      </c>
      <c r="I3286">
        <f>IF(F3286="","",INDEX(Deals!$D$2:$D$843,F3286))</f>
        <v/>
      </c>
      <c r="J3286">
        <f>IF(F3286="","",INT(H3286)-B3286)</f>
        <v/>
      </c>
      <c r="K3286">
        <f>IF(B3286&gt;=Settings!$C$5,1,0)</f>
        <v/>
      </c>
    </row>
    <row r="3287">
      <c r="A3287" t="inlineStr">
        <is>
          <t>bd60b7054e3090a6a7b3fc94f4d9d17f</t>
        </is>
      </c>
      <c r="B3287" s="29" t="n">
        <v>43209</v>
      </c>
      <c r="C3287" t="inlineStr">
        <is>
          <t>2018-04</t>
        </is>
      </c>
      <c r="D3287" t="inlineStr">
        <is>
          <t>5dc848e7dd9418dffe183215b8ff0bc1</t>
        </is>
      </c>
      <c r="E3287" t="inlineStr">
        <is>
          <t>paid_search</t>
        </is>
      </c>
      <c r="F3287">
        <f>IFERROR(MATCH(A3287,Deals!$A$2:$A$843,0),"")</f>
        <v/>
      </c>
      <c r="G3287">
        <f>IF(F3287="",0,1)</f>
        <v/>
      </c>
      <c r="H3287" s="29">
        <f>IF(F3287="","",INDEX(Deals!$E$2:$E$843,F3287))</f>
        <v/>
      </c>
      <c r="I3287">
        <f>IF(F3287="","",INDEX(Deals!$D$2:$D$843,F3287))</f>
        <v/>
      </c>
      <c r="J3287">
        <f>IF(F3287="","",INT(H3287)-B3287)</f>
        <v/>
      </c>
      <c r="K3287">
        <f>IF(B3287&gt;=Settings!$C$5,1,0)</f>
        <v/>
      </c>
    </row>
    <row r="3288">
      <c r="A3288" t="inlineStr">
        <is>
          <t>daee4cd625dd079a114513f6bb1d4b9d</t>
        </is>
      </c>
      <c r="B3288" s="29" t="n">
        <v>43171</v>
      </c>
      <c r="C3288" t="inlineStr">
        <is>
          <t>2018-03</t>
        </is>
      </c>
      <c r="D3288" t="inlineStr">
        <is>
          <t>b76ef37428e6799c421989521c0e5077</t>
        </is>
      </c>
      <c r="E3288" t="inlineStr">
        <is>
          <t>unknown</t>
        </is>
      </c>
      <c r="F3288">
        <f>IFERROR(MATCH(A3288,Deals!$A$2:$A$843,0),"")</f>
        <v/>
      </c>
      <c r="G3288">
        <f>IF(F3288="",0,1)</f>
        <v/>
      </c>
      <c r="H3288" s="29">
        <f>IF(F3288="","",INDEX(Deals!$E$2:$E$843,F3288))</f>
        <v/>
      </c>
      <c r="I3288">
        <f>IF(F3288="","",INDEX(Deals!$D$2:$D$843,F3288))</f>
        <v/>
      </c>
      <c r="J3288">
        <f>IF(F3288="","",INT(H3288)-B3288)</f>
        <v/>
      </c>
      <c r="K3288">
        <f>IF(B3288&gt;=Settings!$C$5,1,0)</f>
        <v/>
      </c>
    </row>
    <row r="3289">
      <c r="A3289" t="inlineStr">
        <is>
          <t>03e6590e4c076c4f58de4bf85811d640</t>
        </is>
      </c>
      <c r="B3289" s="29" t="n">
        <v>43124</v>
      </c>
      <c r="C3289" t="inlineStr">
        <is>
          <t>2018-01</t>
        </is>
      </c>
      <c r="D3289" t="inlineStr">
        <is>
          <t>241f79c7a8fe0270f4fb79fcbbcd17ad</t>
        </is>
      </c>
      <c r="E3289" t="inlineStr">
        <is>
          <t>organic_search</t>
        </is>
      </c>
      <c r="F3289">
        <f>IFERROR(MATCH(A3289,Deals!$A$2:$A$843,0),"")</f>
        <v/>
      </c>
      <c r="G3289">
        <f>IF(F3289="",0,1)</f>
        <v/>
      </c>
      <c r="H3289" s="29">
        <f>IF(F3289="","",INDEX(Deals!$E$2:$E$843,F3289))</f>
        <v/>
      </c>
      <c r="I3289">
        <f>IF(F3289="","",INDEX(Deals!$D$2:$D$843,F3289))</f>
        <v/>
      </c>
      <c r="J3289">
        <f>IF(F3289="","",INT(H3289)-B3289)</f>
        <v/>
      </c>
      <c r="K3289">
        <f>IF(B3289&gt;=Settings!$C$5,1,0)</f>
        <v/>
      </c>
    </row>
    <row r="3290">
      <c r="A3290" t="inlineStr">
        <is>
          <t>984381c0f2f6388d272227375ac5c373</t>
        </is>
      </c>
      <c r="B3290" s="29" t="n">
        <v>43241</v>
      </c>
      <c r="C3290" t="inlineStr">
        <is>
          <t>2018-05</t>
        </is>
      </c>
      <c r="D3290" t="inlineStr">
        <is>
          <t>40dec9f3d5259a3d2dbcdab2114fae47</t>
        </is>
      </c>
      <c r="E3290" t="inlineStr">
        <is>
          <t>paid_search</t>
        </is>
      </c>
      <c r="F3290">
        <f>IFERROR(MATCH(A3290,Deals!$A$2:$A$843,0),"")</f>
        <v/>
      </c>
      <c r="G3290">
        <f>IF(F3290="",0,1)</f>
        <v/>
      </c>
      <c r="H3290" s="29">
        <f>IF(F3290="","",INDEX(Deals!$E$2:$E$843,F3290))</f>
        <v/>
      </c>
      <c r="I3290">
        <f>IF(F3290="","",INDEX(Deals!$D$2:$D$843,F3290))</f>
        <v/>
      </c>
      <c r="J3290">
        <f>IF(F3290="","",INT(H3290)-B3290)</f>
        <v/>
      </c>
      <c r="K3290">
        <f>IF(B3290&gt;=Settings!$C$5,1,0)</f>
        <v/>
      </c>
    </row>
    <row r="3291">
      <c r="A3291" t="inlineStr">
        <is>
          <t>24429f95286e6cdcc6e77aa1b4248cd2</t>
        </is>
      </c>
      <c r="B3291" s="29" t="n">
        <v>43108</v>
      </c>
      <c r="C3291" t="inlineStr">
        <is>
          <t>2018-01</t>
        </is>
      </c>
      <c r="D3291" t="inlineStr">
        <is>
          <t>c6f28f804cf6330e6de735ef6e6fe95c</t>
        </is>
      </c>
      <c r="E3291" t="inlineStr">
        <is>
          <t>organic_search</t>
        </is>
      </c>
      <c r="F3291">
        <f>IFERROR(MATCH(A3291,Deals!$A$2:$A$843,0),"")</f>
        <v/>
      </c>
      <c r="G3291">
        <f>IF(F3291="",0,1)</f>
        <v/>
      </c>
      <c r="H3291" s="29">
        <f>IF(F3291="","",INDEX(Deals!$E$2:$E$843,F3291))</f>
        <v/>
      </c>
      <c r="I3291">
        <f>IF(F3291="","",INDEX(Deals!$D$2:$D$843,F3291))</f>
        <v/>
      </c>
      <c r="J3291">
        <f>IF(F3291="","",INT(H3291)-B3291)</f>
        <v/>
      </c>
      <c r="K3291">
        <f>IF(B3291&gt;=Settings!$C$5,1,0)</f>
        <v/>
      </c>
    </row>
    <row r="3292">
      <c r="A3292" t="inlineStr">
        <is>
          <t>fc723a87e241c9b3c2e5fd4df4ff8e9d</t>
        </is>
      </c>
      <c r="B3292" s="29" t="n">
        <v>43159</v>
      </c>
      <c r="C3292" t="inlineStr">
        <is>
          <t>2018-02</t>
        </is>
      </c>
      <c r="D3292" t="inlineStr">
        <is>
          <t>22c29808c4f815213303f8933030604c</t>
        </is>
      </c>
      <c r="E3292" t="inlineStr">
        <is>
          <t>organic_search</t>
        </is>
      </c>
      <c r="F3292">
        <f>IFERROR(MATCH(A3292,Deals!$A$2:$A$843,0),"")</f>
        <v/>
      </c>
      <c r="G3292">
        <f>IF(F3292="",0,1)</f>
        <v/>
      </c>
      <c r="H3292" s="29">
        <f>IF(F3292="","",INDEX(Deals!$E$2:$E$843,F3292))</f>
        <v/>
      </c>
      <c r="I3292">
        <f>IF(F3292="","",INDEX(Deals!$D$2:$D$843,F3292))</f>
        <v/>
      </c>
      <c r="J3292">
        <f>IF(F3292="","",INT(H3292)-B3292)</f>
        <v/>
      </c>
      <c r="K3292">
        <f>IF(B3292&gt;=Settings!$C$5,1,0)</f>
        <v/>
      </c>
    </row>
    <row r="3293">
      <c r="A3293" t="inlineStr">
        <is>
          <t>9040b06453b2f1d7ed7fd1ab2377e6a1</t>
        </is>
      </c>
      <c r="B3293" s="29" t="n">
        <v>43098</v>
      </c>
      <c r="C3293" t="inlineStr">
        <is>
          <t>2017-12</t>
        </is>
      </c>
      <c r="D3293" t="inlineStr">
        <is>
          <t>b76ef37428e6799c421989521c0e5077</t>
        </is>
      </c>
      <c r="E3293" t="inlineStr">
        <is>
          <t>unknown</t>
        </is>
      </c>
      <c r="F3293">
        <f>IFERROR(MATCH(A3293,Deals!$A$2:$A$843,0),"")</f>
        <v/>
      </c>
      <c r="G3293">
        <f>IF(F3293="",0,1)</f>
        <v/>
      </c>
      <c r="H3293" s="29">
        <f>IF(F3293="","",INDEX(Deals!$E$2:$E$843,F3293))</f>
        <v/>
      </c>
      <c r="I3293">
        <f>IF(F3293="","",INDEX(Deals!$D$2:$D$843,F3293))</f>
        <v/>
      </c>
      <c r="J3293">
        <f>IF(F3293="","",INT(H3293)-B3293)</f>
        <v/>
      </c>
      <c r="K3293">
        <f>IF(B3293&gt;=Settings!$C$5,1,0)</f>
        <v/>
      </c>
    </row>
    <row r="3294">
      <c r="A3294" t="inlineStr">
        <is>
          <t>58350ebc61b97bd7c28aeaca836c9c26</t>
        </is>
      </c>
      <c r="B3294" s="29" t="n">
        <v>43235</v>
      </c>
      <c r="C3294" t="inlineStr">
        <is>
          <t>2018-05</t>
        </is>
      </c>
      <c r="D3294" t="inlineStr">
        <is>
          <t>b76ef37428e6799c421989521c0e5077</t>
        </is>
      </c>
      <c r="E3294" t="inlineStr">
        <is>
          <t>referral</t>
        </is>
      </c>
      <c r="F3294">
        <f>IFERROR(MATCH(A3294,Deals!$A$2:$A$843,0),"")</f>
        <v/>
      </c>
      <c r="G3294">
        <f>IF(F3294="",0,1)</f>
        <v/>
      </c>
      <c r="H3294" s="29">
        <f>IF(F3294="","",INDEX(Deals!$E$2:$E$843,F3294))</f>
        <v/>
      </c>
      <c r="I3294">
        <f>IF(F3294="","",INDEX(Deals!$D$2:$D$843,F3294))</f>
        <v/>
      </c>
      <c r="J3294">
        <f>IF(F3294="","",INT(H3294)-B3294)</f>
        <v/>
      </c>
      <c r="K3294">
        <f>IF(B3294&gt;=Settings!$C$5,1,0)</f>
        <v/>
      </c>
    </row>
    <row r="3295">
      <c r="A3295" t="inlineStr">
        <is>
          <t>1c04abeb85a834a19e1ace9220311fe2</t>
        </is>
      </c>
      <c r="B3295" s="29" t="n">
        <v>43177</v>
      </c>
      <c r="C3295" t="inlineStr">
        <is>
          <t>2018-03</t>
        </is>
      </c>
      <c r="D3295" t="inlineStr">
        <is>
          <t>330b9d44078a1ae5a221d655dcb77afa</t>
        </is>
      </c>
      <c r="E3295" t="inlineStr">
        <is>
          <t>organic_search</t>
        </is>
      </c>
      <c r="F3295">
        <f>IFERROR(MATCH(A3295,Deals!$A$2:$A$843,0),"")</f>
        <v/>
      </c>
      <c r="G3295">
        <f>IF(F3295="",0,1)</f>
        <v/>
      </c>
      <c r="H3295" s="29">
        <f>IF(F3295="","",INDEX(Deals!$E$2:$E$843,F3295))</f>
        <v/>
      </c>
      <c r="I3295">
        <f>IF(F3295="","",INDEX(Deals!$D$2:$D$843,F3295))</f>
        <v/>
      </c>
      <c r="J3295">
        <f>IF(F3295="","",INT(H3295)-B3295)</f>
        <v/>
      </c>
      <c r="K3295">
        <f>IF(B3295&gt;=Settings!$C$5,1,0)</f>
        <v/>
      </c>
    </row>
    <row r="3296">
      <c r="A3296" t="inlineStr">
        <is>
          <t>d29a8d2929a392319e84dcc21046ca9d</t>
        </is>
      </c>
      <c r="B3296" s="29" t="n">
        <v>43218</v>
      </c>
      <c r="C3296" t="inlineStr">
        <is>
          <t>2018-04</t>
        </is>
      </c>
      <c r="D3296" t="inlineStr">
        <is>
          <t>21a104c3279681d9856b8a48723c4fee</t>
        </is>
      </c>
      <c r="E3296" t="inlineStr">
        <is>
          <t>unknown</t>
        </is>
      </c>
      <c r="F3296">
        <f>IFERROR(MATCH(A3296,Deals!$A$2:$A$843,0),"")</f>
        <v/>
      </c>
      <c r="G3296">
        <f>IF(F3296="",0,1)</f>
        <v/>
      </c>
      <c r="H3296" s="29">
        <f>IF(F3296="","",INDEX(Deals!$E$2:$E$843,F3296))</f>
        <v/>
      </c>
      <c r="I3296">
        <f>IF(F3296="","",INDEX(Deals!$D$2:$D$843,F3296))</f>
        <v/>
      </c>
      <c r="J3296">
        <f>IF(F3296="","",INT(H3296)-B3296)</f>
        <v/>
      </c>
      <c r="K3296">
        <f>IF(B3296&gt;=Settings!$C$5,1,0)</f>
        <v/>
      </c>
    </row>
    <row r="3297">
      <c r="A3297" t="inlineStr">
        <is>
          <t>9afe53ca909bd0bba8e614e9f824bc1f</t>
        </is>
      </c>
      <c r="B3297" s="29" t="n">
        <v>43159</v>
      </c>
      <c r="C3297" t="inlineStr">
        <is>
          <t>2018-02</t>
        </is>
      </c>
      <c r="D3297" t="inlineStr">
        <is>
          <t>b6cd08ac77c501fd6857f7916d2c24f3</t>
        </is>
      </c>
      <c r="E3297" t="inlineStr">
        <is>
          <t>organic_search</t>
        </is>
      </c>
      <c r="F3297">
        <f>IFERROR(MATCH(A3297,Deals!$A$2:$A$843,0),"")</f>
        <v/>
      </c>
      <c r="G3297">
        <f>IF(F3297="",0,1)</f>
        <v/>
      </c>
      <c r="H3297" s="29">
        <f>IF(F3297="","",INDEX(Deals!$E$2:$E$843,F3297))</f>
        <v/>
      </c>
      <c r="I3297">
        <f>IF(F3297="","",INDEX(Deals!$D$2:$D$843,F3297))</f>
        <v/>
      </c>
      <c r="J3297">
        <f>IF(F3297="","",INT(H3297)-B3297)</f>
        <v/>
      </c>
      <c r="K3297">
        <f>IF(B3297&gt;=Settings!$C$5,1,0)</f>
        <v/>
      </c>
    </row>
    <row r="3298">
      <c r="A3298" t="inlineStr">
        <is>
          <t>4c600743a60302ab380fb726cd7c49a8</t>
        </is>
      </c>
      <c r="B3298" s="29" t="n">
        <v>43129</v>
      </c>
      <c r="C3298" t="inlineStr">
        <is>
          <t>2018-01</t>
        </is>
      </c>
      <c r="D3298" t="inlineStr">
        <is>
          <t>0b37d43dbde6452cdd94c17bf61a88e4</t>
        </is>
      </c>
      <c r="E3298" t="inlineStr">
        <is>
          <t>organic_search</t>
        </is>
      </c>
      <c r="F3298">
        <f>IFERROR(MATCH(A3298,Deals!$A$2:$A$843,0),"")</f>
        <v/>
      </c>
      <c r="G3298">
        <f>IF(F3298="",0,1)</f>
        <v/>
      </c>
      <c r="H3298" s="29">
        <f>IF(F3298="","",INDEX(Deals!$E$2:$E$843,F3298))</f>
        <v/>
      </c>
      <c r="I3298">
        <f>IF(F3298="","",INDEX(Deals!$D$2:$D$843,F3298))</f>
        <v/>
      </c>
      <c r="J3298">
        <f>IF(F3298="","",INT(H3298)-B3298)</f>
        <v/>
      </c>
      <c r="K3298">
        <f>IF(B3298&gt;=Settings!$C$5,1,0)</f>
        <v/>
      </c>
    </row>
    <row r="3299">
      <c r="A3299" t="inlineStr">
        <is>
          <t>a7a8f7739ddc1abdd3bf7d4f9d8a911f</t>
        </is>
      </c>
      <c r="B3299" s="29" t="n">
        <v>43196</v>
      </c>
      <c r="C3299" t="inlineStr">
        <is>
          <t>2018-04</t>
        </is>
      </c>
      <c r="D3299" t="inlineStr">
        <is>
          <t>ce1a65abd0973638f1c887a6efcfa82d</t>
        </is>
      </c>
      <c r="E3299" t="inlineStr">
        <is>
          <t>organic_search</t>
        </is>
      </c>
      <c r="F3299">
        <f>IFERROR(MATCH(A3299,Deals!$A$2:$A$843,0),"")</f>
        <v/>
      </c>
      <c r="G3299">
        <f>IF(F3299="",0,1)</f>
        <v/>
      </c>
      <c r="H3299" s="29">
        <f>IF(F3299="","",INDEX(Deals!$E$2:$E$843,F3299))</f>
        <v/>
      </c>
      <c r="I3299">
        <f>IF(F3299="","",INDEX(Deals!$D$2:$D$843,F3299))</f>
        <v/>
      </c>
      <c r="J3299">
        <f>IF(F3299="","",INT(H3299)-B3299)</f>
        <v/>
      </c>
      <c r="K3299">
        <f>IF(B3299&gt;=Settings!$C$5,1,0)</f>
        <v/>
      </c>
    </row>
    <row r="3300">
      <c r="A3300" t="inlineStr">
        <is>
          <t>9e7f111f15db1aa3830cd806660d7b97</t>
        </is>
      </c>
      <c r="B3300" s="29" t="n">
        <v>43230</v>
      </c>
      <c r="C3300" t="inlineStr">
        <is>
          <t>2018-05</t>
        </is>
      </c>
      <c r="D3300" t="inlineStr">
        <is>
          <t>b76ef37428e6799c421989521c0e5077</t>
        </is>
      </c>
      <c r="E3300" t="inlineStr">
        <is>
          <t>unknown</t>
        </is>
      </c>
      <c r="F3300">
        <f>IFERROR(MATCH(A3300,Deals!$A$2:$A$843,0),"")</f>
        <v/>
      </c>
      <c r="G3300">
        <f>IF(F3300="",0,1)</f>
        <v/>
      </c>
      <c r="H3300" s="29">
        <f>IF(F3300="","",INDEX(Deals!$E$2:$E$843,F3300))</f>
        <v/>
      </c>
      <c r="I3300">
        <f>IF(F3300="","",INDEX(Deals!$D$2:$D$843,F3300))</f>
        <v/>
      </c>
      <c r="J3300">
        <f>IF(F3300="","",INT(H3300)-B3300)</f>
        <v/>
      </c>
      <c r="K3300">
        <f>IF(B3300&gt;=Settings!$C$5,1,0)</f>
        <v/>
      </c>
    </row>
    <row r="3301">
      <c r="A3301" t="inlineStr">
        <is>
          <t>e0df2a6236771992a0d39345c4b73f71</t>
        </is>
      </c>
      <c r="B3301" s="29" t="n">
        <v>43122</v>
      </c>
      <c r="C3301" t="inlineStr">
        <is>
          <t>2018-01</t>
        </is>
      </c>
      <c r="D3301" t="inlineStr">
        <is>
          <t>5209e2e679d32a6619feb6942702fd14</t>
        </is>
      </c>
      <c r="E3301" t="inlineStr">
        <is>
          <t>organic_search</t>
        </is>
      </c>
      <c r="F3301">
        <f>IFERROR(MATCH(A3301,Deals!$A$2:$A$843,0),"")</f>
        <v/>
      </c>
      <c r="G3301">
        <f>IF(F3301="",0,1)</f>
        <v/>
      </c>
      <c r="H3301" s="29">
        <f>IF(F3301="","",INDEX(Deals!$E$2:$E$843,F3301))</f>
        <v/>
      </c>
      <c r="I3301">
        <f>IF(F3301="","",INDEX(Deals!$D$2:$D$843,F3301))</f>
        <v/>
      </c>
      <c r="J3301">
        <f>IF(F3301="","",INT(H3301)-B3301)</f>
        <v/>
      </c>
      <c r="K3301">
        <f>IF(B3301&gt;=Settings!$C$5,1,0)</f>
        <v/>
      </c>
    </row>
    <row r="3302">
      <c r="A3302" t="inlineStr">
        <is>
          <t>b27416b4650db0b348d5ce259521f749</t>
        </is>
      </c>
      <c r="B3302" s="29" t="n">
        <v>43137</v>
      </c>
      <c r="C3302" t="inlineStr">
        <is>
          <t>2018-02</t>
        </is>
      </c>
      <c r="D3302" t="inlineStr">
        <is>
          <t>b48ec5f3b04e9068441002a19df93c6c</t>
        </is>
      </c>
      <c r="E3302" t="inlineStr">
        <is>
          <t>organic_search</t>
        </is>
      </c>
      <c r="F3302">
        <f>IFERROR(MATCH(A3302,Deals!$A$2:$A$843,0),"")</f>
        <v/>
      </c>
      <c r="G3302">
        <f>IF(F3302="",0,1)</f>
        <v/>
      </c>
      <c r="H3302" s="29">
        <f>IF(F3302="","",INDEX(Deals!$E$2:$E$843,F3302))</f>
        <v/>
      </c>
      <c r="I3302">
        <f>IF(F3302="","",INDEX(Deals!$D$2:$D$843,F3302))</f>
        <v/>
      </c>
      <c r="J3302">
        <f>IF(F3302="","",INT(H3302)-B3302)</f>
        <v/>
      </c>
      <c r="K3302">
        <f>IF(B3302&gt;=Settings!$C$5,1,0)</f>
        <v/>
      </c>
    </row>
    <row r="3303">
      <c r="A3303" t="inlineStr">
        <is>
          <t>5f646a5880274ae390d1b52e4f372e5d</t>
        </is>
      </c>
      <c r="B3303" s="29" t="n">
        <v>43136</v>
      </c>
      <c r="C3303" t="inlineStr">
        <is>
          <t>2018-02</t>
        </is>
      </c>
      <c r="D3303" t="inlineStr">
        <is>
          <t>b76ef37428e6799c421989521c0e5077</t>
        </is>
      </c>
      <c r="E3303" t="inlineStr">
        <is>
          <t>unknown</t>
        </is>
      </c>
      <c r="F3303">
        <f>IFERROR(MATCH(A3303,Deals!$A$2:$A$843,0),"")</f>
        <v/>
      </c>
      <c r="G3303">
        <f>IF(F3303="",0,1)</f>
        <v/>
      </c>
      <c r="H3303" s="29">
        <f>IF(F3303="","",INDEX(Deals!$E$2:$E$843,F3303))</f>
        <v/>
      </c>
      <c r="I3303">
        <f>IF(F3303="","",INDEX(Deals!$D$2:$D$843,F3303))</f>
        <v/>
      </c>
      <c r="J3303">
        <f>IF(F3303="","",INT(H3303)-B3303)</f>
        <v/>
      </c>
      <c r="K3303">
        <f>IF(B3303&gt;=Settings!$C$5,1,0)</f>
        <v/>
      </c>
    </row>
    <row r="3304">
      <c r="A3304" t="inlineStr">
        <is>
          <t>8c1c08e691380b533c7312fbe3fbee6e</t>
        </is>
      </c>
      <c r="B3304" s="29" t="n">
        <v>43238</v>
      </c>
      <c r="C3304" t="inlineStr">
        <is>
          <t>2018-05</t>
        </is>
      </c>
      <c r="D3304" t="inlineStr">
        <is>
          <t>b76ef37428e6799c421989521c0e5077</t>
        </is>
      </c>
      <c r="E3304" t="inlineStr">
        <is>
          <t>paid_search</t>
        </is>
      </c>
      <c r="F3304">
        <f>IFERROR(MATCH(A3304,Deals!$A$2:$A$843,0),"")</f>
        <v/>
      </c>
      <c r="G3304">
        <f>IF(F3304="",0,1)</f>
        <v/>
      </c>
      <c r="H3304" s="29">
        <f>IF(F3304="","",INDEX(Deals!$E$2:$E$843,F3304))</f>
        <v/>
      </c>
      <c r="I3304">
        <f>IF(F3304="","",INDEX(Deals!$D$2:$D$843,F3304))</f>
        <v/>
      </c>
      <c r="J3304">
        <f>IF(F3304="","",INT(H3304)-B3304)</f>
        <v/>
      </c>
      <c r="K3304">
        <f>IF(B3304&gt;=Settings!$C$5,1,0)</f>
        <v/>
      </c>
    </row>
    <row r="3305">
      <c r="A3305" t="inlineStr">
        <is>
          <t>99d4eaef9991695d7ad94b83ad5c5223</t>
        </is>
      </c>
      <c r="B3305" s="29" t="n">
        <v>43210</v>
      </c>
      <c r="C3305" t="inlineStr">
        <is>
          <t>2018-04</t>
        </is>
      </c>
      <c r="D3305" t="inlineStr">
        <is>
          <t>22c29808c4f815213303f8933030604c</t>
        </is>
      </c>
      <c r="E3305" t="inlineStr">
        <is>
          <t>email</t>
        </is>
      </c>
      <c r="F3305">
        <f>IFERROR(MATCH(A3305,Deals!$A$2:$A$843,0),"")</f>
        <v/>
      </c>
      <c r="G3305">
        <f>IF(F3305="",0,1)</f>
        <v/>
      </c>
      <c r="H3305" s="29">
        <f>IF(F3305="","",INDEX(Deals!$E$2:$E$843,F3305))</f>
        <v/>
      </c>
      <c r="I3305">
        <f>IF(F3305="","",INDEX(Deals!$D$2:$D$843,F3305))</f>
        <v/>
      </c>
      <c r="J3305">
        <f>IF(F3305="","",INT(H3305)-B3305)</f>
        <v/>
      </c>
      <c r="K3305">
        <f>IF(B3305&gt;=Settings!$C$5,1,0)</f>
        <v/>
      </c>
    </row>
    <row r="3306">
      <c r="A3306" t="inlineStr">
        <is>
          <t>768a02c350549c32585575742d6c29da</t>
        </is>
      </c>
      <c r="B3306" s="29" t="n">
        <v>43227</v>
      </c>
      <c r="C3306" t="inlineStr">
        <is>
          <t>2018-05</t>
        </is>
      </c>
      <c r="D3306" t="inlineStr">
        <is>
          <t>22c29808c4f815213303f8933030604c</t>
        </is>
      </c>
      <c r="E3306" t="inlineStr">
        <is>
          <t>organic_search</t>
        </is>
      </c>
      <c r="F3306">
        <f>IFERROR(MATCH(A3306,Deals!$A$2:$A$843,0),"")</f>
        <v/>
      </c>
      <c r="G3306">
        <f>IF(F3306="",0,1)</f>
        <v/>
      </c>
      <c r="H3306" s="29">
        <f>IF(F3306="","",INDEX(Deals!$E$2:$E$843,F3306))</f>
        <v/>
      </c>
      <c r="I3306">
        <f>IF(F3306="","",INDEX(Deals!$D$2:$D$843,F3306))</f>
        <v/>
      </c>
      <c r="J3306">
        <f>IF(F3306="","",INT(H3306)-B3306)</f>
        <v/>
      </c>
      <c r="K3306">
        <f>IF(B3306&gt;=Settings!$C$5,1,0)</f>
        <v/>
      </c>
    </row>
    <row r="3307">
      <c r="A3307" t="inlineStr">
        <is>
          <t>1ad4dd307e6008f932e93b13dd19de5d</t>
        </is>
      </c>
      <c r="B3307" s="29" t="n">
        <v>43192</v>
      </c>
      <c r="C3307" t="inlineStr">
        <is>
          <t>2018-04</t>
        </is>
      </c>
      <c r="D3307" t="inlineStr">
        <is>
          <t>f4cb9c7b1dc31afca77d4896d2ae8d4b</t>
        </is>
      </c>
      <c r="E3307" t="inlineStr">
        <is>
          <t>organic_search</t>
        </is>
      </c>
      <c r="F3307">
        <f>IFERROR(MATCH(A3307,Deals!$A$2:$A$843,0),"")</f>
        <v/>
      </c>
      <c r="G3307">
        <f>IF(F3307="",0,1)</f>
        <v/>
      </c>
      <c r="H3307" s="29">
        <f>IF(F3307="","",INDEX(Deals!$E$2:$E$843,F3307))</f>
        <v/>
      </c>
      <c r="I3307">
        <f>IF(F3307="","",INDEX(Deals!$D$2:$D$843,F3307))</f>
        <v/>
      </c>
      <c r="J3307">
        <f>IF(F3307="","",INT(H3307)-B3307)</f>
        <v/>
      </c>
      <c r="K3307">
        <f>IF(B3307&gt;=Settings!$C$5,1,0)</f>
        <v/>
      </c>
    </row>
    <row r="3308">
      <c r="A3308" t="inlineStr">
        <is>
          <t>ceee632a967af1be6e1c0a29e21bb1c5</t>
        </is>
      </c>
      <c r="B3308" s="29" t="n">
        <v>42922</v>
      </c>
      <c r="C3308" t="inlineStr">
        <is>
          <t>2017-07</t>
        </is>
      </c>
      <c r="D3308" t="inlineStr">
        <is>
          <t>d1bad8bf984bd4d7ee08f814ca589897</t>
        </is>
      </c>
      <c r="E3308" t="inlineStr">
        <is>
          <t>paid_search</t>
        </is>
      </c>
      <c r="F3308">
        <f>IFERROR(MATCH(A3308,Deals!$A$2:$A$843,0),"")</f>
        <v/>
      </c>
      <c r="G3308">
        <f>IF(F3308="",0,1)</f>
        <v/>
      </c>
      <c r="H3308" s="29">
        <f>IF(F3308="","",INDEX(Deals!$E$2:$E$843,F3308))</f>
        <v/>
      </c>
      <c r="I3308">
        <f>IF(F3308="","",INDEX(Deals!$D$2:$D$843,F3308))</f>
        <v/>
      </c>
      <c r="J3308">
        <f>IF(F3308="","",INT(H3308)-B3308)</f>
        <v/>
      </c>
      <c r="K3308">
        <f>IF(B3308&gt;=Settings!$C$5,1,0)</f>
        <v/>
      </c>
    </row>
    <row r="3309">
      <c r="A3309" t="inlineStr">
        <is>
          <t>7289106c3ebccb21877f9a50b697e761</t>
        </is>
      </c>
      <c r="B3309" s="29" t="n">
        <v>43203</v>
      </c>
      <c r="C3309" t="inlineStr">
        <is>
          <t>2018-04</t>
        </is>
      </c>
      <c r="D3309" t="inlineStr">
        <is>
          <t>58326e62183c14b0c03085c33b9fdc44</t>
        </is>
      </c>
      <c r="E3309" t="inlineStr">
        <is>
          <t>social</t>
        </is>
      </c>
      <c r="F3309">
        <f>IFERROR(MATCH(A3309,Deals!$A$2:$A$843,0),"")</f>
        <v/>
      </c>
      <c r="G3309">
        <f>IF(F3309="",0,1)</f>
        <v/>
      </c>
      <c r="H3309" s="29">
        <f>IF(F3309="","",INDEX(Deals!$E$2:$E$843,F3309))</f>
        <v/>
      </c>
      <c r="I3309">
        <f>IF(F3309="","",INDEX(Deals!$D$2:$D$843,F3309))</f>
        <v/>
      </c>
      <c r="J3309">
        <f>IF(F3309="","",INT(H3309)-B3309)</f>
        <v/>
      </c>
      <c r="K3309">
        <f>IF(B3309&gt;=Settings!$C$5,1,0)</f>
        <v/>
      </c>
    </row>
    <row r="3310">
      <c r="A3310" t="inlineStr">
        <is>
          <t>02b710980274801e7136781fffa997c9</t>
        </is>
      </c>
      <c r="B3310" s="29" t="n">
        <v>43017</v>
      </c>
      <c r="C3310" t="inlineStr">
        <is>
          <t>2017-10</t>
        </is>
      </c>
      <c r="D3310" t="inlineStr">
        <is>
          <t>8d912d37229efff168ceba5d640cc4a1</t>
        </is>
      </c>
      <c r="E3310" t="inlineStr">
        <is>
          <t>paid_search</t>
        </is>
      </c>
      <c r="F3310">
        <f>IFERROR(MATCH(A3310,Deals!$A$2:$A$843,0),"")</f>
        <v/>
      </c>
      <c r="G3310">
        <f>IF(F3310="",0,1)</f>
        <v/>
      </c>
      <c r="H3310" s="29">
        <f>IF(F3310="","",INDEX(Deals!$E$2:$E$843,F3310))</f>
        <v/>
      </c>
      <c r="I3310">
        <f>IF(F3310="","",INDEX(Deals!$D$2:$D$843,F3310))</f>
        <v/>
      </c>
      <c r="J3310">
        <f>IF(F3310="","",INT(H3310)-B3310)</f>
        <v/>
      </c>
      <c r="K3310">
        <f>IF(B3310&gt;=Settings!$C$5,1,0)</f>
        <v/>
      </c>
    </row>
    <row r="3311">
      <c r="A3311" t="inlineStr">
        <is>
          <t>24bd9a43665868b86b260f6e326b7c5f</t>
        </is>
      </c>
      <c r="B3311" s="29" t="n">
        <v>43112</v>
      </c>
      <c r="C3311" t="inlineStr">
        <is>
          <t>2018-01</t>
        </is>
      </c>
      <c r="D3311" t="inlineStr">
        <is>
          <t>b76ef37428e6799c421989521c0e5077</t>
        </is>
      </c>
      <c r="E3311" t="inlineStr">
        <is>
          <t>unknown</t>
        </is>
      </c>
      <c r="F3311">
        <f>IFERROR(MATCH(A3311,Deals!$A$2:$A$843,0),"")</f>
        <v/>
      </c>
      <c r="G3311">
        <f>IF(F3311="",0,1)</f>
        <v/>
      </c>
      <c r="H3311" s="29">
        <f>IF(F3311="","",INDEX(Deals!$E$2:$E$843,F3311))</f>
        <v/>
      </c>
      <c r="I3311">
        <f>IF(F3311="","",INDEX(Deals!$D$2:$D$843,F3311))</f>
        <v/>
      </c>
      <c r="J3311">
        <f>IF(F3311="","",INT(H3311)-B3311)</f>
        <v/>
      </c>
      <c r="K3311">
        <f>IF(B3311&gt;=Settings!$C$5,1,0)</f>
        <v/>
      </c>
    </row>
    <row r="3312">
      <c r="A3312" t="inlineStr">
        <is>
          <t>f4bb62e0c04206fbb517a106e1357dd2</t>
        </is>
      </c>
      <c r="B3312" s="29" t="n">
        <v>43220</v>
      </c>
      <c r="C3312" t="inlineStr">
        <is>
          <t>2018-04</t>
        </is>
      </c>
      <c r="D3312" t="inlineStr">
        <is>
          <t>b76ef37428e6799c421989521c0e5077</t>
        </is>
      </c>
      <c r="E3312" t="inlineStr">
        <is>
          <t>unknown</t>
        </is>
      </c>
      <c r="F3312">
        <f>IFERROR(MATCH(A3312,Deals!$A$2:$A$843,0),"")</f>
        <v/>
      </c>
      <c r="G3312">
        <f>IF(F3312="",0,1)</f>
        <v/>
      </c>
      <c r="H3312" s="29">
        <f>IF(F3312="","",INDEX(Deals!$E$2:$E$843,F3312))</f>
        <v/>
      </c>
      <c r="I3312">
        <f>IF(F3312="","",INDEX(Deals!$D$2:$D$843,F3312))</f>
        <v/>
      </c>
      <c r="J3312">
        <f>IF(F3312="","",INT(H3312)-B3312)</f>
        <v/>
      </c>
      <c r="K3312">
        <f>IF(B3312&gt;=Settings!$C$5,1,0)</f>
        <v/>
      </c>
    </row>
    <row r="3313">
      <c r="A3313" t="inlineStr">
        <is>
          <t>725124625c74ed2702c448c169c723c7</t>
        </is>
      </c>
      <c r="B3313" s="29" t="n">
        <v>43147</v>
      </c>
      <c r="C3313" t="inlineStr">
        <is>
          <t>2018-02</t>
        </is>
      </c>
      <c r="D3313" t="inlineStr">
        <is>
          <t>22c29808c4f815213303f8933030604c</t>
        </is>
      </c>
      <c r="E3313" t="inlineStr">
        <is>
          <t>organic_search</t>
        </is>
      </c>
      <c r="F3313">
        <f>IFERROR(MATCH(A3313,Deals!$A$2:$A$843,0),"")</f>
        <v/>
      </c>
      <c r="G3313">
        <f>IF(F3313="",0,1)</f>
        <v/>
      </c>
      <c r="H3313" s="29">
        <f>IF(F3313="","",INDEX(Deals!$E$2:$E$843,F3313))</f>
        <v/>
      </c>
      <c r="I3313">
        <f>IF(F3313="","",INDEX(Deals!$D$2:$D$843,F3313))</f>
        <v/>
      </c>
      <c r="J3313">
        <f>IF(F3313="","",INT(H3313)-B3313)</f>
        <v/>
      </c>
      <c r="K3313">
        <f>IF(B3313&gt;=Settings!$C$5,1,0)</f>
        <v/>
      </c>
    </row>
    <row r="3314">
      <c r="A3314" t="inlineStr">
        <is>
          <t>8fe8b1a271feba2ac9af3584caddbf89</t>
        </is>
      </c>
      <c r="B3314" s="29" t="n">
        <v>42970</v>
      </c>
      <c r="C3314" t="inlineStr">
        <is>
          <t>2017-08</t>
        </is>
      </c>
      <c r="D3314" t="inlineStr">
        <is>
          <t>c555aa36478386fdf85a2d0ca5cd0ff8</t>
        </is>
      </c>
      <c r="E3314" t="inlineStr">
        <is>
          <t>unknown</t>
        </is>
      </c>
      <c r="F3314">
        <f>IFERROR(MATCH(A3314,Deals!$A$2:$A$843,0),"")</f>
        <v/>
      </c>
      <c r="G3314">
        <f>IF(F3314="",0,1)</f>
        <v/>
      </c>
      <c r="H3314" s="29">
        <f>IF(F3314="","",INDEX(Deals!$E$2:$E$843,F3314))</f>
        <v/>
      </c>
      <c r="I3314">
        <f>IF(F3314="","",INDEX(Deals!$D$2:$D$843,F3314))</f>
        <v/>
      </c>
      <c r="J3314">
        <f>IF(F3314="","",INT(H3314)-B3314)</f>
        <v/>
      </c>
      <c r="K3314">
        <f>IF(B3314&gt;=Settings!$C$5,1,0)</f>
        <v/>
      </c>
    </row>
    <row r="3315">
      <c r="A3315" t="inlineStr">
        <is>
          <t>48b928005eb587644756f16e5705e3f0</t>
        </is>
      </c>
      <c r="B3315" s="29" t="n">
        <v>43094</v>
      </c>
      <c r="C3315" t="inlineStr">
        <is>
          <t>2017-12</t>
        </is>
      </c>
      <c r="D3315" t="inlineStr">
        <is>
          <t>e492ee5eaf1697716985cc6f33f9cd9b</t>
        </is>
      </c>
      <c r="E3315" t="inlineStr">
        <is>
          <t>social</t>
        </is>
      </c>
      <c r="F3315">
        <f>IFERROR(MATCH(A3315,Deals!$A$2:$A$843,0),"")</f>
        <v/>
      </c>
      <c r="G3315">
        <f>IF(F3315="",0,1)</f>
        <v/>
      </c>
      <c r="H3315" s="29">
        <f>IF(F3315="","",INDEX(Deals!$E$2:$E$843,F3315))</f>
        <v/>
      </c>
      <c r="I3315">
        <f>IF(F3315="","",INDEX(Deals!$D$2:$D$843,F3315))</f>
        <v/>
      </c>
      <c r="J3315">
        <f>IF(F3315="","",INT(H3315)-B3315)</f>
        <v/>
      </c>
      <c r="K3315">
        <f>IF(B3315&gt;=Settings!$C$5,1,0)</f>
        <v/>
      </c>
    </row>
    <row r="3316">
      <c r="A3316" t="inlineStr">
        <is>
          <t>647715020a35f278c5ff9de26e2a4f9b</t>
        </is>
      </c>
      <c r="B3316" s="29" t="n">
        <v>43157</v>
      </c>
      <c r="C3316" t="inlineStr">
        <is>
          <t>2018-02</t>
        </is>
      </c>
      <c r="D3316" t="inlineStr">
        <is>
          <t>40dec9f3d5259a3d2dbcdab2114fae47</t>
        </is>
      </c>
      <c r="E3316" t="inlineStr">
        <is>
          <t>paid_search</t>
        </is>
      </c>
      <c r="F3316">
        <f>IFERROR(MATCH(A3316,Deals!$A$2:$A$843,0),"")</f>
        <v/>
      </c>
      <c r="G3316">
        <f>IF(F3316="",0,1)</f>
        <v/>
      </c>
      <c r="H3316" s="29">
        <f>IF(F3316="","",INDEX(Deals!$E$2:$E$843,F3316))</f>
        <v/>
      </c>
      <c r="I3316">
        <f>IF(F3316="","",INDEX(Deals!$D$2:$D$843,F3316))</f>
        <v/>
      </c>
      <c r="J3316">
        <f>IF(F3316="","",INT(H3316)-B3316)</f>
        <v/>
      </c>
      <c r="K3316">
        <f>IF(B3316&gt;=Settings!$C$5,1,0)</f>
        <v/>
      </c>
    </row>
    <row r="3317">
      <c r="A3317" t="inlineStr">
        <is>
          <t>67e19867d0c1a2fc445053ec818b59a1</t>
        </is>
      </c>
      <c r="B3317" s="29" t="n">
        <v>43160</v>
      </c>
      <c r="C3317" t="inlineStr">
        <is>
          <t>2018-03</t>
        </is>
      </c>
      <c r="D3317" t="inlineStr">
        <is>
          <t>73f31a40697cc90a86c1273563ac230e</t>
        </is>
      </c>
      <c r="E3317" t="inlineStr">
        <is>
          <t>paid_search</t>
        </is>
      </c>
      <c r="F3317">
        <f>IFERROR(MATCH(A3317,Deals!$A$2:$A$843,0),"")</f>
        <v/>
      </c>
      <c r="G3317">
        <f>IF(F3317="",0,1)</f>
        <v/>
      </c>
      <c r="H3317" s="29">
        <f>IF(F3317="","",INDEX(Deals!$E$2:$E$843,F3317))</f>
        <v/>
      </c>
      <c r="I3317">
        <f>IF(F3317="","",INDEX(Deals!$D$2:$D$843,F3317))</f>
        <v/>
      </c>
      <c r="J3317">
        <f>IF(F3317="","",INT(H3317)-B3317)</f>
        <v/>
      </c>
      <c r="K3317">
        <f>IF(B3317&gt;=Settings!$C$5,1,0)</f>
        <v/>
      </c>
    </row>
    <row r="3318">
      <c r="A3318" t="inlineStr">
        <is>
          <t>261258fa9daa95e7a0dd8872229b63b2</t>
        </is>
      </c>
      <c r="B3318" s="29" t="n">
        <v>43085</v>
      </c>
      <c r="C3318" t="inlineStr">
        <is>
          <t>2017-12</t>
        </is>
      </c>
      <c r="D3318" t="inlineStr">
        <is>
          <t>88740e65d5d6b056e0cda098e1ea6313</t>
        </is>
      </c>
      <c r="E3318" t="inlineStr">
        <is>
          <t>social</t>
        </is>
      </c>
      <c r="F3318">
        <f>IFERROR(MATCH(A3318,Deals!$A$2:$A$843,0),"")</f>
        <v/>
      </c>
      <c r="G3318">
        <f>IF(F3318="",0,1)</f>
        <v/>
      </c>
      <c r="H3318" s="29">
        <f>IF(F3318="","",INDEX(Deals!$E$2:$E$843,F3318))</f>
        <v/>
      </c>
      <c r="I3318">
        <f>IF(F3318="","",INDEX(Deals!$D$2:$D$843,F3318))</f>
        <v/>
      </c>
      <c r="J3318">
        <f>IF(F3318="","",INT(H3318)-B3318)</f>
        <v/>
      </c>
      <c r="K3318">
        <f>IF(B3318&gt;=Settings!$C$5,1,0)</f>
        <v/>
      </c>
    </row>
    <row r="3319">
      <c r="A3319" t="inlineStr">
        <is>
          <t>a0a7ffa593070c447c15f66e0aab9785</t>
        </is>
      </c>
      <c r="B3319" s="29" t="n">
        <v>43145</v>
      </c>
      <c r="C3319" t="inlineStr">
        <is>
          <t>2018-02</t>
        </is>
      </c>
      <c r="D3319" t="inlineStr">
        <is>
          <t>ce1a65abd0973638f1c887a6efcfa82d</t>
        </is>
      </c>
      <c r="E3319" t="inlineStr">
        <is>
          <t>organic_search</t>
        </is>
      </c>
      <c r="F3319">
        <f>IFERROR(MATCH(A3319,Deals!$A$2:$A$843,0),"")</f>
        <v/>
      </c>
      <c r="G3319">
        <f>IF(F3319="",0,1)</f>
        <v/>
      </c>
      <c r="H3319" s="29">
        <f>IF(F3319="","",INDEX(Deals!$E$2:$E$843,F3319))</f>
        <v/>
      </c>
      <c r="I3319">
        <f>IF(F3319="","",INDEX(Deals!$D$2:$D$843,F3319))</f>
        <v/>
      </c>
      <c r="J3319">
        <f>IF(F3319="","",INT(H3319)-B3319)</f>
        <v/>
      </c>
      <c r="K3319">
        <f>IF(B3319&gt;=Settings!$C$5,1,0)</f>
        <v/>
      </c>
    </row>
    <row r="3320">
      <c r="A3320" t="inlineStr">
        <is>
          <t>32360cc376d9eccccb1fe41583e4eabc</t>
        </is>
      </c>
      <c r="B3320" s="29" t="n">
        <v>43248</v>
      </c>
      <c r="C3320" t="inlineStr">
        <is>
          <t>2018-05</t>
        </is>
      </c>
      <c r="D3320" t="inlineStr">
        <is>
          <t>ce1a65abd0973638f1c887a6efcfa82d</t>
        </is>
      </c>
      <c r="E3320" t="inlineStr">
        <is>
          <t>direct_traffic</t>
        </is>
      </c>
      <c r="F3320">
        <f>IFERROR(MATCH(A3320,Deals!$A$2:$A$843,0),"")</f>
        <v/>
      </c>
      <c r="G3320">
        <f>IF(F3320="",0,1)</f>
        <v/>
      </c>
      <c r="H3320" s="29">
        <f>IF(F3320="","",INDEX(Deals!$E$2:$E$843,F3320))</f>
        <v/>
      </c>
      <c r="I3320">
        <f>IF(F3320="","",INDEX(Deals!$D$2:$D$843,F3320))</f>
        <v/>
      </c>
      <c r="J3320">
        <f>IF(F3320="","",INT(H3320)-B3320)</f>
        <v/>
      </c>
      <c r="K3320">
        <f>IF(B3320&gt;=Settings!$C$5,1,0)</f>
        <v/>
      </c>
    </row>
    <row r="3321">
      <c r="A3321" t="inlineStr">
        <is>
          <t>3a24e72cfa0b739f8c5b15a0caa24191</t>
        </is>
      </c>
      <c r="B3321" s="29" t="n">
        <v>43137</v>
      </c>
      <c r="C3321" t="inlineStr">
        <is>
          <t>2018-02</t>
        </is>
      </c>
      <c r="D3321" t="inlineStr">
        <is>
          <t>4e82dd1f6d00626bda0723eef0a269a6</t>
        </is>
      </c>
      <c r="E3321" t="inlineStr">
        <is>
          <t>organic_search</t>
        </is>
      </c>
      <c r="F3321">
        <f>IFERROR(MATCH(A3321,Deals!$A$2:$A$843,0),"")</f>
        <v/>
      </c>
      <c r="G3321">
        <f>IF(F3321="",0,1)</f>
        <v/>
      </c>
      <c r="H3321" s="29">
        <f>IF(F3321="","",INDEX(Deals!$E$2:$E$843,F3321))</f>
        <v/>
      </c>
      <c r="I3321">
        <f>IF(F3321="","",INDEX(Deals!$D$2:$D$843,F3321))</f>
        <v/>
      </c>
      <c r="J3321">
        <f>IF(F3321="","",INT(H3321)-B3321)</f>
        <v/>
      </c>
      <c r="K3321">
        <f>IF(B3321&gt;=Settings!$C$5,1,0)</f>
        <v/>
      </c>
    </row>
    <row r="3322">
      <c r="A3322" t="inlineStr">
        <is>
          <t>55dbee9943100076f718829ec0359185</t>
        </is>
      </c>
      <c r="B3322" s="29" t="n">
        <v>43163</v>
      </c>
      <c r="C3322" t="inlineStr">
        <is>
          <t>2018-03</t>
        </is>
      </c>
      <c r="D3322" t="inlineStr">
        <is>
          <t>22c29808c4f815213303f8933030604c</t>
        </is>
      </c>
      <c r="E3322" t="inlineStr">
        <is>
          <t>organic_search</t>
        </is>
      </c>
      <c r="F3322">
        <f>IFERROR(MATCH(A3322,Deals!$A$2:$A$843,0),"")</f>
        <v/>
      </c>
      <c r="G3322">
        <f>IF(F3322="",0,1)</f>
        <v/>
      </c>
      <c r="H3322" s="29">
        <f>IF(F3322="","",INDEX(Deals!$E$2:$E$843,F3322))</f>
        <v/>
      </c>
      <c r="I3322">
        <f>IF(F3322="","",INDEX(Deals!$D$2:$D$843,F3322))</f>
        <v/>
      </c>
      <c r="J3322">
        <f>IF(F3322="","",INT(H3322)-B3322)</f>
        <v/>
      </c>
      <c r="K3322">
        <f>IF(B3322&gt;=Settings!$C$5,1,0)</f>
        <v/>
      </c>
    </row>
    <row r="3323">
      <c r="A3323" t="inlineStr">
        <is>
          <t>6b814d3b944dcaaeb9538f0cea60b838</t>
        </is>
      </c>
      <c r="B3323" s="29" t="n">
        <v>43018</v>
      </c>
      <c r="C3323" t="inlineStr">
        <is>
          <t>2017-10</t>
        </is>
      </c>
      <c r="D3323" t="inlineStr">
        <is>
          <t>88740e65d5d6b056e0cda098e1ea6313</t>
        </is>
      </c>
      <c r="E3323" t="inlineStr">
        <is>
          <t>social</t>
        </is>
      </c>
      <c r="F3323">
        <f>IFERROR(MATCH(A3323,Deals!$A$2:$A$843,0),"")</f>
        <v/>
      </c>
      <c r="G3323">
        <f>IF(F3323="",0,1)</f>
        <v/>
      </c>
      <c r="H3323" s="29">
        <f>IF(F3323="","",INDEX(Deals!$E$2:$E$843,F3323))</f>
        <v/>
      </c>
      <c r="I3323">
        <f>IF(F3323="","",INDEX(Deals!$D$2:$D$843,F3323))</f>
        <v/>
      </c>
      <c r="J3323">
        <f>IF(F3323="","",INT(H3323)-B3323)</f>
        <v/>
      </c>
      <c r="K3323">
        <f>IF(B3323&gt;=Settings!$C$5,1,0)</f>
        <v/>
      </c>
    </row>
    <row r="3324">
      <c r="A3324" t="inlineStr">
        <is>
          <t>6ea0c26d77ee6e6734da4a89e846b668</t>
        </is>
      </c>
      <c r="B3324" s="29" t="n">
        <v>43228</v>
      </c>
      <c r="C3324" t="inlineStr">
        <is>
          <t>2018-05</t>
        </is>
      </c>
      <c r="D3324" t="inlineStr">
        <is>
          <t>d83b0d0e48c8447d1d5507a44027a955</t>
        </is>
      </c>
      <c r="E3324" t="inlineStr">
        <is>
          <t>unknown</t>
        </is>
      </c>
      <c r="F3324">
        <f>IFERROR(MATCH(A3324,Deals!$A$2:$A$843,0),"")</f>
        <v/>
      </c>
      <c r="G3324">
        <f>IF(F3324="",0,1)</f>
        <v/>
      </c>
      <c r="H3324" s="29">
        <f>IF(F3324="","",INDEX(Deals!$E$2:$E$843,F3324))</f>
        <v/>
      </c>
      <c r="I3324">
        <f>IF(F3324="","",INDEX(Deals!$D$2:$D$843,F3324))</f>
        <v/>
      </c>
      <c r="J3324">
        <f>IF(F3324="","",INT(H3324)-B3324)</f>
        <v/>
      </c>
      <c r="K3324">
        <f>IF(B3324&gt;=Settings!$C$5,1,0)</f>
        <v/>
      </c>
    </row>
    <row r="3325">
      <c r="A3325" t="inlineStr">
        <is>
          <t>4fdeceef54c4e757fdbf8ea9132b22c9</t>
        </is>
      </c>
      <c r="B3325" s="29" t="n">
        <v>43123</v>
      </c>
      <c r="C3325" t="inlineStr">
        <is>
          <t>2018-01</t>
        </is>
      </c>
      <c r="D3325" t="inlineStr">
        <is>
          <t>22c29808c4f815213303f8933030604c</t>
        </is>
      </c>
      <c r="E3325" t="inlineStr">
        <is>
          <t>organic_search</t>
        </is>
      </c>
      <c r="F3325">
        <f>IFERROR(MATCH(A3325,Deals!$A$2:$A$843,0),"")</f>
        <v/>
      </c>
      <c r="G3325">
        <f>IF(F3325="",0,1)</f>
        <v/>
      </c>
      <c r="H3325" s="29">
        <f>IF(F3325="","",INDEX(Deals!$E$2:$E$843,F3325))</f>
        <v/>
      </c>
      <c r="I3325">
        <f>IF(F3325="","",INDEX(Deals!$D$2:$D$843,F3325))</f>
        <v/>
      </c>
      <c r="J3325">
        <f>IF(F3325="","",INT(H3325)-B3325)</f>
        <v/>
      </c>
      <c r="K3325">
        <f>IF(B3325&gt;=Settings!$C$5,1,0)</f>
        <v/>
      </c>
    </row>
    <row r="3326">
      <c r="A3326" t="inlineStr">
        <is>
          <t>abba6fc3cee14b26ebcfe34fc793b7d4</t>
        </is>
      </c>
      <c r="B3326" s="29" t="n">
        <v>43235</v>
      </c>
      <c r="C3326" t="inlineStr">
        <is>
          <t>2018-05</t>
        </is>
      </c>
      <c r="D3326" t="inlineStr">
        <is>
          <t>358adb2fee9a122549618e46925a00a5</t>
        </is>
      </c>
      <c r="E3326" t="inlineStr">
        <is>
          <t>organic_search</t>
        </is>
      </c>
      <c r="F3326">
        <f>IFERROR(MATCH(A3326,Deals!$A$2:$A$843,0),"")</f>
        <v/>
      </c>
      <c r="G3326">
        <f>IF(F3326="",0,1)</f>
        <v/>
      </c>
      <c r="H3326" s="29">
        <f>IF(F3326="","",INDEX(Deals!$E$2:$E$843,F3326))</f>
        <v/>
      </c>
      <c r="I3326">
        <f>IF(F3326="","",INDEX(Deals!$D$2:$D$843,F3326))</f>
        <v/>
      </c>
      <c r="J3326">
        <f>IF(F3326="","",INT(H3326)-B3326)</f>
        <v/>
      </c>
      <c r="K3326">
        <f>IF(B3326&gt;=Settings!$C$5,1,0)</f>
        <v/>
      </c>
    </row>
    <row r="3327">
      <c r="A3327" t="inlineStr">
        <is>
          <t>9c8d31c02ff77587df09f1e89fc52b16</t>
        </is>
      </c>
      <c r="B3327" s="29" t="n">
        <v>43245</v>
      </c>
      <c r="C3327" t="inlineStr">
        <is>
          <t>2018-05</t>
        </is>
      </c>
      <c r="D3327" t="inlineStr">
        <is>
          <t>ea0650174e273c41e12002dcdd4708be</t>
        </is>
      </c>
      <c r="E3327" t="inlineStr">
        <is>
          <t>referral</t>
        </is>
      </c>
      <c r="F3327">
        <f>IFERROR(MATCH(A3327,Deals!$A$2:$A$843,0),"")</f>
        <v/>
      </c>
      <c r="G3327">
        <f>IF(F3327="",0,1)</f>
        <v/>
      </c>
      <c r="H3327" s="29">
        <f>IF(F3327="","",INDEX(Deals!$E$2:$E$843,F3327))</f>
        <v/>
      </c>
      <c r="I3327">
        <f>IF(F3327="","",INDEX(Deals!$D$2:$D$843,F3327))</f>
        <v/>
      </c>
      <c r="J3327">
        <f>IF(F3327="","",INT(H3327)-B3327)</f>
        <v/>
      </c>
      <c r="K3327">
        <f>IF(B3327&gt;=Settings!$C$5,1,0)</f>
        <v/>
      </c>
    </row>
    <row r="3328">
      <c r="A3328" t="inlineStr">
        <is>
          <t>c3badfdcfdd0211f106ec21d95e0bdf1</t>
        </is>
      </c>
      <c r="B3328" s="29" t="n">
        <v>43106</v>
      </c>
      <c r="C3328" t="inlineStr">
        <is>
          <t>2018-01</t>
        </is>
      </c>
      <c r="D3328" t="inlineStr">
        <is>
          <t>f017be4dbf86243af5c1ebed0cff36a2</t>
        </is>
      </c>
      <c r="E3328" t="inlineStr">
        <is>
          <t>organic_search</t>
        </is>
      </c>
      <c r="F3328">
        <f>IFERROR(MATCH(A3328,Deals!$A$2:$A$843,0),"")</f>
        <v/>
      </c>
      <c r="G3328">
        <f>IF(F3328="",0,1)</f>
        <v/>
      </c>
      <c r="H3328" s="29">
        <f>IF(F3328="","",INDEX(Deals!$E$2:$E$843,F3328))</f>
        <v/>
      </c>
      <c r="I3328">
        <f>IF(F3328="","",INDEX(Deals!$D$2:$D$843,F3328))</f>
        <v/>
      </c>
      <c r="J3328">
        <f>IF(F3328="","",INT(H3328)-B3328)</f>
        <v/>
      </c>
      <c r="K3328">
        <f>IF(B3328&gt;=Settings!$C$5,1,0)</f>
        <v/>
      </c>
    </row>
    <row r="3329">
      <c r="A3329" t="inlineStr">
        <is>
          <t>b50b5a692bf4199456329af7b86c8e4b</t>
        </is>
      </c>
      <c r="B3329" s="29" t="n">
        <v>43223</v>
      </c>
      <c r="C3329" t="inlineStr">
        <is>
          <t>2018-05</t>
        </is>
      </c>
      <c r="D3329" t="inlineStr">
        <is>
          <t>22c29808c4f815213303f8933030604c</t>
        </is>
      </c>
      <c r="E3329" t="inlineStr">
        <is>
          <t>organic_search</t>
        </is>
      </c>
      <c r="F3329">
        <f>IFERROR(MATCH(A3329,Deals!$A$2:$A$843,0),"")</f>
        <v/>
      </c>
      <c r="G3329">
        <f>IF(F3329="",0,1)</f>
        <v/>
      </c>
      <c r="H3329" s="29">
        <f>IF(F3329="","",INDEX(Deals!$E$2:$E$843,F3329))</f>
        <v/>
      </c>
      <c r="I3329">
        <f>IF(F3329="","",INDEX(Deals!$D$2:$D$843,F3329))</f>
        <v/>
      </c>
      <c r="J3329">
        <f>IF(F3329="","",INT(H3329)-B3329)</f>
        <v/>
      </c>
      <c r="K3329">
        <f>IF(B3329&gt;=Settings!$C$5,1,0)</f>
        <v/>
      </c>
    </row>
    <row r="3330">
      <c r="A3330" t="inlineStr">
        <is>
          <t>afb4ae095e2640ec1e64f1960a8f255c</t>
        </is>
      </c>
      <c r="B3330" s="29" t="n">
        <v>43167</v>
      </c>
      <c r="C3330" t="inlineStr">
        <is>
          <t>2018-03</t>
        </is>
      </c>
      <c r="D3330" t="inlineStr">
        <is>
          <t>8f08d2ef8b9aec2ec5118fbcf7f96f11</t>
        </is>
      </c>
      <c r="E3330" t="inlineStr">
        <is>
          <t>organic_search</t>
        </is>
      </c>
      <c r="F3330">
        <f>IFERROR(MATCH(A3330,Deals!$A$2:$A$843,0),"")</f>
        <v/>
      </c>
      <c r="G3330">
        <f>IF(F3330="",0,1)</f>
        <v/>
      </c>
      <c r="H3330" s="29">
        <f>IF(F3330="","",INDEX(Deals!$E$2:$E$843,F3330))</f>
        <v/>
      </c>
      <c r="I3330">
        <f>IF(F3330="","",INDEX(Deals!$D$2:$D$843,F3330))</f>
        <v/>
      </c>
      <c r="J3330">
        <f>IF(F3330="","",INT(H3330)-B3330)</f>
        <v/>
      </c>
      <c r="K3330">
        <f>IF(B3330&gt;=Settings!$C$5,1,0)</f>
        <v/>
      </c>
    </row>
    <row r="3331">
      <c r="A3331" t="inlineStr">
        <is>
          <t>04c165998a3bfee2c2b46a8d8840dacc</t>
        </is>
      </c>
      <c r="B3331" s="29" t="n">
        <v>43202</v>
      </c>
      <c r="C3331" t="inlineStr">
        <is>
          <t>2018-04</t>
        </is>
      </c>
      <c r="D3331" t="inlineStr">
        <is>
          <t>b76ef37428e6799c421989521c0e5077</t>
        </is>
      </c>
      <c r="E3331" t="inlineStr">
        <is>
          <t>unknown</t>
        </is>
      </c>
      <c r="F3331">
        <f>IFERROR(MATCH(A3331,Deals!$A$2:$A$843,0),"")</f>
        <v/>
      </c>
      <c r="G3331">
        <f>IF(F3331="",0,1)</f>
        <v/>
      </c>
      <c r="H3331" s="29">
        <f>IF(F3331="","",INDEX(Deals!$E$2:$E$843,F3331))</f>
        <v/>
      </c>
      <c r="I3331">
        <f>IF(F3331="","",INDEX(Deals!$D$2:$D$843,F3331))</f>
        <v/>
      </c>
      <c r="J3331">
        <f>IF(F3331="","",INT(H3331)-B3331)</f>
        <v/>
      </c>
      <c r="K3331">
        <f>IF(B3331&gt;=Settings!$C$5,1,0)</f>
        <v/>
      </c>
    </row>
    <row r="3332">
      <c r="A3332" t="inlineStr">
        <is>
          <t>bd988b0e7b1fdfeb2f7f883fd067887b</t>
        </is>
      </c>
      <c r="B3332" s="29" t="n">
        <v>42993</v>
      </c>
      <c r="C3332" t="inlineStr">
        <is>
          <t>2017-09</t>
        </is>
      </c>
      <c r="D3332" t="inlineStr">
        <is>
          <t>40acf2a9cf2fe4de391609431f40dfb7</t>
        </is>
      </c>
      <c r="E3332" t="inlineStr">
        <is>
          <t>organic_search</t>
        </is>
      </c>
      <c r="F3332">
        <f>IFERROR(MATCH(A3332,Deals!$A$2:$A$843,0),"")</f>
        <v/>
      </c>
      <c r="G3332">
        <f>IF(F3332="",0,1)</f>
        <v/>
      </c>
      <c r="H3332" s="29">
        <f>IF(F3332="","",INDEX(Deals!$E$2:$E$843,F3332))</f>
        <v/>
      </c>
      <c r="I3332">
        <f>IF(F3332="","",INDEX(Deals!$D$2:$D$843,F3332))</f>
        <v/>
      </c>
      <c r="J3332">
        <f>IF(F3332="","",INT(H3332)-B3332)</f>
        <v/>
      </c>
      <c r="K3332">
        <f>IF(B3332&gt;=Settings!$C$5,1,0)</f>
        <v/>
      </c>
    </row>
    <row r="3333">
      <c r="A3333" t="inlineStr">
        <is>
          <t>f72ea1e6ece2fdaf44afdde14a71f5b0</t>
        </is>
      </c>
      <c r="B3333" s="29" t="n">
        <v>43235</v>
      </c>
      <c r="C3333" t="inlineStr">
        <is>
          <t>2018-05</t>
        </is>
      </c>
      <c r="D3333" t="inlineStr">
        <is>
          <t>0b9430edcbf2d9a95148c806af2b6699</t>
        </is>
      </c>
      <c r="E3333" t="inlineStr">
        <is>
          <t>paid_search</t>
        </is>
      </c>
      <c r="F3333">
        <f>IFERROR(MATCH(A3333,Deals!$A$2:$A$843,0),"")</f>
        <v/>
      </c>
      <c r="G3333">
        <f>IF(F3333="",0,1)</f>
        <v/>
      </c>
      <c r="H3333" s="29">
        <f>IF(F3333="","",INDEX(Deals!$E$2:$E$843,F3333))</f>
        <v/>
      </c>
      <c r="I3333">
        <f>IF(F3333="","",INDEX(Deals!$D$2:$D$843,F3333))</f>
        <v/>
      </c>
      <c r="J3333">
        <f>IF(F3333="","",INT(H3333)-B3333)</f>
        <v/>
      </c>
      <c r="K3333">
        <f>IF(B3333&gt;=Settings!$C$5,1,0)</f>
        <v/>
      </c>
    </row>
    <row r="3334">
      <c r="A3334" t="inlineStr">
        <is>
          <t>9ed9db8a24173e361f760ee8d0c6ffee</t>
        </is>
      </c>
      <c r="B3334" s="29" t="n">
        <v>43068</v>
      </c>
      <c r="C3334" t="inlineStr">
        <is>
          <t>2017-11</t>
        </is>
      </c>
      <c r="D3334" t="inlineStr">
        <is>
          <t>88740e65d5d6b056e0cda098e1ea6313</t>
        </is>
      </c>
      <c r="E3334" t="inlineStr">
        <is>
          <t>social</t>
        </is>
      </c>
      <c r="F3334">
        <f>IFERROR(MATCH(A3334,Deals!$A$2:$A$843,0),"")</f>
        <v/>
      </c>
      <c r="G3334">
        <f>IF(F3334="",0,1)</f>
        <v/>
      </c>
      <c r="H3334" s="29">
        <f>IF(F3334="","",INDEX(Deals!$E$2:$E$843,F3334))</f>
        <v/>
      </c>
      <c r="I3334">
        <f>IF(F3334="","",INDEX(Deals!$D$2:$D$843,F3334))</f>
        <v/>
      </c>
      <c r="J3334">
        <f>IF(F3334="","",INT(H3334)-B3334)</f>
        <v/>
      </c>
      <c r="K3334">
        <f>IF(B3334&gt;=Settings!$C$5,1,0)</f>
        <v/>
      </c>
    </row>
    <row r="3335">
      <c r="A3335" t="inlineStr">
        <is>
          <t>97c94ae691105989d42fdbb5d4f17e3e</t>
        </is>
      </c>
      <c r="B3335" s="29" t="n">
        <v>43223</v>
      </c>
      <c r="C3335" t="inlineStr">
        <is>
          <t>2018-05</t>
        </is>
      </c>
      <c r="D3335" t="inlineStr">
        <is>
          <t>b76ef37428e6799c421989521c0e5077</t>
        </is>
      </c>
      <c r="E3335" t="inlineStr">
        <is>
          <t>unknown</t>
        </is>
      </c>
      <c r="F3335">
        <f>IFERROR(MATCH(A3335,Deals!$A$2:$A$843,0),"")</f>
        <v/>
      </c>
      <c r="G3335">
        <f>IF(F3335="",0,1)</f>
        <v/>
      </c>
      <c r="H3335" s="29">
        <f>IF(F3335="","",INDEX(Deals!$E$2:$E$843,F3335))</f>
        <v/>
      </c>
      <c r="I3335">
        <f>IF(F3335="","",INDEX(Deals!$D$2:$D$843,F3335))</f>
        <v/>
      </c>
      <c r="J3335">
        <f>IF(F3335="","",INT(H3335)-B3335)</f>
        <v/>
      </c>
      <c r="K3335">
        <f>IF(B3335&gt;=Settings!$C$5,1,0)</f>
        <v/>
      </c>
    </row>
    <row r="3336">
      <c r="A3336" t="inlineStr">
        <is>
          <t>77cc6e00bd18eda4ff007fa5dd9c3a9e</t>
        </is>
      </c>
      <c r="B3336" s="29" t="n">
        <v>43168</v>
      </c>
      <c r="C3336" t="inlineStr">
        <is>
          <t>2018-03</t>
        </is>
      </c>
      <c r="D3336" t="inlineStr">
        <is>
          <t>3fd71e7e6cf64921740567dcfefb68cf</t>
        </is>
      </c>
      <c r="E3336" t="inlineStr">
        <is>
          <t>email</t>
        </is>
      </c>
      <c r="F3336">
        <f>IFERROR(MATCH(A3336,Deals!$A$2:$A$843,0),"")</f>
        <v/>
      </c>
      <c r="G3336">
        <f>IF(F3336="",0,1)</f>
        <v/>
      </c>
      <c r="H3336" s="29">
        <f>IF(F3336="","",INDEX(Deals!$E$2:$E$843,F3336))</f>
        <v/>
      </c>
      <c r="I3336">
        <f>IF(F3336="","",INDEX(Deals!$D$2:$D$843,F3336))</f>
        <v/>
      </c>
      <c r="J3336">
        <f>IF(F3336="","",INT(H3336)-B3336)</f>
        <v/>
      </c>
      <c r="K3336">
        <f>IF(B3336&gt;=Settings!$C$5,1,0)</f>
        <v/>
      </c>
    </row>
    <row r="3337">
      <c r="A3337" t="inlineStr">
        <is>
          <t>d348734a9ee240ebc4c0937a6e755621</t>
        </is>
      </c>
      <c r="B3337" s="29" t="n">
        <v>43122</v>
      </c>
      <c r="C3337" t="inlineStr">
        <is>
          <t>2018-01</t>
        </is>
      </c>
      <c r="D3337" t="inlineStr">
        <is>
          <t>241f79c7a8fe0270f4fb79fcbbcd17ad</t>
        </is>
      </c>
      <c r="E3337" t="inlineStr">
        <is>
          <t>paid_search</t>
        </is>
      </c>
      <c r="F3337">
        <f>IFERROR(MATCH(A3337,Deals!$A$2:$A$843,0),"")</f>
        <v/>
      </c>
      <c r="G3337">
        <f>IF(F3337="",0,1)</f>
        <v/>
      </c>
      <c r="H3337" s="29">
        <f>IF(F3337="","",INDEX(Deals!$E$2:$E$843,F3337))</f>
        <v/>
      </c>
      <c r="I3337">
        <f>IF(F3337="","",INDEX(Deals!$D$2:$D$843,F3337))</f>
        <v/>
      </c>
      <c r="J3337">
        <f>IF(F3337="","",INT(H3337)-B3337)</f>
        <v/>
      </c>
      <c r="K3337">
        <f>IF(B3337&gt;=Settings!$C$5,1,0)</f>
        <v/>
      </c>
    </row>
    <row r="3338">
      <c r="A3338" t="inlineStr">
        <is>
          <t>0f7a3e9f4a5a415ee8d01aa7ad65ab7a</t>
        </is>
      </c>
      <c r="B3338" s="29" t="n">
        <v>43209</v>
      </c>
      <c r="C3338" t="inlineStr">
        <is>
          <t>2018-04</t>
        </is>
      </c>
      <c r="D3338" t="inlineStr">
        <is>
          <t>b76ef37428e6799c421989521c0e5077</t>
        </is>
      </c>
      <c r="E3338" t="inlineStr">
        <is>
          <t>unknown</t>
        </is>
      </c>
      <c r="F3338">
        <f>IFERROR(MATCH(A3338,Deals!$A$2:$A$843,0),"")</f>
        <v/>
      </c>
      <c r="G3338">
        <f>IF(F3338="",0,1)</f>
        <v/>
      </c>
      <c r="H3338" s="29">
        <f>IF(F3338="","",INDEX(Deals!$E$2:$E$843,F3338))</f>
        <v/>
      </c>
      <c r="I3338">
        <f>IF(F3338="","",INDEX(Deals!$D$2:$D$843,F3338))</f>
        <v/>
      </c>
      <c r="J3338">
        <f>IF(F3338="","",INT(H3338)-B3338)</f>
        <v/>
      </c>
      <c r="K3338">
        <f>IF(B3338&gt;=Settings!$C$5,1,0)</f>
        <v/>
      </c>
    </row>
    <row r="3339">
      <c r="A3339" t="inlineStr">
        <is>
          <t>bb3a026fe12bd786f45348b570f08cba</t>
        </is>
      </c>
      <c r="B3339" s="29" t="n">
        <v>43220</v>
      </c>
      <c r="C3339" t="inlineStr">
        <is>
          <t>2018-04</t>
        </is>
      </c>
      <c r="D3339" t="inlineStr">
        <is>
          <t>30534107aa0013db92899c96a1017d0b</t>
        </is>
      </c>
      <c r="E3339" t="inlineStr">
        <is>
          <t>social</t>
        </is>
      </c>
      <c r="F3339">
        <f>IFERROR(MATCH(A3339,Deals!$A$2:$A$843,0),"")</f>
        <v/>
      </c>
      <c r="G3339">
        <f>IF(F3339="",0,1)</f>
        <v/>
      </c>
      <c r="H3339" s="29">
        <f>IF(F3339="","",INDEX(Deals!$E$2:$E$843,F3339))</f>
        <v/>
      </c>
      <c r="I3339">
        <f>IF(F3339="","",INDEX(Deals!$D$2:$D$843,F3339))</f>
        <v/>
      </c>
      <c r="J3339">
        <f>IF(F3339="","",INT(H3339)-B3339)</f>
        <v/>
      </c>
      <c r="K3339">
        <f>IF(B3339&gt;=Settings!$C$5,1,0)</f>
        <v/>
      </c>
    </row>
    <row r="3340">
      <c r="A3340" t="inlineStr">
        <is>
          <t>845803d7964d4fe814b629e902e01f40</t>
        </is>
      </c>
      <c r="B3340" s="29" t="n">
        <v>43123</v>
      </c>
      <c r="C3340" t="inlineStr">
        <is>
          <t>2018-01</t>
        </is>
      </c>
      <c r="D3340" t="inlineStr">
        <is>
          <t>d45d558f0daeecf3cccdffe3c59684aa</t>
        </is>
      </c>
      <c r="E3340" t="inlineStr">
        <is>
          <t>referral</t>
        </is>
      </c>
      <c r="F3340">
        <f>IFERROR(MATCH(A3340,Deals!$A$2:$A$843,0),"")</f>
        <v/>
      </c>
      <c r="G3340">
        <f>IF(F3340="",0,1)</f>
        <v/>
      </c>
      <c r="H3340" s="29">
        <f>IF(F3340="","",INDEX(Deals!$E$2:$E$843,F3340))</f>
        <v/>
      </c>
      <c r="I3340">
        <f>IF(F3340="","",INDEX(Deals!$D$2:$D$843,F3340))</f>
        <v/>
      </c>
      <c r="J3340">
        <f>IF(F3340="","",INT(H3340)-B3340)</f>
        <v/>
      </c>
      <c r="K3340">
        <f>IF(B3340&gt;=Settings!$C$5,1,0)</f>
        <v/>
      </c>
    </row>
    <row r="3341">
      <c r="A3341" t="inlineStr">
        <is>
          <t>04921466d09d50f6541fdd33b322c876</t>
        </is>
      </c>
      <c r="B3341" s="29" t="n">
        <v>43213</v>
      </c>
      <c r="C3341" t="inlineStr">
        <is>
          <t>2018-04</t>
        </is>
      </c>
      <c r="D3341" t="inlineStr">
        <is>
          <t>b76ef37428e6799c421989521c0e5077</t>
        </is>
      </c>
      <c r="E3341" t="inlineStr">
        <is>
          <t>organic_search</t>
        </is>
      </c>
      <c r="F3341">
        <f>IFERROR(MATCH(A3341,Deals!$A$2:$A$843,0),"")</f>
        <v/>
      </c>
      <c r="G3341">
        <f>IF(F3341="",0,1)</f>
        <v/>
      </c>
      <c r="H3341" s="29">
        <f>IF(F3341="","",INDEX(Deals!$E$2:$E$843,F3341))</f>
        <v/>
      </c>
      <c r="I3341">
        <f>IF(F3341="","",INDEX(Deals!$D$2:$D$843,F3341))</f>
        <v/>
      </c>
      <c r="J3341">
        <f>IF(F3341="","",INT(H3341)-B3341)</f>
        <v/>
      </c>
      <c r="K3341">
        <f>IF(B3341&gt;=Settings!$C$5,1,0)</f>
        <v/>
      </c>
    </row>
    <row r="3342">
      <c r="A3342" t="inlineStr">
        <is>
          <t>82aa20a74dbe3e0e85c23ba8d645d3ce</t>
        </is>
      </c>
      <c r="B3342" s="29" t="n">
        <v>43117</v>
      </c>
      <c r="C3342" t="inlineStr">
        <is>
          <t>2018-01</t>
        </is>
      </c>
      <c r="D3342" t="inlineStr">
        <is>
          <t>241f79c7a8fe0270f4fb79fcbbcd17ad</t>
        </is>
      </c>
      <c r="E3342" t="inlineStr">
        <is>
          <t>paid_search</t>
        </is>
      </c>
      <c r="F3342">
        <f>IFERROR(MATCH(A3342,Deals!$A$2:$A$843,0),"")</f>
        <v/>
      </c>
      <c r="G3342">
        <f>IF(F3342="",0,1)</f>
        <v/>
      </c>
      <c r="H3342" s="29">
        <f>IF(F3342="","",INDEX(Deals!$E$2:$E$843,F3342))</f>
        <v/>
      </c>
      <c r="I3342">
        <f>IF(F3342="","",INDEX(Deals!$D$2:$D$843,F3342))</f>
        <v/>
      </c>
      <c r="J3342">
        <f>IF(F3342="","",INT(H3342)-B3342)</f>
        <v/>
      </c>
      <c r="K3342">
        <f>IF(B3342&gt;=Settings!$C$5,1,0)</f>
        <v/>
      </c>
    </row>
    <row r="3343">
      <c r="A3343" t="inlineStr">
        <is>
          <t>ed838a488fe3b6f38b987ee11c9f8823</t>
        </is>
      </c>
      <c r="B3343" s="29" t="n">
        <v>43152</v>
      </c>
      <c r="C3343" t="inlineStr">
        <is>
          <t>2018-02</t>
        </is>
      </c>
      <c r="D3343" t="inlineStr">
        <is>
          <t>a7982125ff7aa3b2054c6e44f9d28522</t>
        </is>
      </c>
      <c r="E3343" t="inlineStr">
        <is>
          <t>organic_search</t>
        </is>
      </c>
      <c r="F3343">
        <f>IFERROR(MATCH(A3343,Deals!$A$2:$A$843,0),"")</f>
        <v/>
      </c>
      <c r="G3343">
        <f>IF(F3343="",0,1)</f>
        <v/>
      </c>
      <c r="H3343" s="29">
        <f>IF(F3343="","",INDEX(Deals!$E$2:$E$843,F3343))</f>
        <v/>
      </c>
      <c r="I3343">
        <f>IF(F3343="","",INDEX(Deals!$D$2:$D$843,F3343))</f>
        <v/>
      </c>
      <c r="J3343">
        <f>IF(F3343="","",INT(H3343)-B3343)</f>
        <v/>
      </c>
      <c r="K3343">
        <f>IF(B3343&gt;=Settings!$C$5,1,0)</f>
        <v/>
      </c>
    </row>
    <row r="3344">
      <c r="A3344" t="inlineStr">
        <is>
          <t>db2675993c7f3e9137332dbdf18550fc</t>
        </is>
      </c>
      <c r="B3344" s="29" t="n">
        <v>43053</v>
      </c>
      <c r="C3344" t="inlineStr">
        <is>
          <t>2017-11</t>
        </is>
      </c>
      <c r="D3344" t="inlineStr">
        <is>
          <t>fd660f5d9a62d444c76191307b3a0514</t>
        </is>
      </c>
      <c r="E3344" t="inlineStr">
        <is>
          <t>email</t>
        </is>
      </c>
      <c r="F3344">
        <f>IFERROR(MATCH(A3344,Deals!$A$2:$A$843,0),"")</f>
        <v/>
      </c>
      <c r="G3344">
        <f>IF(F3344="",0,1)</f>
        <v/>
      </c>
      <c r="H3344" s="29">
        <f>IF(F3344="","",INDEX(Deals!$E$2:$E$843,F3344))</f>
        <v/>
      </c>
      <c r="I3344">
        <f>IF(F3344="","",INDEX(Deals!$D$2:$D$843,F3344))</f>
        <v/>
      </c>
      <c r="J3344">
        <f>IF(F3344="","",INT(H3344)-B3344)</f>
        <v/>
      </c>
      <c r="K3344">
        <f>IF(B3344&gt;=Settings!$C$5,1,0)</f>
        <v/>
      </c>
    </row>
    <row r="3345">
      <c r="A3345" t="inlineStr">
        <is>
          <t>a81d0525b1bf67680570fa60790b8e07</t>
        </is>
      </c>
      <c r="B3345" s="29" t="n">
        <v>43187</v>
      </c>
      <c r="C3345" t="inlineStr">
        <is>
          <t>2018-03</t>
        </is>
      </c>
      <c r="D3345" t="inlineStr">
        <is>
          <t>5da54625ee0a9560dc9b9b9f6ccb03d0</t>
        </is>
      </c>
      <c r="E3345" t="inlineStr">
        <is>
          <t>paid_search</t>
        </is>
      </c>
      <c r="F3345">
        <f>IFERROR(MATCH(A3345,Deals!$A$2:$A$843,0),"")</f>
        <v/>
      </c>
      <c r="G3345">
        <f>IF(F3345="",0,1)</f>
        <v/>
      </c>
      <c r="H3345" s="29">
        <f>IF(F3345="","",INDEX(Deals!$E$2:$E$843,F3345))</f>
        <v/>
      </c>
      <c r="I3345">
        <f>IF(F3345="","",INDEX(Deals!$D$2:$D$843,F3345))</f>
        <v/>
      </c>
      <c r="J3345">
        <f>IF(F3345="","",INT(H3345)-B3345)</f>
        <v/>
      </c>
      <c r="K3345">
        <f>IF(B3345&gt;=Settings!$C$5,1,0)</f>
        <v/>
      </c>
    </row>
    <row r="3346">
      <c r="A3346" t="inlineStr">
        <is>
          <t>e6a01bad243e951417c655ab34e09f76</t>
        </is>
      </c>
      <c r="B3346" s="29" t="n">
        <v>43128</v>
      </c>
      <c r="C3346" t="inlineStr">
        <is>
          <t>2018-01</t>
        </is>
      </c>
      <c r="D3346" t="inlineStr">
        <is>
          <t>88740e65d5d6b056e0cda098e1ea6313</t>
        </is>
      </c>
      <c r="E3346" t="inlineStr">
        <is>
          <t>social</t>
        </is>
      </c>
      <c r="F3346">
        <f>IFERROR(MATCH(A3346,Deals!$A$2:$A$843,0),"")</f>
        <v/>
      </c>
      <c r="G3346">
        <f>IF(F3346="",0,1)</f>
        <v/>
      </c>
      <c r="H3346" s="29">
        <f>IF(F3346="","",INDEX(Deals!$E$2:$E$843,F3346))</f>
        <v/>
      </c>
      <c r="I3346">
        <f>IF(F3346="","",INDEX(Deals!$D$2:$D$843,F3346))</f>
        <v/>
      </c>
      <c r="J3346">
        <f>IF(F3346="","",INT(H3346)-B3346)</f>
        <v/>
      </c>
      <c r="K3346">
        <f>IF(B3346&gt;=Settings!$C$5,1,0)</f>
        <v/>
      </c>
    </row>
    <row r="3347">
      <c r="A3347" t="inlineStr">
        <is>
          <t>dd9da8799c27e57fab37594ea082d65d</t>
        </is>
      </c>
      <c r="B3347" s="29" t="n">
        <v>43172</v>
      </c>
      <c r="C3347" t="inlineStr">
        <is>
          <t>2018-03</t>
        </is>
      </c>
      <c r="D3347" t="inlineStr">
        <is>
          <t>3fd71e7e6cf64921740567dcfefb68cf</t>
        </is>
      </c>
      <c r="E3347" t="inlineStr">
        <is>
          <t>organic_search</t>
        </is>
      </c>
      <c r="F3347">
        <f>IFERROR(MATCH(A3347,Deals!$A$2:$A$843,0),"")</f>
        <v/>
      </c>
      <c r="G3347">
        <f>IF(F3347="",0,1)</f>
        <v/>
      </c>
      <c r="H3347" s="29">
        <f>IF(F3347="","",INDEX(Deals!$E$2:$E$843,F3347))</f>
        <v/>
      </c>
      <c r="I3347">
        <f>IF(F3347="","",INDEX(Deals!$D$2:$D$843,F3347))</f>
        <v/>
      </c>
      <c r="J3347">
        <f>IF(F3347="","",INT(H3347)-B3347)</f>
        <v/>
      </c>
      <c r="K3347">
        <f>IF(B3347&gt;=Settings!$C$5,1,0)</f>
        <v/>
      </c>
    </row>
    <row r="3348">
      <c r="A3348" t="inlineStr">
        <is>
          <t>e51c23226c8e20febd0c656a33711356</t>
        </is>
      </c>
      <c r="B3348" s="29" t="n">
        <v>43210</v>
      </c>
      <c r="C3348" t="inlineStr">
        <is>
          <t>2018-04</t>
        </is>
      </c>
      <c r="D3348" t="inlineStr">
        <is>
          <t>b76ef37428e6799c421989521c0e5077</t>
        </is>
      </c>
      <c r="E3348" t="inlineStr">
        <is>
          <t>paid_search</t>
        </is>
      </c>
      <c r="F3348">
        <f>IFERROR(MATCH(A3348,Deals!$A$2:$A$843,0),"")</f>
        <v/>
      </c>
      <c r="G3348">
        <f>IF(F3348="",0,1)</f>
        <v/>
      </c>
      <c r="H3348" s="29">
        <f>IF(F3348="","",INDEX(Deals!$E$2:$E$843,F3348))</f>
        <v/>
      </c>
      <c r="I3348">
        <f>IF(F3348="","",INDEX(Deals!$D$2:$D$843,F3348))</f>
        <v/>
      </c>
      <c r="J3348">
        <f>IF(F3348="","",INT(H3348)-B3348)</f>
        <v/>
      </c>
      <c r="K3348">
        <f>IF(B3348&gt;=Settings!$C$5,1,0)</f>
        <v/>
      </c>
    </row>
    <row r="3349">
      <c r="A3349" t="inlineStr">
        <is>
          <t>1d6f9ad9c60c2f65d59a06c1f56e75bd</t>
        </is>
      </c>
      <c r="B3349" s="29" t="n">
        <v>43113</v>
      </c>
      <c r="C3349" t="inlineStr">
        <is>
          <t>2018-01</t>
        </is>
      </c>
      <c r="D3349" t="inlineStr">
        <is>
          <t>f017be4dbf86243af5c1ebed0cff36a2</t>
        </is>
      </c>
      <c r="E3349" t="inlineStr">
        <is>
          <t>organic_search</t>
        </is>
      </c>
      <c r="F3349">
        <f>IFERROR(MATCH(A3349,Deals!$A$2:$A$843,0),"")</f>
        <v/>
      </c>
      <c r="G3349">
        <f>IF(F3349="",0,1)</f>
        <v/>
      </c>
      <c r="H3349" s="29">
        <f>IF(F3349="","",INDEX(Deals!$E$2:$E$843,F3349))</f>
        <v/>
      </c>
      <c r="I3349">
        <f>IF(F3349="","",INDEX(Deals!$D$2:$D$843,F3349))</f>
        <v/>
      </c>
      <c r="J3349">
        <f>IF(F3349="","",INT(H3349)-B3349)</f>
        <v/>
      </c>
      <c r="K3349">
        <f>IF(B3349&gt;=Settings!$C$5,1,0)</f>
        <v/>
      </c>
    </row>
    <row r="3350">
      <c r="A3350" t="inlineStr">
        <is>
          <t>50f2ec48eebb3b01b7bff8e53f0b535f</t>
        </is>
      </c>
      <c r="B3350" s="29" t="n">
        <v>43173</v>
      </c>
      <c r="C3350" t="inlineStr">
        <is>
          <t>2018-03</t>
        </is>
      </c>
      <c r="D3350" t="inlineStr">
        <is>
          <t>b76ef37428e6799c421989521c0e5077</t>
        </is>
      </c>
      <c r="E3350" t="inlineStr">
        <is>
          <t>unknown</t>
        </is>
      </c>
      <c r="F3350">
        <f>IFERROR(MATCH(A3350,Deals!$A$2:$A$843,0),"")</f>
        <v/>
      </c>
      <c r="G3350">
        <f>IF(F3350="",0,1)</f>
        <v/>
      </c>
      <c r="H3350" s="29">
        <f>IF(F3350="","",INDEX(Deals!$E$2:$E$843,F3350))</f>
        <v/>
      </c>
      <c r="I3350">
        <f>IF(F3350="","",INDEX(Deals!$D$2:$D$843,F3350))</f>
        <v/>
      </c>
      <c r="J3350">
        <f>IF(F3350="","",INT(H3350)-B3350)</f>
        <v/>
      </c>
      <c r="K3350">
        <f>IF(B3350&gt;=Settings!$C$5,1,0)</f>
        <v/>
      </c>
    </row>
    <row r="3351">
      <c r="A3351" t="inlineStr">
        <is>
          <t>ac06d41898d3582eb1bbf0d85c46c5f0</t>
        </is>
      </c>
      <c r="B3351" s="29" t="n">
        <v>43173</v>
      </c>
      <c r="C3351" t="inlineStr">
        <is>
          <t>2018-03</t>
        </is>
      </c>
      <c r="D3351" t="inlineStr">
        <is>
          <t>330b9d44078a1ae5a221d655dcb77afa</t>
        </is>
      </c>
      <c r="E3351" t="inlineStr">
        <is>
          <t>organic_search</t>
        </is>
      </c>
      <c r="F3351">
        <f>IFERROR(MATCH(A3351,Deals!$A$2:$A$843,0),"")</f>
        <v/>
      </c>
      <c r="G3351">
        <f>IF(F3351="",0,1)</f>
        <v/>
      </c>
      <c r="H3351" s="29">
        <f>IF(F3351="","",INDEX(Deals!$E$2:$E$843,F3351))</f>
        <v/>
      </c>
      <c r="I3351">
        <f>IF(F3351="","",INDEX(Deals!$D$2:$D$843,F3351))</f>
        <v/>
      </c>
      <c r="J3351">
        <f>IF(F3351="","",INT(H3351)-B3351)</f>
        <v/>
      </c>
      <c r="K3351">
        <f>IF(B3351&gt;=Settings!$C$5,1,0)</f>
        <v/>
      </c>
    </row>
    <row r="3352">
      <c r="A3352" t="inlineStr">
        <is>
          <t>89d3f7e40882c24e14163199d6c814e0</t>
        </is>
      </c>
      <c r="B3352" s="29" t="n">
        <v>43124</v>
      </c>
      <c r="C3352" t="inlineStr">
        <is>
          <t>2018-01</t>
        </is>
      </c>
      <c r="D3352" t="inlineStr">
        <is>
          <t>88740e65d5d6b056e0cda098e1ea6313</t>
        </is>
      </c>
      <c r="E3352" t="inlineStr">
        <is>
          <t>direct_traffic</t>
        </is>
      </c>
      <c r="F3352">
        <f>IFERROR(MATCH(A3352,Deals!$A$2:$A$843,0),"")</f>
        <v/>
      </c>
      <c r="G3352">
        <f>IF(F3352="",0,1)</f>
        <v/>
      </c>
      <c r="H3352" s="29">
        <f>IF(F3352="","",INDEX(Deals!$E$2:$E$843,F3352))</f>
        <v/>
      </c>
      <c r="I3352">
        <f>IF(F3352="","",INDEX(Deals!$D$2:$D$843,F3352))</f>
        <v/>
      </c>
      <c r="J3352">
        <f>IF(F3352="","",INT(H3352)-B3352)</f>
        <v/>
      </c>
      <c r="K3352">
        <f>IF(B3352&gt;=Settings!$C$5,1,0)</f>
        <v/>
      </c>
    </row>
    <row r="3353">
      <c r="A3353" t="inlineStr">
        <is>
          <t>d206169bc7dfece738f2fe2467c21cde</t>
        </is>
      </c>
      <c r="B3353" s="29" t="n">
        <v>43007</v>
      </c>
      <c r="C3353" t="inlineStr">
        <is>
          <t>2017-09</t>
        </is>
      </c>
      <c r="D3353" t="inlineStr">
        <is>
          <t>e964a0b7ce20d152c6ecc57c706d6291</t>
        </is>
      </c>
      <c r="E3353" t="inlineStr">
        <is>
          <t>paid_search</t>
        </is>
      </c>
      <c r="F3353">
        <f>IFERROR(MATCH(A3353,Deals!$A$2:$A$843,0),"")</f>
        <v/>
      </c>
      <c r="G3353">
        <f>IF(F3353="",0,1)</f>
        <v/>
      </c>
      <c r="H3353" s="29">
        <f>IF(F3353="","",INDEX(Deals!$E$2:$E$843,F3353))</f>
        <v/>
      </c>
      <c r="I3353">
        <f>IF(F3353="","",INDEX(Deals!$D$2:$D$843,F3353))</f>
        <v/>
      </c>
      <c r="J3353">
        <f>IF(F3353="","",INT(H3353)-B3353)</f>
        <v/>
      </c>
      <c r="K3353">
        <f>IF(B3353&gt;=Settings!$C$5,1,0)</f>
        <v/>
      </c>
    </row>
    <row r="3354">
      <c r="A3354" t="inlineStr">
        <is>
          <t>9b6e0fb52eba76006d3d11ead82fad4d</t>
        </is>
      </c>
      <c r="B3354" s="29" t="n">
        <v>43173</v>
      </c>
      <c r="C3354" t="inlineStr">
        <is>
          <t>2018-03</t>
        </is>
      </c>
      <c r="D3354" t="inlineStr">
        <is>
          <t>330b9d44078a1ae5a221d655dcb77afa</t>
        </is>
      </c>
      <c r="E3354" t="inlineStr">
        <is>
          <t>email</t>
        </is>
      </c>
      <c r="F3354">
        <f>IFERROR(MATCH(A3354,Deals!$A$2:$A$843,0),"")</f>
        <v/>
      </c>
      <c r="G3354">
        <f>IF(F3354="",0,1)</f>
        <v/>
      </c>
      <c r="H3354" s="29">
        <f>IF(F3354="","",INDEX(Deals!$E$2:$E$843,F3354))</f>
        <v/>
      </c>
      <c r="I3354">
        <f>IF(F3354="","",INDEX(Deals!$D$2:$D$843,F3354))</f>
        <v/>
      </c>
      <c r="J3354">
        <f>IF(F3354="","",INT(H3354)-B3354)</f>
        <v/>
      </c>
      <c r="K3354">
        <f>IF(B3354&gt;=Settings!$C$5,1,0)</f>
        <v/>
      </c>
    </row>
    <row r="3355">
      <c r="A3355" t="inlineStr">
        <is>
          <t>c3a7eb7c994a6475994948502df99fe4</t>
        </is>
      </c>
      <c r="B3355" s="29" t="n">
        <v>43055</v>
      </c>
      <c r="C3355" t="inlineStr">
        <is>
          <t>2017-11</t>
        </is>
      </c>
      <c r="D3355" t="inlineStr">
        <is>
          <t>a7982125ff7aa3b2054c6e44f9d28522</t>
        </is>
      </c>
      <c r="E3355" t="inlineStr">
        <is>
          <t>organic_search</t>
        </is>
      </c>
      <c r="F3355">
        <f>IFERROR(MATCH(A3355,Deals!$A$2:$A$843,0),"")</f>
        <v/>
      </c>
      <c r="G3355">
        <f>IF(F3355="",0,1)</f>
        <v/>
      </c>
      <c r="H3355" s="29">
        <f>IF(F3355="","",INDEX(Deals!$E$2:$E$843,F3355))</f>
        <v/>
      </c>
      <c r="I3355">
        <f>IF(F3355="","",INDEX(Deals!$D$2:$D$843,F3355))</f>
        <v/>
      </c>
      <c r="J3355">
        <f>IF(F3355="","",INT(H3355)-B3355)</f>
        <v/>
      </c>
      <c r="K3355">
        <f>IF(B3355&gt;=Settings!$C$5,1,0)</f>
        <v/>
      </c>
    </row>
    <row r="3356">
      <c r="A3356" t="inlineStr">
        <is>
          <t>e84d3444422cda735543114cf5df6b95</t>
        </is>
      </c>
      <c r="B3356" s="29" t="n">
        <v>43172</v>
      </c>
      <c r="C3356" t="inlineStr">
        <is>
          <t>2018-03</t>
        </is>
      </c>
      <c r="D3356" t="inlineStr">
        <is>
          <t>b76ef37428e6799c421989521c0e5077</t>
        </is>
      </c>
      <c r="E3356" t="inlineStr">
        <is>
          <t>unknown</t>
        </is>
      </c>
      <c r="F3356">
        <f>IFERROR(MATCH(A3356,Deals!$A$2:$A$843,0),"")</f>
        <v/>
      </c>
      <c r="G3356">
        <f>IF(F3356="",0,1)</f>
        <v/>
      </c>
      <c r="H3356" s="29">
        <f>IF(F3356="","",INDEX(Deals!$E$2:$E$843,F3356))</f>
        <v/>
      </c>
      <c r="I3356">
        <f>IF(F3356="","",INDEX(Deals!$D$2:$D$843,F3356))</f>
        <v/>
      </c>
      <c r="J3356">
        <f>IF(F3356="","",INT(H3356)-B3356)</f>
        <v/>
      </c>
      <c r="K3356">
        <f>IF(B3356&gt;=Settings!$C$5,1,0)</f>
        <v/>
      </c>
    </row>
    <row r="3357">
      <c r="A3357" t="inlineStr">
        <is>
          <t>0d8a89515fe89cd53cdedd3c039a15b0</t>
        </is>
      </c>
      <c r="B3357" s="29" t="n">
        <v>43010</v>
      </c>
      <c r="C3357" t="inlineStr">
        <is>
          <t>2017-10</t>
        </is>
      </c>
      <c r="D3357" t="inlineStr">
        <is>
          <t>22c29808c4f815213303f8933030604c</t>
        </is>
      </c>
      <c r="E3357" t="inlineStr">
        <is>
          <t>organic_search</t>
        </is>
      </c>
      <c r="F3357">
        <f>IFERROR(MATCH(A3357,Deals!$A$2:$A$843,0),"")</f>
        <v/>
      </c>
      <c r="G3357">
        <f>IF(F3357="",0,1)</f>
        <v/>
      </c>
      <c r="H3357" s="29">
        <f>IF(F3357="","",INDEX(Deals!$E$2:$E$843,F3357))</f>
        <v/>
      </c>
      <c r="I3357">
        <f>IF(F3357="","",INDEX(Deals!$D$2:$D$843,F3357))</f>
        <v/>
      </c>
      <c r="J3357">
        <f>IF(F3357="","",INT(H3357)-B3357)</f>
        <v/>
      </c>
      <c r="K3357">
        <f>IF(B3357&gt;=Settings!$C$5,1,0)</f>
        <v/>
      </c>
    </row>
    <row r="3358">
      <c r="A3358" t="inlineStr">
        <is>
          <t>70e177868d7bc383ce3ea10b6f976ada</t>
        </is>
      </c>
      <c r="B3358" s="29" t="n">
        <v>43112</v>
      </c>
      <c r="C3358" t="inlineStr">
        <is>
          <t>2018-01</t>
        </is>
      </c>
      <c r="D3358" t="inlineStr">
        <is>
          <t>22c29808c4f815213303f8933030604c</t>
        </is>
      </c>
      <c r="E3358" t="inlineStr">
        <is>
          <t>organic_search</t>
        </is>
      </c>
      <c r="F3358">
        <f>IFERROR(MATCH(A3358,Deals!$A$2:$A$843,0),"")</f>
        <v/>
      </c>
      <c r="G3358">
        <f>IF(F3358="",0,1)</f>
        <v/>
      </c>
      <c r="H3358" s="29">
        <f>IF(F3358="","",INDEX(Deals!$E$2:$E$843,F3358))</f>
        <v/>
      </c>
      <c r="I3358">
        <f>IF(F3358="","",INDEX(Deals!$D$2:$D$843,F3358))</f>
        <v/>
      </c>
      <c r="J3358">
        <f>IF(F3358="","",INT(H3358)-B3358)</f>
        <v/>
      </c>
      <c r="K3358">
        <f>IF(B3358&gt;=Settings!$C$5,1,0)</f>
        <v/>
      </c>
    </row>
    <row r="3359">
      <c r="A3359" t="inlineStr">
        <is>
          <t>12b0e252b8ef43391ae0c4bb6753e102</t>
        </is>
      </c>
      <c r="B3359" s="29" t="n">
        <v>43227</v>
      </c>
      <c r="C3359" t="inlineStr">
        <is>
          <t>2018-05</t>
        </is>
      </c>
      <c r="D3359" t="inlineStr">
        <is>
          <t>40dec9f3d5259a3d2dbcdab2114fae47</t>
        </is>
      </c>
      <c r="E3359" t="inlineStr">
        <is>
          <t>paid_search</t>
        </is>
      </c>
      <c r="F3359">
        <f>IFERROR(MATCH(A3359,Deals!$A$2:$A$843,0),"")</f>
        <v/>
      </c>
      <c r="G3359">
        <f>IF(F3359="",0,1)</f>
        <v/>
      </c>
      <c r="H3359" s="29">
        <f>IF(F3359="","",INDEX(Deals!$E$2:$E$843,F3359))</f>
        <v/>
      </c>
      <c r="I3359">
        <f>IF(F3359="","",INDEX(Deals!$D$2:$D$843,F3359))</f>
        <v/>
      </c>
      <c r="J3359">
        <f>IF(F3359="","",INT(H3359)-B3359)</f>
        <v/>
      </c>
      <c r="K3359">
        <f>IF(B3359&gt;=Settings!$C$5,1,0)</f>
        <v/>
      </c>
    </row>
    <row r="3360">
      <c r="A3360" t="inlineStr">
        <is>
          <t>5d2f634bb9a59d39eab86442d2459d64</t>
        </is>
      </c>
      <c r="B3360" s="29" t="n">
        <v>43171</v>
      </c>
      <c r="C3360" t="inlineStr">
        <is>
          <t>2018-03</t>
        </is>
      </c>
      <c r="D3360" t="inlineStr">
        <is>
          <t>65d9f9d71e562365e8b44037c2888d98</t>
        </is>
      </c>
      <c r="E3360" t="inlineStr">
        <is>
          <t>paid_search</t>
        </is>
      </c>
      <c r="F3360">
        <f>IFERROR(MATCH(A3360,Deals!$A$2:$A$843,0),"")</f>
        <v/>
      </c>
      <c r="G3360">
        <f>IF(F3360="",0,1)</f>
        <v/>
      </c>
      <c r="H3360" s="29">
        <f>IF(F3360="","",INDEX(Deals!$E$2:$E$843,F3360))</f>
        <v/>
      </c>
      <c r="I3360">
        <f>IF(F3360="","",INDEX(Deals!$D$2:$D$843,F3360))</f>
        <v/>
      </c>
      <c r="J3360">
        <f>IF(F3360="","",INT(H3360)-B3360)</f>
        <v/>
      </c>
      <c r="K3360">
        <f>IF(B3360&gt;=Settings!$C$5,1,0)</f>
        <v/>
      </c>
    </row>
    <row r="3361">
      <c r="A3361" t="inlineStr">
        <is>
          <t>6508deb7d1b89059767d5af370618046</t>
        </is>
      </c>
      <c r="B3361" s="29" t="n">
        <v>42992</v>
      </c>
      <c r="C3361" t="inlineStr">
        <is>
          <t>2017-09</t>
        </is>
      </c>
      <c r="D3361" t="inlineStr">
        <is>
          <t>f017be4dbf86243af5c1ebed0cff36a2</t>
        </is>
      </c>
      <c r="E3361" t="inlineStr">
        <is>
          <t>organic_search</t>
        </is>
      </c>
      <c r="F3361">
        <f>IFERROR(MATCH(A3361,Deals!$A$2:$A$843,0),"")</f>
        <v/>
      </c>
      <c r="G3361">
        <f>IF(F3361="",0,1)</f>
        <v/>
      </c>
      <c r="H3361" s="29">
        <f>IF(F3361="","",INDEX(Deals!$E$2:$E$843,F3361))</f>
        <v/>
      </c>
      <c r="I3361">
        <f>IF(F3361="","",INDEX(Deals!$D$2:$D$843,F3361))</f>
        <v/>
      </c>
      <c r="J3361">
        <f>IF(F3361="","",INT(H3361)-B3361)</f>
        <v/>
      </c>
      <c r="K3361">
        <f>IF(B3361&gt;=Settings!$C$5,1,0)</f>
        <v/>
      </c>
    </row>
    <row r="3362">
      <c r="A3362" t="inlineStr">
        <is>
          <t>043485b042179e1b0547288346a47044</t>
        </is>
      </c>
      <c r="B3362" s="29" t="n">
        <v>43131</v>
      </c>
      <c r="C3362" t="inlineStr">
        <is>
          <t>2018-01</t>
        </is>
      </c>
      <c r="D3362" t="inlineStr">
        <is>
          <t>f017be4dbf86243af5c1ebed0cff36a2</t>
        </is>
      </c>
      <c r="E3362" t="inlineStr">
        <is>
          <t>social</t>
        </is>
      </c>
      <c r="F3362">
        <f>IFERROR(MATCH(A3362,Deals!$A$2:$A$843,0),"")</f>
        <v/>
      </c>
      <c r="G3362">
        <f>IF(F3362="",0,1)</f>
        <v/>
      </c>
      <c r="H3362" s="29">
        <f>IF(F3362="","",INDEX(Deals!$E$2:$E$843,F3362))</f>
        <v/>
      </c>
      <c r="I3362">
        <f>IF(F3362="","",INDEX(Deals!$D$2:$D$843,F3362))</f>
        <v/>
      </c>
      <c r="J3362">
        <f>IF(F3362="","",INT(H3362)-B3362)</f>
        <v/>
      </c>
      <c r="K3362">
        <f>IF(B3362&gt;=Settings!$C$5,1,0)</f>
        <v/>
      </c>
    </row>
    <row r="3363">
      <c r="A3363" t="inlineStr">
        <is>
          <t>7a6f5f6a69fe900cda205b8c2d811cd4</t>
        </is>
      </c>
      <c r="B3363" s="29" t="n">
        <v>43044</v>
      </c>
      <c r="C3363" t="inlineStr">
        <is>
          <t>2017-11</t>
        </is>
      </c>
      <c r="D3363" t="inlineStr">
        <is>
          <t>e492ee5eaf1697716985cc6f33f9cd9b</t>
        </is>
      </c>
      <c r="E3363" t="inlineStr">
        <is>
          <t>email</t>
        </is>
      </c>
      <c r="F3363">
        <f>IFERROR(MATCH(A3363,Deals!$A$2:$A$843,0),"")</f>
        <v/>
      </c>
      <c r="G3363">
        <f>IF(F3363="",0,1)</f>
        <v/>
      </c>
      <c r="H3363" s="29">
        <f>IF(F3363="","",INDEX(Deals!$E$2:$E$843,F3363))</f>
        <v/>
      </c>
      <c r="I3363">
        <f>IF(F3363="","",INDEX(Deals!$D$2:$D$843,F3363))</f>
        <v/>
      </c>
      <c r="J3363">
        <f>IF(F3363="","",INT(H3363)-B3363)</f>
        <v/>
      </c>
      <c r="K3363">
        <f>IF(B3363&gt;=Settings!$C$5,1,0)</f>
        <v/>
      </c>
    </row>
    <row r="3364">
      <c r="A3364" t="inlineStr">
        <is>
          <t>5601077f1cc5aa2ec7bdad06aa84b45f</t>
        </is>
      </c>
      <c r="B3364" s="29" t="n">
        <v>43249</v>
      </c>
      <c r="C3364" t="inlineStr">
        <is>
          <t>2018-05</t>
        </is>
      </c>
      <c r="D3364" t="inlineStr">
        <is>
          <t>8ff57dffc365fcb5233232fff6e6bfd0</t>
        </is>
      </c>
      <c r="E3364" t="inlineStr">
        <is>
          <t>organic_search</t>
        </is>
      </c>
      <c r="F3364">
        <f>IFERROR(MATCH(A3364,Deals!$A$2:$A$843,0),"")</f>
        <v/>
      </c>
      <c r="G3364">
        <f>IF(F3364="",0,1)</f>
        <v/>
      </c>
      <c r="H3364" s="29">
        <f>IF(F3364="","",INDEX(Deals!$E$2:$E$843,F3364))</f>
        <v/>
      </c>
      <c r="I3364">
        <f>IF(F3364="","",INDEX(Deals!$D$2:$D$843,F3364))</f>
        <v/>
      </c>
      <c r="J3364">
        <f>IF(F3364="","",INT(H3364)-B3364)</f>
        <v/>
      </c>
      <c r="K3364">
        <f>IF(B3364&gt;=Settings!$C$5,1,0)</f>
        <v/>
      </c>
    </row>
    <row r="3365">
      <c r="A3365" t="inlineStr">
        <is>
          <t>56f72d92dc0fb1f1948a30240ac0b20f</t>
        </is>
      </c>
      <c r="B3365" s="29" t="n">
        <v>43020</v>
      </c>
      <c r="C3365" t="inlineStr">
        <is>
          <t>2017-10</t>
        </is>
      </c>
      <c r="D3365" t="inlineStr">
        <is>
          <t>f017be4dbf86243af5c1ebed0cff36a2</t>
        </is>
      </c>
      <c r="E3365" t="inlineStr">
        <is>
          <t>direct_traffic</t>
        </is>
      </c>
      <c r="F3365">
        <f>IFERROR(MATCH(A3365,Deals!$A$2:$A$843,0),"")</f>
        <v/>
      </c>
      <c r="G3365">
        <f>IF(F3365="",0,1)</f>
        <v/>
      </c>
      <c r="H3365" s="29">
        <f>IF(F3365="","",INDEX(Deals!$E$2:$E$843,F3365))</f>
        <v/>
      </c>
      <c r="I3365">
        <f>IF(F3365="","",INDEX(Deals!$D$2:$D$843,F3365))</f>
        <v/>
      </c>
      <c r="J3365">
        <f>IF(F3365="","",INT(H3365)-B3365)</f>
        <v/>
      </c>
      <c r="K3365">
        <f>IF(B3365&gt;=Settings!$C$5,1,0)</f>
        <v/>
      </c>
    </row>
    <row r="3366">
      <c r="A3366" t="inlineStr">
        <is>
          <t>83687da9071cc6cd690314b2d5a0f24b</t>
        </is>
      </c>
      <c r="B3366" s="29" t="n">
        <v>43223</v>
      </c>
      <c r="C3366" t="inlineStr">
        <is>
          <t>2018-05</t>
        </is>
      </c>
      <c r="D3366" t="inlineStr">
        <is>
          <t>b76ef37428e6799c421989521c0e5077</t>
        </is>
      </c>
      <c r="E3366" t="inlineStr">
        <is>
          <t>unknown</t>
        </is>
      </c>
      <c r="F3366">
        <f>IFERROR(MATCH(A3366,Deals!$A$2:$A$843,0),"")</f>
        <v/>
      </c>
      <c r="G3366">
        <f>IF(F3366="",0,1)</f>
        <v/>
      </c>
      <c r="H3366" s="29">
        <f>IF(F3366="","",INDEX(Deals!$E$2:$E$843,F3366))</f>
        <v/>
      </c>
      <c r="I3366">
        <f>IF(F3366="","",INDEX(Deals!$D$2:$D$843,F3366))</f>
        <v/>
      </c>
      <c r="J3366">
        <f>IF(F3366="","",INT(H3366)-B3366)</f>
        <v/>
      </c>
      <c r="K3366">
        <f>IF(B3366&gt;=Settings!$C$5,1,0)</f>
        <v/>
      </c>
    </row>
    <row r="3367">
      <c r="A3367" t="inlineStr">
        <is>
          <t>8cf4ff2dc2db6902d222b0c7dcc98d04</t>
        </is>
      </c>
      <c r="B3367" s="29" t="n">
        <v>43025</v>
      </c>
      <c r="C3367" t="inlineStr">
        <is>
          <t>2017-10</t>
        </is>
      </c>
      <c r="D3367" t="inlineStr">
        <is>
          <t>f98c2bd96ac4a5d9476734e790c91384</t>
        </is>
      </c>
      <c r="E3367" t="inlineStr">
        <is>
          <t>email</t>
        </is>
      </c>
      <c r="F3367">
        <f>IFERROR(MATCH(A3367,Deals!$A$2:$A$843,0),"")</f>
        <v/>
      </c>
      <c r="G3367">
        <f>IF(F3367="",0,1)</f>
        <v/>
      </c>
      <c r="H3367" s="29">
        <f>IF(F3367="","",INDEX(Deals!$E$2:$E$843,F3367))</f>
        <v/>
      </c>
      <c r="I3367">
        <f>IF(F3367="","",INDEX(Deals!$D$2:$D$843,F3367))</f>
        <v/>
      </c>
      <c r="J3367">
        <f>IF(F3367="","",INT(H3367)-B3367)</f>
        <v/>
      </c>
      <c r="K3367">
        <f>IF(B3367&gt;=Settings!$C$5,1,0)</f>
        <v/>
      </c>
    </row>
    <row r="3368">
      <c r="A3368" t="inlineStr">
        <is>
          <t>cdca41db5ada4bf3e8e608a495066165</t>
        </is>
      </c>
      <c r="B3368" s="29" t="n">
        <v>43146</v>
      </c>
      <c r="C3368" t="inlineStr">
        <is>
          <t>2018-02</t>
        </is>
      </c>
      <c r="D3368" t="inlineStr">
        <is>
          <t>40dec9f3d5259a3d2dbcdab2114fae47</t>
        </is>
      </c>
      <c r="E3368" t="inlineStr">
        <is>
          <t>organic_search</t>
        </is>
      </c>
      <c r="F3368">
        <f>IFERROR(MATCH(A3368,Deals!$A$2:$A$843,0),"")</f>
        <v/>
      </c>
      <c r="G3368">
        <f>IF(F3368="",0,1)</f>
        <v/>
      </c>
      <c r="H3368" s="29">
        <f>IF(F3368="","",INDEX(Deals!$E$2:$E$843,F3368))</f>
        <v/>
      </c>
      <c r="I3368">
        <f>IF(F3368="","",INDEX(Deals!$D$2:$D$843,F3368))</f>
        <v/>
      </c>
      <c r="J3368">
        <f>IF(F3368="","",INT(H3368)-B3368)</f>
        <v/>
      </c>
      <c r="K3368">
        <f>IF(B3368&gt;=Settings!$C$5,1,0)</f>
        <v/>
      </c>
    </row>
    <row r="3369">
      <c r="A3369" t="inlineStr">
        <is>
          <t>8282b546dda9ec05515966ba0fe3e5d1</t>
        </is>
      </c>
      <c r="B3369" s="29" t="n">
        <v>43192</v>
      </c>
      <c r="C3369" t="inlineStr">
        <is>
          <t>2018-04</t>
        </is>
      </c>
      <c r="D3369" t="inlineStr">
        <is>
          <t>e492ee5eaf1697716985cc6f33f9cd9b</t>
        </is>
      </c>
      <c r="E3369" t="inlineStr">
        <is>
          <t>paid_search</t>
        </is>
      </c>
      <c r="F3369">
        <f>IFERROR(MATCH(A3369,Deals!$A$2:$A$843,0),"")</f>
        <v/>
      </c>
      <c r="G3369">
        <f>IF(F3369="",0,1)</f>
        <v/>
      </c>
      <c r="H3369" s="29">
        <f>IF(F3369="","",INDEX(Deals!$E$2:$E$843,F3369))</f>
        <v/>
      </c>
      <c r="I3369">
        <f>IF(F3369="","",INDEX(Deals!$D$2:$D$843,F3369))</f>
        <v/>
      </c>
      <c r="J3369">
        <f>IF(F3369="","",INT(H3369)-B3369)</f>
        <v/>
      </c>
      <c r="K3369">
        <f>IF(B3369&gt;=Settings!$C$5,1,0)</f>
        <v/>
      </c>
    </row>
    <row r="3370">
      <c r="A3370" t="inlineStr">
        <is>
          <t>bf6d02a952759582c95741bbc2f95eff</t>
        </is>
      </c>
      <c r="B3370" s="29" t="n">
        <v>43199</v>
      </c>
      <c r="C3370" t="inlineStr">
        <is>
          <t>2018-04</t>
        </is>
      </c>
      <c r="D3370" t="inlineStr">
        <is>
          <t>58326e62183c14b0c03085c33b9fdc44</t>
        </is>
      </c>
      <c r="E3370" t="inlineStr">
        <is>
          <t>social</t>
        </is>
      </c>
      <c r="F3370">
        <f>IFERROR(MATCH(A3370,Deals!$A$2:$A$843,0),"")</f>
        <v/>
      </c>
      <c r="G3370">
        <f>IF(F3370="",0,1)</f>
        <v/>
      </c>
      <c r="H3370" s="29">
        <f>IF(F3370="","",INDEX(Deals!$E$2:$E$843,F3370))</f>
        <v/>
      </c>
      <c r="I3370">
        <f>IF(F3370="","",INDEX(Deals!$D$2:$D$843,F3370))</f>
        <v/>
      </c>
      <c r="J3370">
        <f>IF(F3370="","",INT(H3370)-B3370)</f>
        <v/>
      </c>
      <c r="K3370">
        <f>IF(B3370&gt;=Settings!$C$5,1,0)</f>
        <v/>
      </c>
    </row>
    <row r="3371">
      <c r="A3371" t="inlineStr">
        <is>
          <t>7370a4e2d543e24ccc7714f12f3d83a4</t>
        </is>
      </c>
      <c r="B3371" s="29" t="n">
        <v>43132</v>
      </c>
      <c r="C3371" t="inlineStr">
        <is>
          <t>2018-02</t>
        </is>
      </c>
      <c r="D3371" t="inlineStr">
        <is>
          <t>616767b0bfb0a97510747d8bbcc40290</t>
        </is>
      </c>
      <c r="E3371" t="inlineStr">
        <is>
          <t>organic_search</t>
        </is>
      </c>
      <c r="F3371">
        <f>IFERROR(MATCH(A3371,Deals!$A$2:$A$843,0),"")</f>
        <v/>
      </c>
      <c r="G3371">
        <f>IF(F3371="",0,1)</f>
        <v/>
      </c>
      <c r="H3371" s="29">
        <f>IF(F3371="","",INDEX(Deals!$E$2:$E$843,F3371))</f>
        <v/>
      </c>
      <c r="I3371">
        <f>IF(F3371="","",INDEX(Deals!$D$2:$D$843,F3371))</f>
        <v/>
      </c>
      <c r="J3371">
        <f>IF(F3371="","",INT(H3371)-B3371)</f>
        <v/>
      </c>
      <c r="K3371">
        <f>IF(B3371&gt;=Settings!$C$5,1,0)</f>
        <v/>
      </c>
    </row>
    <row r="3372">
      <c r="A3372" t="inlineStr">
        <is>
          <t>a8d7ddfb1a52643b880728e1fb453493</t>
        </is>
      </c>
      <c r="B3372" s="29" t="n">
        <v>42983</v>
      </c>
      <c r="C3372" t="inlineStr">
        <is>
          <t>2017-09</t>
        </is>
      </c>
      <c r="D3372" t="inlineStr">
        <is>
          <t>57c63d5cb72265135f694bb785d474c3</t>
        </is>
      </c>
      <c r="E3372" t="inlineStr">
        <is>
          <t>organic_search</t>
        </is>
      </c>
      <c r="F3372">
        <f>IFERROR(MATCH(A3372,Deals!$A$2:$A$843,0),"")</f>
        <v/>
      </c>
      <c r="G3372">
        <f>IF(F3372="",0,1)</f>
        <v/>
      </c>
      <c r="H3372" s="29">
        <f>IF(F3372="","",INDEX(Deals!$E$2:$E$843,F3372))</f>
        <v/>
      </c>
      <c r="I3372">
        <f>IF(F3372="","",INDEX(Deals!$D$2:$D$843,F3372))</f>
        <v/>
      </c>
      <c r="J3372">
        <f>IF(F3372="","",INT(H3372)-B3372)</f>
        <v/>
      </c>
      <c r="K3372">
        <f>IF(B3372&gt;=Settings!$C$5,1,0)</f>
        <v/>
      </c>
    </row>
    <row r="3373">
      <c r="A3373" t="inlineStr">
        <is>
          <t>7c294b263646ae5cff036e366de104cf</t>
        </is>
      </c>
      <c r="B3373" s="29" t="n">
        <v>42993</v>
      </c>
      <c r="C3373" t="inlineStr">
        <is>
          <t>2017-09</t>
        </is>
      </c>
      <c r="D3373" t="inlineStr">
        <is>
          <t>87732658ba41d8775e8577df347a64db</t>
        </is>
      </c>
      <c r="E3373" t="inlineStr">
        <is>
          <t>social</t>
        </is>
      </c>
      <c r="F3373">
        <f>IFERROR(MATCH(A3373,Deals!$A$2:$A$843,0),"")</f>
        <v/>
      </c>
      <c r="G3373">
        <f>IF(F3373="",0,1)</f>
        <v/>
      </c>
      <c r="H3373" s="29">
        <f>IF(F3373="","",INDEX(Deals!$E$2:$E$843,F3373))</f>
        <v/>
      </c>
      <c r="I3373">
        <f>IF(F3373="","",INDEX(Deals!$D$2:$D$843,F3373))</f>
        <v/>
      </c>
      <c r="J3373">
        <f>IF(F3373="","",INT(H3373)-B3373)</f>
        <v/>
      </c>
      <c r="K3373">
        <f>IF(B3373&gt;=Settings!$C$5,1,0)</f>
        <v/>
      </c>
    </row>
    <row r="3374">
      <c r="A3374" t="inlineStr">
        <is>
          <t>021cd7a416138abe57030f17bb3b2686</t>
        </is>
      </c>
      <c r="B3374" s="29" t="n">
        <v>43182</v>
      </c>
      <c r="C3374" t="inlineStr">
        <is>
          <t>2018-03</t>
        </is>
      </c>
      <c r="D3374" t="inlineStr">
        <is>
          <t>ce1a65abd0973638f1c887a6efcfa82d</t>
        </is>
      </c>
      <c r="E3374" t="inlineStr">
        <is>
          <t>organic_search</t>
        </is>
      </c>
      <c r="F3374">
        <f>IFERROR(MATCH(A3374,Deals!$A$2:$A$843,0),"")</f>
        <v/>
      </c>
      <c r="G3374">
        <f>IF(F3374="",0,1)</f>
        <v/>
      </c>
      <c r="H3374" s="29">
        <f>IF(F3374="","",INDEX(Deals!$E$2:$E$843,F3374))</f>
        <v/>
      </c>
      <c r="I3374">
        <f>IF(F3374="","",INDEX(Deals!$D$2:$D$843,F3374))</f>
        <v/>
      </c>
      <c r="J3374">
        <f>IF(F3374="","",INT(H3374)-B3374)</f>
        <v/>
      </c>
      <c r="K3374">
        <f>IF(B3374&gt;=Settings!$C$5,1,0)</f>
        <v/>
      </c>
    </row>
    <row r="3375">
      <c r="A3375" t="inlineStr">
        <is>
          <t>0a4096345f092c37b8a29da4d03133f4</t>
        </is>
      </c>
      <c r="B3375" s="29" t="n">
        <v>43237</v>
      </c>
      <c r="C3375" t="inlineStr">
        <is>
          <t>2018-05</t>
        </is>
      </c>
      <c r="D3375" t="inlineStr">
        <is>
          <t>58326e62183c14b0c03085c33b9fdc44</t>
        </is>
      </c>
      <c r="E3375" t="inlineStr">
        <is>
          <t>social</t>
        </is>
      </c>
      <c r="F3375">
        <f>IFERROR(MATCH(A3375,Deals!$A$2:$A$843,0),"")</f>
        <v/>
      </c>
      <c r="G3375">
        <f>IF(F3375="",0,1)</f>
        <v/>
      </c>
      <c r="H3375" s="29">
        <f>IF(F3375="","",INDEX(Deals!$E$2:$E$843,F3375))</f>
        <v/>
      </c>
      <c r="I3375">
        <f>IF(F3375="","",INDEX(Deals!$D$2:$D$843,F3375))</f>
        <v/>
      </c>
      <c r="J3375">
        <f>IF(F3375="","",INT(H3375)-B3375)</f>
        <v/>
      </c>
      <c r="K3375">
        <f>IF(B3375&gt;=Settings!$C$5,1,0)</f>
        <v/>
      </c>
    </row>
    <row r="3376">
      <c r="A3376" t="inlineStr">
        <is>
          <t>193996d8a345080ba5cebe43bea3bd15</t>
        </is>
      </c>
      <c r="B3376" s="29" t="n">
        <v>42940</v>
      </c>
      <c r="C3376" t="inlineStr">
        <is>
          <t>2017-07</t>
        </is>
      </c>
      <c r="D3376" t="inlineStr">
        <is>
          <t>91dbdf987124ca09b297bd87f06b5e64</t>
        </is>
      </c>
      <c r="E3376" t="inlineStr">
        <is>
          <t>unknown</t>
        </is>
      </c>
      <c r="F3376">
        <f>IFERROR(MATCH(A3376,Deals!$A$2:$A$843,0),"")</f>
        <v/>
      </c>
      <c r="G3376">
        <f>IF(F3376="",0,1)</f>
        <v/>
      </c>
      <c r="H3376" s="29">
        <f>IF(F3376="","",INDEX(Deals!$E$2:$E$843,F3376))</f>
        <v/>
      </c>
      <c r="I3376">
        <f>IF(F3376="","",INDEX(Deals!$D$2:$D$843,F3376))</f>
        <v/>
      </c>
      <c r="J3376">
        <f>IF(F3376="","",INT(H3376)-B3376)</f>
        <v/>
      </c>
      <c r="K3376">
        <f>IF(B3376&gt;=Settings!$C$5,1,0)</f>
        <v/>
      </c>
    </row>
    <row r="3377">
      <c r="A3377" t="inlineStr">
        <is>
          <t>5994cf5ebd61f4806932d5f226cb64d0</t>
        </is>
      </c>
      <c r="B3377" s="29" t="n">
        <v>42975</v>
      </c>
      <c r="C3377" t="inlineStr">
        <is>
          <t>2017-08</t>
        </is>
      </c>
      <c r="D3377" t="inlineStr">
        <is>
          <t>3cd2a8301d5395f21cdd3094c9eaa2f4</t>
        </is>
      </c>
      <c r="E3377" t="inlineStr">
        <is>
          <t>organic_search</t>
        </is>
      </c>
      <c r="F3377">
        <f>IFERROR(MATCH(A3377,Deals!$A$2:$A$843,0),"")</f>
        <v/>
      </c>
      <c r="G3377">
        <f>IF(F3377="",0,1)</f>
        <v/>
      </c>
      <c r="H3377" s="29">
        <f>IF(F3377="","",INDEX(Deals!$E$2:$E$843,F3377))</f>
        <v/>
      </c>
      <c r="I3377">
        <f>IF(F3377="","",INDEX(Deals!$D$2:$D$843,F3377))</f>
        <v/>
      </c>
      <c r="J3377">
        <f>IF(F3377="","",INT(H3377)-B3377)</f>
        <v/>
      </c>
      <c r="K3377">
        <f>IF(B3377&gt;=Settings!$C$5,1,0)</f>
        <v/>
      </c>
    </row>
    <row r="3378">
      <c r="A3378" t="inlineStr">
        <is>
          <t>e73dbb390cb1dd2a3e9d71c3ac806044</t>
        </is>
      </c>
      <c r="B3378" s="29" t="n">
        <v>43208</v>
      </c>
      <c r="C3378" t="inlineStr">
        <is>
          <t>2018-04</t>
        </is>
      </c>
      <c r="D3378" t="inlineStr">
        <is>
          <t>b76ef37428e6799c421989521c0e5077</t>
        </is>
      </c>
      <c r="E3378" t="inlineStr">
        <is>
          <t>unknown</t>
        </is>
      </c>
      <c r="F3378">
        <f>IFERROR(MATCH(A3378,Deals!$A$2:$A$843,0),"")</f>
        <v/>
      </c>
      <c r="G3378">
        <f>IF(F3378="",0,1)</f>
        <v/>
      </c>
      <c r="H3378" s="29">
        <f>IF(F3378="","",INDEX(Deals!$E$2:$E$843,F3378))</f>
        <v/>
      </c>
      <c r="I3378">
        <f>IF(F3378="","",INDEX(Deals!$D$2:$D$843,F3378))</f>
        <v/>
      </c>
      <c r="J3378">
        <f>IF(F3378="","",INT(H3378)-B3378)</f>
        <v/>
      </c>
      <c r="K3378">
        <f>IF(B3378&gt;=Settings!$C$5,1,0)</f>
        <v/>
      </c>
    </row>
    <row r="3379">
      <c r="A3379" t="inlineStr">
        <is>
          <t>4908744a7082090a05221fc94adce9db</t>
        </is>
      </c>
      <c r="B3379" s="29" t="n">
        <v>43035</v>
      </c>
      <c r="C3379" t="inlineStr">
        <is>
          <t>2017-10</t>
        </is>
      </c>
      <c r="D3379" t="inlineStr">
        <is>
          <t>111313f5b9ceedf17ab5af7317a9f9bc</t>
        </is>
      </c>
      <c r="E3379" t="inlineStr">
        <is>
          <t>organic_search</t>
        </is>
      </c>
      <c r="F3379">
        <f>IFERROR(MATCH(A3379,Deals!$A$2:$A$843,0),"")</f>
        <v/>
      </c>
      <c r="G3379">
        <f>IF(F3379="",0,1)</f>
        <v/>
      </c>
      <c r="H3379" s="29">
        <f>IF(F3379="","",INDEX(Deals!$E$2:$E$843,F3379))</f>
        <v/>
      </c>
      <c r="I3379">
        <f>IF(F3379="","",INDEX(Deals!$D$2:$D$843,F3379))</f>
        <v/>
      </c>
      <c r="J3379">
        <f>IF(F3379="","",INT(H3379)-B3379)</f>
        <v/>
      </c>
      <c r="K3379">
        <f>IF(B3379&gt;=Settings!$C$5,1,0)</f>
        <v/>
      </c>
    </row>
    <row r="3380">
      <c r="A3380" t="inlineStr">
        <is>
          <t>1f18933ca1e531c1eac9cccc4952a03b</t>
        </is>
      </c>
      <c r="B3380" s="29" t="n">
        <v>43117</v>
      </c>
      <c r="C3380" t="inlineStr">
        <is>
          <t>2018-01</t>
        </is>
      </c>
      <c r="D3380" t="inlineStr">
        <is>
          <t>f017be4dbf86243af5c1ebed0cff36a2</t>
        </is>
      </c>
      <c r="E3380" t="inlineStr">
        <is>
          <t>organic_search</t>
        </is>
      </c>
      <c r="F3380">
        <f>IFERROR(MATCH(A3380,Deals!$A$2:$A$843,0),"")</f>
        <v/>
      </c>
      <c r="G3380">
        <f>IF(F3380="",0,1)</f>
        <v/>
      </c>
      <c r="H3380" s="29">
        <f>IF(F3380="","",INDEX(Deals!$E$2:$E$843,F3380))</f>
        <v/>
      </c>
      <c r="I3380">
        <f>IF(F3380="","",INDEX(Deals!$D$2:$D$843,F3380))</f>
        <v/>
      </c>
      <c r="J3380">
        <f>IF(F3380="","",INT(H3380)-B3380)</f>
        <v/>
      </c>
      <c r="K3380">
        <f>IF(B3380&gt;=Settings!$C$5,1,0)</f>
        <v/>
      </c>
    </row>
    <row r="3381">
      <c r="A3381" t="inlineStr">
        <is>
          <t>2f67c31ef2232270b2cbcc57d98b23e2</t>
        </is>
      </c>
      <c r="B3381" s="29" t="n">
        <v>42994</v>
      </c>
      <c r="C3381" t="inlineStr">
        <is>
          <t>2017-09</t>
        </is>
      </c>
      <c r="D3381" t="inlineStr">
        <is>
          <t>007f9098284a86ee80ddeb25d53e0af8</t>
        </is>
      </c>
      <c r="E3381" t="inlineStr">
        <is>
          <t>paid_search</t>
        </is>
      </c>
      <c r="F3381">
        <f>IFERROR(MATCH(A3381,Deals!$A$2:$A$843,0),"")</f>
        <v/>
      </c>
      <c r="G3381">
        <f>IF(F3381="",0,1)</f>
        <v/>
      </c>
      <c r="H3381" s="29">
        <f>IF(F3381="","",INDEX(Deals!$E$2:$E$843,F3381))</f>
        <v/>
      </c>
      <c r="I3381">
        <f>IF(F3381="","",INDEX(Deals!$D$2:$D$843,F3381))</f>
        <v/>
      </c>
      <c r="J3381">
        <f>IF(F3381="","",INT(H3381)-B3381)</f>
        <v/>
      </c>
      <c r="K3381">
        <f>IF(B3381&gt;=Settings!$C$5,1,0)</f>
        <v/>
      </c>
    </row>
    <row r="3382">
      <c r="A3382" t="inlineStr">
        <is>
          <t>479f751686a3b7f1783994dd56619558</t>
        </is>
      </c>
      <c r="B3382" s="29" t="n">
        <v>43199</v>
      </c>
      <c r="C3382" t="inlineStr">
        <is>
          <t>2018-04</t>
        </is>
      </c>
      <c r="D3382" t="inlineStr">
        <is>
          <t>b48ec5f3b04e9068441002a19df93c6c</t>
        </is>
      </c>
      <c r="E3382" t="inlineStr">
        <is>
          <t>organic_search</t>
        </is>
      </c>
      <c r="F3382">
        <f>IFERROR(MATCH(A3382,Deals!$A$2:$A$843,0),"")</f>
        <v/>
      </c>
      <c r="G3382">
        <f>IF(F3382="",0,1)</f>
        <v/>
      </c>
      <c r="H3382" s="29">
        <f>IF(F3382="","",INDEX(Deals!$E$2:$E$843,F3382))</f>
        <v/>
      </c>
      <c r="I3382">
        <f>IF(F3382="","",INDEX(Deals!$D$2:$D$843,F3382))</f>
        <v/>
      </c>
      <c r="J3382">
        <f>IF(F3382="","",INT(H3382)-B3382)</f>
        <v/>
      </c>
      <c r="K3382">
        <f>IF(B3382&gt;=Settings!$C$5,1,0)</f>
        <v/>
      </c>
    </row>
    <row r="3383">
      <c r="A3383" t="inlineStr">
        <is>
          <t>b43f5f80ddc7bcfebd6cd94e13554e4a</t>
        </is>
      </c>
      <c r="B3383" s="29" t="n">
        <v>43168</v>
      </c>
      <c r="C3383" t="inlineStr">
        <is>
          <t>2018-03</t>
        </is>
      </c>
      <c r="D3383" t="inlineStr">
        <is>
          <t>40dec9f3d5259a3d2dbcdab2114fae47</t>
        </is>
      </c>
      <c r="E3383" t="inlineStr">
        <is>
          <t>direct_traffic</t>
        </is>
      </c>
      <c r="F3383">
        <f>IFERROR(MATCH(A3383,Deals!$A$2:$A$843,0),"")</f>
        <v/>
      </c>
      <c r="G3383">
        <f>IF(F3383="",0,1)</f>
        <v/>
      </c>
      <c r="H3383" s="29">
        <f>IF(F3383="","",INDEX(Deals!$E$2:$E$843,F3383))</f>
        <v/>
      </c>
      <c r="I3383">
        <f>IF(F3383="","",INDEX(Deals!$D$2:$D$843,F3383))</f>
        <v/>
      </c>
      <c r="J3383">
        <f>IF(F3383="","",INT(H3383)-B3383)</f>
        <v/>
      </c>
      <c r="K3383">
        <f>IF(B3383&gt;=Settings!$C$5,1,0)</f>
        <v/>
      </c>
    </row>
    <row r="3384">
      <c r="A3384" t="inlineStr">
        <is>
          <t>222aaac522b686a196dc52372498ac8f</t>
        </is>
      </c>
      <c r="B3384" s="29" t="n">
        <v>42937</v>
      </c>
      <c r="C3384" t="inlineStr">
        <is>
          <t>2017-07</t>
        </is>
      </c>
      <c r="D3384" t="inlineStr">
        <is>
          <t>1694e838dffa97f640fcfa35e86e438e</t>
        </is>
      </c>
      <c r="E3384" t="inlineStr">
        <is>
          <t>organic_search</t>
        </is>
      </c>
      <c r="F3384">
        <f>IFERROR(MATCH(A3384,Deals!$A$2:$A$843,0),"")</f>
        <v/>
      </c>
      <c r="G3384">
        <f>IF(F3384="",0,1)</f>
        <v/>
      </c>
      <c r="H3384" s="29">
        <f>IF(F3384="","",INDEX(Deals!$E$2:$E$843,F3384))</f>
        <v/>
      </c>
      <c r="I3384">
        <f>IF(F3384="","",INDEX(Deals!$D$2:$D$843,F3384))</f>
        <v/>
      </c>
      <c r="J3384">
        <f>IF(F3384="","",INT(H3384)-B3384)</f>
        <v/>
      </c>
      <c r="K3384">
        <f>IF(B3384&gt;=Settings!$C$5,1,0)</f>
        <v/>
      </c>
    </row>
    <row r="3385">
      <c r="A3385" t="inlineStr">
        <is>
          <t>bd3f1eb5c94a9ef8a93e0205ade42ff2</t>
        </is>
      </c>
      <c r="B3385" s="29" t="n">
        <v>43129</v>
      </c>
      <c r="C3385" t="inlineStr">
        <is>
          <t>2018-01</t>
        </is>
      </c>
      <c r="D3385" t="inlineStr">
        <is>
          <t>ce1a65abd0973638f1c887a6efcfa82d</t>
        </is>
      </c>
      <c r="E3385" t="inlineStr">
        <is>
          <t>organic_search</t>
        </is>
      </c>
      <c r="F3385">
        <f>IFERROR(MATCH(A3385,Deals!$A$2:$A$843,0),"")</f>
        <v/>
      </c>
      <c r="G3385">
        <f>IF(F3385="",0,1)</f>
        <v/>
      </c>
      <c r="H3385" s="29">
        <f>IF(F3385="","",INDEX(Deals!$E$2:$E$843,F3385))</f>
        <v/>
      </c>
      <c r="I3385">
        <f>IF(F3385="","",INDEX(Deals!$D$2:$D$843,F3385))</f>
        <v/>
      </c>
      <c r="J3385">
        <f>IF(F3385="","",INT(H3385)-B3385)</f>
        <v/>
      </c>
      <c r="K3385">
        <f>IF(B3385&gt;=Settings!$C$5,1,0)</f>
        <v/>
      </c>
    </row>
    <row r="3386">
      <c r="A3386" t="inlineStr">
        <is>
          <t>6e1bdc97ffcbc6a73415bd776a130272</t>
        </is>
      </c>
      <c r="B3386" s="29" t="n">
        <v>43224</v>
      </c>
      <c r="C3386" t="inlineStr">
        <is>
          <t>2018-05</t>
        </is>
      </c>
      <c r="D3386" t="inlineStr">
        <is>
          <t>58326e62183c14b0c03085c33b9fdc44</t>
        </is>
      </c>
      <c r="E3386" t="inlineStr">
        <is>
          <t>social</t>
        </is>
      </c>
      <c r="F3386">
        <f>IFERROR(MATCH(A3386,Deals!$A$2:$A$843,0),"")</f>
        <v/>
      </c>
      <c r="G3386">
        <f>IF(F3386="",0,1)</f>
        <v/>
      </c>
      <c r="H3386" s="29">
        <f>IF(F3386="","",INDEX(Deals!$E$2:$E$843,F3386))</f>
        <v/>
      </c>
      <c r="I3386">
        <f>IF(F3386="","",INDEX(Deals!$D$2:$D$843,F3386))</f>
        <v/>
      </c>
      <c r="J3386">
        <f>IF(F3386="","",INT(H3386)-B3386)</f>
        <v/>
      </c>
      <c r="K3386">
        <f>IF(B3386&gt;=Settings!$C$5,1,0)</f>
        <v/>
      </c>
    </row>
    <row r="3387">
      <c r="A3387" t="inlineStr">
        <is>
          <t>480262a8c8a59b699e77de6ad8bb0001</t>
        </is>
      </c>
      <c r="B3387" s="29" t="n">
        <v>42941</v>
      </c>
      <c r="C3387" t="inlineStr">
        <is>
          <t>2017-07</t>
        </is>
      </c>
      <c r="D3387" t="inlineStr">
        <is>
          <t>e964a0b7ce20d152c6ecc57c706d6291</t>
        </is>
      </c>
      <c r="E3387" t="inlineStr">
        <is>
          <t>paid_search</t>
        </is>
      </c>
      <c r="F3387">
        <f>IFERROR(MATCH(A3387,Deals!$A$2:$A$843,0),"")</f>
        <v/>
      </c>
      <c r="G3387">
        <f>IF(F3387="",0,1)</f>
        <v/>
      </c>
      <c r="H3387" s="29">
        <f>IF(F3387="","",INDEX(Deals!$E$2:$E$843,F3387))</f>
        <v/>
      </c>
      <c r="I3387">
        <f>IF(F3387="","",INDEX(Deals!$D$2:$D$843,F3387))</f>
        <v/>
      </c>
      <c r="J3387">
        <f>IF(F3387="","",INT(H3387)-B3387)</f>
        <v/>
      </c>
      <c r="K3387">
        <f>IF(B3387&gt;=Settings!$C$5,1,0)</f>
        <v/>
      </c>
    </row>
    <row r="3388">
      <c r="A3388" t="inlineStr">
        <is>
          <t>9fd3ac60c2e7a7b4b5984fb48bda8492</t>
        </is>
      </c>
      <c r="B3388" s="29" t="n">
        <v>42998</v>
      </c>
      <c r="C3388" t="inlineStr">
        <is>
          <t>2017-09</t>
        </is>
      </c>
      <c r="D3388" t="inlineStr">
        <is>
          <t>30077c17f2ec5010a82e37ad8925b95f</t>
        </is>
      </c>
      <c r="E3388" t="inlineStr">
        <is>
          <t>paid_search</t>
        </is>
      </c>
      <c r="F3388">
        <f>IFERROR(MATCH(A3388,Deals!$A$2:$A$843,0),"")</f>
        <v/>
      </c>
      <c r="G3388">
        <f>IF(F3388="",0,1)</f>
        <v/>
      </c>
      <c r="H3388" s="29">
        <f>IF(F3388="","",INDEX(Deals!$E$2:$E$843,F3388))</f>
        <v/>
      </c>
      <c r="I3388">
        <f>IF(F3388="","",INDEX(Deals!$D$2:$D$843,F3388))</f>
        <v/>
      </c>
      <c r="J3388">
        <f>IF(F3388="","",INT(H3388)-B3388)</f>
        <v/>
      </c>
      <c r="K3388">
        <f>IF(B3388&gt;=Settings!$C$5,1,0)</f>
        <v/>
      </c>
    </row>
    <row r="3389">
      <c r="A3389" t="inlineStr">
        <is>
          <t>db077222fb86870f6fa0583f80e2c6c0</t>
        </is>
      </c>
      <c r="B3389" s="29" t="n">
        <v>43038</v>
      </c>
      <c r="C3389" t="inlineStr">
        <is>
          <t>2017-10</t>
        </is>
      </c>
      <c r="D3389" t="inlineStr">
        <is>
          <t>5da54625ee0a9560dc9b9b9f6ccb03d0</t>
        </is>
      </c>
      <c r="E3389" t="inlineStr">
        <is>
          <t>paid_search</t>
        </is>
      </c>
      <c r="F3389">
        <f>IFERROR(MATCH(A3389,Deals!$A$2:$A$843,0),"")</f>
        <v/>
      </c>
      <c r="G3389">
        <f>IF(F3389="",0,1)</f>
        <v/>
      </c>
      <c r="H3389" s="29">
        <f>IF(F3389="","",INDEX(Deals!$E$2:$E$843,F3389))</f>
        <v/>
      </c>
      <c r="I3389">
        <f>IF(F3389="","",INDEX(Deals!$D$2:$D$843,F3389))</f>
        <v/>
      </c>
      <c r="J3389">
        <f>IF(F3389="","",INT(H3389)-B3389)</f>
        <v/>
      </c>
      <c r="K3389">
        <f>IF(B3389&gt;=Settings!$C$5,1,0)</f>
        <v/>
      </c>
    </row>
    <row r="3390">
      <c r="A3390" t="inlineStr">
        <is>
          <t>bfaac30872cb86835b1fd11b4e4129d8</t>
        </is>
      </c>
      <c r="B3390" s="29" t="n">
        <v>43247</v>
      </c>
      <c r="C3390" t="inlineStr">
        <is>
          <t>2018-05</t>
        </is>
      </c>
      <c r="D3390" t="inlineStr">
        <is>
          <t>8ff57dffc365fcb5233232fff6e6bfd0</t>
        </is>
      </c>
      <c r="E3390" t="inlineStr">
        <is>
          <t>referral</t>
        </is>
      </c>
      <c r="F3390">
        <f>IFERROR(MATCH(A3390,Deals!$A$2:$A$843,0),"")</f>
        <v/>
      </c>
      <c r="G3390">
        <f>IF(F3390="",0,1)</f>
        <v/>
      </c>
      <c r="H3390" s="29">
        <f>IF(F3390="","",INDEX(Deals!$E$2:$E$843,F3390))</f>
        <v/>
      </c>
      <c r="I3390">
        <f>IF(F3390="","",INDEX(Deals!$D$2:$D$843,F3390))</f>
        <v/>
      </c>
      <c r="J3390">
        <f>IF(F3390="","",INT(H3390)-B3390)</f>
        <v/>
      </c>
      <c r="K3390">
        <f>IF(B3390&gt;=Settings!$C$5,1,0)</f>
        <v/>
      </c>
    </row>
    <row r="3391">
      <c r="A3391" t="inlineStr">
        <is>
          <t>4b330002dec7431d835ebc2491091e68</t>
        </is>
      </c>
      <c r="B3391" s="29" t="n">
        <v>43102</v>
      </c>
      <c r="C3391" t="inlineStr">
        <is>
          <t>2018-01</t>
        </is>
      </c>
      <c r="D3391" t="inlineStr">
        <is>
          <t>88740e65d5d6b056e0cda098e1ea6313</t>
        </is>
      </c>
      <c r="E3391" t="inlineStr">
        <is>
          <t>social</t>
        </is>
      </c>
      <c r="F3391">
        <f>IFERROR(MATCH(A3391,Deals!$A$2:$A$843,0),"")</f>
        <v/>
      </c>
      <c r="G3391">
        <f>IF(F3391="",0,1)</f>
        <v/>
      </c>
      <c r="H3391" s="29">
        <f>IF(F3391="","",INDEX(Deals!$E$2:$E$843,F3391))</f>
        <v/>
      </c>
      <c r="I3391">
        <f>IF(F3391="","",INDEX(Deals!$D$2:$D$843,F3391))</f>
        <v/>
      </c>
      <c r="J3391">
        <f>IF(F3391="","",INT(H3391)-B3391)</f>
        <v/>
      </c>
      <c r="K3391">
        <f>IF(B3391&gt;=Settings!$C$5,1,0)</f>
        <v/>
      </c>
    </row>
    <row r="3392">
      <c r="A3392" t="inlineStr">
        <is>
          <t>f0e52158d74ae8b44e0b9373034d6503</t>
        </is>
      </c>
      <c r="B3392" s="29" t="n">
        <v>43236</v>
      </c>
      <c r="C3392" t="inlineStr">
        <is>
          <t>2018-05</t>
        </is>
      </c>
      <c r="D3392" t="inlineStr">
        <is>
          <t>58326e62183c14b0c03085c33b9fdc44</t>
        </is>
      </c>
      <c r="E3392" t="inlineStr">
        <is>
          <t>social</t>
        </is>
      </c>
      <c r="F3392">
        <f>IFERROR(MATCH(A3392,Deals!$A$2:$A$843,0),"")</f>
        <v/>
      </c>
      <c r="G3392">
        <f>IF(F3392="",0,1)</f>
        <v/>
      </c>
      <c r="H3392" s="29">
        <f>IF(F3392="","",INDEX(Deals!$E$2:$E$843,F3392))</f>
        <v/>
      </c>
      <c r="I3392">
        <f>IF(F3392="","",INDEX(Deals!$D$2:$D$843,F3392))</f>
        <v/>
      </c>
      <c r="J3392">
        <f>IF(F3392="","",INT(H3392)-B3392)</f>
        <v/>
      </c>
      <c r="K3392">
        <f>IF(B3392&gt;=Settings!$C$5,1,0)</f>
        <v/>
      </c>
    </row>
    <row r="3393">
      <c r="A3393" t="inlineStr">
        <is>
          <t>25315d7e8e32b1441d08e0663d3e3187</t>
        </is>
      </c>
      <c r="B3393" s="29" t="n">
        <v>43066</v>
      </c>
      <c r="C3393" t="inlineStr">
        <is>
          <t>2017-11</t>
        </is>
      </c>
      <c r="D3393" t="inlineStr">
        <is>
          <t>ce1a65abd0973638f1c887a6efcfa82d</t>
        </is>
      </c>
      <c r="E3393" t="inlineStr">
        <is>
          <t>organic_search</t>
        </is>
      </c>
      <c r="F3393">
        <f>IFERROR(MATCH(A3393,Deals!$A$2:$A$843,0),"")</f>
        <v/>
      </c>
      <c r="G3393">
        <f>IF(F3393="",0,1)</f>
        <v/>
      </c>
      <c r="H3393" s="29">
        <f>IF(F3393="","",INDEX(Deals!$E$2:$E$843,F3393))</f>
        <v/>
      </c>
      <c r="I3393">
        <f>IF(F3393="","",INDEX(Deals!$D$2:$D$843,F3393))</f>
        <v/>
      </c>
      <c r="J3393">
        <f>IF(F3393="","",INT(H3393)-B3393)</f>
        <v/>
      </c>
      <c r="K3393">
        <f>IF(B3393&gt;=Settings!$C$5,1,0)</f>
        <v/>
      </c>
    </row>
    <row r="3394">
      <c r="A3394" t="inlineStr">
        <is>
          <t>193864498a92b6aede7589f5d4826e12</t>
        </is>
      </c>
      <c r="B3394" s="29" t="n">
        <v>43132</v>
      </c>
      <c r="C3394" t="inlineStr">
        <is>
          <t>2018-02</t>
        </is>
      </c>
      <c r="D3394" t="inlineStr">
        <is>
          <t>b76ef37428e6799c421989521c0e5077</t>
        </is>
      </c>
      <c r="E3394" t="inlineStr">
        <is>
          <t>unknown</t>
        </is>
      </c>
      <c r="F3394">
        <f>IFERROR(MATCH(A3394,Deals!$A$2:$A$843,0),"")</f>
        <v/>
      </c>
      <c r="G3394">
        <f>IF(F3394="",0,1)</f>
        <v/>
      </c>
      <c r="H3394" s="29">
        <f>IF(F3394="","",INDEX(Deals!$E$2:$E$843,F3394))</f>
        <v/>
      </c>
      <c r="I3394">
        <f>IF(F3394="","",INDEX(Deals!$D$2:$D$843,F3394))</f>
        <v/>
      </c>
      <c r="J3394">
        <f>IF(F3394="","",INT(H3394)-B3394)</f>
        <v/>
      </c>
      <c r="K3394">
        <f>IF(B3394&gt;=Settings!$C$5,1,0)</f>
        <v/>
      </c>
    </row>
    <row r="3395">
      <c r="A3395" t="inlineStr">
        <is>
          <t>26cb01884a647829fce6479fbb176337</t>
        </is>
      </c>
      <c r="B3395" s="29" t="n">
        <v>43201</v>
      </c>
      <c r="C3395" t="inlineStr">
        <is>
          <t>2018-04</t>
        </is>
      </c>
      <c r="D3395" t="inlineStr">
        <is>
          <t>35c9b150ab36fe584c1f24fd458c453a</t>
        </is>
      </c>
      <c r="E3395" t="inlineStr">
        <is>
          <t>paid_search</t>
        </is>
      </c>
      <c r="F3395">
        <f>IFERROR(MATCH(A3395,Deals!$A$2:$A$843,0),"")</f>
        <v/>
      </c>
      <c r="G3395">
        <f>IF(F3395="",0,1)</f>
        <v/>
      </c>
      <c r="H3395" s="29">
        <f>IF(F3395="","",INDEX(Deals!$E$2:$E$843,F3395))</f>
        <v/>
      </c>
      <c r="I3395">
        <f>IF(F3395="","",INDEX(Deals!$D$2:$D$843,F3395))</f>
        <v/>
      </c>
      <c r="J3395">
        <f>IF(F3395="","",INT(H3395)-B3395)</f>
        <v/>
      </c>
      <c r="K3395">
        <f>IF(B3395&gt;=Settings!$C$5,1,0)</f>
        <v/>
      </c>
    </row>
    <row r="3396">
      <c r="A3396" t="inlineStr">
        <is>
          <t>8b2c5535d232cb9ff45a6944915000b1</t>
        </is>
      </c>
      <c r="B3396" s="29" t="n">
        <v>43225</v>
      </c>
      <c r="C3396" t="inlineStr">
        <is>
          <t>2018-05</t>
        </is>
      </c>
      <c r="D3396" t="inlineStr">
        <is>
          <t>58326e62183c14b0c03085c33b9fdc44</t>
        </is>
      </c>
      <c r="E3396" t="inlineStr">
        <is>
          <t>social</t>
        </is>
      </c>
      <c r="F3396">
        <f>IFERROR(MATCH(A3396,Deals!$A$2:$A$843,0),"")</f>
        <v/>
      </c>
      <c r="G3396">
        <f>IF(F3396="",0,1)</f>
        <v/>
      </c>
      <c r="H3396" s="29">
        <f>IF(F3396="","",INDEX(Deals!$E$2:$E$843,F3396))</f>
        <v/>
      </c>
      <c r="I3396">
        <f>IF(F3396="","",INDEX(Deals!$D$2:$D$843,F3396))</f>
        <v/>
      </c>
      <c r="J3396">
        <f>IF(F3396="","",INT(H3396)-B3396)</f>
        <v/>
      </c>
      <c r="K3396">
        <f>IF(B3396&gt;=Settings!$C$5,1,0)</f>
        <v/>
      </c>
    </row>
    <row r="3397">
      <c r="A3397" t="inlineStr">
        <is>
          <t>e800acf8774c816fa0156944bb45bf74</t>
        </is>
      </c>
      <c r="B3397" s="29" t="n">
        <v>43016</v>
      </c>
      <c r="C3397" t="inlineStr">
        <is>
          <t>2017-10</t>
        </is>
      </c>
      <c r="D3397" t="inlineStr">
        <is>
          <t>241f79c7a8fe0270f4fb79fcbbcd17ad</t>
        </is>
      </c>
      <c r="E3397" t="inlineStr">
        <is>
          <t>paid_search</t>
        </is>
      </c>
      <c r="F3397">
        <f>IFERROR(MATCH(A3397,Deals!$A$2:$A$843,0),"")</f>
        <v/>
      </c>
      <c r="G3397">
        <f>IF(F3397="",0,1)</f>
        <v/>
      </c>
      <c r="H3397" s="29">
        <f>IF(F3397="","",INDEX(Deals!$E$2:$E$843,F3397))</f>
        <v/>
      </c>
      <c r="I3397">
        <f>IF(F3397="","",INDEX(Deals!$D$2:$D$843,F3397))</f>
        <v/>
      </c>
      <c r="J3397">
        <f>IF(F3397="","",INT(H3397)-B3397)</f>
        <v/>
      </c>
      <c r="K3397">
        <f>IF(B3397&gt;=Settings!$C$5,1,0)</f>
        <v/>
      </c>
    </row>
    <row r="3398">
      <c r="A3398" t="inlineStr">
        <is>
          <t>9c28e4e91a8070d2228da176c2bf07fa</t>
        </is>
      </c>
      <c r="B3398" s="29" t="n">
        <v>43247</v>
      </c>
      <c r="C3398" t="inlineStr">
        <is>
          <t>2018-05</t>
        </is>
      </c>
      <c r="D3398" t="inlineStr">
        <is>
          <t>58326e62183c14b0c03085c33b9fdc44</t>
        </is>
      </c>
      <c r="E3398" t="inlineStr">
        <is>
          <t>social</t>
        </is>
      </c>
      <c r="F3398">
        <f>IFERROR(MATCH(A3398,Deals!$A$2:$A$843,0),"")</f>
        <v/>
      </c>
      <c r="G3398">
        <f>IF(F3398="",0,1)</f>
        <v/>
      </c>
      <c r="H3398" s="29">
        <f>IF(F3398="","",INDEX(Deals!$E$2:$E$843,F3398))</f>
        <v/>
      </c>
      <c r="I3398">
        <f>IF(F3398="","",INDEX(Deals!$D$2:$D$843,F3398))</f>
        <v/>
      </c>
      <c r="J3398">
        <f>IF(F3398="","",INT(H3398)-B3398)</f>
        <v/>
      </c>
      <c r="K3398">
        <f>IF(B3398&gt;=Settings!$C$5,1,0)</f>
        <v/>
      </c>
    </row>
    <row r="3399">
      <c r="A3399" t="inlineStr">
        <is>
          <t>a7b344c58979fefcf891b91a8e5abb22</t>
        </is>
      </c>
      <c r="B3399" s="29" t="n">
        <v>43045</v>
      </c>
      <c r="C3399" t="inlineStr">
        <is>
          <t>2017-11</t>
        </is>
      </c>
      <c r="D3399" t="inlineStr">
        <is>
          <t>b76ef37428e6799c421989521c0e5077</t>
        </is>
      </c>
      <c r="E3399" t="inlineStr">
        <is>
          <t>unknown</t>
        </is>
      </c>
      <c r="F3399">
        <f>IFERROR(MATCH(A3399,Deals!$A$2:$A$843,0),"")</f>
        <v/>
      </c>
      <c r="G3399">
        <f>IF(F3399="",0,1)</f>
        <v/>
      </c>
      <c r="H3399" s="29">
        <f>IF(F3399="","",INDEX(Deals!$E$2:$E$843,F3399))</f>
        <v/>
      </c>
      <c r="I3399">
        <f>IF(F3399="","",INDEX(Deals!$D$2:$D$843,F3399))</f>
        <v/>
      </c>
      <c r="J3399">
        <f>IF(F3399="","",INT(H3399)-B3399)</f>
        <v/>
      </c>
      <c r="K3399">
        <f>IF(B3399&gt;=Settings!$C$5,1,0)</f>
        <v/>
      </c>
    </row>
    <row r="3400">
      <c r="A3400" t="inlineStr">
        <is>
          <t>31577311e2012c8a369e46365f56891a</t>
        </is>
      </c>
      <c r="B3400" s="29" t="n">
        <v>43048</v>
      </c>
      <c r="C3400" t="inlineStr">
        <is>
          <t>2017-11</t>
        </is>
      </c>
      <c r="D3400" t="inlineStr">
        <is>
          <t>88740e65d5d6b056e0cda098e1ea6313</t>
        </is>
      </c>
      <c r="E3400" t="inlineStr">
        <is>
          <t>social</t>
        </is>
      </c>
      <c r="F3400">
        <f>IFERROR(MATCH(A3400,Deals!$A$2:$A$843,0),"")</f>
        <v/>
      </c>
      <c r="G3400">
        <f>IF(F3400="",0,1)</f>
        <v/>
      </c>
      <c r="H3400" s="29">
        <f>IF(F3400="","",INDEX(Deals!$E$2:$E$843,F3400))</f>
        <v/>
      </c>
      <c r="I3400">
        <f>IF(F3400="","",INDEX(Deals!$D$2:$D$843,F3400))</f>
        <v/>
      </c>
      <c r="J3400">
        <f>IF(F3400="","",INT(H3400)-B3400)</f>
        <v/>
      </c>
      <c r="K3400">
        <f>IF(B3400&gt;=Settings!$C$5,1,0)</f>
        <v/>
      </c>
    </row>
    <row r="3401">
      <c r="A3401" t="inlineStr">
        <is>
          <t>4f0f33bd9633ddeca0990e10cf6bf79f</t>
        </is>
      </c>
      <c r="B3401" s="29" t="n">
        <v>43226</v>
      </c>
      <c r="C3401" t="inlineStr">
        <is>
          <t>2018-05</t>
        </is>
      </c>
      <c r="D3401" t="inlineStr">
        <is>
          <t>22c29808c4f815213303f8933030604c</t>
        </is>
      </c>
      <c r="E3401" t="inlineStr">
        <is>
          <t>organic_search</t>
        </is>
      </c>
      <c r="F3401">
        <f>IFERROR(MATCH(A3401,Deals!$A$2:$A$843,0),"")</f>
        <v/>
      </c>
      <c r="G3401">
        <f>IF(F3401="",0,1)</f>
        <v/>
      </c>
      <c r="H3401" s="29">
        <f>IF(F3401="","",INDEX(Deals!$E$2:$E$843,F3401))</f>
        <v/>
      </c>
      <c r="I3401">
        <f>IF(F3401="","",INDEX(Deals!$D$2:$D$843,F3401))</f>
        <v/>
      </c>
      <c r="J3401">
        <f>IF(F3401="","",INT(H3401)-B3401)</f>
        <v/>
      </c>
      <c r="K3401">
        <f>IF(B3401&gt;=Settings!$C$5,1,0)</f>
        <v/>
      </c>
    </row>
    <row r="3402">
      <c r="A3402" t="inlineStr">
        <is>
          <t>3ac7bddf3581dec000154bc98e800cc5</t>
        </is>
      </c>
      <c r="B3402" s="29" t="n">
        <v>42922</v>
      </c>
      <c r="C3402" t="inlineStr">
        <is>
          <t>2017-07</t>
        </is>
      </c>
      <c r="D3402" t="inlineStr">
        <is>
          <t>acd502dc52a068d7c4014af6d5dbcd11</t>
        </is>
      </c>
      <c r="E3402" t="inlineStr">
        <is>
          <t>paid_search</t>
        </is>
      </c>
      <c r="F3402">
        <f>IFERROR(MATCH(A3402,Deals!$A$2:$A$843,0),"")</f>
        <v/>
      </c>
      <c r="G3402">
        <f>IF(F3402="",0,1)</f>
        <v/>
      </c>
      <c r="H3402" s="29">
        <f>IF(F3402="","",INDEX(Deals!$E$2:$E$843,F3402))</f>
        <v/>
      </c>
      <c r="I3402">
        <f>IF(F3402="","",INDEX(Deals!$D$2:$D$843,F3402))</f>
        <v/>
      </c>
      <c r="J3402">
        <f>IF(F3402="","",INT(H3402)-B3402)</f>
        <v/>
      </c>
      <c r="K3402">
        <f>IF(B3402&gt;=Settings!$C$5,1,0)</f>
        <v/>
      </c>
    </row>
    <row r="3403">
      <c r="A3403" t="inlineStr">
        <is>
          <t>e355819c0931a90b594aeb8d6a73587f</t>
        </is>
      </c>
      <c r="B3403" s="29" t="n">
        <v>43234</v>
      </c>
      <c r="C3403" t="inlineStr">
        <is>
          <t>2018-05</t>
        </is>
      </c>
      <c r="D3403" t="inlineStr">
        <is>
          <t>36120633c8737035fbabf079082f4ec1</t>
        </is>
      </c>
      <c r="E3403" t="inlineStr">
        <is>
          <t>paid_search</t>
        </is>
      </c>
      <c r="F3403">
        <f>IFERROR(MATCH(A3403,Deals!$A$2:$A$843,0),"")</f>
        <v/>
      </c>
      <c r="G3403">
        <f>IF(F3403="",0,1)</f>
        <v/>
      </c>
      <c r="H3403" s="29">
        <f>IF(F3403="","",INDEX(Deals!$E$2:$E$843,F3403))</f>
        <v/>
      </c>
      <c r="I3403">
        <f>IF(F3403="","",INDEX(Deals!$D$2:$D$843,F3403))</f>
        <v/>
      </c>
      <c r="J3403">
        <f>IF(F3403="","",INT(H3403)-B3403)</f>
        <v/>
      </c>
      <c r="K3403">
        <f>IF(B3403&gt;=Settings!$C$5,1,0)</f>
        <v/>
      </c>
    </row>
    <row r="3404">
      <c r="A3404" t="inlineStr">
        <is>
          <t>881033020c988cb96041b1c5f6361bdf</t>
        </is>
      </c>
      <c r="B3404" s="29" t="n">
        <v>43149</v>
      </c>
      <c r="C3404" t="inlineStr">
        <is>
          <t>2018-02</t>
        </is>
      </c>
      <c r="D3404" t="inlineStr">
        <is>
          <t>83bfeb1d106df88a2cde0965999161f0</t>
        </is>
      </c>
      <c r="E3404" t="inlineStr">
        <is>
          <t>paid_search</t>
        </is>
      </c>
      <c r="F3404">
        <f>IFERROR(MATCH(A3404,Deals!$A$2:$A$843,0),"")</f>
        <v/>
      </c>
      <c r="G3404">
        <f>IF(F3404="",0,1)</f>
        <v/>
      </c>
      <c r="H3404" s="29">
        <f>IF(F3404="","",INDEX(Deals!$E$2:$E$843,F3404))</f>
        <v/>
      </c>
      <c r="I3404">
        <f>IF(F3404="","",INDEX(Deals!$D$2:$D$843,F3404))</f>
        <v/>
      </c>
      <c r="J3404">
        <f>IF(F3404="","",INT(H3404)-B3404)</f>
        <v/>
      </c>
      <c r="K3404">
        <f>IF(B3404&gt;=Settings!$C$5,1,0)</f>
        <v/>
      </c>
    </row>
    <row r="3405">
      <c r="A3405" t="inlineStr">
        <is>
          <t>a9136794e5b084c915b1470232654802</t>
        </is>
      </c>
      <c r="B3405" s="29" t="n">
        <v>43161</v>
      </c>
      <c r="C3405" t="inlineStr">
        <is>
          <t>2018-03</t>
        </is>
      </c>
      <c r="D3405" t="inlineStr">
        <is>
          <t>36120633c8737035fbabf079082f4ec1</t>
        </is>
      </c>
      <c r="E3405" t="inlineStr">
        <is>
          <t>direct_traffic</t>
        </is>
      </c>
      <c r="F3405">
        <f>IFERROR(MATCH(A3405,Deals!$A$2:$A$843,0),"")</f>
        <v/>
      </c>
      <c r="G3405">
        <f>IF(F3405="",0,1)</f>
        <v/>
      </c>
      <c r="H3405" s="29">
        <f>IF(F3405="","",INDEX(Deals!$E$2:$E$843,F3405))</f>
        <v/>
      </c>
      <c r="I3405">
        <f>IF(F3405="","",INDEX(Deals!$D$2:$D$843,F3405))</f>
        <v/>
      </c>
      <c r="J3405">
        <f>IF(F3405="","",INT(H3405)-B3405)</f>
        <v/>
      </c>
      <c r="K3405">
        <f>IF(B3405&gt;=Settings!$C$5,1,0)</f>
        <v/>
      </c>
    </row>
    <row r="3406">
      <c r="A3406" t="inlineStr">
        <is>
          <t>97975a2bc49e8c5e9a69022c9bf9a046</t>
        </is>
      </c>
      <c r="B3406" s="29" t="n">
        <v>43151</v>
      </c>
      <c r="C3406" t="inlineStr">
        <is>
          <t>2018-02</t>
        </is>
      </c>
      <c r="D3406" t="inlineStr">
        <is>
          <t>36120633c8737035fbabf079082f4ec1</t>
        </is>
      </c>
      <c r="E3406" t="inlineStr">
        <is>
          <t>paid_search</t>
        </is>
      </c>
      <c r="F3406">
        <f>IFERROR(MATCH(A3406,Deals!$A$2:$A$843,0),"")</f>
        <v/>
      </c>
      <c r="G3406">
        <f>IF(F3406="",0,1)</f>
        <v/>
      </c>
      <c r="H3406" s="29">
        <f>IF(F3406="","",INDEX(Deals!$E$2:$E$843,F3406))</f>
        <v/>
      </c>
      <c r="I3406">
        <f>IF(F3406="","",INDEX(Deals!$D$2:$D$843,F3406))</f>
        <v/>
      </c>
      <c r="J3406">
        <f>IF(F3406="","",INT(H3406)-B3406)</f>
        <v/>
      </c>
      <c r="K3406">
        <f>IF(B3406&gt;=Settings!$C$5,1,0)</f>
        <v/>
      </c>
    </row>
    <row r="3407">
      <c r="A3407" t="inlineStr">
        <is>
          <t>41768754d777815578bfe2fa95da614d</t>
        </is>
      </c>
      <c r="B3407" s="29" t="n">
        <v>43031</v>
      </c>
      <c r="C3407" t="inlineStr">
        <is>
          <t>2017-10</t>
        </is>
      </c>
      <c r="D3407" t="inlineStr">
        <is>
          <t>82ce7345d29d3003d376f9382fc0eba0</t>
        </is>
      </c>
      <c r="E3407" t="inlineStr">
        <is>
          <t>paid_search</t>
        </is>
      </c>
      <c r="F3407">
        <f>IFERROR(MATCH(A3407,Deals!$A$2:$A$843,0),"")</f>
        <v/>
      </c>
      <c r="G3407">
        <f>IF(F3407="",0,1)</f>
        <v/>
      </c>
      <c r="H3407" s="29">
        <f>IF(F3407="","",INDEX(Deals!$E$2:$E$843,F3407))</f>
        <v/>
      </c>
      <c r="I3407">
        <f>IF(F3407="","",INDEX(Deals!$D$2:$D$843,F3407))</f>
        <v/>
      </c>
      <c r="J3407">
        <f>IF(F3407="","",INT(H3407)-B3407)</f>
        <v/>
      </c>
      <c r="K3407">
        <f>IF(B3407&gt;=Settings!$C$5,1,0)</f>
        <v/>
      </c>
    </row>
    <row r="3408">
      <c r="A3408" t="inlineStr">
        <is>
          <t>1e344f02ca8df0c4cc9313a9964755e0</t>
        </is>
      </c>
      <c r="B3408" s="29" t="n">
        <v>43152</v>
      </c>
      <c r="C3408" t="inlineStr">
        <is>
          <t>2018-02</t>
        </is>
      </c>
      <c r="D3408" t="inlineStr">
        <is>
          <t>1ee8e9027201b4aead6b5c6fa7846eee</t>
        </is>
      </c>
      <c r="E3408" t="inlineStr">
        <is>
          <t>paid_search</t>
        </is>
      </c>
      <c r="F3408">
        <f>IFERROR(MATCH(A3408,Deals!$A$2:$A$843,0),"")</f>
        <v/>
      </c>
      <c r="G3408">
        <f>IF(F3408="",0,1)</f>
        <v/>
      </c>
      <c r="H3408" s="29">
        <f>IF(F3408="","",INDEX(Deals!$E$2:$E$843,F3408))</f>
        <v/>
      </c>
      <c r="I3408">
        <f>IF(F3408="","",INDEX(Deals!$D$2:$D$843,F3408))</f>
        <v/>
      </c>
      <c r="J3408">
        <f>IF(F3408="","",INT(H3408)-B3408)</f>
        <v/>
      </c>
      <c r="K3408">
        <f>IF(B3408&gt;=Settings!$C$5,1,0)</f>
        <v/>
      </c>
    </row>
    <row r="3409">
      <c r="A3409" t="inlineStr">
        <is>
          <t>ce2d2842071611e967a135538bb0b3af</t>
        </is>
      </c>
      <c r="B3409" s="29" t="n">
        <v>43140</v>
      </c>
      <c r="C3409" t="inlineStr">
        <is>
          <t>2018-02</t>
        </is>
      </c>
      <c r="D3409" t="inlineStr">
        <is>
          <t>ce1a65abd0973638f1c887a6efcfa82d</t>
        </is>
      </c>
      <c r="E3409" t="inlineStr">
        <is>
          <t>paid_search</t>
        </is>
      </c>
      <c r="F3409">
        <f>IFERROR(MATCH(A3409,Deals!$A$2:$A$843,0),"")</f>
        <v/>
      </c>
      <c r="G3409">
        <f>IF(F3409="",0,1)</f>
        <v/>
      </c>
      <c r="H3409" s="29">
        <f>IF(F3409="","",INDEX(Deals!$E$2:$E$843,F3409))</f>
        <v/>
      </c>
      <c r="I3409">
        <f>IF(F3409="","",INDEX(Deals!$D$2:$D$843,F3409))</f>
        <v/>
      </c>
      <c r="J3409">
        <f>IF(F3409="","",INT(H3409)-B3409)</f>
        <v/>
      </c>
      <c r="K3409">
        <f>IF(B3409&gt;=Settings!$C$5,1,0)</f>
        <v/>
      </c>
    </row>
    <row r="3410">
      <c r="A3410" t="inlineStr">
        <is>
          <t>995e869dac6a1eb7a46c430768a04db3</t>
        </is>
      </c>
      <c r="B3410" s="29" t="n">
        <v>43016</v>
      </c>
      <c r="C3410" t="inlineStr">
        <is>
          <t>2017-10</t>
        </is>
      </c>
      <c r="D3410" t="inlineStr">
        <is>
          <t>b217afa2c1f4cb502423005639878f6d</t>
        </is>
      </c>
      <c r="E3410" t="inlineStr">
        <is>
          <t>paid_search</t>
        </is>
      </c>
      <c r="F3410">
        <f>IFERROR(MATCH(A3410,Deals!$A$2:$A$843,0),"")</f>
        <v/>
      </c>
      <c r="G3410">
        <f>IF(F3410="",0,1)</f>
        <v/>
      </c>
      <c r="H3410" s="29">
        <f>IF(F3410="","",INDEX(Deals!$E$2:$E$843,F3410))</f>
        <v/>
      </c>
      <c r="I3410">
        <f>IF(F3410="","",INDEX(Deals!$D$2:$D$843,F3410))</f>
        <v/>
      </c>
      <c r="J3410">
        <f>IF(F3410="","",INT(H3410)-B3410)</f>
        <v/>
      </c>
      <c r="K3410">
        <f>IF(B3410&gt;=Settings!$C$5,1,0)</f>
        <v/>
      </c>
    </row>
    <row r="3411">
      <c r="A3411" t="inlineStr">
        <is>
          <t>cd4aa78eef2c2a097afdf7efae7bc1d9</t>
        </is>
      </c>
      <c r="B3411" s="29" t="n">
        <v>43191</v>
      </c>
      <c r="C3411" t="inlineStr">
        <is>
          <t>2018-04</t>
        </is>
      </c>
      <c r="D3411" t="inlineStr">
        <is>
          <t>f017be4dbf86243af5c1ebed0cff36a2</t>
        </is>
      </c>
      <c r="E3411" t="inlineStr">
        <is>
          <t>social</t>
        </is>
      </c>
      <c r="F3411">
        <f>IFERROR(MATCH(A3411,Deals!$A$2:$A$843,0),"")</f>
        <v/>
      </c>
      <c r="G3411">
        <f>IF(F3411="",0,1)</f>
        <v/>
      </c>
      <c r="H3411" s="29">
        <f>IF(F3411="","",INDEX(Deals!$E$2:$E$843,F3411))</f>
        <v/>
      </c>
      <c r="I3411">
        <f>IF(F3411="","",INDEX(Deals!$D$2:$D$843,F3411))</f>
        <v/>
      </c>
      <c r="J3411">
        <f>IF(F3411="","",INT(H3411)-B3411)</f>
        <v/>
      </c>
      <c r="K3411">
        <f>IF(B3411&gt;=Settings!$C$5,1,0)</f>
        <v/>
      </c>
    </row>
    <row r="3412">
      <c r="A3412" t="inlineStr">
        <is>
          <t>5612d8e312285c1879e33a26b40dd227</t>
        </is>
      </c>
      <c r="B3412" s="29" t="n">
        <v>43209</v>
      </c>
      <c r="C3412" t="inlineStr">
        <is>
          <t>2018-04</t>
        </is>
      </c>
      <c r="D3412" t="inlineStr">
        <is>
          <t>22c29808c4f815213303f8933030604c</t>
        </is>
      </c>
      <c r="E3412" t="inlineStr">
        <is>
          <t>social</t>
        </is>
      </c>
      <c r="F3412">
        <f>IFERROR(MATCH(A3412,Deals!$A$2:$A$843,0),"")</f>
        <v/>
      </c>
      <c r="G3412">
        <f>IF(F3412="",0,1)</f>
        <v/>
      </c>
      <c r="H3412" s="29">
        <f>IF(F3412="","",INDEX(Deals!$E$2:$E$843,F3412))</f>
        <v/>
      </c>
      <c r="I3412">
        <f>IF(F3412="","",INDEX(Deals!$D$2:$D$843,F3412))</f>
        <v/>
      </c>
      <c r="J3412">
        <f>IF(F3412="","",INT(H3412)-B3412)</f>
        <v/>
      </c>
      <c r="K3412">
        <f>IF(B3412&gt;=Settings!$C$5,1,0)</f>
        <v/>
      </c>
    </row>
    <row r="3413">
      <c r="A3413" t="inlineStr">
        <is>
          <t>10381a708c9f1f122da0db7005c0f452</t>
        </is>
      </c>
      <c r="B3413" s="29" t="n">
        <v>43191</v>
      </c>
      <c r="C3413" t="inlineStr">
        <is>
          <t>2018-04</t>
        </is>
      </c>
      <c r="D3413" t="inlineStr">
        <is>
          <t>58326e62183c14b0c03085c33b9fdc44</t>
        </is>
      </c>
      <c r="E3413" t="inlineStr">
        <is>
          <t>social</t>
        </is>
      </c>
      <c r="F3413">
        <f>IFERROR(MATCH(A3413,Deals!$A$2:$A$843,0),"")</f>
        <v/>
      </c>
      <c r="G3413">
        <f>IF(F3413="",0,1)</f>
        <v/>
      </c>
      <c r="H3413" s="29">
        <f>IF(F3413="","",INDEX(Deals!$E$2:$E$843,F3413))</f>
        <v/>
      </c>
      <c r="I3413">
        <f>IF(F3413="","",INDEX(Deals!$D$2:$D$843,F3413))</f>
        <v/>
      </c>
      <c r="J3413">
        <f>IF(F3413="","",INT(H3413)-B3413)</f>
        <v/>
      </c>
      <c r="K3413">
        <f>IF(B3413&gt;=Settings!$C$5,1,0)</f>
        <v/>
      </c>
    </row>
    <row r="3414">
      <c r="A3414" t="inlineStr">
        <is>
          <t>804589c2558377b846122344fdc54a72</t>
        </is>
      </c>
      <c r="B3414" s="29" t="n">
        <v>43091</v>
      </c>
      <c r="C3414" t="inlineStr">
        <is>
          <t>2017-12</t>
        </is>
      </c>
      <c r="D3414" t="inlineStr">
        <is>
          <t>88740e65d5d6b056e0cda098e1ea6313</t>
        </is>
      </c>
      <c r="E3414" t="inlineStr">
        <is>
          <t>organic_search</t>
        </is>
      </c>
      <c r="F3414">
        <f>IFERROR(MATCH(A3414,Deals!$A$2:$A$843,0),"")</f>
        <v/>
      </c>
      <c r="G3414">
        <f>IF(F3414="",0,1)</f>
        <v/>
      </c>
      <c r="H3414" s="29">
        <f>IF(F3414="","",INDEX(Deals!$E$2:$E$843,F3414))</f>
        <v/>
      </c>
      <c r="I3414">
        <f>IF(F3414="","",INDEX(Deals!$D$2:$D$843,F3414))</f>
        <v/>
      </c>
      <c r="J3414">
        <f>IF(F3414="","",INT(H3414)-B3414)</f>
        <v/>
      </c>
      <c r="K3414">
        <f>IF(B3414&gt;=Settings!$C$5,1,0)</f>
        <v/>
      </c>
    </row>
    <row r="3415">
      <c r="A3415" t="inlineStr">
        <is>
          <t>dc2975799aeb838479c3cea296015bce</t>
        </is>
      </c>
      <c r="B3415" s="29" t="n">
        <v>43040</v>
      </c>
      <c r="C3415" t="inlineStr">
        <is>
          <t>2017-11</t>
        </is>
      </c>
      <c r="D3415" t="inlineStr">
        <is>
          <t>007f9098284a86ee80ddeb25d53e0af8</t>
        </is>
      </c>
      <c r="E3415" t="inlineStr">
        <is>
          <t>paid_search</t>
        </is>
      </c>
      <c r="F3415">
        <f>IFERROR(MATCH(A3415,Deals!$A$2:$A$843,0),"")</f>
        <v/>
      </c>
      <c r="G3415">
        <f>IF(F3415="",0,1)</f>
        <v/>
      </c>
      <c r="H3415" s="29">
        <f>IF(F3415="","",INDEX(Deals!$E$2:$E$843,F3415))</f>
        <v/>
      </c>
      <c r="I3415">
        <f>IF(F3415="","",INDEX(Deals!$D$2:$D$843,F3415))</f>
        <v/>
      </c>
      <c r="J3415">
        <f>IF(F3415="","",INT(H3415)-B3415)</f>
        <v/>
      </c>
      <c r="K3415">
        <f>IF(B3415&gt;=Settings!$C$5,1,0)</f>
        <v/>
      </c>
    </row>
    <row r="3416">
      <c r="A3416" t="inlineStr">
        <is>
          <t>3f829e4bbf06ef5c7e66fb23666e44a5</t>
        </is>
      </c>
      <c r="B3416" s="29" t="n">
        <v>43243</v>
      </c>
      <c r="C3416" t="inlineStr">
        <is>
          <t>2018-05</t>
        </is>
      </c>
      <c r="D3416" t="inlineStr">
        <is>
          <t>58326e62183c14b0c03085c33b9fdc44</t>
        </is>
      </c>
      <c r="E3416" t="inlineStr">
        <is>
          <t>social</t>
        </is>
      </c>
      <c r="F3416">
        <f>IFERROR(MATCH(A3416,Deals!$A$2:$A$843,0),"")</f>
        <v/>
      </c>
      <c r="G3416">
        <f>IF(F3416="",0,1)</f>
        <v/>
      </c>
      <c r="H3416" s="29">
        <f>IF(F3416="","",INDEX(Deals!$E$2:$E$843,F3416))</f>
        <v/>
      </c>
      <c r="I3416">
        <f>IF(F3416="","",INDEX(Deals!$D$2:$D$843,F3416))</f>
        <v/>
      </c>
      <c r="J3416">
        <f>IF(F3416="","",INT(H3416)-B3416)</f>
        <v/>
      </c>
      <c r="K3416">
        <f>IF(B3416&gt;=Settings!$C$5,1,0)</f>
        <v/>
      </c>
    </row>
    <row r="3417">
      <c r="A3417" t="inlineStr">
        <is>
          <t>fbb3f91b7a5c26ffd7da7c16ed71b2d9</t>
        </is>
      </c>
      <c r="B3417" s="29" t="n">
        <v>43174</v>
      </c>
      <c r="C3417" t="inlineStr">
        <is>
          <t>2018-03</t>
        </is>
      </c>
      <c r="D3417" t="inlineStr">
        <is>
          <t>b76ef37428e6799c421989521c0e5077</t>
        </is>
      </c>
      <c r="E3417" t="inlineStr">
        <is>
          <t>organic_search</t>
        </is>
      </c>
      <c r="F3417">
        <f>IFERROR(MATCH(A3417,Deals!$A$2:$A$843,0),"")</f>
        <v/>
      </c>
      <c r="G3417">
        <f>IF(F3417="",0,1)</f>
        <v/>
      </c>
      <c r="H3417" s="29">
        <f>IF(F3417="","",INDEX(Deals!$E$2:$E$843,F3417))</f>
        <v/>
      </c>
      <c r="I3417">
        <f>IF(F3417="","",INDEX(Deals!$D$2:$D$843,F3417))</f>
        <v/>
      </c>
      <c r="J3417">
        <f>IF(F3417="","",INT(H3417)-B3417)</f>
        <v/>
      </c>
      <c r="K3417">
        <f>IF(B3417&gt;=Settings!$C$5,1,0)</f>
        <v/>
      </c>
    </row>
    <row r="3418">
      <c r="A3418" t="inlineStr">
        <is>
          <t>44a1266e4d281aaef1704b6e60524cce</t>
        </is>
      </c>
      <c r="B3418" s="29" t="n">
        <v>43165</v>
      </c>
      <c r="C3418" t="inlineStr">
        <is>
          <t>2018-03</t>
        </is>
      </c>
      <c r="D3418" t="inlineStr">
        <is>
          <t>120ad10683075526ee1b3b00489dafec</t>
        </is>
      </c>
      <c r="E3418" t="inlineStr">
        <is>
          <t>email</t>
        </is>
      </c>
      <c r="F3418">
        <f>IFERROR(MATCH(A3418,Deals!$A$2:$A$843,0),"")</f>
        <v/>
      </c>
      <c r="G3418">
        <f>IF(F3418="",0,1)</f>
        <v/>
      </c>
      <c r="H3418" s="29">
        <f>IF(F3418="","",INDEX(Deals!$E$2:$E$843,F3418))</f>
        <v/>
      </c>
      <c r="I3418">
        <f>IF(F3418="","",INDEX(Deals!$D$2:$D$843,F3418))</f>
        <v/>
      </c>
      <c r="J3418">
        <f>IF(F3418="","",INT(H3418)-B3418)</f>
        <v/>
      </c>
      <c r="K3418">
        <f>IF(B3418&gt;=Settings!$C$5,1,0)</f>
        <v/>
      </c>
    </row>
    <row r="3419">
      <c r="A3419" t="inlineStr">
        <is>
          <t>53f51ff216e36eb3f93d24c4d0cc2793</t>
        </is>
      </c>
      <c r="B3419" s="29" t="n">
        <v>43028</v>
      </c>
      <c r="C3419" t="inlineStr">
        <is>
          <t>2017-10</t>
        </is>
      </c>
      <c r="D3419" t="inlineStr">
        <is>
          <t>88740e65d5d6b056e0cda098e1ea6313</t>
        </is>
      </c>
      <c r="E3419" t="inlineStr">
        <is>
          <t>social</t>
        </is>
      </c>
      <c r="F3419">
        <f>IFERROR(MATCH(A3419,Deals!$A$2:$A$843,0),"")</f>
        <v/>
      </c>
      <c r="G3419">
        <f>IF(F3419="",0,1)</f>
        <v/>
      </c>
      <c r="H3419" s="29">
        <f>IF(F3419="","",INDEX(Deals!$E$2:$E$843,F3419))</f>
        <v/>
      </c>
      <c r="I3419">
        <f>IF(F3419="","",INDEX(Deals!$D$2:$D$843,F3419))</f>
        <v/>
      </c>
      <c r="J3419">
        <f>IF(F3419="","",INT(H3419)-B3419)</f>
        <v/>
      </c>
      <c r="K3419">
        <f>IF(B3419&gt;=Settings!$C$5,1,0)</f>
        <v/>
      </c>
    </row>
    <row r="3420">
      <c r="A3420" t="inlineStr">
        <is>
          <t>e6b61cb3f6d8c2bec3f885f43ffcc11e</t>
        </is>
      </c>
      <c r="B3420" s="29" t="n">
        <v>43148</v>
      </c>
      <c r="C3420" t="inlineStr">
        <is>
          <t>2018-02</t>
        </is>
      </c>
      <c r="D3420" t="inlineStr">
        <is>
          <t>241f79c7a8fe0270f4fb79fcbbcd17ad</t>
        </is>
      </c>
      <c r="E3420" t="inlineStr">
        <is>
          <t>paid_search</t>
        </is>
      </c>
      <c r="F3420">
        <f>IFERROR(MATCH(A3420,Deals!$A$2:$A$843,0),"")</f>
        <v/>
      </c>
      <c r="G3420">
        <f>IF(F3420="",0,1)</f>
        <v/>
      </c>
      <c r="H3420" s="29">
        <f>IF(F3420="","",INDEX(Deals!$E$2:$E$843,F3420))</f>
        <v/>
      </c>
      <c r="I3420">
        <f>IF(F3420="","",INDEX(Deals!$D$2:$D$843,F3420))</f>
        <v/>
      </c>
      <c r="J3420">
        <f>IF(F3420="","",INT(H3420)-B3420)</f>
        <v/>
      </c>
      <c r="K3420">
        <f>IF(B3420&gt;=Settings!$C$5,1,0)</f>
        <v/>
      </c>
    </row>
    <row r="3421">
      <c r="A3421" t="inlineStr">
        <is>
          <t>6ddbaad1111bb58e0d0fa94febfdad7c</t>
        </is>
      </c>
      <c r="B3421" s="29" t="n">
        <v>43227</v>
      </c>
      <c r="C3421" t="inlineStr">
        <is>
          <t>2018-05</t>
        </is>
      </c>
      <c r="D3421" t="inlineStr">
        <is>
          <t>30c86954adc2eec0f2589a8bfc4c573f</t>
        </is>
      </c>
      <c r="E3421" t="inlineStr">
        <is>
          <t>unknown</t>
        </is>
      </c>
      <c r="F3421">
        <f>IFERROR(MATCH(A3421,Deals!$A$2:$A$843,0),"")</f>
        <v/>
      </c>
      <c r="G3421">
        <f>IF(F3421="",0,1)</f>
        <v/>
      </c>
      <c r="H3421" s="29">
        <f>IF(F3421="","",INDEX(Deals!$E$2:$E$843,F3421))</f>
        <v/>
      </c>
      <c r="I3421">
        <f>IF(F3421="","",INDEX(Deals!$D$2:$D$843,F3421))</f>
        <v/>
      </c>
      <c r="J3421">
        <f>IF(F3421="","",INT(H3421)-B3421)</f>
        <v/>
      </c>
      <c r="K3421">
        <f>IF(B3421&gt;=Settings!$C$5,1,0)</f>
        <v/>
      </c>
    </row>
    <row r="3422">
      <c r="A3422" t="inlineStr">
        <is>
          <t>5282dceffe1d3da5d599abe98cf874de</t>
        </is>
      </c>
      <c r="B3422" s="29" t="n">
        <v>43083</v>
      </c>
      <c r="C3422" t="inlineStr">
        <is>
          <t>2017-12</t>
        </is>
      </c>
      <c r="D3422" t="inlineStr">
        <is>
          <t>b76ef37428e6799c421989521c0e5077</t>
        </is>
      </c>
      <c r="E3422" t="inlineStr">
        <is>
          <t>unknown</t>
        </is>
      </c>
      <c r="F3422">
        <f>IFERROR(MATCH(A3422,Deals!$A$2:$A$843,0),"")</f>
        <v/>
      </c>
      <c r="G3422">
        <f>IF(F3422="",0,1)</f>
        <v/>
      </c>
      <c r="H3422" s="29">
        <f>IF(F3422="","",INDEX(Deals!$E$2:$E$843,F3422))</f>
        <v/>
      </c>
      <c r="I3422">
        <f>IF(F3422="","",INDEX(Deals!$D$2:$D$843,F3422))</f>
        <v/>
      </c>
      <c r="J3422">
        <f>IF(F3422="","",INT(H3422)-B3422)</f>
        <v/>
      </c>
      <c r="K3422">
        <f>IF(B3422&gt;=Settings!$C$5,1,0)</f>
        <v/>
      </c>
    </row>
    <row r="3423">
      <c r="A3423" t="inlineStr">
        <is>
          <t>860e39bc33e7c4ca4c26ec67979cc290</t>
        </is>
      </c>
      <c r="B3423" s="29" t="n">
        <v>43158</v>
      </c>
      <c r="C3423" t="inlineStr">
        <is>
          <t>2018-02</t>
        </is>
      </c>
      <c r="D3423" t="inlineStr">
        <is>
          <t>241f79c7a8fe0270f4fb79fcbbcd17ad</t>
        </is>
      </c>
      <c r="E3423" t="inlineStr">
        <is>
          <t>paid_search</t>
        </is>
      </c>
      <c r="F3423">
        <f>IFERROR(MATCH(A3423,Deals!$A$2:$A$843,0),"")</f>
        <v/>
      </c>
      <c r="G3423">
        <f>IF(F3423="",0,1)</f>
        <v/>
      </c>
      <c r="H3423" s="29">
        <f>IF(F3423="","",INDEX(Deals!$E$2:$E$843,F3423))</f>
        <v/>
      </c>
      <c r="I3423">
        <f>IF(F3423="","",INDEX(Deals!$D$2:$D$843,F3423))</f>
        <v/>
      </c>
      <c r="J3423">
        <f>IF(F3423="","",INT(H3423)-B3423)</f>
        <v/>
      </c>
      <c r="K3423">
        <f>IF(B3423&gt;=Settings!$C$5,1,0)</f>
        <v/>
      </c>
    </row>
    <row r="3424">
      <c r="A3424" t="inlineStr">
        <is>
          <t>ec04b828851594e2a860ce40bc363855</t>
        </is>
      </c>
      <c r="B3424" s="29" t="n">
        <v>43095</v>
      </c>
      <c r="C3424" t="inlineStr">
        <is>
          <t>2017-12</t>
        </is>
      </c>
      <c r="D3424" t="inlineStr">
        <is>
          <t>88740e65d5d6b056e0cda098e1ea6313</t>
        </is>
      </c>
      <c r="E3424" t="inlineStr">
        <is>
          <t>organic_search</t>
        </is>
      </c>
      <c r="F3424">
        <f>IFERROR(MATCH(A3424,Deals!$A$2:$A$843,0),"")</f>
        <v/>
      </c>
      <c r="G3424">
        <f>IF(F3424="",0,1)</f>
        <v/>
      </c>
      <c r="H3424" s="29">
        <f>IF(F3424="","",INDEX(Deals!$E$2:$E$843,F3424))</f>
        <v/>
      </c>
      <c r="I3424">
        <f>IF(F3424="","",INDEX(Deals!$D$2:$D$843,F3424))</f>
        <v/>
      </c>
      <c r="J3424">
        <f>IF(F3424="","",INT(H3424)-B3424)</f>
        <v/>
      </c>
      <c r="K3424">
        <f>IF(B3424&gt;=Settings!$C$5,1,0)</f>
        <v/>
      </c>
    </row>
    <row r="3425">
      <c r="A3425" t="inlineStr">
        <is>
          <t>6a0d1066c2ae0280c18ff4bad692156f</t>
        </is>
      </c>
      <c r="B3425" s="29" t="n">
        <v>43157</v>
      </c>
      <c r="C3425" t="inlineStr">
        <is>
          <t>2018-02</t>
        </is>
      </c>
      <c r="D3425" t="inlineStr">
        <is>
          <t>22c29808c4f815213303f8933030604c</t>
        </is>
      </c>
      <c r="E3425" t="inlineStr">
        <is>
          <t>paid_search</t>
        </is>
      </c>
      <c r="F3425">
        <f>IFERROR(MATCH(A3425,Deals!$A$2:$A$843,0),"")</f>
        <v/>
      </c>
      <c r="G3425">
        <f>IF(F3425="",0,1)</f>
        <v/>
      </c>
      <c r="H3425" s="29">
        <f>IF(F3425="","",INDEX(Deals!$E$2:$E$843,F3425))</f>
        <v/>
      </c>
      <c r="I3425">
        <f>IF(F3425="","",INDEX(Deals!$D$2:$D$843,F3425))</f>
        <v/>
      </c>
      <c r="J3425">
        <f>IF(F3425="","",INT(H3425)-B3425)</f>
        <v/>
      </c>
      <c r="K3425">
        <f>IF(B3425&gt;=Settings!$C$5,1,0)</f>
        <v/>
      </c>
    </row>
    <row r="3426">
      <c r="A3426" t="inlineStr">
        <is>
          <t>df752bc7e93276aa07a87579c2a8e830</t>
        </is>
      </c>
      <c r="B3426" s="29" t="n">
        <v>43173</v>
      </c>
      <c r="C3426" t="inlineStr">
        <is>
          <t>2018-03</t>
        </is>
      </c>
      <c r="D3426" t="inlineStr">
        <is>
          <t>73f31a40697cc90a86c1273563ac230e</t>
        </is>
      </c>
      <c r="E3426" t="inlineStr">
        <is>
          <t>other</t>
        </is>
      </c>
      <c r="F3426">
        <f>IFERROR(MATCH(A3426,Deals!$A$2:$A$843,0),"")</f>
        <v/>
      </c>
      <c r="G3426">
        <f>IF(F3426="",0,1)</f>
        <v/>
      </c>
      <c r="H3426" s="29">
        <f>IF(F3426="","",INDEX(Deals!$E$2:$E$843,F3426))</f>
        <v/>
      </c>
      <c r="I3426">
        <f>IF(F3426="","",INDEX(Deals!$D$2:$D$843,F3426))</f>
        <v/>
      </c>
      <c r="J3426">
        <f>IF(F3426="","",INT(H3426)-B3426)</f>
        <v/>
      </c>
      <c r="K3426">
        <f>IF(B3426&gt;=Settings!$C$5,1,0)</f>
        <v/>
      </c>
    </row>
    <row r="3427">
      <c r="A3427" t="inlineStr">
        <is>
          <t>50265c271897a3399857d05aee3df4f5</t>
        </is>
      </c>
      <c r="B3427" s="29" t="n">
        <v>43173</v>
      </c>
      <c r="C3427" t="inlineStr">
        <is>
          <t>2018-03</t>
        </is>
      </c>
      <c r="D3427" t="inlineStr">
        <is>
          <t>b76ef37428e6799c421989521c0e5077</t>
        </is>
      </c>
      <c r="E3427" t="inlineStr">
        <is>
          <t>paid_search</t>
        </is>
      </c>
      <c r="F3427">
        <f>IFERROR(MATCH(A3427,Deals!$A$2:$A$843,0),"")</f>
        <v/>
      </c>
      <c r="G3427">
        <f>IF(F3427="",0,1)</f>
        <v/>
      </c>
      <c r="H3427" s="29">
        <f>IF(F3427="","",INDEX(Deals!$E$2:$E$843,F3427))</f>
        <v/>
      </c>
      <c r="I3427">
        <f>IF(F3427="","",INDEX(Deals!$D$2:$D$843,F3427))</f>
        <v/>
      </c>
      <c r="J3427">
        <f>IF(F3427="","",INT(H3427)-B3427)</f>
        <v/>
      </c>
      <c r="K3427">
        <f>IF(B3427&gt;=Settings!$C$5,1,0)</f>
        <v/>
      </c>
    </row>
    <row r="3428">
      <c r="A3428" t="inlineStr">
        <is>
          <t>882a81b2869854538c5e3c5d3188a0ba</t>
        </is>
      </c>
      <c r="B3428" s="29" t="n">
        <v>43192</v>
      </c>
      <c r="C3428" t="inlineStr">
        <is>
          <t>2018-04</t>
        </is>
      </c>
      <c r="D3428" t="inlineStr">
        <is>
          <t>58326e62183c14b0c03085c33b9fdc44</t>
        </is>
      </c>
      <c r="E3428" t="inlineStr">
        <is>
          <t>social</t>
        </is>
      </c>
      <c r="F3428">
        <f>IFERROR(MATCH(A3428,Deals!$A$2:$A$843,0),"")</f>
        <v/>
      </c>
      <c r="G3428">
        <f>IF(F3428="",0,1)</f>
        <v/>
      </c>
      <c r="H3428" s="29">
        <f>IF(F3428="","",INDEX(Deals!$E$2:$E$843,F3428))</f>
        <v/>
      </c>
      <c r="I3428">
        <f>IF(F3428="","",INDEX(Deals!$D$2:$D$843,F3428))</f>
        <v/>
      </c>
      <c r="J3428">
        <f>IF(F3428="","",INT(H3428)-B3428)</f>
        <v/>
      </c>
      <c r="K3428">
        <f>IF(B3428&gt;=Settings!$C$5,1,0)</f>
        <v/>
      </c>
    </row>
    <row r="3429">
      <c r="A3429" t="inlineStr">
        <is>
          <t>0524bbc7d57d3edbd146cb19bbd4d1f2</t>
        </is>
      </c>
      <c r="B3429" s="29" t="n">
        <v>43214</v>
      </c>
      <c r="C3429" t="inlineStr">
        <is>
          <t>2018-04</t>
        </is>
      </c>
      <c r="D3429" t="inlineStr">
        <is>
          <t>22c29808c4f815213303f8933030604c</t>
        </is>
      </c>
      <c r="E3429" t="inlineStr">
        <is>
          <t>(missing)</t>
        </is>
      </c>
      <c r="F3429">
        <f>IFERROR(MATCH(A3429,Deals!$A$2:$A$843,0),"")</f>
        <v/>
      </c>
      <c r="G3429">
        <f>IF(F3429="",0,1)</f>
        <v/>
      </c>
      <c r="H3429" s="29">
        <f>IF(F3429="","",INDEX(Deals!$E$2:$E$843,F3429))</f>
        <v/>
      </c>
      <c r="I3429">
        <f>IF(F3429="","",INDEX(Deals!$D$2:$D$843,F3429))</f>
        <v/>
      </c>
      <c r="J3429">
        <f>IF(F3429="","",INT(H3429)-B3429)</f>
        <v/>
      </c>
      <c r="K3429">
        <f>IF(B3429&gt;=Settings!$C$5,1,0)</f>
        <v/>
      </c>
    </row>
    <row r="3430">
      <c r="A3430" t="inlineStr">
        <is>
          <t>7a32efde7440d5abc3a490ba8fdc2ef7</t>
        </is>
      </c>
      <c r="B3430" s="29" t="n">
        <v>43215</v>
      </c>
      <c r="C3430" t="inlineStr">
        <is>
          <t>2018-04</t>
        </is>
      </c>
      <c r="D3430" t="inlineStr">
        <is>
          <t>e492ee5eaf1697716985cc6f33f9cd9b</t>
        </is>
      </c>
      <c r="E3430" t="inlineStr">
        <is>
          <t>organic_search</t>
        </is>
      </c>
      <c r="F3430">
        <f>IFERROR(MATCH(A3430,Deals!$A$2:$A$843,0),"")</f>
        <v/>
      </c>
      <c r="G3430">
        <f>IF(F3430="",0,1)</f>
        <v/>
      </c>
      <c r="H3430" s="29">
        <f>IF(F3430="","",INDEX(Deals!$E$2:$E$843,F3430))</f>
        <v/>
      </c>
      <c r="I3430">
        <f>IF(F3430="","",INDEX(Deals!$D$2:$D$843,F3430))</f>
        <v/>
      </c>
      <c r="J3430">
        <f>IF(F3430="","",INT(H3430)-B3430)</f>
        <v/>
      </c>
      <c r="K3430">
        <f>IF(B3430&gt;=Settings!$C$5,1,0)</f>
        <v/>
      </c>
    </row>
    <row r="3431">
      <c r="A3431" t="inlineStr">
        <is>
          <t>c0e3f3bd815a862433bc3399c487926b</t>
        </is>
      </c>
      <c r="B3431" s="29" t="n">
        <v>43165</v>
      </c>
      <c r="C3431" t="inlineStr">
        <is>
          <t>2018-03</t>
        </is>
      </c>
      <c r="D3431" t="inlineStr">
        <is>
          <t>22c29808c4f815213303f8933030604c</t>
        </is>
      </c>
      <c r="E3431" t="inlineStr">
        <is>
          <t>organic_search</t>
        </is>
      </c>
      <c r="F3431">
        <f>IFERROR(MATCH(A3431,Deals!$A$2:$A$843,0),"")</f>
        <v/>
      </c>
      <c r="G3431">
        <f>IF(F3431="",0,1)</f>
        <v/>
      </c>
      <c r="H3431" s="29">
        <f>IF(F3431="","",INDEX(Deals!$E$2:$E$843,F3431))</f>
        <v/>
      </c>
      <c r="I3431">
        <f>IF(F3431="","",INDEX(Deals!$D$2:$D$843,F3431))</f>
        <v/>
      </c>
      <c r="J3431">
        <f>IF(F3431="","",INT(H3431)-B3431)</f>
        <v/>
      </c>
      <c r="K3431">
        <f>IF(B3431&gt;=Settings!$C$5,1,0)</f>
        <v/>
      </c>
    </row>
    <row r="3432">
      <c r="A3432" t="inlineStr">
        <is>
          <t>8f14179f61cad1a80133387187c01092</t>
        </is>
      </c>
      <c r="B3432" s="29" t="n">
        <v>43185</v>
      </c>
      <c r="C3432" t="inlineStr">
        <is>
          <t>2018-03</t>
        </is>
      </c>
      <c r="D3432" t="inlineStr">
        <is>
          <t>0d43fc5a5096c416d3b7b492564293da</t>
        </is>
      </c>
      <c r="E3432" t="inlineStr">
        <is>
          <t>organic_search</t>
        </is>
      </c>
      <c r="F3432">
        <f>IFERROR(MATCH(A3432,Deals!$A$2:$A$843,0),"")</f>
        <v/>
      </c>
      <c r="G3432">
        <f>IF(F3432="",0,1)</f>
        <v/>
      </c>
      <c r="H3432" s="29">
        <f>IF(F3432="","",INDEX(Deals!$E$2:$E$843,F3432))</f>
        <v/>
      </c>
      <c r="I3432">
        <f>IF(F3432="","",INDEX(Deals!$D$2:$D$843,F3432))</f>
        <v/>
      </c>
      <c r="J3432">
        <f>IF(F3432="","",INT(H3432)-B3432)</f>
        <v/>
      </c>
      <c r="K3432">
        <f>IF(B3432&gt;=Settings!$C$5,1,0)</f>
        <v/>
      </c>
    </row>
    <row r="3433">
      <c r="A3433" t="inlineStr">
        <is>
          <t>13e4cde78ea68b1ca7e7c195ec5ba25e</t>
        </is>
      </c>
      <c r="B3433" s="29" t="n">
        <v>42991</v>
      </c>
      <c r="C3433" t="inlineStr">
        <is>
          <t>2017-09</t>
        </is>
      </c>
      <c r="D3433" t="inlineStr">
        <is>
          <t>298895230612f85f0742434fc434ad10</t>
        </is>
      </c>
      <c r="E3433" t="inlineStr">
        <is>
          <t>email</t>
        </is>
      </c>
      <c r="F3433">
        <f>IFERROR(MATCH(A3433,Deals!$A$2:$A$843,0),"")</f>
        <v/>
      </c>
      <c r="G3433">
        <f>IF(F3433="",0,1)</f>
        <v/>
      </c>
      <c r="H3433" s="29">
        <f>IF(F3433="","",INDEX(Deals!$E$2:$E$843,F3433))</f>
        <v/>
      </c>
      <c r="I3433">
        <f>IF(F3433="","",INDEX(Deals!$D$2:$D$843,F3433))</f>
        <v/>
      </c>
      <c r="J3433">
        <f>IF(F3433="","",INT(H3433)-B3433)</f>
        <v/>
      </c>
      <c r="K3433">
        <f>IF(B3433&gt;=Settings!$C$5,1,0)</f>
        <v/>
      </c>
    </row>
    <row r="3434">
      <c r="A3434" t="inlineStr">
        <is>
          <t>d7c93750864d8558583e2fc46620a0d2</t>
        </is>
      </c>
      <c r="B3434" s="29" t="n">
        <v>43168</v>
      </c>
      <c r="C3434" t="inlineStr">
        <is>
          <t>2018-03</t>
        </is>
      </c>
      <c r="D3434" t="inlineStr">
        <is>
          <t>88740e65d5d6b056e0cda098e1ea6313</t>
        </is>
      </c>
      <c r="E3434" t="inlineStr">
        <is>
          <t>social</t>
        </is>
      </c>
      <c r="F3434">
        <f>IFERROR(MATCH(A3434,Deals!$A$2:$A$843,0),"")</f>
        <v/>
      </c>
      <c r="G3434">
        <f>IF(F3434="",0,1)</f>
        <v/>
      </c>
      <c r="H3434" s="29">
        <f>IF(F3434="","",INDEX(Deals!$E$2:$E$843,F3434))</f>
        <v/>
      </c>
      <c r="I3434">
        <f>IF(F3434="","",INDEX(Deals!$D$2:$D$843,F3434))</f>
        <v/>
      </c>
      <c r="J3434">
        <f>IF(F3434="","",INT(H3434)-B3434)</f>
        <v/>
      </c>
      <c r="K3434">
        <f>IF(B3434&gt;=Settings!$C$5,1,0)</f>
        <v/>
      </c>
    </row>
    <row r="3435">
      <c r="A3435" t="inlineStr">
        <is>
          <t>d3edfaac7b134307771e928cc3293131</t>
        </is>
      </c>
      <c r="B3435" s="29" t="n">
        <v>43010</v>
      </c>
      <c r="C3435" t="inlineStr">
        <is>
          <t>2017-10</t>
        </is>
      </c>
      <c r="D3435" t="inlineStr">
        <is>
          <t>e492ee5eaf1697716985cc6f33f9cd9b</t>
        </is>
      </c>
      <c r="E3435" t="inlineStr">
        <is>
          <t>direct_traffic</t>
        </is>
      </c>
      <c r="F3435">
        <f>IFERROR(MATCH(A3435,Deals!$A$2:$A$843,0),"")</f>
        <v/>
      </c>
      <c r="G3435">
        <f>IF(F3435="",0,1)</f>
        <v/>
      </c>
      <c r="H3435" s="29">
        <f>IF(F3435="","",INDEX(Deals!$E$2:$E$843,F3435))</f>
        <v/>
      </c>
      <c r="I3435">
        <f>IF(F3435="","",INDEX(Deals!$D$2:$D$843,F3435))</f>
        <v/>
      </c>
      <c r="J3435">
        <f>IF(F3435="","",INT(H3435)-B3435)</f>
        <v/>
      </c>
      <c r="K3435">
        <f>IF(B3435&gt;=Settings!$C$5,1,0)</f>
        <v/>
      </c>
    </row>
    <row r="3436">
      <c r="A3436" t="inlineStr">
        <is>
          <t>e8791c81f0dbb5e99c8abe851ec1900b</t>
        </is>
      </c>
      <c r="B3436" s="29" t="n">
        <v>43207</v>
      </c>
      <c r="C3436" t="inlineStr">
        <is>
          <t>2018-04</t>
        </is>
      </c>
      <c r="D3436" t="inlineStr">
        <is>
          <t>73fec6021437e723ff5adae8dff89e23</t>
        </is>
      </c>
      <c r="E3436" t="inlineStr">
        <is>
          <t>social</t>
        </is>
      </c>
      <c r="F3436">
        <f>IFERROR(MATCH(A3436,Deals!$A$2:$A$843,0),"")</f>
        <v/>
      </c>
      <c r="G3436">
        <f>IF(F3436="",0,1)</f>
        <v/>
      </c>
      <c r="H3436" s="29">
        <f>IF(F3436="","",INDEX(Deals!$E$2:$E$843,F3436))</f>
        <v/>
      </c>
      <c r="I3436">
        <f>IF(F3436="","",INDEX(Deals!$D$2:$D$843,F3436))</f>
        <v/>
      </c>
      <c r="J3436">
        <f>IF(F3436="","",INT(H3436)-B3436)</f>
        <v/>
      </c>
      <c r="K3436">
        <f>IF(B3436&gt;=Settings!$C$5,1,0)</f>
        <v/>
      </c>
    </row>
    <row r="3437">
      <c r="A3437" t="inlineStr">
        <is>
          <t>f7fd54d7aabf8780fefbfb950d3488e8</t>
        </is>
      </c>
      <c r="B3437" s="29" t="n">
        <v>43174</v>
      </c>
      <c r="C3437" t="inlineStr">
        <is>
          <t>2018-03</t>
        </is>
      </c>
      <c r="D3437" t="inlineStr">
        <is>
          <t>b76ef37428e6799c421989521c0e5077</t>
        </is>
      </c>
      <c r="E3437" t="inlineStr">
        <is>
          <t>unknown</t>
        </is>
      </c>
      <c r="F3437">
        <f>IFERROR(MATCH(A3437,Deals!$A$2:$A$843,0),"")</f>
        <v/>
      </c>
      <c r="G3437">
        <f>IF(F3437="",0,1)</f>
        <v/>
      </c>
      <c r="H3437" s="29">
        <f>IF(F3437="","",INDEX(Deals!$E$2:$E$843,F3437))</f>
        <v/>
      </c>
      <c r="I3437">
        <f>IF(F3437="","",INDEX(Deals!$D$2:$D$843,F3437))</f>
        <v/>
      </c>
      <c r="J3437">
        <f>IF(F3437="","",INT(H3437)-B3437)</f>
        <v/>
      </c>
      <c r="K3437">
        <f>IF(B3437&gt;=Settings!$C$5,1,0)</f>
        <v/>
      </c>
    </row>
    <row r="3438">
      <c r="A3438" t="inlineStr">
        <is>
          <t>852be1ce1d25bb877395346423eb292b</t>
        </is>
      </c>
      <c r="B3438" s="29" t="n">
        <v>43169</v>
      </c>
      <c r="C3438" t="inlineStr">
        <is>
          <t>2018-03</t>
        </is>
      </c>
      <c r="D3438" t="inlineStr">
        <is>
          <t>f017be4dbf86243af5c1ebed0cff36a2</t>
        </is>
      </c>
      <c r="E3438" t="inlineStr">
        <is>
          <t>organic_search</t>
        </is>
      </c>
      <c r="F3438">
        <f>IFERROR(MATCH(A3438,Deals!$A$2:$A$843,0),"")</f>
        <v/>
      </c>
      <c r="G3438">
        <f>IF(F3438="",0,1)</f>
        <v/>
      </c>
      <c r="H3438" s="29">
        <f>IF(F3438="","",INDEX(Deals!$E$2:$E$843,F3438))</f>
        <v/>
      </c>
      <c r="I3438">
        <f>IF(F3438="","",INDEX(Deals!$D$2:$D$843,F3438))</f>
        <v/>
      </c>
      <c r="J3438">
        <f>IF(F3438="","",INT(H3438)-B3438)</f>
        <v/>
      </c>
      <c r="K3438">
        <f>IF(B3438&gt;=Settings!$C$5,1,0)</f>
        <v/>
      </c>
    </row>
    <row r="3439">
      <c r="A3439" t="inlineStr">
        <is>
          <t>85ac30828335a92fe694ad583030ea95</t>
        </is>
      </c>
      <c r="B3439" s="29" t="n">
        <v>43143</v>
      </c>
      <c r="C3439" t="inlineStr">
        <is>
          <t>2018-02</t>
        </is>
      </c>
      <c r="D3439" t="inlineStr">
        <is>
          <t>88740e65d5d6b056e0cda098e1ea6313</t>
        </is>
      </c>
      <c r="E3439" t="inlineStr">
        <is>
          <t>social</t>
        </is>
      </c>
      <c r="F3439">
        <f>IFERROR(MATCH(A3439,Deals!$A$2:$A$843,0),"")</f>
        <v/>
      </c>
      <c r="G3439">
        <f>IF(F3439="",0,1)</f>
        <v/>
      </c>
      <c r="H3439" s="29">
        <f>IF(F3439="","",INDEX(Deals!$E$2:$E$843,F3439))</f>
        <v/>
      </c>
      <c r="I3439">
        <f>IF(F3439="","",INDEX(Deals!$D$2:$D$843,F3439))</f>
        <v/>
      </c>
      <c r="J3439">
        <f>IF(F3439="","",INT(H3439)-B3439)</f>
        <v/>
      </c>
      <c r="K3439">
        <f>IF(B3439&gt;=Settings!$C$5,1,0)</f>
        <v/>
      </c>
    </row>
    <row r="3440">
      <c r="A3440" t="inlineStr">
        <is>
          <t>cba85cf9d0ca4714faa84f7edc9d533d</t>
        </is>
      </c>
      <c r="B3440" s="29" t="n">
        <v>43116</v>
      </c>
      <c r="C3440" t="inlineStr">
        <is>
          <t>2018-01</t>
        </is>
      </c>
      <c r="D3440" t="inlineStr">
        <is>
          <t>b76ef37428e6799c421989521c0e5077</t>
        </is>
      </c>
      <c r="E3440" t="inlineStr">
        <is>
          <t>organic_search</t>
        </is>
      </c>
      <c r="F3440">
        <f>IFERROR(MATCH(A3440,Deals!$A$2:$A$843,0),"")</f>
        <v/>
      </c>
      <c r="G3440">
        <f>IF(F3440="",0,1)</f>
        <v/>
      </c>
      <c r="H3440" s="29">
        <f>IF(F3440="","",INDEX(Deals!$E$2:$E$843,F3440))</f>
        <v/>
      </c>
      <c r="I3440">
        <f>IF(F3440="","",INDEX(Deals!$D$2:$D$843,F3440))</f>
        <v/>
      </c>
      <c r="J3440">
        <f>IF(F3440="","",INT(H3440)-B3440)</f>
        <v/>
      </c>
      <c r="K3440">
        <f>IF(B3440&gt;=Settings!$C$5,1,0)</f>
        <v/>
      </c>
    </row>
    <row r="3441">
      <c r="A3441" t="inlineStr">
        <is>
          <t>fa959d174416af158000f1338cd77a20</t>
        </is>
      </c>
      <c r="B3441" s="29" t="n">
        <v>43076</v>
      </c>
      <c r="C3441" t="inlineStr">
        <is>
          <t>2017-12</t>
        </is>
      </c>
      <c r="D3441" t="inlineStr">
        <is>
          <t>88740e65d5d6b056e0cda098e1ea6313</t>
        </is>
      </c>
      <c r="E3441" t="inlineStr">
        <is>
          <t>social</t>
        </is>
      </c>
      <c r="F3441">
        <f>IFERROR(MATCH(A3441,Deals!$A$2:$A$843,0),"")</f>
        <v/>
      </c>
      <c r="G3441">
        <f>IF(F3441="",0,1)</f>
        <v/>
      </c>
      <c r="H3441" s="29">
        <f>IF(F3441="","",INDEX(Deals!$E$2:$E$843,F3441))</f>
        <v/>
      </c>
      <c r="I3441">
        <f>IF(F3441="","",INDEX(Deals!$D$2:$D$843,F3441))</f>
        <v/>
      </c>
      <c r="J3441">
        <f>IF(F3441="","",INT(H3441)-B3441)</f>
        <v/>
      </c>
      <c r="K3441">
        <f>IF(B3441&gt;=Settings!$C$5,1,0)</f>
        <v/>
      </c>
    </row>
    <row r="3442">
      <c r="A3442" t="inlineStr">
        <is>
          <t>82fe1347d0cd0194a7bc3c4c48a8d7fa</t>
        </is>
      </c>
      <c r="B3442" s="29" t="n">
        <v>43217</v>
      </c>
      <c r="C3442" t="inlineStr">
        <is>
          <t>2018-04</t>
        </is>
      </c>
      <c r="D3442" t="inlineStr">
        <is>
          <t>bfd05fa9f9fe2aedee539951a84f2aaf</t>
        </is>
      </c>
      <c r="E3442" t="inlineStr">
        <is>
          <t>paid_search</t>
        </is>
      </c>
      <c r="F3442">
        <f>IFERROR(MATCH(A3442,Deals!$A$2:$A$843,0),"")</f>
        <v/>
      </c>
      <c r="G3442">
        <f>IF(F3442="",0,1)</f>
        <v/>
      </c>
      <c r="H3442" s="29">
        <f>IF(F3442="","",INDEX(Deals!$E$2:$E$843,F3442))</f>
        <v/>
      </c>
      <c r="I3442">
        <f>IF(F3442="","",INDEX(Deals!$D$2:$D$843,F3442))</f>
        <v/>
      </c>
      <c r="J3442">
        <f>IF(F3442="","",INT(H3442)-B3442)</f>
        <v/>
      </c>
      <c r="K3442">
        <f>IF(B3442&gt;=Settings!$C$5,1,0)</f>
        <v/>
      </c>
    </row>
    <row r="3443">
      <c r="A3443" t="inlineStr">
        <is>
          <t>0c1ac221790f9286108317563d5a6c1a</t>
        </is>
      </c>
      <c r="B3443" s="29" t="n">
        <v>43043</v>
      </c>
      <c r="C3443" t="inlineStr">
        <is>
          <t>2017-11</t>
        </is>
      </c>
      <c r="D3443" t="inlineStr">
        <is>
          <t>22c29808c4f815213303f8933030604c</t>
        </is>
      </c>
      <c r="E3443" t="inlineStr">
        <is>
          <t>social</t>
        </is>
      </c>
      <c r="F3443">
        <f>IFERROR(MATCH(A3443,Deals!$A$2:$A$843,0),"")</f>
        <v/>
      </c>
      <c r="G3443">
        <f>IF(F3443="",0,1)</f>
        <v/>
      </c>
      <c r="H3443" s="29">
        <f>IF(F3443="","",INDEX(Deals!$E$2:$E$843,F3443))</f>
        <v/>
      </c>
      <c r="I3443">
        <f>IF(F3443="","",INDEX(Deals!$D$2:$D$843,F3443))</f>
        <v/>
      </c>
      <c r="J3443">
        <f>IF(F3443="","",INT(H3443)-B3443)</f>
        <v/>
      </c>
      <c r="K3443">
        <f>IF(B3443&gt;=Settings!$C$5,1,0)</f>
        <v/>
      </c>
    </row>
    <row r="3444">
      <c r="A3444" t="inlineStr">
        <is>
          <t>313ebfcef6e63e6f93d18c2d945db7c3</t>
        </is>
      </c>
      <c r="B3444" s="29" t="n">
        <v>43194</v>
      </c>
      <c r="C3444" t="inlineStr">
        <is>
          <t>2018-04</t>
        </is>
      </c>
      <c r="D3444" t="inlineStr">
        <is>
          <t>0218f6be0b76aca72ab4d00ee9e8cf10</t>
        </is>
      </c>
      <c r="E3444" t="inlineStr">
        <is>
          <t>organic_search</t>
        </is>
      </c>
      <c r="F3444">
        <f>IFERROR(MATCH(A3444,Deals!$A$2:$A$843,0),"")</f>
        <v/>
      </c>
      <c r="G3444">
        <f>IF(F3444="",0,1)</f>
        <v/>
      </c>
      <c r="H3444" s="29">
        <f>IF(F3444="","",INDEX(Deals!$E$2:$E$843,F3444))</f>
        <v/>
      </c>
      <c r="I3444">
        <f>IF(F3444="","",INDEX(Deals!$D$2:$D$843,F3444))</f>
        <v/>
      </c>
      <c r="J3444">
        <f>IF(F3444="","",INT(H3444)-B3444)</f>
        <v/>
      </c>
      <c r="K3444">
        <f>IF(B3444&gt;=Settings!$C$5,1,0)</f>
        <v/>
      </c>
    </row>
    <row r="3445">
      <c r="A3445" t="inlineStr">
        <is>
          <t>57c29a4600a00164ce8b7f527b6bccc5</t>
        </is>
      </c>
      <c r="B3445" s="29" t="n">
        <v>43025</v>
      </c>
      <c r="C3445" t="inlineStr">
        <is>
          <t>2017-10</t>
        </is>
      </c>
      <c r="D3445" t="inlineStr">
        <is>
          <t>a5f7caba65f90d45005f62cb85bced39</t>
        </is>
      </c>
      <c r="E3445" t="inlineStr">
        <is>
          <t>paid_search</t>
        </is>
      </c>
      <c r="F3445">
        <f>IFERROR(MATCH(A3445,Deals!$A$2:$A$843,0),"")</f>
        <v/>
      </c>
      <c r="G3445">
        <f>IF(F3445="",0,1)</f>
        <v/>
      </c>
      <c r="H3445" s="29">
        <f>IF(F3445="","",INDEX(Deals!$E$2:$E$843,F3445))</f>
        <v/>
      </c>
      <c r="I3445">
        <f>IF(F3445="","",INDEX(Deals!$D$2:$D$843,F3445))</f>
        <v/>
      </c>
      <c r="J3445">
        <f>IF(F3445="","",INT(H3445)-B3445)</f>
        <v/>
      </c>
      <c r="K3445">
        <f>IF(B3445&gt;=Settings!$C$5,1,0)</f>
        <v/>
      </c>
    </row>
    <row r="3446">
      <c r="A3446" t="inlineStr">
        <is>
          <t>011b01ca56ee758927a66be61a5bcc85</t>
        </is>
      </c>
      <c r="B3446" s="29" t="n">
        <v>43192</v>
      </c>
      <c r="C3446" t="inlineStr">
        <is>
          <t>2018-04</t>
        </is>
      </c>
      <c r="D3446" t="inlineStr">
        <is>
          <t>57d5edb1844a746128fd1274524b94c7</t>
        </is>
      </c>
      <c r="E3446" t="inlineStr">
        <is>
          <t>organic_search</t>
        </is>
      </c>
      <c r="F3446">
        <f>IFERROR(MATCH(A3446,Deals!$A$2:$A$843,0),"")</f>
        <v/>
      </c>
      <c r="G3446">
        <f>IF(F3446="",0,1)</f>
        <v/>
      </c>
      <c r="H3446" s="29">
        <f>IF(F3446="","",INDEX(Deals!$E$2:$E$843,F3446))</f>
        <v/>
      </c>
      <c r="I3446">
        <f>IF(F3446="","",INDEX(Deals!$D$2:$D$843,F3446))</f>
        <v/>
      </c>
      <c r="J3446">
        <f>IF(F3446="","",INT(H3446)-B3446)</f>
        <v/>
      </c>
      <c r="K3446">
        <f>IF(B3446&gt;=Settings!$C$5,1,0)</f>
        <v/>
      </c>
    </row>
    <row r="3447">
      <c r="A3447" t="inlineStr">
        <is>
          <t>ed45aea8d9710aade017fc1aea4054cf</t>
        </is>
      </c>
      <c r="B3447" s="29" t="n">
        <v>43123</v>
      </c>
      <c r="C3447" t="inlineStr">
        <is>
          <t>2018-01</t>
        </is>
      </c>
      <c r="D3447" t="inlineStr">
        <is>
          <t>b76ef37428e6799c421989521c0e5077</t>
        </is>
      </c>
      <c r="E3447" t="inlineStr">
        <is>
          <t>unknown</t>
        </is>
      </c>
      <c r="F3447">
        <f>IFERROR(MATCH(A3447,Deals!$A$2:$A$843,0),"")</f>
        <v/>
      </c>
      <c r="G3447">
        <f>IF(F3447="",0,1)</f>
        <v/>
      </c>
      <c r="H3447" s="29">
        <f>IF(F3447="","",INDEX(Deals!$E$2:$E$843,F3447))</f>
        <v/>
      </c>
      <c r="I3447">
        <f>IF(F3447="","",INDEX(Deals!$D$2:$D$843,F3447))</f>
        <v/>
      </c>
      <c r="J3447">
        <f>IF(F3447="","",INT(H3447)-B3447)</f>
        <v/>
      </c>
      <c r="K3447">
        <f>IF(B3447&gt;=Settings!$C$5,1,0)</f>
        <v/>
      </c>
    </row>
    <row r="3448">
      <c r="A3448" t="inlineStr">
        <is>
          <t>f2f45a479e61d0cc5e369fee64fb7f72</t>
        </is>
      </c>
      <c r="B3448" s="29" t="n">
        <v>43208</v>
      </c>
      <c r="C3448" t="inlineStr">
        <is>
          <t>2018-04</t>
        </is>
      </c>
      <c r="D3448" t="inlineStr">
        <is>
          <t>b76ef37428e6799c421989521c0e5077</t>
        </is>
      </c>
      <c r="E3448" t="inlineStr">
        <is>
          <t>unknown</t>
        </is>
      </c>
      <c r="F3448">
        <f>IFERROR(MATCH(A3448,Deals!$A$2:$A$843,0),"")</f>
        <v/>
      </c>
      <c r="G3448">
        <f>IF(F3448="",0,1)</f>
        <v/>
      </c>
      <c r="H3448" s="29">
        <f>IF(F3448="","",INDEX(Deals!$E$2:$E$843,F3448))</f>
        <v/>
      </c>
      <c r="I3448">
        <f>IF(F3448="","",INDEX(Deals!$D$2:$D$843,F3448))</f>
        <v/>
      </c>
      <c r="J3448">
        <f>IF(F3448="","",INT(H3448)-B3448)</f>
        <v/>
      </c>
      <c r="K3448">
        <f>IF(B3448&gt;=Settings!$C$5,1,0)</f>
        <v/>
      </c>
    </row>
    <row r="3449">
      <c r="A3449" t="inlineStr">
        <is>
          <t>7f8b4252d922cf4bbb8100ff6cc4bf7d</t>
        </is>
      </c>
      <c r="B3449" s="29" t="n">
        <v>43173</v>
      </c>
      <c r="C3449" t="inlineStr">
        <is>
          <t>2018-03</t>
        </is>
      </c>
      <c r="D3449" t="inlineStr">
        <is>
          <t>daa9619c6f8ed06d059265dca0f9257f</t>
        </is>
      </c>
      <c r="E3449" t="inlineStr">
        <is>
          <t>email</t>
        </is>
      </c>
      <c r="F3449">
        <f>IFERROR(MATCH(A3449,Deals!$A$2:$A$843,0),"")</f>
        <v/>
      </c>
      <c r="G3449">
        <f>IF(F3449="",0,1)</f>
        <v/>
      </c>
      <c r="H3449" s="29">
        <f>IF(F3449="","",INDEX(Deals!$E$2:$E$843,F3449))</f>
        <v/>
      </c>
      <c r="I3449">
        <f>IF(F3449="","",INDEX(Deals!$D$2:$D$843,F3449))</f>
        <v/>
      </c>
      <c r="J3449">
        <f>IF(F3449="","",INT(H3449)-B3449)</f>
        <v/>
      </c>
      <c r="K3449">
        <f>IF(B3449&gt;=Settings!$C$5,1,0)</f>
        <v/>
      </c>
    </row>
    <row r="3450">
      <c r="A3450" t="inlineStr">
        <is>
          <t>9fb165a9b7dfef2a9f8ac7d69b22a42c</t>
        </is>
      </c>
      <c r="B3450" s="29" t="n">
        <v>43149</v>
      </c>
      <c r="C3450" t="inlineStr">
        <is>
          <t>2018-02</t>
        </is>
      </c>
      <c r="D3450" t="inlineStr">
        <is>
          <t>ac7971b81b76ddd7341f4e89e1eb911e</t>
        </is>
      </c>
      <c r="E3450" t="inlineStr">
        <is>
          <t>social</t>
        </is>
      </c>
      <c r="F3450">
        <f>IFERROR(MATCH(A3450,Deals!$A$2:$A$843,0),"")</f>
        <v/>
      </c>
      <c r="G3450">
        <f>IF(F3450="",0,1)</f>
        <v/>
      </c>
      <c r="H3450" s="29">
        <f>IF(F3450="","",INDEX(Deals!$E$2:$E$843,F3450))</f>
        <v/>
      </c>
      <c r="I3450">
        <f>IF(F3450="","",INDEX(Deals!$D$2:$D$843,F3450))</f>
        <v/>
      </c>
      <c r="J3450">
        <f>IF(F3450="","",INT(H3450)-B3450)</f>
        <v/>
      </c>
      <c r="K3450">
        <f>IF(B3450&gt;=Settings!$C$5,1,0)</f>
        <v/>
      </c>
    </row>
    <row r="3451">
      <c r="A3451" t="inlineStr">
        <is>
          <t>03ba283fed2772f4e477eea4f0f236b8</t>
        </is>
      </c>
      <c r="B3451" s="29" t="n">
        <v>43157</v>
      </c>
      <c r="C3451" t="inlineStr">
        <is>
          <t>2018-02</t>
        </is>
      </c>
      <c r="D3451" t="inlineStr">
        <is>
          <t>b48ec5f3b04e9068441002a19df93c6c</t>
        </is>
      </c>
      <c r="E3451" t="inlineStr">
        <is>
          <t>organic_search</t>
        </is>
      </c>
      <c r="F3451">
        <f>IFERROR(MATCH(A3451,Deals!$A$2:$A$843,0),"")</f>
        <v/>
      </c>
      <c r="G3451">
        <f>IF(F3451="",0,1)</f>
        <v/>
      </c>
      <c r="H3451" s="29">
        <f>IF(F3451="","",INDEX(Deals!$E$2:$E$843,F3451))</f>
        <v/>
      </c>
      <c r="I3451">
        <f>IF(F3451="","",INDEX(Deals!$D$2:$D$843,F3451))</f>
        <v/>
      </c>
      <c r="J3451">
        <f>IF(F3451="","",INT(H3451)-B3451)</f>
        <v/>
      </c>
      <c r="K3451">
        <f>IF(B3451&gt;=Settings!$C$5,1,0)</f>
        <v/>
      </c>
    </row>
    <row r="3452">
      <c r="A3452" t="inlineStr">
        <is>
          <t>9c1905521e41acf1fcb24a248447ed22</t>
        </is>
      </c>
      <c r="B3452" s="29" t="n">
        <v>43222</v>
      </c>
      <c r="C3452" t="inlineStr">
        <is>
          <t>2018-05</t>
        </is>
      </c>
      <c r="D3452" t="inlineStr">
        <is>
          <t>9fa37f5177115156b1814ffc237402a6</t>
        </is>
      </c>
      <c r="E3452" t="inlineStr">
        <is>
          <t>paid_search</t>
        </is>
      </c>
      <c r="F3452">
        <f>IFERROR(MATCH(A3452,Deals!$A$2:$A$843,0),"")</f>
        <v/>
      </c>
      <c r="G3452">
        <f>IF(F3452="",0,1)</f>
        <v/>
      </c>
      <c r="H3452" s="29">
        <f>IF(F3452="","",INDEX(Deals!$E$2:$E$843,F3452))</f>
        <v/>
      </c>
      <c r="I3452">
        <f>IF(F3452="","",INDEX(Deals!$D$2:$D$843,F3452))</f>
        <v/>
      </c>
      <c r="J3452">
        <f>IF(F3452="","",INT(H3452)-B3452)</f>
        <v/>
      </c>
      <c r="K3452">
        <f>IF(B3452&gt;=Settings!$C$5,1,0)</f>
        <v/>
      </c>
    </row>
    <row r="3453">
      <c r="A3453" t="inlineStr">
        <is>
          <t>bf2bd587a017971b4b2edb9c649a726c</t>
        </is>
      </c>
      <c r="B3453" s="29" t="n">
        <v>43020</v>
      </c>
      <c r="C3453" t="inlineStr">
        <is>
          <t>2017-10</t>
        </is>
      </c>
      <c r="D3453" t="inlineStr">
        <is>
          <t>f017be4dbf86243af5c1ebed0cff36a2</t>
        </is>
      </c>
      <c r="E3453" t="inlineStr">
        <is>
          <t>organic_search</t>
        </is>
      </c>
      <c r="F3453">
        <f>IFERROR(MATCH(A3453,Deals!$A$2:$A$843,0),"")</f>
        <v/>
      </c>
      <c r="G3453">
        <f>IF(F3453="",0,1)</f>
        <v/>
      </c>
      <c r="H3453" s="29">
        <f>IF(F3453="","",INDEX(Deals!$E$2:$E$843,F3453))</f>
        <v/>
      </c>
      <c r="I3453">
        <f>IF(F3453="","",INDEX(Deals!$D$2:$D$843,F3453))</f>
        <v/>
      </c>
      <c r="J3453">
        <f>IF(F3453="","",INT(H3453)-B3453)</f>
        <v/>
      </c>
      <c r="K3453">
        <f>IF(B3453&gt;=Settings!$C$5,1,0)</f>
        <v/>
      </c>
    </row>
    <row r="3454">
      <c r="A3454" t="inlineStr">
        <is>
          <t>9f11e692a2a53a8382be86ee9713763c</t>
        </is>
      </c>
      <c r="B3454" s="29" t="n">
        <v>43125</v>
      </c>
      <c r="C3454" t="inlineStr">
        <is>
          <t>2018-01</t>
        </is>
      </c>
      <c r="D3454" t="inlineStr">
        <is>
          <t>22c29808c4f815213303f8933030604c</t>
        </is>
      </c>
      <c r="E3454" t="inlineStr">
        <is>
          <t>paid_search</t>
        </is>
      </c>
      <c r="F3454">
        <f>IFERROR(MATCH(A3454,Deals!$A$2:$A$843,0),"")</f>
        <v/>
      </c>
      <c r="G3454">
        <f>IF(F3454="",0,1)</f>
        <v/>
      </c>
      <c r="H3454" s="29">
        <f>IF(F3454="","",INDEX(Deals!$E$2:$E$843,F3454))</f>
        <v/>
      </c>
      <c r="I3454">
        <f>IF(F3454="","",INDEX(Deals!$D$2:$D$843,F3454))</f>
        <v/>
      </c>
      <c r="J3454">
        <f>IF(F3454="","",INT(H3454)-B3454)</f>
        <v/>
      </c>
      <c r="K3454">
        <f>IF(B3454&gt;=Settings!$C$5,1,0)</f>
        <v/>
      </c>
    </row>
    <row r="3455">
      <c r="A3455" t="inlineStr">
        <is>
          <t>e500b7708a865ec27eef36c33953b06e</t>
        </is>
      </c>
      <c r="B3455" s="29" t="n">
        <v>43171</v>
      </c>
      <c r="C3455" t="inlineStr">
        <is>
          <t>2018-03</t>
        </is>
      </c>
      <c r="D3455" t="inlineStr">
        <is>
          <t>0d5837d82188e547040314b5db344a0c</t>
        </is>
      </c>
      <c r="E3455" t="inlineStr">
        <is>
          <t>unknown</t>
        </is>
      </c>
      <c r="F3455">
        <f>IFERROR(MATCH(A3455,Deals!$A$2:$A$843,0),"")</f>
        <v/>
      </c>
      <c r="G3455">
        <f>IF(F3455="",0,1)</f>
        <v/>
      </c>
      <c r="H3455" s="29">
        <f>IF(F3455="","",INDEX(Deals!$E$2:$E$843,F3455))</f>
        <v/>
      </c>
      <c r="I3455">
        <f>IF(F3455="","",INDEX(Deals!$D$2:$D$843,F3455))</f>
        <v/>
      </c>
      <c r="J3455">
        <f>IF(F3455="","",INT(H3455)-B3455)</f>
        <v/>
      </c>
      <c r="K3455">
        <f>IF(B3455&gt;=Settings!$C$5,1,0)</f>
        <v/>
      </c>
    </row>
    <row r="3456">
      <c r="A3456" t="inlineStr">
        <is>
          <t>ebf283eef673870e3325594ffcc9049e</t>
        </is>
      </c>
      <c r="B3456" s="29" t="n">
        <v>43164</v>
      </c>
      <c r="C3456" t="inlineStr">
        <is>
          <t>2018-03</t>
        </is>
      </c>
      <c r="D3456" t="inlineStr">
        <is>
          <t>007f9098284a86ee80ddeb25d53e0af8</t>
        </is>
      </c>
      <c r="E3456" t="inlineStr">
        <is>
          <t>paid_search</t>
        </is>
      </c>
      <c r="F3456">
        <f>IFERROR(MATCH(A3456,Deals!$A$2:$A$843,0),"")</f>
        <v/>
      </c>
      <c r="G3456">
        <f>IF(F3456="",0,1)</f>
        <v/>
      </c>
      <c r="H3456" s="29">
        <f>IF(F3456="","",INDEX(Deals!$E$2:$E$843,F3456))</f>
        <v/>
      </c>
      <c r="I3456">
        <f>IF(F3456="","",INDEX(Deals!$D$2:$D$843,F3456))</f>
        <v/>
      </c>
      <c r="J3456">
        <f>IF(F3456="","",INT(H3456)-B3456)</f>
        <v/>
      </c>
      <c r="K3456">
        <f>IF(B3456&gt;=Settings!$C$5,1,0)</f>
        <v/>
      </c>
    </row>
    <row r="3457">
      <c r="A3457" t="inlineStr">
        <is>
          <t>d023b1ef80754864db9e412e1fd955ac</t>
        </is>
      </c>
      <c r="B3457" s="29" t="n">
        <v>43060</v>
      </c>
      <c r="C3457" t="inlineStr">
        <is>
          <t>2017-11</t>
        </is>
      </c>
      <c r="D3457" t="inlineStr">
        <is>
          <t>1722481ac9e5371e5099dea226b5421d</t>
        </is>
      </c>
      <c r="E3457" t="inlineStr">
        <is>
          <t>paid_search</t>
        </is>
      </c>
      <c r="F3457">
        <f>IFERROR(MATCH(A3457,Deals!$A$2:$A$843,0),"")</f>
        <v/>
      </c>
      <c r="G3457">
        <f>IF(F3457="",0,1)</f>
        <v/>
      </c>
      <c r="H3457" s="29">
        <f>IF(F3457="","",INDEX(Deals!$E$2:$E$843,F3457))</f>
        <v/>
      </c>
      <c r="I3457">
        <f>IF(F3457="","",INDEX(Deals!$D$2:$D$843,F3457))</f>
        <v/>
      </c>
      <c r="J3457">
        <f>IF(F3457="","",INT(H3457)-B3457)</f>
        <v/>
      </c>
      <c r="K3457">
        <f>IF(B3457&gt;=Settings!$C$5,1,0)</f>
        <v/>
      </c>
    </row>
    <row r="3458">
      <c r="A3458" t="inlineStr">
        <is>
          <t>714bb9ae1e0f98eab9dff4c8edaeb6f8</t>
        </is>
      </c>
      <c r="B3458" s="29" t="n">
        <v>43050</v>
      </c>
      <c r="C3458" t="inlineStr">
        <is>
          <t>2017-11</t>
        </is>
      </c>
      <c r="D3458" t="inlineStr">
        <is>
          <t>ce1a65abd0973638f1c887a6efcfa82d</t>
        </is>
      </c>
      <c r="E3458" t="inlineStr">
        <is>
          <t>unknown</t>
        </is>
      </c>
      <c r="F3458">
        <f>IFERROR(MATCH(A3458,Deals!$A$2:$A$843,0),"")</f>
        <v/>
      </c>
      <c r="G3458">
        <f>IF(F3458="",0,1)</f>
        <v/>
      </c>
      <c r="H3458" s="29">
        <f>IF(F3458="","",INDEX(Deals!$E$2:$E$843,F3458))</f>
        <v/>
      </c>
      <c r="I3458">
        <f>IF(F3458="","",INDEX(Deals!$D$2:$D$843,F3458))</f>
        <v/>
      </c>
      <c r="J3458">
        <f>IF(F3458="","",INT(H3458)-B3458)</f>
        <v/>
      </c>
      <c r="K3458">
        <f>IF(B3458&gt;=Settings!$C$5,1,0)</f>
        <v/>
      </c>
    </row>
    <row r="3459">
      <c r="A3459" t="inlineStr">
        <is>
          <t>1109171419a1b66ae0d9168429adfb61</t>
        </is>
      </c>
      <c r="B3459" s="29" t="n">
        <v>43215</v>
      </c>
      <c r="C3459" t="inlineStr">
        <is>
          <t>2018-04</t>
        </is>
      </c>
      <c r="D3459" t="inlineStr">
        <is>
          <t>f80696b73d17fb34f5c4fde157f119d8</t>
        </is>
      </c>
      <c r="E3459" t="inlineStr">
        <is>
          <t>email</t>
        </is>
      </c>
      <c r="F3459">
        <f>IFERROR(MATCH(A3459,Deals!$A$2:$A$843,0),"")</f>
        <v/>
      </c>
      <c r="G3459">
        <f>IF(F3459="",0,1)</f>
        <v/>
      </c>
      <c r="H3459" s="29">
        <f>IF(F3459="","",INDEX(Deals!$E$2:$E$843,F3459))</f>
        <v/>
      </c>
      <c r="I3459">
        <f>IF(F3459="","",INDEX(Deals!$D$2:$D$843,F3459))</f>
        <v/>
      </c>
      <c r="J3459">
        <f>IF(F3459="","",INT(H3459)-B3459)</f>
        <v/>
      </c>
      <c r="K3459">
        <f>IF(B3459&gt;=Settings!$C$5,1,0)</f>
        <v/>
      </c>
    </row>
    <row r="3460">
      <c r="A3460" t="inlineStr">
        <is>
          <t>7493c1741d0bb92fd7dc521a51042b84</t>
        </is>
      </c>
      <c r="B3460" s="29" t="n">
        <v>43233</v>
      </c>
      <c r="C3460" t="inlineStr">
        <is>
          <t>2018-05</t>
        </is>
      </c>
      <c r="D3460" t="inlineStr">
        <is>
          <t>58326e62183c14b0c03085c33b9fdc44</t>
        </is>
      </c>
      <c r="E3460" t="inlineStr">
        <is>
          <t>social</t>
        </is>
      </c>
      <c r="F3460">
        <f>IFERROR(MATCH(A3460,Deals!$A$2:$A$843,0),"")</f>
        <v/>
      </c>
      <c r="G3460">
        <f>IF(F3460="",0,1)</f>
        <v/>
      </c>
      <c r="H3460" s="29">
        <f>IF(F3460="","",INDEX(Deals!$E$2:$E$843,F3460))</f>
        <v/>
      </c>
      <c r="I3460">
        <f>IF(F3460="","",INDEX(Deals!$D$2:$D$843,F3460))</f>
        <v/>
      </c>
      <c r="J3460">
        <f>IF(F3460="","",INT(H3460)-B3460)</f>
        <v/>
      </c>
      <c r="K3460">
        <f>IF(B3460&gt;=Settings!$C$5,1,0)</f>
        <v/>
      </c>
    </row>
    <row r="3461">
      <c r="A3461" t="inlineStr">
        <is>
          <t>ccdb762781d918b6f9a22d7e9c43d652</t>
        </is>
      </c>
      <c r="B3461" s="29" t="n">
        <v>43206</v>
      </c>
      <c r="C3461" t="inlineStr">
        <is>
          <t>2018-04</t>
        </is>
      </c>
      <c r="D3461" t="inlineStr">
        <is>
          <t>73fec6021437e723ff5adae8dff89e23</t>
        </is>
      </c>
      <c r="E3461" t="inlineStr">
        <is>
          <t>social</t>
        </is>
      </c>
      <c r="F3461">
        <f>IFERROR(MATCH(A3461,Deals!$A$2:$A$843,0),"")</f>
        <v/>
      </c>
      <c r="G3461">
        <f>IF(F3461="",0,1)</f>
        <v/>
      </c>
      <c r="H3461" s="29">
        <f>IF(F3461="","",INDEX(Deals!$E$2:$E$843,F3461))</f>
        <v/>
      </c>
      <c r="I3461">
        <f>IF(F3461="","",INDEX(Deals!$D$2:$D$843,F3461))</f>
        <v/>
      </c>
      <c r="J3461">
        <f>IF(F3461="","",INT(H3461)-B3461)</f>
        <v/>
      </c>
      <c r="K3461">
        <f>IF(B3461&gt;=Settings!$C$5,1,0)</f>
        <v/>
      </c>
    </row>
    <row r="3462">
      <c r="A3462" t="inlineStr">
        <is>
          <t>171061605226364f27c0a15445307397</t>
        </is>
      </c>
      <c r="B3462" s="29" t="n">
        <v>43059</v>
      </c>
      <c r="C3462" t="inlineStr">
        <is>
          <t>2017-11</t>
        </is>
      </c>
      <c r="D3462" t="inlineStr">
        <is>
          <t>f98c2bd96ac4a5d9476734e790c91384</t>
        </is>
      </c>
      <c r="E3462" t="inlineStr">
        <is>
          <t>social</t>
        </is>
      </c>
      <c r="F3462">
        <f>IFERROR(MATCH(A3462,Deals!$A$2:$A$843,0),"")</f>
        <v/>
      </c>
      <c r="G3462">
        <f>IF(F3462="",0,1)</f>
        <v/>
      </c>
      <c r="H3462" s="29">
        <f>IF(F3462="","",INDEX(Deals!$E$2:$E$843,F3462))</f>
        <v/>
      </c>
      <c r="I3462">
        <f>IF(F3462="","",INDEX(Deals!$D$2:$D$843,F3462))</f>
        <v/>
      </c>
      <c r="J3462">
        <f>IF(F3462="","",INT(H3462)-B3462)</f>
        <v/>
      </c>
      <c r="K3462">
        <f>IF(B3462&gt;=Settings!$C$5,1,0)</f>
        <v/>
      </c>
    </row>
    <row r="3463">
      <c r="A3463" t="inlineStr">
        <is>
          <t>c8899121cddf50938e8780e98f23bd1e</t>
        </is>
      </c>
      <c r="B3463" s="29" t="n">
        <v>43150</v>
      </c>
      <c r="C3463" t="inlineStr">
        <is>
          <t>2018-02</t>
        </is>
      </c>
      <c r="D3463" t="inlineStr">
        <is>
          <t>a7982125ff7aa3b2054c6e44f9d28522</t>
        </is>
      </c>
      <c r="E3463" t="inlineStr">
        <is>
          <t>display</t>
        </is>
      </c>
      <c r="F3463">
        <f>IFERROR(MATCH(A3463,Deals!$A$2:$A$843,0),"")</f>
        <v/>
      </c>
      <c r="G3463">
        <f>IF(F3463="",0,1)</f>
        <v/>
      </c>
      <c r="H3463" s="29">
        <f>IF(F3463="","",INDEX(Deals!$E$2:$E$843,F3463))</f>
        <v/>
      </c>
      <c r="I3463">
        <f>IF(F3463="","",INDEX(Deals!$D$2:$D$843,F3463))</f>
        <v/>
      </c>
      <c r="J3463">
        <f>IF(F3463="","",INT(H3463)-B3463)</f>
        <v/>
      </c>
      <c r="K3463">
        <f>IF(B3463&gt;=Settings!$C$5,1,0)</f>
        <v/>
      </c>
    </row>
    <row r="3464">
      <c r="A3464" t="inlineStr">
        <is>
          <t>cc5fa5d3ae683cca46d75d9066d3d0d9</t>
        </is>
      </c>
      <c r="B3464" s="29" t="n">
        <v>42961</v>
      </c>
      <c r="C3464" t="inlineStr">
        <is>
          <t>2017-08</t>
        </is>
      </c>
      <c r="D3464" t="inlineStr">
        <is>
          <t>83ccc33d426eab8a3db70bd15aba46b8</t>
        </is>
      </c>
      <c r="E3464" t="inlineStr">
        <is>
          <t>organic_search</t>
        </is>
      </c>
      <c r="F3464">
        <f>IFERROR(MATCH(A3464,Deals!$A$2:$A$843,0),"")</f>
        <v/>
      </c>
      <c r="G3464">
        <f>IF(F3464="",0,1)</f>
        <v/>
      </c>
      <c r="H3464" s="29">
        <f>IF(F3464="","",INDEX(Deals!$E$2:$E$843,F3464))</f>
        <v/>
      </c>
      <c r="I3464">
        <f>IF(F3464="","",INDEX(Deals!$D$2:$D$843,F3464))</f>
        <v/>
      </c>
      <c r="J3464">
        <f>IF(F3464="","",INT(H3464)-B3464)</f>
        <v/>
      </c>
      <c r="K3464">
        <f>IF(B3464&gt;=Settings!$C$5,1,0)</f>
        <v/>
      </c>
    </row>
    <row r="3465">
      <c r="A3465" t="inlineStr">
        <is>
          <t>a34f04db062ee3c34f5281de339f3331</t>
        </is>
      </c>
      <c r="B3465" s="29" t="n">
        <v>43157</v>
      </c>
      <c r="C3465" t="inlineStr">
        <is>
          <t>2018-02</t>
        </is>
      </c>
      <c r="D3465" t="inlineStr">
        <is>
          <t>b76ef37428e6799c421989521c0e5077</t>
        </is>
      </c>
      <c r="E3465" t="inlineStr">
        <is>
          <t>unknown</t>
        </is>
      </c>
      <c r="F3465">
        <f>IFERROR(MATCH(A3465,Deals!$A$2:$A$843,0),"")</f>
        <v/>
      </c>
      <c r="G3465">
        <f>IF(F3465="",0,1)</f>
        <v/>
      </c>
      <c r="H3465" s="29">
        <f>IF(F3465="","",INDEX(Deals!$E$2:$E$843,F3465))</f>
        <v/>
      </c>
      <c r="I3465">
        <f>IF(F3465="","",INDEX(Deals!$D$2:$D$843,F3465))</f>
        <v/>
      </c>
      <c r="J3465">
        <f>IF(F3465="","",INT(H3465)-B3465)</f>
        <v/>
      </c>
      <c r="K3465">
        <f>IF(B3465&gt;=Settings!$C$5,1,0)</f>
        <v/>
      </c>
    </row>
    <row r="3466">
      <c r="A3466" t="inlineStr">
        <is>
          <t>0fc857ff172e6a0363604e8bdcf86ee4</t>
        </is>
      </c>
      <c r="B3466" s="29" t="n">
        <v>43031</v>
      </c>
      <c r="C3466" t="inlineStr">
        <is>
          <t>2017-10</t>
        </is>
      </c>
      <c r="D3466" t="inlineStr">
        <is>
          <t>87d670b00a8db612286ba8419cf82e83</t>
        </is>
      </c>
      <c r="E3466" t="inlineStr">
        <is>
          <t>paid_search</t>
        </is>
      </c>
      <c r="F3466">
        <f>IFERROR(MATCH(A3466,Deals!$A$2:$A$843,0),"")</f>
        <v/>
      </c>
      <c r="G3466">
        <f>IF(F3466="",0,1)</f>
        <v/>
      </c>
      <c r="H3466" s="29">
        <f>IF(F3466="","",INDEX(Deals!$E$2:$E$843,F3466))</f>
        <v/>
      </c>
      <c r="I3466">
        <f>IF(F3466="","",INDEX(Deals!$D$2:$D$843,F3466))</f>
        <v/>
      </c>
      <c r="J3466">
        <f>IF(F3466="","",INT(H3466)-B3466)</f>
        <v/>
      </c>
      <c r="K3466">
        <f>IF(B3466&gt;=Settings!$C$5,1,0)</f>
        <v/>
      </c>
    </row>
    <row r="3467">
      <c r="A3467" t="inlineStr">
        <is>
          <t>3dc55387cb95423475a19dea9e939b87</t>
        </is>
      </c>
      <c r="B3467" s="29" t="n">
        <v>42957</v>
      </c>
      <c r="C3467" t="inlineStr">
        <is>
          <t>2017-08</t>
        </is>
      </c>
      <c r="D3467" t="inlineStr">
        <is>
          <t>83ccc33d426eab8a3db70bd15aba46b8</t>
        </is>
      </c>
      <c r="E3467" t="inlineStr">
        <is>
          <t>organic_search</t>
        </is>
      </c>
      <c r="F3467">
        <f>IFERROR(MATCH(A3467,Deals!$A$2:$A$843,0),"")</f>
        <v/>
      </c>
      <c r="G3467">
        <f>IF(F3467="",0,1)</f>
        <v/>
      </c>
      <c r="H3467" s="29">
        <f>IF(F3467="","",INDEX(Deals!$E$2:$E$843,F3467))</f>
        <v/>
      </c>
      <c r="I3467">
        <f>IF(F3467="","",INDEX(Deals!$D$2:$D$843,F3467))</f>
        <v/>
      </c>
      <c r="J3467">
        <f>IF(F3467="","",INT(H3467)-B3467)</f>
        <v/>
      </c>
      <c r="K3467">
        <f>IF(B3467&gt;=Settings!$C$5,1,0)</f>
        <v/>
      </c>
    </row>
    <row r="3468">
      <c r="A3468" t="inlineStr">
        <is>
          <t>2cfdb14e053ad700dcb0a4eabb9147d6</t>
        </is>
      </c>
      <c r="B3468" s="29" t="n">
        <v>43115</v>
      </c>
      <c r="C3468" t="inlineStr">
        <is>
          <t>2018-01</t>
        </is>
      </c>
      <c r="D3468" t="inlineStr">
        <is>
          <t>22c29808c4f815213303f8933030604c</t>
        </is>
      </c>
      <c r="E3468" t="inlineStr">
        <is>
          <t>organic_search</t>
        </is>
      </c>
      <c r="F3468">
        <f>IFERROR(MATCH(A3468,Deals!$A$2:$A$843,0),"")</f>
        <v/>
      </c>
      <c r="G3468">
        <f>IF(F3468="",0,1)</f>
        <v/>
      </c>
      <c r="H3468" s="29">
        <f>IF(F3468="","",INDEX(Deals!$E$2:$E$843,F3468))</f>
        <v/>
      </c>
      <c r="I3468">
        <f>IF(F3468="","",INDEX(Deals!$D$2:$D$843,F3468))</f>
        <v/>
      </c>
      <c r="J3468">
        <f>IF(F3468="","",INT(H3468)-B3468)</f>
        <v/>
      </c>
      <c r="K3468">
        <f>IF(B3468&gt;=Settings!$C$5,1,0)</f>
        <v/>
      </c>
    </row>
    <row r="3469">
      <c r="A3469" t="inlineStr">
        <is>
          <t>6e8961d27943d81e27adf1ef127ae55c</t>
        </is>
      </c>
      <c r="B3469" s="29" t="n">
        <v>43018</v>
      </c>
      <c r="C3469" t="inlineStr">
        <is>
          <t>2017-10</t>
        </is>
      </c>
      <c r="D3469" t="inlineStr">
        <is>
          <t>b76ef37428e6799c421989521c0e5077</t>
        </is>
      </c>
      <c r="E3469" t="inlineStr">
        <is>
          <t>unknown</t>
        </is>
      </c>
      <c r="F3469">
        <f>IFERROR(MATCH(A3469,Deals!$A$2:$A$843,0),"")</f>
        <v/>
      </c>
      <c r="G3469">
        <f>IF(F3469="",0,1)</f>
        <v/>
      </c>
      <c r="H3469" s="29">
        <f>IF(F3469="","",INDEX(Deals!$E$2:$E$843,F3469))</f>
        <v/>
      </c>
      <c r="I3469">
        <f>IF(F3469="","",INDEX(Deals!$D$2:$D$843,F3469))</f>
        <v/>
      </c>
      <c r="J3469">
        <f>IF(F3469="","",INT(H3469)-B3469)</f>
        <v/>
      </c>
      <c r="K3469">
        <f>IF(B3469&gt;=Settings!$C$5,1,0)</f>
        <v/>
      </c>
    </row>
    <row r="3470">
      <c r="A3470" t="inlineStr">
        <is>
          <t>855574f497fe975ae99d6b7d5353c0e8</t>
        </is>
      </c>
      <c r="B3470" s="29" t="n">
        <v>42977</v>
      </c>
      <c r="C3470" t="inlineStr">
        <is>
          <t>2017-08</t>
        </is>
      </c>
      <c r="D3470" t="inlineStr">
        <is>
          <t>f017be4dbf86243af5c1ebed0cff36a2</t>
        </is>
      </c>
      <c r="E3470" t="inlineStr">
        <is>
          <t>organic_search</t>
        </is>
      </c>
      <c r="F3470">
        <f>IFERROR(MATCH(A3470,Deals!$A$2:$A$843,0),"")</f>
        <v/>
      </c>
      <c r="G3470">
        <f>IF(F3470="",0,1)</f>
        <v/>
      </c>
      <c r="H3470" s="29">
        <f>IF(F3470="","",INDEX(Deals!$E$2:$E$843,F3470))</f>
        <v/>
      </c>
      <c r="I3470">
        <f>IF(F3470="","",INDEX(Deals!$D$2:$D$843,F3470))</f>
        <v/>
      </c>
      <c r="J3470">
        <f>IF(F3470="","",INT(H3470)-B3470)</f>
        <v/>
      </c>
      <c r="K3470">
        <f>IF(B3470&gt;=Settings!$C$5,1,0)</f>
        <v/>
      </c>
    </row>
    <row r="3471">
      <c r="A3471" t="inlineStr">
        <is>
          <t>f16805d9fc37f021a682d86ab3013bb7</t>
        </is>
      </c>
      <c r="B3471" s="29" t="n">
        <v>42970</v>
      </c>
      <c r="C3471" t="inlineStr">
        <is>
          <t>2017-08</t>
        </is>
      </c>
      <c r="D3471" t="inlineStr">
        <is>
          <t>83ccc33d426eab8a3db70bd15aba46b8</t>
        </is>
      </c>
      <c r="E3471" t="inlineStr">
        <is>
          <t>organic_search</t>
        </is>
      </c>
      <c r="F3471">
        <f>IFERROR(MATCH(A3471,Deals!$A$2:$A$843,0),"")</f>
        <v/>
      </c>
      <c r="G3471">
        <f>IF(F3471="",0,1)</f>
        <v/>
      </c>
      <c r="H3471" s="29">
        <f>IF(F3471="","",INDEX(Deals!$E$2:$E$843,F3471))</f>
        <v/>
      </c>
      <c r="I3471">
        <f>IF(F3471="","",INDEX(Deals!$D$2:$D$843,F3471))</f>
        <v/>
      </c>
      <c r="J3471">
        <f>IF(F3471="","",INT(H3471)-B3471)</f>
        <v/>
      </c>
      <c r="K3471">
        <f>IF(B3471&gt;=Settings!$C$5,1,0)</f>
        <v/>
      </c>
    </row>
    <row r="3472">
      <c r="A3472" t="inlineStr">
        <is>
          <t>455d2494cf3dfebd4e54cd4b21bb2fa0</t>
        </is>
      </c>
      <c r="B3472" s="29" t="n">
        <v>43129</v>
      </c>
      <c r="C3472" t="inlineStr">
        <is>
          <t>2018-01</t>
        </is>
      </c>
      <c r="D3472" t="inlineStr">
        <is>
          <t>88740e65d5d6b056e0cda098e1ea6313</t>
        </is>
      </c>
      <c r="E3472" t="inlineStr">
        <is>
          <t>social</t>
        </is>
      </c>
      <c r="F3472">
        <f>IFERROR(MATCH(A3472,Deals!$A$2:$A$843,0),"")</f>
        <v/>
      </c>
      <c r="G3472">
        <f>IF(F3472="",0,1)</f>
        <v/>
      </c>
      <c r="H3472" s="29">
        <f>IF(F3472="","",INDEX(Deals!$E$2:$E$843,F3472))</f>
        <v/>
      </c>
      <c r="I3472">
        <f>IF(F3472="","",INDEX(Deals!$D$2:$D$843,F3472))</f>
        <v/>
      </c>
      <c r="J3472">
        <f>IF(F3472="","",INT(H3472)-B3472)</f>
        <v/>
      </c>
      <c r="K3472">
        <f>IF(B3472&gt;=Settings!$C$5,1,0)</f>
        <v/>
      </c>
    </row>
    <row r="3473">
      <c r="A3473" t="inlineStr">
        <is>
          <t>df1d759af9661d783a0a36ef0ef288e9</t>
        </is>
      </c>
      <c r="B3473" s="29" t="n">
        <v>43110</v>
      </c>
      <c r="C3473" t="inlineStr">
        <is>
          <t>2018-01</t>
        </is>
      </c>
      <c r="D3473" t="inlineStr">
        <is>
          <t>22c29808c4f815213303f8933030604c</t>
        </is>
      </c>
      <c r="E3473" t="inlineStr">
        <is>
          <t>organic_search</t>
        </is>
      </c>
      <c r="F3473">
        <f>IFERROR(MATCH(A3473,Deals!$A$2:$A$843,0),"")</f>
        <v/>
      </c>
      <c r="G3473">
        <f>IF(F3473="",0,1)</f>
        <v/>
      </c>
      <c r="H3473" s="29">
        <f>IF(F3473="","",INDEX(Deals!$E$2:$E$843,F3473))</f>
        <v/>
      </c>
      <c r="I3473">
        <f>IF(F3473="","",INDEX(Deals!$D$2:$D$843,F3473))</f>
        <v/>
      </c>
      <c r="J3473">
        <f>IF(F3473="","",INT(H3473)-B3473)</f>
        <v/>
      </c>
      <c r="K3473">
        <f>IF(B3473&gt;=Settings!$C$5,1,0)</f>
        <v/>
      </c>
    </row>
    <row r="3474">
      <c r="A3474" t="inlineStr">
        <is>
          <t>f6717917669866b9e4f6adcd511fa8f8</t>
        </is>
      </c>
      <c r="B3474" s="29" t="n">
        <v>43228</v>
      </c>
      <c r="C3474" t="inlineStr">
        <is>
          <t>2018-05</t>
        </is>
      </c>
      <c r="D3474" t="inlineStr">
        <is>
          <t>358adb2fee9a122549618e46925a00a5</t>
        </is>
      </c>
      <c r="E3474" t="inlineStr">
        <is>
          <t>organic_search</t>
        </is>
      </c>
      <c r="F3474">
        <f>IFERROR(MATCH(A3474,Deals!$A$2:$A$843,0),"")</f>
        <v/>
      </c>
      <c r="G3474">
        <f>IF(F3474="",0,1)</f>
        <v/>
      </c>
      <c r="H3474" s="29">
        <f>IF(F3474="","",INDEX(Deals!$E$2:$E$843,F3474))</f>
        <v/>
      </c>
      <c r="I3474">
        <f>IF(F3474="","",INDEX(Deals!$D$2:$D$843,F3474))</f>
        <v/>
      </c>
      <c r="J3474">
        <f>IF(F3474="","",INT(H3474)-B3474)</f>
        <v/>
      </c>
      <c r="K3474">
        <f>IF(B3474&gt;=Settings!$C$5,1,0)</f>
        <v/>
      </c>
    </row>
    <row r="3475">
      <c r="A3475" t="inlineStr">
        <is>
          <t>ea83bad32870765c79d8745c5ae7e0c2</t>
        </is>
      </c>
      <c r="B3475" s="29" t="n">
        <v>42991</v>
      </c>
      <c r="C3475" t="inlineStr">
        <is>
          <t>2017-09</t>
        </is>
      </c>
      <c r="D3475" t="inlineStr">
        <is>
          <t>22c29808c4f815213303f8933030604c</t>
        </is>
      </c>
      <c r="E3475" t="inlineStr">
        <is>
          <t>organic_search</t>
        </is>
      </c>
      <c r="F3475">
        <f>IFERROR(MATCH(A3475,Deals!$A$2:$A$843,0),"")</f>
        <v/>
      </c>
      <c r="G3475">
        <f>IF(F3475="",0,1)</f>
        <v/>
      </c>
      <c r="H3475" s="29">
        <f>IF(F3475="","",INDEX(Deals!$E$2:$E$843,F3475))</f>
        <v/>
      </c>
      <c r="I3475">
        <f>IF(F3475="","",INDEX(Deals!$D$2:$D$843,F3475))</f>
        <v/>
      </c>
      <c r="J3475">
        <f>IF(F3475="","",INT(H3475)-B3475)</f>
        <v/>
      </c>
      <c r="K3475">
        <f>IF(B3475&gt;=Settings!$C$5,1,0)</f>
        <v/>
      </c>
    </row>
    <row r="3476">
      <c r="A3476" t="inlineStr">
        <is>
          <t>775ced8a4d77641ed809d8a33917e6f0</t>
        </is>
      </c>
      <c r="B3476" s="29" t="n">
        <v>43104</v>
      </c>
      <c r="C3476" t="inlineStr">
        <is>
          <t>2018-01</t>
        </is>
      </c>
      <c r="D3476" t="inlineStr">
        <is>
          <t>b76ef37428e6799c421989521c0e5077</t>
        </is>
      </c>
      <c r="E3476" t="inlineStr">
        <is>
          <t>unknown</t>
        </is>
      </c>
      <c r="F3476">
        <f>IFERROR(MATCH(A3476,Deals!$A$2:$A$843,0),"")</f>
        <v/>
      </c>
      <c r="G3476">
        <f>IF(F3476="",0,1)</f>
        <v/>
      </c>
      <c r="H3476" s="29">
        <f>IF(F3476="","",INDEX(Deals!$E$2:$E$843,F3476))</f>
        <v/>
      </c>
      <c r="I3476">
        <f>IF(F3476="","",INDEX(Deals!$D$2:$D$843,F3476))</f>
        <v/>
      </c>
      <c r="J3476">
        <f>IF(F3476="","",INT(H3476)-B3476)</f>
        <v/>
      </c>
      <c r="K3476">
        <f>IF(B3476&gt;=Settings!$C$5,1,0)</f>
        <v/>
      </c>
    </row>
    <row r="3477">
      <c r="A3477" t="inlineStr">
        <is>
          <t>ebca0bfa3eb9d53305b7fef58d1a0c43</t>
        </is>
      </c>
      <c r="B3477" s="29" t="n">
        <v>43165</v>
      </c>
      <c r="C3477" t="inlineStr">
        <is>
          <t>2018-03</t>
        </is>
      </c>
      <c r="D3477" t="inlineStr">
        <is>
          <t>f017be4dbf86243af5c1ebed0cff36a2</t>
        </is>
      </c>
      <c r="E3477" t="inlineStr">
        <is>
          <t>direct_traffic</t>
        </is>
      </c>
      <c r="F3477">
        <f>IFERROR(MATCH(A3477,Deals!$A$2:$A$843,0),"")</f>
        <v/>
      </c>
      <c r="G3477">
        <f>IF(F3477="",0,1)</f>
        <v/>
      </c>
      <c r="H3477" s="29">
        <f>IF(F3477="","",INDEX(Deals!$E$2:$E$843,F3477))</f>
        <v/>
      </c>
      <c r="I3477">
        <f>IF(F3477="","",INDEX(Deals!$D$2:$D$843,F3477))</f>
        <v/>
      </c>
      <c r="J3477">
        <f>IF(F3477="","",INT(H3477)-B3477)</f>
        <v/>
      </c>
      <c r="K3477">
        <f>IF(B3477&gt;=Settings!$C$5,1,0)</f>
        <v/>
      </c>
    </row>
    <row r="3478">
      <c r="A3478" t="inlineStr">
        <is>
          <t>f613b01d52b86da04ae810f173d5aaef</t>
        </is>
      </c>
      <c r="B3478" s="29" t="n">
        <v>43196</v>
      </c>
      <c r="C3478" t="inlineStr">
        <is>
          <t>2018-04</t>
        </is>
      </c>
      <c r="D3478" t="inlineStr">
        <is>
          <t>35c9b150ab36fe584c1f24fd458c453a</t>
        </is>
      </c>
      <c r="E3478" t="inlineStr">
        <is>
          <t>organic_search</t>
        </is>
      </c>
      <c r="F3478">
        <f>IFERROR(MATCH(A3478,Deals!$A$2:$A$843,0),"")</f>
        <v/>
      </c>
      <c r="G3478">
        <f>IF(F3478="",0,1)</f>
        <v/>
      </c>
      <c r="H3478" s="29">
        <f>IF(F3478="","",INDEX(Deals!$E$2:$E$843,F3478))</f>
        <v/>
      </c>
      <c r="I3478">
        <f>IF(F3478="","",INDEX(Deals!$D$2:$D$843,F3478))</f>
        <v/>
      </c>
      <c r="J3478">
        <f>IF(F3478="","",INT(H3478)-B3478)</f>
        <v/>
      </c>
      <c r="K3478">
        <f>IF(B3478&gt;=Settings!$C$5,1,0)</f>
        <v/>
      </c>
    </row>
    <row r="3479">
      <c r="A3479" t="inlineStr">
        <is>
          <t>0be0c89fca9642f6941b42a9d1922e19</t>
        </is>
      </c>
      <c r="B3479" s="29" t="n">
        <v>43181</v>
      </c>
      <c r="C3479" t="inlineStr">
        <is>
          <t>2018-03</t>
        </is>
      </c>
      <c r="D3479" t="inlineStr">
        <is>
          <t>ce1a65abd0973638f1c887a6efcfa82d</t>
        </is>
      </c>
      <c r="E3479" t="inlineStr">
        <is>
          <t>referral</t>
        </is>
      </c>
      <c r="F3479">
        <f>IFERROR(MATCH(A3479,Deals!$A$2:$A$843,0),"")</f>
        <v/>
      </c>
      <c r="G3479">
        <f>IF(F3479="",0,1)</f>
        <v/>
      </c>
      <c r="H3479" s="29">
        <f>IF(F3479="","",INDEX(Deals!$E$2:$E$843,F3479))</f>
        <v/>
      </c>
      <c r="I3479">
        <f>IF(F3479="","",INDEX(Deals!$D$2:$D$843,F3479))</f>
        <v/>
      </c>
      <c r="J3479">
        <f>IF(F3479="","",INT(H3479)-B3479)</f>
        <v/>
      </c>
      <c r="K3479">
        <f>IF(B3479&gt;=Settings!$C$5,1,0)</f>
        <v/>
      </c>
    </row>
    <row r="3480">
      <c r="A3480" t="inlineStr">
        <is>
          <t>5796f99c5d3c7bac8c90cc042869a7ea</t>
        </is>
      </c>
      <c r="B3480" s="29" t="n">
        <v>42971</v>
      </c>
      <c r="C3480" t="inlineStr">
        <is>
          <t>2017-08</t>
        </is>
      </c>
      <c r="D3480" t="inlineStr">
        <is>
          <t>f017be4dbf86243af5c1ebed0cff36a2</t>
        </is>
      </c>
      <c r="E3480" t="inlineStr">
        <is>
          <t>organic_search</t>
        </is>
      </c>
      <c r="F3480">
        <f>IFERROR(MATCH(A3480,Deals!$A$2:$A$843,0),"")</f>
        <v/>
      </c>
      <c r="G3480">
        <f>IF(F3480="",0,1)</f>
        <v/>
      </c>
      <c r="H3480" s="29">
        <f>IF(F3480="","",INDEX(Deals!$E$2:$E$843,F3480))</f>
        <v/>
      </c>
      <c r="I3480">
        <f>IF(F3480="","",INDEX(Deals!$D$2:$D$843,F3480))</f>
        <v/>
      </c>
      <c r="J3480">
        <f>IF(F3480="","",INT(H3480)-B3480)</f>
        <v/>
      </c>
      <c r="K3480">
        <f>IF(B3480&gt;=Settings!$C$5,1,0)</f>
        <v/>
      </c>
    </row>
    <row r="3481">
      <c r="A3481" t="inlineStr">
        <is>
          <t>04766957db82a24eaa3006fb015798ba</t>
        </is>
      </c>
      <c r="B3481" s="29" t="n">
        <v>43104</v>
      </c>
      <c r="C3481" t="inlineStr">
        <is>
          <t>2018-01</t>
        </is>
      </c>
      <c r="D3481" t="inlineStr">
        <is>
          <t>22c29808c4f815213303f8933030604c</t>
        </is>
      </c>
      <c r="E3481" t="inlineStr">
        <is>
          <t>organic_search</t>
        </is>
      </c>
      <c r="F3481">
        <f>IFERROR(MATCH(A3481,Deals!$A$2:$A$843,0),"")</f>
        <v/>
      </c>
      <c r="G3481">
        <f>IF(F3481="",0,1)</f>
        <v/>
      </c>
      <c r="H3481" s="29">
        <f>IF(F3481="","",INDEX(Deals!$E$2:$E$843,F3481))</f>
        <v/>
      </c>
      <c r="I3481">
        <f>IF(F3481="","",INDEX(Deals!$D$2:$D$843,F3481))</f>
        <v/>
      </c>
      <c r="J3481">
        <f>IF(F3481="","",INT(H3481)-B3481)</f>
        <v/>
      </c>
      <c r="K3481">
        <f>IF(B3481&gt;=Settings!$C$5,1,0)</f>
        <v/>
      </c>
    </row>
    <row r="3482">
      <c r="A3482" t="inlineStr">
        <is>
          <t>56f828cd13fd369ee16c728e6c50fb57</t>
        </is>
      </c>
      <c r="B3482" s="29" t="n">
        <v>43014</v>
      </c>
      <c r="C3482" t="inlineStr">
        <is>
          <t>2017-10</t>
        </is>
      </c>
      <c r="D3482" t="inlineStr">
        <is>
          <t>6511fd3ad2fc59d7f907bf22b13d19e3</t>
        </is>
      </c>
      <c r="E3482" t="inlineStr">
        <is>
          <t>email</t>
        </is>
      </c>
      <c r="F3482">
        <f>IFERROR(MATCH(A3482,Deals!$A$2:$A$843,0),"")</f>
        <v/>
      </c>
      <c r="G3482">
        <f>IF(F3482="",0,1)</f>
        <v/>
      </c>
      <c r="H3482" s="29">
        <f>IF(F3482="","",INDEX(Deals!$E$2:$E$843,F3482))</f>
        <v/>
      </c>
      <c r="I3482">
        <f>IF(F3482="","",INDEX(Deals!$D$2:$D$843,F3482))</f>
        <v/>
      </c>
      <c r="J3482">
        <f>IF(F3482="","",INT(H3482)-B3482)</f>
        <v/>
      </c>
      <c r="K3482">
        <f>IF(B3482&gt;=Settings!$C$5,1,0)</f>
        <v/>
      </c>
    </row>
    <row r="3483">
      <c r="A3483" t="inlineStr">
        <is>
          <t>3f49a3095c3ce881fcf1910d6addc1aa</t>
        </is>
      </c>
      <c r="B3483" s="29" t="n">
        <v>43160</v>
      </c>
      <c r="C3483" t="inlineStr">
        <is>
          <t>2018-03</t>
        </is>
      </c>
      <c r="D3483" t="inlineStr">
        <is>
          <t>f4cb9c7b1dc31afca77d4896d2ae8d4b</t>
        </is>
      </c>
      <c r="E3483" t="inlineStr">
        <is>
          <t>paid_search</t>
        </is>
      </c>
      <c r="F3483">
        <f>IFERROR(MATCH(A3483,Deals!$A$2:$A$843,0),"")</f>
        <v/>
      </c>
      <c r="G3483">
        <f>IF(F3483="",0,1)</f>
        <v/>
      </c>
      <c r="H3483" s="29">
        <f>IF(F3483="","",INDEX(Deals!$E$2:$E$843,F3483))</f>
        <v/>
      </c>
      <c r="I3483">
        <f>IF(F3483="","",INDEX(Deals!$D$2:$D$843,F3483))</f>
        <v/>
      </c>
      <c r="J3483">
        <f>IF(F3483="","",INT(H3483)-B3483)</f>
        <v/>
      </c>
      <c r="K3483">
        <f>IF(B3483&gt;=Settings!$C$5,1,0)</f>
        <v/>
      </c>
    </row>
    <row r="3484">
      <c r="A3484" t="inlineStr">
        <is>
          <t>ec42be71515ac87ff31ac02ad01eeefc</t>
        </is>
      </c>
      <c r="B3484" s="29" t="n">
        <v>43168</v>
      </c>
      <c r="C3484" t="inlineStr">
        <is>
          <t>2018-03</t>
        </is>
      </c>
      <c r="D3484" t="inlineStr">
        <is>
          <t>da14b7e2eb0d1eecf65abbd05a31c87d</t>
        </is>
      </c>
      <c r="E3484" t="inlineStr">
        <is>
          <t>social</t>
        </is>
      </c>
      <c r="F3484">
        <f>IFERROR(MATCH(A3484,Deals!$A$2:$A$843,0),"")</f>
        <v/>
      </c>
      <c r="G3484">
        <f>IF(F3484="",0,1)</f>
        <v/>
      </c>
      <c r="H3484" s="29">
        <f>IF(F3484="","",INDEX(Deals!$E$2:$E$843,F3484))</f>
        <v/>
      </c>
      <c r="I3484">
        <f>IF(F3484="","",INDEX(Deals!$D$2:$D$843,F3484))</f>
        <v/>
      </c>
      <c r="J3484">
        <f>IF(F3484="","",INT(H3484)-B3484)</f>
        <v/>
      </c>
      <c r="K3484">
        <f>IF(B3484&gt;=Settings!$C$5,1,0)</f>
        <v/>
      </c>
    </row>
    <row r="3485">
      <c r="A3485" t="inlineStr">
        <is>
          <t>ff580492eeafdce9321d4f73543b61e1</t>
        </is>
      </c>
      <c r="B3485" s="29" t="n">
        <v>43209</v>
      </c>
      <c r="C3485" t="inlineStr">
        <is>
          <t>2018-04</t>
        </is>
      </c>
      <c r="D3485" t="inlineStr">
        <is>
          <t>58326e62183c14b0c03085c33b9fdc44</t>
        </is>
      </c>
      <c r="E3485" t="inlineStr">
        <is>
          <t>social</t>
        </is>
      </c>
      <c r="F3485">
        <f>IFERROR(MATCH(A3485,Deals!$A$2:$A$843,0),"")</f>
        <v/>
      </c>
      <c r="G3485">
        <f>IF(F3485="",0,1)</f>
        <v/>
      </c>
      <c r="H3485" s="29">
        <f>IF(F3485="","",INDEX(Deals!$E$2:$E$843,F3485))</f>
        <v/>
      </c>
      <c r="I3485">
        <f>IF(F3485="","",INDEX(Deals!$D$2:$D$843,F3485))</f>
        <v/>
      </c>
      <c r="J3485">
        <f>IF(F3485="","",INT(H3485)-B3485)</f>
        <v/>
      </c>
      <c r="K3485">
        <f>IF(B3485&gt;=Settings!$C$5,1,0)</f>
        <v/>
      </c>
    </row>
    <row r="3486">
      <c r="A3486" t="inlineStr">
        <is>
          <t>a045219c760c6f765dfb3c5a6abf54c0</t>
        </is>
      </c>
      <c r="B3486" s="29" t="n">
        <v>43164</v>
      </c>
      <c r="C3486" t="inlineStr">
        <is>
          <t>2018-03</t>
        </is>
      </c>
      <c r="D3486" t="inlineStr">
        <is>
          <t>b76ef37428e6799c421989521c0e5077</t>
        </is>
      </c>
      <c r="E3486" t="inlineStr">
        <is>
          <t>unknown</t>
        </is>
      </c>
      <c r="F3486">
        <f>IFERROR(MATCH(A3486,Deals!$A$2:$A$843,0),"")</f>
        <v/>
      </c>
      <c r="G3486">
        <f>IF(F3486="",0,1)</f>
        <v/>
      </c>
      <c r="H3486" s="29">
        <f>IF(F3486="","",INDEX(Deals!$E$2:$E$843,F3486))</f>
        <v/>
      </c>
      <c r="I3486">
        <f>IF(F3486="","",INDEX(Deals!$D$2:$D$843,F3486))</f>
        <v/>
      </c>
      <c r="J3486">
        <f>IF(F3486="","",INT(H3486)-B3486)</f>
        <v/>
      </c>
      <c r="K3486">
        <f>IF(B3486&gt;=Settings!$C$5,1,0)</f>
        <v/>
      </c>
    </row>
    <row r="3487">
      <c r="A3487" t="inlineStr">
        <is>
          <t>ce6b01e4cd4166124283f11b1a09fe8a</t>
        </is>
      </c>
      <c r="B3487" s="29" t="n">
        <v>43244</v>
      </c>
      <c r="C3487" t="inlineStr">
        <is>
          <t>2018-05</t>
        </is>
      </c>
      <c r="D3487" t="inlineStr">
        <is>
          <t>35c9b150ab36fe584c1f24fd458c453a</t>
        </is>
      </c>
      <c r="E3487" t="inlineStr">
        <is>
          <t>paid_search</t>
        </is>
      </c>
      <c r="F3487">
        <f>IFERROR(MATCH(A3487,Deals!$A$2:$A$843,0),"")</f>
        <v/>
      </c>
      <c r="G3487">
        <f>IF(F3487="",0,1)</f>
        <v/>
      </c>
      <c r="H3487" s="29">
        <f>IF(F3487="","",INDEX(Deals!$E$2:$E$843,F3487))</f>
        <v/>
      </c>
      <c r="I3487">
        <f>IF(F3487="","",INDEX(Deals!$D$2:$D$843,F3487))</f>
        <v/>
      </c>
      <c r="J3487">
        <f>IF(F3487="","",INT(H3487)-B3487)</f>
        <v/>
      </c>
      <c r="K3487">
        <f>IF(B3487&gt;=Settings!$C$5,1,0)</f>
        <v/>
      </c>
    </row>
    <row r="3488">
      <c r="A3488" t="inlineStr">
        <is>
          <t>bc4520f1362bae7856bc2deb9f1c3270</t>
        </is>
      </c>
      <c r="B3488" s="29" t="n">
        <v>43168</v>
      </c>
      <c r="C3488" t="inlineStr">
        <is>
          <t>2018-03</t>
        </is>
      </c>
      <c r="D3488" t="inlineStr">
        <is>
          <t>b76ef37428e6799c421989521c0e5077</t>
        </is>
      </c>
      <c r="E3488" t="inlineStr">
        <is>
          <t>unknown</t>
        </is>
      </c>
      <c r="F3488">
        <f>IFERROR(MATCH(A3488,Deals!$A$2:$A$843,0),"")</f>
        <v/>
      </c>
      <c r="G3488">
        <f>IF(F3488="",0,1)</f>
        <v/>
      </c>
      <c r="H3488" s="29">
        <f>IF(F3488="","",INDEX(Deals!$E$2:$E$843,F3488))</f>
        <v/>
      </c>
      <c r="I3488">
        <f>IF(F3488="","",INDEX(Deals!$D$2:$D$843,F3488))</f>
        <v/>
      </c>
      <c r="J3488">
        <f>IF(F3488="","",INT(H3488)-B3488)</f>
        <v/>
      </c>
      <c r="K3488">
        <f>IF(B3488&gt;=Settings!$C$5,1,0)</f>
        <v/>
      </c>
    </row>
    <row r="3489">
      <c r="A3489" t="inlineStr">
        <is>
          <t>22852db60a3406b42630a69fbc08e4a2</t>
        </is>
      </c>
      <c r="B3489" s="29" t="n">
        <v>43014</v>
      </c>
      <c r="C3489" t="inlineStr">
        <is>
          <t>2017-10</t>
        </is>
      </c>
      <c r="D3489" t="inlineStr">
        <is>
          <t>007f9098284a86ee80ddeb25d53e0af8</t>
        </is>
      </c>
      <c r="E3489" t="inlineStr">
        <is>
          <t>organic_search</t>
        </is>
      </c>
      <c r="F3489">
        <f>IFERROR(MATCH(A3489,Deals!$A$2:$A$843,0),"")</f>
        <v/>
      </c>
      <c r="G3489">
        <f>IF(F3489="",0,1)</f>
        <v/>
      </c>
      <c r="H3489" s="29">
        <f>IF(F3489="","",INDEX(Deals!$E$2:$E$843,F3489))</f>
        <v/>
      </c>
      <c r="I3489">
        <f>IF(F3489="","",INDEX(Deals!$D$2:$D$843,F3489))</f>
        <v/>
      </c>
      <c r="J3489">
        <f>IF(F3489="","",INT(H3489)-B3489)</f>
        <v/>
      </c>
      <c r="K3489">
        <f>IF(B3489&gt;=Settings!$C$5,1,0)</f>
        <v/>
      </c>
    </row>
    <row r="3490">
      <c r="A3490" t="inlineStr">
        <is>
          <t>c4baf6469a476f27028b343c4aaa0883</t>
        </is>
      </c>
      <c r="B3490" s="29" t="n">
        <v>43108</v>
      </c>
      <c r="C3490" t="inlineStr">
        <is>
          <t>2018-01</t>
        </is>
      </c>
      <c r="D3490" t="inlineStr">
        <is>
          <t>733adfe409c752b5c200bf23fa2f22d0</t>
        </is>
      </c>
      <c r="E3490" t="inlineStr">
        <is>
          <t>paid_search</t>
        </is>
      </c>
      <c r="F3490">
        <f>IFERROR(MATCH(A3490,Deals!$A$2:$A$843,0),"")</f>
        <v/>
      </c>
      <c r="G3490">
        <f>IF(F3490="",0,1)</f>
        <v/>
      </c>
      <c r="H3490" s="29">
        <f>IF(F3490="","",INDEX(Deals!$E$2:$E$843,F3490))</f>
        <v/>
      </c>
      <c r="I3490">
        <f>IF(F3490="","",INDEX(Deals!$D$2:$D$843,F3490))</f>
        <v/>
      </c>
      <c r="J3490">
        <f>IF(F3490="","",INT(H3490)-B3490)</f>
        <v/>
      </c>
      <c r="K3490">
        <f>IF(B3490&gt;=Settings!$C$5,1,0)</f>
        <v/>
      </c>
    </row>
    <row r="3491">
      <c r="A3491" t="inlineStr">
        <is>
          <t>d537b88df8fe11bf4cba3d5ed1d86360</t>
        </is>
      </c>
      <c r="B3491" s="29" t="n">
        <v>43097</v>
      </c>
      <c r="C3491" t="inlineStr">
        <is>
          <t>2017-12</t>
        </is>
      </c>
      <c r="D3491" t="inlineStr">
        <is>
          <t>1722481ac9e5371e5099dea226b5421d</t>
        </is>
      </c>
      <c r="E3491" t="inlineStr">
        <is>
          <t>paid_search</t>
        </is>
      </c>
      <c r="F3491">
        <f>IFERROR(MATCH(A3491,Deals!$A$2:$A$843,0),"")</f>
        <v/>
      </c>
      <c r="G3491">
        <f>IF(F3491="",0,1)</f>
        <v/>
      </c>
      <c r="H3491" s="29">
        <f>IF(F3491="","",INDEX(Deals!$E$2:$E$843,F3491))</f>
        <v/>
      </c>
      <c r="I3491">
        <f>IF(F3491="","",INDEX(Deals!$D$2:$D$843,F3491))</f>
        <v/>
      </c>
      <c r="J3491">
        <f>IF(F3491="","",INT(H3491)-B3491)</f>
        <v/>
      </c>
      <c r="K3491">
        <f>IF(B3491&gt;=Settings!$C$5,1,0)</f>
        <v/>
      </c>
    </row>
    <row r="3492">
      <c r="A3492" t="inlineStr">
        <is>
          <t>37d7465c1cf6b226541c17d5b92034c1</t>
        </is>
      </c>
      <c r="B3492" s="29" t="n">
        <v>42995</v>
      </c>
      <c r="C3492" t="inlineStr">
        <is>
          <t>2017-09</t>
        </is>
      </c>
      <c r="D3492" t="inlineStr">
        <is>
          <t>87732658ba41d8775e8577df347a64db</t>
        </is>
      </c>
      <c r="E3492" t="inlineStr">
        <is>
          <t>social</t>
        </is>
      </c>
      <c r="F3492">
        <f>IFERROR(MATCH(A3492,Deals!$A$2:$A$843,0),"")</f>
        <v/>
      </c>
      <c r="G3492">
        <f>IF(F3492="",0,1)</f>
        <v/>
      </c>
      <c r="H3492" s="29">
        <f>IF(F3492="","",INDEX(Deals!$E$2:$E$843,F3492))</f>
        <v/>
      </c>
      <c r="I3492">
        <f>IF(F3492="","",INDEX(Deals!$D$2:$D$843,F3492))</f>
        <v/>
      </c>
      <c r="J3492">
        <f>IF(F3492="","",INT(H3492)-B3492)</f>
        <v/>
      </c>
      <c r="K3492">
        <f>IF(B3492&gt;=Settings!$C$5,1,0)</f>
        <v/>
      </c>
    </row>
    <row r="3493">
      <c r="A3493" t="inlineStr">
        <is>
          <t>38b651967fc03601ac051178920acd30</t>
        </is>
      </c>
      <c r="B3493" s="29" t="n">
        <v>42940</v>
      </c>
      <c r="C3493" t="inlineStr">
        <is>
          <t>2017-07</t>
        </is>
      </c>
      <c r="D3493" t="inlineStr">
        <is>
          <t>b76ef37428e6799c421989521c0e5077</t>
        </is>
      </c>
      <c r="E3493" t="inlineStr">
        <is>
          <t>unknown</t>
        </is>
      </c>
      <c r="F3493">
        <f>IFERROR(MATCH(A3493,Deals!$A$2:$A$843,0),"")</f>
        <v/>
      </c>
      <c r="G3493">
        <f>IF(F3493="",0,1)</f>
        <v/>
      </c>
      <c r="H3493" s="29">
        <f>IF(F3493="","",INDEX(Deals!$E$2:$E$843,F3493))</f>
        <v/>
      </c>
      <c r="I3493">
        <f>IF(F3493="","",INDEX(Deals!$D$2:$D$843,F3493))</f>
        <v/>
      </c>
      <c r="J3493">
        <f>IF(F3493="","",INT(H3493)-B3493)</f>
        <v/>
      </c>
      <c r="K3493">
        <f>IF(B3493&gt;=Settings!$C$5,1,0)</f>
        <v/>
      </c>
    </row>
    <row r="3494">
      <c r="A3494" t="inlineStr">
        <is>
          <t>ba7fb7aa93b1203a1f5e19b0857870e3</t>
        </is>
      </c>
      <c r="B3494" s="29" t="n">
        <v>43249</v>
      </c>
      <c r="C3494" t="inlineStr">
        <is>
          <t>2018-05</t>
        </is>
      </c>
      <c r="D3494" t="inlineStr">
        <is>
          <t>b76ef37428e6799c421989521c0e5077</t>
        </is>
      </c>
      <c r="E3494" t="inlineStr">
        <is>
          <t>paid_search</t>
        </is>
      </c>
      <c r="F3494">
        <f>IFERROR(MATCH(A3494,Deals!$A$2:$A$843,0),"")</f>
        <v/>
      </c>
      <c r="G3494">
        <f>IF(F3494="",0,1)</f>
        <v/>
      </c>
      <c r="H3494" s="29">
        <f>IF(F3494="","",INDEX(Deals!$E$2:$E$843,F3494))</f>
        <v/>
      </c>
      <c r="I3494">
        <f>IF(F3494="","",INDEX(Deals!$D$2:$D$843,F3494))</f>
        <v/>
      </c>
      <c r="J3494">
        <f>IF(F3494="","",INT(H3494)-B3494)</f>
        <v/>
      </c>
      <c r="K3494">
        <f>IF(B3494&gt;=Settings!$C$5,1,0)</f>
        <v/>
      </c>
    </row>
    <row r="3495">
      <c r="A3495" t="inlineStr">
        <is>
          <t>9b8335558c2c16a1e8e02da51b00537b</t>
        </is>
      </c>
      <c r="B3495" s="29" t="n">
        <v>43124</v>
      </c>
      <c r="C3495" t="inlineStr">
        <is>
          <t>2018-01</t>
        </is>
      </c>
      <c r="D3495" t="inlineStr">
        <is>
          <t>b6cd08ac77c501fd6857f7916d2c24f3</t>
        </is>
      </c>
      <c r="E3495" t="inlineStr">
        <is>
          <t>direct_traffic</t>
        </is>
      </c>
      <c r="F3495">
        <f>IFERROR(MATCH(A3495,Deals!$A$2:$A$843,0),"")</f>
        <v/>
      </c>
      <c r="G3495">
        <f>IF(F3495="",0,1)</f>
        <v/>
      </c>
      <c r="H3495" s="29">
        <f>IF(F3495="","",INDEX(Deals!$E$2:$E$843,F3495))</f>
        <v/>
      </c>
      <c r="I3495">
        <f>IF(F3495="","",INDEX(Deals!$D$2:$D$843,F3495))</f>
        <v/>
      </c>
      <c r="J3495">
        <f>IF(F3495="","",INT(H3495)-B3495)</f>
        <v/>
      </c>
      <c r="K3495">
        <f>IF(B3495&gt;=Settings!$C$5,1,0)</f>
        <v/>
      </c>
    </row>
    <row r="3496">
      <c r="A3496" t="inlineStr">
        <is>
          <t>ae4ecff0e6b752b3f2925ab248cdaef8</t>
        </is>
      </c>
      <c r="B3496" s="29" t="n">
        <v>42936</v>
      </c>
      <c r="C3496" t="inlineStr">
        <is>
          <t>2017-07</t>
        </is>
      </c>
      <c r="D3496" t="inlineStr">
        <is>
          <t>b76ef37428e6799c421989521c0e5077</t>
        </is>
      </c>
      <c r="E3496" t="inlineStr">
        <is>
          <t>unknown</t>
        </is>
      </c>
      <c r="F3496">
        <f>IFERROR(MATCH(A3496,Deals!$A$2:$A$843,0),"")</f>
        <v/>
      </c>
      <c r="G3496">
        <f>IF(F3496="",0,1)</f>
        <v/>
      </c>
      <c r="H3496" s="29">
        <f>IF(F3496="","",INDEX(Deals!$E$2:$E$843,F3496))</f>
        <v/>
      </c>
      <c r="I3496">
        <f>IF(F3496="","",INDEX(Deals!$D$2:$D$843,F3496))</f>
        <v/>
      </c>
      <c r="J3496">
        <f>IF(F3496="","",INT(H3496)-B3496)</f>
        <v/>
      </c>
      <c r="K3496">
        <f>IF(B3496&gt;=Settings!$C$5,1,0)</f>
        <v/>
      </c>
    </row>
    <row r="3497">
      <c r="A3497" t="inlineStr">
        <is>
          <t>1061f161cfeee8ce414f1a68f42b1c89</t>
        </is>
      </c>
      <c r="B3497" s="29" t="n">
        <v>43215</v>
      </c>
      <c r="C3497" t="inlineStr">
        <is>
          <t>2018-04</t>
        </is>
      </c>
      <c r="D3497" t="inlineStr">
        <is>
          <t>f017be4dbf86243af5c1ebed0cff36a2</t>
        </is>
      </c>
      <c r="E3497" t="inlineStr">
        <is>
          <t>direct_traffic</t>
        </is>
      </c>
      <c r="F3497">
        <f>IFERROR(MATCH(A3497,Deals!$A$2:$A$843,0),"")</f>
        <v/>
      </c>
      <c r="G3497">
        <f>IF(F3497="",0,1)</f>
        <v/>
      </c>
      <c r="H3497" s="29">
        <f>IF(F3497="","",INDEX(Deals!$E$2:$E$843,F3497))</f>
        <v/>
      </c>
      <c r="I3497">
        <f>IF(F3497="","",INDEX(Deals!$D$2:$D$843,F3497))</f>
        <v/>
      </c>
      <c r="J3497">
        <f>IF(F3497="","",INT(H3497)-B3497)</f>
        <v/>
      </c>
      <c r="K3497">
        <f>IF(B3497&gt;=Settings!$C$5,1,0)</f>
        <v/>
      </c>
    </row>
    <row r="3498">
      <c r="A3498" t="inlineStr">
        <is>
          <t>0668a01b2098b4335c37c1a1ac0dd71a</t>
        </is>
      </c>
      <c r="B3498" s="29" t="n">
        <v>43017</v>
      </c>
      <c r="C3498" t="inlineStr">
        <is>
          <t>2017-10</t>
        </is>
      </c>
      <c r="D3498" t="inlineStr">
        <is>
          <t>22c29808c4f815213303f8933030604c</t>
        </is>
      </c>
      <c r="E3498" t="inlineStr">
        <is>
          <t>unknown</t>
        </is>
      </c>
      <c r="F3498">
        <f>IFERROR(MATCH(A3498,Deals!$A$2:$A$843,0),"")</f>
        <v/>
      </c>
      <c r="G3498">
        <f>IF(F3498="",0,1)</f>
        <v/>
      </c>
      <c r="H3498" s="29">
        <f>IF(F3498="","",INDEX(Deals!$E$2:$E$843,F3498))</f>
        <v/>
      </c>
      <c r="I3498">
        <f>IF(F3498="","",INDEX(Deals!$D$2:$D$843,F3498))</f>
        <v/>
      </c>
      <c r="J3498">
        <f>IF(F3498="","",INT(H3498)-B3498)</f>
        <v/>
      </c>
      <c r="K3498">
        <f>IF(B3498&gt;=Settings!$C$5,1,0)</f>
        <v/>
      </c>
    </row>
    <row r="3499">
      <c r="A3499" t="inlineStr">
        <is>
          <t>40ee0aa7de905226c097acc8c6b76d7f</t>
        </is>
      </c>
      <c r="B3499" s="29" t="n">
        <v>43007</v>
      </c>
      <c r="C3499" t="inlineStr">
        <is>
          <t>2017-09</t>
        </is>
      </c>
      <c r="D3499" t="inlineStr">
        <is>
          <t>081b0e629b3899db213a23bc4e58a17d</t>
        </is>
      </c>
      <c r="E3499" t="inlineStr">
        <is>
          <t>social</t>
        </is>
      </c>
      <c r="F3499">
        <f>IFERROR(MATCH(A3499,Deals!$A$2:$A$843,0),"")</f>
        <v/>
      </c>
      <c r="G3499">
        <f>IF(F3499="",0,1)</f>
        <v/>
      </c>
      <c r="H3499" s="29">
        <f>IF(F3499="","",INDEX(Deals!$E$2:$E$843,F3499))</f>
        <v/>
      </c>
      <c r="I3499">
        <f>IF(F3499="","",INDEX(Deals!$D$2:$D$843,F3499))</f>
        <v/>
      </c>
      <c r="J3499">
        <f>IF(F3499="","",INT(H3499)-B3499)</f>
        <v/>
      </c>
      <c r="K3499">
        <f>IF(B3499&gt;=Settings!$C$5,1,0)</f>
        <v/>
      </c>
    </row>
    <row r="3500">
      <c r="A3500" t="inlineStr">
        <is>
          <t>ed21b54c417d6d8638aef8efc652fe37</t>
        </is>
      </c>
      <c r="B3500" s="29" t="n">
        <v>42982</v>
      </c>
      <c r="C3500" t="inlineStr">
        <is>
          <t>2017-09</t>
        </is>
      </c>
      <c r="D3500" t="inlineStr">
        <is>
          <t>007f9098284a86ee80ddeb25d53e0af8</t>
        </is>
      </c>
      <c r="E3500" t="inlineStr">
        <is>
          <t>paid_search</t>
        </is>
      </c>
      <c r="F3500">
        <f>IFERROR(MATCH(A3500,Deals!$A$2:$A$843,0),"")</f>
        <v/>
      </c>
      <c r="G3500">
        <f>IF(F3500="",0,1)</f>
        <v/>
      </c>
      <c r="H3500" s="29">
        <f>IF(F3500="","",INDEX(Deals!$E$2:$E$843,F3500))</f>
        <v/>
      </c>
      <c r="I3500">
        <f>IF(F3500="","",INDEX(Deals!$D$2:$D$843,F3500))</f>
        <v/>
      </c>
      <c r="J3500">
        <f>IF(F3500="","",INT(H3500)-B3500)</f>
        <v/>
      </c>
      <c r="K3500">
        <f>IF(B3500&gt;=Settings!$C$5,1,0)</f>
        <v/>
      </c>
    </row>
    <row r="3501">
      <c r="A3501" t="inlineStr">
        <is>
          <t>dda33670117c841dd91bba9fb7165a03</t>
        </is>
      </c>
      <c r="B3501" s="29" t="n">
        <v>42955</v>
      </c>
      <c r="C3501" t="inlineStr">
        <is>
          <t>2017-08</t>
        </is>
      </c>
      <c r="D3501" t="inlineStr">
        <is>
          <t>154e7506c0176dc761f19fa0cb4988c4</t>
        </is>
      </c>
      <c r="E3501" t="inlineStr">
        <is>
          <t>unknown</t>
        </is>
      </c>
      <c r="F3501">
        <f>IFERROR(MATCH(A3501,Deals!$A$2:$A$843,0),"")</f>
        <v/>
      </c>
      <c r="G3501">
        <f>IF(F3501="",0,1)</f>
        <v/>
      </c>
      <c r="H3501" s="29">
        <f>IF(F3501="","",INDEX(Deals!$E$2:$E$843,F3501))</f>
        <v/>
      </c>
      <c r="I3501">
        <f>IF(F3501="","",INDEX(Deals!$D$2:$D$843,F3501))</f>
        <v/>
      </c>
      <c r="J3501">
        <f>IF(F3501="","",INT(H3501)-B3501)</f>
        <v/>
      </c>
      <c r="K3501">
        <f>IF(B3501&gt;=Settings!$C$5,1,0)</f>
        <v/>
      </c>
    </row>
    <row r="3502">
      <c r="A3502" t="inlineStr">
        <is>
          <t>d2108470e2824da1f619e91a0e4784d0</t>
        </is>
      </c>
      <c r="B3502" s="29" t="n">
        <v>43157</v>
      </c>
      <c r="C3502" t="inlineStr">
        <is>
          <t>2018-02</t>
        </is>
      </c>
      <c r="D3502" t="inlineStr">
        <is>
          <t>b76ef37428e6799c421989521c0e5077</t>
        </is>
      </c>
      <c r="E3502" t="inlineStr">
        <is>
          <t>unknown</t>
        </is>
      </c>
      <c r="F3502">
        <f>IFERROR(MATCH(A3502,Deals!$A$2:$A$843,0),"")</f>
        <v/>
      </c>
      <c r="G3502">
        <f>IF(F3502="",0,1)</f>
        <v/>
      </c>
      <c r="H3502" s="29">
        <f>IF(F3502="","",INDEX(Deals!$E$2:$E$843,F3502))</f>
        <v/>
      </c>
      <c r="I3502">
        <f>IF(F3502="","",INDEX(Deals!$D$2:$D$843,F3502))</f>
        <v/>
      </c>
      <c r="J3502">
        <f>IF(F3502="","",INT(H3502)-B3502)</f>
        <v/>
      </c>
      <c r="K3502">
        <f>IF(B3502&gt;=Settings!$C$5,1,0)</f>
        <v/>
      </c>
    </row>
    <row r="3503">
      <c r="A3503" t="inlineStr">
        <is>
          <t>f9d56e4df9f4a94e2a2ef288d126f9da</t>
        </is>
      </c>
      <c r="B3503" s="29" t="n">
        <v>43245</v>
      </c>
      <c r="C3503" t="inlineStr">
        <is>
          <t>2018-05</t>
        </is>
      </c>
      <c r="D3503" t="inlineStr">
        <is>
          <t>58326e62183c14b0c03085c33b9fdc44</t>
        </is>
      </c>
      <c r="E3503" t="inlineStr">
        <is>
          <t>social</t>
        </is>
      </c>
      <c r="F3503">
        <f>IFERROR(MATCH(A3503,Deals!$A$2:$A$843,0),"")</f>
        <v/>
      </c>
      <c r="G3503">
        <f>IF(F3503="",0,1)</f>
        <v/>
      </c>
      <c r="H3503" s="29">
        <f>IF(F3503="","",INDEX(Deals!$E$2:$E$843,F3503))</f>
        <v/>
      </c>
      <c r="I3503">
        <f>IF(F3503="","",INDEX(Deals!$D$2:$D$843,F3503))</f>
        <v/>
      </c>
      <c r="J3503">
        <f>IF(F3503="","",INT(H3503)-B3503)</f>
        <v/>
      </c>
      <c r="K3503">
        <f>IF(B3503&gt;=Settings!$C$5,1,0)</f>
        <v/>
      </c>
    </row>
    <row r="3504">
      <c r="A3504" t="inlineStr">
        <is>
          <t>d8da124409cad437d5d2c35b101e3b91</t>
        </is>
      </c>
      <c r="B3504" s="29" t="n">
        <v>43115</v>
      </c>
      <c r="C3504" t="inlineStr">
        <is>
          <t>2018-01</t>
        </is>
      </c>
      <c r="D3504" t="inlineStr">
        <is>
          <t>22c29808c4f815213303f8933030604c</t>
        </is>
      </c>
      <c r="E3504" t="inlineStr">
        <is>
          <t>direct_traffic</t>
        </is>
      </c>
      <c r="F3504">
        <f>IFERROR(MATCH(A3504,Deals!$A$2:$A$843,0),"")</f>
        <v/>
      </c>
      <c r="G3504">
        <f>IF(F3504="",0,1)</f>
        <v/>
      </c>
      <c r="H3504" s="29">
        <f>IF(F3504="","",INDEX(Deals!$E$2:$E$843,F3504))</f>
        <v/>
      </c>
      <c r="I3504">
        <f>IF(F3504="","",INDEX(Deals!$D$2:$D$843,F3504))</f>
        <v/>
      </c>
      <c r="J3504">
        <f>IF(F3504="","",INT(H3504)-B3504)</f>
        <v/>
      </c>
      <c r="K3504">
        <f>IF(B3504&gt;=Settings!$C$5,1,0)</f>
        <v/>
      </c>
    </row>
    <row r="3505">
      <c r="A3505" t="inlineStr">
        <is>
          <t>6ce8e09d88ff747283ee161a90cb1cd4</t>
        </is>
      </c>
      <c r="B3505" s="29" t="n">
        <v>43129</v>
      </c>
      <c r="C3505" t="inlineStr">
        <is>
          <t>2018-01</t>
        </is>
      </c>
      <c r="D3505" t="inlineStr">
        <is>
          <t>b76ef37428e6799c421989521c0e5077</t>
        </is>
      </c>
      <c r="E3505" t="inlineStr">
        <is>
          <t>organic_search</t>
        </is>
      </c>
      <c r="F3505">
        <f>IFERROR(MATCH(A3505,Deals!$A$2:$A$843,0),"")</f>
        <v/>
      </c>
      <c r="G3505">
        <f>IF(F3505="",0,1)</f>
        <v/>
      </c>
      <c r="H3505" s="29">
        <f>IF(F3505="","",INDEX(Deals!$E$2:$E$843,F3505))</f>
        <v/>
      </c>
      <c r="I3505">
        <f>IF(F3505="","",INDEX(Deals!$D$2:$D$843,F3505))</f>
        <v/>
      </c>
      <c r="J3505">
        <f>IF(F3505="","",INT(H3505)-B3505)</f>
        <v/>
      </c>
      <c r="K3505">
        <f>IF(B3505&gt;=Settings!$C$5,1,0)</f>
        <v/>
      </c>
    </row>
    <row r="3506">
      <c r="A3506" t="inlineStr">
        <is>
          <t>bbaaae0146898b243174304a3928ee93</t>
        </is>
      </c>
      <c r="B3506" s="29" t="n">
        <v>43193</v>
      </c>
      <c r="C3506" t="inlineStr">
        <is>
          <t>2018-04</t>
        </is>
      </c>
      <c r="D3506" t="inlineStr">
        <is>
          <t>241f79c7a8fe0270f4fb79fcbbcd17ad</t>
        </is>
      </c>
      <c r="E3506" t="inlineStr">
        <is>
          <t>paid_search</t>
        </is>
      </c>
      <c r="F3506">
        <f>IFERROR(MATCH(A3506,Deals!$A$2:$A$843,0),"")</f>
        <v/>
      </c>
      <c r="G3506">
        <f>IF(F3506="",0,1)</f>
        <v/>
      </c>
      <c r="H3506" s="29">
        <f>IF(F3506="","",INDEX(Deals!$E$2:$E$843,F3506))</f>
        <v/>
      </c>
      <c r="I3506">
        <f>IF(F3506="","",INDEX(Deals!$D$2:$D$843,F3506))</f>
        <v/>
      </c>
      <c r="J3506">
        <f>IF(F3506="","",INT(H3506)-B3506)</f>
        <v/>
      </c>
      <c r="K3506">
        <f>IF(B3506&gt;=Settings!$C$5,1,0)</f>
        <v/>
      </c>
    </row>
    <row r="3507">
      <c r="A3507" t="inlineStr">
        <is>
          <t>a07574c09d0fbeffb49bdc14fed25be3</t>
        </is>
      </c>
      <c r="B3507" s="29" t="n">
        <v>43031</v>
      </c>
      <c r="C3507" t="inlineStr">
        <is>
          <t>2017-10</t>
        </is>
      </c>
      <c r="D3507" t="inlineStr">
        <is>
          <t>82ce7345d29d3003d376f9382fc0eba0</t>
        </is>
      </c>
      <c r="E3507" t="inlineStr">
        <is>
          <t>unknown</t>
        </is>
      </c>
      <c r="F3507">
        <f>IFERROR(MATCH(A3507,Deals!$A$2:$A$843,0),"")</f>
        <v/>
      </c>
      <c r="G3507">
        <f>IF(F3507="",0,1)</f>
        <v/>
      </c>
      <c r="H3507" s="29">
        <f>IF(F3507="","",INDEX(Deals!$E$2:$E$843,F3507))</f>
        <v/>
      </c>
      <c r="I3507">
        <f>IF(F3507="","",INDEX(Deals!$D$2:$D$843,F3507))</f>
        <v/>
      </c>
      <c r="J3507">
        <f>IF(F3507="","",INT(H3507)-B3507)</f>
        <v/>
      </c>
      <c r="K3507">
        <f>IF(B3507&gt;=Settings!$C$5,1,0)</f>
        <v/>
      </c>
    </row>
    <row r="3508">
      <c r="A3508" t="inlineStr">
        <is>
          <t>da5ac2a4989f1ac70e4dec5ae331f9ca</t>
        </is>
      </c>
      <c r="B3508" s="29" t="n">
        <v>43005</v>
      </c>
      <c r="C3508" t="inlineStr">
        <is>
          <t>2017-09</t>
        </is>
      </c>
      <c r="D3508" t="inlineStr">
        <is>
          <t>b6885f18d203a61176418c1fb3764815</t>
        </is>
      </c>
      <c r="E3508" t="inlineStr">
        <is>
          <t>paid_search</t>
        </is>
      </c>
      <c r="F3508">
        <f>IFERROR(MATCH(A3508,Deals!$A$2:$A$843,0),"")</f>
        <v/>
      </c>
      <c r="G3508">
        <f>IF(F3508="",0,1)</f>
        <v/>
      </c>
      <c r="H3508" s="29">
        <f>IF(F3508="","",INDEX(Deals!$E$2:$E$843,F3508))</f>
        <v/>
      </c>
      <c r="I3508">
        <f>IF(F3508="","",INDEX(Deals!$D$2:$D$843,F3508))</f>
        <v/>
      </c>
      <c r="J3508">
        <f>IF(F3508="","",INT(H3508)-B3508)</f>
        <v/>
      </c>
      <c r="K3508">
        <f>IF(B3508&gt;=Settings!$C$5,1,0)</f>
        <v/>
      </c>
    </row>
    <row r="3509">
      <c r="A3509" t="inlineStr">
        <is>
          <t>f07e9dc469e23c36b43f29299c84a3a9</t>
        </is>
      </c>
      <c r="B3509" s="29" t="n">
        <v>43202</v>
      </c>
      <c r="C3509" t="inlineStr">
        <is>
          <t>2018-04</t>
        </is>
      </c>
      <c r="D3509" t="inlineStr">
        <is>
          <t>58326e62183c14b0c03085c33b9fdc44</t>
        </is>
      </c>
      <c r="E3509" t="inlineStr">
        <is>
          <t>social</t>
        </is>
      </c>
      <c r="F3509">
        <f>IFERROR(MATCH(A3509,Deals!$A$2:$A$843,0),"")</f>
        <v/>
      </c>
      <c r="G3509">
        <f>IF(F3509="",0,1)</f>
        <v/>
      </c>
      <c r="H3509" s="29">
        <f>IF(F3509="","",INDEX(Deals!$E$2:$E$843,F3509))</f>
        <v/>
      </c>
      <c r="I3509">
        <f>IF(F3509="","",INDEX(Deals!$D$2:$D$843,F3509))</f>
        <v/>
      </c>
      <c r="J3509">
        <f>IF(F3509="","",INT(H3509)-B3509)</f>
        <v/>
      </c>
      <c r="K3509">
        <f>IF(B3509&gt;=Settings!$C$5,1,0)</f>
        <v/>
      </c>
    </row>
    <row r="3510">
      <c r="A3510" t="inlineStr">
        <is>
          <t>8f72f7d9931feb4ecedbb2c0722575eb</t>
        </is>
      </c>
      <c r="B3510" s="29" t="n">
        <v>43039</v>
      </c>
      <c r="C3510" t="inlineStr">
        <is>
          <t>2017-10</t>
        </is>
      </c>
      <c r="D3510" t="inlineStr">
        <is>
          <t>57d5edb1844a746128fd1274524b94c7</t>
        </is>
      </c>
      <c r="E3510" t="inlineStr">
        <is>
          <t>paid_search</t>
        </is>
      </c>
      <c r="F3510">
        <f>IFERROR(MATCH(A3510,Deals!$A$2:$A$843,0),"")</f>
        <v/>
      </c>
      <c r="G3510">
        <f>IF(F3510="",0,1)</f>
        <v/>
      </c>
      <c r="H3510" s="29">
        <f>IF(F3510="","",INDEX(Deals!$E$2:$E$843,F3510))</f>
        <v/>
      </c>
      <c r="I3510">
        <f>IF(F3510="","",INDEX(Deals!$D$2:$D$843,F3510))</f>
        <v/>
      </c>
      <c r="J3510">
        <f>IF(F3510="","",INT(H3510)-B3510)</f>
        <v/>
      </c>
      <c r="K3510">
        <f>IF(B3510&gt;=Settings!$C$5,1,0)</f>
        <v/>
      </c>
    </row>
    <row r="3511">
      <c r="A3511" t="inlineStr">
        <is>
          <t>833dc3b765e96b8141cad34f51dfef35</t>
        </is>
      </c>
      <c r="B3511" s="29" t="n">
        <v>43159</v>
      </c>
      <c r="C3511" t="inlineStr">
        <is>
          <t>2018-02</t>
        </is>
      </c>
      <c r="D3511" t="inlineStr">
        <is>
          <t>22c29808c4f815213303f8933030604c</t>
        </is>
      </c>
      <c r="E3511" t="inlineStr">
        <is>
          <t>organic_search</t>
        </is>
      </c>
      <c r="F3511">
        <f>IFERROR(MATCH(A3511,Deals!$A$2:$A$843,0),"")</f>
        <v/>
      </c>
      <c r="G3511">
        <f>IF(F3511="",0,1)</f>
        <v/>
      </c>
      <c r="H3511" s="29">
        <f>IF(F3511="","",INDEX(Deals!$E$2:$E$843,F3511))</f>
        <v/>
      </c>
      <c r="I3511">
        <f>IF(F3511="","",INDEX(Deals!$D$2:$D$843,F3511))</f>
        <v/>
      </c>
      <c r="J3511">
        <f>IF(F3511="","",INT(H3511)-B3511)</f>
        <v/>
      </c>
      <c r="K3511">
        <f>IF(B3511&gt;=Settings!$C$5,1,0)</f>
        <v/>
      </c>
    </row>
    <row r="3512">
      <c r="A3512" t="inlineStr">
        <is>
          <t>7cfe973cfd3353ecacc3ec1e53a1c5ea</t>
        </is>
      </c>
      <c r="B3512" s="29" t="n">
        <v>43172</v>
      </c>
      <c r="C3512" t="inlineStr">
        <is>
          <t>2018-03</t>
        </is>
      </c>
      <c r="D3512" t="inlineStr">
        <is>
          <t>b76ef37428e6799c421989521c0e5077</t>
        </is>
      </c>
      <c r="E3512" t="inlineStr">
        <is>
          <t>unknown</t>
        </is>
      </c>
      <c r="F3512">
        <f>IFERROR(MATCH(A3512,Deals!$A$2:$A$843,0),"")</f>
        <v/>
      </c>
      <c r="G3512">
        <f>IF(F3512="",0,1)</f>
        <v/>
      </c>
      <c r="H3512" s="29">
        <f>IF(F3512="","",INDEX(Deals!$E$2:$E$843,F3512))</f>
        <v/>
      </c>
      <c r="I3512">
        <f>IF(F3512="","",INDEX(Deals!$D$2:$D$843,F3512))</f>
        <v/>
      </c>
      <c r="J3512">
        <f>IF(F3512="","",INT(H3512)-B3512)</f>
        <v/>
      </c>
      <c r="K3512">
        <f>IF(B3512&gt;=Settings!$C$5,1,0)</f>
        <v/>
      </c>
    </row>
    <row r="3513">
      <c r="A3513" t="inlineStr">
        <is>
          <t>37e3398f030e206491f4a61b69d39faa</t>
        </is>
      </c>
      <c r="B3513" s="29" t="n">
        <v>43053</v>
      </c>
      <c r="C3513" t="inlineStr">
        <is>
          <t>2017-11</t>
        </is>
      </c>
      <c r="D3513" t="inlineStr">
        <is>
          <t>a7982125ff7aa3b2054c6e44f9d28522</t>
        </is>
      </c>
      <c r="E3513" t="inlineStr">
        <is>
          <t>organic_search</t>
        </is>
      </c>
      <c r="F3513">
        <f>IFERROR(MATCH(A3513,Deals!$A$2:$A$843,0),"")</f>
        <v/>
      </c>
      <c r="G3513">
        <f>IF(F3513="",0,1)</f>
        <v/>
      </c>
      <c r="H3513" s="29">
        <f>IF(F3513="","",INDEX(Deals!$E$2:$E$843,F3513))</f>
        <v/>
      </c>
      <c r="I3513">
        <f>IF(F3513="","",INDEX(Deals!$D$2:$D$843,F3513))</f>
        <v/>
      </c>
      <c r="J3513">
        <f>IF(F3513="","",INT(H3513)-B3513)</f>
        <v/>
      </c>
      <c r="K3513">
        <f>IF(B3513&gt;=Settings!$C$5,1,0)</f>
        <v/>
      </c>
    </row>
    <row r="3514">
      <c r="A3514" t="inlineStr">
        <is>
          <t>9a81e45c27473af4628ddce5c7e1d576</t>
        </is>
      </c>
      <c r="B3514" s="29" t="n">
        <v>43125</v>
      </c>
      <c r="C3514" t="inlineStr">
        <is>
          <t>2018-01</t>
        </is>
      </c>
      <c r="D3514" t="inlineStr">
        <is>
          <t>f017be4dbf86243af5c1ebed0cff36a2</t>
        </is>
      </c>
      <c r="E3514" t="inlineStr">
        <is>
          <t>organic_search</t>
        </is>
      </c>
      <c r="F3514">
        <f>IFERROR(MATCH(A3514,Deals!$A$2:$A$843,0),"")</f>
        <v/>
      </c>
      <c r="G3514">
        <f>IF(F3514="",0,1)</f>
        <v/>
      </c>
      <c r="H3514" s="29">
        <f>IF(F3514="","",INDEX(Deals!$E$2:$E$843,F3514))</f>
        <v/>
      </c>
      <c r="I3514">
        <f>IF(F3514="","",INDEX(Deals!$D$2:$D$843,F3514))</f>
        <v/>
      </c>
      <c r="J3514">
        <f>IF(F3514="","",INT(H3514)-B3514)</f>
        <v/>
      </c>
      <c r="K3514">
        <f>IF(B3514&gt;=Settings!$C$5,1,0)</f>
        <v/>
      </c>
    </row>
    <row r="3515">
      <c r="A3515" t="inlineStr">
        <is>
          <t>afacea90291a3389e605de5de080ed12</t>
        </is>
      </c>
      <c r="B3515" s="29" t="n">
        <v>43229</v>
      </c>
      <c r="C3515" t="inlineStr">
        <is>
          <t>2018-05</t>
        </is>
      </c>
      <c r="D3515" t="inlineStr">
        <is>
          <t>5dc848e7dd9418dffe183215b8ff0bc1</t>
        </is>
      </c>
      <c r="E3515" t="inlineStr">
        <is>
          <t>paid_search</t>
        </is>
      </c>
      <c r="F3515">
        <f>IFERROR(MATCH(A3515,Deals!$A$2:$A$843,0),"")</f>
        <v/>
      </c>
      <c r="G3515">
        <f>IF(F3515="",0,1)</f>
        <v/>
      </c>
      <c r="H3515" s="29">
        <f>IF(F3515="","",INDEX(Deals!$E$2:$E$843,F3515))</f>
        <v/>
      </c>
      <c r="I3515">
        <f>IF(F3515="","",INDEX(Deals!$D$2:$D$843,F3515))</f>
        <v/>
      </c>
      <c r="J3515">
        <f>IF(F3515="","",INT(H3515)-B3515)</f>
        <v/>
      </c>
      <c r="K3515">
        <f>IF(B3515&gt;=Settings!$C$5,1,0)</f>
        <v/>
      </c>
    </row>
    <row r="3516">
      <c r="A3516" t="inlineStr">
        <is>
          <t>a7e8c3f6e5ea8d4fd52278b05d7747b3</t>
        </is>
      </c>
      <c r="B3516" s="29" t="n">
        <v>43160</v>
      </c>
      <c r="C3516" t="inlineStr">
        <is>
          <t>2018-03</t>
        </is>
      </c>
      <c r="D3516" t="inlineStr">
        <is>
          <t>e492ee5eaf1697716985cc6f33f9cd9b</t>
        </is>
      </c>
      <c r="E3516" t="inlineStr">
        <is>
          <t>unknown</t>
        </is>
      </c>
      <c r="F3516">
        <f>IFERROR(MATCH(A3516,Deals!$A$2:$A$843,0),"")</f>
        <v/>
      </c>
      <c r="G3516">
        <f>IF(F3516="",0,1)</f>
        <v/>
      </c>
      <c r="H3516" s="29">
        <f>IF(F3516="","",INDEX(Deals!$E$2:$E$843,F3516))</f>
        <v/>
      </c>
      <c r="I3516">
        <f>IF(F3516="","",INDEX(Deals!$D$2:$D$843,F3516))</f>
        <v/>
      </c>
      <c r="J3516">
        <f>IF(F3516="","",INT(H3516)-B3516)</f>
        <v/>
      </c>
      <c r="K3516">
        <f>IF(B3516&gt;=Settings!$C$5,1,0)</f>
        <v/>
      </c>
    </row>
    <row r="3517">
      <c r="A3517" t="inlineStr">
        <is>
          <t>abaae1c5a4f3eb2248bfc782c08ac6b0</t>
        </is>
      </c>
      <c r="B3517" s="29" t="n">
        <v>43171</v>
      </c>
      <c r="C3517" t="inlineStr">
        <is>
          <t>2018-03</t>
        </is>
      </c>
      <c r="D3517" t="inlineStr">
        <is>
          <t>e8461ef52596925c898d68d1c7217c4c</t>
        </is>
      </c>
      <c r="E3517" t="inlineStr">
        <is>
          <t>organic_search</t>
        </is>
      </c>
      <c r="F3517">
        <f>IFERROR(MATCH(A3517,Deals!$A$2:$A$843,0),"")</f>
        <v/>
      </c>
      <c r="G3517">
        <f>IF(F3517="",0,1)</f>
        <v/>
      </c>
      <c r="H3517" s="29">
        <f>IF(F3517="","",INDEX(Deals!$E$2:$E$843,F3517))</f>
        <v/>
      </c>
      <c r="I3517">
        <f>IF(F3517="","",INDEX(Deals!$D$2:$D$843,F3517))</f>
        <v/>
      </c>
      <c r="J3517">
        <f>IF(F3517="","",INT(H3517)-B3517)</f>
        <v/>
      </c>
      <c r="K3517">
        <f>IF(B3517&gt;=Settings!$C$5,1,0)</f>
        <v/>
      </c>
    </row>
    <row r="3518">
      <c r="A3518" t="inlineStr">
        <is>
          <t>935e35865cbae77d52ea3dfd33edb576</t>
        </is>
      </c>
      <c r="B3518" s="29" t="n">
        <v>43108</v>
      </c>
      <c r="C3518" t="inlineStr">
        <is>
          <t>2018-01</t>
        </is>
      </c>
      <c r="D3518" t="inlineStr">
        <is>
          <t>aafc43d934a043b451b1dc5a61943a6b</t>
        </is>
      </c>
      <c r="E3518" t="inlineStr">
        <is>
          <t>paid_search</t>
        </is>
      </c>
      <c r="F3518">
        <f>IFERROR(MATCH(A3518,Deals!$A$2:$A$843,0),"")</f>
        <v/>
      </c>
      <c r="G3518">
        <f>IF(F3518="",0,1)</f>
        <v/>
      </c>
      <c r="H3518" s="29">
        <f>IF(F3518="","",INDEX(Deals!$E$2:$E$843,F3518))</f>
        <v/>
      </c>
      <c r="I3518">
        <f>IF(F3518="","",INDEX(Deals!$D$2:$D$843,F3518))</f>
        <v/>
      </c>
      <c r="J3518">
        <f>IF(F3518="","",INT(H3518)-B3518)</f>
        <v/>
      </c>
      <c r="K3518">
        <f>IF(B3518&gt;=Settings!$C$5,1,0)</f>
        <v/>
      </c>
    </row>
    <row r="3519">
      <c r="A3519" t="inlineStr">
        <is>
          <t>df97b6dc27449b13dd32c11daa478177</t>
        </is>
      </c>
      <c r="B3519" s="29" t="n">
        <v>43189</v>
      </c>
      <c r="C3519" t="inlineStr">
        <is>
          <t>2018-03</t>
        </is>
      </c>
      <c r="D3519" t="inlineStr">
        <is>
          <t>ce1a65abd0973638f1c887a6efcfa82d</t>
        </is>
      </c>
      <c r="E3519" t="inlineStr">
        <is>
          <t>direct_traffic</t>
        </is>
      </c>
      <c r="F3519">
        <f>IFERROR(MATCH(A3519,Deals!$A$2:$A$843,0),"")</f>
        <v/>
      </c>
      <c r="G3519">
        <f>IF(F3519="",0,1)</f>
        <v/>
      </c>
      <c r="H3519" s="29">
        <f>IF(F3519="","",INDEX(Deals!$E$2:$E$843,F3519))</f>
        <v/>
      </c>
      <c r="I3519">
        <f>IF(F3519="","",INDEX(Deals!$D$2:$D$843,F3519))</f>
        <v/>
      </c>
      <c r="J3519">
        <f>IF(F3519="","",INT(H3519)-B3519)</f>
        <v/>
      </c>
      <c r="K3519">
        <f>IF(B3519&gt;=Settings!$C$5,1,0)</f>
        <v/>
      </c>
    </row>
    <row r="3520">
      <c r="A3520" t="inlineStr">
        <is>
          <t>a6a95a9dc083cc3218868b33c9b7084c</t>
        </is>
      </c>
      <c r="B3520" s="29" t="n">
        <v>42941</v>
      </c>
      <c r="C3520" t="inlineStr">
        <is>
          <t>2017-07</t>
        </is>
      </c>
      <c r="D3520" t="inlineStr">
        <is>
          <t>e964a0b7ce20d152c6ecc57c706d6291</t>
        </is>
      </c>
      <c r="E3520" t="inlineStr">
        <is>
          <t>paid_search</t>
        </is>
      </c>
      <c r="F3520">
        <f>IFERROR(MATCH(A3520,Deals!$A$2:$A$843,0),"")</f>
        <v/>
      </c>
      <c r="G3520">
        <f>IF(F3520="",0,1)</f>
        <v/>
      </c>
      <c r="H3520" s="29">
        <f>IF(F3520="","",INDEX(Deals!$E$2:$E$843,F3520))</f>
        <v/>
      </c>
      <c r="I3520">
        <f>IF(F3520="","",INDEX(Deals!$D$2:$D$843,F3520))</f>
        <v/>
      </c>
      <c r="J3520">
        <f>IF(F3520="","",INT(H3520)-B3520)</f>
        <v/>
      </c>
      <c r="K3520">
        <f>IF(B3520&gt;=Settings!$C$5,1,0)</f>
        <v/>
      </c>
    </row>
    <row r="3521">
      <c r="A3521" t="inlineStr">
        <is>
          <t>bb0848134966fc5db45aa411b8933a5d</t>
        </is>
      </c>
      <c r="B3521" s="29" t="n">
        <v>43045</v>
      </c>
      <c r="C3521" t="inlineStr">
        <is>
          <t>2017-11</t>
        </is>
      </c>
      <c r="D3521" t="inlineStr">
        <is>
          <t>241f79c7a8fe0270f4fb79fcbbcd17ad</t>
        </is>
      </c>
      <c r="E3521" t="inlineStr">
        <is>
          <t>organic_search</t>
        </is>
      </c>
      <c r="F3521">
        <f>IFERROR(MATCH(A3521,Deals!$A$2:$A$843,0),"")</f>
        <v/>
      </c>
      <c r="G3521">
        <f>IF(F3521="",0,1)</f>
        <v/>
      </c>
      <c r="H3521" s="29">
        <f>IF(F3521="","",INDEX(Deals!$E$2:$E$843,F3521))</f>
        <v/>
      </c>
      <c r="I3521">
        <f>IF(F3521="","",INDEX(Deals!$D$2:$D$843,F3521))</f>
        <v/>
      </c>
      <c r="J3521">
        <f>IF(F3521="","",INT(H3521)-B3521)</f>
        <v/>
      </c>
      <c r="K3521">
        <f>IF(B3521&gt;=Settings!$C$5,1,0)</f>
        <v/>
      </c>
    </row>
    <row r="3522">
      <c r="A3522" t="inlineStr">
        <is>
          <t>8eecb5252905f8dcf307a09d6fb6745f</t>
        </is>
      </c>
      <c r="B3522" s="29" t="n">
        <v>43060</v>
      </c>
      <c r="C3522" t="inlineStr">
        <is>
          <t>2017-11</t>
        </is>
      </c>
      <c r="D3522" t="inlineStr">
        <is>
          <t>f017be4dbf86243af5c1ebed0cff36a2</t>
        </is>
      </c>
      <c r="E3522" t="inlineStr">
        <is>
          <t>organic_search</t>
        </is>
      </c>
      <c r="F3522">
        <f>IFERROR(MATCH(A3522,Deals!$A$2:$A$843,0),"")</f>
        <v/>
      </c>
      <c r="G3522">
        <f>IF(F3522="",0,1)</f>
        <v/>
      </c>
      <c r="H3522" s="29">
        <f>IF(F3522="","",INDEX(Deals!$E$2:$E$843,F3522))</f>
        <v/>
      </c>
      <c r="I3522">
        <f>IF(F3522="","",INDEX(Deals!$D$2:$D$843,F3522))</f>
        <v/>
      </c>
      <c r="J3522">
        <f>IF(F3522="","",INT(H3522)-B3522)</f>
        <v/>
      </c>
      <c r="K3522">
        <f>IF(B3522&gt;=Settings!$C$5,1,0)</f>
        <v/>
      </c>
    </row>
    <row r="3523">
      <c r="A3523" t="inlineStr">
        <is>
          <t>b5d3329593899c7a29511c6110bdc575</t>
        </is>
      </c>
      <c r="B3523" s="29" t="n">
        <v>43143</v>
      </c>
      <c r="C3523" t="inlineStr">
        <is>
          <t>2018-02</t>
        </is>
      </c>
      <c r="D3523" t="inlineStr">
        <is>
          <t>a7982125ff7aa3b2054c6e44f9d28522</t>
        </is>
      </c>
      <c r="E3523" t="inlineStr">
        <is>
          <t>organic_search</t>
        </is>
      </c>
      <c r="F3523">
        <f>IFERROR(MATCH(A3523,Deals!$A$2:$A$843,0),"")</f>
        <v/>
      </c>
      <c r="G3523">
        <f>IF(F3523="",0,1)</f>
        <v/>
      </c>
      <c r="H3523" s="29">
        <f>IF(F3523="","",INDEX(Deals!$E$2:$E$843,F3523))</f>
        <v/>
      </c>
      <c r="I3523">
        <f>IF(F3523="","",INDEX(Deals!$D$2:$D$843,F3523))</f>
        <v/>
      </c>
      <c r="J3523">
        <f>IF(F3523="","",INT(H3523)-B3523)</f>
        <v/>
      </c>
      <c r="K3523">
        <f>IF(B3523&gt;=Settings!$C$5,1,0)</f>
        <v/>
      </c>
    </row>
    <row r="3524">
      <c r="A3524" t="inlineStr">
        <is>
          <t>d4366c47a957a1d968dc4fde9667a5be</t>
        </is>
      </c>
      <c r="B3524" s="29" t="n">
        <v>42953</v>
      </c>
      <c r="C3524" t="inlineStr">
        <is>
          <t>2017-08</t>
        </is>
      </c>
      <c r="D3524" t="inlineStr">
        <is>
          <t>b76ef37428e6799c421989521c0e5077</t>
        </is>
      </c>
      <c r="E3524" t="inlineStr">
        <is>
          <t>unknown</t>
        </is>
      </c>
      <c r="F3524">
        <f>IFERROR(MATCH(A3524,Deals!$A$2:$A$843,0),"")</f>
        <v/>
      </c>
      <c r="G3524">
        <f>IF(F3524="",0,1)</f>
        <v/>
      </c>
      <c r="H3524" s="29">
        <f>IF(F3524="","",INDEX(Deals!$E$2:$E$843,F3524))</f>
        <v/>
      </c>
      <c r="I3524">
        <f>IF(F3524="","",INDEX(Deals!$D$2:$D$843,F3524))</f>
        <v/>
      </c>
      <c r="J3524">
        <f>IF(F3524="","",INT(H3524)-B3524)</f>
        <v/>
      </c>
      <c r="K3524">
        <f>IF(B3524&gt;=Settings!$C$5,1,0)</f>
        <v/>
      </c>
    </row>
    <row r="3525">
      <c r="A3525" t="inlineStr">
        <is>
          <t>36a1c366bf2be376685c6ae023e666fd</t>
        </is>
      </c>
      <c r="B3525" s="29" t="n">
        <v>43224</v>
      </c>
      <c r="C3525" t="inlineStr">
        <is>
          <t>2018-05</t>
        </is>
      </c>
      <c r="D3525" t="inlineStr">
        <is>
          <t>b76ef37428e6799c421989521c0e5077</t>
        </is>
      </c>
      <c r="E3525" t="inlineStr">
        <is>
          <t>organic_search</t>
        </is>
      </c>
      <c r="F3525">
        <f>IFERROR(MATCH(A3525,Deals!$A$2:$A$843,0),"")</f>
        <v/>
      </c>
      <c r="G3525">
        <f>IF(F3525="",0,1)</f>
        <v/>
      </c>
      <c r="H3525" s="29">
        <f>IF(F3525="","",INDEX(Deals!$E$2:$E$843,F3525))</f>
        <v/>
      </c>
      <c r="I3525">
        <f>IF(F3525="","",INDEX(Deals!$D$2:$D$843,F3525))</f>
        <v/>
      </c>
      <c r="J3525">
        <f>IF(F3525="","",INT(H3525)-B3525)</f>
        <v/>
      </c>
      <c r="K3525">
        <f>IF(B3525&gt;=Settings!$C$5,1,0)</f>
        <v/>
      </c>
    </row>
    <row r="3526">
      <c r="A3526" t="inlineStr">
        <is>
          <t>0d87a1c0ff1500e3c4febc7582848dc2</t>
        </is>
      </c>
      <c r="B3526" s="29" t="n">
        <v>42975</v>
      </c>
      <c r="C3526" t="inlineStr">
        <is>
          <t>2017-08</t>
        </is>
      </c>
      <c r="D3526" t="inlineStr">
        <is>
          <t>87732658ba41d8775e8577df347a64db</t>
        </is>
      </c>
      <c r="E3526" t="inlineStr">
        <is>
          <t>social</t>
        </is>
      </c>
      <c r="F3526">
        <f>IFERROR(MATCH(A3526,Deals!$A$2:$A$843,0),"")</f>
        <v/>
      </c>
      <c r="G3526">
        <f>IF(F3526="",0,1)</f>
        <v/>
      </c>
      <c r="H3526" s="29">
        <f>IF(F3526="","",INDEX(Deals!$E$2:$E$843,F3526))</f>
        <v/>
      </c>
      <c r="I3526">
        <f>IF(F3526="","",INDEX(Deals!$D$2:$D$843,F3526))</f>
        <v/>
      </c>
      <c r="J3526">
        <f>IF(F3526="","",INT(H3526)-B3526)</f>
        <v/>
      </c>
      <c r="K3526">
        <f>IF(B3526&gt;=Settings!$C$5,1,0)</f>
        <v/>
      </c>
    </row>
    <row r="3527">
      <c r="A3527" t="inlineStr">
        <is>
          <t>67c68199f158340828fc50c3f66c99c5</t>
        </is>
      </c>
      <c r="B3527" s="29" t="n">
        <v>43094</v>
      </c>
      <c r="C3527" t="inlineStr">
        <is>
          <t>2017-12</t>
        </is>
      </c>
      <c r="D3527" t="inlineStr">
        <is>
          <t>88740e65d5d6b056e0cda098e1ea6313</t>
        </is>
      </c>
      <c r="E3527" t="inlineStr">
        <is>
          <t>social</t>
        </is>
      </c>
      <c r="F3527">
        <f>IFERROR(MATCH(A3527,Deals!$A$2:$A$843,0),"")</f>
        <v/>
      </c>
      <c r="G3527">
        <f>IF(F3527="",0,1)</f>
        <v/>
      </c>
      <c r="H3527" s="29">
        <f>IF(F3527="","",INDEX(Deals!$E$2:$E$843,F3527))</f>
        <v/>
      </c>
      <c r="I3527">
        <f>IF(F3527="","",INDEX(Deals!$D$2:$D$843,F3527))</f>
        <v/>
      </c>
      <c r="J3527">
        <f>IF(F3527="","",INT(H3527)-B3527)</f>
        <v/>
      </c>
      <c r="K3527">
        <f>IF(B3527&gt;=Settings!$C$5,1,0)</f>
        <v/>
      </c>
    </row>
    <row r="3528">
      <c r="A3528" t="inlineStr">
        <is>
          <t>fabab19a45ecad140cca42ad9b34235c</t>
        </is>
      </c>
      <c r="B3528" s="29" t="n">
        <v>43165</v>
      </c>
      <c r="C3528" t="inlineStr">
        <is>
          <t>2018-03</t>
        </is>
      </c>
      <c r="D3528" t="inlineStr">
        <is>
          <t>36120633c8737035fbabf079082f4ec1</t>
        </is>
      </c>
      <c r="E3528" t="inlineStr">
        <is>
          <t>direct_traffic</t>
        </is>
      </c>
      <c r="F3528">
        <f>IFERROR(MATCH(A3528,Deals!$A$2:$A$843,0),"")</f>
        <v/>
      </c>
      <c r="G3528">
        <f>IF(F3528="",0,1)</f>
        <v/>
      </c>
      <c r="H3528" s="29">
        <f>IF(F3528="","",INDEX(Deals!$E$2:$E$843,F3528))</f>
        <v/>
      </c>
      <c r="I3528">
        <f>IF(F3528="","",INDEX(Deals!$D$2:$D$843,F3528))</f>
        <v/>
      </c>
      <c r="J3528">
        <f>IF(F3528="","",INT(H3528)-B3528)</f>
        <v/>
      </c>
      <c r="K3528">
        <f>IF(B3528&gt;=Settings!$C$5,1,0)</f>
        <v/>
      </c>
    </row>
    <row r="3529">
      <c r="A3529" t="inlineStr">
        <is>
          <t>4fc9669f543abba50fd776facbcd7694</t>
        </is>
      </c>
      <c r="B3529" s="29" t="n">
        <v>43217</v>
      </c>
      <c r="C3529" t="inlineStr">
        <is>
          <t>2018-04</t>
        </is>
      </c>
      <c r="D3529" t="inlineStr">
        <is>
          <t>58326e62183c14b0c03085c33b9fdc44</t>
        </is>
      </c>
      <c r="E3529" t="inlineStr">
        <is>
          <t>social</t>
        </is>
      </c>
      <c r="F3529">
        <f>IFERROR(MATCH(A3529,Deals!$A$2:$A$843,0),"")</f>
        <v/>
      </c>
      <c r="G3529">
        <f>IF(F3529="",0,1)</f>
        <v/>
      </c>
      <c r="H3529" s="29">
        <f>IF(F3529="","",INDEX(Deals!$E$2:$E$843,F3529))</f>
        <v/>
      </c>
      <c r="I3529">
        <f>IF(F3529="","",INDEX(Deals!$D$2:$D$843,F3529))</f>
        <v/>
      </c>
      <c r="J3529">
        <f>IF(F3529="","",INT(H3529)-B3529)</f>
        <v/>
      </c>
      <c r="K3529">
        <f>IF(B3529&gt;=Settings!$C$5,1,0)</f>
        <v/>
      </c>
    </row>
    <row r="3530">
      <c r="A3530" t="inlineStr">
        <is>
          <t>95ee216e5a483732554f971b1708ad99</t>
        </is>
      </c>
      <c r="B3530" s="29" t="n">
        <v>43172</v>
      </c>
      <c r="C3530" t="inlineStr">
        <is>
          <t>2018-03</t>
        </is>
      </c>
      <c r="D3530" t="inlineStr">
        <is>
          <t>4aab772aeb9833c170d8ea5413e02eac</t>
        </is>
      </c>
      <c r="E3530" t="inlineStr">
        <is>
          <t>organic_search</t>
        </is>
      </c>
      <c r="F3530">
        <f>IFERROR(MATCH(A3530,Deals!$A$2:$A$843,0),"")</f>
        <v/>
      </c>
      <c r="G3530">
        <f>IF(F3530="",0,1)</f>
        <v/>
      </c>
      <c r="H3530" s="29">
        <f>IF(F3530="","",INDEX(Deals!$E$2:$E$843,F3530))</f>
        <v/>
      </c>
      <c r="I3530">
        <f>IF(F3530="","",INDEX(Deals!$D$2:$D$843,F3530))</f>
        <v/>
      </c>
      <c r="J3530">
        <f>IF(F3530="","",INT(H3530)-B3530)</f>
        <v/>
      </c>
      <c r="K3530">
        <f>IF(B3530&gt;=Settings!$C$5,1,0)</f>
        <v/>
      </c>
    </row>
    <row r="3531">
      <c r="A3531" t="inlineStr">
        <is>
          <t>60e7ded7364d816c851f08406d8fec74</t>
        </is>
      </c>
      <c r="B3531" s="29" t="n">
        <v>43122</v>
      </c>
      <c r="C3531" t="inlineStr">
        <is>
          <t>2018-01</t>
        </is>
      </c>
      <c r="D3531" t="inlineStr">
        <is>
          <t>bddebc4f4d44106c427bd00695840e64</t>
        </is>
      </c>
      <c r="E3531" t="inlineStr">
        <is>
          <t>email</t>
        </is>
      </c>
      <c r="F3531">
        <f>IFERROR(MATCH(A3531,Deals!$A$2:$A$843,0),"")</f>
        <v/>
      </c>
      <c r="G3531">
        <f>IF(F3531="",0,1)</f>
        <v/>
      </c>
      <c r="H3531" s="29">
        <f>IF(F3531="","",INDEX(Deals!$E$2:$E$843,F3531))</f>
        <v/>
      </c>
      <c r="I3531">
        <f>IF(F3531="","",INDEX(Deals!$D$2:$D$843,F3531))</f>
        <v/>
      </c>
      <c r="J3531">
        <f>IF(F3531="","",INT(H3531)-B3531)</f>
        <v/>
      </c>
      <c r="K3531">
        <f>IF(B3531&gt;=Settings!$C$5,1,0)</f>
        <v/>
      </c>
    </row>
    <row r="3532">
      <c r="A3532" t="inlineStr">
        <is>
          <t>7bfe168f64fb31f08811347a43204d8e</t>
        </is>
      </c>
      <c r="B3532" s="29" t="n">
        <v>43222</v>
      </c>
      <c r="C3532" t="inlineStr">
        <is>
          <t>2018-05</t>
        </is>
      </c>
      <c r="D3532" t="inlineStr">
        <is>
          <t>447cabeecc99dc245cb42be7122cba9e</t>
        </is>
      </c>
      <c r="E3532" t="inlineStr">
        <is>
          <t>paid_search</t>
        </is>
      </c>
      <c r="F3532">
        <f>IFERROR(MATCH(A3532,Deals!$A$2:$A$843,0),"")</f>
        <v/>
      </c>
      <c r="G3532">
        <f>IF(F3532="",0,1)</f>
        <v/>
      </c>
      <c r="H3532" s="29">
        <f>IF(F3532="","",INDEX(Deals!$E$2:$E$843,F3532))</f>
        <v/>
      </c>
      <c r="I3532">
        <f>IF(F3532="","",INDEX(Deals!$D$2:$D$843,F3532))</f>
        <v/>
      </c>
      <c r="J3532">
        <f>IF(F3532="","",INT(H3532)-B3532)</f>
        <v/>
      </c>
      <c r="K3532">
        <f>IF(B3532&gt;=Settings!$C$5,1,0)</f>
        <v/>
      </c>
    </row>
    <row r="3533">
      <c r="A3533" t="inlineStr">
        <is>
          <t>e948e43ad493d13687c77b8d5d056647</t>
        </is>
      </c>
      <c r="B3533" s="29" t="n">
        <v>43125</v>
      </c>
      <c r="C3533" t="inlineStr">
        <is>
          <t>2018-01</t>
        </is>
      </c>
      <c r="D3533" t="inlineStr">
        <is>
          <t>73f31a40697cc90a86c1273563ac230e</t>
        </is>
      </c>
      <c r="E3533" t="inlineStr">
        <is>
          <t>organic_search</t>
        </is>
      </c>
      <c r="F3533">
        <f>IFERROR(MATCH(A3533,Deals!$A$2:$A$843,0),"")</f>
        <v/>
      </c>
      <c r="G3533">
        <f>IF(F3533="",0,1)</f>
        <v/>
      </c>
      <c r="H3533" s="29">
        <f>IF(F3533="","",INDEX(Deals!$E$2:$E$843,F3533))</f>
        <v/>
      </c>
      <c r="I3533">
        <f>IF(F3533="","",INDEX(Deals!$D$2:$D$843,F3533))</f>
        <v/>
      </c>
      <c r="J3533">
        <f>IF(F3533="","",INT(H3533)-B3533)</f>
        <v/>
      </c>
      <c r="K3533">
        <f>IF(B3533&gt;=Settings!$C$5,1,0)</f>
        <v/>
      </c>
    </row>
    <row r="3534">
      <c r="A3534" t="inlineStr">
        <is>
          <t>4c26b0f501f781b43f0f9241d77b513d</t>
        </is>
      </c>
      <c r="B3534" s="29" t="n">
        <v>42977</v>
      </c>
      <c r="C3534" t="inlineStr">
        <is>
          <t>2017-08</t>
        </is>
      </c>
      <c r="D3534" t="inlineStr">
        <is>
          <t>3c5cc1a2e1d86abfce2a16a1bcc80e26</t>
        </is>
      </c>
      <c r="E3534" t="inlineStr">
        <is>
          <t>display</t>
        </is>
      </c>
      <c r="F3534">
        <f>IFERROR(MATCH(A3534,Deals!$A$2:$A$843,0),"")</f>
        <v/>
      </c>
      <c r="G3534">
        <f>IF(F3534="",0,1)</f>
        <v/>
      </c>
      <c r="H3534" s="29">
        <f>IF(F3534="","",INDEX(Deals!$E$2:$E$843,F3534))</f>
        <v/>
      </c>
      <c r="I3534">
        <f>IF(F3534="","",INDEX(Deals!$D$2:$D$843,F3534))</f>
        <v/>
      </c>
      <c r="J3534">
        <f>IF(F3534="","",INT(H3534)-B3534)</f>
        <v/>
      </c>
      <c r="K3534">
        <f>IF(B3534&gt;=Settings!$C$5,1,0)</f>
        <v/>
      </c>
    </row>
    <row r="3535">
      <c r="A3535" t="inlineStr">
        <is>
          <t>a23d5628a8085f89e0ac73cc6a4e44cd</t>
        </is>
      </c>
      <c r="B3535" s="29" t="n">
        <v>43217</v>
      </c>
      <c r="C3535" t="inlineStr">
        <is>
          <t>2018-04</t>
        </is>
      </c>
      <c r="D3535" t="inlineStr">
        <is>
          <t>966098efaef7a4d665be6b0cb617541b</t>
        </is>
      </c>
      <c r="E3535" t="inlineStr">
        <is>
          <t>organic_search</t>
        </is>
      </c>
      <c r="F3535">
        <f>IFERROR(MATCH(A3535,Deals!$A$2:$A$843,0),"")</f>
        <v/>
      </c>
      <c r="G3535">
        <f>IF(F3535="",0,1)</f>
        <v/>
      </c>
      <c r="H3535" s="29">
        <f>IF(F3535="","",INDEX(Deals!$E$2:$E$843,F3535))</f>
        <v/>
      </c>
      <c r="I3535">
        <f>IF(F3535="","",INDEX(Deals!$D$2:$D$843,F3535))</f>
        <v/>
      </c>
      <c r="J3535">
        <f>IF(F3535="","",INT(H3535)-B3535)</f>
        <v/>
      </c>
      <c r="K3535">
        <f>IF(B3535&gt;=Settings!$C$5,1,0)</f>
        <v/>
      </c>
    </row>
    <row r="3536">
      <c r="A3536" t="inlineStr">
        <is>
          <t>56e421575126bfe4c0592353bab5cfe6</t>
        </is>
      </c>
      <c r="B3536" s="29" t="n">
        <v>43251</v>
      </c>
      <c r="C3536" t="inlineStr">
        <is>
          <t>2018-05</t>
        </is>
      </c>
      <c r="D3536" t="inlineStr">
        <is>
          <t>35c9b150ab36fe584c1f24fd458c453a</t>
        </is>
      </c>
      <c r="E3536" t="inlineStr">
        <is>
          <t>paid_search</t>
        </is>
      </c>
      <c r="F3536">
        <f>IFERROR(MATCH(A3536,Deals!$A$2:$A$843,0),"")</f>
        <v/>
      </c>
      <c r="G3536">
        <f>IF(F3536="",0,1)</f>
        <v/>
      </c>
      <c r="H3536" s="29">
        <f>IF(F3536="","",INDEX(Deals!$E$2:$E$843,F3536))</f>
        <v/>
      </c>
      <c r="I3536">
        <f>IF(F3536="","",INDEX(Deals!$D$2:$D$843,F3536))</f>
        <v/>
      </c>
      <c r="J3536">
        <f>IF(F3536="","",INT(H3536)-B3536)</f>
        <v/>
      </c>
      <c r="K3536">
        <f>IF(B3536&gt;=Settings!$C$5,1,0)</f>
        <v/>
      </c>
    </row>
    <row r="3537">
      <c r="A3537" t="inlineStr">
        <is>
          <t>f3891b7bf6e1b37b8e1ba5deca9e88d4</t>
        </is>
      </c>
      <c r="B3537" s="29" t="n">
        <v>43179</v>
      </c>
      <c r="C3537" t="inlineStr">
        <is>
          <t>2018-03</t>
        </is>
      </c>
      <c r="D3537" t="inlineStr">
        <is>
          <t>da14b7e2eb0d1eecf65abbd05a31c87d</t>
        </is>
      </c>
      <c r="E3537" t="inlineStr">
        <is>
          <t>direct_traffic</t>
        </is>
      </c>
      <c r="F3537">
        <f>IFERROR(MATCH(A3537,Deals!$A$2:$A$843,0),"")</f>
        <v/>
      </c>
      <c r="G3537">
        <f>IF(F3537="",0,1)</f>
        <v/>
      </c>
      <c r="H3537" s="29">
        <f>IF(F3537="","",INDEX(Deals!$E$2:$E$843,F3537))</f>
        <v/>
      </c>
      <c r="I3537">
        <f>IF(F3537="","",INDEX(Deals!$D$2:$D$843,F3537))</f>
        <v/>
      </c>
      <c r="J3537">
        <f>IF(F3537="","",INT(H3537)-B3537)</f>
        <v/>
      </c>
      <c r="K3537">
        <f>IF(B3537&gt;=Settings!$C$5,1,0)</f>
        <v/>
      </c>
    </row>
    <row r="3538">
      <c r="A3538" t="inlineStr">
        <is>
          <t>553986b255bf8bb6b0bdc1e400dbf7e4</t>
        </is>
      </c>
      <c r="B3538" s="29" t="n">
        <v>43169</v>
      </c>
      <c r="C3538" t="inlineStr">
        <is>
          <t>2018-03</t>
        </is>
      </c>
      <c r="D3538" t="inlineStr">
        <is>
          <t>22c29808c4f815213303f8933030604c</t>
        </is>
      </c>
      <c r="E3538" t="inlineStr">
        <is>
          <t>organic_search</t>
        </is>
      </c>
      <c r="F3538">
        <f>IFERROR(MATCH(A3538,Deals!$A$2:$A$843,0),"")</f>
        <v/>
      </c>
      <c r="G3538">
        <f>IF(F3538="",0,1)</f>
        <v/>
      </c>
      <c r="H3538" s="29">
        <f>IF(F3538="","",INDEX(Deals!$E$2:$E$843,F3538))</f>
        <v/>
      </c>
      <c r="I3538">
        <f>IF(F3538="","",INDEX(Deals!$D$2:$D$843,F3538))</f>
        <v/>
      </c>
      <c r="J3538">
        <f>IF(F3538="","",INT(H3538)-B3538)</f>
        <v/>
      </c>
      <c r="K3538">
        <f>IF(B3538&gt;=Settings!$C$5,1,0)</f>
        <v/>
      </c>
    </row>
    <row r="3539">
      <c r="A3539" t="inlineStr">
        <is>
          <t>d55e7f514f0a6a39a5246624e0b71c33</t>
        </is>
      </c>
      <c r="B3539" s="29" t="n">
        <v>43213</v>
      </c>
      <c r="C3539" t="inlineStr">
        <is>
          <t>2018-04</t>
        </is>
      </c>
      <c r="D3539" t="inlineStr">
        <is>
          <t>58326e62183c14b0c03085c33b9fdc44</t>
        </is>
      </c>
      <c r="E3539" t="inlineStr">
        <is>
          <t>social</t>
        </is>
      </c>
      <c r="F3539">
        <f>IFERROR(MATCH(A3539,Deals!$A$2:$A$843,0),"")</f>
        <v/>
      </c>
      <c r="G3539">
        <f>IF(F3539="",0,1)</f>
        <v/>
      </c>
      <c r="H3539" s="29">
        <f>IF(F3539="","",INDEX(Deals!$E$2:$E$843,F3539))</f>
        <v/>
      </c>
      <c r="I3539">
        <f>IF(F3539="","",INDEX(Deals!$D$2:$D$843,F3539))</f>
        <v/>
      </c>
      <c r="J3539">
        <f>IF(F3539="","",INT(H3539)-B3539)</f>
        <v/>
      </c>
      <c r="K3539">
        <f>IF(B3539&gt;=Settings!$C$5,1,0)</f>
        <v/>
      </c>
    </row>
    <row r="3540">
      <c r="A3540" t="inlineStr">
        <is>
          <t>d7cfb31208898765facda162b01bda92</t>
        </is>
      </c>
      <c r="B3540" s="29" t="n">
        <v>43172</v>
      </c>
      <c r="C3540" t="inlineStr">
        <is>
          <t>2018-03</t>
        </is>
      </c>
      <c r="D3540" t="inlineStr">
        <is>
          <t>e492ee5eaf1697716985cc6f33f9cd9b</t>
        </is>
      </c>
      <c r="E3540" t="inlineStr">
        <is>
          <t>organic_search</t>
        </is>
      </c>
      <c r="F3540">
        <f>IFERROR(MATCH(A3540,Deals!$A$2:$A$843,0),"")</f>
        <v/>
      </c>
      <c r="G3540">
        <f>IF(F3540="",0,1)</f>
        <v/>
      </c>
      <c r="H3540" s="29">
        <f>IF(F3540="","",INDEX(Deals!$E$2:$E$843,F3540))</f>
        <v/>
      </c>
      <c r="I3540">
        <f>IF(F3540="","",INDEX(Deals!$D$2:$D$843,F3540))</f>
        <v/>
      </c>
      <c r="J3540">
        <f>IF(F3540="","",INT(H3540)-B3540)</f>
        <v/>
      </c>
      <c r="K3540">
        <f>IF(B3540&gt;=Settings!$C$5,1,0)</f>
        <v/>
      </c>
    </row>
    <row r="3541">
      <c r="A3541" t="inlineStr">
        <is>
          <t>4955943bc34e8cdf7ede68f294ff2cdf</t>
        </is>
      </c>
      <c r="B3541" s="29" t="n">
        <v>43146</v>
      </c>
      <c r="C3541" t="inlineStr">
        <is>
          <t>2018-02</t>
        </is>
      </c>
      <c r="D3541" t="inlineStr">
        <is>
          <t>88740e65d5d6b056e0cda098e1ea6313</t>
        </is>
      </c>
      <c r="E3541" t="inlineStr">
        <is>
          <t>social</t>
        </is>
      </c>
      <c r="F3541">
        <f>IFERROR(MATCH(A3541,Deals!$A$2:$A$843,0),"")</f>
        <v/>
      </c>
      <c r="G3541">
        <f>IF(F3541="",0,1)</f>
        <v/>
      </c>
      <c r="H3541" s="29">
        <f>IF(F3541="","",INDEX(Deals!$E$2:$E$843,F3541))</f>
        <v/>
      </c>
      <c r="I3541">
        <f>IF(F3541="","",INDEX(Deals!$D$2:$D$843,F3541))</f>
        <v/>
      </c>
      <c r="J3541">
        <f>IF(F3541="","",INT(H3541)-B3541)</f>
        <v/>
      </c>
      <c r="K3541">
        <f>IF(B3541&gt;=Settings!$C$5,1,0)</f>
        <v/>
      </c>
    </row>
    <row r="3542">
      <c r="A3542" t="inlineStr">
        <is>
          <t>50cd562760a5819b07a9da2239046ef0</t>
        </is>
      </c>
      <c r="B3542" s="29" t="n">
        <v>43210</v>
      </c>
      <c r="C3542" t="inlineStr">
        <is>
          <t>2018-04</t>
        </is>
      </c>
      <c r="D3542" t="inlineStr">
        <is>
          <t>22c29808c4f815213303f8933030604c</t>
        </is>
      </c>
      <c r="E3542" t="inlineStr">
        <is>
          <t>direct_traffic</t>
        </is>
      </c>
      <c r="F3542">
        <f>IFERROR(MATCH(A3542,Deals!$A$2:$A$843,0),"")</f>
        <v/>
      </c>
      <c r="G3542">
        <f>IF(F3542="",0,1)</f>
        <v/>
      </c>
      <c r="H3542" s="29">
        <f>IF(F3542="","",INDEX(Deals!$E$2:$E$843,F3542))</f>
        <v/>
      </c>
      <c r="I3542">
        <f>IF(F3542="","",INDEX(Deals!$D$2:$D$843,F3542))</f>
        <v/>
      </c>
      <c r="J3542">
        <f>IF(F3542="","",INT(H3542)-B3542)</f>
        <v/>
      </c>
      <c r="K3542">
        <f>IF(B3542&gt;=Settings!$C$5,1,0)</f>
        <v/>
      </c>
    </row>
    <row r="3543">
      <c r="A3543" t="inlineStr">
        <is>
          <t>ba7a964e1319d5b1b3b1e9fae75e86db</t>
        </is>
      </c>
      <c r="B3543" s="29" t="n">
        <v>43180</v>
      </c>
      <c r="C3543" t="inlineStr">
        <is>
          <t>2018-03</t>
        </is>
      </c>
      <c r="D3543" t="inlineStr">
        <is>
          <t>36120633c8737035fbabf079082f4ec1</t>
        </is>
      </c>
      <c r="E3543" t="inlineStr">
        <is>
          <t>social</t>
        </is>
      </c>
      <c r="F3543">
        <f>IFERROR(MATCH(A3543,Deals!$A$2:$A$843,0),"")</f>
        <v/>
      </c>
      <c r="G3543">
        <f>IF(F3543="",0,1)</f>
        <v/>
      </c>
      <c r="H3543" s="29">
        <f>IF(F3543="","",INDEX(Deals!$E$2:$E$843,F3543))</f>
        <v/>
      </c>
      <c r="I3543">
        <f>IF(F3543="","",INDEX(Deals!$D$2:$D$843,F3543))</f>
        <v/>
      </c>
      <c r="J3543">
        <f>IF(F3543="","",INT(H3543)-B3543)</f>
        <v/>
      </c>
      <c r="K3543">
        <f>IF(B3543&gt;=Settings!$C$5,1,0)</f>
        <v/>
      </c>
    </row>
    <row r="3544">
      <c r="A3544" t="inlineStr">
        <is>
          <t>189d6ffac257d9eb4c265eff027c6569</t>
        </is>
      </c>
      <c r="B3544" s="29" t="n">
        <v>43242</v>
      </c>
      <c r="C3544" t="inlineStr">
        <is>
          <t>2018-05</t>
        </is>
      </c>
      <c r="D3544" t="inlineStr">
        <is>
          <t>2f08471dfb83baef522f952438a36f6e</t>
        </is>
      </c>
      <c r="E3544" t="inlineStr">
        <is>
          <t>organic_search</t>
        </is>
      </c>
      <c r="F3544">
        <f>IFERROR(MATCH(A3544,Deals!$A$2:$A$843,0),"")</f>
        <v/>
      </c>
      <c r="G3544">
        <f>IF(F3544="",0,1)</f>
        <v/>
      </c>
      <c r="H3544" s="29">
        <f>IF(F3544="","",INDEX(Deals!$E$2:$E$843,F3544))</f>
        <v/>
      </c>
      <c r="I3544">
        <f>IF(F3544="","",INDEX(Deals!$D$2:$D$843,F3544))</f>
        <v/>
      </c>
      <c r="J3544">
        <f>IF(F3544="","",INT(H3544)-B3544)</f>
        <v/>
      </c>
      <c r="K3544">
        <f>IF(B3544&gt;=Settings!$C$5,1,0)</f>
        <v/>
      </c>
    </row>
    <row r="3545">
      <c r="A3545" t="inlineStr">
        <is>
          <t>888a8ba5a910f3b25c9b95dedfdc04b2</t>
        </is>
      </c>
      <c r="B3545" s="29" t="n">
        <v>43025</v>
      </c>
      <c r="C3545" t="inlineStr">
        <is>
          <t>2017-10</t>
        </is>
      </c>
      <c r="D3545" t="inlineStr">
        <is>
          <t>1722481ac9e5371e5099dea226b5421d</t>
        </is>
      </c>
      <c r="E3545" t="inlineStr">
        <is>
          <t>organic_search</t>
        </is>
      </c>
      <c r="F3545">
        <f>IFERROR(MATCH(A3545,Deals!$A$2:$A$843,0),"")</f>
        <v/>
      </c>
      <c r="G3545">
        <f>IF(F3545="",0,1)</f>
        <v/>
      </c>
      <c r="H3545" s="29">
        <f>IF(F3545="","",INDEX(Deals!$E$2:$E$843,F3545))</f>
        <v/>
      </c>
      <c r="I3545">
        <f>IF(F3545="","",INDEX(Deals!$D$2:$D$843,F3545))</f>
        <v/>
      </c>
      <c r="J3545">
        <f>IF(F3545="","",INT(H3545)-B3545)</f>
        <v/>
      </c>
      <c r="K3545">
        <f>IF(B3545&gt;=Settings!$C$5,1,0)</f>
        <v/>
      </c>
    </row>
    <row r="3546">
      <c r="A3546" t="inlineStr">
        <is>
          <t>fe549d052df979630a6e7a56ec569a58</t>
        </is>
      </c>
      <c r="B3546" s="29" t="n">
        <v>43137</v>
      </c>
      <c r="C3546" t="inlineStr">
        <is>
          <t>2018-02</t>
        </is>
      </c>
      <c r="D3546" t="inlineStr">
        <is>
          <t>73f31a40697cc90a86c1273563ac230e</t>
        </is>
      </c>
      <c r="E3546" t="inlineStr">
        <is>
          <t>paid_search</t>
        </is>
      </c>
      <c r="F3546">
        <f>IFERROR(MATCH(A3546,Deals!$A$2:$A$843,0),"")</f>
        <v/>
      </c>
      <c r="G3546">
        <f>IF(F3546="",0,1)</f>
        <v/>
      </c>
      <c r="H3546" s="29">
        <f>IF(F3546="","",INDEX(Deals!$E$2:$E$843,F3546))</f>
        <v/>
      </c>
      <c r="I3546">
        <f>IF(F3546="","",INDEX(Deals!$D$2:$D$843,F3546))</f>
        <v/>
      </c>
      <c r="J3546">
        <f>IF(F3546="","",INT(H3546)-B3546)</f>
        <v/>
      </c>
      <c r="K3546">
        <f>IF(B3546&gt;=Settings!$C$5,1,0)</f>
        <v/>
      </c>
    </row>
    <row r="3547">
      <c r="A3547" t="inlineStr">
        <is>
          <t>4b2134c632519e481f1f2eb249d706ce</t>
        </is>
      </c>
      <c r="B3547" s="29" t="n">
        <v>43153</v>
      </c>
      <c r="C3547" t="inlineStr">
        <is>
          <t>2018-02</t>
        </is>
      </c>
      <c r="D3547" t="inlineStr">
        <is>
          <t>40dec9f3d5259a3d2dbcdab2114fae47</t>
        </is>
      </c>
      <c r="E3547" t="inlineStr">
        <is>
          <t>paid_search</t>
        </is>
      </c>
      <c r="F3547">
        <f>IFERROR(MATCH(A3547,Deals!$A$2:$A$843,0),"")</f>
        <v/>
      </c>
      <c r="G3547">
        <f>IF(F3547="",0,1)</f>
        <v/>
      </c>
      <c r="H3547" s="29">
        <f>IF(F3547="","",INDEX(Deals!$E$2:$E$843,F3547))</f>
        <v/>
      </c>
      <c r="I3547">
        <f>IF(F3547="","",INDEX(Deals!$D$2:$D$843,F3547))</f>
        <v/>
      </c>
      <c r="J3547">
        <f>IF(F3547="","",INT(H3547)-B3547)</f>
        <v/>
      </c>
      <c r="K3547">
        <f>IF(B3547&gt;=Settings!$C$5,1,0)</f>
        <v/>
      </c>
    </row>
    <row r="3548">
      <c r="A3548" t="inlineStr">
        <is>
          <t>61eaaf283fe86b62752354c8e003e6f1</t>
        </is>
      </c>
      <c r="B3548" s="29" t="n">
        <v>43178</v>
      </c>
      <c r="C3548" t="inlineStr">
        <is>
          <t>2018-03</t>
        </is>
      </c>
      <c r="D3548" t="inlineStr">
        <is>
          <t>22c29808c4f815213303f8933030604c</t>
        </is>
      </c>
      <c r="E3548" t="inlineStr">
        <is>
          <t>direct_traffic</t>
        </is>
      </c>
      <c r="F3548">
        <f>IFERROR(MATCH(A3548,Deals!$A$2:$A$843,0),"")</f>
        <v/>
      </c>
      <c r="G3548">
        <f>IF(F3548="",0,1)</f>
        <v/>
      </c>
      <c r="H3548" s="29">
        <f>IF(F3548="","",INDEX(Deals!$E$2:$E$843,F3548))</f>
        <v/>
      </c>
      <c r="I3548">
        <f>IF(F3548="","",INDEX(Deals!$D$2:$D$843,F3548))</f>
        <v/>
      </c>
      <c r="J3548">
        <f>IF(F3548="","",INT(H3548)-B3548)</f>
        <v/>
      </c>
      <c r="K3548">
        <f>IF(B3548&gt;=Settings!$C$5,1,0)</f>
        <v/>
      </c>
    </row>
    <row r="3549">
      <c r="A3549" t="inlineStr">
        <is>
          <t>ce1225eec668c580d0712889541626fc</t>
        </is>
      </c>
      <c r="B3549" s="29" t="n">
        <v>43234</v>
      </c>
      <c r="C3549" t="inlineStr">
        <is>
          <t>2018-05</t>
        </is>
      </c>
      <c r="D3549" t="inlineStr">
        <is>
          <t>fb58285f6f6c4e504dfa628de116cae8</t>
        </is>
      </c>
      <c r="E3549" t="inlineStr">
        <is>
          <t>email</t>
        </is>
      </c>
      <c r="F3549">
        <f>IFERROR(MATCH(A3549,Deals!$A$2:$A$843,0),"")</f>
        <v/>
      </c>
      <c r="G3549">
        <f>IF(F3549="",0,1)</f>
        <v/>
      </c>
      <c r="H3549" s="29">
        <f>IF(F3549="","",INDEX(Deals!$E$2:$E$843,F3549))</f>
        <v/>
      </c>
      <c r="I3549">
        <f>IF(F3549="","",INDEX(Deals!$D$2:$D$843,F3549))</f>
        <v/>
      </c>
      <c r="J3549">
        <f>IF(F3549="","",INT(H3549)-B3549)</f>
        <v/>
      </c>
      <c r="K3549">
        <f>IF(B3549&gt;=Settings!$C$5,1,0)</f>
        <v/>
      </c>
    </row>
    <row r="3550">
      <c r="A3550" t="inlineStr">
        <is>
          <t>4ca0d95c86f2ee0ebd3a49b6f448efc8</t>
        </is>
      </c>
      <c r="B3550" s="29" t="n">
        <v>43186</v>
      </c>
      <c r="C3550" t="inlineStr">
        <is>
          <t>2018-03</t>
        </is>
      </c>
      <c r="D3550" t="inlineStr">
        <is>
          <t>b76ef37428e6799c421989521c0e5077</t>
        </is>
      </c>
      <c r="E3550" t="inlineStr">
        <is>
          <t>unknown</t>
        </is>
      </c>
      <c r="F3550">
        <f>IFERROR(MATCH(A3550,Deals!$A$2:$A$843,0),"")</f>
        <v/>
      </c>
      <c r="G3550">
        <f>IF(F3550="",0,1)</f>
        <v/>
      </c>
      <c r="H3550" s="29">
        <f>IF(F3550="","",INDEX(Deals!$E$2:$E$843,F3550))</f>
        <v/>
      </c>
      <c r="I3550">
        <f>IF(F3550="","",INDEX(Deals!$D$2:$D$843,F3550))</f>
        <v/>
      </c>
      <c r="J3550">
        <f>IF(F3550="","",INT(H3550)-B3550)</f>
        <v/>
      </c>
      <c r="K3550">
        <f>IF(B3550&gt;=Settings!$C$5,1,0)</f>
        <v/>
      </c>
    </row>
    <row r="3551">
      <c r="A3551" t="inlineStr">
        <is>
          <t>ba45dc26ae53e46ad94b491dc175ff05</t>
        </is>
      </c>
      <c r="B3551" s="29" t="n">
        <v>43009</v>
      </c>
      <c r="C3551" t="inlineStr">
        <is>
          <t>2017-10</t>
        </is>
      </c>
      <c r="D3551" t="inlineStr">
        <is>
          <t>f017be4dbf86243af5c1ebed0cff36a2</t>
        </is>
      </c>
      <c r="E3551" t="inlineStr">
        <is>
          <t>paid_search</t>
        </is>
      </c>
      <c r="F3551">
        <f>IFERROR(MATCH(A3551,Deals!$A$2:$A$843,0),"")</f>
        <v/>
      </c>
      <c r="G3551">
        <f>IF(F3551="",0,1)</f>
        <v/>
      </c>
      <c r="H3551" s="29">
        <f>IF(F3551="","",INDEX(Deals!$E$2:$E$843,F3551))</f>
        <v/>
      </c>
      <c r="I3551">
        <f>IF(F3551="","",INDEX(Deals!$D$2:$D$843,F3551))</f>
        <v/>
      </c>
      <c r="J3551">
        <f>IF(F3551="","",INT(H3551)-B3551)</f>
        <v/>
      </c>
      <c r="K3551">
        <f>IF(B3551&gt;=Settings!$C$5,1,0)</f>
        <v/>
      </c>
    </row>
    <row r="3552">
      <c r="A3552" t="inlineStr">
        <is>
          <t>f021a5566d8509939615e02a20f267e3</t>
        </is>
      </c>
      <c r="B3552" s="29" t="n">
        <v>43230</v>
      </c>
      <c r="C3552" t="inlineStr">
        <is>
          <t>2018-05</t>
        </is>
      </c>
      <c r="D3552" t="inlineStr">
        <is>
          <t>58326e62183c14b0c03085c33b9fdc44</t>
        </is>
      </c>
      <c r="E3552" t="inlineStr">
        <is>
          <t>social</t>
        </is>
      </c>
      <c r="F3552">
        <f>IFERROR(MATCH(A3552,Deals!$A$2:$A$843,0),"")</f>
        <v/>
      </c>
      <c r="G3552">
        <f>IF(F3552="",0,1)</f>
        <v/>
      </c>
      <c r="H3552" s="29">
        <f>IF(F3552="","",INDEX(Deals!$E$2:$E$843,F3552))</f>
        <v/>
      </c>
      <c r="I3552">
        <f>IF(F3552="","",INDEX(Deals!$D$2:$D$843,F3552))</f>
        <v/>
      </c>
      <c r="J3552">
        <f>IF(F3552="","",INT(H3552)-B3552)</f>
        <v/>
      </c>
      <c r="K3552">
        <f>IF(B3552&gt;=Settings!$C$5,1,0)</f>
        <v/>
      </c>
    </row>
    <row r="3553">
      <c r="A3553" t="inlineStr">
        <is>
          <t>1d50d2c72d133bf09d09cc73bbe2f5fd</t>
        </is>
      </c>
      <c r="B3553" s="29" t="n">
        <v>43223</v>
      </c>
      <c r="C3553" t="inlineStr">
        <is>
          <t>2018-05</t>
        </is>
      </c>
      <c r="D3553" t="inlineStr">
        <is>
          <t>1ceb590cd1e00c7ee95220971f82693d</t>
        </is>
      </c>
      <c r="E3553" t="inlineStr">
        <is>
          <t>paid_search</t>
        </is>
      </c>
      <c r="F3553">
        <f>IFERROR(MATCH(A3553,Deals!$A$2:$A$843,0),"")</f>
        <v/>
      </c>
      <c r="G3553">
        <f>IF(F3553="",0,1)</f>
        <v/>
      </c>
      <c r="H3553" s="29">
        <f>IF(F3553="","",INDEX(Deals!$E$2:$E$843,F3553))</f>
        <v/>
      </c>
      <c r="I3553">
        <f>IF(F3553="","",INDEX(Deals!$D$2:$D$843,F3553))</f>
        <v/>
      </c>
      <c r="J3553">
        <f>IF(F3553="","",INT(H3553)-B3553)</f>
        <v/>
      </c>
      <c r="K3553">
        <f>IF(B3553&gt;=Settings!$C$5,1,0)</f>
        <v/>
      </c>
    </row>
    <row r="3554">
      <c r="A3554" t="inlineStr">
        <is>
          <t>1160b456c2b0d88893e20daf51f80f39</t>
        </is>
      </c>
      <c r="B3554" s="29" t="n">
        <v>43224</v>
      </c>
      <c r="C3554" t="inlineStr">
        <is>
          <t>2018-05</t>
        </is>
      </c>
      <c r="D3554" t="inlineStr">
        <is>
          <t>b76ef37428e6799c421989521c0e5077</t>
        </is>
      </c>
      <c r="E3554" t="inlineStr">
        <is>
          <t>organic_search</t>
        </is>
      </c>
      <c r="F3554">
        <f>IFERROR(MATCH(A3554,Deals!$A$2:$A$843,0),"")</f>
        <v/>
      </c>
      <c r="G3554">
        <f>IF(F3554="",0,1)</f>
        <v/>
      </c>
      <c r="H3554" s="29">
        <f>IF(F3554="","",INDEX(Deals!$E$2:$E$843,F3554))</f>
        <v/>
      </c>
      <c r="I3554">
        <f>IF(F3554="","",INDEX(Deals!$D$2:$D$843,F3554))</f>
        <v/>
      </c>
      <c r="J3554">
        <f>IF(F3554="","",INT(H3554)-B3554)</f>
        <v/>
      </c>
      <c r="K3554">
        <f>IF(B3554&gt;=Settings!$C$5,1,0)</f>
        <v/>
      </c>
    </row>
    <row r="3555">
      <c r="A3555" t="inlineStr">
        <is>
          <t>f1ada790ce8f26ed12d4f2070b44bc81</t>
        </is>
      </c>
      <c r="B3555" s="29" t="n">
        <v>42982</v>
      </c>
      <c r="C3555" t="inlineStr">
        <is>
          <t>2017-09</t>
        </is>
      </c>
      <c r="D3555" t="inlineStr">
        <is>
          <t>22c29808c4f815213303f8933030604c</t>
        </is>
      </c>
      <c r="E3555" t="inlineStr">
        <is>
          <t>organic_search</t>
        </is>
      </c>
      <c r="F3555">
        <f>IFERROR(MATCH(A3555,Deals!$A$2:$A$843,0),"")</f>
        <v/>
      </c>
      <c r="G3555">
        <f>IF(F3555="",0,1)</f>
        <v/>
      </c>
      <c r="H3555" s="29">
        <f>IF(F3555="","",INDEX(Deals!$E$2:$E$843,F3555))</f>
        <v/>
      </c>
      <c r="I3555">
        <f>IF(F3555="","",INDEX(Deals!$D$2:$D$843,F3555))</f>
        <v/>
      </c>
      <c r="J3555">
        <f>IF(F3555="","",INT(H3555)-B3555)</f>
        <v/>
      </c>
      <c r="K3555">
        <f>IF(B3555&gt;=Settings!$C$5,1,0)</f>
        <v/>
      </c>
    </row>
    <row r="3556">
      <c r="A3556" t="inlineStr">
        <is>
          <t>a9588e180ff6d0bf6396566a35e9f36f</t>
        </is>
      </c>
      <c r="B3556" s="29" t="n">
        <v>43246</v>
      </c>
      <c r="C3556" t="inlineStr">
        <is>
          <t>2018-05</t>
        </is>
      </c>
      <c r="D3556" t="inlineStr">
        <is>
          <t>40dec9f3d5259a3d2dbcdab2114fae47</t>
        </is>
      </c>
      <c r="E3556" t="inlineStr">
        <is>
          <t>referral</t>
        </is>
      </c>
      <c r="F3556">
        <f>IFERROR(MATCH(A3556,Deals!$A$2:$A$843,0),"")</f>
        <v/>
      </c>
      <c r="G3556">
        <f>IF(F3556="",0,1)</f>
        <v/>
      </c>
      <c r="H3556" s="29">
        <f>IF(F3556="","",INDEX(Deals!$E$2:$E$843,F3556))</f>
        <v/>
      </c>
      <c r="I3556">
        <f>IF(F3556="","",INDEX(Deals!$D$2:$D$843,F3556))</f>
        <v/>
      </c>
      <c r="J3556">
        <f>IF(F3556="","",INT(H3556)-B3556)</f>
        <v/>
      </c>
      <c r="K3556">
        <f>IF(B3556&gt;=Settings!$C$5,1,0)</f>
        <v/>
      </c>
    </row>
    <row r="3557">
      <c r="A3557" t="inlineStr">
        <is>
          <t>da96552c519b38a0d1b5dabc42e6be00</t>
        </is>
      </c>
      <c r="B3557" s="29" t="n">
        <v>43249</v>
      </c>
      <c r="C3557" t="inlineStr">
        <is>
          <t>2018-05</t>
        </is>
      </c>
      <c r="D3557" t="inlineStr">
        <is>
          <t>58326e62183c14b0c03085c33b9fdc44</t>
        </is>
      </c>
      <c r="E3557" t="inlineStr">
        <is>
          <t>social</t>
        </is>
      </c>
      <c r="F3557">
        <f>IFERROR(MATCH(A3557,Deals!$A$2:$A$843,0),"")</f>
        <v/>
      </c>
      <c r="G3557">
        <f>IF(F3557="",0,1)</f>
        <v/>
      </c>
      <c r="H3557" s="29">
        <f>IF(F3557="","",INDEX(Deals!$E$2:$E$843,F3557))</f>
        <v/>
      </c>
      <c r="I3557">
        <f>IF(F3557="","",INDEX(Deals!$D$2:$D$843,F3557))</f>
        <v/>
      </c>
      <c r="J3557">
        <f>IF(F3557="","",INT(H3557)-B3557)</f>
        <v/>
      </c>
      <c r="K3557">
        <f>IF(B3557&gt;=Settings!$C$5,1,0)</f>
        <v/>
      </c>
    </row>
    <row r="3558">
      <c r="A3558" t="inlineStr">
        <is>
          <t>5d599fc8f46d75efc30d93e0c500bf6f</t>
        </is>
      </c>
      <c r="B3558" s="29" t="n">
        <v>42964</v>
      </c>
      <c r="C3558" t="inlineStr">
        <is>
          <t>2017-08</t>
        </is>
      </c>
      <c r="D3558" t="inlineStr">
        <is>
          <t>b76ef37428e6799c421989521c0e5077</t>
        </is>
      </c>
      <c r="E3558" t="inlineStr">
        <is>
          <t>paid_search</t>
        </is>
      </c>
      <c r="F3558">
        <f>IFERROR(MATCH(A3558,Deals!$A$2:$A$843,0),"")</f>
        <v/>
      </c>
      <c r="G3558">
        <f>IF(F3558="",0,1)</f>
        <v/>
      </c>
      <c r="H3558" s="29">
        <f>IF(F3558="","",INDEX(Deals!$E$2:$E$843,F3558))</f>
        <v/>
      </c>
      <c r="I3558">
        <f>IF(F3558="","",INDEX(Deals!$D$2:$D$843,F3558))</f>
        <v/>
      </c>
      <c r="J3558">
        <f>IF(F3558="","",INT(H3558)-B3558)</f>
        <v/>
      </c>
      <c r="K3558">
        <f>IF(B3558&gt;=Settings!$C$5,1,0)</f>
        <v/>
      </c>
    </row>
    <row r="3559">
      <c r="A3559" t="inlineStr">
        <is>
          <t>e6b3a795f213be19f3250b447dc1de3b</t>
        </is>
      </c>
      <c r="B3559" s="29" t="n">
        <v>43160</v>
      </c>
      <c r="C3559" t="inlineStr">
        <is>
          <t>2018-03</t>
        </is>
      </c>
      <c r="D3559" t="inlineStr">
        <is>
          <t>40dec9f3d5259a3d2dbcdab2114fae47</t>
        </is>
      </c>
      <c r="E3559" t="inlineStr">
        <is>
          <t>paid_search</t>
        </is>
      </c>
      <c r="F3559">
        <f>IFERROR(MATCH(A3559,Deals!$A$2:$A$843,0),"")</f>
        <v/>
      </c>
      <c r="G3559">
        <f>IF(F3559="",0,1)</f>
        <v/>
      </c>
      <c r="H3559" s="29">
        <f>IF(F3559="","",INDEX(Deals!$E$2:$E$843,F3559))</f>
        <v/>
      </c>
      <c r="I3559">
        <f>IF(F3559="","",INDEX(Deals!$D$2:$D$843,F3559))</f>
        <v/>
      </c>
      <c r="J3559">
        <f>IF(F3559="","",INT(H3559)-B3559)</f>
        <v/>
      </c>
      <c r="K3559">
        <f>IF(B3559&gt;=Settings!$C$5,1,0)</f>
        <v/>
      </c>
    </row>
    <row r="3560">
      <c r="A3560" t="inlineStr">
        <is>
          <t>e9433fc14b27c2c907dad393b9c2626d</t>
        </is>
      </c>
      <c r="B3560" s="29" t="n">
        <v>42961</v>
      </c>
      <c r="C3560" t="inlineStr">
        <is>
          <t>2017-08</t>
        </is>
      </c>
      <c r="D3560" t="inlineStr">
        <is>
          <t>b76ef37428e6799c421989521c0e5077</t>
        </is>
      </c>
      <c r="E3560" t="inlineStr">
        <is>
          <t>organic_search</t>
        </is>
      </c>
      <c r="F3560">
        <f>IFERROR(MATCH(A3560,Deals!$A$2:$A$843,0),"")</f>
        <v/>
      </c>
      <c r="G3560">
        <f>IF(F3560="",0,1)</f>
        <v/>
      </c>
      <c r="H3560" s="29">
        <f>IF(F3560="","",INDEX(Deals!$E$2:$E$843,F3560))</f>
        <v/>
      </c>
      <c r="I3560">
        <f>IF(F3560="","",INDEX(Deals!$D$2:$D$843,F3560))</f>
        <v/>
      </c>
      <c r="J3560">
        <f>IF(F3560="","",INT(H3560)-B3560)</f>
        <v/>
      </c>
      <c r="K3560">
        <f>IF(B3560&gt;=Settings!$C$5,1,0)</f>
        <v/>
      </c>
    </row>
    <row r="3561">
      <c r="A3561" t="inlineStr">
        <is>
          <t>7ac59af27455c172d45cc7cb41cad2e9</t>
        </is>
      </c>
      <c r="B3561" s="29" t="n">
        <v>43193</v>
      </c>
      <c r="C3561" t="inlineStr">
        <is>
          <t>2018-04</t>
        </is>
      </c>
      <c r="D3561" t="inlineStr">
        <is>
          <t>ecc36b943a84ebcd3ab633cbe0fb1b9b</t>
        </is>
      </c>
      <c r="E3561" t="inlineStr">
        <is>
          <t>email</t>
        </is>
      </c>
      <c r="F3561">
        <f>IFERROR(MATCH(A3561,Deals!$A$2:$A$843,0),"")</f>
        <v/>
      </c>
      <c r="G3561">
        <f>IF(F3561="",0,1)</f>
        <v/>
      </c>
      <c r="H3561" s="29">
        <f>IF(F3561="","",INDEX(Deals!$E$2:$E$843,F3561))</f>
        <v/>
      </c>
      <c r="I3561">
        <f>IF(F3561="","",INDEX(Deals!$D$2:$D$843,F3561))</f>
        <v/>
      </c>
      <c r="J3561">
        <f>IF(F3561="","",INT(H3561)-B3561)</f>
        <v/>
      </c>
      <c r="K3561">
        <f>IF(B3561&gt;=Settings!$C$5,1,0)</f>
        <v/>
      </c>
    </row>
    <row r="3562">
      <c r="A3562" t="inlineStr">
        <is>
          <t>e17710ba7a0f5dc2fac4374b629dce33</t>
        </is>
      </c>
      <c r="B3562" s="29" t="n">
        <v>43056</v>
      </c>
      <c r="C3562" t="inlineStr">
        <is>
          <t>2017-11</t>
        </is>
      </c>
      <c r="D3562" t="inlineStr">
        <is>
          <t>e492ee5eaf1697716985cc6f33f9cd9b</t>
        </is>
      </c>
      <c r="E3562" t="inlineStr">
        <is>
          <t>organic_search</t>
        </is>
      </c>
      <c r="F3562">
        <f>IFERROR(MATCH(A3562,Deals!$A$2:$A$843,0),"")</f>
        <v/>
      </c>
      <c r="G3562">
        <f>IF(F3562="",0,1)</f>
        <v/>
      </c>
      <c r="H3562" s="29">
        <f>IF(F3562="","",INDEX(Deals!$E$2:$E$843,F3562))</f>
        <v/>
      </c>
      <c r="I3562">
        <f>IF(F3562="","",INDEX(Deals!$D$2:$D$843,F3562))</f>
        <v/>
      </c>
      <c r="J3562">
        <f>IF(F3562="","",INT(H3562)-B3562)</f>
        <v/>
      </c>
      <c r="K3562">
        <f>IF(B3562&gt;=Settings!$C$5,1,0)</f>
        <v/>
      </c>
    </row>
    <row r="3563">
      <c r="A3563" t="inlineStr">
        <is>
          <t>8dc6d6ed130ea73142c6de011fc26dbb</t>
        </is>
      </c>
      <c r="B3563" s="29" t="n">
        <v>43096</v>
      </c>
      <c r="C3563" t="inlineStr">
        <is>
          <t>2017-12</t>
        </is>
      </c>
      <c r="D3563" t="inlineStr">
        <is>
          <t>4aab772aeb9833c170d8ea5413e02eac</t>
        </is>
      </c>
      <c r="E3563" t="inlineStr">
        <is>
          <t>paid_search</t>
        </is>
      </c>
      <c r="F3563">
        <f>IFERROR(MATCH(A3563,Deals!$A$2:$A$843,0),"")</f>
        <v/>
      </c>
      <c r="G3563">
        <f>IF(F3563="",0,1)</f>
        <v/>
      </c>
      <c r="H3563" s="29">
        <f>IF(F3563="","",INDEX(Deals!$E$2:$E$843,F3563))</f>
        <v/>
      </c>
      <c r="I3563">
        <f>IF(F3563="","",INDEX(Deals!$D$2:$D$843,F3563))</f>
        <v/>
      </c>
      <c r="J3563">
        <f>IF(F3563="","",INT(H3563)-B3563)</f>
        <v/>
      </c>
      <c r="K3563">
        <f>IF(B3563&gt;=Settings!$C$5,1,0)</f>
        <v/>
      </c>
    </row>
    <row r="3564">
      <c r="A3564" t="inlineStr">
        <is>
          <t>3a3b87feb5d6e91e5716cb32551d90d6</t>
        </is>
      </c>
      <c r="B3564" s="29" t="n">
        <v>43196</v>
      </c>
      <c r="C3564" t="inlineStr">
        <is>
          <t>2018-04</t>
        </is>
      </c>
      <c r="D3564" t="inlineStr">
        <is>
          <t>6d3026b7dff03974a1e250d610ab8b36</t>
        </is>
      </c>
      <c r="E3564" t="inlineStr">
        <is>
          <t>organic_search</t>
        </is>
      </c>
      <c r="F3564">
        <f>IFERROR(MATCH(A3564,Deals!$A$2:$A$843,0),"")</f>
        <v/>
      </c>
      <c r="G3564">
        <f>IF(F3564="",0,1)</f>
        <v/>
      </c>
      <c r="H3564" s="29">
        <f>IF(F3564="","",INDEX(Deals!$E$2:$E$843,F3564))</f>
        <v/>
      </c>
      <c r="I3564">
        <f>IF(F3564="","",INDEX(Deals!$D$2:$D$843,F3564))</f>
        <v/>
      </c>
      <c r="J3564">
        <f>IF(F3564="","",INT(H3564)-B3564)</f>
        <v/>
      </c>
      <c r="K3564">
        <f>IF(B3564&gt;=Settings!$C$5,1,0)</f>
        <v/>
      </c>
    </row>
    <row r="3565">
      <c r="A3565" t="inlineStr">
        <is>
          <t>7736debbc2c6bca58345c22dd791969b</t>
        </is>
      </c>
      <c r="B3565" s="29" t="n">
        <v>43085</v>
      </c>
      <c r="C3565" t="inlineStr">
        <is>
          <t>2017-12</t>
        </is>
      </c>
      <c r="D3565" t="inlineStr">
        <is>
          <t>f017be4dbf86243af5c1ebed0cff36a2</t>
        </is>
      </c>
      <c r="E3565" t="inlineStr">
        <is>
          <t>social</t>
        </is>
      </c>
      <c r="F3565">
        <f>IFERROR(MATCH(A3565,Deals!$A$2:$A$843,0),"")</f>
        <v/>
      </c>
      <c r="G3565">
        <f>IF(F3565="",0,1)</f>
        <v/>
      </c>
      <c r="H3565" s="29">
        <f>IF(F3565="","",INDEX(Deals!$E$2:$E$843,F3565))</f>
        <v/>
      </c>
      <c r="I3565">
        <f>IF(F3565="","",INDEX(Deals!$D$2:$D$843,F3565))</f>
        <v/>
      </c>
      <c r="J3565">
        <f>IF(F3565="","",INT(H3565)-B3565)</f>
        <v/>
      </c>
      <c r="K3565">
        <f>IF(B3565&gt;=Settings!$C$5,1,0)</f>
        <v/>
      </c>
    </row>
    <row r="3566">
      <c r="A3566" t="inlineStr">
        <is>
          <t>ec571ab7b4d7949853f9bf65e19442d5</t>
        </is>
      </c>
      <c r="B3566" s="29" t="n">
        <v>43169</v>
      </c>
      <c r="C3566" t="inlineStr">
        <is>
          <t>2018-03</t>
        </is>
      </c>
      <c r="D3566" t="inlineStr">
        <is>
          <t>ce1a65abd0973638f1c887a6efcfa82d</t>
        </is>
      </c>
      <c r="E3566" t="inlineStr">
        <is>
          <t>organic_search</t>
        </is>
      </c>
      <c r="F3566">
        <f>IFERROR(MATCH(A3566,Deals!$A$2:$A$843,0),"")</f>
        <v/>
      </c>
      <c r="G3566">
        <f>IF(F3566="",0,1)</f>
        <v/>
      </c>
      <c r="H3566" s="29">
        <f>IF(F3566="","",INDEX(Deals!$E$2:$E$843,F3566))</f>
        <v/>
      </c>
      <c r="I3566">
        <f>IF(F3566="","",INDEX(Deals!$D$2:$D$843,F3566))</f>
        <v/>
      </c>
      <c r="J3566">
        <f>IF(F3566="","",INT(H3566)-B3566)</f>
        <v/>
      </c>
      <c r="K3566">
        <f>IF(B3566&gt;=Settings!$C$5,1,0)</f>
        <v/>
      </c>
    </row>
    <row r="3567">
      <c r="A3567" t="inlineStr">
        <is>
          <t>3277651248e7ccf4b6e6a8b1763508fe</t>
        </is>
      </c>
      <c r="B3567" s="29" t="n">
        <v>42970</v>
      </c>
      <c r="C3567" t="inlineStr">
        <is>
          <t>2017-08</t>
        </is>
      </c>
      <c r="D3567" t="inlineStr">
        <is>
          <t>e42a14209c69c3e9cc6b042620465f12</t>
        </is>
      </c>
      <c r="E3567" t="inlineStr">
        <is>
          <t>email</t>
        </is>
      </c>
      <c r="F3567">
        <f>IFERROR(MATCH(A3567,Deals!$A$2:$A$843,0),"")</f>
        <v/>
      </c>
      <c r="G3567">
        <f>IF(F3567="",0,1)</f>
        <v/>
      </c>
      <c r="H3567" s="29">
        <f>IF(F3567="","",INDEX(Deals!$E$2:$E$843,F3567))</f>
        <v/>
      </c>
      <c r="I3567">
        <f>IF(F3567="","",INDEX(Deals!$D$2:$D$843,F3567))</f>
        <v/>
      </c>
      <c r="J3567">
        <f>IF(F3567="","",INT(H3567)-B3567)</f>
        <v/>
      </c>
      <c r="K3567">
        <f>IF(B3567&gt;=Settings!$C$5,1,0)</f>
        <v/>
      </c>
    </row>
    <row r="3568">
      <c r="A3568" t="inlineStr">
        <is>
          <t>7d44eb268a656ba8bf731a62eb9156af</t>
        </is>
      </c>
      <c r="B3568" s="29" t="n">
        <v>42940</v>
      </c>
      <c r="C3568" t="inlineStr">
        <is>
          <t>2017-07</t>
        </is>
      </c>
      <c r="D3568" t="inlineStr">
        <is>
          <t>3cd2a8301d5395f21cdd3094c9eaa2f4</t>
        </is>
      </c>
      <c r="E3568" t="inlineStr">
        <is>
          <t>paid_search</t>
        </is>
      </c>
      <c r="F3568">
        <f>IFERROR(MATCH(A3568,Deals!$A$2:$A$843,0),"")</f>
        <v/>
      </c>
      <c r="G3568">
        <f>IF(F3568="",0,1)</f>
        <v/>
      </c>
      <c r="H3568" s="29">
        <f>IF(F3568="","",INDEX(Deals!$E$2:$E$843,F3568))</f>
        <v/>
      </c>
      <c r="I3568">
        <f>IF(F3568="","",INDEX(Deals!$D$2:$D$843,F3568))</f>
        <v/>
      </c>
      <c r="J3568">
        <f>IF(F3568="","",INT(H3568)-B3568)</f>
        <v/>
      </c>
      <c r="K3568">
        <f>IF(B3568&gt;=Settings!$C$5,1,0)</f>
        <v/>
      </c>
    </row>
    <row r="3569">
      <c r="A3569" t="inlineStr">
        <is>
          <t>67aa773382d70db394d69c0d6941b885</t>
        </is>
      </c>
      <c r="B3569" s="29" t="n">
        <v>43227</v>
      </c>
      <c r="C3569" t="inlineStr">
        <is>
          <t>2018-05</t>
        </is>
      </c>
      <c r="D3569" t="inlineStr">
        <is>
          <t>4e33f301b88ec7f40f82be48344f7a4e</t>
        </is>
      </c>
      <c r="E3569" t="inlineStr">
        <is>
          <t>unknown</t>
        </is>
      </c>
      <c r="F3569">
        <f>IFERROR(MATCH(A3569,Deals!$A$2:$A$843,0),"")</f>
        <v/>
      </c>
      <c r="G3569">
        <f>IF(F3569="",0,1)</f>
        <v/>
      </c>
      <c r="H3569" s="29">
        <f>IF(F3569="","",INDEX(Deals!$E$2:$E$843,F3569))</f>
        <v/>
      </c>
      <c r="I3569">
        <f>IF(F3569="","",INDEX(Deals!$D$2:$D$843,F3569))</f>
        <v/>
      </c>
      <c r="J3569">
        <f>IF(F3569="","",INT(H3569)-B3569)</f>
        <v/>
      </c>
      <c r="K3569">
        <f>IF(B3569&gt;=Settings!$C$5,1,0)</f>
        <v/>
      </c>
    </row>
    <row r="3570">
      <c r="A3570" t="inlineStr">
        <is>
          <t>bb75f42fe20b58737e3e9b4771bf1048</t>
        </is>
      </c>
      <c r="B3570" s="29" t="n">
        <v>43145</v>
      </c>
      <c r="C3570" t="inlineStr">
        <is>
          <t>2018-02</t>
        </is>
      </c>
      <c r="D3570" t="inlineStr">
        <is>
          <t>15cf89bab2c3163b4f9d8601d108f8b2</t>
        </is>
      </c>
      <c r="E3570" t="inlineStr">
        <is>
          <t>paid_search</t>
        </is>
      </c>
      <c r="F3570">
        <f>IFERROR(MATCH(A3570,Deals!$A$2:$A$843,0),"")</f>
        <v/>
      </c>
      <c r="G3570">
        <f>IF(F3570="",0,1)</f>
        <v/>
      </c>
      <c r="H3570" s="29">
        <f>IF(F3570="","",INDEX(Deals!$E$2:$E$843,F3570))</f>
        <v/>
      </c>
      <c r="I3570">
        <f>IF(F3570="","",INDEX(Deals!$D$2:$D$843,F3570))</f>
        <v/>
      </c>
      <c r="J3570">
        <f>IF(F3570="","",INT(H3570)-B3570)</f>
        <v/>
      </c>
      <c r="K3570">
        <f>IF(B3570&gt;=Settings!$C$5,1,0)</f>
        <v/>
      </c>
    </row>
    <row r="3571">
      <c r="A3571" t="inlineStr">
        <is>
          <t>1c4e4914cf140a06afac88eadea9d765</t>
        </is>
      </c>
      <c r="B3571" s="29" t="n">
        <v>43062</v>
      </c>
      <c r="C3571" t="inlineStr">
        <is>
          <t>2017-11</t>
        </is>
      </c>
      <c r="D3571" t="inlineStr">
        <is>
          <t>e492ee5eaf1697716985cc6f33f9cd9b</t>
        </is>
      </c>
      <c r="E3571" t="inlineStr">
        <is>
          <t>social</t>
        </is>
      </c>
      <c r="F3571">
        <f>IFERROR(MATCH(A3571,Deals!$A$2:$A$843,0),"")</f>
        <v/>
      </c>
      <c r="G3571">
        <f>IF(F3571="",0,1)</f>
        <v/>
      </c>
      <c r="H3571" s="29">
        <f>IF(F3571="","",INDEX(Deals!$E$2:$E$843,F3571))</f>
        <v/>
      </c>
      <c r="I3571">
        <f>IF(F3571="","",INDEX(Deals!$D$2:$D$843,F3571))</f>
        <v/>
      </c>
      <c r="J3571">
        <f>IF(F3571="","",INT(H3571)-B3571)</f>
        <v/>
      </c>
      <c r="K3571">
        <f>IF(B3571&gt;=Settings!$C$5,1,0)</f>
        <v/>
      </c>
    </row>
    <row r="3572">
      <c r="A3572" t="inlineStr">
        <is>
          <t>65f5a24d2b690cf3819e992cc20173e6</t>
        </is>
      </c>
      <c r="B3572" s="29" t="n">
        <v>43194</v>
      </c>
      <c r="C3572" t="inlineStr">
        <is>
          <t>2018-04</t>
        </is>
      </c>
      <c r="D3572" t="inlineStr">
        <is>
          <t>40dec9f3d5259a3d2dbcdab2114fae47</t>
        </is>
      </c>
      <c r="E3572" t="inlineStr">
        <is>
          <t>organic_search</t>
        </is>
      </c>
      <c r="F3572">
        <f>IFERROR(MATCH(A3572,Deals!$A$2:$A$843,0),"")</f>
        <v/>
      </c>
      <c r="G3572">
        <f>IF(F3572="",0,1)</f>
        <v/>
      </c>
      <c r="H3572" s="29">
        <f>IF(F3572="","",INDEX(Deals!$E$2:$E$843,F3572))</f>
        <v/>
      </c>
      <c r="I3572">
        <f>IF(F3572="","",INDEX(Deals!$D$2:$D$843,F3572))</f>
        <v/>
      </c>
      <c r="J3572">
        <f>IF(F3572="","",INT(H3572)-B3572)</f>
        <v/>
      </c>
      <c r="K3572">
        <f>IF(B3572&gt;=Settings!$C$5,1,0)</f>
        <v/>
      </c>
    </row>
    <row r="3573">
      <c r="A3573" t="inlineStr">
        <is>
          <t>157e2c09fd6a096b061c2baf0b1d8899</t>
        </is>
      </c>
      <c r="B3573" s="29" t="n">
        <v>42954</v>
      </c>
      <c r="C3573" t="inlineStr">
        <is>
          <t>2017-08</t>
        </is>
      </c>
      <c r="D3573" t="inlineStr">
        <is>
          <t>3cd2a8301d5395f21cdd3094c9eaa2f4</t>
        </is>
      </c>
      <c r="E3573" t="inlineStr">
        <is>
          <t>paid_search</t>
        </is>
      </c>
      <c r="F3573">
        <f>IFERROR(MATCH(A3573,Deals!$A$2:$A$843,0),"")</f>
        <v/>
      </c>
      <c r="G3573">
        <f>IF(F3573="",0,1)</f>
        <v/>
      </c>
      <c r="H3573" s="29">
        <f>IF(F3573="","",INDEX(Deals!$E$2:$E$843,F3573))</f>
        <v/>
      </c>
      <c r="I3573">
        <f>IF(F3573="","",INDEX(Deals!$D$2:$D$843,F3573))</f>
        <v/>
      </c>
      <c r="J3573">
        <f>IF(F3573="","",INT(H3573)-B3573)</f>
        <v/>
      </c>
      <c r="K3573">
        <f>IF(B3573&gt;=Settings!$C$5,1,0)</f>
        <v/>
      </c>
    </row>
    <row r="3574">
      <c r="A3574" t="inlineStr">
        <is>
          <t>22ab6168adc1c019f687009e997b43a0</t>
        </is>
      </c>
      <c r="B3574" s="29" t="n">
        <v>43214</v>
      </c>
      <c r="C3574" t="inlineStr">
        <is>
          <t>2018-04</t>
        </is>
      </c>
      <c r="D3574" t="inlineStr">
        <is>
          <t>ce1a65abd0973638f1c887a6efcfa82d</t>
        </is>
      </c>
      <c r="E3574" t="inlineStr">
        <is>
          <t>paid_search</t>
        </is>
      </c>
      <c r="F3574">
        <f>IFERROR(MATCH(A3574,Deals!$A$2:$A$843,0),"")</f>
        <v/>
      </c>
      <c r="G3574">
        <f>IF(F3574="",0,1)</f>
        <v/>
      </c>
      <c r="H3574" s="29">
        <f>IF(F3574="","",INDEX(Deals!$E$2:$E$843,F3574))</f>
        <v/>
      </c>
      <c r="I3574">
        <f>IF(F3574="","",INDEX(Deals!$D$2:$D$843,F3574))</f>
        <v/>
      </c>
      <c r="J3574">
        <f>IF(F3574="","",INT(H3574)-B3574)</f>
        <v/>
      </c>
      <c r="K3574">
        <f>IF(B3574&gt;=Settings!$C$5,1,0)</f>
        <v/>
      </c>
    </row>
    <row r="3575">
      <c r="A3575" t="inlineStr">
        <is>
          <t>f1b967e673681c3b9cdbc9c568949344</t>
        </is>
      </c>
      <c r="B3575" s="29" t="n">
        <v>42970</v>
      </c>
      <c r="C3575" t="inlineStr">
        <is>
          <t>2017-08</t>
        </is>
      </c>
      <c r="D3575" t="inlineStr">
        <is>
          <t>007f9098284a86ee80ddeb25d53e0af8</t>
        </is>
      </c>
      <c r="E3575" t="inlineStr">
        <is>
          <t>paid_search</t>
        </is>
      </c>
      <c r="F3575">
        <f>IFERROR(MATCH(A3575,Deals!$A$2:$A$843,0),"")</f>
        <v/>
      </c>
      <c r="G3575">
        <f>IF(F3575="",0,1)</f>
        <v/>
      </c>
      <c r="H3575" s="29">
        <f>IF(F3575="","",INDEX(Deals!$E$2:$E$843,F3575))</f>
        <v/>
      </c>
      <c r="I3575">
        <f>IF(F3575="","",INDEX(Deals!$D$2:$D$843,F3575))</f>
        <v/>
      </c>
      <c r="J3575">
        <f>IF(F3575="","",INT(H3575)-B3575)</f>
        <v/>
      </c>
      <c r="K3575">
        <f>IF(B3575&gt;=Settings!$C$5,1,0)</f>
        <v/>
      </c>
    </row>
    <row r="3576">
      <c r="A3576" t="inlineStr">
        <is>
          <t>54979d3e8c77b0def3a6a93bb970557f</t>
        </is>
      </c>
      <c r="B3576" s="29" t="n">
        <v>43070</v>
      </c>
      <c r="C3576" t="inlineStr">
        <is>
          <t>2017-12</t>
        </is>
      </c>
      <c r="D3576" t="inlineStr">
        <is>
          <t>22c29808c4f815213303f8933030604c</t>
        </is>
      </c>
      <c r="E3576" t="inlineStr">
        <is>
          <t>social</t>
        </is>
      </c>
      <c r="F3576">
        <f>IFERROR(MATCH(A3576,Deals!$A$2:$A$843,0),"")</f>
        <v/>
      </c>
      <c r="G3576">
        <f>IF(F3576="",0,1)</f>
        <v/>
      </c>
      <c r="H3576" s="29">
        <f>IF(F3576="","",INDEX(Deals!$E$2:$E$843,F3576))</f>
        <v/>
      </c>
      <c r="I3576">
        <f>IF(F3576="","",INDEX(Deals!$D$2:$D$843,F3576))</f>
        <v/>
      </c>
      <c r="J3576">
        <f>IF(F3576="","",INT(H3576)-B3576)</f>
        <v/>
      </c>
      <c r="K3576">
        <f>IF(B3576&gt;=Settings!$C$5,1,0)</f>
        <v/>
      </c>
    </row>
    <row r="3577">
      <c r="A3577" t="inlineStr">
        <is>
          <t>49d88d063afbe92c7f028d0c1f7e08eb</t>
        </is>
      </c>
      <c r="B3577" s="29" t="n">
        <v>43214</v>
      </c>
      <c r="C3577" t="inlineStr">
        <is>
          <t>2018-04</t>
        </is>
      </c>
      <c r="D3577" t="inlineStr">
        <is>
          <t>891b03aa737ba5655affab01b01435c2</t>
        </is>
      </c>
      <c r="E3577" t="inlineStr">
        <is>
          <t>organic_search</t>
        </is>
      </c>
      <c r="F3577">
        <f>IFERROR(MATCH(A3577,Deals!$A$2:$A$843,0),"")</f>
        <v/>
      </c>
      <c r="G3577">
        <f>IF(F3577="",0,1)</f>
        <v/>
      </c>
      <c r="H3577" s="29">
        <f>IF(F3577="","",INDEX(Deals!$E$2:$E$843,F3577))</f>
        <v/>
      </c>
      <c r="I3577">
        <f>IF(F3577="","",INDEX(Deals!$D$2:$D$843,F3577))</f>
        <v/>
      </c>
      <c r="J3577">
        <f>IF(F3577="","",INT(H3577)-B3577)</f>
        <v/>
      </c>
      <c r="K3577">
        <f>IF(B3577&gt;=Settings!$C$5,1,0)</f>
        <v/>
      </c>
    </row>
    <row r="3578">
      <c r="A3578" t="inlineStr">
        <is>
          <t>776174b25a2867e6384f5cb3e00fd8c9</t>
        </is>
      </c>
      <c r="B3578" s="29" t="n">
        <v>43172</v>
      </c>
      <c r="C3578" t="inlineStr">
        <is>
          <t>2018-03</t>
        </is>
      </c>
      <c r="D3578" t="inlineStr">
        <is>
          <t>daa9619c6f8ed06d059265dca0f9257f</t>
        </is>
      </c>
      <c r="E3578" t="inlineStr">
        <is>
          <t>email</t>
        </is>
      </c>
      <c r="F3578">
        <f>IFERROR(MATCH(A3578,Deals!$A$2:$A$843,0),"")</f>
        <v/>
      </c>
      <c r="G3578">
        <f>IF(F3578="",0,1)</f>
        <v/>
      </c>
      <c r="H3578" s="29">
        <f>IF(F3578="","",INDEX(Deals!$E$2:$E$843,F3578))</f>
        <v/>
      </c>
      <c r="I3578">
        <f>IF(F3578="","",INDEX(Deals!$D$2:$D$843,F3578))</f>
        <v/>
      </c>
      <c r="J3578">
        <f>IF(F3578="","",INT(H3578)-B3578)</f>
        <v/>
      </c>
      <c r="K3578">
        <f>IF(B3578&gt;=Settings!$C$5,1,0)</f>
        <v/>
      </c>
    </row>
    <row r="3579">
      <c r="A3579" t="inlineStr">
        <is>
          <t>8f8fb4fcea2366d031e78cb09fdf9814</t>
        </is>
      </c>
      <c r="B3579" s="29" t="n">
        <v>43165</v>
      </c>
      <c r="C3579" t="inlineStr">
        <is>
          <t>2018-03</t>
        </is>
      </c>
      <c r="D3579" t="inlineStr">
        <is>
          <t>fc83c311415c9f67b6c7c87cf488b9c2</t>
        </is>
      </c>
      <c r="E3579" t="inlineStr">
        <is>
          <t>unknown</t>
        </is>
      </c>
      <c r="F3579">
        <f>IFERROR(MATCH(A3579,Deals!$A$2:$A$843,0),"")</f>
        <v/>
      </c>
      <c r="G3579">
        <f>IF(F3579="",0,1)</f>
        <v/>
      </c>
      <c r="H3579" s="29">
        <f>IF(F3579="","",INDEX(Deals!$E$2:$E$843,F3579))</f>
        <v/>
      </c>
      <c r="I3579">
        <f>IF(F3579="","",INDEX(Deals!$D$2:$D$843,F3579))</f>
        <v/>
      </c>
      <c r="J3579">
        <f>IF(F3579="","",INT(H3579)-B3579)</f>
        <v/>
      </c>
      <c r="K3579">
        <f>IF(B3579&gt;=Settings!$C$5,1,0)</f>
        <v/>
      </c>
    </row>
    <row r="3580">
      <c r="A3580" t="inlineStr">
        <is>
          <t>1b291d5ca549452863d9ae59be207248</t>
        </is>
      </c>
      <c r="B3580" s="29" t="n">
        <v>43182</v>
      </c>
      <c r="C3580" t="inlineStr">
        <is>
          <t>2018-03</t>
        </is>
      </c>
      <c r="D3580" t="inlineStr">
        <is>
          <t>27cd3540bace1f4a4b2bc6d319b0553c</t>
        </is>
      </c>
      <c r="E3580" t="inlineStr">
        <is>
          <t>unknown</t>
        </is>
      </c>
      <c r="F3580">
        <f>IFERROR(MATCH(A3580,Deals!$A$2:$A$843,0),"")</f>
        <v/>
      </c>
      <c r="G3580">
        <f>IF(F3580="",0,1)</f>
        <v/>
      </c>
      <c r="H3580" s="29">
        <f>IF(F3580="","",INDEX(Deals!$E$2:$E$843,F3580))</f>
        <v/>
      </c>
      <c r="I3580">
        <f>IF(F3580="","",INDEX(Deals!$D$2:$D$843,F3580))</f>
        <v/>
      </c>
      <c r="J3580">
        <f>IF(F3580="","",INT(H3580)-B3580)</f>
        <v/>
      </c>
      <c r="K3580">
        <f>IF(B3580&gt;=Settings!$C$5,1,0)</f>
        <v/>
      </c>
    </row>
    <row r="3581">
      <c r="A3581" t="inlineStr">
        <is>
          <t>393e4529c6e160b9ddc1aab3845fc35f</t>
        </is>
      </c>
      <c r="B3581" s="29" t="n">
        <v>43166</v>
      </c>
      <c r="C3581" t="inlineStr">
        <is>
          <t>2018-03</t>
        </is>
      </c>
      <c r="D3581" t="inlineStr">
        <is>
          <t>b76ef37428e6799c421989521c0e5077</t>
        </is>
      </c>
      <c r="E3581" t="inlineStr">
        <is>
          <t>unknown</t>
        </is>
      </c>
      <c r="F3581">
        <f>IFERROR(MATCH(A3581,Deals!$A$2:$A$843,0),"")</f>
        <v/>
      </c>
      <c r="G3581">
        <f>IF(F3581="",0,1)</f>
        <v/>
      </c>
      <c r="H3581" s="29">
        <f>IF(F3581="","",INDEX(Deals!$E$2:$E$843,F3581))</f>
        <v/>
      </c>
      <c r="I3581">
        <f>IF(F3581="","",INDEX(Deals!$D$2:$D$843,F3581))</f>
        <v/>
      </c>
      <c r="J3581">
        <f>IF(F3581="","",INT(H3581)-B3581)</f>
        <v/>
      </c>
      <c r="K3581">
        <f>IF(B3581&gt;=Settings!$C$5,1,0)</f>
        <v/>
      </c>
    </row>
    <row r="3582">
      <c r="A3582" t="inlineStr">
        <is>
          <t>ee6a59b36c59499b1bf9ee56b6e73ca1</t>
        </is>
      </c>
      <c r="B3582" s="29" t="n">
        <v>43193</v>
      </c>
      <c r="C3582" t="inlineStr">
        <is>
          <t>2018-04</t>
        </is>
      </c>
      <c r="D3582" t="inlineStr">
        <is>
          <t>b76ef37428e6799c421989521c0e5077</t>
        </is>
      </c>
      <c r="E3582" t="inlineStr">
        <is>
          <t>unknown</t>
        </is>
      </c>
      <c r="F3582">
        <f>IFERROR(MATCH(A3582,Deals!$A$2:$A$843,0),"")</f>
        <v/>
      </c>
      <c r="G3582">
        <f>IF(F3582="",0,1)</f>
        <v/>
      </c>
      <c r="H3582" s="29">
        <f>IF(F3582="","",INDEX(Deals!$E$2:$E$843,F3582))</f>
        <v/>
      </c>
      <c r="I3582">
        <f>IF(F3582="","",INDEX(Deals!$D$2:$D$843,F3582))</f>
        <v/>
      </c>
      <c r="J3582">
        <f>IF(F3582="","",INT(H3582)-B3582)</f>
        <v/>
      </c>
      <c r="K3582">
        <f>IF(B3582&gt;=Settings!$C$5,1,0)</f>
        <v/>
      </c>
    </row>
    <row r="3583">
      <c r="A3583" t="inlineStr">
        <is>
          <t>1dd78238c3cddc9bd2da470907bba815</t>
        </is>
      </c>
      <c r="B3583" s="29" t="n">
        <v>43105</v>
      </c>
      <c r="C3583" t="inlineStr">
        <is>
          <t>2018-01</t>
        </is>
      </c>
      <c r="D3583" t="inlineStr">
        <is>
          <t>b76ef37428e6799c421989521c0e5077</t>
        </is>
      </c>
      <c r="E3583" t="inlineStr">
        <is>
          <t>unknown</t>
        </is>
      </c>
      <c r="F3583">
        <f>IFERROR(MATCH(A3583,Deals!$A$2:$A$843,0),"")</f>
        <v/>
      </c>
      <c r="G3583">
        <f>IF(F3583="",0,1)</f>
        <v/>
      </c>
      <c r="H3583" s="29">
        <f>IF(F3583="","",INDEX(Deals!$E$2:$E$843,F3583))</f>
        <v/>
      </c>
      <c r="I3583">
        <f>IF(F3583="","",INDEX(Deals!$D$2:$D$843,F3583))</f>
        <v/>
      </c>
      <c r="J3583">
        <f>IF(F3583="","",INT(H3583)-B3583)</f>
        <v/>
      </c>
      <c r="K3583">
        <f>IF(B3583&gt;=Settings!$C$5,1,0)</f>
        <v/>
      </c>
    </row>
    <row r="3584">
      <c r="A3584" t="inlineStr">
        <is>
          <t>3a3fbf606d98da42ecaf1ed523ee083c</t>
        </is>
      </c>
      <c r="B3584" s="29" t="n">
        <v>42935</v>
      </c>
      <c r="C3584" t="inlineStr">
        <is>
          <t>2017-07</t>
        </is>
      </c>
      <c r="D3584" t="inlineStr">
        <is>
          <t>3251617f7f52477cfa4689dae4c10322</t>
        </is>
      </c>
      <c r="E3584" t="inlineStr">
        <is>
          <t>organic_search</t>
        </is>
      </c>
      <c r="F3584">
        <f>IFERROR(MATCH(A3584,Deals!$A$2:$A$843,0),"")</f>
        <v/>
      </c>
      <c r="G3584">
        <f>IF(F3584="",0,1)</f>
        <v/>
      </c>
      <c r="H3584" s="29">
        <f>IF(F3584="","",INDEX(Deals!$E$2:$E$843,F3584))</f>
        <v/>
      </c>
      <c r="I3584">
        <f>IF(F3584="","",INDEX(Deals!$D$2:$D$843,F3584))</f>
        <v/>
      </c>
      <c r="J3584">
        <f>IF(F3584="","",INT(H3584)-B3584)</f>
        <v/>
      </c>
      <c r="K3584">
        <f>IF(B3584&gt;=Settings!$C$5,1,0)</f>
        <v/>
      </c>
    </row>
    <row r="3585">
      <c r="A3585" t="inlineStr">
        <is>
          <t>f8efc7c14e9be56f00e682929c90beea</t>
        </is>
      </c>
      <c r="B3585" s="29" t="n">
        <v>43032</v>
      </c>
      <c r="C3585" t="inlineStr">
        <is>
          <t>2017-10</t>
        </is>
      </c>
      <c r="D3585" t="inlineStr">
        <is>
          <t>c79bafc4a099ff23e3bab1534797fb45</t>
        </is>
      </c>
      <c r="E3585" t="inlineStr">
        <is>
          <t>paid_search</t>
        </is>
      </c>
      <c r="F3585">
        <f>IFERROR(MATCH(A3585,Deals!$A$2:$A$843,0),"")</f>
        <v/>
      </c>
      <c r="G3585">
        <f>IF(F3585="",0,1)</f>
        <v/>
      </c>
      <c r="H3585" s="29">
        <f>IF(F3585="","",INDEX(Deals!$E$2:$E$843,F3585))</f>
        <v/>
      </c>
      <c r="I3585">
        <f>IF(F3585="","",INDEX(Deals!$D$2:$D$843,F3585))</f>
        <v/>
      </c>
      <c r="J3585">
        <f>IF(F3585="","",INT(H3585)-B3585)</f>
        <v/>
      </c>
      <c r="K3585">
        <f>IF(B3585&gt;=Settings!$C$5,1,0)</f>
        <v/>
      </c>
    </row>
    <row r="3586">
      <c r="A3586" t="inlineStr">
        <is>
          <t>4f0130868fe171b5c2bf66d416a06ce2</t>
        </is>
      </c>
      <c r="B3586" s="29" t="n">
        <v>42969</v>
      </c>
      <c r="C3586" t="inlineStr">
        <is>
          <t>2017-08</t>
        </is>
      </c>
      <c r="D3586" t="inlineStr">
        <is>
          <t>22c29808c4f815213303f8933030604c</t>
        </is>
      </c>
      <c r="E3586" t="inlineStr">
        <is>
          <t>organic_search</t>
        </is>
      </c>
      <c r="F3586">
        <f>IFERROR(MATCH(A3586,Deals!$A$2:$A$843,0),"")</f>
        <v/>
      </c>
      <c r="G3586">
        <f>IF(F3586="",0,1)</f>
        <v/>
      </c>
      <c r="H3586" s="29">
        <f>IF(F3586="","",INDEX(Deals!$E$2:$E$843,F3586))</f>
        <v/>
      </c>
      <c r="I3586">
        <f>IF(F3586="","",INDEX(Deals!$D$2:$D$843,F3586))</f>
        <v/>
      </c>
      <c r="J3586">
        <f>IF(F3586="","",INT(H3586)-B3586)</f>
        <v/>
      </c>
      <c r="K3586">
        <f>IF(B3586&gt;=Settings!$C$5,1,0)</f>
        <v/>
      </c>
    </row>
    <row r="3587">
      <c r="A3587" t="inlineStr">
        <is>
          <t>c7c9a9e56779cc8e8a35f5507c5bd939</t>
        </is>
      </c>
      <c r="B3587" s="29" t="n">
        <v>43119</v>
      </c>
      <c r="C3587" t="inlineStr">
        <is>
          <t>2018-01</t>
        </is>
      </c>
      <c r="D3587" t="inlineStr">
        <is>
          <t>15cf89bab2c3163b4f9d8601d108f8b2</t>
        </is>
      </c>
      <c r="E3587" t="inlineStr">
        <is>
          <t>organic_search</t>
        </is>
      </c>
      <c r="F3587">
        <f>IFERROR(MATCH(A3587,Deals!$A$2:$A$843,0),"")</f>
        <v/>
      </c>
      <c r="G3587">
        <f>IF(F3587="",0,1)</f>
        <v/>
      </c>
      <c r="H3587" s="29">
        <f>IF(F3587="","",INDEX(Deals!$E$2:$E$843,F3587))</f>
        <v/>
      </c>
      <c r="I3587">
        <f>IF(F3587="","",INDEX(Deals!$D$2:$D$843,F3587))</f>
        <v/>
      </c>
      <c r="J3587">
        <f>IF(F3587="","",INT(H3587)-B3587)</f>
        <v/>
      </c>
      <c r="K3587">
        <f>IF(B3587&gt;=Settings!$C$5,1,0)</f>
        <v/>
      </c>
    </row>
    <row r="3588">
      <c r="A3588" t="inlineStr">
        <is>
          <t>ba288e94194f1abd5c2cb5f9313905a5</t>
        </is>
      </c>
      <c r="B3588" s="29" t="n">
        <v>43188</v>
      </c>
      <c r="C3588" t="inlineStr">
        <is>
          <t>2018-03</t>
        </is>
      </c>
      <c r="D3588" t="inlineStr">
        <is>
          <t>eddb68be86556f76236ecf815d32facb</t>
        </is>
      </c>
      <c r="E3588" t="inlineStr">
        <is>
          <t>unknown</t>
        </is>
      </c>
      <c r="F3588">
        <f>IFERROR(MATCH(A3588,Deals!$A$2:$A$843,0),"")</f>
        <v/>
      </c>
      <c r="G3588">
        <f>IF(F3588="",0,1)</f>
        <v/>
      </c>
      <c r="H3588" s="29">
        <f>IF(F3588="","",INDEX(Deals!$E$2:$E$843,F3588))</f>
        <v/>
      </c>
      <c r="I3588">
        <f>IF(F3588="","",INDEX(Deals!$D$2:$D$843,F3588))</f>
        <v/>
      </c>
      <c r="J3588">
        <f>IF(F3588="","",INT(H3588)-B3588)</f>
        <v/>
      </c>
      <c r="K3588">
        <f>IF(B3588&gt;=Settings!$C$5,1,0)</f>
        <v/>
      </c>
    </row>
    <row r="3589">
      <c r="A3589" t="inlineStr">
        <is>
          <t>53f5040ad7f51d37a525e86c91241235</t>
        </is>
      </c>
      <c r="B3589" s="29" t="n">
        <v>43122</v>
      </c>
      <c r="C3589" t="inlineStr">
        <is>
          <t>2018-01</t>
        </is>
      </c>
      <c r="D3589" t="inlineStr">
        <is>
          <t>d45d558f0daeecf3cccdffe3c59684aa</t>
        </is>
      </c>
      <c r="E3589" t="inlineStr">
        <is>
          <t>paid_search</t>
        </is>
      </c>
      <c r="F3589">
        <f>IFERROR(MATCH(A3589,Deals!$A$2:$A$843,0),"")</f>
        <v/>
      </c>
      <c r="G3589">
        <f>IF(F3589="",0,1)</f>
        <v/>
      </c>
      <c r="H3589" s="29">
        <f>IF(F3589="","",INDEX(Deals!$E$2:$E$843,F3589))</f>
        <v/>
      </c>
      <c r="I3589">
        <f>IF(F3589="","",INDEX(Deals!$D$2:$D$843,F3589))</f>
        <v/>
      </c>
      <c r="J3589">
        <f>IF(F3589="","",INT(H3589)-B3589)</f>
        <v/>
      </c>
      <c r="K3589">
        <f>IF(B3589&gt;=Settings!$C$5,1,0)</f>
        <v/>
      </c>
    </row>
    <row r="3590">
      <c r="A3590" t="inlineStr">
        <is>
          <t>3fc2d2c3597b3e7b87c17651f98f6c22</t>
        </is>
      </c>
      <c r="B3590" s="29" t="n">
        <v>43230</v>
      </c>
      <c r="C3590" t="inlineStr">
        <is>
          <t>2018-05</t>
        </is>
      </c>
      <c r="D3590" t="inlineStr">
        <is>
          <t>58326e62183c14b0c03085c33b9fdc44</t>
        </is>
      </c>
      <c r="E3590" t="inlineStr">
        <is>
          <t>social</t>
        </is>
      </c>
      <c r="F3590">
        <f>IFERROR(MATCH(A3590,Deals!$A$2:$A$843,0),"")</f>
        <v/>
      </c>
      <c r="G3590">
        <f>IF(F3590="",0,1)</f>
        <v/>
      </c>
      <c r="H3590" s="29">
        <f>IF(F3590="","",INDEX(Deals!$E$2:$E$843,F3590))</f>
        <v/>
      </c>
      <c r="I3590">
        <f>IF(F3590="","",INDEX(Deals!$D$2:$D$843,F3590))</f>
        <v/>
      </c>
      <c r="J3590">
        <f>IF(F3590="","",INT(H3590)-B3590)</f>
        <v/>
      </c>
      <c r="K3590">
        <f>IF(B3590&gt;=Settings!$C$5,1,0)</f>
        <v/>
      </c>
    </row>
    <row r="3591">
      <c r="A3591" t="inlineStr">
        <is>
          <t>ab74cae52afa59f5ab50f79a6599f236</t>
        </is>
      </c>
      <c r="B3591" s="29" t="n">
        <v>43122</v>
      </c>
      <c r="C3591" t="inlineStr">
        <is>
          <t>2018-01</t>
        </is>
      </c>
      <c r="D3591" t="inlineStr">
        <is>
          <t>d45d558f0daeecf3cccdffe3c59684aa</t>
        </is>
      </c>
      <c r="E3591" t="inlineStr">
        <is>
          <t>organic_search</t>
        </is>
      </c>
      <c r="F3591">
        <f>IFERROR(MATCH(A3591,Deals!$A$2:$A$843,0),"")</f>
        <v/>
      </c>
      <c r="G3591">
        <f>IF(F3591="",0,1)</f>
        <v/>
      </c>
      <c r="H3591" s="29">
        <f>IF(F3591="","",INDEX(Deals!$E$2:$E$843,F3591))</f>
        <v/>
      </c>
      <c r="I3591">
        <f>IF(F3591="","",INDEX(Deals!$D$2:$D$843,F3591))</f>
        <v/>
      </c>
      <c r="J3591">
        <f>IF(F3591="","",INT(H3591)-B3591)</f>
        <v/>
      </c>
      <c r="K3591">
        <f>IF(B3591&gt;=Settings!$C$5,1,0)</f>
        <v/>
      </c>
    </row>
    <row r="3592">
      <c r="A3592" t="inlineStr">
        <is>
          <t>a1dbc648d3cde67e146a2f810ded7bbd</t>
        </is>
      </c>
      <c r="B3592" s="29" t="n">
        <v>43236</v>
      </c>
      <c r="C3592" t="inlineStr">
        <is>
          <t>2018-05</t>
        </is>
      </c>
      <c r="D3592" t="inlineStr">
        <is>
          <t>330b9d44078a1ae5a221d655dcb77afa</t>
        </is>
      </c>
      <c r="E3592" t="inlineStr">
        <is>
          <t>referral</t>
        </is>
      </c>
      <c r="F3592">
        <f>IFERROR(MATCH(A3592,Deals!$A$2:$A$843,0),"")</f>
        <v/>
      </c>
      <c r="G3592">
        <f>IF(F3592="",0,1)</f>
        <v/>
      </c>
      <c r="H3592" s="29">
        <f>IF(F3592="","",INDEX(Deals!$E$2:$E$843,F3592))</f>
        <v/>
      </c>
      <c r="I3592">
        <f>IF(F3592="","",INDEX(Deals!$D$2:$D$843,F3592))</f>
        <v/>
      </c>
      <c r="J3592">
        <f>IF(F3592="","",INT(H3592)-B3592)</f>
        <v/>
      </c>
      <c r="K3592">
        <f>IF(B3592&gt;=Settings!$C$5,1,0)</f>
        <v/>
      </c>
    </row>
    <row r="3593">
      <c r="A3593" t="inlineStr">
        <is>
          <t>52aee8d35ddb5c2c25334eef19d0b3fa</t>
        </is>
      </c>
      <c r="B3593" s="29" t="n">
        <v>43196</v>
      </c>
      <c r="C3593" t="inlineStr">
        <is>
          <t>2018-04</t>
        </is>
      </c>
      <c r="D3593" t="inlineStr">
        <is>
          <t>1ceb590cd1e00c7ee95220971f82693d</t>
        </is>
      </c>
      <c r="E3593" t="inlineStr">
        <is>
          <t>paid_search</t>
        </is>
      </c>
      <c r="F3593">
        <f>IFERROR(MATCH(A3593,Deals!$A$2:$A$843,0),"")</f>
        <v/>
      </c>
      <c r="G3593">
        <f>IF(F3593="",0,1)</f>
        <v/>
      </c>
      <c r="H3593" s="29">
        <f>IF(F3593="","",INDEX(Deals!$E$2:$E$843,F3593))</f>
        <v/>
      </c>
      <c r="I3593">
        <f>IF(F3593="","",INDEX(Deals!$D$2:$D$843,F3593))</f>
        <v/>
      </c>
      <c r="J3593">
        <f>IF(F3593="","",INT(H3593)-B3593)</f>
        <v/>
      </c>
      <c r="K3593">
        <f>IF(B3593&gt;=Settings!$C$5,1,0)</f>
        <v/>
      </c>
    </row>
    <row r="3594">
      <c r="A3594" t="inlineStr">
        <is>
          <t>bc15433f32b2e408dcf5f338935402af</t>
        </is>
      </c>
      <c r="B3594" s="29" t="n">
        <v>43166</v>
      </c>
      <c r="C3594" t="inlineStr">
        <is>
          <t>2018-03</t>
        </is>
      </c>
      <c r="D3594" t="inlineStr">
        <is>
          <t>22c29808c4f815213303f8933030604c</t>
        </is>
      </c>
      <c r="E3594" t="inlineStr">
        <is>
          <t>other_publicities</t>
        </is>
      </c>
      <c r="F3594">
        <f>IFERROR(MATCH(A3594,Deals!$A$2:$A$843,0),"")</f>
        <v/>
      </c>
      <c r="G3594">
        <f>IF(F3594="",0,1)</f>
        <v/>
      </c>
      <c r="H3594" s="29">
        <f>IF(F3594="","",INDEX(Deals!$E$2:$E$843,F3594))</f>
        <v/>
      </c>
      <c r="I3594">
        <f>IF(F3594="","",INDEX(Deals!$D$2:$D$843,F3594))</f>
        <v/>
      </c>
      <c r="J3594">
        <f>IF(F3594="","",INT(H3594)-B3594)</f>
        <v/>
      </c>
      <c r="K3594">
        <f>IF(B3594&gt;=Settings!$C$5,1,0)</f>
        <v/>
      </c>
    </row>
    <row r="3595">
      <c r="A3595" t="inlineStr">
        <is>
          <t>70217dd96da535e0b862ae12245c8906</t>
        </is>
      </c>
      <c r="B3595" s="29" t="n">
        <v>43150</v>
      </c>
      <c r="C3595" t="inlineStr">
        <is>
          <t>2018-02</t>
        </is>
      </c>
      <c r="D3595" t="inlineStr">
        <is>
          <t>22c29808c4f815213303f8933030604c</t>
        </is>
      </c>
      <c r="E3595" t="inlineStr">
        <is>
          <t>paid_search</t>
        </is>
      </c>
      <c r="F3595">
        <f>IFERROR(MATCH(A3595,Deals!$A$2:$A$843,0),"")</f>
        <v/>
      </c>
      <c r="G3595">
        <f>IF(F3595="",0,1)</f>
        <v/>
      </c>
      <c r="H3595" s="29">
        <f>IF(F3595="","",INDEX(Deals!$E$2:$E$843,F3595))</f>
        <v/>
      </c>
      <c r="I3595">
        <f>IF(F3595="","",INDEX(Deals!$D$2:$D$843,F3595))</f>
        <v/>
      </c>
      <c r="J3595">
        <f>IF(F3595="","",INT(H3595)-B3595)</f>
        <v/>
      </c>
      <c r="K3595">
        <f>IF(B3595&gt;=Settings!$C$5,1,0)</f>
        <v/>
      </c>
    </row>
    <row r="3596">
      <c r="A3596" t="inlineStr">
        <is>
          <t>e1415faa4cca7f05db92f1d66ce238e6</t>
        </is>
      </c>
      <c r="B3596" s="29" t="n">
        <v>43117</v>
      </c>
      <c r="C3596" t="inlineStr">
        <is>
          <t>2018-01</t>
        </is>
      </c>
      <c r="D3596" t="inlineStr">
        <is>
          <t>111313f5b9ceedf17ab5af7317a9f9bc</t>
        </is>
      </c>
      <c r="E3596" t="inlineStr">
        <is>
          <t>organic_search</t>
        </is>
      </c>
      <c r="F3596">
        <f>IFERROR(MATCH(A3596,Deals!$A$2:$A$843,0),"")</f>
        <v/>
      </c>
      <c r="G3596">
        <f>IF(F3596="",0,1)</f>
        <v/>
      </c>
      <c r="H3596" s="29">
        <f>IF(F3596="","",INDEX(Deals!$E$2:$E$843,F3596))</f>
        <v/>
      </c>
      <c r="I3596">
        <f>IF(F3596="","",INDEX(Deals!$D$2:$D$843,F3596))</f>
        <v/>
      </c>
      <c r="J3596">
        <f>IF(F3596="","",INT(H3596)-B3596)</f>
        <v/>
      </c>
      <c r="K3596">
        <f>IF(B3596&gt;=Settings!$C$5,1,0)</f>
        <v/>
      </c>
    </row>
    <row r="3597">
      <c r="A3597" t="inlineStr">
        <is>
          <t>f5ebd52a0dc78551b072aa2eb23438b8</t>
        </is>
      </c>
      <c r="B3597" s="29" t="n">
        <v>43127</v>
      </c>
      <c r="C3597" t="inlineStr">
        <is>
          <t>2018-01</t>
        </is>
      </c>
      <c r="D3597" t="inlineStr">
        <is>
          <t>22c29808c4f815213303f8933030604c</t>
        </is>
      </c>
      <c r="E3597" t="inlineStr">
        <is>
          <t>email</t>
        </is>
      </c>
      <c r="F3597">
        <f>IFERROR(MATCH(A3597,Deals!$A$2:$A$843,0),"")</f>
        <v/>
      </c>
      <c r="G3597">
        <f>IF(F3597="",0,1)</f>
        <v/>
      </c>
      <c r="H3597" s="29">
        <f>IF(F3597="","",INDEX(Deals!$E$2:$E$843,F3597))</f>
        <v/>
      </c>
      <c r="I3597">
        <f>IF(F3597="","",INDEX(Deals!$D$2:$D$843,F3597))</f>
        <v/>
      </c>
      <c r="J3597">
        <f>IF(F3597="","",INT(H3597)-B3597)</f>
        <v/>
      </c>
      <c r="K3597">
        <f>IF(B3597&gt;=Settings!$C$5,1,0)</f>
        <v/>
      </c>
    </row>
    <row r="3598">
      <c r="A3598" t="inlineStr">
        <is>
          <t>60793eb1cf4738fc67df0a93d57ada14</t>
        </is>
      </c>
      <c r="B3598" s="29" t="n">
        <v>43012</v>
      </c>
      <c r="C3598" t="inlineStr">
        <is>
          <t>2017-10</t>
        </is>
      </c>
      <c r="D3598" t="inlineStr">
        <is>
          <t>21aa3161ecfcb855e82c0ef1ebdf410d</t>
        </is>
      </c>
      <c r="E3598" t="inlineStr">
        <is>
          <t>unknown</t>
        </is>
      </c>
      <c r="F3598">
        <f>IFERROR(MATCH(A3598,Deals!$A$2:$A$843,0),"")</f>
        <v/>
      </c>
      <c r="G3598">
        <f>IF(F3598="",0,1)</f>
        <v/>
      </c>
      <c r="H3598" s="29">
        <f>IF(F3598="","",INDEX(Deals!$E$2:$E$843,F3598))</f>
        <v/>
      </c>
      <c r="I3598">
        <f>IF(F3598="","",INDEX(Deals!$D$2:$D$843,F3598))</f>
        <v/>
      </c>
      <c r="J3598">
        <f>IF(F3598="","",INT(H3598)-B3598)</f>
        <v/>
      </c>
      <c r="K3598">
        <f>IF(B3598&gt;=Settings!$C$5,1,0)</f>
        <v/>
      </c>
    </row>
    <row r="3599">
      <c r="A3599" t="inlineStr">
        <is>
          <t>1d6f5d0e873ff67e5934494d9f99946e</t>
        </is>
      </c>
      <c r="B3599" s="29" t="n">
        <v>43105</v>
      </c>
      <c r="C3599" t="inlineStr">
        <is>
          <t>2018-01</t>
        </is>
      </c>
      <c r="D3599" t="inlineStr">
        <is>
          <t>22c29808c4f815213303f8933030604c</t>
        </is>
      </c>
      <c r="E3599" t="inlineStr">
        <is>
          <t>organic_search</t>
        </is>
      </c>
      <c r="F3599">
        <f>IFERROR(MATCH(A3599,Deals!$A$2:$A$843,0),"")</f>
        <v/>
      </c>
      <c r="G3599">
        <f>IF(F3599="",0,1)</f>
        <v/>
      </c>
      <c r="H3599" s="29">
        <f>IF(F3599="","",INDEX(Deals!$E$2:$E$843,F3599))</f>
        <v/>
      </c>
      <c r="I3599">
        <f>IF(F3599="","",INDEX(Deals!$D$2:$D$843,F3599))</f>
        <v/>
      </c>
      <c r="J3599">
        <f>IF(F3599="","",INT(H3599)-B3599)</f>
        <v/>
      </c>
      <c r="K3599">
        <f>IF(B3599&gt;=Settings!$C$5,1,0)</f>
        <v/>
      </c>
    </row>
    <row r="3600">
      <c r="A3600" t="inlineStr">
        <is>
          <t>45357744aeca58e25b55d49ff3e28706</t>
        </is>
      </c>
      <c r="B3600" s="29" t="n">
        <v>43179</v>
      </c>
      <c r="C3600" t="inlineStr">
        <is>
          <t>2018-03</t>
        </is>
      </c>
      <c r="D3600" t="inlineStr">
        <is>
          <t>dcdbbb0bb43f5c9ea457a8363db87e73</t>
        </is>
      </c>
      <c r="E3600" t="inlineStr">
        <is>
          <t>email</t>
        </is>
      </c>
      <c r="F3600">
        <f>IFERROR(MATCH(A3600,Deals!$A$2:$A$843,0),"")</f>
        <v/>
      </c>
      <c r="G3600">
        <f>IF(F3600="",0,1)</f>
        <v/>
      </c>
      <c r="H3600" s="29">
        <f>IF(F3600="","",INDEX(Deals!$E$2:$E$843,F3600))</f>
        <v/>
      </c>
      <c r="I3600">
        <f>IF(F3600="","",INDEX(Deals!$D$2:$D$843,F3600))</f>
        <v/>
      </c>
      <c r="J3600">
        <f>IF(F3600="","",INT(H3600)-B3600)</f>
        <v/>
      </c>
      <c r="K3600">
        <f>IF(B3600&gt;=Settings!$C$5,1,0)</f>
        <v/>
      </c>
    </row>
    <row r="3601">
      <c r="A3601" t="inlineStr">
        <is>
          <t>e633a3d4fb3db2c7665c170c80db6717</t>
        </is>
      </c>
      <c r="B3601" s="29" t="n">
        <v>43049</v>
      </c>
      <c r="C3601" t="inlineStr">
        <is>
          <t>2017-11</t>
        </is>
      </c>
      <c r="D3601" t="inlineStr">
        <is>
          <t>22c29808c4f815213303f8933030604c</t>
        </is>
      </c>
      <c r="E3601" t="inlineStr">
        <is>
          <t>organic_search</t>
        </is>
      </c>
      <c r="F3601">
        <f>IFERROR(MATCH(A3601,Deals!$A$2:$A$843,0),"")</f>
        <v/>
      </c>
      <c r="G3601">
        <f>IF(F3601="",0,1)</f>
        <v/>
      </c>
      <c r="H3601" s="29">
        <f>IF(F3601="","",INDEX(Deals!$E$2:$E$843,F3601))</f>
        <v/>
      </c>
      <c r="I3601">
        <f>IF(F3601="","",INDEX(Deals!$D$2:$D$843,F3601))</f>
        <v/>
      </c>
      <c r="J3601">
        <f>IF(F3601="","",INT(H3601)-B3601)</f>
        <v/>
      </c>
      <c r="K3601">
        <f>IF(B3601&gt;=Settings!$C$5,1,0)</f>
        <v/>
      </c>
    </row>
    <row r="3602">
      <c r="A3602" t="inlineStr">
        <is>
          <t>1067186e81115b17ee94a90f1a4c124c</t>
        </is>
      </c>
      <c r="B3602" s="29" t="n">
        <v>43033</v>
      </c>
      <c r="C3602" t="inlineStr">
        <is>
          <t>2017-10</t>
        </is>
      </c>
      <c r="D3602" t="inlineStr">
        <is>
          <t>83ccc33d426eab8a3db70bd15aba46b8</t>
        </is>
      </c>
      <c r="E3602" t="inlineStr">
        <is>
          <t>organic_search</t>
        </is>
      </c>
      <c r="F3602">
        <f>IFERROR(MATCH(A3602,Deals!$A$2:$A$843,0),"")</f>
        <v/>
      </c>
      <c r="G3602">
        <f>IF(F3602="",0,1)</f>
        <v/>
      </c>
      <c r="H3602" s="29">
        <f>IF(F3602="","",INDEX(Deals!$E$2:$E$843,F3602))</f>
        <v/>
      </c>
      <c r="I3602">
        <f>IF(F3602="","",INDEX(Deals!$D$2:$D$843,F3602))</f>
        <v/>
      </c>
      <c r="J3602">
        <f>IF(F3602="","",INT(H3602)-B3602)</f>
        <v/>
      </c>
      <c r="K3602">
        <f>IF(B3602&gt;=Settings!$C$5,1,0)</f>
        <v/>
      </c>
    </row>
    <row r="3603">
      <c r="A3603" t="inlineStr">
        <is>
          <t>80fb8b5d8e12b6d0cf36310afeb3ebc5</t>
        </is>
      </c>
      <c r="B3603" s="29" t="n">
        <v>43039</v>
      </c>
      <c r="C3603" t="inlineStr">
        <is>
          <t>2017-10</t>
        </is>
      </c>
      <c r="D3603" t="inlineStr">
        <is>
          <t>08940bbad6e96fc4e620f2d9a00b1db4</t>
        </is>
      </c>
      <c r="E3603" t="inlineStr">
        <is>
          <t>organic_search</t>
        </is>
      </c>
      <c r="F3603">
        <f>IFERROR(MATCH(A3603,Deals!$A$2:$A$843,0),"")</f>
        <v/>
      </c>
      <c r="G3603">
        <f>IF(F3603="",0,1)</f>
        <v/>
      </c>
      <c r="H3603" s="29">
        <f>IF(F3603="","",INDEX(Deals!$E$2:$E$843,F3603))</f>
        <v/>
      </c>
      <c r="I3603">
        <f>IF(F3603="","",INDEX(Deals!$D$2:$D$843,F3603))</f>
        <v/>
      </c>
      <c r="J3603">
        <f>IF(F3603="","",INT(H3603)-B3603)</f>
        <v/>
      </c>
      <c r="K3603">
        <f>IF(B3603&gt;=Settings!$C$5,1,0)</f>
        <v/>
      </c>
    </row>
    <row r="3604">
      <c r="A3604" t="inlineStr">
        <is>
          <t>9fcec5bdc065a562866029dd39b5b2ad</t>
        </is>
      </c>
      <c r="B3604" s="29" t="n">
        <v>43194</v>
      </c>
      <c r="C3604" t="inlineStr">
        <is>
          <t>2018-04</t>
        </is>
      </c>
      <c r="D3604" t="inlineStr">
        <is>
          <t>0b9430edcbf2d9a95148c806af2b6699</t>
        </is>
      </c>
      <c r="E3604" t="inlineStr">
        <is>
          <t>paid_search</t>
        </is>
      </c>
      <c r="F3604">
        <f>IFERROR(MATCH(A3604,Deals!$A$2:$A$843,0),"")</f>
        <v/>
      </c>
      <c r="G3604">
        <f>IF(F3604="",0,1)</f>
        <v/>
      </c>
      <c r="H3604" s="29">
        <f>IF(F3604="","",INDEX(Deals!$E$2:$E$843,F3604))</f>
        <v/>
      </c>
      <c r="I3604">
        <f>IF(F3604="","",INDEX(Deals!$D$2:$D$843,F3604))</f>
        <v/>
      </c>
      <c r="J3604">
        <f>IF(F3604="","",INT(H3604)-B3604)</f>
        <v/>
      </c>
      <c r="K3604">
        <f>IF(B3604&gt;=Settings!$C$5,1,0)</f>
        <v/>
      </c>
    </row>
    <row r="3605">
      <c r="A3605" t="inlineStr">
        <is>
          <t>f7e38046dc880ae3144b422c84cb83e5</t>
        </is>
      </c>
      <c r="B3605" s="29" t="n">
        <v>43143</v>
      </c>
      <c r="C3605" t="inlineStr">
        <is>
          <t>2018-02</t>
        </is>
      </c>
      <c r="D3605" t="inlineStr">
        <is>
          <t>6fc06a95ee1be694d56a0172bc2306b9</t>
        </is>
      </c>
      <c r="E3605" t="inlineStr">
        <is>
          <t>social</t>
        </is>
      </c>
      <c r="F3605">
        <f>IFERROR(MATCH(A3605,Deals!$A$2:$A$843,0),"")</f>
        <v/>
      </c>
      <c r="G3605">
        <f>IF(F3605="",0,1)</f>
        <v/>
      </c>
      <c r="H3605" s="29">
        <f>IF(F3605="","",INDEX(Deals!$E$2:$E$843,F3605))</f>
        <v/>
      </c>
      <c r="I3605">
        <f>IF(F3605="","",INDEX(Deals!$D$2:$D$843,F3605))</f>
        <v/>
      </c>
      <c r="J3605">
        <f>IF(F3605="","",INT(H3605)-B3605)</f>
        <v/>
      </c>
      <c r="K3605">
        <f>IF(B3605&gt;=Settings!$C$5,1,0)</f>
        <v/>
      </c>
    </row>
    <row r="3606">
      <c r="A3606" t="inlineStr">
        <is>
          <t>3651084f2100c6e369b1d2d396df4291</t>
        </is>
      </c>
      <c r="B3606" s="29" t="n">
        <v>43231</v>
      </c>
      <c r="C3606" t="inlineStr">
        <is>
          <t>2018-05</t>
        </is>
      </c>
      <c r="D3606" t="inlineStr">
        <is>
          <t>b76ef37428e6799c421989521c0e5077</t>
        </is>
      </c>
      <c r="E3606" t="inlineStr">
        <is>
          <t>unknown</t>
        </is>
      </c>
      <c r="F3606">
        <f>IFERROR(MATCH(A3606,Deals!$A$2:$A$843,0),"")</f>
        <v/>
      </c>
      <c r="G3606">
        <f>IF(F3606="",0,1)</f>
        <v/>
      </c>
      <c r="H3606" s="29">
        <f>IF(F3606="","",INDEX(Deals!$E$2:$E$843,F3606))</f>
        <v/>
      </c>
      <c r="I3606">
        <f>IF(F3606="","",INDEX(Deals!$D$2:$D$843,F3606))</f>
        <v/>
      </c>
      <c r="J3606">
        <f>IF(F3606="","",INT(H3606)-B3606)</f>
        <v/>
      </c>
      <c r="K3606">
        <f>IF(B3606&gt;=Settings!$C$5,1,0)</f>
        <v/>
      </c>
    </row>
    <row r="3607">
      <c r="A3607" t="inlineStr">
        <is>
          <t>585f71bfcabaf958eea2dff2971b53f3</t>
        </is>
      </c>
      <c r="B3607" s="29" t="n">
        <v>43208</v>
      </c>
      <c r="C3607" t="inlineStr">
        <is>
          <t>2018-04</t>
        </is>
      </c>
      <c r="D3607" t="inlineStr">
        <is>
          <t>e534a08b23c682d94859d0ab860bd57a</t>
        </is>
      </c>
      <c r="E3607" t="inlineStr">
        <is>
          <t>referral</t>
        </is>
      </c>
      <c r="F3607">
        <f>IFERROR(MATCH(A3607,Deals!$A$2:$A$843,0),"")</f>
        <v/>
      </c>
      <c r="G3607">
        <f>IF(F3607="",0,1)</f>
        <v/>
      </c>
      <c r="H3607" s="29">
        <f>IF(F3607="","",INDEX(Deals!$E$2:$E$843,F3607))</f>
        <v/>
      </c>
      <c r="I3607">
        <f>IF(F3607="","",INDEX(Deals!$D$2:$D$843,F3607))</f>
        <v/>
      </c>
      <c r="J3607">
        <f>IF(F3607="","",INT(H3607)-B3607)</f>
        <v/>
      </c>
      <c r="K3607">
        <f>IF(B3607&gt;=Settings!$C$5,1,0)</f>
        <v/>
      </c>
    </row>
    <row r="3608">
      <c r="A3608" t="inlineStr">
        <is>
          <t>74a7ac36372d9ef2c7b7ff0cc02001d2</t>
        </is>
      </c>
      <c r="B3608" s="29" t="n">
        <v>43113</v>
      </c>
      <c r="C3608" t="inlineStr">
        <is>
          <t>2018-01</t>
        </is>
      </c>
      <c r="D3608" t="inlineStr">
        <is>
          <t>f017be4dbf86243af5c1ebed0cff36a2</t>
        </is>
      </c>
      <c r="E3608" t="inlineStr">
        <is>
          <t>organic_search</t>
        </is>
      </c>
      <c r="F3608">
        <f>IFERROR(MATCH(A3608,Deals!$A$2:$A$843,0),"")</f>
        <v/>
      </c>
      <c r="G3608">
        <f>IF(F3608="",0,1)</f>
        <v/>
      </c>
      <c r="H3608" s="29">
        <f>IF(F3608="","",INDEX(Deals!$E$2:$E$843,F3608))</f>
        <v/>
      </c>
      <c r="I3608">
        <f>IF(F3608="","",INDEX(Deals!$D$2:$D$843,F3608))</f>
        <v/>
      </c>
      <c r="J3608">
        <f>IF(F3608="","",INT(H3608)-B3608)</f>
        <v/>
      </c>
      <c r="K3608">
        <f>IF(B3608&gt;=Settings!$C$5,1,0)</f>
        <v/>
      </c>
    </row>
    <row r="3609">
      <c r="A3609" t="inlineStr">
        <is>
          <t>f07ca4fff2262325714456751a804932</t>
        </is>
      </c>
      <c r="B3609" s="29" t="n">
        <v>43164</v>
      </c>
      <c r="C3609" t="inlineStr">
        <is>
          <t>2018-03</t>
        </is>
      </c>
      <c r="D3609" t="inlineStr">
        <is>
          <t>65d9f9d71e562365e8b44037c2888d98</t>
        </is>
      </c>
      <c r="E3609" t="inlineStr">
        <is>
          <t>paid_search</t>
        </is>
      </c>
      <c r="F3609">
        <f>IFERROR(MATCH(A3609,Deals!$A$2:$A$843,0),"")</f>
        <v/>
      </c>
      <c r="G3609">
        <f>IF(F3609="",0,1)</f>
        <v/>
      </c>
      <c r="H3609" s="29">
        <f>IF(F3609="","",INDEX(Deals!$E$2:$E$843,F3609))</f>
        <v/>
      </c>
      <c r="I3609">
        <f>IF(F3609="","",INDEX(Deals!$D$2:$D$843,F3609))</f>
        <v/>
      </c>
      <c r="J3609">
        <f>IF(F3609="","",INT(H3609)-B3609)</f>
        <v/>
      </c>
      <c r="K3609">
        <f>IF(B3609&gt;=Settings!$C$5,1,0)</f>
        <v/>
      </c>
    </row>
    <row r="3610">
      <c r="A3610" t="inlineStr">
        <is>
          <t>c336fcef7e3edebda3f4df29549bf5fb</t>
        </is>
      </c>
      <c r="B3610" s="29" t="n">
        <v>42996</v>
      </c>
      <c r="C3610" t="inlineStr">
        <is>
          <t>2017-09</t>
        </is>
      </c>
      <c r="D3610" t="inlineStr">
        <is>
          <t>214b0943d4ad794c4086cf7e38785ef2</t>
        </is>
      </c>
      <c r="E3610" t="inlineStr">
        <is>
          <t>organic_search</t>
        </is>
      </c>
      <c r="F3610">
        <f>IFERROR(MATCH(A3610,Deals!$A$2:$A$843,0),"")</f>
        <v/>
      </c>
      <c r="G3610">
        <f>IF(F3610="",0,1)</f>
        <v/>
      </c>
      <c r="H3610" s="29">
        <f>IF(F3610="","",INDEX(Deals!$E$2:$E$843,F3610))</f>
        <v/>
      </c>
      <c r="I3610">
        <f>IF(F3610="","",INDEX(Deals!$D$2:$D$843,F3610))</f>
        <v/>
      </c>
      <c r="J3610">
        <f>IF(F3610="","",INT(H3610)-B3610)</f>
        <v/>
      </c>
      <c r="K3610">
        <f>IF(B3610&gt;=Settings!$C$5,1,0)</f>
        <v/>
      </c>
    </row>
    <row r="3611">
      <c r="A3611" t="inlineStr">
        <is>
          <t>ce3c9c905135bab43c25500d3435a7a7</t>
        </is>
      </c>
      <c r="B3611" s="29" t="n">
        <v>43126</v>
      </c>
      <c r="C3611" t="inlineStr">
        <is>
          <t>2018-01</t>
        </is>
      </c>
      <c r="D3611" t="inlineStr">
        <is>
          <t>ce1a65abd0973638f1c887a6efcfa82d</t>
        </is>
      </c>
      <c r="E3611" t="inlineStr">
        <is>
          <t>paid_search</t>
        </is>
      </c>
      <c r="F3611">
        <f>IFERROR(MATCH(A3611,Deals!$A$2:$A$843,0),"")</f>
        <v/>
      </c>
      <c r="G3611">
        <f>IF(F3611="",0,1)</f>
        <v/>
      </c>
      <c r="H3611" s="29">
        <f>IF(F3611="","",INDEX(Deals!$E$2:$E$843,F3611))</f>
        <v/>
      </c>
      <c r="I3611">
        <f>IF(F3611="","",INDEX(Deals!$D$2:$D$843,F3611))</f>
        <v/>
      </c>
      <c r="J3611">
        <f>IF(F3611="","",INT(H3611)-B3611)</f>
        <v/>
      </c>
      <c r="K3611">
        <f>IF(B3611&gt;=Settings!$C$5,1,0)</f>
        <v/>
      </c>
    </row>
    <row r="3612">
      <c r="A3612" t="inlineStr">
        <is>
          <t>b63f5641d0f58da69385e9bbbb990b1f</t>
        </is>
      </c>
      <c r="B3612" s="29" t="n">
        <v>43193</v>
      </c>
      <c r="C3612" t="inlineStr">
        <is>
          <t>2018-04</t>
        </is>
      </c>
      <c r="D3612" t="inlineStr">
        <is>
          <t>40dec9f3d5259a3d2dbcdab2114fae47</t>
        </is>
      </c>
      <c r="E3612" t="inlineStr">
        <is>
          <t>paid_search</t>
        </is>
      </c>
      <c r="F3612">
        <f>IFERROR(MATCH(A3612,Deals!$A$2:$A$843,0),"")</f>
        <v/>
      </c>
      <c r="G3612">
        <f>IF(F3612="",0,1)</f>
        <v/>
      </c>
      <c r="H3612" s="29">
        <f>IF(F3612="","",INDEX(Deals!$E$2:$E$843,F3612))</f>
        <v/>
      </c>
      <c r="I3612">
        <f>IF(F3612="","",INDEX(Deals!$D$2:$D$843,F3612))</f>
        <v/>
      </c>
      <c r="J3612">
        <f>IF(F3612="","",INT(H3612)-B3612)</f>
        <v/>
      </c>
      <c r="K3612">
        <f>IF(B3612&gt;=Settings!$C$5,1,0)</f>
        <v/>
      </c>
    </row>
    <row r="3613">
      <c r="A3613" t="inlineStr">
        <is>
          <t>2ef04073c2fe0526f1e12b9207d01a7f</t>
        </is>
      </c>
      <c r="B3613" s="29" t="n">
        <v>43216</v>
      </c>
      <c r="C3613" t="inlineStr">
        <is>
          <t>2018-04</t>
        </is>
      </c>
      <c r="D3613" t="inlineStr">
        <is>
          <t>f80696b73d17fb34f5c4fde157f119d8</t>
        </is>
      </c>
      <c r="E3613" t="inlineStr">
        <is>
          <t>organic_search</t>
        </is>
      </c>
      <c r="F3613">
        <f>IFERROR(MATCH(A3613,Deals!$A$2:$A$843,0),"")</f>
        <v/>
      </c>
      <c r="G3613">
        <f>IF(F3613="",0,1)</f>
        <v/>
      </c>
      <c r="H3613" s="29">
        <f>IF(F3613="","",INDEX(Deals!$E$2:$E$843,F3613))</f>
        <v/>
      </c>
      <c r="I3613">
        <f>IF(F3613="","",INDEX(Deals!$D$2:$D$843,F3613))</f>
        <v/>
      </c>
      <c r="J3613">
        <f>IF(F3613="","",INT(H3613)-B3613)</f>
        <v/>
      </c>
      <c r="K3613">
        <f>IF(B3613&gt;=Settings!$C$5,1,0)</f>
        <v/>
      </c>
    </row>
    <row r="3614">
      <c r="A3614" t="inlineStr">
        <is>
          <t>987d2f8de201e03eaf666747dafbc659</t>
        </is>
      </c>
      <c r="B3614" s="29" t="n">
        <v>43191</v>
      </c>
      <c r="C3614" t="inlineStr">
        <is>
          <t>2018-04</t>
        </is>
      </c>
      <c r="D3614" t="inlineStr">
        <is>
          <t>73fec6021437e723ff5adae8dff89e23</t>
        </is>
      </c>
      <c r="E3614" t="inlineStr">
        <is>
          <t>social</t>
        </is>
      </c>
      <c r="F3614">
        <f>IFERROR(MATCH(A3614,Deals!$A$2:$A$843,0),"")</f>
        <v/>
      </c>
      <c r="G3614">
        <f>IF(F3614="",0,1)</f>
        <v/>
      </c>
      <c r="H3614" s="29">
        <f>IF(F3614="","",INDEX(Deals!$E$2:$E$843,F3614))</f>
        <v/>
      </c>
      <c r="I3614">
        <f>IF(F3614="","",INDEX(Deals!$D$2:$D$843,F3614))</f>
        <v/>
      </c>
      <c r="J3614">
        <f>IF(F3614="","",INT(H3614)-B3614)</f>
        <v/>
      </c>
      <c r="K3614">
        <f>IF(B3614&gt;=Settings!$C$5,1,0)</f>
        <v/>
      </c>
    </row>
    <row r="3615">
      <c r="A3615" t="inlineStr">
        <is>
          <t>dcae238b96cc21b0fd4a1d37ec177a4c</t>
        </is>
      </c>
      <c r="B3615" s="29" t="n">
        <v>43132</v>
      </c>
      <c r="C3615" t="inlineStr">
        <is>
          <t>2018-02</t>
        </is>
      </c>
      <c r="D3615" t="inlineStr">
        <is>
          <t>c79bafc4a099ff23e3bab1534797fb45</t>
        </is>
      </c>
      <c r="E3615" t="inlineStr">
        <is>
          <t>paid_search</t>
        </is>
      </c>
      <c r="F3615">
        <f>IFERROR(MATCH(A3615,Deals!$A$2:$A$843,0),"")</f>
        <v/>
      </c>
      <c r="G3615">
        <f>IF(F3615="",0,1)</f>
        <v/>
      </c>
      <c r="H3615" s="29">
        <f>IF(F3615="","",INDEX(Deals!$E$2:$E$843,F3615))</f>
        <v/>
      </c>
      <c r="I3615">
        <f>IF(F3615="","",INDEX(Deals!$D$2:$D$843,F3615))</f>
        <v/>
      </c>
      <c r="J3615">
        <f>IF(F3615="","",INT(H3615)-B3615)</f>
        <v/>
      </c>
      <c r="K3615">
        <f>IF(B3615&gt;=Settings!$C$5,1,0)</f>
        <v/>
      </c>
    </row>
    <row r="3616">
      <c r="A3616" t="inlineStr">
        <is>
          <t>eabe8e1fe6add3ddf6d65b6df954b376</t>
        </is>
      </c>
      <c r="B3616" s="29" t="n">
        <v>43181</v>
      </c>
      <c r="C3616" t="inlineStr">
        <is>
          <t>2018-03</t>
        </is>
      </c>
      <c r="D3616" t="inlineStr">
        <is>
          <t>ce1a65abd0973638f1c887a6efcfa82d</t>
        </is>
      </c>
      <c r="E3616" t="inlineStr">
        <is>
          <t>paid_search</t>
        </is>
      </c>
      <c r="F3616">
        <f>IFERROR(MATCH(A3616,Deals!$A$2:$A$843,0),"")</f>
        <v/>
      </c>
      <c r="G3616">
        <f>IF(F3616="",0,1)</f>
        <v/>
      </c>
      <c r="H3616" s="29">
        <f>IF(F3616="","",INDEX(Deals!$E$2:$E$843,F3616))</f>
        <v/>
      </c>
      <c r="I3616">
        <f>IF(F3616="","",INDEX(Deals!$D$2:$D$843,F3616))</f>
        <v/>
      </c>
      <c r="J3616">
        <f>IF(F3616="","",INT(H3616)-B3616)</f>
        <v/>
      </c>
      <c r="K3616">
        <f>IF(B3616&gt;=Settings!$C$5,1,0)</f>
        <v/>
      </c>
    </row>
    <row r="3617">
      <c r="A3617" t="inlineStr">
        <is>
          <t>5dd53e1664525233d42f0464ecfb47f1</t>
        </is>
      </c>
      <c r="B3617" s="29" t="n">
        <v>43135</v>
      </c>
      <c r="C3617" t="inlineStr">
        <is>
          <t>2018-02</t>
        </is>
      </c>
      <c r="D3617" t="inlineStr">
        <is>
          <t>22c29808c4f815213303f8933030604c</t>
        </is>
      </c>
      <c r="E3617" t="inlineStr">
        <is>
          <t>organic_search</t>
        </is>
      </c>
      <c r="F3617">
        <f>IFERROR(MATCH(A3617,Deals!$A$2:$A$843,0),"")</f>
        <v/>
      </c>
      <c r="G3617">
        <f>IF(F3617="",0,1)</f>
        <v/>
      </c>
      <c r="H3617" s="29">
        <f>IF(F3617="","",INDEX(Deals!$E$2:$E$843,F3617))</f>
        <v/>
      </c>
      <c r="I3617">
        <f>IF(F3617="","",INDEX(Deals!$D$2:$D$843,F3617))</f>
        <v/>
      </c>
      <c r="J3617">
        <f>IF(F3617="","",INT(H3617)-B3617)</f>
        <v/>
      </c>
      <c r="K3617">
        <f>IF(B3617&gt;=Settings!$C$5,1,0)</f>
        <v/>
      </c>
    </row>
    <row r="3618">
      <c r="A3618" t="inlineStr">
        <is>
          <t>fc23b5db09f447a88f995540924726bc</t>
        </is>
      </c>
      <c r="B3618" s="29" t="n">
        <v>43154</v>
      </c>
      <c r="C3618" t="inlineStr">
        <is>
          <t>2018-02</t>
        </is>
      </c>
      <c r="D3618" t="inlineStr">
        <is>
          <t>649b7b8b46b254497e92038d88f6ced8</t>
        </is>
      </c>
      <c r="E3618" t="inlineStr">
        <is>
          <t>social</t>
        </is>
      </c>
      <c r="F3618">
        <f>IFERROR(MATCH(A3618,Deals!$A$2:$A$843,0),"")</f>
        <v/>
      </c>
      <c r="G3618">
        <f>IF(F3618="",0,1)</f>
        <v/>
      </c>
      <c r="H3618" s="29">
        <f>IF(F3618="","",INDEX(Deals!$E$2:$E$843,F3618))</f>
        <v/>
      </c>
      <c r="I3618">
        <f>IF(F3618="","",INDEX(Deals!$D$2:$D$843,F3618))</f>
        <v/>
      </c>
      <c r="J3618">
        <f>IF(F3618="","",INT(H3618)-B3618)</f>
        <v/>
      </c>
      <c r="K3618">
        <f>IF(B3618&gt;=Settings!$C$5,1,0)</f>
        <v/>
      </c>
    </row>
    <row r="3619">
      <c r="A3619" t="inlineStr">
        <is>
          <t>41968108405ae4c20a77ce8f901d0c49</t>
        </is>
      </c>
      <c r="B3619" s="29" t="n">
        <v>43251</v>
      </c>
      <c r="C3619" t="inlineStr">
        <is>
          <t>2018-05</t>
        </is>
      </c>
      <c r="D3619" t="inlineStr">
        <is>
          <t>58326e62183c14b0c03085c33b9fdc44</t>
        </is>
      </c>
      <c r="E3619" t="inlineStr">
        <is>
          <t>social</t>
        </is>
      </c>
      <c r="F3619">
        <f>IFERROR(MATCH(A3619,Deals!$A$2:$A$843,0),"")</f>
        <v/>
      </c>
      <c r="G3619">
        <f>IF(F3619="",0,1)</f>
        <v/>
      </c>
      <c r="H3619" s="29">
        <f>IF(F3619="","",INDEX(Deals!$E$2:$E$843,F3619))</f>
        <v/>
      </c>
      <c r="I3619">
        <f>IF(F3619="","",INDEX(Deals!$D$2:$D$843,F3619))</f>
        <v/>
      </c>
      <c r="J3619">
        <f>IF(F3619="","",INT(H3619)-B3619)</f>
        <v/>
      </c>
      <c r="K3619">
        <f>IF(B3619&gt;=Settings!$C$5,1,0)</f>
        <v/>
      </c>
    </row>
    <row r="3620">
      <c r="A3620" t="inlineStr">
        <is>
          <t>9cb88dd759fcae2f3cb5907b9280bcaa</t>
        </is>
      </c>
      <c r="B3620" s="29" t="n">
        <v>42970</v>
      </c>
      <c r="C3620" t="inlineStr">
        <is>
          <t>2017-08</t>
        </is>
      </c>
      <c r="D3620" t="inlineStr">
        <is>
          <t>87732658ba41d8775e8577df347a64db</t>
        </is>
      </c>
      <c r="E3620" t="inlineStr">
        <is>
          <t>social</t>
        </is>
      </c>
      <c r="F3620">
        <f>IFERROR(MATCH(A3620,Deals!$A$2:$A$843,0),"")</f>
        <v/>
      </c>
      <c r="G3620">
        <f>IF(F3620="",0,1)</f>
        <v/>
      </c>
      <c r="H3620" s="29">
        <f>IF(F3620="","",INDEX(Deals!$E$2:$E$843,F3620))</f>
        <v/>
      </c>
      <c r="I3620">
        <f>IF(F3620="","",INDEX(Deals!$D$2:$D$843,F3620))</f>
        <v/>
      </c>
      <c r="J3620">
        <f>IF(F3620="","",INT(H3620)-B3620)</f>
        <v/>
      </c>
      <c r="K3620">
        <f>IF(B3620&gt;=Settings!$C$5,1,0)</f>
        <v/>
      </c>
    </row>
    <row r="3621">
      <c r="A3621" t="inlineStr">
        <is>
          <t>b2d01c8af1be7532eda6194bdae2baef</t>
        </is>
      </c>
      <c r="B3621" s="29" t="n">
        <v>43189</v>
      </c>
      <c r="C3621" t="inlineStr">
        <is>
          <t>2018-03</t>
        </is>
      </c>
      <c r="D3621" t="inlineStr">
        <is>
          <t>b76ef37428e6799c421989521c0e5077</t>
        </is>
      </c>
      <c r="E3621" t="inlineStr">
        <is>
          <t>unknown</t>
        </is>
      </c>
      <c r="F3621">
        <f>IFERROR(MATCH(A3621,Deals!$A$2:$A$843,0),"")</f>
        <v/>
      </c>
      <c r="G3621">
        <f>IF(F3621="",0,1)</f>
        <v/>
      </c>
      <c r="H3621" s="29">
        <f>IF(F3621="","",INDEX(Deals!$E$2:$E$843,F3621))</f>
        <v/>
      </c>
      <c r="I3621">
        <f>IF(F3621="","",INDEX(Deals!$D$2:$D$843,F3621))</f>
        <v/>
      </c>
      <c r="J3621">
        <f>IF(F3621="","",INT(H3621)-B3621)</f>
        <v/>
      </c>
      <c r="K3621">
        <f>IF(B3621&gt;=Settings!$C$5,1,0)</f>
        <v/>
      </c>
    </row>
    <row r="3622">
      <c r="A3622" t="inlineStr">
        <is>
          <t>b26dda5248b725e9bd9c9bcec3d628b4</t>
        </is>
      </c>
      <c r="B3622" s="29" t="n">
        <v>43158</v>
      </c>
      <c r="C3622" t="inlineStr">
        <is>
          <t>2018-02</t>
        </is>
      </c>
      <c r="D3622" t="inlineStr">
        <is>
          <t>f017be4dbf86243af5c1ebed0cff36a2</t>
        </is>
      </c>
      <c r="E3622" t="inlineStr">
        <is>
          <t>organic_search</t>
        </is>
      </c>
      <c r="F3622">
        <f>IFERROR(MATCH(A3622,Deals!$A$2:$A$843,0),"")</f>
        <v/>
      </c>
      <c r="G3622">
        <f>IF(F3622="",0,1)</f>
        <v/>
      </c>
      <c r="H3622" s="29">
        <f>IF(F3622="","",INDEX(Deals!$E$2:$E$843,F3622))</f>
        <v/>
      </c>
      <c r="I3622">
        <f>IF(F3622="","",INDEX(Deals!$D$2:$D$843,F3622))</f>
        <v/>
      </c>
      <c r="J3622">
        <f>IF(F3622="","",INT(H3622)-B3622)</f>
        <v/>
      </c>
      <c r="K3622">
        <f>IF(B3622&gt;=Settings!$C$5,1,0)</f>
        <v/>
      </c>
    </row>
    <row r="3623">
      <c r="A3623" t="inlineStr">
        <is>
          <t>d43601e8a1b7a88689e57107367b0d58</t>
        </is>
      </c>
      <c r="B3623" s="29" t="n">
        <v>43230</v>
      </c>
      <c r="C3623" t="inlineStr">
        <is>
          <t>2018-05</t>
        </is>
      </c>
      <c r="D3623" t="inlineStr">
        <is>
          <t>d823616cbcb84fff516db22f366caaa5</t>
        </is>
      </c>
      <c r="E3623" t="inlineStr">
        <is>
          <t>paid_search</t>
        </is>
      </c>
      <c r="F3623">
        <f>IFERROR(MATCH(A3623,Deals!$A$2:$A$843,0),"")</f>
        <v/>
      </c>
      <c r="G3623">
        <f>IF(F3623="",0,1)</f>
        <v/>
      </c>
      <c r="H3623" s="29">
        <f>IF(F3623="","",INDEX(Deals!$E$2:$E$843,F3623))</f>
        <v/>
      </c>
      <c r="I3623">
        <f>IF(F3623="","",INDEX(Deals!$D$2:$D$843,F3623))</f>
        <v/>
      </c>
      <c r="J3623">
        <f>IF(F3623="","",INT(H3623)-B3623)</f>
        <v/>
      </c>
      <c r="K3623">
        <f>IF(B3623&gt;=Settings!$C$5,1,0)</f>
        <v/>
      </c>
    </row>
    <row r="3624">
      <c r="A3624" t="inlineStr">
        <is>
          <t>f282242afef97d009d90f7c360fb1882</t>
        </is>
      </c>
      <c r="B3624" s="29" t="n">
        <v>43051</v>
      </c>
      <c r="C3624" t="inlineStr">
        <is>
          <t>2017-11</t>
        </is>
      </c>
      <c r="D3624" t="inlineStr">
        <is>
          <t>88740e65d5d6b056e0cda098e1ea6313</t>
        </is>
      </c>
      <c r="E3624" t="inlineStr">
        <is>
          <t>social</t>
        </is>
      </c>
      <c r="F3624">
        <f>IFERROR(MATCH(A3624,Deals!$A$2:$A$843,0),"")</f>
        <v/>
      </c>
      <c r="G3624">
        <f>IF(F3624="",0,1)</f>
        <v/>
      </c>
      <c r="H3624" s="29">
        <f>IF(F3624="","",INDEX(Deals!$E$2:$E$843,F3624))</f>
        <v/>
      </c>
      <c r="I3624">
        <f>IF(F3624="","",INDEX(Deals!$D$2:$D$843,F3624))</f>
        <v/>
      </c>
      <c r="J3624">
        <f>IF(F3624="","",INT(H3624)-B3624)</f>
        <v/>
      </c>
      <c r="K3624">
        <f>IF(B3624&gt;=Settings!$C$5,1,0)</f>
        <v/>
      </c>
    </row>
    <row r="3625">
      <c r="A3625" t="inlineStr">
        <is>
          <t>6b34a8bba1dd1aaa9ac3fc1235f21f39</t>
        </is>
      </c>
      <c r="B3625" s="29" t="n">
        <v>43206</v>
      </c>
      <c r="C3625" t="inlineStr">
        <is>
          <t>2018-04</t>
        </is>
      </c>
      <c r="D3625" t="inlineStr">
        <is>
          <t>649b7b8b46b254497e92038d88f6ced8</t>
        </is>
      </c>
      <c r="E3625" t="inlineStr">
        <is>
          <t>organic_search</t>
        </is>
      </c>
      <c r="F3625">
        <f>IFERROR(MATCH(A3625,Deals!$A$2:$A$843,0),"")</f>
        <v/>
      </c>
      <c r="G3625">
        <f>IF(F3625="",0,1)</f>
        <v/>
      </c>
      <c r="H3625" s="29">
        <f>IF(F3625="","",INDEX(Deals!$E$2:$E$843,F3625))</f>
        <v/>
      </c>
      <c r="I3625">
        <f>IF(F3625="","",INDEX(Deals!$D$2:$D$843,F3625))</f>
        <v/>
      </c>
      <c r="J3625">
        <f>IF(F3625="","",INT(H3625)-B3625)</f>
        <v/>
      </c>
      <c r="K3625">
        <f>IF(B3625&gt;=Settings!$C$5,1,0)</f>
        <v/>
      </c>
    </row>
    <row r="3626">
      <c r="A3626" t="inlineStr">
        <is>
          <t>bdc31e3996f71d8f34782dda5ea48511</t>
        </is>
      </c>
      <c r="B3626" s="29" t="n">
        <v>43105</v>
      </c>
      <c r="C3626" t="inlineStr">
        <is>
          <t>2018-01</t>
        </is>
      </c>
      <c r="D3626" t="inlineStr">
        <is>
          <t>22c29808c4f815213303f8933030604c</t>
        </is>
      </c>
      <c r="E3626" t="inlineStr">
        <is>
          <t>organic_search</t>
        </is>
      </c>
      <c r="F3626">
        <f>IFERROR(MATCH(A3626,Deals!$A$2:$A$843,0),"")</f>
        <v/>
      </c>
      <c r="G3626">
        <f>IF(F3626="",0,1)</f>
        <v/>
      </c>
      <c r="H3626" s="29">
        <f>IF(F3626="","",INDEX(Deals!$E$2:$E$843,F3626))</f>
        <v/>
      </c>
      <c r="I3626">
        <f>IF(F3626="","",INDEX(Deals!$D$2:$D$843,F3626))</f>
        <v/>
      </c>
      <c r="J3626">
        <f>IF(F3626="","",INT(H3626)-B3626)</f>
        <v/>
      </c>
      <c r="K3626">
        <f>IF(B3626&gt;=Settings!$C$5,1,0)</f>
        <v/>
      </c>
    </row>
    <row r="3627">
      <c r="A3627" t="inlineStr">
        <is>
          <t>29237848f862237c97d24f2cd71f89c9</t>
        </is>
      </c>
      <c r="B3627" s="29" t="n">
        <v>43046</v>
      </c>
      <c r="C3627" t="inlineStr">
        <is>
          <t>2017-11</t>
        </is>
      </c>
      <c r="D3627" t="inlineStr">
        <is>
          <t>88740e65d5d6b056e0cda098e1ea6313</t>
        </is>
      </c>
      <c r="E3627" t="inlineStr">
        <is>
          <t>social</t>
        </is>
      </c>
      <c r="F3627">
        <f>IFERROR(MATCH(A3627,Deals!$A$2:$A$843,0),"")</f>
        <v/>
      </c>
      <c r="G3627">
        <f>IF(F3627="",0,1)</f>
        <v/>
      </c>
      <c r="H3627" s="29">
        <f>IF(F3627="","",INDEX(Deals!$E$2:$E$843,F3627))</f>
        <v/>
      </c>
      <c r="I3627">
        <f>IF(F3627="","",INDEX(Deals!$D$2:$D$843,F3627))</f>
        <v/>
      </c>
      <c r="J3627">
        <f>IF(F3627="","",INT(H3627)-B3627)</f>
        <v/>
      </c>
      <c r="K3627">
        <f>IF(B3627&gt;=Settings!$C$5,1,0)</f>
        <v/>
      </c>
    </row>
    <row r="3628">
      <c r="A3628" t="inlineStr">
        <is>
          <t>222ac746d4f76b4741704d9c615dd2b6</t>
        </is>
      </c>
      <c r="B3628" s="29" t="n">
        <v>43241</v>
      </c>
      <c r="C3628" t="inlineStr">
        <is>
          <t>2018-05</t>
        </is>
      </c>
      <c r="D3628" t="inlineStr">
        <is>
          <t>e492ee5eaf1697716985cc6f33f9cd9b</t>
        </is>
      </c>
      <c r="E3628" t="inlineStr">
        <is>
          <t>organic_search</t>
        </is>
      </c>
      <c r="F3628">
        <f>IFERROR(MATCH(A3628,Deals!$A$2:$A$843,0),"")</f>
        <v/>
      </c>
      <c r="G3628">
        <f>IF(F3628="",0,1)</f>
        <v/>
      </c>
      <c r="H3628" s="29">
        <f>IF(F3628="","",INDEX(Deals!$E$2:$E$843,F3628))</f>
        <v/>
      </c>
      <c r="I3628">
        <f>IF(F3628="","",INDEX(Deals!$D$2:$D$843,F3628))</f>
        <v/>
      </c>
      <c r="J3628">
        <f>IF(F3628="","",INT(H3628)-B3628)</f>
        <v/>
      </c>
      <c r="K3628">
        <f>IF(B3628&gt;=Settings!$C$5,1,0)</f>
        <v/>
      </c>
    </row>
    <row r="3629">
      <c r="A3629" t="inlineStr">
        <is>
          <t>dde4d6793dce955cb401d62f241e51df</t>
        </is>
      </c>
      <c r="B3629" s="29" t="n">
        <v>43124</v>
      </c>
      <c r="C3629" t="inlineStr">
        <is>
          <t>2018-01</t>
        </is>
      </c>
      <c r="D3629" t="inlineStr">
        <is>
          <t>80d35379df4ce2f5297acefc78f60907</t>
        </is>
      </c>
      <c r="E3629" t="inlineStr">
        <is>
          <t>unknown</t>
        </is>
      </c>
      <c r="F3629">
        <f>IFERROR(MATCH(A3629,Deals!$A$2:$A$843,0),"")</f>
        <v/>
      </c>
      <c r="G3629">
        <f>IF(F3629="",0,1)</f>
        <v/>
      </c>
      <c r="H3629" s="29">
        <f>IF(F3629="","",INDEX(Deals!$E$2:$E$843,F3629))</f>
        <v/>
      </c>
      <c r="I3629">
        <f>IF(F3629="","",INDEX(Deals!$D$2:$D$843,F3629))</f>
        <v/>
      </c>
      <c r="J3629">
        <f>IF(F3629="","",INT(H3629)-B3629)</f>
        <v/>
      </c>
      <c r="K3629">
        <f>IF(B3629&gt;=Settings!$C$5,1,0)</f>
        <v/>
      </c>
    </row>
    <row r="3630">
      <c r="A3630" t="inlineStr">
        <is>
          <t>920530cb8744c679e3a2ece84f1d5ce4</t>
        </is>
      </c>
      <c r="B3630" s="29" t="n">
        <v>43117</v>
      </c>
      <c r="C3630" t="inlineStr">
        <is>
          <t>2018-01</t>
        </is>
      </c>
      <c r="D3630" t="inlineStr">
        <is>
          <t>b76ef37428e6799c421989521c0e5077</t>
        </is>
      </c>
      <c r="E3630" t="inlineStr">
        <is>
          <t>paid_search</t>
        </is>
      </c>
      <c r="F3630">
        <f>IFERROR(MATCH(A3630,Deals!$A$2:$A$843,0),"")</f>
        <v/>
      </c>
      <c r="G3630">
        <f>IF(F3630="",0,1)</f>
        <v/>
      </c>
      <c r="H3630" s="29">
        <f>IF(F3630="","",INDEX(Deals!$E$2:$E$843,F3630))</f>
        <v/>
      </c>
      <c r="I3630">
        <f>IF(F3630="","",INDEX(Deals!$D$2:$D$843,F3630))</f>
        <v/>
      </c>
      <c r="J3630">
        <f>IF(F3630="","",INT(H3630)-B3630)</f>
        <v/>
      </c>
      <c r="K3630">
        <f>IF(B3630&gt;=Settings!$C$5,1,0)</f>
        <v/>
      </c>
    </row>
    <row r="3631">
      <c r="A3631" t="inlineStr">
        <is>
          <t>71d2f46bae7fdd24ba0873898cc77fb6</t>
        </is>
      </c>
      <c r="B3631" s="29" t="n">
        <v>43147</v>
      </c>
      <c r="C3631" t="inlineStr">
        <is>
          <t>2018-02</t>
        </is>
      </c>
      <c r="D3631" t="inlineStr">
        <is>
          <t>22c29808c4f815213303f8933030604c</t>
        </is>
      </c>
      <c r="E3631" t="inlineStr">
        <is>
          <t>organic_search</t>
        </is>
      </c>
      <c r="F3631">
        <f>IFERROR(MATCH(A3631,Deals!$A$2:$A$843,0),"")</f>
        <v/>
      </c>
      <c r="G3631">
        <f>IF(F3631="",0,1)</f>
        <v/>
      </c>
      <c r="H3631" s="29">
        <f>IF(F3631="","",INDEX(Deals!$E$2:$E$843,F3631))</f>
        <v/>
      </c>
      <c r="I3631">
        <f>IF(F3631="","",INDEX(Deals!$D$2:$D$843,F3631))</f>
        <v/>
      </c>
      <c r="J3631">
        <f>IF(F3631="","",INT(H3631)-B3631)</f>
        <v/>
      </c>
      <c r="K3631">
        <f>IF(B3631&gt;=Settings!$C$5,1,0)</f>
        <v/>
      </c>
    </row>
    <row r="3632">
      <c r="A3632" t="inlineStr">
        <is>
          <t>e51aa8e9806a70a036a77fec150d1407</t>
        </is>
      </c>
      <c r="B3632" s="29" t="n">
        <v>43112</v>
      </c>
      <c r="C3632" t="inlineStr">
        <is>
          <t>2018-01</t>
        </is>
      </c>
      <c r="D3632" t="inlineStr">
        <is>
          <t>e492ee5eaf1697716985cc6f33f9cd9b</t>
        </is>
      </c>
      <c r="E3632" t="inlineStr">
        <is>
          <t>referral</t>
        </is>
      </c>
      <c r="F3632">
        <f>IFERROR(MATCH(A3632,Deals!$A$2:$A$843,0),"")</f>
        <v/>
      </c>
      <c r="G3632">
        <f>IF(F3632="",0,1)</f>
        <v/>
      </c>
      <c r="H3632" s="29">
        <f>IF(F3632="","",INDEX(Deals!$E$2:$E$843,F3632))</f>
        <v/>
      </c>
      <c r="I3632">
        <f>IF(F3632="","",INDEX(Deals!$D$2:$D$843,F3632))</f>
        <v/>
      </c>
      <c r="J3632">
        <f>IF(F3632="","",INT(H3632)-B3632)</f>
        <v/>
      </c>
      <c r="K3632">
        <f>IF(B3632&gt;=Settings!$C$5,1,0)</f>
        <v/>
      </c>
    </row>
    <row r="3633">
      <c r="A3633" t="inlineStr">
        <is>
          <t>d9ba6267a2fccae086868d47552dcf40</t>
        </is>
      </c>
      <c r="B3633" s="29" t="n">
        <v>43188</v>
      </c>
      <c r="C3633" t="inlineStr">
        <is>
          <t>2018-03</t>
        </is>
      </c>
      <c r="D3633" t="inlineStr">
        <is>
          <t>58326e62183c14b0c03085c33b9fdc44</t>
        </is>
      </c>
      <c r="E3633" t="inlineStr">
        <is>
          <t>social</t>
        </is>
      </c>
      <c r="F3633">
        <f>IFERROR(MATCH(A3633,Deals!$A$2:$A$843,0),"")</f>
        <v/>
      </c>
      <c r="G3633">
        <f>IF(F3633="",0,1)</f>
        <v/>
      </c>
      <c r="H3633" s="29">
        <f>IF(F3633="","",INDEX(Deals!$E$2:$E$843,F3633))</f>
        <v/>
      </c>
      <c r="I3633">
        <f>IF(F3633="","",INDEX(Deals!$D$2:$D$843,F3633))</f>
        <v/>
      </c>
      <c r="J3633">
        <f>IF(F3633="","",INT(H3633)-B3633)</f>
        <v/>
      </c>
      <c r="K3633">
        <f>IF(B3633&gt;=Settings!$C$5,1,0)</f>
        <v/>
      </c>
    </row>
    <row r="3634">
      <c r="A3634" t="inlineStr">
        <is>
          <t>be1fe5a4cbad9fd763db5aaedf0ec611</t>
        </is>
      </c>
      <c r="B3634" s="29" t="n">
        <v>42976</v>
      </c>
      <c r="C3634" t="inlineStr">
        <is>
          <t>2017-08</t>
        </is>
      </c>
      <c r="D3634" t="inlineStr">
        <is>
          <t>c79bafc4a099ff23e3bab1534797fb45</t>
        </is>
      </c>
      <c r="E3634" t="inlineStr">
        <is>
          <t>paid_search</t>
        </is>
      </c>
      <c r="F3634">
        <f>IFERROR(MATCH(A3634,Deals!$A$2:$A$843,0),"")</f>
        <v/>
      </c>
      <c r="G3634">
        <f>IF(F3634="",0,1)</f>
        <v/>
      </c>
      <c r="H3634" s="29">
        <f>IF(F3634="","",INDEX(Deals!$E$2:$E$843,F3634))</f>
        <v/>
      </c>
      <c r="I3634">
        <f>IF(F3634="","",INDEX(Deals!$D$2:$D$843,F3634))</f>
        <v/>
      </c>
      <c r="J3634">
        <f>IF(F3634="","",INT(H3634)-B3634)</f>
        <v/>
      </c>
      <c r="K3634">
        <f>IF(B3634&gt;=Settings!$C$5,1,0)</f>
        <v/>
      </c>
    </row>
    <row r="3635">
      <c r="A3635" t="inlineStr">
        <is>
          <t>34760ceac693e42fec03f15aa139b9e6</t>
        </is>
      </c>
      <c r="B3635" s="29" t="n">
        <v>43042</v>
      </c>
      <c r="C3635" t="inlineStr">
        <is>
          <t>2017-11</t>
        </is>
      </c>
      <c r="D3635" t="inlineStr">
        <is>
          <t>e492ee5eaf1697716985cc6f33f9cd9b</t>
        </is>
      </c>
      <c r="E3635" t="inlineStr">
        <is>
          <t>paid_search</t>
        </is>
      </c>
      <c r="F3635">
        <f>IFERROR(MATCH(A3635,Deals!$A$2:$A$843,0),"")</f>
        <v/>
      </c>
      <c r="G3635">
        <f>IF(F3635="",0,1)</f>
        <v/>
      </c>
      <c r="H3635" s="29">
        <f>IF(F3635="","",INDEX(Deals!$E$2:$E$843,F3635))</f>
        <v/>
      </c>
      <c r="I3635">
        <f>IF(F3635="","",INDEX(Deals!$D$2:$D$843,F3635))</f>
        <v/>
      </c>
      <c r="J3635">
        <f>IF(F3635="","",INT(H3635)-B3635)</f>
        <v/>
      </c>
      <c r="K3635">
        <f>IF(B3635&gt;=Settings!$C$5,1,0)</f>
        <v/>
      </c>
    </row>
    <row r="3636">
      <c r="A3636" t="inlineStr">
        <is>
          <t>6e217b33f06c363aaca7dfd937b8fb89</t>
        </is>
      </c>
      <c r="B3636" s="29" t="n">
        <v>43241</v>
      </c>
      <c r="C3636" t="inlineStr">
        <is>
          <t>2018-05</t>
        </is>
      </c>
      <c r="D3636" t="inlineStr">
        <is>
          <t>b6cd08ac77c501fd6857f7916d2c24f3</t>
        </is>
      </c>
      <c r="E3636" t="inlineStr">
        <is>
          <t>organic_search</t>
        </is>
      </c>
      <c r="F3636">
        <f>IFERROR(MATCH(A3636,Deals!$A$2:$A$843,0),"")</f>
        <v/>
      </c>
      <c r="G3636">
        <f>IF(F3636="",0,1)</f>
        <v/>
      </c>
      <c r="H3636" s="29">
        <f>IF(F3636="","",INDEX(Deals!$E$2:$E$843,F3636))</f>
        <v/>
      </c>
      <c r="I3636">
        <f>IF(F3636="","",INDEX(Deals!$D$2:$D$843,F3636))</f>
        <v/>
      </c>
      <c r="J3636">
        <f>IF(F3636="","",INT(H3636)-B3636)</f>
        <v/>
      </c>
      <c r="K3636">
        <f>IF(B3636&gt;=Settings!$C$5,1,0)</f>
        <v/>
      </c>
    </row>
    <row r="3637">
      <c r="A3637" t="inlineStr">
        <is>
          <t>06277c373fd4be8ecb96de3776dd0963</t>
        </is>
      </c>
      <c r="B3637" s="29" t="n">
        <v>43166</v>
      </c>
      <c r="C3637" t="inlineStr">
        <is>
          <t>2018-03</t>
        </is>
      </c>
      <c r="D3637" t="inlineStr">
        <is>
          <t>ce1a65abd0973638f1c887a6efcfa82d</t>
        </is>
      </c>
      <c r="E3637" t="inlineStr">
        <is>
          <t>referral</t>
        </is>
      </c>
      <c r="F3637">
        <f>IFERROR(MATCH(A3637,Deals!$A$2:$A$843,0),"")</f>
        <v/>
      </c>
      <c r="G3637">
        <f>IF(F3637="",0,1)</f>
        <v/>
      </c>
      <c r="H3637" s="29">
        <f>IF(F3637="","",INDEX(Deals!$E$2:$E$843,F3637))</f>
        <v/>
      </c>
      <c r="I3637">
        <f>IF(F3637="","",INDEX(Deals!$D$2:$D$843,F3637))</f>
        <v/>
      </c>
      <c r="J3637">
        <f>IF(F3637="","",INT(H3637)-B3637)</f>
        <v/>
      </c>
      <c r="K3637">
        <f>IF(B3637&gt;=Settings!$C$5,1,0)</f>
        <v/>
      </c>
    </row>
    <row r="3638">
      <c r="A3638" t="inlineStr">
        <is>
          <t>2be96323449fc62048a56a72fb6b8628</t>
        </is>
      </c>
      <c r="B3638" s="29" t="n">
        <v>43174</v>
      </c>
      <c r="C3638" t="inlineStr">
        <is>
          <t>2018-03</t>
        </is>
      </c>
      <c r="D3638" t="inlineStr">
        <is>
          <t>a7982125ff7aa3b2054c6e44f9d28522</t>
        </is>
      </c>
      <c r="E3638" t="inlineStr">
        <is>
          <t>organic_search</t>
        </is>
      </c>
      <c r="F3638">
        <f>IFERROR(MATCH(A3638,Deals!$A$2:$A$843,0),"")</f>
        <v/>
      </c>
      <c r="G3638">
        <f>IF(F3638="",0,1)</f>
        <v/>
      </c>
      <c r="H3638" s="29">
        <f>IF(F3638="","",INDEX(Deals!$E$2:$E$843,F3638))</f>
        <v/>
      </c>
      <c r="I3638">
        <f>IF(F3638="","",INDEX(Deals!$D$2:$D$843,F3638))</f>
        <v/>
      </c>
      <c r="J3638">
        <f>IF(F3638="","",INT(H3638)-B3638)</f>
        <v/>
      </c>
      <c r="K3638">
        <f>IF(B3638&gt;=Settings!$C$5,1,0)</f>
        <v/>
      </c>
    </row>
    <row r="3639">
      <c r="A3639" t="inlineStr">
        <is>
          <t>38281a755d3843e2bd060945522326e4</t>
        </is>
      </c>
      <c r="B3639" s="29" t="n">
        <v>43246</v>
      </c>
      <c r="C3639" t="inlineStr">
        <is>
          <t>2018-05</t>
        </is>
      </c>
      <c r="D3639" t="inlineStr">
        <is>
          <t>bfd05fa9f9fe2aedee539951a84f2aaf</t>
        </is>
      </c>
      <c r="E3639" t="inlineStr">
        <is>
          <t>paid_search</t>
        </is>
      </c>
      <c r="F3639">
        <f>IFERROR(MATCH(A3639,Deals!$A$2:$A$843,0),"")</f>
        <v/>
      </c>
      <c r="G3639">
        <f>IF(F3639="",0,1)</f>
        <v/>
      </c>
      <c r="H3639" s="29">
        <f>IF(F3639="","",INDEX(Deals!$E$2:$E$843,F3639))</f>
        <v/>
      </c>
      <c r="I3639">
        <f>IF(F3639="","",INDEX(Deals!$D$2:$D$843,F3639))</f>
        <v/>
      </c>
      <c r="J3639">
        <f>IF(F3639="","",INT(H3639)-B3639)</f>
        <v/>
      </c>
      <c r="K3639">
        <f>IF(B3639&gt;=Settings!$C$5,1,0)</f>
        <v/>
      </c>
    </row>
    <row r="3640">
      <c r="A3640" t="inlineStr">
        <is>
          <t>0e6c5db26dfd65228e29da9ed5cf51de</t>
        </is>
      </c>
      <c r="B3640" s="29" t="n">
        <v>43138</v>
      </c>
      <c r="C3640" t="inlineStr">
        <is>
          <t>2018-02</t>
        </is>
      </c>
      <c r="D3640" t="inlineStr">
        <is>
          <t>88740e65d5d6b056e0cda098e1ea6313</t>
        </is>
      </c>
      <c r="E3640" t="inlineStr">
        <is>
          <t>social</t>
        </is>
      </c>
      <c r="F3640">
        <f>IFERROR(MATCH(A3640,Deals!$A$2:$A$843,0),"")</f>
        <v/>
      </c>
      <c r="G3640">
        <f>IF(F3640="",0,1)</f>
        <v/>
      </c>
      <c r="H3640" s="29">
        <f>IF(F3640="","",INDEX(Deals!$E$2:$E$843,F3640))</f>
        <v/>
      </c>
      <c r="I3640">
        <f>IF(F3640="","",INDEX(Deals!$D$2:$D$843,F3640))</f>
        <v/>
      </c>
      <c r="J3640">
        <f>IF(F3640="","",INT(H3640)-B3640)</f>
        <v/>
      </c>
      <c r="K3640">
        <f>IF(B3640&gt;=Settings!$C$5,1,0)</f>
        <v/>
      </c>
    </row>
    <row r="3641">
      <c r="A3641" t="inlineStr">
        <is>
          <t>ace87287116385dee78842512e867ff8</t>
        </is>
      </c>
      <c r="B3641" s="29" t="n">
        <v>43222</v>
      </c>
      <c r="C3641" t="inlineStr">
        <is>
          <t>2018-05</t>
        </is>
      </c>
      <c r="D3641" t="inlineStr">
        <is>
          <t>9fa37f5177115156b1814ffc237402a6</t>
        </is>
      </c>
      <c r="E3641" t="inlineStr">
        <is>
          <t>social</t>
        </is>
      </c>
      <c r="F3641">
        <f>IFERROR(MATCH(A3641,Deals!$A$2:$A$843,0),"")</f>
        <v/>
      </c>
      <c r="G3641">
        <f>IF(F3641="",0,1)</f>
        <v/>
      </c>
      <c r="H3641" s="29">
        <f>IF(F3641="","",INDEX(Deals!$E$2:$E$843,F3641))</f>
        <v/>
      </c>
      <c r="I3641">
        <f>IF(F3641="","",INDEX(Deals!$D$2:$D$843,F3641))</f>
        <v/>
      </c>
      <c r="J3641">
        <f>IF(F3641="","",INT(H3641)-B3641)</f>
        <v/>
      </c>
      <c r="K3641">
        <f>IF(B3641&gt;=Settings!$C$5,1,0)</f>
        <v/>
      </c>
    </row>
    <row r="3642">
      <c r="A3642" t="inlineStr">
        <is>
          <t>5625c3aac56c198ad77688028e08a4c3</t>
        </is>
      </c>
      <c r="B3642" s="29" t="n">
        <v>43123</v>
      </c>
      <c r="C3642" t="inlineStr">
        <is>
          <t>2018-01</t>
        </is>
      </c>
      <c r="D3642" t="inlineStr">
        <is>
          <t>22c29808c4f815213303f8933030604c</t>
        </is>
      </c>
      <c r="E3642" t="inlineStr">
        <is>
          <t>organic_search</t>
        </is>
      </c>
      <c r="F3642">
        <f>IFERROR(MATCH(A3642,Deals!$A$2:$A$843,0),"")</f>
        <v/>
      </c>
      <c r="G3642">
        <f>IF(F3642="",0,1)</f>
        <v/>
      </c>
      <c r="H3642" s="29">
        <f>IF(F3642="","",INDEX(Deals!$E$2:$E$843,F3642))</f>
        <v/>
      </c>
      <c r="I3642">
        <f>IF(F3642="","",INDEX(Deals!$D$2:$D$843,F3642))</f>
        <v/>
      </c>
      <c r="J3642">
        <f>IF(F3642="","",INT(H3642)-B3642)</f>
        <v/>
      </c>
      <c r="K3642">
        <f>IF(B3642&gt;=Settings!$C$5,1,0)</f>
        <v/>
      </c>
    </row>
    <row r="3643">
      <c r="A3643" t="inlineStr">
        <is>
          <t>a79f5158d38f5d570c22deb545a8fabd</t>
        </is>
      </c>
      <c r="B3643" s="29" t="n">
        <v>43166</v>
      </c>
      <c r="C3643" t="inlineStr">
        <is>
          <t>2018-03</t>
        </is>
      </c>
      <c r="D3643" t="inlineStr">
        <is>
          <t>b76ef37428e6799c421989521c0e5077</t>
        </is>
      </c>
      <c r="E3643" t="inlineStr">
        <is>
          <t>unknown</t>
        </is>
      </c>
      <c r="F3643">
        <f>IFERROR(MATCH(A3643,Deals!$A$2:$A$843,0),"")</f>
        <v/>
      </c>
      <c r="G3643">
        <f>IF(F3643="",0,1)</f>
        <v/>
      </c>
      <c r="H3643" s="29">
        <f>IF(F3643="","",INDEX(Deals!$E$2:$E$843,F3643))</f>
        <v/>
      </c>
      <c r="I3643">
        <f>IF(F3643="","",INDEX(Deals!$D$2:$D$843,F3643))</f>
        <v/>
      </c>
      <c r="J3643">
        <f>IF(F3643="","",INT(H3643)-B3643)</f>
        <v/>
      </c>
      <c r="K3643">
        <f>IF(B3643&gt;=Settings!$C$5,1,0)</f>
        <v/>
      </c>
    </row>
    <row r="3644">
      <c r="A3644" t="inlineStr">
        <is>
          <t>ea9172dfb7786020e75b271b602547b0</t>
        </is>
      </c>
      <c r="B3644" s="29" t="n">
        <v>43159</v>
      </c>
      <c r="C3644" t="inlineStr">
        <is>
          <t>2018-02</t>
        </is>
      </c>
      <c r="D3644" t="inlineStr">
        <is>
          <t>bdaeb752e5c3caa215ebe04c61e22325</t>
        </is>
      </c>
      <c r="E3644" t="inlineStr">
        <is>
          <t>unknown</t>
        </is>
      </c>
      <c r="F3644">
        <f>IFERROR(MATCH(A3644,Deals!$A$2:$A$843,0),"")</f>
        <v/>
      </c>
      <c r="G3644">
        <f>IF(F3644="",0,1)</f>
        <v/>
      </c>
      <c r="H3644" s="29">
        <f>IF(F3644="","",INDEX(Deals!$E$2:$E$843,F3644))</f>
        <v/>
      </c>
      <c r="I3644">
        <f>IF(F3644="","",INDEX(Deals!$D$2:$D$843,F3644))</f>
        <v/>
      </c>
      <c r="J3644">
        <f>IF(F3644="","",INT(H3644)-B3644)</f>
        <v/>
      </c>
      <c r="K3644">
        <f>IF(B3644&gt;=Settings!$C$5,1,0)</f>
        <v/>
      </c>
    </row>
    <row r="3645">
      <c r="A3645" t="inlineStr">
        <is>
          <t>feeff952d528623ec3d2e83387c051d8</t>
        </is>
      </c>
      <c r="B3645" s="29" t="n">
        <v>43237</v>
      </c>
      <c r="C3645" t="inlineStr">
        <is>
          <t>2018-05</t>
        </is>
      </c>
      <c r="D3645" t="inlineStr">
        <is>
          <t>22c29808c4f815213303f8933030604c</t>
        </is>
      </c>
      <c r="E3645" t="inlineStr">
        <is>
          <t>direct_traffic</t>
        </is>
      </c>
      <c r="F3645">
        <f>IFERROR(MATCH(A3645,Deals!$A$2:$A$843,0),"")</f>
        <v/>
      </c>
      <c r="G3645">
        <f>IF(F3645="",0,1)</f>
        <v/>
      </c>
      <c r="H3645" s="29">
        <f>IF(F3645="","",INDEX(Deals!$E$2:$E$843,F3645))</f>
        <v/>
      </c>
      <c r="I3645">
        <f>IF(F3645="","",INDEX(Deals!$D$2:$D$843,F3645))</f>
        <v/>
      </c>
      <c r="J3645">
        <f>IF(F3645="","",INT(H3645)-B3645)</f>
        <v/>
      </c>
      <c r="K3645">
        <f>IF(B3645&gt;=Settings!$C$5,1,0)</f>
        <v/>
      </c>
    </row>
    <row r="3646">
      <c r="A3646" t="inlineStr">
        <is>
          <t>2608929989cddf6b12d764ce7c280437</t>
        </is>
      </c>
      <c r="B3646" s="29" t="n">
        <v>43215</v>
      </c>
      <c r="C3646" t="inlineStr">
        <is>
          <t>2018-04</t>
        </is>
      </c>
      <c r="D3646" t="inlineStr">
        <is>
          <t>649b7b8b46b254497e92038d88f6ced8</t>
        </is>
      </c>
      <c r="E3646" t="inlineStr">
        <is>
          <t>social</t>
        </is>
      </c>
      <c r="F3646">
        <f>IFERROR(MATCH(A3646,Deals!$A$2:$A$843,0),"")</f>
        <v/>
      </c>
      <c r="G3646">
        <f>IF(F3646="",0,1)</f>
        <v/>
      </c>
      <c r="H3646" s="29">
        <f>IF(F3646="","",INDEX(Deals!$E$2:$E$843,F3646))</f>
        <v/>
      </c>
      <c r="I3646">
        <f>IF(F3646="","",INDEX(Deals!$D$2:$D$843,F3646))</f>
        <v/>
      </c>
      <c r="J3646">
        <f>IF(F3646="","",INT(H3646)-B3646)</f>
        <v/>
      </c>
      <c r="K3646">
        <f>IF(B3646&gt;=Settings!$C$5,1,0)</f>
        <v/>
      </c>
    </row>
    <row r="3647">
      <c r="A3647" t="inlineStr">
        <is>
          <t>4480a9b9f076fedfce83aaebc13c5368</t>
        </is>
      </c>
      <c r="B3647" s="29" t="n">
        <v>43116</v>
      </c>
      <c r="C3647" t="inlineStr">
        <is>
          <t>2018-01</t>
        </is>
      </c>
      <c r="D3647" t="inlineStr">
        <is>
          <t>b76ef37428e6799c421989521c0e5077</t>
        </is>
      </c>
      <c r="E3647" t="inlineStr">
        <is>
          <t>unknown</t>
        </is>
      </c>
      <c r="F3647">
        <f>IFERROR(MATCH(A3647,Deals!$A$2:$A$843,0),"")</f>
        <v/>
      </c>
      <c r="G3647">
        <f>IF(F3647="",0,1)</f>
        <v/>
      </c>
      <c r="H3647" s="29">
        <f>IF(F3647="","",INDEX(Deals!$E$2:$E$843,F3647))</f>
        <v/>
      </c>
      <c r="I3647">
        <f>IF(F3647="","",INDEX(Deals!$D$2:$D$843,F3647))</f>
        <v/>
      </c>
      <c r="J3647">
        <f>IF(F3647="","",INT(H3647)-B3647)</f>
        <v/>
      </c>
      <c r="K3647">
        <f>IF(B3647&gt;=Settings!$C$5,1,0)</f>
        <v/>
      </c>
    </row>
    <row r="3648">
      <c r="A3648" t="inlineStr">
        <is>
          <t>a4caf71cf38708eaf17117f78fa61c9f</t>
        </is>
      </c>
      <c r="B3648" s="29" t="n">
        <v>43171</v>
      </c>
      <c r="C3648" t="inlineStr">
        <is>
          <t>2018-03</t>
        </is>
      </c>
      <c r="D3648" t="inlineStr">
        <is>
          <t>e86b0b777206ca8a678f97428603deac</t>
        </is>
      </c>
      <c r="E3648" t="inlineStr">
        <is>
          <t>organic_search</t>
        </is>
      </c>
      <c r="F3648">
        <f>IFERROR(MATCH(A3648,Deals!$A$2:$A$843,0),"")</f>
        <v/>
      </c>
      <c r="G3648">
        <f>IF(F3648="",0,1)</f>
        <v/>
      </c>
      <c r="H3648" s="29">
        <f>IF(F3648="","",INDEX(Deals!$E$2:$E$843,F3648))</f>
        <v/>
      </c>
      <c r="I3648">
        <f>IF(F3648="","",INDEX(Deals!$D$2:$D$843,F3648))</f>
        <v/>
      </c>
      <c r="J3648">
        <f>IF(F3648="","",INT(H3648)-B3648)</f>
        <v/>
      </c>
      <c r="K3648">
        <f>IF(B3648&gt;=Settings!$C$5,1,0)</f>
        <v/>
      </c>
    </row>
    <row r="3649">
      <c r="A3649" t="inlineStr">
        <is>
          <t>bca7ef2efe3dffdb134f0bdff92a2ebc</t>
        </is>
      </c>
      <c r="B3649" s="29" t="n">
        <v>43204</v>
      </c>
      <c r="C3649" t="inlineStr">
        <is>
          <t>2018-04</t>
        </is>
      </c>
      <c r="D3649" t="inlineStr">
        <is>
          <t>40dec9f3d5259a3d2dbcdab2114fae47</t>
        </is>
      </c>
      <c r="E3649" t="inlineStr">
        <is>
          <t>paid_search</t>
        </is>
      </c>
      <c r="F3649">
        <f>IFERROR(MATCH(A3649,Deals!$A$2:$A$843,0),"")</f>
        <v/>
      </c>
      <c r="G3649">
        <f>IF(F3649="",0,1)</f>
        <v/>
      </c>
      <c r="H3649" s="29">
        <f>IF(F3649="","",INDEX(Deals!$E$2:$E$843,F3649))</f>
        <v/>
      </c>
      <c r="I3649">
        <f>IF(F3649="","",INDEX(Deals!$D$2:$D$843,F3649))</f>
        <v/>
      </c>
      <c r="J3649">
        <f>IF(F3649="","",INT(H3649)-B3649)</f>
        <v/>
      </c>
      <c r="K3649">
        <f>IF(B3649&gt;=Settings!$C$5,1,0)</f>
        <v/>
      </c>
    </row>
    <row r="3650">
      <c r="A3650" t="inlineStr">
        <is>
          <t>0a16b09784bae8287858faf95511a66e</t>
        </is>
      </c>
      <c r="B3650" s="29" t="n">
        <v>43243</v>
      </c>
      <c r="C3650" t="inlineStr">
        <is>
          <t>2018-05</t>
        </is>
      </c>
      <c r="D3650" t="inlineStr">
        <is>
          <t>58326e62183c14b0c03085c33b9fdc44</t>
        </is>
      </c>
      <c r="E3650" t="inlineStr">
        <is>
          <t>social</t>
        </is>
      </c>
      <c r="F3650">
        <f>IFERROR(MATCH(A3650,Deals!$A$2:$A$843,0),"")</f>
        <v/>
      </c>
      <c r="G3650">
        <f>IF(F3650="",0,1)</f>
        <v/>
      </c>
      <c r="H3650" s="29">
        <f>IF(F3650="","",INDEX(Deals!$E$2:$E$843,F3650))</f>
        <v/>
      </c>
      <c r="I3650">
        <f>IF(F3650="","",INDEX(Deals!$D$2:$D$843,F3650))</f>
        <v/>
      </c>
      <c r="J3650">
        <f>IF(F3650="","",INT(H3650)-B3650)</f>
        <v/>
      </c>
      <c r="K3650">
        <f>IF(B3650&gt;=Settings!$C$5,1,0)</f>
        <v/>
      </c>
    </row>
    <row r="3651">
      <c r="A3651" t="inlineStr">
        <is>
          <t>ec4f1bd61012641a6eb0aa63cd06cf39</t>
        </is>
      </c>
      <c r="B3651" s="29" t="n">
        <v>43032</v>
      </c>
      <c r="C3651" t="inlineStr">
        <is>
          <t>2017-10</t>
        </is>
      </c>
      <c r="D3651" t="inlineStr">
        <is>
          <t>f017be4dbf86243af5c1ebed0cff36a2</t>
        </is>
      </c>
      <c r="E3651" t="inlineStr">
        <is>
          <t>paid_search</t>
        </is>
      </c>
      <c r="F3651">
        <f>IFERROR(MATCH(A3651,Deals!$A$2:$A$843,0),"")</f>
        <v/>
      </c>
      <c r="G3651">
        <f>IF(F3651="",0,1)</f>
        <v/>
      </c>
      <c r="H3651" s="29">
        <f>IF(F3651="","",INDEX(Deals!$E$2:$E$843,F3651))</f>
        <v/>
      </c>
      <c r="I3651">
        <f>IF(F3651="","",INDEX(Deals!$D$2:$D$843,F3651))</f>
        <v/>
      </c>
      <c r="J3651">
        <f>IF(F3651="","",INT(H3651)-B3651)</f>
        <v/>
      </c>
      <c r="K3651">
        <f>IF(B3651&gt;=Settings!$C$5,1,0)</f>
        <v/>
      </c>
    </row>
    <row r="3652">
      <c r="A3652" t="inlineStr">
        <is>
          <t>32899caf42c72b8288fbdbb5434a494c</t>
        </is>
      </c>
      <c r="B3652" s="29" t="n">
        <v>43128</v>
      </c>
      <c r="C3652" t="inlineStr">
        <is>
          <t>2018-01</t>
        </is>
      </c>
      <c r="D3652" t="inlineStr">
        <is>
          <t>e492ee5eaf1697716985cc6f33f9cd9b</t>
        </is>
      </c>
      <c r="E3652" t="inlineStr">
        <is>
          <t>organic_search</t>
        </is>
      </c>
      <c r="F3652">
        <f>IFERROR(MATCH(A3652,Deals!$A$2:$A$843,0),"")</f>
        <v/>
      </c>
      <c r="G3652">
        <f>IF(F3652="",0,1)</f>
        <v/>
      </c>
      <c r="H3652" s="29">
        <f>IF(F3652="","",INDEX(Deals!$E$2:$E$843,F3652))</f>
        <v/>
      </c>
      <c r="I3652">
        <f>IF(F3652="","",INDEX(Deals!$D$2:$D$843,F3652))</f>
        <v/>
      </c>
      <c r="J3652">
        <f>IF(F3652="","",INT(H3652)-B3652)</f>
        <v/>
      </c>
      <c r="K3652">
        <f>IF(B3652&gt;=Settings!$C$5,1,0)</f>
        <v/>
      </c>
    </row>
    <row r="3653">
      <c r="A3653" t="inlineStr">
        <is>
          <t>cf6c52221905bfcf348a5744df9ed076</t>
        </is>
      </c>
      <c r="B3653" s="29" t="n">
        <v>43156</v>
      </c>
      <c r="C3653" t="inlineStr">
        <is>
          <t>2018-02</t>
        </is>
      </c>
      <c r="D3653" t="inlineStr">
        <is>
          <t>40dec9f3d5259a3d2dbcdab2114fae47</t>
        </is>
      </c>
      <c r="E3653" t="inlineStr">
        <is>
          <t>paid_search</t>
        </is>
      </c>
      <c r="F3653">
        <f>IFERROR(MATCH(A3653,Deals!$A$2:$A$843,0),"")</f>
        <v/>
      </c>
      <c r="G3653">
        <f>IF(F3653="",0,1)</f>
        <v/>
      </c>
      <c r="H3653" s="29">
        <f>IF(F3653="","",INDEX(Deals!$E$2:$E$843,F3653))</f>
        <v/>
      </c>
      <c r="I3653">
        <f>IF(F3653="","",INDEX(Deals!$D$2:$D$843,F3653))</f>
        <v/>
      </c>
      <c r="J3653">
        <f>IF(F3653="","",INT(H3653)-B3653)</f>
        <v/>
      </c>
      <c r="K3653">
        <f>IF(B3653&gt;=Settings!$C$5,1,0)</f>
        <v/>
      </c>
    </row>
    <row r="3654">
      <c r="A3654" t="inlineStr">
        <is>
          <t>23a28e6d57e4c5d8eb0bff70ae01ed09</t>
        </is>
      </c>
      <c r="B3654" s="29" t="n">
        <v>43114</v>
      </c>
      <c r="C3654" t="inlineStr">
        <is>
          <t>2018-01</t>
        </is>
      </c>
      <c r="D3654" t="inlineStr">
        <is>
          <t>73f31a40697cc90a86c1273563ac230e</t>
        </is>
      </c>
      <c r="E3654" t="inlineStr">
        <is>
          <t>social</t>
        </is>
      </c>
      <c r="F3654">
        <f>IFERROR(MATCH(A3654,Deals!$A$2:$A$843,0),"")</f>
        <v/>
      </c>
      <c r="G3654">
        <f>IF(F3654="",0,1)</f>
        <v/>
      </c>
      <c r="H3654" s="29">
        <f>IF(F3654="","",INDEX(Deals!$E$2:$E$843,F3654))</f>
        <v/>
      </c>
      <c r="I3654">
        <f>IF(F3654="","",INDEX(Deals!$D$2:$D$843,F3654))</f>
        <v/>
      </c>
      <c r="J3654">
        <f>IF(F3654="","",INT(H3654)-B3654)</f>
        <v/>
      </c>
      <c r="K3654">
        <f>IF(B3654&gt;=Settings!$C$5,1,0)</f>
        <v/>
      </c>
    </row>
    <row r="3655">
      <c r="A3655" t="inlineStr">
        <is>
          <t>3d98ceed3d2937a5e819cd5b239220a3</t>
        </is>
      </c>
      <c r="B3655" s="29" t="n">
        <v>43111</v>
      </c>
      <c r="C3655" t="inlineStr">
        <is>
          <t>2018-01</t>
        </is>
      </c>
      <c r="D3655" t="inlineStr">
        <is>
          <t>40dec9f3d5259a3d2dbcdab2114fae47</t>
        </is>
      </c>
      <c r="E3655" t="inlineStr">
        <is>
          <t>paid_search</t>
        </is>
      </c>
      <c r="F3655">
        <f>IFERROR(MATCH(A3655,Deals!$A$2:$A$843,0),"")</f>
        <v/>
      </c>
      <c r="G3655">
        <f>IF(F3655="",0,1)</f>
        <v/>
      </c>
      <c r="H3655" s="29">
        <f>IF(F3655="","",INDEX(Deals!$E$2:$E$843,F3655))</f>
        <v/>
      </c>
      <c r="I3655">
        <f>IF(F3655="","",INDEX(Deals!$D$2:$D$843,F3655))</f>
        <v/>
      </c>
      <c r="J3655">
        <f>IF(F3655="","",INT(H3655)-B3655)</f>
        <v/>
      </c>
      <c r="K3655">
        <f>IF(B3655&gt;=Settings!$C$5,1,0)</f>
        <v/>
      </c>
    </row>
    <row r="3656">
      <c r="A3656" t="inlineStr">
        <is>
          <t>d752136587ea829e1f5c07ceb23dc72c</t>
        </is>
      </c>
      <c r="B3656" s="29" t="n">
        <v>43127</v>
      </c>
      <c r="C3656" t="inlineStr">
        <is>
          <t>2018-01</t>
        </is>
      </c>
      <c r="D3656" t="inlineStr">
        <is>
          <t>88740e65d5d6b056e0cda098e1ea6313</t>
        </is>
      </c>
      <c r="E3656" t="inlineStr">
        <is>
          <t>social</t>
        </is>
      </c>
      <c r="F3656">
        <f>IFERROR(MATCH(A3656,Deals!$A$2:$A$843,0),"")</f>
        <v/>
      </c>
      <c r="G3656">
        <f>IF(F3656="",0,1)</f>
        <v/>
      </c>
      <c r="H3656" s="29">
        <f>IF(F3656="","",INDEX(Deals!$E$2:$E$843,F3656))</f>
        <v/>
      </c>
      <c r="I3656">
        <f>IF(F3656="","",INDEX(Deals!$D$2:$D$843,F3656))</f>
        <v/>
      </c>
      <c r="J3656">
        <f>IF(F3656="","",INT(H3656)-B3656)</f>
        <v/>
      </c>
      <c r="K3656">
        <f>IF(B3656&gt;=Settings!$C$5,1,0)</f>
        <v/>
      </c>
    </row>
    <row r="3657">
      <c r="A3657" t="inlineStr">
        <is>
          <t>f1704ebe1eb5bfc1c24b0acb73d157a9</t>
        </is>
      </c>
      <c r="B3657" s="29" t="n">
        <v>43203</v>
      </c>
      <c r="C3657" t="inlineStr">
        <is>
          <t>2018-04</t>
        </is>
      </c>
      <c r="D3657" t="inlineStr">
        <is>
          <t>0b37d43dbde6452cdd94c17bf61a88e4</t>
        </is>
      </c>
      <c r="E3657" t="inlineStr">
        <is>
          <t>organic_search</t>
        </is>
      </c>
      <c r="F3657">
        <f>IFERROR(MATCH(A3657,Deals!$A$2:$A$843,0),"")</f>
        <v/>
      </c>
      <c r="G3657">
        <f>IF(F3657="",0,1)</f>
        <v/>
      </c>
      <c r="H3657" s="29">
        <f>IF(F3657="","",INDEX(Deals!$E$2:$E$843,F3657))</f>
        <v/>
      </c>
      <c r="I3657">
        <f>IF(F3657="","",INDEX(Deals!$D$2:$D$843,F3657))</f>
        <v/>
      </c>
      <c r="J3657">
        <f>IF(F3657="","",INT(H3657)-B3657)</f>
        <v/>
      </c>
      <c r="K3657">
        <f>IF(B3657&gt;=Settings!$C$5,1,0)</f>
        <v/>
      </c>
    </row>
    <row r="3658">
      <c r="A3658" t="inlineStr">
        <is>
          <t>0425c3c6371c66abe15d94092e638606</t>
        </is>
      </c>
      <c r="B3658" s="29" t="n">
        <v>43234</v>
      </c>
      <c r="C3658" t="inlineStr">
        <is>
          <t>2018-05</t>
        </is>
      </c>
      <c r="D3658" t="inlineStr">
        <is>
          <t>e492ee5eaf1697716985cc6f33f9cd9b</t>
        </is>
      </c>
      <c r="E3658" t="inlineStr">
        <is>
          <t>organic_search</t>
        </is>
      </c>
      <c r="F3658">
        <f>IFERROR(MATCH(A3658,Deals!$A$2:$A$843,0),"")</f>
        <v/>
      </c>
      <c r="G3658">
        <f>IF(F3658="",0,1)</f>
        <v/>
      </c>
      <c r="H3658" s="29">
        <f>IF(F3658="","",INDEX(Deals!$E$2:$E$843,F3658))</f>
        <v/>
      </c>
      <c r="I3658">
        <f>IF(F3658="","",INDEX(Deals!$D$2:$D$843,F3658))</f>
        <v/>
      </c>
      <c r="J3658">
        <f>IF(F3658="","",INT(H3658)-B3658)</f>
        <v/>
      </c>
      <c r="K3658">
        <f>IF(B3658&gt;=Settings!$C$5,1,0)</f>
        <v/>
      </c>
    </row>
    <row r="3659">
      <c r="A3659" t="inlineStr">
        <is>
          <t>e9356c402558dcf285db53208880d47e</t>
        </is>
      </c>
      <c r="B3659" s="29" t="n">
        <v>43147</v>
      </c>
      <c r="C3659" t="inlineStr">
        <is>
          <t>2018-02</t>
        </is>
      </c>
      <c r="D3659" t="inlineStr">
        <is>
          <t>e492ee5eaf1697716985cc6f33f9cd9b</t>
        </is>
      </c>
      <c r="E3659" t="inlineStr">
        <is>
          <t>paid_search</t>
        </is>
      </c>
      <c r="F3659">
        <f>IFERROR(MATCH(A3659,Deals!$A$2:$A$843,0),"")</f>
        <v/>
      </c>
      <c r="G3659">
        <f>IF(F3659="",0,1)</f>
        <v/>
      </c>
      <c r="H3659" s="29">
        <f>IF(F3659="","",INDEX(Deals!$E$2:$E$843,F3659))</f>
        <v/>
      </c>
      <c r="I3659">
        <f>IF(F3659="","",INDEX(Deals!$D$2:$D$843,F3659))</f>
        <v/>
      </c>
      <c r="J3659">
        <f>IF(F3659="","",INT(H3659)-B3659)</f>
        <v/>
      </c>
      <c r="K3659">
        <f>IF(B3659&gt;=Settings!$C$5,1,0)</f>
        <v/>
      </c>
    </row>
    <row r="3660">
      <c r="A3660" t="inlineStr">
        <is>
          <t>913f7da49fa19c66a96f14d2c9c60185</t>
        </is>
      </c>
      <c r="B3660" s="29" t="n">
        <v>43012</v>
      </c>
      <c r="C3660" t="inlineStr">
        <is>
          <t>2017-10</t>
        </is>
      </c>
      <c r="D3660" t="inlineStr">
        <is>
          <t>b76ef37428e6799c421989521c0e5077</t>
        </is>
      </c>
      <c r="E3660" t="inlineStr">
        <is>
          <t>unknown</t>
        </is>
      </c>
      <c r="F3660">
        <f>IFERROR(MATCH(A3660,Deals!$A$2:$A$843,0),"")</f>
        <v/>
      </c>
      <c r="G3660">
        <f>IF(F3660="",0,1)</f>
        <v/>
      </c>
      <c r="H3660" s="29">
        <f>IF(F3660="","",INDEX(Deals!$E$2:$E$843,F3660))</f>
        <v/>
      </c>
      <c r="I3660">
        <f>IF(F3660="","",INDEX(Deals!$D$2:$D$843,F3660))</f>
        <v/>
      </c>
      <c r="J3660">
        <f>IF(F3660="","",INT(H3660)-B3660)</f>
        <v/>
      </c>
      <c r="K3660">
        <f>IF(B3660&gt;=Settings!$C$5,1,0)</f>
        <v/>
      </c>
    </row>
    <row r="3661">
      <c r="A3661" t="inlineStr">
        <is>
          <t>0cd5d9d528e8f06f787079c89480f5dc</t>
        </is>
      </c>
      <c r="B3661" s="29" t="n">
        <v>43007</v>
      </c>
      <c r="C3661" t="inlineStr">
        <is>
          <t>2017-09</t>
        </is>
      </c>
      <c r="D3661" t="inlineStr">
        <is>
          <t>1722481ac9e5371e5099dea226b5421d</t>
        </is>
      </c>
      <c r="E3661" t="inlineStr">
        <is>
          <t>other</t>
        </is>
      </c>
      <c r="F3661">
        <f>IFERROR(MATCH(A3661,Deals!$A$2:$A$843,0),"")</f>
        <v/>
      </c>
      <c r="G3661">
        <f>IF(F3661="",0,1)</f>
        <v/>
      </c>
      <c r="H3661" s="29">
        <f>IF(F3661="","",INDEX(Deals!$E$2:$E$843,F3661))</f>
        <v/>
      </c>
      <c r="I3661">
        <f>IF(F3661="","",INDEX(Deals!$D$2:$D$843,F3661))</f>
        <v/>
      </c>
      <c r="J3661">
        <f>IF(F3661="","",INT(H3661)-B3661)</f>
        <v/>
      </c>
      <c r="K3661">
        <f>IF(B3661&gt;=Settings!$C$5,1,0)</f>
        <v/>
      </c>
    </row>
    <row r="3662">
      <c r="A3662" t="inlineStr">
        <is>
          <t>5c490b208aeecdb2af2f4b6fb696a6fe</t>
        </is>
      </c>
      <c r="B3662" s="29" t="n">
        <v>43174</v>
      </c>
      <c r="C3662" t="inlineStr">
        <is>
          <t>2018-03</t>
        </is>
      </c>
      <c r="D3662" t="inlineStr">
        <is>
          <t>f017be4dbf86243af5c1ebed0cff36a2</t>
        </is>
      </c>
      <c r="E3662" t="inlineStr">
        <is>
          <t>organic_search</t>
        </is>
      </c>
      <c r="F3662">
        <f>IFERROR(MATCH(A3662,Deals!$A$2:$A$843,0),"")</f>
        <v/>
      </c>
      <c r="G3662">
        <f>IF(F3662="",0,1)</f>
        <v/>
      </c>
      <c r="H3662" s="29">
        <f>IF(F3662="","",INDEX(Deals!$E$2:$E$843,F3662))</f>
        <v/>
      </c>
      <c r="I3662">
        <f>IF(F3662="","",INDEX(Deals!$D$2:$D$843,F3662))</f>
        <v/>
      </c>
      <c r="J3662">
        <f>IF(F3662="","",INT(H3662)-B3662)</f>
        <v/>
      </c>
      <c r="K3662">
        <f>IF(B3662&gt;=Settings!$C$5,1,0)</f>
        <v/>
      </c>
    </row>
    <row r="3663">
      <c r="A3663" t="inlineStr">
        <is>
          <t>5c335556246f05fe8350184f12f178d6</t>
        </is>
      </c>
      <c r="B3663" s="29" t="n">
        <v>43150</v>
      </c>
      <c r="C3663" t="inlineStr">
        <is>
          <t>2018-02</t>
        </is>
      </c>
      <c r="D3663" t="inlineStr">
        <is>
          <t>111313f5b9ceedf17ab5af7317a9f9bc</t>
        </is>
      </c>
      <c r="E3663" t="inlineStr">
        <is>
          <t>unknown</t>
        </is>
      </c>
      <c r="F3663">
        <f>IFERROR(MATCH(A3663,Deals!$A$2:$A$843,0),"")</f>
        <v/>
      </c>
      <c r="G3663">
        <f>IF(F3663="",0,1)</f>
        <v/>
      </c>
      <c r="H3663" s="29">
        <f>IF(F3663="","",INDEX(Deals!$E$2:$E$843,F3663))</f>
        <v/>
      </c>
      <c r="I3663">
        <f>IF(F3663="","",INDEX(Deals!$D$2:$D$843,F3663))</f>
        <v/>
      </c>
      <c r="J3663">
        <f>IF(F3663="","",INT(H3663)-B3663)</f>
        <v/>
      </c>
      <c r="K3663">
        <f>IF(B3663&gt;=Settings!$C$5,1,0)</f>
        <v/>
      </c>
    </row>
    <row r="3664">
      <c r="A3664" t="inlineStr">
        <is>
          <t>06e3ac5cb151f7b703651265a753506c</t>
        </is>
      </c>
      <c r="B3664" s="29" t="n">
        <v>43234</v>
      </c>
      <c r="C3664" t="inlineStr">
        <is>
          <t>2018-05</t>
        </is>
      </c>
      <c r="D3664" t="inlineStr">
        <is>
          <t>15cf89bab2c3163b4f9d8601d108f8b2</t>
        </is>
      </c>
      <c r="E3664" t="inlineStr">
        <is>
          <t>organic_search</t>
        </is>
      </c>
      <c r="F3664">
        <f>IFERROR(MATCH(A3664,Deals!$A$2:$A$843,0),"")</f>
        <v/>
      </c>
      <c r="G3664">
        <f>IF(F3664="",0,1)</f>
        <v/>
      </c>
      <c r="H3664" s="29">
        <f>IF(F3664="","",INDEX(Deals!$E$2:$E$843,F3664))</f>
        <v/>
      </c>
      <c r="I3664">
        <f>IF(F3664="","",INDEX(Deals!$D$2:$D$843,F3664))</f>
        <v/>
      </c>
      <c r="J3664">
        <f>IF(F3664="","",INT(H3664)-B3664)</f>
        <v/>
      </c>
      <c r="K3664">
        <f>IF(B3664&gt;=Settings!$C$5,1,0)</f>
        <v/>
      </c>
    </row>
    <row r="3665">
      <c r="A3665" t="inlineStr">
        <is>
          <t>0fa7a6046f45fddf0a651a7f58447680</t>
        </is>
      </c>
      <c r="B3665" s="29" t="n">
        <v>43195</v>
      </c>
      <c r="C3665" t="inlineStr">
        <is>
          <t>2018-04</t>
        </is>
      </c>
      <c r="D3665" t="inlineStr">
        <is>
          <t>5870b76c7b4ff735e08214a63fdbbecf</t>
        </is>
      </c>
      <c r="E3665" t="inlineStr">
        <is>
          <t>unknown</t>
        </is>
      </c>
      <c r="F3665">
        <f>IFERROR(MATCH(A3665,Deals!$A$2:$A$843,0),"")</f>
        <v/>
      </c>
      <c r="G3665">
        <f>IF(F3665="",0,1)</f>
        <v/>
      </c>
      <c r="H3665" s="29">
        <f>IF(F3665="","",INDEX(Deals!$E$2:$E$843,F3665))</f>
        <v/>
      </c>
      <c r="I3665">
        <f>IF(F3665="","",INDEX(Deals!$D$2:$D$843,F3665))</f>
        <v/>
      </c>
      <c r="J3665">
        <f>IF(F3665="","",INT(H3665)-B3665)</f>
        <v/>
      </c>
      <c r="K3665">
        <f>IF(B3665&gt;=Settings!$C$5,1,0)</f>
        <v/>
      </c>
    </row>
    <row r="3666">
      <c r="A3666" t="inlineStr">
        <is>
          <t>a397cbaf77babef6e8fbbe9b72c7bee7</t>
        </is>
      </c>
      <c r="B3666" s="29" t="n">
        <v>43136</v>
      </c>
      <c r="C3666" t="inlineStr">
        <is>
          <t>2018-02</t>
        </is>
      </c>
      <c r="D3666" t="inlineStr">
        <is>
          <t>b6cd08ac77c501fd6857f7916d2c24f3</t>
        </is>
      </c>
      <c r="E3666" t="inlineStr">
        <is>
          <t>referral</t>
        </is>
      </c>
      <c r="F3666">
        <f>IFERROR(MATCH(A3666,Deals!$A$2:$A$843,0),"")</f>
        <v/>
      </c>
      <c r="G3666">
        <f>IF(F3666="",0,1)</f>
        <v/>
      </c>
      <c r="H3666" s="29">
        <f>IF(F3666="","",INDEX(Deals!$E$2:$E$843,F3666))</f>
        <v/>
      </c>
      <c r="I3666">
        <f>IF(F3666="","",INDEX(Deals!$D$2:$D$843,F3666))</f>
        <v/>
      </c>
      <c r="J3666">
        <f>IF(F3666="","",INT(H3666)-B3666)</f>
        <v/>
      </c>
      <c r="K3666">
        <f>IF(B3666&gt;=Settings!$C$5,1,0)</f>
        <v/>
      </c>
    </row>
    <row r="3667">
      <c r="A3667" t="inlineStr">
        <is>
          <t>3e97f8a21231307807472705ecdf4a97</t>
        </is>
      </c>
      <c r="B3667" s="29" t="n">
        <v>43084</v>
      </c>
      <c r="C3667" t="inlineStr">
        <is>
          <t>2017-12</t>
        </is>
      </c>
      <c r="D3667" t="inlineStr">
        <is>
          <t>88740e65d5d6b056e0cda098e1ea6313</t>
        </is>
      </c>
      <c r="E3667" t="inlineStr">
        <is>
          <t>social</t>
        </is>
      </c>
      <c r="F3667">
        <f>IFERROR(MATCH(A3667,Deals!$A$2:$A$843,0),"")</f>
        <v/>
      </c>
      <c r="G3667">
        <f>IF(F3667="",0,1)</f>
        <v/>
      </c>
      <c r="H3667" s="29">
        <f>IF(F3667="","",INDEX(Deals!$E$2:$E$843,F3667))</f>
        <v/>
      </c>
      <c r="I3667">
        <f>IF(F3667="","",INDEX(Deals!$D$2:$D$843,F3667))</f>
        <v/>
      </c>
      <c r="J3667">
        <f>IF(F3667="","",INT(H3667)-B3667)</f>
        <v/>
      </c>
      <c r="K3667">
        <f>IF(B3667&gt;=Settings!$C$5,1,0)</f>
        <v/>
      </c>
    </row>
    <row r="3668">
      <c r="A3668" t="inlineStr">
        <is>
          <t>ae0752582ef51ba1b182f3d7f7cd9751</t>
        </is>
      </c>
      <c r="B3668" s="29" t="n">
        <v>43115</v>
      </c>
      <c r="C3668" t="inlineStr">
        <is>
          <t>2018-01</t>
        </is>
      </c>
      <c r="D3668" t="inlineStr">
        <is>
          <t>f017be4dbf86243af5c1ebed0cff36a2</t>
        </is>
      </c>
      <c r="E3668" t="inlineStr">
        <is>
          <t>organic_search</t>
        </is>
      </c>
      <c r="F3668">
        <f>IFERROR(MATCH(A3668,Deals!$A$2:$A$843,0),"")</f>
        <v/>
      </c>
      <c r="G3668">
        <f>IF(F3668="",0,1)</f>
        <v/>
      </c>
      <c r="H3668" s="29">
        <f>IF(F3668="","",INDEX(Deals!$E$2:$E$843,F3668))</f>
        <v/>
      </c>
      <c r="I3668">
        <f>IF(F3668="","",INDEX(Deals!$D$2:$D$843,F3668))</f>
        <v/>
      </c>
      <c r="J3668">
        <f>IF(F3668="","",INT(H3668)-B3668)</f>
        <v/>
      </c>
      <c r="K3668">
        <f>IF(B3668&gt;=Settings!$C$5,1,0)</f>
        <v/>
      </c>
    </row>
    <row r="3669">
      <c r="A3669" t="inlineStr">
        <is>
          <t>e4edfb4697cc2be24e31c23ff181d185</t>
        </is>
      </c>
      <c r="B3669" s="29" t="n">
        <v>43195</v>
      </c>
      <c r="C3669" t="inlineStr">
        <is>
          <t>2018-04</t>
        </is>
      </c>
      <c r="D3669" t="inlineStr">
        <is>
          <t>36120633c8737035fbabf079082f4ec1</t>
        </is>
      </c>
      <c r="E3669" t="inlineStr">
        <is>
          <t>organic_search</t>
        </is>
      </c>
      <c r="F3669">
        <f>IFERROR(MATCH(A3669,Deals!$A$2:$A$843,0),"")</f>
        <v/>
      </c>
      <c r="G3669">
        <f>IF(F3669="",0,1)</f>
        <v/>
      </c>
      <c r="H3669" s="29">
        <f>IF(F3669="","",INDEX(Deals!$E$2:$E$843,F3669))</f>
        <v/>
      </c>
      <c r="I3669">
        <f>IF(F3669="","",INDEX(Deals!$D$2:$D$843,F3669))</f>
        <v/>
      </c>
      <c r="J3669">
        <f>IF(F3669="","",INT(H3669)-B3669)</f>
        <v/>
      </c>
      <c r="K3669">
        <f>IF(B3669&gt;=Settings!$C$5,1,0)</f>
        <v/>
      </c>
    </row>
    <row r="3670">
      <c r="A3670" t="inlineStr">
        <is>
          <t>518f741fa426a51c73533c621e5c8107</t>
        </is>
      </c>
      <c r="B3670" s="29" t="n">
        <v>43191</v>
      </c>
      <c r="C3670" t="inlineStr">
        <is>
          <t>2018-04</t>
        </is>
      </c>
      <c r="D3670" t="inlineStr">
        <is>
          <t>22c29808c4f815213303f8933030604c</t>
        </is>
      </c>
      <c r="E3670" t="inlineStr">
        <is>
          <t>unknown</t>
        </is>
      </c>
      <c r="F3670">
        <f>IFERROR(MATCH(A3670,Deals!$A$2:$A$843,0),"")</f>
        <v/>
      </c>
      <c r="G3670">
        <f>IF(F3670="",0,1)</f>
        <v/>
      </c>
      <c r="H3670" s="29">
        <f>IF(F3670="","",INDEX(Deals!$E$2:$E$843,F3670))</f>
        <v/>
      </c>
      <c r="I3670">
        <f>IF(F3670="","",INDEX(Deals!$D$2:$D$843,F3670))</f>
        <v/>
      </c>
      <c r="J3670">
        <f>IF(F3670="","",INT(H3670)-B3670)</f>
        <v/>
      </c>
      <c r="K3670">
        <f>IF(B3670&gt;=Settings!$C$5,1,0)</f>
        <v/>
      </c>
    </row>
    <row r="3671">
      <c r="A3671" t="inlineStr">
        <is>
          <t>0be68b6b40bb4c612b9b01aa78bde00f</t>
        </is>
      </c>
      <c r="B3671" s="29" t="n">
        <v>43172</v>
      </c>
      <c r="C3671" t="inlineStr">
        <is>
          <t>2018-03</t>
        </is>
      </c>
      <c r="D3671" t="inlineStr">
        <is>
          <t>40dec9f3d5259a3d2dbcdab2114fae47</t>
        </is>
      </c>
      <c r="E3671" t="inlineStr">
        <is>
          <t>paid_search</t>
        </is>
      </c>
      <c r="F3671">
        <f>IFERROR(MATCH(A3671,Deals!$A$2:$A$843,0),"")</f>
        <v/>
      </c>
      <c r="G3671">
        <f>IF(F3671="",0,1)</f>
        <v/>
      </c>
      <c r="H3671" s="29">
        <f>IF(F3671="","",INDEX(Deals!$E$2:$E$843,F3671))</f>
        <v/>
      </c>
      <c r="I3671">
        <f>IF(F3671="","",INDEX(Deals!$D$2:$D$843,F3671))</f>
        <v/>
      </c>
      <c r="J3671">
        <f>IF(F3671="","",INT(H3671)-B3671)</f>
        <v/>
      </c>
      <c r="K3671">
        <f>IF(B3671&gt;=Settings!$C$5,1,0)</f>
        <v/>
      </c>
    </row>
    <row r="3672">
      <c r="A3672" t="inlineStr">
        <is>
          <t>a7ad710353b08b3d1e7ee6daca9679cc</t>
        </is>
      </c>
      <c r="B3672" s="29" t="n">
        <v>43138</v>
      </c>
      <c r="C3672" t="inlineStr">
        <is>
          <t>2018-02</t>
        </is>
      </c>
      <c r="D3672" t="inlineStr">
        <is>
          <t>0218f6be0b76aca72ab4d00ee9e8cf10</t>
        </is>
      </c>
      <c r="E3672" t="inlineStr">
        <is>
          <t>organic_search</t>
        </is>
      </c>
      <c r="F3672">
        <f>IFERROR(MATCH(A3672,Deals!$A$2:$A$843,0),"")</f>
        <v/>
      </c>
      <c r="G3672">
        <f>IF(F3672="",0,1)</f>
        <v/>
      </c>
      <c r="H3672" s="29">
        <f>IF(F3672="","",INDEX(Deals!$E$2:$E$843,F3672))</f>
        <v/>
      </c>
      <c r="I3672">
        <f>IF(F3672="","",INDEX(Deals!$D$2:$D$843,F3672))</f>
        <v/>
      </c>
      <c r="J3672">
        <f>IF(F3672="","",INT(H3672)-B3672)</f>
        <v/>
      </c>
      <c r="K3672">
        <f>IF(B3672&gt;=Settings!$C$5,1,0)</f>
        <v/>
      </c>
    </row>
    <row r="3673">
      <c r="A3673" t="inlineStr">
        <is>
          <t>aa37b70bbe5a37d659bf67dee2ca9492</t>
        </is>
      </c>
      <c r="B3673" s="29" t="n">
        <v>42967</v>
      </c>
      <c r="C3673" t="inlineStr">
        <is>
          <t>2017-08</t>
        </is>
      </c>
      <c r="D3673" t="inlineStr">
        <is>
          <t>898cd726567d811ec9166b950696f511</t>
        </is>
      </c>
      <c r="E3673" t="inlineStr">
        <is>
          <t>organic_search</t>
        </is>
      </c>
      <c r="F3673">
        <f>IFERROR(MATCH(A3673,Deals!$A$2:$A$843,0),"")</f>
        <v/>
      </c>
      <c r="G3673">
        <f>IF(F3673="",0,1)</f>
        <v/>
      </c>
      <c r="H3673" s="29">
        <f>IF(F3673="","",INDEX(Deals!$E$2:$E$843,F3673))</f>
        <v/>
      </c>
      <c r="I3673">
        <f>IF(F3673="","",INDEX(Deals!$D$2:$D$843,F3673))</f>
        <v/>
      </c>
      <c r="J3673">
        <f>IF(F3673="","",INT(H3673)-B3673)</f>
        <v/>
      </c>
      <c r="K3673">
        <f>IF(B3673&gt;=Settings!$C$5,1,0)</f>
        <v/>
      </c>
    </row>
    <row r="3674">
      <c r="A3674" t="inlineStr">
        <is>
          <t>99789bac26e72647e95cd4073dc9b2f1</t>
        </is>
      </c>
      <c r="B3674" s="29" t="n">
        <v>43023</v>
      </c>
      <c r="C3674" t="inlineStr">
        <is>
          <t>2017-10</t>
        </is>
      </c>
      <c r="D3674" t="inlineStr">
        <is>
          <t>a0fbc0263cb98bdb0d72b9f9f283a172</t>
        </is>
      </c>
      <c r="E3674" t="inlineStr">
        <is>
          <t>paid_search</t>
        </is>
      </c>
      <c r="F3674">
        <f>IFERROR(MATCH(A3674,Deals!$A$2:$A$843,0),"")</f>
        <v/>
      </c>
      <c r="G3674">
        <f>IF(F3674="",0,1)</f>
        <v/>
      </c>
      <c r="H3674" s="29">
        <f>IF(F3674="","",INDEX(Deals!$E$2:$E$843,F3674))</f>
        <v/>
      </c>
      <c r="I3674">
        <f>IF(F3674="","",INDEX(Deals!$D$2:$D$843,F3674))</f>
        <v/>
      </c>
      <c r="J3674">
        <f>IF(F3674="","",INT(H3674)-B3674)</f>
        <v/>
      </c>
      <c r="K3674">
        <f>IF(B3674&gt;=Settings!$C$5,1,0)</f>
        <v/>
      </c>
    </row>
    <row r="3675">
      <c r="A3675" t="inlineStr">
        <is>
          <t>73751fa59c3cfa96c7d3330adb106066</t>
        </is>
      </c>
      <c r="B3675" s="29" t="n">
        <v>43247</v>
      </c>
      <c r="C3675" t="inlineStr">
        <is>
          <t>2018-05</t>
        </is>
      </c>
      <c r="D3675" t="inlineStr">
        <is>
          <t>7fa6214d82e911d070f51ef79381b956</t>
        </is>
      </c>
      <c r="E3675" t="inlineStr">
        <is>
          <t>referral</t>
        </is>
      </c>
      <c r="F3675">
        <f>IFERROR(MATCH(A3675,Deals!$A$2:$A$843,0),"")</f>
        <v/>
      </c>
      <c r="G3675">
        <f>IF(F3675="",0,1)</f>
        <v/>
      </c>
      <c r="H3675" s="29">
        <f>IF(F3675="","",INDEX(Deals!$E$2:$E$843,F3675))</f>
        <v/>
      </c>
      <c r="I3675">
        <f>IF(F3675="","",INDEX(Deals!$D$2:$D$843,F3675))</f>
        <v/>
      </c>
      <c r="J3675">
        <f>IF(F3675="","",INT(H3675)-B3675)</f>
        <v/>
      </c>
      <c r="K3675">
        <f>IF(B3675&gt;=Settings!$C$5,1,0)</f>
        <v/>
      </c>
    </row>
    <row r="3676">
      <c r="A3676" t="inlineStr">
        <is>
          <t>363316592c0f32afc1b32dac6f80140c</t>
        </is>
      </c>
      <c r="B3676" s="29" t="n">
        <v>43195</v>
      </c>
      <c r="C3676" t="inlineStr">
        <is>
          <t>2018-04</t>
        </is>
      </c>
      <c r="D3676" t="inlineStr">
        <is>
          <t>b76ef37428e6799c421989521c0e5077</t>
        </is>
      </c>
      <c r="E3676" t="inlineStr">
        <is>
          <t>unknown</t>
        </is>
      </c>
      <c r="F3676">
        <f>IFERROR(MATCH(A3676,Deals!$A$2:$A$843,0),"")</f>
        <v/>
      </c>
      <c r="G3676">
        <f>IF(F3676="",0,1)</f>
        <v/>
      </c>
      <c r="H3676" s="29">
        <f>IF(F3676="","",INDEX(Deals!$E$2:$E$843,F3676))</f>
        <v/>
      </c>
      <c r="I3676">
        <f>IF(F3676="","",INDEX(Deals!$D$2:$D$843,F3676))</f>
        <v/>
      </c>
      <c r="J3676">
        <f>IF(F3676="","",INT(H3676)-B3676)</f>
        <v/>
      </c>
      <c r="K3676">
        <f>IF(B3676&gt;=Settings!$C$5,1,0)</f>
        <v/>
      </c>
    </row>
    <row r="3677">
      <c r="A3677" t="inlineStr">
        <is>
          <t>a868dea95a3f4888248ecf2ea5233c3b</t>
        </is>
      </c>
      <c r="B3677" s="29" t="n">
        <v>43152</v>
      </c>
      <c r="C3677" t="inlineStr">
        <is>
          <t>2018-02</t>
        </is>
      </c>
      <c r="D3677" t="inlineStr">
        <is>
          <t>b76ef37428e6799c421989521c0e5077</t>
        </is>
      </c>
      <c r="E3677" t="inlineStr">
        <is>
          <t>unknown</t>
        </is>
      </c>
      <c r="F3677">
        <f>IFERROR(MATCH(A3677,Deals!$A$2:$A$843,0),"")</f>
        <v/>
      </c>
      <c r="G3677">
        <f>IF(F3677="",0,1)</f>
        <v/>
      </c>
      <c r="H3677" s="29">
        <f>IF(F3677="","",INDEX(Deals!$E$2:$E$843,F3677))</f>
        <v/>
      </c>
      <c r="I3677">
        <f>IF(F3677="","",INDEX(Deals!$D$2:$D$843,F3677))</f>
        <v/>
      </c>
      <c r="J3677">
        <f>IF(F3677="","",INT(H3677)-B3677)</f>
        <v/>
      </c>
      <c r="K3677">
        <f>IF(B3677&gt;=Settings!$C$5,1,0)</f>
        <v/>
      </c>
    </row>
    <row r="3678">
      <c r="A3678" t="inlineStr">
        <is>
          <t>8f8018cdeaedacc1ad434e9dfa8d6e69</t>
        </is>
      </c>
      <c r="B3678" s="29" t="n">
        <v>43033</v>
      </c>
      <c r="C3678" t="inlineStr">
        <is>
          <t>2017-10</t>
        </is>
      </c>
      <c r="D3678" t="inlineStr">
        <is>
          <t>88740e65d5d6b056e0cda098e1ea6313</t>
        </is>
      </c>
      <c r="E3678" t="inlineStr">
        <is>
          <t>social</t>
        </is>
      </c>
      <c r="F3678">
        <f>IFERROR(MATCH(A3678,Deals!$A$2:$A$843,0),"")</f>
        <v/>
      </c>
      <c r="G3678">
        <f>IF(F3678="",0,1)</f>
        <v/>
      </c>
      <c r="H3678" s="29">
        <f>IF(F3678="","",INDEX(Deals!$E$2:$E$843,F3678))</f>
        <v/>
      </c>
      <c r="I3678">
        <f>IF(F3678="","",INDEX(Deals!$D$2:$D$843,F3678))</f>
        <v/>
      </c>
      <c r="J3678">
        <f>IF(F3678="","",INT(H3678)-B3678)</f>
        <v/>
      </c>
      <c r="K3678">
        <f>IF(B3678&gt;=Settings!$C$5,1,0)</f>
        <v/>
      </c>
    </row>
    <row r="3679">
      <c r="A3679" t="inlineStr">
        <is>
          <t>b5403b2d202b8fe1db69b68b2c0c5e2b</t>
        </is>
      </c>
      <c r="B3679" s="29" t="n">
        <v>42969</v>
      </c>
      <c r="C3679" t="inlineStr">
        <is>
          <t>2017-08</t>
        </is>
      </c>
      <c r="D3679" t="inlineStr">
        <is>
          <t>65d9f9d71e562365e8b44037c2888d98</t>
        </is>
      </c>
      <c r="E3679" t="inlineStr">
        <is>
          <t>paid_search</t>
        </is>
      </c>
      <c r="F3679">
        <f>IFERROR(MATCH(A3679,Deals!$A$2:$A$843,0),"")</f>
        <v/>
      </c>
      <c r="G3679">
        <f>IF(F3679="",0,1)</f>
        <v/>
      </c>
      <c r="H3679" s="29">
        <f>IF(F3679="","",INDEX(Deals!$E$2:$E$843,F3679))</f>
        <v/>
      </c>
      <c r="I3679">
        <f>IF(F3679="","",INDEX(Deals!$D$2:$D$843,F3679))</f>
        <v/>
      </c>
      <c r="J3679">
        <f>IF(F3679="","",INT(H3679)-B3679)</f>
        <v/>
      </c>
      <c r="K3679">
        <f>IF(B3679&gt;=Settings!$C$5,1,0)</f>
        <v/>
      </c>
    </row>
    <row r="3680">
      <c r="A3680" t="inlineStr">
        <is>
          <t>5ea25b4505991a8c3a9d598d09ae39ca</t>
        </is>
      </c>
      <c r="B3680" s="29" t="n">
        <v>43167</v>
      </c>
      <c r="C3680" t="inlineStr">
        <is>
          <t>2018-03</t>
        </is>
      </c>
      <c r="D3680" t="inlineStr">
        <is>
          <t>73f31a40697cc90a86c1273563ac230e</t>
        </is>
      </c>
      <c r="E3680" t="inlineStr">
        <is>
          <t>organic_search</t>
        </is>
      </c>
      <c r="F3680">
        <f>IFERROR(MATCH(A3680,Deals!$A$2:$A$843,0),"")</f>
        <v/>
      </c>
      <c r="G3680">
        <f>IF(F3680="",0,1)</f>
        <v/>
      </c>
      <c r="H3680" s="29">
        <f>IF(F3680="","",INDEX(Deals!$E$2:$E$843,F3680))</f>
        <v/>
      </c>
      <c r="I3680">
        <f>IF(F3680="","",INDEX(Deals!$D$2:$D$843,F3680))</f>
        <v/>
      </c>
      <c r="J3680">
        <f>IF(F3680="","",INT(H3680)-B3680)</f>
        <v/>
      </c>
      <c r="K3680">
        <f>IF(B3680&gt;=Settings!$C$5,1,0)</f>
        <v/>
      </c>
    </row>
    <row r="3681">
      <c r="A3681" t="inlineStr">
        <is>
          <t>d77990419e2fbb54cb4aad96f09dcf76</t>
        </is>
      </c>
      <c r="B3681" s="29" t="n">
        <v>43117</v>
      </c>
      <c r="C3681" t="inlineStr">
        <is>
          <t>2018-01</t>
        </is>
      </c>
      <c r="D3681" t="inlineStr">
        <is>
          <t>88740e65d5d6b056e0cda098e1ea6313</t>
        </is>
      </c>
      <c r="E3681" t="inlineStr">
        <is>
          <t>social</t>
        </is>
      </c>
      <c r="F3681">
        <f>IFERROR(MATCH(A3681,Deals!$A$2:$A$843,0),"")</f>
        <v/>
      </c>
      <c r="G3681">
        <f>IF(F3681="",0,1)</f>
        <v/>
      </c>
      <c r="H3681" s="29">
        <f>IF(F3681="","",INDEX(Deals!$E$2:$E$843,F3681))</f>
        <v/>
      </c>
      <c r="I3681">
        <f>IF(F3681="","",INDEX(Deals!$D$2:$D$843,F3681))</f>
        <v/>
      </c>
      <c r="J3681">
        <f>IF(F3681="","",INT(H3681)-B3681)</f>
        <v/>
      </c>
      <c r="K3681">
        <f>IF(B3681&gt;=Settings!$C$5,1,0)</f>
        <v/>
      </c>
    </row>
    <row r="3682">
      <c r="A3682" t="inlineStr">
        <is>
          <t>6cb8e5da693e35b24f941ab0e2777550</t>
        </is>
      </c>
      <c r="B3682" s="29" t="n">
        <v>43023</v>
      </c>
      <c r="C3682" t="inlineStr">
        <is>
          <t>2017-10</t>
        </is>
      </c>
      <c r="D3682" t="inlineStr">
        <is>
          <t>87780f7c05ecd79791bde76af663db15</t>
        </is>
      </c>
      <c r="E3682" t="inlineStr">
        <is>
          <t>social</t>
        </is>
      </c>
      <c r="F3682">
        <f>IFERROR(MATCH(A3682,Deals!$A$2:$A$843,0),"")</f>
        <v/>
      </c>
      <c r="G3682">
        <f>IF(F3682="",0,1)</f>
        <v/>
      </c>
      <c r="H3682" s="29">
        <f>IF(F3682="","",INDEX(Deals!$E$2:$E$843,F3682))</f>
        <v/>
      </c>
      <c r="I3682">
        <f>IF(F3682="","",INDEX(Deals!$D$2:$D$843,F3682))</f>
        <v/>
      </c>
      <c r="J3682">
        <f>IF(F3682="","",INT(H3682)-B3682)</f>
        <v/>
      </c>
      <c r="K3682">
        <f>IF(B3682&gt;=Settings!$C$5,1,0)</f>
        <v/>
      </c>
    </row>
    <row r="3683">
      <c r="A3683" t="inlineStr">
        <is>
          <t>27f6f78fe227d299b12bd3031861913e</t>
        </is>
      </c>
      <c r="B3683" s="29" t="n">
        <v>43180</v>
      </c>
      <c r="C3683" t="inlineStr">
        <is>
          <t>2018-03</t>
        </is>
      </c>
      <c r="D3683" t="inlineStr">
        <is>
          <t>b76ef37428e6799c421989521c0e5077</t>
        </is>
      </c>
      <c r="E3683" t="inlineStr">
        <is>
          <t>paid_search</t>
        </is>
      </c>
      <c r="F3683">
        <f>IFERROR(MATCH(A3683,Deals!$A$2:$A$843,0),"")</f>
        <v/>
      </c>
      <c r="G3683">
        <f>IF(F3683="",0,1)</f>
        <v/>
      </c>
      <c r="H3683" s="29">
        <f>IF(F3683="","",INDEX(Deals!$E$2:$E$843,F3683))</f>
        <v/>
      </c>
      <c r="I3683">
        <f>IF(F3683="","",INDEX(Deals!$D$2:$D$843,F3683))</f>
        <v/>
      </c>
      <c r="J3683">
        <f>IF(F3683="","",INT(H3683)-B3683)</f>
        <v/>
      </c>
      <c r="K3683">
        <f>IF(B3683&gt;=Settings!$C$5,1,0)</f>
        <v/>
      </c>
    </row>
    <row r="3684">
      <c r="A3684" t="inlineStr">
        <is>
          <t>cb5baa5a1c966f95c78dd39327f7dbd3</t>
        </is>
      </c>
      <c r="B3684" s="29" t="n">
        <v>43245</v>
      </c>
      <c r="C3684" t="inlineStr">
        <is>
          <t>2018-05</t>
        </is>
      </c>
      <c r="D3684" t="inlineStr">
        <is>
          <t>358adb2fee9a122549618e46925a00a5</t>
        </is>
      </c>
      <c r="E3684" t="inlineStr">
        <is>
          <t>email</t>
        </is>
      </c>
      <c r="F3684">
        <f>IFERROR(MATCH(A3684,Deals!$A$2:$A$843,0),"")</f>
        <v/>
      </c>
      <c r="G3684">
        <f>IF(F3684="",0,1)</f>
        <v/>
      </c>
      <c r="H3684" s="29">
        <f>IF(F3684="","",INDEX(Deals!$E$2:$E$843,F3684))</f>
        <v/>
      </c>
      <c r="I3684">
        <f>IF(F3684="","",INDEX(Deals!$D$2:$D$843,F3684))</f>
        <v/>
      </c>
      <c r="J3684">
        <f>IF(F3684="","",INT(H3684)-B3684)</f>
        <v/>
      </c>
      <c r="K3684">
        <f>IF(B3684&gt;=Settings!$C$5,1,0)</f>
        <v/>
      </c>
    </row>
    <row r="3685">
      <c r="A3685" t="inlineStr">
        <is>
          <t>41425a28f118604b01522f7af1176aa3</t>
        </is>
      </c>
      <c r="B3685" s="29" t="n">
        <v>43238</v>
      </c>
      <c r="C3685" t="inlineStr">
        <is>
          <t>2018-05</t>
        </is>
      </c>
      <c r="D3685" t="inlineStr">
        <is>
          <t>58326e62183c14b0c03085c33b9fdc44</t>
        </is>
      </c>
      <c r="E3685" t="inlineStr">
        <is>
          <t>social</t>
        </is>
      </c>
      <c r="F3685">
        <f>IFERROR(MATCH(A3685,Deals!$A$2:$A$843,0),"")</f>
        <v/>
      </c>
      <c r="G3685">
        <f>IF(F3685="",0,1)</f>
        <v/>
      </c>
      <c r="H3685" s="29">
        <f>IF(F3685="","",INDEX(Deals!$E$2:$E$843,F3685))</f>
        <v/>
      </c>
      <c r="I3685">
        <f>IF(F3685="","",INDEX(Deals!$D$2:$D$843,F3685))</f>
        <v/>
      </c>
      <c r="J3685">
        <f>IF(F3685="","",INT(H3685)-B3685)</f>
        <v/>
      </c>
      <c r="K3685">
        <f>IF(B3685&gt;=Settings!$C$5,1,0)</f>
        <v/>
      </c>
    </row>
    <row r="3686">
      <c r="A3686" t="inlineStr">
        <is>
          <t>97463af2e9ad2d9b6b5b377eaf03f049</t>
        </is>
      </c>
      <c r="B3686" s="29" t="n">
        <v>43103</v>
      </c>
      <c r="C3686" t="inlineStr">
        <is>
          <t>2018-01</t>
        </is>
      </c>
      <c r="D3686" t="inlineStr">
        <is>
          <t>872eb32141128a5320bfe7b8cf80fc14</t>
        </is>
      </c>
      <c r="E3686" t="inlineStr">
        <is>
          <t>organic_search</t>
        </is>
      </c>
      <c r="F3686">
        <f>IFERROR(MATCH(A3686,Deals!$A$2:$A$843,0),"")</f>
        <v/>
      </c>
      <c r="G3686">
        <f>IF(F3686="",0,1)</f>
        <v/>
      </c>
      <c r="H3686" s="29">
        <f>IF(F3686="","",INDEX(Deals!$E$2:$E$843,F3686))</f>
        <v/>
      </c>
      <c r="I3686">
        <f>IF(F3686="","",INDEX(Deals!$D$2:$D$843,F3686))</f>
        <v/>
      </c>
      <c r="J3686">
        <f>IF(F3686="","",INT(H3686)-B3686)</f>
        <v/>
      </c>
      <c r="K3686">
        <f>IF(B3686&gt;=Settings!$C$5,1,0)</f>
        <v/>
      </c>
    </row>
    <row r="3687">
      <c r="A3687" t="inlineStr">
        <is>
          <t>a874cfb0e01e3bfd6da13bb3d513c3f7</t>
        </is>
      </c>
      <c r="B3687" s="29" t="n">
        <v>43116</v>
      </c>
      <c r="C3687" t="inlineStr">
        <is>
          <t>2018-01</t>
        </is>
      </c>
      <c r="D3687" t="inlineStr">
        <is>
          <t>73fec6021437e723ff5adae8dff89e23</t>
        </is>
      </c>
      <c r="E3687" t="inlineStr">
        <is>
          <t>organic_search</t>
        </is>
      </c>
      <c r="F3687">
        <f>IFERROR(MATCH(A3687,Deals!$A$2:$A$843,0),"")</f>
        <v/>
      </c>
      <c r="G3687">
        <f>IF(F3687="",0,1)</f>
        <v/>
      </c>
      <c r="H3687" s="29">
        <f>IF(F3687="","",INDEX(Deals!$E$2:$E$843,F3687))</f>
        <v/>
      </c>
      <c r="I3687">
        <f>IF(F3687="","",INDEX(Deals!$D$2:$D$843,F3687))</f>
        <v/>
      </c>
      <c r="J3687">
        <f>IF(F3687="","",INT(H3687)-B3687)</f>
        <v/>
      </c>
      <c r="K3687">
        <f>IF(B3687&gt;=Settings!$C$5,1,0)</f>
        <v/>
      </c>
    </row>
    <row r="3688">
      <c r="A3688" t="inlineStr">
        <is>
          <t>c3449c7cc8d96b2e1d6dcdd915e7235c</t>
        </is>
      </c>
      <c r="B3688" s="29" t="n">
        <v>43247</v>
      </c>
      <c r="C3688" t="inlineStr">
        <is>
          <t>2018-05</t>
        </is>
      </c>
      <c r="D3688" t="inlineStr">
        <is>
          <t>8ff57dffc365fcb5233232fff6e6bfd0</t>
        </is>
      </c>
      <c r="E3688" t="inlineStr">
        <is>
          <t>paid_search</t>
        </is>
      </c>
      <c r="F3688">
        <f>IFERROR(MATCH(A3688,Deals!$A$2:$A$843,0),"")</f>
        <v/>
      </c>
      <c r="G3688">
        <f>IF(F3688="",0,1)</f>
        <v/>
      </c>
      <c r="H3688" s="29">
        <f>IF(F3688="","",INDEX(Deals!$E$2:$E$843,F3688))</f>
        <v/>
      </c>
      <c r="I3688">
        <f>IF(F3688="","",INDEX(Deals!$D$2:$D$843,F3688))</f>
        <v/>
      </c>
      <c r="J3688">
        <f>IF(F3688="","",INT(H3688)-B3688)</f>
        <v/>
      </c>
      <c r="K3688">
        <f>IF(B3688&gt;=Settings!$C$5,1,0)</f>
        <v/>
      </c>
    </row>
    <row r="3689">
      <c r="A3689" t="inlineStr">
        <is>
          <t>f7633dd32138e8ff73ba5b69c7e0c88d</t>
        </is>
      </c>
      <c r="B3689" s="29" t="n">
        <v>43196</v>
      </c>
      <c r="C3689" t="inlineStr">
        <is>
          <t>2018-04</t>
        </is>
      </c>
      <c r="D3689" t="inlineStr">
        <is>
          <t>f017be4dbf86243af5c1ebed0cff36a2</t>
        </is>
      </c>
      <c r="E3689" t="inlineStr">
        <is>
          <t>unknown</t>
        </is>
      </c>
      <c r="F3689">
        <f>IFERROR(MATCH(A3689,Deals!$A$2:$A$843,0),"")</f>
        <v/>
      </c>
      <c r="G3689">
        <f>IF(F3689="",0,1)</f>
        <v/>
      </c>
      <c r="H3689" s="29">
        <f>IF(F3689="","",INDEX(Deals!$E$2:$E$843,F3689))</f>
        <v/>
      </c>
      <c r="I3689">
        <f>IF(F3689="","",INDEX(Deals!$D$2:$D$843,F3689))</f>
        <v/>
      </c>
      <c r="J3689">
        <f>IF(F3689="","",INT(H3689)-B3689)</f>
        <v/>
      </c>
      <c r="K3689">
        <f>IF(B3689&gt;=Settings!$C$5,1,0)</f>
        <v/>
      </c>
    </row>
    <row r="3690">
      <c r="A3690" t="inlineStr">
        <is>
          <t>687e0d2bafc7e6ec43af9c3f65b45508</t>
        </is>
      </c>
      <c r="B3690" s="29" t="n">
        <v>42970</v>
      </c>
      <c r="C3690" t="inlineStr">
        <is>
          <t>2017-08</t>
        </is>
      </c>
      <c r="D3690" t="inlineStr">
        <is>
          <t>b76ef37428e6799c421989521c0e5077</t>
        </is>
      </c>
      <c r="E3690" t="inlineStr">
        <is>
          <t>unknown</t>
        </is>
      </c>
      <c r="F3690">
        <f>IFERROR(MATCH(A3690,Deals!$A$2:$A$843,0),"")</f>
        <v/>
      </c>
      <c r="G3690">
        <f>IF(F3690="",0,1)</f>
        <v/>
      </c>
      <c r="H3690" s="29">
        <f>IF(F3690="","",INDEX(Deals!$E$2:$E$843,F3690))</f>
        <v/>
      </c>
      <c r="I3690">
        <f>IF(F3690="","",INDEX(Deals!$D$2:$D$843,F3690))</f>
        <v/>
      </c>
      <c r="J3690">
        <f>IF(F3690="","",INT(H3690)-B3690)</f>
        <v/>
      </c>
      <c r="K3690">
        <f>IF(B3690&gt;=Settings!$C$5,1,0)</f>
        <v/>
      </c>
    </row>
    <row r="3691">
      <c r="A3691" t="inlineStr">
        <is>
          <t>443615ca6b28402752eb646cc6f51ae7</t>
        </is>
      </c>
      <c r="B3691" s="29" t="n">
        <v>42966</v>
      </c>
      <c r="C3691" t="inlineStr">
        <is>
          <t>2017-08</t>
        </is>
      </c>
      <c r="D3691" t="inlineStr">
        <is>
          <t>87732658ba41d8775e8577df347a64db</t>
        </is>
      </c>
      <c r="E3691" t="inlineStr">
        <is>
          <t>social</t>
        </is>
      </c>
      <c r="F3691">
        <f>IFERROR(MATCH(A3691,Deals!$A$2:$A$843,0),"")</f>
        <v/>
      </c>
      <c r="G3691">
        <f>IF(F3691="",0,1)</f>
        <v/>
      </c>
      <c r="H3691" s="29">
        <f>IF(F3691="","",INDEX(Deals!$E$2:$E$843,F3691))</f>
        <v/>
      </c>
      <c r="I3691">
        <f>IF(F3691="","",INDEX(Deals!$D$2:$D$843,F3691))</f>
        <v/>
      </c>
      <c r="J3691">
        <f>IF(F3691="","",INT(H3691)-B3691)</f>
        <v/>
      </c>
      <c r="K3691">
        <f>IF(B3691&gt;=Settings!$C$5,1,0)</f>
        <v/>
      </c>
    </row>
    <row r="3692">
      <c r="A3692" t="inlineStr">
        <is>
          <t>a1d742d648b1409658be0c7b97e9e743</t>
        </is>
      </c>
      <c r="B3692" s="29" t="n">
        <v>43186</v>
      </c>
      <c r="C3692" t="inlineStr">
        <is>
          <t>2018-03</t>
        </is>
      </c>
      <c r="D3692" t="inlineStr">
        <is>
          <t>b2d69a58fe781b4a116be5368be17353</t>
        </is>
      </c>
      <c r="E3692" t="inlineStr">
        <is>
          <t>email</t>
        </is>
      </c>
      <c r="F3692">
        <f>IFERROR(MATCH(A3692,Deals!$A$2:$A$843,0),"")</f>
        <v/>
      </c>
      <c r="G3692">
        <f>IF(F3692="",0,1)</f>
        <v/>
      </c>
      <c r="H3692" s="29">
        <f>IF(F3692="","",INDEX(Deals!$E$2:$E$843,F3692))</f>
        <v/>
      </c>
      <c r="I3692">
        <f>IF(F3692="","",INDEX(Deals!$D$2:$D$843,F3692))</f>
        <v/>
      </c>
      <c r="J3692">
        <f>IF(F3692="","",INT(H3692)-B3692)</f>
        <v/>
      </c>
      <c r="K3692">
        <f>IF(B3692&gt;=Settings!$C$5,1,0)</f>
        <v/>
      </c>
    </row>
    <row r="3693">
      <c r="A3693" t="inlineStr">
        <is>
          <t>7cbe626aa0d04f3dd324eee36d82d4d0</t>
        </is>
      </c>
      <c r="B3693" s="29" t="n">
        <v>43145</v>
      </c>
      <c r="C3693" t="inlineStr">
        <is>
          <t>2018-02</t>
        </is>
      </c>
      <c r="D3693" t="inlineStr">
        <is>
          <t>b6885f18d203a61176418c1fb3764815</t>
        </is>
      </c>
      <c r="E3693" t="inlineStr">
        <is>
          <t>organic_search</t>
        </is>
      </c>
      <c r="F3693">
        <f>IFERROR(MATCH(A3693,Deals!$A$2:$A$843,0),"")</f>
        <v/>
      </c>
      <c r="G3693">
        <f>IF(F3693="",0,1)</f>
        <v/>
      </c>
      <c r="H3693" s="29">
        <f>IF(F3693="","",INDEX(Deals!$E$2:$E$843,F3693))</f>
        <v/>
      </c>
      <c r="I3693">
        <f>IF(F3693="","",INDEX(Deals!$D$2:$D$843,F3693))</f>
        <v/>
      </c>
      <c r="J3693">
        <f>IF(F3693="","",INT(H3693)-B3693)</f>
        <v/>
      </c>
      <c r="K3693">
        <f>IF(B3693&gt;=Settings!$C$5,1,0)</f>
        <v/>
      </c>
    </row>
    <row r="3694">
      <c r="A3694" t="inlineStr">
        <is>
          <t>62dc8116091a39428cf634860718926c</t>
        </is>
      </c>
      <c r="B3694" s="29" t="n">
        <v>43157</v>
      </c>
      <c r="C3694" t="inlineStr">
        <is>
          <t>2018-02</t>
        </is>
      </c>
      <c r="D3694" t="inlineStr">
        <is>
          <t>22c29808c4f815213303f8933030604c</t>
        </is>
      </c>
      <c r="E3694" t="inlineStr">
        <is>
          <t>organic_search</t>
        </is>
      </c>
      <c r="F3694">
        <f>IFERROR(MATCH(A3694,Deals!$A$2:$A$843,0),"")</f>
        <v/>
      </c>
      <c r="G3694">
        <f>IF(F3694="",0,1)</f>
        <v/>
      </c>
      <c r="H3694" s="29">
        <f>IF(F3694="","",INDEX(Deals!$E$2:$E$843,F3694))</f>
        <v/>
      </c>
      <c r="I3694">
        <f>IF(F3694="","",INDEX(Deals!$D$2:$D$843,F3694))</f>
        <v/>
      </c>
      <c r="J3694">
        <f>IF(F3694="","",INT(H3694)-B3694)</f>
        <v/>
      </c>
      <c r="K3694">
        <f>IF(B3694&gt;=Settings!$C$5,1,0)</f>
        <v/>
      </c>
    </row>
    <row r="3695">
      <c r="A3695" t="inlineStr">
        <is>
          <t>7c01802bb3674e5af58547b0395bcb2d</t>
        </is>
      </c>
      <c r="B3695" s="29" t="n">
        <v>43161</v>
      </c>
      <c r="C3695" t="inlineStr">
        <is>
          <t>2018-03</t>
        </is>
      </c>
      <c r="D3695" t="inlineStr">
        <is>
          <t>40dec9f3d5259a3d2dbcdab2114fae47</t>
        </is>
      </c>
      <c r="E3695" t="inlineStr">
        <is>
          <t>organic_search</t>
        </is>
      </c>
      <c r="F3695">
        <f>IFERROR(MATCH(A3695,Deals!$A$2:$A$843,0),"")</f>
        <v/>
      </c>
      <c r="G3695">
        <f>IF(F3695="",0,1)</f>
        <v/>
      </c>
      <c r="H3695" s="29">
        <f>IF(F3695="","",INDEX(Deals!$E$2:$E$843,F3695))</f>
        <v/>
      </c>
      <c r="I3695">
        <f>IF(F3695="","",INDEX(Deals!$D$2:$D$843,F3695))</f>
        <v/>
      </c>
      <c r="J3695">
        <f>IF(F3695="","",INT(H3695)-B3695)</f>
        <v/>
      </c>
      <c r="K3695">
        <f>IF(B3695&gt;=Settings!$C$5,1,0)</f>
        <v/>
      </c>
    </row>
    <row r="3696">
      <c r="A3696" t="inlineStr">
        <is>
          <t>abcb67d98a01dcf18478fd47823a8dad</t>
        </is>
      </c>
      <c r="B3696" s="29" t="n">
        <v>43235</v>
      </c>
      <c r="C3696" t="inlineStr">
        <is>
          <t>2018-05</t>
        </is>
      </c>
      <c r="D3696" t="inlineStr">
        <is>
          <t>21a104c3279681d9856b8a48723c4fee</t>
        </is>
      </c>
      <c r="E3696" t="inlineStr">
        <is>
          <t>unknown</t>
        </is>
      </c>
      <c r="F3696">
        <f>IFERROR(MATCH(A3696,Deals!$A$2:$A$843,0),"")</f>
        <v/>
      </c>
      <c r="G3696">
        <f>IF(F3696="",0,1)</f>
        <v/>
      </c>
      <c r="H3696" s="29">
        <f>IF(F3696="","",INDEX(Deals!$E$2:$E$843,F3696))</f>
        <v/>
      </c>
      <c r="I3696">
        <f>IF(F3696="","",INDEX(Deals!$D$2:$D$843,F3696))</f>
        <v/>
      </c>
      <c r="J3696">
        <f>IF(F3696="","",INT(H3696)-B3696)</f>
        <v/>
      </c>
      <c r="K3696">
        <f>IF(B3696&gt;=Settings!$C$5,1,0)</f>
        <v/>
      </c>
    </row>
    <row r="3697">
      <c r="A3697" t="inlineStr">
        <is>
          <t>1f1933824a8410104b4d51949b95900c</t>
        </is>
      </c>
      <c r="B3697" s="29" t="n">
        <v>43108</v>
      </c>
      <c r="C3697" t="inlineStr">
        <is>
          <t>2018-01</t>
        </is>
      </c>
      <c r="D3697" t="inlineStr">
        <is>
          <t>b76ef37428e6799c421989521c0e5077</t>
        </is>
      </c>
      <c r="E3697" t="inlineStr">
        <is>
          <t>unknown</t>
        </is>
      </c>
      <c r="F3697">
        <f>IFERROR(MATCH(A3697,Deals!$A$2:$A$843,0),"")</f>
        <v/>
      </c>
      <c r="G3697">
        <f>IF(F3697="",0,1)</f>
        <v/>
      </c>
      <c r="H3697" s="29">
        <f>IF(F3697="","",INDEX(Deals!$E$2:$E$843,F3697))</f>
        <v/>
      </c>
      <c r="I3697">
        <f>IF(F3697="","",INDEX(Deals!$D$2:$D$843,F3697))</f>
        <v/>
      </c>
      <c r="J3697">
        <f>IF(F3697="","",INT(H3697)-B3697)</f>
        <v/>
      </c>
      <c r="K3697">
        <f>IF(B3697&gt;=Settings!$C$5,1,0)</f>
        <v/>
      </c>
    </row>
    <row r="3698">
      <c r="A3698" t="inlineStr">
        <is>
          <t>ae482b6bae6b28e5f1631932d6e5c382</t>
        </is>
      </c>
      <c r="B3698" s="29" t="n">
        <v>42990</v>
      </c>
      <c r="C3698" t="inlineStr">
        <is>
          <t>2017-09</t>
        </is>
      </c>
      <c r="D3698" t="inlineStr">
        <is>
          <t>87732658ba41d8775e8577df347a64db</t>
        </is>
      </c>
      <c r="E3698" t="inlineStr">
        <is>
          <t>social</t>
        </is>
      </c>
      <c r="F3698">
        <f>IFERROR(MATCH(A3698,Deals!$A$2:$A$843,0),"")</f>
        <v/>
      </c>
      <c r="G3698">
        <f>IF(F3698="",0,1)</f>
        <v/>
      </c>
      <c r="H3698" s="29">
        <f>IF(F3698="","",INDEX(Deals!$E$2:$E$843,F3698))</f>
        <v/>
      </c>
      <c r="I3698">
        <f>IF(F3698="","",INDEX(Deals!$D$2:$D$843,F3698))</f>
        <v/>
      </c>
      <c r="J3698">
        <f>IF(F3698="","",INT(H3698)-B3698)</f>
        <v/>
      </c>
      <c r="K3698">
        <f>IF(B3698&gt;=Settings!$C$5,1,0)</f>
        <v/>
      </c>
    </row>
    <row r="3699">
      <c r="A3699" t="inlineStr">
        <is>
          <t>ff7c6b322d982194ef32e74820a3fff4</t>
        </is>
      </c>
      <c r="B3699" s="29" t="n">
        <v>43010</v>
      </c>
      <c r="C3699" t="inlineStr">
        <is>
          <t>2017-10</t>
        </is>
      </c>
      <c r="D3699" t="inlineStr">
        <is>
          <t>7b8106a8b4d2982573b70980cbb01e9d</t>
        </is>
      </c>
      <c r="E3699" t="inlineStr">
        <is>
          <t>organic_search</t>
        </is>
      </c>
      <c r="F3699">
        <f>IFERROR(MATCH(A3699,Deals!$A$2:$A$843,0),"")</f>
        <v/>
      </c>
      <c r="G3699">
        <f>IF(F3699="",0,1)</f>
        <v/>
      </c>
      <c r="H3699" s="29">
        <f>IF(F3699="","",INDEX(Deals!$E$2:$E$843,F3699))</f>
        <v/>
      </c>
      <c r="I3699">
        <f>IF(F3699="","",INDEX(Deals!$D$2:$D$843,F3699))</f>
        <v/>
      </c>
      <c r="J3699">
        <f>IF(F3699="","",INT(H3699)-B3699)</f>
        <v/>
      </c>
      <c r="K3699">
        <f>IF(B3699&gt;=Settings!$C$5,1,0)</f>
        <v/>
      </c>
    </row>
    <row r="3700">
      <c r="A3700" t="inlineStr">
        <is>
          <t>dba1f3f1753db3b8a2921d97d6f4b86b</t>
        </is>
      </c>
      <c r="B3700" s="29" t="n">
        <v>43034</v>
      </c>
      <c r="C3700" t="inlineStr">
        <is>
          <t>2017-10</t>
        </is>
      </c>
      <c r="D3700" t="inlineStr">
        <is>
          <t>e1dede7fac8adb44db8302cef3c60e0d</t>
        </is>
      </c>
      <c r="E3700" t="inlineStr">
        <is>
          <t>paid_search</t>
        </is>
      </c>
      <c r="F3700">
        <f>IFERROR(MATCH(A3700,Deals!$A$2:$A$843,0),"")</f>
        <v/>
      </c>
      <c r="G3700">
        <f>IF(F3700="",0,1)</f>
        <v/>
      </c>
      <c r="H3700" s="29">
        <f>IF(F3700="","",INDEX(Deals!$E$2:$E$843,F3700))</f>
        <v/>
      </c>
      <c r="I3700">
        <f>IF(F3700="","",INDEX(Deals!$D$2:$D$843,F3700))</f>
        <v/>
      </c>
      <c r="J3700">
        <f>IF(F3700="","",INT(H3700)-B3700)</f>
        <v/>
      </c>
      <c r="K3700">
        <f>IF(B3700&gt;=Settings!$C$5,1,0)</f>
        <v/>
      </c>
    </row>
    <row r="3701">
      <c r="A3701" t="inlineStr">
        <is>
          <t>c0df98ebd81058683de4b89e9bda1fc5</t>
        </is>
      </c>
      <c r="B3701" s="29" t="n">
        <v>43042</v>
      </c>
      <c r="C3701" t="inlineStr">
        <is>
          <t>2017-11</t>
        </is>
      </c>
      <c r="D3701" t="inlineStr">
        <is>
          <t>1722481ac9e5371e5099dea226b5421d</t>
        </is>
      </c>
      <c r="E3701" t="inlineStr">
        <is>
          <t>other_publicities</t>
        </is>
      </c>
      <c r="F3701">
        <f>IFERROR(MATCH(A3701,Deals!$A$2:$A$843,0),"")</f>
        <v/>
      </c>
      <c r="G3701">
        <f>IF(F3701="",0,1)</f>
        <v/>
      </c>
      <c r="H3701" s="29">
        <f>IF(F3701="","",INDEX(Deals!$E$2:$E$843,F3701))</f>
        <v/>
      </c>
      <c r="I3701">
        <f>IF(F3701="","",INDEX(Deals!$D$2:$D$843,F3701))</f>
        <v/>
      </c>
      <c r="J3701">
        <f>IF(F3701="","",INT(H3701)-B3701)</f>
        <v/>
      </c>
      <c r="K3701">
        <f>IF(B3701&gt;=Settings!$C$5,1,0)</f>
        <v/>
      </c>
    </row>
    <row r="3702">
      <c r="A3702" t="inlineStr">
        <is>
          <t>937ae010840679f1d5b1d822452389bd</t>
        </is>
      </c>
      <c r="B3702" s="29" t="n">
        <v>43236</v>
      </c>
      <c r="C3702" t="inlineStr">
        <is>
          <t>2018-05</t>
        </is>
      </c>
      <c r="D3702" t="inlineStr">
        <is>
          <t>346137f3e0157d94372d1cafc5675908</t>
        </is>
      </c>
      <c r="E3702" t="inlineStr">
        <is>
          <t>paid_search</t>
        </is>
      </c>
      <c r="F3702">
        <f>IFERROR(MATCH(A3702,Deals!$A$2:$A$843,0),"")</f>
        <v/>
      </c>
      <c r="G3702">
        <f>IF(F3702="",0,1)</f>
        <v/>
      </c>
      <c r="H3702" s="29">
        <f>IF(F3702="","",INDEX(Deals!$E$2:$E$843,F3702))</f>
        <v/>
      </c>
      <c r="I3702">
        <f>IF(F3702="","",INDEX(Deals!$D$2:$D$843,F3702))</f>
        <v/>
      </c>
      <c r="J3702">
        <f>IF(F3702="","",INT(H3702)-B3702)</f>
        <v/>
      </c>
      <c r="K3702">
        <f>IF(B3702&gt;=Settings!$C$5,1,0)</f>
        <v/>
      </c>
    </row>
    <row r="3703">
      <c r="A3703" t="inlineStr">
        <is>
          <t>8f8161d3a6bdf6a3ba5b28fd35725356</t>
        </is>
      </c>
      <c r="B3703" s="29" t="n">
        <v>43199</v>
      </c>
      <c r="C3703" t="inlineStr">
        <is>
          <t>2018-04</t>
        </is>
      </c>
      <c r="D3703" t="inlineStr">
        <is>
          <t>22c29808c4f815213303f8933030604c</t>
        </is>
      </c>
      <c r="E3703" t="inlineStr">
        <is>
          <t>organic_search</t>
        </is>
      </c>
      <c r="F3703">
        <f>IFERROR(MATCH(A3703,Deals!$A$2:$A$843,0),"")</f>
        <v/>
      </c>
      <c r="G3703">
        <f>IF(F3703="",0,1)</f>
        <v/>
      </c>
      <c r="H3703" s="29">
        <f>IF(F3703="","",INDEX(Deals!$E$2:$E$843,F3703))</f>
        <v/>
      </c>
      <c r="I3703">
        <f>IF(F3703="","",INDEX(Deals!$D$2:$D$843,F3703))</f>
        <v/>
      </c>
      <c r="J3703">
        <f>IF(F3703="","",INT(H3703)-B3703)</f>
        <v/>
      </c>
      <c r="K3703">
        <f>IF(B3703&gt;=Settings!$C$5,1,0)</f>
        <v/>
      </c>
    </row>
    <row r="3704">
      <c r="A3704" t="inlineStr">
        <is>
          <t>53dcc522f73ee77763e326f63fd70c17</t>
        </is>
      </c>
      <c r="B3704" s="29" t="n">
        <v>43180</v>
      </c>
      <c r="C3704" t="inlineStr">
        <is>
          <t>2018-03</t>
        </is>
      </c>
      <c r="D3704" t="inlineStr">
        <is>
          <t>4aab772aeb9833c170d8ea5413e02eac</t>
        </is>
      </c>
      <c r="E3704" t="inlineStr">
        <is>
          <t>paid_search</t>
        </is>
      </c>
      <c r="F3704">
        <f>IFERROR(MATCH(A3704,Deals!$A$2:$A$843,0),"")</f>
        <v/>
      </c>
      <c r="G3704">
        <f>IF(F3704="",0,1)</f>
        <v/>
      </c>
      <c r="H3704" s="29">
        <f>IF(F3704="","",INDEX(Deals!$E$2:$E$843,F3704))</f>
        <v/>
      </c>
      <c r="I3704">
        <f>IF(F3704="","",INDEX(Deals!$D$2:$D$843,F3704))</f>
        <v/>
      </c>
      <c r="J3704">
        <f>IF(F3704="","",INT(H3704)-B3704)</f>
        <v/>
      </c>
      <c r="K3704">
        <f>IF(B3704&gt;=Settings!$C$5,1,0)</f>
        <v/>
      </c>
    </row>
    <row r="3705">
      <c r="A3705" t="inlineStr">
        <is>
          <t>fc3b60165411bb4ca7b0f03fecc0cdb5</t>
        </is>
      </c>
      <c r="B3705" s="29" t="n">
        <v>43248</v>
      </c>
      <c r="C3705" t="inlineStr">
        <is>
          <t>2018-05</t>
        </is>
      </c>
      <c r="D3705" t="inlineStr">
        <is>
          <t>b76ef37428e6799c421989521c0e5077</t>
        </is>
      </c>
      <c r="E3705" t="inlineStr">
        <is>
          <t>unknown</t>
        </is>
      </c>
      <c r="F3705">
        <f>IFERROR(MATCH(A3705,Deals!$A$2:$A$843,0),"")</f>
        <v/>
      </c>
      <c r="G3705">
        <f>IF(F3705="",0,1)</f>
        <v/>
      </c>
      <c r="H3705" s="29">
        <f>IF(F3705="","",INDEX(Deals!$E$2:$E$843,F3705))</f>
        <v/>
      </c>
      <c r="I3705">
        <f>IF(F3705="","",INDEX(Deals!$D$2:$D$843,F3705))</f>
        <v/>
      </c>
      <c r="J3705">
        <f>IF(F3705="","",INT(H3705)-B3705)</f>
        <v/>
      </c>
      <c r="K3705">
        <f>IF(B3705&gt;=Settings!$C$5,1,0)</f>
        <v/>
      </c>
    </row>
    <row r="3706">
      <c r="A3706" t="inlineStr">
        <is>
          <t>ea1350ae23fe71f26de3107232ae30bc</t>
        </is>
      </c>
      <c r="B3706" s="29" t="n">
        <v>43116</v>
      </c>
      <c r="C3706" t="inlineStr">
        <is>
          <t>2018-01</t>
        </is>
      </c>
      <c r="D3706" t="inlineStr">
        <is>
          <t>e492ee5eaf1697716985cc6f33f9cd9b</t>
        </is>
      </c>
      <c r="E3706" t="inlineStr">
        <is>
          <t>organic_search</t>
        </is>
      </c>
      <c r="F3706">
        <f>IFERROR(MATCH(A3706,Deals!$A$2:$A$843,0),"")</f>
        <v/>
      </c>
      <c r="G3706">
        <f>IF(F3706="",0,1)</f>
        <v/>
      </c>
      <c r="H3706" s="29">
        <f>IF(F3706="","",INDEX(Deals!$E$2:$E$843,F3706))</f>
        <v/>
      </c>
      <c r="I3706">
        <f>IF(F3706="","",INDEX(Deals!$D$2:$D$843,F3706))</f>
        <v/>
      </c>
      <c r="J3706">
        <f>IF(F3706="","",INT(H3706)-B3706)</f>
        <v/>
      </c>
      <c r="K3706">
        <f>IF(B3706&gt;=Settings!$C$5,1,0)</f>
        <v/>
      </c>
    </row>
    <row r="3707">
      <c r="A3707" t="inlineStr">
        <is>
          <t>479605b650be05c9bd2f3b772260444a</t>
        </is>
      </c>
      <c r="B3707" s="29" t="n">
        <v>43228</v>
      </c>
      <c r="C3707" t="inlineStr">
        <is>
          <t>2018-05</t>
        </is>
      </c>
      <c r="D3707" t="inlineStr">
        <is>
          <t>f017be4dbf86243af5c1ebed0cff36a2</t>
        </is>
      </c>
      <c r="E3707" t="inlineStr">
        <is>
          <t>paid_search</t>
        </is>
      </c>
      <c r="F3707">
        <f>IFERROR(MATCH(A3707,Deals!$A$2:$A$843,0),"")</f>
        <v/>
      </c>
      <c r="G3707">
        <f>IF(F3707="",0,1)</f>
        <v/>
      </c>
      <c r="H3707" s="29">
        <f>IF(F3707="","",INDEX(Deals!$E$2:$E$843,F3707))</f>
        <v/>
      </c>
      <c r="I3707">
        <f>IF(F3707="","",INDEX(Deals!$D$2:$D$843,F3707))</f>
        <v/>
      </c>
      <c r="J3707">
        <f>IF(F3707="","",INT(H3707)-B3707)</f>
        <v/>
      </c>
      <c r="K3707">
        <f>IF(B3707&gt;=Settings!$C$5,1,0)</f>
        <v/>
      </c>
    </row>
    <row r="3708">
      <c r="A3708" t="inlineStr">
        <is>
          <t>1a0cbaee0f6041af3922a0f4dac1a547</t>
        </is>
      </c>
      <c r="B3708" s="29" t="n">
        <v>43075</v>
      </c>
      <c r="C3708" t="inlineStr">
        <is>
          <t>2017-12</t>
        </is>
      </c>
      <c r="D3708" t="inlineStr">
        <is>
          <t>a0fbc0263cb98bdb0d72b9f9f283a172</t>
        </is>
      </c>
      <c r="E3708" t="inlineStr">
        <is>
          <t>paid_search</t>
        </is>
      </c>
      <c r="F3708">
        <f>IFERROR(MATCH(A3708,Deals!$A$2:$A$843,0),"")</f>
        <v/>
      </c>
      <c r="G3708">
        <f>IF(F3708="",0,1)</f>
        <v/>
      </c>
      <c r="H3708" s="29">
        <f>IF(F3708="","",INDEX(Deals!$E$2:$E$843,F3708))</f>
        <v/>
      </c>
      <c r="I3708">
        <f>IF(F3708="","",INDEX(Deals!$D$2:$D$843,F3708))</f>
        <v/>
      </c>
      <c r="J3708">
        <f>IF(F3708="","",INT(H3708)-B3708)</f>
        <v/>
      </c>
      <c r="K3708">
        <f>IF(B3708&gt;=Settings!$C$5,1,0)</f>
        <v/>
      </c>
    </row>
    <row r="3709">
      <c r="A3709" t="inlineStr">
        <is>
          <t>e84cb7cbad2a4a01372580399d53816e</t>
        </is>
      </c>
      <c r="B3709" s="29" t="n">
        <v>43034</v>
      </c>
      <c r="C3709" t="inlineStr">
        <is>
          <t>2017-10</t>
        </is>
      </c>
      <c r="D3709" t="inlineStr">
        <is>
          <t>65d9f9d71e562365e8b44037c2888d98</t>
        </is>
      </c>
      <c r="E3709" t="inlineStr">
        <is>
          <t>paid_search</t>
        </is>
      </c>
      <c r="F3709">
        <f>IFERROR(MATCH(A3709,Deals!$A$2:$A$843,0),"")</f>
        <v/>
      </c>
      <c r="G3709">
        <f>IF(F3709="",0,1)</f>
        <v/>
      </c>
      <c r="H3709" s="29">
        <f>IF(F3709="","",INDEX(Deals!$E$2:$E$843,F3709))</f>
        <v/>
      </c>
      <c r="I3709">
        <f>IF(F3709="","",INDEX(Deals!$D$2:$D$843,F3709))</f>
        <v/>
      </c>
      <c r="J3709">
        <f>IF(F3709="","",INT(H3709)-B3709)</f>
        <v/>
      </c>
      <c r="K3709">
        <f>IF(B3709&gt;=Settings!$C$5,1,0)</f>
        <v/>
      </c>
    </row>
    <row r="3710">
      <c r="A3710" t="inlineStr">
        <is>
          <t>9e106e26d5ec709ce1b63d12c5447791</t>
        </is>
      </c>
      <c r="B3710" s="29" t="n">
        <v>42970</v>
      </c>
      <c r="C3710" t="inlineStr">
        <is>
          <t>2017-08</t>
        </is>
      </c>
      <c r="D3710" t="inlineStr">
        <is>
          <t>e42a14209c69c3e9cc6b042620465f12</t>
        </is>
      </c>
      <c r="E3710" t="inlineStr">
        <is>
          <t>email</t>
        </is>
      </c>
      <c r="F3710">
        <f>IFERROR(MATCH(A3710,Deals!$A$2:$A$843,0),"")</f>
        <v/>
      </c>
      <c r="G3710">
        <f>IF(F3710="",0,1)</f>
        <v/>
      </c>
      <c r="H3710" s="29">
        <f>IF(F3710="","",INDEX(Deals!$E$2:$E$843,F3710))</f>
        <v/>
      </c>
      <c r="I3710">
        <f>IF(F3710="","",INDEX(Deals!$D$2:$D$843,F3710))</f>
        <v/>
      </c>
      <c r="J3710">
        <f>IF(F3710="","",INT(H3710)-B3710)</f>
        <v/>
      </c>
      <c r="K3710">
        <f>IF(B3710&gt;=Settings!$C$5,1,0)</f>
        <v/>
      </c>
    </row>
    <row r="3711">
      <c r="A3711" t="inlineStr">
        <is>
          <t>2c2cd764c0de1f1f43e55d4e857174ca</t>
        </is>
      </c>
      <c r="B3711" s="29" t="n">
        <v>43139</v>
      </c>
      <c r="C3711" t="inlineStr">
        <is>
          <t>2018-02</t>
        </is>
      </c>
      <c r="D3711" t="inlineStr">
        <is>
          <t>b76ef37428e6799c421989521c0e5077</t>
        </is>
      </c>
      <c r="E3711" t="inlineStr">
        <is>
          <t>unknown</t>
        </is>
      </c>
      <c r="F3711">
        <f>IFERROR(MATCH(A3711,Deals!$A$2:$A$843,0),"")</f>
        <v/>
      </c>
      <c r="G3711">
        <f>IF(F3711="",0,1)</f>
        <v/>
      </c>
      <c r="H3711" s="29">
        <f>IF(F3711="","",INDEX(Deals!$E$2:$E$843,F3711))</f>
        <v/>
      </c>
      <c r="I3711">
        <f>IF(F3711="","",INDEX(Deals!$D$2:$D$843,F3711))</f>
        <v/>
      </c>
      <c r="J3711">
        <f>IF(F3711="","",INT(H3711)-B3711)</f>
        <v/>
      </c>
      <c r="K3711">
        <f>IF(B3711&gt;=Settings!$C$5,1,0)</f>
        <v/>
      </c>
    </row>
    <row r="3712">
      <c r="A3712" t="inlineStr">
        <is>
          <t>d3cae83331341cbc7d6ac9b689352327</t>
        </is>
      </c>
      <c r="B3712" s="29" t="n">
        <v>42957</v>
      </c>
      <c r="C3712" t="inlineStr">
        <is>
          <t>2017-08</t>
        </is>
      </c>
      <c r="D3712" t="inlineStr">
        <is>
          <t>c555aa36478386fdf85a2d0ca5cd0ff8</t>
        </is>
      </c>
      <c r="E3712" t="inlineStr">
        <is>
          <t>email</t>
        </is>
      </c>
      <c r="F3712">
        <f>IFERROR(MATCH(A3712,Deals!$A$2:$A$843,0),"")</f>
        <v/>
      </c>
      <c r="G3712">
        <f>IF(F3712="",0,1)</f>
        <v/>
      </c>
      <c r="H3712" s="29">
        <f>IF(F3712="","",INDEX(Deals!$E$2:$E$843,F3712))</f>
        <v/>
      </c>
      <c r="I3712">
        <f>IF(F3712="","",INDEX(Deals!$D$2:$D$843,F3712))</f>
        <v/>
      </c>
      <c r="J3712">
        <f>IF(F3712="","",INT(H3712)-B3712)</f>
        <v/>
      </c>
      <c r="K3712">
        <f>IF(B3712&gt;=Settings!$C$5,1,0)</f>
        <v/>
      </c>
    </row>
    <row r="3713">
      <c r="A3713" t="inlineStr">
        <is>
          <t>69b72154d751af98a431f0318322cfd9</t>
        </is>
      </c>
      <c r="B3713" s="29" t="n">
        <v>42975</v>
      </c>
      <c r="C3713" t="inlineStr">
        <is>
          <t>2017-08</t>
        </is>
      </c>
      <c r="D3713" t="inlineStr">
        <is>
          <t>87732658ba41d8775e8577df347a64db</t>
        </is>
      </c>
      <c r="E3713" t="inlineStr">
        <is>
          <t>social</t>
        </is>
      </c>
      <c r="F3713">
        <f>IFERROR(MATCH(A3713,Deals!$A$2:$A$843,0),"")</f>
        <v/>
      </c>
      <c r="G3713">
        <f>IF(F3713="",0,1)</f>
        <v/>
      </c>
      <c r="H3713" s="29">
        <f>IF(F3713="","",INDEX(Deals!$E$2:$E$843,F3713))</f>
        <v/>
      </c>
      <c r="I3713">
        <f>IF(F3713="","",INDEX(Deals!$D$2:$D$843,F3713))</f>
        <v/>
      </c>
      <c r="J3713">
        <f>IF(F3713="","",INT(H3713)-B3713)</f>
        <v/>
      </c>
      <c r="K3713">
        <f>IF(B3713&gt;=Settings!$C$5,1,0)</f>
        <v/>
      </c>
    </row>
    <row r="3714">
      <c r="A3714" t="inlineStr">
        <is>
          <t>e9c550b97a038b9dbe82e0c87ac80988</t>
        </is>
      </c>
      <c r="B3714" s="29" t="n">
        <v>43122</v>
      </c>
      <c r="C3714" t="inlineStr">
        <is>
          <t>2018-01</t>
        </is>
      </c>
      <c r="D3714" t="inlineStr">
        <is>
          <t>88740e65d5d6b056e0cda098e1ea6313</t>
        </is>
      </c>
      <c r="E3714" t="inlineStr">
        <is>
          <t>social</t>
        </is>
      </c>
      <c r="F3714">
        <f>IFERROR(MATCH(A3714,Deals!$A$2:$A$843,0),"")</f>
        <v/>
      </c>
      <c r="G3714">
        <f>IF(F3714="",0,1)</f>
        <v/>
      </c>
      <c r="H3714" s="29">
        <f>IF(F3714="","",INDEX(Deals!$E$2:$E$843,F3714))</f>
        <v/>
      </c>
      <c r="I3714">
        <f>IF(F3714="","",INDEX(Deals!$D$2:$D$843,F3714))</f>
        <v/>
      </c>
      <c r="J3714">
        <f>IF(F3714="","",INT(H3714)-B3714)</f>
        <v/>
      </c>
      <c r="K3714">
        <f>IF(B3714&gt;=Settings!$C$5,1,0)</f>
        <v/>
      </c>
    </row>
    <row r="3715">
      <c r="A3715" t="inlineStr">
        <is>
          <t>b88f43b1f8531a436a15661bb9737c51</t>
        </is>
      </c>
      <c r="B3715" s="29" t="n">
        <v>43160</v>
      </c>
      <c r="C3715" t="inlineStr">
        <is>
          <t>2018-03</t>
        </is>
      </c>
      <c r="D3715" t="inlineStr">
        <is>
          <t>b76ef37428e6799c421989521c0e5077</t>
        </is>
      </c>
      <c r="E3715" t="inlineStr">
        <is>
          <t>unknown</t>
        </is>
      </c>
      <c r="F3715">
        <f>IFERROR(MATCH(A3715,Deals!$A$2:$A$843,0),"")</f>
        <v/>
      </c>
      <c r="G3715">
        <f>IF(F3715="",0,1)</f>
        <v/>
      </c>
      <c r="H3715" s="29">
        <f>IF(F3715="","",INDEX(Deals!$E$2:$E$843,F3715))</f>
        <v/>
      </c>
      <c r="I3715">
        <f>IF(F3715="","",INDEX(Deals!$D$2:$D$843,F3715))</f>
        <v/>
      </c>
      <c r="J3715">
        <f>IF(F3715="","",INT(H3715)-B3715)</f>
        <v/>
      </c>
      <c r="K3715">
        <f>IF(B3715&gt;=Settings!$C$5,1,0)</f>
        <v/>
      </c>
    </row>
    <row r="3716">
      <c r="A3716" t="inlineStr">
        <is>
          <t>916cb4b04f32e307ee2a5c32c8d4f7b7</t>
        </is>
      </c>
      <c r="B3716" s="29" t="n">
        <v>43208</v>
      </c>
      <c r="C3716" t="inlineStr">
        <is>
          <t>2018-04</t>
        </is>
      </c>
      <c r="D3716" t="inlineStr">
        <is>
          <t>e534a08b23c682d94859d0ab860bd57a</t>
        </is>
      </c>
      <c r="E3716" t="inlineStr">
        <is>
          <t>(missing)</t>
        </is>
      </c>
      <c r="F3716">
        <f>IFERROR(MATCH(A3716,Deals!$A$2:$A$843,0),"")</f>
        <v/>
      </c>
      <c r="G3716">
        <f>IF(F3716="",0,1)</f>
        <v/>
      </c>
      <c r="H3716" s="29">
        <f>IF(F3716="","",INDEX(Deals!$E$2:$E$843,F3716))</f>
        <v/>
      </c>
      <c r="I3716">
        <f>IF(F3716="","",INDEX(Deals!$D$2:$D$843,F3716))</f>
        <v/>
      </c>
      <c r="J3716">
        <f>IF(F3716="","",INT(H3716)-B3716)</f>
        <v/>
      </c>
      <c r="K3716">
        <f>IF(B3716&gt;=Settings!$C$5,1,0)</f>
        <v/>
      </c>
    </row>
    <row r="3717">
      <c r="A3717" t="inlineStr">
        <is>
          <t>27ac0ca86e06d1822d546ed038ea33ae</t>
        </is>
      </c>
      <c r="B3717" s="29" t="n">
        <v>42966</v>
      </c>
      <c r="C3717" t="inlineStr">
        <is>
          <t>2017-08</t>
        </is>
      </c>
      <c r="D3717" t="inlineStr">
        <is>
          <t>22c29808c4f815213303f8933030604c</t>
        </is>
      </c>
      <c r="E3717" t="inlineStr">
        <is>
          <t>referral</t>
        </is>
      </c>
      <c r="F3717">
        <f>IFERROR(MATCH(A3717,Deals!$A$2:$A$843,0),"")</f>
        <v/>
      </c>
      <c r="G3717">
        <f>IF(F3717="",0,1)</f>
        <v/>
      </c>
      <c r="H3717" s="29">
        <f>IF(F3717="","",INDEX(Deals!$E$2:$E$843,F3717))</f>
        <v/>
      </c>
      <c r="I3717">
        <f>IF(F3717="","",INDEX(Deals!$D$2:$D$843,F3717))</f>
        <v/>
      </c>
      <c r="J3717">
        <f>IF(F3717="","",INT(H3717)-B3717)</f>
        <v/>
      </c>
      <c r="K3717">
        <f>IF(B3717&gt;=Settings!$C$5,1,0)</f>
        <v/>
      </c>
    </row>
    <row r="3718">
      <c r="A3718" t="inlineStr">
        <is>
          <t>bdb7179e2db5dca88a7117c1d344a553</t>
        </is>
      </c>
      <c r="B3718" s="29" t="n">
        <v>42957</v>
      </c>
      <c r="C3718" t="inlineStr">
        <is>
          <t>2017-08</t>
        </is>
      </c>
      <c r="D3718" t="inlineStr">
        <is>
          <t>e492ee5eaf1697716985cc6f33f9cd9b</t>
        </is>
      </c>
      <c r="E3718" t="inlineStr">
        <is>
          <t>other_publicities</t>
        </is>
      </c>
      <c r="F3718">
        <f>IFERROR(MATCH(A3718,Deals!$A$2:$A$843,0),"")</f>
        <v/>
      </c>
      <c r="G3718">
        <f>IF(F3718="",0,1)</f>
        <v/>
      </c>
      <c r="H3718" s="29">
        <f>IF(F3718="","",INDEX(Deals!$E$2:$E$843,F3718))</f>
        <v/>
      </c>
      <c r="I3718">
        <f>IF(F3718="","",INDEX(Deals!$D$2:$D$843,F3718))</f>
        <v/>
      </c>
      <c r="J3718">
        <f>IF(F3718="","",INT(H3718)-B3718)</f>
        <v/>
      </c>
      <c r="K3718">
        <f>IF(B3718&gt;=Settings!$C$5,1,0)</f>
        <v/>
      </c>
    </row>
    <row r="3719">
      <c r="A3719" t="inlineStr">
        <is>
          <t>32fed8b2d7ce5d690373e6cf309d5282</t>
        </is>
      </c>
      <c r="B3719" s="29" t="n">
        <v>43231</v>
      </c>
      <c r="C3719" t="inlineStr">
        <is>
          <t>2018-05</t>
        </is>
      </c>
      <c r="D3719" t="inlineStr">
        <is>
          <t>b76ef37428e6799c421989521c0e5077</t>
        </is>
      </c>
      <c r="E3719" t="inlineStr">
        <is>
          <t>direct_traffic</t>
        </is>
      </c>
      <c r="F3719">
        <f>IFERROR(MATCH(A3719,Deals!$A$2:$A$843,0),"")</f>
        <v/>
      </c>
      <c r="G3719">
        <f>IF(F3719="",0,1)</f>
        <v/>
      </c>
      <c r="H3719" s="29">
        <f>IF(F3719="","",INDEX(Deals!$E$2:$E$843,F3719))</f>
        <v/>
      </c>
      <c r="I3719">
        <f>IF(F3719="","",INDEX(Deals!$D$2:$D$843,F3719))</f>
        <v/>
      </c>
      <c r="J3719">
        <f>IF(F3719="","",INT(H3719)-B3719)</f>
        <v/>
      </c>
      <c r="K3719">
        <f>IF(B3719&gt;=Settings!$C$5,1,0)</f>
        <v/>
      </c>
    </row>
    <row r="3720">
      <c r="A3720" t="inlineStr">
        <is>
          <t>4320755a49efb20bbca206e4fea57140</t>
        </is>
      </c>
      <c r="B3720" s="29" t="n">
        <v>43067</v>
      </c>
      <c r="C3720" t="inlineStr">
        <is>
          <t>2017-11</t>
        </is>
      </c>
      <c r="D3720" t="inlineStr">
        <is>
          <t>88740e65d5d6b056e0cda098e1ea6313</t>
        </is>
      </c>
      <c r="E3720" t="inlineStr">
        <is>
          <t>social</t>
        </is>
      </c>
      <c r="F3720">
        <f>IFERROR(MATCH(A3720,Deals!$A$2:$A$843,0),"")</f>
        <v/>
      </c>
      <c r="G3720">
        <f>IF(F3720="",0,1)</f>
        <v/>
      </c>
      <c r="H3720" s="29">
        <f>IF(F3720="","",INDEX(Deals!$E$2:$E$843,F3720))</f>
        <v/>
      </c>
      <c r="I3720">
        <f>IF(F3720="","",INDEX(Deals!$D$2:$D$843,F3720))</f>
        <v/>
      </c>
      <c r="J3720">
        <f>IF(F3720="","",INT(H3720)-B3720)</f>
        <v/>
      </c>
      <c r="K3720">
        <f>IF(B3720&gt;=Settings!$C$5,1,0)</f>
        <v/>
      </c>
    </row>
    <row r="3721">
      <c r="A3721" t="inlineStr">
        <is>
          <t>6e4e57e5aacf1a8feffa258c2c6ff947</t>
        </is>
      </c>
      <c r="B3721" s="29" t="n">
        <v>43194</v>
      </c>
      <c r="C3721" t="inlineStr">
        <is>
          <t>2018-04</t>
        </is>
      </c>
      <c r="D3721" t="inlineStr">
        <is>
          <t>22c29808c4f815213303f8933030604c</t>
        </is>
      </c>
      <c r="E3721" t="inlineStr">
        <is>
          <t>organic_search</t>
        </is>
      </c>
      <c r="F3721">
        <f>IFERROR(MATCH(A3721,Deals!$A$2:$A$843,0),"")</f>
        <v/>
      </c>
      <c r="G3721">
        <f>IF(F3721="",0,1)</f>
        <v/>
      </c>
      <c r="H3721" s="29">
        <f>IF(F3721="","",INDEX(Deals!$E$2:$E$843,F3721))</f>
        <v/>
      </c>
      <c r="I3721">
        <f>IF(F3721="","",INDEX(Deals!$D$2:$D$843,F3721))</f>
        <v/>
      </c>
      <c r="J3721">
        <f>IF(F3721="","",INT(H3721)-B3721)</f>
        <v/>
      </c>
      <c r="K3721">
        <f>IF(B3721&gt;=Settings!$C$5,1,0)</f>
        <v/>
      </c>
    </row>
    <row r="3722">
      <c r="A3722" t="inlineStr">
        <is>
          <t>bcad7af0b6045c9f0408da9661f9f722</t>
        </is>
      </c>
      <c r="B3722" s="29" t="n">
        <v>43070</v>
      </c>
      <c r="C3722" t="inlineStr">
        <is>
          <t>2017-12</t>
        </is>
      </c>
      <c r="D3722" t="inlineStr">
        <is>
          <t>88740e65d5d6b056e0cda098e1ea6313</t>
        </is>
      </c>
      <c r="E3722" t="inlineStr">
        <is>
          <t>social</t>
        </is>
      </c>
      <c r="F3722">
        <f>IFERROR(MATCH(A3722,Deals!$A$2:$A$843,0),"")</f>
        <v/>
      </c>
      <c r="G3722">
        <f>IF(F3722="",0,1)</f>
        <v/>
      </c>
      <c r="H3722" s="29">
        <f>IF(F3722="","",INDEX(Deals!$E$2:$E$843,F3722))</f>
        <v/>
      </c>
      <c r="I3722">
        <f>IF(F3722="","",INDEX(Deals!$D$2:$D$843,F3722))</f>
        <v/>
      </c>
      <c r="J3722">
        <f>IF(F3722="","",INT(H3722)-B3722)</f>
        <v/>
      </c>
      <c r="K3722">
        <f>IF(B3722&gt;=Settings!$C$5,1,0)</f>
        <v/>
      </c>
    </row>
    <row r="3723">
      <c r="A3723" t="inlineStr">
        <is>
          <t>6d952823d12748bf7497ea6e64e03835</t>
        </is>
      </c>
      <c r="B3723" s="29" t="n">
        <v>43038</v>
      </c>
      <c r="C3723" t="inlineStr">
        <is>
          <t>2017-10</t>
        </is>
      </c>
      <c r="D3723" t="inlineStr">
        <is>
          <t>4513838e626b499f475f9b488d177c55</t>
        </is>
      </c>
      <c r="E3723" t="inlineStr">
        <is>
          <t>unknown</t>
        </is>
      </c>
      <c r="F3723">
        <f>IFERROR(MATCH(A3723,Deals!$A$2:$A$843,0),"")</f>
        <v/>
      </c>
      <c r="G3723">
        <f>IF(F3723="",0,1)</f>
        <v/>
      </c>
      <c r="H3723" s="29">
        <f>IF(F3723="","",INDEX(Deals!$E$2:$E$843,F3723))</f>
        <v/>
      </c>
      <c r="I3723">
        <f>IF(F3723="","",INDEX(Deals!$D$2:$D$843,F3723))</f>
        <v/>
      </c>
      <c r="J3723">
        <f>IF(F3723="","",INT(H3723)-B3723)</f>
        <v/>
      </c>
      <c r="K3723">
        <f>IF(B3723&gt;=Settings!$C$5,1,0)</f>
        <v/>
      </c>
    </row>
    <row r="3724">
      <c r="A3724" t="inlineStr">
        <is>
          <t>127f36d53863c8ef53c6426e948bfdf6</t>
        </is>
      </c>
      <c r="B3724" s="29" t="n">
        <v>43153</v>
      </c>
      <c r="C3724" t="inlineStr">
        <is>
          <t>2018-02</t>
        </is>
      </c>
      <c r="D3724" t="inlineStr">
        <is>
          <t>2228a43ac0bc372e25f9569e69fc9015</t>
        </is>
      </c>
      <c r="E3724" t="inlineStr">
        <is>
          <t>unknown</t>
        </is>
      </c>
      <c r="F3724">
        <f>IFERROR(MATCH(A3724,Deals!$A$2:$A$843,0),"")</f>
        <v/>
      </c>
      <c r="G3724">
        <f>IF(F3724="",0,1)</f>
        <v/>
      </c>
      <c r="H3724" s="29">
        <f>IF(F3724="","",INDEX(Deals!$E$2:$E$843,F3724))</f>
        <v/>
      </c>
      <c r="I3724">
        <f>IF(F3724="","",INDEX(Deals!$D$2:$D$843,F3724))</f>
        <v/>
      </c>
      <c r="J3724">
        <f>IF(F3724="","",INT(H3724)-B3724)</f>
        <v/>
      </c>
      <c r="K3724">
        <f>IF(B3724&gt;=Settings!$C$5,1,0)</f>
        <v/>
      </c>
    </row>
    <row r="3725">
      <c r="A3725" t="inlineStr">
        <is>
          <t>d2727ab83af8a2031e49ec3970037725</t>
        </is>
      </c>
      <c r="B3725" s="29" t="n">
        <v>43061</v>
      </c>
      <c r="C3725" t="inlineStr">
        <is>
          <t>2017-11</t>
        </is>
      </c>
      <c r="D3725" t="inlineStr">
        <is>
          <t>64078d75b35c1df83ebde92c7babe9d4</t>
        </is>
      </c>
      <c r="E3725" t="inlineStr">
        <is>
          <t>display</t>
        </is>
      </c>
      <c r="F3725">
        <f>IFERROR(MATCH(A3725,Deals!$A$2:$A$843,0),"")</f>
        <v/>
      </c>
      <c r="G3725">
        <f>IF(F3725="",0,1)</f>
        <v/>
      </c>
      <c r="H3725" s="29">
        <f>IF(F3725="","",INDEX(Deals!$E$2:$E$843,F3725))</f>
        <v/>
      </c>
      <c r="I3725">
        <f>IF(F3725="","",INDEX(Deals!$D$2:$D$843,F3725))</f>
        <v/>
      </c>
      <c r="J3725">
        <f>IF(F3725="","",INT(H3725)-B3725)</f>
        <v/>
      </c>
      <c r="K3725">
        <f>IF(B3725&gt;=Settings!$C$5,1,0)</f>
        <v/>
      </c>
    </row>
    <row r="3726">
      <c r="A3726" t="inlineStr">
        <is>
          <t>68453fe4a8fe4478c75986c5da65af22</t>
        </is>
      </c>
      <c r="B3726" s="29" t="n">
        <v>43244</v>
      </c>
      <c r="C3726" t="inlineStr">
        <is>
          <t>2018-05</t>
        </is>
      </c>
      <c r="D3726" t="inlineStr">
        <is>
          <t>ce1a65abd0973638f1c887a6efcfa82d</t>
        </is>
      </c>
      <c r="E3726" t="inlineStr">
        <is>
          <t>direct_traffic</t>
        </is>
      </c>
      <c r="F3726">
        <f>IFERROR(MATCH(A3726,Deals!$A$2:$A$843,0),"")</f>
        <v/>
      </c>
      <c r="G3726">
        <f>IF(F3726="",0,1)</f>
        <v/>
      </c>
      <c r="H3726" s="29">
        <f>IF(F3726="","",INDEX(Deals!$E$2:$E$843,F3726))</f>
        <v/>
      </c>
      <c r="I3726">
        <f>IF(F3726="","",INDEX(Deals!$D$2:$D$843,F3726))</f>
        <v/>
      </c>
      <c r="J3726">
        <f>IF(F3726="","",INT(H3726)-B3726)</f>
        <v/>
      </c>
      <c r="K3726">
        <f>IF(B3726&gt;=Settings!$C$5,1,0)</f>
        <v/>
      </c>
    </row>
    <row r="3727">
      <c r="A3727" t="inlineStr">
        <is>
          <t>dd0bc433d9a5a097cf08a42aeeb14df2</t>
        </is>
      </c>
      <c r="B3727" s="29" t="n">
        <v>43178</v>
      </c>
      <c r="C3727" t="inlineStr">
        <is>
          <t>2018-03</t>
        </is>
      </c>
      <c r="D3727" t="inlineStr">
        <is>
          <t>b76ef37428e6799c421989521c0e5077</t>
        </is>
      </c>
      <c r="E3727" t="inlineStr">
        <is>
          <t>unknown</t>
        </is>
      </c>
      <c r="F3727">
        <f>IFERROR(MATCH(A3727,Deals!$A$2:$A$843,0),"")</f>
        <v/>
      </c>
      <c r="G3727">
        <f>IF(F3727="",0,1)</f>
        <v/>
      </c>
      <c r="H3727" s="29">
        <f>IF(F3727="","",INDEX(Deals!$E$2:$E$843,F3727))</f>
        <v/>
      </c>
      <c r="I3727">
        <f>IF(F3727="","",INDEX(Deals!$D$2:$D$843,F3727))</f>
        <v/>
      </c>
      <c r="J3727">
        <f>IF(F3727="","",INT(H3727)-B3727)</f>
        <v/>
      </c>
      <c r="K3727">
        <f>IF(B3727&gt;=Settings!$C$5,1,0)</f>
        <v/>
      </c>
    </row>
    <row r="3728">
      <c r="A3728" t="inlineStr">
        <is>
          <t>09f36134733892ee0b4d16cf0fc98790</t>
        </is>
      </c>
      <c r="B3728" s="29" t="n">
        <v>42964</v>
      </c>
      <c r="C3728" t="inlineStr">
        <is>
          <t>2017-08</t>
        </is>
      </c>
      <c r="D3728" t="inlineStr">
        <is>
          <t>b6cd08ac77c501fd6857f7916d2c24f3</t>
        </is>
      </c>
      <c r="E3728" t="inlineStr">
        <is>
          <t>direct_traffic</t>
        </is>
      </c>
      <c r="F3728">
        <f>IFERROR(MATCH(A3728,Deals!$A$2:$A$843,0),"")</f>
        <v/>
      </c>
      <c r="G3728">
        <f>IF(F3728="",0,1)</f>
        <v/>
      </c>
      <c r="H3728" s="29">
        <f>IF(F3728="","",INDEX(Deals!$E$2:$E$843,F3728))</f>
        <v/>
      </c>
      <c r="I3728">
        <f>IF(F3728="","",INDEX(Deals!$D$2:$D$843,F3728))</f>
        <v/>
      </c>
      <c r="J3728">
        <f>IF(F3728="","",INT(H3728)-B3728)</f>
        <v/>
      </c>
      <c r="K3728">
        <f>IF(B3728&gt;=Settings!$C$5,1,0)</f>
        <v/>
      </c>
    </row>
    <row r="3729">
      <c r="A3729" t="inlineStr">
        <is>
          <t>6ae7824fc72133c295b43f04ea9dfa39</t>
        </is>
      </c>
      <c r="B3729" s="29" t="n">
        <v>43205</v>
      </c>
      <c r="C3729" t="inlineStr">
        <is>
          <t>2018-04</t>
        </is>
      </c>
      <c r="D3729" t="inlineStr">
        <is>
          <t>58326e62183c14b0c03085c33b9fdc44</t>
        </is>
      </c>
      <c r="E3729" t="inlineStr">
        <is>
          <t>social</t>
        </is>
      </c>
      <c r="F3729">
        <f>IFERROR(MATCH(A3729,Deals!$A$2:$A$843,0),"")</f>
        <v/>
      </c>
      <c r="G3729">
        <f>IF(F3729="",0,1)</f>
        <v/>
      </c>
      <c r="H3729" s="29">
        <f>IF(F3729="","",INDEX(Deals!$E$2:$E$843,F3729))</f>
        <v/>
      </c>
      <c r="I3729">
        <f>IF(F3729="","",INDEX(Deals!$D$2:$D$843,F3729))</f>
        <v/>
      </c>
      <c r="J3729">
        <f>IF(F3729="","",INT(H3729)-B3729)</f>
        <v/>
      </c>
      <c r="K3729">
        <f>IF(B3729&gt;=Settings!$C$5,1,0)</f>
        <v/>
      </c>
    </row>
    <row r="3730">
      <c r="A3730" t="inlineStr">
        <is>
          <t>383e1febfb5246868b834d73c3344c86</t>
        </is>
      </c>
      <c r="B3730" s="29" t="n">
        <v>43223</v>
      </c>
      <c r="C3730" t="inlineStr">
        <is>
          <t>2018-05</t>
        </is>
      </c>
      <c r="D3730" t="inlineStr">
        <is>
          <t>b76ef37428e6799c421989521c0e5077</t>
        </is>
      </c>
      <c r="E3730" t="inlineStr">
        <is>
          <t>organic_search</t>
        </is>
      </c>
      <c r="F3730">
        <f>IFERROR(MATCH(A3730,Deals!$A$2:$A$843,0),"")</f>
        <v/>
      </c>
      <c r="G3730">
        <f>IF(F3730="",0,1)</f>
        <v/>
      </c>
      <c r="H3730" s="29">
        <f>IF(F3730="","",INDEX(Deals!$E$2:$E$843,F3730))</f>
        <v/>
      </c>
      <c r="I3730">
        <f>IF(F3730="","",INDEX(Deals!$D$2:$D$843,F3730))</f>
        <v/>
      </c>
      <c r="J3730">
        <f>IF(F3730="","",INT(H3730)-B3730)</f>
        <v/>
      </c>
      <c r="K3730">
        <f>IF(B3730&gt;=Settings!$C$5,1,0)</f>
        <v/>
      </c>
    </row>
    <row r="3731">
      <c r="A3731" t="inlineStr">
        <is>
          <t>bd0c97eb3281fdd87caa074c15715b51</t>
        </is>
      </c>
      <c r="B3731" s="29" t="n">
        <v>43242</v>
      </c>
      <c r="C3731" t="inlineStr">
        <is>
          <t>2018-05</t>
        </is>
      </c>
      <c r="D3731" t="inlineStr">
        <is>
          <t>21a104c3279681d9856b8a48723c4fee</t>
        </is>
      </c>
      <c r="E3731" t="inlineStr">
        <is>
          <t>organic_search</t>
        </is>
      </c>
      <c r="F3731">
        <f>IFERROR(MATCH(A3731,Deals!$A$2:$A$843,0),"")</f>
        <v/>
      </c>
      <c r="G3731">
        <f>IF(F3731="",0,1)</f>
        <v/>
      </c>
      <c r="H3731" s="29">
        <f>IF(F3731="","",INDEX(Deals!$E$2:$E$843,F3731))</f>
        <v/>
      </c>
      <c r="I3731">
        <f>IF(F3731="","",INDEX(Deals!$D$2:$D$843,F3731))</f>
        <v/>
      </c>
      <c r="J3731">
        <f>IF(F3731="","",INT(H3731)-B3731)</f>
        <v/>
      </c>
      <c r="K3731">
        <f>IF(B3731&gt;=Settings!$C$5,1,0)</f>
        <v/>
      </c>
    </row>
    <row r="3732">
      <c r="A3732" t="inlineStr">
        <is>
          <t>324ce9339186f4e11fb5ebd5d3ea5f05</t>
        </is>
      </c>
      <c r="B3732" s="29" t="n">
        <v>43227</v>
      </c>
      <c r="C3732" t="inlineStr">
        <is>
          <t>2018-05</t>
        </is>
      </c>
      <c r="D3732" t="inlineStr">
        <is>
          <t>b76ef37428e6799c421989521c0e5077</t>
        </is>
      </c>
      <c r="E3732" t="inlineStr">
        <is>
          <t>unknown</t>
        </is>
      </c>
      <c r="F3732">
        <f>IFERROR(MATCH(A3732,Deals!$A$2:$A$843,0),"")</f>
        <v/>
      </c>
      <c r="G3732">
        <f>IF(F3732="",0,1)</f>
        <v/>
      </c>
      <c r="H3732" s="29">
        <f>IF(F3732="","",INDEX(Deals!$E$2:$E$843,F3732))</f>
        <v/>
      </c>
      <c r="I3732">
        <f>IF(F3732="","",INDEX(Deals!$D$2:$D$843,F3732))</f>
        <v/>
      </c>
      <c r="J3732">
        <f>IF(F3732="","",INT(H3732)-B3732)</f>
        <v/>
      </c>
      <c r="K3732">
        <f>IF(B3732&gt;=Settings!$C$5,1,0)</f>
        <v/>
      </c>
    </row>
    <row r="3733">
      <c r="A3733" t="inlineStr">
        <is>
          <t>d9f53a87e571214d24718690a39f67e9</t>
        </is>
      </c>
      <c r="B3733" s="29" t="n">
        <v>42990</v>
      </c>
      <c r="C3733" t="inlineStr">
        <is>
          <t>2017-09</t>
        </is>
      </c>
      <c r="D3733" t="inlineStr">
        <is>
          <t>87732658ba41d8775e8577df347a64db</t>
        </is>
      </c>
      <c r="E3733" t="inlineStr">
        <is>
          <t>social</t>
        </is>
      </c>
      <c r="F3733">
        <f>IFERROR(MATCH(A3733,Deals!$A$2:$A$843,0),"")</f>
        <v/>
      </c>
      <c r="G3733">
        <f>IF(F3733="",0,1)</f>
        <v/>
      </c>
      <c r="H3733" s="29">
        <f>IF(F3733="","",INDEX(Deals!$E$2:$E$843,F3733))</f>
        <v/>
      </c>
      <c r="I3733">
        <f>IF(F3733="","",INDEX(Deals!$D$2:$D$843,F3733))</f>
        <v/>
      </c>
      <c r="J3733">
        <f>IF(F3733="","",INT(H3733)-B3733)</f>
        <v/>
      </c>
      <c r="K3733">
        <f>IF(B3733&gt;=Settings!$C$5,1,0)</f>
        <v/>
      </c>
    </row>
    <row r="3734">
      <c r="A3734" t="inlineStr">
        <is>
          <t>36a2d857e8c4d30b525eadb5040940cb</t>
        </is>
      </c>
      <c r="B3734" s="29" t="n">
        <v>43176</v>
      </c>
      <c r="C3734" t="inlineStr">
        <is>
          <t>2018-03</t>
        </is>
      </c>
      <c r="D3734" t="inlineStr">
        <is>
          <t>872eb32141128a5320bfe7b8cf80fc14</t>
        </is>
      </c>
      <c r="E3734" t="inlineStr">
        <is>
          <t>organic_search</t>
        </is>
      </c>
      <c r="F3734">
        <f>IFERROR(MATCH(A3734,Deals!$A$2:$A$843,0),"")</f>
        <v/>
      </c>
      <c r="G3734">
        <f>IF(F3734="",0,1)</f>
        <v/>
      </c>
      <c r="H3734" s="29">
        <f>IF(F3734="","",INDEX(Deals!$E$2:$E$843,F3734))</f>
        <v/>
      </c>
      <c r="I3734">
        <f>IF(F3734="","",INDEX(Deals!$D$2:$D$843,F3734))</f>
        <v/>
      </c>
      <c r="J3734">
        <f>IF(F3734="","",INT(H3734)-B3734)</f>
        <v/>
      </c>
      <c r="K3734">
        <f>IF(B3734&gt;=Settings!$C$5,1,0)</f>
        <v/>
      </c>
    </row>
    <row r="3735">
      <c r="A3735" t="inlineStr">
        <is>
          <t>384008daaa0f14b58912d8648101fdd0</t>
        </is>
      </c>
      <c r="B3735" s="29" t="n">
        <v>43158</v>
      </c>
      <c r="C3735" t="inlineStr">
        <is>
          <t>2018-02</t>
        </is>
      </c>
      <c r="D3735" t="inlineStr">
        <is>
          <t>ce1a65abd0973638f1c887a6efcfa82d</t>
        </is>
      </c>
      <c r="E3735" t="inlineStr">
        <is>
          <t>organic_search</t>
        </is>
      </c>
      <c r="F3735">
        <f>IFERROR(MATCH(A3735,Deals!$A$2:$A$843,0),"")</f>
        <v/>
      </c>
      <c r="G3735">
        <f>IF(F3735="",0,1)</f>
        <v/>
      </c>
      <c r="H3735" s="29">
        <f>IF(F3735="","",INDEX(Deals!$E$2:$E$843,F3735))</f>
        <v/>
      </c>
      <c r="I3735">
        <f>IF(F3735="","",INDEX(Deals!$D$2:$D$843,F3735))</f>
        <v/>
      </c>
      <c r="J3735">
        <f>IF(F3735="","",INT(H3735)-B3735)</f>
        <v/>
      </c>
      <c r="K3735">
        <f>IF(B3735&gt;=Settings!$C$5,1,0)</f>
        <v/>
      </c>
    </row>
    <row r="3736">
      <c r="A3736" t="inlineStr">
        <is>
          <t>f7fa86b2e550b949f824993846c68dba</t>
        </is>
      </c>
      <c r="B3736" s="29" t="n">
        <v>43145</v>
      </c>
      <c r="C3736" t="inlineStr">
        <is>
          <t>2018-02</t>
        </is>
      </c>
      <c r="D3736" t="inlineStr">
        <is>
          <t>88740e65d5d6b056e0cda098e1ea6313</t>
        </is>
      </c>
      <c r="E3736" t="inlineStr">
        <is>
          <t>social</t>
        </is>
      </c>
      <c r="F3736">
        <f>IFERROR(MATCH(A3736,Deals!$A$2:$A$843,0),"")</f>
        <v/>
      </c>
      <c r="G3736">
        <f>IF(F3736="",0,1)</f>
        <v/>
      </c>
      <c r="H3736" s="29">
        <f>IF(F3736="","",INDEX(Deals!$E$2:$E$843,F3736))</f>
        <v/>
      </c>
      <c r="I3736">
        <f>IF(F3736="","",INDEX(Deals!$D$2:$D$843,F3736))</f>
        <v/>
      </c>
      <c r="J3736">
        <f>IF(F3736="","",INT(H3736)-B3736)</f>
        <v/>
      </c>
      <c r="K3736">
        <f>IF(B3736&gt;=Settings!$C$5,1,0)</f>
        <v/>
      </c>
    </row>
    <row r="3737">
      <c r="A3737" t="inlineStr">
        <is>
          <t>1e5f03008ee35b23c08673dc64251233</t>
        </is>
      </c>
      <c r="B3737" s="29" t="n">
        <v>43203</v>
      </c>
      <c r="C3737" t="inlineStr">
        <is>
          <t>2018-04</t>
        </is>
      </c>
      <c r="D3737" t="inlineStr">
        <is>
          <t>22c29808c4f815213303f8933030604c</t>
        </is>
      </c>
      <c r="E3737" t="inlineStr">
        <is>
          <t>paid_search</t>
        </is>
      </c>
      <c r="F3737">
        <f>IFERROR(MATCH(A3737,Deals!$A$2:$A$843,0),"")</f>
        <v/>
      </c>
      <c r="G3737">
        <f>IF(F3737="",0,1)</f>
        <v/>
      </c>
      <c r="H3737" s="29">
        <f>IF(F3737="","",INDEX(Deals!$E$2:$E$843,F3737))</f>
        <v/>
      </c>
      <c r="I3737">
        <f>IF(F3737="","",INDEX(Deals!$D$2:$D$843,F3737))</f>
        <v/>
      </c>
      <c r="J3737">
        <f>IF(F3737="","",INT(H3737)-B3737)</f>
        <v/>
      </c>
      <c r="K3737">
        <f>IF(B3737&gt;=Settings!$C$5,1,0)</f>
        <v/>
      </c>
    </row>
    <row r="3738">
      <c r="A3738" t="inlineStr">
        <is>
          <t>be26eb6d752fa4f0289a5761ca9342b4</t>
        </is>
      </c>
      <c r="B3738" s="29" t="n">
        <v>43154</v>
      </c>
      <c r="C3738" t="inlineStr">
        <is>
          <t>2018-02</t>
        </is>
      </c>
      <c r="D3738" t="inlineStr">
        <is>
          <t>b48ec5f3b04e9068441002a19df93c6c</t>
        </is>
      </c>
      <c r="E3738" t="inlineStr">
        <is>
          <t>organic_search</t>
        </is>
      </c>
      <c r="F3738">
        <f>IFERROR(MATCH(A3738,Deals!$A$2:$A$843,0),"")</f>
        <v/>
      </c>
      <c r="G3738">
        <f>IF(F3738="",0,1)</f>
        <v/>
      </c>
      <c r="H3738" s="29">
        <f>IF(F3738="","",INDEX(Deals!$E$2:$E$843,F3738))</f>
        <v/>
      </c>
      <c r="I3738">
        <f>IF(F3738="","",INDEX(Deals!$D$2:$D$843,F3738))</f>
        <v/>
      </c>
      <c r="J3738">
        <f>IF(F3738="","",INT(H3738)-B3738)</f>
        <v/>
      </c>
      <c r="K3738">
        <f>IF(B3738&gt;=Settings!$C$5,1,0)</f>
        <v/>
      </c>
    </row>
    <row r="3739">
      <c r="A3739" t="inlineStr">
        <is>
          <t>9efa87e164995a7743eca9ad63029fa4</t>
        </is>
      </c>
      <c r="B3739" s="29" t="n">
        <v>43195</v>
      </c>
      <c r="C3739" t="inlineStr">
        <is>
          <t>2018-04</t>
        </is>
      </c>
      <c r="D3739" t="inlineStr">
        <is>
          <t>7fa6214d82e911d070f51ef79381b956</t>
        </is>
      </c>
      <c r="E3739" t="inlineStr">
        <is>
          <t>(missing)</t>
        </is>
      </c>
      <c r="F3739">
        <f>IFERROR(MATCH(A3739,Deals!$A$2:$A$843,0),"")</f>
        <v/>
      </c>
      <c r="G3739">
        <f>IF(F3739="",0,1)</f>
        <v/>
      </c>
      <c r="H3739" s="29">
        <f>IF(F3739="","",INDEX(Deals!$E$2:$E$843,F3739))</f>
        <v/>
      </c>
      <c r="I3739">
        <f>IF(F3739="","",INDEX(Deals!$D$2:$D$843,F3739))</f>
        <v/>
      </c>
      <c r="J3739">
        <f>IF(F3739="","",INT(H3739)-B3739)</f>
        <v/>
      </c>
      <c r="K3739">
        <f>IF(B3739&gt;=Settings!$C$5,1,0)</f>
        <v/>
      </c>
    </row>
    <row r="3740">
      <c r="A3740" t="inlineStr">
        <is>
          <t>e5e702e1b7ae3ca23b9b4b2c43705334</t>
        </is>
      </c>
      <c r="B3740" s="29" t="n">
        <v>43234</v>
      </c>
      <c r="C3740" t="inlineStr">
        <is>
          <t>2018-05</t>
        </is>
      </c>
      <c r="D3740" t="inlineStr">
        <is>
          <t>b76ef37428e6799c421989521c0e5077</t>
        </is>
      </c>
      <c r="E3740" t="inlineStr">
        <is>
          <t>unknown</t>
        </is>
      </c>
      <c r="F3740">
        <f>IFERROR(MATCH(A3740,Deals!$A$2:$A$843,0),"")</f>
        <v/>
      </c>
      <c r="G3740">
        <f>IF(F3740="",0,1)</f>
        <v/>
      </c>
      <c r="H3740" s="29">
        <f>IF(F3740="","",INDEX(Deals!$E$2:$E$843,F3740))</f>
        <v/>
      </c>
      <c r="I3740">
        <f>IF(F3740="","",INDEX(Deals!$D$2:$D$843,F3740))</f>
        <v/>
      </c>
      <c r="J3740">
        <f>IF(F3740="","",INT(H3740)-B3740)</f>
        <v/>
      </c>
      <c r="K3740">
        <f>IF(B3740&gt;=Settings!$C$5,1,0)</f>
        <v/>
      </c>
    </row>
    <row r="3741">
      <c r="A3741" t="inlineStr">
        <is>
          <t>b2420b697849a300ece7982b58557094</t>
        </is>
      </c>
      <c r="B3741" s="29" t="n">
        <v>43049</v>
      </c>
      <c r="C3741" t="inlineStr">
        <is>
          <t>2017-11</t>
        </is>
      </c>
      <c r="D3741" t="inlineStr">
        <is>
          <t>88740e65d5d6b056e0cda098e1ea6313</t>
        </is>
      </c>
      <c r="E3741" t="inlineStr">
        <is>
          <t>social</t>
        </is>
      </c>
      <c r="F3741">
        <f>IFERROR(MATCH(A3741,Deals!$A$2:$A$843,0),"")</f>
        <v/>
      </c>
      <c r="G3741">
        <f>IF(F3741="",0,1)</f>
        <v/>
      </c>
      <c r="H3741" s="29">
        <f>IF(F3741="","",INDEX(Deals!$E$2:$E$843,F3741))</f>
        <v/>
      </c>
      <c r="I3741">
        <f>IF(F3741="","",INDEX(Deals!$D$2:$D$843,F3741))</f>
        <v/>
      </c>
      <c r="J3741">
        <f>IF(F3741="","",INT(H3741)-B3741)</f>
        <v/>
      </c>
      <c r="K3741">
        <f>IF(B3741&gt;=Settings!$C$5,1,0)</f>
        <v/>
      </c>
    </row>
    <row r="3742">
      <c r="A3742" t="inlineStr">
        <is>
          <t>9b66d116fd05ff70ce34863f5ccadd6c</t>
        </is>
      </c>
      <c r="B3742" s="29" t="n">
        <v>43096</v>
      </c>
      <c r="C3742" t="inlineStr">
        <is>
          <t>2017-12</t>
        </is>
      </c>
      <c r="D3742" t="inlineStr">
        <is>
          <t>22c29808c4f815213303f8933030604c</t>
        </is>
      </c>
      <c r="E3742" t="inlineStr">
        <is>
          <t>direct_traffic</t>
        </is>
      </c>
      <c r="F3742">
        <f>IFERROR(MATCH(A3742,Deals!$A$2:$A$843,0),"")</f>
        <v/>
      </c>
      <c r="G3742">
        <f>IF(F3742="",0,1)</f>
        <v/>
      </c>
      <c r="H3742" s="29">
        <f>IF(F3742="","",INDEX(Deals!$E$2:$E$843,F3742))</f>
        <v/>
      </c>
      <c r="I3742">
        <f>IF(F3742="","",INDEX(Deals!$D$2:$D$843,F3742))</f>
        <v/>
      </c>
      <c r="J3742">
        <f>IF(F3742="","",INT(H3742)-B3742)</f>
        <v/>
      </c>
      <c r="K3742">
        <f>IF(B3742&gt;=Settings!$C$5,1,0)</f>
        <v/>
      </c>
    </row>
    <row r="3743">
      <c r="A3743" t="inlineStr">
        <is>
          <t>3773f78718c5a0aec6305dc5f1b8b692</t>
        </is>
      </c>
      <c r="B3743" s="29" t="n">
        <v>43173</v>
      </c>
      <c r="C3743" t="inlineStr">
        <is>
          <t>2018-03</t>
        </is>
      </c>
      <c r="D3743" t="inlineStr">
        <is>
          <t>f017be4dbf86243af5c1ebed0cff36a2</t>
        </is>
      </c>
      <c r="E3743" t="inlineStr">
        <is>
          <t>organic_search</t>
        </is>
      </c>
      <c r="F3743">
        <f>IFERROR(MATCH(A3743,Deals!$A$2:$A$843,0),"")</f>
        <v/>
      </c>
      <c r="G3743">
        <f>IF(F3743="",0,1)</f>
        <v/>
      </c>
      <c r="H3743" s="29">
        <f>IF(F3743="","",INDEX(Deals!$E$2:$E$843,F3743))</f>
        <v/>
      </c>
      <c r="I3743">
        <f>IF(F3743="","",INDEX(Deals!$D$2:$D$843,F3743))</f>
        <v/>
      </c>
      <c r="J3743">
        <f>IF(F3743="","",INT(H3743)-B3743)</f>
        <v/>
      </c>
      <c r="K3743">
        <f>IF(B3743&gt;=Settings!$C$5,1,0)</f>
        <v/>
      </c>
    </row>
    <row r="3744">
      <c r="A3744" t="inlineStr">
        <is>
          <t>741675b0c28336d0c5ffda45ed98cf99</t>
        </is>
      </c>
      <c r="B3744" s="29" t="n">
        <v>43066</v>
      </c>
      <c r="C3744" t="inlineStr">
        <is>
          <t>2017-11</t>
        </is>
      </c>
      <c r="D3744" t="inlineStr">
        <is>
          <t>6fe30070097d07349fb571579ce6c14e</t>
        </is>
      </c>
      <c r="E3744" t="inlineStr">
        <is>
          <t>organic_search</t>
        </is>
      </c>
      <c r="F3744">
        <f>IFERROR(MATCH(A3744,Deals!$A$2:$A$843,0),"")</f>
        <v/>
      </c>
      <c r="G3744">
        <f>IF(F3744="",0,1)</f>
        <v/>
      </c>
      <c r="H3744" s="29">
        <f>IF(F3744="","",INDEX(Deals!$E$2:$E$843,F3744))</f>
        <v/>
      </c>
      <c r="I3744">
        <f>IF(F3744="","",INDEX(Deals!$D$2:$D$843,F3744))</f>
        <v/>
      </c>
      <c r="J3744">
        <f>IF(F3744="","",INT(H3744)-B3744)</f>
        <v/>
      </c>
      <c r="K3744">
        <f>IF(B3744&gt;=Settings!$C$5,1,0)</f>
        <v/>
      </c>
    </row>
    <row r="3745">
      <c r="A3745" t="inlineStr">
        <is>
          <t>8135d1bf28501f18186f9152e28c1b3f</t>
        </is>
      </c>
      <c r="B3745" s="29" t="n">
        <v>42957</v>
      </c>
      <c r="C3745" t="inlineStr">
        <is>
          <t>2017-08</t>
        </is>
      </c>
      <c r="D3745" t="inlineStr">
        <is>
          <t>5b893796c1ea6486bc0cc23a0a0fa11b</t>
        </is>
      </c>
      <c r="E3745" t="inlineStr">
        <is>
          <t>email</t>
        </is>
      </c>
      <c r="F3745">
        <f>IFERROR(MATCH(A3745,Deals!$A$2:$A$843,0),"")</f>
        <v/>
      </c>
      <c r="G3745">
        <f>IF(F3745="",0,1)</f>
        <v/>
      </c>
      <c r="H3745" s="29">
        <f>IF(F3745="","",INDEX(Deals!$E$2:$E$843,F3745))</f>
        <v/>
      </c>
      <c r="I3745">
        <f>IF(F3745="","",INDEX(Deals!$D$2:$D$843,F3745))</f>
        <v/>
      </c>
      <c r="J3745">
        <f>IF(F3745="","",INT(H3745)-B3745)</f>
        <v/>
      </c>
      <c r="K3745">
        <f>IF(B3745&gt;=Settings!$C$5,1,0)</f>
        <v/>
      </c>
    </row>
    <row r="3746">
      <c r="A3746" t="inlineStr">
        <is>
          <t>a010998d9841ce5759a37db387d85268</t>
        </is>
      </c>
      <c r="B3746" s="29" t="n">
        <v>42958</v>
      </c>
      <c r="C3746" t="inlineStr">
        <is>
          <t>2017-08</t>
        </is>
      </c>
      <c r="D3746" t="inlineStr">
        <is>
          <t>b76ef37428e6799c421989521c0e5077</t>
        </is>
      </c>
      <c r="E3746" t="inlineStr">
        <is>
          <t>referral</t>
        </is>
      </c>
      <c r="F3746">
        <f>IFERROR(MATCH(A3746,Deals!$A$2:$A$843,0),"")</f>
        <v/>
      </c>
      <c r="G3746">
        <f>IF(F3746="",0,1)</f>
        <v/>
      </c>
      <c r="H3746" s="29">
        <f>IF(F3746="","",INDEX(Deals!$E$2:$E$843,F3746))</f>
        <v/>
      </c>
      <c r="I3746">
        <f>IF(F3746="","",INDEX(Deals!$D$2:$D$843,F3746))</f>
        <v/>
      </c>
      <c r="J3746">
        <f>IF(F3746="","",INT(H3746)-B3746)</f>
        <v/>
      </c>
      <c r="K3746">
        <f>IF(B3746&gt;=Settings!$C$5,1,0)</f>
        <v/>
      </c>
    </row>
    <row r="3747">
      <c r="A3747" t="inlineStr">
        <is>
          <t>b496ec6fe0e41e4901e4a8345656a8c1</t>
        </is>
      </c>
      <c r="B3747" s="29" t="n">
        <v>43062</v>
      </c>
      <c r="C3747" t="inlineStr">
        <is>
          <t>2017-11</t>
        </is>
      </c>
      <c r="D3747" t="inlineStr">
        <is>
          <t>b76ef37428e6799c421989521c0e5077</t>
        </is>
      </c>
      <c r="E3747" t="inlineStr">
        <is>
          <t>unknown</t>
        </is>
      </c>
      <c r="F3747">
        <f>IFERROR(MATCH(A3747,Deals!$A$2:$A$843,0),"")</f>
        <v/>
      </c>
      <c r="G3747">
        <f>IF(F3747="",0,1)</f>
        <v/>
      </c>
      <c r="H3747" s="29">
        <f>IF(F3747="","",INDEX(Deals!$E$2:$E$843,F3747))</f>
        <v/>
      </c>
      <c r="I3747">
        <f>IF(F3747="","",INDEX(Deals!$D$2:$D$843,F3747))</f>
        <v/>
      </c>
      <c r="J3747">
        <f>IF(F3747="","",INT(H3747)-B3747)</f>
        <v/>
      </c>
      <c r="K3747">
        <f>IF(B3747&gt;=Settings!$C$5,1,0)</f>
        <v/>
      </c>
    </row>
    <row r="3748">
      <c r="A3748" t="inlineStr">
        <is>
          <t>3f6ebf8aef0f352720bc0cb534d878b6</t>
        </is>
      </c>
      <c r="B3748" s="29" t="n">
        <v>43216</v>
      </c>
      <c r="C3748" t="inlineStr">
        <is>
          <t>2018-04</t>
        </is>
      </c>
      <c r="D3748" t="inlineStr">
        <is>
          <t>40dec9f3d5259a3d2dbcdab2114fae47</t>
        </is>
      </c>
      <c r="E3748" t="inlineStr">
        <is>
          <t>paid_search</t>
        </is>
      </c>
      <c r="F3748">
        <f>IFERROR(MATCH(A3748,Deals!$A$2:$A$843,0),"")</f>
        <v/>
      </c>
      <c r="G3748">
        <f>IF(F3748="",0,1)</f>
        <v/>
      </c>
      <c r="H3748" s="29">
        <f>IF(F3748="","",INDEX(Deals!$E$2:$E$843,F3748))</f>
        <v/>
      </c>
      <c r="I3748">
        <f>IF(F3748="","",INDEX(Deals!$D$2:$D$843,F3748))</f>
        <v/>
      </c>
      <c r="J3748">
        <f>IF(F3748="","",INT(H3748)-B3748)</f>
        <v/>
      </c>
      <c r="K3748">
        <f>IF(B3748&gt;=Settings!$C$5,1,0)</f>
        <v/>
      </c>
    </row>
    <row r="3749">
      <c r="A3749" t="inlineStr">
        <is>
          <t>e9f25e08376c0ddf3794d0212623d221</t>
        </is>
      </c>
      <c r="B3749" s="29" t="n">
        <v>43130</v>
      </c>
      <c r="C3749" t="inlineStr">
        <is>
          <t>2018-01</t>
        </is>
      </c>
      <c r="D3749" t="inlineStr">
        <is>
          <t>88740e65d5d6b056e0cda098e1ea6313</t>
        </is>
      </c>
      <c r="E3749" t="inlineStr">
        <is>
          <t>social</t>
        </is>
      </c>
      <c r="F3749">
        <f>IFERROR(MATCH(A3749,Deals!$A$2:$A$843,0),"")</f>
        <v/>
      </c>
      <c r="G3749">
        <f>IF(F3749="",0,1)</f>
        <v/>
      </c>
      <c r="H3749" s="29">
        <f>IF(F3749="","",INDEX(Deals!$E$2:$E$843,F3749))</f>
        <v/>
      </c>
      <c r="I3749">
        <f>IF(F3749="","",INDEX(Deals!$D$2:$D$843,F3749))</f>
        <v/>
      </c>
      <c r="J3749">
        <f>IF(F3749="","",INT(H3749)-B3749)</f>
        <v/>
      </c>
      <c r="K3749">
        <f>IF(B3749&gt;=Settings!$C$5,1,0)</f>
        <v/>
      </c>
    </row>
    <row r="3750">
      <c r="A3750" t="inlineStr">
        <is>
          <t>6a26800f2276dd0c5a7b6cf491647f96</t>
        </is>
      </c>
      <c r="B3750" s="29" t="n">
        <v>43073</v>
      </c>
      <c r="C3750" t="inlineStr">
        <is>
          <t>2017-12</t>
        </is>
      </c>
      <c r="D3750" t="inlineStr">
        <is>
          <t>87780f7c05ecd79791bde76af663db15</t>
        </is>
      </c>
      <c r="E3750" t="inlineStr">
        <is>
          <t>social</t>
        </is>
      </c>
      <c r="F3750">
        <f>IFERROR(MATCH(A3750,Deals!$A$2:$A$843,0),"")</f>
        <v/>
      </c>
      <c r="G3750">
        <f>IF(F3750="",0,1)</f>
        <v/>
      </c>
      <c r="H3750" s="29">
        <f>IF(F3750="","",INDEX(Deals!$E$2:$E$843,F3750))</f>
        <v/>
      </c>
      <c r="I3750">
        <f>IF(F3750="","",INDEX(Deals!$D$2:$D$843,F3750))</f>
        <v/>
      </c>
      <c r="J3750">
        <f>IF(F3750="","",INT(H3750)-B3750)</f>
        <v/>
      </c>
      <c r="K3750">
        <f>IF(B3750&gt;=Settings!$C$5,1,0)</f>
        <v/>
      </c>
    </row>
    <row r="3751">
      <c r="A3751" t="inlineStr">
        <is>
          <t>57d7aa461a3d06574ccd1df4a2de2301</t>
        </is>
      </c>
      <c r="B3751" s="29" t="n">
        <v>43208</v>
      </c>
      <c r="C3751" t="inlineStr">
        <is>
          <t>2018-04</t>
        </is>
      </c>
      <c r="D3751" t="inlineStr">
        <is>
          <t>22c29808c4f815213303f8933030604c</t>
        </is>
      </c>
      <c r="E3751" t="inlineStr">
        <is>
          <t>organic_search</t>
        </is>
      </c>
      <c r="F3751">
        <f>IFERROR(MATCH(A3751,Deals!$A$2:$A$843,0),"")</f>
        <v/>
      </c>
      <c r="G3751">
        <f>IF(F3751="",0,1)</f>
        <v/>
      </c>
      <c r="H3751" s="29">
        <f>IF(F3751="","",INDEX(Deals!$E$2:$E$843,F3751))</f>
        <v/>
      </c>
      <c r="I3751">
        <f>IF(F3751="","",INDEX(Deals!$D$2:$D$843,F3751))</f>
        <v/>
      </c>
      <c r="J3751">
        <f>IF(F3751="","",INT(H3751)-B3751)</f>
        <v/>
      </c>
      <c r="K3751">
        <f>IF(B3751&gt;=Settings!$C$5,1,0)</f>
        <v/>
      </c>
    </row>
    <row r="3752">
      <c r="A3752" t="inlineStr">
        <is>
          <t>9f0f4ce8b671b61e661861ee16f16d93</t>
        </is>
      </c>
      <c r="B3752" s="29" t="n">
        <v>43171</v>
      </c>
      <c r="C3752" t="inlineStr">
        <is>
          <t>2018-03</t>
        </is>
      </c>
      <c r="D3752" t="inlineStr">
        <is>
          <t>330b9d44078a1ae5a221d655dcb77afa</t>
        </is>
      </c>
      <c r="E3752" t="inlineStr">
        <is>
          <t>direct_traffic</t>
        </is>
      </c>
      <c r="F3752">
        <f>IFERROR(MATCH(A3752,Deals!$A$2:$A$843,0),"")</f>
        <v/>
      </c>
      <c r="G3752">
        <f>IF(F3752="",0,1)</f>
        <v/>
      </c>
      <c r="H3752" s="29">
        <f>IF(F3752="","",INDEX(Deals!$E$2:$E$843,F3752))</f>
        <v/>
      </c>
      <c r="I3752">
        <f>IF(F3752="","",INDEX(Deals!$D$2:$D$843,F3752))</f>
        <v/>
      </c>
      <c r="J3752">
        <f>IF(F3752="","",INT(H3752)-B3752)</f>
        <v/>
      </c>
      <c r="K3752">
        <f>IF(B3752&gt;=Settings!$C$5,1,0)</f>
        <v/>
      </c>
    </row>
    <row r="3753">
      <c r="A3753" t="inlineStr">
        <is>
          <t>3995a6e6c2f6c6ad38c489e252d0aded</t>
        </is>
      </c>
      <c r="B3753" s="29" t="n">
        <v>43143</v>
      </c>
      <c r="C3753" t="inlineStr">
        <is>
          <t>2018-02</t>
        </is>
      </c>
      <c r="D3753" t="inlineStr">
        <is>
          <t>40dec9f3d5259a3d2dbcdab2114fae47</t>
        </is>
      </c>
      <c r="E3753" t="inlineStr">
        <is>
          <t>organic_search</t>
        </is>
      </c>
      <c r="F3753">
        <f>IFERROR(MATCH(A3753,Deals!$A$2:$A$843,0),"")</f>
        <v/>
      </c>
      <c r="G3753">
        <f>IF(F3753="",0,1)</f>
        <v/>
      </c>
      <c r="H3753" s="29">
        <f>IF(F3753="","",INDEX(Deals!$E$2:$E$843,F3753))</f>
        <v/>
      </c>
      <c r="I3753">
        <f>IF(F3753="","",INDEX(Deals!$D$2:$D$843,F3753))</f>
        <v/>
      </c>
      <c r="J3753">
        <f>IF(F3753="","",INT(H3753)-B3753)</f>
        <v/>
      </c>
      <c r="K3753">
        <f>IF(B3753&gt;=Settings!$C$5,1,0)</f>
        <v/>
      </c>
    </row>
    <row r="3754">
      <c r="A3754" t="inlineStr">
        <is>
          <t>2171a9b7a83660dc1f75c463d234dc66</t>
        </is>
      </c>
      <c r="B3754" s="29" t="n">
        <v>43234</v>
      </c>
      <c r="C3754" t="inlineStr">
        <is>
          <t>2018-05</t>
        </is>
      </c>
      <c r="D3754" t="inlineStr">
        <is>
          <t>ce1a65abd0973638f1c887a6efcfa82d</t>
        </is>
      </c>
      <c r="E3754" t="inlineStr">
        <is>
          <t>paid_search</t>
        </is>
      </c>
      <c r="F3754">
        <f>IFERROR(MATCH(A3754,Deals!$A$2:$A$843,0),"")</f>
        <v/>
      </c>
      <c r="G3754">
        <f>IF(F3754="",0,1)</f>
        <v/>
      </c>
      <c r="H3754" s="29">
        <f>IF(F3754="","",INDEX(Deals!$E$2:$E$843,F3754))</f>
        <v/>
      </c>
      <c r="I3754">
        <f>IF(F3754="","",INDEX(Deals!$D$2:$D$843,F3754))</f>
        <v/>
      </c>
      <c r="J3754">
        <f>IF(F3754="","",INT(H3754)-B3754)</f>
        <v/>
      </c>
      <c r="K3754">
        <f>IF(B3754&gt;=Settings!$C$5,1,0)</f>
        <v/>
      </c>
    </row>
    <row r="3755">
      <c r="A3755" t="inlineStr">
        <is>
          <t>151707d721895d9379a3762726859df7</t>
        </is>
      </c>
      <c r="B3755" s="29" t="n">
        <v>43084</v>
      </c>
      <c r="C3755" t="inlineStr">
        <is>
          <t>2017-12</t>
        </is>
      </c>
      <c r="D3755" t="inlineStr">
        <is>
          <t>bddebc4f4d44106c427bd00695840e64</t>
        </is>
      </c>
      <c r="E3755" t="inlineStr">
        <is>
          <t>email</t>
        </is>
      </c>
      <c r="F3755">
        <f>IFERROR(MATCH(A3755,Deals!$A$2:$A$843,0),"")</f>
        <v/>
      </c>
      <c r="G3755">
        <f>IF(F3755="",0,1)</f>
        <v/>
      </c>
      <c r="H3755" s="29">
        <f>IF(F3755="","",INDEX(Deals!$E$2:$E$843,F3755))</f>
        <v/>
      </c>
      <c r="I3755">
        <f>IF(F3755="","",INDEX(Deals!$D$2:$D$843,F3755))</f>
        <v/>
      </c>
      <c r="J3755">
        <f>IF(F3755="","",INT(H3755)-B3755)</f>
        <v/>
      </c>
      <c r="K3755">
        <f>IF(B3755&gt;=Settings!$C$5,1,0)</f>
        <v/>
      </c>
    </row>
    <row r="3756">
      <c r="A3756" t="inlineStr">
        <is>
          <t>c8fca71b1f233bf73f0342030d3a00ce</t>
        </is>
      </c>
      <c r="B3756" s="29" t="n">
        <v>43140</v>
      </c>
      <c r="C3756" t="inlineStr">
        <is>
          <t>2018-02</t>
        </is>
      </c>
      <c r="D3756" t="inlineStr">
        <is>
          <t>a7982125ff7aa3b2054c6e44f9d28522</t>
        </is>
      </c>
      <c r="E3756" t="inlineStr">
        <is>
          <t>organic_search</t>
        </is>
      </c>
      <c r="F3756">
        <f>IFERROR(MATCH(A3756,Deals!$A$2:$A$843,0),"")</f>
        <v/>
      </c>
      <c r="G3756">
        <f>IF(F3756="",0,1)</f>
        <v/>
      </c>
      <c r="H3756" s="29">
        <f>IF(F3756="","",INDEX(Deals!$E$2:$E$843,F3756))</f>
        <v/>
      </c>
      <c r="I3756">
        <f>IF(F3756="","",INDEX(Deals!$D$2:$D$843,F3756))</f>
        <v/>
      </c>
      <c r="J3756">
        <f>IF(F3756="","",INT(H3756)-B3756)</f>
        <v/>
      </c>
      <c r="K3756">
        <f>IF(B3756&gt;=Settings!$C$5,1,0)</f>
        <v/>
      </c>
    </row>
    <row r="3757">
      <c r="A3757" t="inlineStr">
        <is>
          <t>402b557b7f364abc0ac961e1dda262cd</t>
        </is>
      </c>
      <c r="B3757" s="29" t="n">
        <v>42962</v>
      </c>
      <c r="C3757" t="inlineStr">
        <is>
          <t>2017-08</t>
        </is>
      </c>
      <c r="D3757" t="inlineStr">
        <is>
          <t>c555aa36478386fdf85a2d0ca5cd0ff8</t>
        </is>
      </c>
      <c r="E3757" t="inlineStr">
        <is>
          <t>unknown</t>
        </is>
      </c>
      <c r="F3757">
        <f>IFERROR(MATCH(A3757,Deals!$A$2:$A$843,0),"")</f>
        <v/>
      </c>
      <c r="G3757">
        <f>IF(F3757="",0,1)</f>
        <v/>
      </c>
      <c r="H3757" s="29">
        <f>IF(F3757="","",INDEX(Deals!$E$2:$E$843,F3757))</f>
        <v/>
      </c>
      <c r="I3757">
        <f>IF(F3757="","",INDEX(Deals!$D$2:$D$843,F3757))</f>
        <v/>
      </c>
      <c r="J3757">
        <f>IF(F3757="","",INT(H3757)-B3757)</f>
        <v/>
      </c>
      <c r="K3757">
        <f>IF(B3757&gt;=Settings!$C$5,1,0)</f>
        <v/>
      </c>
    </row>
    <row r="3758">
      <c r="A3758" t="inlineStr">
        <is>
          <t>fa71aa74e9991ac6b0425e28bc5e5484</t>
        </is>
      </c>
      <c r="B3758" s="29" t="n">
        <v>43158</v>
      </c>
      <c r="C3758" t="inlineStr">
        <is>
          <t>2018-02</t>
        </is>
      </c>
      <c r="D3758" t="inlineStr">
        <is>
          <t>66f0eb34b1d43f33779493fc31c5d131</t>
        </is>
      </c>
      <c r="E3758" t="inlineStr">
        <is>
          <t>unknown</t>
        </is>
      </c>
      <c r="F3758">
        <f>IFERROR(MATCH(A3758,Deals!$A$2:$A$843,0),"")</f>
        <v/>
      </c>
      <c r="G3758">
        <f>IF(F3758="",0,1)</f>
        <v/>
      </c>
      <c r="H3758" s="29">
        <f>IF(F3758="","",INDEX(Deals!$E$2:$E$843,F3758))</f>
        <v/>
      </c>
      <c r="I3758">
        <f>IF(F3758="","",INDEX(Deals!$D$2:$D$843,F3758))</f>
        <v/>
      </c>
      <c r="J3758">
        <f>IF(F3758="","",INT(H3758)-B3758)</f>
        <v/>
      </c>
      <c r="K3758">
        <f>IF(B3758&gt;=Settings!$C$5,1,0)</f>
        <v/>
      </c>
    </row>
    <row r="3759">
      <c r="A3759" t="inlineStr">
        <is>
          <t>4d7061dcae91d9c79ad39c8289bb4e3d</t>
        </is>
      </c>
      <c r="B3759" s="29" t="n">
        <v>43153</v>
      </c>
      <c r="C3759" t="inlineStr">
        <is>
          <t>2018-02</t>
        </is>
      </c>
      <c r="D3759" t="inlineStr">
        <is>
          <t>bdaeb752e5c3caa215ebe04c61e22325</t>
        </is>
      </c>
      <c r="E3759" t="inlineStr">
        <is>
          <t>paid_search</t>
        </is>
      </c>
      <c r="F3759">
        <f>IFERROR(MATCH(A3759,Deals!$A$2:$A$843,0),"")</f>
        <v/>
      </c>
      <c r="G3759">
        <f>IF(F3759="",0,1)</f>
        <v/>
      </c>
      <c r="H3759" s="29">
        <f>IF(F3759="","",INDEX(Deals!$E$2:$E$843,F3759))</f>
        <v/>
      </c>
      <c r="I3759">
        <f>IF(F3759="","",INDEX(Deals!$D$2:$D$843,F3759))</f>
        <v/>
      </c>
      <c r="J3759">
        <f>IF(F3759="","",INT(H3759)-B3759)</f>
        <v/>
      </c>
      <c r="K3759">
        <f>IF(B3759&gt;=Settings!$C$5,1,0)</f>
        <v/>
      </c>
    </row>
    <row r="3760">
      <c r="A3760" t="inlineStr">
        <is>
          <t>3657c03dc0858448ac7cb3099d4c1d3b</t>
        </is>
      </c>
      <c r="B3760" s="29" t="n">
        <v>43135</v>
      </c>
      <c r="C3760" t="inlineStr">
        <is>
          <t>2018-02</t>
        </is>
      </c>
      <c r="D3760" t="inlineStr">
        <is>
          <t>6fe30070097d07349fb571579ce6c14e</t>
        </is>
      </c>
      <c r="E3760" t="inlineStr">
        <is>
          <t>email</t>
        </is>
      </c>
      <c r="F3760">
        <f>IFERROR(MATCH(A3760,Deals!$A$2:$A$843,0),"")</f>
        <v/>
      </c>
      <c r="G3760">
        <f>IF(F3760="",0,1)</f>
        <v/>
      </c>
      <c r="H3760" s="29">
        <f>IF(F3760="","",INDEX(Deals!$E$2:$E$843,F3760))</f>
        <v/>
      </c>
      <c r="I3760">
        <f>IF(F3760="","",INDEX(Deals!$D$2:$D$843,F3760))</f>
        <v/>
      </c>
      <c r="J3760">
        <f>IF(F3760="","",INT(H3760)-B3760)</f>
        <v/>
      </c>
      <c r="K3760">
        <f>IF(B3760&gt;=Settings!$C$5,1,0)</f>
        <v/>
      </c>
    </row>
    <row r="3761">
      <c r="A3761" t="inlineStr">
        <is>
          <t>0ff7e34488b46dedf2d3a98a38b49c4e</t>
        </is>
      </c>
      <c r="B3761" s="29" t="n">
        <v>43042</v>
      </c>
      <c r="C3761" t="inlineStr">
        <is>
          <t>2017-11</t>
        </is>
      </c>
      <c r="D3761" t="inlineStr">
        <is>
          <t>c555aa36478386fdf85a2d0ca5cd0ff8</t>
        </is>
      </c>
      <c r="E3761" t="inlineStr">
        <is>
          <t>unknown</t>
        </is>
      </c>
      <c r="F3761">
        <f>IFERROR(MATCH(A3761,Deals!$A$2:$A$843,0),"")</f>
        <v/>
      </c>
      <c r="G3761">
        <f>IF(F3761="",0,1)</f>
        <v/>
      </c>
      <c r="H3761" s="29">
        <f>IF(F3761="","",INDEX(Deals!$E$2:$E$843,F3761))</f>
        <v/>
      </c>
      <c r="I3761">
        <f>IF(F3761="","",INDEX(Deals!$D$2:$D$843,F3761))</f>
        <v/>
      </c>
      <c r="J3761">
        <f>IF(F3761="","",INT(H3761)-B3761)</f>
        <v/>
      </c>
      <c r="K3761">
        <f>IF(B3761&gt;=Settings!$C$5,1,0)</f>
        <v/>
      </c>
    </row>
    <row r="3762">
      <c r="A3762" t="inlineStr">
        <is>
          <t>a82afc8ee542eaec69da51a6bbc973d4</t>
        </is>
      </c>
      <c r="B3762" s="29" t="n">
        <v>43117</v>
      </c>
      <c r="C3762" t="inlineStr">
        <is>
          <t>2018-01</t>
        </is>
      </c>
      <c r="D3762" t="inlineStr">
        <is>
          <t>b76ef37428e6799c421989521c0e5077</t>
        </is>
      </c>
      <c r="E3762" t="inlineStr">
        <is>
          <t>direct_traffic</t>
        </is>
      </c>
      <c r="F3762">
        <f>IFERROR(MATCH(A3762,Deals!$A$2:$A$843,0),"")</f>
        <v/>
      </c>
      <c r="G3762">
        <f>IF(F3762="",0,1)</f>
        <v/>
      </c>
      <c r="H3762" s="29">
        <f>IF(F3762="","",INDEX(Deals!$E$2:$E$843,F3762))</f>
        <v/>
      </c>
      <c r="I3762">
        <f>IF(F3762="","",INDEX(Deals!$D$2:$D$843,F3762))</f>
        <v/>
      </c>
      <c r="J3762">
        <f>IF(F3762="","",INT(H3762)-B3762)</f>
        <v/>
      </c>
      <c r="K3762">
        <f>IF(B3762&gt;=Settings!$C$5,1,0)</f>
        <v/>
      </c>
    </row>
    <row r="3763">
      <c r="A3763" t="inlineStr">
        <is>
          <t>3218b56a27cc5d3acdac4a6b99195f75</t>
        </is>
      </c>
      <c r="B3763" s="29" t="n">
        <v>42979</v>
      </c>
      <c r="C3763" t="inlineStr">
        <is>
          <t>2017-09</t>
        </is>
      </c>
      <c r="D3763" t="inlineStr">
        <is>
          <t>d7549bc9744c53d31a4a1abc7fb7b5ee</t>
        </is>
      </c>
      <c r="E3763" t="inlineStr">
        <is>
          <t>email</t>
        </is>
      </c>
      <c r="F3763">
        <f>IFERROR(MATCH(A3763,Deals!$A$2:$A$843,0),"")</f>
        <v/>
      </c>
      <c r="G3763">
        <f>IF(F3763="",0,1)</f>
        <v/>
      </c>
      <c r="H3763" s="29">
        <f>IF(F3763="","",INDEX(Deals!$E$2:$E$843,F3763))</f>
        <v/>
      </c>
      <c r="I3763">
        <f>IF(F3763="","",INDEX(Deals!$D$2:$D$843,F3763))</f>
        <v/>
      </c>
      <c r="J3763">
        <f>IF(F3763="","",INT(H3763)-B3763)</f>
        <v/>
      </c>
      <c r="K3763">
        <f>IF(B3763&gt;=Settings!$C$5,1,0)</f>
        <v/>
      </c>
    </row>
    <row r="3764">
      <c r="A3764" t="inlineStr">
        <is>
          <t>2b9eb12abdcf58e92fcf797a1eb2983d</t>
        </is>
      </c>
      <c r="B3764" s="29" t="n">
        <v>43182</v>
      </c>
      <c r="C3764" t="inlineStr">
        <is>
          <t>2018-03</t>
        </is>
      </c>
      <c r="D3764" t="inlineStr">
        <is>
          <t>22c29808c4f815213303f8933030604c</t>
        </is>
      </c>
      <c r="E3764" t="inlineStr">
        <is>
          <t>organic_search</t>
        </is>
      </c>
      <c r="F3764">
        <f>IFERROR(MATCH(A3764,Deals!$A$2:$A$843,0),"")</f>
        <v/>
      </c>
      <c r="G3764">
        <f>IF(F3764="",0,1)</f>
        <v/>
      </c>
      <c r="H3764" s="29">
        <f>IF(F3764="","",INDEX(Deals!$E$2:$E$843,F3764))</f>
        <v/>
      </c>
      <c r="I3764">
        <f>IF(F3764="","",INDEX(Deals!$D$2:$D$843,F3764))</f>
        <v/>
      </c>
      <c r="J3764">
        <f>IF(F3764="","",INT(H3764)-B3764)</f>
        <v/>
      </c>
      <c r="K3764">
        <f>IF(B3764&gt;=Settings!$C$5,1,0)</f>
        <v/>
      </c>
    </row>
    <row r="3765">
      <c r="A3765" t="inlineStr">
        <is>
          <t>5bffb1cbed6ed79589cf475923419d26</t>
        </is>
      </c>
      <c r="B3765" s="29" t="n">
        <v>43073</v>
      </c>
      <c r="C3765" t="inlineStr">
        <is>
          <t>2017-12</t>
        </is>
      </c>
      <c r="D3765" t="inlineStr">
        <is>
          <t>1722481ac9e5371e5099dea226b5421d</t>
        </is>
      </c>
      <c r="E3765" t="inlineStr">
        <is>
          <t>paid_search</t>
        </is>
      </c>
      <c r="F3765">
        <f>IFERROR(MATCH(A3765,Deals!$A$2:$A$843,0),"")</f>
        <v/>
      </c>
      <c r="G3765">
        <f>IF(F3765="",0,1)</f>
        <v/>
      </c>
      <c r="H3765" s="29">
        <f>IF(F3765="","",INDEX(Deals!$E$2:$E$843,F3765))</f>
        <v/>
      </c>
      <c r="I3765">
        <f>IF(F3765="","",INDEX(Deals!$D$2:$D$843,F3765))</f>
        <v/>
      </c>
      <c r="J3765">
        <f>IF(F3765="","",INT(H3765)-B3765)</f>
        <v/>
      </c>
      <c r="K3765">
        <f>IF(B3765&gt;=Settings!$C$5,1,0)</f>
        <v/>
      </c>
    </row>
    <row r="3766">
      <c r="A3766" t="inlineStr">
        <is>
          <t>09c662a75858eed440c1317c3b300729</t>
        </is>
      </c>
      <c r="B3766" s="29" t="n">
        <v>43229</v>
      </c>
      <c r="C3766" t="inlineStr">
        <is>
          <t>2018-05</t>
        </is>
      </c>
      <c r="D3766" t="inlineStr">
        <is>
          <t>22c29808c4f815213303f8933030604c</t>
        </is>
      </c>
      <c r="E3766" t="inlineStr">
        <is>
          <t>paid_search</t>
        </is>
      </c>
      <c r="F3766">
        <f>IFERROR(MATCH(A3766,Deals!$A$2:$A$843,0),"")</f>
        <v/>
      </c>
      <c r="G3766">
        <f>IF(F3766="",0,1)</f>
        <v/>
      </c>
      <c r="H3766" s="29">
        <f>IF(F3766="","",INDEX(Deals!$E$2:$E$843,F3766))</f>
        <v/>
      </c>
      <c r="I3766">
        <f>IF(F3766="","",INDEX(Deals!$D$2:$D$843,F3766))</f>
        <v/>
      </c>
      <c r="J3766">
        <f>IF(F3766="","",INT(H3766)-B3766)</f>
        <v/>
      </c>
      <c r="K3766">
        <f>IF(B3766&gt;=Settings!$C$5,1,0)</f>
        <v/>
      </c>
    </row>
    <row r="3767">
      <c r="A3767" t="inlineStr">
        <is>
          <t>426b48e83ef39ef21b5f77f933fb529e</t>
        </is>
      </c>
      <c r="B3767" s="29" t="n">
        <v>43130</v>
      </c>
      <c r="C3767" t="inlineStr">
        <is>
          <t>2018-01</t>
        </is>
      </c>
      <c r="D3767" t="inlineStr">
        <is>
          <t>2b3ba77df5d7657e8c515a1c74155b99</t>
        </is>
      </c>
      <c r="E3767" t="inlineStr">
        <is>
          <t>paid_search</t>
        </is>
      </c>
      <c r="F3767">
        <f>IFERROR(MATCH(A3767,Deals!$A$2:$A$843,0),"")</f>
        <v/>
      </c>
      <c r="G3767">
        <f>IF(F3767="",0,1)</f>
        <v/>
      </c>
      <c r="H3767" s="29">
        <f>IF(F3767="","",INDEX(Deals!$E$2:$E$843,F3767))</f>
        <v/>
      </c>
      <c r="I3767">
        <f>IF(F3767="","",INDEX(Deals!$D$2:$D$843,F3767))</f>
        <v/>
      </c>
      <c r="J3767">
        <f>IF(F3767="","",INT(H3767)-B3767)</f>
        <v/>
      </c>
      <c r="K3767">
        <f>IF(B3767&gt;=Settings!$C$5,1,0)</f>
        <v/>
      </c>
    </row>
    <row r="3768">
      <c r="A3768" t="inlineStr">
        <is>
          <t>0291fd85422559cef53644838ad97856</t>
        </is>
      </c>
      <c r="B3768" s="29" t="n">
        <v>43018</v>
      </c>
      <c r="C3768" t="inlineStr">
        <is>
          <t>2017-10</t>
        </is>
      </c>
      <c r="D3768" t="inlineStr">
        <is>
          <t>88740e65d5d6b056e0cda098e1ea6313</t>
        </is>
      </c>
      <c r="E3768" t="inlineStr">
        <is>
          <t>social</t>
        </is>
      </c>
      <c r="F3768">
        <f>IFERROR(MATCH(A3768,Deals!$A$2:$A$843,0),"")</f>
        <v/>
      </c>
      <c r="G3768">
        <f>IF(F3768="",0,1)</f>
        <v/>
      </c>
      <c r="H3768" s="29">
        <f>IF(F3768="","",INDEX(Deals!$E$2:$E$843,F3768))</f>
        <v/>
      </c>
      <c r="I3768">
        <f>IF(F3768="","",INDEX(Deals!$D$2:$D$843,F3768))</f>
        <v/>
      </c>
      <c r="J3768">
        <f>IF(F3768="","",INT(H3768)-B3768)</f>
        <v/>
      </c>
      <c r="K3768">
        <f>IF(B3768&gt;=Settings!$C$5,1,0)</f>
        <v/>
      </c>
    </row>
    <row r="3769">
      <c r="A3769" t="inlineStr">
        <is>
          <t>586e57a7ef16035bd85e2dcf44248130</t>
        </is>
      </c>
      <c r="B3769" s="29" t="n">
        <v>43136</v>
      </c>
      <c r="C3769" t="inlineStr">
        <is>
          <t>2018-02</t>
        </is>
      </c>
      <c r="D3769" t="inlineStr">
        <is>
          <t>88740e65d5d6b056e0cda098e1ea6313</t>
        </is>
      </c>
      <c r="E3769" t="inlineStr">
        <is>
          <t>social</t>
        </is>
      </c>
      <c r="F3769">
        <f>IFERROR(MATCH(A3769,Deals!$A$2:$A$843,0),"")</f>
        <v/>
      </c>
      <c r="G3769">
        <f>IF(F3769="",0,1)</f>
        <v/>
      </c>
      <c r="H3769" s="29">
        <f>IF(F3769="","",INDEX(Deals!$E$2:$E$843,F3769))</f>
        <v/>
      </c>
      <c r="I3769">
        <f>IF(F3769="","",INDEX(Deals!$D$2:$D$843,F3769))</f>
        <v/>
      </c>
      <c r="J3769">
        <f>IF(F3769="","",INT(H3769)-B3769)</f>
        <v/>
      </c>
      <c r="K3769">
        <f>IF(B3769&gt;=Settings!$C$5,1,0)</f>
        <v/>
      </c>
    </row>
    <row r="3770">
      <c r="A3770" t="inlineStr">
        <is>
          <t>2ca08d883dbcb8270601ac798440314d</t>
        </is>
      </c>
      <c r="B3770" s="29" t="n">
        <v>43181</v>
      </c>
      <c r="C3770" t="inlineStr">
        <is>
          <t>2018-03</t>
        </is>
      </c>
      <c r="D3770" t="inlineStr">
        <is>
          <t>b6885f18d203a61176418c1fb3764815</t>
        </is>
      </c>
      <c r="E3770" t="inlineStr">
        <is>
          <t>paid_search</t>
        </is>
      </c>
      <c r="F3770">
        <f>IFERROR(MATCH(A3770,Deals!$A$2:$A$843,0),"")</f>
        <v/>
      </c>
      <c r="G3770">
        <f>IF(F3770="",0,1)</f>
        <v/>
      </c>
      <c r="H3770" s="29">
        <f>IF(F3770="","",INDEX(Deals!$E$2:$E$843,F3770))</f>
        <v/>
      </c>
      <c r="I3770">
        <f>IF(F3770="","",INDEX(Deals!$D$2:$D$843,F3770))</f>
        <v/>
      </c>
      <c r="J3770">
        <f>IF(F3770="","",INT(H3770)-B3770)</f>
        <v/>
      </c>
      <c r="K3770">
        <f>IF(B3770&gt;=Settings!$C$5,1,0)</f>
        <v/>
      </c>
    </row>
    <row r="3771">
      <c r="A3771" t="inlineStr">
        <is>
          <t>b52b49613eb2eec3b171abfe8fcbbaf9</t>
        </is>
      </c>
      <c r="B3771" s="29" t="n">
        <v>43104</v>
      </c>
      <c r="C3771" t="inlineStr">
        <is>
          <t>2018-01</t>
        </is>
      </c>
      <c r="D3771" t="inlineStr">
        <is>
          <t>e492ee5eaf1697716985cc6f33f9cd9b</t>
        </is>
      </c>
      <c r="E3771" t="inlineStr">
        <is>
          <t>email</t>
        </is>
      </c>
      <c r="F3771">
        <f>IFERROR(MATCH(A3771,Deals!$A$2:$A$843,0),"")</f>
        <v/>
      </c>
      <c r="G3771">
        <f>IF(F3771="",0,1)</f>
        <v/>
      </c>
      <c r="H3771" s="29">
        <f>IF(F3771="","",INDEX(Deals!$E$2:$E$843,F3771))</f>
        <v/>
      </c>
      <c r="I3771">
        <f>IF(F3771="","",INDEX(Deals!$D$2:$D$843,F3771))</f>
        <v/>
      </c>
      <c r="J3771">
        <f>IF(F3771="","",INT(H3771)-B3771)</f>
        <v/>
      </c>
      <c r="K3771">
        <f>IF(B3771&gt;=Settings!$C$5,1,0)</f>
        <v/>
      </c>
    </row>
    <row r="3772">
      <c r="A3772" t="inlineStr">
        <is>
          <t>69b86f4ce0394ef6d54f3033081bd3e1</t>
        </is>
      </c>
      <c r="B3772" s="29" t="n">
        <v>43039</v>
      </c>
      <c r="C3772" t="inlineStr">
        <is>
          <t>2017-10</t>
        </is>
      </c>
      <c r="D3772" t="inlineStr">
        <is>
          <t>15cf89bab2c3163b4f9d8601d108f8b2</t>
        </is>
      </c>
      <c r="E3772" t="inlineStr">
        <is>
          <t>organic_search</t>
        </is>
      </c>
      <c r="F3772">
        <f>IFERROR(MATCH(A3772,Deals!$A$2:$A$843,0),"")</f>
        <v/>
      </c>
      <c r="G3772">
        <f>IF(F3772="",0,1)</f>
        <v/>
      </c>
      <c r="H3772" s="29">
        <f>IF(F3772="","",INDEX(Deals!$E$2:$E$843,F3772))</f>
        <v/>
      </c>
      <c r="I3772">
        <f>IF(F3772="","",INDEX(Deals!$D$2:$D$843,F3772))</f>
        <v/>
      </c>
      <c r="J3772">
        <f>IF(F3772="","",INT(H3772)-B3772)</f>
        <v/>
      </c>
      <c r="K3772">
        <f>IF(B3772&gt;=Settings!$C$5,1,0)</f>
        <v/>
      </c>
    </row>
    <row r="3773">
      <c r="A3773" t="inlineStr">
        <is>
          <t>c590b8e5b4f1a5fe839466462e187182</t>
        </is>
      </c>
      <c r="B3773" s="29" t="n">
        <v>43182</v>
      </c>
      <c r="C3773" t="inlineStr">
        <is>
          <t>2018-03</t>
        </is>
      </c>
      <c r="D3773" t="inlineStr">
        <is>
          <t>22c29808c4f815213303f8933030604c</t>
        </is>
      </c>
      <c r="E3773" t="inlineStr">
        <is>
          <t>unknown</t>
        </is>
      </c>
      <c r="F3773">
        <f>IFERROR(MATCH(A3773,Deals!$A$2:$A$843,0),"")</f>
        <v/>
      </c>
      <c r="G3773">
        <f>IF(F3773="",0,1)</f>
        <v/>
      </c>
      <c r="H3773" s="29">
        <f>IF(F3773="","",INDEX(Deals!$E$2:$E$843,F3773))</f>
        <v/>
      </c>
      <c r="I3773">
        <f>IF(F3773="","",INDEX(Deals!$D$2:$D$843,F3773))</f>
        <v/>
      </c>
      <c r="J3773">
        <f>IF(F3773="","",INT(H3773)-B3773)</f>
        <v/>
      </c>
      <c r="K3773">
        <f>IF(B3773&gt;=Settings!$C$5,1,0)</f>
        <v/>
      </c>
    </row>
    <row r="3774">
      <c r="A3774" t="inlineStr">
        <is>
          <t>29579d096935b2f86a4d4f1be47cb69c</t>
        </is>
      </c>
      <c r="B3774" s="29" t="n">
        <v>42942</v>
      </c>
      <c r="C3774" t="inlineStr">
        <is>
          <t>2017-07</t>
        </is>
      </c>
      <c r="D3774" t="inlineStr">
        <is>
          <t>ce7bafe02f8fb1a3f15f52a9c239d0ef</t>
        </is>
      </c>
      <c r="E3774" t="inlineStr">
        <is>
          <t>email</t>
        </is>
      </c>
      <c r="F3774">
        <f>IFERROR(MATCH(A3774,Deals!$A$2:$A$843,0),"")</f>
        <v/>
      </c>
      <c r="G3774">
        <f>IF(F3774="",0,1)</f>
        <v/>
      </c>
      <c r="H3774" s="29">
        <f>IF(F3774="","",INDEX(Deals!$E$2:$E$843,F3774))</f>
        <v/>
      </c>
      <c r="I3774">
        <f>IF(F3774="","",INDEX(Deals!$D$2:$D$843,F3774))</f>
        <v/>
      </c>
      <c r="J3774">
        <f>IF(F3774="","",INT(H3774)-B3774)</f>
        <v/>
      </c>
      <c r="K3774">
        <f>IF(B3774&gt;=Settings!$C$5,1,0)</f>
        <v/>
      </c>
    </row>
    <row r="3775">
      <c r="A3775" t="inlineStr">
        <is>
          <t>45ed3af62da2fc26c069757e9e5b0d4d</t>
        </is>
      </c>
      <c r="B3775" s="29" t="n">
        <v>43161</v>
      </c>
      <c r="C3775" t="inlineStr">
        <is>
          <t>2018-03</t>
        </is>
      </c>
      <c r="D3775" t="inlineStr">
        <is>
          <t>0e5a178e3cd2368607f3e72f46140476</t>
        </is>
      </c>
      <c r="E3775" t="inlineStr">
        <is>
          <t>direct_traffic</t>
        </is>
      </c>
      <c r="F3775">
        <f>IFERROR(MATCH(A3775,Deals!$A$2:$A$843,0),"")</f>
        <v/>
      </c>
      <c r="G3775">
        <f>IF(F3775="",0,1)</f>
        <v/>
      </c>
      <c r="H3775" s="29">
        <f>IF(F3775="","",INDEX(Deals!$E$2:$E$843,F3775))</f>
        <v/>
      </c>
      <c r="I3775">
        <f>IF(F3775="","",INDEX(Deals!$D$2:$D$843,F3775))</f>
        <v/>
      </c>
      <c r="J3775">
        <f>IF(F3775="","",INT(H3775)-B3775)</f>
        <v/>
      </c>
      <c r="K3775">
        <f>IF(B3775&gt;=Settings!$C$5,1,0)</f>
        <v/>
      </c>
    </row>
    <row r="3776">
      <c r="A3776" t="inlineStr">
        <is>
          <t>161a5db437806287845f5ae3bb3c7be5</t>
        </is>
      </c>
      <c r="B3776" s="29" t="n">
        <v>43240</v>
      </c>
      <c r="C3776" t="inlineStr">
        <is>
          <t>2018-05</t>
        </is>
      </c>
      <c r="D3776" t="inlineStr">
        <is>
          <t>22c29808c4f815213303f8933030604c</t>
        </is>
      </c>
      <c r="E3776" t="inlineStr">
        <is>
          <t>referral</t>
        </is>
      </c>
      <c r="F3776">
        <f>IFERROR(MATCH(A3776,Deals!$A$2:$A$843,0),"")</f>
        <v/>
      </c>
      <c r="G3776">
        <f>IF(F3776="",0,1)</f>
        <v/>
      </c>
      <c r="H3776" s="29">
        <f>IF(F3776="","",INDEX(Deals!$E$2:$E$843,F3776))</f>
        <v/>
      </c>
      <c r="I3776">
        <f>IF(F3776="","",INDEX(Deals!$D$2:$D$843,F3776))</f>
        <v/>
      </c>
      <c r="J3776">
        <f>IF(F3776="","",INT(H3776)-B3776)</f>
        <v/>
      </c>
      <c r="K3776">
        <f>IF(B3776&gt;=Settings!$C$5,1,0)</f>
        <v/>
      </c>
    </row>
    <row r="3777">
      <c r="A3777" t="inlineStr">
        <is>
          <t>0c77326046986af80adff48592c93e37</t>
        </is>
      </c>
      <c r="B3777" s="29" t="n">
        <v>43009</v>
      </c>
      <c r="C3777" t="inlineStr">
        <is>
          <t>2017-10</t>
        </is>
      </c>
      <c r="D3777" t="inlineStr">
        <is>
          <t>872eb32141128a5320bfe7b8cf80fc14</t>
        </is>
      </c>
      <c r="E3777" t="inlineStr">
        <is>
          <t>organic_search</t>
        </is>
      </c>
      <c r="F3777">
        <f>IFERROR(MATCH(A3777,Deals!$A$2:$A$843,0),"")</f>
        <v/>
      </c>
      <c r="G3777">
        <f>IF(F3777="",0,1)</f>
        <v/>
      </c>
      <c r="H3777" s="29">
        <f>IF(F3777="","",INDEX(Deals!$E$2:$E$843,F3777))</f>
        <v/>
      </c>
      <c r="I3777">
        <f>IF(F3777="","",INDEX(Deals!$D$2:$D$843,F3777))</f>
        <v/>
      </c>
      <c r="J3777">
        <f>IF(F3777="","",INT(H3777)-B3777)</f>
        <v/>
      </c>
      <c r="K3777">
        <f>IF(B3777&gt;=Settings!$C$5,1,0)</f>
        <v/>
      </c>
    </row>
    <row r="3778">
      <c r="A3778" t="inlineStr">
        <is>
          <t>253d8f9b33687d611943f3d57e67f729</t>
        </is>
      </c>
      <c r="B3778" s="29" t="n">
        <v>43241</v>
      </c>
      <c r="C3778" t="inlineStr">
        <is>
          <t>2018-05</t>
        </is>
      </c>
      <c r="D3778" t="inlineStr">
        <is>
          <t>bdaeb752e5c3caa215ebe04c61e22325</t>
        </is>
      </c>
      <c r="E3778" t="inlineStr">
        <is>
          <t>organic_search</t>
        </is>
      </c>
      <c r="F3778">
        <f>IFERROR(MATCH(A3778,Deals!$A$2:$A$843,0),"")</f>
        <v/>
      </c>
      <c r="G3778">
        <f>IF(F3778="",0,1)</f>
        <v/>
      </c>
      <c r="H3778" s="29">
        <f>IF(F3778="","",INDEX(Deals!$E$2:$E$843,F3778))</f>
        <v/>
      </c>
      <c r="I3778">
        <f>IF(F3778="","",INDEX(Deals!$D$2:$D$843,F3778))</f>
        <v/>
      </c>
      <c r="J3778">
        <f>IF(F3778="","",INT(H3778)-B3778)</f>
        <v/>
      </c>
      <c r="K3778">
        <f>IF(B3778&gt;=Settings!$C$5,1,0)</f>
        <v/>
      </c>
    </row>
    <row r="3779">
      <c r="A3779" t="inlineStr">
        <is>
          <t>99fc32e3c05e03597a692c4fd9a9d162</t>
        </is>
      </c>
      <c r="B3779" s="29" t="n">
        <v>43231</v>
      </c>
      <c r="C3779" t="inlineStr">
        <is>
          <t>2018-05</t>
        </is>
      </c>
      <c r="D3779" t="inlineStr">
        <is>
          <t>7fa6214d82e911d070f51ef79381b956</t>
        </is>
      </c>
      <c r="E3779" t="inlineStr">
        <is>
          <t>referral</t>
        </is>
      </c>
      <c r="F3779">
        <f>IFERROR(MATCH(A3779,Deals!$A$2:$A$843,0),"")</f>
        <v/>
      </c>
      <c r="G3779">
        <f>IF(F3779="",0,1)</f>
        <v/>
      </c>
      <c r="H3779" s="29">
        <f>IF(F3779="","",INDEX(Deals!$E$2:$E$843,F3779))</f>
        <v/>
      </c>
      <c r="I3779">
        <f>IF(F3779="","",INDEX(Deals!$D$2:$D$843,F3779))</f>
        <v/>
      </c>
      <c r="J3779">
        <f>IF(F3779="","",INT(H3779)-B3779)</f>
        <v/>
      </c>
      <c r="K3779">
        <f>IF(B3779&gt;=Settings!$C$5,1,0)</f>
        <v/>
      </c>
    </row>
    <row r="3780">
      <c r="A3780" t="inlineStr">
        <is>
          <t>93a7f79074954ae858b60ed5be482161</t>
        </is>
      </c>
      <c r="B3780" s="29" t="n">
        <v>43140</v>
      </c>
      <c r="C3780" t="inlineStr">
        <is>
          <t>2018-02</t>
        </is>
      </c>
      <c r="D3780" t="inlineStr">
        <is>
          <t>15cf89bab2c3163b4f9d8601d108f8b2</t>
        </is>
      </c>
      <c r="E3780" t="inlineStr">
        <is>
          <t>organic_search</t>
        </is>
      </c>
      <c r="F3780">
        <f>IFERROR(MATCH(A3780,Deals!$A$2:$A$843,0),"")</f>
        <v/>
      </c>
      <c r="G3780">
        <f>IF(F3780="",0,1)</f>
        <v/>
      </c>
      <c r="H3780" s="29">
        <f>IF(F3780="","",INDEX(Deals!$E$2:$E$843,F3780))</f>
        <v/>
      </c>
      <c r="I3780">
        <f>IF(F3780="","",INDEX(Deals!$D$2:$D$843,F3780))</f>
        <v/>
      </c>
      <c r="J3780">
        <f>IF(F3780="","",INT(H3780)-B3780)</f>
        <v/>
      </c>
      <c r="K3780">
        <f>IF(B3780&gt;=Settings!$C$5,1,0)</f>
        <v/>
      </c>
    </row>
    <row r="3781">
      <c r="A3781" t="inlineStr">
        <is>
          <t>9f205dad67b7407fec00834c17b2cf2e</t>
        </is>
      </c>
      <c r="B3781" s="29" t="n">
        <v>42979</v>
      </c>
      <c r="C3781" t="inlineStr">
        <is>
          <t>2017-09</t>
        </is>
      </c>
      <c r="D3781" t="inlineStr">
        <is>
          <t>aeac92c0f5ae22a04ed3b746cce3a1b6</t>
        </is>
      </c>
      <c r="E3781" t="inlineStr">
        <is>
          <t>organic_search</t>
        </is>
      </c>
      <c r="F3781">
        <f>IFERROR(MATCH(A3781,Deals!$A$2:$A$843,0),"")</f>
        <v/>
      </c>
      <c r="G3781">
        <f>IF(F3781="",0,1)</f>
        <v/>
      </c>
      <c r="H3781" s="29">
        <f>IF(F3781="","",INDEX(Deals!$E$2:$E$843,F3781))</f>
        <v/>
      </c>
      <c r="I3781">
        <f>IF(F3781="","",INDEX(Deals!$D$2:$D$843,F3781))</f>
        <v/>
      </c>
      <c r="J3781">
        <f>IF(F3781="","",INT(H3781)-B3781)</f>
        <v/>
      </c>
      <c r="K3781">
        <f>IF(B3781&gt;=Settings!$C$5,1,0)</f>
        <v/>
      </c>
    </row>
    <row r="3782">
      <c r="A3782" t="inlineStr">
        <is>
          <t>05f747f9753a0b4172a8faf1128a78e1</t>
        </is>
      </c>
      <c r="B3782" s="29" t="n">
        <v>43172</v>
      </c>
      <c r="C3782" t="inlineStr">
        <is>
          <t>2018-03</t>
        </is>
      </c>
      <c r="D3782" t="inlineStr">
        <is>
          <t>b76ef37428e6799c421989521c0e5077</t>
        </is>
      </c>
      <c r="E3782" t="inlineStr">
        <is>
          <t>unknown</t>
        </is>
      </c>
      <c r="F3782">
        <f>IFERROR(MATCH(A3782,Deals!$A$2:$A$843,0),"")</f>
        <v/>
      </c>
      <c r="G3782">
        <f>IF(F3782="",0,1)</f>
        <v/>
      </c>
      <c r="H3782" s="29">
        <f>IF(F3782="","",INDEX(Deals!$E$2:$E$843,F3782))</f>
        <v/>
      </c>
      <c r="I3782">
        <f>IF(F3782="","",INDEX(Deals!$D$2:$D$843,F3782))</f>
        <v/>
      </c>
      <c r="J3782">
        <f>IF(F3782="","",INT(H3782)-B3782)</f>
        <v/>
      </c>
      <c r="K3782">
        <f>IF(B3782&gt;=Settings!$C$5,1,0)</f>
        <v/>
      </c>
    </row>
    <row r="3783">
      <c r="A3783" t="inlineStr">
        <is>
          <t>de785fbd9c75be03fbd0dcc93a638fae</t>
        </is>
      </c>
      <c r="B3783" s="29" t="n">
        <v>42982</v>
      </c>
      <c r="C3783" t="inlineStr">
        <is>
          <t>2017-09</t>
        </is>
      </c>
      <c r="D3783" t="inlineStr">
        <is>
          <t>87732658ba41d8775e8577df347a64db</t>
        </is>
      </c>
      <c r="E3783" t="inlineStr">
        <is>
          <t>social</t>
        </is>
      </c>
      <c r="F3783">
        <f>IFERROR(MATCH(A3783,Deals!$A$2:$A$843,0),"")</f>
        <v/>
      </c>
      <c r="G3783">
        <f>IF(F3783="",0,1)</f>
        <v/>
      </c>
      <c r="H3783" s="29">
        <f>IF(F3783="","",INDEX(Deals!$E$2:$E$843,F3783))</f>
        <v/>
      </c>
      <c r="I3783">
        <f>IF(F3783="","",INDEX(Deals!$D$2:$D$843,F3783))</f>
        <v/>
      </c>
      <c r="J3783">
        <f>IF(F3783="","",INT(H3783)-B3783)</f>
        <v/>
      </c>
      <c r="K3783">
        <f>IF(B3783&gt;=Settings!$C$5,1,0)</f>
        <v/>
      </c>
    </row>
    <row r="3784">
      <c r="A3784" t="inlineStr">
        <is>
          <t>dcb388ff8ffd71d034c5be968bb13ef9</t>
        </is>
      </c>
      <c r="B3784" s="29" t="n">
        <v>43215</v>
      </c>
      <c r="C3784" t="inlineStr">
        <is>
          <t>2018-04</t>
        </is>
      </c>
      <c r="D3784" t="inlineStr">
        <is>
          <t>f80696b73d17fb34f5c4fde157f119d8</t>
        </is>
      </c>
      <c r="E3784" t="inlineStr">
        <is>
          <t>organic_search</t>
        </is>
      </c>
      <c r="F3784">
        <f>IFERROR(MATCH(A3784,Deals!$A$2:$A$843,0),"")</f>
        <v/>
      </c>
      <c r="G3784">
        <f>IF(F3784="",0,1)</f>
        <v/>
      </c>
      <c r="H3784" s="29">
        <f>IF(F3784="","",INDEX(Deals!$E$2:$E$843,F3784))</f>
        <v/>
      </c>
      <c r="I3784">
        <f>IF(F3784="","",INDEX(Deals!$D$2:$D$843,F3784))</f>
        <v/>
      </c>
      <c r="J3784">
        <f>IF(F3784="","",INT(H3784)-B3784)</f>
        <v/>
      </c>
      <c r="K3784">
        <f>IF(B3784&gt;=Settings!$C$5,1,0)</f>
        <v/>
      </c>
    </row>
    <row r="3785">
      <c r="A3785" t="inlineStr">
        <is>
          <t>dd17ee9e2355df4f69fd072a5bd3334d</t>
        </is>
      </c>
      <c r="B3785" s="29" t="n">
        <v>42973</v>
      </c>
      <c r="C3785" t="inlineStr">
        <is>
          <t>2017-08</t>
        </is>
      </c>
      <c r="D3785" t="inlineStr">
        <is>
          <t>c79bafc4a099ff23e3bab1534797fb45</t>
        </is>
      </c>
      <c r="E3785" t="inlineStr">
        <is>
          <t>paid_search</t>
        </is>
      </c>
      <c r="F3785">
        <f>IFERROR(MATCH(A3785,Deals!$A$2:$A$843,0),"")</f>
        <v/>
      </c>
      <c r="G3785">
        <f>IF(F3785="",0,1)</f>
        <v/>
      </c>
      <c r="H3785" s="29">
        <f>IF(F3785="","",INDEX(Deals!$E$2:$E$843,F3785))</f>
        <v/>
      </c>
      <c r="I3785">
        <f>IF(F3785="","",INDEX(Deals!$D$2:$D$843,F3785))</f>
        <v/>
      </c>
      <c r="J3785">
        <f>IF(F3785="","",INT(H3785)-B3785)</f>
        <v/>
      </c>
      <c r="K3785">
        <f>IF(B3785&gt;=Settings!$C$5,1,0)</f>
        <v/>
      </c>
    </row>
    <row r="3786">
      <c r="A3786" t="inlineStr">
        <is>
          <t>64e05037a21f2e2a33adc1b393f67d10</t>
        </is>
      </c>
      <c r="B3786" s="29" t="n">
        <v>43148</v>
      </c>
      <c r="C3786" t="inlineStr">
        <is>
          <t>2018-02</t>
        </is>
      </c>
      <c r="D3786" t="inlineStr">
        <is>
          <t>88740e65d5d6b056e0cda098e1ea6313</t>
        </is>
      </c>
      <c r="E3786" t="inlineStr">
        <is>
          <t>social</t>
        </is>
      </c>
      <c r="F3786">
        <f>IFERROR(MATCH(A3786,Deals!$A$2:$A$843,0),"")</f>
        <v/>
      </c>
      <c r="G3786">
        <f>IF(F3786="",0,1)</f>
        <v/>
      </c>
      <c r="H3786" s="29">
        <f>IF(F3786="","",INDEX(Deals!$E$2:$E$843,F3786))</f>
        <v/>
      </c>
      <c r="I3786">
        <f>IF(F3786="","",INDEX(Deals!$D$2:$D$843,F3786))</f>
        <v/>
      </c>
      <c r="J3786">
        <f>IF(F3786="","",INT(H3786)-B3786)</f>
        <v/>
      </c>
      <c r="K3786">
        <f>IF(B3786&gt;=Settings!$C$5,1,0)</f>
        <v/>
      </c>
    </row>
    <row r="3787">
      <c r="A3787" t="inlineStr">
        <is>
          <t>e866f5b284008f65db1641dae437f9c2</t>
        </is>
      </c>
      <c r="B3787" s="29" t="n">
        <v>43120</v>
      </c>
      <c r="C3787" t="inlineStr">
        <is>
          <t>2018-01</t>
        </is>
      </c>
      <c r="D3787" t="inlineStr">
        <is>
          <t>ce1a65abd0973638f1c887a6efcfa82d</t>
        </is>
      </c>
      <c r="E3787" t="inlineStr">
        <is>
          <t>organic_search</t>
        </is>
      </c>
      <c r="F3787">
        <f>IFERROR(MATCH(A3787,Deals!$A$2:$A$843,0),"")</f>
        <v/>
      </c>
      <c r="G3787">
        <f>IF(F3787="",0,1)</f>
        <v/>
      </c>
      <c r="H3787" s="29">
        <f>IF(F3787="","",INDEX(Deals!$E$2:$E$843,F3787))</f>
        <v/>
      </c>
      <c r="I3787">
        <f>IF(F3787="","",INDEX(Deals!$D$2:$D$843,F3787))</f>
        <v/>
      </c>
      <c r="J3787">
        <f>IF(F3787="","",INT(H3787)-B3787)</f>
        <v/>
      </c>
      <c r="K3787">
        <f>IF(B3787&gt;=Settings!$C$5,1,0)</f>
        <v/>
      </c>
    </row>
    <row r="3788">
      <c r="A3788" t="inlineStr">
        <is>
          <t>11538efd228b129c09721c6136584d63</t>
        </is>
      </c>
      <c r="B3788" s="29" t="n">
        <v>43227</v>
      </c>
      <c r="C3788" t="inlineStr">
        <is>
          <t>2018-05</t>
        </is>
      </c>
      <c r="D3788" t="inlineStr">
        <is>
          <t>58326e62183c14b0c03085c33b9fdc44</t>
        </is>
      </c>
      <c r="E3788" t="inlineStr">
        <is>
          <t>social</t>
        </is>
      </c>
      <c r="F3788">
        <f>IFERROR(MATCH(A3788,Deals!$A$2:$A$843,0),"")</f>
        <v/>
      </c>
      <c r="G3788">
        <f>IF(F3788="",0,1)</f>
        <v/>
      </c>
      <c r="H3788" s="29">
        <f>IF(F3788="","",INDEX(Deals!$E$2:$E$843,F3788))</f>
        <v/>
      </c>
      <c r="I3788">
        <f>IF(F3788="","",INDEX(Deals!$D$2:$D$843,F3788))</f>
        <v/>
      </c>
      <c r="J3788">
        <f>IF(F3788="","",INT(H3788)-B3788)</f>
        <v/>
      </c>
      <c r="K3788">
        <f>IF(B3788&gt;=Settings!$C$5,1,0)</f>
        <v/>
      </c>
    </row>
    <row r="3789">
      <c r="A3789" t="inlineStr">
        <is>
          <t>7de9a4ece8e24c7f614caa04ab1e5e1d</t>
        </is>
      </c>
      <c r="B3789" s="29" t="n">
        <v>43232</v>
      </c>
      <c r="C3789" t="inlineStr">
        <is>
          <t>2018-05</t>
        </is>
      </c>
      <c r="D3789" t="inlineStr">
        <is>
          <t>58326e62183c14b0c03085c33b9fdc44</t>
        </is>
      </c>
      <c r="E3789" t="inlineStr">
        <is>
          <t>other</t>
        </is>
      </c>
      <c r="F3789">
        <f>IFERROR(MATCH(A3789,Deals!$A$2:$A$843,0),"")</f>
        <v/>
      </c>
      <c r="G3789">
        <f>IF(F3789="",0,1)</f>
        <v/>
      </c>
      <c r="H3789" s="29">
        <f>IF(F3789="","",INDEX(Deals!$E$2:$E$843,F3789))</f>
        <v/>
      </c>
      <c r="I3789">
        <f>IF(F3789="","",INDEX(Deals!$D$2:$D$843,F3789))</f>
        <v/>
      </c>
      <c r="J3789">
        <f>IF(F3789="","",INT(H3789)-B3789)</f>
        <v/>
      </c>
      <c r="K3789">
        <f>IF(B3789&gt;=Settings!$C$5,1,0)</f>
        <v/>
      </c>
    </row>
    <row r="3790">
      <c r="A3790" t="inlineStr">
        <is>
          <t>e5c8f30b30415b1fc94d820ba9d4d08c</t>
        </is>
      </c>
      <c r="B3790" s="29" t="n">
        <v>43111</v>
      </c>
      <c r="C3790" t="inlineStr">
        <is>
          <t>2018-01</t>
        </is>
      </c>
      <c r="D3790" t="inlineStr">
        <is>
          <t>b76ef37428e6799c421989521c0e5077</t>
        </is>
      </c>
      <c r="E3790" t="inlineStr">
        <is>
          <t>organic_search</t>
        </is>
      </c>
      <c r="F3790">
        <f>IFERROR(MATCH(A3790,Deals!$A$2:$A$843,0),"")</f>
        <v/>
      </c>
      <c r="G3790">
        <f>IF(F3790="",0,1)</f>
        <v/>
      </c>
      <c r="H3790" s="29">
        <f>IF(F3790="","",INDEX(Deals!$E$2:$E$843,F3790))</f>
        <v/>
      </c>
      <c r="I3790">
        <f>IF(F3790="","",INDEX(Deals!$D$2:$D$843,F3790))</f>
        <v/>
      </c>
      <c r="J3790">
        <f>IF(F3790="","",INT(H3790)-B3790)</f>
        <v/>
      </c>
      <c r="K3790">
        <f>IF(B3790&gt;=Settings!$C$5,1,0)</f>
        <v/>
      </c>
    </row>
    <row r="3791">
      <c r="A3791" t="inlineStr">
        <is>
          <t>fa5e2d8f160a9160ba19cf589cdc017b</t>
        </is>
      </c>
      <c r="B3791" s="29" t="n">
        <v>43168</v>
      </c>
      <c r="C3791" t="inlineStr">
        <is>
          <t>2018-03</t>
        </is>
      </c>
      <c r="D3791" t="inlineStr">
        <is>
          <t>ce1a65abd0973638f1c887a6efcfa82d</t>
        </is>
      </c>
      <c r="E3791" t="inlineStr">
        <is>
          <t>paid_search</t>
        </is>
      </c>
      <c r="F3791">
        <f>IFERROR(MATCH(A3791,Deals!$A$2:$A$843,0),"")</f>
        <v/>
      </c>
      <c r="G3791">
        <f>IF(F3791="",0,1)</f>
        <v/>
      </c>
      <c r="H3791" s="29">
        <f>IF(F3791="","",INDEX(Deals!$E$2:$E$843,F3791))</f>
        <v/>
      </c>
      <c r="I3791">
        <f>IF(F3791="","",INDEX(Deals!$D$2:$D$843,F3791))</f>
        <v/>
      </c>
      <c r="J3791">
        <f>IF(F3791="","",INT(H3791)-B3791)</f>
        <v/>
      </c>
      <c r="K3791">
        <f>IF(B3791&gt;=Settings!$C$5,1,0)</f>
        <v/>
      </c>
    </row>
    <row r="3792">
      <c r="A3792" t="inlineStr">
        <is>
          <t>539c294351032d5473dbcfcc619ff021</t>
        </is>
      </c>
      <c r="B3792" s="29" t="n">
        <v>42942</v>
      </c>
      <c r="C3792" t="inlineStr">
        <is>
          <t>2017-07</t>
        </is>
      </c>
      <c r="D3792" t="inlineStr">
        <is>
          <t>91dbdf987124ca09b297bd87f06b5e64</t>
        </is>
      </c>
      <c r="E3792" t="inlineStr">
        <is>
          <t>paid_search</t>
        </is>
      </c>
      <c r="F3792">
        <f>IFERROR(MATCH(A3792,Deals!$A$2:$A$843,0),"")</f>
        <v/>
      </c>
      <c r="G3792">
        <f>IF(F3792="",0,1)</f>
        <v/>
      </c>
      <c r="H3792" s="29">
        <f>IF(F3792="","",INDEX(Deals!$E$2:$E$843,F3792))</f>
        <v/>
      </c>
      <c r="I3792">
        <f>IF(F3792="","",INDEX(Deals!$D$2:$D$843,F3792))</f>
        <v/>
      </c>
      <c r="J3792">
        <f>IF(F3792="","",INT(H3792)-B3792)</f>
        <v/>
      </c>
      <c r="K3792">
        <f>IF(B3792&gt;=Settings!$C$5,1,0)</f>
        <v/>
      </c>
    </row>
    <row r="3793">
      <c r="A3793" t="inlineStr">
        <is>
          <t>1f548546519442c101bfe2785b7e357c</t>
        </is>
      </c>
      <c r="B3793" s="29" t="n">
        <v>43214</v>
      </c>
      <c r="C3793" t="inlineStr">
        <is>
          <t>2018-04</t>
        </is>
      </c>
      <c r="D3793" t="inlineStr">
        <is>
          <t>b76ef37428e6799c421989521c0e5077</t>
        </is>
      </c>
      <c r="E3793" t="inlineStr">
        <is>
          <t>unknown</t>
        </is>
      </c>
      <c r="F3793">
        <f>IFERROR(MATCH(A3793,Deals!$A$2:$A$843,0),"")</f>
        <v/>
      </c>
      <c r="G3793">
        <f>IF(F3793="",0,1)</f>
        <v/>
      </c>
      <c r="H3793" s="29">
        <f>IF(F3793="","",INDEX(Deals!$E$2:$E$843,F3793))</f>
        <v/>
      </c>
      <c r="I3793">
        <f>IF(F3793="","",INDEX(Deals!$D$2:$D$843,F3793))</f>
        <v/>
      </c>
      <c r="J3793">
        <f>IF(F3793="","",INT(H3793)-B3793)</f>
        <v/>
      </c>
      <c r="K3793">
        <f>IF(B3793&gt;=Settings!$C$5,1,0)</f>
        <v/>
      </c>
    </row>
    <row r="3794">
      <c r="A3794" t="inlineStr">
        <is>
          <t>f03c011dbcfc842f49e035316a45c6fc</t>
        </is>
      </c>
      <c r="B3794" s="29" t="n">
        <v>43061</v>
      </c>
      <c r="C3794" t="inlineStr">
        <is>
          <t>2017-11</t>
        </is>
      </c>
      <c r="D3794" t="inlineStr">
        <is>
          <t>f98c2bd96ac4a5d9476734e790c91384</t>
        </is>
      </c>
      <c r="E3794" t="inlineStr">
        <is>
          <t>organic_search</t>
        </is>
      </c>
      <c r="F3794">
        <f>IFERROR(MATCH(A3794,Deals!$A$2:$A$843,0),"")</f>
        <v/>
      </c>
      <c r="G3794">
        <f>IF(F3794="",0,1)</f>
        <v/>
      </c>
      <c r="H3794" s="29">
        <f>IF(F3794="","",INDEX(Deals!$E$2:$E$843,F3794))</f>
        <v/>
      </c>
      <c r="I3794">
        <f>IF(F3794="","",INDEX(Deals!$D$2:$D$843,F3794))</f>
        <v/>
      </c>
      <c r="J3794">
        <f>IF(F3794="","",INT(H3794)-B3794)</f>
        <v/>
      </c>
      <c r="K3794">
        <f>IF(B3794&gt;=Settings!$C$5,1,0)</f>
        <v/>
      </c>
    </row>
    <row r="3795">
      <c r="A3795" t="inlineStr">
        <is>
          <t>8d661ad44b835f29a6494c184c21a463</t>
        </is>
      </c>
      <c r="B3795" s="29" t="n">
        <v>43122</v>
      </c>
      <c r="C3795" t="inlineStr">
        <is>
          <t>2018-01</t>
        </is>
      </c>
      <c r="D3795" t="inlineStr">
        <is>
          <t>40dec9f3d5259a3d2dbcdab2114fae47</t>
        </is>
      </c>
      <c r="E3795" t="inlineStr">
        <is>
          <t>organic_search</t>
        </is>
      </c>
      <c r="F3795">
        <f>IFERROR(MATCH(A3795,Deals!$A$2:$A$843,0),"")</f>
        <v/>
      </c>
      <c r="G3795">
        <f>IF(F3795="",0,1)</f>
        <v/>
      </c>
      <c r="H3795" s="29">
        <f>IF(F3795="","",INDEX(Deals!$E$2:$E$843,F3795))</f>
        <v/>
      </c>
      <c r="I3795">
        <f>IF(F3795="","",INDEX(Deals!$D$2:$D$843,F3795))</f>
        <v/>
      </c>
      <c r="J3795">
        <f>IF(F3795="","",INT(H3795)-B3795)</f>
        <v/>
      </c>
      <c r="K3795">
        <f>IF(B3795&gt;=Settings!$C$5,1,0)</f>
        <v/>
      </c>
    </row>
    <row r="3796">
      <c r="A3796" t="inlineStr">
        <is>
          <t>da8b34330eccde3a97217aa87af21155</t>
        </is>
      </c>
      <c r="B3796" s="29" t="n">
        <v>43099</v>
      </c>
      <c r="C3796" t="inlineStr">
        <is>
          <t>2017-12</t>
        </is>
      </c>
      <c r="D3796" t="inlineStr">
        <is>
          <t>0625ca637bf063abf254a66fe91fa84b</t>
        </is>
      </c>
      <c r="E3796" t="inlineStr">
        <is>
          <t>referral</t>
        </is>
      </c>
      <c r="F3796">
        <f>IFERROR(MATCH(A3796,Deals!$A$2:$A$843,0),"")</f>
        <v/>
      </c>
      <c r="G3796">
        <f>IF(F3796="",0,1)</f>
        <v/>
      </c>
      <c r="H3796" s="29">
        <f>IF(F3796="","",INDEX(Deals!$E$2:$E$843,F3796))</f>
        <v/>
      </c>
      <c r="I3796">
        <f>IF(F3796="","",INDEX(Deals!$D$2:$D$843,F3796))</f>
        <v/>
      </c>
      <c r="J3796">
        <f>IF(F3796="","",INT(H3796)-B3796)</f>
        <v/>
      </c>
      <c r="K3796">
        <f>IF(B3796&gt;=Settings!$C$5,1,0)</f>
        <v/>
      </c>
    </row>
    <row r="3797">
      <c r="A3797" t="inlineStr">
        <is>
          <t>2f3a47425de72201a7f3fea78852db6f</t>
        </is>
      </c>
      <c r="B3797" s="29" t="n">
        <v>43214</v>
      </c>
      <c r="C3797" t="inlineStr">
        <is>
          <t>2018-04</t>
        </is>
      </c>
      <c r="D3797" t="inlineStr">
        <is>
          <t>b76ef37428e6799c421989521c0e5077</t>
        </is>
      </c>
      <c r="E3797" t="inlineStr">
        <is>
          <t>unknown</t>
        </is>
      </c>
      <c r="F3797">
        <f>IFERROR(MATCH(A3797,Deals!$A$2:$A$843,0),"")</f>
        <v/>
      </c>
      <c r="G3797">
        <f>IF(F3797="",0,1)</f>
        <v/>
      </c>
      <c r="H3797" s="29">
        <f>IF(F3797="","",INDEX(Deals!$E$2:$E$843,F3797))</f>
        <v/>
      </c>
      <c r="I3797">
        <f>IF(F3797="","",INDEX(Deals!$D$2:$D$843,F3797))</f>
        <v/>
      </c>
      <c r="J3797">
        <f>IF(F3797="","",INT(H3797)-B3797)</f>
        <v/>
      </c>
      <c r="K3797">
        <f>IF(B3797&gt;=Settings!$C$5,1,0)</f>
        <v/>
      </c>
    </row>
    <row r="3798">
      <c r="A3798" t="inlineStr">
        <is>
          <t>e7a0681c0c6541d26d83817efea9f94c</t>
        </is>
      </c>
      <c r="B3798" s="29" t="n">
        <v>43234</v>
      </c>
      <c r="C3798" t="inlineStr">
        <is>
          <t>2018-05</t>
        </is>
      </c>
      <c r="D3798" t="inlineStr">
        <is>
          <t>b48ec5f3b04e9068441002a19df93c6c</t>
        </is>
      </c>
      <c r="E3798" t="inlineStr">
        <is>
          <t>referral</t>
        </is>
      </c>
      <c r="F3798">
        <f>IFERROR(MATCH(A3798,Deals!$A$2:$A$843,0),"")</f>
        <v/>
      </c>
      <c r="G3798">
        <f>IF(F3798="",0,1)</f>
        <v/>
      </c>
      <c r="H3798" s="29">
        <f>IF(F3798="","",INDEX(Deals!$E$2:$E$843,F3798))</f>
        <v/>
      </c>
      <c r="I3798">
        <f>IF(F3798="","",INDEX(Deals!$D$2:$D$843,F3798))</f>
        <v/>
      </c>
      <c r="J3798">
        <f>IF(F3798="","",INT(H3798)-B3798)</f>
        <v/>
      </c>
      <c r="K3798">
        <f>IF(B3798&gt;=Settings!$C$5,1,0)</f>
        <v/>
      </c>
    </row>
    <row r="3799">
      <c r="A3799" t="inlineStr">
        <is>
          <t>3a92b4654f299c75c507ce37ec1c0c4d</t>
        </is>
      </c>
      <c r="B3799" s="29" t="n">
        <v>43014</v>
      </c>
      <c r="C3799" t="inlineStr">
        <is>
          <t>2017-10</t>
        </is>
      </c>
      <c r="D3799" t="inlineStr">
        <is>
          <t>a56671a54260a44923d32c2f08fad39c</t>
        </is>
      </c>
      <c r="E3799" t="inlineStr">
        <is>
          <t>organic_search</t>
        </is>
      </c>
      <c r="F3799">
        <f>IFERROR(MATCH(A3799,Deals!$A$2:$A$843,0),"")</f>
        <v/>
      </c>
      <c r="G3799">
        <f>IF(F3799="",0,1)</f>
        <v/>
      </c>
      <c r="H3799" s="29">
        <f>IF(F3799="","",INDEX(Deals!$E$2:$E$843,F3799))</f>
        <v/>
      </c>
      <c r="I3799">
        <f>IF(F3799="","",INDEX(Deals!$D$2:$D$843,F3799))</f>
        <v/>
      </c>
      <c r="J3799">
        <f>IF(F3799="","",INT(H3799)-B3799)</f>
        <v/>
      </c>
      <c r="K3799">
        <f>IF(B3799&gt;=Settings!$C$5,1,0)</f>
        <v/>
      </c>
    </row>
    <row r="3800">
      <c r="A3800" t="inlineStr">
        <is>
          <t>3efcf88e3453fc6d9ce464e51d3a81d4</t>
        </is>
      </c>
      <c r="B3800" s="29" t="n">
        <v>43146</v>
      </c>
      <c r="C3800" t="inlineStr">
        <is>
          <t>2018-02</t>
        </is>
      </c>
      <c r="D3800" t="inlineStr">
        <is>
          <t>007f9098284a86ee80ddeb25d53e0af8</t>
        </is>
      </c>
      <c r="E3800" t="inlineStr">
        <is>
          <t>paid_search</t>
        </is>
      </c>
      <c r="F3800">
        <f>IFERROR(MATCH(A3800,Deals!$A$2:$A$843,0),"")</f>
        <v/>
      </c>
      <c r="G3800">
        <f>IF(F3800="",0,1)</f>
        <v/>
      </c>
      <c r="H3800" s="29">
        <f>IF(F3800="","",INDEX(Deals!$E$2:$E$843,F3800))</f>
        <v/>
      </c>
      <c r="I3800">
        <f>IF(F3800="","",INDEX(Deals!$D$2:$D$843,F3800))</f>
        <v/>
      </c>
      <c r="J3800">
        <f>IF(F3800="","",INT(H3800)-B3800)</f>
        <v/>
      </c>
      <c r="K3800">
        <f>IF(B3800&gt;=Settings!$C$5,1,0)</f>
        <v/>
      </c>
    </row>
    <row r="3801">
      <c r="A3801" t="inlineStr">
        <is>
          <t>0093fe2eedeb098315bf9251da1a5f03</t>
        </is>
      </c>
      <c r="B3801" s="29" t="n">
        <v>43172</v>
      </c>
      <c r="C3801" t="inlineStr">
        <is>
          <t>2018-03</t>
        </is>
      </c>
      <c r="D3801" t="inlineStr">
        <is>
          <t>f017be4dbf86243af5c1ebed0cff36a2</t>
        </is>
      </c>
      <c r="E3801" t="inlineStr">
        <is>
          <t>organic_search</t>
        </is>
      </c>
      <c r="F3801">
        <f>IFERROR(MATCH(A3801,Deals!$A$2:$A$843,0),"")</f>
        <v/>
      </c>
      <c r="G3801">
        <f>IF(F3801="",0,1)</f>
        <v/>
      </c>
      <c r="H3801" s="29">
        <f>IF(F3801="","",INDEX(Deals!$E$2:$E$843,F3801))</f>
        <v/>
      </c>
      <c r="I3801">
        <f>IF(F3801="","",INDEX(Deals!$D$2:$D$843,F3801))</f>
        <v/>
      </c>
      <c r="J3801">
        <f>IF(F3801="","",INT(H3801)-B3801)</f>
        <v/>
      </c>
      <c r="K3801">
        <f>IF(B3801&gt;=Settings!$C$5,1,0)</f>
        <v/>
      </c>
    </row>
    <row r="3802">
      <c r="A3802" t="inlineStr">
        <is>
          <t>aa4945c49394155f65b3767a8473219a</t>
        </is>
      </c>
      <c r="B3802" s="29" t="n">
        <v>43091</v>
      </c>
      <c r="C3802" t="inlineStr">
        <is>
          <t>2017-12</t>
        </is>
      </c>
      <c r="D3802" t="inlineStr">
        <is>
          <t>1694e838dffa97f640fcfa35e86e438e</t>
        </is>
      </c>
      <c r="E3802" t="inlineStr">
        <is>
          <t>organic_search</t>
        </is>
      </c>
      <c r="F3802">
        <f>IFERROR(MATCH(A3802,Deals!$A$2:$A$843,0),"")</f>
        <v/>
      </c>
      <c r="G3802">
        <f>IF(F3802="",0,1)</f>
        <v/>
      </c>
      <c r="H3802" s="29">
        <f>IF(F3802="","",INDEX(Deals!$E$2:$E$843,F3802))</f>
        <v/>
      </c>
      <c r="I3802">
        <f>IF(F3802="","",INDEX(Deals!$D$2:$D$843,F3802))</f>
        <v/>
      </c>
      <c r="J3802">
        <f>IF(F3802="","",INT(H3802)-B3802)</f>
        <v/>
      </c>
      <c r="K3802">
        <f>IF(B3802&gt;=Settings!$C$5,1,0)</f>
        <v/>
      </c>
    </row>
    <row r="3803">
      <c r="A3803" t="inlineStr">
        <is>
          <t>5e1982541fb01c50b6509e8ad3b5221c</t>
        </is>
      </c>
      <c r="B3803" s="29" t="n">
        <v>43208</v>
      </c>
      <c r="C3803" t="inlineStr">
        <is>
          <t>2018-04</t>
        </is>
      </c>
      <c r="D3803" t="inlineStr">
        <is>
          <t>b76ef37428e6799c421989521c0e5077</t>
        </is>
      </c>
      <c r="E3803" t="inlineStr">
        <is>
          <t>unknown</t>
        </is>
      </c>
      <c r="F3803">
        <f>IFERROR(MATCH(A3803,Deals!$A$2:$A$843,0),"")</f>
        <v/>
      </c>
      <c r="G3803">
        <f>IF(F3803="",0,1)</f>
        <v/>
      </c>
      <c r="H3803" s="29">
        <f>IF(F3803="","",INDEX(Deals!$E$2:$E$843,F3803))</f>
        <v/>
      </c>
      <c r="I3803">
        <f>IF(F3803="","",INDEX(Deals!$D$2:$D$843,F3803))</f>
        <v/>
      </c>
      <c r="J3803">
        <f>IF(F3803="","",INT(H3803)-B3803)</f>
        <v/>
      </c>
      <c r="K3803">
        <f>IF(B3803&gt;=Settings!$C$5,1,0)</f>
        <v/>
      </c>
    </row>
    <row r="3804">
      <c r="A3804" t="inlineStr">
        <is>
          <t>3776eddabd032b9e07745c212a4f485f</t>
        </is>
      </c>
      <c r="B3804" s="29" t="n">
        <v>43235</v>
      </c>
      <c r="C3804" t="inlineStr">
        <is>
          <t>2018-05</t>
        </is>
      </c>
      <c r="D3804" t="inlineStr">
        <is>
          <t>22c29808c4f815213303f8933030604c</t>
        </is>
      </c>
      <c r="E3804" t="inlineStr">
        <is>
          <t>organic_search</t>
        </is>
      </c>
      <c r="F3804">
        <f>IFERROR(MATCH(A3804,Deals!$A$2:$A$843,0),"")</f>
        <v/>
      </c>
      <c r="G3804">
        <f>IF(F3804="",0,1)</f>
        <v/>
      </c>
      <c r="H3804" s="29">
        <f>IF(F3804="","",INDEX(Deals!$E$2:$E$843,F3804))</f>
        <v/>
      </c>
      <c r="I3804">
        <f>IF(F3804="","",INDEX(Deals!$D$2:$D$843,F3804))</f>
        <v/>
      </c>
      <c r="J3804">
        <f>IF(F3804="","",INT(H3804)-B3804)</f>
        <v/>
      </c>
      <c r="K3804">
        <f>IF(B3804&gt;=Settings!$C$5,1,0)</f>
        <v/>
      </c>
    </row>
    <row r="3805">
      <c r="A3805" t="inlineStr">
        <is>
          <t>bfecf8f10580b916be79cd1f98a95840</t>
        </is>
      </c>
      <c r="B3805" s="29" t="n">
        <v>43145</v>
      </c>
      <c r="C3805" t="inlineStr">
        <is>
          <t>2018-02</t>
        </is>
      </c>
      <c r="D3805" t="inlineStr">
        <is>
          <t>b76ef37428e6799c421989521c0e5077</t>
        </is>
      </c>
      <c r="E3805" t="inlineStr">
        <is>
          <t>paid_search</t>
        </is>
      </c>
      <c r="F3805">
        <f>IFERROR(MATCH(A3805,Deals!$A$2:$A$843,0),"")</f>
        <v/>
      </c>
      <c r="G3805">
        <f>IF(F3805="",0,1)</f>
        <v/>
      </c>
      <c r="H3805" s="29">
        <f>IF(F3805="","",INDEX(Deals!$E$2:$E$843,F3805))</f>
        <v/>
      </c>
      <c r="I3805">
        <f>IF(F3805="","",INDEX(Deals!$D$2:$D$843,F3805))</f>
        <v/>
      </c>
      <c r="J3805">
        <f>IF(F3805="","",INT(H3805)-B3805)</f>
        <v/>
      </c>
      <c r="K3805">
        <f>IF(B3805&gt;=Settings!$C$5,1,0)</f>
        <v/>
      </c>
    </row>
    <row r="3806">
      <c r="A3806" t="inlineStr">
        <is>
          <t>7b5ad0c52e58076e34f393efe9019ed2</t>
        </is>
      </c>
      <c r="B3806" s="29" t="n">
        <v>42993</v>
      </c>
      <c r="C3806" t="inlineStr">
        <is>
          <t>2017-09</t>
        </is>
      </c>
      <c r="D3806" t="inlineStr">
        <is>
          <t>0218f6be0b76aca72ab4d00ee9e8cf10</t>
        </is>
      </c>
      <c r="E3806" t="inlineStr">
        <is>
          <t>paid_search</t>
        </is>
      </c>
      <c r="F3806">
        <f>IFERROR(MATCH(A3806,Deals!$A$2:$A$843,0),"")</f>
        <v/>
      </c>
      <c r="G3806">
        <f>IF(F3806="",0,1)</f>
        <v/>
      </c>
      <c r="H3806" s="29">
        <f>IF(F3806="","",INDEX(Deals!$E$2:$E$843,F3806))</f>
        <v/>
      </c>
      <c r="I3806">
        <f>IF(F3806="","",INDEX(Deals!$D$2:$D$843,F3806))</f>
        <v/>
      </c>
      <c r="J3806">
        <f>IF(F3806="","",INT(H3806)-B3806)</f>
        <v/>
      </c>
      <c r="K3806">
        <f>IF(B3806&gt;=Settings!$C$5,1,0)</f>
        <v/>
      </c>
    </row>
    <row r="3807">
      <c r="A3807" t="inlineStr">
        <is>
          <t>e824ff2df2d1765f6d491d00ec4d6b01</t>
        </is>
      </c>
      <c r="B3807" s="29" t="n">
        <v>43224</v>
      </c>
      <c r="C3807" t="inlineStr">
        <is>
          <t>2018-05</t>
        </is>
      </c>
      <c r="D3807" t="inlineStr">
        <is>
          <t>ce1a65abd0973638f1c887a6efcfa82d</t>
        </is>
      </c>
      <c r="E3807" t="inlineStr">
        <is>
          <t>direct_traffic</t>
        </is>
      </c>
      <c r="F3807">
        <f>IFERROR(MATCH(A3807,Deals!$A$2:$A$843,0),"")</f>
        <v/>
      </c>
      <c r="G3807">
        <f>IF(F3807="",0,1)</f>
        <v/>
      </c>
      <c r="H3807" s="29">
        <f>IF(F3807="","",INDEX(Deals!$E$2:$E$843,F3807))</f>
        <v/>
      </c>
      <c r="I3807">
        <f>IF(F3807="","",INDEX(Deals!$D$2:$D$843,F3807))</f>
        <v/>
      </c>
      <c r="J3807">
        <f>IF(F3807="","",INT(H3807)-B3807)</f>
        <v/>
      </c>
      <c r="K3807">
        <f>IF(B3807&gt;=Settings!$C$5,1,0)</f>
        <v/>
      </c>
    </row>
    <row r="3808">
      <c r="A3808" t="inlineStr">
        <is>
          <t>8d47aebdb84e4e7eaf27978a8fd00fe8</t>
        </is>
      </c>
      <c r="B3808" s="29" t="n">
        <v>43055</v>
      </c>
      <c r="C3808" t="inlineStr">
        <is>
          <t>2017-11</t>
        </is>
      </c>
      <c r="D3808" t="inlineStr">
        <is>
          <t>f98c2bd96ac4a5d9476734e790c91384</t>
        </is>
      </c>
      <c r="E3808" t="inlineStr">
        <is>
          <t>organic_search</t>
        </is>
      </c>
      <c r="F3808">
        <f>IFERROR(MATCH(A3808,Deals!$A$2:$A$843,0),"")</f>
        <v/>
      </c>
      <c r="G3808">
        <f>IF(F3808="",0,1)</f>
        <v/>
      </c>
      <c r="H3808" s="29">
        <f>IF(F3808="","",INDEX(Deals!$E$2:$E$843,F3808))</f>
        <v/>
      </c>
      <c r="I3808">
        <f>IF(F3808="","",INDEX(Deals!$D$2:$D$843,F3808))</f>
        <v/>
      </c>
      <c r="J3808">
        <f>IF(F3808="","",INT(H3808)-B3808)</f>
        <v/>
      </c>
      <c r="K3808">
        <f>IF(B3808&gt;=Settings!$C$5,1,0)</f>
        <v/>
      </c>
    </row>
    <row r="3809">
      <c r="A3809" t="inlineStr">
        <is>
          <t>fdd99e1f893ae93a6d49ec42d770f73b</t>
        </is>
      </c>
      <c r="B3809" s="29" t="n">
        <v>43049</v>
      </c>
      <c r="C3809" t="inlineStr">
        <is>
          <t>2017-11</t>
        </is>
      </c>
      <c r="D3809" t="inlineStr">
        <is>
          <t>1722481ac9e5371e5099dea226b5421d</t>
        </is>
      </c>
      <c r="E3809" t="inlineStr">
        <is>
          <t>organic_search</t>
        </is>
      </c>
      <c r="F3809">
        <f>IFERROR(MATCH(A3809,Deals!$A$2:$A$843,0),"")</f>
        <v/>
      </c>
      <c r="G3809">
        <f>IF(F3809="",0,1)</f>
        <v/>
      </c>
      <c r="H3809" s="29">
        <f>IF(F3809="","",INDEX(Deals!$E$2:$E$843,F3809))</f>
        <v/>
      </c>
      <c r="I3809">
        <f>IF(F3809="","",INDEX(Deals!$D$2:$D$843,F3809))</f>
        <v/>
      </c>
      <c r="J3809">
        <f>IF(F3809="","",INT(H3809)-B3809)</f>
        <v/>
      </c>
      <c r="K3809">
        <f>IF(B3809&gt;=Settings!$C$5,1,0)</f>
        <v/>
      </c>
    </row>
    <row r="3810">
      <c r="A3810" t="inlineStr">
        <is>
          <t>dc0e16a46c7bb604bc7fd87037f32787</t>
        </is>
      </c>
      <c r="B3810" s="29" t="n">
        <v>42948</v>
      </c>
      <c r="C3810" t="inlineStr">
        <is>
          <t>2017-08</t>
        </is>
      </c>
      <c r="D3810" t="inlineStr">
        <is>
          <t>3cd2a8301d5395f21cdd3094c9eaa2f4</t>
        </is>
      </c>
      <c r="E3810" t="inlineStr">
        <is>
          <t>paid_search</t>
        </is>
      </c>
      <c r="F3810">
        <f>IFERROR(MATCH(A3810,Deals!$A$2:$A$843,0),"")</f>
        <v/>
      </c>
      <c r="G3810">
        <f>IF(F3810="",0,1)</f>
        <v/>
      </c>
      <c r="H3810" s="29">
        <f>IF(F3810="","",INDEX(Deals!$E$2:$E$843,F3810))</f>
        <v/>
      </c>
      <c r="I3810">
        <f>IF(F3810="","",INDEX(Deals!$D$2:$D$843,F3810))</f>
        <v/>
      </c>
      <c r="J3810">
        <f>IF(F3810="","",INT(H3810)-B3810)</f>
        <v/>
      </c>
      <c r="K3810">
        <f>IF(B3810&gt;=Settings!$C$5,1,0)</f>
        <v/>
      </c>
    </row>
    <row r="3811">
      <c r="A3811" t="inlineStr">
        <is>
          <t>1360d3a80eca6292f33a04f7aebb5fee</t>
        </is>
      </c>
      <c r="B3811" s="29" t="n">
        <v>43251</v>
      </c>
      <c r="C3811" t="inlineStr">
        <is>
          <t>2018-05</t>
        </is>
      </c>
      <c r="D3811" t="inlineStr">
        <is>
          <t>22c29808c4f815213303f8933030604c</t>
        </is>
      </c>
      <c r="E3811" t="inlineStr">
        <is>
          <t>referral</t>
        </is>
      </c>
      <c r="F3811">
        <f>IFERROR(MATCH(A3811,Deals!$A$2:$A$843,0),"")</f>
        <v/>
      </c>
      <c r="G3811">
        <f>IF(F3811="",0,1)</f>
        <v/>
      </c>
      <c r="H3811" s="29">
        <f>IF(F3811="","",INDEX(Deals!$E$2:$E$843,F3811))</f>
        <v/>
      </c>
      <c r="I3811">
        <f>IF(F3811="","",INDEX(Deals!$D$2:$D$843,F3811))</f>
        <v/>
      </c>
      <c r="J3811">
        <f>IF(F3811="","",INT(H3811)-B3811)</f>
        <v/>
      </c>
      <c r="K3811">
        <f>IF(B3811&gt;=Settings!$C$5,1,0)</f>
        <v/>
      </c>
    </row>
    <row r="3812">
      <c r="A3812" t="inlineStr">
        <is>
          <t>b3a39b89a52050b28386e5ef833878a1</t>
        </is>
      </c>
      <c r="B3812" s="29" t="n">
        <v>43194</v>
      </c>
      <c r="C3812" t="inlineStr">
        <is>
          <t>2018-04</t>
        </is>
      </c>
      <c r="D3812" t="inlineStr">
        <is>
          <t>22c29808c4f815213303f8933030604c</t>
        </is>
      </c>
      <c r="E3812" t="inlineStr">
        <is>
          <t>other_publicities</t>
        </is>
      </c>
      <c r="F3812">
        <f>IFERROR(MATCH(A3812,Deals!$A$2:$A$843,0),"")</f>
        <v/>
      </c>
      <c r="G3812">
        <f>IF(F3812="",0,1)</f>
        <v/>
      </c>
      <c r="H3812" s="29">
        <f>IF(F3812="","",INDEX(Deals!$E$2:$E$843,F3812))</f>
        <v/>
      </c>
      <c r="I3812">
        <f>IF(F3812="","",INDEX(Deals!$D$2:$D$843,F3812))</f>
        <v/>
      </c>
      <c r="J3812">
        <f>IF(F3812="","",INT(H3812)-B3812)</f>
        <v/>
      </c>
      <c r="K3812">
        <f>IF(B3812&gt;=Settings!$C$5,1,0)</f>
        <v/>
      </c>
    </row>
    <row r="3813">
      <c r="A3813" t="inlineStr">
        <is>
          <t>db793b3a1b4c40e4977207d285a5ea8a</t>
        </is>
      </c>
      <c r="B3813" s="29" t="n">
        <v>43116</v>
      </c>
      <c r="C3813" t="inlineStr">
        <is>
          <t>2018-01</t>
        </is>
      </c>
      <c r="D3813" t="inlineStr">
        <is>
          <t>40dec9f3d5259a3d2dbcdab2114fae47</t>
        </is>
      </c>
      <c r="E3813" t="inlineStr">
        <is>
          <t>paid_search</t>
        </is>
      </c>
      <c r="F3813">
        <f>IFERROR(MATCH(A3813,Deals!$A$2:$A$843,0),"")</f>
        <v/>
      </c>
      <c r="G3813">
        <f>IF(F3813="",0,1)</f>
        <v/>
      </c>
      <c r="H3813" s="29">
        <f>IF(F3813="","",INDEX(Deals!$E$2:$E$843,F3813))</f>
        <v/>
      </c>
      <c r="I3813">
        <f>IF(F3813="","",INDEX(Deals!$D$2:$D$843,F3813))</f>
        <v/>
      </c>
      <c r="J3813">
        <f>IF(F3813="","",INT(H3813)-B3813)</f>
        <v/>
      </c>
      <c r="K3813">
        <f>IF(B3813&gt;=Settings!$C$5,1,0)</f>
        <v/>
      </c>
    </row>
    <row r="3814">
      <c r="A3814" t="inlineStr">
        <is>
          <t>73907fed82d21d4b3700c31aefb6b3c0</t>
        </is>
      </c>
      <c r="B3814" s="29" t="n">
        <v>43014</v>
      </c>
      <c r="C3814" t="inlineStr">
        <is>
          <t>2017-10</t>
        </is>
      </c>
      <c r="D3814" t="inlineStr">
        <is>
          <t>a56671a54260a44923d32c2f08fad39c</t>
        </is>
      </c>
      <c r="E3814" t="inlineStr">
        <is>
          <t>email</t>
        </is>
      </c>
      <c r="F3814">
        <f>IFERROR(MATCH(A3814,Deals!$A$2:$A$843,0),"")</f>
        <v/>
      </c>
      <c r="G3814">
        <f>IF(F3814="",0,1)</f>
        <v/>
      </c>
      <c r="H3814" s="29">
        <f>IF(F3814="","",INDEX(Deals!$E$2:$E$843,F3814))</f>
        <v/>
      </c>
      <c r="I3814">
        <f>IF(F3814="","",INDEX(Deals!$D$2:$D$843,F3814))</f>
        <v/>
      </c>
      <c r="J3814">
        <f>IF(F3814="","",INT(H3814)-B3814)</f>
        <v/>
      </c>
      <c r="K3814">
        <f>IF(B3814&gt;=Settings!$C$5,1,0)</f>
        <v/>
      </c>
    </row>
    <row r="3815">
      <c r="A3815" t="inlineStr">
        <is>
          <t>27fb595d8f04cae613c7bd573b930a64</t>
        </is>
      </c>
      <c r="B3815" s="29" t="n">
        <v>43124</v>
      </c>
      <c r="C3815" t="inlineStr">
        <is>
          <t>2018-01</t>
        </is>
      </c>
      <c r="D3815" t="inlineStr">
        <is>
          <t>d83b0d0e48c8447d1d5507a44027a955</t>
        </is>
      </c>
      <c r="E3815" t="inlineStr">
        <is>
          <t>unknown</t>
        </is>
      </c>
      <c r="F3815">
        <f>IFERROR(MATCH(A3815,Deals!$A$2:$A$843,0),"")</f>
        <v/>
      </c>
      <c r="G3815">
        <f>IF(F3815="",0,1)</f>
        <v/>
      </c>
      <c r="H3815" s="29">
        <f>IF(F3815="","",INDEX(Deals!$E$2:$E$843,F3815))</f>
        <v/>
      </c>
      <c r="I3815">
        <f>IF(F3815="","",INDEX(Deals!$D$2:$D$843,F3815))</f>
        <v/>
      </c>
      <c r="J3815">
        <f>IF(F3815="","",INT(H3815)-B3815)</f>
        <v/>
      </c>
      <c r="K3815">
        <f>IF(B3815&gt;=Settings!$C$5,1,0)</f>
        <v/>
      </c>
    </row>
    <row r="3816">
      <c r="A3816" t="inlineStr">
        <is>
          <t>0f0e3fa24833955ae7be0fc6ff2540f8</t>
        </is>
      </c>
      <c r="B3816" s="29" t="n">
        <v>43232</v>
      </c>
      <c r="C3816" t="inlineStr">
        <is>
          <t>2018-05</t>
        </is>
      </c>
      <c r="D3816" t="inlineStr">
        <is>
          <t>a7982125ff7aa3b2054c6e44f9d28522</t>
        </is>
      </c>
      <c r="E3816" t="inlineStr">
        <is>
          <t>organic_search</t>
        </is>
      </c>
      <c r="F3816">
        <f>IFERROR(MATCH(A3816,Deals!$A$2:$A$843,0),"")</f>
        <v/>
      </c>
      <c r="G3816">
        <f>IF(F3816="",0,1)</f>
        <v/>
      </c>
      <c r="H3816" s="29">
        <f>IF(F3816="","",INDEX(Deals!$E$2:$E$843,F3816))</f>
        <v/>
      </c>
      <c r="I3816">
        <f>IF(F3816="","",INDEX(Deals!$D$2:$D$843,F3816))</f>
        <v/>
      </c>
      <c r="J3816">
        <f>IF(F3816="","",INT(H3816)-B3816)</f>
        <v/>
      </c>
      <c r="K3816">
        <f>IF(B3816&gt;=Settings!$C$5,1,0)</f>
        <v/>
      </c>
    </row>
    <row r="3817">
      <c r="A3817" t="inlineStr">
        <is>
          <t>8dce49d78f9df11d09e8a93115863b3a</t>
        </is>
      </c>
      <c r="B3817" s="29" t="n">
        <v>43161</v>
      </c>
      <c r="C3817" t="inlineStr">
        <is>
          <t>2018-03</t>
        </is>
      </c>
      <c r="D3817" t="inlineStr">
        <is>
          <t>22c29808c4f815213303f8933030604c</t>
        </is>
      </c>
      <c r="E3817" t="inlineStr">
        <is>
          <t>organic_search</t>
        </is>
      </c>
      <c r="F3817">
        <f>IFERROR(MATCH(A3817,Deals!$A$2:$A$843,0),"")</f>
        <v/>
      </c>
      <c r="G3817">
        <f>IF(F3817="",0,1)</f>
        <v/>
      </c>
      <c r="H3817" s="29">
        <f>IF(F3817="","",INDEX(Deals!$E$2:$E$843,F3817))</f>
        <v/>
      </c>
      <c r="I3817">
        <f>IF(F3817="","",INDEX(Deals!$D$2:$D$843,F3817))</f>
        <v/>
      </c>
      <c r="J3817">
        <f>IF(F3817="","",INT(H3817)-B3817)</f>
        <v/>
      </c>
      <c r="K3817">
        <f>IF(B3817&gt;=Settings!$C$5,1,0)</f>
        <v/>
      </c>
    </row>
    <row r="3818">
      <c r="A3818" t="inlineStr">
        <is>
          <t>724e901b27069d807cbb81cbf93ba374</t>
        </is>
      </c>
      <c r="B3818" s="29" t="n">
        <v>43192</v>
      </c>
      <c r="C3818" t="inlineStr">
        <is>
          <t>2018-04</t>
        </is>
      </c>
      <c r="D3818" t="inlineStr">
        <is>
          <t>b217afa2c1f4cb502423005639878f6d</t>
        </is>
      </c>
      <c r="E3818" t="inlineStr">
        <is>
          <t>other_publicities</t>
        </is>
      </c>
      <c r="F3818">
        <f>IFERROR(MATCH(A3818,Deals!$A$2:$A$843,0),"")</f>
        <v/>
      </c>
      <c r="G3818">
        <f>IF(F3818="",0,1)</f>
        <v/>
      </c>
      <c r="H3818" s="29">
        <f>IF(F3818="","",INDEX(Deals!$E$2:$E$843,F3818))</f>
        <v/>
      </c>
      <c r="I3818">
        <f>IF(F3818="","",INDEX(Deals!$D$2:$D$843,F3818))</f>
        <v/>
      </c>
      <c r="J3818">
        <f>IF(F3818="","",INT(H3818)-B3818)</f>
        <v/>
      </c>
      <c r="K3818">
        <f>IF(B3818&gt;=Settings!$C$5,1,0)</f>
        <v/>
      </c>
    </row>
    <row r="3819">
      <c r="A3819" t="inlineStr">
        <is>
          <t>6a6b9ab46b610b6bf661a9c766f195eb</t>
        </is>
      </c>
      <c r="B3819" s="29" t="n">
        <v>43025</v>
      </c>
      <c r="C3819" t="inlineStr">
        <is>
          <t>2017-10</t>
        </is>
      </c>
      <c r="D3819" t="inlineStr">
        <is>
          <t>15cf89bab2c3163b4f9d8601d108f8b2</t>
        </is>
      </c>
      <c r="E3819" t="inlineStr">
        <is>
          <t>organic_search</t>
        </is>
      </c>
      <c r="F3819">
        <f>IFERROR(MATCH(A3819,Deals!$A$2:$A$843,0),"")</f>
        <v/>
      </c>
      <c r="G3819">
        <f>IF(F3819="",0,1)</f>
        <v/>
      </c>
      <c r="H3819" s="29">
        <f>IF(F3819="","",INDEX(Deals!$E$2:$E$843,F3819))</f>
        <v/>
      </c>
      <c r="I3819">
        <f>IF(F3819="","",INDEX(Deals!$D$2:$D$843,F3819))</f>
        <v/>
      </c>
      <c r="J3819">
        <f>IF(F3819="","",INT(H3819)-B3819)</f>
        <v/>
      </c>
      <c r="K3819">
        <f>IF(B3819&gt;=Settings!$C$5,1,0)</f>
        <v/>
      </c>
    </row>
    <row r="3820">
      <c r="A3820" t="inlineStr">
        <is>
          <t>95133894ec11a574d25413576636e5dc</t>
        </is>
      </c>
      <c r="B3820" s="29" t="n">
        <v>42979</v>
      </c>
      <c r="C3820" t="inlineStr">
        <is>
          <t>2017-09</t>
        </is>
      </c>
      <c r="D3820" t="inlineStr">
        <is>
          <t>97338d2165e7d6d9bc1348573a405642</t>
        </is>
      </c>
      <c r="E3820" t="inlineStr">
        <is>
          <t>email</t>
        </is>
      </c>
      <c r="F3820">
        <f>IFERROR(MATCH(A3820,Deals!$A$2:$A$843,0),"")</f>
        <v/>
      </c>
      <c r="G3820">
        <f>IF(F3820="",0,1)</f>
        <v/>
      </c>
      <c r="H3820" s="29">
        <f>IF(F3820="","",INDEX(Deals!$E$2:$E$843,F3820))</f>
        <v/>
      </c>
      <c r="I3820">
        <f>IF(F3820="","",INDEX(Deals!$D$2:$D$843,F3820))</f>
        <v/>
      </c>
      <c r="J3820">
        <f>IF(F3820="","",INT(H3820)-B3820)</f>
        <v/>
      </c>
      <c r="K3820">
        <f>IF(B3820&gt;=Settings!$C$5,1,0)</f>
        <v/>
      </c>
    </row>
    <row r="3821">
      <c r="A3821" t="inlineStr">
        <is>
          <t>fe6e3e773c80c686e9a3bb0eafb2f13f</t>
        </is>
      </c>
      <c r="B3821" s="29" t="n">
        <v>43186</v>
      </c>
      <c r="C3821" t="inlineStr">
        <is>
          <t>2018-03</t>
        </is>
      </c>
      <c r="D3821" t="inlineStr">
        <is>
          <t>58326e62183c14b0c03085c33b9fdc44</t>
        </is>
      </c>
      <c r="E3821" t="inlineStr">
        <is>
          <t>social</t>
        </is>
      </c>
      <c r="F3821">
        <f>IFERROR(MATCH(A3821,Deals!$A$2:$A$843,0),"")</f>
        <v/>
      </c>
      <c r="G3821">
        <f>IF(F3821="",0,1)</f>
        <v/>
      </c>
      <c r="H3821" s="29">
        <f>IF(F3821="","",INDEX(Deals!$E$2:$E$843,F3821))</f>
        <v/>
      </c>
      <c r="I3821">
        <f>IF(F3821="","",INDEX(Deals!$D$2:$D$843,F3821))</f>
        <v/>
      </c>
      <c r="J3821">
        <f>IF(F3821="","",INT(H3821)-B3821)</f>
        <v/>
      </c>
      <c r="K3821">
        <f>IF(B3821&gt;=Settings!$C$5,1,0)</f>
        <v/>
      </c>
    </row>
    <row r="3822">
      <c r="A3822" t="inlineStr">
        <is>
          <t>3a3c7831e6971e28d730f410b461e8f2</t>
        </is>
      </c>
      <c r="B3822" s="29" t="n">
        <v>43108</v>
      </c>
      <c r="C3822" t="inlineStr">
        <is>
          <t>2018-01</t>
        </is>
      </c>
      <c r="D3822" t="inlineStr">
        <is>
          <t>b76ef37428e6799c421989521c0e5077</t>
        </is>
      </c>
      <c r="E3822" t="inlineStr">
        <is>
          <t>unknown</t>
        </is>
      </c>
      <c r="F3822">
        <f>IFERROR(MATCH(A3822,Deals!$A$2:$A$843,0),"")</f>
        <v/>
      </c>
      <c r="G3822">
        <f>IF(F3822="",0,1)</f>
        <v/>
      </c>
      <c r="H3822" s="29">
        <f>IF(F3822="","",INDEX(Deals!$E$2:$E$843,F3822))</f>
        <v/>
      </c>
      <c r="I3822">
        <f>IF(F3822="","",INDEX(Deals!$D$2:$D$843,F3822))</f>
        <v/>
      </c>
      <c r="J3822">
        <f>IF(F3822="","",INT(H3822)-B3822)</f>
        <v/>
      </c>
      <c r="K3822">
        <f>IF(B3822&gt;=Settings!$C$5,1,0)</f>
        <v/>
      </c>
    </row>
    <row r="3823">
      <c r="A3823" t="inlineStr">
        <is>
          <t>9375fea0a120ddcc052f02b81cde38fe</t>
        </is>
      </c>
      <c r="B3823" s="29" t="n">
        <v>43228</v>
      </c>
      <c r="C3823" t="inlineStr">
        <is>
          <t>2018-05</t>
        </is>
      </c>
      <c r="D3823" t="inlineStr">
        <is>
          <t>ce1a65abd0973638f1c887a6efcfa82d</t>
        </is>
      </c>
      <c r="E3823" t="inlineStr">
        <is>
          <t>organic_search</t>
        </is>
      </c>
      <c r="F3823">
        <f>IFERROR(MATCH(A3823,Deals!$A$2:$A$843,0),"")</f>
        <v/>
      </c>
      <c r="G3823">
        <f>IF(F3823="",0,1)</f>
        <v/>
      </c>
      <c r="H3823" s="29">
        <f>IF(F3823="","",INDEX(Deals!$E$2:$E$843,F3823))</f>
        <v/>
      </c>
      <c r="I3823">
        <f>IF(F3823="","",INDEX(Deals!$D$2:$D$843,F3823))</f>
        <v/>
      </c>
      <c r="J3823">
        <f>IF(F3823="","",INT(H3823)-B3823)</f>
        <v/>
      </c>
      <c r="K3823">
        <f>IF(B3823&gt;=Settings!$C$5,1,0)</f>
        <v/>
      </c>
    </row>
    <row r="3824">
      <c r="A3824" t="inlineStr">
        <is>
          <t>fd72ecaa23aa0a514a53c6a16eabb9c6</t>
        </is>
      </c>
      <c r="B3824" s="29" t="n">
        <v>43237</v>
      </c>
      <c r="C3824" t="inlineStr">
        <is>
          <t>2018-05</t>
        </is>
      </c>
      <c r="D3824" t="inlineStr">
        <is>
          <t>58326e62183c14b0c03085c33b9fdc44</t>
        </is>
      </c>
      <c r="E3824" t="inlineStr">
        <is>
          <t>social</t>
        </is>
      </c>
      <c r="F3824">
        <f>IFERROR(MATCH(A3824,Deals!$A$2:$A$843,0),"")</f>
        <v/>
      </c>
      <c r="G3824">
        <f>IF(F3824="",0,1)</f>
        <v/>
      </c>
      <c r="H3824" s="29">
        <f>IF(F3824="","",INDEX(Deals!$E$2:$E$843,F3824))</f>
        <v/>
      </c>
      <c r="I3824">
        <f>IF(F3824="","",INDEX(Deals!$D$2:$D$843,F3824))</f>
        <v/>
      </c>
      <c r="J3824">
        <f>IF(F3824="","",INT(H3824)-B3824)</f>
        <v/>
      </c>
      <c r="K3824">
        <f>IF(B3824&gt;=Settings!$C$5,1,0)</f>
        <v/>
      </c>
    </row>
    <row r="3825">
      <c r="A3825" t="inlineStr">
        <is>
          <t>15c437027c133cb72c4d75923fdced07</t>
        </is>
      </c>
      <c r="B3825" s="29" t="n">
        <v>43159</v>
      </c>
      <c r="C3825" t="inlineStr">
        <is>
          <t>2018-02</t>
        </is>
      </c>
      <c r="D3825" t="inlineStr">
        <is>
          <t>22c29808c4f815213303f8933030604c</t>
        </is>
      </c>
      <c r="E3825" t="inlineStr">
        <is>
          <t>organic_search</t>
        </is>
      </c>
      <c r="F3825">
        <f>IFERROR(MATCH(A3825,Deals!$A$2:$A$843,0),"")</f>
        <v/>
      </c>
      <c r="G3825">
        <f>IF(F3825="",0,1)</f>
        <v/>
      </c>
      <c r="H3825" s="29">
        <f>IF(F3825="","",INDEX(Deals!$E$2:$E$843,F3825))</f>
        <v/>
      </c>
      <c r="I3825">
        <f>IF(F3825="","",INDEX(Deals!$D$2:$D$843,F3825))</f>
        <v/>
      </c>
      <c r="J3825">
        <f>IF(F3825="","",INT(H3825)-B3825)</f>
        <v/>
      </c>
      <c r="K3825">
        <f>IF(B3825&gt;=Settings!$C$5,1,0)</f>
        <v/>
      </c>
    </row>
    <row r="3826">
      <c r="A3826" t="inlineStr">
        <is>
          <t>de356af39a1d1dc704a0978744396217</t>
        </is>
      </c>
      <c r="B3826" s="29" t="n">
        <v>43124</v>
      </c>
      <c r="C3826" t="inlineStr">
        <is>
          <t>2018-01</t>
        </is>
      </c>
      <c r="D3826" t="inlineStr">
        <is>
          <t>ce1a65abd0973638f1c887a6efcfa82d</t>
        </is>
      </c>
      <c r="E3826" t="inlineStr">
        <is>
          <t>unknown</t>
        </is>
      </c>
      <c r="F3826">
        <f>IFERROR(MATCH(A3826,Deals!$A$2:$A$843,0),"")</f>
        <v/>
      </c>
      <c r="G3826">
        <f>IF(F3826="",0,1)</f>
        <v/>
      </c>
      <c r="H3826" s="29">
        <f>IF(F3826="","",INDEX(Deals!$E$2:$E$843,F3826))</f>
        <v/>
      </c>
      <c r="I3826">
        <f>IF(F3826="","",INDEX(Deals!$D$2:$D$843,F3826))</f>
        <v/>
      </c>
      <c r="J3826">
        <f>IF(F3826="","",INT(H3826)-B3826)</f>
        <v/>
      </c>
      <c r="K3826">
        <f>IF(B3826&gt;=Settings!$C$5,1,0)</f>
        <v/>
      </c>
    </row>
    <row r="3827">
      <c r="A3827" t="inlineStr">
        <is>
          <t>e3d014616e4c0c25acd6952731940be7</t>
        </is>
      </c>
      <c r="B3827" s="29" t="n">
        <v>43180</v>
      </c>
      <c r="C3827" t="inlineStr">
        <is>
          <t>2018-03</t>
        </is>
      </c>
      <c r="D3827" t="inlineStr">
        <is>
          <t>e492ee5eaf1697716985cc6f33f9cd9b</t>
        </is>
      </c>
      <c r="E3827" t="inlineStr">
        <is>
          <t>organic_search</t>
        </is>
      </c>
      <c r="F3827">
        <f>IFERROR(MATCH(A3827,Deals!$A$2:$A$843,0),"")</f>
        <v/>
      </c>
      <c r="G3827">
        <f>IF(F3827="",0,1)</f>
        <v/>
      </c>
      <c r="H3827" s="29">
        <f>IF(F3827="","",INDEX(Deals!$E$2:$E$843,F3827))</f>
        <v/>
      </c>
      <c r="I3827">
        <f>IF(F3827="","",INDEX(Deals!$D$2:$D$843,F3827))</f>
        <v/>
      </c>
      <c r="J3827">
        <f>IF(F3827="","",INT(H3827)-B3827)</f>
        <v/>
      </c>
      <c r="K3827">
        <f>IF(B3827&gt;=Settings!$C$5,1,0)</f>
        <v/>
      </c>
    </row>
    <row r="3828">
      <c r="A3828" t="inlineStr">
        <is>
          <t>621461af90cadfdaf0e8d4cc25129f91</t>
        </is>
      </c>
      <c r="B3828" s="29" t="n">
        <v>43192</v>
      </c>
      <c r="C3828" t="inlineStr">
        <is>
          <t>2018-04</t>
        </is>
      </c>
      <c r="D3828" t="inlineStr">
        <is>
          <t>c6f28f804cf6330e6de735ef6e6fe95c</t>
        </is>
      </c>
      <c r="E3828" t="inlineStr">
        <is>
          <t>(missing)</t>
        </is>
      </c>
      <c r="F3828">
        <f>IFERROR(MATCH(A3828,Deals!$A$2:$A$843,0),"")</f>
        <v/>
      </c>
      <c r="G3828">
        <f>IF(F3828="",0,1)</f>
        <v/>
      </c>
      <c r="H3828" s="29">
        <f>IF(F3828="","",INDEX(Deals!$E$2:$E$843,F3828))</f>
        <v/>
      </c>
      <c r="I3828">
        <f>IF(F3828="","",INDEX(Deals!$D$2:$D$843,F3828))</f>
        <v/>
      </c>
      <c r="J3828">
        <f>IF(F3828="","",INT(H3828)-B3828)</f>
        <v/>
      </c>
      <c r="K3828">
        <f>IF(B3828&gt;=Settings!$C$5,1,0)</f>
        <v/>
      </c>
    </row>
    <row r="3829">
      <c r="A3829" t="inlineStr">
        <is>
          <t>ff2eddb9f95fc26f5a3d08f1a77e6f82</t>
        </is>
      </c>
      <c r="B3829" s="29" t="n">
        <v>43158</v>
      </c>
      <c r="C3829" t="inlineStr">
        <is>
          <t>2018-02</t>
        </is>
      </c>
      <c r="D3829" t="inlineStr">
        <is>
          <t>b76ef37428e6799c421989521c0e5077</t>
        </is>
      </c>
      <c r="E3829" t="inlineStr">
        <is>
          <t>paid_search</t>
        </is>
      </c>
      <c r="F3829">
        <f>IFERROR(MATCH(A3829,Deals!$A$2:$A$843,0),"")</f>
        <v/>
      </c>
      <c r="G3829">
        <f>IF(F3829="",0,1)</f>
        <v/>
      </c>
      <c r="H3829" s="29">
        <f>IF(F3829="","",INDEX(Deals!$E$2:$E$843,F3829))</f>
        <v/>
      </c>
      <c r="I3829">
        <f>IF(F3829="","",INDEX(Deals!$D$2:$D$843,F3829))</f>
        <v/>
      </c>
      <c r="J3829">
        <f>IF(F3829="","",INT(H3829)-B3829)</f>
        <v/>
      </c>
      <c r="K3829">
        <f>IF(B3829&gt;=Settings!$C$5,1,0)</f>
        <v/>
      </c>
    </row>
    <row r="3830">
      <c r="A3830" t="inlineStr">
        <is>
          <t>571c1d710d8043bd13f130fbfe335ba2</t>
        </is>
      </c>
      <c r="B3830" s="29" t="n">
        <v>43103</v>
      </c>
      <c r="C3830" t="inlineStr">
        <is>
          <t>2018-01</t>
        </is>
      </c>
      <c r="D3830" t="inlineStr">
        <is>
          <t>f98c2bd96ac4a5d9476734e790c91384</t>
        </is>
      </c>
      <c r="E3830" t="inlineStr">
        <is>
          <t>direct_traffic</t>
        </is>
      </c>
      <c r="F3830">
        <f>IFERROR(MATCH(A3830,Deals!$A$2:$A$843,0),"")</f>
        <v/>
      </c>
      <c r="G3830">
        <f>IF(F3830="",0,1)</f>
        <v/>
      </c>
      <c r="H3830" s="29">
        <f>IF(F3830="","",INDEX(Deals!$E$2:$E$843,F3830))</f>
        <v/>
      </c>
      <c r="I3830">
        <f>IF(F3830="","",INDEX(Deals!$D$2:$D$843,F3830))</f>
        <v/>
      </c>
      <c r="J3830">
        <f>IF(F3830="","",INT(H3830)-B3830)</f>
        <v/>
      </c>
      <c r="K3830">
        <f>IF(B3830&gt;=Settings!$C$5,1,0)</f>
        <v/>
      </c>
    </row>
    <row r="3831">
      <c r="A3831" t="inlineStr">
        <is>
          <t>fbd60b136e90edeee0ed662a53a7a41c</t>
        </is>
      </c>
      <c r="B3831" s="29" t="n">
        <v>43241</v>
      </c>
      <c r="C3831" t="inlineStr">
        <is>
          <t>2018-05</t>
        </is>
      </c>
      <c r="D3831" t="inlineStr">
        <is>
          <t>22c29808c4f815213303f8933030604c</t>
        </is>
      </c>
      <c r="E3831" t="inlineStr">
        <is>
          <t>direct_traffic</t>
        </is>
      </c>
      <c r="F3831">
        <f>IFERROR(MATCH(A3831,Deals!$A$2:$A$843,0),"")</f>
        <v/>
      </c>
      <c r="G3831">
        <f>IF(F3831="",0,1)</f>
        <v/>
      </c>
      <c r="H3831" s="29">
        <f>IF(F3831="","",INDEX(Deals!$E$2:$E$843,F3831))</f>
        <v/>
      </c>
      <c r="I3831">
        <f>IF(F3831="","",INDEX(Deals!$D$2:$D$843,F3831))</f>
        <v/>
      </c>
      <c r="J3831">
        <f>IF(F3831="","",INT(H3831)-B3831)</f>
        <v/>
      </c>
      <c r="K3831">
        <f>IF(B3831&gt;=Settings!$C$5,1,0)</f>
        <v/>
      </c>
    </row>
    <row r="3832">
      <c r="A3832" t="inlineStr">
        <is>
          <t>2f6abd819fde7defc29b69f7fb2d9fb6</t>
        </is>
      </c>
      <c r="B3832" s="29" t="n">
        <v>43156</v>
      </c>
      <c r="C3832" t="inlineStr">
        <is>
          <t>2018-02</t>
        </is>
      </c>
      <c r="D3832" t="inlineStr">
        <is>
          <t>88740e65d5d6b056e0cda098e1ea6313</t>
        </is>
      </c>
      <c r="E3832" t="inlineStr">
        <is>
          <t>social</t>
        </is>
      </c>
      <c r="F3832">
        <f>IFERROR(MATCH(A3832,Deals!$A$2:$A$843,0),"")</f>
        <v/>
      </c>
      <c r="G3832">
        <f>IF(F3832="",0,1)</f>
        <v/>
      </c>
      <c r="H3832" s="29">
        <f>IF(F3832="","",INDEX(Deals!$E$2:$E$843,F3832))</f>
        <v/>
      </c>
      <c r="I3832">
        <f>IF(F3832="","",INDEX(Deals!$D$2:$D$843,F3832))</f>
        <v/>
      </c>
      <c r="J3832">
        <f>IF(F3832="","",INT(H3832)-B3832)</f>
        <v/>
      </c>
      <c r="K3832">
        <f>IF(B3832&gt;=Settings!$C$5,1,0)</f>
        <v/>
      </c>
    </row>
    <row r="3833">
      <c r="A3833" t="inlineStr">
        <is>
          <t>3da19335c0dfd2c484d977ca16bfebd2</t>
        </is>
      </c>
      <c r="B3833" s="29" t="n">
        <v>43172</v>
      </c>
      <c r="C3833" t="inlineStr">
        <is>
          <t>2018-03</t>
        </is>
      </c>
      <c r="D3833" t="inlineStr">
        <is>
          <t>ce1a65abd0973638f1c887a6efcfa82d</t>
        </is>
      </c>
      <c r="E3833" t="inlineStr">
        <is>
          <t>direct_traffic</t>
        </is>
      </c>
      <c r="F3833">
        <f>IFERROR(MATCH(A3833,Deals!$A$2:$A$843,0),"")</f>
        <v/>
      </c>
      <c r="G3833">
        <f>IF(F3833="",0,1)</f>
        <v/>
      </c>
      <c r="H3833" s="29">
        <f>IF(F3833="","",INDEX(Deals!$E$2:$E$843,F3833))</f>
        <v/>
      </c>
      <c r="I3833">
        <f>IF(F3833="","",INDEX(Deals!$D$2:$D$843,F3833))</f>
        <v/>
      </c>
      <c r="J3833">
        <f>IF(F3833="","",INT(H3833)-B3833)</f>
        <v/>
      </c>
      <c r="K3833">
        <f>IF(B3833&gt;=Settings!$C$5,1,0)</f>
        <v/>
      </c>
    </row>
    <row r="3834">
      <c r="A3834" t="inlineStr">
        <is>
          <t>19cfec4e0d8b27a83c4f50ff8305455c</t>
        </is>
      </c>
      <c r="B3834" s="29" t="n">
        <v>43229</v>
      </c>
      <c r="C3834" t="inlineStr">
        <is>
          <t>2018-05</t>
        </is>
      </c>
      <c r="D3834" t="inlineStr">
        <is>
          <t>607cb942712956d9e5cca504365378c0</t>
        </is>
      </c>
      <c r="E3834" t="inlineStr">
        <is>
          <t>social</t>
        </is>
      </c>
      <c r="F3834">
        <f>IFERROR(MATCH(A3834,Deals!$A$2:$A$843,0),"")</f>
        <v/>
      </c>
      <c r="G3834">
        <f>IF(F3834="",0,1)</f>
        <v/>
      </c>
      <c r="H3834" s="29">
        <f>IF(F3834="","",INDEX(Deals!$E$2:$E$843,F3834))</f>
        <v/>
      </c>
      <c r="I3834">
        <f>IF(F3834="","",INDEX(Deals!$D$2:$D$843,F3834))</f>
        <v/>
      </c>
      <c r="J3834">
        <f>IF(F3834="","",INT(H3834)-B3834)</f>
        <v/>
      </c>
      <c r="K3834">
        <f>IF(B3834&gt;=Settings!$C$5,1,0)</f>
        <v/>
      </c>
    </row>
    <row r="3835">
      <c r="A3835" t="inlineStr">
        <is>
          <t>7318634fbf3172a58af7c638ddc76184</t>
        </is>
      </c>
      <c r="B3835" s="29" t="n">
        <v>43210</v>
      </c>
      <c r="C3835" t="inlineStr">
        <is>
          <t>2018-04</t>
        </is>
      </c>
      <c r="D3835" t="inlineStr">
        <is>
          <t>fa5a0151e1f37d0055a3478fbb48827a</t>
        </is>
      </c>
      <c r="E3835" t="inlineStr">
        <is>
          <t>organic_search</t>
        </is>
      </c>
      <c r="F3835">
        <f>IFERROR(MATCH(A3835,Deals!$A$2:$A$843,0),"")</f>
        <v/>
      </c>
      <c r="G3835">
        <f>IF(F3835="",0,1)</f>
        <v/>
      </c>
      <c r="H3835" s="29">
        <f>IF(F3835="","",INDEX(Deals!$E$2:$E$843,F3835))</f>
        <v/>
      </c>
      <c r="I3835">
        <f>IF(F3835="","",INDEX(Deals!$D$2:$D$843,F3835))</f>
        <v/>
      </c>
      <c r="J3835">
        <f>IF(F3835="","",INT(H3835)-B3835)</f>
        <v/>
      </c>
      <c r="K3835">
        <f>IF(B3835&gt;=Settings!$C$5,1,0)</f>
        <v/>
      </c>
    </row>
    <row r="3836">
      <c r="A3836" t="inlineStr">
        <is>
          <t>963637be23e343ea96024053fdecd723</t>
        </is>
      </c>
      <c r="B3836" s="29" t="n">
        <v>43198</v>
      </c>
      <c r="C3836" t="inlineStr">
        <is>
          <t>2018-04</t>
        </is>
      </c>
      <c r="D3836" t="inlineStr">
        <is>
          <t>22c29808c4f815213303f8933030604c</t>
        </is>
      </c>
      <c r="E3836" t="inlineStr">
        <is>
          <t>organic_search</t>
        </is>
      </c>
      <c r="F3836">
        <f>IFERROR(MATCH(A3836,Deals!$A$2:$A$843,0),"")</f>
        <v/>
      </c>
      <c r="G3836">
        <f>IF(F3836="",0,1)</f>
        <v/>
      </c>
      <c r="H3836" s="29">
        <f>IF(F3836="","",INDEX(Deals!$E$2:$E$843,F3836))</f>
        <v/>
      </c>
      <c r="I3836">
        <f>IF(F3836="","",INDEX(Deals!$D$2:$D$843,F3836))</f>
        <v/>
      </c>
      <c r="J3836">
        <f>IF(F3836="","",INT(H3836)-B3836)</f>
        <v/>
      </c>
      <c r="K3836">
        <f>IF(B3836&gt;=Settings!$C$5,1,0)</f>
        <v/>
      </c>
    </row>
    <row r="3837">
      <c r="A3837" t="inlineStr">
        <is>
          <t>fd6052d4a1153f0cfb12aa6ff1a39a97</t>
        </is>
      </c>
      <c r="B3837" s="29" t="n">
        <v>43242</v>
      </c>
      <c r="C3837" t="inlineStr">
        <is>
          <t>2018-05</t>
        </is>
      </c>
      <c r="D3837" t="inlineStr">
        <is>
          <t>22c29808c4f815213303f8933030604c</t>
        </is>
      </c>
      <c r="E3837" t="inlineStr">
        <is>
          <t>referral</t>
        </is>
      </c>
      <c r="F3837">
        <f>IFERROR(MATCH(A3837,Deals!$A$2:$A$843,0),"")</f>
        <v/>
      </c>
      <c r="G3837">
        <f>IF(F3837="",0,1)</f>
        <v/>
      </c>
      <c r="H3837" s="29">
        <f>IF(F3837="","",INDEX(Deals!$E$2:$E$843,F3837))</f>
        <v/>
      </c>
      <c r="I3837">
        <f>IF(F3837="","",INDEX(Deals!$D$2:$D$843,F3837))</f>
        <v/>
      </c>
      <c r="J3837">
        <f>IF(F3837="","",INT(H3837)-B3837)</f>
        <v/>
      </c>
      <c r="K3837">
        <f>IF(B3837&gt;=Settings!$C$5,1,0)</f>
        <v/>
      </c>
    </row>
    <row r="3838">
      <c r="A3838" t="inlineStr">
        <is>
          <t>92ebe03166d8ff4b2bbd06077f92fb79</t>
        </is>
      </c>
      <c r="B3838" s="29" t="n">
        <v>43227</v>
      </c>
      <c r="C3838" t="inlineStr">
        <is>
          <t>2018-05</t>
        </is>
      </c>
      <c r="D3838" t="inlineStr">
        <is>
          <t>e492ee5eaf1697716985cc6f33f9cd9b</t>
        </is>
      </c>
      <c r="E3838" t="inlineStr">
        <is>
          <t>social</t>
        </is>
      </c>
      <c r="F3838">
        <f>IFERROR(MATCH(A3838,Deals!$A$2:$A$843,0),"")</f>
        <v/>
      </c>
      <c r="G3838">
        <f>IF(F3838="",0,1)</f>
        <v/>
      </c>
      <c r="H3838" s="29">
        <f>IF(F3838="","",INDEX(Deals!$E$2:$E$843,F3838))</f>
        <v/>
      </c>
      <c r="I3838">
        <f>IF(F3838="","",INDEX(Deals!$D$2:$D$843,F3838))</f>
        <v/>
      </c>
      <c r="J3838">
        <f>IF(F3838="","",INT(H3838)-B3838)</f>
        <v/>
      </c>
      <c r="K3838">
        <f>IF(B3838&gt;=Settings!$C$5,1,0)</f>
        <v/>
      </c>
    </row>
    <row r="3839">
      <c r="A3839" t="inlineStr">
        <is>
          <t>811930840553fd53ac0a0b37d2ccf62a</t>
        </is>
      </c>
      <c r="B3839" s="29" t="n">
        <v>43120</v>
      </c>
      <c r="C3839" t="inlineStr">
        <is>
          <t>2018-01</t>
        </is>
      </c>
      <c r="D3839" t="inlineStr">
        <is>
          <t>88740e65d5d6b056e0cda098e1ea6313</t>
        </is>
      </c>
      <c r="E3839" t="inlineStr">
        <is>
          <t>social</t>
        </is>
      </c>
      <c r="F3839">
        <f>IFERROR(MATCH(A3839,Deals!$A$2:$A$843,0),"")</f>
        <v/>
      </c>
      <c r="G3839">
        <f>IF(F3839="",0,1)</f>
        <v/>
      </c>
      <c r="H3839" s="29">
        <f>IF(F3839="","",INDEX(Deals!$E$2:$E$843,F3839))</f>
        <v/>
      </c>
      <c r="I3839">
        <f>IF(F3839="","",INDEX(Deals!$D$2:$D$843,F3839))</f>
        <v/>
      </c>
      <c r="J3839">
        <f>IF(F3839="","",INT(H3839)-B3839)</f>
        <v/>
      </c>
      <c r="K3839">
        <f>IF(B3839&gt;=Settings!$C$5,1,0)</f>
        <v/>
      </c>
    </row>
    <row r="3840">
      <c r="A3840" t="inlineStr">
        <is>
          <t>5f010fad6c00df05938cc531126614c7</t>
        </is>
      </c>
      <c r="B3840" s="29" t="n">
        <v>43229</v>
      </c>
      <c r="C3840" t="inlineStr">
        <is>
          <t>2018-05</t>
        </is>
      </c>
      <c r="D3840" t="inlineStr">
        <is>
          <t>5dc848e7dd9418dffe183215b8ff0bc1</t>
        </is>
      </c>
      <c r="E3840" t="inlineStr">
        <is>
          <t>paid_search</t>
        </is>
      </c>
      <c r="F3840">
        <f>IFERROR(MATCH(A3840,Deals!$A$2:$A$843,0),"")</f>
        <v/>
      </c>
      <c r="G3840">
        <f>IF(F3840="",0,1)</f>
        <v/>
      </c>
      <c r="H3840" s="29">
        <f>IF(F3840="","",INDEX(Deals!$E$2:$E$843,F3840))</f>
        <v/>
      </c>
      <c r="I3840">
        <f>IF(F3840="","",INDEX(Deals!$D$2:$D$843,F3840))</f>
        <v/>
      </c>
      <c r="J3840">
        <f>IF(F3840="","",INT(H3840)-B3840)</f>
        <v/>
      </c>
      <c r="K3840">
        <f>IF(B3840&gt;=Settings!$C$5,1,0)</f>
        <v/>
      </c>
    </row>
    <row r="3841">
      <c r="A3841" t="inlineStr">
        <is>
          <t>941cd9fc8182892c91ed6ea4c33909d0</t>
        </is>
      </c>
      <c r="B3841" s="29" t="n">
        <v>43214</v>
      </c>
      <c r="C3841" t="inlineStr">
        <is>
          <t>2018-04</t>
        </is>
      </c>
      <c r="D3841" t="inlineStr">
        <is>
          <t>d56c0ae91aedcc9cfeef770826b73ec8</t>
        </is>
      </c>
      <c r="E3841" t="inlineStr">
        <is>
          <t>social</t>
        </is>
      </c>
      <c r="F3841">
        <f>IFERROR(MATCH(A3841,Deals!$A$2:$A$843,0),"")</f>
        <v/>
      </c>
      <c r="G3841">
        <f>IF(F3841="",0,1)</f>
        <v/>
      </c>
      <c r="H3841" s="29">
        <f>IF(F3841="","",INDEX(Deals!$E$2:$E$843,F3841))</f>
        <v/>
      </c>
      <c r="I3841">
        <f>IF(F3841="","",INDEX(Deals!$D$2:$D$843,F3841))</f>
        <v/>
      </c>
      <c r="J3841">
        <f>IF(F3841="","",INT(H3841)-B3841)</f>
        <v/>
      </c>
      <c r="K3841">
        <f>IF(B3841&gt;=Settings!$C$5,1,0)</f>
        <v/>
      </c>
    </row>
    <row r="3842">
      <c r="A3842" t="inlineStr">
        <is>
          <t>9a0ee07cccaf34531e452c4775245b1f</t>
        </is>
      </c>
      <c r="B3842" s="29" t="n">
        <v>43167</v>
      </c>
      <c r="C3842" t="inlineStr">
        <is>
          <t>2018-03</t>
        </is>
      </c>
      <c r="D3842" t="inlineStr">
        <is>
          <t>b76ef37428e6799c421989521c0e5077</t>
        </is>
      </c>
      <c r="E3842" t="inlineStr">
        <is>
          <t>unknown</t>
        </is>
      </c>
      <c r="F3842">
        <f>IFERROR(MATCH(A3842,Deals!$A$2:$A$843,0),"")</f>
        <v/>
      </c>
      <c r="G3842">
        <f>IF(F3842="",0,1)</f>
        <v/>
      </c>
      <c r="H3842" s="29">
        <f>IF(F3842="","",INDEX(Deals!$E$2:$E$843,F3842))</f>
        <v/>
      </c>
      <c r="I3842">
        <f>IF(F3842="","",INDEX(Deals!$D$2:$D$843,F3842))</f>
        <v/>
      </c>
      <c r="J3842">
        <f>IF(F3842="","",INT(H3842)-B3842)</f>
        <v/>
      </c>
      <c r="K3842">
        <f>IF(B3842&gt;=Settings!$C$5,1,0)</f>
        <v/>
      </c>
    </row>
    <row r="3843">
      <c r="A3843" t="inlineStr">
        <is>
          <t>715e98cd2f75903bddcc8c953a5617f8</t>
        </is>
      </c>
      <c r="B3843" s="29" t="n">
        <v>43171</v>
      </c>
      <c r="C3843" t="inlineStr">
        <is>
          <t>2018-03</t>
        </is>
      </c>
      <c r="D3843" t="inlineStr">
        <is>
          <t>8dcb4a581ceca6be2399a15de4d39048</t>
        </is>
      </c>
      <c r="E3843" t="inlineStr">
        <is>
          <t>unknown</t>
        </is>
      </c>
      <c r="F3843">
        <f>IFERROR(MATCH(A3843,Deals!$A$2:$A$843,0),"")</f>
        <v/>
      </c>
      <c r="G3843">
        <f>IF(F3843="",0,1)</f>
        <v/>
      </c>
      <c r="H3843" s="29">
        <f>IF(F3843="","",INDEX(Deals!$E$2:$E$843,F3843))</f>
        <v/>
      </c>
      <c r="I3843">
        <f>IF(F3843="","",INDEX(Deals!$D$2:$D$843,F3843))</f>
        <v/>
      </c>
      <c r="J3843">
        <f>IF(F3843="","",INT(H3843)-B3843)</f>
        <v/>
      </c>
      <c r="K3843">
        <f>IF(B3843&gt;=Settings!$C$5,1,0)</f>
        <v/>
      </c>
    </row>
    <row r="3844">
      <c r="A3844" t="inlineStr">
        <is>
          <t>1a9208152ed08d8268713b13ae9fd192</t>
        </is>
      </c>
      <c r="B3844" s="29" t="n">
        <v>43181</v>
      </c>
      <c r="C3844" t="inlineStr">
        <is>
          <t>2018-03</t>
        </is>
      </c>
      <c r="D3844" t="inlineStr">
        <is>
          <t>58326e62183c14b0c03085c33b9fdc44</t>
        </is>
      </c>
      <c r="E3844" t="inlineStr">
        <is>
          <t>social</t>
        </is>
      </c>
      <c r="F3844">
        <f>IFERROR(MATCH(A3844,Deals!$A$2:$A$843,0),"")</f>
        <v/>
      </c>
      <c r="G3844">
        <f>IF(F3844="",0,1)</f>
        <v/>
      </c>
      <c r="H3844" s="29">
        <f>IF(F3844="","",INDEX(Deals!$E$2:$E$843,F3844))</f>
        <v/>
      </c>
      <c r="I3844">
        <f>IF(F3844="","",INDEX(Deals!$D$2:$D$843,F3844))</f>
        <v/>
      </c>
      <c r="J3844">
        <f>IF(F3844="","",INT(H3844)-B3844)</f>
        <v/>
      </c>
      <c r="K3844">
        <f>IF(B3844&gt;=Settings!$C$5,1,0)</f>
        <v/>
      </c>
    </row>
    <row r="3845">
      <c r="A3845" t="inlineStr">
        <is>
          <t>dc6e893527686cc9411aa13791a0c247</t>
        </is>
      </c>
      <c r="B3845" s="29" t="n">
        <v>43059</v>
      </c>
      <c r="C3845" t="inlineStr">
        <is>
          <t>2017-11</t>
        </is>
      </c>
      <c r="D3845" t="inlineStr">
        <is>
          <t>65d9f9d71e562365e8b44037c2888d98</t>
        </is>
      </c>
      <c r="E3845" t="inlineStr">
        <is>
          <t>email</t>
        </is>
      </c>
      <c r="F3845">
        <f>IFERROR(MATCH(A3845,Deals!$A$2:$A$843,0),"")</f>
        <v/>
      </c>
      <c r="G3845">
        <f>IF(F3845="",0,1)</f>
        <v/>
      </c>
      <c r="H3845" s="29">
        <f>IF(F3845="","",INDEX(Deals!$E$2:$E$843,F3845))</f>
        <v/>
      </c>
      <c r="I3845">
        <f>IF(F3845="","",INDEX(Deals!$D$2:$D$843,F3845))</f>
        <v/>
      </c>
      <c r="J3845">
        <f>IF(F3845="","",INT(H3845)-B3845)</f>
        <v/>
      </c>
      <c r="K3845">
        <f>IF(B3845&gt;=Settings!$C$5,1,0)</f>
        <v/>
      </c>
    </row>
    <row r="3846">
      <c r="A3846" t="inlineStr">
        <is>
          <t>0135597642178aed62486ddc02136617</t>
        </is>
      </c>
      <c r="B3846" s="29" t="n">
        <v>43209</v>
      </c>
      <c r="C3846" t="inlineStr">
        <is>
          <t>2018-04</t>
        </is>
      </c>
      <c r="D3846" t="inlineStr">
        <is>
          <t>35c9b150ab36fe584c1f24fd458c453a</t>
        </is>
      </c>
      <c r="E3846" t="inlineStr">
        <is>
          <t>paid_search</t>
        </is>
      </c>
      <c r="F3846">
        <f>IFERROR(MATCH(A3846,Deals!$A$2:$A$843,0),"")</f>
        <v/>
      </c>
      <c r="G3846">
        <f>IF(F3846="",0,1)</f>
        <v/>
      </c>
      <c r="H3846" s="29">
        <f>IF(F3846="","",INDEX(Deals!$E$2:$E$843,F3846))</f>
        <v/>
      </c>
      <c r="I3846">
        <f>IF(F3846="","",INDEX(Deals!$D$2:$D$843,F3846))</f>
        <v/>
      </c>
      <c r="J3846">
        <f>IF(F3846="","",INT(H3846)-B3846)</f>
        <v/>
      </c>
      <c r="K3846">
        <f>IF(B3846&gt;=Settings!$C$5,1,0)</f>
        <v/>
      </c>
    </row>
    <row r="3847">
      <c r="A3847" t="inlineStr">
        <is>
          <t>01b3296a89ddb57db8da17f47e7296b3</t>
        </is>
      </c>
      <c r="B3847" s="29" t="n">
        <v>43225</v>
      </c>
      <c r="C3847" t="inlineStr">
        <is>
          <t>2018-05</t>
        </is>
      </c>
      <c r="D3847" t="inlineStr">
        <is>
          <t>42a2a1be58277f162c18bad69bcc544f</t>
        </is>
      </c>
      <c r="E3847" t="inlineStr">
        <is>
          <t>organic_search</t>
        </is>
      </c>
      <c r="F3847">
        <f>IFERROR(MATCH(A3847,Deals!$A$2:$A$843,0),"")</f>
        <v/>
      </c>
      <c r="G3847">
        <f>IF(F3847="",0,1)</f>
        <v/>
      </c>
      <c r="H3847" s="29">
        <f>IF(F3847="","",INDEX(Deals!$E$2:$E$843,F3847))</f>
        <v/>
      </c>
      <c r="I3847">
        <f>IF(F3847="","",INDEX(Deals!$D$2:$D$843,F3847))</f>
        <v/>
      </c>
      <c r="J3847">
        <f>IF(F3847="","",INT(H3847)-B3847)</f>
        <v/>
      </c>
      <c r="K3847">
        <f>IF(B3847&gt;=Settings!$C$5,1,0)</f>
        <v/>
      </c>
    </row>
    <row r="3848">
      <c r="A3848" t="inlineStr">
        <is>
          <t>9b4e84017d08b6576f1282367901c964</t>
        </is>
      </c>
      <c r="B3848" s="29" t="n">
        <v>43144</v>
      </c>
      <c r="C3848" t="inlineStr">
        <is>
          <t>2018-02</t>
        </is>
      </c>
      <c r="D3848" t="inlineStr">
        <is>
          <t>b76ef37428e6799c421989521c0e5077</t>
        </is>
      </c>
      <c r="E3848" t="inlineStr">
        <is>
          <t>unknown</t>
        </is>
      </c>
      <c r="F3848">
        <f>IFERROR(MATCH(A3848,Deals!$A$2:$A$843,0),"")</f>
        <v/>
      </c>
      <c r="G3848">
        <f>IF(F3848="",0,1)</f>
        <v/>
      </c>
      <c r="H3848" s="29">
        <f>IF(F3848="","",INDEX(Deals!$E$2:$E$843,F3848))</f>
        <v/>
      </c>
      <c r="I3848">
        <f>IF(F3848="","",INDEX(Deals!$D$2:$D$843,F3848))</f>
        <v/>
      </c>
      <c r="J3848">
        <f>IF(F3848="","",INT(H3848)-B3848)</f>
        <v/>
      </c>
      <c r="K3848">
        <f>IF(B3848&gt;=Settings!$C$5,1,0)</f>
        <v/>
      </c>
    </row>
    <row r="3849">
      <c r="A3849" t="inlineStr">
        <is>
          <t>3d95a7881b75010c3934a504104818ba</t>
        </is>
      </c>
      <c r="B3849" s="29" t="n">
        <v>43045</v>
      </c>
      <c r="C3849" t="inlineStr">
        <is>
          <t>2017-11</t>
        </is>
      </c>
      <c r="D3849" t="inlineStr">
        <is>
          <t>a7982125ff7aa3b2054c6e44f9d28522</t>
        </is>
      </c>
      <c r="E3849" t="inlineStr">
        <is>
          <t>organic_search</t>
        </is>
      </c>
      <c r="F3849">
        <f>IFERROR(MATCH(A3849,Deals!$A$2:$A$843,0),"")</f>
        <v/>
      </c>
      <c r="G3849">
        <f>IF(F3849="",0,1)</f>
        <v/>
      </c>
      <c r="H3849" s="29">
        <f>IF(F3849="","",INDEX(Deals!$E$2:$E$843,F3849))</f>
        <v/>
      </c>
      <c r="I3849">
        <f>IF(F3849="","",INDEX(Deals!$D$2:$D$843,F3849))</f>
        <v/>
      </c>
      <c r="J3849">
        <f>IF(F3849="","",INT(H3849)-B3849)</f>
        <v/>
      </c>
      <c r="K3849">
        <f>IF(B3849&gt;=Settings!$C$5,1,0)</f>
        <v/>
      </c>
    </row>
    <row r="3850">
      <c r="A3850" t="inlineStr">
        <is>
          <t>74273b6fe30e1cc484ef94ebd2baf199</t>
        </is>
      </c>
      <c r="B3850" s="29" t="n">
        <v>43232</v>
      </c>
      <c r="C3850" t="inlineStr">
        <is>
          <t>2018-05</t>
        </is>
      </c>
      <c r="D3850" t="inlineStr">
        <is>
          <t>22c29808c4f815213303f8933030604c</t>
        </is>
      </c>
      <c r="E3850" t="inlineStr">
        <is>
          <t>organic_search</t>
        </is>
      </c>
      <c r="F3850">
        <f>IFERROR(MATCH(A3850,Deals!$A$2:$A$843,0),"")</f>
        <v/>
      </c>
      <c r="G3850">
        <f>IF(F3850="",0,1)</f>
        <v/>
      </c>
      <c r="H3850" s="29">
        <f>IF(F3850="","",INDEX(Deals!$E$2:$E$843,F3850))</f>
        <v/>
      </c>
      <c r="I3850">
        <f>IF(F3850="","",INDEX(Deals!$D$2:$D$843,F3850))</f>
        <v/>
      </c>
      <c r="J3850">
        <f>IF(F3850="","",INT(H3850)-B3850)</f>
        <v/>
      </c>
      <c r="K3850">
        <f>IF(B3850&gt;=Settings!$C$5,1,0)</f>
        <v/>
      </c>
    </row>
    <row r="3851">
      <c r="A3851" t="inlineStr">
        <is>
          <t>c69657b504b93b9e403e6b3f34aaa3e7</t>
        </is>
      </c>
      <c r="B3851" s="29" t="n">
        <v>43047</v>
      </c>
      <c r="C3851" t="inlineStr">
        <is>
          <t>2017-11</t>
        </is>
      </c>
      <c r="D3851" t="inlineStr">
        <is>
          <t>1722481ac9e5371e5099dea226b5421d</t>
        </is>
      </c>
      <c r="E3851" t="inlineStr">
        <is>
          <t>paid_search</t>
        </is>
      </c>
      <c r="F3851">
        <f>IFERROR(MATCH(A3851,Deals!$A$2:$A$843,0),"")</f>
        <v/>
      </c>
      <c r="G3851">
        <f>IF(F3851="",0,1)</f>
        <v/>
      </c>
      <c r="H3851" s="29">
        <f>IF(F3851="","",INDEX(Deals!$E$2:$E$843,F3851))</f>
        <v/>
      </c>
      <c r="I3851">
        <f>IF(F3851="","",INDEX(Deals!$D$2:$D$843,F3851))</f>
        <v/>
      </c>
      <c r="J3851">
        <f>IF(F3851="","",INT(H3851)-B3851)</f>
        <v/>
      </c>
      <c r="K3851">
        <f>IF(B3851&gt;=Settings!$C$5,1,0)</f>
        <v/>
      </c>
    </row>
    <row r="3852">
      <c r="A3852" t="inlineStr">
        <is>
          <t>7a978e6c2cb707c0142a2a414bbfc4a8</t>
        </is>
      </c>
      <c r="B3852" s="29" t="n">
        <v>43172</v>
      </c>
      <c r="C3852" t="inlineStr">
        <is>
          <t>2018-03</t>
        </is>
      </c>
      <c r="D3852" t="inlineStr">
        <is>
          <t>0218f6be0b76aca72ab4d00ee9e8cf10</t>
        </is>
      </c>
      <c r="E3852" t="inlineStr">
        <is>
          <t>paid_search</t>
        </is>
      </c>
      <c r="F3852">
        <f>IFERROR(MATCH(A3852,Deals!$A$2:$A$843,0),"")</f>
        <v/>
      </c>
      <c r="G3852">
        <f>IF(F3852="",0,1)</f>
        <v/>
      </c>
      <c r="H3852" s="29">
        <f>IF(F3852="","",INDEX(Deals!$E$2:$E$843,F3852))</f>
        <v/>
      </c>
      <c r="I3852">
        <f>IF(F3852="","",INDEX(Deals!$D$2:$D$843,F3852))</f>
        <v/>
      </c>
      <c r="J3852">
        <f>IF(F3852="","",INT(H3852)-B3852)</f>
        <v/>
      </c>
      <c r="K3852">
        <f>IF(B3852&gt;=Settings!$C$5,1,0)</f>
        <v/>
      </c>
    </row>
    <row r="3853">
      <c r="A3853" t="inlineStr">
        <is>
          <t>b5e10fae51d0cbda8537039a6a484fc6</t>
        </is>
      </c>
      <c r="B3853" s="29" t="n">
        <v>43237</v>
      </c>
      <c r="C3853" t="inlineStr">
        <is>
          <t>2018-05</t>
        </is>
      </c>
      <c r="D3853" t="inlineStr">
        <is>
          <t>6a110e795dd487f1cf8d7583671987af</t>
        </is>
      </c>
      <c r="E3853" t="inlineStr">
        <is>
          <t>email</t>
        </is>
      </c>
      <c r="F3853">
        <f>IFERROR(MATCH(A3853,Deals!$A$2:$A$843,0),"")</f>
        <v/>
      </c>
      <c r="G3853">
        <f>IF(F3853="",0,1)</f>
        <v/>
      </c>
      <c r="H3853" s="29">
        <f>IF(F3853="","",INDEX(Deals!$E$2:$E$843,F3853))</f>
        <v/>
      </c>
      <c r="I3853">
        <f>IF(F3853="","",INDEX(Deals!$D$2:$D$843,F3853))</f>
        <v/>
      </c>
      <c r="J3853">
        <f>IF(F3853="","",INT(H3853)-B3853)</f>
        <v/>
      </c>
      <c r="K3853">
        <f>IF(B3853&gt;=Settings!$C$5,1,0)</f>
        <v/>
      </c>
    </row>
    <row r="3854">
      <c r="A3854" t="inlineStr">
        <is>
          <t>3f5db4343ed074bc23e99ce22a8669aa</t>
        </is>
      </c>
      <c r="B3854" s="29" t="n">
        <v>43222</v>
      </c>
      <c r="C3854" t="inlineStr">
        <is>
          <t>2018-05</t>
        </is>
      </c>
      <c r="D3854" t="inlineStr">
        <is>
          <t>b76ef37428e6799c421989521c0e5077</t>
        </is>
      </c>
      <c r="E3854" t="inlineStr">
        <is>
          <t>unknown</t>
        </is>
      </c>
      <c r="F3854">
        <f>IFERROR(MATCH(A3854,Deals!$A$2:$A$843,0),"")</f>
        <v/>
      </c>
      <c r="G3854">
        <f>IF(F3854="",0,1)</f>
        <v/>
      </c>
      <c r="H3854" s="29">
        <f>IF(F3854="","",INDEX(Deals!$E$2:$E$843,F3854))</f>
        <v/>
      </c>
      <c r="I3854">
        <f>IF(F3854="","",INDEX(Deals!$D$2:$D$843,F3854))</f>
        <v/>
      </c>
      <c r="J3854">
        <f>IF(F3854="","",INT(H3854)-B3854)</f>
        <v/>
      </c>
      <c r="K3854">
        <f>IF(B3854&gt;=Settings!$C$5,1,0)</f>
        <v/>
      </c>
    </row>
    <row r="3855">
      <c r="A3855" t="inlineStr">
        <is>
          <t>e8cd949eeafddaf6d410d6fb52ddd14e</t>
        </is>
      </c>
      <c r="B3855" s="29" t="n">
        <v>43192</v>
      </c>
      <c r="C3855" t="inlineStr">
        <is>
          <t>2018-04</t>
        </is>
      </c>
      <c r="D3855" t="inlineStr">
        <is>
          <t>87e8cbe800fd79c7109fb24081c1c31d</t>
        </is>
      </c>
      <c r="E3855" t="inlineStr">
        <is>
          <t>email</t>
        </is>
      </c>
      <c r="F3855">
        <f>IFERROR(MATCH(A3855,Deals!$A$2:$A$843,0),"")</f>
        <v/>
      </c>
      <c r="G3855">
        <f>IF(F3855="",0,1)</f>
        <v/>
      </c>
      <c r="H3855" s="29">
        <f>IF(F3855="","",INDEX(Deals!$E$2:$E$843,F3855))</f>
        <v/>
      </c>
      <c r="I3855">
        <f>IF(F3855="","",INDEX(Deals!$D$2:$D$843,F3855))</f>
        <v/>
      </c>
      <c r="J3855">
        <f>IF(F3855="","",INT(H3855)-B3855)</f>
        <v/>
      </c>
      <c r="K3855">
        <f>IF(B3855&gt;=Settings!$C$5,1,0)</f>
        <v/>
      </c>
    </row>
    <row r="3856">
      <c r="A3856" t="inlineStr">
        <is>
          <t>4dcfeaf97d0aec9f35e384d9c3624b39</t>
        </is>
      </c>
      <c r="B3856" s="29" t="n">
        <v>43130</v>
      </c>
      <c r="C3856" t="inlineStr">
        <is>
          <t>2018-01</t>
        </is>
      </c>
      <c r="D3856" t="inlineStr">
        <is>
          <t>88740e65d5d6b056e0cda098e1ea6313</t>
        </is>
      </c>
      <c r="E3856" t="inlineStr">
        <is>
          <t>organic_search</t>
        </is>
      </c>
      <c r="F3856">
        <f>IFERROR(MATCH(A3856,Deals!$A$2:$A$843,0),"")</f>
        <v/>
      </c>
      <c r="G3856">
        <f>IF(F3856="",0,1)</f>
        <v/>
      </c>
      <c r="H3856" s="29">
        <f>IF(F3856="","",INDEX(Deals!$E$2:$E$843,F3856))</f>
        <v/>
      </c>
      <c r="I3856">
        <f>IF(F3856="","",INDEX(Deals!$D$2:$D$843,F3856))</f>
        <v/>
      </c>
      <c r="J3856">
        <f>IF(F3856="","",INT(H3856)-B3856)</f>
        <v/>
      </c>
      <c r="K3856">
        <f>IF(B3856&gt;=Settings!$C$5,1,0)</f>
        <v/>
      </c>
    </row>
    <row r="3857">
      <c r="A3857" t="inlineStr">
        <is>
          <t>a6807243689c76d0e34230e8e6ce5ca9</t>
        </is>
      </c>
      <c r="B3857" s="29" t="n">
        <v>43208</v>
      </c>
      <c r="C3857" t="inlineStr">
        <is>
          <t>2018-04</t>
        </is>
      </c>
      <c r="D3857" t="inlineStr">
        <is>
          <t>22c29808c4f815213303f8933030604c</t>
        </is>
      </c>
      <c r="E3857" t="inlineStr">
        <is>
          <t>paid_search</t>
        </is>
      </c>
      <c r="F3857">
        <f>IFERROR(MATCH(A3857,Deals!$A$2:$A$843,0),"")</f>
        <v/>
      </c>
      <c r="G3857">
        <f>IF(F3857="",0,1)</f>
        <v/>
      </c>
      <c r="H3857" s="29">
        <f>IF(F3857="","",INDEX(Deals!$E$2:$E$843,F3857))</f>
        <v/>
      </c>
      <c r="I3857">
        <f>IF(F3857="","",INDEX(Deals!$D$2:$D$843,F3857))</f>
        <v/>
      </c>
      <c r="J3857">
        <f>IF(F3857="","",INT(H3857)-B3857)</f>
        <v/>
      </c>
      <c r="K3857">
        <f>IF(B3857&gt;=Settings!$C$5,1,0)</f>
        <v/>
      </c>
    </row>
    <row r="3858">
      <c r="A3858" t="inlineStr">
        <is>
          <t>f46ba1f102a886ac432e7722d33cd1a4</t>
        </is>
      </c>
      <c r="B3858" s="29" t="n">
        <v>43171</v>
      </c>
      <c r="C3858" t="inlineStr">
        <is>
          <t>2018-03</t>
        </is>
      </c>
      <c r="D3858" t="inlineStr">
        <is>
          <t>88740e65d5d6b056e0cda098e1ea6313</t>
        </is>
      </c>
      <c r="E3858" t="inlineStr">
        <is>
          <t>social</t>
        </is>
      </c>
      <c r="F3858">
        <f>IFERROR(MATCH(A3858,Deals!$A$2:$A$843,0),"")</f>
        <v/>
      </c>
      <c r="G3858">
        <f>IF(F3858="",0,1)</f>
        <v/>
      </c>
      <c r="H3858" s="29">
        <f>IF(F3858="","",INDEX(Deals!$E$2:$E$843,F3858))</f>
        <v/>
      </c>
      <c r="I3858">
        <f>IF(F3858="","",INDEX(Deals!$D$2:$D$843,F3858))</f>
        <v/>
      </c>
      <c r="J3858">
        <f>IF(F3858="","",INT(H3858)-B3858)</f>
        <v/>
      </c>
      <c r="K3858">
        <f>IF(B3858&gt;=Settings!$C$5,1,0)</f>
        <v/>
      </c>
    </row>
    <row r="3859">
      <c r="A3859" t="inlineStr">
        <is>
          <t>4e997cbe9d93884f8ce686aa0094bf58</t>
        </is>
      </c>
      <c r="B3859" s="29" t="n">
        <v>43204</v>
      </c>
      <c r="C3859" t="inlineStr">
        <is>
          <t>2018-04</t>
        </is>
      </c>
      <c r="D3859" t="inlineStr">
        <is>
          <t>58326e62183c14b0c03085c33b9fdc44</t>
        </is>
      </c>
      <c r="E3859" t="inlineStr">
        <is>
          <t>social</t>
        </is>
      </c>
      <c r="F3859">
        <f>IFERROR(MATCH(A3859,Deals!$A$2:$A$843,0),"")</f>
        <v/>
      </c>
      <c r="G3859">
        <f>IF(F3859="",0,1)</f>
        <v/>
      </c>
      <c r="H3859" s="29">
        <f>IF(F3859="","",INDEX(Deals!$E$2:$E$843,F3859))</f>
        <v/>
      </c>
      <c r="I3859">
        <f>IF(F3859="","",INDEX(Deals!$D$2:$D$843,F3859))</f>
        <v/>
      </c>
      <c r="J3859">
        <f>IF(F3859="","",INT(H3859)-B3859)</f>
        <v/>
      </c>
      <c r="K3859">
        <f>IF(B3859&gt;=Settings!$C$5,1,0)</f>
        <v/>
      </c>
    </row>
    <row r="3860">
      <c r="A3860" t="inlineStr">
        <is>
          <t>4a59a8ea539613e156495fe26f8e64cd</t>
        </is>
      </c>
      <c r="B3860" s="29" t="n">
        <v>43004</v>
      </c>
      <c r="C3860" t="inlineStr">
        <is>
          <t>2017-09</t>
        </is>
      </c>
      <c r="D3860" t="inlineStr">
        <is>
          <t>7fa6214d82e911d070f51ef79381b956</t>
        </is>
      </c>
      <c r="E3860" t="inlineStr">
        <is>
          <t>organic_search</t>
        </is>
      </c>
      <c r="F3860">
        <f>IFERROR(MATCH(A3860,Deals!$A$2:$A$843,0),"")</f>
        <v/>
      </c>
      <c r="G3860">
        <f>IF(F3860="",0,1)</f>
        <v/>
      </c>
      <c r="H3860" s="29">
        <f>IF(F3860="","",INDEX(Deals!$E$2:$E$843,F3860))</f>
        <v/>
      </c>
      <c r="I3860">
        <f>IF(F3860="","",INDEX(Deals!$D$2:$D$843,F3860))</f>
        <v/>
      </c>
      <c r="J3860">
        <f>IF(F3860="","",INT(H3860)-B3860)</f>
        <v/>
      </c>
      <c r="K3860">
        <f>IF(B3860&gt;=Settings!$C$5,1,0)</f>
        <v/>
      </c>
    </row>
    <row r="3861">
      <c r="A3861" t="inlineStr">
        <is>
          <t>434c2eb8627ed4e1a0a4f0ee5d6022aa</t>
        </is>
      </c>
      <c r="B3861" s="29" t="n">
        <v>43181</v>
      </c>
      <c r="C3861" t="inlineStr">
        <is>
          <t>2018-03</t>
        </is>
      </c>
      <c r="D3861" t="inlineStr">
        <is>
          <t>0d6bc3c00e4e64927cae2e8d9c6a0b9b</t>
        </is>
      </c>
      <c r="E3861" t="inlineStr">
        <is>
          <t>paid_search</t>
        </is>
      </c>
      <c r="F3861">
        <f>IFERROR(MATCH(A3861,Deals!$A$2:$A$843,0),"")</f>
        <v/>
      </c>
      <c r="G3861">
        <f>IF(F3861="",0,1)</f>
        <v/>
      </c>
      <c r="H3861" s="29">
        <f>IF(F3861="","",INDEX(Deals!$E$2:$E$843,F3861))</f>
        <v/>
      </c>
      <c r="I3861">
        <f>IF(F3861="","",INDEX(Deals!$D$2:$D$843,F3861))</f>
        <v/>
      </c>
      <c r="J3861">
        <f>IF(F3861="","",INT(H3861)-B3861)</f>
        <v/>
      </c>
      <c r="K3861">
        <f>IF(B3861&gt;=Settings!$C$5,1,0)</f>
        <v/>
      </c>
    </row>
    <row r="3862">
      <c r="A3862" t="inlineStr">
        <is>
          <t>23de35e670b2ced8c8a7ed4b915df4b7</t>
        </is>
      </c>
      <c r="B3862" s="29" t="n">
        <v>42936</v>
      </c>
      <c r="C3862" t="inlineStr">
        <is>
          <t>2017-07</t>
        </is>
      </c>
      <c r="D3862" t="inlineStr">
        <is>
          <t>e92a6f37ebb87a6bfbc569d439cf1635</t>
        </is>
      </c>
      <c r="E3862" t="inlineStr">
        <is>
          <t>organic_search</t>
        </is>
      </c>
      <c r="F3862">
        <f>IFERROR(MATCH(A3862,Deals!$A$2:$A$843,0),"")</f>
        <v/>
      </c>
      <c r="G3862">
        <f>IF(F3862="",0,1)</f>
        <v/>
      </c>
      <c r="H3862" s="29">
        <f>IF(F3862="","",INDEX(Deals!$E$2:$E$843,F3862))</f>
        <v/>
      </c>
      <c r="I3862">
        <f>IF(F3862="","",INDEX(Deals!$D$2:$D$843,F3862))</f>
        <v/>
      </c>
      <c r="J3862">
        <f>IF(F3862="","",INT(H3862)-B3862)</f>
        <v/>
      </c>
      <c r="K3862">
        <f>IF(B3862&gt;=Settings!$C$5,1,0)</f>
        <v/>
      </c>
    </row>
    <row r="3863">
      <c r="A3863" t="inlineStr">
        <is>
          <t>108a6d458df981c66254e6b4a960f96e</t>
        </is>
      </c>
      <c r="B3863" s="29" t="n">
        <v>43227</v>
      </c>
      <c r="C3863" t="inlineStr">
        <is>
          <t>2018-05</t>
        </is>
      </c>
      <c r="D3863" t="inlineStr">
        <is>
          <t>b76ef37428e6799c421989521c0e5077</t>
        </is>
      </c>
      <c r="E3863" t="inlineStr">
        <is>
          <t>unknown</t>
        </is>
      </c>
      <c r="F3863">
        <f>IFERROR(MATCH(A3863,Deals!$A$2:$A$843,0),"")</f>
        <v/>
      </c>
      <c r="G3863">
        <f>IF(F3863="",0,1)</f>
        <v/>
      </c>
      <c r="H3863" s="29">
        <f>IF(F3863="","",INDEX(Deals!$E$2:$E$843,F3863))</f>
        <v/>
      </c>
      <c r="I3863">
        <f>IF(F3863="","",INDEX(Deals!$D$2:$D$843,F3863))</f>
        <v/>
      </c>
      <c r="J3863">
        <f>IF(F3863="","",INT(H3863)-B3863)</f>
        <v/>
      </c>
      <c r="K3863">
        <f>IF(B3863&gt;=Settings!$C$5,1,0)</f>
        <v/>
      </c>
    </row>
    <row r="3864">
      <c r="A3864" t="inlineStr">
        <is>
          <t>6a2240eb9b32ca09d8400877500ad08e</t>
        </is>
      </c>
      <c r="B3864" s="29" t="n">
        <v>43236</v>
      </c>
      <c r="C3864" t="inlineStr">
        <is>
          <t>2018-05</t>
        </is>
      </c>
      <c r="D3864" t="inlineStr">
        <is>
          <t>b76ef37428e6799c421989521c0e5077</t>
        </is>
      </c>
      <c r="E3864" t="inlineStr">
        <is>
          <t>unknown</t>
        </is>
      </c>
      <c r="F3864">
        <f>IFERROR(MATCH(A3864,Deals!$A$2:$A$843,0),"")</f>
        <v/>
      </c>
      <c r="G3864">
        <f>IF(F3864="",0,1)</f>
        <v/>
      </c>
      <c r="H3864" s="29">
        <f>IF(F3864="","",INDEX(Deals!$E$2:$E$843,F3864))</f>
        <v/>
      </c>
      <c r="I3864">
        <f>IF(F3864="","",INDEX(Deals!$D$2:$D$843,F3864))</f>
        <v/>
      </c>
      <c r="J3864">
        <f>IF(F3864="","",INT(H3864)-B3864)</f>
        <v/>
      </c>
      <c r="K3864">
        <f>IF(B3864&gt;=Settings!$C$5,1,0)</f>
        <v/>
      </c>
    </row>
    <row r="3865">
      <c r="A3865" t="inlineStr">
        <is>
          <t>bca0870cfef8e4e835b6ac8cb8b5b9bb</t>
        </is>
      </c>
      <c r="B3865" s="29" t="n">
        <v>43199</v>
      </c>
      <c r="C3865" t="inlineStr">
        <is>
          <t>2018-04</t>
        </is>
      </c>
      <c r="D3865" t="inlineStr">
        <is>
          <t>65c9e96d17d8d12bc0ad3b2cde0bb8b7</t>
        </is>
      </c>
      <c r="E3865" t="inlineStr">
        <is>
          <t>organic_search</t>
        </is>
      </c>
      <c r="F3865">
        <f>IFERROR(MATCH(A3865,Deals!$A$2:$A$843,0),"")</f>
        <v/>
      </c>
      <c r="G3865">
        <f>IF(F3865="",0,1)</f>
        <v/>
      </c>
      <c r="H3865" s="29">
        <f>IF(F3865="","",INDEX(Deals!$E$2:$E$843,F3865))</f>
        <v/>
      </c>
      <c r="I3865">
        <f>IF(F3865="","",INDEX(Deals!$D$2:$D$843,F3865))</f>
        <v/>
      </c>
      <c r="J3865">
        <f>IF(F3865="","",INT(H3865)-B3865)</f>
        <v/>
      </c>
      <c r="K3865">
        <f>IF(B3865&gt;=Settings!$C$5,1,0)</f>
        <v/>
      </c>
    </row>
    <row r="3866">
      <c r="A3866" t="inlineStr">
        <is>
          <t>fddb49982f360e8a94aa8642ed545a16</t>
        </is>
      </c>
      <c r="B3866" s="29" t="n">
        <v>42990</v>
      </c>
      <c r="C3866" t="inlineStr">
        <is>
          <t>2017-09</t>
        </is>
      </c>
      <c r="D3866" t="inlineStr">
        <is>
          <t>b76ef37428e6799c421989521c0e5077</t>
        </is>
      </c>
      <c r="E3866" t="inlineStr">
        <is>
          <t>unknown</t>
        </is>
      </c>
      <c r="F3866">
        <f>IFERROR(MATCH(A3866,Deals!$A$2:$A$843,0),"")</f>
        <v/>
      </c>
      <c r="G3866">
        <f>IF(F3866="",0,1)</f>
        <v/>
      </c>
      <c r="H3866" s="29">
        <f>IF(F3866="","",INDEX(Deals!$E$2:$E$843,F3866))</f>
        <v/>
      </c>
      <c r="I3866">
        <f>IF(F3866="","",INDEX(Deals!$D$2:$D$843,F3866))</f>
        <v/>
      </c>
      <c r="J3866">
        <f>IF(F3866="","",INT(H3866)-B3866)</f>
        <v/>
      </c>
      <c r="K3866">
        <f>IF(B3866&gt;=Settings!$C$5,1,0)</f>
        <v/>
      </c>
    </row>
    <row r="3867">
      <c r="A3867" t="inlineStr">
        <is>
          <t>928aba88f19ec12d7ef6b85c7082e7d1</t>
        </is>
      </c>
      <c r="B3867" s="29" t="n">
        <v>43047</v>
      </c>
      <c r="C3867" t="inlineStr">
        <is>
          <t>2017-11</t>
        </is>
      </c>
      <c r="D3867" t="inlineStr">
        <is>
          <t>241f79c7a8fe0270f4fb79fcbbcd17ad</t>
        </is>
      </c>
      <c r="E3867" t="inlineStr">
        <is>
          <t>paid_search</t>
        </is>
      </c>
      <c r="F3867">
        <f>IFERROR(MATCH(A3867,Deals!$A$2:$A$843,0),"")</f>
        <v/>
      </c>
      <c r="G3867">
        <f>IF(F3867="",0,1)</f>
        <v/>
      </c>
      <c r="H3867" s="29">
        <f>IF(F3867="","",INDEX(Deals!$E$2:$E$843,F3867))</f>
        <v/>
      </c>
      <c r="I3867">
        <f>IF(F3867="","",INDEX(Deals!$D$2:$D$843,F3867))</f>
        <v/>
      </c>
      <c r="J3867">
        <f>IF(F3867="","",INT(H3867)-B3867)</f>
        <v/>
      </c>
      <c r="K3867">
        <f>IF(B3867&gt;=Settings!$C$5,1,0)</f>
        <v/>
      </c>
    </row>
    <row r="3868">
      <c r="A3868" t="inlineStr">
        <is>
          <t>44895ba66f4c02432a9ea77523364819</t>
        </is>
      </c>
      <c r="B3868" s="29" t="n">
        <v>43234</v>
      </c>
      <c r="C3868" t="inlineStr">
        <is>
          <t>2018-05</t>
        </is>
      </c>
      <c r="D3868" t="inlineStr">
        <is>
          <t>b76ef37428e6799c421989521c0e5077</t>
        </is>
      </c>
      <c r="E3868" t="inlineStr">
        <is>
          <t>unknown</t>
        </is>
      </c>
      <c r="F3868">
        <f>IFERROR(MATCH(A3868,Deals!$A$2:$A$843,0),"")</f>
        <v/>
      </c>
      <c r="G3868">
        <f>IF(F3868="",0,1)</f>
        <v/>
      </c>
      <c r="H3868" s="29">
        <f>IF(F3868="","",INDEX(Deals!$E$2:$E$843,F3868))</f>
        <v/>
      </c>
      <c r="I3868">
        <f>IF(F3868="","",INDEX(Deals!$D$2:$D$843,F3868))</f>
        <v/>
      </c>
      <c r="J3868">
        <f>IF(F3868="","",INT(H3868)-B3868)</f>
        <v/>
      </c>
      <c r="K3868">
        <f>IF(B3868&gt;=Settings!$C$5,1,0)</f>
        <v/>
      </c>
    </row>
    <row r="3869">
      <c r="A3869" t="inlineStr">
        <is>
          <t>36d950d2edf29ad0067ab7ef5a06daa4</t>
        </is>
      </c>
      <c r="B3869" s="29" t="n">
        <v>43003</v>
      </c>
      <c r="C3869" t="inlineStr">
        <is>
          <t>2017-09</t>
        </is>
      </c>
      <c r="D3869" t="inlineStr">
        <is>
          <t>b76ef37428e6799c421989521c0e5077</t>
        </is>
      </c>
      <c r="E3869" t="inlineStr">
        <is>
          <t>organic_search</t>
        </is>
      </c>
      <c r="F3869">
        <f>IFERROR(MATCH(A3869,Deals!$A$2:$A$843,0),"")</f>
        <v/>
      </c>
      <c r="G3869">
        <f>IF(F3869="",0,1)</f>
        <v/>
      </c>
      <c r="H3869" s="29">
        <f>IF(F3869="","",INDEX(Deals!$E$2:$E$843,F3869))</f>
        <v/>
      </c>
      <c r="I3869">
        <f>IF(F3869="","",INDEX(Deals!$D$2:$D$843,F3869))</f>
        <v/>
      </c>
      <c r="J3869">
        <f>IF(F3869="","",INT(H3869)-B3869)</f>
        <v/>
      </c>
      <c r="K3869">
        <f>IF(B3869&gt;=Settings!$C$5,1,0)</f>
        <v/>
      </c>
    </row>
    <row r="3870">
      <c r="A3870" t="inlineStr">
        <is>
          <t>83bc0f331844906bb0365db10e40f714</t>
        </is>
      </c>
      <c r="B3870" s="29" t="n">
        <v>43096</v>
      </c>
      <c r="C3870" t="inlineStr">
        <is>
          <t>2017-12</t>
        </is>
      </c>
      <c r="D3870" t="inlineStr">
        <is>
          <t>1722481ac9e5371e5099dea226b5421d</t>
        </is>
      </c>
      <c r="E3870" t="inlineStr">
        <is>
          <t>social</t>
        </is>
      </c>
      <c r="F3870">
        <f>IFERROR(MATCH(A3870,Deals!$A$2:$A$843,0),"")</f>
        <v/>
      </c>
      <c r="G3870">
        <f>IF(F3870="",0,1)</f>
        <v/>
      </c>
      <c r="H3870" s="29">
        <f>IF(F3870="","",INDEX(Deals!$E$2:$E$843,F3870))</f>
        <v/>
      </c>
      <c r="I3870">
        <f>IF(F3870="","",INDEX(Deals!$D$2:$D$843,F3870))</f>
        <v/>
      </c>
      <c r="J3870">
        <f>IF(F3870="","",INT(H3870)-B3870)</f>
        <v/>
      </c>
      <c r="K3870">
        <f>IF(B3870&gt;=Settings!$C$5,1,0)</f>
        <v/>
      </c>
    </row>
    <row r="3871">
      <c r="A3871" t="inlineStr">
        <is>
          <t>32a5355165b939259198a1c4b53d57a0</t>
        </is>
      </c>
      <c r="B3871" s="29" t="n">
        <v>43242</v>
      </c>
      <c r="C3871" t="inlineStr">
        <is>
          <t>2018-05</t>
        </is>
      </c>
      <c r="D3871" t="inlineStr">
        <is>
          <t>ef8fd2bd651e9bede81dfb6e45480793</t>
        </is>
      </c>
      <c r="E3871" t="inlineStr">
        <is>
          <t>email</t>
        </is>
      </c>
      <c r="F3871">
        <f>IFERROR(MATCH(A3871,Deals!$A$2:$A$843,0),"")</f>
        <v/>
      </c>
      <c r="G3871">
        <f>IF(F3871="",0,1)</f>
        <v/>
      </c>
      <c r="H3871" s="29">
        <f>IF(F3871="","",INDEX(Deals!$E$2:$E$843,F3871))</f>
        <v/>
      </c>
      <c r="I3871">
        <f>IF(F3871="","",INDEX(Deals!$D$2:$D$843,F3871))</f>
        <v/>
      </c>
      <c r="J3871">
        <f>IF(F3871="","",INT(H3871)-B3871)</f>
        <v/>
      </c>
      <c r="K3871">
        <f>IF(B3871&gt;=Settings!$C$5,1,0)</f>
        <v/>
      </c>
    </row>
    <row r="3872">
      <c r="A3872" t="inlineStr">
        <is>
          <t>dd9a886385800d4bc50d7614d8f30b4e</t>
        </is>
      </c>
      <c r="B3872" s="29" t="n">
        <v>43242</v>
      </c>
      <c r="C3872" t="inlineStr">
        <is>
          <t>2018-05</t>
        </is>
      </c>
      <c r="D3872" t="inlineStr">
        <is>
          <t>22c29808c4f815213303f8933030604c</t>
        </is>
      </c>
      <c r="E3872" t="inlineStr">
        <is>
          <t>organic_search</t>
        </is>
      </c>
      <c r="F3872">
        <f>IFERROR(MATCH(A3872,Deals!$A$2:$A$843,0),"")</f>
        <v/>
      </c>
      <c r="G3872">
        <f>IF(F3872="",0,1)</f>
        <v/>
      </c>
      <c r="H3872" s="29">
        <f>IF(F3872="","",INDEX(Deals!$E$2:$E$843,F3872))</f>
        <v/>
      </c>
      <c r="I3872">
        <f>IF(F3872="","",INDEX(Deals!$D$2:$D$843,F3872))</f>
        <v/>
      </c>
      <c r="J3872">
        <f>IF(F3872="","",INT(H3872)-B3872)</f>
        <v/>
      </c>
      <c r="K3872">
        <f>IF(B3872&gt;=Settings!$C$5,1,0)</f>
        <v/>
      </c>
    </row>
    <row r="3873">
      <c r="A3873" t="inlineStr">
        <is>
          <t>429be53185d62d6d41561471fdd129a1</t>
        </is>
      </c>
      <c r="B3873" s="29" t="n">
        <v>43106</v>
      </c>
      <c r="C3873" t="inlineStr">
        <is>
          <t>2018-01</t>
        </is>
      </c>
      <c r="D3873" t="inlineStr">
        <is>
          <t>e492ee5eaf1697716985cc6f33f9cd9b</t>
        </is>
      </c>
      <c r="E3873" t="inlineStr">
        <is>
          <t>organic_search</t>
        </is>
      </c>
      <c r="F3873">
        <f>IFERROR(MATCH(A3873,Deals!$A$2:$A$843,0),"")</f>
        <v/>
      </c>
      <c r="G3873">
        <f>IF(F3873="",0,1)</f>
        <v/>
      </c>
      <c r="H3873" s="29">
        <f>IF(F3873="","",INDEX(Deals!$E$2:$E$843,F3873))</f>
        <v/>
      </c>
      <c r="I3873">
        <f>IF(F3873="","",INDEX(Deals!$D$2:$D$843,F3873))</f>
        <v/>
      </c>
      <c r="J3873">
        <f>IF(F3873="","",INT(H3873)-B3873)</f>
        <v/>
      </c>
      <c r="K3873">
        <f>IF(B3873&gt;=Settings!$C$5,1,0)</f>
        <v/>
      </c>
    </row>
    <row r="3874">
      <c r="A3874" t="inlineStr">
        <is>
          <t>60ff8e3e762262c7e36740e111c0aa61</t>
        </is>
      </c>
      <c r="B3874" s="29" t="n">
        <v>43240</v>
      </c>
      <c r="C3874" t="inlineStr">
        <is>
          <t>2018-05</t>
        </is>
      </c>
      <c r="D3874" t="inlineStr">
        <is>
          <t>22c29808c4f815213303f8933030604c</t>
        </is>
      </c>
      <c r="E3874" t="inlineStr">
        <is>
          <t>social</t>
        </is>
      </c>
      <c r="F3874">
        <f>IFERROR(MATCH(A3874,Deals!$A$2:$A$843,0),"")</f>
        <v/>
      </c>
      <c r="G3874">
        <f>IF(F3874="",0,1)</f>
        <v/>
      </c>
      <c r="H3874" s="29">
        <f>IF(F3874="","",INDEX(Deals!$E$2:$E$843,F3874))</f>
        <v/>
      </c>
      <c r="I3874">
        <f>IF(F3874="","",INDEX(Deals!$D$2:$D$843,F3874))</f>
        <v/>
      </c>
      <c r="J3874">
        <f>IF(F3874="","",INT(H3874)-B3874)</f>
        <v/>
      </c>
      <c r="K3874">
        <f>IF(B3874&gt;=Settings!$C$5,1,0)</f>
        <v/>
      </c>
    </row>
    <row r="3875">
      <c r="A3875" t="inlineStr">
        <is>
          <t>f52b5a5a83b60359562d12342f8e5950</t>
        </is>
      </c>
      <c r="B3875" s="29" t="n">
        <v>43137</v>
      </c>
      <c r="C3875" t="inlineStr">
        <is>
          <t>2018-02</t>
        </is>
      </c>
      <c r="D3875" t="inlineStr">
        <is>
          <t>88740e65d5d6b056e0cda098e1ea6313</t>
        </is>
      </c>
      <c r="E3875" t="inlineStr">
        <is>
          <t>social</t>
        </is>
      </c>
      <c r="F3875">
        <f>IFERROR(MATCH(A3875,Deals!$A$2:$A$843,0),"")</f>
        <v/>
      </c>
      <c r="G3875">
        <f>IF(F3875="",0,1)</f>
        <v/>
      </c>
      <c r="H3875" s="29">
        <f>IF(F3875="","",INDEX(Deals!$E$2:$E$843,F3875))</f>
        <v/>
      </c>
      <c r="I3875">
        <f>IF(F3875="","",INDEX(Deals!$D$2:$D$843,F3875))</f>
        <v/>
      </c>
      <c r="J3875">
        <f>IF(F3875="","",INT(H3875)-B3875)</f>
        <v/>
      </c>
      <c r="K3875">
        <f>IF(B3875&gt;=Settings!$C$5,1,0)</f>
        <v/>
      </c>
    </row>
    <row r="3876">
      <c r="A3876" t="inlineStr">
        <is>
          <t>273ea7552f2fedc728d1462e7791434b</t>
        </is>
      </c>
      <c r="B3876" s="29" t="n">
        <v>43190</v>
      </c>
      <c r="C3876" t="inlineStr">
        <is>
          <t>2018-03</t>
        </is>
      </c>
      <c r="D3876" t="inlineStr">
        <is>
          <t>a77dcf0bf420ced5e37baae9b5daffa4</t>
        </is>
      </c>
      <c r="E3876" t="inlineStr">
        <is>
          <t>social</t>
        </is>
      </c>
      <c r="F3876">
        <f>IFERROR(MATCH(A3876,Deals!$A$2:$A$843,0),"")</f>
        <v/>
      </c>
      <c r="G3876">
        <f>IF(F3876="",0,1)</f>
        <v/>
      </c>
      <c r="H3876" s="29">
        <f>IF(F3876="","",INDEX(Deals!$E$2:$E$843,F3876))</f>
        <v/>
      </c>
      <c r="I3876">
        <f>IF(F3876="","",INDEX(Deals!$D$2:$D$843,F3876))</f>
        <v/>
      </c>
      <c r="J3876">
        <f>IF(F3876="","",INT(H3876)-B3876)</f>
        <v/>
      </c>
      <c r="K3876">
        <f>IF(B3876&gt;=Settings!$C$5,1,0)</f>
        <v/>
      </c>
    </row>
    <row r="3877">
      <c r="A3877" t="inlineStr">
        <is>
          <t>6db466c8fa677c516515ad0a2645a23f</t>
        </is>
      </c>
      <c r="B3877" s="29" t="n">
        <v>43027</v>
      </c>
      <c r="C3877" t="inlineStr">
        <is>
          <t>2017-10</t>
        </is>
      </c>
      <c r="D3877" t="inlineStr">
        <is>
          <t>1722481ac9e5371e5099dea226b5421d</t>
        </is>
      </c>
      <c r="E3877" t="inlineStr">
        <is>
          <t>organic_search</t>
        </is>
      </c>
      <c r="F3877">
        <f>IFERROR(MATCH(A3877,Deals!$A$2:$A$843,0),"")</f>
        <v/>
      </c>
      <c r="G3877">
        <f>IF(F3877="",0,1)</f>
        <v/>
      </c>
      <c r="H3877" s="29">
        <f>IF(F3877="","",INDEX(Deals!$E$2:$E$843,F3877))</f>
        <v/>
      </c>
      <c r="I3877">
        <f>IF(F3877="","",INDEX(Deals!$D$2:$D$843,F3877))</f>
        <v/>
      </c>
      <c r="J3877">
        <f>IF(F3877="","",INT(H3877)-B3877)</f>
        <v/>
      </c>
      <c r="K3877">
        <f>IF(B3877&gt;=Settings!$C$5,1,0)</f>
        <v/>
      </c>
    </row>
    <row r="3878">
      <c r="A3878" t="inlineStr">
        <is>
          <t>0d7c4c62f923a1527f1e9e5bb30e5d60</t>
        </is>
      </c>
      <c r="B3878" s="29" t="n">
        <v>43180</v>
      </c>
      <c r="C3878" t="inlineStr">
        <is>
          <t>2018-03</t>
        </is>
      </c>
      <c r="D3878" t="inlineStr">
        <is>
          <t>b76ef37428e6799c421989521c0e5077</t>
        </is>
      </c>
      <c r="E3878" t="inlineStr">
        <is>
          <t>unknown</t>
        </is>
      </c>
      <c r="F3878">
        <f>IFERROR(MATCH(A3878,Deals!$A$2:$A$843,0),"")</f>
        <v/>
      </c>
      <c r="G3878">
        <f>IF(F3878="",0,1)</f>
        <v/>
      </c>
      <c r="H3878" s="29">
        <f>IF(F3878="","",INDEX(Deals!$E$2:$E$843,F3878))</f>
        <v/>
      </c>
      <c r="I3878">
        <f>IF(F3878="","",INDEX(Deals!$D$2:$D$843,F3878))</f>
        <v/>
      </c>
      <c r="J3878">
        <f>IF(F3878="","",INT(H3878)-B3878)</f>
        <v/>
      </c>
      <c r="K3878">
        <f>IF(B3878&gt;=Settings!$C$5,1,0)</f>
        <v/>
      </c>
    </row>
    <row r="3879">
      <c r="A3879" t="inlineStr">
        <is>
          <t>c63ba052767e8a11779df4a71caf0b4d</t>
        </is>
      </c>
      <c r="B3879" s="29" t="n">
        <v>43221</v>
      </c>
      <c r="C3879" t="inlineStr">
        <is>
          <t>2018-05</t>
        </is>
      </c>
      <c r="D3879" t="inlineStr">
        <is>
          <t>f1ac5ca9008183011d8a8e770bcbbdbb</t>
        </is>
      </c>
      <c r="E3879" t="inlineStr">
        <is>
          <t>organic_search</t>
        </is>
      </c>
      <c r="F3879">
        <f>IFERROR(MATCH(A3879,Deals!$A$2:$A$843,0),"")</f>
        <v/>
      </c>
      <c r="G3879">
        <f>IF(F3879="",0,1)</f>
        <v/>
      </c>
      <c r="H3879" s="29">
        <f>IF(F3879="","",INDEX(Deals!$E$2:$E$843,F3879))</f>
        <v/>
      </c>
      <c r="I3879">
        <f>IF(F3879="","",INDEX(Deals!$D$2:$D$843,F3879))</f>
        <v/>
      </c>
      <c r="J3879">
        <f>IF(F3879="","",INT(H3879)-B3879)</f>
        <v/>
      </c>
      <c r="K3879">
        <f>IF(B3879&gt;=Settings!$C$5,1,0)</f>
        <v/>
      </c>
    </row>
    <row r="3880">
      <c r="A3880" t="inlineStr">
        <is>
          <t>34fc31720ce1b1ab18191a852120231f</t>
        </is>
      </c>
      <c r="B3880" s="29" t="n">
        <v>43131</v>
      </c>
      <c r="C3880" t="inlineStr">
        <is>
          <t>2018-01</t>
        </is>
      </c>
      <c r="D3880" t="inlineStr">
        <is>
          <t>7fa6214d82e911d070f51ef79381b956</t>
        </is>
      </c>
      <c r="E3880" t="inlineStr">
        <is>
          <t>organic_search</t>
        </is>
      </c>
      <c r="F3880">
        <f>IFERROR(MATCH(A3880,Deals!$A$2:$A$843,0),"")</f>
        <v/>
      </c>
      <c r="G3880">
        <f>IF(F3880="",0,1)</f>
        <v/>
      </c>
      <c r="H3880" s="29">
        <f>IF(F3880="","",INDEX(Deals!$E$2:$E$843,F3880))</f>
        <v/>
      </c>
      <c r="I3880">
        <f>IF(F3880="","",INDEX(Deals!$D$2:$D$843,F3880))</f>
        <v/>
      </c>
      <c r="J3880">
        <f>IF(F3880="","",INT(H3880)-B3880)</f>
        <v/>
      </c>
      <c r="K3880">
        <f>IF(B3880&gt;=Settings!$C$5,1,0)</f>
        <v/>
      </c>
    </row>
    <row r="3881">
      <c r="A3881" t="inlineStr">
        <is>
          <t>fb3fda882b7b7a67a2aeea29a065b9ac</t>
        </is>
      </c>
      <c r="B3881" s="29" t="n">
        <v>43173</v>
      </c>
      <c r="C3881" t="inlineStr">
        <is>
          <t>2018-03</t>
        </is>
      </c>
      <c r="D3881" t="inlineStr">
        <is>
          <t>daa9619c6f8ed06d059265dca0f9257f</t>
        </is>
      </c>
      <c r="E3881" t="inlineStr">
        <is>
          <t>paid_search</t>
        </is>
      </c>
      <c r="F3881">
        <f>IFERROR(MATCH(A3881,Deals!$A$2:$A$843,0),"")</f>
        <v/>
      </c>
      <c r="G3881">
        <f>IF(F3881="",0,1)</f>
        <v/>
      </c>
      <c r="H3881" s="29">
        <f>IF(F3881="","",INDEX(Deals!$E$2:$E$843,F3881))</f>
        <v/>
      </c>
      <c r="I3881">
        <f>IF(F3881="","",INDEX(Deals!$D$2:$D$843,F3881))</f>
        <v/>
      </c>
      <c r="J3881">
        <f>IF(F3881="","",INT(H3881)-B3881)</f>
        <v/>
      </c>
      <c r="K3881">
        <f>IF(B3881&gt;=Settings!$C$5,1,0)</f>
        <v/>
      </c>
    </row>
    <row r="3882">
      <c r="A3882" t="inlineStr">
        <is>
          <t>56584156dc7e8fdc3f17eccea82095fa</t>
        </is>
      </c>
      <c r="B3882" s="29" t="n">
        <v>43166</v>
      </c>
      <c r="C3882" t="inlineStr">
        <is>
          <t>2018-03</t>
        </is>
      </c>
      <c r="D3882" t="inlineStr">
        <is>
          <t>da14b7e2eb0d1eecf65abbd05a31c87d</t>
        </is>
      </c>
      <c r="E3882" t="inlineStr">
        <is>
          <t>email</t>
        </is>
      </c>
      <c r="F3882">
        <f>IFERROR(MATCH(A3882,Deals!$A$2:$A$843,0),"")</f>
        <v/>
      </c>
      <c r="G3882">
        <f>IF(F3882="",0,1)</f>
        <v/>
      </c>
      <c r="H3882" s="29">
        <f>IF(F3882="","",INDEX(Deals!$E$2:$E$843,F3882))</f>
        <v/>
      </c>
      <c r="I3882">
        <f>IF(F3882="","",INDEX(Deals!$D$2:$D$843,F3882))</f>
        <v/>
      </c>
      <c r="J3882">
        <f>IF(F3882="","",INT(H3882)-B3882)</f>
        <v/>
      </c>
      <c r="K3882">
        <f>IF(B3882&gt;=Settings!$C$5,1,0)</f>
        <v/>
      </c>
    </row>
    <row r="3883">
      <c r="A3883" t="inlineStr">
        <is>
          <t>24b23168fdaa0d98e9119081cd4fdd3e</t>
        </is>
      </c>
      <c r="B3883" s="29" t="n">
        <v>43207</v>
      </c>
      <c r="C3883" t="inlineStr">
        <is>
          <t>2018-04</t>
        </is>
      </c>
      <c r="D3883" t="inlineStr">
        <is>
          <t>22c29808c4f815213303f8933030604c</t>
        </is>
      </c>
      <c r="E3883" t="inlineStr">
        <is>
          <t>organic_search</t>
        </is>
      </c>
      <c r="F3883">
        <f>IFERROR(MATCH(A3883,Deals!$A$2:$A$843,0),"")</f>
        <v/>
      </c>
      <c r="G3883">
        <f>IF(F3883="",0,1)</f>
        <v/>
      </c>
      <c r="H3883" s="29">
        <f>IF(F3883="","",INDEX(Deals!$E$2:$E$843,F3883))</f>
        <v/>
      </c>
      <c r="I3883">
        <f>IF(F3883="","",INDEX(Deals!$D$2:$D$843,F3883))</f>
        <v/>
      </c>
      <c r="J3883">
        <f>IF(F3883="","",INT(H3883)-B3883)</f>
        <v/>
      </c>
      <c r="K3883">
        <f>IF(B3883&gt;=Settings!$C$5,1,0)</f>
        <v/>
      </c>
    </row>
    <row r="3884">
      <c r="A3884" t="inlineStr">
        <is>
          <t>5a5a76e2f8b0aa27f2c2dec653ab35e7</t>
        </is>
      </c>
      <c r="B3884" s="29" t="n">
        <v>43107</v>
      </c>
      <c r="C3884" t="inlineStr">
        <is>
          <t>2018-01</t>
        </is>
      </c>
      <c r="D3884" t="inlineStr">
        <is>
          <t>f017be4dbf86243af5c1ebed0cff36a2</t>
        </is>
      </c>
      <c r="E3884" t="inlineStr">
        <is>
          <t>organic_search</t>
        </is>
      </c>
      <c r="F3884">
        <f>IFERROR(MATCH(A3884,Deals!$A$2:$A$843,0),"")</f>
        <v/>
      </c>
      <c r="G3884">
        <f>IF(F3884="",0,1)</f>
        <v/>
      </c>
      <c r="H3884" s="29">
        <f>IF(F3884="","",INDEX(Deals!$E$2:$E$843,F3884))</f>
        <v/>
      </c>
      <c r="I3884">
        <f>IF(F3884="","",INDEX(Deals!$D$2:$D$843,F3884))</f>
        <v/>
      </c>
      <c r="J3884">
        <f>IF(F3884="","",INT(H3884)-B3884)</f>
        <v/>
      </c>
      <c r="K3884">
        <f>IF(B3884&gt;=Settings!$C$5,1,0)</f>
        <v/>
      </c>
    </row>
    <row r="3885">
      <c r="A3885" t="inlineStr">
        <is>
          <t>cb2363691a8351ee799c9108229c75b4</t>
        </is>
      </c>
      <c r="B3885" s="29" t="n">
        <v>43166</v>
      </c>
      <c r="C3885" t="inlineStr">
        <is>
          <t>2018-03</t>
        </is>
      </c>
      <c r="D3885" t="inlineStr">
        <is>
          <t>da14b7e2eb0d1eecf65abbd05a31c87d</t>
        </is>
      </c>
      <c r="E3885" t="inlineStr">
        <is>
          <t>unknown</t>
        </is>
      </c>
      <c r="F3885">
        <f>IFERROR(MATCH(A3885,Deals!$A$2:$A$843,0),"")</f>
        <v/>
      </c>
      <c r="G3885">
        <f>IF(F3885="",0,1)</f>
        <v/>
      </c>
      <c r="H3885" s="29">
        <f>IF(F3885="","",INDEX(Deals!$E$2:$E$843,F3885))</f>
        <v/>
      </c>
      <c r="I3885">
        <f>IF(F3885="","",INDEX(Deals!$D$2:$D$843,F3885))</f>
        <v/>
      </c>
      <c r="J3885">
        <f>IF(F3885="","",INT(H3885)-B3885)</f>
        <v/>
      </c>
      <c r="K3885">
        <f>IF(B3885&gt;=Settings!$C$5,1,0)</f>
        <v/>
      </c>
    </row>
    <row r="3886">
      <c r="A3886" t="inlineStr">
        <is>
          <t>8be9c8f2977bbe85dec249c9c11d8e35</t>
        </is>
      </c>
      <c r="B3886" s="29" t="n">
        <v>43004</v>
      </c>
      <c r="C3886" t="inlineStr">
        <is>
          <t>2017-09</t>
        </is>
      </c>
      <c r="D3886" t="inlineStr">
        <is>
          <t>87732658ba41d8775e8577df347a64db</t>
        </is>
      </c>
      <c r="E3886" t="inlineStr">
        <is>
          <t>social</t>
        </is>
      </c>
      <c r="F3886">
        <f>IFERROR(MATCH(A3886,Deals!$A$2:$A$843,0),"")</f>
        <v/>
      </c>
      <c r="G3886">
        <f>IF(F3886="",0,1)</f>
        <v/>
      </c>
      <c r="H3886" s="29">
        <f>IF(F3886="","",INDEX(Deals!$E$2:$E$843,F3886))</f>
        <v/>
      </c>
      <c r="I3886">
        <f>IF(F3886="","",INDEX(Deals!$D$2:$D$843,F3886))</f>
        <v/>
      </c>
      <c r="J3886">
        <f>IF(F3886="","",INT(H3886)-B3886)</f>
        <v/>
      </c>
      <c r="K3886">
        <f>IF(B3886&gt;=Settings!$C$5,1,0)</f>
        <v/>
      </c>
    </row>
    <row r="3887">
      <c r="A3887" t="inlineStr">
        <is>
          <t>014e4cc0f935b06c12c94cbaeabbaae0</t>
        </is>
      </c>
      <c r="B3887" s="29" t="n">
        <v>43081</v>
      </c>
      <c r="C3887" t="inlineStr">
        <is>
          <t>2017-12</t>
        </is>
      </c>
      <c r="D3887" t="inlineStr">
        <is>
          <t>9df372c20395ad99d9cb43dfd84e305f</t>
        </is>
      </c>
      <c r="E3887" t="inlineStr">
        <is>
          <t>email</t>
        </is>
      </c>
      <c r="F3887">
        <f>IFERROR(MATCH(A3887,Deals!$A$2:$A$843,0),"")</f>
        <v/>
      </c>
      <c r="G3887">
        <f>IF(F3887="",0,1)</f>
        <v/>
      </c>
      <c r="H3887" s="29">
        <f>IF(F3887="","",INDEX(Deals!$E$2:$E$843,F3887))</f>
        <v/>
      </c>
      <c r="I3887">
        <f>IF(F3887="","",INDEX(Deals!$D$2:$D$843,F3887))</f>
        <v/>
      </c>
      <c r="J3887">
        <f>IF(F3887="","",INT(H3887)-B3887)</f>
        <v/>
      </c>
      <c r="K3887">
        <f>IF(B3887&gt;=Settings!$C$5,1,0)</f>
        <v/>
      </c>
    </row>
    <row r="3888">
      <c r="A3888" t="inlineStr">
        <is>
          <t>35a721419aeeb9779f69359d946fcb41</t>
        </is>
      </c>
      <c r="B3888" s="29" t="n">
        <v>43144</v>
      </c>
      <c r="C3888" t="inlineStr">
        <is>
          <t>2018-02</t>
        </is>
      </c>
      <c r="D3888" t="inlineStr">
        <is>
          <t>88740e65d5d6b056e0cda098e1ea6313</t>
        </is>
      </c>
      <c r="E3888" t="inlineStr">
        <is>
          <t>social</t>
        </is>
      </c>
      <c r="F3888">
        <f>IFERROR(MATCH(A3888,Deals!$A$2:$A$843,0),"")</f>
        <v/>
      </c>
      <c r="G3888">
        <f>IF(F3888="",0,1)</f>
        <v/>
      </c>
      <c r="H3888" s="29">
        <f>IF(F3888="","",INDEX(Deals!$E$2:$E$843,F3888))</f>
        <v/>
      </c>
      <c r="I3888">
        <f>IF(F3888="","",INDEX(Deals!$D$2:$D$843,F3888))</f>
        <v/>
      </c>
      <c r="J3888">
        <f>IF(F3888="","",INT(H3888)-B3888)</f>
        <v/>
      </c>
      <c r="K3888">
        <f>IF(B3888&gt;=Settings!$C$5,1,0)</f>
        <v/>
      </c>
    </row>
    <row r="3889">
      <c r="A3889" t="inlineStr">
        <is>
          <t>0a30984ca2e5f170d14cc06c70e087aa</t>
        </is>
      </c>
      <c r="B3889" s="29" t="n">
        <v>43145</v>
      </c>
      <c r="C3889" t="inlineStr">
        <is>
          <t>2018-02</t>
        </is>
      </c>
      <c r="D3889" t="inlineStr">
        <is>
          <t>b6885f18d203a61176418c1fb3764815</t>
        </is>
      </c>
      <c r="E3889" t="inlineStr">
        <is>
          <t>paid_search</t>
        </is>
      </c>
      <c r="F3889">
        <f>IFERROR(MATCH(A3889,Deals!$A$2:$A$843,0),"")</f>
        <v/>
      </c>
      <c r="G3889">
        <f>IF(F3889="",0,1)</f>
        <v/>
      </c>
      <c r="H3889" s="29">
        <f>IF(F3889="","",INDEX(Deals!$E$2:$E$843,F3889))</f>
        <v/>
      </c>
      <c r="I3889">
        <f>IF(F3889="","",INDEX(Deals!$D$2:$D$843,F3889))</f>
        <v/>
      </c>
      <c r="J3889">
        <f>IF(F3889="","",INT(H3889)-B3889)</f>
        <v/>
      </c>
      <c r="K3889">
        <f>IF(B3889&gt;=Settings!$C$5,1,0)</f>
        <v/>
      </c>
    </row>
    <row r="3890">
      <c r="A3890" t="inlineStr">
        <is>
          <t>f87a6139b96bb4b85b23618ae6988252</t>
        </is>
      </c>
      <c r="B3890" s="29" t="n">
        <v>43187</v>
      </c>
      <c r="C3890" t="inlineStr">
        <is>
          <t>2018-03</t>
        </is>
      </c>
      <c r="D3890" t="inlineStr">
        <is>
          <t>007f9098284a86ee80ddeb25d53e0af8</t>
        </is>
      </c>
      <c r="E3890" t="inlineStr">
        <is>
          <t>paid_search</t>
        </is>
      </c>
      <c r="F3890">
        <f>IFERROR(MATCH(A3890,Deals!$A$2:$A$843,0),"")</f>
        <v/>
      </c>
      <c r="G3890">
        <f>IF(F3890="",0,1)</f>
        <v/>
      </c>
      <c r="H3890" s="29">
        <f>IF(F3890="","",INDEX(Deals!$E$2:$E$843,F3890))</f>
        <v/>
      </c>
      <c r="I3890">
        <f>IF(F3890="","",INDEX(Deals!$D$2:$D$843,F3890))</f>
        <v/>
      </c>
      <c r="J3890">
        <f>IF(F3890="","",INT(H3890)-B3890)</f>
        <v/>
      </c>
      <c r="K3890">
        <f>IF(B3890&gt;=Settings!$C$5,1,0)</f>
        <v/>
      </c>
    </row>
    <row r="3891">
      <c r="A3891" t="inlineStr">
        <is>
          <t>9f1dd83ac3b7bcbf034240fad7ff7d4d</t>
        </is>
      </c>
      <c r="B3891" s="29" t="n">
        <v>43213</v>
      </c>
      <c r="C3891" t="inlineStr">
        <is>
          <t>2018-04</t>
        </is>
      </c>
      <c r="D3891" t="inlineStr">
        <is>
          <t>58326e62183c14b0c03085c33b9fdc44</t>
        </is>
      </c>
      <c r="E3891" t="inlineStr">
        <is>
          <t>social</t>
        </is>
      </c>
      <c r="F3891">
        <f>IFERROR(MATCH(A3891,Deals!$A$2:$A$843,0),"")</f>
        <v/>
      </c>
      <c r="G3891">
        <f>IF(F3891="",0,1)</f>
        <v/>
      </c>
      <c r="H3891" s="29">
        <f>IF(F3891="","",INDEX(Deals!$E$2:$E$843,F3891))</f>
        <v/>
      </c>
      <c r="I3891">
        <f>IF(F3891="","",INDEX(Deals!$D$2:$D$843,F3891))</f>
        <v/>
      </c>
      <c r="J3891">
        <f>IF(F3891="","",INT(H3891)-B3891)</f>
        <v/>
      </c>
      <c r="K3891">
        <f>IF(B3891&gt;=Settings!$C$5,1,0)</f>
        <v/>
      </c>
    </row>
    <row r="3892">
      <c r="A3892" t="inlineStr">
        <is>
          <t>a8cedcba8ef7e7cc2faae10b2ac03461</t>
        </is>
      </c>
      <c r="B3892" s="29" t="n">
        <v>43194</v>
      </c>
      <c r="C3892" t="inlineStr">
        <is>
          <t>2018-04</t>
        </is>
      </c>
      <c r="D3892" t="inlineStr">
        <is>
          <t>58326e62183c14b0c03085c33b9fdc44</t>
        </is>
      </c>
      <c r="E3892" t="inlineStr">
        <is>
          <t>social</t>
        </is>
      </c>
      <c r="F3892">
        <f>IFERROR(MATCH(A3892,Deals!$A$2:$A$843,0),"")</f>
        <v/>
      </c>
      <c r="G3892">
        <f>IF(F3892="",0,1)</f>
        <v/>
      </c>
      <c r="H3892" s="29">
        <f>IF(F3892="","",INDEX(Deals!$E$2:$E$843,F3892))</f>
        <v/>
      </c>
      <c r="I3892">
        <f>IF(F3892="","",INDEX(Deals!$D$2:$D$843,F3892))</f>
        <v/>
      </c>
      <c r="J3892">
        <f>IF(F3892="","",INT(H3892)-B3892)</f>
        <v/>
      </c>
      <c r="K3892">
        <f>IF(B3892&gt;=Settings!$C$5,1,0)</f>
        <v/>
      </c>
    </row>
    <row r="3893">
      <c r="A3893" t="inlineStr">
        <is>
          <t>2db6c70605a36497764d214c2a7b8347</t>
        </is>
      </c>
      <c r="B3893" s="29" t="n">
        <v>43230</v>
      </c>
      <c r="C3893" t="inlineStr">
        <is>
          <t>2018-05</t>
        </is>
      </c>
      <c r="D3893" t="inlineStr">
        <is>
          <t>909e333f8f23574f93115bd3d402e202</t>
        </is>
      </c>
      <c r="E3893" t="inlineStr">
        <is>
          <t>organic_search</t>
        </is>
      </c>
      <c r="F3893">
        <f>IFERROR(MATCH(A3893,Deals!$A$2:$A$843,0),"")</f>
        <v/>
      </c>
      <c r="G3893">
        <f>IF(F3893="",0,1)</f>
        <v/>
      </c>
      <c r="H3893" s="29">
        <f>IF(F3893="","",INDEX(Deals!$E$2:$E$843,F3893))</f>
        <v/>
      </c>
      <c r="I3893">
        <f>IF(F3893="","",INDEX(Deals!$D$2:$D$843,F3893))</f>
        <v/>
      </c>
      <c r="J3893">
        <f>IF(F3893="","",INT(H3893)-B3893)</f>
        <v/>
      </c>
      <c r="K3893">
        <f>IF(B3893&gt;=Settings!$C$5,1,0)</f>
        <v/>
      </c>
    </row>
    <row r="3894">
      <c r="A3894" t="inlineStr">
        <is>
          <t>4e92cdeada5b8e753d95bc8c5c219f6d</t>
        </is>
      </c>
      <c r="B3894" s="29" t="n">
        <v>43145</v>
      </c>
      <c r="C3894" t="inlineStr">
        <is>
          <t>2018-02</t>
        </is>
      </c>
      <c r="D3894" t="inlineStr">
        <is>
          <t>22c29808c4f815213303f8933030604c</t>
        </is>
      </c>
      <c r="E3894" t="inlineStr">
        <is>
          <t>paid_search</t>
        </is>
      </c>
      <c r="F3894">
        <f>IFERROR(MATCH(A3894,Deals!$A$2:$A$843,0),"")</f>
        <v/>
      </c>
      <c r="G3894">
        <f>IF(F3894="",0,1)</f>
        <v/>
      </c>
      <c r="H3894" s="29">
        <f>IF(F3894="","",INDEX(Deals!$E$2:$E$843,F3894))</f>
        <v/>
      </c>
      <c r="I3894">
        <f>IF(F3894="","",INDEX(Deals!$D$2:$D$843,F3894))</f>
        <v/>
      </c>
      <c r="J3894">
        <f>IF(F3894="","",INT(H3894)-B3894)</f>
        <v/>
      </c>
      <c r="K3894">
        <f>IF(B3894&gt;=Settings!$C$5,1,0)</f>
        <v/>
      </c>
    </row>
    <row r="3895">
      <c r="A3895" t="inlineStr">
        <is>
          <t>27e1de966486683d55bbe5793da45568</t>
        </is>
      </c>
      <c r="B3895" s="29" t="n">
        <v>43215</v>
      </c>
      <c r="C3895" t="inlineStr">
        <is>
          <t>2018-04</t>
        </is>
      </c>
      <c r="D3895" t="inlineStr">
        <is>
          <t>e492ee5eaf1697716985cc6f33f9cd9b</t>
        </is>
      </c>
      <c r="E3895" t="inlineStr">
        <is>
          <t>paid_search</t>
        </is>
      </c>
      <c r="F3895">
        <f>IFERROR(MATCH(A3895,Deals!$A$2:$A$843,0),"")</f>
        <v/>
      </c>
      <c r="G3895">
        <f>IF(F3895="",0,1)</f>
        <v/>
      </c>
      <c r="H3895" s="29">
        <f>IF(F3895="","",INDEX(Deals!$E$2:$E$843,F3895))</f>
        <v/>
      </c>
      <c r="I3895">
        <f>IF(F3895="","",INDEX(Deals!$D$2:$D$843,F3895))</f>
        <v/>
      </c>
      <c r="J3895">
        <f>IF(F3895="","",INT(H3895)-B3895)</f>
        <v/>
      </c>
      <c r="K3895">
        <f>IF(B3895&gt;=Settings!$C$5,1,0)</f>
        <v/>
      </c>
    </row>
    <row r="3896">
      <c r="A3896" t="inlineStr">
        <is>
          <t>9b372f77062948ef874e4c2bbe7e6cee</t>
        </is>
      </c>
      <c r="B3896" s="29" t="n">
        <v>43104</v>
      </c>
      <c r="C3896" t="inlineStr">
        <is>
          <t>2018-01</t>
        </is>
      </c>
      <c r="D3896" t="inlineStr">
        <is>
          <t>b76ef37428e6799c421989521c0e5077</t>
        </is>
      </c>
      <c r="E3896" t="inlineStr">
        <is>
          <t>unknown</t>
        </is>
      </c>
      <c r="F3896">
        <f>IFERROR(MATCH(A3896,Deals!$A$2:$A$843,0),"")</f>
        <v/>
      </c>
      <c r="G3896">
        <f>IF(F3896="",0,1)</f>
        <v/>
      </c>
      <c r="H3896" s="29">
        <f>IF(F3896="","",INDEX(Deals!$E$2:$E$843,F3896))</f>
        <v/>
      </c>
      <c r="I3896">
        <f>IF(F3896="","",INDEX(Deals!$D$2:$D$843,F3896))</f>
        <v/>
      </c>
      <c r="J3896">
        <f>IF(F3896="","",INT(H3896)-B3896)</f>
        <v/>
      </c>
      <c r="K3896">
        <f>IF(B3896&gt;=Settings!$C$5,1,0)</f>
        <v/>
      </c>
    </row>
    <row r="3897">
      <c r="A3897" t="inlineStr">
        <is>
          <t>c57856cab05558e8a4bd1c833082191b</t>
        </is>
      </c>
      <c r="B3897" s="29" t="n">
        <v>43102</v>
      </c>
      <c r="C3897" t="inlineStr">
        <is>
          <t>2018-01</t>
        </is>
      </c>
      <c r="D3897" t="inlineStr">
        <is>
          <t>a7982125ff7aa3b2054c6e44f9d28522</t>
        </is>
      </c>
      <c r="E3897" t="inlineStr">
        <is>
          <t>organic_search</t>
        </is>
      </c>
      <c r="F3897">
        <f>IFERROR(MATCH(A3897,Deals!$A$2:$A$843,0),"")</f>
        <v/>
      </c>
      <c r="G3897">
        <f>IF(F3897="",0,1)</f>
        <v/>
      </c>
      <c r="H3897" s="29">
        <f>IF(F3897="","",INDEX(Deals!$E$2:$E$843,F3897))</f>
        <v/>
      </c>
      <c r="I3897">
        <f>IF(F3897="","",INDEX(Deals!$D$2:$D$843,F3897))</f>
        <v/>
      </c>
      <c r="J3897">
        <f>IF(F3897="","",INT(H3897)-B3897)</f>
        <v/>
      </c>
      <c r="K3897">
        <f>IF(B3897&gt;=Settings!$C$5,1,0)</f>
        <v/>
      </c>
    </row>
    <row r="3898">
      <c r="A3898" t="inlineStr">
        <is>
          <t>f835b8aee9c81ffe5be5ec96139a0567</t>
        </is>
      </c>
      <c r="B3898" s="29" t="n">
        <v>43172</v>
      </c>
      <c r="C3898" t="inlineStr">
        <is>
          <t>2018-03</t>
        </is>
      </c>
      <c r="D3898" t="inlineStr">
        <is>
          <t>bddebc4f4d44106c427bd00695840e64</t>
        </is>
      </c>
      <c r="E3898" t="inlineStr">
        <is>
          <t>email</t>
        </is>
      </c>
      <c r="F3898">
        <f>IFERROR(MATCH(A3898,Deals!$A$2:$A$843,0),"")</f>
        <v/>
      </c>
      <c r="G3898">
        <f>IF(F3898="",0,1)</f>
        <v/>
      </c>
      <c r="H3898" s="29">
        <f>IF(F3898="","",INDEX(Deals!$E$2:$E$843,F3898))</f>
        <v/>
      </c>
      <c r="I3898">
        <f>IF(F3898="","",INDEX(Deals!$D$2:$D$843,F3898))</f>
        <v/>
      </c>
      <c r="J3898">
        <f>IF(F3898="","",INT(H3898)-B3898)</f>
        <v/>
      </c>
      <c r="K3898">
        <f>IF(B3898&gt;=Settings!$C$5,1,0)</f>
        <v/>
      </c>
    </row>
    <row r="3899">
      <c r="A3899" t="inlineStr">
        <is>
          <t>5565306af57992dcd598a34478741335</t>
        </is>
      </c>
      <c r="B3899" s="29" t="n">
        <v>43197</v>
      </c>
      <c r="C3899" t="inlineStr">
        <is>
          <t>2018-04</t>
        </is>
      </c>
      <c r="D3899" t="inlineStr">
        <is>
          <t>1d4ddc25ccaa2adeded340b6eda66182</t>
        </is>
      </c>
      <c r="E3899" t="inlineStr">
        <is>
          <t>organic_search</t>
        </is>
      </c>
      <c r="F3899">
        <f>IFERROR(MATCH(A3899,Deals!$A$2:$A$843,0),"")</f>
        <v/>
      </c>
      <c r="G3899">
        <f>IF(F3899="",0,1)</f>
        <v/>
      </c>
      <c r="H3899" s="29">
        <f>IF(F3899="","",INDEX(Deals!$E$2:$E$843,F3899))</f>
        <v/>
      </c>
      <c r="I3899">
        <f>IF(F3899="","",INDEX(Deals!$D$2:$D$843,F3899))</f>
        <v/>
      </c>
      <c r="J3899">
        <f>IF(F3899="","",INT(H3899)-B3899)</f>
        <v/>
      </c>
      <c r="K3899">
        <f>IF(B3899&gt;=Settings!$C$5,1,0)</f>
        <v/>
      </c>
    </row>
    <row r="3900">
      <c r="A3900" t="inlineStr">
        <is>
          <t>e3711748ccb649508462a9211bef40de</t>
        </is>
      </c>
      <c r="B3900" s="29" t="n">
        <v>43208</v>
      </c>
      <c r="C3900" t="inlineStr">
        <is>
          <t>2018-04</t>
        </is>
      </c>
      <c r="D3900" t="inlineStr">
        <is>
          <t>58326e62183c14b0c03085c33b9fdc44</t>
        </is>
      </c>
      <c r="E3900" t="inlineStr">
        <is>
          <t>social</t>
        </is>
      </c>
      <c r="F3900">
        <f>IFERROR(MATCH(A3900,Deals!$A$2:$A$843,0),"")</f>
        <v/>
      </c>
      <c r="G3900">
        <f>IF(F3900="",0,1)</f>
        <v/>
      </c>
      <c r="H3900" s="29">
        <f>IF(F3900="","",INDEX(Deals!$E$2:$E$843,F3900))</f>
        <v/>
      </c>
      <c r="I3900">
        <f>IF(F3900="","",INDEX(Deals!$D$2:$D$843,F3900))</f>
        <v/>
      </c>
      <c r="J3900">
        <f>IF(F3900="","",INT(H3900)-B3900)</f>
        <v/>
      </c>
      <c r="K3900">
        <f>IF(B3900&gt;=Settings!$C$5,1,0)</f>
        <v/>
      </c>
    </row>
    <row r="3901">
      <c r="A3901" t="inlineStr">
        <is>
          <t>c263e540e76c57607b5e1b613fbc8732</t>
        </is>
      </c>
      <c r="B3901" s="29" t="n">
        <v>43210</v>
      </c>
      <c r="C3901" t="inlineStr">
        <is>
          <t>2018-04</t>
        </is>
      </c>
      <c r="D3901" t="inlineStr">
        <is>
          <t>b76ef37428e6799c421989521c0e5077</t>
        </is>
      </c>
      <c r="E3901" t="inlineStr">
        <is>
          <t>referral</t>
        </is>
      </c>
      <c r="F3901">
        <f>IFERROR(MATCH(A3901,Deals!$A$2:$A$843,0),"")</f>
        <v/>
      </c>
      <c r="G3901">
        <f>IF(F3901="",0,1)</f>
        <v/>
      </c>
      <c r="H3901" s="29">
        <f>IF(F3901="","",INDEX(Deals!$E$2:$E$843,F3901))</f>
        <v/>
      </c>
      <c r="I3901">
        <f>IF(F3901="","",INDEX(Deals!$D$2:$D$843,F3901))</f>
        <v/>
      </c>
      <c r="J3901">
        <f>IF(F3901="","",INT(H3901)-B3901)</f>
        <v/>
      </c>
      <c r="K3901">
        <f>IF(B3901&gt;=Settings!$C$5,1,0)</f>
        <v/>
      </c>
    </row>
    <row r="3902">
      <c r="A3902" t="inlineStr">
        <is>
          <t>1713b6c4a9894e373d23548f577a679f</t>
        </is>
      </c>
      <c r="B3902" s="29" t="n">
        <v>43227</v>
      </c>
      <c r="C3902" t="inlineStr">
        <is>
          <t>2018-05</t>
        </is>
      </c>
      <c r="D3902" t="inlineStr">
        <is>
          <t>b76ef37428e6799c421989521c0e5077</t>
        </is>
      </c>
      <c r="E3902" t="inlineStr">
        <is>
          <t>unknown</t>
        </is>
      </c>
      <c r="F3902">
        <f>IFERROR(MATCH(A3902,Deals!$A$2:$A$843,0),"")</f>
        <v/>
      </c>
      <c r="G3902">
        <f>IF(F3902="",0,1)</f>
        <v/>
      </c>
      <c r="H3902" s="29">
        <f>IF(F3902="","",INDEX(Deals!$E$2:$E$843,F3902))</f>
        <v/>
      </c>
      <c r="I3902">
        <f>IF(F3902="","",INDEX(Deals!$D$2:$D$843,F3902))</f>
        <v/>
      </c>
      <c r="J3902">
        <f>IF(F3902="","",INT(H3902)-B3902)</f>
        <v/>
      </c>
      <c r="K3902">
        <f>IF(B3902&gt;=Settings!$C$5,1,0)</f>
        <v/>
      </c>
    </row>
    <row r="3903">
      <c r="A3903" t="inlineStr">
        <is>
          <t>fb599e8812a99b3e8eea97922b3758cb</t>
        </is>
      </c>
      <c r="B3903" s="29" t="n">
        <v>43160</v>
      </c>
      <c r="C3903" t="inlineStr">
        <is>
          <t>2018-03</t>
        </is>
      </c>
      <c r="D3903" t="inlineStr">
        <is>
          <t>313edefdee4adcd34e8cbec1854ba5a9</t>
        </is>
      </c>
      <c r="E3903" t="inlineStr">
        <is>
          <t>direct_traffic</t>
        </is>
      </c>
      <c r="F3903">
        <f>IFERROR(MATCH(A3903,Deals!$A$2:$A$843,0),"")</f>
        <v/>
      </c>
      <c r="G3903">
        <f>IF(F3903="",0,1)</f>
        <v/>
      </c>
      <c r="H3903" s="29">
        <f>IF(F3903="","",INDEX(Deals!$E$2:$E$843,F3903))</f>
        <v/>
      </c>
      <c r="I3903">
        <f>IF(F3903="","",INDEX(Deals!$D$2:$D$843,F3903))</f>
        <v/>
      </c>
      <c r="J3903">
        <f>IF(F3903="","",INT(H3903)-B3903)</f>
        <v/>
      </c>
      <c r="K3903">
        <f>IF(B3903&gt;=Settings!$C$5,1,0)</f>
        <v/>
      </c>
    </row>
    <row r="3904">
      <c r="A3904" t="inlineStr">
        <is>
          <t>ff16d86ffe81cfaa7f6e627ed1679c1b</t>
        </is>
      </c>
      <c r="B3904" s="29" t="n">
        <v>43144</v>
      </c>
      <c r="C3904" t="inlineStr">
        <is>
          <t>2018-02</t>
        </is>
      </c>
      <c r="D3904" t="inlineStr">
        <is>
          <t>22c29808c4f815213303f8933030604c</t>
        </is>
      </c>
      <c r="E3904" t="inlineStr">
        <is>
          <t>paid_search</t>
        </is>
      </c>
      <c r="F3904">
        <f>IFERROR(MATCH(A3904,Deals!$A$2:$A$843,0),"")</f>
        <v/>
      </c>
      <c r="G3904">
        <f>IF(F3904="",0,1)</f>
        <v/>
      </c>
      <c r="H3904" s="29">
        <f>IF(F3904="","",INDEX(Deals!$E$2:$E$843,F3904))</f>
        <v/>
      </c>
      <c r="I3904">
        <f>IF(F3904="","",INDEX(Deals!$D$2:$D$843,F3904))</f>
        <v/>
      </c>
      <c r="J3904">
        <f>IF(F3904="","",INT(H3904)-B3904)</f>
        <v/>
      </c>
      <c r="K3904">
        <f>IF(B3904&gt;=Settings!$C$5,1,0)</f>
        <v/>
      </c>
    </row>
    <row r="3905">
      <c r="A3905" t="inlineStr">
        <is>
          <t>143e1da8e6c7c95f7b9401091be6c3fa</t>
        </is>
      </c>
      <c r="B3905" s="29" t="n">
        <v>43210</v>
      </c>
      <c r="C3905" t="inlineStr">
        <is>
          <t>2018-04</t>
        </is>
      </c>
      <c r="D3905" t="inlineStr">
        <is>
          <t>9b106865e464b4ad89b1b626f2c2e1d7</t>
        </is>
      </c>
      <c r="E3905" t="inlineStr">
        <is>
          <t>social</t>
        </is>
      </c>
      <c r="F3905">
        <f>IFERROR(MATCH(A3905,Deals!$A$2:$A$843,0),"")</f>
        <v/>
      </c>
      <c r="G3905">
        <f>IF(F3905="",0,1)</f>
        <v/>
      </c>
      <c r="H3905" s="29">
        <f>IF(F3905="","",INDEX(Deals!$E$2:$E$843,F3905))</f>
        <v/>
      </c>
      <c r="I3905">
        <f>IF(F3905="","",INDEX(Deals!$D$2:$D$843,F3905))</f>
        <v/>
      </c>
      <c r="J3905">
        <f>IF(F3905="","",INT(H3905)-B3905)</f>
        <v/>
      </c>
      <c r="K3905">
        <f>IF(B3905&gt;=Settings!$C$5,1,0)</f>
        <v/>
      </c>
    </row>
    <row r="3906">
      <c r="A3906" t="inlineStr">
        <is>
          <t>40a862df96c3aaee56ff5f2c750de8c1</t>
        </is>
      </c>
      <c r="B3906" s="29" t="n">
        <v>43202</v>
      </c>
      <c r="C3906" t="inlineStr">
        <is>
          <t>2018-04</t>
        </is>
      </c>
      <c r="D3906" t="inlineStr">
        <is>
          <t>58326e62183c14b0c03085c33b9fdc44</t>
        </is>
      </c>
      <c r="E3906" t="inlineStr">
        <is>
          <t>social</t>
        </is>
      </c>
      <c r="F3906">
        <f>IFERROR(MATCH(A3906,Deals!$A$2:$A$843,0),"")</f>
        <v/>
      </c>
      <c r="G3906">
        <f>IF(F3906="",0,1)</f>
        <v/>
      </c>
      <c r="H3906" s="29">
        <f>IF(F3906="","",INDEX(Deals!$E$2:$E$843,F3906))</f>
        <v/>
      </c>
      <c r="I3906">
        <f>IF(F3906="","",INDEX(Deals!$D$2:$D$843,F3906))</f>
        <v/>
      </c>
      <c r="J3906">
        <f>IF(F3906="","",INT(H3906)-B3906)</f>
        <v/>
      </c>
      <c r="K3906">
        <f>IF(B3906&gt;=Settings!$C$5,1,0)</f>
        <v/>
      </c>
    </row>
    <row r="3907">
      <c r="A3907" t="inlineStr">
        <is>
          <t>ca904c1dfe5c1e4415ce964959278c45</t>
        </is>
      </c>
      <c r="B3907" s="29" t="n">
        <v>43146</v>
      </c>
      <c r="C3907" t="inlineStr">
        <is>
          <t>2018-02</t>
        </is>
      </c>
      <c r="D3907" t="inlineStr">
        <is>
          <t>b16779a74f2b20eb9a17a785519f63a0</t>
        </is>
      </c>
      <c r="E3907" t="inlineStr">
        <is>
          <t>organic_search</t>
        </is>
      </c>
      <c r="F3907">
        <f>IFERROR(MATCH(A3907,Deals!$A$2:$A$843,0),"")</f>
        <v/>
      </c>
      <c r="G3907">
        <f>IF(F3907="",0,1)</f>
        <v/>
      </c>
      <c r="H3907" s="29">
        <f>IF(F3907="","",INDEX(Deals!$E$2:$E$843,F3907))</f>
        <v/>
      </c>
      <c r="I3907">
        <f>IF(F3907="","",INDEX(Deals!$D$2:$D$843,F3907))</f>
        <v/>
      </c>
      <c r="J3907">
        <f>IF(F3907="","",INT(H3907)-B3907)</f>
        <v/>
      </c>
      <c r="K3907">
        <f>IF(B3907&gt;=Settings!$C$5,1,0)</f>
        <v/>
      </c>
    </row>
    <row r="3908">
      <c r="A3908" t="inlineStr">
        <is>
          <t>b6d647bef97806f924072628784229c2</t>
        </is>
      </c>
      <c r="B3908" s="29" t="n">
        <v>43111</v>
      </c>
      <c r="C3908" t="inlineStr">
        <is>
          <t>2018-01</t>
        </is>
      </c>
      <c r="D3908" t="inlineStr">
        <is>
          <t>40dec9f3d5259a3d2dbcdab2114fae47</t>
        </is>
      </c>
      <c r="E3908" t="inlineStr">
        <is>
          <t>organic_search</t>
        </is>
      </c>
      <c r="F3908">
        <f>IFERROR(MATCH(A3908,Deals!$A$2:$A$843,0),"")</f>
        <v/>
      </c>
      <c r="G3908">
        <f>IF(F3908="",0,1)</f>
        <v/>
      </c>
      <c r="H3908" s="29">
        <f>IF(F3908="","",INDEX(Deals!$E$2:$E$843,F3908))</f>
        <v/>
      </c>
      <c r="I3908">
        <f>IF(F3908="","",INDEX(Deals!$D$2:$D$843,F3908))</f>
        <v/>
      </c>
      <c r="J3908">
        <f>IF(F3908="","",INT(H3908)-B3908)</f>
        <v/>
      </c>
      <c r="K3908">
        <f>IF(B3908&gt;=Settings!$C$5,1,0)</f>
        <v/>
      </c>
    </row>
    <row r="3909">
      <c r="A3909" t="inlineStr">
        <is>
          <t>26b1f24a1e10f95807d2a1a690705da7</t>
        </is>
      </c>
      <c r="B3909" s="29" t="n">
        <v>43191</v>
      </c>
      <c r="C3909" t="inlineStr">
        <is>
          <t>2018-04</t>
        </is>
      </c>
      <c r="D3909" t="inlineStr">
        <is>
          <t>f017be4dbf86243af5c1ebed0cff36a2</t>
        </is>
      </c>
      <c r="E3909" t="inlineStr">
        <is>
          <t>social</t>
        </is>
      </c>
      <c r="F3909">
        <f>IFERROR(MATCH(A3909,Deals!$A$2:$A$843,0),"")</f>
        <v/>
      </c>
      <c r="G3909">
        <f>IF(F3909="",0,1)</f>
        <v/>
      </c>
      <c r="H3909" s="29">
        <f>IF(F3909="","",INDEX(Deals!$E$2:$E$843,F3909))</f>
        <v/>
      </c>
      <c r="I3909">
        <f>IF(F3909="","",INDEX(Deals!$D$2:$D$843,F3909))</f>
        <v/>
      </c>
      <c r="J3909">
        <f>IF(F3909="","",INT(H3909)-B3909)</f>
        <v/>
      </c>
      <c r="K3909">
        <f>IF(B3909&gt;=Settings!$C$5,1,0)</f>
        <v/>
      </c>
    </row>
    <row r="3910">
      <c r="A3910" t="inlineStr">
        <is>
          <t>88c84d1e17f5ccc985deb49af978e07a</t>
        </is>
      </c>
      <c r="B3910" s="29" t="n">
        <v>43216</v>
      </c>
      <c r="C3910" t="inlineStr">
        <is>
          <t>2018-04</t>
        </is>
      </c>
      <c r="D3910" t="inlineStr">
        <is>
          <t>22c29808c4f815213303f8933030604c</t>
        </is>
      </c>
      <c r="E3910" t="inlineStr">
        <is>
          <t>social</t>
        </is>
      </c>
      <c r="F3910">
        <f>IFERROR(MATCH(A3910,Deals!$A$2:$A$843,0),"")</f>
        <v/>
      </c>
      <c r="G3910">
        <f>IF(F3910="",0,1)</f>
        <v/>
      </c>
      <c r="H3910" s="29">
        <f>IF(F3910="","",INDEX(Deals!$E$2:$E$843,F3910))</f>
        <v/>
      </c>
      <c r="I3910">
        <f>IF(F3910="","",INDEX(Deals!$D$2:$D$843,F3910))</f>
        <v/>
      </c>
      <c r="J3910">
        <f>IF(F3910="","",INT(H3910)-B3910)</f>
        <v/>
      </c>
      <c r="K3910">
        <f>IF(B3910&gt;=Settings!$C$5,1,0)</f>
        <v/>
      </c>
    </row>
    <row r="3911">
      <c r="A3911" t="inlineStr">
        <is>
          <t>a993ccc69d392bfded3ccd802b9268fc</t>
        </is>
      </c>
      <c r="B3911" s="29" t="n">
        <v>43105</v>
      </c>
      <c r="C3911" t="inlineStr">
        <is>
          <t>2018-01</t>
        </is>
      </c>
      <c r="D3911" t="inlineStr">
        <is>
          <t>22c29808c4f815213303f8933030604c</t>
        </is>
      </c>
      <c r="E3911" t="inlineStr">
        <is>
          <t>organic_search</t>
        </is>
      </c>
      <c r="F3911">
        <f>IFERROR(MATCH(A3911,Deals!$A$2:$A$843,0),"")</f>
        <v/>
      </c>
      <c r="G3911">
        <f>IF(F3911="",0,1)</f>
        <v/>
      </c>
      <c r="H3911" s="29">
        <f>IF(F3911="","",INDEX(Deals!$E$2:$E$843,F3911))</f>
        <v/>
      </c>
      <c r="I3911">
        <f>IF(F3911="","",INDEX(Deals!$D$2:$D$843,F3911))</f>
        <v/>
      </c>
      <c r="J3911">
        <f>IF(F3911="","",INT(H3911)-B3911)</f>
        <v/>
      </c>
      <c r="K3911">
        <f>IF(B3911&gt;=Settings!$C$5,1,0)</f>
        <v/>
      </c>
    </row>
    <row r="3912">
      <c r="A3912" t="inlineStr">
        <is>
          <t>3c0e7686e6e39489f6a45f6c7ec0dddb</t>
        </is>
      </c>
      <c r="B3912" s="29" t="n">
        <v>43158</v>
      </c>
      <c r="C3912" t="inlineStr">
        <is>
          <t>2018-02</t>
        </is>
      </c>
      <c r="D3912" t="inlineStr">
        <is>
          <t>22c29808c4f815213303f8933030604c</t>
        </is>
      </c>
      <c r="E3912" t="inlineStr">
        <is>
          <t>referral</t>
        </is>
      </c>
      <c r="F3912">
        <f>IFERROR(MATCH(A3912,Deals!$A$2:$A$843,0),"")</f>
        <v/>
      </c>
      <c r="G3912">
        <f>IF(F3912="",0,1)</f>
        <v/>
      </c>
      <c r="H3912" s="29">
        <f>IF(F3912="","",INDEX(Deals!$E$2:$E$843,F3912))</f>
        <v/>
      </c>
      <c r="I3912">
        <f>IF(F3912="","",INDEX(Deals!$D$2:$D$843,F3912))</f>
        <v/>
      </c>
      <c r="J3912">
        <f>IF(F3912="","",INT(H3912)-B3912)</f>
        <v/>
      </c>
      <c r="K3912">
        <f>IF(B3912&gt;=Settings!$C$5,1,0)</f>
        <v/>
      </c>
    </row>
    <row r="3913">
      <c r="A3913" t="inlineStr">
        <is>
          <t>2a58aa8243a51dda6dcde523c3565688</t>
        </is>
      </c>
      <c r="B3913" s="29" t="n">
        <v>43250</v>
      </c>
      <c r="C3913" t="inlineStr">
        <is>
          <t>2018-05</t>
        </is>
      </c>
      <c r="D3913" t="inlineStr">
        <is>
          <t>1ceb590cd1e00c7ee95220971f82693d</t>
        </is>
      </c>
      <c r="E3913" t="inlineStr">
        <is>
          <t>paid_search</t>
        </is>
      </c>
      <c r="F3913">
        <f>IFERROR(MATCH(A3913,Deals!$A$2:$A$843,0),"")</f>
        <v/>
      </c>
      <c r="G3913">
        <f>IF(F3913="",0,1)</f>
        <v/>
      </c>
      <c r="H3913" s="29">
        <f>IF(F3913="","",INDEX(Deals!$E$2:$E$843,F3913))</f>
        <v/>
      </c>
      <c r="I3913">
        <f>IF(F3913="","",INDEX(Deals!$D$2:$D$843,F3913))</f>
        <v/>
      </c>
      <c r="J3913">
        <f>IF(F3913="","",INT(H3913)-B3913)</f>
        <v/>
      </c>
      <c r="K3913">
        <f>IF(B3913&gt;=Settings!$C$5,1,0)</f>
        <v/>
      </c>
    </row>
    <row r="3914">
      <c r="A3914" t="inlineStr">
        <is>
          <t>77529dcd51935e9a98ad4beab0ae490e</t>
        </is>
      </c>
      <c r="B3914" s="29" t="n">
        <v>43197</v>
      </c>
      <c r="C3914" t="inlineStr">
        <is>
          <t>2018-04</t>
        </is>
      </c>
      <c r="D3914" t="inlineStr">
        <is>
          <t>0b9430edcbf2d9a95148c806af2b6699</t>
        </is>
      </c>
      <c r="E3914" t="inlineStr">
        <is>
          <t>referral</t>
        </is>
      </c>
      <c r="F3914">
        <f>IFERROR(MATCH(A3914,Deals!$A$2:$A$843,0),"")</f>
        <v/>
      </c>
      <c r="G3914">
        <f>IF(F3914="",0,1)</f>
        <v/>
      </c>
      <c r="H3914" s="29">
        <f>IF(F3914="","",INDEX(Deals!$E$2:$E$843,F3914))</f>
        <v/>
      </c>
      <c r="I3914">
        <f>IF(F3914="","",INDEX(Deals!$D$2:$D$843,F3914))</f>
        <v/>
      </c>
      <c r="J3914">
        <f>IF(F3914="","",INT(H3914)-B3914)</f>
        <v/>
      </c>
      <c r="K3914">
        <f>IF(B3914&gt;=Settings!$C$5,1,0)</f>
        <v/>
      </c>
    </row>
    <row r="3915">
      <c r="A3915" t="inlineStr">
        <is>
          <t>2162aa360552823da93fca82bf2a26f0</t>
        </is>
      </c>
      <c r="B3915" s="29" t="n">
        <v>43167</v>
      </c>
      <c r="C3915" t="inlineStr">
        <is>
          <t>2018-03</t>
        </is>
      </c>
      <c r="D3915" t="inlineStr">
        <is>
          <t>ce1a65abd0973638f1c887a6efcfa82d</t>
        </is>
      </c>
      <c r="E3915" t="inlineStr">
        <is>
          <t>organic_search</t>
        </is>
      </c>
      <c r="F3915">
        <f>IFERROR(MATCH(A3915,Deals!$A$2:$A$843,0),"")</f>
        <v/>
      </c>
      <c r="G3915">
        <f>IF(F3915="",0,1)</f>
        <v/>
      </c>
      <c r="H3915" s="29">
        <f>IF(F3915="","",INDEX(Deals!$E$2:$E$843,F3915))</f>
        <v/>
      </c>
      <c r="I3915">
        <f>IF(F3915="","",INDEX(Deals!$D$2:$D$843,F3915))</f>
        <v/>
      </c>
      <c r="J3915">
        <f>IF(F3915="","",INT(H3915)-B3915)</f>
        <v/>
      </c>
      <c r="K3915">
        <f>IF(B3915&gt;=Settings!$C$5,1,0)</f>
        <v/>
      </c>
    </row>
    <row r="3916">
      <c r="A3916" t="inlineStr">
        <is>
          <t>eba279b3c1dea40075f63c5058684420</t>
        </is>
      </c>
      <c r="B3916" s="29" t="n">
        <v>43146</v>
      </c>
      <c r="C3916" t="inlineStr">
        <is>
          <t>2018-02</t>
        </is>
      </c>
      <c r="D3916" t="inlineStr">
        <is>
          <t>b16779a74f2b20eb9a17a785519f63a0</t>
        </is>
      </c>
      <c r="E3916" t="inlineStr">
        <is>
          <t>organic_search</t>
        </is>
      </c>
      <c r="F3916">
        <f>IFERROR(MATCH(A3916,Deals!$A$2:$A$843,0),"")</f>
        <v/>
      </c>
      <c r="G3916">
        <f>IF(F3916="",0,1)</f>
        <v/>
      </c>
      <c r="H3916" s="29">
        <f>IF(F3916="","",INDEX(Deals!$E$2:$E$843,F3916))</f>
        <v/>
      </c>
      <c r="I3916">
        <f>IF(F3916="","",INDEX(Deals!$D$2:$D$843,F3916))</f>
        <v/>
      </c>
      <c r="J3916">
        <f>IF(F3916="","",INT(H3916)-B3916)</f>
        <v/>
      </c>
      <c r="K3916">
        <f>IF(B3916&gt;=Settings!$C$5,1,0)</f>
        <v/>
      </c>
    </row>
    <row r="3917">
      <c r="A3917" t="inlineStr">
        <is>
          <t>5371e634cb5d8681a54ca1beba31f5f7</t>
        </is>
      </c>
      <c r="B3917" s="29" t="n">
        <v>43136</v>
      </c>
      <c r="C3917" t="inlineStr">
        <is>
          <t>2018-02</t>
        </is>
      </c>
      <c r="D3917" t="inlineStr">
        <is>
          <t>ce1a65abd0973638f1c887a6efcfa82d</t>
        </is>
      </c>
      <c r="E3917" t="inlineStr">
        <is>
          <t>paid_search</t>
        </is>
      </c>
      <c r="F3917">
        <f>IFERROR(MATCH(A3917,Deals!$A$2:$A$843,0),"")</f>
        <v/>
      </c>
      <c r="G3917">
        <f>IF(F3917="",0,1)</f>
        <v/>
      </c>
      <c r="H3917" s="29">
        <f>IF(F3917="","",INDEX(Deals!$E$2:$E$843,F3917))</f>
        <v/>
      </c>
      <c r="I3917">
        <f>IF(F3917="","",INDEX(Deals!$D$2:$D$843,F3917))</f>
        <v/>
      </c>
      <c r="J3917">
        <f>IF(F3917="","",INT(H3917)-B3917)</f>
        <v/>
      </c>
      <c r="K3917">
        <f>IF(B3917&gt;=Settings!$C$5,1,0)</f>
        <v/>
      </c>
    </row>
    <row r="3918">
      <c r="A3918" t="inlineStr">
        <is>
          <t>4838f567d132429effc494fcda4ad56d</t>
        </is>
      </c>
      <c r="B3918" s="29" t="n">
        <v>43161</v>
      </c>
      <c r="C3918" t="inlineStr">
        <is>
          <t>2018-03</t>
        </is>
      </c>
      <c r="D3918" t="inlineStr">
        <is>
          <t>241f79c7a8fe0270f4fb79fcbbcd17ad</t>
        </is>
      </c>
      <c r="E3918" t="inlineStr">
        <is>
          <t>organic_search</t>
        </is>
      </c>
      <c r="F3918">
        <f>IFERROR(MATCH(A3918,Deals!$A$2:$A$843,0),"")</f>
        <v/>
      </c>
      <c r="G3918">
        <f>IF(F3918="",0,1)</f>
        <v/>
      </c>
      <c r="H3918" s="29">
        <f>IF(F3918="","",INDEX(Deals!$E$2:$E$843,F3918))</f>
        <v/>
      </c>
      <c r="I3918">
        <f>IF(F3918="","",INDEX(Deals!$D$2:$D$843,F3918))</f>
        <v/>
      </c>
      <c r="J3918">
        <f>IF(F3918="","",INT(H3918)-B3918)</f>
        <v/>
      </c>
      <c r="K3918">
        <f>IF(B3918&gt;=Settings!$C$5,1,0)</f>
        <v/>
      </c>
    </row>
    <row r="3919">
      <c r="A3919" t="inlineStr">
        <is>
          <t>940d71772d450302c32285a50184fa9e</t>
        </is>
      </c>
      <c r="B3919" s="29" t="n">
        <v>43116</v>
      </c>
      <c r="C3919" t="inlineStr">
        <is>
          <t>2018-01</t>
        </is>
      </c>
      <c r="D3919" t="inlineStr">
        <is>
          <t>e492ee5eaf1697716985cc6f33f9cd9b</t>
        </is>
      </c>
      <c r="E3919" t="inlineStr">
        <is>
          <t>direct_traffic</t>
        </is>
      </c>
      <c r="F3919">
        <f>IFERROR(MATCH(A3919,Deals!$A$2:$A$843,0),"")</f>
        <v/>
      </c>
      <c r="G3919">
        <f>IF(F3919="",0,1)</f>
        <v/>
      </c>
      <c r="H3919" s="29">
        <f>IF(F3919="","",INDEX(Deals!$E$2:$E$843,F3919))</f>
        <v/>
      </c>
      <c r="I3919">
        <f>IF(F3919="","",INDEX(Deals!$D$2:$D$843,F3919))</f>
        <v/>
      </c>
      <c r="J3919">
        <f>IF(F3919="","",INT(H3919)-B3919)</f>
        <v/>
      </c>
      <c r="K3919">
        <f>IF(B3919&gt;=Settings!$C$5,1,0)</f>
        <v/>
      </c>
    </row>
    <row r="3920">
      <c r="A3920" t="inlineStr">
        <is>
          <t>352114ae5d9447b65921f75e76b4a927</t>
        </is>
      </c>
      <c r="B3920" s="29" t="n">
        <v>43214</v>
      </c>
      <c r="C3920" t="inlineStr">
        <is>
          <t>2018-04</t>
        </is>
      </c>
      <c r="D3920" t="inlineStr">
        <is>
          <t>58326e62183c14b0c03085c33b9fdc44</t>
        </is>
      </c>
      <c r="E3920" t="inlineStr">
        <is>
          <t>social</t>
        </is>
      </c>
      <c r="F3920">
        <f>IFERROR(MATCH(A3920,Deals!$A$2:$A$843,0),"")</f>
        <v/>
      </c>
      <c r="G3920">
        <f>IF(F3920="",0,1)</f>
        <v/>
      </c>
      <c r="H3920" s="29">
        <f>IF(F3920="","",INDEX(Deals!$E$2:$E$843,F3920))</f>
        <v/>
      </c>
      <c r="I3920">
        <f>IF(F3920="","",INDEX(Deals!$D$2:$D$843,F3920))</f>
        <v/>
      </c>
      <c r="J3920">
        <f>IF(F3920="","",INT(H3920)-B3920)</f>
        <v/>
      </c>
      <c r="K3920">
        <f>IF(B3920&gt;=Settings!$C$5,1,0)</f>
        <v/>
      </c>
    </row>
    <row r="3921">
      <c r="A3921" t="inlineStr">
        <is>
          <t>b5f15297073c1d370246af6617cef13a</t>
        </is>
      </c>
      <c r="B3921" s="29" t="n">
        <v>43163</v>
      </c>
      <c r="C3921" t="inlineStr">
        <is>
          <t>2018-03</t>
        </is>
      </c>
      <c r="D3921" t="inlineStr">
        <is>
          <t>c30d0b4337fd05444a3fe502562508d1</t>
        </is>
      </c>
      <c r="E3921" t="inlineStr">
        <is>
          <t>organic_search</t>
        </is>
      </c>
      <c r="F3921">
        <f>IFERROR(MATCH(A3921,Deals!$A$2:$A$843,0),"")</f>
        <v/>
      </c>
      <c r="G3921">
        <f>IF(F3921="",0,1)</f>
        <v/>
      </c>
      <c r="H3921" s="29">
        <f>IF(F3921="","",INDEX(Deals!$E$2:$E$843,F3921))</f>
        <v/>
      </c>
      <c r="I3921">
        <f>IF(F3921="","",INDEX(Deals!$D$2:$D$843,F3921))</f>
        <v/>
      </c>
      <c r="J3921">
        <f>IF(F3921="","",INT(H3921)-B3921)</f>
        <v/>
      </c>
      <c r="K3921">
        <f>IF(B3921&gt;=Settings!$C$5,1,0)</f>
        <v/>
      </c>
    </row>
    <row r="3922">
      <c r="A3922" t="inlineStr">
        <is>
          <t>5ea4ddb5f5bea4359bae8a581b7ed829</t>
        </is>
      </c>
      <c r="B3922" s="29" t="n">
        <v>43182</v>
      </c>
      <c r="C3922" t="inlineStr">
        <is>
          <t>2018-03</t>
        </is>
      </c>
      <c r="D3922" t="inlineStr">
        <is>
          <t>58326e62183c14b0c03085c33b9fdc44</t>
        </is>
      </c>
      <c r="E3922" t="inlineStr">
        <is>
          <t>social</t>
        </is>
      </c>
      <c r="F3922">
        <f>IFERROR(MATCH(A3922,Deals!$A$2:$A$843,0),"")</f>
        <v/>
      </c>
      <c r="G3922">
        <f>IF(F3922="",0,1)</f>
        <v/>
      </c>
      <c r="H3922" s="29">
        <f>IF(F3922="","",INDEX(Deals!$E$2:$E$843,F3922))</f>
        <v/>
      </c>
      <c r="I3922">
        <f>IF(F3922="","",INDEX(Deals!$D$2:$D$843,F3922))</f>
        <v/>
      </c>
      <c r="J3922">
        <f>IF(F3922="","",INT(H3922)-B3922)</f>
        <v/>
      </c>
      <c r="K3922">
        <f>IF(B3922&gt;=Settings!$C$5,1,0)</f>
        <v/>
      </c>
    </row>
    <row r="3923">
      <c r="A3923" t="inlineStr">
        <is>
          <t>f24b649a42a0f7825ddbbfeff6a9a675</t>
        </is>
      </c>
      <c r="B3923" s="29" t="n">
        <v>43135</v>
      </c>
      <c r="C3923" t="inlineStr">
        <is>
          <t>2018-02</t>
        </is>
      </c>
      <c r="D3923" t="inlineStr">
        <is>
          <t>f017be4dbf86243af5c1ebed0cff36a2</t>
        </is>
      </c>
      <c r="E3923" t="inlineStr">
        <is>
          <t>social</t>
        </is>
      </c>
      <c r="F3923">
        <f>IFERROR(MATCH(A3923,Deals!$A$2:$A$843,0),"")</f>
        <v/>
      </c>
      <c r="G3923">
        <f>IF(F3923="",0,1)</f>
        <v/>
      </c>
      <c r="H3923" s="29">
        <f>IF(F3923="","",INDEX(Deals!$E$2:$E$843,F3923))</f>
        <v/>
      </c>
      <c r="I3923">
        <f>IF(F3923="","",INDEX(Deals!$D$2:$D$843,F3923))</f>
        <v/>
      </c>
      <c r="J3923">
        <f>IF(F3923="","",INT(H3923)-B3923)</f>
        <v/>
      </c>
      <c r="K3923">
        <f>IF(B3923&gt;=Settings!$C$5,1,0)</f>
        <v/>
      </c>
    </row>
    <row r="3924">
      <c r="A3924" t="inlineStr">
        <is>
          <t>060c36e1c116cc67408a8f5a5935d5c1</t>
        </is>
      </c>
      <c r="B3924" s="29" t="n">
        <v>43160</v>
      </c>
      <c r="C3924" t="inlineStr">
        <is>
          <t>2018-03</t>
        </is>
      </c>
      <c r="D3924" t="inlineStr">
        <is>
          <t>313edefdee4adcd34e8cbec1854ba5a9</t>
        </is>
      </c>
      <c r="E3924" t="inlineStr">
        <is>
          <t>organic_search</t>
        </is>
      </c>
      <c r="F3924">
        <f>IFERROR(MATCH(A3924,Deals!$A$2:$A$843,0),"")</f>
        <v/>
      </c>
      <c r="G3924">
        <f>IF(F3924="",0,1)</f>
        <v/>
      </c>
      <c r="H3924" s="29">
        <f>IF(F3924="","",INDEX(Deals!$E$2:$E$843,F3924))</f>
        <v/>
      </c>
      <c r="I3924">
        <f>IF(F3924="","",INDEX(Deals!$D$2:$D$843,F3924))</f>
        <v/>
      </c>
      <c r="J3924">
        <f>IF(F3924="","",INT(H3924)-B3924)</f>
        <v/>
      </c>
      <c r="K3924">
        <f>IF(B3924&gt;=Settings!$C$5,1,0)</f>
        <v/>
      </c>
    </row>
    <row r="3925">
      <c r="A3925" t="inlineStr">
        <is>
          <t>d5e9df2856562cedb1c8b1b9f0343a47</t>
        </is>
      </c>
      <c r="B3925" s="29" t="n">
        <v>43220</v>
      </c>
      <c r="C3925" t="inlineStr">
        <is>
          <t>2018-04</t>
        </is>
      </c>
      <c r="D3925" t="inlineStr">
        <is>
          <t>b76ef37428e6799c421989521c0e5077</t>
        </is>
      </c>
      <c r="E3925" t="inlineStr">
        <is>
          <t>unknown</t>
        </is>
      </c>
      <c r="F3925">
        <f>IFERROR(MATCH(A3925,Deals!$A$2:$A$843,0),"")</f>
        <v/>
      </c>
      <c r="G3925">
        <f>IF(F3925="",0,1)</f>
        <v/>
      </c>
      <c r="H3925" s="29">
        <f>IF(F3925="","",INDEX(Deals!$E$2:$E$843,F3925))</f>
        <v/>
      </c>
      <c r="I3925">
        <f>IF(F3925="","",INDEX(Deals!$D$2:$D$843,F3925))</f>
        <v/>
      </c>
      <c r="J3925">
        <f>IF(F3925="","",INT(H3925)-B3925)</f>
        <v/>
      </c>
      <c r="K3925">
        <f>IF(B3925&gt;=Settings!$C$5,1,0)</f>
        <v/>
      </c>
    </row>
    <row r="3926">
      <c r="A3926" t="inlineStr">
        <is>
          <t>66001333a39ce8f12be9fcf323a1a5fb</t>
        </is>
      </c>
      <c r="B3926" s="29" t="n">
        <v>43226</v>
      </c>
      <c r="C3926" t="inlineStr">
        <is>
          <t>2018-05</t>
        </is>
      </c>
      <c r="D3926" t="inlineStr">
        <is>
          <t>58326e62183c14b0c03085c33b9fdc44</t>
        </is>
      </c>
      <c r="E3926" t="inlineStr">
        <is>
          <t>social</t>
        </is>
      </c>
      <c r="F3926">
        <f>IFERROR(MATCH(A3926,Deals!$A$2:$A$843,0),"")</f>
        <v/>
      </c>
      <c r="G3926">
        <f>IF(F3926="",0,1)</f>
        <v/>
      </c>
      <c r="H3926" s="29">
        <f>IF(F3926="","",INDEX(Deals!$E$2:$E$843,F3926))</f>
        <v/>
      </c>
      <c r="I3926">
        <f>IF(F3926="","",INDEX(Deals!$D$2:$D$843,F3926))</f>
        <v/>
      </c>
      <c r="J3926">
        <f>IF(F3926="","",INT(H3926)-B3926)</f>
        <v/>
      </c>
      <c r="K3926">
        <f>IF(B3926&gt;=Settings!$C$5,1,0)</f>
        <v/>
      </c>
    </row>
    <row r="3927">
      <c r="A3927" t="inlineStr">
        <is>
          <t>5bdfc8950800e8a6df47cf78a8413d9c</t>
        </is>
      </c>
      <c r="B3927" s="29" t="n">
        <v>42954</v>
      </c>
      <c r="C3927" t="inlineStr">
        <is>
          <t>2017-08</t>
        </is>
      </c>
      <c r="D3927" t="inlineStr">
        <is>
          <t>22c29808c4f815213303f8933030604c</t>
        </is>
      </c>
      <c r="E3927" t="inlineStr">
        <is>
          <t>organic_search</t>
        </is>
      </c>
      <c r="F3927">
        <f>IFERROR(MATCH(A3927,Deals!$A$2:$A$843,0),"")</f>
        <v/>
      </c>
      <c r="G3927">
        <f>IF(F3927="",0,1)</f>
        <v/>
      </c>
      <c r="H3927" s="29">
        <f>IF(F3927="","",INDEX(Deals!$E$2:$E$843,F3927))</f>
        <v/>
      </c>
      <c r="I3927">
        <f>IF(F3927="","",INDEX(Deals!$D$2:$D$843,F3927))</f>
        <v/>
      </c>
      <c r="J3927">
        <f>IF(F3927="","",INT(H3927)-B3927)</f>
        <v/>
      </c>
      <c r="K3927">
        <f>IF(B3927&gt;=Settings!$C$5,1,0)</f>
        <v/>
      </c>
    </row>
    <row r="3928">
      <c r="A3928" t="inlineStr">
        <is>
          <t>9cc98208091fee9789244aee08a28ca7</t>
        </is>
      </c>
      <c r="B3928" s="29" t="n">
        <v>43194</v>
      </c>
      <c r="C3928" t="inlineStr">
        <is>
          <t>2018-04</t>
        </is>
      </c>
      <c r="D3928" t="inlineStr">
        <is>
          <t>994afe8f6fe288d2be458c71f784ca56</t>
        </is>
      </c>
      <c r="E3928" t="inlineStr">
        <is>
          <t>organic_search</t>
        </is>
      </c>
      <c r="F3928">
        <f>IFERROR(MATCH(A3928,Deals!$A$2:$A$843,0),"")</f>
        <v/>
      </c>
      <c r="G3928">
        <f>IF(F3928="",0,1)</f>
        <v/>
      </c>
      <c r="H3928" s="29">
        <f>IF(F3928="","",INDEX(Deals!$E$2:$E$843,F3928))</f>
        <v/>
      </c>
      <c r="I3928">
        <f>IF(F3928="","",INDEX(Deals!$D$2:$D$843,F3928))</f>
        <v/>
      </c>
      <c r="J3928">
        <f>IF(F3928="","",INT(H3928)-B3928)</f>
        <v/>
      </c>
      <c r="K3928">
        <f>IF(B3928&gt;=Settings!$C$5,1,0)</f>
        <v/>
      </c>
    </row>
    <row r="3929">
      <c r="A3929" t="inlineStr">
        <is>
          <t>9b01c6d8ab02d4300b2cef6774812afd</t>
        </is>
      </c>
      <c r="B3929" s="29" t="n">
        <v>43250</v>
      </c>
      <c r="C3929" t="inlineStr">
        <is>
          <t>2018-05</t>
        </is>
      </c>
      <c r="D3929" t="inlineStr">
        <is>
          <t>4ed6bf4ac34e75c7c81fcf829d96b739</t>
        </is>
      </c>
      <c r="E3929" t="inlineStr">
        <is>
          <t>paid_search</t>
        </is>
      </c>
      <c r="F3929">
        <f>IFERROR(MATCH(A3929,Deals!$A$2:$A$843,0),"")</f>
        <v/>
      </c>
      <c r="G3929">
        <f>IF(F3929="",0,1)</f>
        <v/>
      </c>
      <c r="H3929" s="29">
        <f>IF(F3929="","",INDEX(Deals!$E$2:$E$843,F3929))</f>
        <v/>
      </c>
      <c r="I3929">
        <f>IF(F3929="","",INDEX(Deals!$D$2:$D$843,F3929))</f>
        <v/>
      </c>
      <c r="J3929">
        <f>IF(F3929="","",INT(H3929)-B3929)</f>
        <v/>
      </c>
      <c r="K3929">
        <f>IF(B3929&gt;=Settings!$C$5,1,0)</f>
        <v/>
      </c>
    </row>
    <row r="3930">
      <c r="A3930" t="inlineStr">
        <is>
          <t>9b31229c5fd58c1ddb694f0232d0dd1f</t>
        </is>
      </c>
      <c r="B3930" s="29" t="n">
        <v>43195</v>
      </c>
      <c r="C3930" t="inlineStr">
        <is>
          <t>2018-04</t>
        </is>
      </c>
      <c r="D3930" t="inlineStr">
        <is>
          <t>22c29808c4f815213303f8933030604c</t>
        </is>
      </c>
      <c r="E3930" t="inlineStr">
        <is>
          <t>organic_search</t>
        </is>
      </c>
      <c r="F3930">
        <f>IFERROR(MATCH(A3930,Deals!$A$2:$A$843,0),"")</f>
        <v/>
      </c>
      <c r="G3930">
        <f>IF(F3930="",0,1)</f>
        <v/>
      </c>
      <c r="H3930" s="29">
        <f>IF(F3930="","",INDEX(Deals!$E$2:$E$843,F3930))</f>
        <v/>
      </c>
      <c r="I3930">
        <f>IF(F3930="","",INDEX(Deals!$D$2:$D$843,F3930))</f>
        <v/>
      </c>
      <c r="J3930">
        <f>IF(F3930="","",INT(H3930)-B3930)</f>
        <v/>
      </c>
      <c r="K3930">
        <f>IF(B3930&gt;=Settings!$C$5,1,0)</f>
        <v/>
      </c>
    </row>
    <row r="3931">
      <c r="A3931" t="inlineStr">
        <is>
          <t>4325d1772bbb08248572e96f643a8de1</t>
        </is>
      </c>
      <c r="B3931" s="29" t="n">
        <v>43115</v>
      </c>
      <c r="C3931" t="inlineStr">
        <is>
          <t>2018-01</t>
        </is>
      </c>
      <c r="D3931" t="inlineStr">
        <is>
          <t>ee3c3bad6ed3eb9d5de56688d1f9c91b</t>
        </is>
      </c>
      <c r="E3931" t="inlineStr">
        <is>
          <t>referral</t>
        </is>
      </c>
      <c r="F3931">
        <f>IFERROR(MATCH(A3931,Deals!$A$2:$A$843,0),"")</f>
        <v/>
      </c>
      <c r="G3931">
        <f>IF(F3931="",0,1)</f>
        <v/>
      </c>
      <c r="H3931" s="29">
        <f>IF(F3931="","",INDEX(Deals!$E$2:$E$843,F3931))</f>
        <v/>
      </c>
      <c r="I3931">
        <f>IF(F3931="","",INDEX(Deals!$D$2:$D$843,F3931))</f>
        <v/>
      </c>
      <c r="J3931">
        <f>IF(F3931="","",INT(H3931)-B3931)</f>
        <v/>
      </c>
      <c r="K3931">
        <f>IF(B3931&gt;=Settings!$C$5,1,0)</f>
        <v/>
      </c>
    </row>
    <row r="3932">
      <c r="A3932" t="inlineStr">
        <is>
          <t>9b27373ee26f5c75aa3ac8c862b21f08</t>
        </is>
      </c>
      <c r="B3932" s="29" t="n">
        <v>43132</v>
      </c>
      <c r="C3932" t="inlineStr">
        <is>
          <t>2018-02</t>
        </is>
      </c>
      <c r="D3932" t="inlineStr">
        <is>
          <t>22c29808c4f815213303f8933030604c</t>
        </is>
      </c>
      <c r="E3932" t="inlineStr">
        <is>
          <t>organic_search</t>
        </is>
      </c>
      <c r="F3932">
        <f>IFERROR(MATCH(A3932,Deals!$A$2:$A$843,0),"")</f>
        <v/>
      </c>
      <c r="G3932">
        <f>IF(F3932="",0,1)</f>
        <v/>
      </c>
      <c r="H3932" s="29">
        <f>IF(F3932="","",INDEX(Deals!$E$2:$E$843,F3932))</f>
        <v/>
      </c>
      <c r="I3932">
        <f>IF(F3932="","",INDEX(Deals!$D$2:$D$843,F3932))</f>
        <v/>
      </c>
      <c r="J3932">
        <f>IF(F3932="","",INT(H3932)-B3932)</f>
        <v/>
      </c>
      <c r="K3932">
        <f>IF(B3932&gt;=Settings!$C$5,1,0)</f>
        <v/>
      </c>
    </row>
    <row r="3933">
      <c r="A3933" t="inlineStr">
        <is>
          <t>0b7f82d5fa92e1e509b6ef635abf09bc</t>
        </is>
      </c>
      <c r="B3933" s="29" t="n">
        <v>43158</v>
      </c>
      <c r="C3933" t="inlineStr">
        <is>
          <t>2018-02</t>
        </is>
      </c>
      <c r="D3933" t="inlineStr">
        <is>
          <t>241f79c7a8fe0270f4fb79fcbbcd17ad</t>
        </is>
      </c>
      <c r="E3933" t="inlineStr">
        <is>
          <t>paid_search</t>
        </is>
      </c>
      <c r="F3933">
        <f>IFERROR(MATCH(A3933,Deals!$A$2:$A$843,0),"")</f>
        <v/>
      </c>
      <c r="G3933">
        <f>IF(F3933="",0,1)</f>
        <v/>
      </c>
      <c r="H3933" s="29">
        <f>IF(F3933="","",INDEX(Deals!$E$2:$E$843,F3933))</f>
        <v/>
      </c>
      <c r="I3933">
        <f>IF(F3933="","",INDEX(Deals!$D$2:$D$843,F3933))</f>
        <v/>
      </c>
      <c r="J3933">
        <f>IF(F3933="","",INT(H3933)-B3933)</f>
        <v/>
      </c>
      <c r="K3933">
        <f>IF(B3933&gt;=Settings!$C$5,1,0)</f>
        <v/>
      </c>
    </row>
    <row r="3934">
      <c r="A3934" t="inlineStr">
        <is>
          <t>197e931b3ee852997d554b092e9455cb</t>
        </is>
      </c>
      <c r="B3934" s="29" t="n">
        <v>43167</v>
      </c>
      <c r="C3934" t="inlineStr">
        <is>
          <t>2018-03</t>
        </is>
      </c>
      <c r="D3934" t="inlineStr">
        <is>
          <t>4aab772aeb9833c170d8ea5413e02eac</t>
        </is>
      </c>
      <c r="E3934" t="inlineStr">
        <is>
          <t>organic_search</t>
        </is>
      </c>
      <c r="F3934">
        <f>IFERROR(MATCH(A3934,Deals!$A$2:$A$843,0),"")</f>
        <v/>
      </c>
      <c r="G3934">
        <f>IF(F3934="",0,1)</f>
        <v/>
      </c>
      <c r="H3934" s="29">
        <f>IF(F3934="","",INDEX(Deals!$E$2:$E$843,F3934))</f>
        <v/>
      </c>
      <c r="I3934">
        <f>IF(F3934="","",INDEX(Deals!$D$2:$D$843,F3934))</f>
        <v/>
      </c>
      <c r="J3934">
        <f>IF(F3934="","",INT(H3934)-B3934)</f>
        <v/>
      </c>
      <c r="K3934">
        <f>IF(B3934&gt;=Settings!$C$5,1,0)</f>
        <v/>
      </c>
    </row>
    <row r="3935">
      <c r="A3935" t="inlineStr">
        <is>
          <t>6278beac6c3ae5fa0c9f999e787d1573</t>
        </is>
      </c>
      <c r="B3935" s="29" t="n">
        <v>42928</v>
      </c>
      <c r="C3935" t="inlineStr">
        <is>
          <t>2017-07</t>
        </is>
      </c>
      <c r="D3935" t="inlineStr">
        <is>
          <t>061c3918f72d289ee93d5d8a06c15c2e</t>
        </is>
      </c>
      <c r="E3935" t="inlineStr">
        <is>
          <t>organic_search</t>
        </is>
      </c>
      <c r="F3935">
        <f>IFERROR(MATCH(A3935,Deals!$A$2:$A$843,0),"")</f>
        <v/>
      </c>
      <c r="G3935">
        <f>IF(F3935="",0,1)</f>
        <v/>
      </c>
      <c r="H3935" s="29">
        <f>IF(F3935="","",INDEX(Deals!$E$2:$E$843,F3935))</f>
        <v/>
      </c>
      <c r="I3935">
        <f>IF(F3935="","",INDEX(Deals!$D$2:$D$843,F3935))</f>
        <v/>
      </c>
      <c r="J3935">
        <f>IF(F3935="","",INT(H3935)-B3935)</f>
        <v/>
      </c>
      <c r="K3935">
        <f>IF(B3935&gt;=Settings!$C$5,1,0)</f>
        <v/>
      </c>
    </row>
    <row r="3936">
      <c r="A3936" t="inlineStr">
        <is>
          <t>879076927f643b14ada250ec07ef4a88</t>
        </is>
      </c>
      <c r="B3936" s="29" t="n">
        <v>43177</v>
      </c>
      <c r="C3936" t="inlineStr">
        <is>
          <t>2018-03</t>
        </is>
      </c>
      <c r="D3936" t="inlineStr">
        <is>
          <t>22c29808c4f815213303f8933030604c</t>
        </is>
      </c>
      <c r="E3936" t="inlineStr">
        <is>
          <t>organic_search</t>
        </is>
      </c>
      <c r="F3936">
        <f>IFERROR(MATCH(A3936,Deals!$A$2:$A$843,0),"")</f>
        <v/>
      </c>
      <c r="G3936">
        <f>IF(F3936="",0,1)</f>
        <v/>
      </c>
      <c r="H3936" s="29">
        <f>IF(F3936="","",INDEX(Deals!$E$2:$E$843,F3936))</f>
        <v/>
      </c>
      <c r="I3936">
        <f>IF(F3936="","",INDEX(Deals!$D$2:$D$843,F3936))</f>
        <v/>
      </c>
      <c r="J3936">
        <f>IF(F3936="","",INT(H3936)-B3936)</f>
        <v/>
      </c>
      <c r="K3936">
        <f>IF(B3936&gt;=Settings!$C$5,1,0)</f>
        <v/>
      </c>
    </row>
    <row r="3937">
      <c r="A3937" t="inlineStr">
        <is>
          <t>5d8297e451a0e650c38252a91bcc88ef</t>
        </is>
      </c>
      <c r="B3937" s="29" t="n">
        <v>43241</v>
      </c>
      <c r="C3937" t="inlineStr">
        <is>
          <t>2018-05</t>
        </is>
      </c>
      <c r="D3937" t="inlineStr">
        <is>
          <t>330b9d44078a1ae5a221d655dcb77afa</t>
        </is>
      </c>
      <c r="E3937" t="inlineStr">
        <is>
          <t>organic_search</t>
        </is>
      </c>
      <c r="F3937">
        <f>IFERROR(MATCH(A3937,Deals!$A$2:$A$843,0),"")</f>
        <v/>
      </c>
      <c r="G3937">
        <f>IF(F3937="",0,1)</f>
        <v/>
      </c>
      <c r="H3937" s="29">
        <f>IF(F3937="","",INDEX(Deals!$E$2:$E$843,F3937))</f>
        <v/>
      </c>
      <c r="I3937">
        <f>IF(F3937="","",INDEX(Deals!$D$2:$D$843,F3937))</f>
        <v/>
      </c>
      <c r="J3937">
        <f>IF(F3937="","",INT(H3937)-B3937)</f>
        <v/>
      </c>
      <c r="K3937">
        <f>IF(B3937&gt;=Settings!$C$5,1,0)</f>
        <v/>
      </c>
    </row>
    <row r="3938">
      <c r="A3938" t="inlineStr">
        <is>
          <t>e0e840797e83d7cf537d4a0efd4b7724</t>
        </is>
      </c>
      <c r="B3938" s="29" t="n">
        <v>43207</v>
      </c>
      <c r="C3938" t="inlineStr">
        <is>
          <t>2018-04</t>
        </is>
      </c>
      <c r="D3938" t="inlineStr">
        <is>
          <t>358adb2fee9a122549618e46925a00a5</t>
        </is>
      </c>
      <c r="E3938" t="inlineStr">
        <is>
          <t>unknown</t>
        </is>
      </c>
      <c r="F3938">
        <f>IFERROR(MATCH(A3938,Deals!$A$2:$A$843,0),"")</f>
        <v/>
      </c>
      <c r="G3938">
        <f>IF(F3938="",0,1)</f>
        <v/>
      </c>
      <c r="H3938" s="29">
        <f>IF(F3938="","",INDEX(Deals!$E$2:$E$843,F3938))</f>
        <v/>
      </c>
      <c r="I3938">
        <f>IF(F3938="","",INDEX(Deals!$D$2:$D$843,F3938))</f>
        <v/>
      </c>
      <c r="J3938">
        <f>IF(F3938="","",INT(H3938)-B3938)</f>
        <v/>
      </c>
      <c r="K3938">
        <f>IF(B3938&gt;=Settings!$C$5,1,0)</f>
        <v/>
      </c>
    </row>
    <row r="3939">
      <c r="A3939" t="inlineStr">
        <is>
          <t>9f187d77d73d175445b0a0252b75efe3</t>
        </is>
      </c>
      <c r="B3939" s="29" t="n">
        <v>43186</v>
      </c>
      <c r="C3939" t="inlineStr">
        <is>
          <t>2018-03</t>
        </is>
      </c>
      <c r="D3939" t="inlineStr">
        <is>
          <t>b76ef37428e6799c421989521c0e5077</t>
        </is>
      </c>
      <c r="E3939" t="inlineStr">
        <is>
          <t>unknown</t>
        </is>
      </c>
      <c r="F3939">
        <f>IFERROR(MATCH(A3939,Deals!$A$2:$A$843,0),"")</f>
        <v/>
      </c>
      <c r="G3939">
        <f>IF(F3939="",0,1)</f>
        <v/>
      </c>
      <c r="H3939" s="29">
        <f>IF(F3939="","",INDEX(Deals!$E$2:$E$843,F3939))</f>
        <v/>
      </c>
      <c r="I3939">
        <f>IF(F3939="","",INDEX(Deals!$D$2:$D$843,F3939))</f>
        <v/>
      </c>
      <c r="J3939">
        <f>IF(F3939="","",INT(H3939)-B3939)</f>
        <v/>
      </c>
      <c r="K3939">
        <f>IF(B3939&gt;=Settings!$C$5,1,0)</f>
        <v/>
      </c>
    </row>
    <row r="3940">
      <c r="A3940" t="inlineStr">
        <is>
          <t>7fb66e04510d2fa826e9fb43817c5851</t>
        </is>
      </c>
      <c r="B3940" s="29" t="n">
        <v>43235</v>
      </c>
      <c r="C3940" t="inlineStr">
        <is>
          <t>2018-05</t>
        </is>
      </c>
      <c r="D3940" t="inlineStr">
        <is>
          <t>9fa37f5177115156b1814ffc237402a6</t>
        </is>
      </c>
      <c r="E3940" t="inlineStr">
        <is>
          <t>paid_search</t>
        </is>
      </c>
      <c r="F3940">
        <f>IFERROR(MATCH(A3940,Deals!$A$2:$A$843,0),"")</f>
        <v/>
      </c>
      <c r="G3940">
        <f>IF(F3940="",0,1)</f>
        <v/>
      </c>
      <c r="H3940" s="29">
        <f>IF(F3940="","",INDEX(Deals!$E$2:$E$843,F3940))</f>
        <v/>
      </c>
      <c r="I3940">
        <f>IF(F3940="","",INDEX(Deals!$D$2:$D$843,F3940))</f>
        <v/>
      </c>
      <c r="J3940">
        <f>IF(F3940="","",INT(H3940)-B3940)</f>
        <v/>
      </c>
      <c r="K3940">
        <f>IF(B3940&gt;=Settings!$C$5,1,0)</f>
        <v/>
      </c>
    </row>
    <row r="3941">
      <c r="A3941" t="inlineStr">
        <is>
          <t>7e2aa3ad63bd5f4025e9162ea8738c7a</t>
        </is>
      </c>
      <c r="B3941" s="29" t="n">
        <v>43134</v>
      </c>
      <c r="C3941" t="inlineStr">
        <is>
          <t>2018-02</t>
        </is>
      </c>
      <c r="D3941" t="inlineStr">
        <is>
          <t>65d9f9d71e562365e8b44037c2888d98</t>
        </is>
      </c>
      <c r="E3941" t="inlineStr">
        <is>
          <t>paid_search</t>
        </is>
      </c>
      <c r="F3941">
        <f>IFERROR(MATCH(A3941,Deals!$A$2:$A$843,0),"")</f>
        <v/>
      </c>
      <c r="G3941">
        <f>IF(F3941="",0,1)</f>
        <v/>
      </c>
      <c r="H3941" s="29">
        <f>IF(F3941="","",INDEX(Deals!$E$2:$E$843,F3941))</f>
        <v/>
      </c>
      <c r="I3941">
        <f>IF(F3941="","",INDEX(Deals!$D$2:$D$843,F3941))</f>
        <v/>
      </c>
      <c r="J3941">
        <f>IF(F3941="","",INT(H3941)-B3941)</f>
        <v/>
      </c>
      <c r="K3941">
        <f>IF(B3941&gt;=Settings!$C$5,1,0)</f>
        <v/>
      </c>
    </row>
    <row r="3942">
      <c r="A3942" t="inlineStr">
        <is>
          <t>a921c196bab889b1e55221cbff679be8</t>
        </is>
      </c>
      <c r="B3942" s="29" t="n">
        <v>43126</v>
      </c>
      <c r="C3942" t="inlineStr">
        <is>
          <t>2018-01</t>
        </is>
      </c>
      <c r="D3942" t="inlineStr">
        <is>
          <t>22c29808c4f815213303f8933030604c</t>
        </is>
      </c>
      <c r="E3942" t="inlineStr">
        <is>
          <t>paid_search</t>
        </is>
      </c>
      <c r="F3942">
        <f>IFERROR(MATCH(A3942,Deals!$A$2:$A$843,0),"")</f>
        <v/>
      </c>
      <c r="G3942">
        <f>IF(F3942="",0,1)</f>
        <v/>
      </c>
      <c r="H3942" s="29">
        <f>IF(F3942="","",INDEX(Deals!$E$2:$E$843,F3942))</f>
        <v/>
      </c>
      <c r="I3942">
        <f>IF(F3942="","",INDEX(Deals!$D$2:$D$843,F3942))</f>
        <v/>
      </c>
      <c r="J3942">
        <f>IF(F3942="","",INT(H3942)-B3942)</f>
        <v/>
      </c>
      <c r="K3942">
        <f>IF(B3942&gt;=Settings!$C$5,1,0)</f>
        <v/>
      </c>
    </row>
    <row r="3943">
      <c r="A3943" t="inlineStr">
        <is>
          <t>175e9308ea835facdc5c74c75acc450f</t>
        </is>
      </c>
      <c r="B3943" s="29" t="n">
        <v>42993</v>
      </c>
      <c r="C3943" t="inlineStr">
        <is>
          <t>2017-09</t>
        </is>
      </c>
      <c r="D3943" t="inlineStr">
        <is>
          <t>b76ef37428e6799c421989521c0e5077</t>
        </is>
      </c>
      <c r="E3943" t="inlineStr">
        <is>
          <t>unknown</t>
        </is>
      </c>
      <c r="F3943">
        <f>IFERROR(MATCH(A3943,Deals!$A$2:$A$843,0),"")</f>
        <v/>
      </c>
      <c r="G3943">
        <f>IF(F3943="",0,1)</f>
        <v/>
      </c>
      <c r="H3943" s="29">
        <f>IF(F3943="","",INDEX(Deals!$E$2:$E$843,F3943))</f>
        <v/>
      </c>
      <c r="I3943">
        <f>IF(F3943="","",INDEX(Deals!$D$2:$D$843,F3943))</f>
        <v/>
      </c>
      <c r="J3943">
        <f>IF(F3943="","",INT(H3943)-B3943)</f>
        <v/>
      </c>
      <c r="K3943">
        <f>IF(B3943&gt;=Settings!$C$5,1,0)</f>
        <v/>
      </c>
    </row>
    <row r="3944">
      <c r="A3944" t="inlineStr">
        <is>
          <t>0bab9af56671570e6eb8536602601dc2</t>
        </is>
      </c>
      <c r="B3944" s="29" t="n">
        <v>43222</v>
      </c>
      <c r="C3944" t="inlineStr">
        <is>
          <t>2018-05</t>
        </is>
      </c>
      <c r="D3944" t="inlineStr">
        <is>
          <t>a7982125ff7aa3b2054c6e44f9d28522</t>
        </is>
      </c>
      <c r="E3944" t="inlineStr">
        <is>
          <t>organic_search</t>
        </is>
      </c>
      <c r="F3944">
        <f>IFERROR(MATCH(A3944,Deals!$A$2:$A$843,0),"")</f>
        <v/>
      </c>
      <c r="G3944">
        <f>IF(F3944="",0,1)</f>
        <v/>
      </c>
      <c r="H3944" s="29">
        <f>IF(F3944="","",INDEX(Deals!$E$2:$E$843,F3944))</f>
        <v/>
      </c>
      <c r="I3944">
        <f>IF(F3944="","",INDEX(Deals!$D$2:$D$843,F3944))</f>
        <v/>
      </c>
      <c r="J3944">
        <f>IF(F3944="","",INT(H3944)-B3944)</f>
        <v/>
      </c>
      <c r="K3944">
        <f>IF(B3944&gt;=Settings!$C$5,1,0)</f>
        <v/>
      </c>
    </row>
    <row r="3945">
      <c r="A3945" t="inlineStr">
        <is>
          <t>235d4034b03318cc97d376cb07c7fb7c</t>
        </is>
      </c>
      <c r="B3945" s="29" t="n">
        <v>43171</v>
      </c>
      <c r="C3945" t="inlineStr">
        <is>
          <t>2018-03</t>
        </is>
      </c>
      <c r="D3945" t="inlineStr">
        <is>
          <t>ce1a65abd0973638f1c887a6efcfa82d</t>
        </is>
      </c>
      <c r="E3945" t="inlineStr">
        <is>
          <t>organic_search</t>
        </is>
      </c>
      <c r="F3945">
        <f>IFERROR(MATCH(A3945,Deals!$A$2:$A$843,0),"")</f>
        <v/>
      </c>
      <c r="G3945">
        <f>IF(F3945="",0,1)</f>
        <v/>
      </c>
      <c r="H3945" s="29">
        <f>IF(F3945="","",INDEX(Deals!$E$2:$E$843,F3945))</f>
        <v/>
      </c>
      <c r="I3945">
        <f>IF(F3945="","",INDEX(Deals!$D$2:$D$843,F3945))</f>
        <v/>
      </c>
      <c r="J3945">
        <f>IF(F3945="","",INT(H3945)-B3945)</f>
        <v/>
      </c>
      <c r="K3945">
        <f>IF(B3945&gt;=Settings!$C$5,1,0)</f>
        <v/>
      </c>
    </row>
    <row r="3946">
      <c r="A3946" t="inlineStr">
        <is>
          <t>6ac3a3cf4e64664b890ff21e58b38d57</t>
        </is>
      </c>
      <c r="B3946" s="29" t="n">
        <v>43153</v>
      </c>
      <c r="C3946" t="inlineStr">
        <is>
          <t>2018-02</t>
        </is>
      </c>
      <c r="D3946" t="inlineStr">
        <is>
          <t>27cd3540bace1f4a4b2bc6d319b0553c</t>
        </is>
      </c>
      <c r="E3946" t="inlineStr">
        <is>
          <t>unknown</t>
        </is>
      </c>
      <c r="F3946">
        <f>IFERROR(MATCH(A3946,Deals!$A$2:$A$843,0),"")</f>
        <v/>
      </c>
      <c r="G3946">
        <f>IF(F3946="",0,1)</f>
        <v/>
      </c>
      <c r="H3946" s="29">
        <f>IF(F3946="","",INDEX(Deals!$E$2:$E$843,F3946))</f>
        <v/>
      </c>
      <c r="I3946">
        <f>IF(F3946="","",INDEX(Deals!$D$2:$D$843,F3946))</f>
        <v/>
      </c>
      <c r="J3946">
        <f>IF(F3946="","",INT(H3946)-B3946)</f>
        <v/>
      </c>
      <c r="K3946">
        <f>IF(B3946&gt;=Settings!$C$5,1,0)</f>
        <v/>
      </c>
    </row>
    <row r="3947">
      <c r="A3947" t="inlineStr">
        <is>
          <t>18f5d73a3c6b68160f6aa7fd089423b3</t>
        </is>
      </c>
      <c r="B3947" s="29" t="n">
        <v>43224</v>
      </c>
      <c r="C3947" t="inlineStr">
        <is>
          <t>2018-05</t>
        </is>
      </c>
      <c r="D3947" t="inlineStr">
        <is>
          <t>58326e62183c14b0c03085c33b9fdc44</t>
        </is>
      </c>
      <c r="E3947" t="inlineStr">
        <is>
          <t>social</t>
        </is>
      </c>
      <c r="F3947">
        <f>IFERROR(MATCH(A3947,Deals!$A$2:$A$843,0),"")</f>
        <v/>
      </c>
      <c r="G3947">
        <f>IF(F3947="",0,1)</f>
        <v/>
      </c>
      <c r="H3947" s="29">
        <f>IF(F3947="","",INDEX(Deals!$E$2:$E$843,F3947))</f>
        <v/>
      </c>
      <c r="I3947">
        <f>IF(F3947="","",INDEX(Deals!$D$2:$D$843,F3947))</f>
        <v/>
      </c>
      <c r="J3947">
        <f>IF(F3947="","",INT(H3947)-B3947)</f>
        <v/>
      </c>
      <c r="K3947">
        <f>IF(B3947&gt;=Settings!$C$5,1,0)</f>
        <v/>
      </c>
    </row>
    <row r="3948">
      <c r="A3948" t="inlineStr">
        <is>
          <t>611f7ca35c4d4723c66155489ecfaea0</t>
        </is>
      </c>
      <c r="B3948" s="29" t="n">
        <v>43146</v>
      </c>
      <c r="C3948" t="inlineStr">
        <is>
          <t>2018-02</t>
        </is>
      </c>
      <c r="D3948" t="inlineStr">
        <is>
          <t>88740e65d5d6b056e0cda098e1ea6313</t>
        </is>
      </c>
      <c r="E3948" t="inlineStr">
        <is>
          <t>social</t>
        </is>
      </c>
      <c r="F3948">
        <f>IFERROR(MATCH(A3948,Deals!$A$2:$A$843,0),"")</f>
        <v/>
      </c>
      <c r="G3948">
        <f>IF(F3948="",0,1)</f>
        <v/>
      </c>
      <c r="H3948" s="29">
        <f>IF(F3948="","",INDEX(Deals!$E$2:$E$843,F3948))</f>
        <v/>
      </c>
      <c r="I3948">
        <f>IF(F3948="","",INDEX(Deals!$D$2:$D$843,F3948))</f>
        <v/>
      </c>
      <c r="J3948">
        <f>IF(F3948="","",INT(H3948)-B3948)</f>
        <v/>
      </c>
      <c r="K3948">
        <f>IF(B3948&gt;=Settings!$C$5,1,0)</f>
        <v/>
      </c>
    </row>
    <row r="3949">
      <c r="A3949" t="inlineStr">
        <is>
          <t>878d5255f246ac543eb4d7104a8abb78</t>
        </is>
      </c>
      <c r="B3949" s="29" t="n">
        <v>43185</v>
      </c>
      <c r="C3949" t="inlineStr">
        <is>
          <t>2018-03</t>
        </is>
      </c>
      <c r="D3949" t="inlineStr">
        <is>
          <t>a7982125ff7aa3b2054c6e44f9d28522</t>
        </is>
      </c>
      <c r="E3949" t="inlineStr">
        <is>
          <t>organic_search</t>
        </is>
      </c>
      <c r="F3949">
        <f>IFERROR(MATCH(A3949,Deals!$A$2:$A$843,0),"")</f>
        <v/>
      </c>
      <c r="G3949">
        <f>IF(F3949="",0,1)</f>
        <v/>
      </c>
      <c r="H3949" s="29">
        <f>IF(F3949="","",INDEX(Deals!$E$2:$E$843,F3949))</f>
        <v/>
      </c>
      <c r="I3949">
        <f>IF(F3949="","",INDEX(Deals!$D$2:$D$843,F3949))</f>
        <v/>
      </c>
      <c r="J3949">
        <f>IF(F3949="","",INT(H3949)-B3949)</f>
        <v/>
      </c>
      <c r="K3949">
        <f>IF(B3949&gt;=Settings!$C$5,1,0)</f>
        <v/>
      </c>
    </row>
    <row r="3950">
      <c r="A3950" t="inlineStr">
        <is>
          <t>907567470e0d08702eeb232c28b06eb6</t>
        </is>
      </c>
      <c r="B3950" s="29" t="n">
        <v>43152</v>
      </c>
      <c r="C3950" t="inlineStr">
        <is>
          <t>2018-02</t>
        </is>
      </c>
      <c r="D3950" t="inlineStr">
        <is>
          <t>b6885f18d203a61176418c1fb3764815</t>
        </is>
      </c>
      <c r="E3950" t="inlineStr">
        <is>
          <t>paid_search</t>
        </is>
      </c>
      <c r="F3950">
        <f>IFERROR(MATCH(A3950,Deals!$A$2:$A$843,0),"")</f>
        <v/>
      </c>
      <c r="G3950">
        <f>IF(F3950="",0,1)</f>
        <v/>
      </c>
      <c r="H3950" s="29">
        <f>IF(F3950="","",INDEX(Deals!$E$2:$E$843,F3950))</f>
        <v/>
      </c>
      <c r="I3950">
        <f>IF(F3950="","",INDEX(Deals!$D$2:$D$843,F3950))</f>
        <v/>
      </c>
      <c r="J3950">
        <f>IF(F3950="","",INT(H3950)-B3950)</f>
        <v/>
      </c>
      <c r="K3950">
        <f>IF(B3950&gt;=Settings!$C$5,1,0)</f>
        <v/>
      </c>
    </row>
    <row r="3951">
      <c r="A3951" t="inlineStr">
        <is>
          <t>6e9c8746c47446e383b404bc3e5cab85</t>
        </is>
      </c>
      <c r="B3951" s="29" t="n">
        <v>43146</v>
      </c>
      <c r="C3951" t="inlineStr">
        <is>
          <t>2018-02</t>
        </is>
      </c>
      <c r="D3951" t="inlineStr">
        <is>
          <t>b16779a74f2b20eb9a17a785519f63a0</t>
        </is>
      </c>
      <c r="E3951" t="inlineStr">
        <is>
          <t>paid_search</t>
        </is>
      </c>
      <c r="F3951">
        <f>IFERROR(MATCH(A3951,Deals!$A$2:$A$843,0),"")</f>
        <v/>
      </c>
      <c r="G3951">
        <f>IF(F3951="",0,1)</f>
        <v/>
      </c>
      <c r="H3951" s="29">
        <f>IF(F3951="","",INDEX(Deals!$E$2:$E$843,F3951))</f>
        <v/>
      </c>
      <c r="I3951">
        <f>IF(F3951="","",INDEX(Deals!$D$2:$D$843,F3951))</f>
        <v/>
      </c>
      <c r="J3951">
        <f>IF(F3951="","",INT(H3951)-B3951)</f>
        <v/>
      </c>
      <c r="K3951">
        <f>IF(B3951&gt;=Settings!$C$5,1,0)</f>
        <v/>
      </c>
    </row>
    <row r="3952">
      <c r="A3952" t="inlineStr">
        <is>
          <t>320bb3786195303bf2d99e662cc832fa</t>
        </is>
      </c>
      <c r="B3952" s="29" t="n">
        <v>43193</v>
      </c>
      <c r="C3952" t="inlineStr">
        <is>
          <t>2018-04</t>
        </is>
      </c>
      <c r="D3952" t="inlineStr">
        <is>
          <t>58326e62183c14b0c03085c33b9fdc44</t>
        </is>
      </c>
      <c r="E3952" t="inlineStr">
        <is>
          <t>social</t>
        </is>
      </c>
      <c r="F3952">
        <f>IFERROR(MATCH(A3952,Deals!$A$2:$A$843,0),"")</f>
        <v/>
      </c>
      <c r="G3952">
        <f>IF(F3952="",0,1)</f>
        <v/>
      </c>
      <c r="H3952" s="29">
        <f>IF(F3952="","",INDEX(Deals!$E$2:$E$843,F3952))</f>
        <v/>
      </c>
      <c r="I3952">
        <f>IF(F3952="","",INDEX(Deals!$D$2:$D$843,F3952))</f>
        <v/>
      </c>
      <c r="J3952">
        <f>IF(F3952="","",INT(H3952)-B3952)</f>
        <v/>
      </c>
      <c r="K3952">
        <f>IF(B3952&gt;=Settings!$C$5,1,0)</f>
        <v/>
      </c>
    </row>
    <row r="3953">
      <c r="A3953" t="inlineStr">
        <is>
          <t>0c39bcfdf3238e1db81e5e452f02470e</t>
        </is>
      </c>
      <c r="B3953" s="29" t="n">
        <v>43013</v>
      </c>
      <c r="C3953" t="inlineStr">
        <is>
          <t>2017-10</t>
        </is>
      </c>
      <c r="D3953" t="inlineStr">
        <is>
          <t>5b893796c1ea6486bc0cc23a0a0fa11b</t>
        </is>
      </c>
      <c r="E3953" t="inlineStr">
        <is>
          <t>organic_search</t>
        </is>
      </c>
      <c r="F3953">
        <f>IFERROR(MATCH(A3953,Deals!$A$2:$A$843,0),"")</f>
        <v/>
      </c>
      <c r="G3953">
        <f>IF(F3953="",0,1)</f>
        <v/>
      </c>
      <c r="H3953" s="29">
        <f>IF(F3953="","",INDEX(Deals!$E$2:$E$843,F3953))</f>
        <v/>
      </c>
      <c r="I3953">
        <f>IF(F3953="","",INDEX(Deals!$D$2:$D$843,F3953))</f>
        <v/>
      </c>
      <c r="J3953">
        <f>IF(F3953="","",INT(H3953)-B3953)</f>
        <v/>
      </c>
      <c r="K3953">
        <f>IF(B3953&gt;=Settings!$C$5,1,0)</f>
        <v/>
      </c>
    </row>
    <row r="3954">
      <c r="A3954" t="inlineStr">
        <is>
          <t>ea180f1ea30b6bc86621e2b4d41d7605</t>
        </is>
      </c>
      <c r="B3954" s="29" t="n">
        <v>43229</v>
      </c>
      <c r="C3954" t="inlineStr">
        <is>
          <t>2018-05</t>
        </is>
      </c>
      <c r="D3954" t="inlineStr">
        <is>
          <t>b76ef37428e6799c421989521c0e5077</t>
        </is>
      </c>
      <c r="E3954" t="inlineStr">
        <is>
          <t>paid_search</t>
        </is>
      </c>
      <c r="F3954">
        <f>IFERROR(MATCH(A3954,Deals!$A$2:$A$843,0),"")</f>
        <v/>
      </c>
      <c r="G3954">
        <f>IF(F3954="",0,1)</f>
        <v/>
      </c>
      <c r="H3954" s="29">
        <f>IF(F3954="","",INDEX(Deals!$E$2:$E$843,F3954))</f>
        <v/>
      </c>
      <c r="I3954">
        <f>IF(F3954="","",INDEX(Deals!$D$2:$D$843,F3954))</f>
        <v/>
      </c>
      <c r="J3954">
        <f>IF(F3954="","",INT(H3954)-B3954)</f>
        <v/>
      </c>
      <c r="K3954">
        <f>IF(B3954&gt;=Settings!$C$5,1,0)</f>
        <v/>
      </c>
    </row>
    <row r="3955">
      <c r="A3955" t="inlineStr">
        <is>
          <t>dda4087216e15d1784efc310005dd683</t>
        </is>
      </c>
      <c r="B3955" s="29" t="n">
        <v>43015</v>
      </c>
      <c r="C3955" t="inlineStr">
        <is>
          <t>2017-10</t>
        </is>
      </c>
      <c r="D3955" t="inlineStr">
        <is>
          <t>88740e65d5d6b056e0cda098e1ea6313</t>
        </is>
      </c>
      <c r="E3955" t="inlineStr">
        <is>
          <t>social</t>
        </is>
      </c>
      <c r="F3955">
        <f>IFERROR(MATCH(A3955,Deals!$A$2:$A$843,0),"")</f>
        <v/>
      </c>
      <c r="G3955">
        <f>IF(F3955="",0,1)</f>
        <v/>
      </c>
      <c r="H3955" s="29">
        <f>IF(F3955="","",INDEX(Deals!$E$2:$E$843,F3955))</f>
        <v/>
      </c>
      <c r="I3955">
        <f>IF(F3955="","",INDEX(Deals!$D$2:$D$843,F3955))</f>
        <v/>
      </c>
      <c r="J3955">
        <f>IF(F3955="","",INT(H3955)-B3955)</f>
        <v/>
      </c>
      <c r="K3955">
        <f>IF(B3955&gt;=Settings!$C$5,1,0)</f>
        <v/>
      </c>
    </row>
    <row r="3956">
      <c r="A3956" t="inlineStr">
        <is>
          <t>2ab0ebde9cc0cd85fc47ce045d440caf</t>
        </is>
      </c>
      <c r="B3956" s="29" t="n">
        <v>42982</v>
      </c>
      <c r="C3956" t="inlineStr">
        <is>
          <t>2017-09</t>
        </is>
      </c>
      <c r="D3956" t="inlineStr">
        <is>
          <t>87732658ba41d8775e8577df347a64db</t>
        </is>
      </c>
      <c r="E3956" t="inlineStr">
        <is>
          <t>social</t>
        </is>
      </c>
      <c r="F3956">
        <f>IFERROR(MATCH(A3956,Deals!$A$2:$A$843,0),"")</f>
        <v/>
      </c>
      <c r="G3956">
        <f>IF(F3956="",0,1)</f>
        <v/>
      </c>
      <c r="H3956" s="29">
        <f>IF(F3956="","",INDEX(Deals!$E$2:$E$843,F3956))</f>
        <v/>
      </c>
      <c r="I3956">
        <f>IF(F3956="","",INDEX(Deals!$D$2:$D$843,F3956))</f>
        <v/>
      </c>
      <c r="J3956">
        <f>IF(F3956="","",INT(H3956)-B3956)</f>
        <v/>
      </c>
      <c r="K3956">
        <f>IF(B3956&gt;=Settings!$C$5,1,0)</f>
        <v/>
      </c>
    </row>
    <row r="3957">
      <c r="A3957" t="inlineStr">
        <is>
          <t>8ffa6292a6f801969c7c652f514514c1</t>
        </is>
      </c>
      <c r="B3957" s="29" t="n">
        <v>43117</v>
      </c>
      <c r="C3957" t="inlineStr">
        <is>
          <t>2018-01</t>
        </is>
      </c>
      <c r="D3957" t="inlineStr">
        <is>
          <t>22c29808c4f815213303f8933030604c</t>
        </is>
      </c>
      <c r="E3957" t="inlineStr">
        <is>
          <t>paid_search</t>
        </is>
      </c>
      <c r="F3957">
        <f>IFERROR(MATCH(A3957,Deals!$A$2:$A$843,0),"")</f>
        <v/>
      </c>
      <c r="G3957">
        <f>IF(F3957="",0,1)</f>
        <v/>
      </c>
      <c r="H3957" s="29">
        <f>IF(F3957="","",INDEX(Deals!$E$2:$E$843,F3957))</f>
        <v/>
      </c>
      <c r="I3957">
        <f>IF(F3957="","",INDEX(Deals!$D$2:$D$843,F3957))</f>
        <v/>
      </c>
      <c r="J3957">
        <f>IF(F3957="","",INT(H3957)-B3957)</f>
        <v/>
      </c>
      <c r="K3957">
        <f>IF(B3957&gt;=Settings!$C$5,1,0)</f>
        <v/>
      </c>
    </row>
    <row r="3958">
      <c r="A3958" t="inlineStr">
        <is>
          <t>cf80f2ee3e9cb3e92f6bc04b08b4ded3</t>
        </is>
      </c>
      <c r="B3958" s="29" t="n">
        <v>43035</v>
      </c>
      <c r="C3958" t="inlineStr">
        <is>
          <t>2017-10</t>
        </is>
      </c>
      <c r="D3958" t="inlineStr">
        <is>
          <t>21a104c3279681d9856b8a48723c4fee</t>
        </is>
      </c>
      <c r="E3958" t="inlineStr">
        <is>
          <t>email</t>
        </is>
      </c>
      <c r="F3958">
        <f>IFERROR(MATCH(A3958,Deals!$A$2:$A$843,0),"")</f>
        <v/>
      </c>
      <c r="G3958">
        <f>IF(F3958="",0,1)</f>
        <v/>
      </c>
      <c r="H3958" s="29">
        <f>IF(F3958="","",INDEX(Deals!$E$2:$E$843,F3958))</f>
        <v/>
      </c>
      <c r="I3958">
        <f>IF(F3958="","",INDEX(Deals!$D$2:$D$843,F3958))</f>
        <v/>
      </c>
      <c r="J3958">
        <f>IF(F3958="","",INT(H3958)-B3958)</f>
        <v/>
      </c>
      <c r="K3958">
        <f>IF(B3958&gt;=Settings!$C$5,1,0)</f>
        <v/>
      </c>
    </row>
    <row r="3959">
      <c r="A3959" t="inlineStr">
        <is>
          <t>c61a669c80b5e93cb251c7583f668f7c</t>
        </is>
      </c>
      <c r="B3959" s="29" t="n">
        <v>43166</v>
      </c>
      <c r="C3959" t="inlineStr">
        <is>
          <t>2018-03</t>
        </is>
      </c>
      <c r="D3959" t="inlineStr">
        <is>
          <t>ce1a65abd0973638f1c887a6efcfa82d</t>
        </is>
      </c>
      <c r="E3959" t="inlineStr">
        <is>
          <t>social</t>
        </is>
      </c>
      <c r="F3959">
        <f>IFERROR(MATCH(A3959,Deals!$A$2:$A$843,0),"")</f>
        <v/>
      </c>
      <c r="G3959">
        <f>IF(F3959="",0,1)</f>
        <v/>
      </c>
      <c r="H3959" s="29">
        <f>IF(F3959="","",INDEX(Deals!$E$2:$E$843,F3959))</f>
        <v/>
      </c>
      <c r="I3959">
        <f>IF(F3959="","",INDEX(Deals!$D$2:$D$843,F3959))</f>
        <v/>
      </c>
      <c r="J3959">
        <f>IF(F3959="","",INT(H3959)-B3959)</f>
        <v/>
      </c>
      <c r="K3959">
        <f>IF(B3959&gt;=Settings!$C$5,1,0)</f>
        <v/>
      </c>
    </row>
    <row r="3960">
      <c r="A3960" t="inlineStr">
        <is>
          <t>2a3682443b92393616edb0368d5c52cf</t>
        </is>
      </c>
      <c r="B3960" s="29" t="n">
        <v>43112</v>
      </c>
      <c r="C3960" t="inlineStr">
        <is>
          <t>2018-01</t>
        </is>
      </c>
      <c r="D3960" t="inlineStr">
        <is>
          <t>73f31a40697cc90a86c1273563ac230e</t>
        </is>
      </c>
      <c r="E3960" t="inlineStr">
        <is>
          <t>other</t>
        </is>
      </c>
      <c r="F3960">
        <f>IFERROR(MATCH(A3960,Deals!$A$2:$A$843,0),"")</f>
        <v/>
      </c>
      <c r="G3960">
        <f>IF(F3960="",0,1)</f>
        <v/>
      </c>
      <c r="H3960" s="29">
        <f>IF(F3960="","",INDEX(Deals!$E$2:$E$843,F3960))</f>
        <v/>
      </c>
      <c r="I3960">
        <f>IF(F3960="","",INDEX(Deals!$D$2:$D$843,F3960))</f>
        <v/>
      </c>
      <c r="J3960">
        <f>IF(F3960="","",INT(H3960)-B3960)</f>
        <v/>
      </c>
      <c r="K3960">
        <f>IF(B3960&gt;=Settings!$C$5,1,0)</f>
        <v/>
      </c>
    </row>
    <row r="3961">
      <c r="A3961" t="inlineStr">
        <is>
          <t>cc1f9bbea026ddf996999297a530c119</t>
        </is>
      </c>
      <c r="B3961" s="29" t="n">
        <v>43213</v>
      </c>
      <c r="C3961" t="inlineStr">
        <is>
          <t>2018-04</t>
        </is>
      </c>
      <c r="D3961" t="inlineStr">
        <is>
          <t>e534a08b23c682d94859d0ab860bd57a</t>
        </is>
      </c>
      <c r="E3961" t="inlineStr">
        <is>
          <t>paid_search</t>
        </is>
      </c>
      <c r="F3961">
        <f>IFERROR(MATCH(A3961,Deals!$A$2:$A$843,0),"")</f>
        <v/>
      </c>
      <c r="G3961">
        <f>IF(F3961="",0,1)</f>
        <v/>
      </c>
      <c r="H3961" s="29">
        <f>IF(F3961="","",INDEX(Deals!$E$2:$E$843,F3961))</f>
        <v/>
      </c>
      <c r="I3961">
        <f>IF(F3961="","",INDEX(Deals!$D$2:$D$843,F3961))</f>
        <v/>
      </c>
      <c r="J3961">
        <f>IF(F3961="","",INT(H3961)-B3961)</f>
        <v/>
      </c>
      <c r="K3961">
        <f>IF(B3961&gt;=Settings!$C$5,1,0)</f>
        <v/>
      </c>
    </row>
    <row r="3962">
      <c r="A3962" t="inlineStr">
        <is>
          <t>010ed37e44e2fdc175b4c5c6c930805a</t>
        </is>
      </c>
      <c r="B3962" s="29" t="n">
        <v>43165</v>
      </c>
      <c r="C3962" t="inlineStr">
        <is>
          <t>2018-03</t>
        </is>
      </c>
      <c r="D3962" t="inlineStr">
        <is>
          <t>b6885f18d203a61176418c1fb3764815</t>
        </is>
      </c>
      <c r="E3962" t="inlineStr">
        <is>
          <t>paid_search</t>
        </is>
      </c>
      <c r="F3962">
        <f>IFERROR(MATCH(A3962,Deals!$A$2:$A$843,0),"")</f>
        <v/>
      </c>
      <c r="G3962">
        <f>IF(F3962="",0,1)</f>
        <v/>
      </c>
      <c r="H3962" s="29">
        <f>IF(F3962="","",INDEX(Deals!$E$2:$E$843,F3962))</f>
        <v/>
      </c>
      <c r="I3962">
        <f>IF(F3962="","",INDEX(Deals!$D$2:$D$843,F3962))</f>
        <v/>
      </c>
      <c r="J3962">
        <f>IF(F3962="","",INT(H3962)-B3962)</f>
        <v/>
      </c>
      <c r="K3962">
        <f>IF(B3962&gt;=Settings!$C$5,1,0)</f>
        <v/>
      </c>
    </row>
    <row r="3963">
      <c r="A3963" t="inlineStr">
        <is>
          <t>00d586ad63f142b974fc517ff2e3f1f8</t>
        </is>
      </c>
      <c r="B3963" s="29" t="n">
        <v>43192</v>
      </c>
      <c r="C3963" t="inlineStr">
        <is>
          <t>2018-04</t>
        </is>
      </c>
      <c r="D3963" t="inlineStr">
        <is>
          <t>65d9f9d71e562365e8b44037c2888d98</t>
        </is>
      </c>
      <c r="E3963" t="inlineStr">
        <is>
          <t>organic_search</t>
        </is>
      </c>
      <c r="F3963">
        <f>IFERROR(MATCH(A3963,Deals!$A$2:$A$843,0),"")</f>
        <v/>
      </c>
      <c r="G3963">
        <f>IF(F3963="",0,1)</f>
        <v/>
      </c>
      <c r="H3963" s="29">
        <f>IF(F3963="","",INDEX(Deals!$E$2:$E$843,F3963))</f>
        <v/>
      </c>
      <c r="I3963">
        <f>IF(F3963="","",INDEX(Deals!$D$2:$D$843,F3963))</f>
        <v/>
      </c>
      <c r="J3963">
        <f>IF(F3963="","",INT(H3963)-B3963)</f>
        <v/>
      </c>
      <c r="K3963">
        <f>IF(B3963&gt;=Settings!$C$5,1,0)</f>
        <v/>
      </c>
    </row>
    <row r="3964">
      <c r="A3964" t="inlineStr">
        <is>
          <t>354d2e548144a9dfbfa8bd3dcbea79b1</t>
        </is>
      </c>
      <c r="B3964" s="29" t="n">
        <v>43205</v>
      </c>
      <c r="C3964" t="inlineStr">
        <is>
          <t>2018-04</t>
        </is>
      </c>
      <c r="D3964" t="inlineStr">
        <is>
          <t>649b7b8b46b254497e92038d88f6ced8</t>
        </is>
      </c>
      <c r="E3964" t="inlineStr">
        <is>
          <t>social</t>
        </is>
      </c>
      <c r="F3964">
        <f>IFERROR(MATCH(A3964,Deals!$A$2:$A$843,0),"")</f>
        <v/>
      </c>
      <c r="G3964">
        <f>IF(F3964="",0,1)</f>
        <v/>
      </c>
      <c r="H3964" s="29">
        <f>IF(F3964="","",INDEX(Deals!$E$2:$E$843,F3964))</f>
        <v/>
      </c>
      <c r="I3964">
        <f>IF(F3964="","",INDEX(Deals!$D$2:$D$843,F3964))</f>
        <v/>
      </c>
      <c r="J3964">
        <f>IF(F3964="","",INT(H3964)-B3964)</f>
        <v/>
      </c>
      <c r="K3964">
        <f>IF(B3964&gt;=Settings!$C$5,1,0)</f>
        <v/>
      </c>
    </row>
    <row r="3965">
      <c r="A3965" t="inlineStr">
        <is>
          <t>e644f76cfb65b608ceed85bd32a64128</t>
        </is>
      </c>
      <c r="B3965" s="29" t="n">
        <v>43230</v>
      </c>
      <c r="C3965" t="inlineStr">
        <is>
          <t>2018-05</t>
        </is>
      </c>
      <c r="D3965" t="inlineStr">
        <is>
          <t>22c29808c4f815213303f8933030604c</t>
        </is>
      </c>
      <c r="E3965" t="inlineStr">
        <is>
          <t>direct_traffic</t>
        </is>
      </c>
      <c r="F3965">
        <f>IFERROR(MATCH(A3965,Deals!$A$2:$A$843,0),"")</f>
        <v/>
      </c>
      <c r="G3965">
        <f>IF(F3965="",0,1)</f>
        <v/>
      </c>
      <c r="H3965" s="29">
        <f>IF(F3965="","",INDEX(Deals!$E$2:$E$843,F3965))</f>
        <v/>
      </c>
      <c r="I3965">
        <f>IF(F3965="","",INDEX(Deals!$D$2:$D$843,F3965))</f>
        <v/>
      </c>
      <c r="J3965">
        <f>IF(F3965="","",INT(H3965)-B3965)</f>
        <v/>
      </c>
      <c r="K3965">
        <f>IF(B3965&gt;=Settings!$C$5,1,0)</f>
        <v/>
      </c>
    </row>
    <row r="3966">
      <c r="A3966" t="inlineStr">
        <is>
          <t>2958efe32274c6369d16dccad3add350</t>
        </is>
      </c>
      <c r="B3966" s="29" t="n">
        <v>43234</v>
      </c>
      <c r="C3966" t="inlineStr">
        <is>
          <t>2018-05</t>
        </is>
      </c>
      <c r="D3966" t="inlineStr">
        <is>
          <t>58326e62183c14b0c03085c33b9fdc44</t>
        </is>
      </c>
      <c r="E3966" t="inlineStr">
        <is>
          <t>social</t>
        </is>
      </c>
      <c r="F3966">
        <f>IFERROR(MATCH(A3966,Deals!$A$2:$A$843,0),"")</f>
        <v/>
      </c>
      <c r="G3966">
        <f>IF(F3966="",0,1)</f>
        <v/>
      </c>
      <c r="H3966" s="29">
        <f>IF(F3966="","",INDEX(Deals!$E$2:$E$843,F3966))</f>
        <v/>
      </c>
      <c r="I3966">
        <f>IF(F3966="","",INDEX(Deals!$D$2:$D$843,F3966))</f>
        <v/>
      </c>
      <c r="J3966">
        <f>IF(F3966="","",INT(H3966)-B3966)</f>
        <v/>
      </c>
      <c r="K3966">
        <f>IF(B3966&gt;=Settings!$C$5,1,0)</f>
        <v/>
      </c>
    </row>
    <row r="3967">
      <c r="A3967" t="inlineStr">
        <is>
          <t>a995795c7192b460ec822e04cf90c03e</t>
        </is>
      </c>
      <c r="B3967" s="29" t="n">
        <v>43153</v>
      </c>
      <c r="C3967" t="inlineStr">
        <is>
          <t>2018-02</t>
        </is>
      </c>
      <c r="D3967" t="inlineStr">
        <is>
          <t>22c29808c4f815213303f8933030604c</t>
        </is>
      </c>
      <c r="E3967" t="inlineStr">
        <is>
          <t>organic_search</t>
        </is>
      </c>
      <c r="F3967">
        <f>IFERROR(MATCH(A3967,Deals!$A$2:$A$843,0),"")</f>
        <v/>
      </c>
      <c r="G3967">
        <f>IF(F3967="",0,1)</f>
        <v/>
      </c>
      <c r="H3967" s="29">
        <f>IF(F3967="","",INDEX(Deals!$E$2:$E$843,F3967))</f>
        <v/>
      </c>
      <c r="I3967">
        <f>IF(F3967="","",INDEX(Deals!$D$2:$D$843,F3967))</f>
        <v/>
      </c>
      <c r="J3967">
        <f>IF(F3967="","",INT(H3967)-B3967)</f>
        <v/>
      </c>
      <c r="K3967">
        <f>IF(B3967&gt;=Settings!$C$5,1,0)</f>
        <v/>
      </c>
    </row>
    <row r="3968">
      <c r="A3968" t="inlineStr">
        <is>
          <t>b83a52c035258ed43d787106b1765e35</t>
        </is>
      </c>
      <c r="B3968" s="29" t="n">
        <v>43248</v>
      </c>
      <c r="C3968" t="inlineStr">
        <is>
          <t>2018-05</t>
        </is>
      </c>
      <c r="D3968" t="inlineStr">
        <is>
          <t>7fa6214d82e911d070f51ef79381b956</t>
        </is>
      </c>
      <c r="E3968" t="inlineStr">
        <is>
          <t>organic_search</t>
        </is>
      </c>
      <c r="F3968">
        <f>IFERROR(MATCH(A3968,Deals!$A$2:$A$843,0),"")</f>
        <v/>
      </c>
      <c r="G3968">
        <f>IF(F3968="",0,1)</f>
        <v/>
      </c>
      <c r="H3968" s="29">
        <f>IF(F3968="","",INDEX(Deals!$E$2:$E$843,F3968))</f>
        <v/>
      </c>
      <c r="I3968">
        <f>IF(F3968="","",INDEX(Deals!$D$2:$D$843,F3968))</f>
        <v/>
      </c>
      <c r="J3968">
        <f>IF(F3968="","",INT(H3968)-B3968)</f>
        <v/>
      </c>
      <c r="K3968">
        <f>IF(B3968&gt;=Settings!$C$5,1,0)</f>
        <v/>
      </c>
    </row>
    <row r="3969">
      <c r="A3969" t="inlineStr">
        <is>
          <t>6a734236fe497a0bdbb0018bfc62faaf</t>
        </is>
      </c>
      <c r="B3969" s="29" t="n">
        <v>43199</v>
      </c>
      <c r="C3969" t="inlineStr">
        <is>
          <t>2018-04</t>
        </is>
      </c>
      <c r="D3969" t="inlineStr">
        <is>
          <t>58326e62183c14b0c03085c33b9fdc44</t>
        </is>
      </c>
      <c r="E3969" t="inlineStr">
        <is>
          <t>social</t>
        </is>
      </c>
      <c r="F3969">
        <f>IFERROR(MATCH(A3969,Deals!$A$2:$A$843,0),"")</f>
        <v/>
      </c>
      <c r="G3969">
        <f>IF(F3969="",0,1)</f>
        <v/>
      </c>
      <c r="H3969" s="29">
        <f>IF(F3969="","",INDEX(Deals!$E$2:$E$843,F3969))</f>
        <v/>
      </c>
      <c r="I3969">
        <f>IF(F3969="","",INDEX(Deals!$D$2:$D$843,F3969))</f>
        <v/>
      </c>
      <c r="J3969">
        <f>IF(F3969="","",INT(H3969)-B3969)</f>
        <v/>
      </c>
      <c r="K3969">
        <f>IF(B3969&gt;=Settings!$C$5,1,0)</f>
        <v/>
      </c>
    </row>
    <row r="3970">
      <c r="A3970" t="inlineStr">
        <is>
          <t>ff655017e1c0309806cca39ee61d2fe8</t>
        </is>
      </c>
      <c r="B3970" s="29" t="n">
        <v>43194</v>
      </c>
      <c r="C3970" t="inlineStr">
        <is>
          <t>2018-04</t>
        </is>
      </c>
      <c r="D3970" t="inlineStr">
        <is>
          <t>20267f479a91ac26c09f83ae13adfa1e</t>
        </is>
      </c>
      <c r="E3970" t="inlineStr">
        <is>
          <t>unknown</t>
        </is>
      </c>
      <c r="F3970">
        <f>IFERROR(MATCH(A3970,Deals!$A$2:$A$843,0),"")</f>
        <v/>
      </c>
      <c r="G3970">
        <f>IF(F3970="",0,1)</f>
        <v/>
      </c>
      <c r="H3970" s="29">
        <f>IF(F3970="","",INDEX(Deals!$E$2:$E$843,F3970))</f>
        <v/>
      </c>
      <c r="I3970">
        <f>IF(F3970="","",INDEX(Deals!$D$2:$D$843,F3970))</f>
        <v/>
      </c>
      <c r="J3970">
        <f>IF(F3970="","",INT(H3970)-B3970)</f>
        <v/>
      </c>
      <c r="K3970">
        <f>IF(B3970&gt;=Settings!$C$5,1,0)</f>
        <v/>
      </c>
    </row>
    <row r="3971">
      <c r="A3971" t="inlineStr">
        <is>
          <t>e2f4a1d51d54f728370cb48014dbec2a</t>
        </is>
      </c>
      <c r="B3971" s="29" t="n">
        <v>43174</v>
      </c>
      <c r="C3971" t="inlineStr">
        <is>
          <t>2018-03</t>
        </is>
      </c>
      <c r="D3971" t="inlineStr">
        <is>
          <t>7fa6214d82e911d070f51ef79381b956</t>
        </is>
      </c>
      <c r="E3971" t="inlineStr">
        <is>
          <t>organic_search</t>
        </is>
      </c>
      <c r="F3971">
        <f>IFERROR(MATCH(A3971,Deals!$A$2:$A$843,0),"")</f>
        <v/>
      </c>
      <c r="G3971">
        <f>IF(F3971="",0,1)</f>
        <v/>
      </c>
      <c r="H3971" s="29">
        <f>IF(F3971="","",INDEX(Deals!$E$2:$E$843,F3971))</f>
        <v/>
      </c>
      <c r="I3971">
        <f>IF(F3971="","",INDEX(Deals!$D$2:$D$843,F3971))</f>
        <v/>
      </c>
      <c r="J3971">
        <f>IF(F3971="","",INT(H3971)-B3971)</f>
        <v/>
      </c>
      <c r="K3971">
        <f>IF(B3971&gt;=Settings!$C$5,1,0)</f>
        <v/>
      </c>
    </row>
    <row r="3972">
      <c r="A3972" t="inlineStr">
        <is>
          <t>391853e94b81478f1678ad15543ce20a</t>
        </is>
      </c>
      <c r="B3972" s="29" t="n">
        <v>43138</v>
      </c>
      <c r="C3972" t="inlineStr">
        <is>
          <t>2018-02</t>
        </is>
      </c>
      <c r="D3972" t="inlineStr">
        <is>
          <t>b76ef37428e6799c421989521c0e5077</t>
        </is>
      </c>
      <c r="E3972" t="inlineStr">
        <is>
          <t>unknown</t>
        </is>
      </c>
      <c r="F3972">
        <f>IFERROR(MATCH(A3972,Deals!$A$2:$A$843,0),"")</f>
        <v/>
      </c>
      <c r="G3972">
        <f>IF(F3972="",0,1)</f>
        <v/>
      </c>
      <c r="H3972" s="29">
        <f>IF(F3972="","",INDEX(Deals!$E$2:$E$843,F3972))</f>
        <v/>
      </c>
      <c r="I3972">
        <f>IF(F3972="","",INDEX(Deals!$D$2:$D$843,F3972))</f>
        <v/>
      </c>
      <c r="J3972">
        <f>IF(F3972="","",INT(H3972)-B3972)</f>
        <v/>
      </c>
      <c r="K3972">
        <f>IF(B3972&gt;=Settings!$C$5,1,0)</f>
        <v/>
      </c>
    </row>
    <row r="3973">
      <c r="A3973" t="inlineStr">
        <is>
          <t>268b33ccfdd00ea4adda84063d34ffb0</t>
        </is>
      </c>
      <c r="B3973" s="29" t="n">
        <v>43160</v>
      </c>
      <c r="C3973" t="inlineStr">
        <is>
          <t>2018-03</t>
        </is>
      </c>
      <c r="D3973" t="inlineStr">
        <is>
          <t>22c29808c4f815213303f8933030604c</t>
        </is>
      </c>
      <c r="E3973" t="inlineStr">
        <is>
          <t>referral</t>
        </is>
      </c>
      <c r="F3973">
        <f>IFERROR(MATCH(A3973,Deals!$A$2:$A$843,0),"")</f>
        <v/>
      </c>
      <c r="G3973">
        <f>IF(F3973="",0,1)</f>
        <v/>
      </c>
      <c r="H3973" s="29">
        <f>IF(F3973="","",INDEX(Deals!$E$2:$E$843,F3973))</f>
        <v/>
      </c>
      <c r="I3973">
        <f>IF(F3973="","",INDEX(Deals!$D$2:$D$843,F3973))</f>
        <v/>
      </c>
      <c r="J3973">
        <f>IF(F3973="","",INT(H3973)-B3973)</f>
        <v/>
      </c>
      <c r="K3973">
        <f>IF(B3973&gt;=Settings!$C$5,1,0)</f>
        <v/>
      </c>
    </row>
    <row r="3974">
      <c r="A3974" t="inlineStr">
        <is>
          <t>bd4bca1e5c7f6a0bf5d5bef566d34042</t>
        </is>
      </c>
      <c r="B3974" s="29" t="n">
        <v>43216</v>
      </c>
      <c r="C3974" t="inlineStr">
        <is>
          <t>2018-04</t>
        </is>
      </c>
      <c r="D3974" t="inlineStr">
        <is>
          <t>b76ef37428e6799c421989521c0e5077</t>
        </is>
      </c>
      <c r="E3974" t="inlineStr">
        <is>
          <t>unknown</t>
        </is>
      </c>
      <c r="F3974">
        <f>IFERROR(MATCH(A3974,Deals!$A$2:$A$843,0),"")</f>
        <v/>
      </c>
      <c r="G3974">
        <f>IF(F3974="",0,1)</f>
        <v/>
      </c>
      <c r="H3974" s="29">
        <f>IF(F3974="","",INDEX(Deals!$E$2:$E$843,F3974))</f>
        <v/>
      </c>
      <c r="I3974">
        <f>IF(F3974="","",INDEX(Deals!$D$2:$D$843,F3974))</f>
        <v/>
      </c>
      <c r="J3974">
        <f>IF(F3974="","",INT(H3974)-B3974)</f>
        <v/>
      </c>
      <c r="K3974">
        <f>IF(B3974&gt;=Settings!$C$5,1,0)</f>
        <v/>
      </c>
    </row>
    <row r="3975">
      <c r="A3975" t="inlineStr">
        <is>
          <t>8fa85083ec873a434d58d2b75f55ca07</t>
        </is>
      </c>
      <c r="B3975" s="29" t="n">
        <v>43124</v>
      </c>
      <c r="C3975" t="inlineStr">
        <is>
          <t>2018-01</t>
        </is>
      </c>
      <c r="D3975" t="inlineStr">
        <is>
          <t>40dec9f3d5259a3d2dbcdab2114fae47</t>
        </is>
      </c>
      <c r="E3975" t="inlineStr">
        <is>
          <t>organic_search</t>
        </is>
      </c>
      <c r="F3975">
        <f>IFERROR(MATCH(A3975,Deals!$A$2:$A$843,0),"")</f>
        <v/>
      </c>
      <c r="G3975">
        <f>IF(F3975="",0,1)</f>
        <v/>
      </c>
      <c r="H3975" s="29">
        <f>IF(F3975="","",INDEX(Deals!$E$2:$E$843,F3975))</f>
        <v/>
      </c>
      <c r="I3975">
        <f>IF(F3975="","",INDEX(Deals!$D$2:$D$843,F3975))</f>
        <v/>
      </c>
      <c r="J3975">
        <f>IF(F3975="","",INT(H3975)-B3975)</f>
        <v/>
      </c>
      <c r="K3975">
        <f>IF(B3975&gt;=Settings!$C$5,1,0)</f>
        <v/>
      </c>
    </row>
    <row r="3976">
      <c r="A3976" t="inlineStr">
        <is>
          <t>4832215be72e7fa0ff6539453731b5b3</t>
        </is>
      </c>
      <c r="B3976" s="29" t="n">
        <v>43219</v>
      </c>
      <c r="C3976" t="inlineStr">
        <is>
          <t>2018-04</t>
        </is>
      </c>
      <c r="D3976" t="inlineStr">
        <is>
          <t>58326e62183c14b0c03085c33b9fdc44</t>
        </is>
      </c>
      <c r="E3976" t="inlineStr">
        <is>
          <t>social</t>
        </is>
      </c>
      <c r="F3976">
        <f>IFERROR(MATCH(A3976,Deals!$A$2:$A$843,0),"")</f>
        <v/>
      </c>
      <c r="G3976">
        <f>IF(F3976="",0,1)</f>
        <v/>
      </c>
      <c r="H3976" s="29">
        <f>IF(F3976="","",INDEX(Deals!$E$2:$E$843,F3976))</f>
        <v/>
      </c>
      <c r="I3976">
        <f>IF(F3976="","",INDEX(Deals!$D$2:$D$843,F3976))</f>
        <v/>
      </c>
      <c r="J3976">
        <f>IF(F3976="","",INT(H3976)-B3976)</f>
        <v/>
      </c>
      <c r="K3976">
        <f>IF(B3976&gt;=Settings!$C$5,1,0)</f>
        <v/>
      </c>
    </row>
    <row r="3977">
      <c r="A3977" t="inlineStr">
        <is>
          <t>7fe6a2549dd3c145826cec43c82231f2</t>
        </is>
      </c>
      <c r="B3977" s="29" t="n">
        <v>43222</v>
      </c>
      <c r="C3977" t="inlineStr">
        <is>
          <t>2018-05</t>
        </is>
      </c>
      <c r="D3977" t="inlineStr">
        <is>
          <t>35c9b150ab36fe584c1f24fd458c453a</t>
        </is>
      </c>
      <c r="E3977" t="inlineStr">
        <is>
          <t>paid_search</t>
        </is>
      </c>
      <c r="F3977">
        <f>IFERROR(MATCH(A3977,Deals!$A$2:$A$843,0),"")</f>
        <v/>
      </c>
      <c r="G3977">
        <f>IF(F3977="",0,1)</f>
        <v/>
      </c>
      <c r="H3977" s="29">
        <f>IF(F3977="","",INDEX(Deals!$E$2:$E$843,F3977))</f>
        <v/>
      </c>
      <c r="I3977">
        <f>IF(F3977="","",INDEX(Deals!$D$2:$D$843,F3977))</f>
        <v/>
      </c>
      <c r="J3977">
        <f>IF(F3977="","",INT(H3977)-B3977)</f>
        <v/>
      </c>
      <c r="K3977">
        <f>IF(B3977&gt;=Settings!$C$5,1,0)</f>
        <v/>
      </c>
    </row>
    <row r="3978">
      <c r="A3978" t="inlineStr">
        <is>
          <t>eeb5561fc3656ff7933e06dee6f691ea</t>
        </is>
      </c>
      <c r="B3978" s="29" t="n">
        <v>43233</v>
      </c>
      <c r="C3978" t="inlineStr">
        <is>
          <t>2018-05</t>
        </is>
      </c>
      <c r="D3978" t="inlineStr">
        <is>
          <t>35c9b150ab36fe584c1f24fd458c453a</t>
        </is>
      </c>
      <c r="E3978" t="inlineStr">
        <is>
          <t>paid_search</t>
        </is>
      </c>
      <c r="F3978">
        <f>IFERROR(MATCH(A3978,Deals!$A$2:$A$843,0),"")</f>
        <v/>
      </c>
      <c r="G3978">
        <f>IF(F3978="",0,1)</f>
        <v/>
      </c>
      <c r="H3978" s="29">
        <f>IF(F3978="","",INDEX(Deals!$E$2:$E$843,F3978))</f>
        <v/>
      </c>
      <c r="I3978">
        <f>IF(F3978="","",INDEX(Deals!$D$2:$D$843,F3978))</f>
        <v/>
      </c>
      <c r="J3978">
        <f>IF(F3978="","",INT(H3978)-B3978)</f>
        <v/>
      </c>
      <c r="K3978">
        <f>IF(B3978&gt;=Settings!$C$5,1,0)</f>
        <v/>
      </c>
    </row>
    <row r="3979">
      <c r="A3979" t="inlineStr">
        <is>
          <t>696ea2c7271f939ccafc511902e85604</t>
        </is>
      </c>
      <c r="B3979" s="29" t="n">
        <v>43099</v>
      </c>
      <c r="C3979" t="inlineStr">
        <is>
          <t>2017-12</t>
        </is>
      </c>
      <c r="D3979" t="inlineStr">
        <is>
          <t>88740e65d5d6b056e0cda098e1ea6313</t>
        </is>
      </c>
      <c r="E3979" t="inlineStr">
        <is>
          <t>social</t>
        </is>
      </c>
      <c r="F3979">
        <f>IFERROR(MATCH(A3979,Deals!$A$2:$A$843,0),"")</f>
        <v/>
      </c>
      <c r="G3979">
        <f>IF(F3979="",0,1)</f>
        <v/>
      </c>
      <c r="H3979" s="29">
        <f>IF(F3979="","",INDEX(Deals!$E$2:$E$843,F3979))</f>
        <v/>
      </c>
      <c r="I3979">
        <f>IF(F3979="","",INDEX(Deals!$D$2:$D$843,F3979))</f>
        <v/>
      </c>
      <c r="J3979">
        <f>IF(F3979="","",INT(H3979)-B3979)</f>
        <v/>
      </c>
      <c r="K3979">
        <f>IF(B3979&gt;=Settings!$C$5,1,0)</f>
        <v/>
      </c>
    </row>
    <row r="3980">
      <c r="A3980" t="inlineStr">
        <is>
          <t>26dd1a5da58ce465bd88b083747df5c6</t>
        </is>
      </c>
      <c r="B3980" s="29" t="n">
        <v>43113</v>
      </c>
      <c r="C3980" t="inlineStr">
        <is>
          <t>2018-01</t>
        </is>
      </c>
      <c r="D3980" t="inlineStr">
        <is>
          <t>99b00c6e27db383d844d1763dbcbfe06</t>
        </is>
      </c>
      <c r="E3980" t="inlineStr">
        <is>
          <t>direct_traffic</t>
        </is>
      </c>
      <c r="F3980">
        <f>IFERROR(MATCH(A3980,Deals!$A$2:$A$843,0),"")</f>
        <v/>
      </c>
      <c r="G3980">
        <f>IF(F3980="",0,1)</f>
        <v/>
      </c>
      <c r="H3980" s="29">
        <f>IF(F3980="","",INDEX(Deals!$E$2:$E$843,F3980))</f>
        <v/>
      </c>
      <c r="I3980">
        <f>IF(F3980="","",INDEX(Deals!$D$2:$D$843,F3980))</f>
        <v/>
      </c>
      <c r="J3980">
        <f>IF(F3980="","",INT(H3980)-B3980)</f>
        <v/>
      </c>
      <c r="K3980">
        <f>IF(B3980&gt;=Settings!$C$5,1,0)</f>
        <v/>
      </c>
    </row>
    <row r="3981">
      <c r="A3981" t="inlineStr">
        <is>
          <t>3603347ef7a7079cf655ca5f28c1c80d</t>
        </is>
      </c>
      <c r="B3981" s="29" t="n">
        <v>43199</v>
      </c>
      <c r="C3981" t="inlineStr">
        <is>
          <t>2018-04</t>
        </is>
      </c>
      <c r="D3981" t="inlineStr">
        <is>
          <t>58326e62183c14b0c03085c33b9fdc44</t>
        </is>
      </c>
      <c r="E3981" t="inlineStr">
        <is>
          <t>social</t>
        </is>
      </c>
      <c r="F3981">
        <f>IFERROR(MATCH(A3981,Deals!$A$2:$A$843,0),"")</f>
        <v/>
      </c>
      <c r="G3981">
        <f>IF(F3981="",0,1)</f>
        <v/>
      </c>
      <c r="H3981" s="29">
        <f>IF(F3981="","",INDEX(Deals!$E$2:$E$843,F3981))</f>
        <v/>
      </c>
      <c r="I3981">
        <f>IF(F3981="","",INDEX(Deals!$D$2:$D$843,F3981))</f>
        <v/>
      </c>
      <c r="J3981">
        <f>IF(F3981="","",INT(H3981)-B3981)</f>
        <v/>
      </c>
      <c r="K3981">
        <f>IF(B3981&gt;=Settings!$C$5,1,0)</f>
        <v/>
      </c>
    </row>
    <row r="3982">
      <c r="A3982" t="inlineStr">
        <is>
          <t>357f66ee72a38eb44426b0942901f810</t>
        </is>
      </c>
      <c r="B3982" s="29" t="n">
        <v>43193</v>
      </c>
      <c r="C3982" t="inlineStr">
        <is>
          <t>2018-04</t>
        </is>
      </c>
      <c r="D3982" t="inlineStr">
        <is>
          <t>e492ee5eaf1697716985cc6f33f9cd9b</t>
        </is>
      </c>
      <c r="E3982" t="inlineStr">
        <is>
          <t>email</t>
        </is>
      </c>
      <c r="F3982">
        <f>IFERROR(MATCH(A3982,Deals!$A$2:$A$843,0),"")</f>
        <v/>
      </c>
      <c r="G3982">
        <f>IF(F3982="",0,1)</f>
        <v/>
      </c>
      <c r="H3982" s="29">
        <f>IF(F3982="","",INDEX(Deals!$E$2:$E$843,F3982))</f>
        <v/>
      </c>
      <c r="I3982">
        <f>IF(F3982="","",INDEX(Deals!$D$2:$D$843,F3982))</f>
        <v/>
      </c>
      <c r="J3982">
        <f>IF(F3982="","",INT(H3982)-B3982)</f>
        <v/>
      </c>
      <c r="K3982">
        <f>IF(B3982&gt;=Settings!$C$5,1,0)</f>
        <v/>
      </c>
    </row>
    <row r="3983">
      <c r="A3983" t="inlineStr">
        <is>
          <t>6a44ca8a7a7268c20a11e16e707b8c04</t>
        </is>
      </c>
      <c r="B3983" s="29" t="n">
        <v>43036</v>
      </c>
      <c r="C3983" t="inlineStr">
        <is>
          <t>2017-10</t>
        </is>
      </c>
      <c r="D3983" t="inlineStr">
        <is>
          <t>88740e65d5d6b056e0cda098e1ea6313</t>
        </is>
      </c>
      <c r="E3983" t="inlineStr">
        <is>
          <t>social</t>
        </is>
      </c>
      <c r="F3983">
        <f>IFERROR(MATCH(A3983,Deals!$A$2:$A$843,0),"")</f>
        <v/>
      </c>
      <c r="G3983">
        <f>IF(F3983="",0,1)</f>
        <v/>
      </c>
      <c r="H3983" s="29">
        <f>IF(F3983="","",INDEX(Deals!$E$2:$E$843,F3983))</f>
        <v/>
      </c>
      <c r="I3983">
        <f>IF(F3983="","",INDEX(Deals!$D$2:$D$843,F3983))</f>
        <v/>
      </c>
      <c r="J3983">
        <f>IF(F3983="","",INT(H3983)-B3983)</f>
        <v/>
      </c>
      <c r="K3983">
        <f>IF(B3983&gt;=Settings!$C$5,1,0)</f>
        <v/>
      </c>
    </row>
    <row r="3984">
      <c r="A3984" t="inlineStr">
        <is>
          <t>3664913957dea62519714ffa0bf99483</t>
        </is>
      </c>
      <c r="B3984" s="29" t="n">
        <v>43244</v>
      </c>
      <c r="C3984" t="inlineStr">
        <is>
          <t>2018-05</t>
        </is>
      </c>
      <c r="D3984" t="inlineStr">
        <is>
          <t>58326e62183c14b0c03085c33b9fdc44</t>
        </is>
      </c>
      <c r="E3984" t="inlineStr">
        <is>
          <t>social</t>
        </is>
      </c>
      <c r="F3984">
        <f>IFERROR(MATCH(A3984,Deals!$A$2:$A$843,0),"")</f>
        <v/>
      </c>
      <c r="G3984">
        <f>IF(F3984="",0,1)</f>
        <v/>
      </c>
      <c r="H3984" s="29">
        <f>IF(F3984="","",INDEX(Deals!$E$2:$E$843,F3984))</f>
        <v/>
      </c>
      <c r="I3984">
        <f>IF(F3984="","",INDEX(Deals!$D$2:$D$843,F3984))</f>
        <v/>
      </c>
      <c r="J3984">
        <f>IF(F3984="","",INT(H3984)-B3984)</f>
        <v/>
      </c>
      <c r="K3984">
        <f>IF(B3984&gt;=Settings!$C$5,1,0)</f>
        <v/>
      </c>
    </row>
    <row r="3985">
      <c r="A3985" t="inlineStr">
        <is>
          <t>9e269d7150369ffe87add0d8653842de</t>
        </is>
      </c>
      <c r="B3985" s="29" t="n">
        <v>43199</v>
      </c>
      <c r="C3985" t="inlineStr">
        <is>
          <t>2018-04</t>
        </is>
      </c>
      <c r="D3985" t="inlineStr">
        <is>
          <t>ce1a65abd0973638f1c887a6efcfa82d</t>
        </is>
      </c>
      <c r="E3985" t="inlineStr">
        <is>
          <t>organic_search</t>
        </is>
      </c>
      <c r="F3985">
        <f>IFERROR(MATCH(A3985,Deals!$A$2:$A$843,0),"")</f>
        <v/>
      </c>
      <c r="G3985">
        <f>IF(F3985="",0,1)</f>
        <v/>
      </c>
      <c r="H3985" s="29">
        <f>IF(F3985="","",INDEX(Deals!$E$2:$E$843,F3985))</f>
        <v/>
      </c>
      <c r="I3985">
        <f>IF(F3985="","",INDEX(Deals!$D$2:$D$843,F3985))</f>
        <v/>
      </c>
      <c r="J3985">
        <f>IF(F3985="","",INT(H3985)-B3985)</f>
        <v/>
      </c>
      <c r="K3985">
        <f>IF(B3985&gt;=Settings!$C$5,1,0)</f>
        <v/>
      </c>
    </row>
    <row r="3986">
      <c r="A3986" t="inlineStr">
        <is>
          <t>3a90ee8e42cb24248e56383cd5349856</t>
        </is>
      </c>
      <c r="B3986" s="29" t="n">
        <v>42999</v>
      </c>
      <c r="C3986" t="inlineStr">
        <is>
          <t>2017-09</t>
        </is>
      </c>
      <c r="D3986" t="inlineStr">
        <is>
          <t>dd6f55db3947b0aeaadb65a610334799</t>
        </is>
      </c>
      <c r="E3986" t="inlineStr">
        <is>
          <t>other</t>
        </is>
      </c>
      <c r="F3986">
        <f>IFERROR(MATCH(A3986,Deals!$A$2:$A$843,0),"")</f>
        <v/>
      </c>
      <c r="G3986">
        <f>IF(F3986="",0,1)</f>
        <v/>
      </c>
      <c r="H3986" s="29">
        <f>IF(F3986="","",INDEX(Deals!$E$2:$E$843,F3986))</f>
        <v/>
      </c>
      <c r="I3986">
        <f>IF(F3986="","",INDEX(Deals!$D$2:$D$843,F3986))</f>
        <v/>
      </c>
      <c r="J3986">
        <f>IF(F3986="","",INT(H3986)-B3986)</f>
        <v/>
      </c>
      <c r="K3986">
        <f>IF(B3986&gt;=Settings!$C$5,1,0)</f>
        <v/>
      </c>
    </row>
    <row r="3987">
      <c r="A3987" t="inlineStr">
        <is>
          <t>0d6080ffaadf8f8fd9648afb791c29c2</t>
        </is>
      </c>
      <c r="B3987" s="29" t="n">
        <v>43209</v>
      </c>
      <c r="C3987" t="inlineStr">
        <is>
          <t>2018-04</t>
        </is>
      </c>
      <c r="D3987" t="inlineStr">
        <is>
          <t>68f817c510c978e3a3a7474ad2aeb75c</t>
        </is>
      </c>
      <c r="E3987" t="inlineStr">
        <is>
          <t>paid_search</t>
        </is>
      </c>
      <c r="F3987">
        <f>IFERROR(MATCH(A3987,Deals!$A$2:$A$843,0),"")</f>
        <v/>
      </c>
      <c r="G3987">
        <f>IF(F3987="",0,1)</f>
        <v/>
      </c>
      <c r="H3987" s="29">
        <f>IF(F3987="","",INDEX(Deals!$E$2:$E$843,F3987))</f>
        <v/>
      </c>
      <c r="I3987">
        <f>IF(F3987="","",INDEX(Deals!$D$2:$D$843,F3987))</f>
        <v/>
      </c>
      <c r="J3987">
        <f>IF(F3987="","",INT(H3987)-B3987)</f>
        <v/>
      </c>
      <c r="K3987">
        <f>IF(B3987&gt;=Settings!$C$5,1,0)</f>
        <v/>
      </c>
    </row>
    <row r="3988">
      <c r="A3988" t="inlineStr">
        <is>
          <t>88d619ad97413b44d6659073b7b12f32</t>
        </is>
      </c>
      <c r="B3988" s="29" t="n">
        <v>42972</v>
      </c>
      <c r="C3988" t="inlineStr">
        <is>
          <t>2017-08</t>
        </is>
      </c>
      <c r="D3988" t="inlineStr">
        <is>
          <t>007f9098284a86ee80ddeb25d53e0af8</t>
        </is>
      </c>
      <c r="E3988" t="inlineStr">
        <is>
          <t>organic_search</t>
        </is>
      </c>
      <c r="F3988">
        <f>IFERROR(MATCH(A3988,Deals!$A$2:$A$843,0),"")</f>
        <v/>
      </c>
      <c r="G3988">
        <f>IF(F3988="",0,1)</f>
        <v/>
      </c>
      <c r="H3988" s="29">
        <f>IF(F3988="","",INDEX(Deals!$E$2:$E$843,F3988))</f>
        <v/>
      </c>
      <c r="I3988">
        <f>IF(F3988="","",INDEX(Deals!$D$2:$D$843,F3988))</f>
        <v/>
      </c>
      <c r="J3988">
        <f>IF(F3988="","",INT(H3988)-B3988)</f>
        <v/>
      </c>
      <c r="K3988">
        <f>IF(B3988&gt;=Settings!$C$5,1,0)</f>
        <v/>
      </c>
    </row>
    <row r="3989">
      <c r="A3989" t="inlineStr">
        <is>
          <t>6934d23e0a3adbf801dca440dde09fa3</t>
        </is>
      </c>
      <c r="B3989" s="29" t="n">
        <v>43105</v>
      </c>
      <c r="C3989" t="inlineStr">
        <is>
          <t>2018-01</t>
        </is>
      </c>
      <c r="D3989" t="inlineStr">
        <is>
          <t>22c29808c4f815213303f8933030604c</t>
        </is>
      </c>
      <c r="E3989" t="inlineStr">
        <is>
          <t>organic_search</t>
        </is>
      </c>
      <c r="F3989">
        <f>IFERROR(MATCH(A3989,Deals!$A$2:$A$843,0),"")</f>
        <v/>
      </c>
      <c r="G3989">
        <f>IF(F3989="",0,1)</f>
        <v/>
      </c>
      <c r="H3989" s="29">
        <f>IF(F3989="","",INDEX(Deals!$E$2:$E$843,F3989))</f>
        <v/>
      </c>
      <c r="I3989">
        <f>IF(F3989="","",INDEX(Deals!$D$2:$D$843,F3989))</f>
        <v/>
      </c>
      <c r="J3989">
        <f>IF(F3989="","",INT(H3989)-B3989)</f>
        <v/>
      </c>
      <c r="K3989">
        <f>IF(B3989&gt;=Settings!$C$5,1,0)</f>
        <v/>
      </c>
    </row>
    <row r="3990">
      <c r="A3990" t="inlineStr">
        <is>
          <t>973f72ab89f64e22470778a9bd1ea10f</t>
        </is>
      </c>
      <c r="B3990" s="29" t="n">
        <v>43201</v>
      </c>
      <c r="C3990" t="inlineStr">
        <is>
          <t>2018-04</t>
        </is>
      </c>
      <c r="D3990" t="inlineStr">
        <is>
          <t>4e82dd1f6d00626bda0723eef0a269a6</t>
        </is>
      </c>
      <c r="E3990" t="inlineStr">
        <is>
          <t>direct_traffic</t>
        </is>
      </c>
      <c r="F3990">
        <f>IFERROR(MATCH(A3990,Deals!$A$2:$A$843,0),"")</f>
        <v/>
      </c>
      <c r="G3990">
        <f>IF(F3990="",0,1)</f>
        <v/>
      </c>
      <c r="H3990" s="29">
        <f>IF(F3990="","",INDEX(Deals!$E$2:$E$843,F3990))</f>
        <v/>
      </c>
      <c r="I3990">
        <f>IF(F3990="","",INDEX(Deals!$D$2:$D$843,F3990))</f>
        <v/>
      </c>
      <c r="J3990">
        <f>IF(F3990="","",INT(H3990)-B3990)</f>
        <v/>
      </c>
      <c r="K3990">
        <f>IF(B3990&gt;=Settings!$C$5,1,0)</f>
        <v/>
      </c>
    </row>
    <row r="3991">
      <c r="A3991" t="inlineStr">
        <is>
          <t>59a45a36b4c91e4c80904ce5dffd75eb</t>
        </is>
      </c>
      <c r="B3991" s="29" t="n">
        <v>43218</v>
      </c>
      <c r="C3991" t="inlineStr">
        <is>
          <t>2018-04</t>
        </is>
      </c>
      <c r="D3991" t="inlineStr">
        <is>
          <t>e492ee5eaf1697716985cc6f33f9cd9b</t>
        </is>
      </c>
      <c r="E3991" t="inlineStr">
        <is>
          <t>social</t>
        </is>
      </c>
      <c r="F3991">
        <f>IFERROR(MATCH(A3991,Deals!$A$2:$A$843,0),"")</f>
        <v/>
      </c>
      <c r="G3991">
        <f>IF(F3991="",0,1)</f>
        <v/>
      </c>
      <c r="H3991" s="29">
        <f>IF(F3991="","",INDEX(Deals!$E$2:$E$843,F3991))</f>
        <v/>
      </c>
      <c r="I3991">
        <f>IF(F3991="","",INDEX(Deals!$D$2:$D$843,F3991))</f>
        <v/>
      </c>
      <c r="J3991">
        <f>IF(F3991="","",INT(H3991)-B3991)</f>
        <v/>
      </c>
      <c r="K3991">
        <f>IF(B3991&gt;=Settings!$C$5,1,0)</f>
        <v/>
      </c>
    </row>
    <row r="3992">
      <c r="A3992" t="inlineStr">
        <is>
          <t>a1e1d066731b23286a2112e65458b116</t>
        </is>
      </c>
      <c r="B3992" s="29" t="n">
        <v>43053</v>
      </c>
      <c r="C3992" t="inlineStr">
        <is>
          <t>2017-11</t>
        </is>
      </c>
      <c r="D3992" t="inlineStr">
        <is>
          <t>5c6c41289f4d77b9b32fb6a5e2106edb</t>
        </is>
      </c>
      <c r="E3992" t="inlineStr">
        <is>
          <t>unknown</t>
        </is>
      </c>
      <c r="F3992">
        <f>IFERROR(MATCH(A3992,Deals!$A$2:$A$843,0),"")</f>
        <v/>
      </c>
      <c r="G3992">
        <f>IF(F3992="",0,1)</f>
        <v/>
      </c>
      <c r="H3992" s="29">
        <f>IF(F3992="","",INDEX(Deals!$E$2:$E$843,F3992))</f>
        <v/>
      </c>
      <c r="I3992">
        <f>IF(F3992="","",INDEX(Deals!$D$2:$D$843,F3992))</f>
        <v/>
      </c>
      <c r="J3992">
        <f>IF(F3992="","",INT(H3992)-B3992)</f>
        <v/>
      </c>
      <c r="K3992">
        <f>IF(B3992&gt;=Settings!$C$5,1,0)</f>
        <v/>
      </c>
    </row>
    <row r="3993">
      <c r="A3993" t="inlineStr">
        <is>
          <t>bb221b9bbbf25cc108cffe12fe10fbc2</t>
        </is>
      </c>
      <c r="B3993" s="29" t="n">
        <v>43105</v>
      </c>
      <c r="C3993" t="inlineStr">
        <is>
          <t>2018-01</t>
        </is>
      </c>
      <c r="D3993" t="inlineStr">
        <is>
          <t>b76ef37428e6799c421989521c0e5077</t>
        </is>
      </c>
      <c r="E3993" t="inlineStr">
        <is>
          <t>unknown</t>
        </is>
      </c>
      <c r="F3993">
        <f>IFERROR(MATCH(A3993,Deals!$A$2:$A$843,0),"")</f>
        <v/>
      </c>
      <c r="G3993">
        <f>IF(F3993="",0,1)</f>
        <v/>
      </c>
      <c r="H3993" s="29">
        <f>IF(F3993="","",INDEX(Deals!$E$2:$E$843,F3993))</f>
        <v/>
      </c>
      <c r="I3993">
        <f>IF(F3993="","",INDEX(Deals!$D$2:$D$843,F3993))</f>
        <v/>
      </c>
      <c r="J3993">
        <f>IF(F3993="","",INT(H3993)-B3993)</f>
        <v/>
      </c>
      <c r="K3993">
        <f>IF(B3993&gt;=Settings!$C$5,1,0)</f>
        <v/>
      </c>
    </row>
    <row r="3994">
      <c r="A3994" t="inlineStr">
        <is>
          <t>070c61a09952fe8d1d8580e54d2e5077</t>
        </is>
      </c>
      <c r="B3994" s="29" t="n">
        <v>43221</v>
      </c>
      <c r="C3994" t="inlineStr">
        <is>
          <t>2018-05</t>
        </is>
      </c>
      <c r="D3994" t="inlineStr">
        <is>
          <t>35c9b150ab36fe584c1f24fd458c453a</t>
        </is>
      </c>
      <c r="E3994" t="inlineStr">
        <is>
          <t>paid_search</t>
        </is>
      </c>
      <c r="F3994">
        <f>IFERROR(MATCH(A3994,Deals!$A$2:$A$843,0),"")</f>
        <v/>
      </c>
      <c r="G3994">
        <f>IF(F3994="",0,1)</f>
        <v/>
      </c>
      <c r="H3994" s="29">
        <f>IF(F3994="","",INDEX(Deals!$E$2:$E$843,F3994))</f>
        <v/>
      </c>
      <c r="I3994">
        <f>IF(F3994="","",INDEX(Deals!$D$2:$D$843,F3994))</f>
        <v/>
      </c>
      <c r="J3994">
        <f>IF(F3994="","",INT(H3994)-B3994)</f>
        <v/>
      </c>
      <c r="K3994">
        <f>IF(B3994&gt;=Settings!$C$5,1,0)</f>
        <v/>
      </c>
    </row>
    <row r="3995">
      <c r="A3995" t="inlineStr">
        <is>
          <t>87760659a610879e83b0cb7684dc821e</t>
        </is>
      </c>
      <c r="B3995" s="29" t="n">
        <v>43245</v>
      </c>
      <c r="C3995" t="inlineStr">
        <is>
          <t>2018-05</t>
        </is>
      </c>
      <c r="D3995" t="inlineStr">
        <is>
          <t>5dc848e7dd9418dffe183215b8ff0bc1</t>
        </is>
      </c>
      <c r="E3995" t="inlineStr">
        <is>
          <t>organic_search</t>
        </is>
      </c>
      <c r="F3995">
        <f>IFERROR(MATCH(A3995,Deals!$A$2:$A$843,0),"")</f>
        <v/>
      </c>
      <c r="G3995">
        <f>IF(F3995="",0,1)</f>
        <v/>
      </c>
      <c r="H3995" s="29">
        <f>IF(F3995="","",INDEX(Deals!$E$2:$E$843,F3995))</f>
        <v/>
      </c>
      <c r="I3995">
        <f>IF(F3995="","",INDEX(Deals!$D$2:$D$843,F3995))</f>
        <v/>
      </c>
      <c r="J3995">
        <f>IF(F3995="","",INT(H3995)-B3995)</f>
        <v/>
      </c>
      <c r="K3995">
        <f>IF(B3995&gt;=Settings!$C$5,1,0)</f>
        <v/>
      </c>
    </row>
    <row r="3996">
      <c r="A3996" t="inlineStr">
        <is>
          <t>ca5b658462069fbcf6db37967b8c9cec</t>
        </is>
      </c>
      <c r="B3996" s="29" t="n">
        <v>43224</v>
      </c>
      <c r="C3996" t="inlineStr">
        <is>
          <t>2018-05</t>
        </is>
      </c>
      <c r="D3996" t="inlineStr">
        <is>
          <t>22c29808c4f815213303f8933030604c</t>
        </is>
      </c>
      <c r="E3996" t="inlineStr">
        <is>
          <t>referral</t>
        </is>
      </c>
      <c r="F3996">
        <f>IFERROR(MATCH(A3996,Deals!$A$2:$A$843,0),"")</f>
        <v/>
      </c>
      <c r="G3996">
        <f>IF(F3996="",0,1)</f>
        <v/>
      </c>
      <c r="H3996" s="29">
        <f>IF(F3996="","",INDEX(Deals!$E$2:$E$843,F3996))</f>
        <v/>
      </c>
      <c r="I3996">
        <f>IF(F3996="","",INDEX(Deals!$D$2:$D$843,F3996))</f>
        <v/>
      </c>
      <c r="J3996">
        <f>IF(F3996="","",INT(H3996)-B3996)</f>
        <v/>
      </c>
      <c r="K3996">
        <f>IF(B3996&gt;=Settings!$C$5,1,0)</f>
        <v/>
      </c>
    </row>
    <row r="3997">
      <c r="A3997" t="inlineStr">
        <is>
          <t>b050285d2ce40b4398647c923ffc769f</t>
        </is>
      </c>
      <c r="B3997" s="29" t="n">
        <v>43235</v>
      </c>
      <c r="C3997" t="inlineStr">
        <is>
          <t>2018-05</t>
        </is>
      </c>
      <c r="D3997" t="inlineStr">
        <is>
          <t>19f7d64c187f64e4c089786e84510ff2</t>
        </is>
      </c>
      <c r="E3997" t="inlineStr">
        <is>
          <t>unknown</t>
        </is>
      </c>
      <c r="F3997">
        <f>IFERROR(MATCH(A3997,Deals!$A$2:$A$843,0),"")</f>
        <v/>
      </c>
      <c r="G3997">
        <f>IF(F3997="",0,1)</f>
        <v/>
      </c>
      <c r="H3997" s="29">
        <f>IF(F3997="","",INDEX(Deals!$E$2:$E$843,F3997))</f>
        <v/>
      </c>
      <c r="I3997">
        <f>IF(F3997="","",INDEX(Deals!$D$2:$D$843,F3997))</f>
        <v/>
      </c>
      <c r="J3997">
        <f>IF(F3997="","",INT(H3997)-B3997)</f>
        <v/>
      </c>
      <c r="K3997">
        <f>IF(B3997&gt;=Settings!$C$5,1,0)</f>
        <v/>
      </c>
    </row>
    <row r="3998">
      <c r="A3998" t="inlineStr">
        <is>
          <t>80157edd89874ab95487fc47eea51509</t>
        </is>
      </c>
      <c r="B3998" s="29" t="n">
        <v>43174</v>
      </c>
      <c r="C3998" t="inlineStr">
        <is>
          <t>2018-03</t>
        </is>
      </c>
      <c r="D3998" t="inlineStr">
        <is>
          <t>22c29808c4f815213303f8933030604c</t>
        </is>
      </c>
      <c r="E3998" t="inlineStr">
        <is>
          <t>paid_search</t>
        </is>
      </c>
      <c r="F3998">
        <f>IFERROR(MATCH(A3998,Deals!$A$2:$A$843,0),"")</f>
        <v/>
      </c>
      <c r="G3998">
        <f>IF(F3998="",0,1)</f>
        <v/>
      </c>
      <c r="H3998" s="29">
        <f>IF(F3998="","",INDEX(Deals!$E$2:$E$843,F3998))</f>
        <v/>
      </c>
      <c r="I3998">
        <f>IF(F3998="","",INDEX(Deals!$D$2:$D$843,F3998))</f>
        <v/>
      </c>
      <c r="J3998">
        <f>IF(F3998="","",INT(H3998)-B3998)</f>
        <v/>
      </c>
      <c r="K3998">
        <f>IF(B3998&gt;=Settings!$C$5,1,0)</f>
        <v/>
      </c>
    </row>
    <row r="3999">
      <c r="A3999" t="inlineStr">
        <is>
          <t>fff8db9478d2fd72df65a67ee6b62f67</t>
        </is>
      </c>
      <c r="B3999" s="29" t="n">
        <v>43120</v>
      </c>
      <c r="C3999" t="inlineStr">
        <is>
          <t>2018-01</t>
        </is>
      </c>
      <c r="D3999" t="inlineStr">
        <is>
          <t>c0fa54bbdd331f215aa84b4dd86d7255</t>
        </is>
      </c>
      <c r="E3999" t="inlineStr">
        <is>
          <t>direct_traffic</t>
        </is>
      </c>
      <c r="F3999">
        <f>IFERROR(MATCH(A3999,Deals!$A$2:$A$843,0),"")</f>
        <v/>
      </c>
      <c r="G3999">
        <f>IF(F3999="",0,1)</f>
        <v/>
      </c>
      <c r="H3999" s="29">
        <f>IF(F3999="","",INDEX(Deals!$E$2:$E$843,F3999))</f>
        <v/>
      </c>
      <c r="I3999">
        <f>IF(F3999="","",INDEX(Deals!$D$2:$D$843,F3999))</f>
        <v/>
      </c>
      <c r="J3999">
        <f>IF(F3999="","",INT(H3999)-B3999)</f>
        <v/>
      </c>
      <c r="K3999">
        <f>IF(B3999&gt;=Settings!$C$5,1,0)</f>
        <v/>
      </c>
    </row>
    <row r="4000">
      <c r="A4000" t="inlineStr">
        <is>
          <t>6058d6b7d1f04803d15d1896d3256c92</t>
        </is>
      </c>
      <c r="B4000" s="29" t="n">
        <v>43160</v>
      </c>
      <c r="C4000" t="inlineStr">
        <is>
          <t>2018-03</t>
        </is>
      </c>
      <c r="D4000" t="inlineStr">
        <is>
          <t>b76ef37428e6799c421989521c0e5077</t>
        </is>
      </c>
      <c r="E4000" t="inlineStr">
        <is>
          <t>organic_search</t>
        </is>
      </c>
      <c r="F4000">
        <f>IFERROR(MATCH(A4000,Deals!$A$2:$A$843,0),"")</f>
        <v/>
      </c>
      <c r="G4000">
        <f>IF(F4000="",0,1)</f>
        <v/>
      </c>
      <c r="H4000" s="29">
        <f>IF(F4000="","",INDEX(Deals!$E$2:$E$843,F4000))</f>
        <v/>
      </c>
      <c r="I4000">
        <f>IF(F4000="","",INDEX(Deals!$D$2:$D$843,F4000))</f>
        <v/>
      </c>
      <c r="J4000">
        <f>IF(F4000="","",INT(H4000)-B4000)</f>
        <v/>
      </c>
      <c r="K4000">
        <f>IF(B4000&gt;=Settings!$C$5,1,0)</f>
        <v/>
      </c>
    </row>
    <row r="4001">
      <c r="A4001" t="inlineStr">
        <is>
          <t>2a5e1c52752a71a87c5c2cc5d594dfc0</t>
        </is>
      </c>
      <c r="B4001" s="29" t="n">
        <v>43227</v>
      </c>
      <c r="C4001" t="inlineStr">
        <is>
          <t>2018-05</t>
        </is>
      </c>
      <c r="D4001" t="inlineStr">
        <is>
          <t>35c9b150ab36fe584c1f24fd458c453a</t>
        </is>
      </c>
      <c r="E4001" t="inlineStr">
        <is>
          <t>unknown</t>
        </is>
      </c>
      <c r="F4001">
        <f>IFERROR(MATCH(A4001,Deals!$A$2:$A$843,0),"")</f>
        <v/>
      </c>
      <c r="G4001">
        <f>IF(F4001="",0,1)</f>
        <v/>
      </c>
      <c r="H4001" s="29">
        <f>IF(F4001="","",INDEX(Deals!$E$2:$E$843,F4001))</f>
        <v/>
      </c>
      <c r="I4001">
        <f>IF(F4001="","",INDEX(Deals!$D$2:$D$843,F4001))</f>
        <v/>
      </c>
      <c r="J4001">
        <f>IF(F4001="","",INT(H4001)-B4001)</f>
        <v/>
      </c>
      <c r="K4001">
        <f>IF(B4001&gt;=Settings!$C$5,1,0)</f>
        <v/>
      </c>
    </row>
    <row r="4002">
      <c r="A4002" t="inlineStr">
        <is>
          <t>9962fbcc68e61479a29396edae8f3b9b</t>
        </is>
      </c>
      <c r="B4002" s="29" t="n">
        <v>43125</v>
      </c>
      <c r="C4002" t="inlineStr">
        <is>
          <t>2018-01</t>
        </is>
      </c>
      <c r="D4002" t="inlineStr">
        <is>
          <t>ce1a65abd0973638f1c887a6efcfa82d</t>
        </is>
      </c>
      <c r="E4002" t="inlineStr">
        <is>
          <t>organic_search</t>
        </is>
      </c>
      <c r="F4002">
        <f>IFERROR(MATCH(A4002,Deals!$A$2:$A$843,0),"")</f>
        <v/>
      </c>
      <c r="G4002">
        <f>IF(F4002="",0,1)</f>
        <v/>
      </c>
      <c r="H4002" s="29">
        <f>IF(F4002="","",INDEX(Deals!$E$2:$E$843,F4002))</f>
        <v/>
      </c>
      <c r="I4002">
        <f>IF(F4002="","",INDEX(Deals!$D$2:$D$843,F4002))</f>
        <v/>
      </c>
      <c r="J4002">
        <f>IF(F4002="","",INT(H4002)-B4002)</f>
        <v/>
      </c>
      <c r="K4002">
        <f>IF(B4002&gt;=Settings!$C$5,1,0)</f>
        <v/>
      </c>
    </row>
    <row r="4003">
      <c r="A4003" t="inlineStr">
        <is>
          <t>05eac6603c2c8b0d133d6417ad1b97a6</t>
        </is>
      </c>
      <c r="B4003" s="29" t="n">
        <v>43110</v>
      </c>
      <c r="C4003" t="inlineStr">
        <is>
          <t>2018-01</t>
        </is>
      </c>
      <c r="D4003" t="inlineStr">
        <is>
          <t>a0fbc0263cb98bdb0d72b9f9f283a172</t>
        </is>
      </c>
      <c r="E4003" t="inlineStr">
        <is>
          <t>paid_search</t>
        </is>
      </c>
      <c r="F4003">
        <f>IFERROR(MATCH(A4003,Deals!$A$2:$A$843,0),"")</f>
        <v/>
      </c>
      <c r="G4003">
        <f>IF(F4003="",0,1)</f>
        <v/>
      </c>
      <c r="H4003" s="29">
        <f>IF(F4003="","",INDEX(Deals!$E$2:$E$843,F4003))</f>
        <v/>
      </c>
      <c r="I4003">
        <f>IF(F4003="","",INDEX(Deals!$D$2:$D$843,F4003))</f>
        <v/>
      </c>
      <c r="J4003">
        <f>IF(F4003="","",INT(H4003)-B4003)</f>
        <v/>
      </c>
      <c r="K4003">
        <f>IF(B4003&gt;=Settings!$C$5,1,0)</f>
        <v/>
      </c>
    </row>
    <row r="4004">
      <c r="A4004" t="inlineStr">
        <is>
          <t>fb628a9f2005fb3e8152ca8a66ca4515</t>
        </is>
      </c>
      <c r="B4004" s="29" t="n">
        <v>43107</v>
      </c>
      <c r="C4004" t="inlineStr">
        <is>
          <t>2018-01</t>
        </is>
      </c>
      <c r="D4004" t="inlineStr">
        <is>
          <t>88740e65d5d6b056e0cda098e1ea6313</t>
        </is>
      </c>
      <c r="E4004" t="inlineStr">
        <is>
          <t>social</t>
        </is>
      </c>
      <c r="F4004">
        <f>IFERROR(MATCH(A4004,Deals!$A$2:$A$843,0),"")</f>
        <v/>
      </c>
      <c r="G4004">
        <f>IF(F4004="",0,1)</f>
        <v/>
      </c>
      <c r="H4004" s="29">
        <f>IF(F4004="","",INDEX(Deals!$E$2:$E$843,F4004))</f>
        <v/>
      </c>
      <c r="I4004">
        <f>IF(F4004="","",INDEX(Deals!$D$2:$D$843,F4004))</f>
        <v/>
      </c>
      <c r="J4004">
        <f>IF(F4004="","",INT(H4004)-B4004)</f>
        <v/>
      </c>
      <c r="K4004">
        <f>IF(B4004&gt;=Settings!$C$5,1,0)</f>
        <v/>
      </c>
    </row>
    <row r="4005">
      <c r="A4005" t="inlineStr">
        <is>
          <t>916de785d2ef62534956d827ef074884</t>
        </is>
      </c>
      <c r="B4005" s="29" t="n">
        <v>43217</v>
      </c>
      <c r="C4005" t="inlineStr">
        <is>
          <t>2018-04</t>
        </is>
      </c>
      <c r="D4005" t="inlineStr">
        <is>
          <t>e492ee5eaf1697716985cc6f33f9cd9b</t>
        </is>
      </c>
      <c r="E4005" t="inlineStr">
        <is>
          <t>paid_search</t>
        </is>
      </c>
      <c r="F4005">
        <f>IFERROR(MATCH(A4005,Deals!$A$2:$A$843,0),"")</f>
        <v/>
      </c>
      <c r="G4005">
        <f>IF(F4005="",0,1)</f>
        <v/>
      </c>
      <c r="H4005" s="29">
        <f>IF(F4005="","",INDEX(Deals!$E$2:$E$843,F4005))</f>
        <v/>
      </c>
      <c r="I4005">
        <f>IF(F4005="","",INDEX(Deals!$D$2:$D$843,F4005))</f>
        <v/>
      </c>
      <c r="J4005">
        <f>IF(F4005="","",INT(H4005)-B4005)</f>
        <v/>
      </c>
      <c r="K4005">
        <f>IF(B4005&gt;=Settings!$C$5,1,0)</f>
        <v/>
      </c>
    </row>
    <row r="4006">
      <c r="A4006" t="inlineStr">
        <is>
          <t>de62b3d4ab5cf29fa7c47d6917d433f0</t>
        </is>
      </c>
      <c r="B4006" s="29" t="n">
        <v>43214</v>
      </c>
      <c r="C4006" t="inlineStr">
        <is>
          <t>2018-04</t>
        </is>
      </c>
      <c r="D4006" t="inlineStr">
        <is>
          <t>58326e62183c14b0c03085c33b9fdc44</t>
        </is>
      </c>
      <c r="E4006" t="inlineStr">
        <is>
          <t>social</t>
        </is>
      </c>
      <c r="F4006">
        <f>IFERROR(MATCH(A4006,Deals!$A$2:$A$843,0),"")</f>
        <v/>
      </c>
      <c r="G4006">
        <f>IF(F4006="",0,1)</f>
        <v/>
      </c>
      <c r="H4006" s="29">
        <f>IF(F4006="","",INDEX(Deals!$E$2:$E$843,F4006))</f>
        <v/>
      </c>
      <c r="I4006">
        <f>IF(F4006="","",INDEX(Deals!$D$2:$D$843,F4006))</f>
        <v/>
      </c>
      <c r="J4006">
        <f>IF(F4006="","",INT(H4006)-B4006)</f>
        <v/>
      </c>
      <c r="K4006">
        <f>IF(B4006&gt;=Settings!$C$5,1,0)</f>
        <v/>
      </c>
    </row>
    <row r="4007">
      <c r="A4007" t="inlineStr">
        <is>
          <t>baead3b2bab81c64c1ea6a6984646567</t>
        </is>
      </c>
      <c r="B4007" s="29" t="n">
        <v>43162</v>
      </c>
      <c r="C4007" t="inlineStr">
        <is>
          <t>2018-03</t>
        </is>
      </c>
      <c r="D4007" t="inlineStr">
        <is>
          <t>22c29808c4f815213303f8933030604c</t>
        </is>
      </c>
      <c r="E4007" t="inlineStr">
        <is>
          <t>paid_search</t>
        </is>
      </c>
      <c r="F4007">
        <f>IFERROR(MATCH(A4007,Deals!$A$2:$A$843,0),"")</f>
        <v/>
      </c>
      <c r="G4007">
        <f>IF(F4007="",0,1)</f>
        <v/>
      </c>
      <c r="H4007" s="29">
        <f>IF(F4007="","",INDEX(Deals!$E$2:$E$843,F4007))</f>
        <v/>
      </c>
      <c r="I4007">
        <f>IF(F4007="","",INDEX(Deals!$D$2:$D$843,F4007))</f>
        <v/>
      </c>
      <c r="J4007">
        <f>IF(F4007="","",INT(H4007)-B4007)</f>
        <v/>
      </c>
      <c r="K4007">
        <f>IF(B4007&gt;=Settings!$C$5,1,0)</f>
        <v/>
      </c>
    </row>
    <row r="4008">
      <c r="A4008" t="inlineStr">
        <is>
          <t>c4367c52bf45525bfbb7614b167a5335</t>
        </is>
      </c>
      <c r="B4008" s="29" t="n">
        <v>43105</v>
      </c>
      <c r="C4008" t="inlineStr">
        <is>
          <t>2018-01</t>
        </is>
      </c>
      <c r="D4008" t="inlineStr">
        <is>
          <t>f017be4dbf86243af5c1ebed0cff36a2</t>
        </is>
      </c>
      <c r="E4008" t="inlineStr">
        <is>
          <t>referral</t>
        </is>
      </c>
      <c r="F4008">
        <f>IFERROR(MATCH(A4008,Deals!$A$2:$A$843,0),"")</f>
        <v/>
      </c>
      <c r="G4008">
        <f>IF(F4008="",0,1)</f>
        <v/>
      </c>
      <c r="H4008" s="29">
        <f>IF(F4008="","",INDEX(Deals!$E$2:$E$843,F4008))</f>
        <v/>
      </c>
      <c r="I4008">
        <f>IF(F4008="","",INDEX(Deals!$D$2:$D$843,F4008))</f>
        <v/>
      </c>
      <c r="J4008">
        <f>IF(F4008="","",INT(H4008)-B4008)</f>
        <v/>
      </c>
      <c r="K4008">
        <f>IF(B4008&gt;=Settings!$C$5,1,0)</f>
        <v/>
      </c>
    </row>
    <row r="4009">
      <c r="A4009" t="inlineStr">
        <is>
          <t>d2ac71782272659e7171150d20d59158</t>
        </is>
      </c>
      <c r="B4009" s="29" t="n">
        <v>43234</v>
      </c>
      <c r="C4009" t="inlineStr">
        <is>
          <t>2018-05</t>
        </is>
      </c>
      <c r="D4009" t="inlineStr">
        <is>
          <t>a850a8a187e36cb07a8d06700d141993</t>
        </is>
      </c>
      <c r="E4009" t="inlineStr">
        <is>
          <t>(missing)</t>
        </is>
      </c>
      <c r="F4009">
        <f>IFERROR(MATCH(A4009,Deals!$A$2:$A$843,0),"")</f>
        <v/>
      </c>
      <c r="G4009">
        <f>IF(F4009="",0,1)</f>
        <v/>
      </c>
      <c r="H4009" s="29">
        <f>IF(F4009="","",INDEX(Deals!$E$2:$E$843,F4009))</f>
        <v/>
      </c>
      <c r="I4009">
        <f>IF(F4009="","",INDEX(Deals!$D$2:$D$843,F4009))</f>
        <v/>
      </c>
      <c r="J4009">
        <f>IF(F4009="","",INT(H4009)-B4009)</f>
        <v/>
      </c>
      <c r="K4009">
        <f>IF(B4009&gt;=Settings!$C$5,1,0)</f>
        <v/>
      </c>
    </row>
    <row r="4010">
      <c r="A4010" t="inlineStr">
        <is>
          <t>3514f1f7f9a8c61c063aa8cd834c5561</t>
        </is>
      </c>
      <c r="B4010" s="29" t="n">
        <v>43123</v>
      </c>
      <c r="C4010" t="inlineStr">
        <is>
          <t>2018-01</t>
        </is>
      </c>
      <c r="D4010" t="inlineStr">
        <is>
          <t>79a85ce81ddf5daa300bb137cd81bebd</t>
        </is>
      </c>
      <c r="E4010" t="inlineStr">
        <is>
          <t>organic_search</t>
        </is>
      </c>
      <c r="F4010">
        <f>IFERROR(MATCH(A4010,Deals!$A$2:$A$843,0),"")</f>
        <v/>
      </c>
      <c r="G4010">
        <f>IF(F4010="",0,1)</f>
        <v/>
      </c>
      <c r="H4010" s="29">
        <f>IF(F4010="","",INDEX(Deals!$E$2:$E$843,F4010))</f>
        <v/>
      </c>
      <c r="I4010">
        <f>IF(F4010="","",INDEX(Deals!$D$2:$D$843,F4010))</f>
        <v/>
      </c>
      <c r="J4010">
        <f>IF(F4010="","",INT(H4010)-B4010)</f>
        <v/>
      </c>
      <c r="K4010">
        <f>IF(B4010&gt;=Settings!$C$5,1,0)</f>
        <v/>
      </c>
    </row>
    <row r="4011">
      <c r="A4011" t="inlineStr">
        <is>
          <t>d120db565ef6583b6b850738df6d89be</t>
        </is>
      </c>
      <c r="B4011" s="29" t="n">
        <v>43173</v>
      </c>
      <c r="C4011" t="inlineStr">
        <is>
          <t>2018-03</t>
        </is>
      </c>
      <c r="D4011" t="inlineStr">
        <is>
          <t>b76ef37428e6799c421989521c0e5077</t>
        </is>
      </c>
      <c r="E4011" t="inlineStr">
        <is>
          <t>unknown</t>
        </is>
      </c>
      <c r="F4011">
        <f>IFERROR(MATCH(A4011,Deals!$A$2:$A$843,0),"")</f>
        <v/>
      </c>
      <c r="G4011">
        <f>IF(F4011="",0,1)</f>
        <v/>
      </c>
      <c r="H4011" s="29">
        <f>IF(F4011="","",INDEX(Deals!$E$2:$E$843,F4011))</f>
        <v/>
      </c>
      <c r="I4011">
        <f>IF(F4011="","",INDEX(Deals!$D$2:$D$843,F4011))</f>
        <v/>
      </c>
      <c r="J4011">
        <f>IF(F4011="","",INT(H4011)-B4011)</f>
        <v/>
      </c>
      <c r="K4011">
        <f>IF(B4011&gt;=Settings!$C$5,1,0)</f>
        <v/>
      </c>
    </row>
    <row r="4012">
      <c r="A4012" t="inlineStr">
        <is>
          <t>26e87ce3ffff8cab875cc01616fad7ed</t>
        </is>
      </c>
      <c r="B4012" s="29" t="n">
        <v>43164</v>
      </c>
      <c r="C4012" t="inlineStr">
        <is>
          <t>2018-03</t>
        </is>
      </c>
      <c r="D4012" t="inlineStr">
        <is>
          <t>22c29808c4f815213303f8933030604c</t>
        </is>
      </c>
      <c r="E4012" t="inlineStr">
        <is>
          <t>organic_search</t>
        </is>
      </c>
      <c r="F4012">
        <f>IFERROR(MATCH(A4012,Deals!$A$2:$A$843,0),"")</f>
        <v/>
      </c>
      <c r="G4012">
        <f>IF(F4012="",0,1)</f>
        <v/>
      </c>
      <c r="H4012" s="29">
        <f>IF(F4012="","",INDEX(Deals!$E$2:$E$843,F4012))</f>
        <v/>
      </c>
      <c r="I4012">
        <f>IF(F4012="","",INDEX(Deals!$D$2:$D$843,F4012))</f>
        <v/>
      </c>
      <c r="J4012">
        <f>IF(F4012="","",INT(H4012)-B4012)</f>
        <v/>
      </c>
      <c r="K4012">
        <f>IF(B4012&gt;=Settings!$C$5,1,0)</f>
        <v/>
      </c>
    </row>
    <row r="4013">
      <c r="A4013" t="inlineStr">
        <is>
          <t>30cf2dddf89372cece51b60959c12320</t>
        </is>
      </c>
      <c r="B4013" s="29" t="n">
        <v>43216</v>
      </c>
      <c r="C4013" t="inlineStr">
        <is>
          <t>2018-04</t>
        </is>
      </c>
      <c r="D4013" t="inlineStr">
        <is>
          <t>b76ef37428e6799c421989521c0e5077</t>
        </is>
      </c>
      <c r="E4013" t="inlineStr">
        <is>
          <t>organic_search</t>
        </is>
      </c>
      <c r="F4013">
        <f>IFERROR(MATCH(A4013,Deals!$A$2:$A$843,0),"")</f>
        <v/>
      </c>
      <c r="G4013">
        <f>IF(F4013="",0,1)</f>
        <v/>
      </c>
      <c r="H4013" s="29">
        <f>IF(F4013="","",INDEX(Deals!$E$2:$E$843,F4013))</f>
        <v/>
      </c>
      <c r="I4013">
        <f>IF(F4013="","",INDEX(Deals!$D$2:$D$843,F4013))</f>
        <v/>
      </c>
      <c r="J4013">
        <f>IF(F4013="","",INT(H4013)-B4013)</f>
        <v/>
      </c>
      <c r="K4013">
        <f>IF(B4013&gt;=Settings!$C$5,1,0)</f>
        <v/>
      </c>
    </row>
    <row r="4014">
      <c r="A4014" t="inlineStr">
        <is>
          <t>f1f49699d5abb3a62e57c6541770b65d</t>
        </is>
      </c>
      <c r="B4014" s="29" t="n">
        <v>42963</v>
      </c>
      <c r="C4014" t="inlineStr">
        <is>
          <t>2017-08</t>
        </is>
      </c>
      <c r="D4014" t="inlineStr">
        <is>
          <t>87732658ba41d8775e8577df347a64db</t>
        </is>
      </c>
      <c r="E4014" t="inlineStr">
        <is>
          <t>social</t>
        </is>
      </c>
      <c r="F4014">
        <f>IFERROR(MATCH(A4014,Deals!$A$2:$A$843,0),"")</f>
        <v/>
      </c>
      <c r="G4014">
        <f>IF(F4014="",0,1)</f>
        <v/>
      </c>
      <c r="H4014" s="29">
        <f>IF(F4014="","",INDEX(Deals!$E$2:$E$843,F4014))</f>
        <v/>
      </c>
      <c r="I4014">
        <f>IF(F4014="","",INDEX(Deals!$D$2:$D$843,F4014))</f>
        <v/>
      </c>
      <c r="J4014">
        <f>IF(F4014="","",INT(H4014)-B4014)</f>
        <v/>
      </c>
      <c r="K4014">
        <f>IF(B4014&gt;=Settings!$C$5,1,0)</f>
        <v/>
      </c>
    </row>
    <row r="4015">
      <c r="A4015" t="inlineStr">
        <is>
          <t>c7204958ab2a72430f7c9c8bbea79be0</t>
        </is>
      </c>
      <c r="B4015" s="29" t="n">
        <v>43062</v>
      </c>
      <c r="C4015" t="inlineStr">
        <is>
          <t>2017-11</t>
        </is>
      </c>
      <c r="D4015" t="inlineStr">
        <is>
          <t>f017be4dbf86243af5c1ebed0cff36a2</t>
        </is>
      </c>
      <c r="E4015" t="inlineStr">
        <is>
          <t>unknown</t>
        </is>
      </c>
      <c r="F4015">
        <f>IFERROR(MATCH(A4015,Deals!$A$2:$A$843,0),"")</f>
        <v/>
      </c>
      <c r="G4015">
        <f>IF(F4015="",0,1)</f>
        <v/>
      </c>
      <c r="H4015" s="29">
        <f>IF(F4015="","",INDEX(Deals!$E$2:$E$843,F4015))</f>
        <v/>
      </c>
      <c r="I4015">
        <f>IF(F4015="","",INDEX(Deals!$D$2:$D$843,F4015))</f>
        <v/>
      </c>
      <c r="J4015">
        <f>IF(F4015="","",INT(H4015)-B4015)</f>
        <v/>
      </c>
      <c r="K4015">
        <f>IF(B4015&gt;=Settings!$C$5,1,0)</f>
        <v/>
      </c>
    </row>
    <row r="4016">
      <c r="A4016" t="inlineStr">
        <is>
          <t>aa98ed8d6ce3f3a5d5eabb46213f767b</t>
        </is>
      </c>
      <c r="B4016" s="29" t="n">
        <v>43216</v>
      </c>
      <c r="C4016" t="inlineStr">
        <is>
          <t>2018-04</t>
        </is>
      </c>
      <c r="D4016" t="inlineStr">
        <is>
          <t>e492ee5eaf1697716985cc6f33f9cd9b</t>
        </is>
      </c>
      <c r="E4016" t="inlineStr">
        <is>
          <t>email</t>
        </is>
      </c>
      <c r="F4016">
        <f>IFERROR(MATCH(A4016,Deals!$A$2:$A$843,0),"")</f>
        <v/>
      </c>
      <c r="G4016">
        <f>IF(F4016="",0,1)</f>
        <v/>
      </c>
      <c r="H4016" s="29">
        <f>IF(F4016="","",INDEX(Deals!$E$2:$E$843,F4016))</f>
        <v/>
      </c>
      <c r="I4016">
        <f>IF(F4016="","",INDEX(Deals!$D$2:$D$843,F4016))</f>
        <v/>
      </c>
      <c r="J4016">
        <f>IF(F4016="","",INT(H4016)-B4016)</f>
        <v/>
      </c>
      <c r="K4016">
        <f>IF(B4016&gt;=Settings!$C$5,1,0)</f>
        <v/>
      </c>
    </row>
    <row r="4017">
      <c r="A4017" t="inlineStr">
        <is>
          <t>a6a262e3634c78f9629ddf8094cd3174</t>
        </is>
      </c>
      <c r="B4017" s="29" t="n">
        <v>43179</v>
      </c>
      <c r="C4017" t="inlineStr">
        <is>
          <t>2018-03</t>
        </is>
      </c>
      <c r="D4017" t="inlineStr">
        <is>
          <t>ce1a65abd0973638f1c887a6efcfa82d</t>
        </is>
      </c>
      <c r="E4017" t="inlineStr">
        <is>
          <t>organic_search</t>
        </is>
      </c>
      <c r="F4017">
        <f>IFERROR(MATCH(A4017,Deals!$A$2:$A$843,0),"")</f>
        <v/>
      </c>
      <c r="G4017">
        <f>IF(F4017="",0,1)</f>
        <v/>
      </c>
      <c r="H4017" s="29">
        <f>IF(F4017="","",INDEX(Deals!$E$2:$E$843,F4017))</f>
        <v/>
      </c>
      <c r="I4017">
        <f>IF(F4017="","",INDEX(Deals!$D$2:$D$843,F4017))</f>
        <v/>
      </c>
      <c r="J4017">
        <f>IF(F4017="","",INT(H4017)-B4017)</f>
        <v/>
      </c>
      <c r="K4017">
        <f>IF(B4017&gt;=Settings!$C$5,1,0)</f>
        <v/>
      </c>
    </row>
    <row r="4018">
      <c r="A4018" t="inlineStr">
        <is>
          <t>085df4d5a370218b679cfab2121cd194</t>
        </is>
      </c>
      <c r="B4018" s="29" t="n">
        <v>43211</v>
      </c>
      <c r="C4018" t="inlineStr">
        <is>
          <t>2018-04</t>
        </is>
      </c>
      <c r="D4018" t="inlineStr">
        <is>
          <t>ce1a65abd0973638f1c887a6efcfa82d</t>
        </is>
      </c>
      <c r="E4018" t="inlineStr">
        <is>
          <t>organic_search</t>
        </is>
      </c>
      <c r="F4018">
        <f>IFERROR(MATCH(A4018,Deals!$A$2:$A$843,0),"")</f>
        <v/>
      </c>
      <c r="G4018">
        <f>IF(F4018="",0,1)</f>
        <v/>
      </c>
      <c r="H4018" s="29">
        <f>IF(F4018="","",INDEX(Deals!$E$2:$E$843,F4018))</f>
        <v/>
      </c>
      <c r="I4018">
        <f>IF(F4018="","",INDEX(Deals!$D$2:$D$843,F4018))</f>
        <v/>
      </c>
      <c r="J4018">
        <f>IF(F4018="","",INT(H4018)-B4018)</f>
        <v/>
      </c>
      <c r="K4018">
        <f>IF(B4018&gt;=Settings!$C$5,1,0)</f>
        <v/>
      </c>
    </row>
    <row r="4019">
      <c r="A4019" t="inlineStr">
        <is>
          <t>b42b93dacc67994f1a24355983ac4cf1</t>
        </is>
      </c>
      <c r="B4019" s="29" t="n">
        <v>43102</v>
      </c>
      <c r="C4019" t="inlineStr">
        <is>
          <t>2018-01</t>
        </is>
      </c>
      <c r="D4019" t="inlineStr">
        <is>
          <t>21a104c3279681d9856b8a48723c4fee</t>
        </is>
      </c>
      <c r="E4019" t="inlineStr">
        <is>
          <t>organic_search</t>
        </is>
      </c>
      <c r="F4019">
        <f>IFERROR(MATCH(A4019,Deals!$A$2:$A$843,0),"")</f>
        <v/>
      </c>
      <c r="G4019">
        <f>IF(F4019="",0,1)</f>
        <v/>
      </c>
      <c r="H4019" s="29">
        <f>IF(F4019="","",INDEX(Deals!$E$2:$E$843,F4019))</f>
        <v/>
      </c>
      <c r="I4019">
        <f>IF(F4019="","",INDEX(Deals!$D$2:$D$843,F4019))</f>
        <v/>
      </c>
      <c r="J4019">
        <f>IF(F4019="","",INT(H4019)-B4019)</f>
        <v/>
      </c>
      <c r="K4019">
        <f>IF(B4019&gt;=Settings!$C$5,1,0)</f>
        <v/>
      </c>
    </row>
    <row r="4020">
      <c r="A4020" t="inlineStr">
        <is>
          <t>3e43df7f86a57ed8ce8ce3b26a8a08de</t>
        </is>
      </c>
      <c r="B4020" s="29" t="n">
        <v>43195</v>
      </c>
      <c r="C4020" t="inlineStr">
        <is>
          <t>2018-04</t>
        </is>
      </c>
      <c r="D4020" t="inlineStr">
        <is>
          <t>1ceb590cd1e00c7ee95220971f82693d</t>
        </is>
      </c>
      <c r="E4020" t="inlineStr">
        <is>
          <t>paid_search</t>
        </is>
      </c>
      <c r="F4020">
        <f>IFERROR(MATCH(A4020,Deals!$A$2:$A$843,0),"")</f>
        <v/>
      </c>
      <c r="G4020">
        <f>IF(F4020="",0,1)</f>
        <v/>
      </c>
      <c r="H4020" s="29">
        <f>IF(F4020="","",INDEX(Deals!$E$2:$E$843,F4020))</f>
        <v/>
      </c>
      <c r="I4020">
        <f>IF(F4020="","",INDEX(Deals!$D$2:$D$843,F4020))</f>
        <v/>
      </c>
      <c r="J4020">
        <f>IF(F4020="","",INT(H4020)-B4020)</f>
        <v/>
      </c>
      <c r="K4020">
        <f>IF(B4020&gt;=Settings!$C$5,1,0)</f>
        <v/>
      </c>
    </row>
    <row r="4021">
      <c r="A4021" t="inlineStr">
        <is>
          <t>80a54030151e45fe4e025d32430c753a</t>
        </is>
      </c>
      <c r="B4021" s="29" t="n">
        <v>42997</v>
      </c>
      <c r="C4021" t="inlineStr">
        <is>
          <t>2017-09</t>
        </is>
      </c>
      <c r="D4021" t="inlineStr">
        <is>
          <t>65d9f9d71e562365e8b44037c2888d98</t>
        </is>
      </c>
      <c r="E4021" t="inlineStr">
        <is>
          <t>organic_search</t>
        </is>
      </c>
      <c r="F4021">
        <f>IFERROR(MATCH(A4021,Deals!$A$2:$A$843,0),"")</f>
        <v/>
      </c>
      <c r="G4021">
        <f>IF(F4021="",0,1)</f>
        <v/>
      </c>
      <c r="H4021" s="29">
        <f>IF(F4021="","",INDEX(Deals!$E$2:$E$843,F4021))</f>
        <v/>
      </c>
      <c r="I4021">
        <f>IF(F4021="","",INDEX(Deals!$D$2:$D$843,F4021))</f>
        <v/>
      </c>
      <c r="J4021">
        <f>IF(F4021="","",INT(H4021)-B4021)</f>
        <v/>
      </c>
      <c r="K4021">
        <f>IF(B4021&gt;=Settings!$C$5,1,0)</f>
        <v/>
      </c>
    </row>
    <row r="4022">
      <c r="A4022" t="inlineStr">
        <is>
          <t>6049c4764e4f172b968de04fc828df34</t>
        </is>
      </c>
      <c r="B4022" s="29" t="n">
        <v>43228</v>
      </c>
      <c r="C4022" t="inlineStr">
        <is>
          <t>2018-05</t>
        </is>
      </c>
      <c r="D4022" t="inlineStr">
        <is>
          <t>f017be4dbf86243af5c1ebed0cff36a2</t>
        </is>
      </c>
      <c r="E4022" t="inlineStr">
        <is>
          <t>social</t>
        </is>
      </c>
      <c r="F4022">
        <f>IFERROR(MATCH(A4022,Deals!$A$2:$A$843,0),"")</f>
        <v/>
      </c>
      <c r="G4022">
        <f>IF(F4022="",0,1)</f>
        <v/>
      </c>
      <c r="H4022" s="29">
        <f>IF(F4022="","",INDEX(Deals!$E$2:$E$843,F4022))</f>
        <v/>
      </c>
      <c r="I4022">
        <f>IF(F4022="","",INDEX(Deals!$D$2:$D$843,F4022))</f>
        <v/>
      </c>
      <c r="J4022">
        <f>IF(F4022="","",INT(H4022)-B4022)</f>
        <v/>
      </c>
      <c r="K4022">
        <f>IF(B4022&gt;=Settings!$C$5,1,0)</f>
        <v/>
      </c>
    </row>
    <row r="4023">
      <c r="A4023" t="inlineStr">
        <is>
          <t>810cd6adda70722fd9d2c292867b86d7</t>
        </is>
      </c>
      <c r="B4023" s="29" t="n">
        <v>43119</v>
      </c>
      <c r="C4023" t="inlineStr">
        <is>
          <t>2018-01</t>
        </is>
      </c>
      <c r="D4023" t="inlineStr">
        <is>
          <t>88740e65d5d6b056e0cda098e1ea6313</t>
        </is>
      </c>
      <c r="E4023" t="inlineStr">
        <is>
          <t>social</t>
        </is>
      </c>
      <c r="F4023">
        <f>IFERROR(MATCH(A4023,Deals!$A$2:$A$843,0),"")</f>
        <v/>
      </c>
      <c r="G4023">
        <f>IF(F4023="",0,1)</f>
        <v/>
      </c>
      <c r="H4023" s="29">
        <f>IF(F4023="","",INDEX(Deals!$E$2:$E$843,F4023))</f>
        <v/>
      </c>
      <c r="I4023">
        <f>IF(F4023="","",INDEX(Deals!$D$2:$D$843,F4023))</f>
        <v/>
      </c>
      <c r="J4023">
        <f>IF(F4023="","",INT(H4023)-B4023)</f>
        <v/>
      </c>
      <c r="K4023">
        <f>IF(B4023&gt;=Settings!$C$5,1,0)</f>
        <v/>
      </c>
    </row>
    <row r="4024">
      <c r="A4024" t="inlineStr">
        <is>
          <t>7091da5a0a374e4a92a9356c963e1690</t>
        </is>
      </c>
      <c r="B4024" s="29" t="n">
        <v>43200</v>
      </c>
      <c r="C4024" t="inlineStr">
        <is>
          <t>2018-04</t>
        </is>
      </c>
      <c r="D4024" t="inlineStr">
        <is>
          <t>22218292bcb562cf33f2342d57952479</t>
        </is>
      </c>
      <c r="E4024" t="inlineStr">
        <is>
          <t>email</t>
        </is>
      </c>
      <c r="F4024">
        <f>IFERROR(MATCH(A4024,Deals!$A$2:$A$843,0),"")</f>
        <v/>
      </c>
      <c r="G4024">
        <f>IF(F4024="",0,1)</f>
        <v/>
      </c>
      <c r="H4024" s="29">
        <f>IF(F4024="","",INDEX(Deals!$E$2:$E$843,F4024))</f>
        <v/>
      </c>
      <c r="I4024">
        <f>IF(F4024="","",INDEX(Deals!$D$2:$D$843,F4024))</f>
        <v/>
      </c>
      <c r="J4024">
        <f>IF(F4024="","",INT(H4024)-B4024)</f>
        <v/>
      </c>
      <c r="K4024">
        <f>IF(B4024&gt;=Settings!$C$5,1,0)</f>
        <v/>
      </c>
    </row>
    <row r="4025">
      <c r="A4025" t="inlineStr">
        <is>
          <t>93a972b822e5a138570803194a6d237c</t>
        </is>
      </c>
      <c r="B4025" s="29" t="n">
        <v>43221</v>
      </c>
      <c r="C4025" t="inlineStr">
        <is>
          <t>2018-05</t>
        </is>
      </c>
      <c r="D4025" t="inlineStr">
        <is>
          <t>58326e62183c14b0c03085c33b9fdc44</t>
        </is>
      </c>
      <c r="E4025" t="inlineStr">
        <is>
          <t>social</t>
        </is>
      </c>
      <c r="F4025">
        <f>IFERROR(MATCH(A4025,Deals!$A$2:$A$843,0),"")</f>
        <v/>
      </c>
      <c r="G4025">
        <f>IF(F4025="",0,1)</f>
        <v/>
      </c>
      <c r="H4025" s="29">
        <f>IF(F4025="","",INDEX(Deals!$E$2:$E$843,F4025))</f>
        <v/>
      </c>
      <c r="I4025">
        <f>IF(F4025="","",INDEX(Deals!$D$2:$D$843,F4025))</f>
        <v/>
      </c>
      <c r="J4025">
        <f>IF(F4025="","",INT(H4025)-B4025)</f>
        <v/>
      </c>
      <c r="K4025">
        <f>IF(B4025&gt;=Settings!$C$5,1,0)</f>
        <v/>
      </c>
    </row>
    <row r="4026">
      <c r="A4026" t="inlineStr">
        <is>
          <t>a9a0fade5a9e1e3ad02e2e730ff3378c</t>
        </is>
      </c>
      <c r="B4026" s="29" t="n">
        <v>43227</v>
      </c>
      <c r="C4026" t="inlineStr">
        <is>
          <t>2018-05</t>
        </is>
      </c>
      <c r="D4026" t="inlineStr">
        <is>
          <t>8ff57dffc365fcb5233232fff6e6bfd0</t>
        </is>
      </c>
      <c r="E4026" t="inlineStr">
        <is>
          <t>organic_search</t>
        </is>
      </c>
      <c r="F4026">
        <f>IFERROR(MATCH(A4026,Deals!$A$2:$A$843,0),"")</f>
        <v/>
      </c>
      <c r="G4026">
        <f>IF(F4026="",0,1)</f>
        <v/>
      </c>
      <c r="H4026" s="29">
        <f>IF(F4026="","",INDEX(Deals!$E$2:$E$843,F4026))</f>
        <v/>
      </c>
      <c r="I4026">
        <f>IF(F4026="","",INDEX(Deals!$D$2:$D$843,F4026))</f>
        <v/>
      </c>
      <c r="J4026">
        <f>IF(F4026="","",INT(H4026)-B4026)</f>
        <v/>
      </c>
      <c r="K4026">
        <f>IF(B4026&gt;=Settings!$C$5,1,0)</f>
        <v/>
      </c>
    </row>
    <row r="4027">
      <c r="A4027" t="inlineStr">
        <is>
          <t>b68eec99f3b66e98022e60843901fe3e</t>
        </is>
      </c>
      <c r="B4027" s="29" t="n">
        <v>43168</v>
      </c>
      <c r="C4027" t="inlineStr">
        <is>
          <t>2018-03</t>
        </is>
      </c>
      <c r="D4027" t="inlineStr">
        <is>
          <t>88740e65d5d6b056e0cda098e1ea6313</t>
        </is>
      </c>
      <c r="E4027" t="inlineStr">
        <is>
          <t>social</t>
        </is>
      </c>
      <c r="F4027">
        <f>IFERROR(MATCH(A4027,Deals!$A$2:$A$843,0),"")</f>
        <v/>
      </c>
      <c r="G4027">
        <f>IF(F4027="",0,1)</f>
        <v/>
      </c>
      <c r="H4027" s="29">
        <f>IF(F4027="","",INDEX(Deals!$E$2:$E$843,F4027))</f>
        <v/>
      </c>
      <c r="I4027">
        <f>IF(F4027="","",INDEX(Deals!$D$2:$D$843,F4027))</f>
        <v/>
      </c>
      <c r="J4027">
        <f>IF(F4027="","",INT(H4027)-B4027)</f>
        <v/>
      </c>
      <c r="K4027">
        <f>IF(B4027&gt;=Settings!$C$5,1,0)</f>
        <v/>
      </c>
    </row>
    <row r="4028">
      <c r="A4028" t="inlineStr">
        <is>
          <t>f1678636cab6fa77c76a9264ea9963a7</t>
        </is>
      </c>
      <c r="B4028" s="29" t="n">
        <v>42961</v>
      </c>
      <c r="C4028" t="inlineStr">
        <is>
          <t>2017-08</t>
        </is>
      </c>
      <c r="D4028" t="inlineStr">
        <is>
          <t>83ccc33d426eab8a3db70bd15aba46b8</t>
        </is>
      </c>
      <c r="E4028" t="inlineStr">
        <is>
          <t>organic_search</t>
        </is>
      </c>
      <c r="F4028">
        <f>IFERROR(MATCH(A4028,Deals!$A$2:$A$843,0),"")</f>
        <v/>
      </c>
      <c r="G4028">
        <f>IF(F4028="",0,1)</f>
        <v/>
      </c>
      <c r="H4028" s="29">
        <f>IF(F4028="","",INDEX(Deals!$E$2:$E$843,F4028))</f>
        <v/>
      </c>
      <c r="I4028">
        <f>IF(F4028="","",INDEX(Deals!$D$2:$D$843,F4028))</f>
        <v/>
      </c>
      <c r="J4028">
        <f>IF(F4028="","",INT(H4028)-B4028)</f>
        <v/>
      </c>
      <c r="K4028">
        <f>IF(B4028&gt;=Settings!$C$5,1,0)</f>
        <v/>
      </c>
    </row>
    <row r="4029">
      <c r="A4029" t="inlineStr">
        <is>
          <t>0d019bff90a558a45022163f906bdc0c</t>
        </is>
      </c>
      <c r="B4029" s="29" t="n">
        <v>43147</v>
      </c>
      <c r="C4029" t="inlineStr">
        <is>
          <t>2018-02</t>
        </is>
      </c>
      <c r="D4029" t="inlineStr">
        <is>
          <t>88740e65d5d6b056e0cda098e1ea6313</t>
        </is>
      </c>
      <c r="E4029" t="inlineStr">
        <is>
          <t>social</t>
        </is>
      </c>
      <c r="F4029">
        <f>IFERROR(MATCH(A4029,Deals!$A$2:$A$843,0),"")</f>
        <v/>
      </c>
      <c r="G4029">
        <f>IF(F4029="",0,1)</f>
        <v/>
      </c>
      <c r="H4029" s="29">
        <f>IF(F4029="","",INDEX(Deals!$E$2:$E$843,F4029))</f>
        <v/>
      </c>
      <c r="I4029">
        <f>IF(F4029="","",INDEX(Deals!$D$2:$D$843,F4029))</f>
        <v/>
      </c>
      <c r="J4029">
        <f>IF(F4029="","",INT(H4029)-B4029)</f>
        <v/>
      </c>
      <c r="K4029">
        <f>IF(B4029&gt;=Settings!$C$5,1,0)</f>
        <v/>
      </c>
    </row>
    <row r="4030">
      <c r="A4030" t="inlineStr">
        <is>
          <t>0aff33f6d0d8aa236c51def04f2d5953</t>
        </is>
      </c>
      <c r="B4030" s="29" t="n">
        <v>43139</v>
      </c>
      <c r="C4030" t="inlineStr">
        <is>
          <t>2018-02</t>
        </is>
      </c>
      <c r="D4030" t="inlineStr">
        <is>
          <t>22c29808c4f815213303f8933030604c</t>
        </is>
      </c>
      <c r="E4030" t="inlineStr">
        <is>
          <t>paid_search</t>
        </is>
      </c>
      <c r="F4030">
        <f>IFERROR(MATCH(A4030,Deals!$A$2:$A$843,0),"")</f>
        <v/>
      </c>
      <c r="G4030">
        <f>IF(F4030="",0,1)</f>
        <v/>
      </c>
      <c r="H4030" s="29">
        <f>IF(F4030="","",INDEX(Deals!$E$2:$E$843,F4030))</f>
        <v/>
      </c>
      <c r="I4030">
        <f>IF(F4030="","",INDEX(Deals!$D$2:$D$843,F4030))</f>
        <v/>
      </c>
      <c r="J4030">
        <f>IF(F4030="","",INT(H4030)-B4030)</f>
        <v/>
      </c>
      <c r="K4030">
        <f>IF(B4030&gt;=Settings!$C$5,1,0)</f>
        <v/>
      </c>
    </row>
    <row r="4031">
      <c r="A4031" t="inlineStr">
        <is>
          <t>89b6d1591a3e9a96cee4c4060484c5ca</t>
        </is>
      </c>
      <c r="B4031" s="29" t="n">
        <v>42964</v>
      </c>
      <c r="C4031" t="inlineStr">
        <is>
          <t>2017-08</t>
        </is>
      </c>
      <c r="D4031" t="inlineStr">
        <is>
          <t>c70eb6fb5bd6e939b0d5ef32f21f61e8</t>
        </is>
      </c>
      <c r="E4031" t="inlineStr">
        <is>
          <t>direct_traffic</t>
        </is>
      </c>
      <c r="F4031">
        <f>IFERROR(MATCH(A4031,Deals!$A$2:$A$843,0),"")</f>
        <v/>
      </c>
      <c r="G4031">
        <f>IF(F4031="",0,1)</f>
        <v/>
      </c>
      <c r="H4031" s="29">
        <f>IF(F4031="","",INDEX(Deals!$E$2:$E$843,F4031))</f>
        <v/>
      </c>
      <c r="I4031">
        <f>IF(F4031="","",INDEX(Deals!$D$2:$D$843,F4031))</f>
        <v/>
      </c>
      <c r="J4031">
        <f>IF(F4031="","",INT(H4031)-B4031)</f>
        <v/>
      </c>
      <c r="K4031">
        <f>IF(B4031&gt;=Settings!$C$5,1,0)</f>
        <v/>
      </c>
    </row>
    <row r="4032">
      <c r="A4032" t="inlineStr">
        <is>
          <t>072eb633b9102fc0598f1a63c809c801</t>
        </is>
      </c>
      <c r="B4032" s="29" t="n">
        <v>43062</v>
      </c>
      <c r="C4032" t="inlineStr">
        <is>
          <t>2017-11</t>
        </is>
      </c>
      <c r="D4032" t="inlineStr">
        <is>
          <t>88740e65d5d6b056e0cda098e1ea6313</t>
        </is>
      </c>
      <c r="E4032" t="inlineStr">
        <is>
          <t>social</t>
        </is>
      </c>
      <c r="F4032">
        <f>IFERROR(MATCH(A4032,Deals!$A$2:$A$843,0),"")</f>
        <v/>
      </c>
      <c r="G4032">
        <f>IF(F4032="",0,1)</f>
        <v/>
      </c>
      <c r="H4032" s="29">
        <f>IF(F4032="","",INDEX(Deals!$E$2:$E$843,F4032))</f>
        <v/>
      </c>
      <c r="I4032">
        <f>IF(F4032="","",INDEX(Deals!$D$2:$D$843,F4032))</f>
        <v/>
      </c>
      <c r="J4032">
        <f>IF(F4032="","",INT(H4032)-B4032)</f>
        <v/>
      </c>
      <c r="K4032">
        <f>IF(B4032&gt;=Settings!$C$5,1,0)</f>
        <v/>
      </c>
    </row>
    <row r="4033">
      <c r="A4033" t="inlineStr">
        <is>
          <t>60dc4921f9eff5fcda833ee031443ee9</t>
        </is>
      </c>
      <c r="B4033" s="29" t="n">
        <v>43167</v>
      </c>
      <c r="C4033" t="inlineStr">
        <is>
          <t>2018-03</t>
        </is>
      </c>
      <c r="D4033" t="inlineStr">
        <is>
          <t>22c29808c4f815213303f8933030604c</t>
        </is>
      </c>
      <c r="E4033" t="inlineStr">
        <is>
          <t>direct_traffic</t>
        </is>
      </c>
      <c r="F4033">
        <f>IFERROR(MATCH(A4033,Deals!$A$2:$A$843,0),"")</f>
        <v/>
      </c>
      <c r="G4033">
        <f>IF(F4033="",0,1)</f>
        <v/>
      </c>
      <c r="H4033" s="29">
        <f>IF(F4033="","",INDEX(Deals!$E$2:$E$843,F4033))</f>
        <v/>
      </c>
      <c r="I4033">
        <f>IF(F4033="","",INDEX(Deals!$D$2:$D$843,F4033))</f>
        <v/>
      </c>
      <c r="J4033">
        <f>IF(F4033="","",INT(H4033)-B4033)</f>
        <v/>
      </c>
      <c r="K4033">
        <f>IF(B4033&gt;=Settings!$C$5,1,0)</f>
        <v/>
      </c>
    </row>
    <row r="4034">
      <c r="A4034" t="inlineStr">
        <is>
          <t>73c57a9ae26f3c981378b1c2960e2871</t>
        </is>
      </c>
      <c r="B4034" s="29" t="n">
        <v>42995</v>
      </c>
      <c r="C4034" t="inlineStr">
        <is>
          <t>2017-09</t>
        </is>
      </c>
      <c r="D4034" t="inlineStr">
        <is>
          <t>caef563a428392ddc7807d2a529413b9</t>
        </is>
      </c>
      <c r="E4034" t="inlineStr">
        <is>
          <t>referral</t>
        </is>
      </c>
      <c r="F4034">
        <f>IFERROR(MATCH(A4034,Deals!$A$2:$A$843,0),"")</f>
        <v/>
      </c>
      <c r="G4034">
        <f>IF(F4034="",0,1)</f>
        <v/>
      </c>
      <c r="H4034" s="29">
        <f>IF(F4034="","",INDEX(Deals!$E$2:$E$843,F4034))</f>
        <v/>
      </c>
      <c r="I4034">
        <f>IF(F4034="","",INDEX(Deals!$D$2:$D$843,F4034))</f>
        <v/>
      </c>
      <c r="J4034">
        <f>IF(F4034="","",INT(H4034)-B4034)</f>
        <v/>
      </c>
      <c r="K4034">
        <f>IF(B4034&gt;=Settings!$C$5,1,0)</f>
        <v/>
      </c>
    </row>
    <row r="4035">
      <c r="A4035" t="inlineStr">
        <is>
          <t>540d39088f57303a44a9ad9ed6937c71</t>
        </is>
      </c>
      <c r="B4035" s="29" t="n">
        <v>43220</v>
      </c>
      <c r="C4035" t="inlineStr">
        <is>
          <t>2018-04</t>
        </is>
      </c>
      <c r="D4035" t="inlineStr">
        <is>
          <t>bfd05fa9f9fe2aedee539951a84f2aaf</t>
        </is>
      </c>
      <c r="E4035" t="inlineStr">
        <is>
          <t>paid_search</t>
        </is>
      </c>
      <c r="F4035">
        <f>IFERROR(MATCH(A4035,Deals!$A$2:$A$843,0),"")</f>
        <v/>
      </c>
      <c r="G4035">
        <f>IF(F4035="",0,1)</f>
        <v/>
      </c>
      <c r="H4035" s="29">
        <f>IF(F4035="","",INDEX(Deals!$E$2:$E$843,F4035))</f>
        <v/>
      </c>
      <c r="I4035">
        <f>IF(F4035="","",INDEX(Deals!$D$2:$D$843,F4035))</f>
        <v/>
      </c>
      <c r="J4035">
        <f>IF(F4035="","",INT(H4035)-B4035)</f>
        <v/>
      </c>
      <c r="K4035">
        <f>IF(B4035&gt;=Settings!$C$5,1,0)</f>
        <v/>
      </c>
    </row>
    <row r="4036">
      <c r="A4036" t="inlineStr">
        <is>
          <t>da8384d2d70f9196edf2037c2fb2e93a</t>
        </is>
      </c>
      <c r="B4036" s="29" t="n">
        <v>43243</v>
      </c>
      <c r="C4036" t="inlineStr">
        <is>
          <t>2018-05</t>
        </is>
      </c>
      <c r="D4036" t="inlineStr">
        <is>
          <t>40dec9f3d5259a3d2dbcdab2114fae47</t>
        </is>
      </c>
      <c r="E4036" t="inlineStr">
        <is>
          <t>paid_search</t>
        </is>
      </c>
      <c r="F4036">
        <f>IFERROR(MATCH(A4036,Deals!$A$2:$A$843,0),"")</f>
        <v/>
      </c>
      <c r="G4036">
        <f>IF(F4036="",0,1)</f>
        <v/>
      </c>
      <c r="H4036" s="29">
        <f>IF(F4036="","",INDEX(Deals!$E$2:$E$843,F4036))</f>
        <v/>
      </c>
      <c r="I4036">
        <f>IF(F4036="","",INDEX(Deals!$D$2:$D$843,F4036))</f>
        <v/>
      </c>
      <c r="J4036">
        <f>IF(F4036="","",INT(H4036)-B4036)</f>
        <v/>
      </c>
      <c r="K4036">
        <f>IF(B4036&gt;=Settings!$C$5,1,0)</f>
        <v/>
      </c>
    </row>
    <row r="4037">
      <c r="A4037" t="inlineStr">
        <is>
          <t>814c5a2dd0bb3644a8af702220c52422</t>
        </is>
      </c>
      <c r="B4037" s="29" t="n">
        <v>43123</v>
      </c>
      <c r="C4037" t="inlineStr">
        <is>
          <t>2018-01</t>
        </is>
      </c>
      <c r="D4037" t="inlineStr">
        <is>
          <t>bddebc4f4d44106c427bd00695840e64</t>
        </is>
      </c>
      <c r="E4037" t="inlineStr">
        <is>
          <t>email</t>
        </is>
      </c>
      <c r="F4037">
        <f>IFERROR(MATCH(A4037,Deals!$A$2:$A$843,0),"")</f>
        <v/>
      </c>
      <c r="G4037">
        <f>IF(F4037="",0,1)</f>
        <v/>
      </c>
      <c r="H4037" s="29">
        <f>IF(F4037="","",INDEX(Deals!$E$2:$E$843,F4037))</f>
        <v/>
      </c>
      <c r="I4037">
        <f>IF(F4037="","",INDEX(Deals!$D$2:$D$843,F4037))</f>
        <v/>
      </c>
      <c r="J4037">
        <f>IF(F4037="","",INT(H4037)-B4037)</f>
        <v/>
      </c>
      <c r="K4037">
        <f>IF(B4037&gt;=Settings!$C$5,1,0)</f>
        <v/>
      </c>
    </row>
    <row r="4038">
      <c r="A4038" t="inlineStr">
        <is>
          <t>cbcb32994827a5c4ef1b8a630a4fa66e</t>
        </is>
      </c>
      <c r="B4038" s="29" t="n">
        <v>43156</v>
      </c>
      <c r="C4038" t="inlineStr">
        <is>
          <t>2018-02</t>
        </is>
      </c>
      <c r="D4038" t="inlineStr">
        <is>
          <t>22c29808c4f815213303f8933030604c</t>
        </is>
      </c>
      <c r="E4038" t="inlineStr">
        <is>
          <t>organic_search</t>
        </is>
      </c>
      <c r="F4038">
        <f>IFERROR(MATCH(A4038,Deals!$A$2:$A$843,0),"")</f>
        <v/>
      </c>
      <c r="G4038">
        <f>IF(F4038="",0,1)</f>
        <v/>
      </c>
      <c r="H4038" s="29">
        <f>IF(F4038="","",INDEX(Deals!$E$2:$E$843,F4038))</f>
        <v/>
      </c>
      <c r="I4038">
        <f>IF(F4038="","",INDEX(Deals!$D$2:$D$843,F4038))</f>
        <v/>
      </c>
      <c r="J4038">
        <f>IF(F4038="","",INT(H4038)-B4038)</f>
        <v/>
      </c>
      <c r="K4038">
        <f>IF(B4038&gt;=Settings!$C$5,1,0)</f>
        <v/>
      </c>
    </row>
    <row r="4039">
      <c r="A4039" t="inlineStr">
        <is>
          <t>58aebd719336ce690932d83d0f0162d5</t>
        </is>
      </c>
      <c r="B4039" s="29" t="n">
        <v>43242</v>
      </c>
      <c r="C4039" t="inlineStr">
        <is>
          <t>2018-05</t>
        </is>
      </c>
      <c r="D4039" t="inlineStr">
        <is>
          <t>330b9d44078a1ae5a221d655dcb77afa</t>
        </is>
      </c>
      <c r="E4039" t="inlineStr">
        <is>
          <t>organic_search</t>
        </is>
      </c>
      <c r="F4039">
        <f>IFERROR(MATCH(A4039,Deals!$A$2:$A$843,0),"")</f>
        <v/>
      </c>
      <c r="G4039">
        <f>IF(F4039="",0,1)</f>
        <v/>
      </c>
      <c r="H4039" s="29">
        <f>IF(F4039="","",INDEX(Deals!$E$2:$E$843,F4039))</f>
        <v/>
      </c>
      <c r="I4039">
        <f>IF(F4039="","",INDEX(Deals!$D$2:$D$843,F4039))</f>
        <v/>
      </c>
      <c r="J4039">
        <f>IF(F4039="","",INT(H4039)-B4039)</f>
        <v/>
      </c>
      <c r="K4039">
        <f>IF(B4039&gt;=Settings!$C$5,1,0)</f>
        <v/>
      </c>
    </row>
    <row r="4040">
      <c r="A4040" t="inlineStr">
        <is>
          <t>6798acf8da0458e3299ad2a1f4e7c2bf</t>
        </is>
      </c>
      <c r="B4040" s="29" t="n">
        <v>43139</v>
      </c>
      <c r="C4040" t="inlineStr">
        <is>
          <t>2018-02</t>
        </is>
      </c>
      <c r="D4040" t="inlineStr">
        <is>
          <t>22c29808c4f815213303f8933030604c</t>
        </is>
      </c>
      <c r="E4040" t="inlineStr">
        <is>
          <t>organic_search</t>
        </is>
      </c>
      <c r="F4040">
        <f>IFERROR(MATCH(A4040,Deals!$A$2:$A$843,0),"")</f>
        <v/>
      </c>
      <c r="G4040">
        <f>IF(F4040="",0,1)</f>
        <v/>
      </c>
      <c r="H4040" s="29">
        <f>IF(F4040="","",INDEX(Deals!$E$2:$E$843,F4040))</f>
        <v/>
      </c>
      <c r="I4040">
        <f>IF(F4040="","",INDEX(Deals!$D$2:$D$843,F4040))</f>
        <v/>
      </c>
      <c r="J4040">
        <f>IF(F4040="","",INT(H4040)-B4040)</f>
        <v/>
      </c>
      <c r="K4040">
        <f>IF(B4040&gt;=Settings!$C$5,1,0)</f>
        <v/>
      </c>
    </row>
    <row r="4041">
      <c r="A4041" t="inlineStr">
        <is>
          <t>8290b662b6532b5e1635fb338d152a4e</t>
        </is>
      </c>
      <c r="B4041" s="29" t="n">
        <v>42940</v>
      </c>
      <c r="C4041" t="inlineStr">
        <is>
          <t>2017-07</t>
        </is>
      </c>
      <c r="D4041" t="inlineStr">
        <is>
          <t>b76ef37428e6799c421989521c0e5077</t>
        </is>
      </c>
      <c r="E4041" t="inlineStr">
        <is>
          <t>unknown</t>
        </is>
      </c>
      <c r="F4041">
        <f>IFERROR(MATCH(A4041,Deals!$A$2:$A$843,0),"")</f>
        <v/>
      </c>
      <c r="G4041">
        <f>IF(F4041="",0,1)</f>
        <v/>
      </c>
      <c r="H4041" s="29">
        <f>IF(F4041="","",INDEX(Deals!$E$2:$E$843,F4041))</f>
        <v/>
      </c>
      <c r="I4041">
        <f>IF(F4041="","",INDEX(Deals!$D$2:$D$843,F4041))</f>
        <v/>
      </c>
      <c r="J4041">
        <f>IF(F4041="","",INT(H4041)-B4041)</f>
        <v/>
      </c>
      <c r="K4041">
        <f>IF(B4041&gt;=Settings!$C$5,1,0)</f>
        <v/>
      </c>
    </row>
    <row r="4042">
      <c r="A4042" t="inlineStr">
        <is>
          <t>50fb5ad5d9eb3bb648e6c8d18453a7f7</t>
        </is>
      </c>
      <c r="B4042" s="29" t="n">
        <v>43111</v>
      </c>
      <c r="C4042" t="inlineStr">
        <is>
          <t>2018-01</t>
        </is>
      </c>
      <c r="D4042" t="inlineStr">
        <is>
          <t>ce1a65abd0973638f1c887a6efcfa82d</t>
        </is>
      </c>
      <c r="E4042" t="inlineStr">
        <is>
          <t>paid_search</t>
        </is>
      </c>
      <c r="F4042">
        <f>IFERROR(MATCH(A4042,Deals!$A$2:$A$843,0),"")</f>
        <v/>
      </c>
      <c r="G4042">
        <f>IF(F4042="",0,1)</f>
        <v/>
      </c>
      <c r="H4042" s="29">
        <f>IF(F4042="","",INDEX(Deals!$E$2:$E$843,F4042))</f>
        <v/>
      </c>
      <c r="I4042">
        <f>IF(F4042="","",INDEX(Deals!$D$2:$D$843,F4042))</f>
        <v/>
      </c>
      <c r="J4042">
        <f>IF(F4042="","",INT(H4042)-B4042)</f>
        <v/>
      </c>
      <c r="K4042">
        <f>IF(B4042&gt;=Settings!$C$5,1,0)</f>
        <v/>
      </c>
    </row>
    <row r="4043">
      <c r="A4043" t="inlineStr">
        <is>
          <t>2c139e65a9fcbbf712f579f9e6732fd4</t>
        </is>
      </c>
      <c r="B4043" s="29" t="n">
        <v>43094</v>
      </c>
      <c r="C4043" t="inlineStr">
        <is>
          <t>2017-12</t>
        </is>
      </c>
      <c r="D4043" t="inlineStr">
        <is>
          <t>22c29808c4f815213303f8933030604c</t>
        </is>
      </c>
      <c r="E4043" t="inlineStr">
        <is>
          <t>paid_search</t>
        </is>
      </c>
      <c r="F4043">
        <f>IFERROR(MATCH(A4043,Deals!$A$2:$A$843,0),"")</f>
        <v/>
      </c>
      <c r="G4043">
        <f>IF(F4043="",0,1)</f>
        <v/>
      </c>
      <c r="H4043" s="29">
        <f>IF(F4043="","",INDEX(Deals!$E$2:$E$843,F4043))</f>
        <v/>
      </c>
      <c r="I4043">
        <f>IF(F4043="","",INDEX(Deals!$D$2:$D$843,F4043))</f>
        <v/>
      </c>
      <c r="J4043">
        <f>IF(F4043="","",INT(H4043)-B4043)</f>
        <v/>
      </c>
      <c r="K4043">
        <f>IF(B4043&gt;=Settings!$C$5,1,0)</f>
        <v/>
      </c>
    </row>
    <row r="4044">
      <c r="A4044" t="inlineStr">
        <is>
          <t>14baface490758522a1f859c0acc9ec4</t>
        </is>
      </c>
      <c r="B4044" s="29" t="n">
        <v>43061</v>
      </c>
      <c r="C4044" t="inlineStr">
        <is>
          <t>2017-11</t>
        </is>
      </c>
      <c r="D4044" t="inlineStr">
        <is>
          <t>f017be4dbf86243af5c1ebed0cff36a2</t>
        </is>
      </c>
      <c r="E4044" t="inlineStr">
        <is>
          <t>organic_search</t>
        </is>
      </c>
      <c r="F4044">
        <f>IFERROR(MATCH(A4044,Deals!$A$2:$A$843,0),"")</f>
        <v/>
      </c>
      <c r="G4044">
        <f>IF(F4044="",0,1)</f>
        <v/>
      </c>
      <c r="H4044" s="29">
        <f>IF(F4044="","",INDEX(Deals!$E$2:$E$843,F4044))</f>
        <v/>
      </c>
      <c r="I4044">
        <f>IF(F4044="","",INDEX(Deals!$D$2:$D$843,F4044))</f>
        <v/>
      </c>
      <c r="J4044">
        <f>IF(F4044="","",INT(H4044)-B4044)</f>
        <v/>
      </c>
      <c r="K4044">
        <f>IF(B4044&gt;=Settings!$C$5,1,0)</f>
        <v/>
      </c>
    </row>
    <row r="4045">
      <c r="A4045" t="inlineStr">
        <is>
          <t>7a7338ef00146590a3e2d10d1713e176</t>
        </is>
      </c>
      <c r="B4045" s="29" t="n">
        <v>43025</v>
      </c>
      <c r="C4045" t="inlineStr">
        <is>
          <t>2017-10</t>
        </is>
      </c>
      <c r="D4045" t="inlineStr">
        <is>
          <t>22c29808c4f815213303f8933030604c</t>
        </is>
      </c>
      <c r="E4045" t="inlineStr">
        <is>
          <t>paid_search</t>
        </is>
      </c>
      <c r="F4045">
        <f>IFERROR(MATCH(A4045,Deals!$A$2:$A$843,0),"")</f>
        <v/>
      </c>
      <c r="G4045">
        <f>IF(F4045="",0,1)</f>
        <v/>
      </c>
      <c r="H4045" s="29">
        <f>IF(F4045="","",INDEX(Deals!$E$2:$E$843,F4045))</f>
        <v/>
      </c>
      <c r="I4045">
        <f>IF(F4045="","",INDEX(Deals!$D$2:$D$843,F4045))</f>
        <v/>
      </c>
      <c r="J4045">
        <f>IF(F4045="","",INT(H4045)-B4045)</f>
        <v/>
      </c>
      <c r="K4045">
        <f>IF(B4045&gt;=Settings!$C$5,1,0)</f>
        <v/>
      </c>
    </row>
    <row r="4046">
      <c r="A4046" t="inlineStr">
        <is>
          <t>db8ec1f430d9850d48b1f8c6958ed68e</t>
        </is>
      </c>
      <c r="B4046" s="29" t="n">
        <v>43202</v>
      </c>
      <c r="C4046" t="inlineStr">
        <is>
          <t>2018-04</t>
        </is>
      </c>
      <c r="D4046" t="inlineStr">
        <is>
          <t>58326e62183c14b0c03085c33b9fdc44</t>
        </is>
      </c>
      <c r="E4046" t="inlineStr">
        <is>
          <t>social</t>
        </is>
      </c>
      <c r="F4046">
        <f>IFERROR(MATCH(A4046,Deals!$A$2:$A$843,0),"")</f>
        <v/>
      </c>
      <c r="G4046">
        <f>IF(F4046="",0,1)</f>
        <v/>
      </c>
      <c r="H4046" s="29">
        <f>IF(F4046="","",INDEX(Deals!$E$2:$E$843,F4046))</f>
        <v/>
      </c>
      <c r="I4046">
        <f>IF(F4046="","",INDEX(Deals!$D$2:$D$843,F4046))</f>
        <v/>
      </c>
      <c r="J4046">
        <f>IF(F4046="","",INT(H4046)-B4046)</f>
        <v/>
      </c>
      <c r="K4046">
        <f>IF(B4046&gt;=Settings!$C$5,1,0)</f>
        <v/>
      </c>
    </row>
    <row r="4047">
      <c r="A4047" t="inlineStr">
        <is>
          <t>d424f73e4a19e96d200cf4c38d1c864e</t>
        </is>
      </c>
      <c r="B4047" s="29" t="n">
        <v>43191</v>
      </c>
      <c r="C4047" t="inlineStr">
        <is>
          <t>2018-04</t>
        </is>
      </c>
      <c r="D4047" t="inlineStr">
        <is>
          <t>22c29808c4f815213303f8933030604c</t>
        </is>
      </c>
      <c r="E4047" t="inlineStr">
        <is>
          <t>other_publicities</t>
        </is>
      </c>
      <c r="F4047">
        <f>IFERROR(MATCH(A4047,Deals!$A$2:$A$843,0),"")</f>
        <v/>
      </c>
      <c r="G4047">
        <f>IF(F4047="",0,1)</f>
        <v/>
      </c>
      <c r="H4047" s="29">
        <f>IF(F4047="","",INDEX(Deals!$E$2:$E$843,F4047))</f>
        <v/>
      </c>
      <c r="I4047">
        <f>IF(F4047="","",INDEX(Deals!$D$2:$D$843,F4047))</f>
        <v/>
      </c>
      <c r="J4047">
        <f>IF(F4047="","",INT(H4047)-B4047)</f>
        <v/>
      </c>
      <c r="K4047">
        <f>IF(B4047&gt;=Settings!$C$5,1,0)</f>
        <v/>
      </c>
    </row>
    <row r="4048">
      <c r="A4048" t="inlineStr">
        <is>
          <t>b899aa15c56fee62bcea0903b59b18fe</t>
        </is>
      </c>
      <c r="B4048" s="29" t="n">
        <v>42962</v>
      </c>
      <c r="C4048" t="inlineStr">
        <is>
          <t>2017-08</t>
        </is>
      </c>
      <c r="D4048" t="inlineStr">
        <is>
          <t>83ccc33d426eab8a3db70bd15aba46b8</t>
        </is>
      </c>
      <c r="E4048" t="inlineStr">
        <is>
          <t>organic_search</t>
        </is>
      </c>
      <c r="F4048">
        <f>IFERROR(MATCH(A4048,Deals!$A$2:$A$843,0),"")</f>
        <v/>
      </c>
      <c r="G4048">
        <f>IF(F4048="",0,1)</f>
        <v/>
      </c>
      <c r="H4048" s="29">
        <f>IF(F4048="","",INDEX(Deals!$E$2:$E$843,F4048))</f>
        <v/>
      </c>
      <c r="I4048">
        <f>IF(F4048="","",INDEX(Deals!$D$2:$D$843,F4048))</f>
        <v/>
      </c>
      <c r="J4048">
        <f>IF(F4048="","",INT(H4048)-B4048)</f>
        <v/>
      </c>
      <c r="K4048">
        <f>IF(B4048&gt;=Settings!$C$5,1,0)</f>
        <v/>
      </c>
    </row>
    <row r="4049">
      <c r="A4049" t="inlineStr">
        <is>
          <t>28291658be5f6e1edfc8acfeacf049a8</t>
        </is>
      </c>
      <c r="B4049" s="29" t="n">
        <v>43104</v>
      </c>
      <c r="C4049" t="inlineStr">
        <is>
          <t>2018-01</t>
        </is>
      </c>
      <c r="D4049" t="inlineStr">
        <is>
          <t>b76ef37428e6799c421989521c0e5077</t>
        </is>
      </c>
      <c r="E4049" t="inlineStr">
        <is>
          <t>paid_search</t>
        </is>
      </c>
      <c r="F4049">
        <f>IFERROR(MATCH(A4049,Deals!$A$2:$A$843,0),"")</f>
        <v/>
      </c>
      <c r="G4049">
        <f>IF(F4049="",0,1)</f>
        <v/>
      </c>
      <c r="H4049" s="29">
        <f>IF(F4049="","",INDEX(Deals!$E$2:$E$843,F4049))</f>
        <v/>
      </c>
      <c r="I4049">
        <f>IF(F4049="","",INDEX(Deals!$D$2:$D$843,F4049))</f>
        <v/>
      </c>
      <c r="J4049">
        <f>IF(F4049="","",INT(H4049)-B4049)</f>
        <v/>
      </c>
      <c r="K4049">
        <f>IF(B4049&gt;=Settings!$C$5,1,0)</f>
        <v/>
      </c>
    </row>
    <row r="4050">
      <c r="A4050" t="inlineStr">
        <is>
          <t>4916ba26c0ec4e43588dcc3e019ede51</t>
        </is>
      </c>
      <c r="B4050" s="29" t="n">
        <v>43129</v>
      </c>
      <c r="C4050" t="inlineStr">
        <is>
          <t>2018-01</t>
        </is>
      </c>
      <c r="D4050" t="inlineStr">
        <is>
          <t>ce1a65abd0973638f1c887a6efcfa82d</t>
        </is>
      </c>
      <c r="E4050" t="inlineStr">
        <is>
          <t>organic_search</t>
        </is>
      </c>
      <c r="F4050">
        <f>IFERROR(MATCH(A4050,Deals!$A$2:$A$843,0),"")</f>
        <v/>
      </c>
      <c r="G4050">
        <f>IF(F4050="",0,1)</f>
        <v/>
      </c>
      <c r="H4050" s="29">
        <f>IF(F4050="","",INDEX(Deals!$E$2:$E$843,F4050))</f>
        <v/>
      </c>
      <c r="I4050">
        <f>IF(F4050="","",INDEX(Deals!$D$2:$D$843,F4050))</f>
        <v/>
      </c>
      <c r="J4050">
        <f>IF(F4050="","",INT(H4050)-B4050)</f>
        <v/>
      </c>
      <c r="K4050">
        <f>IF(B4050&gt;=Settings!$C$5,1,0)</f>
        <v/>
      </c>
    </row>
    <row r="4051">
      <c r="A4051" t="inlineStr">
        <is>
          <t>3ce39e5e8a82aa26e73fb52221089d5e</t>
        </is>
      </c>
      <c r="B4051" s="29" t="n">
        <v>43183</v>
      </c>
      <c r="C4051" t="inlineStr">
        <is>
          <t>2018-03</t>
        </is>
      </c>
      <c r="D4051" t="inlineStr">
        <is>
          <t>ce1a65abd0973638f1c887a6efcfa82d</t>
        </is>
      </c>
      <c r="E4051" t="inlineStr">
        <is>
          <t>organic_search</t>
        </is>
      </c>
      <c r="F4051">
        <f>IFERROR(MATCH(A4051,Deals!$A$2:$A$843,0),"")</f>
        <v/>
      </c>
      <c r="G4051">
        <f>IF(F4051="",0,1)</f>
        <v/>
      </c>
      <c r="H4051" s="29">
        <f>IF(F4051="","",INDEX(Deals!$E$2:$E$843,F4051))</f>
        <v/>
      </c>
      <c r="I4051">
        <f>IF(F4051="","",INDEX(Deals!$D$2:$D$843,F4051))</f>
        <v/>
      </c>
      <c r="J4051">
        <f>IF(F4051="","",INT(H4051)-B4051)</f>
        <v/>
      </c>
      <c r="K4051">
        <f>IF(B4051&gt;=Settings!$C$5,1,0)</f>
        <v/>
      </c>
    </row>
    <row r="4052">
      <c r="A4052" t="inlineStr">
        <is>
          <t>238f12faae477497ff945ea4c695073b</t>
        </is>
      </c>
      <c r="B4052" s="29" t="n">
        <v>42990</v>
      </c>
      <c r="C4052" t="inlineStr">
        <is>
          <t>2017-09</t>
        </is>
      </c>
      <c r="D4052" t="inlineStr">
        <is>
          <t>22c29808c4f815213303f8933030604c</t>
        </is>
      </c>
      <c r="E4052" t="inlineStr">
        <is>
          <t>organic_search</t>
        </is>
      </c>
      <c r="F4052">
        <f>IFERROR(MATCH(A4052,Deals!$A$2:$A$843,0),"")</f>
        <v/>
      </c>
      <c r="G4052">
        <f>IF(F4052="",0,1)</f>
        <v/>
      </c>
      <c r="H4052" s="29">
        <f>IF(F4052="","",INDEX(Deals!$E$2:$E$843,F4052))</f>
        <v/>
      </c>
      <c r="I4052">
        <f>IF(F4052="","",INDEX(Deals!$D$2:$D$843,F4052))</f>
        <v/>
      </c>
      <c r="J4052">
        <f>IF(F4052="","",INT(H4052)-B4052)</f>
        <v/>
      </c>
      <c r="K4052">
        <f>IF(B4052&gt;=Settings!$C$5,1,0)</f>
        <v/>
      </c>
    </row>
    <row r="4053">
      <c r="A4053" t="inlineStr">
        <is>
          <t>77eecef58086c6f635d85f283792aed4</t>
        </is>
      </c>
      <c r="B4053" s="29" t="n">
        <v>42928</v>
      </c>
      <c r="C4053" t="inlineStr">
        <is>
          <t>2017-07</t>
        </is>
      </c>
      <c r="D4053" t="inlineStr">
        <is>
          <t>a56671a54260a44923d32c2f08fad39c</t>
        </is>
      </c>
      <c r="E4053" t="inlineStr">
        <is>
          <t>email</t>
        </is>
      </c>
      <c r="F4053">
        <f>IFERROR(MATCH(A4053,Deals!$A$2:$A$843,0),"")</f>
        <v/>
      </c>
      <c r="G4053">
        <f>IF(F4053="",0,1)</f>
        <v/>
      </c>
      <c r="H4053" s="29">
        <f>IF(F4053="","",INDEX(Deals!$E$2:$E$843,F4053))</f>
        <v/>
      </c>
      <c r="I4053">
        <f>IF(F4053="","",INDEX(Deals!$D$2:$D$843,F4053))</f>
        <v/>
      </c>
      <c r="J4053">
        <f>IF(F4053="","",INT(H4053)-B4053)</f>
        <v/>
      </c>
      <c r="K4053">
        <f>IF(B4053&gt;=Settings!$C$5,1,0)</f>
        <v/>
      </c>
    </row>
    <row r="4054">
      <c r="A4054" t="inlineStr">
        <is>
          <t>27a2af2575bfd7d083602f383a680f95</t>
        </is>
      </c>
      <c r="B4054" s="29" t="n">
        <v>43181</v>
      </c>
      <c r="C4054" t="inlineStr">
        <is>
          <t>2018-03</t>
        </is>
      </c>
      <c r="D4054" t="inlineStr">
        <is>
          <t>40dec9f3d5259a3d2dbcdab2114fae47</t>
        </is>
      </c>
      <c r="E4054" t="inlineStr">
        <is>
          <t>paid_search</t>
        </is>
      </c>
      <c r="F4054">
        <f>IFERROR(MATCH(A4054,Deals!$A$2:$A$843,0),"")</f>
        <v/>
      </c>
      <c r="G4054">
        <f>IF(F4054="",0,1)</f>
        <v/>
      </c>
      <c r="H4054" s="29">
        <f>IF(F4054="","",INDEX(Deals!$E$2:$E$843,F4054))</f>
        <v/>
      </c>
      <c r="I4054">
        <f>IF(F4054="","",INDEX(Deals!$D$2:$D$843,F4054))</f>
        <v/>
      </c>
      <c r="J4054">
        <f>IF(F4054="","",INT(H4054)-B4054)</f>
        <v/>
      </c>
      <c r="K4054">
        <f>IF(B4054&gt;=Settings!$C$5,1,0)</f>
        <v/>
      </c>
    </row>
    <row r="4055">
      <c r="A4055" t="inlineStr">
        <is>
          <t>7c7378fdb4fc64ec517dc024e8f2bb89</t>
        </is>
      </c>
      <c r="B4055" s="29" t="n">
        <v>43249</v>
      </c>
      <c r="C4055" t="inlineStr">
        <is>
          <t>2018-05</t>
        </is>
      </c>
      <c r="D4055" t="inlineStr">
        <is>
          <t>22c29808c4f815213303f8933030604c</t>
        </is>
      </c>
      <c r="E4055" t="inlineStr">
        <is>
          <t>organic_search</t>
        </is>
      </c>
      <c r="F4055">
        <f>IFERROR(MATCH(A4055,Deals!$A$2:$A$843,0),"")</f>
        <v/>
      </c>
      <c r="G4055">
        <f>IF(F4055="",0,1)</f>
        <v/>
      </c>
      <c r="H4055" s="29">
        <f>IF(F4055="","",INDEX(Deals!$E$2:$E$843,F4055))</f>
        <v/>
      </c>
      <c r="I4055">
        <f>IF(F4055="","",INDEX(Deals!$D$2:$D$843,F4055))</f>
        <v/>
      </c>
      <c r="J4055">
        <f>IF(F4055="","",INT(H4055)-B4055)</f>
        <v/>
      </c>
      <c r="K4055">
        <f>IF(B4055&gt;=Settings!$C$5,1,0)</f>
        <v/>
      </c>
    </row>
    <row r="4056">
      <c r="A4056" t="inlineStr">
        <is>
          <t>6d7364731230122df155fddea6878dd3</t>
        </is>
      </c>
      <c r="B4056" s="29" t="n">
        <v>43115</v>
      </c>
      <c r="C4056" t="inlineStr">
        <is>
          <t>2018-01</t>
        </is>
      </c>
      <c r="D4056" t="inlineStr">
        <is>
          <t>40dec9f3d5259a3d2dbcdab2114fae47</t>
        </is>
      </c>
      <c r="E4056" t="inlineStr">
        <is>
          <t>paid_search</t>
        </is>
      </c>
      <c r="F4056">
        <f>IFERROR(MATCH(A4056,Deals!$A$2:$A$843,0),"")</f>
        <v/>
      </c>
      <c r="G4056">
        <f>IF(F4056="",0,1)</f>
        <v/>
      </c>
      <c r="H4056" s="29">
        <f>IF(F4056="","",INDEX(Deals!$E$2:$E$843,F4056))</f>
        <v/>
      </c>
      <c r="I4056">
        <f>IF(F4056="","",INDEX(Deals!$D$2:$D$843,F4056))</f>
        <v/>
      </c>
      <c r="J4056">
        <f>IF(F4056="","",INT(H4056)-B4056)</f>
        <v/>
      </c>
      <c r="K4056">
        <f>IF(B4056&gt;=Settings!$C$5,1,0)</f>
        <v/>
      </c>
    </row>
    <row r="4057">
      <c r="A4057" t="inlineStr">
        <is>
          <t>d645da12228499ac88ef5cced5837502</t>
        </is>
      </c>
      <c r="B4057" s="29" t="n">
        <v>43024</v>
      </c>
      <c r="C4057" t="inlineStr">
        <is>
          <t>2017-10</t>
        </is>
      </c>
      <c r="D4057" t="inlineStr">
        <is>
          <t>b55934770d56da868c9ae444e313caa4</t>
        </is>
      </c>
      <c r="E4057" t="inlineStr">
        <is>
          <t>social</t>
        </is>
      </c>
      <c r="F4057">
        <f>IFERROR(MATCH(A4057,Deals!$A$2:$A$843,0),"")</f>
        <v/>
      </c>
      <c r="G4057">
        <f>IF(F4057="",0,1)</f>
        <v/>
      </c>
      <c r="H4057" s="29">
        <f>IF(F4057="","",INDEX(Deals!$E$2:$E$843,F4057))</f>
        <v/>
      </c>
      <c r="I4057">
        <f>IF(F4057="","",INDEX(Deals!$D$2:$D$843,F4057))</f>
        <v/>
      </c>
      <c r="J4057">
        <f>IF(F4057="","",INT(H4057)-B4057)</f>
        <v/>
      </c>
      <c r="K4057">
        <f>IF(B4057&gt;=Settings!$C$5,1,0)</f>
        <v/>
      </c>
    </row>
    <row r="4058">
      <c r="A4058" t="inlineStr">
        <is>
          <t>51c8a2a1dffa372556506579fcb41a1d</t>
        </is>
      </c>
      <c r="B4058" s="29" t="n">
        <v>43034</v>
      </c>
      <c r="C4058" t="inlineStr">
        <is>
          <t>2017-10</t>
        </is>
      </c>
      <c r="D4058" t="inlineStr">
        <is>
          <t>1722481ac9e5371e5099dea226b5421d</t>
        </is>
      </c>
      <c r="E4058" t="inlineStr">
        <is>
          <t>organic_search</t>
        </is>
      </c>
      <c r="F4058">
        <f>IFERROR(MATCH(A4058,Deals!$A$2:$A$843,0),"")</f>
        <v/>
      </c>
      <c r="G4058">
        <f>IF(F4058="",0,1)</f>
        <v/>
      </c>
      <c r="H4058" s="29">
        <f>IF(F4058="","",INDEX(Deals!$E$2:$E$843,F4058))</f>
        <v/>
      </c>
      <c r="I4058">
        <f>IF(F4058="","",INDEX(Deals!$D$2:$D$843,F4058))</f>
        <v/>
      </c>
      <c r="J4058">
        <f>IF(F4058="","",INT(H4058)-B4058)</f>
        <v/>
      </c>
      <c r="K4058">
        <f>IF(B4058&gt;=Settings!$C$5,1,0)</f>
        <v/>
      </c>
    </row>
    <row r="4059">
      <c r="A4059" t="inlineStr">
        <is>
          <t>507a08d46df3369ee992dae0ad39b856</t>
        </is>
      </c>
      <c r="B4059" s="29" t="n">
        <v>42969</v>
      </c>
      <c r="C4059" t="inlineStr">
        <is>
          <t>2017-08</t>
        </is>
      </c>
      <c r="D4059" t="inlineStr">
        <is>
          <t>1722481ac9e5371e5099dea226b5421d</t>
        </is>
      </c>
      <c r="E4059" t="inlineStr">
        <is>
          <t>unknown</t>
        </is>
      </c>
      <c r="F4059">
        <f>IFERROR(MATCH(A4059,Deals!$A$2:$A$843,0),"")</f>
        <v/>
      </c>
      <c r="G4059">
        <f>IF(F4059="",0,1)</f>
        <v/>
      </c>
      <c r="H4059" s="29">
        <f>IF(F4059="","",INDEX(Deals!$E$2:$E$843,F4059))</f>
        <v/>
      </c>
      <c r="I4059">
        <f>IF(F4059="","",INDEX(Deals!$D$2:$D$843,F4059))</f>
        <v/>
      </c>
      <c r="J4059">
        <f>IF(F4059="","",INT(H4059)-B4059)</f>
        <v/>
      </c>
      <c r="K4059">
        <f>IF(B4059&gt;=Settings!$C$5,1,0)</f>
        <v/>
      </c>
    </row>
    <row r="4060">
      <c r="A4060" t="inlineStr">
        <is>
          <t>614a4db226bdaf4ffdbf60e37eda9213</t>
        </is>
      </c>
      <c r="B4060" s="29" t="n">
        <v>43213</v>
      </c>
      <c r="C4060" t="inlineStr">
        <is>
          <t>2018-04</t>
        </is>
      </c>
      <c r="D4060" t="inlineStr">
        <is>
          <t>7fa6214d82e911d070f51ef79381b956</t>
        </is>
      </c>
      <c r="E4060" t="inlineStr">
        <is>
          <t>organic_search</t>
        </is>
      </c>
      <c r="F4060">
        <f>IFERROR(MATCH(A4060,Deals!$A$2:$A$843,0),"")</f>
        <v/>
      </c>
      <c r="G4060">
        <f>IF(F4060="",0,1)</f>
        <v/>
      </c>
      <c r="H4060" s="29">
        <f>IF(F4060="","",INDEX(Deals!$E$2:$E$843,F4060))</f>
        <v/>
      </c>
      <c r="I4060">
        <f>IF(F4060="","",INDEX(Deals!$D$2:$D$843,F4060))</f>
        <v/>
      </c>
      <c r="J4060">
        <f>IF(F4060="","",INT(H4060)-B4060)</f>
        <v/>
      </c>
      <c r="K4060">
        <f>IF(B4060&gt;=Settings!$C$5,1,0)</f>
        <v/>
      </c>
    </row>
    <row r="4061">
      <c r="A4061" t="inlineStr">
        <is>
          <t>479c3b117877156329c2b59da92dcca1</t>
        </is>
      </c>
      <c r="B4061" s="29" t="n">
        <v>43142</v>
      </c>
      <c r="C4061" t="inlineStr">
        <is>
          <t>2018-02</t>
        </is>
      </c>
      <c r="D4061" t="inlineStr">
        <is>
          <t>30077c17f2ec5010a82e37ad8925b95f</t>
        </is>
      </c>
      <c r="E4061" t="inlineStr">
        <is>
          <t>organic_search</t>
        </is>
      </c>
      <c r="F4061">
        <f>IFERROR(MATCH(A4061,Deals!$A$2:$A$843,0),"")</f>
        <v/>
      </c>
      <c r="G4061">
        <f>IF(F4061="",0,1)</f>
        <v/>
      </c>
      <c r="H4061" s="29">
        <f>IF(F4061="","",INDEX(Deals!$E$2:$E$843,F4061))</f>
        <v/>
      </c>
      <c r="I4061">
        <f>IF(F4061="","",INDEX(Deals!$D$2:$D$843,F4061))</f>
        <v/>
      </c>
      <c r="J4061">
        <f>IF(F4061="","",INT(H4061)-B4061)</f>
        <v/>
      </c>
      <c r="K4061">
        <f>IF(B4061&gt;=Settings!$C$5,1,0)</f>
        <v/>
      </c>
    </row>
    <row r="4062">
      <c r="A4062" t="inlineStr">
        <is>
          <t>144679b5d1ddb8650c3155c645a1d976</t>
        </is>
      </c>
      <c r="B4062" s="29" t="n">
        <v>42981</v>
      </c>
      <c r="C4062" t="inlineStr">
        <is>
          <t>2017-09</t>
        </is>
      </c>
      <c r="D4062" t="inlineStr">
        <is>
          <t>87732658ba41d8775e8577df347a64db</t>
        </is>
      </c>
      <c r="E4062" t="inlineStr">
        <is>
          <t>social</t>
        </is>
      </c>
      <c r="F4062">
        <f>IFERROR(MATCH(A4062,Deals!$A$2:$A$843,0),"")</f>
        <v/>
      </c>
      <c r="G4062">
        <f>IF(F4062="",0,1)</f>
        <v/>
      </c>
      <c r="H4062" s="29">
        <f>IF(F4062="","",INDEX(Deals!$E$2:$E$843,F4062))</f>
        <v/>
      </c>
      <c r="I4062">
        <f>IF(F4062="","",INDEX(Deals!$D$2:$D$843,F4062))</f>
        <v/>
      </c>
      <c r="J4062">
        <f>IF(F4062="","",INT(H4062)-B4062)</f>
        <v/>
      </c>
      <c r="K4062">
        <f>IF(B4062&gt;=Settings!$C$5,1,0)</f>
        <v/>
      </c>
    </row>
    <row r="4063">
      <c r="A4063" t="inlineStr">
        <is>
          <t>d5d6f4f33df6216588dad86b825be352</t>
        </is>
      </c>
      <c r="B4063" s="29" t="n">
        <v>43216</v>
      </c>
      <c r="C4063" t="inlineStr">
        <is>
          <t>2018-04</t>
        </is>
      </c>
      <c r="D4063" t="inlineStr">
        <is>
          <t>b76ef37428e6799c421989521c0e5077</t>
        </is>
      </c>
      <c r="E4063" t="inlineStr">
        <is>
          <t>unknown</t>
        </is>
      </c>
      <c r="F4063">
        <f>IFERROR(MATCH(A4063,Deals!$A$2:$A$843,0),"")</f>
        <v/>
      </c>
      <c r="G4063">
        <f>IF(F4063="",0,1)</f>
        <v/>
      </c>
      <c r="H4063" s="29">
        <f>IF(F4063="","",INDEX(Deals!$E$2:$E$843,F4063))</f>
        <v/>
      </c>
      <c r="I4063">
        <f>IF(F4063="","",INDEX(Deals!$D$2:$D$843,F4063))</f>
        <v/>
      </c>
      <c r="J4063">
        <f>IF(F4063="","",INT(H4063)-B4063)</f>
        <v/>
      </c>
      <c r="K4063">
        <f>IF(B4063&gt;=Settings!$C$5,1,0)</f>
        <v/>
      </c>
    </row>
    <row r="4064">
      <c r="A4064" t="inlineStr">
        <is>
          <t>2d5421eb54f4118e3b933e87baa6cc1c</t>
        </is>
      </c>
      <c r="B4064" s="29" t="n">
        <v>42968</v>
      </c>
      <c r="C4064" t="inlineStr">
        <is>
          <t>2017-08</t>
        </is>
      </c>
      <c r="D4064" t="inlineStr">
        <is>
          <t>22c29808c4f815213303f8933030604c</t>
        </is>
      </c>
      <c r="E4064" t="inlineStr">
        <is>
          <t>referral</t>
        </is>
      </c>
      <c r="F4064">
        <f>IFERROR(MATCH(A4064,Deals!$A$2:$A$843,0),"")</f>
        <v/>
      </c>
      <c r="G4064">
        <f>IF(F4064="",0,1)</f>
        <v/>
      </c>
      <c r="H4064" s="29">
        <f>IF(F4064="","",INDEX(Deals!$E$2:$E$843,F4064))</f>
        <v/>
      </c>
      <c r="I4064">
        <f>IF(F4064="","",INDEX(Deals!$D$2:$D$843,F4064))</f>
        <v/>
      </c>
      <c r="J4064">
        <f>IF(F4064="","",INT(H4064)-B4064)</f>
        <v/>
      </c>
      <c r="K4064">
        <f>IF(B4064&gt;=Settings!$C$5,1,0)</f>
        <v/>
      </c>
    </row>
    <row r="4065">
      <c r="A4065" t="inlineStr">
        <is>
          <t>7a04fdcf6f0e51992c2dfd7cfd3e99aa</t>
        </is>
      </c>
      <c r="B4065" s="29" t="n">
        <v>43208</v>
      </c>
      <c r="C4065" t="inlineStr">
        <is>
          <t>2018-04</t>
        </is>
      </c>
      <c r="D4065" t="inlineStr">
        <is>
          <t>a7982125ff7aa3b2054c6e44f9d28522</t>
        </is>
      </c>
      <c r="E4065" t="inlineStr">
        <is>
          <t>referral</t>
        </is>
      </c>
      <c r="F4065">
        <f>IFERROR(MATCH(A4065,Deals!$A$2:$A$843,0),"")</f>
        <v/>
      </c>
      <c r="G4065">
        <f>IF(F4065="",0,1)</f>
        <v/>
      </c>
      <c r="H4065" s="29">
        <f>IF(F4065="","",INDEX(Deals!$E$2:$E$843,F4065))</f>
        <v/>
      </c>
      <c r="I4065">
        <f>IF(F4065="","",INDEX(Deals!$D$2:$D$843,F4065))</f>
        <v/>
      </c>
      <c r="J4065">
        <f>IF(F4065="","",INT(H4065)-B4065)</f>
        <v/>
      </c>
      <c r="K4065">
        <f>IF(B4065&gt;=Settings!$C$5,1,0)</f>
        <v/>
      </c>
    </row>
    <row r="4066">
      <c r="A4066" t="inlineStr">
        <is>
          <t>08af199148d071cd6a3bc0e53d77f619</t>
        </is>
      </c>
      <c r="B4066" s="29" t="n">
        <v>43007</v>
      </c>
      <c r="C4066" t="inlineStr">
        <is>
          <t>2017-09</t>
        </is>
      </c>
      <c r="D4066" t="inlineStr">
        <is>
          <t>c555aa36478386fdf85a2d0ca5cd0ff8</t>
        </is>
      </c>
      <c r="E4066" t="inlineStr">
        <is>
          <t>referral</t>
        </is>
      </c>
      <c r="F4066">
        <f>IFERROR(MATCH(A4066,Deals!$A$2:$A$843,0),"")</f>
        <v/>
      </c>
      <c r="G4066">
        <f>IF(F4066="",0,1)</f>
        <v/>
      </c>
      <c r="H4066" s="29">
        <f>IF(F4066="","",INDEX(Deals!$E$2:$E$843,F4066))</f>
        <v/>
      </c>
      <c r="I4066">
        <f>IF(F4066="","",INDEX(Deals!$D$2:$D$843,F4066))</f>
        <v/>
      </c>
      <c r="J4066">
        <f>IF(F4066="","",INT(H4066)-B4066)</f>
        <v/>
      </c>
      <c r="K4066">
        <f>IF(B4066&gt;=Settings!$C$5,1,0)</f>
        <v/>
      </c>
    </row>
    <row r="4067">
      <c r="A4067" t="inlineStr">
        <is>
          <t>e7af60d00f3dadf1f03a3bdbb2bc6364</t>
        </is>
      </c>
      <c r="B4067" s="29" t="n">
        <v>43046</v>
      </c>
      <c r="C4067" t="inlineStr">
        <is>
          <t>2017-11</t>
        </is>
      </c>
      <c r="D4067" t="inlineStr">
        <is>
          <t>ef0b482996664cc1107b9051efd3ca84</t>
        </is>
      </c>
      <c r="E4067" t="inlineStr">
        <is>
          <t>organic_search</t>
        </is>
      </c>
      <c r="F4067">
        <f>IFERROR(MATCH(A4067,Deals!$A$2:$A$843,0),"")</f>
        <v/>
      </c>
      <c r="G4067">
        <f>IF(F4067="",0,1)</f>
        <v/>
      </c>
      <c r="H4067" s="29">
        <f>IF(F4067="","",INDEX(Deals!$E$2:$E$843,F4067))</f>
        <v/>
      </c>
      <c r="I4067">
        <f>IF(F4067="","",INDEX(Deals!$D$2:$D$843,F4067))</f>
        <v/>
      </c>
      <c r="J4067">
        <f>IF(F4067="","",INT(H4067)-B4067)</f>
        <v/>
      </c>
      <c r="K4067">
        <f>IF(B4067&gt;=Settings!$C$5,1,0)</f>
        <v/>
      </c>
    </row>
    <row r="4068">
      <c r="A4068" t="inlineStr">
        <is>
          <t>cbbda0778454f639ae7182a4ec209142</t>
        </is>
      </c>
      <c r="B4068" s="29" t="n">
        <v>43165</v>
      </c>
      <c r="C4068" t="inlineStr">
        <is>
          <t>2018-03</t>
        </is>
      </c>
      <c r="D4068" t="inlineStr">
        <is>
          <t>120ad10683075526ee1b3b00489dafec</t>
        </is>
      </c>
      <c r="E4068" t="inlineStr">
        <is>
          <t>direct_traffic</t>
        </is>
      </c>
      <c r="F4068">
        <f>IFERROR(MATCH(A4068,Deals!$A$2:$A$843,0),"")</f>
        <v/>
      </c>
      <c r="G4068">
        <f>IF(F4068="",0,1)</f>
        <v/>
      </c>
      <c r="H4068" s="29">
        <f>IF(F4068="","",INDEX(Deals!$E$2:$E$843,F4068))</f>
        <v/>
      </c>
      <c r="I4068">
        <f>IF(F4068="","",INDEX(Deals!$D$2:$D$843,F4068))</f>
        <v/>
      </c>
      <c r="J4068">
        <f>IF(F4068="","",INT(H4068)-B4068)</f>
        <v/>
      </c>
      <c r="K4068">
        <f>IF(B4068&gt;=Settings!$C$5,1,0)</f>
        <v/>
      </c>
    </row>
    <row r="4069">
      <c r="A4069" t="inlineStr">
        <is>
          <t>e3fc1e449bf70c946e9c4054698afdd7</t>
        </is>
      </c>
      <c r="B4069" s="29" t="n">
        <v>43185</v>
      </c>
      <c r="C4069" t="inlineStr">
        <is>
          <t>2018-03</t>
        </is>
      </c>
      <c r="D4069" t="inlineStr">
        <is>
          <t>22c29808c4f815213303f8933030604c</t>
        </is>
      </c>
      <c r="E4069" t="inlineStr">
        <is>
          <t>organic_search</t>
        </is>
      </c>
      <c r="F4069">
        <f>IFERROR(MATCH(A4069,Deals!$A$2:$A$843,0),"")</f>
        <v/>
      </c>
      <c r="G4069">
        <f>IF(F4069="",0,1)</f>
        <v/>
      </c>
      <c r="H4069" s="29">
        <f>IF(F4069="","",INDEX(Deals!$E$2:$E$843,F4069))</f>
        <v/>
      </c>
      <c r="I4069">
        <f>IF(F4069="","",INDEX(Deals!$D$2:$D$843,F4069))</f>
        <v/>
      </c>
      <c r="J4069">
        <f>IF(F4069="","",INT(H4069)-B4069)</f>
        <v/>
      </c>
      <c r="K4069">
        <f>IF(B4069&gt;=Settings!$C$5,1,0)</f>
        <v/>
      </c>
    </row>
    <row r="4070">
      <c r="A4070" t="inlineStr">
        <is>
          <t>c94ac72ea12ea1943136f2bc64719600</t>
        </is>
      </c>
      <c r="B4070" s="29" t="n">
        <v>42957</v>
      </c>
      <c r="C4070" t="inlineStr">
        <is>
          <t>2017-08</t>
        </is>
      </c>
      <c r="D4070" t="inlineStr">
        <is>
          <t>c555aa36478386fdf85a2d0ca5cd0ff8</t>
        </is>
      </c>
      <c r="E4070" t="inlineStr">
        <is>
          <t>unknown</t>
        </is>
      </c>
      <c r="F4070">
        <f>IFERROR(MATCH(A4070,Deals!$A$2:$A$843,0),"")</f>
        <v/>
      </c>
      <c r="G4070">
        <f>IF(F4070="",0,1)</f>
        <v/>
      </c>
      <c r="H4070" s="29">
        <f>IF(F4070="","",INDEX(Deals!$E$2:$E$843,F4070))</f>
        <v/>
      </c>
      <c r="I4070">
        <f>IF(F4070="","",INDEX(Deals!$D$2:$D$843,F4070))</f>
        <v/>
      </c>
      <c r="J4070">
        <f>IF(F4070="","",INT(H4070)-B4070)</f>
        <v/>
      </c>
      <c r="K4070">
        <f>IF(B4070&gt;=Settings!$C$5,1,0)</f>
        <v/>
      </c>
    </row>
    <row r="4071">
      <c r="A4071" t="inlineStr">
        <is>
          <t>5c939751a356d66af37a9e339980c9b7</t>
        </is>
      </c>
      <c r="B4071" s="29" t="n">
        <v>43206</v>
      </c>
      <c r="C4071" t="inlineStr">
        <is>
          <t>2018-04</t>
        </is>
      </c>
      <c r="D4071" t="inlineStr">
        <is>
          <t>35c9b150ab36fe584c1f24fd458c453a</t>
        </is>
      </c>
      <c r="E4071" t="inlineStr">
        <is>
          <t>paid_search</t>
        </is>
      </c>
      <c r="F4071">
        <f>IFERROR(MATCH(A4071,Deals!$A$2:$A$843,0),"")</f>
        <v/>
      </c>
      <c r="G4071">
        <f>IF(F4071="",0,1)</f>
        <v/>
      </c>
      <c r="H4071" s="29">
        <f>IF(F4071="","",INDEX(Deals!$E$2:$E$843,F4071))</f>
        <v/>
      </c>
      <c r="I4071">
        <f>IF(F4071="","",INDEX(Deals!$D$2:$D$843,F4071))</f>
        <v/>
      </c>
      <c r="J4071">
        <f>IF(F4071="","",INT(H4071)-B4071)</f>
        <v/>
      </c>
      <c r="K4071">
        <f>IF(B4071&gt;=Settings!$C$5,1,0)</f>
        <v/>
      </c>
    </row>
    <row r="4072">
      <c r="A4072" t="inlineStr">
        <is>
          <t>7974dc9314dabaab55462b7ab1b3d3c9</t>
        </is>
      </c>
      <c r="B4072" s="29" t="n">
        <v>43027</v>
      </c>
      <c r="C4072" t="inlineStr">
        <is>
          <t>2017-10</t>
        </is>
      </c>
      <c r="D4072" t="inlineStr">
        <is>
          <t>22c29808c4f815213303f8933030604c</t>
        </is>
      </c>
      <c r="E4072" t="inlineStr">
        <is>
          <t>organic_search</t>
        </is>
      </c>
      <c r="F4072">
        <f>IFERROR(MATCH(A4072,Deals!$A$2:$A$843,0),"")</f>
        <v/>
      </c>
      <c r="G4072">
        <f>IF(F4072="",0,1)</f>
        <v/>
      </c>
      <c r="H4072" s="29">
        <f>IF(F4072="","",INDEX(Deals!$E$2:$E$843,F4072))</f>
        <v/>
      </c>
      <c r="I4072">
        <f>IF(F4072="","",INDEX(Deals!$D$2:$D$843,F4072))</f>
        <v/>
      </c>
      <c r="J4072">
        <f>IF(F4072="","",INT(H4072)-B4072)</f>
        <v/>
      </c>
      <c r="K4072">
        <f>IF(B4072&gt;=Settings!$C$5,1,0)</f>
        <v/>
      </c>
    </row>
    <row r="4073">
      <c r="A4073" t="inlineStr">
        <is>
          <t>3de2f5d6b216073b662a9e202fb4b556</t>
        </is>
      </c>
      <c r="B4073" s="29" t="n">
        <v>43154</v>
      </c>
      <c r="C4073" t="inlineStr">
        <is>
          <t>2018-02</t>
        </is>
      </c>
      <c r="D4073" t="inlineStr">
        <is>
          <t>b76ef37428e6799c421989521c0e5077</t>
        </is>
      </c>
      <c r="E4073" t="inlineStr">
        <is>
          <t>unknown</t>
        </is>
      </c>
      <c r="F4073">
        <f>IFERROR(MATCH(A4073,Deals!$A$2:$A$843,0),"")</f>
        <v/>
      </c>
      <c r="G4073">
        <f>IF(F4073="",0,1)</f>
        <v/>
      </c>
      <c r="H4073" s="29">
        <f>IF(F4073="","",INDEX(Deals!$E$2:$E$843,F4073))</f>
        <v/>
      </c>
      <c r="I4073">
        <f>IF(F4073="","",INDEX(Deals!$D$2:$D$843,F4073))</f>
        <v/>
      </c>
      <c r="J4073">
        <f>IF(F4073="","",INT(H4073)-B4073)</f>
        <v/>
      </c>
      <c r="K4073">
        <f>IF(B4073&gt;=Settings!$C$5,1,0)</f>
        <v/>
      </c>
    </row>
    <row r="4074">
      <c r="A4074" t="inlineStr">
        <is>
          <t>d2c2de6e423321db2aed69be2da62c9b</t>
        </is>
      </c>
      <c r="B4074" s="29" t="n">
        <v>43025</v>
      </c>
      <c r="C4074" t="inlineStr">
        <is>
          <t>2017-10</t>
        </is>
      </c>
      <c r="D4074" t="inlineStr">
        <is>
          <t>b76ef37428e6799c421989521c0e5077</t>
        </is>
      </c>
      <c r="E4074" t="inlineStr">
        <is>
          <t>paid_search</t>
        </is>
      </c>
      <c r="F4074">
        <f>IFERROR(MATCH(A4074,Deals!$A$2:$A$843,0),"")</f>
        <v/>
      </c>
      <c r="G4074">
        <f>IF(F4074="",0,1)</f>
        <v/>
      </c>
      <c r="H4074" s="29">
        <f>IF(F4074="","",INDEX(Deals!$E$2:$E$843,F4074))</f>
        <v/>
      </c>
      <c r="I4074">
        <f>IF(F4074="","",INDEX(Deals!$D$2:$D$843,F4074))</f>
        <v/>
      </c>
      <c r="J4074">
        <f>IF(F4074="","",INT(H4074)-B4074)</f>
        <v/>
      </c>
      <c r="K4074">
        <f>IF(B4074&gt;=Settings!$C$5,1,0)</f>
        <v/>
      </c>
    </row>
    <row r="4075">
      <c r="A4075" t="inlineStr">
        <is>
          <t>18042a74c3e57fabcf4e0980402ca1d4</t>
        </is>
      </c>
      <c r="B4075" s="29" t="n">
        <v>43210</v>
      </c>
      <c r="C4075" t="inlineStr">
        <is>
          <t>2018-04</t>
        </is>
      </c>
      <c r="D4075" t="inlineStr">
        <is>
          <t>58326e62183c14b0c03085c33b9fdc44</t>
        </is>
      </c>
      <c r="E4075" t="inlineStr">
        <is>
          <t>social</t>
        </is>
      </c>
      <c r="F4075">
        <f>IFERROR(MATCH(A4075,Deals!$A$2:$A$843,0),"")</f>
        <v/>
      </c>
      <c r="G4075">
        <f>IF(F4075="",0,1)</f>
        <v/>
      </c>
      <c r="H4075" s="29">
        <f>IF(F4075="","",INDEX(Deals!$E$2:$E$843,F4075))</f>
        <v/>
      </c>
      <c r="I4075">
        <f>IF(F4075="","",INDEX(Deals!$D$2:$D$843,F4075))</f>
        <v/>
      </c>
      <c r="J4075">
        <f>IF(F4075="","",INT(H4075)-B4075)</f>
        <v/>
      </c>
      <c r="K4075">
        <f>IF(B4075&gt;=Settings!$C$5,1,0)</f>
        <v/>
      </c>
    </row>
    <row r="4076">
      <c r="A4076" t="inlineStr">
        <is>
          <t>514e5f200a15c7c9f62336c74ffa6840</t>
        </is>
      </c>
      <c r="B4076" s="29" t="n">
        <v>43000</v>
      </c>
      <c r="C4076" t="inlineStr">
        <is>
          <t>2017-09</t>
        </is>
      </c>
      <c r="D4076" t="inlineStr">
        <is>
          <t>b48ec5f3b04e9068441002a19df93c6c</t>
        </is>
      </c>
      <c r="E4076" t="inlineStr">
        <is>
          <t>organic_search</t>
        </is>
      </c>
      <c r="F4076">
        <f>IFERROR(MATCH(A4076,Deals!$A$2:$A$843,0),"")</f>
        <v/>
      </c>
      <c r="G4076">
        <f>IF(F4076="",0,1)</f>
        <v/>
      </c>
      <c r="H4076" s="29">
        <f>IF(F4076="","",INDEX(Deals!$E$2:$E$843,F4076))</f>
        <v/>
      </c>
      <c r="I4076">
        <f>IF(F4076="","",INDEX(Deals!$D$2:$D$843,F4076))</f>
        <v/>
      </c>
      <c r="J4076">
        <f>IF(F4076="","",INT(H4076)-B4076)</f>
        <v/>
      </c>
      <c r="K4076">
        <f>IF(B4076&gt;=Settings!$C$5,1,0)</f>
        <v/>
      </c>
    </row>
    <row r="4077">
      <c r="A4077" t="inlineStr">
        <is>
          <t>7f2fc4be557404798e7ac1df49ee30a7</t>
        </is>
      </c>
      <c r="B4077" s="29" t="n">
        <v>43192</v>
      </c>
      <c r="C4077" t="inlineStr">
        <is>
          <t>2018-04</t>
        </is>
      </c>
      <c r="D4077" t="inlineStr">
        <is>
          <t>fb58285f6f6c4e504dfa628de116cae8</t>
        </is>
      </c>
      <c r="E4077" t="inlineStr">
        <is>
          <t>paid_search</t>
        </is>
      </c>
      <c r="F4077">
        <f>IFERROR(MATCH(A4077,Deals!$A$2:$A$843,0),"")</f>
        <v/>
      </c>
      <c r="G4077">
        <f>IF(F4077="",0,1)</f>
        <v/>
      </c>
      <c r="H4077" s="29">
        <f>IF(F4077="","",INDEX(Deals!$E$2:$E$843,F4077))</f>
        <v/>
      </c>
      <c r="I4077">
        <f>IF(F4077="","",INDEX(Deals!$D$2:$D$843,F4077))</f>
        <v/>
      </c>
      <c r="J4077">
        <f>IF(F4077="","",INT(H4077)-B4077)</f>
        <v/>
      </c>
      <c r="K4077">
        <f>IF(B4077&gt;=Settings!$C$5,1,0)</f>
        <v/>
      </c>
    </row>
    <row r="4078">
      <c r="A4078" t="inlineStr">
        <is>
          <t>b53cbe6da81db747a73e52a5a48d2703</t>
        </is>
      </c>
      <c r="B4078" s="29" t="n">
        <v>43143</v>
      </c>
      <c r="C4078" t="inlineStr">
        <is>
          <t>2018-02</t>
        </is>
      </c>
      <c r="D4078" t="inlineStr">
        <is>
          <t>b76ef37428e6799c421989521c0e5077</t>
        </is>
      </c>
      <c r="E4078" t="inlineStr">
        <is>
          <t>unknown</t>
        </is>
      </c>
      <c r="F4078">
        <f>IFERROR(MATCH(A4078,Deals!$A$2:$A$843,0),"")</f>
        <v/>
      </c>
      <c r="G4078">
        <f>IF(F4078="",0,1)</f>
        <v/>
      </c>
      <c r="H4078" s="29">
        <f>IF(F4078="","",INDEX(Deals!$E$2:$E$843,F4078))</f>
        <v/>
      </c>
      <c r="I4078">
        <f>IF(F4078="","",INDEX(Deals!$D$2:$D$843,F4078))</f>
        <v/>
      </c>
      <c r="J4078">
        <f>IF(F4078="","",INT(H4078)-B4078)</f>
        <v/>
      </c>
      <c r="K4078">
        <f>IF(B4078&gt;=Settings!$C$5,1,0)</f>
        <v/>
      </c>
    </row>
    <row r="4079">
      <c r="A4079" t="inlineStr">
        <is>
          <t>9722c0e8faf86184d1021802ac2e5f79</t>
        </is>
      </c>
      <c r="B4079" s="29" t="n">
        <v>43240</v>
      </c>
      <c r="C4079" t="inlineStr">
        <is>
          <t>2018-05</t>
        </is>
      </c>
      <c r="D4079" t="inlineStr">
        <is>
          <t>ce1a65abd0973638f1c887a6efcfa82d</t>
        </is>
      </c>
      <c r="E4079" t="inlineStr">
        <is>
          <t>organic_search</t>
        </is>
      </c>
      <c r="F4079">
        <f>IFERROR(MATCH(A4079,Deals!$A$2:$A$843,0),"")</f>
        <v/>
      </c>
      <c r="G4079">
        <f>IF(F4079="",0,1)</f>
        <v/>
      </c>
      <c r="H4079" s="29">
        <f>IF(F4079="","",INDEX(Deals!$E$2:$E$843,F4079))</f>
        <v/>
      </c>
      <c r="I4079">
        <f>IF(F4079="","",INDEX(Deals!$D$2:$D$843,F4079))</f>
        <v/>
      </c>
      <c r="J4079">
        <f>IF(F4079="","",INT(H4079)-B4079)</f>
        <v/>
      </c>
      <c r="K4079">
        <f>IF(B4079&gt;=Settings!$C$5,1,0)</f>
        <v/>
      </c>
    </row>
    <row r="4080">
      <c r="A4080" t="inlineStr">
        <is>
          <t>6ec5953819c4a9de372a20282b4d7b98</t>
        </is>
      </c>
      <c r="B4080" s="29" t="n">
        <v>43121</v>
      </c>
      <c r="C4080" t="inlineStr">
        <is>
          <t>2018-01</t>
        </is>
      </c>
      <c r="D4080" t="inlineStr">
        <is>
          <t>88740e65d5d6b056e0cda098e1ea6313</t>
        </is>
      </c>
      <c r="E4080" t="inlineStr">
        <is>
          <t>social</t>
        </is>
      </c>
      <c r="F4080">
        <f>IFERROR(MATCH(A4080,Deals!$A$2:$A$843,0),"")</f>
        <v/>
      </c>
      <c r="G4080">
        <f>IF(F4080="",0,1)</f>
        <v/>
      </c>
      <c r="H4080" s="29">
        <f>IF(F4080="","",INDEX(Deals!$E$2:$E$843,F4080))</f>
        <v/>
      </c>
      <c r="I4080">
        <f>IF(F4080="","",INDEX(Deals!$D$2:$D$843,F4080))</f>
        <v/>
      </c>
      <c r="J4080">
        <f>IF(F4080="","",INT(H4080)-B4080)</f>
        <v/>
      </c>
      <c r="K4080">
        <f>IF(B4080&gt;=Settings!$C$5,1,0)</f>
        <v/>
      </c>
    </row>
    <row r="4081">
      <c r="A4081" t="inlineStr">
        <is>
          <t>c6e9701b682ec8f4cc3f8923c1dbb1f8</t>
        </is>
      </c>
      <c r="B4081" s="29" t="n">
        <v>43187</v>
      </c>
      <c r="C4081" t="inlineStr">
        <is>
          <t>2018-03</t>
        </is>
      </c>
      <c r="D4081" t="inlineStr">
        <is>
          <t>ea0650174e273c41e12002dcdd4708be</t>
        </is>
      </c>
      <c r="E4081" t="inlineStr">
        <is>
          <t>direct_traffic</t>
        </is>
      </c>
      <c r="F4081">
        <f>IFERROR(MATCH(A4081,Deals!$A$2:$A$843,0),"")</f>
        <v/>
      </c>
      <c r="G4081">
        <f>IF(F4081="",0,1)</f>
        <v/>
      </c>
      <c r="H4081" s="29">
        <f>IF(F4081="","",INDEX(Deals!$E$2:$E$843,F4081))</f>
        <v/>
      </c>
      <c r="I4081">
        <f>IF(F4081="","",INDEX(Deals!$D$2:$D$843,F4081))</f>
        <v/>
      </c>
      <c r="J4081">
        <f>IF(F4081="","",INT(H4081)-B4081)</f>
        <v/>
      </c>
      <c r="K4081">
        <f>IF(B4081&gt;=Settings!$C$5,1,0)</f>
        <v/>
      </c>
    </row>
    <row r="4082">
      <c r="A4082" t="inlineStr">
        <is>
          <t>4bc9645a5623ba22b8e136133eb8af33</t>
        </is>
      </c>
      <c r="B4082" s="29" t="n">
        <v>43193</v>
      </c>
      <c r="C4082" t="inlineStr">
        <is>
          <t>2018-04</t>
        </is>
      </c>
      <c r="D4082" t="inlineStr">
        <is>
          <t>ecc36b943a84ebcd3ab633cbe0fb1b9b</t>
        </is>
      </c>
      <c r="E4082" t="inlineStr">
        <is>
          <t>email</t>
        </is>
      </c>
      <c r="F4082">
        <f>IFERROR(MATCH(A4082,Deals!$A$2:$A$843,0),"")</f>
        <v/>
      </c>
      <c r="G4082">
        <f>IF(F4082="",0,1)</f>
        <v/>
      </c>
      <c r="H4082" s="29">
        <f>IF(F4082="","",INDEX(Deals!$E$2:$E$843,F4082))</f>
        <v/>
      </c>
      <c r="I4082">
        <f>IF(F4082="","",INDEX(Deals!$D$2:$D$843,F4082))</f>
        <v/>
      </c>
      <c r="J4082">
        <f>IF(F4082="","",INT(H4082)-B4082)</f>
        <v/>
      </c>
      <c r="K4082">
        <f>IF(B4082&gt;=Settings!$C$5,1,0)</f>
        <v/>
      </c>
    </row>
    <row r="4083">
      <c r="A4083" t="inlineStr">
        <is>
          <t>a02248212328cdea5940d1c050f6c6e1</t>
        </is>
      </c>
      <c r="B4083" s="29" t="n">
        <v>43214</v>
      </c>
      <c r="C4083" t="inlineStr">
        <is>
          <t>2018-04</t>
        </is>
      </c>
      <c r="D4083" t="inlineStr">
        <is>
          <t>649b7b8b46b254497e92038d88f6ced8</t>
        </is>
      </c>
      <c r="E4083" t="inlineStr">
        <is>
          <t>social</t>
        </is>
      </c>
      <c r="F4083">
        <f>IFERROR(MATCH(A4083,Deals!$A$2:$A$843,0),"")</f>
        <v/>
      </c>
      <c r="G4083">
        <f>IF(F4083="",0,1)</f>
        <v/>
      </c>
      <c r="H4083" s="29">
        <f>IF(F4083="","",INDEX(Deals!$E$2:$E$843,F4083))</f>
        <v/>
      </c>
      <c r="I4083">
        <f>IF(F4083="","",INDEX(Deals!$D$2:$D$843,F4083))</f>
        <v/>
      </c>
      <c r="J4083">
        <f>IF(F4083="","",INT(H4083)-B4083)</f>
        <v/>
      </c>
      <c r="K4083">
        <f>IF(B4083&gt;=Settings!$C$5,1,0)</f>
        <v/>
      </c>
    </row>
    <row r="4084">
      <c r="A4084" t="inlineStr">
        <is>
          <t>f18ca68352536e995e0cea95572067d4</t>
        </is>
      </c>
      <c r="B4084" s="29" t="n">
        <v>43172</v>
      </c>
      <c r="C4084" t="inlineStr">
        <is>
          <t>2018-03</t>
        </is>
      </c>
      <c r="D4084" t="inlineStr">
        <is>
          <t>daa9619c6f8ed06d059265dca0f9257f</t>
        </is>
      </c>
      <c r="E4084" t="inlineStr">
        <is>
          <t>email</t>
        </is>
      </c>
      <c r="F4084">
        <f>IFERROR(MATCH(A4084,Deals!$A$2:$A$843,0),"")</f>
        <v/>
      </c>
      <c r="G4084">
        <f>IF(F4084="",0,1)</f>
        <v/>
      </c>
      <c r="H4084" s="29">
        <f>IF(F4084="","",INDEX(Deals!$E$2:$E$843,F4084))</f>
        <v/>
      </c>
      <c r="I4084">
        <f>IF(F4084="","",INDEX(Deals!$D$2:$D$843,F4084))</f>
        <v/>
      </c>
      <c r="J4084">
        <f>IF(F4084="","",INT(H4084)-B4084)</f>
        <v/>
      </c>
      <c r="K4084">
        <f>IF(B4084&gt;=Settings!$C$5,1,0)</f>
        <v/>
      </c>
    </row>
    <row r="4085">
      <c r="A4085" t="inlineStr">
        <is>
          <t>c1e8e336c211d9399d857f8703c1fadc</t>
        </is>
      </c>
      <c r="B4085" s="29" t="n">
        <v>43111</v>
      </c>
      <c r="C4085" t="inlineStr">
        <is>
          <t>2018-01</t>
        </is>
      </c>
      <c r="D4085" t="inlineStr">
        <is>
          <t>37cf94070e940a694969304de58debe1</t>
        </is>
      </c>
      <c r="E4085" t="inlineStr">
        <is>
          <t>paid_search</t>
        </is>
      </c>
      <c r="F4085">
        <f>IFERROR(MATCH(A4085,Deals!$A$2:$A$843,0),"")</f>
        <v/>
      </c>
      <c r="G4085">
        <f>IF(F4085="",0,1)</f>
        <v/>
      </c>
      <c r="H4085" s="29">
        <f>IF(F4085="","",INDEX(Deals!$E$2:$E$843,F4085))</f>
        <v/>
      </c>
      <c r="I4085">
        <f>IF(F4085="","",INDEX(Deals!$D$2:$D$843,F4085))</f>
        <v/>
      </c>
      <c r="J4085">
        <f>IF(F4085="","",INT(H4085)-B4085)</f>
        <v/>
      </c>
      <c r="K4085">
        <f>IF(B4085&gt;=Settings!$C$5,1,0)</f>
        <v/>
      </c>
    </row>
    <row r="4086">
      <c r="A4086" t="inlineStr">
        <is>
          <t>73061056a3b9c0ed212a6e6ed0b24813</t>
        </is>
      </c>
      <c r="B4086" s="29" t="n">
        <v>43085</v>
      </c>
      <c r="C4086" t="inlineStr">
        <is>
          <t>2017-12</t>
        </is>
      </c>
      <c r="D4086" t="inlineStr">
        <is>
          <t>22c29808c4f815213303f8933030604c</t>
        </is>
      </c>
      <c r="E4086" t="inlineStr">
        <is>
          <t>organic_search</t>
        </is>
      </c>
      <c r="F4086">
        <f>IFERROR(MATCH(A4086,Deals!$A$2:$A$843,0),"")</f>
        <v/>
      </c>
      <c r="G4086">
        <f>IF(F4086="",0,1)</f>
        <v/>
      </c>
      <c r="H4086" s="29">
        <f>IF(F4086="","",INDEX(Deals!$E$2:$E$843,F4086))</f>
        <v/>
      </c>
      <c r="I4086">
        <f>IF(F4086="","",INDEX(Deals!$D$2:$D$843,F4086))</f>
        <v/>
      </c>
      <c r="J4086">
        <f>IF(F4086="","",INT(H4086)-B4086)</f>
        <v/>
      </c>
      <c r="K4086">
        <f>IF(B4086&gt;=Settings!$C$5,1,0)</f>
        <v/>
      </c>
    </row>
    <row r="4087">
      <c r="A4087" t="inlineStr">
        <is>
          <t>d90a6ea6fd54e27c2656d8d3877abea4</t>
        </is>
      </c>
      <c r="B4087" s="29" t="n">
        <v>43222</v>
      </c>
      <c r="C4087" t="inlineStr">
        <is>
          <t>2018-05</t>
        </is>
      </c>
      <c r="D4087" t="inlineStr">
        <is>
          <t>58326e62183c14b0c03085c33b9fdc44</t>
        </is>
      </c>
      <c r="E4087" t="inlineStr">
        <is>
          <t>social</t>
        </is>
      </c>
      <c r="F4087">
        <f>IFERROR(MATCH(A4087,Deals!$A$2:$A$843,0),"")</f>
        <v/>
      </c>
      <c r="G4087">
        <f>IF(F4087="",0,1)</f>
        <v/>
      </c>
      <c r="H4087" s="29">
        <f>IF(F4087="","",INDEX(Deals!$E$2:$E$843,F4087))</f>
        <v/>
      </c>
      <c r="I4087">
        <f>IF(F4087="","",INDEX(Deals!$D$2:$D$843,F4087))</f>
        <v/>
      </c>
      <c r="J4087">
        <f>IF(F4087="","",INT(H4087)-B4087)</f>
        <v/>
      </c>
      <c r="K4087">
        <f>IF(B4087&gt;=Settings!$C$5,1,0)</f>
        <v/>
      </c>
    </row>
    <row r="4088">
      <c r="A4088" t="inlineStr">
        <is>
          <t>2247fd8e28edeb7365e8eb85e206487b</t>
        </is>
      </c>
      <c r="B4088" s="29" t="n">
        <v>43072</v>
      </c>
      <c r="C4088" t="inlineStr">
        <is>
          <t>2017-12</t>
        </is>
      </c>
      <c r="D4088" t="inlineStr">
        <is>
          <t>40dec9f3d5259a3d2dbcdab2114fae47</t>
        </is>
      </c>
      <c r="E4088" t="inlineStr">
        <is>
          <t>social</t>
        </is>
      </c>
      <c r="F4088">
        <f>IFERROR(MATCH(A4088,Deals!$A$2:$A$843,0),"")</f>
        <v/>
      </c>
      <c r="G4088">
        <f>IF(F4088="",0,1)</f>
        <v/>
      </c>
      <c r="H4088" s="29">
        <f>IF(F4088="","",INDEX(Deals!$E$2:$E$843,F4088))</f>
        <v/>
      </c>
      <c r="I4088">
        <f>IF(F4088="","",INDEX(Deals!$D$2:$D$843,F4088))</f>
        <v/>
      </c>
      <c r="J4088">
        <f>IF(F4088="","",INT(H4088)-B4088)</f>
        <v/>
      </c>
      <c r="K4088">
        <f>IF(B4088&gt;=Settings!$C$5,1,0)</f>
        <v/>
      </c>
    </row>
    <row r="4089">
      <c r="A4089" t="inlineStr">
        <is>
          <t>86d4303e4f27966fade0cf152d9ae234</t>
        </is>
      </c>
      <c r="B4089" s="29" t="n">
        <v>42935</v>
      </c>
      <c r="C4089" t="inlineStr">
        <is>
          <t>2017-07</t>
        </is>
      </c>
      <c r="D4089" t="inlineStr">
        <is>
          <t>22c29808c4f815213303f8933030604c</t>
        </is>
      </c>
      <c r="E4089" t="inlineStr">
        <is>
          <t>organic_search</t>
        </is>
      </c>
      <c r="F4089">
        <f>IFERROR(MATCH(A4089,Deals!$A$2:$A$843,0),"")</f>
        <v/>
      </c>
      <c r="G4089">
        <f>IF(F4089="",0,1)</f>
        <v/>
      </c>
      <c r="H4089" s="29">
        <f>IF(F4089="","",INDEX(Deals!$E$2:$E$843,F4089))</f>
        <v/>
      </c>
      <c r="I4089">
        <f>IF(F4089="","",INDEX(Deals!$D$2:$D$843,F4089))</f>
        <v/>
      </c>
      <c r="J4089">
        <f>IF(F4089="","",INT(H4089)-B4089)</f>
        <v/>
      </c>
      <c r="K4089">
        <f>IF(B4089&gt;=Settings!$C$5,1,0)</f>
        <v/>
      </c>
    </row>
    <row r="4090">
      <c r="A4090" t="inlineStr">
        <is>
          <t>846b2b6dd5703bd41a6cd0e1601900f8</t>
        </is>
      </c>
      <c r="B4090" s="29" t="n">
        <v>43018</v>
      </c>
      <c r="C4090" t="inlineStr">
        <is>
          <t>2017-10</t>
        </is>
      </c>
      <c r="D4090" t="inlineStr">
        <is>
          <t>f98c2bd96ac4a5d9476734e790c91384</t>
        </is>
      </c>
      <c r="E4090" t="inlineStr">
        <is>
          <t>email</t>
        </is>
      </c>
      <c r="F4090">
        <f>IFERROR(MATCH(A4090,Deals!$A$2:$A$843,0),"")</f>
        <v/>
      </c>
      <c r="G4090">
        <f>IF(F4090="",0,1)</f>
        <v/>
      </c>
      <c r="H4090" s="29">
        <f>IF(F4090="","",INDEX(Deals!$E$2:$E$843,F4090))</f>
        <v/>
      </c>
      <c r="I4090">
        <f>IF(F4090="","",INDEX(Deals!$D$2:$D$843,F4090))</f>
        <v/>
      </c>
      <c r="J4090">
        <f>IF(F4090="","",INT(H4090)-B4090)</f>
        <v/>
      </c>
      <c r="K4090">
        <f>IF(B4090&gt;=Settings!$C$5,1,0)</f>
        <v/>
      </c>
    </row>
    <row r="4091">
      <c r="A4091" t="inlineStr">
        <is>
          <t>e86a702029116de126ed5b9341566230</t>
        </is>
      </c>
      <c r="B4091" s="29" t="n">
        <v>43157</v>
      </c>
      <c r="C4091" t="inlineStr">
        <is>
          <t>2018-02</t>
        </is>
      </c>
      <c r="D4091" t="inlineStr">
        <is>
          <t>27cd3540bace1f4a4b2bc6d319b0553c</t>
        </is>
      </c>
      <c r="E4091" t="inlineStr">
        <is>
          <t>paid_search</t>
        </is>
      </c>
      <c r="F4091">
        <f>IFERROR(MATCH(A4091,Deals!$A$2:$A$843,0),"")</f>
        <v/>
      </c>
      <c r="G4091">
        <f>IF(F4091="",0,1)</f>
        <v/>
      </c>
      <c r="H4091" s="29">
        <f>IF(F4091="","",INDEX(Deals!$E$2:$E$843,F4091))</f>
        <v/>
      </c>
      <c r="I4091">
        <f>IF(F4091="","",INDEX(Deals!$D$2:$D$843,F4091))</f>
        <v/>
      </c>
      <c r="J4091">
        <f>IF(F4091="","",INT(H4091)-B4091)</f>
        <v/>
      </c>
      <c r="K4091">
        <f>IF(B4091&gt;=Settings!$C$5,1,0)</f>
        <v/>
      </c>
    </row>
    <row r="4092">
      <c r="A4092" t="inlineStr">
        <is>
          <t>786d54b10805cdb475d07522426292cc</t>
        </is>
      </c>
      <c r="B4092" s="29" t="n">
        <v>43004</v>
      </c>
      <c r="C4092" t="inlineStr">
        <is>
          <t>2017-09</t>
        </is>
      </c>
      <c r="D4092" t="inlineStr">
        <is>
          <t>f017be4dbf86243af5c1ebed0cff36a2</t>
        </is>
      </c>
      <c r="E4092" t="inlineStr">
        <is>
          <t>referral</t>
        </is>
      </c>
      <c r="F4092">
        <f>IFERROR(MATCH(A4092,Deals!$A$2:$A$843,0),"")</f>
        <v/>
      </c>
      <c r="G4092">
        <f>IF(F4092="",0,1)</f>
        <v/>
      </c>
      <c r="H4092" s="29">
        <f>IF(F4092="","",INDEX(Deals!$E$2:$E$843,F4092))</f>
        <v/>
      </c>
      <c r="I4092">
        <f>IF(F4092="","",INDEX(Deals!$D$2:$D$843,F4092))</f>
        <v/>
      </c>
      <c r="J4092">
        <f>IF(F4092="","",INT(H4092)-B4092)</f>
        <v/>
      </c>
      <c r="K4092">
        <f>IF(B4092&gt;=Settings!$C$5,1,0)</f>
        <v/>
      </c>
    </row>
    <row r="4093">
      <c r="A4093" t="inlineStr">
        <is>
          <t>2c9a64873b88387545747c663f05d517</t>
        </is>
      </c>
      <c r="B4093" s="29" t="n">
        <v>43053</v>
      </c>
      <c r="C4093" t="inlineStr">
        <is>
          <t>2017-11</t>
        </is>
      </c>
      <c r="D4093" t="inlineStr">
        <is>
          <t>1722481ac9e5371e5099dea226b5421d</t>
        </is>
      </c>
      <c r="E4093" t="inlineStr">
        <is>
          <t>social</t>
        </is>
      </c>
      <c r="F4093">
        <f>IFERROR(MATCH(A4093,Deals!$A$2:$A$843,0),"")</f>
        <v/>
      </c>
      <c r="G4093">
        <f>IF(F4093="",0,1)</f>
        <v/>
      </c>
      <c r="H4093" s="29">
        <f>IF(F4093="","",INDEX(Deals!$E$2:$E$843,F4093))</f>
        <v/>
      </c>
      <c r="I4093">
        <f>IF(F4093="","",INDEX(Deals!$D$2:$D$843,F4093))</f>
        <v/>
      </c>
      <c r="J4093">
        <f>IF(F4093="","",INT(H4093)-B4093)</f>
        <v/>
      </c>
      <c r="K4093">
        <f>IF(B4093&gt;=Settings!$C$5,1,0)</f>
        <v/>
      </c>
    </row>
    <row r="4094">
      <c r="A4094" t="inlineStr">
        <is>
          <t>35f4421c476ab29bd7492717ccb0642c</t>
        </is>
      </c>
      <c r="B4094" s="29" t="n">
        <v>42935</v>
      </c>
      <c r="C4094" t="inlineStr">
        <is>
          <t>2017-07</t>
        </is>
      </c>
      <c r="D4094" t="inlineStr">
        <is>
          <t>65d9f9d71e562365e8b44037c2888d98</t>
        </is>
      </c>
      <c r="E4094" t="inlineStr">
        <is>
          <t>unknown</t>
        </is>
      </c>
      <c r="F4094">
        <f>IFERROR(MATCH(A4094,Deals!$A$2:$A$843,0),"")</f>
        <v/>
      </c>
      <c r="G4094">
        <f>IF(F4094="",0,1)</f>
        <v/>
      </c>
      <c r="H4094" s="29">
        <f>IF(F4094="","",INDEX(Deals!$E$2:$E$843,F4094))</f>
        <v/>
      </c>
      <c r="I4094">
        <f>IF(F4094="","",INDEX(Deals!$D$2:$D$843,F4094))</f>
        <v/>
      </c>
      <c r="J4094">
        <f>IF(F4094="","",INT(H4094)-B4094)</f>
        <v/>
      </c>
      <c r="K4094">
        <f>IF(B4094&gt;=Settings!$C$5,1,0)</f>
        <v/>
      </c>
    </row>
    <row r="4095">
      <c r="A4095" t="inlineStr">
        <is>
          <t>45a9c220aa008c10a0e581f44c0627e9</t>
        </is>
      </c>
      <c r="B4095" s="29" t="n">
        <v>42940</v>
      </c>
      <c r="C4095" t="inlineStr">
        <is>
          <t>2017-07</t>
        </is>
      </c>
      <c r="D4095" t="inlineStr">
        <is>
          <t>91dbdf987124ca09b297bd87f06b5e64</t>
        </is>
      </c>
      <c r="E4095" t="inlineStr">
        <is>
          <t>social</t>
        </is>
      </c>
      <c r="F4095">
        <f>IFERROR(MATCH(A4095,Deals!$A$2:$A$843,0),"")</f>
        <v/>
      </c>
      <c r="G4095">
        <f>IF(F4095="",0,1)</f>
        <v/>
      </c>
      <c r="H4095" s="29">
        <f>IF(F4095="","",INDEX(Deals!$E$2:$E$843,F4095))</f>
        <v/>
      </c>
      <c r="I4095">
        <f>IF(F4095="","",INDEX(Deals!$D$2:$D$843,F4095))</f>
        <v/>
      </c>
      <c r="J4095">
        <f>IF(F4095="","",INT(H4095)-B4095)</f>
        <v/>
      </c>
      <c r="K4095">
        <f>IF(B4095&gt;=Settings!$C$5,1,0)</f>
        <v/>
      </c>
    </row>
    <row r="4096">
      <c r="A4096" t="inlineStr">
        <is>
          <t>f0971d67a49ade9bab406f7664e8129d</t>
        </is>
      </c>
      <c r="B4096" s="29" t="n">
        <v>43175</v>
      </c>
      <c r="C4096" t="inlineStr">
        <is>
          <t>2018-03</t>
        </is>
      </c>
      <c r="D4096" t="inlineStr">
        <is>
          <t>0b37d43dbde6452cdd94c17bf61a88e4</t>
        </is>
      </c>
      <c r="E4096" t="inlineStr">
        <is>
          <t>organic_search</t>
        </is>
      </c>
      <c r="F4096">
        <f>IFERROR(MATCH(A4096,Deals!$A$2:$A$843,0),"")</f>
        <v/>
      </c>
      <c r="G4096">
        <f>IF(F4096="",0,1)</f>
        <v/>
      </c>
      <c r="H4096" s="29">
        <f>IF(F4096="","",INDEX(Deals!$E$2:$E$843,F4096))</f>
        <v/>
      </c>
      <c r="I4096">
        <f>IF(F4096="","",INDEX(Deals!$D$2:$D$843,F4096))</f>
        <v/>
      </c>
      <c r="J4096">
        <f>IF(F4096="","",INT(H4096)-B4096)</f>
        <v/>
      </c>
      <c r="K4096">
        <f>IF(B4096&gt;=Settings!$C$5,1,0)</f>
        <v/>
      </c>
    </row>
    <row r="4097">
      <c r="A4097" t="inlineStr">
        <is>
          <t>dc10fce584f2cdf09d6690e0f2883227</t>
        </is>
      </c>
      <c r="B4097" s="29" t="n">
        <v>43108</v>
      </c>
      <c r="C4097" t="inlineStr">
        <is>
          <t>2018-01</t>
        </is>
      </c>
      <c r="D4097" t="inlineStr">
        <is>
          <t>30077c17f2ec5010a82e37ad8925b95f</t>
        </is>
      </c>
      <c r="E4097" t="inlineStr">
        <is>
          <t>direct_traffic</t>
        </is>
      </c>
      <c r="F4097">
        <f>IFERROR(MATCH(A4097,Deals!$A$2:$A$843,0),"")</f>
        <v/>
      </c>
      <c r="G4097">
        <f>IF(F4097="",0,1)</f>
        <v/>
      </c>
      <c r="H4097" s="29">
        <f>IF(F4097="","",INDEX(Deals!$E$2:$E$843,F4097))</f>
        <v/>
      </c>
      <c r="I4097">
        <f>IF(F4097="","",INDEX(Deals!$D$2:$D$843,F4097))</f>
        <v/>
      </c>
      <c r="J4097">
        <f>IF(F4097="","",INT(H4097)-B4097)</f>
        <v/>
      </c>
      <c r="K4097">
        <f>IF(B4097&gt;=Settings!$C$5,1,0)</f>
        <v/>
      </c>
    </row>
    <row r="4098">
      <c r="A4098" t="inlineStr">
        <is>
          <t>0e81202a194c3198d45cceb0edec2ff0</t>
        </is>
      </c>
      <c r="B4098" s="29" t="n">
        <v>43137</v>
      </c>
      <c r="C4098" t="inlineStr">
        <is>
          <t>2018-02</t>
        </is>
      </c>
      <c r="D4098" t="inlineStr">
        <is>
          <t>b76ef37428e6799c421989521c0e5077</t>
        </is>
      </c>
      <c r="E4098" t="inlineStr">
        <is>
          <t>unknown</t>
        </is>
      </c>
      <c r="F4098">
        <f>IFERROR(MATCH(A4098,Deals!$A$2:$A$843,0),"")</f>
        <v/>
      </c>
      <c r="G4098">
        <f>IF(F4098="",0,1)</f>
        <v/>
      </c>
      <c r="H4098" s="29">
        <f>IF(F4098="","",INDEX(Deals!$E$2:$E$843,F4098))</f>
        <v/>
      </c>
      <c r="I4098">
        <f>IF(F4098="","",INDEX(Deals!$D$2:$D$843,F4098))</f>
        <v/>
      </c>
      <c r="J4098">
        <f>IF(F4098="","",INT(H4098)-B4098)</f>
        <v/>
      </c>
      <c r="K4098">
        <f>IF(B4098&gt;=Settings!$C$5,1,0)</f>
        <v/>
      </c>
    </row>
    <row r="4099">
      <c r="A4099" t="inlineStr">
        <is>
          <t>788304097fce3e5d98c48cb17ebf155c</t>
        </is>
      </c>
      <c r="B4099" s="29" t="n">
        <v>43026</v>
      </c>
      <c r="C4099" t="inlineStr">
        <is>
          <t>2017-10</t>
        </is>
      </c>
      <c r="D4099" t="inlineStr">
        <is>
          <t>c05f0fd41e79d7811221253e0d4eadc8</t>
        </is>
      </c>
      <c r="E4099" t="inlineStr">
        <is>
          <t>unknown</t>
        </is>
      </c>
      <c r="F4099">
        <f>IFERROR(MATCH(A4099,Deals!$A$2:$A$843,0),"")</f>
        <v/>
      </c>
      <c r="G4099">
        <f>IF(F4099="",0,1)</f>
        <v/>
      </c>
      <c r="H4099" s="29">
        <f>IF(F4099="","",INDEX(Deals!$E$2:$E$843,F4099))</f>
        <v/>
      </c>
      <c r="I4099">
        <f>IF(F4099="","",INDEX(Deals!$D$2:$D$843,F4099))</f>
        <v/>
      </c>
      <c r="J4099">
        <f>IF(F4099="","",INT(H4099)-B4099)</f>
        <v/>
      </c>
      <c r="K4099">
        <f>IF(B4099&gt;=Settings!$C$5,1,0)</f>
        <v/>
      </c>
    </row>
    <row r="4100">
      <c r="A4100" t="inlineStr">
        <is>
          <t>4aa29ca00d7fb2c2a06f51bd15ebf772</t>
        </is>
      </c>
      <c r="B4100" s="29" t="n">
        <v>43226</v>
      </c>
      <c r="C4100" t="inlineStr">
        <is>
          <t>2018-05</t>
        </is>
      </c>
      <c r="D4100" t="inlineStr">
        <is>
          <t>336d5ebc5436534e61d16e63ddfca327</t>
        </is>
      </c>
      <c r="E4100" t="inlineStr">
        <is>
          <t>social</t>
        </is>
      </c>
      <c r="F4100">
        <f>IFERROR(MATCH(A4100,Deals!$A$2:$A$843,0),"")</f>
        <v/>
      </c>
      <c r="G4100">
        <f>IF(F4100="",0,1)</f>
        <v/>
      </c>
      <c r="H4100" s="29">
        <f>IF(F4100="","",INDEX(Deals!$E$2:$E$843,F4100))</f>
        <v/>
      </c>
      <c r="I4100">
        <f>IF(F4100="","",INDEX(Deals!$D$2:$D$843,F4100))</f>
        <v/>
      </c>
      <c r="J4100">
        <f>IF(F4100="","",INT(H4100)-B4100)</f>
        <v/>
      </c>
      <c r="K4100">
        <f>IF(B4100&gt;=Settings!$C$5,1,0)</f>
        <v/>
      </c>
    </row>
    <row r="4101">
      <c r="A4101" t="inlineStr">
        <is>
          <t>ef8baa17c6b52931c4b058e460fe8d0d</t>
        </is>
      </c>
      <c r="B4101" s="29" t="n">
        <v>43151</v>
      </c>
      <c r="C4101" t="inlineStr">
        <is>
          <t>2018-02</t>
        </is>
      </c>
      <c r="D4101" t="inlineStr">
        <is>
          <t>15cf89bab2c3163b4f9d8601d108f8b2</t>
        </is>
      </c>
      <c r="E4101" t="inlineStr">
        <is>
          <t>organic_search</t>
        </is>
      </c>
      <c r="F4101">
        <f>IFERROR(MATCH(A4101,Deals!$A$2:$A$843,0),"")</f>
        <v/>
      </c>
      <c r="G4101">
        <f>IF(F4101="",0,1)</f>
        <v/>
      </c>
      <c r="H4101" s="29">
        <f>IF(F4101="","",INDEX(Deals!$E$2:$E$843,F4101))</f>
        <v/>
      </c>
      <c r="I4101">
        <f>IF(F4101="","",INDEX(Deals!$D$2:$D$843,F4101))</f>
        <v/>
      </c>
      <c r="J4101">
        <f>IF(F4101="","",INT(H4101)-B4101)</f>
        <v/>
      </c>
      <c r="K4101">
        <f>IF(B4101&gt;=Settings!$C$5,1,0)</f>
        <v/>
      </c>
    </row>
    <row r="4102">
      <c r="A4102" t="inlineStr">
        <is>
          <t>54d98044d0ac6e7152756ae8190b9cd8</t>
        </is>
      </c>
      <c r="B4102" s="29" t="n">
        <v>43209</v>
      </c>
      <c r="C4102" t="inlineStr">
        <is>
          <t>2018-04</t>
        </is>
      </c>
      <c r="D4102" t="inlineStr">
        <is>
          <t>ce1a65abd0973638f1c887a6efcfa82d</t>
        </is>
      </c>
      <c r="E4102" t="inlineStr">
        <is>
          <t>organic_search</t>
        </is>
      </c>
      <c r="F4102">
        <f>IFERROR(MATCH(A4102,Deals!$A$2:$A$843,0),"")</f>
        <v/>
      </c>
      <c r="G4102">
        <f>IF(F4102="",0,1)</f>
        <v/>
      </c>
      <c r="H4102" s="29">
        <f>IF(F4102="","",INDEX(Deals!$E$2:$E$843,F4102))</f>
        <v/>
      </c>
      <c r="I4102">
        <f>IF(F4102="","",INDEX(Deals!$D$2:$D$843,F4102))</f>
        <v/>
      </c>
      <c r="J4102">
        <f>IF(F4102="","",INT(H4102)-B4102)</f>
        <v/>
      </c>
      <c r="K4102">
        <f>IF(B4102&gt;=Settings!$C$5,1,0)</f>
        <v/>
      </c>
    </row>
    <row r="4103">
      <c r="A4103" t="inlineStr">
        <is>
          <t>6f462127f21ce267bb51d8c26e65db3e</t>
        </is>
      </c>
      <c r="B4103" s="29" t="n">
        <v>43194</v>
      </c>
      <c r="C4103" t="inlineStr">
        <is>
          <t>2018-04</t>
        </is>
      </c>
      <c r="D4103" t="inlineStr">
        <is>
          <t>22c29808c4f815213303f8933030604c</t>
        </is>
      </c>
      <c r="E4103" t="inlineStr">
        <is>
          <t>organic_search</t>
        </is>
      </c>
      <c r="F4103">
        <f>IFERROR(MATCH(A4103,Deals!$A$2:$A$843,0),"")</f>
        <v/>
      </c>
      <c r="G4103">
        <f>IF(F4103="",0,1)</f>
        <v/>
      </c>
      <c r="H4103" s="29">
        <f>IF(F4103="","",INDEX(Deals!$E$2:$E$843,F4103))</f>
        <v/>
      </c>
      <c r="I4103">
        <f>IF(F4103="","",INDEX(Deals!$D$2:$D$843,F4103))</f>
        <v/>
      </c>
      <c r="J4103">
        <f>IF(F4103="","",INT(H4103)-B4103)</f>
        <v/>
      </c>
      <c r="K4103">
        <f>IF(B4103&gt;=Settings!$C$5,1,0)</f>
        <v/>
      </c>
    </row>
    <row r="4104">
      <c r="A4104" t="inlineStr">
        <is>
          <t>2fb2c0b63768c3c73ef007ed0f753663</t>
        </is>
      </c>
      <c r="B4104" s="29" t="n">
        <v>43152</v>
      </c>
      <c r="C4104" t="inlineStr">
        <is>
          <t>2018-02</t>
        </is>
      </c>
      <c r="D4104" t="inlineStr">
        <is>
          <t>aafc43d934a043b451b1dc5a61943a6b</t>
        </is>
      </c>
      <c r="E4104" t="inlineStr">
        <is>
          <t>organic_search</t>
        </is>
      </c>
      <c r="F4104">
        <f>IFERROR(MATCH(A4104,Deals!$A$2:$A$843,0),"")</f>
        <v/>
      </c>
      <c r="G4104">
        <f>IF(F4104="",0,1)</f>
        <v/>
      </c>
      <c r="H4104" s="29">
        <f>IF(F4104="","",INDEX(Deals!$E$2:$E$843,F4104))</f>
        <v/>
      </c>
      <c r="I4104">
        <f>IF(F4104="","",INDEX(Deals!$D$2:$D$843,F4104))</f>
        <v/>
      </c>
      <c r="J4104">
        <f>IF(F4104="","",INT(H4104)-B4104)</f>
        <v/>
      </c>
      <c r="K4104">
        <f>IF(B4104&gt;=Settings!$C$5,1,0)</f>
        <v/>
      </c>
    </row>
    <row r="4105">
      <c r="A4105" t="inlineStr">
        <is>
          <t>de615d957b9c5f4b8fd48893f7267a15</t>
        </is>
      </c>
      <c r="B4105" s="29" t="n">
        <v>43245</v>
      </c>
      <c r="C4105" t="inlineStr">
        <is>
          <t>2018-05</t>
        </is>
      </c>
      <c r="D4105" t="inlineStr">
        <is>
          <t>22c29808c4f815213303f8933030604c</t>
        </is>
      </c>
      <c r="E4105" t="inlineStr">
        <is>
          <t>referral</t>
        </is>
      </c>
      <c r="F4105">
        <f>IFERROR(MATCH(A4105,Deals!$A$2:$A$843,0),"")</f>
        <v/>
      </c>
      <c r="G4105">
        <f>IF(F4105="",0,1)</f>
        <v/>
      </c>
      <c r="H4105" s="29">
        <f>IF(F4105="","",INDEX(Deals!$E$2:$E$843,F4105))</f>
        <v/>
      </c>
      <c r="I4105">
        <f>IF(F4105="","",INDEX(Deals!$D$2:$D$843,F4105))</f>
        <v/>
      </c>
      <c r="J4105">
        <f>IF(F4105="","",INT(H4105)-B4105)</f>
        <v/>
      </c>
      <c r="K4105">
        <f>IF(B4105&gt;=Settings!$C$5,1,0)</f>
        <v/>
      </c>
    </row>
    <row r="4106">
      <c r="A4106" t="inlineStr">
        <is>
          <t>5ce9e5e89c326160e2908b5c477ebba6</t>
        </is>
      </c>
      <c r="B4106" s="29" t="n">
        <v>43193</v>
      </c>
      <c r="C4106" t="inlineStr">
        <is>
          <t>2018-04</t>
        </is>
      </c>
      <c r="D4106" t="inlineStr">
        <is>
          <t>ecc36b943a84ebcd3ab633cbe0fb1b9b</t>
        </is>
      </c>
      <c r="E4106" t="inlineStr">
        <is>
          <t>email</t>
        </is>
      </c>
      <c r="F4106">
        <f>IFERROR(MATCH(A4106,Deals!$A$2:$A$843,0),"")</f>
        <v/>
      </c>
      <c r="G4106">
        <f>IF(F4106="",0,1)</f>
        <v/>
      </c>
      <c r="H4106" s="29">
        <f>IF(F4106="","",INDEX(Deals!$E$2:$E$843,F4106))</f>
        <v/>
      </c>
      <c r="I4106">
        <f>IF(F4106="","",INDEX(Deals!$D$2:$D$843,F4106))</f>
        <v/>
      </c>
      <c r="J4106">
        <f>IF(F4106="","",INT(H4106)-B4106)</f>
        <v/>
      </c>
      <c r="K4106">
        <f>IF(B4106&gt;=Settings!$C$5,1,0)</f>
        <v/>
      </c>
    </row>
    <row r="4107">
      <c r="A4107" t="inlineStr">
        <is>
          <t>50523d9bd9d5d9a44bbc2f778954c5ae</t>
        </is>
      </c>
      <c r="B4107" s="29" t="n">
        <v>43183</v>
      </c>
      <c r="C4107" t="inlineStr">
        <is>
          <t>2018-03</t>
        </is>
      </c>
      <c r="D4107" t="inlineStr">
        <is>
          <t>fbc24da54d531c6204ae2d17b1090bb1</t>
        </is>
      </c>
      <c r="E4107" t="inlineStr">
        <is>
          <t>paid_search</t>
        </is>
      </c>
      <c r="F4107">
        <f>IFERROR(MATCH(A4107,Deals!$A$2:$A$843,0),"")</f>
        <v/>
      </c>
      <c r="G4107">
        <f>IF(F4107="",0,1)</f>
        <v/>
      </c>
      <c r="H4107" s="29">
        <f>IF(F4107="","",INDEX(Deals!$E$2:$E$843,F4107))</f>
        <v/>
      </c>
      <c r="I4107">
        <f>IF(F4107="","",INDEX(Deals!$D$2:$D$843,F4107))</f>
        <v/>
      </c>
      <c r="J4107">
        <f>IF(F4107="","",INT(H4107)-B4107)</f>
        <v/>
      </c>
      <c r="K4107">
        <f>IF(B4107&gt;=Settings!$C$5,1,0)</f>
        <v/>
      </c>
    </row>
    <row r="4108">
      <c r="A4108" t="inlineStr">
        <is>
          <t>f936e0a3bce6ffb6fe662a6e062ac9a5</t>
        </is>
      </c>
      <c r="B4108" s="29" t="n">
        <v>43205</v>
      </c>
      <c r="C4108" t="inlineStr">
        <is>
          <t>2018-04</t>
        </is>
      </c>
      <c r="D4108" t="inlineStr">
        <is>
          <t>58326e62183c14b0c03085c33b9fdc44</t>
        </is>
      </c>
      <c r="E4108" t="inlineStr">
        <is>
          <t>social</t>
        </is>
      </c>
      <c r="F4108">
        <f>IFERROR(MATCH(A4108,Deals!$A$2:$A$843,0),"")</f>
        <v/>
      </c>
      <c r="G4108">
        <f>IF(F4108="",0,1)</f>
        <v/>
      </c>
      <c r="H4108" s="29">
        <f>IF(F4108="","",INDEX(Deals!$E$2:$E$843,F4108))</f>
        <v/>
      </c>
      <c r="I4108">
        <f>IF(F4108="","",INDEX(Deals!$D$2:$D$843,F4108))</f>
        <v/>
      </c>
      <c r="J4108">
        <f>IF(F4108="","",INT(H4108)-B4108)</f>
        <v/>
      </c>
      <c r="K4108">
        <f>IF(B4108&gt;=Settings!$C$5,1,0)</f>
        <v/>
      </c>
    </row>
    <row r="4109">
      <c r="A4109" t="inlineStr">
        <is>
          <t>070349261f23248ee28a2fd0978252b5</t>
        </is>
      </c>
      <c r="B4109" s="29" t="n">
        <v>43251</v>
      </c>
      <c r="C4109" t="inlineStr">
        <is>
          <t>2018-05</t>
        </is>
      </c>
      <c r="D4109" t="inlineStr">
        <is>
          <t>6265f632e27ca4d14268e0cb91ebc4a4</t>
        </is>
      </c>
      <c r="E4109" t="inlineStr">
        <is>
          <t>paid_search</t>
        </is>
      </c>
      <c r="F4109">
        <f>IFERROR(MATCH(A4109,Deals!$A$2:$A$843,0),"")</f>
        <v/>
      </c>
      <c r="G4109">
        <f>IF(F4109="",0,1)</f>
        <v/>
      </c>
      <c r="H4109" s="29">
        <f>IF(F4109="","",INDEX(Deals!$E$2:$E$843,F4109))</f>
        <v/>
      </c>
      <c r="I4109">
        <f>IF(F4109="","",INDEX(Deals!$D$2:$D$843,F4109))</f>
        <v/>
      </c>
      <c r="J4109">
        <f>IF(F4109="","",INT(H4109)-B4109)</f>
        <v/>
      </c>
      <c r="K4109">
        <f>IF(B4109&gt;=Settings!$C$5,1,0)</f>
        <v/>
      </c>
    </row>
    <row r="4110">
      <c r="A4110" t="inlineStr">
        <is>
          <t>8c9b3de1e2d4afbb00c8d0ed13c9da34</t>
        </is>
      </c>
      <c r="B4110" s="29" t="n">
        <v>43239</v>
      </c>
      <c r="C4110" t="inlineStr">
        <is>
          <t>2018-05</t>
        </is>
      </c>
      <c r="D4110" t="inlineStr">
        <is>
          <t>a7982125ff7aa3b2054c6e44f9d28522</t>
        </is>
      </c>
      <c r="E4110" t="inlineStr">
        <is>
          <t>display</t>
        </is>
      </c>
      <c r="F4110">
        <f>IFERROR(MATCH(A4110,Deals!$A$2:$A$843,0),"")</f>
        <v/>
      </c>
      <c r="G4110">
        <f>IF(F4110="",0,1)</f>
        <v/>
      </c>
      <c r="H4110" s="29">
        <f>IF(F4110="","",INDEX(Deals!$E$2:$E$843,F4110))</f>
        <v/>
      </c>
      <c r="I4110">
        <f>IF(F4110="","",INDEX(Deals!$D$2:$D$843,F4110))</f>
        <v/>
      </c>
      <c r="J4110">
        <f>IF(F4110="","",INT(H4110)-B4110)</f>
        <v/>
      </c>
      <c r="K4110">
        <f>IF(B4110&gt;=Settings!$C$5,1,0)</f>
        <v/>
      </c>
    </row>
    <row r="4111">
      <c r="A4111" t="inlineStr">
        <is>
          <t>0b8f15cd3409fa0e444932e54f81aff0</t>
        </is>
      </c>
      <c r="B4111" s="29" t="n">
        <v>43202</v>
      </c>
      <c r="C4111" t="inlineStr">
        <is>
          <t>2018-04</t>
        </is>
      </c>
      <c r="D4111" t="inlineStr">
        <is>
          <t>40dec9f3d5259a3d2dbcdab2114fae47</t>
        </is>
      </c>
      <c r="E4111" t="inlineStr">
        <is>
          <t>paid_search</t>
        </is>
      </c>
      <c r="F4111">
        <f>IFERROR(MATCH(A4111,Deals!$A$2:$A$843,0),"")</f>
        <v/>
      </c>
      <c r="G4111">
        <f>IF(F4111="",0,1)</f>
        <v/>
      </c>
      <c r="H4111" s="29">
        <f>IF(F4111="","",INDEX(Deals!$E$2:$E$843,F4111))</f>
        <v/>
      </c>
      <c r="I4111">
        <f>IF(F4111="","",INDEX(Deals!$D$2:$D$843,F4111))</f>
        <v/>
      </c>
      <c r="J4111">
        <f>IF(F4111="","",INT(H4111)-B4111)</f>
        <v/>
      </c>
      <c r="K4111">
        <f>IF(B4111&gt;=Settings!$C$5,1,0)</f>
        <v/>
      </c>
    </row>
    <row r="4112">
      <c r="A4112" t="inlineStr">
        <is>
          <t>b2e7d5c71dcf801414dddec798571cb4</t>
        </is>
      </c>
      <c r="B4112" s="29" t="n">
        <v>43182</v>
      </c>
      <c r="C4112" t="inlineStr">
        <is>
          <t>2018-03</t>
        </is>
      </c>
      <c r="D4112" t="inlineStr">
        <is>
          <t>27cd3540bace1f4a4b2bc6d319b0553c</t>
        </is>
      </c>
      <c r="E4112" t="inlineStr">
        <is>
          <t>unknown</t>
        </is>
      </c>
      <c r="F4112">
        <f>IFERROR(MATCH(A4112,Deals!$A$2:$A$843,0),"")</f>
        <v/>
      </c>
      <c r="G4112">
        <f>IF(F4112="",0,1)</f>
        <v/>
      </c>
      <c r="H4112" s="29">
        <f>IF(F4112="","",INDEX(Deals!$E$2:$E$843,F4112))</f>
        <v/>
      </c>
      <c r="I4112">
        <f>IF(F4112="","",INDEX(Deals!$D$2:$D$843,F4112))</f>
        <v/>
      </c>
      <c r="J4112">
        <f>IF(F4112="","",INT(H4112)-B4112)</f>
        <v/>
      </c>
      <c r="K4112">
        <f>IF(B4112&gt;=Settings!$C$5,1,0)</f>
        <v/>
      </c>
    </row>
    <row r="4113">
      <c r="A4113" t="inlineStr">
        <is>
          <t>b1eb96657b983d6e9c04bca5b975d374</t>
        </is>
      </c>
      <c r="B4113" s="29" t="n">
        <v>43236</v>
      </c>
      <c r="C4113" t="inlineStr">
        <is>
          <t>2018-05</t>
        </is>
      </c>
      <c r="D4113" t="inlineStr">
        <is>
          <t>40dec9f3d5259a3d2dbcdab2114fae47</t>
        </is>
      </c>
      <c r="E4113" t="inlineStr">
        <is>
          <t>paid_search</t>
        </is>
      </c>
      <c r="F4113">
        <f>IFERROR(MATCH(A4113,Deals!$A$2:$A$843,0),"")</f>
        <v/>
      </c>
      <c r="G4113">
        <f>IF(F4113="",0,1)</f>
        <v/>
      </c>
      <c r="H4113" s="29">
        <f>IF(F4113="","",INDEX(Deals!$E$2:$E$843,F4113))</f>
        <v/>
      </c>
      <c r="I4113">
        <f>IF(F4113="","",INDEX(Deals!$D$2:$D$843,F4113))</f>
        <v/>
      </c>
      <c r="J4113">
        <f>IF(F4113="","",INT(H4113)-B4113)</f>
        <v/>
      </c>
      <c r="K4113">
        <f>IF(B4113&gt;=Settings!$C$5,1,0)</f>
        <v/>
      </c>
    </row>
    <row r="4114">
      <c r="A4114" t="inlineStr">
        <is>
          <t>174247a8b30c20f711d155b340320dcc</t>
        </is>
      </c>
      <c r="B4114" s="29" t="n">
        <v>43203</v>
      </c>
      <c r="C4114" t="inlineStr">
        <is>
          <t>2018-04</t>
        </is>
      </c>
      <c r="D4114" t="inlineStr">
        <is>
          <t>b76ef37428e6799c421989521c0e5077</t>
        </is>
      </c>
      <c r="E4114" t="inlineStr">
        <is>
          <t>unknown</t>
        </is>
      </c>
      <c r="F4114">
        <f>IFERROR(MATCH(A4114,Deals!$A$2:$A$843,0),"")</f>
        <v/>
      </c>
      <c r="G4114">
        <f>IF(F4114="",0,1)</f>
        <v/>
      </c>
      <c r="H4114" s="29">
        <f>IF(F4114="","",INDEX(Deals!$E$2:$E$843,F4114))</f>
        <v/>
      </c>
      <c r="I4114">
        <f>IF(F4114="","",INDEX(Deals!$D$2:$D$843,F4114))</f>
        <v/>
      </c>
      <c r="J4114">
        <f>IF(F4114="","",INT(H4114)-B4114)</f>
        <v/>
      </c>
      <c r="K4114">
        <f>IF(B4114&gt;=Settings!$C$5,1,0)</f>
        <v/>
      </c>
    </row>
    <row r="4115">
      <c r="A4115" t="inlineStr">
        <is>
          <t>853b3b5c7f6a094901a01b9c7c4c2144</t>
        </is>
      </c>
      <c r="B4115" s="29" t="n">
        <v>43183</v>
      </c>
      <c r="C4115" t="inlineStr">
        <is>
          <t>2018-03</t>
        </is>
      </c>
      <c r="D4115" t="inlineStr">
        <is>
          <t>a7982125ff7aa3b2054c6e44f9d28522</t>
        </is>
      </c>
      <c r="E4115" t="inlineStr">
        <is>
          <t>organic_search</t>
        </is>
      </c>
      <c r="F4115">
        <f>IFERROR(MATCH(A4115,Deals!$A$2:$A$843,0),"")</f>
        <v/>
      </c>
      <c r="G4115">
        <f>IF(F4115="",0,1)</f>
        <v/>
      </c>
      <c r="H4115" s="29">
        <f>IF(F4115="","",INDEX(Deals!$E$2:$E$843,F4115))</f>
        <v/>
      </c>
      <c r="I4115">
        <f>IF(F4115="","",INDEX(Deals!$D$2:$D$843,F4115))</f>
        <v/>
      </c>
      <c r="J4115">
        <f>IF(F4115="","",INT(H4115)-B4115)</f>
        <v/>
      </c>
      <c r="K4115">
        <f>IF(B4115&gt;=Settings!$C$5,1,0)</f>
        <v/>
      </c>
    </row>
    <row r="4116">
      <c r="A4116" t="inlineStr">
        <is>
          <t>89f590f6d31fb9ba02239da87497d982</t>
        </is>
      </c>
      <c r="B4116" s="29" t="n">
        <v>43109</v>
      </c>
      <c r="C4116" t="inlineStr">
        <is>
          <t>2018-01</t>
        </is>
      </c>
      <c r="D4116" t="inlineStr">
        <is>
          <t>b76ef37428e6799c421989521c0e5077</t>
        </is>
      </c>
      <c r="E4116" t="inlineStr">
        <is>
          <t>unknown</t>
        </is>
      </c>
      <c r="F4116">
        <f>IFERROR(MATCH(A4116,Deals!$A$2:$A$843,0),"")</f>
        <v/>
      </c>
      <c r="G4116">
        <f>IF(F4116="",0,1)</f>
        <v/>
      </c>
      <c r="H4116" s="29">
        <f>IF(F4116="","",INDEX(Deals!$E$2:$E$843,F4116))</f>
        <v/>
      </c>
      <c r="I4116">
        <f>IF(F4116="","",INDEX(Deals!$D$2:$D$843,F4116))</f>
        <v/>
      </c>
      <c r="J4116">
        <f>IF(F4116="","",INT(H4116)-B4116)</f>
        <v/>
      </c>
      <c r="K4116">
        <f>IF(B4116&gt;=Settings!$C$5,1,0)</f>
        <v/>
      </c>
    </row>
    <row r="4117">
      <c r="A4117" t="inlineStr">
        <is>
          <t>eae09666cb6c5eb0eeedf06bc0b1c7fb</t>
        </is>
      </c>
      <c r="B4117" s="29" t="n">
        <v>43132</v>
      </c>
      <c r="C4117" t="inlineStr">
        <is>
          <t>2018-02</t>
        </is>
      </c>
      <c r="D4117" t="inlineStr">
        <is>
          <t>0b37d43dbde6452cdd94c17bf61a88e4</t>
        </is>
      </c>
      <c r="E4117" t="inlineStr">
        <is>
          <t>organic_search</t>
        </is>
      </c>
      <c r="F4117">
        <f>IFERROR(MATCH(A4117,Deals!$A$2:$A$843,0),"")</f>
        <v/>
      </c>
      <c r="G4117">
        <f>IF(F4117="",0,1)</f>
        <v/>
      </c>
      <c r="H4117" s="29">
        <f>IF(F4117="","",INDEX(Deals!$E$2:$E$843,F4117))</f>
        <v/>
      </c>
      <c r="I4117">
        <f>IF(F4117="","",INDEX(Deals!$D$2:$D$843,F4117))</f>
        <v/>
      </c>
      <c r="J4117">
        <f>IF(F4117="","",INT(H4117)-B4117)</f>
        <v/>
      </c>
      <c r="K4117">
        <f>IF(B4117&gt;=Settings!$C$5,1,0)</f>
        <v/>
      </c>
    </row>
    <row r="4118">
      <c r="A4118" t="inlineStr">
        <is>
          <t>26529ea27107055c4b6e276b56797020</t>
        </is>
      </c>
      <c r="B4118" s="29" t="n">
        <v>43158</v>
      </c>
      <c r="C4118" t="inlineStr">
        <is>
          <t>2018-02</t>
        </is>
      </c>
      <c r="D4118" t="inlineStr">
        <is>
          <t>40dec9f3d5259a3d2dbcdab2114fae47</t>
        </is>
      </c>
      <c r="E4118" t="inlineStr">
        <is>
          <t>paid_search</t>
        </is>
      </c>
      <c r="F4118">
        <f>IFERROR(MATCH(A4118,Deals!$A$2:$A$843,0),"")</f>
        <v/>
      </c>
      <c r="G4118">
        <f>IF(F4118="",0,1)</f>
        <v/>
      </c>
      <c r="H4118" s="29">
        <f>IF(F4118="","",INDEX(Deals!$E$2:$E$843,F4118))</f>
        <v/>
      </c>
      <c r="I4118">
        <f>IF(F4118="","",INDEX(Deals!$D$2:$D$843,F4118))</f>
        <v/>
      </c>
      <c r="J4118">
        <f>IF(F4118="","",INT(H4118)-B4118)</f>
        <v/>
      </c>
      <c r="K4118">
        <f>IF(B4118&gt;=Settings!$C$5,1,0)</f>
        <v/>
      </c>
    </row>
    <row r="4119">
      <c r="A4119" t="inlineStr">
        <is>
          <t>39ceea9d66d6fd7959821277b8d0af58</t>
        </is>
      </c>
      <c r="B4119" s="29" t="n">
        <v>43186</v>
      </c>
      <c r="C4119" t="inlineStr">
        <is>
          <t>2018-03</t>
        </is>
      </c>
      <c r="D4119" t="inlineStr">
        <is>
          <t>b76ef37428e6799c421989521c0e5077</t>
        </is>
      </c>
      <c r="E4119" t="inlineStr">
        <is>
          <t>unknown</t>
        </is>
      </c>
      <c r="F4119">
        <f>IFERROR(MATCH(A4119,Deals!$A$2:$A$843,0),"")</f>
        <v/>
      </c>
      <c r="G4119">
        <f>IF(F4119="",0,1)</f>
        <v/>
      </c>
      <c r="H4119" s="29">
        <f>IF(F4119="","",INDEX(Deals!$E$2:$E$843,F4119))</f>
        <v/>
      </c>
      <c r="I4119">
        <f>IF(F4119="","",INDEX(Deals!$D$2:$D$843,F4119))</f>
        <v/>
      </c>
      <c r="J4119">
        <f>IF(F4119="","",INT(H4119)-B4119)</f>
        <v/>
      </c>
      <c r="K4119">
        <f>IF(B4119&gt;=Settings!$C$5,1,0)</f>
        <v/>
      </c>
    </row>
    <row r="4120">
      <c r="A4120" t="inlineStr">
        <is>
          <t>280953f246fceb4c893ffac1981e0998</t>
        </is>
      </c>
      <c r="B4120" s="29" t="n">
        <v>43138</v>
      </c>
      <c r="C4120" t="inlineStr">
        <is>
          <t>2018-02</t>
        </is>
      </c>
      <c r="D4120" t="inlineStr">
        <is>
          <t>88740e65d5d6b056e0cda098e1ea6313</t>
        </is>
      </c>
      <c r="E4120" t="inlineStr">
        <is>
          <t>social</t>
        </is>
      </c>
      <c r="F4120">
        <f>IFERROR(MATCH(A4120,Deals!$A$2:$A$843,0),"")</f>
        <v/>
      </c>
      <c r="G4120">
        <f>IF(F4120="",0,1)</f>
        <v/>
      </c>
      <c r="H4120" s="29">
        <f>IF(F4120="","",INDEX(Deals!$E$2:$E$843,F4120))</f>
        <v/>
      </c>
      <c r="I4120">
        <f>IF(F4120="","",INDEX(Deals!$D$2:$D$843,F4120))</f>
        <v/>
      </c>
      <c r="J4120">
        <f>IF(F4120="","",INT(H4120)-B4120)</f>
        <v/>
      </c>
      <c r="K4120">
        <f>IF(B4120&gt;=Settings!$C$5,1,0)</f>
        <v/>
      </c>
    </row>
    <row r="4121">
      <c r="A4121" t="inlineStr">
        <is>
          <t>7a9693015c73ae1d46ea1e8fd0c7a1fb</t>
        </is>
      </c>
      <c r="B4121" s="29" t="n">
        <v>43050</v>
      </c>
      <c r="C4121" t="inlineStr">
        <is>
          <t>2017-11</t>
        </is>
      </c>
      <c r="D4121" t="inlineStr">
        <is>
          <t>b6885f18d203a61176418c1fb3764815</t>
        </is>
      </c>
      <c r="E4121" t="inlineStr">
        <is>
          <t>organic_search</t>
        </is>
      </c>
      <c r="F4121">
        <f>IFERROR(MATCH(A4121,Deals!$A$2:$A$843,0),"")</f>
        <v/>
      </c>
      <c r="G4121">
        <f>IF(F4121="",0,1)</f>
        <v/>
      </c>
      <c r="H4121" s="29">
        <f>IF(F4121="","",INDEX(Deals!$E$2:$E$843,F4121))</f>
        <v/>
      </c>
      <c r="I4121">
        <f>IF(F4121="","",INDEX(Deals!$D$2:$D$843,F4121))</f>
        <v/>
      </c>
      <c r="J4121">
        <f>IF(F4121="","",INT(H4121)-B4121)</f>
        <v/>
      </c>
      <c r="K4121">
        <f>IF(B4121&gt;=Settings!$C$5,1,0)</f>
        <v/>
      </c>
    </row>
    <row r="4122">
      <c r="A4122" t="inlineStr">
        <is>
          <t>6aa1c1a875889044ebf43dfe844c7bc1</t>
        </is>
      </c>
      <c r="B4122" s="29" t="n">
        <v>43147</v>
      </c>
      <c r="C4122" t="inlineStr">
        <is>
          <t>2018-02</t>
        </is>
      </c>
      <c r="D4122" t="inlineStr">
        <is>
          <t>b16779a74f2b20eb9a17a785519f63a0</t>
        </is>
      </c>
      <c r="E4122" t="inlineStr">
        <is>
          <t>paid_search</t>
        </is>
      </c>
      <c r="F4122">
        <f>IFERROR(MATCH(A4122,Deals!$A$2:$A$843,0),"")</f>
        <v/>
      </c>
      <c r="G4122">
        <f>IF(F4122="",0,1)</f>
        <v/>
      </c>
      <c r="H4122" s="29">
        <f>IF(F4122="","",INDEX(Deals!$E$2:$E$843,F4122))</f>
        <v/>
      </c>
      <c r="I4122">
        <f>IF(F4122="","",INDEX(Deals!$D$2:$D$843,F4122))</f>
        <v/>
      </c>
      <c r="J4122">
        <f>IF(F4122="","",INT(H4122)-B4122)</f>
        <v/>
      </c>
      <c r="K4122">
        <f>IF(B4122&gt;=Settings!$C$5,1,0)</f>
        <v/>
      </c>
    </row>
    <row r="4123">
      <c r="A4123" t="inlineStr">
        <is>
          <t>236604adff21d60816ee8a12d629c2df</t>
        </is>
      </c>
      <c r="B4123" s="29" t="n">
        <v>43136</v>
      </c>
      <c r="C4123" t="inlineStr">
        <is>
          <t>2018-02</t>
        </is>
      </c>
      <c r="D4123" t="inlineStr">
        <is>
          <t>88740e65d5d6b056e0cda098e1ea6313</t>
        </is>
      </c>
      <c r="E4123" t="inlineStr">
        <is>
          <t>social</t>
        </is>
      </c>
      <c r="F4123">
        <f>IFERROR(MATCH(A4123,Deals!$A$2:$A$843,0),"")</f>
        <v/>
      </c>
      <c r="G4123">
        <f>IF(F4123="",0,1)</f>
        <v/>
      </c>
      <c r="H4123" s="29">
        <f>IF(F4123="","",INDEX(Deals!$E$2:$E$843,F4123))</f>
        <v/>
      </c>
      <c r="I4123">
        <f>IF(F4123="","",INDEX(Deals!$D$2:$D$843,F4123))</f>
        <v/>
      </c>
      <c r="J4123">
        <f>IF(F4123="","",INT(H4123)-B4123)</f>
        <v/>
      </c>
      <c r="K4123">
        <f>IF(B4123&gt;=Settings!$C$5,1,0)</f>
        <v/>
      </c>
    </row>
    <row r="4124">
      <c r="A4124" t="inlineStr">
        <is>
          <t>d15d4180749f681ded0d53f1908ca3dd</t>
        </is>
      </c>
      <c r="B4124" s="29" t="n">
        <v>43237</v>
      </c>
      <c r="C4124" t="inlineStr">
        <is>
          <t>2018-05</t>
        </is>
      </c>
      <c r="D4124" t="inlineStr">
        <is>
          <t>b76ef37428e6799c421989521c0e5077</t>
        </is>
      </c>
      <c r="E4124" t="inlineStr">
        <is>
          <t>paid_search</t>
        </is>
      </c>
      <c r="F4124">
        <f>IFERROR(MATCH(A4124,Deals!$A$2:$A$843,0),"")</f>
        <v/>
      </c>
      <c r="G4124">
        <f>IF(F4124="",0,1)</f>
        <v/>
      </c>
      <c r="H4124" s="29">
        <f>IF(F4124="","",INDEX(Deals!$E$2:$E$843,F4124))</f>
        <v/>
      </c>
      <c r="I4124">
        <f>IF(F4124="","",INDEX(Deals!$D$2:$D$843,F4124))</f>
        <v/>
      </c>
      <c r="J4124">
        <f>IF(F4124="","",INT(H4124)-B4124)</f>
        <v/>
      </c>
      <c r="K4124">
        <f>IF(B4124&gt;=Settings!$C$5,1,0)</f>
        <v/>
      </c>
    </row>
    <row r="4125">
      <c r="A4125" t="inlineStr">
        <is>
          <t>10678b97635e173b084e8f3c681527cb</t>
        </is>
      </c>
      <c r="B4125" s="29" t="n">
        <v>43228</v>
      </c>
      <c r="C4125" t="inlineStr">
        <is>
          <t>2018-05</t>
        </is>
      </c>
      <c r="D4125" t="inlineStr">
        <is>
          <t>a7982125ff7aa3b2054c6e44f9d28522</t>
        </is>
      </c>
      <c r="E4125" t="inlineStr">
        <is>
          <t>referral</t>
        </is>
      </c>
      <c r="F4125">
        <f>IFERROR(MATCH(A4125,Deals!$A$2:$A$843,0),"")</f>
        <v/>
      </c>
      <c r="G4125">
        <f>IF(F4125="",0,1)</f>
        <v/>
      </c>
      <c r="H4125" s="29">
        <f>IF(F4125="","",INDEX(Deals!$E$2:$E$843,F4125))</f>
        <v/>
      </c>
      <c r="I4125">
        <f>IF(F4125="","",INDEX(Deals!$D$2:$D$843,F4125))</f>
        <v/>
      </c>
      <c r="J4125">
        <f>IF(F4125="","",INT(H4125)-B4125)</f>
        <v/>
      </c>
      <c r="K4125">
        <f>IF(B4125&gt;=Settings!$C$5,1,0)</f>
        <v/>
      </c>
    </row>
    <row r="4126">
      <c r="A4126" t="inlineStr">
        <is>
          <t>cdd7005c54b8cccc0d5f369ad7c55064</t>
        </is>
      </c>
      <c r="B4126" s="29" t="n">
        <v>43147</v>
      </c>
      <c r="C4126" t="inlineStr">
        <is>
          <t>2018-02</t>
        </is>
      </c>
      <c r="D4126" t="inlineStr">
        <is>
          <t>ce1a65abd0973638f1c887a6efcfa82d</t>
        </is>
      </c>
      <c r="E4126" t="inlineStr">
        <is>
          <t>organic_search</t>
        </is>
      </c>
      <c r="F4126">
        <f>IFERROR(MATCH(A4126,Deals!$A$2:$A$843,0),"")</f>
        <v/>
      </c>
      <c r="G4126">
        <f>IF(F4126="",0,1)</f>
        <v/>
      </c>
      <c r="H4126" s="29">
        <f>IF(F4126="","",INDEX(Deals!$E$2:$E$843,F4126))</f>
        <v/>
      </c>
      <c r="I4126">
        <f>IF(F4126="","",INDEX(Deals!$D$2:$D$843,F4126))</f>
        <v/>
      </c>
      <c r="J4126">
        <f>IF(F4126="","",INT(H4126)-B4126)</f>
        <v/>
      </c>
      <c r="K4126">
        <f>IF(B4126&gt;=Settings!$C$5,1,0)</f>
        <v/>
      </c>
    </row>
    <row r="4127">
      <c r="A4127" t="inlineStr">
        <is>
          <t>2d85fe69a230d106d7a9052381a09356</t>
        </is>
      </c>
      <c r="B4127" s="29" t="n">
        <v>43172</v>
      </c>
      <c r="C4127" t="inlineStr">
        <is>
          <t>2018-03</t>
        </is>
      </c>
      <c r="D4127" t="inlineStr">
        <is>
          <t>22c29808c4f815213303f8933030604c</t>
        </is>
      </c>
      <c r="E4127" t="inlineStr">
        <is>
          <t>organic_search</t>
        </is>
      </c>
      <c r="F4127">
        <f>IFERROR(MATCH(A4127,Deals!$A$2:$A$843,0),"")</f>
        <v/>
      </c>
      <c r="G4127">
        <f>IF(F4127="",0,1)</f>
        <v/>
      </c>
      <c r="H4127" s="29">
        <f>IF(F4127="","",INDEX(Deals!$E$2:$E$843,F4127))</f>
        <v/>
      </c>
      <c r="I4127">
        <f>IF(F4127="","",INDEX(Deals!$D$2:$D$843,F4127))</f>
        <v/>
      </c>
      <c r="J4127">
        <f>IF(F4127="","",INT(H4127)-B4127)</f>
        <v/>
      </c>
      <c r="K4127">
        <f>IF(B4127&gt;=Settings!$C$5,1,0)</f>
        <v/>
      </c>
    </row>
    <row r="4128">
      <c r="A4128" t="inlineStr">
        <is>
          <t>25f1dd619a9da443c7a26bf223e4b3d5</t>
        </is>
      </c>
      <c r="B4128" s="29" t="n">
        <v>43222</v>
      </c>
      <c r="C4128" t="inlineStr">
        <is>
          <t>2018-05</t>
        </is>
      </c>
      <c r="D4128" t="inlineStr">
        <is>
          <t>fb58285f6f6c4e504dfa628de116cae8</t>
        </is>
      </c>
      <c r="E4128" t="inlineStr">
        <is>
          <t>email</t>
        </is>
      </c>
      <c r="F4128">
        <f>IFERROR(MATCH(A4128,Deals!$A$2:$A$843,0),"")</f>
        <v/>
      </c>
      <c r="G4128">
        <f>IF(F4128="",0,1)</f>
        <v/>
      </c>
      <c r="H4128" s="29">
        <f>IF(F4128="","",INDEX(Deals!$E$2:$E$843,F4128))</f>
        <v/>
      </c>
      <c r="I4128">
        <f>IF(F4128="","",INDEX(Deals!$D$2:$D$843,F4128))</f>
        <v/>
      </c>
      <c r="J4128">
        <f>IF(F4128="","",INT(H4128)-B4128)</f>
        <v/>
      </c>
      <c r="K4128">
        <f>IF(B4128&gt;=Settings!$C$5,1,0)</f>
        <v/>
      </c>
    </row>
    <row r="4129">
      <c r="A4129" t="inlineStr">
        <is>
          <t>13e388b2c8eb8ce5efd1ac19ecc78513</t>
        </is>
      </c>
      <c r="B4129" s="29" t="n">
        <v>43224</v>
      </c>
      <c r="C4129" t="inlineStr">
        <is>
          <t>2018-05</t>
        </is>
      </c>
      <c r="D4129" t="inlineStr">
        <is>
          <t>30534107aa0013db92899c96a1017d0b</t>
        </is>
      </c>
      <c r="E4129" t="inlineStr">
        <is>
          <t>social</t>
        </is>
      </c>
      <c r="F4129">
        <f>IFERROR(MATCH(A4129,Deals!$A$2:$A$843,0),"")</f>
        <v/>
      </c>
      <c r="G4129">
        <f>IF(F4129="",0,1)</f>
        <v/>
      </c>
      <c r="H4129" s="29">
        <f>IF(F4129="","",INDEX(Deals!$E$2:$E$843,F4129))</f>
        <v/>
      </c>
      <c r="I4129">
        <f>IF(F4129="","",INDEX(Deals!$D$2:$D$843,F4129))</f>
        <v/>
      </c>
      <c r="J4129">
        <f>IF(F4129="","",INT(H4129)-B4129)</f>
        <v/>
      </c>
      <c r="K4129">
        <f>IF(B4129&gt;=Settings!$C$5,1,0)</f>
        <v/>
      </c>
    </row>
    <row r="4130">
      <c r="A4130" t="inlineStr">
        <is>
          <t>c65db23b93631916f5bb31abf24462b8</t>
        </is>
      </c>
      <c r="B4130" s="29" t="n">
        <v>43122</v>
      </c>
      <c r="C4130" t="inlineStr">
        <is>
          <t>2018-01</t>
        </is>
      </c>
      <c r="D4130" t="inlineStr">
        <is>
          <t>22c29808c4f815213303f8933030604c</t>
        </is>
      </c>
      <c r="E4130" t="inlineStr">
        <is>
          <t>organic_search</t>
        </is>
      </c>
      <c r="F4130">
        <f>IFERROR(MATCH(A4130,Deals!$A$2:$A$843,0),"")</f>
        <v/>
      </c>
      <c r="G4130">
        <f>IF(F4130="",0,1)</f>
        <v/>
      </c>
      <c r="H4130" s="29">
        <f>IF(F4130="","",INDEX(Deals!$E$2:$E$843,F4130))</f>
        <v/>
      </c>
      <c r="I4130">
        <f>IF(F4130="","",INDEX(Deals!$D$2:$D$843,F4130))</f>
        <v/>
      </c>
      <c r="J4130">
        <f>IF(F4130="","",INT(H4130)-B4130)</f>
        <v/>
      </c>
      <c r="K4130">
        <f>IF(B4130&gt;=Settings!$C$5,1,0)</f>
        <v/>
      </c>
    </row>
    <row r="4131">
      <c r="A4131" t="inlineStr">
        <is>
          <t>15d0324c4cba39035aedcf51adc6262b</t>
        </is>
      </c>
      <c r="B4131" s="29" t="n">
        <v>43112</v>
      </c>
      <c r="C4131" t="inlineStr">
        <is>
          <t>2018-01</t>
        </is>
      </c>
      <c r="D4131" t="inlineStr">
        <is>
          <t>ce1a65abd0973638f1c887a6efcfa82d</t>
        </is>
      </c>
      <c r="E4131" t="inlineStr">
        <is>
          <t>organic_search</t>
        </is>
      </c>
      <c r="F4131">
        <f>IFERROR(MATCH(A4131,Deals!$A$2:$A$843,0),"")</f>
        <v/>
      </c>
      <c r="G4131">
        <f>IF(F4131="",0,1)</f>
        <v/>
      </c>
      <c r="H4131" s="29">
        <f>IF(F4131="","",INDEX(Deals!$E$2:$E$843,F4131))</f>
        <v/>
      </c>
      <c r="I4131">
        <f>IF(F4131="","",INDEX(Deals!$D$2:$D$843,F4131))</f>
        <v/>
      </c>
      <c r="J4131">
        <f>IF(F4131="","",INT(H4131)-B4131)</f>
        <v/>
      </c>
      <c r="K4131">
        <f>IF(B4131&gt;=Settings!$C$5,1,0)</f>
        <v/>
      </c>
    </row>
    <row r="4132">
      <c r="A4132" t="inlineStr">
        <is>
          <t>f2e624030d1505c3aabc60d22dc1022a</t>
        </is>
      </c>
      <c r="B4132" s="29" t="n">
        <v>43132</v>
      </c>
      <c r="C4132" t="inlineStr">
        <is>
          <t>2018-02</t>
        </is>
      </c>
      <c r="D4132" t="inlineStr">
        <is>
          <t>b76ef37428e6799c421989521c0e5077</t>
        </is>
      </c>
      <c r="E4132" t="inlineStr">
        <is>
          <t>unknown</t>
        </is>
      </c>
      <c r="F4132">
        <f>IFERROR(MATCH(A4132,Deals!$A$2:$A$843,0),"")</f>
        <v/>
      </c>
      <c r="G4132">
        <f>IF(F4132="",0,1)</f>
        <v/>
      </c>
      <c r="H4132" s="29">
        <f>IF(F4132="","",INDEX(Deals!$E$2:$E$843,F4132))</f>
        <v/>
      </c>
      <c r="I4132">
        <f>IF(F4132="","",INDEX(Deals!$D$2:$D$843,F4132))</f>
        <v/>
      </c>
      <c r="J4132">
        <f>IF(F4132="","",INT(H4132)-B4132)</f>
        <v/>
      </c>
      <c r="K4132">
        <f>IF(B4132&gt;=Settings!$C$5,1,0)</f>
        <v/>
      </c>
    </row>
    <row r="4133">
      <c r="A4133" t="inlineStr">
        <is>
          <t>073e91c1793a1400af92c0d2ba639daf</t>
        </is>
      </c>
      <c r="B4133" s="29" t="n">
        <v>43166</v>
      </c>
      <c r="C4133" t="inlineStr">
        <is>
          <t>2018-03</t>
        </is>
      </c>
      <c r="D4133" t="inlineStr">
        <is>
          <t>4b0974ddecd83fd34439a7312a609824</t>
        </is>
      </c>
      <c r="E4133" t="inlineStr">
        <is>
          <t>paid_search</t>
        </is>
      </c>
      <c r="F4133">
        <f>IFERROR(MATCH(A4133,Deals!$A$2:$A$843,0),"")</f>
        <v/>
      </c>
      <c r="G4133">
        <f>IF(F4133="",0,1)</f>
        <v/>
      </c>
      <c r="H4133" s="29">
        <f>IF(F4133="","",INDEX(Deals!$E$2:$E$843,F4133))</f>
        <v/>
      </c>
      <c r="I4133">
        <f>IF(F4133="","",INDEX(Deals!$D$2:$D$843,F4133))</f>
        <v/>
      </c>
      <c r="J4133">
        <f>IF(F4133="","",INT(H4133)-B4133)</f>
        <v/>
      </c>
      <c r="K4133">
        <f>IF(B4133&gt;=Settings!$C$5,1,0)</f>
        <v/>
      </c>
    </row>
    <row r="4134">
      <c r="A4134" t="inlineStr">
        <is>
          <t>83d165df8a35a163dea7821654e0efcf</t>
        </is>
      </c>
      <c r="B4134" s="29" t="n">
        <v>43187</v>
      </c>
      <c r="C4134" t="inlineStr">
        <is>
          <t>2018-03</t>
        </is>
      </c>
      <c r="D4134" t="inlineStr">
        <is>
          <t>ea0650174e273c41e12002dcdd4708be</t>
        </is>
      </c>
      <c r="E4134" t="inlineStr">
        <is>
          <t>other</t>
        </is>
      </c>
      <c r="F4134">
        <f>IFERROR(MATCH(A4134,Deals!$A$2:$A$843,0),"")</f>
        <v/>
      </c>
      <c r="G4134">
        <f>IF(F4134="",0,1)</f>
        <v/>
      </c>
      <c r="H4134" s="29">
        <f>IF(F4134="","",INDEX(Deals!$E$2:$E$843,F4134))</f>
        <v/>
      </c>
      <c r="I4134">
        <f>IF(F4134="","",INDEX(Deals!$D$2:$D$843,F4134))</f>
        <v/>
      </c>
      <c r="J4134">
        <f>IF(F4134="","",INT(H4134)-B4134)</f>
        <v/>
      </c>
      <c r="K4134">
        <f>IF(B4134&gt;=Settings!$C$5,1,0)</f>
        <v/>
      </c>
    </row>
    <row r="4135">
      <c r="A4135" t="inlineStr">
        <is>
          <t>bbf2aa53a06531cd2da66f110f0752a4</t>
        </is>
      </c>
      <c r="B4135" s="29" t="n">
        <v>43122</v>
      </c>
      <c r="C4135" t="inlineStr">
        <is>
          <t>2018-01</t>
        </is>
      </c>
      <c r="D4135" t="inlineStr">
        <is>
          <t>b76ef37428e6799c421989521c0e5077</t>
        </is>
      </c>
      <c r="E4135" t="inlineStr">
        <is>
          <t>unknown</t>
        </is>
      </c>
      <c r="F4135">
        <f>IFERROR(MATCH(A4135,Deals!$A$2:$A$843,0),"")</f>
        <v/>
      </c>
      <c r="G4135">
        <f>IF(F4135="",0,1)</f>
        <v/>
      </c>
      <c r="H4135" s="29">
        <f>IF(F4135="","",INDEX(Deals!$E$2:$E$843,F4135))</f>
        <v/>
      </c>
      <c r="I4135">
        <f>IF(F4135="","",INDEX(Deals!$D$2:$D$843,F4135))</f>
        <v/>
      </c>
      <c r="J4135">
        <f>IF(F4135="","",INT(H4135)-B4135)</f>
        <v/>
      </c>
      <c r="K4135">
        <f>IF(B4135&gt;=Settings!$C$5,1,0)</f>
        <v/>
      </c>
    </row>
    <row r="4136">
      <c r="A4136" t="inlineStr">
        <is>
          <t>53eef9f0f3c7ddca94957c056aef9227</t>
        </is>
      </c>
      <c r="B4136" s="29" t="n">
        <v>43107</v>
      </c>
      <c r="C4136" t="inlineStr">
        <is>
          <t>2018-01</t>
        </is>
      </c>
      <c r="D4136" t="inlineStr">
        <is>
          <t>f017be4dbf86243af5c1ebed0cff36a2</t>
        </is>
      </c>
      <c r="E4136" t="inlineStr">
        <is>
          <t>referral</t>
        </is>
      </c>
      <c r="F4136">
        <f>IFERROR(MATCH(A4136,Deals!$A$2:$A$843,0),"")</f>
        <v/>
      </c>
      <c r="G4136">
        <f>IF(F4136="",0,1)</f>
        <v/>
      </c>
      <c r="H4136" s="29">
        <f>IF(F4136="","",INDEX(Deals!$E$2:$E$843,F4136))</f>
        <v/>
      </c>
      <c r="I4136">
        <f>IF(F4136="","",INDEX(Deals!$D$2:$D$843,F4136))</f>
        <v/>
      </c>
      <c r="J4136">
        <f>IF(F4136="","",INT(H4136)-B4136)</f>
        <v/>
      </c>
      <c r="K4136">
        <f>IF(B4136&gt;=Settings!$C$5,1,0)</f>
        <v/>
      </c>
    </row>
    <row r="4137">
      <c r="A4137" t="inlineStr">
        <is>
          <t>181a3c7ab697f5267f35da43b3aa2a42</t>
        </is>
      </c>
      <c r="B4137" s="29" t="n">
        <v>43240</v>
      </c>
      <c r="C4137" t="inlineStr">
        <is>
          <t>2018-05</t>
        </is>
      </c>
      <c r="D4137" t="inlineStr">
        <is>
          <t>58326e62183c14b0c03085c33b9fdc44</t>
        </is>
      </c>
      <c r="E4137" t="inlineStr">
        <is>
          <t>social</t>
        </is>
      </c>
      <c r="F4137">
        <f>IFERROR(MATCH(A4137,Deals!$A$2:$A$843,0),"")</f>
        <v/>
      </c>
      <c r="G4137">
        <f>IF(F4137="",0,1)</f>
        <v/>
      </c>
      <c r="H4137" s="29">
        <f>IF(F4137="","",INDEX(Deals!$E$2:$E$843,F4137))</f>
        <v/>
      </c>
      <c r="I4137">
        <f>IF(F4137="","",INDEX(Deals!$D$2:$D$843,F4137))</f>
        <v/>
      </c>
      <c r="J4137">
        <f>IF(F4137="","",INT(H4137)-B4137)</f>
        <v/>
      </c>
      <c r="K4137">
        <f>IF(B4137&gt;=Settings!$C$5,1,0)</f>
        <v/>
      </c>
    </row>
    <row r="4138">
      <c r="A4138" t="inlineStr">
        <is>
          <t>8a1f74ea8d333ac37a9fe795aa4183e2</t>
        </is>
      </c>
      <c r="B4138" s="29" t="n">
        <v>42949</v>
      </c>
      <c r="C4138" t="inlineStr">
        <is>
          <t>2017-08</t>
        </is>
      </c>
      <c r="D4138" t="inlineStr">
        <is>
          <t>b76ef37428e6799c421989521c0e5077</t>
        </is>
      </c>
      <c r="E4138" t="inlineStr">
        <is>
          <t>unknown</t>
        </is>
      </c>
      <c r="F4138">
        <f>IFERROR(MATCH(A4138,Deals!$A$2:$A$843,0),"")</f>
        <v/>
      </c>
      <c r="G4138">
        <f>IF(F4138="",0,1)</f>
        <v/>
      </c>
      <c r="H4138" s="29">
        <f>IF(F4138="","",INDEX(Deals!$E$2:$E$843,F4138))</f>
        <v/>
      </c>
      <c r="I4138">
        <f>IF(F4138="","",INDEX(Deals!$D$2:$D$843,F4138))</f>
        <v/>
      </c>
      <c r="J4138">
        <f>IF(F4138="","",INT(H4138)-B4138)</f>
        <v/>
      </c>
      <c r="K4138">
        <f>IF(B4138&gt;=Settings!$C$5,1,0)</f>
        <v/>
      </c>
    </row>
    <row r="4139">
      <c r="A4139" t="inlineStr">
        <is>
          <t>a360bb50f2581bddc0ea191e533fb0d5</t>
        </is>
      </c>
      <c r="B4139" s="29" t="n">
        <v>43162</v>
      </c>
      <c r="C4139" t="inlineStr">
        <is>
          <t>2018-03</t>
        </is>
      </c>
      <c r="D4139" t="inlineStr">
        <is>
          <t>88740e65d5d6b056e0cda098e1ea6313</t>
        </is>
      </c>
      <c r="E4139" t="inlineStr">
        <is>
          <t>social</t>
        </is>
      </c>
      <c r="F4139">
        <f>IFERROR(MATCH(A4139,Deals!$A$2:$A$843,0),"")</f>
        <v/>
      </c>
      <c r="G4139">
        <f>IF(F4139="",0,1)</f>
        <v/>
      </c>
      <c r="H4139" s="29">
        <f>IF(F4139="","",INDEX(Deals!$E$2:$E$843,F4139))</f>
        <v/>
      </c>
      <c r="I4139">
        <f>IF(F4139="","",INDEX(Deals!$D$2:$D$843,F4139))</f>
        <v/>
      </c>
      <c r="J4139">
        <f>IF(F4139="","",INT(H4139)-B4139)</f>
        <v/>
      </c>
      <c r="K4139">
        <f>IF(B4139&gt;=Settings!$C$5,1,0)</f>
        <v/>
      </c>
    </row>
    <row r="4140">
      <c r="A4140" t="inlineStr">
        <is>
          <t>c94230bd397e1a81b4f3e410ff14daf4</t>
        </is>
      </c>
      <c r="B4140" s="29" t="n">
        <v>43122</v>
      </c>
      <c r="C4140" t="inlineStr">
        <is>
          <t>2018-01</t>
        </is>
      </c>
      <c r="D4140" t="inlineStr">
        <is>
          <t>b76ef37428e6799c421989521c0e5077</t>
        </is>
      </c>
      <c r="E4140" t="inlineStr">
        <is>
          <t>unknown</t>
        </is>
      </c>
      <c r="F4140">
        <f>IFERROR(MATCH(A4140,Deals!$A$2:$A$843,0),"")</f>
        <v/>
      </c>
      <c r="G4140">
        <f>IF(F4140="",0,1)</f>
        <v/>
      </c>
      <c r="H4140" s="29">
        <f>IF(F4140="","",INDEX(Deals!$E$2:$E$843,F4140))</f>
        <v/>
      </c>
      <c r="I4140">
        <f>IF(F4140="","",INDEX(Deals!$D$2:$D$843,F4140))</f>
        <v/>
      </c>
      <c r="J4140">
        <f>IF(F4140="","",INT(H4140)-B4140)</f>
        <v/>
      </c>
      <c r="K4140">
        <f>IF(B4140&gt;=Settings!$C$5,1,0)</f>
        <v/>
      </c>
    </row>
    <row r="4141">
      <c r="A4141" t="inlineStr">
        <is>
          <t>9e1d543470b52e6e0f51881b091d9a18</t>
        </is>
      </c>
      <c r="B4141" s="29" t="n">
        <v>42928</v>
      </c>
      <c r="C4141" t="inlineStr">
        <is>
          <t>2017-07</t>
        </is>
      </c>
      <c r="D4141" t="inlineStr">
        <is>
          <t>ef0b482996664cc1107b9051efd3ca84</t>
        </is>
      </c>
      <c r="E4141" t="inlineStr">
        <is>
          <t>organic_search</t>
        </is>
      </c>
      <c r="F4141">
        <f>IFERROR(MATCH(A4141,Deals!$A$2:$A$843,0),"")</f>
        <v/>
      </c>
      <c r="G4141">
        <f>IF(F4141="",0,1)</f>
        <v/>
      </c>
      <c r="H4141" s="29">
        <f>IF(F4141="","",INDEX(Deals!$E$2:$E$843,F4141))</f>
        <v/>
      </c>
      <c r="I4141">
        <f>IF(F4141="","",INDEX(Deals!$D$2:$D$843,F4141))</f>
        <v/>
      </c>
      <c r="J4141">
        <f>IF(F4141="","",INT(H4141)-B4141)</f>
        <v/>
      </c>
      <c r="K4141">
        <f>IF(B4141&gt;=Settings!$C$5,1,0)</f>
        <v/>
      </c>
    </row>
    <row r="4142">
      <c r="A4142" t="inlineStr">
        <is>
          <t>0198d08e55ae4a0178fed63e44d46437</t>
        </is>
      </c>
      <c r="B4142" s="29" t="n">
        <v>43217</v>
      </c>
      <c r="C4142" t="inlineStr">
        <is>
          <t>2018-04</t>
        </is>
      </c>
      <c r="D4142" t="inlineStr">
        <is>
          <t>f80696b73d17fb34f5c4fde157f119d8</t>
        </is>
      </c>
      <c r="E4142" t="inlineStr">
        <is>
          <t>organic_search</t>
        </is>
      </c>
      <c r="F4142">
        <f>IFERROR(MATCH(A4142,Deals!$A$2:$A$843,0),"")</f>
        <v/>
      </c>
      <c r="G4142">
        <f>IF(F4142="",0,1)</f>
        <v/>
      </c>
      <c r="H4142" s="29">
        <f>IF(F4142="","",INDEX(Deals!$E$2:$E$843,F4142))</f>
        <v/>
      </c>
      <c r="I4142">
        <f>IF(F4142="","",INDEX(Deals!$D$2:$D$843,F4142))</f>
        <v/>
      </c>
      <c r="J4142">
        <f>IF(F4142="","",INT(H4142)-B4142)</f>
        <v/>
      </c>
      <c r="K4142">
        <f>IF(B4142&gt;=Settings!$C$5,1,0)</f>
        <v/>
      </c>
    </row>
    <row r="4143">
      <c r="A4143" t="inlineStr">
        <is>
          <t>08a7223e876a045d511074e8c9c8e937</t>
        </is>
      </c>
      <c r="B4143" s="29" t="n">
        <v>43163</v>
      </c>
      <c r="C4143" t="inlineStr">
        <is>
          <t>2018-03</t>
        </is>
      </c>
      <c r="D4143" t="inlineStr">
        <is>
          <t>649b7b8b46b254497e92038d88f6ced8</t>
        </is>
      </c>
      <c r="E4143" t="inlineStr">
        <is>
          <t>social</t>
        </is>
      </c>
      <c r="F4143">
        <f>IFERROR(MATCH(A4143,Deals!$A$2:$A$843,0),"")</f>
        <v/>
      </c>
      <c r="G4143">
        <f>IF(F4143="",0,1)</f>
        <v/>
      </c>
      <c r="H4143" s="29">
        <f>IF(F4143="","",INDEX(Deals!$E$2:$E$843,F4143))</f>
        <v/>
      </c>
      <c r="I4143">
        <f>IF(F4143="","",INDEX(Deals!$D$2:$D$843,F4143))</f>
        <v/>
      </c>
      <c r="J4143">
        <f>IF(F4143="","",INT(H4143)-B4143)</f>
        <v/>
      </c>
      <c r="K4143">
        <f>IF(B4143&gt;=Settings!$C$5,1,0)</f>
        <v/>
      </c>
    </row>
    <row r="4144">
      <c r="A4144" t="inlineStr">
        <is>
          <t>fcc4103fcaf40d4720096ea4ed0fa2a7</t>
        </is>
      </c>
      <c r="B4144" s="29" t="n">
        <v>43222</v>
      </c>
      <c r="C4144" t="inlineStr">
        <is>
          <t>2018-05</t>
        </is>
      </c>
      <c r="D4144" t="inlineStr">
        <is>
          <t>b226889aa1cb9f4efb3c18343b7f07c0</t>
        </is>
      </c>
      <c r="E4144" t="inlineStr">
        <is>
          <t>email</t>
        </is>
      </c>
      <c r="F4144">
        <f>IFERROR(MATCH(A4144,Deals!$A$2:$A$843,0),"")</f>
        <v/>
      </c>
      <c r="G4144">
        <f>IF(F4144="",0,1)</f>
        <v/>
      </c>
      <c r="H4144" s="29">
        <f>IF(F4144="","",INDEX(Deals!$E$2:$E$843,F4144))</f>
        <v/>
      </c>
      <c r="I4144">
        <f>IF(F4144="","",INDEX(Deals!$D$2:$D$843,F4144))</f>
        <v/>
      </c>
      <c r="J4144">
        <f>IF(F4144="","",INT(H4144)-B4144)</f>
        <v/>
      </c>
      <c r="K4144">
        <f>IF(B4144&gt;=Settings!$C$5,1,0)</f>
        <v/>
      </c>
    </row>
    <row r="4145">
      <c r="A4145" t="inlineStr">
        <is>
          <t>33f009eb844c3e5ced55194fd9081891</t>
        </is>
      </c>
      <c r="B4145" s="29" t="n">
        <v>43033</v>
      </c>
      <c r="C4145" t="inlineStr">
        <is>
          <t>2017-10</t>
        </is>
      </c>
      <c r="D4145" t="inlineStr">
        <is>
          <t>aa8af3ebe14831a7cd1b6d1383a03755</t>
        </is>
      </c>
      <c r="E4145" t="inlineStr">
        <is>
          <t>unknown</t>
        </is>
      </c>
      <c r="F4145">
        <f>IFERROR(MATCH(A4145,Deals!$A$2:$A$843,0),"")</f>
        <v/>
      </c>
      <c r="G4145">
        <f>IF(F4145="",0,1)</f>
        <v/>
      </c>
      <c r="H4145" s="29">
        <f>IF(F4145="","",INDEX(Deals!$E$2:$E$843,F4145))</f>
        <v/>
      </c>
      <c r="I4145">
        <f>IF(F4145="","",INDEX(Deals!$D$2:$D$843,F4145))</f>
        <v/>
      </c>
      <c r="J4145">
        <f>IF(F4145="","",INT(H4145)-B4145)</f>
        <v/>
      </c>
      <c r="K4145">
        <f>IF(B4145&gt;=Settings!$C$5,1,0)</f>
        <v/>
      </c>
    </row>
    <row r="4146">
      <c r="A4146" t="inlineStr">
        <is>
          <t>f4cbadcb99fd2c1fc88b97adfae24854</t>
        </is>
      </c>
      <c r="B4146" s="29" t="n">
        <v>43210</v>
      </c>
      <c r="C4146" t="inlineStr">
        <is>
          <t>2018-04</t>
        </is>
      </c>
      <c r="D4146" t="inlineStr">
        <is>
          <t>42a2a1be58277f162c18bad69bcc544f</t>
        </is>
      </c>
      <c r="E4146" t="inlineStr">
        <is>
          <t>display</t>
        </is>
      </c>
      <c r="F4146">
        <f>IFERROR(MATCH(A4146,Deals!$A$2:$A$843,0),"")</f>
        <v/>
      </c>
      <c r="G4146">
        <f>IF(F4146="",0,1)</f>
        <v/>
      </c>
      <c r="H4146" s="29">
        <f>IF(F4146="","",INDEX(Deals!$E$2:$E$843,F4146))</f>
        <v/>
      </c>
      <c r="I4146">
        <f>IF(F4146="","",INDEX(Deals!$D$2:$D$843,F4146))</f>
        <v/>
      </c>
      <c r="J4146">
        <f>IF(F4146="","",INT(H4146)-B4146)</f>
        <v/>
      </c>
      <c r="K4146">
        <f>IF(B4146&gt;=Settings!$C$5,1,0)</f>
        <v/>
      </c>
    </row>
    <row r="4147">
      <c r="A4147" t="inlineStr">
        <is>
          <t>08bdd4ccdfefb4a7ad7757fba080aa28</t>
        </is>
      </c>
      <c r="B4147" s="29" t="n">
        <v>43124</v>
      </c>
      <c r="C4147" t="inlineStr">
        <is>
          <t>2018-01</t>
        </is>
      </c>
      <c r="D4147" t="inlineStr">
        <is>
          <t>22c29808c4f815213303f8933030604c</t>
        </is>
      </c>
      <c r="E4147" t="inlineStr">
        <is>
          <t>organic_search</t>
        </is>
      </c>
      <c r="F4147">
        <f>IFERROR(MATCH(A4147,Deals!$A$2:$A$843,0),"")</f>
        <v/>
      </c>
      <c r="G4147">
        <f>IF(F4147="",0,1)</f>
        <v/>
      </c>
      <c r="H4147" s="29">
        <f>IF(F4147="","",INDEX(Deals!$E$2:$E$843,F4147))</f>
        <v/>
      </c>
      <c r="I4147">
        <f>IF(F4147="","",INDEX(Deals!$D$2:$D$843,F4147))</f>
        <v/>
      </c>
      <c r="J4147">
        <f>IF(F4147="","",INT(H4147)-B4147)</f>
        <v/>
      </c>
      <c r="K4147">
        <f>IF(B4147&gt;=Settings!$C$5,1,0)</f>
        <v/>
      </c>
    </row>
    <row r="4148">
      <c r="A4148" t="inlineStr">
        <is>
          <t>76128f896de3c07b84f60965327751a3</t>
        </is>
      </c>
      <c r="B4148" s="29" t="n">
        <v>43140</v>
      </c>
      <c r="C4148" t="inlineStr">
        <is>
          <t>2018-02</t>
        </is>
      </c>
      <c r="D4148" t="inlineStr">
        <is>
          <t>88740e65d5d6b056e0cda098e1ea6313</t>
        </is>
      </c>
      <c r="E4148" t="inlineStr">
        <is>
          <t>social</t>
        </is>
      </c>
      <c r="F4148">
        <f>IFERROR(MATCH(A4148,Deals!$A$2:$A$843,0),"")</f>
        <v/>
      </c>
      <c r="G4148">
        <f>IF(F4148="",0,1)</f>
        <v/>
      </c>
      <c r="H4148" s="29">
        <f>IF(F4148="","",INDEX(Deals!$E$2:$E$843,F4148))</f>
        <v/>
      </c>
      <c r="I4148">
        <f>IF(F4148="","",INDEX(Deals!$D$2:$D$843,F4148))</f>
        <v/>
      </c>
      <c r="J4148">
        <f>IF(F4148="","",INT(H4148)-B4148)</f>
        <v/>
      </c>
      <c r="K4148">
        <f>IF(B4148&gt;=Settings!$C$5,1,0)</f>
        <v/>
      </c>
    </row>
    <row r="4149">
      <c r="A4149" t="inlineStr">
        <is>
          <t>2a6cd628e0921570e6671e6b1917e926</t>
        </is>
      </c>
      <c r="B4149" s="29" t="n">
        <v>43110</v>
      </c>
      <c r="C4149" t="inlineStr">
        <is>
          <t>2018-01</t>
        </is>
      </c>
      <c r="D4149" t="inlineStr">
        <is>
          <t>22c29808c4f815213303f8933030604c</t>
        </is>
      </c>
      <c r="E4149" t="inlineStr">
        <is>
          <t>organic_search</t>
        </is>
      </c>
      <c r="F4149">
        <f>IFERROR(MATCH(A4149,Deals!$A$2:$A$843,0),"")</f>
        <v/>
      </c>
      <c r="G4149">
        <f>IF(F4149="",0,1)</f>
        <v/>
      </c>
      <c r="H4149" s="29">
        <f>IF(F4149="","",INDEX(Deals!$E$2:$E$843,F4149))</f>
        <v/>
      </c>
      <c r="I4149">
        <f>IF(F4149="","",INDEX(Deals!$D$2:$D$843,F4149))</f>
        <v/>
      </c>
      <c r="J4149">
        <f>IF(F4149="","",INT(H4149)-B4149)</f>
        <v/>
      </c>
      <c r="K4149">
        <f>IF(B4149&gt;=Settings!$C$5,1,0)</f>
        <v/>
      </c>
    </row>
    <row r="4150">
      <c r="A4150" t="inlineStr">
        <is>
          <t>c45ff238efdaeb27177502d90e93f60b</t>
        </is>
      </c>
      <c r="B4150" s="29" t="n">
        <v>43034</v>
      </c>
      <c r="C4150" t="inlineStr">
        <is>
          <t>2017-10</t>
        </is>
      </c>
      <c r="D4150" t="inlineStr">
        <is>
          <t>4513838e626b499f475f9b488d177c55</t>
        </is>
      </c>
      <c r="E4150" t="inlineStr">
        <is>
          <t>paid_search</t>
        </is>
      </c>
      <c r="F4150">
        <f>IFERROR(MATCH(A4150,Deals!$A$2:$A$843,0),"")</f>
        <v/>
      </c>
      <c r="G4150">
        <f>IF(F4150="",0,1)</f>
        <v/>
      </c>
      <c r="H4150" s="29">
        <f>IF(F4150="","",INDEX(Deals!$E$2:$E$843,F4150))</f>
        <v/>
      </c>
      <c r="I4150">
        <f>IF(F4150="","",INDEX(Deals!$D$2:$D$843,F4150))</f>
        <v/>
      </c>
      <c r="J4150">
        <f>IF(F4150="","",INT(H4150)-B4150)</f>
        <v/>
      </c>
      <c r="K4150">
        <f>IF(B4150&gt;=Settings!$C$5,1,0)</f>
        <v/>
      </c>
    </row>
    <row r="4151">
      <c r="A4151" t="inlineStr">
        <is>
          <t>6f9f69256d91652afad06c9c4894cce6</t>
        </is>
      </c>
      <c r="B4151" s="29" t="n">
        <v>43164</v>
      </c>
      <c r="C4151" t="inlineStr">
        <is>
          <t>2018-03</t>
        </is>
      </c>
      <c r="D4151" t="inlineStr">
        <is>
          <t>ce1a65abd0973638f1c887a6efcfa82d</t>
        </is>
      </c>
      <c r="E4151" t="inlineStr">
        <is>
          <t>organic_search</t>
        </is>
      </c>
      <c r="F4151">
        <f>IFERROR(MATCH(A4151,Deals!$A$2:$A$843,0),"")</f>
        <v/>
      </c>
      <c r="G4151">
        <f>IF(F4151="",0,1)</f>
        <v/>
      </c>
      <c r="H4151" s="29">
        <f>IF(F4151="","",INDEX(Deals!$E$2:$E$843,F4151))</f>
        <v/>
      </c>
      <c r="I4151">
        <f>IF(F4151="","",INDEX(Deals!$D$2:$D$843,F4151))</f>
        <v/>
      </c>
      <c r="J4151">
        <f>IF(F4151="","",INT(H4151)-B4151)</f>
        <v/>
      </c>
      <c r="K4151">
        <f>IF(B4151&gt;=Settings!$C$5,1,0)</f>
        <v/>
      </c>
    </row>
    <row r="4152">
      <c r="A4152" t="inlineStr">
        <is>
          <t>ef17e89d8fb3d083388c1bd6bae0a5c3</t>
        </is>
      </c>
      <c r="B4152" s="29" t="n">
        <v>43181</v>
      </c>
      <c r="C4152" t="inlineStr">
        <is>
          <t>2018-03</t>
        </is>
      </c>
      <c r="D4152" t="inlineStr">
        <is>
          <t>b6885f18d203a61176418c1fb3764815</t>
        </is>
      </c>
      <c r="E4152" t="inlineStr">
        <is>
          <t>paid_search</t>
        </is>
      </c>
      <c r="F4152">
        <f>IFERROR(MATCH(A4152,Deals!$A$2:$A$843,0),"")</f>
        <v/>
      </c>
      <c r="G4152">
        <f>IF(F4152="",0,1)</f>
        <v/>
      </c>
      <c r="H4152" s="29">
        <f>IF(F4152="","",INDEX(Deals!$E$2:$E$843,F4152))</f>
        <v/>
      </c>
      <c r="I4152">
        <f>IF(F4152="","",INDEX(Deals!$D$2:$D$843,F4152))</f>
        <v/>
      </c>
      <c r="J4152">
        <f>IF(F4152="","",INT(H4152)-B4152)</f>
        <v/>
      </c>
      <c r="K4152">
        <f>IF(B4152&gt;=Settings!$C$5,1,0)</f>
        <v/>
      </c>
    </row>
    <row r="4153">
      <c r="A4153" t="inlineStr">
        <is>
          <t>59cf35ec5effe5787749804bd77dfb45</t>
        </is>
      </c>
      <c r="B4153" s="29" t="n">
        <v>43129</v>
      </c>
      <c r="C4153" t="inlineStr">
        <is>
          <t>2018-01</t>
        </is>
      </c>
      <c r="D4153" t="inlineStr">
        <is>
          <t>b6885f18d203a61176418c1fb3764815</t>
        </is>
      </c>
      <c r="E4153" t="inlineStr">
        <is>
          <t>organic_search</t>
        </is>
      </c>
      <c r="F4153">
        <f>IFERROR(MATCH(A4153,Deals!$A$2:$A$843,0),"")</f>
        <v/>
      </c>
      <c r="G4153">
        <f>IF(F4153="",0,1)</f>
        <v/>
      </c>
      <c r="H4153" s="29">
        <f>IF(F4153="","",INDEX(Deals!$E$2:$E$843,F4153))</f>
        <v/>
      </c>
      <c r="I4153">
        <f>IF(F4153="","",INDEX(Deals!$D$2:$D$843,F4153))</f>
        <v/>
      </c>
      <c r="J4153">
        <f>IF(F4153="","",INT(H4153)-B4153)</f>
        <v/>
      </c>
      <c r="K4153">
        <f>IF(B4153&gt;=Settings!$C$5,1,0)</f>
        <v/>
      </c>
    </row>
    <row r="4154">
      <c r="A4154" t="inlineStr">
        <is>
          <t>2488294e5b8aa832810695a56cbeacdf</t>
        </is>
      </c>
      <c r="B4154" s="29" t="n">
        <v>43209</v>
      </c>
      <c r="C4154" t="inlineStr">
        <is>
          <t>2018-04</t>
        </is>
      </c>
      <c r="D4154" t="inlineStr">
        <is>
          <t>909e333f8f23574f93115bd3d402e202</t>
        </is>
      </c>
      <c r="E4154" t="inlineStr">
        <is>
          <t>organic_search</t>
        </is>
      </c>
      <c r="F4154">
        <f>IFERROR(MATCH(A4154,Deals!$A$2:$A$843,0),"")</f>
        <v/>
      </c>
      <c r="G4154">
        <f>IF(F4154="",0,1)</f>
        <v/>
      </c>
      <c r="H4154" s="29">
        <f>IF(F4154="","",INDEX(Deals!$E$2:$E$843,F4154))</f>
        <v/>
      </c>
      <c r="I4154">
        <f>IF(F4154="","",INDEX(Deals!$D$2:$D$843,F4154))</f>
        <v/>
      </c>
      <c r="J4154">
        <f>IF(F4154="","",INT(H4154)-B4154)</f>
        <v/>
      </c>
      <c r="K4154">
        <f>IF(B4154&gt;=Settings!$C$5,1,0)</f>
        <v/>
      </c>
    </row>
    <row r="4155">
      <c r="A4155" t="inlineStr">
        <is>
          <t>16c9a11533b606e30508aecf89398170</t>
        </is>
      </c>
      <c r="B4155" s="29" t="n">
        <v>43202</v>
      </c>
      <c r="C4155" t="inlineStr">
        <is>
          <t>2018-04</t>
        </is>
      </c>
      <c r="D4155" t="inlineStr">
        <is>
          <t>649b7b8b46b254497e92038d88f6ced8</t>
        </is>
      </c>
      <c r="E4155" t="inlineStr">
        <is>
          <t>social</t>
        </is>
      </c>
      <c r="F4155">
        <f>IFERROR(MATCH(A4155,Deals!$A$2:$A$843,0),"")</f>
        <v/>
      </c>
      <c r="G4155">
        <f>IF(F4155="",0,1)</f>
        <v/>
      </c>
      <c r="H4155" s="29">
        <f>IF(F4155="","",INDEX(Deals!$E$2:$E$843,F4155))</f>
        <v/>
      </c>
      <c r="I4155">
        <f>IF(F4155="","",INDEX(Deals!$D$2:$D$843,F4155))</f>
        <v/>
      </c>
      <c r="J4155">
        <f>IF(F4155="","",INT(H4155)-B4155)</f>
        <v/>
      </c>
      <c r="K4155">
        <f>IF(B4155&gt;=Settings!$C$5,1,0)</f>
        <v/>
      </c>
    </row>
    <row r="4156">
      <c r="A4156" t="inlineStr">
        <is>
          <t>8db1c5244f04213e7178c188cf975960</t>
        </is>
      </c>
      <c r="B4156" s="29" t="n">
        <v>43206</v>
      </c>
      <c r="C4156" t="inlineStr">
        <is>
          <t>2018-04</t>
        </is>
      </c>
      <c r="D4156" t="inlineStr">
        <is>
          <t>f017be4dbf86243af5c1ebed0cff36a2</t>
        </is>
      </c>
      <c r="E4156" t="inlineStr">
        <is>
          <t>direct_traffic</t>
        </is>
      </c>
      <c r="F4156">
        <f>IFERROR(MATCH(A4156,Deals!$A$2:$A$843,0),"")</f>
        <v/>
      </c>
      <c r="G4156">
        <f>IF(F4156="",0,1)</f>
        <v/>
      </c>
      <c r="H4156" s="29">
        <f>IF(F4156="","",INDEX(Deals!$E$2:$E$843,F4156))</f>
        <v/>
      </c>
      <c r="I4156">
        <f>IF(F4156="","",INDEX(Deals!$D$2:$D$843,F4156))</f>
        <v/>
      </c>
      <c r="J4156">
        <f>IF(F4156="","",INT(H4156)-B4156)</f>
        <v/>
      </c>
      <c r="K4156">
        <f>IF(B4156&gt;=Settings!$C$5,1,0)</f>
        <v/>
      </c>
    </row>
    <row r="4157">
      <c r="A4157" t="inlineStr">
        <is>
          <t>76033d11df25bb5c050fea077e1b02b6</t>
        </is>
      </c>
      <c r="B4157" s="29" t="n">
        <v>42959</v>
      </c>
      <c r="C4157" t="inlineStr">
        <is>
          <t>2017-08</t>
        </is>
      </c>
      <c r="D4157" t="inlineStr">
        <is>
          <t>83ccc33d426eab8a3db70bd15aba46b8</t>
        </is>
      </c>
      <c r="E4157" t="inlineStr">
        <is>
          <t>organic_search</t>
        </is>
      </c>
      <c r="F4157">
        <f>IFERROR(MATCH(A4157,Deals!$A$2:$A$843,0),"")</f>
        <v/>
      </c>
      <c r="G4157">
        <f>IF(F4157="",0,1)</f>
        <v/>
      </c>
      <c r="H4157" s="29">
        <f>IF(F4157="","",INDEX(Deals!$E$2:$E$843,F4157))</f>
        <v/>
      </c>
      <c r="I4157">
        <f>IF(F4157="","",INDEX(Deals!$D$2:$D$843,F4157))</f>
        <v/>
      </c>
      <c r="J4157">
        <f>IF(F4157="","",INT(H4157)-B4157)</f>
        <v/>
      </c>
      <c r="K4157">
        <f>IF(B4157&gt;=Settings!$C$5,1,0)</f>
        <v/>
      </c>
    </row>
    <row r="4158">
      <c r="A4158" t="inlineStr">
        <is>
          <t>037be3f3bf37ffed5e5b8750c514ad17</t>
        </is>
      </c>
      <c r="B4158" s="29" t="n">
        <v>42923</v>
      </c>
      <c r="C4158" t="inlineStr">
        <is>
          <t>2017-07</t>
        </is>
      </c>
      <c r="D4158" t="inlineStr">
        <is>
          <t>c754e5846c791d26b1c34070c41adf6e</t>
        </is>
      </c>
      <c r="E4158" t="inlineStr">
        <is>
          <t>other</t>
        </is>
      </c>
      <c r="F4158">
        <f>IFERROR(MATCH(A4158,Deals!$A$2:$A$843,0),"")</f>
        <v/>
      </c>
      <c r="G4158">
        <f>IF(F4158="",0,1)</f>
        <v/>
      </c>
      <c r="H4158" s="29">
        <f>IF(F4158="","",INDEX(Deals!$E$2:$E$843,F4158))</f>
        <v/>
      </c>
      <c r="I4158">
        <f>IF(F4158="","",INDEX(Deals!$D$2:$D$843,F4158))</f>
        <v/>
      </c>
      <c r="J4158">
        <f>IF(F4158="","",INT(H4158)-B4158)</f>
        <v/>
      </c>
      <c r="K4158">
        <f>IF(B4158&gt;=Settings!$C$5,1,0)</f>
        <v/>
      </c>
    </row>
    <row r="4159">
      <c r="A4159" t="inlineStr">
        <is>
          <t>5f71bc4e6abdb7421e16abe2e414d344</t>
        </is>
      </c>
      <c r="B4159" s="29" t="n">
        <v>43188</v>
      </c>
      <c r="C4159" t="inlineStr">
        <is>
          <t>2018-03</t>
        </is>
      </c>
      <c r="D4159" t="inlineStr">
        <is>
          <t>58326e62183c14b0c03085c33b9fdc44</t>
        </is>
      </c>
      <c r="E4159" t="inlineStr">
        <is>
          <t>social</t>
        </is>
      </c>
      <c r="F4159">
        <f>IFERROR(MATCH(A4159,Deals!$A$2:$A$843,0),"")</f>
        <v/>
      </c>
      <c r="G4159">
        <f>IF(F4159="",0,1)</f>
        <v/>
      </c>
      <c r="H4159" s="29">
        <f>IF(F4159="","",INDEX(Deals!$E$2:$E$843,F4159))</f>
        <v/>
      </c>
      <c r="I4159">
        <f>IF(F4159="","",INDEX(Deals!$D$2:$D$843,F4159))</f>
        <v/>
      </c>
      <c r="J4159">
        <f>IF(F4159="","",INT(H4159)-B4159)</f>
        <v/>
      </c>
      <c r="K4159">
        <f>IF(B4159&gt;=Settings!$C$5,1,0)</f>
        <v/>
      </c>
    </row>
    <row r="4160">
      <c r="A4160" t="inlineStr">
        <is>
          <t>f0cf79f9b81720b964207ac2fde19be8</t>
        </is>
      </c>
      <c r="B4160" s="29" t="n">
        <v>43213</v>
      </c>
      <c r="C4160" t="inlineStr">
        <is>
          <t>2018-04</t>
        </is>
      </c>
      <c r="D4160" t="inlineStr">
        <is>
          <t>36120633c8737035fbabf079082f4ec1</t>
        </is>
      </c>
      <c r="E4160" t="inlineStr">
        <is>
          <t>organic_search</t>
        </is>
      </c>
      <c r="F4160">
        <f>IFERROR(MATCH(A4160,Deals!$A$2:$A$843,0),"")</f>
        <v/>
      </c>
      <c r="G4160">
        <f>IF(F4160="",0,1)</f>
        <v/>
      </c>
      <c r="H4160" s="29">
        <f>IF(F4160="","",INDEX(Deals!$E$2:$E$843,F4160))</f>
        <v/>
      </c>
      <c r="I4160">
        <f>IF(F4160="","",INDEX(Deals!$D$2:$D$843,F4160))</f>
        <v/>
      </c>
      <c r="J4160">
        <f>IF(F4160="","",INT(H4160)-B4160)</f>
        <v/>
      </c>
      <c r="K4160">
        <f>IF(B4160&gt;=Settings!$C$5,1,0)</f>
        <v/>
      </c>
    </row>
    <row r="4161">
      <c r="A4161" t="inlineStr">
        <is>
          <t>1b3792d7a5971736e7dd4932c8c20f74</t>
        </is>
      </c>
      <c r="B4161" s="29" t="n">
        <v>43220</v>
      </c>
      <c r="C4161" t="inlineStr">
        <is>
          <t>2018-04</t>
        </is>
      </c>
      <c r="D4161" t="inlineStr">
        <is>
          <t>58326e62183c14b0c03085c33b9fdc44</t>
        </is>
      </c>
      <c r="E4161" t="inlineStr">
        <is>
          <t>social</t>
        </is>
      </c>
      <c r="F4161">
        <f>IFERROR(MATCH(A4161,Deals!$A$2:$A$843,0),"")</f>
        <v/>
      </c>
      <c r="G4161">
        <f>IF(F4161="",0,1)</f>
        <v/>
      </c>
      <c r="H4161" s="29">
        <f>IF(F4161="","",INDEX(Deals!$E$2:$E$843,F4161))</f>
        <v/>
      </c>
      <c r="I4161">
        <f>IF(F4161="","",INDEX(Deals!$D$2:$D$843,F4161))</f>
        <v/>
      </c>
      <c r="J4161">
        <f>IF(F4161="","",INT(H4161)-B4161)</f>
        <v/>
      </c>
      <c r="K4161">
        <f>IF(B4161&gt;=Settings!$C$5,1,0)</f>
        <v/>
      </c>
    </row>
    <row r="4162">
      <c r="A4162" t="inlineStr">
        <is>
          <t>47a752e75a196b3b4edd825252ccf97f</t>
        </is>
      </c>
      <c r="B4162" s="29" t="n">
        <v>43166</v>
      </c>
      <c r="C4162" t="inlineStr">
        <is>
          <t>2018-03</t>
        </is>
      </c>
      <c r="D4162" t="inlineStr">
        <is>
          <t>fe82aeadeaea2186478fe6353d6d5301</t>
        </is>
      </c>
      <c r="E4162" t="inlineStr">
        <is>
          <t>paid_search</t>
        </is>
      </c>
      <c r="F4162">
        <f>IFERROR(MATCH(A4162,Deals!$A$2:$A$843,0),"")</f>
        <v/>
      </c>
      <c r="G4162">
        <f>IF(F4162="",0,1)</f>
        <v/>
      </c>
      <c r="H4162" s="29">
        <f>IF(F4162="","",INDEX(Deals!$E$2:$E$843,F4162))</f>
        <v/>
      </c>
      <c r="I4162">
        <f>IF(F4162="","",INDEX(Deals!$D$2:$D$843,F4162))</f>
        <v/>
      </c>
      <c r="J4162">
        <f>IF(F4162="","",INT(H4162)-B4162)</f>
        <v/>
      </c>
      <c r="K4162">
        <f>IF(B4162&gt;=Settings!$C$5,1,0)</f>
        <v/>
      </c>
    </row>
    <row r="4163">
      <c r="A4163" t="inlineStr">
        <is>
          <t>79a60ddd18a394faebab43aa57bc83e8</t>
        </is>
      </c>
      <c r="B4163" s="29" t="n">
        <v>43156</v>
      </c>
      <c r="C4163" t="inlineStr">
        <is>
          <t>2018-02</t>
        </is>
      </c>
      <c r="D4163" t="inlineStr">
        <is>
          <t>1722481ac9e5371e5099dea226b5421d</t>
        </is>
      </c>
      <c r="E4163" t="inlineStr">
        <is>
          <t>paid_search</t>
        </is>
      </c>
      <c r="F4163">
        <f>IFERROR(MATCH(A4163,Deals!$A$2:$A$843,0),"")</f>
        <v/>
      </c>
      <c r="G4163">
        <f>IF(F4163="",0,1)</f>
        <v/>
      </c>
      <c r="H4163" s="29">
        <f>IF(F4163="","",INDEX(Deals!$E$2:$E$843,F4163))</f>
        <v/>
      </c>
      <c r="I4163">
        <f>IF(F4163="","",INDEX(Deals!$D$2:$D$843,F4163))</f>
        <v/>
      </c>
      <c r="J4163">
        <f>IF(F4163="","",INT(H4163)-B4163)</f>
        <v/>
      </c>
      <c r="K4163">
        <f>IF(B4163&gt;=Settings!$C$5,1,0)</f>
        <v/>
      </c>
    </row>
    <row r="4164">
      <c r="A4164" t="inlineStr">
        <is>
          <t>78383fd635668ffe34e22ef0ed11f6b5</t>
        </is>
      </c>
      <c r="B4164" s="29" t="n">
        <v>43104</v>
      </c>
      <c r="C4164" t="inlineStr">
        <is>
          <t>2018-01</t>
        </is>
      </c>
      <c r="D4164" t="inlineStr">
        <is>
          <t>88740e65d5d6b056e0cda098e1ea6313</t>
        </is>
      </c>
      <c r="E4164" t="inlineStr">
        <is>
          <t>social</t>
        </is>
      </c>
      <c r="F4164">
        <f>IFERROR(MATCH(A4164,Deals!$A$2:$A$843,0),"")</f>
        <v/>
      </c>
      <c r="G4164">
        <f>IF(F4164="",0,1)</f>
        <v/>
      </c>
      <c r="H4164" s="29">
        <f>IF(F4164="","",INDEX(Deals!$E$2:$E$843,F4164))</f>
        <v/>
      </c>
      <c r="I4164">
        <f>IF(F4164="","",INDEX(Deals!$D$2:$D$843,F4164))</f>
        <v/>
      </c>
      <c r="J4164">
        <f>IF(F4164="","",INT(H4164)-B4164)</f>
        <v/>
      </c>
      <c r="K4164">
        <f>IF(B4164&gt;=Settings!$C$5,1,0)</f>
        <v/>
      </c>
    </row>
    <row r="4165">
      <c r="A4165" t="inlineStr">
        <is>
          <t>6751bce20296374f82f386e054e0b9f7</t>
        </is>
      </c>
      <c r="B4165" s="29" t="n">
        <v>43208</v>
      </c>
      <c r="C4165" t="inlineStr">
        <is>
          <t>2018-04</t>
        </is>
      </c>
      <c r="D4165" t="inlineStr">
        <is>
          <t>68f817c510c978e3a3a7474ad2aeb75c</t>
        </is>
      </c>
      <c r="E4165" t="inlineStr">
        <is>
          <t>paid_search</t>
        </is>
      </c>
      <c r="F4165">
        <f>IFERROR(MATCH(A4165,Deals!$A$2:$A$843,0),"")</f>
        <v/>
      </c>
      <c r="G4165">
        <f>IF(F4165="",0,1)</f>
        <v/>
      </c>
      <c r="H4165" s="29">
        <f>IF(F4165="","",INDEX(Deals!$E$2:$E$843,F4165))</f>
        <v/>
      </c>
      <c r="I4165">
        <f>IF(F4165="","",INDEX(Deals!$D$2:$D$843,F4165))</f>
        <v/>
      </c>
      <c r="J4165">
        <f>IF(F4165="","",INT(H4165)-B4165)</f>
        <v/>
      </c>
      <c r="K4165">
        <f>IF(B4165&gt;=Settings!$C$5,1,0)</f>
        <v/>
      </c>
    </row>
    <row r="4166">
      <c r="A4166" t="inlineStr">
        <is>
          <t>f1a425f699458e09372b5da49c06fd33</t>
        </is>
      </c>
      <c r="B4166" s="29" t="n">
        <v>43122</v>
      </c>
      <c r="C4166" t="inlineStr">
        <is>
          <t>2018-01</t>
        </is>
      </c>
      <c r="D4166" t="inlineStr">
        <is>
          <t>87d670b00a8db612286ba8419cf82e83</t>
        </is>
      </c>
      <c r="E4166" t="inlineStr">
        <is>
          <t>paid_search</t>
        </is>
      </c>
      <c r="F4166">
        <f>IFERROR(MATCH(A4166,Deals!$A$2:$A$843,0),"")</f>
        <v/>
      </c>
      <c r="G4166">
        <f>IF(F4166="",0,1)</f>
        <v/>
      </c>
      <c r="H4166" s="29">
        <f>IF(F4166="","",INDEX(Deals!$E$2:$E$843,F4166))</f>
        <v/>
      </c>
      <c r="I4166">
        <f>IF(F4166="","",INDEX(Deals!$D$2:$D$843,F4166))</f>
        <v/>
      </c>
      <c r="J4166">
        <f>IF(F4166="","",INT(H4166)-B4166)</f>
        <v/>
      </c>
      <c r="K4166">
        <f>IF(B4166&gt;=Settings!$C$5,1,0)</f>
        <v/>
      </c>
    </row>
    <row r="4167">
      <c r="A4167" t="inlineStr">
        <is>
          <t>4bac3882938ce191ce0436d7bf533c62</t>
        </is>
      </c>
      <c r="B4167" s="29" t="n">
        <v>42950</v>
      </c>
      <c r="C4167" t="inlineStr">
        <is>
          <t>2017-08</t>
        </is>
      </c>
      <c r="D4167" t="inlineStr">
        <is>
          <t>87732658ba41d8775e8577df347a64db</t>
        </is>
      </c>
      <c r="E4167" t="inlineStr">
        <is>
          <t>unknown</t>
        </is>
      </c>
      <c r="F4167">
        <f>IFERROR(MATCH(A4167,Deals!$A$2:$A$843,0),"")</f>
        <v/>
      </c>
      <c r="G4167">
        <f>IF(F4167="",0,1)</f>
        <v/>
      </c>
      <c r="H4167" s="29">
        <f>IF(F4167="","",INDEX(Deals!$E$2:$E$843,F4167))</f>
        <v/>
      </c>
      <c r="I4167">
        <f>IF(F4167="","",INDEX(Deals!$D$2:$D$843,F4167))</f>
        <v/>
      </c>
      <c r="J4167">
        <f>IF(F4167="","",INT(H4167)-B4167)</f>
        <v/>
      </c>
      <c r="K4167">
        <f>IF(B4167&gt;=Settings!$C$5,1,0)</f>
        <v/>
      </c>
    </row>
    <row r="4168">
      <c r="A4168" t="inlineStr">
        <is>
          <t>7611c2ba98f6c400df922115b07c9903</t>
        </is>
      </c>
      <c r="B4168" s="29" t="n">
        <v>43222</v>
      </c>
      <c r="C4168" t="inlineStr">
        <is>
          <t>2018-05</t>
        </is>
      </c>
      <c r="D4168" t="inlineStr">
        <is>
          <t>e42a14209c69c3e9cc6b042620465f12</t>
        </is>
      </c>
      <c r="E4168" t="inlineStr">
        <is>
          <t>email</t>
        </is>
      </c>
      <c r="F4168">
        <f>IFERROR(MATCH(A4168,Deals!$A$2:$A$843,0),"")</f>
        <v/>
      </c>
      <c r="G4168">
        <f>IF(F4168="",0,1)</f>
        <v/>
      </c>
      <c r="H4168" s="29">
        <f>IF(F4168="","",INDEX(Deals!$E$2:$E$843,F4168))</f>
        <v/>
      </c>
      <c r="I4168">
        <f>IF(F4168="","",INDEX(Deals!$D$2:$D$843,F4168))</f>
        <v/>
      </c>
      <c r="J4168">
        <f>IF(F4168="","",INT(H4168)-B4168)</f>
        <v/>
      </c>
      <c r="K4168">
        <f>IF(B4168&gt;=Settings!$C$5,1,0)</f>
        <v/>
      </c>
    </row>
    <row r="4169">
      <c r="A4169" t="inlineStr">
        <is>
          <t>61cbe9d6fbd16b3dbdd5f1b39fab396e</t>
        </is>
      </c>
      <c r="B4169" s="29" t="n">
        <v>43123</v>
      </c>
      <c r="C4169" t="inlineStr">
        <is>
          <t>2018-01</t>
        </is>
      </c>
      <c r="D4169" t="inlineStr">
        <is>
          <t>d45d558f0daeecf3cccdffe3c59684aa</t>
        </is>
      </c>
      <c r="E4169" t="inlineStr">
        <is>
          <t>email</t>
        </is>
      </c>
      <c r="F4169">
        <f>IFERROR(MATCH(A4169,Deals!$A$2:$A$843,0),"")</f>
        <v/>
      </c>
      <c r="G4169">
        <f>IF(F4169="",0,1)</f>
        <v/>
      </c>
      <c r="H4169" s="29">
        <f>IF(F4169="","",INDEX(Deals!$E$2:$E$843,F4169))</f>
        <v/>
      </c>
      <c r="I4169">
        <f>IF(F4169="","",INDEX(Deals!$D$2:$D$843,F4169))</f>
        <v/>
      </c>
      <c r="J4169">
        <f>IF(F4169="","",INT(H4169)-B4169)</f>
        <v/>
      </c>
      <c r="K4169">
        <f>IF(B4169&gt;=Settings!$C$5,1,0)</f>
        <v/>
      </c>
    </row>
    <row r="4170">
      <c r="A4170" t="inlineStr">
        <is>
          <t>d41380111f8558d2a5a9da7a095bbd0f</t>
        </is>
      </c>
      <c r="B4170" s="29" t="n">
        <v>43090</v>
      </c>
      <c r="C4170" t="inlineStr">
        <is>
          <t>2017-12</t>
        </is>
      </c>
      <c r="D4170" t="inlineStr">
        <is>
          <t>b3346ddd5d7b2edda306d8f531e58660</t>
        </is>
      </c>
      <c r="E4170" t="inlineStr">
        <is>
          <t>(missing)</t>
        </is>
      </c>
      <c r="F4170">
        <f>IFERROR(MATCH(A4170,Deals!$A$2:$A$843,0),"")</f>
        <v/>
      </c>
      <c r="G4170">
        <f>IF(F4170="",0,1)</f>
        <v/>
      </c>
      <c r="H4170" s="29">
        <f>IF(F4170="","",INDEX(Deals!$E$2:$E$843,F4170))</f>
        <v/>
      </c>
      <c r="I4170">
        <f>IF(F4170="","",INDEX(Deals!$D$2:$D$843,F4170))</f>
        <v/>
      </c>
      <c r="J4170">
        <f>IF(F4170="","",INT(H4170)-B4170)</f>
        <v/>
      </c>
      <c r="K4170">
        <f>IF(B4170&gt;=Settings!$C$5,1,0)</f>
        <v/>
      </c>
    </row>
    <row r="4171">
      <c r="A4171" t="inlineStr">
        <is>
          <t>aceafc50fbd2c53cc75ada4f86035ecd</t>
        </is>
      </c>
      <c r="B4171" s="29" t="n">
        <v>43196</v>
      </c>
      <c r="C4171" t="inlineStr">
        <is>
          <t>2018-04</t>
        </is>
      </c>
      <c r="D4171" t="inlineStr">
        <is>
          <t>22c29808c4f815213303f8933030604c</t>
        </is>
      </c>
      <c r="E4171" t="inlineStr">
        <is>
          <t>organic_search</t>
        </is>
      </c>
      <c r="F4171">
        <f>IFERROR(MATCH(A4171,Deals!$A$2:$A$843,0),"")</f>
        <v/>
      </c>
      <c r="G4171">
        <f>IF(F4171="",0,1)</f>
        <v/>
      </c>
      <c r="H4171" s="29">
        <f>IF(F4171="","",INDEX(Deals!$E$2:$E$843,F4171))</f>
        <v/>
      </c>
      <c r="I4171">
        <f>IF(F4171="","",INDEX(Deals!$D$2:$D$843,F4171))</f>
        <v/>
      </c>
      <c r="J4171">
        <f>IF(F4171="","",INT(H4171)-B4171)</f>
        <v/>
      </c>
      <c r="K4171">
        <f>IF(B4171&gt;=Settings!$C$5,1,0)</f>
        <v/>
      </c>
    </row>
    <row r="4172">
      <c r="A4172" t="inlineStr">
        <is>
          <t>90faf268e7eab91975d0fc1846bad0ef</t>
        </is>
      </c>
      <c r="B4172" s="29" t="n">
        <v>43122</v>
      </c>
      <c r="C4172" t="inlineStr">
        <is>
          <t>2018-01</t>
        </is>
      </c>
      <c r="D4172" t="inlineStr">
        <is>
          <t>40dec9f3d5259a3d2dbcdab2114fae47</t>
        </is>
      </c>
      <c r="E4172" t="inlineStr">
        <is>
          <t>organic_search</t>
        </is>
      </c>
      <c r="F4172">
        <f>IFERROR(MATCH(A4172,Deals!$A$2:$A$843,0),"")</f>
        <v/>
      </c>
      <c r="G4172">
        <f>IF(F4172="",0,1)</f>
        <v/>
      </c>
      <c r="H4172" s="29">
        <f>IF(F4172="","",INDEX(Deals!$E$2:$E$843,F4172))</f>
        <v/>
      </c>
      <c r="I4172">
        <f>IF(F4172="","",INDEX(Deals!$D$2:$D$843,F4172))</f>
        <v/>
      </c>
      <c r="J4172">
        <f>IF(F4172="","",INT(H4172)-B4172)</f>
        <v/>
      </c>
      <c r="K4172">
        <f>IF(B4172&gt;=Settings!$C$5,1,0)</f>
        <v/>
      </c>
    </row>
    <row r="4173">
      <c r="A4173" t="inlineStr">
        <is>
          <t>450b9ff6579ee8138f673984554e8a93</t>
        </is>
      </c>
      <c r="B4173" s="29" t="n">
        <v>43209</v>
      </c>
      <c r="C4173" t="inlineStr">
        <is>
          <t>2018-04</t>
        </is>
      </c>
      <c r="D4173" t="inlineStr">
        <is>
          <t>22c29808c4f815213303f8933030604c</t>
        </is>
      </c>
      <c r="E4173" t="inlineStr">
        <is>
          <t>organic_search</t>
        </is>
      </c>
      <c r="F4173">
        <f>IFERROR(MATCH(A4173,Deals!$A$2:$A$843,0),"")</f>
        <v/>
      </c>
      <c r="G4173">
        <f>IF(F4173="",0,1)</f>
        <v/>
      </c>
      <c r="H4173" s="29">
        <f>IF(F4173="","",INDEX(Deals!$E$2:$E$843,F4173))</f>
        <v/>
      </c>
      <c r="I4173">
        <f>IF(F4173="","",INDEX(Deals!$D$2:$D$843,F4173))</f>
        <v/>
      </c>
      <c r="J4173">
        <f>IF(F4173="","",INT(H4173)-B4173)</f>
        <v/>
      </c>
      <c r="K4173">
        <f>IF(B4173&gt;=Settings!$C$5,1,0)</f>
        <v/>
      </c>
    </row>
    <row r="4174">
      <c r="A4174" t="inlineStr">
        <is>
          <t>fefe447107ab48d504ca4865c1a69dd2</t>
        </is>
      </c>
      <c r="B4174" s="29" t="n">
        <v>43185</v>
      </c>
      <c r="C4174" t="inlineStr">
        <is>
          <t>2018-03</t>
        </is>
      </c>
      <c r="D4174" t="inlineStr">
        <is>
          <t>22c29808c4f815213303f8933030604c</t>
        </is>
      </c>
      <c r="E4174" t="inlineStr">
        <is>
          <t>direct_traffic</t>
        </is>
      </c>
      <c r="F4174">
        <f>IFERROR(MATCH(A4174,Deals!$A$2:$A$843,0),"")</f>
        <v/>
      </c>
      <c r="G4174">
        <f>IF(F4174="",0,1)</f>
        <v/>
      </c>
      <c r="H4174" s="29">
        <f>IF(F4174="","",INDEX(Deals!$E$2:$E$843,F4174))</f>
        <v/>
      </c>
      <c r="I4174">
        <f>IF(F4174="","",INDEX(Deals!$D$2:$D$843,F4174))</f>
        <v/>
      </c>
      <c r="J4174">
        <f>IF(F4174="","",INT(H4174)-B4174)</f>
        <v/>
      </c>
      <c r="K4174">
        <f>IF(B4174&gt;=Settings!$C$5,1,0)</f>
        <v/>
      </c>
    </row>
    <row r="4175">
      <c r="A4175" t="inlineStr">
        <is>
          <t>f8f7aa63a45a078fda7e10fdc8f63b5f</t>
        </is>
      </c>
      <c r="B4175" s="29" t="n">
        <v>43206</v>
      </c>
      <c r="C4175" t="inlineStr">
        <is>
          <t>2018-04</t>
        </is>
      </c>
      <c r="D4175" t="inlineStr">
        <is>
          <t>ce1a65abd0973638f1c887a6efcfa82d</t>
        </is>
      </c>
      <c r="E4175" t="inlineStr">
        <is>
          <t>organic_search</t>
        </is>
      </c>
      <c r="F4175">
        <f>IFERROR(MATCH(A4175,Deals!$A$2:$A$843,0),"")</f>
        <v/>
      </c>
      <c r="G4175">
        <f>IF(F4175="",0,1)</f>
        <v/>
      </c>
      <c r="H4175" s="29">
        <f>IF(F4175="","",INDEX(Deals!$E$2:$E$843,F4175))</f>
        <v/>
      </c>
      <c r="I4175">
        <f>IF(F4175="","",INDEX(Deals!$D$2:$D$843,F4175))</f>
        <v/>
      </c>
      <c r="J4175">
        <f>IF(F4175="","",INT(H4175)-B4175)</f>
        <v/>
      </c>
      <c r="K4175">
        <f>IF(B4175&gt;=Settings!$C$5,1,0)</f>
        <v/>
      </c>
    </row>
    <row r="4176">
      <c r="A4176" t="inlineStr">
        <is>
          <t>6d236926d8864f1f5d88048c4f2a1948</t>
        </is>
      </c>
      <c r="B4176" s="29" t="n">
        <v>43217</v>
      </c>
      <c r="C4176" t="inlineStr">
        <is>
          <t>2018-04</t>
        </is>
      </c>
      <c r="D4176" t="inlineStr">
        <is>
          <t>f80696b73d17fb34f5c4fde157f119d8</t>
        </is>
      </c>
      <c r="E4176" t="inlineStr">
        <is>
          <t>unknown</t>
        </is>
      </c>
      <c r="F4176">
        <f>IFERROR(MATCH(A4176,Deals!$A$2:$A$843,0),"")</f>
        <v/>
      </c>
      <c r="G4176">
        <f>IF(F4176="",0,1)</f>
        <v/>
      </c>
      <c r="H4176" s="29">
        <f>IF(F4176="","",INDEX(Deals!$E$2:$E$843,F4176))</f>
        <v/>
      </c>
      <c r="I4176">
        <f>IF(F4176="","",INDEX(Deals!$D$2:$D$843,F4176))</f>
        <v/>
      </c>
      <c r="J4176">
        <f>IF(F4176="","",INT(H4176)-B4176)</f>
        <v/>
      </c>
      <c r="K4176">
        <f>IF(B4176&gt;=Settings!$C$5,1,0)</f>
        <v/>
      </c>
    </row>
    <row r="4177">
      <c r="A4177" t="inlineStr">
        <is>
          <t>3ab35509be5b6cdb02c081de2fb74a8a</t>
        </is>
      </c>
      <c r="B4177" s="29" t="n">
        <v>43040</v>
      </c>
      <c r="C4177" t="inlineStr">
        <is>
          <t>2017-11</t>
        </is>
      </c>
      <c r="D4177" t="inlineStr">
        <is>
          <t>88740e65d5d6b056e0cda098e1ea6313</t>
        </is>
      </c>
      <c r="E4177" t="inlineStr">
        <is>
          <t>social</t>
        </is>
      </c>
      <c r="F4177">
        <f>IFERROR(MATCH(A4177,Deals!$A$2:$A$843,0),"")</f>
        <v/>
      </c>
      <c r="G4177">
        <f>IF(F4177="",0,1)</f>
        <v/>
      </c>
      <c r="H4177" s="29">
        <f>IF(F4177="","",INDEX(Deals!$E$2:$E$843,F4177))</f>
        <v/>
      </c>
      <c r="I4177">
        <f>IF(F4177="","",INDEX(Deals!$D$2:$D$843,F4177))</f>
        <v/>
      </c>
      <c r="J4177">
        <f>IF(F4177="","",INT(H4177)-B4177)</f>
        <v/>
      </c>
      <c r="K4177">
        <f>IF(B4177&gt;=Settings!$C$5,1,0)</f>
        <v/>
      </c>
    </row>
    <row r="4178">
      <c r="A4178" t="inlineStr">
        <is>
          <t>fdfa9a38cf3d8d850a6fd47b438bfe43</t>
        </is>
      </c>
      <c r="B4178" s="29" t="n">
        <v>43069</v>
      </c>
      <c r="C4178" t="inlineStr">
        <is>
          <t>2017-11</t>
        </is>
      </c>
      <c r="D4178" t="inlineStr">
        <is>
          <t>22c29808c4f815213303f8933030604c</t>
        </is>
      </c>
      <c r="E4178" t="inlineStr">
        <is>
          <t>organic_search</t>
        </is>
      </c>
      <c r="F4178">
        <f>IFERROR(MATCH(A4178,Deals!$A$2:$A$843,0),"")</f>
        <v/>
      </c>
      <c r="G4178">
        <f>IF(F4178="",0,1)</f>
        <v/>
      </c>
      <c r="H4178" s="29">
        <f>IF(F4178="","",INDEX(Deals!$E$2:$E$843,F4178))</f>
        <v/>
      </c>
      <c r="I4178">
        <f>IF(F4178="","",INDEX(Deals!$D$2:$D$843,F4178))</f>
        <v/>
      </c>
      <c r="J4178">
        <f>IF(F4178="","",INT(H4178)-B4178)</f>
        <v/>
      </c>
      <c r="K4178">
        <f>IF(B4178&gt;=Settings!$C$5,1,0)</f>
        <v/>
      </c>
    </row>
    <row r="4179">
      <c r="A4179" t="inlineStr">
        <is>
          <t>e3c586bec59ecb0430e34fb6bc37fb8d</t>
        </is>
      </c>
      <c r="B4179" s="29" t="n">
        <v>43244</v>
      </c>
      <c r="C4179" t="inlineStr">
        <is>
          <t>2018-05</t>
        </is>
      </c>
      <c r="D4179" t="inlineStr">
        <is>
          <t>ce1a65abd0973638f1c887a6efcfa82d</t>
        </is>
      </c>
      <c r="E4179" t="inlineStr">
        <is>
          <t>organic_search</t>
        </is>
      </c>
      <c r="F4179">
        <f>IFERROR(MATCH(A4179,Deals!$A$2:$A$843,0),"")</f>
        <v/>
      </c>
      <c r="G4179">
        <f>IF(F4179="",0,1)</f>
        <v/>
      </c>
      <c r="H4179" s="29">
        <f>IF(F4179="","",INDEX(Deals!$E$2:$E$843,F4179))</f>
        <v/>
      </c>
      <c r="I4179">
        <f>IF(F4179="","",INDEX(Deals!$D$2:$D$843,F4179))</f>
        <v/>
      </c>
      <c r="J4179">
        <f>IF(F4179="","",INT(H4179)-B4179)</f>
        <v/>
      </c>
      <c r="K4179">
        <f>IF(B4179&gt;=Settings!$C$5,1,0)</f>
        <v/>
      </c>
    </row>
    <row r="4180">
      <c r="A4180" t="inlineStr">
        <is>
          <t>023eae08cd291f454a56b1a29084f1ea</t>
        </is>
      </c>
      <c r="B4180" s="29" t="n">
        <v>43032</v>
      </c>
      <c r="C4180" t="inlineStr">
        <is>
          <t>2017-10</t>
        </is>
      </c>
      <c r="D4180" t="inlineStr">
        <is>
          <t>63355b003224fe06badbd9de99644792</t>
        </is>
      </c>
      <c r="E4180" t="inlineStr">
        <is>
          <t>email</t>
        </is>
      </c>
      <c r="F4180">
        <f>IFERROR(MATCH(A4180,Deals!$A$2:$A$843,0),"")</f>
        <v/>
      </c>
      <c r="G4180">
        <f>IF(F4180="",0,1)</f>
        <v/>
      </c>
      <c r="H4180" s="29">
        <f>IF(F4180="","",INDEX(Deals!$E$2:$E$843,F4180))</f>
        <v/>
      </c>
      <c r="I4180">
        <f>IF(F4180="","",INDEX(Deals!$D$2:$D$843,F4180))</f>
        <v/>
      </c>
      <c r="J4180">
        <f>IF(F4180="","",INT(H4180)-B4180)</f>
        <v/>
      </c>
      <c r="K4180">
        <f>IF(B4180&gt;=Settings!$C$5,1,0)</f>
        <v/>
      </c>
    </row>
    <row r="4181">
      <c r="A4181" t="inlineStr">
        <is>
          <t>80a373ef28ca3b24c02b24b5b9ad6731</t>
        </is>
      </c>
      <c r="B4181" s="29" t="n">
        <v>43167</v>
      </c>
      <c r="C4181" t="inlineStr">
        <is>
          <t>2018-03</t>
        </is>
      </c>
      <c r="D4181" t="inlineStr">
        <is>
          <t>4b0974ddecd83fd34439a7312a609824</t>
        </is>
      </c>
      <c r="E4181" t="inlineStr">
        <is>
          <t>paid_search</t>
        </is>
      </c>
      <c r="F4181">
        <f>IFERROR(MATCH(A4181,Deals!$A$2:$A$843,0),"")</f>
        <v/>
      </c>
      <c r="G4181">
        <f>IF(F4181="",0,1)</f>
        <v/>
      </c>
      <c r="H4181" s="29">
        <f>IF(F4181="","",INDEX(Deals!$E$2:$E$843,F4181))</f>
        <v/>
      </c>
      <c r="I4181">
        <f>IF(F4181="","",INDEX(Deals!$D$2:$D$843,F4181))</f>
        <v/>
      </c>
      <c r="J4181">
        <f>IF(F4181="","",INT(H4181)-B4181)</f>
        <v/>
      </c>
      <c r="K4181">
        <f>IF(B4181&gt;=Settings!$C$5,1,0)</f>
        <v/>
      </c>
    </row>
    <row r="4182">
      <c r="A4182" t="inlineStr">
        <is>
          <t>bceb3255d9e971801589ea08667466f0</t>
        </is>
      </c>
      <c r="B4182" s="29" t="n">
        <v>42998</v>
      </c>
      <c r="C4182" t="inlineStr">
        <is>
          <t>2017-09</t>
        </is>
      </c>
      <c r="D4182" t="inlineStr">
        <is>
          <t>d1c953566a3133574fc8e3f7bc1c126b</t>
        </is>
      </c>
      <c r="E4182" t="inlineStr">
        <is>
          <t>direct_traffic</t>
        </is>
      </c>
      <c r="F4182">
        <f>IFERROR(MATCH(A4182,Deals!$A$2:$A$843,0),"")</f>
        <v/>
      </c>
      <c r="G4182">
        <f>IF(F4182="",0,1)</f>
        <v/>
      </c>
      <c r="H4182" s="29">
        <f>IF(F4182="","",INDEX(Deals!$E$2:$E$843,F4182))</f>
        <v/>
      </c>
      <c r="I4182">
        <f>IF(F4182="","",INDEX(Deals!$D$2:$D$843,F4182))</f>
        <v/>
      </c>
      <c r="J4182">
        <f>IF(F4182="","",INT(H4182)-B4182)</f>
        <v/>
      </c>
      <c r="K4182">
        <f>IF(B4182&gt;=Settings!$C$5,1,0)</f>
        <v/>
      </c>
    </row>
    <row r="4183">
      <c r="A4183" t="inlineStr">
        <is>
          <t>4adc2d13b1a41b5e1652d957fc6f2082</t>
        </is>
      </c>
      <c r="B4183" s="29" t="n">
        <v>43109</v>
      </c>
      <c r="C4183" t="inlineStr">
        <is>
          <t>2018-01</t>
        </is>
      </c>
      <c r="D4183" t="inlineStr">
        <is>
          <t>99b00c6e27db383d844d1763dbcbfe06</t>
        </is>
      </c>
      <c r="E4183" t="inlineStr">
        <is>
          <t>organic_search</t>
        </is>
      </c>
      <c r="F4183">
        <f>IFERROR(MATCH(A4183,Deals!$A$2:$A$843,0),"")</f>
        <v/>
      </c>
      <c r="G4183">
        <f>IF(F4183="",0,1)</f>
        <v/>
      </c>
      <c r="H4183" s="29">
        <f>IF(F4183="","",INDEX(Deals!$E$2:$E$843,F4183))</f>
        <v/>
      </c>
      <c r="I4183">
        <f>IF(F4183="","",INDEX(Deals!$D$2:$D$843,F4183))</f>
        <v/>
      </c>
      <c r="J4183">
        <f>IF(F4183="","",INT(H4183)-B4183)</f>
        <v/>
      </c>
      <c r="K4183">
        <f>IF(B4183&gt;=Settings!$C$5,1,0)</f>
        <v/>
      </c>
    </row>
    <row r="4184">
      <c r="A4184" t="inlineStr">
        <is>
          <t>1ebb1d1f55c09d87901fb445b917948b</t>
        </is>
      </c>
      <c r="B4184" s="29" t="n">
        <v>43120</v>
      </c>
      <c r="C4184" t="inlineStr">
        <is>
          <t>2018-01</t>
        </is>
      </c>
      <c r="D4184" t="inlineStr">
        <is>
          <t>88740e65d5d6b056e0cda098e1ea6313</t>
        </is>
      </c>
      <c r="E4184" t="inlineStr">
        <is>
          <t>social</t>
        </is>
      </c>
      <c r="F4184">
        <f>IFERROR(MATCH(A4184,Deals!$A$2:$A$843,0),"")</f>
        <v/>
      </c>
      <c r="G4184">
        <f>IF(F4184="",0,1)</f>
        <v/>
      </c>
      <c r="H4184" s="29">
        <f>IF(F4184="","",INDEX(Deals!$E$2:$E$843,F4184))</f>
        <v/>
      </c>
      <c r="I4184">
        <f>IF(F4184="","",INDEX(Deals!$D$2:$D$843,F4184))</f>
        <v/>
      </c>
      <c r="J4184">
        <f>IF(F4184="","",INT(H4184)-B4184)</f>
        <v/>
      </c>
      <c r="K4184">
        <f>IF(B4184&gt;=Settings!$C$5,1,0)</f>
        <v/>
      </c>
    </row>
    <row r="4185">
      <c r="A4185" t="inlineStr">
        <is>
          <t>61e1ec2ab7f435948789816fa06d7037</t>
        </is>
      </c>
      <c r="B4185" s="29" t="n">
        <v>43234</v>
      </c>
      <c r="C4185" t="inlineStr">
        <is>
          <t>2018-05</t>
        </is>
      </c>
      <c r="D4185" t="inlineStr">
        <is>
          <t>e492ee5eaf1697716985cc6f33f9cd9b</t>
        </is>
      </c>
      <c r="E4185" t="inlineStr">
        <is>
          <t>other</t>
        </is>
      </c>
      <c r="F4185">
        <f>IFERROR(MATCH(A4185,Deals!$A$2:$A$843,0),"")</f>
        <v/>
      </c>
      <c r="G4185">
        <f>IF(F4185="",0,1)</f>
        <v/>
      </c>
      <c r="H4185" s="29">
        <f>IF(F4185="","",INDEX(Deals!$E$2:$E$843,F4185))</f>
        <v/>
      </c>
      <c r="I4185">
        <f>IF(F4185="","",INDEX(Deals!$D$2:$D$843,F4185))</f>
        <v/>
      </c>
      <c r="J4185">
        <f>IF(F4185="","",INT(H4185)-B4185)</f>
        <v/>
      </c>
      <c r="K4185">
        <f>IF(B4185&gt;=Settings!$C$5,1,0)</f>
        <v/>
      </c>
    </row>
    <row r="4186">
      <c r="A4186" t="inlineStr">
        <is>
          <t>05c2e48a2654a4d96901f7674961bb2a</t>
        </is>
      </c>
      <c r="B4186" s="29" t="n">
        <v>43102</v>
      </c>
      <c r="C4186" t="inlineStr">
        <is>
          <t>2018-01</t>
        </is>
      </c>
      <c r="D4186" t="inlineStr">
        <is>
          <t>40dec9f3d5259a3d2dbcdab2114fae47</t>
        </is>
      </c>
      <c r="E4186" t="inlineStr">
        <is>
          <t>organic_search</t>
        </is>
      </c>
      <c r="F4186">
        <f>IFERROR(MATCH(A4186,Deals!$A$2:$A$843,0),"")</f>
        <v/>
      </c>
      <c r="G4186">
        <f>IF(F4186="",0,1)</f>
        <v/>
      </c>
      <c r="H4186" s="29">
        <f>IF(F4186="","",INDEX(Deals!$E$2:$E$843,F4186))</f>
        <v/>
      </c>
      <c r="I4186">
        <f>IF(F4186="","",INDEX(Deals!$D$2:$D$843,F4186))</f>
        <v/>
      </c>
      <c r="J4186">
        <f>IF(F4186="","",INT(H4186)-B4186)</f>
        <v/>
      </c>
      <c r="K4186">
        <f>IF(B4186&gt;=Settings!$C$5,1,0)</f>
        <v/>
      </c>
    </row>
    <row r="4187">
      <c r="A4187" t="inlineStr">
        <is>
          <t>c1080323abd122db8e79376998d29915</t>
        </is>
      </c>
      <c r="B4187" s="29" t="n">
        <v>43215</v>
      </c>
      <c r="C4187" t="inlineStr">
        <is>
          <t>2018-04</t>
        </is>
      </c>
      <c r="D4187" t="inlineStr">
        <is>
          <t>f80696b73d17fb34f5c4fde157f119d8</t>
        </is>
      </c>
      <c r="E4187" t="inlineStr">
        <is>
          <t>paid_search</t>
        </is>
      </c>
      <c r="F4187">
        <f>IFERROR(MATCH(A4187,Deals!$A$2:$A$843,0),"")</f>
        <v/>
      </c>
      <c r="G4187">
        <f>IF(F4187="",0,1)</f>
        <v/>
      </c>
      <c r="H4187" s="29">
        <f>IF(F4187="","",INDEX(Deals!$E$2:$E$843,F4187))</f>
        <v/>
      </c>
      <c r="I4187">
        <f>IF(F4187="","",INDEX(Deals!$D$2:$D$843,F4187))</f>
        <v/>
      </c>
      <c r="J4187">
        <f>IF(F4187="","",INT(H4187)-B4187)</f>
        <v/>
      </c>
      <c r="K4187">
        <f>IF(B4187&gt;=Settings!$C$5,1,0)</f>
        <v/>
      </c>
    </row>
    <row r="4188">
      <c r="A4188" t="inlineStr">
        <is>
          <t>93cdf48e7102fb85fdef006ccc6bdd87</t>
        </is>
      </c>
      <c r="B4188" s="29" t="n">
        <v>43206</v>
      </c>
      <c r="C4188" t="inlineStr">
        <is>
          <t>2018-04</t>
        </is>
      </c>
      <c r="D4188" t="inlineStr">
        <is>
          <t>58326e62183c14b0c03085c33b9fdc44</t>
        </is>
      </c>
      <c r="E4188" t="inlineStr">
        <is>
          <t>social</t>
        </is>
      </c>
      <c r="F4188">
        <f>IFERROR(MATCH(A4188,Deals!$A$2:$A$843,0),"")</f>
        <v/>
      </c>
      <c r="G4188">
        <f>IF(F4188="",0,1)</f>
        <v/>
      </c>
      <c r="H4188" s="29">
        <f>IF(F4188="","",INDEX(Deals!$E$2:$E$843,F4188))</f>
        <v/>
      </c>
      <c r="I4188">
        <f>IF(F4188="","",INDEX(Deals!$D$2:$D$843,F4188))</f>
        <v/>
      </c>
      <c r="J4188">
        <f>IF(F4188="","",INT(H4188)-B4188)</f>
        <v/>
      </c>
      <c r="K4188">
        <f>IF(B4188&gt;=Settings!$C$5,1,0)</f>
        <v/>
      </c>
    </row>
    <row r="4189">
      <c r="A4189" t="inlineStr">
        <is>
          <t>e782e89abdb62740b34d162d21510f6c</t>
        </is>
      </c>
      <c r="B4189" s="29" t="n">
        <v>43151</v>
      </c>
      <c r="C4189" t="inlineStr">
        <is>
          <t>2018-02</t>
        </is>
      </c>
      <c r="D4189" t="inlineStr">
        <is>
          <t>ce1a65abd0973638f1c887a6efcfa82d</t>
        </is>
      </c>
      <c r="E4189" t="inlineStr">
        <is>
          <t>organic_search</t>
        </is>
      </c>
      <c r="F4189">
        <f>IFERROR(MATCH(A4189,Deals!$A$2:$A$843,0),"")</f>
        <v/>
      </c>
      <c r="G4189">
        <f>IF(F4189="",0,1)</f>
        <v/>
      </c>
      <c r="H4189" s="29">
        <f>IF(F4189="","",INDEX(Deals!$E$2:$E$843,F4189))</f>
        <v/>
      </c>
      <c r="I4189">
        <f>IF(F4189="","",INDEX(Deals!$D$2:$D$843,F4189))</f>
        <v/>
      </c>
      <c r="J4189">
        <f>IF(F4189="","",INT(H4189)-B4189)</f>
        <v/>
      </c>
      <c r="K4189">
        <f>IF(B4189&gt;=Settings!$C$5,1,0)</f>
        <v/>
      </c>
    </row>
    <row r="4190">
      <c r="A4190" t="inlineStr">
        <is>
          <t>46f913fb3c2719fb01ecad725bc3952d</t>
        </is>
      </c>
      <c r="B4190" s="29" t="n">
        <v>43164</v>
      </c>
      <c r="C4190" t="inlineStr">
        <is>
          <t>2018-03</t>
        </is>
      </c>
      <c r="D4190" t="inlineStr">
        <is>
          <t>ce1a65abd0973638f1c887a6efcfa82d</t>
        </is>
      </c>
      <c r="E4190" t="inlineStr">
        <is>
          <t>organic_search</t>
        </is>
      </c>
      <c r="F4190">
        <f>IFERROR(MATCH(A4190,Deals!$A$2:$A$843,0),"")</f>
        <v/>
      </c>
      <c r="G4190">
        <f>IF(F4190="",0,1)</f>
        <v/>
      </c>
      <c r="H4190" s="29">
        <f>IF(F4190="","",INDEX(Deals!$E$2:$E$843,F4190))</f>
        <v/>
      </c>
      <c r="I4190">
        <f>IF(F4190="","",INDEX(Deals!$D$2:$D$843,F4190))</f>
        <v/>
      </c>
      <c r="J4190">
        <f>IF(F4190="","",INT(H4190)-B4190)</f>
        <v/>
      </c>
      <c r="K4190">
        <f>IF(B4190&gt;=Settings!$C$5,1,0)</f>
        <v/>
      </c>
    </row>
    <row r="4191">
      <c r="A4191" t="inlineStr">
        <is>
          <t>8d6bd2dad761e54d64308b604bb23ba1</t>
        </is>
      </c>
      <c r="B4191" s="29" t="n">
        <v>43173</v>
      </c>
      <c r="C4191" t="inlineStr">
        <is>
          <t>2018-03</t>
        </is>
      </c>
      <c r="D4191" t="inlineStr">
        <is>
          <t>40dec9f3d5259a3d2dbcdab2114fae47</t>
        </is>
      </c>
      <c r="E4191" t="inlineStr">
        <is>
          <t>paid_search</t>
        </is>
      </c>
      <c r="F4191">
        <f>IFERROR(MATCH(A4191,Deals!$A$2:$A$843,0),"")</f>
        <v/>
      </c>
      <c r="G4191">
        <f>IF(F4191="",0,1)</f>
        <v/>
      </c>
      <c r="H4191" s="29">
        <f>IF(F4191="","",INDEX(Deals!$E$2:$E$843,F4191))</f>
        <v/>
      </c>
      <c r="I4191">
        <f>IF(F4191="","",INDEX(Deals!$D$2:$D$843,F4191))</f>
        <v/>
      </c>
      <c r="J4191">
        <f>IF(F4191="","",INT(H4191)-B4191)</f>
        <v/>
      </c>
      <c r="K4191">
        <f>IF(B4191&gt;=Settings!$C$5,1,0)</f>
        <v/>
      </c>
    </row>
    <row r="4192">
      <c r="A4192" t="inlineStr">
        <is>
          <t>8c0f210dc24f021fbfc4b912fd41a8aa</t>
        </is>
      </c>
      <c r="B4192" s="29" t="n">
        <v>43108</v>
      </c>
      <c r="C4192" t="inlineStr">
        <is>
          <t>2018-01</t>
        </is>
      </c>
      <c r="D4192" t="inlineStr">
        <is>
          <t>22c29808c4f815213303f8933030604c</t>
        </is>
      </c>
      <c r="E4192" t="inlineStr">
        <is>
          <t>other</t>
        </is>
      </c>
      <c r="F4192">
        <f>IFERROR(MATCH(A4192,Deals!$A$2:$A$843,0),"")</f>
        <v/>
      </c>
      <c r="G4192">
        <f>IF(F4192="",0,1)</f>
        <v/>
      </c>
      <c r="H4192" s="29">
        <f>IF(F4192="","",INDEX(Deals!$E$2:$E$843,F4192))</f>
        <v/>
      </c>
      <c r="I4192">
        <f>IF(F4192="","",INDEX(Deals!$D$2:$D$843,F4192))</f>
        <v/>
      </c>
      <c r="J4192">
        <f>IF(F4192="","",INT(H4192)-B4192)</f>
        <v/>
      </c>
      <c r="K4192">
        <f>IF(B4192&gt;=Settings!$C$5,1,0)</f>
        <v/>
      </c>
    </row>
    <row r="4193">
      <c r="A4193" t="inlineStr">
        <is>
          <t>c6f6c696c98663f5588e525bff96d89a</t>
        </is>
      </c>
      <c r="B4193" s="29" t="n">
        <v>43214</v>
      </c>
      <c r="C4193" t="inlineStr">
        <is>
          <t>2018-04</t>
        </is>
      </c>
      <c r="D4193" t="inlineStr">
        <is>
          <t>b76ef37428e6799c421989521c0e5077</t>
        </is>
      </c>
      <c r="E4193" t="inlineStr">
        <is>
          <t>unknown</t>
        </is>
      </c>
      <c r="F4193">
        <f>IFERROR(MATCH(A4193,Deals!$A$2:$A$843,0),"")</f>
        <v/>
      </c>
      <c r="G4193">
        <f>IF(F4193="",0,1)</f>
        <v/>
      </c>
      <c r="H4193" s="29">
        <f>IF(F4193="","",INDEX(Deals!$E$2:$E$843,F4193))</f>
        <v/>
      </c>
      <c r="I4193">
        <f>IF(F4193="","",INDEX(Deals!$D$2:$D$843,F4193))</f>
        <v/>
      </c>
      <c r="J4193">
        <f>IF(F4193="","",INT(H4193)-B4193)</f>
        <v/>
      </c>
      <c r="K4193">
        <f>IF(B4193&gt;=Settings!$C$5,1,0)</f>
        <v/>
      </c>
    </row>
    <row r="4194">
      <c r="A4194" t="inlineStr">
        <is>
          <t>eaa9bf7df753a0756ace3d7553bc11ff</t>
        </is>
      </c>
      <c r="B4194" s="29" t="n">
        <v>43194</v>
      </c>
      <c r="C4194" t="inlineStr">
        <is>
          <t>2018-04</t>
        </is>
      </c>
      <c r="D4194" t="inlineStr">
        <is>
          <t>b76ef37428e6799c421989521c0e5077</t>
        </is>
      </c>
      <c r="E4194" t="inlineStr">
        <is>
          <t>unknown</t>
        </is>
      </c>
      <c r="F4194">
        <f>IFERROR(MATCH(A4194,Deals!$A$2:$A$843,0),"")</f>
        <v/>
      </c>
      <c r="G4194">
        <f>IF(F4194="",0,1)</f>
        <v/>
      </c>
      <c r="H4194" s="29">
        <f>IF(F4194="","",INDEX(Deals!$E$2:$E$843,F4194))</f>
        <v/>
      </c>
      <c r="I4194">
        <f>IF(F4194="","",INDEX(Deals!$D$2:$D$843,F4194))</f>
        <v/>
      </c>
      <c r="J4194">
        <f>IF(F4194="","",INT(H4194)-B4194)</f>
        <v/>
      </c>
      <c r="K4194">
        <f>IF(B4194&gt;=Settings!$C$5,1,0)</f>
        <v/>
      </c>
    </row>
    <row r="4195">
      <c r="A4195" t="inlineStr">
        <is>
          <t>9ce60c64ac4510df68537de96631261f</t>
        </is>
      </c>
      <c r="B4195" s="29" t="n">
        <v>42951</v>
      </c>
      <c r="C4195" t="inlineStr">
        <is>
          <t>2017-08</t>
        </is>
      </c>
      <c r="D4195" t="inlineStr">
        <is>
          <t>b76ef37428e6799c421989521c0e5077</t>
        </is>
      </c>
      <c r="E4195" t="inlineStr">
        <is>
          <t>email</t>
        </is>
      </c>
      <c r="F4195">
        <f>IFERROR(MATCH(A4195,Deals!$A$2:$A$843,0),"")</f>
        <v/>
      </c>
      <c r="G4195">
        <f>IF(F4195="",0,1)</f>
        <v/>
      </c>
      <c r="H4195" s="29">
        <f>IF(F4195="","",INDEX(Deals!$E$2:$E$843,F4195))</f>
        <v/>
      </c>
      <c r="I4195">
        <f>IF(F4195="","",INDEX(Deals!$D$2:$D$843,F4195))</f>
        <v/>
      </c>
      <c r="J4195">
        <f>IF(F4195="","",INT(H4195)-B4195)</f>
        <v/>
      </c>
      <c r="K4195">
        <f>IF(B4195&gt;=Settings!$C$5,1,0)</f>
        <v/>
      </c>
    </row>
    <row r="4196">
      <c r="A4196" t="inlineStr">
        <is>
          <t>75bca42b6b5e869be888efd8ec86fcbb</t>
        </is>
      </c>
      <c r="B4196" s="29" t="n">
        <v>43056</v>
      </c>
      <c r="C4196" t="inlineStr">
        <is>
          <t>2017-11</t>
        </is>
      </c>
      <c r="D4196" t="inlineStr">
        <is>
          <t>1722481ac9e5371e5099dea226b5421d</t>
        </is>
      </c>
      <c r="E4196" t="inlineStr">
        <is>
          <t>organic_search</t>
        </is>
      </c>
      <c r="F4196">
        <f>IFERROR(MATCH(A4196,Deals!$A$2:$A$843,0),"")</f>
        <v/>
      </c>
      <c r="G4196">
        <f>IF(F4196="",0,1)</f>
        <v/>
      </c>
      <c r="H4196" s="29">
        <f>IF(F4196="","",INDEX(Deals!$E$2:$E$843,F4196))</f>
        <v/>
      </c>
      <c r="I4196">
        <f>IF(F4196="","",INDEX(Deals!$D$2:$D$843,F4196))</f>
        <v/>
      </c>
      <c r="J4196">
        <f>IF(F4196="","",INT(H4196)-B4196)</f>
        <v/>
      </c>
      <c r="K4196">
        <f>IF(B4196&gt;=Settings!$C$5,1,0)</f>
        <v/>
      </c>
    </row>
    <row r="4197">
      <c r="A4197" t="inlineStr">
        <is>
          <t>4f7d9961def7929f575ad0b78fc17672</t>
        </is>
      </c>
      <c r="B4197" s="29" t="n">
        <v>43220</v>
      </c>
      <c r="C4197" t="inlineStr">
        <is>
          <t>2018-04</t>
        </is>
      </c>
      <c r="D4197" t="inlineStr">
        <is>
          <t>f017be4dbf86243af5c1ebed0cff36a2</t>
        </is>
      </c>
      <c r="E4197" t="inlineStr">
        <is>
          <t>organic_search</t>
        </is>
      </c>
      <c r="F4197">
        <f>IFERROR(MATCH(A4197,Deals!$A$2:$A$843,0),"")</f>
        <v/>
      </c>
      <c r="G4197">
        <f>IF(F4197="",0,1)</f>
        <v/>
      </c>
      <c r="H4197" s="29">
        <f>IF(F4197="","",INDEX(Deals!$E$2:$E$843,F4197))</f>
        <v/>
      </c>
      <c r="I4197">
        <f>IF(F4197="","",INDEX(Deals!$D$2:$D$843,F4197))</f>
        <v/>
      </c>
      <c r="J4197">
        <f>IF(F4197="","",INT(H4197)-B4197)</f>
        <v/>
      </c>
      <c r="K4197">
        <f>IF(B4197&gt;=Settings!$C$5,1,0)</f>
        <v/>
      </c>
    </row>
    <row r="4198">
      <c r="A4198" t="inlineStr">
        <is>
          <t>b1baa403406e9bc353bc829e3ffd6cee</t>
        </is>
      </c>
      <c r="B4198" s="29" t="n">
        <v>43068</v>
      </c>
      <c r="C4198" t="inlineStr">
        <is>
          <t>2017-11</t>
        </is>
      </c>
      <c r="D4198" t="inlineStr">
        <is>
          <t>1722481ac9e5371e5099dea226b5421d</t>
        </is>
      </c>
      <c r="E4198" t="inlineStr">
        <is>
          <t>paid_search</t>
        </is>
      </c>
      <c r="F4198">
        <f>IFERROR(MATCH(A4198,Deals!$A$2:$A$843,0),"")</f>
        <v/>
      </c>
      <c r="G4198">
        <f>IF(F4198="",0,1)</f>
        <v/>
      </c>
      <c r="H4198" s="29">
        <f>IF(F4198="","",INDEX(Deals!$E$2:$E$843,F4198))</f>
        <v/>
      </c>
      <c r="I4198">
        <f>IF(F4198="","",INDEX(Deals!$D$2:$D$843,F4198))</f>
        <v/>
      </c>
      <c r="J4198">
        <f>IF(F4198="","",INT(H4198)-B4198)</f>
        <v/>
      </c>
      <c r="K4198">
        <f>IF(B4198&gt;=Settings!$C$5,1,0)</f>
        <v/>
      </c>
    </row>
    <row r="4199">
      <c r="A4199" t="inlineStr">
        <is>
          <t>15a98a484ca743a36a71cbaf2b347dd1</t>
        </is>
      </c>
      <c r="B4199" s="29" t="n">
        <v>43184</v>
      </c>
      <c r="C4199" t="inlineStr">
        <is>
          <t>2018-03</t>
        </is>
      </c>
      <c r="D4199" t="inlineStr">
        <is>
          <t>46bd119220c8bf61324669b1d82203ac</t>
        </is>
      </c>
      <c r="E4199" t="inlineStr">
        <is>
          <t>referral</t>
        </is>
      </c>
      <c r="F4199">
        <f>IFERROR(MATCH(A4199,Deals!$A$2:$A$843,0),"")</f>
        <v/>
      </c>
      <c r="G4199">
        <f>IF(F4199="",0,1)</f>
        <v/>
      </c>
      <c r="H4199" s="29">
        <f>IF(F4199="","",INDEX(Deals!$E$2:$E$843,F4199))</f>
        <v/>
      </c>
      <c r="I4199">
        <f>IF(F4199="","",INDEX(Deals!$D$2:$D$843,F4199))</f>
        <v/>
      </c>
      <c r="J4199">
        <f>IF(F4199="","",INT(H4199)-B4199)</f>
        <v/>
      </c>
      <c r="K4199">
        <f>IF(B4199&gt;=Settings!$C$5,1,0)</f>
        <v/>
      </c>
    </row>
    <row r="4200">
      <c r="A4200" t="inlineStr">
        <is>
          <t>c2174952a0255de7fb31b91a037f1e16</t>
        </is>
      </c>
      <c r="B4200" s="29" t="n">
        <v>43112</v>
      </c>
      <c r="C4200" t="inlineStr">
        <is>
          <t>2018-01</t>
        </is>
      </c>
      <c r="D4200" t="inlineStr">
        <is>
          <t>30077c17f2ec5010a82e37ad8925b95f</t>
        </is>
      </c>
      <c r="E4200" t="inlineStr">
        <is>
          <t>organic_search</t>
        </is>
      </c>
      <c r="F4200">
        <f>IFERROR(MATCH(A4200,Deals!$A$2:$A$843,0),"")</f>
        <v/>
      </c>
      <c r="G4200">
        <f>IF(F4200="",0,1)</f>
        <v/>
      </c>
      <c r="H4200" s="29">
        <f>IF(F4200="","",INDEX(Deals!$E$2:$E$843,F4200))</f>
        <v/>
      </c>
      <c r="I4200">
        <f>IF(F4200="","",INDEX(Deals!$D$2:$D$843,F4200))</f>
        <v/>
      </c>
      <c r="J4200">
        <f>IF(F4200="","",INT(H4200)-B4200)</f>
        <v/>
      </c>
      <c r="K4200">
        <f>IF(B4200&gt;=Settings!$C$5,1,0)</f>
        <v/>
      </c>
    </row>
    <row r="4201">
      <c r="A4201" t="inlineStr">
        <is>
          <t>6c5184483cf53cdccb474420b29a911c</t>
        </is>
      </c>
      <c r="B4201" s="29" t="n">
        <v>43117</v>
      </c>
      <c r="C4201" t="inlineStr">
        <is>
          <t>2018-01</t>
        </is>
      </c>
      <c r="D4201" t="inlineStr">
        <is>
          <t>a7982125ff7aa3b2054c6e44f9d28522</t>
        </is>
      </c>
      <c r="E4201" t="inlineStr">
        <is>
          <t>organic_search</t>
        </is>
      </c>
      <c r="F4201">
        <f>IFERROR(MATCH(A4201,Deals!$A$2:$A$843,0),"")</f>
        <v/>
      </c>
      <c r="G4201">
        <f>IF(F4201="",0,1)</f>
        <v/>
      </c>
      <c r="H4201" s="29">
        <f>IF(F4201="","",INDEX(Deals!$E$2:$E$843,F4201))</f>
        <v/>
      </c>
      <c r="I4201">
        <f>IF(F4201="","",INDEX(Deals!$D$2:$D$843,F4201))</f>
        <v/>
      </c>
      <c r="J4201">
        <f>IF(F4201="","",INT(H4201)-B4201)</f>
        <v/>
      </c>
      <c r="K4201">
        <f>IF(B4201&gt;=Settings!$C$5,1,0)</f>
        <v/>
      </c>
    </row>
    <row r="4202">
      <c r="A4202" t="inlineStr">
        <is>
          <t>ec1859db271276d4081d7ca1f767258d</t>
        </is>
      </c>
      <c r="B4202" s="29" t="n">
        <v>43200</v>
      </c>
      <c r="C4202" t="inlineStr">
        <is>
          <t>2018-04</t>
        </is>
      </c>
      <c r="D4202" t="inlineStr">
        <is>
          <t>22c29808c4f815213303f8933030604c</t>
        </is>
      </c>
      <c r="E4202" t="inlineStr">
        <is>
          <t>organic_search</t>
        </is>
      </c>
      <c r="F4202">
        <f>IFERROR(MATCH(A4202,Deals!$A$2:$A$843,0),"")</f>
        <v/>
      </c>
      <c r="G4202">
        <f>IF(F4202="",0,1)</f>
        <v/>
      </c>
      <c r="H4202" s="29">
        <f>IF(F4202="","",INDEX(Deals!$E$2:$E$843,F4202))</f>
        <v/>
      </c>
      <c r="I4202">
        <f>IF(F4202="","",INDEX(Deals!$D$2:$D$843,F4202))</f>
        <v/>
      </c>
      <c r="J4202">
        <f>IF(F4202="","",INT(H4202)-B4202)</f>
        <v/>
      </c>
      <c r="K4202">
        <f>IF(B4202&gt;=Settings!$C$5,1,0)</f>
        <v/>
      </c>
    </row>
    <row r="4203">
      <c r="A4203" t="inlineStr">
        <is>
          <t>70c3446a690bb1c8b83a09a33cf0b0d1</t>
        </is>
      </c>
      <c r="B4203" s="29" t="n">
        <v>43137</v>
      </c>
      <c r="C4203" t="inlineStr">
        <is>
          <t>2018-02</t>
        </is>
      </c>
      <c r="D4203" t="inlineStr">
        <is>
          <t>88740e65d5d6b056e0cda098e1ea6313</t>
        </is>
      </c>
      <c r="E4203" t="inlineStr">
        <is>
          <t>social</t>
        </is>
      </c>
      <c r="F4203">
        <f>IFERROR(MATCH(A4203,Deals!$A$2:$A$843,0),"")</f>
        <v/>
      </c>
      <c r="G4203">
        <f>IF(F4203="",0,1)</f>
        <v/>
      </c>
      <c r="H4203" s="29">
        <f>IF(F4203="","",INDEX(Deals!$E$2:$E$843,F4203))</f>
        <v/>
      </c>
      <c r="I4203">
        <f>IF(F4203="","",INDEX(Deals!$D$2:$D$843,F4203))</f>
        <v/>
      </c>
      <c r="J4203">
        <f>IF(F4203="","",INT(H4203)-B4203)</f>
        <v/>
      </c>
      <c r="K4203">
        <f>IF(B4203&gt;=Settings!$C$5,1,0)</f>
        <v/>
      </c>
    </row>
    <row r="4204">
      <c r="A4204" t="inlineStr">
        <is>
          <t>fafcb194af3cdf5ea3355224c6224d6f</t>
        </is>
      </c>
      <c r="B4204" s="29" t="n">
        <v>43119</v>
      </c>
      <c r="C4204" t="inlineStr">
        <is>
          <t>2018-01</t>
        </is>
      </c>
      <c r="D4204" t="inlineStr">
        <is>
          <t>40dec9f3d5259a3d2dbcdab2114fae47</t>
        </is>
      </c>
      <c r="E4204" t="inlineStr">
        <is>
          <t>paid_search</t>
        </is>
      </c>
      <c r="F4204">
        <f>IFERROR(MATCH(A4204,Deals!$A$2:$A$843,0),"")</f>
        <v/>
      </c>
      <c r="G4204">
        <f>IF(F4204="",0,1)</f>
        <v/>
      </c>
      <c r="H4204" s="29">
        <f>IF(F4204="","",INDEX(Deals!$E$2:$E$843,F4204))</f>
        <v/>
      </c>
      <c r="I4204">
        <f>IF(F4204="","",INDEX(Deals!$D$2:$D$843,F4204))</f>
        <v/>
      </c>
      <c r="J4204">
        <f>IF(F4204="","",INT(H4204)-B4204)</f>
        <v/>
      </c>
      <c r="K4204">
        <f>IF(B4204&gt;=Settings!$C$5,1,0)</f>
        <v/>
      </c>
    </row>
    <row r="4205">
      <c r="A4205" t="inlineStr">
        <is>
          <t>ef2e814b4e7cc7e6e4a1f3c8f035275d</t>
        </is>
      </c>
      <c r="B4205" s="29" t="n">
        <v>43187</v>
      </c>
      <c r="C4205" t="inlineStr">
        <is>
          <t>2018-03</t>
        </is>
      </c>
      <c r="D4205" t="inlineStr">
        <is>
          <t>58326e62183c14b0c03085c33b9fdc44</t>
        </is>
      </c>
      <c r="E4205" t="inlineStr">
        <is>
          <t>social</t>
        </is>
      </c>
      <c r="F4205">
        <f>IFERROR(MATCH(A4205,Deals!$A$2:$A$843,0),"")</f>
        <v/>
      </c>
      <c r="G4205">
        <f>IF(F4205="",0,1)</f>
        <v/>
      </c>
      <c r="H4205" s="29">
        <f>IF(F4205="","",INDEX(Deals!$E$2:$E$843,F4205))</f>
        <v/>
      </c>
      <c r="I4205">
        <f>IF(F4205="","",INDEX(Deals!$D$2:$D$843,F4205))</f>
        <v/>
      </c>
      <c r="J4205">
        <f>IF(F4205="","",INT(H4205)-B4205)</f>
        <v/>
      </c>
      <c r="K4205">
        <f>IF(B4205&gt;=Settings!$C$5,1,0)</f>
        <v/>
      </c>
    </row>
    <row r="4206">
      <c r="A4206" t="inlineStr">
        <is>
          <t>b9539626d37f52bcdf87c0e671329cbb</t>
        </is>
      </c>
      <c r="B4206" s="29" t="n">
        <v>43106</v>
      </c>
      <c r="C4206" t="inlineStr">
        <is>
          <t>2018-01</t>
        </is>
      </c>
      <c r="D4206" t="inlineStr">
        <is>
          <t>a7982125ff7aa3b2054c6e44f9d28522</t>
        </is>
      </c>
      <c r="E4206" t="inlineStr">
        <is>
          <t>paid_search</t>
        </is>
      </c>
      <c r="F4206">
        <f>IFERROR(MATCH(A4206,Deals!$A$2:$A$843,0),"")</f>
        <v/>
      </c>
      <c r="G4206">
        <f>IF(F4206="",0,1)</f>
        <v/>
      </c>
      <c r="H4206" s="29">
        <f>IF(F4206="","",INDEX(Deals!$E$2:$E$843,F4206))</f>
        <v/>
      </c>
      <c r="I4206">
        <f>IF(F4206="","",INDEX(Deals!$D$2:$D$843,F4206))</f>
        <v/>
      </c>
      <c r="J4206">
        <f>IF(F4206="","",INT(H4206)-B4206)</f>
        <v/>
      </c>
      <c r="K4206">
        <f>IF(B4206&gt;=Settings!$C$5,1,0)</f>
        <v/>
      </c>
    </row>
    <row r="4207">
      <c r="A4207" t="inlineStr">
        <is>
          <t>aa3845080ecdff9a553b681aa61c2ad8</t>
        </is>
      </c>
      <c r="B4207" s="29" t="n">
        <v>43231</v>
      </c>
      <c r="C4207" t="inlineStr">
        <is>
          <t>2018-05</t>
        </is>
      </c>
      <c r="D4207" t="inlineStr">
        <is>
          <t>c0fb5b3c854a4b30334892c71faa13c2</t>
        </is>
      </c>
      <c r="E4207" t="inlineStr">
        <is>
          <t>unknown</t>
        </is>
      </c>
      <c r="F4207">
        <f>IFERROR(MATCH(A4207,Deals!$A$2:$A$843,0),"")</f>
        <v/>
      </c>
      <c r="G4207">
        <f>IF(F4207="",0,1)</f>
        <v/>
      </c>
      <c r="H4207" s="29">
        <f>IF(F4207="","",INDEX(Deals!$E$2:$E$843,F4207))</f>
        <v/>
      </c>
      <c r="I4207">
        <f>IF(F4207="","",INDEX(Deals!$D$2:$D$843,F4207))</f>
        <v/>
      </c>
      <c r="J4207">
        <f>IF(F4207="","",INT(H4207)-B4207)</f>
        <v/>
      </c>
      <c r="K4207">
        <f>IF(B4207&gt;=Settings!$C$5,1,0)</f>
        <v/>
      </c>
    </row>
    <row r="4208">
      <c r="A4208" t="inlineStr">
        <is>
          <t>9082eaa58d8b1028c26c256c6de14aab</t>
        </is>
      </c>
      <c r="B4208" s="29" t="n">
        <v>43207</v>
      </c>
      <c r="C4208" t="inlineStr">
        <is>
          <t>2018-04</t>
        </is>
      </c>
      <c r="D4208" t="inlineStr">
        <is>
          <t>58326e62183c14b0c03085c33b9fdc44</t>
        </is>
      </c>
      <c r="E4208" t="inlineStr">
        <is>
          <t>social</t>
        </is>
      </c>
      <c r="F4208">
        <f>IFERROR(MATCH(A4208,Deals!$A$2:$A$843,0),"")</f>
        <v/>
      </c>
      <c r="G4208">
        <f>IF(F4208="",0,1)</f>
        <v/>
      </c>
      <c r="H4208" s="29">
        <f>IF(F4208="","",INDEX(Deals!$E$2:$E$843,F4208))</f>
        <v/>
      </c>
      <c r="I4208">
        <f>IF(F4208="","",INDEX(Deals!$D$2:$D$843,F4208))</f>
        <v/>
      </c>
      <c r="J4208">
        <f>IF(F4208="","",INT(H4208)-B4208)</f>
        <v/>
      </c>
      <c r="K4208">
        <f>IF(B4208&gt;=Settings!$C$5,1,0)</f>
        <v/>
      </c>
    </row>
    <row r="4209">
      <c r="A4209" t="inlineStr">
        <is>
          <t>bbba677a7830a14343512ae9637e3879</t>
        </is>
      </c>
      <c r="B4209" s="29" t="n">
        <v>43222</v>
      </c>
      <c r="C4209" t="inlineStr">
        <is>
          <t>2018-05</t>
        </is>
      </c>
      <c r="D4209" t="inlineStr">
        <is>
          <t>58326e62183c14b0c03085c33b9fdc44</t>
        </is>
      </c>
      <c r="E4209" t="inlineStr">
        <is>
          <t>social</t>
        </is>
      </c>
      <c r="F4209">
        <f>IFERROR(MATCH(A4209,Deals!$A$2:$A$843,0),"")</f>
        <v/>
      </c>
      <c r="G4209">
        <f>IF(F4209="",0,1)</f>
        <v/>
      </c>
      <c r="H4209" s="29">
        <f>IF(F4209="","",INDEX(Deals!$E$2:$E$843,F4209))</f>
        <v/>
      </c>
      <c r="I4209">
        <f>IF(F4209="","",INDEX(Deals!$D$2:$D$843,F4209))</f>
        <v/>
      </c>
      <c r="J4209">
        <f>IF(F4209="","",INT(H4209)-B4209)</f>
        <v/>
      </c>
      <c r="K4209">
        <f>IF(B4209&gt;=Settings!$C$5,1,0)</f>
        <v/>
      </c>
    </row>
    <row r="4210">
      <c r="A4210" t="inlineStr">
        <is>
          <t>9dbda50bc131e3813851660dd15d0ef9</t>
        </is>
      </c>
      <c r="B4210" s="29" t="n">
        <v>43244</v>
      </c>
      <c r="C4210" t="inlineStr">
        <is>
          <t>2018-05</t>
        </is>
      </c>
      <c r="D4210" t="inlineStr">
        <is>
          <t>40dec9f3d5259a3d2dbcdab2114fae47</t>
        </is>
      </c>
      <c r="E4210" t="inlineStr">
        <is>
          <t>paid_search</t>
        </is>
      </c>
      <c r="F4210">
        <f>IFERROR(MATCH(A4210,Deals!$A$2:$A$843,0),"")</f>
        <v/>
      </c>
      <c r="G4210">
        <f>IF(F4210="",0,1)</f>
        <v/>
      </c>
      <c r="H4210" s="29">
        <f>IF(F4210="","",INDEX(Deals!$E$2:$E$843,F4210))</f>
        <v/>
      </c>
      <c r="I4210">
        <f>IF(F4210="","",INDEX(Deals!$D$2:$D$843,F4210))</f>
        <v/>
      </c>
      <c r="J4210">
        <f>IF(F4210="","",INT(H4210)-B4210)</f>
        <v/>
      </c>
      <c r="K4210">
        <f>IF(B4210&gt;=Settings!$C$5,1,0)</f>
        <v/>
      </c>
    </row>
    <row r="4211">
      <c r="A4211" t="inlineStr">
        <is>
          <t>6c5532cd89a43796f19e4ac21f3b8c72</t>
        </is>
      </c>
      <c r="B4211" s="29" t="n">
        <v>43118</v>
      </c>
      <c r="C4211" t="inlineStr">
        <is>
          <t>2018-01</t>
        </is>
      </c>
      <c r="D4211" t="inlineStr">
        <is>
          <t>ce1a65abd0973638f1c887a6efcfa82d</t>
        </is>
      </c>
      <c r="E4211" t="inlineStr">
        <is>
          <t>direct_traffic</t>
        </is>
      </c>
      <c r="F4211">
        <f>IFERROR(MATCH(A4211,Deals!$A$2:$A$843,0),"")</f>
        <v/>
      </c>
      <c r="G4211">
        <f>IF(F4211="",0,1)</f>
        <v/>
      </c>
      <c r="H4211" s="29">
        <f>IF(F4211="","",INDEX(Deals!$E$2:$E$843,F4211))</f>
        <v/>
      </c>
      <c r="I4211">
        <f>IF(F4211="","",INDEX(Deals!$D$2:$D$843,F4211))</f>
        <v/>
      </c>
      <c r="J4211">
        <f>IF(F4211="","",INT(H4211)-B4211)</f>
        <v/>
      </c>
      <c r="K4211">
        <f>IF(B4211&gt;=Settings!$C$5,1,0)</f>
        <v/>
      </c>
    </row>
    <row r="4212">
      <c r="A4212" t="inlineStr">
        <is>
          <t>d24802faacea07a0f93f06662aa12a40</t>
        </is>
      </c>
      <c r="B4212" s="29" t="n">
        <v>43240</v>
      </c>
      <c r="C4212" t="inlineStr">
        <is>
          <t>2018-05</t>
        </is>
      </c>
      <c r="D4212" t="inlineStr">
        <is>
          <t>34c9ef8fb69f256ff66add711305d279</t>
        </is>
      </c>
      <c r="E4212" t="inlineStr">
        <is>
          <t>paid_search</t>
        </is>
      </c>
      <c r="F4212">
        <f>IFERROR(MATCH(A4212,Deals!$A$2:$A$843,0),"")</f>
        <v/>
      </c>
      <c r="G4212">
        <f>IF(F4212="",0,1)</f>
        <v/>
      </c>
      <c r="H4212" s="29">
        <f>IF(F4212="","",INDEX(Deals!$E$2:$E$843,F4212))</f>
        <v/>
      </c>
      <c r="I4212">
        <f>IF(F4212="","",INDEX(Deals!$D$2:$D$843,F4212))</f>
        <v/>
      </c>
      <c r="J4212">
        <f>IF(F4212="","",INT(H4212)-B4212)</f>
        <v/>
      </c>
      <c r="K4212">
        <f>IF(B4212&gt;=Settings!$C$5,1,0)</f>
        <v/>
      </c>
    </row>
    <row r="4213">
      <c r="A4213" t="inlineStr">
        <is>
          <t>7a99ddd64872e5a6b4084867dd14ef4a</t>
        </is>
      </c>
      <c r="B4213" s="29" t="n">
        <v>43157</v>
      </c>
      <c r="C4213" t="inlineStr">
        <is>
          <t>2018-02</t>
        </is>
      </c>
      <c r="D4213" t="inlineStr">
        <is>
          <t>88740e65d5d6b056e0cda098e1ea6313</t>
        </is>
      </c>
      <c r="E4213" t="inlineStr">
        <is>
          <t>social</t>
        </is>
      </c>
      <c r="F4213">
        <f>IFERROR(MATCH(A4213,Deals!$A$2:$A$843,0),"")</f>
        <v/>
      </c>
      <c r="G4213">
        <f>IF(F4213="",0,1)</f>
        <v/>
      </c>
      <c r="H4213" s="29">
        <f>IF(F4213="","",INDEX(Deals!$E$2:$E$843,F4213))</f>
        <v/>
      </c>
      <c r="I4213">
        <f>IF(F4213="","",INDEX(Deals!$D$2:$D$843,F4213))</f>
        <v/>
      </c>
      <c r="J4213">
        <f>IF(F4213="","",INT(H4213)-B4213)</f>
        <v/>
      </c>
      <c r="K4213">
        <f>IF(B4213&gt;=Settings!$C$5,1,0)</f>
        <v/>
      </c>
    </row>
    <row r="4214">
      <c r="A4214" t="inlineStr">
        <is>
          <t>88107ba931ed078f1a1d73d0bd575a32</t>
        </is>
      </c>
      <c r="B4214" s="29" t="n">
        <v>43185</v>
      </c>
      <c r="C4214" t="inlineStr">
        <is>
          <t>2018-03</t>
        </is>
      </c>
      <c r="D4214" t="inlineStr">
        <is>
          <t>40dec9f3d5259a3d2dbcdab2114fae47</t>
        </is>
      </c>
      <c r="E4214" t="inlineStr">
        <is>
          <t>organic_search</t>
        </is>
      </c>
      <c r="F4214">
        <f>IFERROR(MATCH(A4214,Deals!$A$2:$A$843,0),"")</f>
        <v/>
      </c>
      <c r="G4214">
        <f>IF(F4214="",0,1)</f>
        <v/>
      </c>
      <c r="H4214" s="29">
        <f>IF(F4214="","",INDEX(Deals!$E$2:$E$843,F4214))</f>
        <v/>
      </c>
      <c r="I4214">
        <f>IF(F4214="","",INDEX(Deals!$D$2:$D$843,F4214))</f>
        <v/>
      </c>
      <c r="J4214">
        <f>IF(F4214="","",INT(H4214)-B4214)</f>
        <v/>
      </c>
      <c r="K4214">
        <f>IF(B4214&gt;=Settings!$C$5,1,0)</f>
        <v/>
      </c>
    </row>
    <row r="4215">
      <c r="A4215" t="inlineStr">
        <is>
          <t>20352cbe288211abf5161bc6fcbc1a3c</t>
        </is>
      </c>
      <c r="B4215" s="29" t="n">
        <v>43070</v>
      </c>
      <c r="C4215" t="inlineStr">
        <is>
          <t>2017-12</t>
        </is>
      </c>
      <c r="D4215" t="inlineStr">
        <is>
          <t>241f79c7a8fe0270f4fb79fcbbcd17ad</t>
        </is>
      </c>
      <c r="E4215" t="inlineStr">
        <is>
          <t>paid_search</t>
        </is>
      </c>
      <c r="F4215">
        <f>IFERROR(MATCH(A4215,Deals!$A$2:$A$843,0),"")</f>
        <v/>
      </c>
      <c r="G4215">
        <f>IF(F4215="",0,1)</f>
        <v/>
      </c>
      <c r="H4215" s="29">
        <f>IF(F4215="","",INDEX(Deals!$E$2:$E$843,F4215))</f>
        <v/>
      </c>
      <c r="I4215">
        <f>IF(F4215="","",INDEX(Deals!$D$2:$D$843,F4215))</f>
        <v/>
      </c>
      <c r="J4215">
        <f>IF(F4215="","",INT(H4215)-B4215)</f>
        <v/>
      </c>
      <c r="K4215">
        <f>IF(B4215&gt;=Settings!$C$5,1,0)</f>
        <v/>
      </c>
    </row>
    <row r="4216">
      <c r="A4216" t="inlineStr">
        <is>
          <t>7dc550c83c75a49032148a7f90f248cf</t>
        </is>
      </c>
      <c r="B4216" s="29" t="n">
        <v>43207</v>
      </c>
      <c r="C4216" t="inlineStr">
        <is>
          <t>2018-04</t>
        </is>
      </c>
      <c r="D4216" t="inlineStr">
        <is>
          <t>30077c17f2ec5010a82e37ad8925b95f</t>
        </is>
      </c>
      <c r="E4216" t="inlineStr">
        <is>
          <t>organic_search</t>
        </is>
      </c>
      <c r="F4216">
        <f>IFERROR(MATCH(A4216,Deals!$A$2:$A$843,0),"")</f>
        <v/>
      </c>
      <c r="G4216">
        <f>IF(F4216="",0,1)</f>
        <v/>
      </c>
      <c r="H4216" s="29">
        <f>IF(F4216="","",INDEX(Deals!$E$2:$E$843,F4216))</f>
        <v/>
      </c>
      <c r="I4216">
        <f>IF(F4216="","",INDEX(Deals!$D$2:$D$843,F4216))</f>
        <v/>
      </c>
      <c r="J4216">
        <f>IF(F4216="","",INT(H4216)-B4216)</f>
        <v/>
      </c>
      <c r="K4216">
        <f>IF(B4216&gt;=Settings!$C$5,1,0)</f>
        <v/>
      </c>
    </row>
    <row r="4217">
      <c r="A4217" t="inlineStr">
        <is>
          <t>9640700c442214957adbe5aa77e2ace3</t>
        </is>
      </c>
      <c r="B4217" s="29" t="n">
        <v>43009</v>
      </c>
      <c r="C4217" t="inlineStr">
        <is>
          <t>2017-10</t>
        </is>
      </c>
      <c r="D4217" t="inlineStr">
        <is>
          <t>007f9098284a86ee80ddeb25d53e0af8</t>
        </is>
      </c>
      <c r="E4217" t="inlineStr">
        <is>
          <t>paid_search</t>
        </is>
      </c>
      <c r="F4217">
        <f>IFERROR(MATCH(A4217,Deals!$A$2:$A$843,0),"")</f>
        <v/>
      </c>
      <c r="G4217">
        <f>IF(F4217="",0,1)</f>
        <v/>
      </c>
      <c r="H4217" s="29">
        <f>IF(F4217="","",INDEX(Deals!$E$2:$E$843,F4217))</f>
        <v/>
      </c>
      <c r="I4217">
        <f>IF(F4217="","",INDEX(Deals!$D$2:$D$843,F4217))</f>
        <v/>
      </c>
      <c r="J4217">
        <f>IF(F4217="","",INT(H4217)-B4217)</f>
        <v/>
      </c>
      <c r="K4217">
        <f>IF(B4217&gt;=Settings!$C$5,1,0)</f>
        <v/>
      </c>
    </row>
    <row r="4218">
      <c r="A4218" t="inlineStr">
        <is>
          <t>8c4e1000e86191ffd2a27a253c0aad82</t>
        </is>
      </c>
      <c r="B4218" s="29" t="n">
        <v>42976</v>
      </c>
      <c r="C4218" t="inlineStr">
        <is>
          <t>2017-08</t>
        </is>
      </c>
      <c r="D4218" t="inlineStr">
        <is>
          <t>f017be4dbf86243af5c1ebed0cff36a2</t>
        </is>
      </c>
      <c r="E4218" t="inlineStr">
        <is>
          <t>organic_search</t>
        </is>
      </c>
      <c r="F4218">
        <f>IFERROR(MATCH(A4218,Deals!$A$2:$A$843,0),"")</f>
        <v/>
      </c>
      <c r="G4218">
        <f>IF(F4218="",0,1)</f>
        <v/>
      </c>
      <c r="H4218" s="29">
        <f>IF(F4218="","",INDEX(Deals!$E$2:$E$843,F4218))</f>
        <v/>
      </c>
      <c r="I4218">
        <f>IF(F4218="","",INDEX(Deals!$D$2:$D$843,F4218))</f>
        <v/>
      </c>
      <c r="J4218">
        <f>IF(F4218="","",INT(H4218)-B4218)</f>
        <v/>
      </c>
      <c r="K4218">
        <f>IF(B4218&gt;=Settings!$C$5,1,0)</f>
        <v/>
      </c>
    </row>
    <row r="4219">
      <c r="A4219" t="inlineStr">
        <is>
          <t>115f08592f4c2bb29013efbbc46608fc</t>
        </is>
      </c>
      <c r="B4219" s="29" t="n">
        <v>43115</v>
      </c>
      <c r="C4219" t="inlineStr">
        <is>
          <t>2018-01</t>
        </is>
      </c>
      <c r="D4219" t="inlineStr">
        <is>
          <t>b76ef37428e6799c421989521c0e5077</t>
        </is>
      </c>
      <c r="E4219" t="inlineStr">
        <is>
          <t>unknown</t>
        </is>
      </c>
      <c r="F4219">
        <f>IFERROR(MATCH(A4219,Deals!$A$2:$A$843,0),"")</f>
        <v/>
      </c>
      <c r="G4219">
        <f>IF(F4219="",0,1)</f>
        <v/>
      </c>
      <c r="H4219" s="29">
        <f>IF(F4219="","",INDEX(Deals!$E$2:$E$843,F4219))</f>
        <v/>
      </c>
      <c r="I4219">
        <f>IF(F4219="","",INDEX(Deals!$D$2:$D$843,F4219))</f>
        <v/>
      </c>
      <c r="J4219">
        <f>IF(F4219="","",INT(H4219)-B4219)</f>
        <v/>
      </c>
      <c r="K4219">
        <f>IF(B4219&gt;=Settings!$C$5,1,0)</f>
        <v/>
      </c>
    </row>
    <row r="4220">
      <c r="A4220" t="inlineStr">
        <is>
          <t>20cacf957f7d3f661bae47fa58879299</t>
        </is>
      </c>
      <c r="B4220" s="29" t="n">
        <v>43152</v>
      </c>
      <c r="C4220" t="inlineStr">
        <is>
          <t>2018-02</t>
        </is>
      </c>
      <c r="D4220" t="inlineStr">
        <is>
          <t>d83b0d0e48c8447d1d5507a44027a955</t>
        </is>
      </c>
      <c r="E4220" t="inlineStr">
        <is>
          <t>email</t>
        </is>
      </c>
      <c r="F4220">
        <f>IFERROR(MATCH(A4220,Deals!$A$2:$A$843,0),"")</f>
        <v/>
      </c>
      <c r="G4220">
        <f>IF(F4220="",0,1)</f>
        <v/>
      </c>
      <c r="H4220" s="29">
        <f>IF(F4220="","",INDEX(Deals!$E$2:$E$843,F4220))</f>
        <v/>
      </c>
      <c r="I4220">
        <f>IF(F4220="","",INDEX(Deals!$D$2:$D$843,F4220))</f>
        <v/>
      </c>
      <c r="J4220">
        <f>IF(F4220="","",INT(H4220)-B4220)</f>
        <v/>
      </c>
      <c r="K4220">
        <f>IF(B4220&gt;=Settings!$C$5,1,0)</f>
        <v/>
      </c>
    </row>
    <row r="4221">
      <c r="A4221" t="inlineStr">
        <is>
          <t>20a79e1ab3a172d48f5f78498616ec4d</t>
        </is>
      </c>
      <c r="B4221" s="29" t="n">
        <v>42921</v>
      </c>
      <c r="C4221" t="inlineStr">
        <is>
          <t>2017-07</t>
        </is>
      </c>
      <c r="D4221" t="inlineStr">
        <is>
          <t>b51b5a040fd76d72567c599481147956</t>
        </is>
      </c>
      <c r="E4221" t="inlineStr">
        <is>
          <t>email</t>
        </is>
      </c>
      <c r="F4221">
        <f>IFERROR(MATCH(A4221,Deals!$A$2:$A$843,0),"")</f>
        <v/>
      </c>
      <c r="G4221">
        <f>IF(F4221="",0,1)</f>
        <v/>
      </c>
      <c r="H4221" s="29">
        <f>IF(F4221="","",INDEX(Deals!$E$2:$E$843,F4221))</f>
        <v/>
      </c>
      <c r="I4221">
        <f>IF(F4221="","",INDEX(Deals!$D$2:$D$843,F4221))</f>
        <v/>
      </c>
      <c r="J4221">
        <f>IF(F4221="","",INT(H4221)-B4221)</f>
        <v/>
      </c>
      <c r="K4221">
        <f>IF(B4221&gt;=Settings!$C$5,1,0)</f>
        <v/>
      </c>
    </row>
    <row r="4222">
      <c r="A4222" t="inlineStr">
        <is>
          <t>fe443b928b6126aa5df1d7ef91bd091b</t>
        </is>
      </c>
      <c r="B4222" s="29" t="n">
        <v>43027</v>
      </c>
      <c r="C4222" t="inlineStr">
        <is>
          <t>2017-10</t>
        </is>
      </c>
      <c r="D4222" t="inlineStr">
        <is>
          <t>ee3c3bad6ed3eb9d5de56688d1f9c91b</t>
        </is>
      </c>
      <c r="E4222" t="inlineStr">
        <is>
          <t>organic_search</t>
        </is>
      </c>
      <c r="F4222">
        <f>IFERROR(MATCH(A4222,Deals!$A$2:$A$843,0),"")</f>
        <v/>
      </c>
      <c r="G4222">
        <f>IF(F4222="",0,1)</f>
        <v/>
      </c>
      <c r="H4222" s="29">
        <f>IF(F4222="","",INDEX(Deals!$E$2:$E$843,F4222))</f>
        <v/>
      </c>
      <c r="I4222">
        <f>IF(F4222="","",INDEX(Deals!$D$2:$D$843,F4222))</f>
        <v/>
      </c>
      <c r="J4222">
        <f>IF(F4222="","",INT(H4222)-B4222)</f>
        <v/>
      </c>
      <c r="K4222">
        <f>IF(B4222&gt;=Settings!$C$5,1,0)</f>
        <v/>
      </c>
    </row>
    <row r="4223">
      <c r="A4223" t="inlineStr">
        <is>
          <t>b47d8f2bc37de549eb1b78c0bc54d077</t>
        </is>
      </c>
      <c r="B4223" s="29" t="n">
        <v>43152</v>
      </c>
      <c r="C4223" t="inlineStr">
        <is>
          <t>2018-02</t>
        </is>
      </c>
      <c r="D4223" t="inlineStr">
        <is>
          <t>b76ef37428e6799c421989521c0e5077</t>
        </is>
      </c>
      <c r="E4223" t="inlineStr">
        <is>
          <t>unknown</t>
        </is>
      </c>
      <c r="F4223">
        <f>IFERROR(MATCH(A4223,Deals!$A$2:$A$843,0),"")</f>
        <v/>
      </c>
      <c r="G4223">
        <f>IF(F4223="",0,1)</f>
        <v/>
      </c>
      <c r="H4223" s="29">
        <f>IF(F4223="","",INDEX(Deals!$E$2:$E$843,F4223))</f>
        <v/>
      </c>
      <c r="I4223">
        <f>IF(F4223="","",INDEX(Deals!$D$2:$D$843,F4223))</f>
        <v/>
      </c>
      <c r="J4223">
        <f>IF(F4223="","",INT(H4223)-B4223)</f>
        <v/>
      </c>
      <c r="K4223">
        <f>IF(B4223&gt;=Settings!$C$5,1,0)</f>
        <v/>
      </c>
    </row>
    <row r="4224">
      <c r="A4224" t="inlineStr">
        <is>
          <t>cc033bc7d61c82cbefe72f540117c64e</t>
        </is>
      </c>
      <c r="B4224" s="29" t="n">
        <v>43223</v>
      </c>
      <c r="C4224" t="inlineStr">
        <is>
          <t>2018-05</t>
        </is>
      </c>
      <c r="D4224" t="inlineStr">
        <is>
          <t>21a104c3279681d9856b8a48723c4fee</t>
        </is>
      </c>
      <c r="E4224" t="inlineStr">
        <is>
          <t>paid_search</t>
        </is>
      </c>
      <c r="F4224">
        <f>IFERROR(MATCH(A4224,Deals!$A$2:$A$843,0),"")</f>
        <v/>
      </c>
      <c r="G4224">
        <f>IF(F4224="",0,1)</f>
        <v/>
      </c>
      <c r="H4224" s="29">
        <f>IF(F4224="","",INDEX(Deals!$E$2:$E$843,F4224))</f>
        <v/>
      </c>
      <c r="I4224">
        <f>IF(F4224="","",INDEX(Deals!$D$2:$D$843,F4224))</f>
        <v/>
      </c>
      <c r="J4224">
        <f>IF(F4224="","",INT(H4224)-B4224)</f>
        <v/>
      </c>
      <c r="K4224">
        <f>IF(B4224&gt;=Settings!$C$5,1,0)</f>
        <v/>
      </c>
    </row>
    <row r="4225">
      <c r="A4225" t="inlineStr">
        <is>
          <t>bd3cd01c42224fff838a74ccf727e1c7</t>
        </is>
      </c>
      <c r="B4225" s="29" t="n">
        <v>43142</v>
      </c>
      <c r="C4225" t="inlineStr">
        <is>
          <t>2018-02</t>
        </is>
      </c>
      <c r="D4225" t="inlineStr">
        <is>
          <t>b48ec5f3b04e9068441002a19df93c6c</t>
        </is>
      </c>
      <c r="E4225" t="inlineStr">
        <is>
          <t>organic_search</t>
        </is>
      </c>
      <c r="F4225">
        <f>IFERROR(MATCH(A4225,Deals!$A$2:$A$843,0),"")</f>
        <v/>
      </c>
      <c r="G4225">
        <f>IF(F4225="",0,1)</f>
        <v/>
      </c>
      <c r="H4225" s="29">
        <f>IF(F4225="","",INDEX(Deals!$E$2:$E$843,F4225))</f>
        <v/>
      </c>
      <c r="I4225">
        <f>IF(F4225="","",INDEX(Deals!$D$2:$D$843,F4225))</f>
        <v/>
      </c>
      <c r="J4225">
        <f>IF(F4225="","",INT(H4225)-B4225)</f>
        <v/>
      </c>
      <c r="K4225">
        <f>IF(B4225&gt;=Settings!$C$5,1,0)</f>
        <v/>
      </c>
    </row>
    <row r="4226">
      <c r="A4226" t="inlineStr">
        <is>
          <t>8b7c35169673ff7fcc30a43cf41079d3</t>
        </is>
      </c>
      <c r="B4226" s="29" t="n">
        <v>43105</v>
      </c>
      <c r="C4226" t="inlineStr">
        <is>
          <t>2018-01</t>
        </is>
      </c>
      <c r="D4226" t="inlineStr">
        <is>
          <t>22c29808c4f815213303f8933030604c</t>
        </is>
      </c>
      <c r="E4226" t="inlineStr">
        <is>
          <t>organic_search</t>
        </is>
      </c>
      <c r="F4226">
        <f>IFERROR(MATCH(A4226,Deals!$A$2:$A$843,0),"")</f>
        <v/>
      </c>
      <c r="G4226">
        <f>IF(F4226="",0,1)</f>
        <v/>
      </c>
      <c r="H4226" s="29">
        <f>IF(F4226="","",INDEX(Deals!$E$2:$E$843,F4226))</f>
        <v/>
      </c>
      <c r="I4226">
        <f>IF(F4226="","",INDEX(Deals!$D$2:$D$843,F4226))</f>
        <v/>
      </c>
      <c r="J4226">
        <f>IF(F4226="","",INT(H4226)-B4226)</f>
        <v/>
      </c>
      <c r="K4226">
        <f>IF(B4226&gt;=Settings!$C$5,1,0)</f>
        <v/>
      </c>
    </row>
    <row r="4227">
      <c r="A4227" t="inlineStr">
        <is>
          <t>19b20d918b26f877ce5a1ad7f34b9729</t>
        </is>
      </c>
      <c r="B4227" s="29" t="n">
        <v>43203</v>
      </c>
      <c r="C4227" t="inlineStr">
        <is>
          <t>2018-04</t>
        </is>
      </c>
      <c r="D4227" t="inlineStr">
        <is>
          <t>58326e62183c14b0c03085c33b9fdc44</t>
        </is>
      </c>
      <c r="E4227" t="inlineStr">
        <is>
          <t>social</t>
        </is>
      </c>
      <c r="F4227">
        <f>IFERROR(MATCH(A4227,Deals!$A$2:$A$843,0),"")</f>
        <v/>
      </c>
      <c r="G4227">
        <f>IF(F4227="",0,1)</f>
        <v/>
      </c>
      <c r="H4227" s="29">
        <f>IF(F4227="","",INDEX(Deals!$E$2:$E$843,F4227))</f>
        <v/>
      </c>
      <c r="I4227">
        <f>IF(F4227="","",INDEX(Deals!$D$2:$D$843,F4227))</f>
        <v/>
      </c>
      <c r="J4227">
        <f>IF(F4227="","",INT(H4227)-B4227)</f>
        <v/>
      </c>
      <c r="K4227">
        <f>IF(B4227&gt;=Settings!$C$5,1,0)</f>
        <v/>
      </c>
    </row>
    <row r="4228">
      <c r="A4228" t="inlineStr">
        <is>
          <t>6fe987b15d3f9964f0f84786ef4f78e5</t>
        </is>
      </c>
      <c r="B4228" s="29" t="n">
        <v>43222</v>
      </c>
      <c r="C4228" t="inlineStr">
        <is>
          <t>2018-05</t>
        </is>
      </c>
      <c r="D4228" t="inlineStr">
        <is>
          <t>b76ef37428e6799c421989521c0e5077</t>
        </is>
      </c>
      <c r="E4228" t="inlineStr">
        <is>
          <t>unknown</t>
        </is>
      </c>
      <c r="F4228">
        <f>IFERROR(MATCH(A4228,Deals!$A$2:$A$843,0),"")</f>
        <v/>
      </c>
      <c r="G4228">
        <f>IF(F4228="",0,1)</f>
        <v/>
      </c>
      <c r="H4228" s="29">
        <f>IF(F4228="","",INDEX(Deals!$E$2:$E$843,F4228))</f>
        <v/>
      </c>
      <c r="I4228">
        <f>IF(F4228="","",INDEX(Deals!$D$2:$D$843,F4228))</f>
        <v/>
      </c>
      <c r="J4228">
        <f>IF(F4228="","",INT(H4228)-B4228)</f>
        <v/>
      </c>
      <c r="K4228">
        <f>IF(B4228&gt;=Settings!$C$5,1,0)</f>
        <v/>
      </c>
    </row>
    <row r="4229">
      <c r="A4229" t="inlineStr">
        <is>
          <t>ff89e8ee1db049c810a2da86c84c6bd5</t>
        </is>
      </c>
      <c r="B4229" s="29" t="n">
        <v>43124</v>
      </c>
      <c r="C4229" t="inlineStr">
        <is>
          <t>2018-01</t>
        </is>
      </c>
      <c r="D4229" t="inlineStr">
        <is>
          <t>b76ef37428e6799c421989521c0e5077</t>
        </is>
      </c>
      <c r="E4229" t="inlineStr">
        <is>
          <t>unknown</t>
        </is>
      </c>
      <c r="F4229">
        <f>IFERROR(MATCH(A4229,Deals!$A$2:$A$843,0),"")</f>
        <v/>
      </c>
      <c r="G4229">
        <f>IF(F4229="",0,1)</f>
        <v/>
      </c>
      <c r="H4229" s="29">
        <f>IF(F4229="","",INDEX(Deals!$E$2:$E$843,F4229))</f>
        <v/>
      </c>
      <c r="I4229">
        <f>IF(F4229="","",INDEX(Deals!$D$2:$D$843,F4229))</f>
        <v/>
      </c>
      <c r="J4229">
        <f>IF(F4229="","",INT(H4229)-B4229)</f>
        <v/>
      </c>
      <c r="K4229">
        <f>IF(B4229&gt;=Settings!$C$5,1,0)</f>
        <v/>
      </c>
    </row>
    <row r="4230">
      <c r="A4230" t="inlineStr">
        <is>
          <t>6a07a9c74e8dec82179580d0c88c2800</t>
        </is>
      </c>
      <c r="B4230" s="29" t="n">
        <v>43039</v>
      </c>
      <c r="C4230" t="inlineStr">
        <is>
          <t>2017-10</t>
        </is>
      </c>
      <c r="D4230" t="inlineStr">
        <is>
          <t>21a104c3279681d9856b8a48723c4fee</t>
        </is>
      </c>
      <c r="E4230" t="inlineStr">
        <is>
          <t>direct_traffic</t>
        </is>
      </c>
      <c r="F4230">
        <f>IFERROR(MATCH(A4230,Deals!$A$2:$A$843,0),"")</f>
        <v/>
      </c>
      <c r="G4230">
        <f>IF(F4230="",0,1)</f>
        <v/>
      </c>
      <c r="H4230" s="29">
        <f>IF(F4230="","",INDEX(Deals!$E$2:$E$843,F4230))</f>
        <v/>
      </c>
      <c r="I4230">
        <f>IF(F4230="","",INDEX(Deals!$D$2:$D$843,F4230))</f>
        <v/>
      </c>
      <c r="J4230">
        <f>IF(F4230="","",INT(H4230)-B4230)</f>
        <v/>
      </c>
      <c r="K4230">
        <f>IF(B4230&gt;=Settings!$C$5,1,0)</f>
        <v/>
      </c>
    </row>
    <row r="4231">
      <c r="A4231" t="inlineStr">
        <is>
          <t>35856571321788e2cfb267bccef93f07</t>
        </is>
      </c>
      <c r="B4231" s="29" t="n">
        <v>43241</v>
      </c>
      <c r="C4231" t="inlineStr">
        <is>
          <t>2018-05</t>
        </is>
      </c>
      <c r="D4231" t="inlineStr">
        <is>
          <t>58326e62183c14b0c03085c33b9fdc44</t>
        </is>
      </c>
      <c r="E4231" t="inlineStr">
        <is>
          <t>social</t>
        </is>
      </c>
      <c r="F4231">
        <f>IFERROR(MATCH(A4231,Deals!$A$2:$A$843,0),"")</f>
        <v/>
      </c>
      <c r="G4231">
        <f>IF(F4231="",0,1)</f>
        <v/>
      </c>
      <c r="H4231" s="29">
        <f>IF(F4231="","",INDEX(Deals!$E$2:$E$843,F4231))</f>
        <v/>
      </c>
      <c r="I4231">
        <f>IF(F4231="","",INDEX(Deals!$D$2:$D$843,F4231))</f>
        <v/>
      </c>
      <c r="J4231">
        <f>IF(F4231="","",INT(H4231)-B4231)</f>
        <v/>
      </c>
      <c r="K4231">
        <f>IF(B4231&gt;=Settings!$C$5,1,0)</f>
        <v/>
      </c>
    </row>
    <row r="4232">
      <c r="A4232" t="inlineStr">
        <is>
          <t>947d64ec18585d216e88d3eef72267d2</t>
        </is>
      </c>
      <c r="B4232" s="29" t="n">
        <v>43143</v>
      </c>
      <c r="C4232" t="inlineStr">
        <is>
          <t>2018-02</t>
        </is>
      </c>
      <c r="D4232" t="inlineStr">
        <is>
          <t>3cd2a8301d5395f21cdd3094c9eaa2f4</t>
        </is>
      </c>
      <c r="E4232" t="inlineStr">
        <is>
          <t>(missing)</t>
        </is>
      </c>
      <c r="F4232">
        <f>IFERROR(MATCH(A4232,Deals!$A$2:$A$843,0),"")</f>
        <v/>
      </c>
      <c r="G4232">
        <f>IF(F4232="",0,1)</f>
        <v/>
      </c>
      <c r="H4232" s="29">
        <f>IF(F4232="","",INDEX(Deals!$E$2:$E$843,F4232))</f>
        <v/>
      </c>
      <c r="I4232">
        <f>IF(F4232="","",INDEX(Deals!$D$2:$D$843,F4232))</f>
        <v/>
      </c>
      <c r="J4232">
        <f>IF(F4232="","",INT(H4232)-B4232)</f>
        <v/>
      </c>
      <c r="K4232">
        <f>IF(B4232&gt;=Settings!$C$5,1,0)</f>
        <v/>
      </c>
    </row>
    <row r="4233">
      <c r="A4233" t="inlineStr">
        <is>
          <t>54c6997a78e69329bbf97a9256104e4f</t>
        </is>
      </c>
      <c r="B4233" s="29" t="n">
        <v>42937</v>
      </c>
      <c r="C4233" t="inlineStr">
        <is>
          <t>2017-07</t>
        </is>
      </c>
      <c r="D4233" t="inlineStr">
        <is>
          <t>e492ee5eaf1697716985cc6f33f9cd9b</t>
        </is>
      </c>
      <c r="E4233" t="inlineStr">
        <is>
          <t>paid_search</t>
        </is>
      </c>
      <c r="F4233">
        <f>IFERROR(MATCH(A4233,Deals!$A$2:$A$843,0),"")</f>
        <v/>
      </c>
      <c r="G4233">
        <f>IF(F4233="",0,1)</f>
        <v/>
      </c>
      <c r="H4233" s="29">
        <f>IF(F4233="","",INDEX(Deals!$E$2:$E$843,F4233))</f>
        <v/>
      </c>
      <c r="I4233">
        <f>IF(F4233="","",INDEX(Deals!$D$2:$D$843,F4233))</f>
        <v/>
      </c>
      <c r="J4233">
        <f>IF(F4233="","",INT(H4233)-B4233)</f>
        <v/>
      </c>
      <c r="K4233">
        <f>IF(B4233&gt;=Settings!$C$5,1,0)</f>
        <v/>
      </c>
    </row>
    <row r="4234">
      <c r="A4234" t="inlineStr">
        <is>
          <t>6af8cbc980df656d8574530389a7e7a6</t>
        </is>
      </c>
      <c r="B4234" s="29" t="n">
        <v>43122</v>
      </c>
      <c r="C4234" t="inlineStr">
        <is>
          <t>2018-01</t>
        </is>
      </c>
      <c r="D4234" t="inlineStr">
        <is>
          <t>b76ef37428e6799c421989521c0e5077</t>
        </is>
      </c>
      <c r="E4234" t="inlineStr">
        <is>
          <t>unknown</t>
        </is>
      </c>
      <c r="F4234">
        <f>IFERROR(MATCH(A4234,Deals!$A$2:$A$843,0),"")</f>
        <v/>
      </c>
      <c r="G4234">
        <f>IF(F4234="",0,1)</f>
        <v/>
      </c>
      <c r="H4234" s="29">
        <f>IF(F4234="","",INDEX(Deals!$E$2:$E$843,F4234))</f>
        <v/>
      </c>
      <c r="I4234">
        <f>IF(F4234="","",INDEX(Deals!$D$2:$D$843,F4234))</f>
        <v/>
      </c>
      <c r="J4234">
        <f>IF(F4234="","",INT(H4234)-B4234)</f>
        <v/>
      </c>
      <c r="K4234">
        <f>IF(B4234&gt;=Settings!$C$5,1,0)</f>
        <v/>
      </c>
    </row>
    <row r="4235">
      <c r="A4235" t="inlineStr">
        <is>
          <t>4285127686e4b60f9d4c5182571b3982</t>
        </is>
      </c>
      <c r="B4235" s="29" t="n">
        <v>43151</v>
      </c>
      <c r="C4235" t="inlineStr">
        <is>
          <t>2018-02</t>
        </is>
      </c>
      <c r="D4235" t="inlineStr">
        <is>
          <t>b217afa2c1f4cb502423005639878f6d</t>
        </is>
      </c>
      <c r="E4235" t="inlineStr">
        <is>
          <t>paid_search</t>
        </is>
      </c>
      <c r="F4235">
        <f>IFERROR(MATCH(A4235,Deals!$A$2:$A$843,0),"")</f>
        <v/>
      </c>
      <c r="G4235">
        <f>IF(F4235="",0,1)</f>
        <v/>
      </c>
      <c r="H4235" s="29">
        <f>IF(F4235="","",INDEX(Deals!$E$2:$E$843,F4235))</f>
        <v/>
      </c>
      <c r="I4235">
        <f>IF(F4235="","",INDEX(Deals!$D$2:$D$843,F4235))</f>
        <v/>
      </c>
      <c r="J4235">
        <f>IF(F4235="","",INT(H4235)-B4235)</f>
        <v/>
      </c>
      <c r="K4235">
        <f>IF(B4235&gt;=Settings!$C$5,1,0)</f>
        <v/>
      </c>
    </row>
    <row r="4236">
      <c r="A4236" t="inlineStr">
        <is>
          <t>5cfcbafd768519bce51371aae5cac8fb</t>
        </is>
      </c>
      <c r="B4236" s="29" t="n">
        <v>42977</v>
      </c>
      <c r="C4236" t="inlineStr">
        <is>
          <t>2017-08</t>
        </is>
      </c>
      <c r="D4236" t="inlineStr">
        <is>
          <t>22c29808c4f815213303f8933030604c</t>
        </is>
      </c>
      <c r="E4236" t="inlineStr">
        <is>
          <t>direct_traffic</t>
        </is>
      </c>
      <c r="F4236">
        <f>IFERROR(MATCH(A4236,Deals!$A$2:$A$843,0),"")</f>
        <v/>
      </c>
      <c r="G4236">
        <f>IF(F4236="",0,1)</f>
        <v/>
      </c>
      <c r="H4236" s="29">
        <f>IF(F4236="","",INDEX(Deals!$E$2:$E$843,F4236))</f>
        <v/>
      </c>
      <c r="I4236">
        <f>IF(F4236="","",INDEX(Deals!$D$2:$D$843,F4236))</f>
        <v/>
      </c>
      <c r="J4236">
        <f>IF(F4236="","",INT(H4236)-B4236)</f>
        <v/>
      </c>
      <c r="K4236">
        <f>IF(B4236&gt;=Settings!$C$5,1,0)</f>
        <v/>
      </c>
    </row>
    <row r="4237">
      <c r="A4237" t="inlineStr">
        <is>
          <t>662a2fde878a9bef6370fb07c5a28705</t>
        </is>
      </c>
      <c r="B4237" s="29" t="n">
        <v>43203</v>
      </c>
      <c r="C4237" t="inlineStr">
        <is>
          <t>2018-04</t>
        </is>
      </c>
      <c r="D4237" t="inlineStr">
        <is>
          <t>22c29808c4f815213303f8933030604c</t>
        </is>
      </c>
      <c r="E4237" t="inlineStr">
        <is>
          <t>other_publicities</t>
        </is>
      </c>
      <c r="F4237">
        <f>IFERROR(MATCH(A4237,Deals!$A$2:$A$843,0),"")</f>
        <v/>
      </c>
      <c r="G4237">
        <f>IF(F4237="",0,1)</f>
        <v/>
      </c>
      <c r="H4237" s="29">
        <f>IF(F4237="","",INDEX(Deals!$E$2:$E$843,F4237))</f>
        <v/>
      </c>
      <c r="I4237">
        <f>IF(F4237="","",INDEX(Deals!$D$2:$D$843,F4237))</f>
        <v/>
      </c>
      <c r="J4237">
        <f>IF(F4237="","",INT(H4237)-B4237)</f>
        <v/>
      </c>
      <c r="K4237">
        <f>IF(B4237&gt;=Settings!$C$5,1,0)</f>
        <v/>
      </c>
    </row>
    <row r="4238">
      <c r="A4238" t="inlineStr">
        <is>
          <t>2b9b8e32584fe9897d8aedde5bc04ed7</t>
        </is>
      </c>
      <c r="B4238" s="29" t="n">
        <v>43183</v>
      </c>
      <c r="C4238" t="inlineStr">
        <is>
          <t>2018-03</t>
        </is>
      </c>
      <c r="D4238" t="inlineStr">
        <is>
          <t>b76ef37428e6799c421989521c0e5077</t>
        </is>
      </c>
      <c r="E4238" t="inlineStr">
        <is>
          <t>unknown</t>
        </is>
      </c>
      <c r="F4238">
        <f>IFERROR(MATCH(A4238,Deals!$A$2:$A$843,0),"")</f>
        <v/>
      </c>
      <c r="G4238">
        <f>IF(F4238="",0,1)</f>
        <v/>
      </c>
      <c r="H4238" s="29">
        <f>IF(F4238="","",INDEX(Deals!$E$2:$E$843,F4238))</f>
        <v/>
      </c>
      <c r="I4238">
        <f>IF(F4238="","",INDEX(Deals!$D$2:$D$843,F4238))</f>
        <v/>
      </c>
      <c r="J4238">
        <f>IF(F4238="","",INT(H4238)-B4238)</f>
        <v/>
      </c>
      <c r="K4238">
        <f>IF(B4238&gt;=Settings!$C$5,1,0)</f>
        <v/>
      </c>
    </row>
    <row r="4239">
      <c r="A4239" t="inlineStr">
        <is>
          <t>7b18b584738d4f52b3d4dfce78c1827e</t>
        </is>
      </c>
      <c r="B4239" s="29" t="n">
        <v>43211</v>
      </c>
      <c r="C4239" t="inlineStr">
        <is>
          <t>2018-04</t>
        </is>
      </c>
      <c r="D4239" t="inlineStr">
        <is>
          <t>7fa6214d82e911d070f51ef79381b956</t>
        </is>
      </c>
      <c r="E4239" t="inlineStr">
        <is>
          <t>organic_search</t>
        </is>
      </c>
      <c r="F4239">
        <f>IFERROR(MATCH(A4239,Deals!$A$2:$A$843,0),"")</f>
        <v/>
      </c>
      <c r="G4239">
        <f>IF(F4239="",0,1)</f>
        <v/>
      </c>
      <c r="H4239" s="29">
        <f>IF(F4239="","",INDEX(Deals!$E$2:$E$843,F4239))</f>
        <v/>
      </c>
      <c r="I4239">
        <f>IF(F4239="","",INDEX(Deals!$D$2:$D$843,F4239))</f>
        <v/>
      </c>
      <c r="J4239">
        <f>IF(F4239="","",INT(H4239)-B4239)</f>
        <v/>
      </c>
      <c r="K4239">
        <f>IF(B4239&gt;=Settings!$C$5,1,0)</f>
        <v/>
      </c>
    </row>
    <row r="4240">
      <c r="A4240" t="inlineStr">
        <is>
          <t>bb10ba1898d78d59bb76db2493ca511c</t>
        </is>
      </c>
      <c r="B4240" s="29" t="n">
        <v>43137</v>
      </c>
      <c r="C4240" t="inlineStr">
        <is>
          <t>2018-02</t>
        </is>
      </c>
      <c r="D4240" t="inlineStr">
        <is>
          <t>30077c17f2ec5010a82e37ad8925b95f</t>
        </is>
      </c>
      <c r="E4240" t="inlineStr">
        <is>
          <t>organic_search</t>
        </is>
      </c>
      <c r="F4240">
        <f>IFERROR(MATCH(A4240,Deals!$A$2:$A$843,0),"")</f>
        <v/>
      </c>
      <c r="G4240">
        <f>IF(F4240="",0,1)</f>
        <v/>
      </c>
      <c r="H4240" s="29">
        <f>IF(F4240="","",INDEX(Deals!$E$2:$E$843,F4240))</f>
        <v/>
      </c>
      <c r="I4240">
        <f>IF(F4240="","",INDEX(Deals!$D$2:$D$843,F4240))</f>
        <v/>
      </c>
      <c r="J4240">
        <f>IF(F4240="","",INT(H4240)-B4240)</f>
        <v/>
      </c>
      <c r="K4240">
        <f>IF(B4240&gt;=Settings!$C$5,1,0)</f>
        <v/>
      </c>
    </row>
    <row r="4241">
      <c r="A4241" t="inlineStr">
        <is>
          <t>9389089fa48bdc2708e6f0890890c516</t>
        </is>
      </c>
      <c r="B4241" s="29" t="n">
        <v>43050</v>
      </c>
      <c r="C4241" t="inlineStr">
        <is>
          <t>2017-11</t>
        </is>
      </c>
      <c r="D4241" t="inlineStr">
        <is>
          <t>f03e241af08912ba7ffb65d69b0eb4d9</t>
        </is>
      </c>
      <c r="E4241" t="inlineStr">
        <is>
          <t>email</t>
        </is>
      </c>
      <c r="F4241">
        <f>IFERROR(MATCH(A4241,Deals!$A$2:$A$843,0),"")</f>
        <v/>
      </c>
      <c r="G4241">
        <f>IF(F4241="",0,1)</f>
        <v/>
      </c>
      <c r="H4241" s="29">
        <f>IF(F4241="","",INDEX(Deals!$E$2:$E$843,F4241))</f>
        <v/>
      </c>
      <c r="I4241">
        <f>IF(F4241="","",INDEX(Deals!$D$2:$D$843,F4241))</f>
        <v/>
      </c>
      <c r="J4241">
        <f>IF(F4241="","",INT(H4241)-B4241)</f>
        <v/>
      </c>
      <c r="K4241">
        <f>IF(B4241&gt;=Settings!$C$5,1,0)</f>
        <v/>
      </c>
    </row>
    <row r="4242">
      <c r="A4242" t="inlineStr">
        <is>
          <t>d94101ad400cbaf86b951c78f8172039</t>
        </is>
      </c>
      <c r="B4242" s="29" t="n">
        <v>43130</v>
      </c>
      <c r="C4242" t="inlineStr">
        <is>
          <t>2018-01</t>
        </is>
      </c>
      <c r="D4242" t="inlineStr">
        <is>
          <t>22c29808c4f815213303f8933030604c</t>
        </is>
      </c>
      <c r="E4242" t="inlineStr">
        <is>
          <t>organic_search</t>
        </is>
      </c>
      <c r="F4242">
        <f>IFERROR(MATCH(A4242,Deals!$A$2:$A$843,0),"")</f>
        <v/>
      </c>
      <c r="G4242">
        <f>IF(F4242="",0,1)</f>
        <v/>
      </c>
      <c r="H4242" s="29">
        <f>IF(F4242="","",INDEX(Deals!$E$2:$E$843,F4242))</f>
        <v/>
      </c>
      <c r="I4242">
        <f>IF(F4242="","",INDEX(Deals!$D$2:$D$843,F4242))</f>
        <v/>
      </c>
      <c r="J4242">
        <f>IF(F4242="","",INT(H4242)-B4242)</f>
        <v/>
      </c>
      <c r="K4242">
        <f>IF(B4242&gt;=Settings!$C$5,1,0)</f>
        <v/>
      </c>
    </row>
    <row r="4243">
      <c r="A4243" t="inlineStr">
        <is>
          <t>f5f0711534e0b5d69c8e4206dd17cd88</t>
        </is>
      </c>
      <c r="B4243" s="29" t="n">
        <v>43172</v>
      </c>
      <c r="C4243" t="inlineStr">
        <is>
          <t>2018-03</t>
        </is>
      </c>
      <c r="D4243" t="inlineStr">
        <is>
          <t>0218f6be0b76aca72ab4d00ee9e8cf10</t>
        </is>
      </c>
      <c r="E4243" t="inlineStr">
        <is>
          <t>direct_traffic</t>
        </is>
      </c>
      <c r="F4243">
        <f>IFERROR(MATCH(A4243,Deals!$A$2:$A$843,0),"")</f>
        <v/>
      </c>
      <c r="G4243">
        <f>IF(F4243="",0,1)</f>
        <v/>
      </c>
      <c r="H4243" s="29">
        <f>IF(F4243="","",INDEX(Deals!$E$2:$E$843,F4243))</f>
        <v/>
      </c>
      <c r="I4243">
        <f>IF(F4243="","",INDEX(Deals!$D$2:$D$843,F4243))</f>
        <v/>
      </c>
      <c r="J4243">
        <f>IF(F4243="","",INT(H4243)-B4243)</f>
        <v/>
      </c>
      <c r="K4243">
        <f>IF(B4243&gt;=Settings!$C$5,1,0)</f>
        <v/>
      </c>
    </row>
    <row r="4244">
      <c r="A4244" t="inlineStr">
        <is>
          <t>39baa31554d76571e44a1d255504040f</t>
        </is>
      </c>
      <c r="B4244" s="29" t="n">
        <v>43054</v>
      </c>
      <c r="C4244" t="inlineStr">
        <is>
          <t>2017-11</t>
        </is>
      </c>
      <c r="D4244" t="inlineStr">
        <is>
          <t>ce1a65abd0973638f1c887a6efcfa82d</t>
        </is>
      </c>
      <c r="E4244" t="inlineStr">
        <is>
          <t>organic_search</t>
        </is>
      </c>
      <c r="F4244">
        <f>IFERROR(MATCH(A4244,Deals!$A$2:$A$843,0),"")</f>
        <v/>
      </c>
      <c r="G4244">
        <f>IF(F4244="",0,1)</f>
        <v/>
      </c>
      <c r="H4244" s="29">
        <f>IF(F4244="","",INDEX(Deals!$E$2:$E$843,F4244))</f>
        <v/>
      </c>
      <c r="I4244">
        <f>IF(F4244="","",INDEX(Deals!$D$2:$D$843,F4244))</f>
        <v/>
      </c>
      <c r="J4244">
        <f>IF(F4244="","",INT(H4244)-B4244)</f>
        <v/>
      </c>
      <c r="K4244">
        <f>IF(B4244&gt;=Settings!$C$5,1,0)</f>
        <v/>
      </c>
    </row>
    <row r="4245">
      <c r="A4245" t="inlineStr">
        <is>
          <t>bed001ddbfee19bb91d1760849b0dd45</t>
        </is>
      </c>
      <c r="B4245" s="29" t="n">
        <v>43091</v>
      </c>
      <c r="C4245" t="inlineStr">
        <is>
          <t>2017-12</t>
        </is>
      </c>
      <c r="D4245" t="inlineStr">
        <is>
          <t>f017be4dbf86243af5c1ebed0cff36a2</t>
        </is>
      </c>
      <c r="E4245" t="inlineStr">
        <is>
          <t>organic_search</t>
        </is>
      </c>
      <c r="F4245">
        <f>IFERROR(MATCH(A4245,Deals!$A$2:$A$843,0),"")</f>
        <v/>
      </c>
      <c r="G4245">
        <f>IF(F4245="",0,1)</f>
        <v/>
      </c>
      <c r="H4245" s="29">
        <f>IF(F4245="","",INDEX(Deals!$E$2:$E$843,F4245))</f>
        <v/>
      </c>
      <c r="I4245">
        <f>IF(F4245="","",INDEX(Deals!$D$2:$D$843,F4245))</f>
        <v/>
      </c>
      <c r="J4245">
        <f>IF(F4245="","",INT(H4245)-B4245)</f>
        <v/>
      </c>
      <c r="K4245">
        <f>IF(B4245&gt;=Settings!$C$5,1,0)</f>
        <v/>
      </c>
    </row>
    <row r="4246">
      <c r="A4246" t="inlineStr">
        <is>
          <t>33d06abacfaec40e2da0d9a46007c758</t>
        </is>
      </c>
      <c r="B4246" s="29" t="n">
        <v>43167</v>
      </c>
      <c r="C4246" t="inlineStr">
        <is>
          <t>2018-03</t>
        </is>
      </c>
      <c r="D4246" t="inlineStr">
        <is>
          <t>f017be4dbf86243af5c1ebed0cff36a2</t>
        </is>
      </c>
      <c r="E4246" t="inlineStr">
        <is>
          <t>organic_search</t>
        </is>
      </c>
      <c r="F4246">
        <f>IFERROR(MATCH(A4246,Deals!$A$2:$A$843,0),"")</f>
        <v/>
      </c>
      <c r="G4246">
        <f>IF(F4246="",0,1)</f>
        <v/>
      </c>
      <c r="H4246" s="29">
        <f>IF(F4246="","",INDEX(Deals!$E$2:$E$843,F4246))</f>
        <v/>
      </c>
      <c r="I4246">
        <f>IF(F4246="","",INDEX(Deals!$D$2:$D$843,F4246))</f>
        <v/>
      </c>
      <c r="J4246">
        <f>IF(F4246="","",INT(H4246)-B4246)</f>
        <v/>
      </c>
      <c r="K4246">
        <f>IF(B4246&gt;=Settings!$C$5,1,0)</f>
        <v/>
      </c>
    </row>
    <row r="4247">
      <c r="A4247" t="inlineStr">
        <is>
          <t>2cadebae208572a73bcc7385d5de0710</t>
        </is>
      </c>
      <c r="B4247" s="29" t="n">
        <v>43179</v>
      </c>
      <c r="C4247" t="inlineStr">
        <is>
          <t>2018-03</t>
        </is>
      </c>
      <c r="D4247" t="inlineStr">
        <is>
          <t>b6885f18d203a61176418c1fb3764815</t>
        </is>
      </c>
      <c r="E4247" t="inlineStr">
        <is>
          <t>paid_search</t>
        </is>
      </c>
      <c r="F4247">
        <f>IFERROR(MATCH(A4247,Deals!$A$2:$A$843,0),"")</f>
        <v/>
      </c>
      <c r="G4247">
        <f>IF(F4247="",0,1)</f>
        <v/>
      </c>
      <c r="H4247" s="29">
        <f>IF(F4247="","",INDEX(Deals!$E$2:$E$843,F4247))</f>
        <v/>
      </c>
      <c r="I4247">
        <f>IF(F4247="","",INDEX(Deals!$D$2:$D$843,F4247))</f>
        <v/>
      </c>
      <c r="J4247">
        <f>IF(F4247="","",INT(H4247)-B4247)</f>
        <v/>
      </c>
      <c r="K4247">
        <f>IF(B4247&gt;=Settings!$C$5,1,0)</f>
        <v/>
      </c>
    </row>
    <row r="4248">
      <c r="A4248" t="inlineStr">
        <is>
          <t>f0952a50474d97aafac39a918b3394ae</t>
        </is>
      </c>
      <c r="B4248" s="29" t="n">
        <v>43224</v>
      </c>
      <c r="C4248" t="inlineStr">
        <is>
          <t>2018-05</t>
        </is>
      </c>
      <c r="D4248" t="inlineStr">
        <is>
          <t>97418c38e0c00de56ce63171626fd554</t>
        </is>
      </c>
      <c r="E4248" t="inlineStr">
        <is>
          <t>display</t>
        </is>
      </c>
      <c r="F4248">
        <f>IFERROR(MATCH(A4248,Deals!$A$2:$A$843,0),"")</f>
        <v/>
      </c>
      <c r="G4248">
        <f>IF(F4248="",0,1)</f>
        <v/>
      </c>
      <c r="H4248" s="29">
        <f>IF(F4248="","",INDEX(Deals!$E$2:$E$843,F4248))</f>
        <v/>
      </c>
      <c r="I4248">
        <f>IF(F4248="","",INDEX(Deals!$D$2:$D$843,F4248))</f>
        <v/>
      </c>
      <c r="J4248">
        <f>IF(F4248="","",INT(H4248)-B4248)</f>
        <v/>
      </c>
      <c r="K4248">
        <f>IF(B4248&gt;=Settings!$C$5,1,0)</f>
        <v/>
      </c>
    </row>
    <row r="4249">
      <c r="A4249" t="inlineStr">
        <is>
          <t>04f8b803895d585e29bf21162e49cc84</t>
        </is>
      </c>
      <c r="B4249" s="29" t="n">
        <v>43125</v>
      </c>
      <c r="C4249" t="inlineStr">
        <is>
          <t>2018-01</t>
        </is>
      </c>
      <c r="D4249" t="inlineStr">
        <is>
          <t>b76ef37428e6799c421989521c0e5077</t>
        </is>
      </c>
      <c r="E4249" t="inlineStr">
        <is>
          <t>social</t>
        </is>
      </c>
      <c r="F4249">
        <f>IFERROR(MATCH(A4249,Deals!$A$2:$A$843,0),"")</f>
        <v/>
      </c>
      <c r="G4249">
        <f>IF(F4249="",0,1)</f>
        <v/>
      </c>
      <c r="H4249" s="29">
        <f>IF(F4249="","",INDEX(Deals!$E$2:$E$843,F4249))</f>
        <v/>
      </c>
      <c r="I4249">
        <f>IF(F4249="","",INDEX(Deals!$D$2:$D$843,F4249))</f>
        <v/>
      </c>
      <c r="J4249">
        <f>IF(F4249="","",INT(H4249)-B4249)</f>
        <v/>
      </c>
      <c r="K4249">
        <f>IF(B4249&gt;=Settings!$C$5,1,0)</f>
        <v/>
      </c>
    </row>
    <row r="4250">
      <c r="A4250" t="inlineStr">
        <is>
          <t>48e0d8bff94fd4580ea547171f1a8adc</t>
        </is>
      </c>
      <c r="B4250" s="29" t="n">
        <v>43137</v>
      </c>
      <c r="C4250" t="inlineStr">
        <is>
          <t>2018-02</t>
        </is>
      </c>
      <c r="D4250" t="inlineStr">
        <is>
          <t>241f79c7a8fe0270f4fb79fcbbcd17ad</t>
        </is>
      </c>
      <c r="E4250" t="inlineStr">
        <is>
          <t>paid_search</t>
        </is>
      </c>
      <c r="F4250">
        <f>IFERROR(MATCH(A4250,Deals!$A$2:$A$843,0),"")</f>
        <v/>
      </c>
      <c r="G4250">
        <f>IF(F4250="",0,1)</f>
        <v/>
      </c>
      <c r="H4250" s="29">
        <f>IF(F4250="","",INDEX(Deals!$E$2:$E$843,F4250))</f>
        <v/>
      </c>
      <c r="I4250">
        <f>IF(F4250="","",INDEX(Deals!$D$2:$D$843,F4250))</f>
        <v/>
      </c>
      <c r="J4250">
        <f>IF(F4250="","",INT(H4250)-B4250)</f>
        <v/>
      </c>
      <c r="K4250">
        <f>IF(B4250&gt;=Settings!$C$5,1,0)</f>
        <v/>
      </c>
    </row>
    <row r="4251">
      <c r="A4251" t="inlineStr">
        <is>
          <t>7bc8c88bb24cbfee9378e0af71e171a1</t>
        </is>
      </c>
      <c r="B4251" s="29" t="n">
        <v>42957</v>
      </c>
      <c r="C4251" t="inlineStr">
        <is>
          <t>2017-08</t>
        </is>
      </c>
      <c r="D4251" t="inlineStr">
        <is>
          <t>d7549bc9744c53d31a4a1abc7fb7b5ee</t>
        </is>
      </c>
      <c r="E4251" t="inlineStr">
        <is>
          <t>unknown</t>
        </is>
      </c>
      <c r="F4251">
        <f>IFERROR(MATCH(A4251,Deals!$A$2:$A$843,0),"")</f>
        <v/>
      </c>
      <c r="G4251">
        <f>IF(F4251="",0,1)</f>
        <v/>
      </c>
      <c r="H4251" s="29">
        <f>IF(F4251="","",INDEX(Deals!$E$2:$E$843,F4251))</f>
        <v/>
      </c>
      <c r="I4251">
        <f>IF(F4251="","",INDEX(Deals!$D$2:$D$843,F4251))</f>
        <v/>
      </c>
      <c r="J4251">
        <f>IF(F4251="","",INT(H4251)-B4251)</f>
        <v/>
      </c>
      <c r="K4251">
        <f>IF(B4251&gt;=Settings!$C$5,1,0)</f>
        <v/>
      </c>
    </row>
    <row r="4252">
      <c r="A4252" t="inlineStr">
        <is>
          <t>22e003fcd294b552ff9da4aa1b9f85de</t>
        </is>
      </c>
      <c r="B4252" s="29" t="n">
        <v>43180</v>
      </c>
      <c r="C4252" t="inlineStr">
        <is>
          <t>2018-03</t>
        </is>
      </c>
      <c r="D4252" t="inlineStr">
        <is>
          <t>e42a14209c69c3e9cc6b042620465f12</t>
        </is>
      </c>
      <c r="E4252" t="inlineStr">
        <is>
          <t>display</t>
        </is>
      </c>
      <c r="F4252">
        <f>IFERROR(MATCH(A4252,Deals!$A$2:$A$843,0),"")</f>
        <v/>
      </c>
      <c r="G4252">
        <f>IF(F4252="",0,1)</f>
        <v/>
      </c>
      <c r="H4252" s="29">
        <f>IF(F4252="","",INDEX(Deals!$E$2:$E$843,F4252))</f>
        <v/>
      </c>
      <c r="I4252">
        <f>IF(F4252="","",INDEX(Deals!$D$2:$D$843,F4252))</f>
        <v/>
      </c>
      <c r="J4252">
        <f>IF(F4252="","",INT(H4252)-B4252)</f>
        <v/>
      </c>
      <c r="K4252">
        <f>IF(B4252&gt;=Settings!$C$5,1,0)</f>
        <v/>
      </c>
    </row>
    <row r="4253">
      <c r="A4253" t="inlineStr">
        <is>
          <t>57a80e778f3d755b4f2166e6a60826fd</t>
        </is>
      </c>
      <c r="B4253" s="29" t="n">
        <v>43122</v>
      </c>
      <c r="C4253" t="inlineStr">
        <is>
          <t>2018-01</t>
        </is>
      </c>
      <c r="D4253" t="inlineStr">
        <is>
          <t>b76ef37428e6799c421989521c0e5077</t>
        </is>
      </c>
      <c r="E4253" t="inlineStr">
        <is>
          <t>unknown</t>
        </is>
      </c>
      <c r="F4253">
        <f>IFERROR(MATCH(A4253,Deals!$A$2:$A$843,0),"")</f>
        <v/>
      </c>
      <c r="G4253">
        <f>IF(F4253="",0,1)</f>
        <v/>
      </c>
      <c r="H4253" s="29">
        <f>IF(F4253="","",INDEX(Deals!$E$2:$E$843,F4253))</f>
        <v/>
      </c>
      <c r="I4253">
        <f>IF(F4253="","",INDEX(Deals!$D$2:$D$843,F4253))</f>
        <v/>
      </c>
      <c r="J4253">
        <f>IF(F4253="","",INT(H4253)-B4253)</f>
        <v/>
      </c>
      <c r="K4253">
        <f>IF(B4253&gt;=Settings!$C$5,1,0)</f>
        <v/>
      </c>
    </row>
    <row r="4254">
      <c r="A4254" t="inlineStr">
        <is>
          <t>15c08959e5e7b1930cb81c503058b4c4</t>
        </is>
      </c>
      <c r="B4254" s="29" t="n">
        <v>43088</v>
      </c>
      <c r="C4254" t="inlineStr">
        <is>
          <t>2017-12</t>
        </is>
      </c>
      <c r="D4254" t="inlineStr">
        <is>
          <t>8d25d9ae4ed5f78b8614b81350173e99</t>
        </is>
      </c>
      <c r="E4254" t="inlineStr">
        <is>
          <t>organic_search</t>
        </is>
      </c>
      <c r="F4254">
        <f>IFERROR(MATCH(A4254,Deals!$A$2:$A$843,0),"")</f>
        <v/>
      </c>
      <c r="G4254">
        <f>IF(F4254="",0,1)</f>
        <v/>
      </c>
      <c r="H4254" s="29">
        <f>IF(F4254="","",INDEX(Deals!$E$2:$E$843,F4254))</f>
        <v/>
      </c>
      <c r="I4254">
        <f>IF(F4254="","",INDEX(Deals!$D$2:$D$843,F4254))</f>
        <v/>
      </c>
      <c r="J4254">
        <f>IF(F4254="","",INT(H4254)-B4254)</f>
        <v/>
      </c>
      <c r="K4254">
        <f>IF(B4254&gt;=Settings!$C$5,1,0)</f>
        <v/>
      </c>
    </row>
    <row r="4255">
      <c r="A4255" t="inlineStr">
        <is>
          <t>5c3fd6f239bbbd47b94fb424c8827b2e</t>
        </is>
      </c>
      <c r="B4255" s="29" t="n">
        <v>43167</v>
      </c>
      <c r="C4255" t="inlineStr">
        <is>
          <t>2018-03</t>
        </is>
      </c>
      <c r="D4255" t="inlineStr">
        <is>
          <t>88740e65d5d6b056e0cda098e1ea6313</t>
        </is>
      </c>
      <c r="E4255" t="inlineStr">
        <is>
          <t>social</t>
        </is>
      </c>
      <c r="F4255">
        <f>IFERROR(MATCH(A4255,Deals!$A$2:$A$843,0),"")</f>
        <v/>
      </c>
      <c r="G4255">
        <f>IF(F4255="",0,1)</f>
        <v/>
      </c>
      <c r="H4255" s="29">
        <f>IF(F4255="","",INDEX(Deals!$E$2:$E$843,F4255))</f>
        <v/>
      </c>
      <c r="I4255">
        <f>IF(F4255="","",INDEX(Deals!$D$2:$D$843,F4255))</f>
        <v/>
      </c>
      <c r="J4255">
        <f>IF(F4255="","",INT(H4255)-B4255)</f>
        <v/>
      </c>
      <c r="K4255">
        <f>IF(B4255&gt;=Settings!$C$5,1,0)</f>
        <v/>
      </c>
    </row>
    <row r="4256">
      <c r="A4256" t="inlineStr">
        <is>
          <t>099c0eddd44f937ac2facf3a72263b7f</t>
        </is>
      </c>
      <c r="B4256" s="29" t="n">
        <v>43136</v>
      </c>
      <c r="C4256" t="inlineStr">
        <is>
          <t>2018-02</t>
        </is>
      </c>
      <c r="D4256" t="inlineStr">
        <is>
          <t>22c29808c4f815213303f8933030604c</t>
        </is>
      </c>
      <c r="E4256" t="inlineStr">
        <is>
          <t>unknown</t>
        </is>
      </c>
      <c r="F4256">
        <f>IFERROR(MATCH(A4256,Deals!$A$2:$A$843,0),"")</f>
        <v/>
      </c>
      <c r="G4256">
        <f>IF(F4256="",0,1)</f>
        <v/>
      </c>
      <c r="H4256" s="29">
        <f>IF(F4256="","",INDEX(Deals!$E$2:$E$843,F4256))</f>
        <v/>
      </c>
      <c r="I4256">
        <f>IF(F4256="","",INDEX(Deals!$D$2:$D$843,F4256))</f>
        <v/>
      </c>
      <c r="J4256">
        <f>IF(F4256="","",INT(H4256)-B4256)</f>
        <v/>
      </c>
      <c r="K4256">
        <f>IF(B4256&gt;=Settings!$C$5,1,0)</f>
        <v/>
      </c>
    </row>
    <row r="4257">
      <c r="A4257" t="inlineStr">
        <is>
          <t>98d18f067382e282b98734bf528b4178</t>
        </is>
      </c>
      <c r="B4257" s="29" t="n">
        <v>43126</v>
      </c>
      <c r="C4257" t="inlineStr">
        <is>
          <t>2018-01</t>
        </is>
      </c>
      <c r="D4257" t="inlineStr">
        <is>
          <t>ce1a65abd0973638f1c887a6efcfa82d</t>
        </is>
      </c>
      <c r="E4257" t="inlineStr">
        <is>
          <t>organic_search</t>
        </is>
      </c>
      <c r="F4257">
        <f>IFERROR(MATCH(A4257,Deals!$A$2:$A$843,0),"")</f>
        <v/>
      </c>
      <c r="G4257">
        <f>IF(F4257="",0,1)</f>
        <v/>
      </c>
      <c r="H4257" s="29">
        <f>IF(F4257="","",INDEX(Deals!$E$2:$E$843,F4257))</f>
        <v/>
      </c>
      <c r="I4257">
        <f>IF(F4257="","",INDEX(Deals!$D$2:$D$843,F4257))</f>
        <v/>
      </c>
      <c r="J4257">
        <f>IF(F4257="","",INT(H4257)-B4257)</f>
        <v/>
      </c>
      <c r="K4257">
        <f>IF(B4257&gt;=Settings!$C$5,1,0)</f>
        <v/>
      </c>
    </row>
    <row r="4258">
      <c r="A4258" t="inlineStr">
        <is>
          <t>f452fb191386e040c8dbb8e6e90da113</t>
        </is>
      </c>
      <c r="B4258" s="29" t="n">
        <v>43209</v>
      </c>
      <c r="C4258" t="inlineStr">
        <is>
          <t>2018-04</t>
        </is>
      </c>
      <c r="D4258" t="inlineStr">
        <is>
          <t>e492ee5eaf1697716985cc6f33f9cd9b</t>
        </is>
      </c>
      <c r="E4258" t="inlineStr">
        <is>
          <t>email</t>
        </is>
      </c>
      <c r="F4258">
        <f>IFERROR(MATCH(A4258,Deals!$A$2:$A$843,0),"")</f>
        <v/>
      </c>
      <c r="G4258">
        <f>IF(F4258="",0,1)</f>
        <v/>
      </c>
      <c r="H4258" s="29">
        <f>IF(F4258="","",INDEX(Deals!$E$2:$E$843,F4258))</f>
        <v/>
      </c>
      <c r="I4258">
        <f>IF(F4258="","",INDEX(Deals!$D$2:$D$843,F4258))</f>
        <v/>
      </c>
      <c r="J4258">
        <f>IF(F4258="","",INT(H4258)-B4258)</f>
        <v/>
      </c>
      <c r="K4258">
        <f>IF(B4258&gt;=Settings!$C$5,1,0)</f>
        <v/>
      </c>
    </row>
    <row r="4259">
      <c r="A4259" t="inlineStr">
        <is>
          <t>9dcfa40e7250f2fe6fa02282a752c7e2</t>
        </is>
      </c>
      <c r="B4259" s="29" t="n">
        <v>43251</v>
      </c>
      <c r="C4259" t="inlineStr">
        <is>
          <t>2018-05</t>
        </is>
      </c>
      <c r="D4259" t="inlineStr">
        <is>
          <t>58326e62183c14b0c03085c33b9fdc44</t>
        </is>
      </c>
      <c r="E4259" t="inlineStr">
        <is>
          <t>social</t>
        </is>
      </c>
      <c r="F4259">
        <f>IFERROR(MATCH(A4259,Deals!$A$2:$A$843,0),"")</f>
        <v/>
      </c>
      <c r="G4259">
        <f>IF(F4259="",0,1)</f>
        <v/>
      </c>
      <c r="H4259" s="29">
        <f>IF(F4259="","",INDEX(Deals!$E$2:$E$843,F4259))</f>
        <v/>
      </c>
      <c r="I4259">
        <f>IF(F4259="","",INDEX(Deals!$D$2:$D$843,F4259))</f>
        <v/>
      </c>
      <c r="J4259">
        <f>IF(F4259="","",INT(H4259)-B4259)</f>
        <v/>
      </c>
      <c r="K4259">
        <f>IF(B4259&gt;=Settings!$C$5,1,0)</f>
        <v/>
      </c>
    </row>
    <row r="4260">
      <c r="A4260" t="inlineStr">
        <is>
          <t>644b522e92999426ab230d94a4bb4512</t>
        </is>
      </c>
      <c r="B4260" s="29" t="n">
        <v>43167</v>
      </c>
      <c r="C4260" t="inlineStr">
        <is>
          <t>2018-03</t>
        </is>
      </c>
      <c r="D4260" t="inlineStr">
        <is>
          <t>88740e65d5d6b056e0cda098e1ea6313</t>
        </is>
      </c>
      <c r="E4260" t="inlineStr">
        <is>
          <t>social</t>
        </is>
      </c>
      <c r="F4260">
        <f>IFERROR(MATCH(A4260,Deals!$A$2:$A$843,0),"")</f>
        <v/>
      </c>
      <c r="G4260">
        <f>IF(F4260="",0,1)</f>
        <v/>
      </c>
      <c r="H4260" s="29">
        <f>IF(F4260="","",INDEX(Deals!$E$2:$E$843,F4260))</f>
        <v/>
      </c>
      <c r="I4260">
        <f>IF(F4260="","",INDEX(Deals!$D$2:$D$843,F4260))</f>
        <v/>
      </c>
      <c r="J4260">
        <f>IF(F4260="","",INT(H4260)-B4260)</f>
        <v/>
      </c>
      <c r="K4260">
        <f>IF(B4260&gt;=Settings!$C$5,1,0)</f>
        <v/>
      </c>
    </row>
    <row r="4261">
      <c r="A4261" t="inlineStr">
        <is>
          <t>d2e8ac40dc18011d5ecd890846f36ec1</t>
        </is>
      </c>
      <c r="B4261" s="29" t="n">
        <v>43202</v>
      </c>
      <c r="C4261" t="inlineStr">
        <is>
          <t>2018-04</t>
        </is>
      </c>
      <c r="D4261" t="inlineStr">
        <is>
          <t>9c0962a42379157493ed685d19844388</t>
        </is>
      </c>
      <c r="E4261" t="inlineStr">
        <is>
          <t>paid_search</t>
        </is>
      </c>
      <c r="F4261">
        <f>IFERROR(MATCH(A4261,Deals!$A$2:$A$843,0),"")</f>
        <v/>
      </c>
      <c r="G4261">
        <f>IF(F4261="",0,1)</f>
        <v/>
      </c>
      <c r="H4261" s="29">
        <f>IF(F4261="","",INDEX(Deals!$E$2:$E$843,F4261))</f>
        <v/>
      </c>
      <c r="I4261">
        <f>IF(F4261="","",INDEX(Deals!$D$2:$D$843,F4261))</f>
        <v/>
      </c>
      <c r="J4261">
        <f>IF(F4261="","",INT(H4261)-B4261)</f>
        <v/>
      </c>
      <c r="K4261">
        <f>IF(B4261&gt;=Settings!$C$5,1,0)</f>
        <v/>
      </c>
    </row>
    <row r="4262">
      <c r="A4262" t="inlineStr">
        <is>
          <t>8042532a1caf8cab4c93569cb42469ba</t>
        </is>
      </c>
      <c r="B4262" s="29" t="n">
        <v>43008</v>
      </c>
      <c r="C4262" t="inlineStr">
        <is>
          <t>2017-09</t>
        </is>
      </c>
      <c r="D4262" t="inlineStr">
        <is>
          <t>007f9098284a86ee80ddeb25d53e0af8</t>
        </is>
      </c>
      <c r="E4262" t="inlineStr">
        <is>
          <t>paid_search</t>
        </is>
      </c>
      <c r="F4262">
        <f>IFERROR(MATCH(A4262,Deals!$A$2:$A$843,0),"")</f>
        <v/>
      </c>
      <c r="G4262">
        <f>IF(F4262="",0,1)</f>
        <v/>
      </c>
      <c r="H4262" s="29">
        <f>IF(F4262="","",INDEX(Deals!$E$2:$E$843,F4262))</f>
        <v/>
      </c>
      <c r="I4262">
        <f>IF(F4262="","",INDEX(Deals!$D$2:$D$843,F4262))</f>
        <v/>
      </c>
      <c r="J4262">
        <f>IF(F4262="","",INT(H4262)-B4262)</f>
        <v/>
      </c>
      <c r="K4262">
        <f>IF(B4262&gt;=Settings!$C$5,1,0)</f>
        <v/>
      </c>
    </row>
    <row r="4263">
      <c r="A4263" t="inlineStr">
        <is>
          <t>874b8b4b430d2a662258ad7d9fc2e5b6</t>
        </is>
      </c>
      <c r="B4263" s="29" t="n">
        <v>43137</v>
      </c>
      <c r="C4263" t="inlineStr">
        <is>
          <t>2018-02</t>
        </is>
      </c>
      <c r="D4263" t="inlineStr">
        <is>
          <t>ce1a65abd0973638f1c887a6efcfa82d</t>
        </is>
      </c>
      <c r="E4263" t="inlineStr">
        <is>
          <t>organic_search</t>
        </is>
      </c>
      <c r="F4263">
        <f>IFERROR(MATCH(A4263,Deals!$A$2:$A$843,0),"")</f>
        <v/>
      </c>
      <c r="G4263">
        <f>IF(F4263="",0,1)</f>
        <v/>
      </c>
      <c r="H4263" s="29">
        <f>IF(F4263="","",INDEX(Deals!$E$2:$E$843,F4263))</f>
        <v/>
      </c>
      <c r="I4263">
        <f>IF(F4263="","",INDEX(Deals!$D$2:$D$843,F4263))</f>
        <v/>
      </c>
      <c r="J4263">
        <f>IF(F4263="","",INT(H4263)-B4263)</f>
        <v/>
      </c>
      <c r="K4263">
        <f>IF(B4263&gt;=Settings!$C$5,1,0)</f>
        <v/>
      </c>
    </row>
    <row r="4264">
      <c r="A4264" t="inlineStr">
        <is>
          <t>fd9feaee224753f923d50254601e7b0e</t>
        </is>
      </c>
      <c r="B4264" s="29" t="n">
        <v>43134</v>
      </c>
      <c r="C4264" t="inlineStr">
        <is>
          <t>2018-02</t>
        </is>
      </c>
      <c r="D4264" t="inlineStr">
        <is>
          <t>22c29808c4f815213303f8933030604c</t>
        </is>
      </c>
      <c r="E4264" t="inlineStr">
        <is>
          <t>organic_search</t>
        </is>
      </c>
      <c r="F4264">
        <f>IFERROR(MATCH(A4264,Deals!$A$2:$A$843,0),"")</f>
        <v/>
      </c>
      <c r="G4264">
        <f>IF(F4264="",0,1)</f>
        <v/>
      </c>
      <c r="H4264" s="29">
        <f>IF(F4264="","",INDEX(Deals!$E$2:$E$843,F4264))</f>
        <v/>
      </c>
      <c r="I4264">
        <f>IF(F4264="","",INDEX(Deals!$D$2:$D$843,F4264))</f>
        <v/>
      </c>
      <c r="J4264">
        <f>IF(F4264="","",INT(H4264)-B4264)</f>
        <v/>
      </c>
      <c r="K4264">
        <f>IF(B4264&gt;=Settings!$C$5,1,0)</f>
        <v/>
      </c>
    </row>
    <row r="4265">
      <c r="A4265" t="inlineStr">
        <is>
          <t>ee7230dec6c5cf2229f0a706a265ca49</t>
        </is>
      </c>
      <c r="B4265" s="29" t="n">
        <v>43232</v>
      </c>
      <c r="C4265" t="inlineStr">
        <is>
          <t>2018-05</t>
        </is>
      </c>
      <c r="D4265" t="inlineStr">
        <is>
          <t>ce1a65abd0973638f1c887a6efcfa82d</t>
        </is>
      </c>
      <c r="E4265" t="inlineStr">
        <is>
          <t>direct_traffic</t>
        </is>
      </c>
      <c r="F4265">
        <f>IFERROR(MATCH(A4265,Deals!$A$2:$A$843,0),"")</f>
        <v/>
      </c>
      <c r="G4265">
        <f>IF(F4265="",0,1)</f>
        <v/>
      </c>
      <c r="H4265" s="29">
        <f>IF(F4265="","",INDEX(Deals!$E$2:$E$843,F4265))</f>
        <v/>
      </c>
      <c r="I4265">
        <f>IF(F4265="","",INDEX(Deals!$D$2:$D$843,F4265))</f>
        <v/>
      </c>
      <c r="J4265">
        <f>IF(F4265="","",INT(H4265)-B4265)</f>
        <v/>
      </c>
      <c r="K4265">
        <f>IF(B4265&gt;=Settings!$C$5,1,0)</f>
        <v/>
      </c>
    </row>
    <row r="4266">
      <c r="A4266" t="inlineStr">
        <is>
          <t>78f58a8b3761d55a831805c9a278fc45</t>
        </is>
      </c>
      <c r="B4266" s="29" t="n">
        <v>43146</v>
      </c>
      <c r="C4266" t="inlineStr">
        <is>
          <t>2018-02</t>
        </is>
      </c>
      <c r="D4266" t="inlineStr">
        <is>
          <t>40dec9f3d5259a3d2dbcdab2114fae47</t>
        </is>
      </c>
      <c r="E4266" t="inlineStr">
        <is>
          <t>paid_search</t>
        </is>
      </c>
      <c r="F4266">
        <f>IFERROR(MATCH(A4266,Deals!$A$2:$A$843,0),"")</f>
        <v/>
      </c>
      <c r="G4266">
        <f>IF(F4266="",0,1)</f>
        <v/>
      </c>
      <c r="H4266" s="29">
        <f>IF(F4266="","",INDEX(Deals!$E$2:$E$843,F4266))</f>
        <v/>
      </c>
      <c r="I4266">
        <f>IF(F4266="","",INDEX(Deals!$D$2:$D$843,F4266))</f>
        <v/>
      </c>
      <c r="J4266">
        <f>IF(F4266="","",INT(H4266)-B4266)</f>
        <v/>
      </c>
      <c r="K4266">
        <f>IF(B4266&gt;=Settings!$C$5,1,0)</f>
        <v/>
      </c>
    </row>
    <row r="4267">
      <c r="A4267" t="inlineStr">
        <is>
          <t>e5e05bd77a755fedae33906cae78b723</t>
        </is>
      </c>
      <c r="B4267" s="29" t="n">
        <v>43152</v>
      </c>
      <c r="C4267" t="inlineStr">
        <is>
          <t>2018-02</t>
        </is>
      </c>
      <c r="D4267" t="inlineStr">
        <is>
          <t>f017be4dbf86243af5c1ebed0cff36a2</t>
        </is>
      </c>
      <c r="E4267" t="inlineStr">
        <is>
          <t>organic_search</t>
        </is>
      </c>
      <c r="F4267">
        <f>IFERROR(MATCH(A4267,Deals!$A$2:$A$843,0),"")</f>
        <v/>
      </c>
      <c r="G4267">
        <f>IF(F4267="",0,1)</f>
        <v/>
      </c>
      <c r="H4267" s="29">
        <f>IF(F4267="","",INDEX(Deals!$E$2:$E$843,F4267))</f>
        <v/>
      </c>
      <c r="I4267">
        <f>IF(F4267="","",INDEX(Deals!$D$2:$D$843,F4267))</f>
        <v/>
      </c>
      <c r="J4267">
        <f>IF(F4267="","",INT(H4267)-B4267)</f>
        <v/>
      </c>
      <c r="K4267">
        <f>IF(B4267&gt;=Settings!$C$5,1,0)</f>
        <v/>
      </c>
    </row>
    <row r="4268">
      <c r="A4268" t="inlineStr">
        <is>
          <t>78775654c69f1cb73d97d96c1c65354e</t>
        </is>
      </c>
      <c r="B4268" s="29" t="n">
        <v>43202</v>
      </c>
      <c r="C4268" t="inlineStr">
        <is>
          <t>2018-04</t>
        </is>
      </c>
      <c r="D4268" t="inlineStr">
        <is>
          <t>b76ef37428e6799c421989521c0e5077</t>
        </is>
      </c>
      <c r="E4268" t="inlineStr">
        <is>
          <t>direct_traffic</t>
        </is>
      </c>
      <c r="F4268">
        <f>IFERROR(MATCH(A4268,Deals!$A$2:$A$843,0),"")</f>
        <v/>
      </c>
      <c r="G4268">
        <f>IF(F4268="",0,1)</f>
        <v/>
      </c>
      <c r="H4268" s="29">
        <f>IF(F4268="","",INDEX(Deals!$E$2:$E$843,F4268))</f>
        <v/>
      </c>
      <c r="I4268">
        <f>IF(F4268="","",INDEX(Deals!$D$2:$D$843,F4268))</f>
        <v/>
      </c>
      <c r="J4268">
        <f>IF(F4268="","",INT(H4268)-B4268)</f>
        <v/>
      </c>
      <c r="K4268">
        <f>IF(B4268&gt;=Settings!$C$5,1,0)</f>
        <v/>
      </c>
    </row>
    <row r="4269">
      <c r="A4269" t="inlineStr">
        <is>
          <t>3d67071efa4bd410db2ba44714135479</t>
        </is>
      </c>
      <c r="B4269" s="29" t="n">
        <v>43240</v>
      </c>
      <c r="C4269" t="inlineStr">
        <is>
          <t>2018-05</t>
        </is>
      </c>
      <c r="D4269" t="inlineStr">
        <is>
          <t>40dec9f3d5259a3d2dbcdab2114fae47</t>
        </is>
      </c>
      <c r="E4269" t="inlineStr">
        <is>
          <t>paid_search</t>
        </is>
      </c>
      <c r="F4269">
        <f>IFERROR(MATCH(A4269,Deals!$A$2:$A$843,0),"")</f>
        <v/>
      </c>
      <c r="G4269">
        <f>IF(F4269="",0,1)</f>
        <v/>
      </c>
      <c r="H4269" s="29">
        <f>IF(F4269="","",INDEX(Deals!$E$2:$E$843,F4269))</f>
        <v/>
      </c>
      <c r="I4269">
        <f>IF(F4269="","",INDEX(Deals!$D$2:$D$843,F4269))</f>
        <v/>
      </c>
      <c r="J4269">
        <f>IF(F4269="","",INT(H4269)-B4269)</f>
        <v/>
      </c>
      <c r="K4269">
        <f>IF(B4269&gt;=Settings!$C$5,1,0)</f>
        <v/>
      </c>
    </row>
    <row r="4270">
      <c r="A4270" t="inlineStr">
        <is>
          <t>785f9daa6aedd3afc9ef23137a51fe3e</t>
        </is>
      </c>
      <c r="B4270" s="29" t="n">
        <v>43059</v>
      </c>
      <c r="C4270" t="inlineStr">
        <is>
          <t>2017-11</t>
        </is>
      </c>
      <c r="D4270" t="inlineStr">
        <is>
          <t>b217afa2c1f4cb502423005639878f6d</t>
        </is>
      </c>
      <c r="E4270" t="inlineStr">
        <is>
          <t>paid_search</t>
        </is>
      </c>
      <c r="F4270">
        <f>IFERROR(MATCH(A4270,Deals!$A$2:$A$843,0),"")</f>
        <v/>
      </c>
      <c r="G4270">
        <f>IF(F4270="",0,1)</f>
        <v/>
      </c>
      <c r="H4270" s="29">
        <f>IF(F4270="","",INDEX(Deals!$E$2:$E$843,F4270))</f>
        <v/>
      </c>
      <c r="I4270">
        <f>IF(F4270="","",INDEX(Deals!$D$2:$D$843,F4270))</f>
        <v/>
      </c>
      <c r="J4270">
        <f>IF(F4270="","",INT(H4270)-B4270)</f>
        <v/>
      </c>
      <c r="K4270">
        <f>IF(B4270&gt;=Settings!$C$5,1,0)</f>
        <v/>
      </c>
    </row>
    <row r="4271">
      <c r="A4271" t="inlineStr">
        <is>
          <t>db1a80fb7e65ef1147d952687f0dd9c6</t>
        </is>
      </c>
      <c r="B4271" s="29" t="n">
        <v>43057</v>
      </c>
      <c r="C4271" t="inlineStr">
        <is>
          <t>2017-11</t>
        </is>
      </c>
      <c r="D4271" t="inlineStr">
        <is>
          <t>40dec9f3d5259a3d2dbcdab2114fae47</t>
        </is>
      </c>
      <c r="E4271" t="inlineStr">
        <is>
          <t>paid_search</t>
        </is>
      </c>
      <c r="F4271">
        <f>IFERROR(MATCH(A4271,Deals!$A$2:$A$843,0),"")</f>
        <v/>
      </c>
      <c r="G4271">
        <f>IF(F4271="",0,1)</f>
        <v/>
      </c>
      <c r="H4271" s="29">
        <f>IF(F4271="","",INDEX(Deals!$E$2:$E$843,F4271))</f>
        <v/>
      </c>
      <c r="I4271">
        <f>IF(F4271="","",INDEX(Deals!$D$2:$D$843,F4271))</f>
        <v/>
      </c>
      <c r="J4271">
        <f>IF(F4271="","",INT(H4271)-B4271)</f>
        <v/>
      </c>
      <c r="K4271">
        <f>IF(B4271&gt;=Settings!$C$5,1,0)</f>
        <v/>
      </c>
    </row>
    <row r="4272">
      <c r="A4272" t="inlineStr">
        <is>
          <t>9b80db5649edf85db26dde3ba3e287f5</t>
        </is>
      </c>
      <c r="B4272" s="29" t="n">
        <v>43206</v>
      </c>
      <c r="C4272" t="inlineStr">
        <is>
          <t>2018-04</t>
        </is>
      </c>
      <c r="D4272" t="inlineStr">
        <is>
          <t>d83b0d0e48c8447d1d5507a44027a955</t>
        </is>
      </c>
      <c r="E4272" t="inlineStr">
        <is>
          <t>organic_search</t>
        </is>
      </c>
      <c r="F4272">
        <f>IFERROR(MATCH(A4272,Deals!$A$2:$A$843,0),"")</f>
        <v/>
      </c>
      <c r="G4272">
        <f>IF(F4272="",0,1)</f>
        <v/>
      </c>
      <c r="H4272" s="29">
        <f>IF(F4272="","",INDEX(Deals!$E$2:$E$843,F4272))</f>
        <v/>
      </c>
      <c r="I4272">
        <f>IF(F4272="","",INDEX(Deals!$D$2:$D$843,F4272))</f>
        <v/>
      </c>
      <c r="J4272">
        <f>IF(F4272="","",INT(H4272)-B4272)</f>
        <v/>
      </c>
      <c r="K4272">
        <f>IF(B4272&gt;=Settings!$C$5,1,0)</f>
        <v/>
      </c>
    </row>
    <row r="4273">
      <c r="A4273" t="inlineStr">
        <is>
          <t>05b99715f32c973f929cd22735389966</t>
        </is>
      </c>
      <c r="B4273" s="29" t="n">
        <v>43178</v>
      </c>
      <c r="C4273" t="inlineStr">
        <is>
          <t>2018-03</t>
        </is>
      </c>
      <c r="D4273" t="inlineStr">
        <is>
          <t>a7982125ff7aa3b2054c6e44f9d28522</t>
        </is>
      </c>
      <c r="E4273" t="inlineStr">
        <is>
          <t>organic_search</t>
        </is>
      </c>
      <c r="F4273">
        <f>IFERROR(MATCH(A4273,Deals!$A$2:$A$843,0),"")</f>
        <v/>
      </c>
      <c r="G4273">
        <f>IF(F4273="",0,1)</f>
        <v/>
      </c>
      <c r="H4273" s="29">
        <f>IF(F4273="","",INDEX(Deals!$E$2:$E$843,F4273))</f>
        <v/>
      </c>
      <c r="I4273">
        <f>IF(F4273="","",INDEX(Deals!$D$2:$D$843,F4273))</f>
        <v/>
      </c>
      <c r="J4273">
        <f>IF(F4273="","",INT(H4273)-B4273)</f>
        <v/>
      </c>
      <c r="K4273">
        <f>IF(B4273&gt;=Settings!$C$5,1,0)</f>
        <v/>
      </c>
    </row>
    <row r="4274">
      <c r="A4274" t="inlineStr">
        <is>
          <t>94b7cee526e7478a1d4c97340d74b467</t>
        </is>
      </c>
      <c r="B4274" s="29" t="n">
        <v>43216</v>
      </c>
      <c r="C4274" t="inlineStr">
        <is>
          <t>2018-04</t>
        </is>
      </c>
      <c r="D4274" t="inlineStr">
        <is>
          <t>bfd05fa9f9fe2aedee539951a84f2aaf</t>
        </is>
      </c>
      <c r="E4274" t="inlineStr">
        <is>
          <t>paid_search</t>
        </is>
      </c>
      <c r="F4274">
        <f>IFERROR(MATCH(A4274,Deals!$A$2:$A$843,0),"")</f>
        <v/>
      </c>
      <c r="G4274">
        <f>IF(F4274="",0,1)</f>
        <v/>
      </c>
      <c r="H4274" s="29">
        <f>IF(F4274="","",INDEX(Deals!$E$2:$E$843,F4274))</f>
        <v/>
      </c>
      <c r="I4274">
        <f>IF(F4274="","",INDEX(Deals!$D$2:$D$843,F4274))</f>
        <v/>
      </c>
      <c r="J4274">
        <f>IF(F4274="","",INT(H4274)-B4274)</f>
        <v/>
      </c>
      <c r="K4274">
        <f>IF(B4274&gt;=Settings!$C$5,1,0)</f>
        <v/>
      </c>
    </row>
    <row r="4275">
      <c r="A4275" t="inlineStr">
        <is>
          <t>ff5a32529137a0ce614e6a37307423c5</t>
        </is>
      </c>
      <c r="B4275" s="29" t="n">
        <v>43036</v>
      </c>
      <c r="C4275" t="inlineStr">
        <is>
          <t>2017-10</t>
        </is>
      </c>
      <c r="D4275" t="inlineStr">
        <is>
          <t>22c29808c4f815213303f8933030604c</t>
        </is>
      </c>
      <c r="E4275" t="inlineStr">
        <is>
          <t>other</t>
        </is>
      </c>
      <c r="F4275">
        <f>IFERROR(MATCH(A4275,Deals!$A$2:$A$843,0),"")</f>
        <v/>
      </c>
      <c r="G4275">
        <f>IF(F4275="",0,1)</f>
        <v/>
      </c>
      <c r="H4275" s="29">
        <f>IF(F4275="","",INDEX(Deals!$E$2:$E$843,F4275))</f>
        <v/>
      </c>
      <c r="I4275">
        <f>IF(F4275="","",INDEX(Deals!$D$2:$D$843,F4275))</f>
        <v/>
      </c>
      <c r="J4275">
        <f>IF(F4275="","",INT(H4275)-B4275)</f>
        <v/>
      </c>
      <c r="K4275">
        <f>IF(B4275&gt;=Settings!$C$5,1,0)</f>
        <v/>
      </c>
    </row>
    <row r="4276">
      <c r="A4276" t="inlineStr">
        <is>
          <t>c8ba6c4ec17a64c0b4ee1872b3a3968c</t>
        </is>
      </c>
      <c r="B4276" s="29" t="n">
        <v>43143</v>
      </c>
      <c r="C4276" t="inlineStr">
        <is>
          <t>2018-02</t>
        </is>
      </c>
      <c r="D4276" t="inlineStr">
        <is>
          <t>a7982125ff7aa3b2054c6e44f9d28522</t>
        </is>
      </c>
      <c r="E4276" t="inlineStr">
        <is>
          <t>organic_search</t>
        </is>
      </c>
      <c r="F4276">
        <f>IFERROR(MATCH(A4276,Deals!$A$2:$A$843,0),"")</f>
        <v/>
      </c>
      <c r="G4276">
        <f>IF(F4276="",0,1)</f>
        <v/>
      </c>
      <c r="H4276" s="29">
        <f>IF(F4276="","",INDEX(Deals!$E$2:$E$843,F4276))</f>
        <v/>
      </c>
      <c r="I4276">
        <f>IF(F4276="","",INDEX(Deals!$D$2:$D$843,F4276))</f>
        <v/>
      </c>
      <c r="J4276">
        <f>IF(F4276="","",INT(H4276)-B4276)</f>
        <v/>
      </c>
      <c r="K4276">
        <f>IF(B4276&gt;=Settings!$C$5,1,0)</f>
        <v/>
      </c>
    </row>
    <row r="4277">
      <c r="A4277" t="inlineStr">
        <is>
          <t>6b7f18f1f939115a1bd761ec64bd2c55</t>
        </is>
      </c>
      <c r="B4277" s="29" t="n">
        <v>42990</v>
      </c>
      <c r="C4277" t="inlineStr">
        <is>
          <t>2017-09</t>
        </is>
      </c>
      <c r="D4277" t="inlineStr">
        <is>
          <t>e92a6f37ebb87a6bfbc569d439cf1635</t>
        </is>
      </c>
      <c r="E4277" t="inlineStr">
        <is>
          <t>display</t>
        </is>
      </c>
      <c r="F4277">
        <f>IFERROR(MATCH(A4277,Deals!$A$2:$A$843,0),"")</f>
        <v/>
      </c>
      <c r="G4277">
        <f>IF(F4277="",0,1)</f>
        <v/>
      </c>
      <c r="H4277" s="29">
        <f>IF(F4277="","",INDEX(Deals!$E$2:$E$843,F4277))</f>
        <v/>
      </c>
      <c r="I4277">
        <f>IF(F4277="","",INDEX(Deals!$D$2:$D$843,F4277))</f>
        <v/>
      </c>
      <c r="J4277">
        <f>IF(F4277="","",INT(H4277)-B4277)</f>
        <v/>
      </c>
      <c r="K4277">
        <f>IF(B4277&gt;=Settings!$C$5,1,0)</f>
        <v/>
      </c>
    </row>
    <row r="4278">
      <c r="A4278" t="inlineStr">
        <is>
          <t>52cf16b573a97bddb9aea03cf5710746</t>
        </is>
      </c>
      <c r="B4278" s="29" t="n">
        <v>42957</v>
      </c>
      <c r="C4278" t="inlineStr">
        <is>
          <t>2017-08</t>
        </is>
      </c>
      <c r="D4278" t="inlineStr">
        <is>
          <t>c555aa36478386fdf85a2d0ca5cd0ff8</t>
        </is>
      </c>
      <c r="E4278" t="inlineStr">
        <is>
          <t>unknown</t>
        </is>
      </c>
      <c r="F4278">
        <f>IFERROR(MATCH(A4278,Deals!$A$2:$A$843,0),"")</f>
        <v/>
      </c>
      <c r="G4278">
        <f>IF(F4278="",0,1)</f>
        <v/>
      </c>
      <c r="H4278" s="29">
        <f>IF(F4278="","",INDEX(Deals!$E$2:$E$843,F4278))</f>
        <v/>
      </c>
      <c r="I4278">
        <f>IF(F4278="","",INDEX(Deals!$D$2:$D$843,F4278))</f>
        <v/>
      </c>
      <c r="J4278">
        <f>IF(F4278="","",INT(H4278)-B4278)</f>
        <v/>
      </c>
      <c r="K4278">
        <f>IF(B4278&gt;=Settings!$C$5,1,0)</f>
        <v/>
      </c>
    </row>
    <row r="4279">
      <c r="A4279" t="inlineStr">
        <is>
          <t>7ae4b452af28fb2a994e10e14a8b2287</t>
        </is>
      </c>
      <c r="B4279" s="29" t="n">
        <v>43168</v>
      </c>
      <c r="C4279" t="inlineStr">
        <is>
          <t>2018-03</t>
        </is>
      </c>
      <c r="D4279" t="inlineStr">
        <is>
          <t>330b9d44078a1ae5a221d655dcb77afa</t>
        </is>
      </c>
      <c r="E4279" t="inlineStr">
        <is>
          <t>email</t>
        </is>
      </c>
      <c r="F4279">
        <f>IFERROR(MATCH(A4279,Deals!$A$2:$A$843,0),"")</f>
        <v/>
      </c>
      <c r="G4279">
        <f>IF(F4279="",0,1)</f>
        <v/>
      </c>
      <c r="H4279" s="29">
        <f>IF(F4279="","",INDEX(Deals!$E$2:$E$843,F4279))</f>
        <v/>
      </c>
      <c r="I4279">
        <f>IF(F4279="","",INDEX(Deals!$D$2:$D$843,F4279))</f>
        <v/>
      </c>
      <c r="J4279">
        <f>IF(F4279="","",INT(H4279)-B4279)</f>
        <v/>
      </c>
      <c r="K4279">
        <f>IF(B4279&gt;=Settings!$C$5,1,0)</f>
        <v/>
      </c>
    </row>
    <row r="4280">
      <c r="A4280" t="inlineStr">
        <is>
          <t>f9cb3124b5a22b133f21273ef2cb0695</t>
        </is>
      </c>
      <c r="B4280" s="29" t="n">
        <v>43137</v>
      </c>
      <c r="C4280" t="inlineStr">
        <is>
          <t>2018-02</t>
        </is>
      </c>
      <c r="D4280" t="inlineStr">
        <is>
          <t>22c29808c4f815213303f8933030604c</t>
        </is>
      </c>
      <c r="E4280" t="inlineStr">
        <is>
          <t>social</t>
        </is>
      </c>
      <c r="F4280">
        <f>IFERROR(MATCH(A4280,Deals!$A$2:$A$843,0),"")</f>
        <v/>
      </c>
      <c r="G4280">
        <f>IF(F4280="",0,1)</f>
        <v/>
      </c>
      <c r="H4280" s="29">
        <f>IF(F4280="","",INDEX(Deals!$E$2:$E$843,F4280))</f>
        <v/>
      </c>
      <c r="I4280">
        <f>IF(F4280="","",INDEX(Deals!$D$2:$D$843,F4280))</f>
        <v/>
      </c>
      <c r="J4280">
        <f>IF(F4280="","",INT(H4280)-B4280)</f>
        <v/>
      </c>
      <c r="K4280">
        <f>IF(B4280&gt;=Settings!$C$5,1,0)</f>
        <v/>
      </c>
    </row>
    <row r="4281">
      <c r="A4281" t="inlineStr">
        <is>
          <t>f2d12ba1c65146a7035fcfd82f10377a</t>
        </is>
      </c>
      <c r="B4281" s="29" t="n">
        <v>43200</v>
      </c>
      <c r="C4281" t="inlineStr">
        <is>
          <t>2018-04</t>
        </is>
      </c>
      <c r="D4281" t="inlineStr">
        <is>
          <t>30077c17f2ec5010a82e37ad8925b95f</t>
        </is>
      </c>
      <c r="E4281" t="inlineStr">
        <is>
          <t>direct_traffic</t>
        </is>
      </c>
      <c r="F4281">
        <f>IFERROR(MATCH(A4281,Deals!$A$2:$A$843,0),"")</f>
        <v/>
      </c>
      <c r="G4281">
        <f>IF(F4281="",0,1)</f>
        <v/>
      </c>
      <c r="H4281" s="29">
        <f>IF(F4281="","",INDEX(Deals!$E$2:$E$843,F4281))</f>
        <v/>
      </c>
      <c r="I4281">
        <f>IF(F4281="","",INDEX(Deals!$D$2:$D$843,F4281))</f>
        <v/>
      </c>
      <c r="J4281">
        <f>IF(F4281="","",INT(H4281)-B4281)</f>
        <v/>
      </c>
      <c r="K4281">
        <f>IF(B4281&gt;=Settings!$C$5,1,0)</f>
        <v/>
      </c>
    </row>
    <row r="4282">
      <c r="A4282" t="inlineStr">
        <is>
          <t>b998882657b5780d5a28664294f9ffb9</t>
        </is>
      </c>
      <c r="B4282" s="29" t="n">
        <v>43230</v>
      </c>
      <c r="C4282" t="inlineStr">
        <is>
          <t>2018-05</t>
        </is>
      </c>
      <c r="D4282" t="inlineStr">
        <is>
          <t>58326e62183c14b0c03085c33b9fdc44</t>
        </is>
      </c>
      <c r="E4282" t="inlineStr">
        <is>
          <t>social</t>
        </is>
      </c>
      <c r="F4282">
        <f>IFERROR(MATCH(A4282,Deals!$A$2:$A$843,0),"")</f>
        <v/>
      </c>
      <c r="G4282">
        <f>IF(F4282="",0,1)</f>
        <v/>
      </c>
      <c r="H4282" s="29">
        <f>IF(F4282="","",INDEX(Deals!$E$2:$E$843,F4282))</f>
        <v/>
      </c>
      <c r="I4282">
        <f>IF(F4282="","",INDEX(Deals!$D$2:$D$843,F4282))</f>
        <v/>
      </c>
      <c r="J4282">
        <f>IF(F4282="","",INT(H4282)-B4282)</f>
        <v/>
      </c>
      <c r="K4282">
        <f>IF(B4282&gt;=Settings!$C$5,1,0)</f>
        <v/>
      </c>
    </row>
    <row r="4283">
      <c r="A4283" t="inlineStr">
        <is>
          <t>2a0433fde38b262e5db7db757057c7c0</t>
        </is>
      </c>
      <c r="B4283" s="29" t="n">
        <v>43153</v>
      </c>
      <c r="C4283" t="inlineStr">
        <is>
          <t>2018-02</t>
        </is>
      </c>
      <c r="D4283" t="inlineStr">
        <is>
          <t>241f79c7a8fe0270f4fb79fcbbcd17ad</t>
        </is>
      </c>
      <c r="E4283" t="inlineStr">
        <is>
          <t>paid_search</t>
        </is>
      </c>
      <c r="F4283">
        <f>IFERROR(MATCH(A4283,Deals!$A$2:$A$843,0),"")</f>
        <v/>
      </c>
      <c r="G4283">
        <f>IF(F4283="",0,1)</f>
        <v/>
      </c>
      <c r="H4283" s="29">
        <f>IF(F4283="","",INDEX(Deals!$E$2:$E$843,F4283))</f>
        <v/>
      </c>
      <c r="I4283">
        <f>IF(F4283="","",INDEX(Deals!$D$2:$D$843,F4283))</f>
        <v/>
      </c>
      <c r="J4283">
        <f>IF(F4283="","",INT(H4283)-B4283)</f>
        <v/>
      </c>
      <c r="K4283">
        <f>IF(B4283&gt;=Settings!$C$5,1,0)</f>
        <v/>
      </c>
    </row>
    <row r="4284">
      <c r="A4284" t="inlineStr">
        <is>
          <t>a244f80bac3293a03b71b032e0e09ce5</t>
        </is>
      </c>
      <c r="B4284" s="29" t="n">
        <v>43192</v>
      </c>
      <c r="C4284" t="inlineStr">
        <is>
          <t>2018-04</t>
        </is>
      </c>
      <c r="D4284" t="inlineStr">
        <is>
          <t>22c29808c4f815213303f8933030604c</t>
        </is>
      </c>
      <c r="E4284" t="inlineStr">
        <is>
          <t>organic_search</t>
        </is>
      </c>
      <c r="F4284">
        <f>IFERROR(MATCH(A4284,Deals!$A$2:$A$843,0),"")</f>
        <v/>
      </c>
      <c r="G4284">
        <f>IF(F4284="",0,1)</f>
        <v/>
      </c>
      <c r="H4284" s="29">
        <f>IF(F4284="","",INDEX(Deals!$E$2:$E$843,F4284))</f>
        <v/>
      </c>
      <c r="I4284">
        <f>IF(F4284="","",INDEX(Deals!$D$2:$D$843,F4284))</f>
        <v/>
      </c>
      <c r="J4284">
        <f>IF(F4284="","",INT(H4284)-B4284)</f>
        <v/>
      </c>
      <c r="K4284">
        <f>IF(B4284&gt;=Settings!$C$5,1,0)</f>
        <v/>
      </c>
    </row>
    <row r="4285">
      <c r="A4285" t="inlineStr">
        <is>
          <t>0d620a440d7259218ff725f59419a5a1</t>
        </is>
      </c>
      <c r="B4285" s="29" t="n">
        <v>42923</v>
      </c>
      <c r="C4285" t="inlineStr">
        <is>
          <t>2017-07</t>
        </is>
      </c>
      <c r="D4285" t="inlineStr">
        <is>
          <t>51ecca024748b4439e473ec446c0bef5</t>
        </is>
      </c>
      <c r="E4285" t="inlineStr">
        <is>
          <t>email</t>
        </is>
      </c>
      <c r="F4285">
        <f>IFERROR(MATCH(A4285,Deals!$A$2:$A$843,0),"")</f>
        <v/>
      </c>
      <c r="G4285">
        <f>IF(F4285="",0,1)</f>
        <v/>
      </c>
      <c r="H4285" s="29">
        <f>IF(F4285="","",INDEX(Deals!$E$2:$E$843,F4285))</f>
        <v/>
      </c>
      <c r="I4285">
        <f>IF(F4285="","",INDEX(Deals!$D$2:$D$843,F4285))</f>
        <v/>
      </c>
      <c r="J4285">
        <f>IF(F4285="","",INT(H4285)-B4285)</f>
        <v/>
      </c>
      <c r="K4285">
        <f>IF(B4285&gt;=Settings!$C$5,1,0)</f>
        <v/>
      </c>
    </row>
    <row r="4286">
      <c r="A4286" t="inlineStr">
        <is>
          <t>dd27f2bc962dc976d5e3115fdc6120ce</t>
        </is>
      </c>
      <c r="B4286" s="29" t="n">
        <v>43039</v>
      </c>
      <c r="C4286" t="inlineStr">
        <is>
          <t>2017-10</t>
        </is>
      </c>
      <c r="D4286" t="inlineStr">
        <is>
          <t>21a104c3279681d9856b8a48723c4fee</t>
        </is>
      </c>
      <c r="E4286" t="inlineStr">
        <is>
          <t>email</t>
        </is>
      </c>
      <c r="F4286">
        <f>IFERROR(MATCH(A4286,Deals!$A$2:$A$843,0),"")</f>
        <v/>
      </c>
      <c r="G4286">
        <f>IF(F4286="",0,1)</f>
        <v/>
      </c>
      <c r="H4286" s="29">
        <f>IF(F4286="","",INDEX(Deals!$E$2:$E$843,F4286))</f>
        <v/>
      </c>
      <c r="I4286">
        <f>IF(F4286="","",INDEX(Deals!$D$2:$D$843,F4286))</f>
        <v/>
      </c>
      <c r="J4286">
        <f>IF(F4286="","",INT(H4286)-B4286)</f>
        <v/>
      </c>
      <c r="K4286">
        <f>IF(B4286&gt;=Settings!$C$5,1,0)</f>
        <v/>
      </c>
    </row>
    <row r="4287">
      <c r="A4287" t="inlineStr">
        <is>
          <t>6ce8717b8496b9d1a1e4c615b7c91d92</t>
        </is>
      </c>
      <c r="B4287" s="29" t="n">
        <v>43125</v>
      </c>
      <c r="C4287" t="inlineStr">
        <is>
          <t>2018-01</t>
        </is>
      </c>
      <c r="D4287" t="inlineStr">
        <is>
          <t>c30d0b4337fd05444a3fe502562508d1</t>
        </is>
      </c>
      <c r="E4287" t="inlineStr">
        <is>
          <t>email</t>
        </is>
      </c>
      <c r="F4287">
        <f>IFERROR(MATCH(A4287,Deals!$A$2:$A$843,0),"")</f>
        <v/>
      </c>
      <c r="G4287">
        <f>IF(F4287="",0,1)</f>
        <v/>
      </c>
      <c r="H4287" s="29">
        <f>IF(F4287="","",INDEX(Deals!$E$2:$E$843,F4287))</f>
        <v/>
      </c>
      <c r="I4287">
        <f>IF(F4287="","",INDEX(Deals!$D$2:$D$843,F4287))</f>
        <v/>
      </c>
      <c r="J4287">
        <f>IF(F4287="","",INT(H4287)-B4287)</f>
        <v/>
      </c>
      <c r="K4287">
        <f>IF(B4287&gt;=Settings!$C$5,1,0)</f>
        <v/>
      </c>
    </row>
    <row r="4288">
      <c r="A4288" t="inlineStr">
        <is>
          <t>98c153eda30b9d78a78fb3cccae14eb7</t>
        </is>
      </c>
      <c r="B4288" s="29" t="n">
        <v>43105</v>
      </c>
      <c r="C4288" t="inlineStr">
        <is>
          <t>2018-01</t>
        </is>
      </c>
      <c r="D4288" t="inlineStr">
        <is>
          <t>ce1a65abd0973638f1c887a6efcfa82d</t>
        </is>
      </c>
      <c r="E4288" t="inlineStr">
        <is>
          <t>organic_search</t>
        </is>
      </c>
      <c r="F4288">
        <f>IFERROR(MATCH(A4288,Deals!$A$2:$A$843,0),"")</f>
        <v/>
      </c>
      <c r="G4288">
        <f>IF(F4288="",0,1)</f>
        <v/>
      </c>
      <c r="H4288" s="29">
        <f>IF(F4288="","",INDEX(Deals!$E$2:$E$843,F4288))</f>
        <v/>
      </c>
      <c r="I4288">
        <f>IF(F4288="","",INDEX(Deals!$D$2:$D$843,F4288))</f>
        <v/>
      </c>
      <c r="J4288">
        <f>IF(F4288="","",INT(H4288)-B4288)</f>
        <v/>
      </c>
      <c r="K4288">
        <f>IF(B4288&gt;=Settings!$C$5,1,0)</f>
        <v/>
      </c>
    </row>
    <row r="4289">
      <c r="A4289" t="inlineStr">
        <is>
          <t>b9c6d7331e1ebb7ffb3ddeedd918edc1</t>
        </is>
      </c>
      <c r="B4289" s="29" t="n">
        <v>43060</v>
      </c>
      <c r="C4289" t="inlineStr">
        <is>
          <t>2017-11</t>
        </is>
      </c>
      <c r="D4289" t="inlineStr">
        <is>
          <t>f017be4dbf86243af5c1ebed0cff36a2</t>
        </is>
      </c>
      <c r="E4289" t="inlineStr">
        <is>
          <t>unknown</t>
        </is>
      </c>
      <c r="F4289">
        <f>IFERROR(MATCH(A4289,Deals!$A$2:$A$843,0),"")</f>
        <v/>
      </c>
      <c r="G4289">
        <f>IF(F4289="",0,1)</f>
        <v/>
      </c>
      <c r="H4289" s="29">
        <f>IF(F4289="","",INDEX(Deals!$E$2:$E$843,F4289))</f>
        <v/>
      </c>
      <c r="I4289">
        <f>IF(F4289="","",INDEX(Deals!$D$2:$D$843,F4289))</f>
        <v/>
      </c>
      <c r="J4289">
        <f>IF(F4289="","",INT(H4289)-B4289)</f>
        <v/>
      </c>
      <c r="K4289">
        <f>IF(B4289&gt;=Settings!$C$5,1,0)</f>
        <v/>
      </c>
    </row>
    <row r="4290">
      <c r="A4290" t="inlineStr">
        <is>
          <t>2fe19a9f65a57f9717e619f339217837</t>
        </is>
      </c>
      <c r="B4290" s="29" t="n">
        <v>43106</v>
      </c>
      <c r="C4290" t="inlineStr">
        <is>
          <t>2018-01</t>
        </is>
      </c>
      <c r="D4290" t="inlineStr">
        <is>
          <t>f017be4dbf86243af5c1ebed0cff36a2</t>
        </is>
      </c>
      <c r="E4290" t="inlineStr">
        <is>
          <t>organic_search</t>
        </is>
      </c>
      <c r="F4290">
        <f>IFERROR(MATCH(A4290,Deals!$A$2:$A$843,0),"")</f>
        <v/>
      </c>
      <c r="G4290">
        <f>IF(F4290="",0,1)</f>
        <v/>
      </c>
      <c r="H4290" s="29">
        <f>IF(F4290="","",INDEX(Deals!$E$2:$E$843,F4290))</f>
        <v/>
      </c>
      <c r="I4290">
        <f>IF(F4290="","",INDEX(Deals!$D$2:$D$843,F4290))</f>
        <v/>
      </c>
      <c r="J4290">
        <f>IF(F4290="","",INT(H4290)-B4290)</f>
        <v/>
      </c>
      <c r="K4290">
        <f>IF(B4290&gt;=Settings!$C$5,1,0)</f>
        <v/>
      </c>
    </row>
    <row r="4291">
      <c r="A4291" t="inlineStr">
        <is>
          <t>6295f81adbb22455e788cb738ec1d386</t>
        </is>
      </c>
      <c r="B4291" s="29" t="n">
        <v>43130</v>
      </c>
      <c r="C4291" t="inlineStr">
        <is>
          <t>2018-01</t>
        </is>
      </c>
      <c r="D4291" t="inlineStr">
        <is>
          <t>e492ee5eaf1697716985cc6f33f9cd9b</t>
        </is>
      </c>
      <c r="E4291" t="inlineStr">
        <is>
          <t>email</t>
        </is>
      </c>
      <c r="F4291">
        <f>IFERROR(MATCH(A4291,Deals!$A$2:$A$843,0),"")</f>
        <v/>
      </c>
      <c r="G4291">
        <f>IF(F4291="",0,1)</f>
        <v/>
      </c>
      <c r="H4291" s="29">
        <f>IF(F4291="","",INDEX(Deals!$E$2:$E$843,F4291))</f>
        <v/>
      </c>
      <c r="I4291">
        <f>IF(F4291="","",INDEX(Deals!$D$2:$D$843,F4291))</f>
        <v/>
      </c>
      <c r="J4291">
        <f>IF(F4291="","",INT(H4291)-B4291)</f>
        <v/>
      </c>
      <c r="K4291">
        <f>IF(B4291&gt;=Settings!$C$5,1,0)</f>
        <v/>
      </c>
    </row>
    <row r="4292">
      <c r="A4292" t="inlineStr">
        <is>
          <t>a3d7364786b76fd32aa81a6474446181</t>
        </is>
      </c>
      <c r="B4292" s="29" t="n">
        <v>43138</v>
      </c>
      <c r="C4292" t="inlineStr">
        <is>
          <t>2018-02</t>
        </is>
      </c>
      <c r="D4292" t="inlineStr">
        <is>
          <t>ce1a65abd0973638f1c887a6efcfa82d</t>
        </is>
      </c>
      <c r="E4292" t="inlineStr">
        <is>
          <t>organic_search</t>
        </is>
      </c>
      <c r="F4292">
        <f>IFERROR(MATCH(A4292,Deals!$A$2:$A$843,0),"")</f>
        <v/>
      </c>
      <c r="G4292">
        <f>IF(F4292="",0,1)</f>
        <v/>
      </c>
      <c r="H4292" s="29">
        <f>IF(F4292="","",INDEX(Deals!$E$2:$E$843,F4292))</f>
        <v/>
      </c>
      <c r="I4292">
        <f>IF(F4292="","",INDEX(Deals!$D$2:$D$843,F4292))</f>
        <v/>
      </c>
      <c r="J4292">
        <f>IF(F4292="","",INT(H4292)-B4292)</f>
        <v/>
      </c>
      <c r="K4292">
        <f>IF(B4292&gt;=Settings!$C$5,1,0)</f>
        <v/>
      </c>
    </row>
    <row r="4293">
      <c r="A4293" t="inlineStr">
        <is>
          <t>ed03f1d36ca69348c51296ad69a6980a</t>
        </is>
      </c>
      <c r="B4293" s="29" t="n">
        <v>43206</v>
      </c>
      <c r="C4293" t="inlineStr">
        <is>
          <t>2018-04</t>
        </is>
      </c>
      <c r="D4293" t="inlineStr">
        <is>
          <t>b76ef37428e6799c421989521c0e5077</t>
        </is>
      </c>
      <c r="E4293" t="inlineStr">
        <is>
          <t>unknown</t>
        </is>
      </c>
      <c r="F4293">
        <f>IFERROR(MATCH(A4293,Deals!$A$2:$A$843,0),"")</f>
        <v/>
      </c>
      <c r="G4293">
        <f>IF(F4293="",0,1)</f>
        <v/>
      </c>
      <c r="H4293" s="29">
        <f>IF(F4293="","",INDEX(Deals!$E$2:$E$843,F4293))</f>
        <v/>
      </c>
      <c r="I4293">
        <f>IF(F4293="","",INDEX(Deals!$D$2:$D$843,F4293))</f>
        <v/>
      </c>
      <c r="J4293">
        <f>IF(F4293="","",INT(H4293)-B4293)</f>
        <v/>
      </c>
      <c r="K4293">
        <f>IF(B4293&gt;=Settings!$C$5,1,0)</f>
        <v/>
      </c>
    </row>
    <row r="4294">
      <c r="A4294" t="inlineStr">
        <is>
          <t>303ff9c6f340aee89c6f030af3168137</t>
        </is>
      </c>
      <c r="B4294" s="29" t="n">
        <v>43026</v>
      </c>
      <c r="C4294" t="inlineStr">
        <is>
          <t>2017-10</t>
        </is>
      </c>
      <c r="D4294" t="inlineStr">
        <is>
          <t>c05f0fd41e79d7811221253e0d4eadc8</t>
        </is>
      </c>
      <c r="E4294" t="inlineStr">
        <is>
          <t>other_publicities</t>
        </is>
      </c>
      <c r="F4294">
        <f>IFERROR(MATCH(A4294,Deals!$A$2:$A$843,0),"")</f>
        <v/>
      </c>
      <c r="G4294">
        <f>IF(F4294="",0,1)</f>
        <v/>
      </c>
      <c r="H4294" s="29">
        <f>IF(F4294="","",INDEX(Deals!$E$2:$E$843,F4294))</f>
        <v/>
      </c>
      <c r="I4294">
        <f>IF(F4294="","",INDEX(Deals!$D$2:$D$843,F4294))</f>
        <v/>
      </c>
      <c r="J4294">
        <f>IF(F4294="","",INT(H4294)-B4294)</f>
        <v/>
      </c>
      <c r="K4294">
        <f>IF(B4294&gt;=Settings!$C$5,1,0)</f>
        <v/>
      </c>
    </row>
    <row r="4295">
      <c r="A4295" t="inlineStr">
        <is>
          <t>e954fd23871b5505e296fe8fddf78623</t>
        </is>
      </c>
      <c r="B4295" s="29" t="n">
        <v>43114</v>
      </c>
      <c r="C4295" t="inlineStr">
        <is>
          <t>2018-01</t>
        </is>
      </c>
      <c r="D4295" t="inlineStr">
        <is>
          <t>91dbdf987124ca09b297bd87f06b5e64</t>
        </is>
      </c>
      <c r="E4295" t="inlineStr">
        <is>
          <t>organic_search</t>
        </is>
      </c>
      <c r="F4295">
        <f>IFERROR(MATCH(A4295,Deals!$A$2:$A$843,0),"")</f>
        <v/>
      </c>
      <c r="G4295">
        <f>IF(F4295="",0,1)</f>
        <v/>
      </c>
      <c r="H4295" s="29">
        <f>IF(F4295="","",INDEX(Deals!$E$2:$E$843,F4295))</f>
        <v/>
      </c>
      <c r="I4295">
        <f>IF(F4295="","",INDEX(Deals!$D$2:$D$843,F4295))</f>
        <v/>
      </c>
      <c r="J4295">
        <f>IF(F4295="","",INT(H4295)-B4295)</f>
        <v/>
      </c>
      <c r="K4295">
        <f>IF(B4295&gt;=Settings!$C$5,1,0)</f>
        <v/>
      </c>
    </row>
    <row r="4296">
      <c r="A4296" t="inlineStr">
        <is>
          <t>d7779e625d40191cb8ba59adf9280fe2</t>
        </is>
      </c>
      <c r="B4296" s="29" t="n">
        <v>43106</v>
      </c>
      <c r="C4296" t="inlineStr">
        <is>
          <t>2018-01</t>
        </is>
      </c>
      <c r="D4296" t="inlineStr">
        <is>
          <t>88740e65d5d6b056e0cda098e1ea6313</t>
        </is>
      </c>
      <c r="E4296" t="inlineStr">
        <is>
          <t>social</t>
        </is>
      </c>
      <c r="F4296">
        <f>IFERROR(MATCH(A4296,Deals!$A$2:$A$843,0),"")</f>
        <v/>
      </c>
      <c r="G4296">
        <f>IF(F4296="",0,1)</f>
        <v/>
      </c>
      <c r="H4296" s="29">
        <f>IF(F4296="","",INDEX(Deals!$E$2:$E$843,F4296))</f>
        <v/>
      </c>
      <c r="I4296">
        <f>IF(F4296="","",INDEX(Deals!$D$2:$D$843,F4296))</f>
        <v/>
      </c>
      <c r="J4296">
        <f>IF(F4296="","",INT(H4296)-B4296)</f>
        <v/>
      </c>
      <c r="K4296">
        <f>IF(B4296&gt;=Settings!$C$5,1,0)</f>
        <v/>
      </c>
    </row>
    <row r="4297">
      <c r="A4297" t="inlineStr">
        <is>
          <t>b5faafe944dadb86aee82ebe006a3e0f</t>
        </is>
      </c>
      <c r="B4297" s="29" t="n">
        <v>43159</v>
      </c>
      <c r="C4297" t="inlineStr">
        <is>
          <t>2018-02</t>
        </is>
      </c>
      <c r="D4297" t="inlineStr">
        <is>
          <t>1d4ddc25ccaa2adeded340b6eda66182</t>
        </is>
      </c>
      <c r="E4297" t="inlineStr">
        <is>
          <t>organic_search</t>
        </is>
      </c>
      <c r="F4297">
        <f>IFERROR(MATCH(A4297,Deals!$A$2:$A$843,0),"")</f>
        <v/>
      </c>
      <c r="G4297">
        <f>IF(F4297="",0,1)</f>
        <v/>
      </c>
      <c r="H4297" s="29">
        <f>IF(F4297="","",INDEX(Deals!$E$2:$E$843,F4297))</f>
        <v/>
      </c>
      <c r="I4297">
        <f>IF(F4297="","",INDEX(Deals!$D$2:$D$843,F4297))</f>
        <v/>
      </c>
      <c r="J4297">
        <f>IF(F4297="","",INT(H4297)-B4297)</f>
        <v/>
      </c>
      <c r="K4297">
        <f>IF(B4297&gt;=Settings!$C$5,1,0)</f>
        <v/>
      </c>
    </row>
    <row r="4298">
      <c r="A4298" t="inlineStr">
        <is>
          <t>349495688c536b6a7a4bf026ad76dc42</t>
        </is>
      </c>
      <c r="B4298" s="29" t="n">
        <v>43241</v>
      </c>
      <c r="C4298" t="inlineStr">
        <is>
          <t>2018-05</t>
        </is>
      </c>
      <c r="D4298" t="inlineStr">
        <is>
          <t>330b9d44078a1ae5a221d655dcb77afa</t>
        </is>
      </c>
      <c r="E4298" t="inlineStr">
        <is>
          <t>organic_search</t>
        </is>
      </c>
      <c r="F4298">
        <f>IFERROR(MATCH(A4298,Deals!$A$2:$A$843,0),"")</f>
        <v/>
      </c>
      <c r="G4298">
        <f>IF(F4298="",0,1)</f>
        <v/>
      </c>
      <c r="H4298" s="29">
        <f>IF(F4298="","",INDEX(Deals!$E$2:$E$843,F4298))</f>
        <v/>
      </c>
      <c r="I4298">
        <f>IF(F4298="","",INDEX(Deals!$D$2:$D$843,F4298))</f>
        <v/>
      </c>
      <c r="J4298">
        <f>IF(F4298="","",INT(H4298)-B4298)</f>
        <v/>
      </c>
      <c r="K4298">
        <f>IF(B4298&gt;=Settings!$C$5,1,0)</f>
        <v/>
      </c>
    </row>
    <row r="4299">
      <c r="A4299" t="inlineStr">
        <is>
          <t>03a3bcae21a27617a10aa114e03432f4</t>
        </is>
      </c>
      <c r="B4299" s="29" t="n">
        <v>43193</v>
      </c>
      <c r="C4299" t="inlineStr">
        <is>
          <t>2018-04</t>
        </is>
      </c>
      <c r="D4299" t="inlineStr">
        <is>
          <t>22c29808c4f815213303f8933030604c</t>
        </is>
      </c>
      <c r="E4299" t="inlineStr">
        <is>
          <t>organic_search</t>
        </is>
      </c>
      <c r="F4299">
        <f>IFERROR(MATCH(A4299,Deals!$A$2:$A$843,0),"")</f>
        <v/>
      </c>
      <c r="G4299">
        <f>IF(F4299="",0,1)</f>
        <v/>
      </c>
      <c r="H4299" s="29">
        <f>IF(F4299="","",INDEX(Deals!$E$2:$E$843,F4299))</f>
        <v/>
      </c>
      <c r="I4299">
        <f>IF(F4299="","",INDEX(Deals!$D$2:$D$843,F4299))</f>
        <v/>
      </c>
      <c r="J4299">
        <f>IF(F4299="","",INT(H4299)-B4299)</f>
        <v/>
      </c>
      <c r="K4299">
        <f>IF(B4299&gt;=Settings!$C$5,1,0)</f>
        <v/>
      </c>
    </row>
    <row r="4300">
      <c r="A4300" t="inlineStr">
        <is>
          <t>1f1706b27c1e14b293b9bf62f72db6bb</t>
        </is>
      </c>
      <c r="B4300" s="29" t="n">
        <v>43141</v>
      </c>
      <c r="C4300" t="inlineStr">
        <is>
          <t>2018-02</t>
        </is>
      </c>
      <c r="D4300" t="inlineStr">
        <is>
          <t>ce1a65abd0973638f1c887a6efcfa82d</t>
        </is>
      </c>
      <c r="E4300" t="inlineStr">
        <is>
          <t>organic_search</t>
        </is>
      </c>
      <c r="F4300">
        <f>IFERROR(MATCH(A4300,Deals!$A$2:$A$843,0),"")</f>
        <v/>
      </c>
      <c r="G4300">
        <f>IF(F4300="",0,1)</f>
        <v/>
      </c>
      <c r="H4300" s="29">
        <f>IF(F4300="","",INDEX(Deals!$E$2:$E$843,F4300))</f>
        <v/>
      </c>
      <c r="I4300">
        <f>IF(F4300="","",INDEX(Deals!$D$2:$D$843,F4300))</f>
        <v/>
      </c>
      <c r="J4300">
        <f>IF(F4300="","",INT(H4300)-B4300)</f>
        <v/>
      </c>
      <c r="K4300">
        <f>IF(B4300&gt;=Settings!$C$5,1,0)</f>
        <v/>
      </c>
    </row>
    <row r="4301">
      <c r="A4301" t="inlineStr">
        <is>
          <t>9cb9c75c1489b79a085eb7f56d82f2bf</t>
        </is>
      </c>
      <c r="B4301" s="29" t="n">
        <v>43129</v>
      </c>
      <c r="C4301" t="inlineStr">
        <is>
          <t>2018-01</t>
        </is>
      </c>
      <c r="D4301" t="inlineStr">
        <is>
          <t>0b37d43dbde6452cdd94c17bf61a88e4</t>
        </is>
      </c>
      <c r="E4301" t="inlineStr">
        <is>
          <t>organic_search</t>
        </is>
      </c>
      <c r="F4301">
        <f>IFERROR(MATCH(A4301,Deals!$A$2:$A$843,0),"")</f>
        <v/>
      </c>
      <c r="G4301">
        <f>IF(F4301="",0,1)</f>
        <v/>
      </c>
      <c r="H4301" s="29">
        <f>IF(F4301="","",INDEX(Deals!$E$2:$E$843,F4301))</f>
        <v/>
      </c>
      <c r="I4301">
        <f>IF(F4301="","",INDEX(Deals!$D$2:$D$843,F4301))</f>
        <v/>
      </c>
      <c r="J4301">
        <f>IF(F4301="","",INT(H4301)-B4301)</f>
        <v/>
      </c>
      <c r="K4301">
        <f>IF(B4301&gt;=Settings!$C$5,1,0)</f>
        <v/>
      </c>
    </row>
    <row r="4302">
      <c r="A4302" t="inlineStr">
        <is>
          <t>0c2ecd5cb4ba7dae4f84402c5ebe87f5</t>
        </is>
      </c>
      <c r="B4302" s="29" t="n">
        <v>43225</v>
      </c>
      <c r="C4302" t="inlineStr">
        <is>
          <t>2018-05</t>
        </is>
      </c>
      <c r="D4302" t="inlineStr">
        <is>
          <t>58326e62183c14b0c03085c33b9fdc44</t>
        </is>
      </c>
      <c r="E4302" t="inlineStr">
        <is>
          <t>social</t>
        </is>
      </c>
      <c r="F4302">
        <f>IFERROR(MATCH(A4302,Deals!$A$2:$A$843,0),"")</f>
        <v/>
      </c>
      <c r="G4302">
        <f>IF(F4302="",0,1)</f>
        <v/>
      </c>
      <c r="H4302" s="29">
        <f>IF(F4302="","",INDEX(Deals!$E$2:$E$843,F4302))</f>
        <v/>
      </c>
      <c r="I4302">
        <f>IF(F4302="","",INDEX(Deals!$D$2:$D$843,F4302))</f>
        <v/>
      </c>
      <c r="J4302">
        <f>IF(F4302="","",INT(H4302)-B4302)</f>
        <v/>
      </c>
      <c r="K4302">
        <f>IF(B4302&gt;=Settings!$C$5,1,0)</f>
        <v/>
      </c>
    </row>
    <row r="4303">
      <c r="A4303" t="inlineStr">
        <is>
          <t>7cbaabc637b2a3ed049b757493e817e8</t>
        </is>
      </c>
      <c r="B4303" s="29" t="n">
        <v>43049</v>
      </c>
      <c r="C4303" t="inlineStr">
        <is>
          <t>2017-11</t>
        </is>
      </c>
      <c r="D4303" t="inlineStr">
        <is>
          <t>a7982125ff7aa3b2054c6e44f9d28522</t>
        </is>
      </c>
      <c r="E4303" t="inlineStr">
        <is>
          <t>organic_search</t>
        </is>
      </c>
      <c r="F4303">
        <f>IFERROR(MATCH(A4303,Deals!$A$2:$A$843,0),"")</f>
        <v/>
      </c>
      <c r="G4303">
        <f>IF(F4303="",0,1)</f>
        <v/>
      </c>
      <c r="H4303" s="29">
        <f>IF(F4303="","",INDEX(Deals!$E$2:$E$843,F4303))</f>
        <v/>
      </c>
      <c r="I4303">
        <f>IF(F4303="","",INDEX(Deals!$D$2:$D$843,F4303))</f>
        <v/>
      </c>
      <c r="J4303">
        <f>IF(F4303="","",INT(H4303)-B4303)</f>
        <v/>
      </c>
      <c r="K4303">
        <f>IF(B4303&gt;=Settings!$C$5,1,0)</f>
        <v/>
      </c>
    </row>
    <row r="4304">
      <c r="A4304" t="inlineStr">
        <is>
          <t>420e7a59c4ccc0dbeb1d58e2126c42d5</t>
        </is>
      </c>
      <c r="B4304" s="29" t="n">
        <v>42965</v>
      </c>
      <c r="C4304" t="inlineStr">
        <is>
          <t>2017-08</t>
        </is>
      </c>
      <c r="D4304" t="inlineStr">
        <is>
          <t>b76ef37428e6799c421989521c0e5077</t>
        </is>
      </c>
      <c r="E4304" t="inlineStr">
        <is>
          <t>unknown</t>
        </is>
      </c>
      <c r="F4304">
        <f>IFERROR(MATCH(A4304,Deals!$A$2:$A$843,0),"")</f>
        <v/>
      </c>
      <c r="G4304">
        <f>IF(F4304="",0,1)</f>
        <v/>
      </c>
      <c r="H4304" s="29">
        <f>IF(F4304="","",INDEX(Deals!$E$2:$E$843,F4304))</f>
        <v/>
      </c>
      <c r="I4304">
        <f>IF(F4304="","",INDEX(Deals!$D$2:$D$843,F4304))</f>
        <v/>
      </c>
      <c r="J4304">
        <f>IF(F4304="","",INT(H4304)-B4304)</f>
        <v/>
      </c>
      <c r="K4304">
        <f>IF(B4304&gt;=Settings!$C$5,1,0)</f>
        <v/>
      </c>
    </row>
    <row r="4305">
      <c r="A4305" t="inlineStr">
        <is>
          <t>dca7085d5af68e91d19ed7cb75e1dd86</t>
        </is>
      </c>
      <c r="B4305" s="29" t="n">
        <v>43165</v>
      </c>
      <c r="C4305" t="inlineStr">
        <is>
          <t>2018-03</t>
        </is>
      </c>
      <c r="D4305" t="inlineStr">
        <is>
          <t>22c29808c4f815213303f8933030604c</t>
        </is>
      </c>
      <c r="E4305" t="inlineStr">
        <is>
          <t>organic_search</t>
        </is>
      </c>
      <c r="F4305">
        <f>IFERROR(MATCH(A4305,Deals!$A$2:$A$843,0),"")</f>
        <v/>
      </c>
      <c r="G4305">
        <f>IF(F4305="",0,1)</f>
        <v/>
      </c>
      <c r="H4305" s="29">
        <f>IF(F4305="","",INDEX(Deals!$E$2:$E$843,F4305))</f>
        <v/>
      </c>
      <c r="I4305">
        <f>IF(F4305="","",INDEX(Deals!$D$2:$D$843,F4305))</f>
        <v/>
      </c>
      <c r="J4305">
        <f>IF(F4305="","",INT(H4305)-B4305)</f>
        <v/>
      </c>
      <c r="K4305">
        <f>IF(B4305&gt;=Settings!$C$5,1,0)</f>
        <v/>
      </c>
    </row>
    <row r="4306">
      <c r="A4306" t="inlineStr">
        <is>
          <t>92b1f191dfce9fff64b4effd954ccaab</t>
        </is>
      </c>
      <c r="B4306" s="29" t="n">
        <v>43013</v>
      </c>
      <c r="C4306" t="inlineStr">
        <is>
          <t>2017-10</t>
        </is>
      </c>
      <c r="D4306" t="inlineStr">
        <is>
          <t>a56671a54260a44923d32c2f08fad39c</t>
        </is>
      </c>
      <c r="E4306" t="inlineStr">
        <is>
          <t>other_publicities</t>
        </is>
      </c>
      <c r="F4306">
        <f>IFERROR(MATCH(A4306,Deals!$A$2:$A$843,0),"")</f>
        <v/>
      </c>
      <c r="G4306">
        <f>IF(F4306="",0,1)</f>
        <v/>
      </c>
      <c r="H4306" s="29">
        <f>IF(F4306="","",INDEX(Deals!$E$2:$E$843,F4306))</f>
        <v/>
      </c>
      <c r="I4306">
        <f>IF(F4306="","",INDEX(Deals!$D$2:$D$843,F4306))</f>
        <v/>
      </c>
      <c r="J4306">
        <f>IF(F4306="","",INT(H4306)-B4306)</f>
        <v/>
      </c>
      <c r="K4306">
        <f>IF(B4306&gt;=Settings!$C$5,1,0)</f>
        <v/>
      </c>
    </row>
    <row r="4307">
      <c r="A4307" t="inlineStr">
        <is>
          <t>177b118df5660fca13bd6dcee756f398</t>
        </is>
      </c>
      <c r="B4307" s="29" t="n">
        <v>42988</v>
      </c>
      <c r="C4307" t="inlineStr">
        <is>
          <t>2017-09</t>
        </is>
      </c>
      <c r="D4307" t="inlineStr">
        <is>
          <t>241f79c7a8fe0270f4fb79fcbbcd17ad</t>
        </is>
      </c>
      <c r="E4307" t="inlineStr">
        <is>
          <t>paid_search</t>
        </is>
      </c>
      <c r="F4307">
        <f>IFERROR(MATCH(A4307,Deals!$A$2:$A$843,0),"")</f>
        <v/>
      </c>
      <c r="G4307">
        <f>IF(F4307="",0,1)</f>
        <v/>
      </c>
      <c r="H4307" s="29">
        <f>IF(F4307="","",INDEX(Deals!$E$2:$E$843,F4307))</f>
        <v/>
      </c>
      <c r="I4307">
        <f>IF(F4307="","",INDEX(Deals!$D$2:$D$843,F4307))</f>
        <v/>
      </c>
      <c r="J4307">
        <f>IF(F4307="","",INT(H4307)-B4307)</f>
        <v/>
      </c>
      <c r="K4307">
        <f>IF(B4307&gt;=Settings!$C$5,1,0)</f>
        <v/>
      </c>
    </row>
    <row r="4308">
      <c r="A4308" t="inlineStr">
        <is>
          <t>f86a3511cbb1ae422f932e01a91f1869</t>
        </is>
      </c>
      <c r="B4308" s="29" t="n">
        <v>43160</v>
      </c>
      <c r="C4308" t="inlineStr">
        <is>
          <t>2018-03</t>
        </is>
      </c>
      <c r="D4308" t="inlineStr">
        <is>
          <t>0e5a178e3cd2368607f3e72f46140476</t>
        </is>
      </c>
      <c r="E4308" t="inlineStr">
        <is>
          <t>email</t>
        </is>
      </c>
      <c r="F4308">
        <f>IFERROR(MATCH(A4308,Deals!$A$2:$A$843,0),"")</f>
        <v/>
      </c>
      <c r="G4308">
        <f>IF(F4308="",0,1)</f>
        <v/>
      </c>
      <c r="H4308" s="29">
        <f>IF(F4308="","",INDEX(Deals!$E$2:$E$843,F4308))</f>
        <v/>
      </c>
      <c r="I4308">
        <f>IF(F4308="","",INDEX(Deals!$D$2:$D$843,F4308))</f>
        <v/>
      </c>
      <c r="J4308">
        <f>IF(F4308="","",INT(H4308)-B4308)</f>
        <v/>
      </c>
      <c r="K4308">
        <f>IF(B4308&gt;=Settings!$C$5,1,0)</f>
        <v/>
      </c>
    </row>
    <row r="4309">
      <c r="A4309" t="inlineStr">
        <is>
          <t>787125854359224a5b0b0b7629cc6d3d</t>
        </is>
      </c>
      <c r="B4309" s="29" t="n">
        <v>43223</v>
      </c>
      <c r="C4309" t="inlineStr">
        <is>
          <t>2018-05</t>
        </is>
      </c>
      <c r="D4309" t="inlineStr">
        <is>
          <t>58326e62183c14b0c03085c33b9fdc44</t>
        </is>
      </c>
      <c r="E4309" t="inlineStr">
        <is>
          <t>social</t>
        </is>
      </c>
      <c r="F4309">
        <f>IFERROR(MATCH(A4309,Deals!$A$2:$A$843,0),"")</f>
        <v/>
      </c>
      <c r="G4309">
        <f>IF(F4309="",0,1)</f>
        <v/>
      </c>
      <c r="H4309" s="29">
        <f>IF(F4309="","",INDEX(Deals!$E$2:$E$843,F4309))</f>
        <v/>
      </c>
      <c r="I4309">
        <f>IF(F4309="","",INDEX(Deals!$D$2:$D$843,F4309))</f>
        <v/>
      </c>
      <c r="J4309">
        <f>IF(F4309="","",INT(H4309)-B4309)</f>
        <v/>
      </c>
      <c r="K4309">
        <f>IF(B4309&gt;=Settings!$C$5,1,0)</f>
        <v/>
      </c>
    </row>
    <row r="4310">
      <c r="A4310" t="inlineStr">
        <is>
          <t>be89c245d0174bca207d853961e7148a</t>
        </is>
      </c>
      <c r="B4310" s="29" t="n">
        <v>43058</v>
      </c>
      <c r="C4310" t="inlineStr">
        <is>
          <t>2017-11</t>
        </is>
      </c>
      <c r="D4310" t="inlineStr">
        <is>
          <t>6018a468a00de93ac9bee91950c6a3d8</t>
        </is>
      </c>
      <c r="E4310" t="inlineStr">
        <is>
          <t>social</t>
        </is>
      </c>
      <c r="F4310">
        <f>IFERROR(MATCH(A4310,Deals!$A$2:$A$843,0),"")</f>
        <v/>
      </c>
      <c r="G4310">
        <f>IF(F4310="",0,1)</f>
        <v/>
      </c>
      <c r="H4310" s="29">
        <f>IF(F4310="","",INDEX(Deals!$E$2:$E$843,F4310))</f>
        <v/>
      </c>
      <c r="I4310">
        <f>IF(F4310="","",INDEX(Deals!$D$2:$D$843,F4310))</f>
        <v/>
      </c>
      <c r="J4310">
        <f>IF(F4310="","",INT(H4310)-B4310)</f>
        <v/>
      </c>
      <c r="K4310">
        <f>IF(B4310&gt;=Settings!$C$5,1,0)</f>
        <v/>
      </c>
    </row>
    <row r="4311">
      <c r="A4311" t="inlineStr">
        <is>
          <t>e584031c3e5861265e277ddc29b39ff2</t>
        </is>
      </c>
      <c r="B4311" s="29" t="n">
        <v>43206</v>
      </c>
      <c r="C4311" t="inlineStr">
        <is>
          <t>2018-04</t>
        </is>
      </c>
      <c r="D4311" t="inlineStr">
        <is>
          <t>58326e62183c14b0c03085c33b9fdc44</t>
        </is>
      </c>
      <c r="E4311" t="inlineStr">
        <is>
          <t>social</t>
        </is>
      </c>
      <c r="F4311">
        <f>IFERROR(MATCH(A4311,Deals!$A$2:$A$843,0),"")</f>
        <v/>
      </c>
      <c r="G4311">
        <f>IF(F4311="",0,1)</f>
        <v/>
      </c>
      <c r="H4311" s="29">
        <f>IF(F4311="","",INDEX(Deals!$E$2:$E$843,F4311))</f>
        <v/>
      </c>
      <c r="I4311">
        <f>IF(F4311="","",INDEX(Deals!$D$2:$D$843,F4311))</f>
        <v/>
      </c>
      <c r="J4311">
        <f>IF(F4311="","",INT(H4311)-B4311)</f>
        <v/>
      </c>
      <c r="K4311">
        <f>IF(B4311&gt;=Settings!$C$5,1,0)</f>
        <v/>
      </c>
    </row>
    <row r="4312">
      <c r="A4312" t="inlineStr">
        <is>
          <t>19bc20d8bcd225b6272c9233d7c7b303</t>
        </is>
      </c>
      <c r="B4312" s="29" t="n">
        <v>43047</v>
      </c>
      <c r="C4312" t="inlineStr">
        <is>
          <t>2017-11</t>
        </is>
      </c>
      <c r="D4312" t="inlineStr">
        <is>
          <t>e492ee5eaf1697716985cc6f33f9cd9b</t>
        </is>
      </c>
      <c r="E4312" t="inlineStr">
        <is>
          <t>organic_search</t>
        </is>
      </c>
      <c r="F4312">
        <f>IFERROR(MATCH(A4312,Deals!$A$2:$A$843,0),"")</f>
        <v/>
      </c>
      <c r="G4312">
        <f>IF(F4312="",0,1)</f>
        <v/>
      </c>
      <c r="H4312" s="29">
        <f>IF(F4312="","",INDEX(Deals!$E$2:$E$843,F4312))</f>
        <v/>
      </c>
      <c r="I4312">
        <f>IF(F4312="","",INDEX(Deals!$D$2:$D$843,F4312))</f>
        <v/>
      </c>
      <c r="J4312">
        <f>IF(F4312="","",INT(H4312)-B4312)</f>
        <v/>
      </c>
      <c r="K4312">
        <f>IF(B4312&gt;=Settings!$C$5,1,0)</f>
        <v/>
      </c>
    </row>
    <row r="4313">
      <c r="A4313" t="inlineStr">
        <is>
          <t>8f8ec9e69f21033556ac3e2950b7a538</t>
        </is>
      </c>
      <c r="B4313" s="29" t="n">
        <v>43248</v>
      </c>
      <c r="C4313" t="inlineStr">
        <is>
          <t>2018-05</t>
        </is>
      </c>
      <c r="D4313" t="inlineStr">
        <is>
          <t>5dc848e7dd9418dffe183215b8ff0bc1</t>
        </is>
      </c>
      <c r="E4313" t="inlineStr">
        <is>
          <t>paid_search</t>
        </is>
      </c>
      <c r="F4313">
        <f>IFERROR(MATCH(A4313,Deals!$A$2:$A$843,0),"")</f>
        <v/>
      </c>
      <c r="G4313">
        <f>IF(F4313="",0,1)</f>
        <v/>
      </c>
      <c r="H4313" s="29">
        <f>IF(F4313="","",INDEX(Deals!$E$2:$E$843,F4313))</f>
        <v/>
      </c>
      <c r="I4313">
        <f>IF(F4313="","",INDEX(Deals!$D$2:$D$843,F4313))</f>
        <v/>
      </c>
      <c r="J4313">
        <f>IF(F4313="","",INT(H4313)-B4313)</f>
        <v/>
      </c>
      <c r="K4313">
        <f>IF(B4313&gt;=Settings!$C$5,1,0)</f>
        <v/>
      </c>
    </row>
    <row r="4314">
      <c r="A4314" t="inlineStr">
        <is>
          <t>ca14d8a7550e8d5eb3e189df44f925a2</t>
        </is>
      </c>
      <c r="B4314" s="29" t="n">
        <v>43148</v>
      </c>
      <c r="C4314" t="inlineStr">
        <is>
          <t>2018-02</t>
        </is>
      </c>
      <c r="D4314" t="inlineStr">
        <is>
          <t>88740e65d5d6b056e0cda098e1ea6313</t>
        </is>
      </c>
      <c r="E4314" t="inlineStr">
        <is>
          <t>social</t>
        </is>
      </c>
      <c r="F4314">
        <f>IFERROR(MATCH(A4314,Deals!$A$2:$A$843,0),"")</f>
        <v/>
      </c>
      <c r="G4314">
        <f>IF(F4314="",0,1)</f>
        <v/>
      </c>
      <c r="H4314" s="29">
        <f>IF(F4314="","",INDEX(Deals!$E$2:$E$843,F4314))</f>
        <v/>
      </c>
      <c r="I4314">
        <f>IF(F4314="","",INDEX(Deals!$D$2:$D$843,F4314))</f>
        <v/>
      </c>
      <c r="J4314">
        <f>IF(F4314="","",INT(H4314)-B4314)</f>
        <v/>
      </c>
      <c r="K4314">
        <f>IF(B4314&gt;=Settings!$C$5,1,0)</f>
        <v/>
      </c>
    </row>
    <row r="4315">
      <c r="A4315" t="inlineStr">
        <is>
          <t>0635bf265fc80d691fb83ae1e1a22fdb</t>
        </is>
      </c>
      <c r="B4315" s="29" t="n">
        <v>43222</v>
      </c>
      <c r="C4315" t="inlineStr">
        <is>
          <t>2018-05</t>
        </is>
      </c>
      <c r="D4315" t="inlineStr">
        <is>
          <t>21a104c3279681d9856b8a48723c4fee</t>
        </is>
      </c>
      <c r="E4315" t="inlineStr">
        <is>
          <t>referral</t>
        </is>
      </c>
      <c r="F4315">
        <f>IFERROR(MATCH(A4315,Deals!$A$2:$A$843,0),"")</f>
        <v/>
      </c>
      <c r="G4315">
        <f>IF(F4315="",0,1)</f>
        <v/>
      </c>
      <c r="H4315" s="29">
        <f>IF(F4315="","",INDEX(Deals!$E$2:$E$843,F4315))</f>
        <v/>
      </c>
      <c r="I4315">
        <f>IF(F4315="","",INDEX(Deals!$D$2:$D$843,F4315))</f>
        <v/>
      </c>
      <c r="J4315">
        <f>IF(F4315="","",INT(H4315)-B4315)</f>
        <v/>
      </c>
      <c r="K4315">
        <f>IF(B4315&gt;=Settings!$C$5,1,0)</f>
        <v/>
      </c>
    </row>
    <row r="4316">
      <c r="A4316" t="inlineStr">
        <is>
          <t>280a8e9f937dc8c7b25269628a1ed964</t>
        </is>
      </c>
      <c r="B4316" s="29" t="n">
        <v>43187</v>
      </c>
      <c r="C4316" t="inlineStr">
        <is>
          <t>2018-03</t>
        </is>
      </c>
      <c r="D4316" t="inlineStr">
        <is>
          <t>65d9f9d71e562365e8b44037c2888d98</t>
        </is>
      </c>
      <c r="E4316" t="inlineStr">
        <is>
          <t>organic_search</t>
        </is>
      </c>
      <c r="F4316">
        <f>IFERROR(MATCH(A4316,Deals!$A$2:$A$843,0),"")</f>
        <v/>
      </c>
      <c r="G4316">
        <f>IF(F4316="",0,1)</f>
        <v/>
      </c>
      <c r="H4316" s="29">
        <f>IF(F4316="","",INDEX(Deals!$E$2:$E$843,F4316))</f>
        <v/>
      </c>
      <c r="I4316">
        <f>IF(F4316="","",INDEX(Deals!$D$2:$D$843,F4316))</f>
        <v/>
      </c>
      <c r="J4316">
        <f>IF(F4316="","",INT(H4316)-B4316)</f>
        <v/>
      </c>
      <c r="K4316">
        <f>IF(B4316&gt;=Settings!$C$5,1,0)</f>
        <v/>
      </c>
    </row>
    <row r="4317">
      <c r="A4317" t="inlineStr">
        <is>
          <t>d9466601bb1cec0a0df354707b5a1c08</t>
        </is>
      </c>
      <c r="B4317" s="29" t="n">
        <v>42965</v>
      </c>
      <c r="C4317" t="inlineStr">
        <is>
          <t>2017-08</t>
        </is>
      </c>
      <c r="D4317" t="inlineStr">
        <is>
          <t>b48ec5f3b04e9068441002a19df93c6c</t>
        </is>
      </c>
      <c r="E4317" t="inlineStr">
        <is>
          <t>paid_search</t>
        </is>
      </c>
      <c r="F4317">
        <f>IFERROR(MATCH(A4317,Deals!$A$2:$A$843,0),"")</f>
        <v/>
      </c>
      <c r="G4317">
        <f>IF(F4317="",0,1)</f>
        <v/>
      </c>
      <c r="H4317" s="29">
        <f>IF(F4317="","",INDEX(Deals!$E$2:$E$843,F4317))</f>
        <v/>
      </c>
      <c r="I4317">
        <f>IF(F4317="","",INDEX(Deals!$D$2:$D$843,F4317))</f>
        <v/>
      </c>
      <c r="J4317">
        <f>IF(F4317="","",INT(H4317)-B4317)</f>
        <v/>
      </c>
      <c r="K4317">
        <f>IF(B4317&gt;=Settings!$C$5,1,0)</f>
        <v/>
      </c>
    </row>
    <row r="4318">
      <c r="A4318" t="inlineStr">
        <is>
          <t>ed81fc623e5116007c266af9aa3f7560</t>
        </is>
      </c>
      <c r="B4318" s="29" t="n">
        <v>43200</v>
      </c>
      <c r="C4318" t="inlineStr">
        <is>
          <t>2018-04</t>
        </is>
      </c>
      <c r="D4318" t="inlineStr">
        <is>
          <t>68f817c510c978e3a3a7474ad2aeb75c</t>
        </is>
      </c>
      <c r="E4318" t="inlineStr">
        <is>
          <t>paid_search</t>
        </is>
      </c>
      <c r="F4318">
        <f>IFERROR(MATCH(A4318,Deals!$A$2:$A$843,0),"")</f>
        <v/>
      </c>
      <c r="G4318">
        <f>IF(F4318="",0,1)</f>
        <v/>
      </c>
      <c r="H4318" s="29">
        <f>IF(F4318="","",INDEX(Deals!$E$2:$E$843,F4318))</f>
        <v/>
      </c>
      <c r="I4318">
        <f>IF(F4318="","",INDEX(Deals!$D$2:$D$843,F4318))</f>
        <v/>
      </c>
      <c r="J4318">
        <f>IF(F4318="","",INT(H4318)-B4318)</f>
        <v/>
      </c>
      <c r="K4318">
        <f>IF(B4318&gt;=Settings!$C$5,1,0)</f>
        <v/>
      </c>
    </row>
    <row r="4319">
      <c r="A4319" t="inlineStr">
        <is>
          <t>3efcdd8c4998017c9578b28a059f72e4</t>
        </is>
      </c>
      <c r="B4319" s="29" t="n">
        <v>43164</v>
      </c>
      <c r="C4319" t="inlineStr">
        <is>
          <t>2018-03</t>
        </is>
      </c>
      <c r="D4319" t="inlineStr">
        <is>
          <t>ce1a65abd0973638f1c887a6efcfa82d</t>
        </is>
      </c>
      <c r="E4319" t="inlineStr">
        <is>
          <t>organic_search</t>
        </is>
      </c>
      <c r="F4319">
        <f>IFERROR(MATCH(A4319,Deals!$A$2:$A$843,0),"")</f>
        <v/>
      </c>
      <c r="G4319">
        <f>IF(F4319="",0,1)</f>
        <v/>
      </c>
      <c r="H4319" s="29">
        <f>IF(F4319="","",INDEX(Deals!$E$2:$E$843,F4319))</f>
        <v/>
      </c>
      <c r="I4319">
        <f>IF(F4319="","",INDEX(Deals!$D$2:$D$843,F4319))</f>
        <v/>
      </c>
      <c r="J4319">
        <f>IF(F4319="","",INT(H4319)-B4319)</f>
        <v/>
      </c>
      <c r="K4319">
        <f>IF(B4319&gt;=Settings!$C$5,1,0)</f>
        <v/>
      </c>
    </row>
    <row r="4320">
      <c r="A4320" t="inlineStr">
        <is>
          <t>53be01f4f05aebe9d0c69268ac1999ce</t>
        </is>
      </c>
      <c r="B4320" s="29" t="n">
        <v>43105</v>
      </c>
      <c r="C4320" t="inlineStr">
        <is>
          <t>2018-01</t>
        </is>
      </c>
      <c r="D4320" t="inlineStr">
        <is>
          <t>ce1a65abd0973638f1c887a6efcfa82d</t>
        </is>
      </c>
      <c r="E4320" t="inlineStr">
        <is>
          <t>organic_search</t>
        </is>
      </c>
      <c r="F4320">
        <f>IFERROR(MATCH(A4320,Deals!$A$2:$A$843,0),"")</f>
        <v/>
      </c>
      <c r="G4320">
        <f>IF(F4320="",0,1)</f>
        <v/>
      </c>
      <c r="H4320" s="29">
        <f>IF(F4320="","",INDEX(Deals!$E$2:$E$843,F4320))</f>
        <v/>
      </c>
      <c r="I4320">
        <f>IF(F4320="","",INDEX(Deals!$D$2:$D$843,F4320))</f>
        <v/>
      </c>
      <c r="J4320">
        <f>IF(F4320="","",INT(H4320)-B4320)</f>
        <v/>
      </c>
      <c r="K4320">
        <f>IF(B4320&gt;=Settings!$C$5,1,0)</f>
        <v/>
      </c>
    </row>
    <row r="4321">
      <c r="A4321" t="inlineStr">
        <is>
          <t>63fb561c81923bcdbb86140a1801305d</t>
        </is>
      </c>
      <c r="B4321" s="29" t="n">
        <v>42965</v>
      </c>
      <c r="C4321" t="inlineStr">
        <is>
          <t>2017-08</t>
        </is>
      </c>
      <c r="D4321" t="inlineStr">
        <is>
          <t>22c29808c4f815213303f8933030604c</t>
        </is>
      </c>
      <c r="E4321" t="inlineStr">
        <is>
          <t>organic_search</t>
        </is>
      </c>
      <c r="F4321">
        <f>IFERROR(MATCH(A4321,Deals!$A$2:$A$843,0),"")</f>
        <v/>
      </c>
      <c r="G4321">
        <f>IF(F4321="",0,1)</f>
        <v/>
      </c>
      <c r="H4321" s="29">
        <f>IF(F4321="","",INDEX(Deals!$E$2:$E$843,F4321))</f>
        <v/>
      </c>
      <c r="I4321">
        <f>IF(F4321="","",INDEX(Deals!$D$2:$D$843,F4321))</f>
        <v/>
      </c>
      <c r="J4321">
        <f>IF(F4321="","",INT(H4321)-B4321)</f>
        <v/>
      </c>
      <c r="K4321">
        <f>IF(B4321&gt;=Settings!$C$5,1,0)</f>
        <v/>
      </c>
    </row>
    <row r="4322">
      <c r="A4322" t="inlineStr">
        <is>
          <t>415c6b765a8624853b9717c027119461</t>
        </is>
      </c>
      <c r="B4322" s="29" t="n">
        <v>43173</v>
      </c>
      <c r="C4322" t="inlineStr">
        <is>
          <t>2018-03</t>
        </is>
      </c>
      <c r="D4322" t="inlineStr">
        <is>
          <t>36120633c8737035fbabf079082f4ec1</t>
        </is>
      </c>
      <c r="E4322" t="inlineStr">
        <is>
          <t>organic_search</t>
        </is>
      </c>
      <c r="F4322">
        <f>IFERROR(MATCH(A4322,Deals!$A$2:$A$843,0),"")</f>
        <v/>
      </c>
      <c r="G4322">
        <f>IF(F4322="",0,1)</f>
        <v/>
      </c>
      <c r="H4322" s="29">
        <f>IF(F4322="","",INDEX(Deals!$E$2:$E$843,F4322))</f>
        <v/>
      </c>
      <c r="I4322">
        <f>IF(F4322="","",INDEX(Deals!$D$2:$D$843,F4322))</f>
        <v/>
      </c>
      <c r="J4322">
        <f>IF(F4322="","",INT(H4322)-B4322)</f>
        <v/>
      </c>
      <c r="K4322">
        <f>IF(B4322&gt;=Settings!$C$5,1,0)</f>
        <v/>
      </c>
    </row>
    <row r="4323">
      <c r="A4323" t="inlineStr">
        <is>
          <t>33e70269806c88720e2d89ed1d3f1be3</t>
        </is>
      </c>
      <c r="B4323" s="29" t="n">
        <v>43185</v>
      </c>
      <c r="C4323" t="inlineStr">
        <is>
          <t>2018-03</t>
        </is>
      </c>
      <c r="D4323" t="inlineStr">
        <is>
          <t>b6885f18d203a61176418c1fb3764815</t>
        </is>
      </c>
      <c r="E4323" t="inlineStr">
        <is>
          <t>organic_search</t>
        </is>
      </c>
      <c r="F4323">
        <f>IFERROR(MATCH(A4323,Deals!$A$2:$A$843,0),"")</f>
        <v/>
      </c>
      <c r="G4323">
        <f>IF(F4323="",0,1)</f>
        <v/>
      </c>
      <c r="H4323" s="29">
        <f>IF(F4323="","",INDEX(Deals!$E$2:$E$843,F4323))</f>
        <v/>
      </c>
      <c r="I4323">
        <f>IF(F4323="","",INDEX(Deals!$D$2:$D$843,F4323))</f>
        <v/>
      </c>
      <c r="J4323">
        <f>IF(F4323="","",INT(H4323)-B4323)</f>
        <v/>
      </c>
      <c r="K4323">
        <f>IF(B4323&gt;=Settings!$C$5,1,0)</f>
        <v/>
      </c>
    </row>
    <row r="4324">
      <c r="A4324" t="inlineStr">
        <is>
          <t>a0b19d4cf512379d7ee34a5cc006c6c7</t>
        </is>
      </c>
      <c r="B4324" s="29" t="n">
        <v>43145</v>
      </c>
      <c r="C4324" t="inlineStr">
        <is>
          <t>2018-02</t>
        </is>
      </c>
      <c r="D4324" t="inlineStr">
        <is>
          <t>40dec9f3d5259a3d2dbcdab2114fae47</t>
        </is>
      </c>
      <c r="E4324" t="inlineStr">
        <is>
          <t>paid_search</t>
        </is>
      </c>
      <c r="F4324">
        <f>IFERROR(MATCH(A4324,Deals!$A$2:$A$843,0),"")</f>
        <v/>
      </c>
      <c r="G4324">
        <f>IF(F4324="",0,1)</f>
        <v/>
      </c>
      <c r="H4324" s="29">
        <f>IF(F4324="","",INDEX(Deals!$E$2:$E$843,F4324))</f>
        <v/>
      </c>
      <c r="I4324">
        <f>IF(F4324="","",INDEX(Deals!$D$2:$D$843,F4324))</f>
        <v/>
      </c>
      <c r="J4324">
        <f>IF(F4324="","",INT(H4324)-B4324)</f>
        <v/>
      </c>
      <c r="K4324">
        <f>IF(B4324&gt;=Settings!$C$5,1,0)</f>
        <v/>
      </c>
    </row>
    <row r="4325">
      <c r="A4325" t="inlineStr">
        <is>
          <t>501f06dacc74edd54022151f71c8960b</t>
        </is>
      </c>
      <c r="B4325" s="29" t="n">
        <v>43179</v>
      </c>
      <c r="C4325" t="inlineStr">
        <is>
          <t>2018-03</t>
        </is>
      </c>
      <c r="D4325" t="inlineStr">
        <is>
          <t>40dec9f3d5259a3d2dbcdab2114fae47</t>
        </is>
      </c>
      <c r="E4325" t="inlineStr">
        <is>
          <t>social</t>
        </is>
      </c>
      <c r="F4325">
        <f>IFERROR(MATCH(A4325,Deals!$A$2:$A$843,0),"")</f>
        <v/>
      </c>
      <c r="G4325">
        <f>IF(F4325="",0,1)</f>
        <v/>
      </c>
      <c r="H4325" s="29">
        <f>IF(F4325="","",INDEX(Deals!$E$2:$E$843,F4325))</f>
        <v/>
      </c>
      <c r="I4325">
        <f>IF(F4325="","",INDEX(Deals!$D$2:$D$843,F4325))</f>
        <v/>
      </c>
      <c r="J4325">
        <f>IF(F4325="","",INT(H4325)-B4325)</f>
        <v/>
      </c>
      <c r="K4325">
        <f>IF(B4325&gt;=Settings!$C$5,1,0)</f>
        <v/>
      </c>
    </row>
    <row r="4326">
      <c r="A4326" t="inlineStr">
        <is>
          <t>639b1cbf061045ad1032ab9068c20b28</t>
        </is>
      </c>
      <c r="B4326" s="29" t="n">
        <v>43143</v>
      </c>
      <c r="C4326" t="inlineStr">
        <is>
          <t>2018-02</t>
        </is>
      </c>
      <c r="D4326" t="inlineStr">
        <is>
          <t>dfc3b656bac13de62e4efca322b3f2c1</t>
        </is>
      </c>
      <c r="E4326" t="inlineStr">
        <is>
          <t>display</t>
        </is>
      </c>
      <c r="F4326">
        <f>IFERROR(MATCH(A4326,Deals!$A$2:$A$843,0),"")</f>
        <v/>
      </c>
      <c r="G4326">
        <f>IF(F4326="",0,1)</f>
        <v/>
      </c>
      <c r="H4326" s="29">
        <f>IF(F4326="","",INDEX(Deals!$E$2:$E$843,F4326))</f>
        <v/>
      </c>
      <c r="I4326">
        <f>IF(F4326="","",INDEX(Deals!$D$2:$D$843,F4326))</f>
        <v/>
      </c>
      <c r="J4326">
        <f>IF(F4326="","",INT(H4326)-B4326)</f>
        <v/>
      </c>
      <c r="K4326">
        <f>IF(B4326&gt;=Settings!$C$5,1,0)</f>
        <v/>
      </c>
    </row>
    <row r="4327">
      <c r="A4327" t="inlineStr">
        <is>
          <t>012a7e2d6e350a7ca98e33cbed8be478</t>
        </is>
      </c>
      <c r="B4327" s="29" t="n">
        <v>43059</v>
      </c>
      <c r="C4327" t="inlineStr">
        <is>
          <t>2017-11</t>
        </is>
      </c>
      <c r="D4327" t="inlineStr">
        <is>
          <t>ce1a65abd0973638f1c887a6efcfa82d</t>
        </is>
      </c>
      <c r="E4327" t="inlineStr">
        <is>
          <t>unknown</t>
        </is>
      </c>
      <c r="F4327">
        <f>IFERROR(MATCH(A4327,Deals!$A$2:$A$843,0),"")</f>
        <v/>
      </c>
      <c r="G4327">
        <f>IF(F4327="",0,1)</f>
        <v/>
      </c>
      <c r="H4327" s="29">
        <f>IF(F4327="","",INDEX(Deals!$E$2:$E$843,F4327))</f>
        <v/>
      </c>
      <c r="I4327">
        <f>IF(F4327="","",INDEX(Deals!$D$2:$D$843,F4327))</f>
        <v/>
      </c>
      <c r="J4327">
        <f>IF(F4327="","",INT(H4327)-B4327)</f>
        <v/>
      </c>
      <c r="K4327">
        <f>IF(B4327&gt;=Settings!$C$5,1,0)</f>
        <v/>
      </c>
    </row>
    <row r="4328">
      <c r="A4328" t="inlineStr">
        <is>
          <t>43460166ed53726313e807d5aee32bd9</t>
        </is>
      </c>
      <c r="B4328" s="29" t="n">
        <v>43144</v>
      </c>
      <c r="C4328" t="inlineStr">
        <is>
          <t>2018-02</t>
        </is>
      </c>
      <c r="D4328" t="inlineStr">
        <is>
          <t>e492ee5eaf1697716985cc6f33f9cd9b</t>
        </is>
      </c>
      <c r="E4328" t="inlineStr">
        <is>
          <t>paid_search</t>
        </is>
      </c>
      <c r="F4328">
        <f>IFERROR(MATCH(A4328,Deals!$A$2:$A$843,0),"")</f>
        <v/>
      </c>
      <c r="G4328">
        <f>IF(F4328="",0,1)</f>
        <v/>
      </c>
      <c r="H4328" s="29">
        <f>IF(F4328="","",INDEX(Deals!$E$2:$E$843,F4328))</f>
        <v/>
      </c>
      <c r="I4328">
        <f>IF(F4328="","",INDEX(Deals!$D$2:$D$843,F4328))</f>
        <v/>
      </c>
      <c r="J4328">
        <f>IF(F4328="","",INT(H4328)-B4328)</f>
        <v/>
      </c>
      <c r="K4328">
        <f>IF(B4328&gt;=Settings!$C$5,1,0)</f>
        <v/>
      </c>
    </row>
    <row r="4329">
      <c r="A4329" t="inlineStr">
        <is>
          <t>b344649af60a6ae5e72f8d8b4016e9e5</t>
        </is>
      </c>
      <c r="B4329" s="29" t="n">
        <v>43166</v>
      </c>
      <c r="C4329" t="inlineStr">
        <is>
          <t>2018-03</t>
        </is>
      </c>
      <c r="D4329" t="inlineStr">
        <is>
          <t>e492ee5eaf1697716985cc6f33f9cd9b</t>
        </is>
      </c>
      <c r="E4329" t="inlineStr">
        <is>
          <t>organic_search</t>
        </is>
      </c>
      <c r="F4329">
        <f>IFERROR(MATCH(A4329,Deals!$A$2:$A$843,0),"")</f>
        <v/>
      </c>
      <c r="G4329">
        <f>IF(F4329="",0,1)</f>
        <v/>
      </c>
      <c r="H4329" s="29">
        <f>IF(F4329="","",INDEX(Deals!$E$2:$E$843,F4329))</f>
        <v/>
      </c>
      <c r="I4329">
        <f>IF(F4329="","",INDEX(Deals!$D$2:$D$843,F4329))</f>
        <v/>
      </c>
      <c r="J4329">
        <f>IF(F4329="","",INT(H4329)-B4329)</f>
        <v/>
      </c>
      <c r="K4329">
        <f>IF(B4329&gt;=Settings!$C$5,1,0)</f>
        <v/>
      </c>
    </row>
    <row r="4330">
      <c r="A4330" t="inlineStr">
        <is>
          <t>c07c69d716213f5eb297e2721115daca</t>
        </is>
      </c>
      <c r="B4330" s="29" t="n">
        <v>43173</v>
      </c>
      <c r="C4330" t="inlineStr">
        <is>
          <t>2018-03</t>
        </is>
      </c>
      <c r="D4330" t="inlineStr">
        <is>
          <t>22c29808c4f815213303f8933030604c</t>
        </is>
      </c>
      <c r="E4330" t="inlineStr">
        <is>
          <t>organic_search</t>
        </is>
      </c>
      <c r="F4330">
        <f>IFERROR(MATCH(A4330,Deals!$A$2:$A$843,0),"")</f>
        <v/>
      </c>
      <c r="G4330">
        <f>IF(F4330="",0,1)</f>
        <v/>
      </c>
      <c r="H4330" s="29">
        <f>IF(F4330="","",INDEX(Deals!$E$2:$E$843,F4330))</f>
        <v/>
      </c>
      <c r="I4330">
        <f>IF(F4330="","",INDEX(Deals!$D$2:$D$843,F4330))</f>
        <v/>
      </c>
      <c r="J4330">
        <f>IF(F4330="","",INT(H4330)-B4330)</f>
        <v/>
      </c>
      <c r="K4330">
        <f>IF(B4330&gt;=Settings!$C$5,1,0)</f>
        <v/>
      </c>
    </row>
    <row r="4331">
      <c r="A4331" t="inlineStr">
        <is>
          <t>fec55d6c03aaadb850729ac768b4ddaa</t>
        </is>
      </c>
      <c r="B4331" s="29" t="n">
        <v>43153</v>
      </c>
      <c r="C4331" t="inlineStr">
        <is>
          <t>2018-02</t>
        </is>
      </c>
      <c r="D4331" t="inlineStr">
        <is>
          <t>b76ef37428e6799c421989521c0e5077</t>
        </is>
      </c>
      <c r="E4331" t="inlineStr">
        <is>
          <t>paid_search</t>
        </is>
      </c>
      <c r="F4331">
        <f>IFERROR(MATCH(A4331,Deals!$A$2:$A$843,0),"")</f>
        <v/>
      </c>
      <c r="G4331">
        <f>IF(F4331="",0,1)</f>
        <v/>
      </c>
      <c r="H4331" s="29">
        <f>IF(F4331="","",INDEX(Deals!$E$2:$E$843,F4331))</f>
        <v/>
      </c>
      <c r="I4331">
        <f>IF(F4331="","",INDEX(Deals!$D$2:$D$843,F4331))</f>
        <v/>
      </c>
      <c r="J4331">
        <f>IF(F4331="","",INT(H4331)-B4331)</f>
        <v/>
      </c>
      <c r="K4331">
        <f>IF(B4331&gt;=Settings!$C$5,1,0)</f>
        <v/>
      </c>
    </row>
    <row r="4332">
      <c r="A4332" t="inlineStr">
        <is>
          <t>1cb5980f737facb627e2bb3d759b73af</t>
        </is>
      </c>
      <c r="B4332" s="29" t="n">
        <v>43053</v>
      </c>
      <c r="C4332" t="inlineStr">
        <is>
          <t>2017-11</t>
        </is>
      </c>
      <c r="D4332" t="inlineStr">
        <is>
          <t>f98c2bd96ac4a5d9476734e790c91384</t>
        </is>
      </c>
      <c r="E4332" t="inlineStr">
        <is>
          <t>other</t>
        </is>
      </c>
      <c r="F4332">
        <f>IFERROR(MATCH(A4332,Deals!$A$2:$A$843,0),"")</f>
        <v/>
      </c>
      <c r="G4332">
        <f>IF(F4332="",0,1)</f>
        <v/>
      </c>
      <c r="H4332" s="29">
        <f>IF(F4332="","",INDEX(Deals!$E$2:$E$843,F4332))</f>
        <v/>
      </c>
      <c r="I4332">
        <f>IF(F4332="","",INDEX(Deals!$D$2:$D$843,F4332))</f>
        <v/>
      </c>
      <c r="J4332">
        <f>IF(F4332="","",INT(H4332)-B4332)</f>
        <v/>
      </c>
      <c r="K4332">
        <f>IF(B4332&gt;=Settings!$C$5,1,0)</f>
        <v/>
      </c>
    </row>
    <row r="4333">
      <c r="A4333" t="inlineStr">
        <is>
          <t>f87ce61286012c89c54a93e61a88e761</t>
        </is>
      </c>
      <c r="B4333" s="29" t="n">
        <v>42926</v>
      </c>
      <c r="C4333" t="inlineStr">
        <is>
          <t>2017-07</t>
        </is>
      </c>
      <c r="D4333" t="inlineStr">
        <is>
          <t>51ecca024748b4439e473ec446c0bef5</t>
        </is>
      </c>
      <c r="E4333" t="inlineStr">
        <is>
          <t>email</t>
        </is>
      </c>
      <c r="F4333">
        <f>IFERROR(MATCH(A4333,Deals!$A$2:$A$843,0),"")</f>
        <v/>
      </c>
      <c r="G4333">
        <f>IF(F4333="",0,1)</f>
        <v/>
      </c>
      <c r="H4333" s="29">
        <f>IF(F4333="","",INDEX(Deals!$E$2:$E$843,F4333))</f>
        <v/>
      </c>
      <c r="I4333">
        <f>IF(F4333="","",INDEX(Deals!$D$2:$D$843,F4333))</f>
        <v/>
      </c>
      <c r="J4333">
        <f>IF(F4333="","",INT(H4333)-B4333)</f>
        <v/>
      </c>
      <c r="K4333">
        <f>IF(B4333&gt;=Settings!$C$5,1,0)</f>
        <v/>
      </c>
    </row>
    <row r="4334">
      <c r="A4334" t="inlineStr">
        <is>
          <t>9c6dc3ff593093879a0eaf172f13589a</t>
        </is>
      </c>
      <c r="B4334" s="29" t="n">
        <v>43133</v>
      </c>
      <c r="C4334" t="inlineStr">
        <is>
          <t>2018-02</t>
        </is>
      </c>
      <c r="D4334" t="inlineStr">
        <is>
          <t>b76ef37428e6799c421989521c0e5077</t>
        </is>
      </c>
      <c r="E4334" t="inlineStr">
        <is>
          <t>unknown</t>
        </is>
      </c>
      <c r="F4334">
        <f>IFERROR(MATCH(A4334,Deals!$A$2:$A$843,0),"")</f>
        <v/>
      </c>
      <c r="G4334">
        <f>IF(F4334="",0,1)</f>
        <v/>
      </c>
      <c r="H4334" s="29">
        <f>IF(F4334="","",INDEX(Deals!$E$2:$E$843,F4334))</f>
        <v/>
      </c>
      <c r="I4334">
        <f>IF(F4334="","",INDEX(Deals!$D$2:$D$843,F4334))</f>
        <v/>
      </c>
      <c r="J4334">
        <f>IF(F4334="","",INT(H4334)-B4334)</f>
        <v/>
      </c>
      <c r="K4334">
        <f>IF(B4334&gt;=Settings!$C$5,1,0)</f>
        <v/>
      </c>
    </row>
    <row r="4335">
      <c r="A4335" t="inlineStr">
        <is>
          <t>47f160a51c5e9be451363520a149ca82</t>
        </is>
      </c>
      <c r="B4335" s="29" t="n">
        <v>43126</v>
      </c>
      <c r="C4335" t="inlineStr">
        <is>
          <t>2018-01</t>
        </is>
      </c>
      <c r="D4335" t="inlineStr">
        <is>
          <t>ce1a65abd0973638f1c887a6efcfa82d</t>
        </is>
      </c>
      <c r="E4335" t="inlineStr">
        <is>
          <t>organic_search</t>
        </is>
      </c>
      <c r="F4335">
        <f>IFERROR(MATCH(A4335,Deals!$A$2:$A$843,0),"")</f>
        <v/>
      </c>
      <c r="G4335">
        <f>IF(F4335="",0,1)</f>
        <v/>
      </c>
      <c r="H4335" s="29">
        <f>IF(F4335="","",INDEX(Deals!$E$2:$E$843,F4335))</f>
        <v/>
      </c>
      <c r="I4335">
        <f>IF(F4335="","",INDEX(Deals!$D$2:$D$843,F4335))</f>
        <v/>
      </c>
      <c r="J4335">
        <f>IF(F4335="","",INT(H4335)-B4335)</f>
        <v/>
      </c>
      <c r="K4335">
        <f>IF(B4335&gt;=Settings!$C$5,1,0)</f>
        <v/>
      </c>
    </row>
    <row r="4336">
      <c r="A4336" t="inlineStr">
        <is>
          <t>d2c9fe5f9026a0df951f0f8db0f7837f</t>
        </is>
      </c>
      <c r="B4336" s="29" t="n">
        <v>43171</v>
      </c>
      <c r="C4336" t="inlineStr">
        <is>
          <t>2018-03</t>
        </is>
      </c>
      <c r="D4336" t="inlineStr">
        <is>
          <t>b217afa2c1f4cb502423005639878f6d</t>
        </is>
      </c>
      <c r="E4336" t="inlineStr">
        <is>
          <t>paid_search</t>
        </is>
      </c>
      <c r="F4336">
        <f>IFERROR(MATCH(A4336,Deals!$A$2:$A$843,0),"")</f>
        <v/>
      </c>
      <c r="G4336">
        <f>IF(F4336="",0,1)</f>
        <v/>
      </c>
      <c r="H4336" s="29">
        <f>IF(F4336="","",INDEX(Deals!$E$2:$E$843,F4336))</f>
        <v/>
      </c>
      <c r="I4336">
        <f>IF(F4336="","",INDEX(Deals!$D$2:$D$843,F4336))</f>
        <v/>
      </c>
      <c r="J4336">
        <f>IF(F4336="","",INT(H4336)-B4336)</f>
        <v/>
      </c>
      <c r="K4336">
        <f>IF(B4336&gt;=Settings!$C$5,1,0)</f>
        <v/>
      </c>
    </row>
    <row r="4337">
      <c r="A4337" t="inlineStr">
        <is>
          <t>32161d8c28e20d7c92e4bc602c7ef5a8</t>
        </is>
      </c>
      <c r="B4337" s="29" t="n">
        <v>43250</v>
      </c>
      <c r="C4337" t="inlineStr">
        <is>
          <t>2018-05</t>
        </is>
      </c>
      <c r="D4337" t="inlineStr">
        <is>
          <t>8ff57dffc365fcb5233232fff6e6bfd0</t>
        </is>
      </c>
      <c r="E4337" t="inlineStr">
        <is>
          <t>unknown</t>
        </is>
      </c>
      <c r="F4337">
        <f>IFERROR(MATCH(A4337,Deals!$A$2:$A$843,0),"")</f>
        <v/>
      </c>
      <c r="G4337">
        <f>IF(F4337="",0,1)</f>
        <v/>
      </c>
      <c r="H4337" s="29">
        <f>IF(F4337="","",INDEX(Deals!$E$2:$E$843,F4337))</f>
        <v/>
      </c>
      <c r="I4337">
        <f>IF(F4337="","",INDEX(Deals!$D$2:$D$843,F4337))</f>
        <v/>
      </c>
      <c r="J4337">
        <f>IF(F4337="","",INT(H4337)-B4337)</f>
        <v/>
      </c>
      <c r="K4337">
        <f>IF(B4337&gt;=Settings!$C$5,1,0)</f>
        <v/>
      </c>
    </row>
    <row r="4338">
      <c r="A4338" t="inlineStr">
        <is>
          <t>215b64d69046dea9cf81553763cecc92</t>
        </is>
      </c>
      <c r="B4338" s="29" t="n">
        <v>43203</v>
      </c>
      <c r="C4338" t="inlineStr">
        <is>
          <t>2018-04</t>
        </is>
      </c>
      <c r="D4338" t="inlineStr">
        <is>
          <t>b76ef37428e6799c421989521c0e5077</t>
        </is>
      </c>
      <c r="E4338" t="inlineStr">
        <is>
          <t>organic_search</t>
        </is>
      </c>
      <c r="F4338">
        <f>IFERROR(MATCH(A4338,Deals!$A$2:$A$843,0),"")</f>
        <v/>
      </c>
      <c r="G4338">
        <f>IF(F4338="",0,1)</f>
        <v/>
      </c>
      <c r="H4338" s="29">
        <f>IF(F4338="","",INDEX(Deals!$E$2:$E$843,F4338))</f>
        <v/>
      </c>
      <c r="I4338">
        <f>IF(F4338="","",INDEX(Deals!$D$2:$D$843,F4338))</f>
        <v/>
      </c>
      <c r="J4338">
        <f>IF(F4338="","",INT(H4338)-B4338)</f>
        <v/>
      </c>
      <c r="K4338">
        <f>IF(B4338&gt;=Settings!$C$5,1,0)</f>
        <v/>
      </c>
    </row>
    <row r="4339">
      <c r="A4339" t="inlineStr">
        <is>
          <t>3d1bd5dbf69b7617038e905ffc7609a3</t>
        </is>
      </c>
      <c r="B4339" s="29" t="n">
        <v>43154</v>
      </c>
      <c r="C4339" t="inlineStr">
        <is>
          <t>2018-02</t>
        </is>
      </c>
      <c r="D4339" t="inlineStr">
        <is>
          <t>b76ef37428e6799c421989521c0e5077</t>
        </is>
      </c>
      <c r="E4339" t="inlineStr">
        <is>
          <t>unknown</t>
        </is>
      </c>
      <c r="F4339">
        <f>IFERROR(MATCH(A4339,Deals!$A$2:$A$843,0),"")</f>
        <v/>
      </c>
      <c r="G4339">
        <f>IF(F4339="",0,1)</f>
        <v/>
      </c>
      <c r="H4339" s="29">
        <f>IF(F4339="","",INDEX(Deals!$E$2:$E$843,F4339))</f>
        <v/>
      </c>
      <c r="I4339">
        <f>IF(F4339="","",INDEX(Deals!$D$2:$D$843,F4339))</f>
        <v/>
      </c>
      <c r="J4339">
        <f>IF(F4339="","",INT(H4339)-B4339)</f>
        <v/>
      </c>
      <c r="K4339">
        <f>IF(B4339&gt;=Settings!$C$5,1,0)</f>
        <v/>
      </c>
    </row>
    <row r="4340">
      <c r="A4340" t="inlineStr">
        <is>
          <t>b0a054a7a795030eaaa7c53a035a4925</t>
        </is>
      </c>
      <c r="B4340" s="29" t="n">
        <v>43211</v>
      </c>
      <c r="C4340" t="inlineStr">
        <is>
          <t>2018-04</t>
        </is>
      </c>
      <c r="D4340" t="inlineStr">
        <is>
          <t>b649e8f33e9c3b38af415a395a446552</t>
        </is>
      </c>
      <c r="E4340" t="inlineStr">
        <is>
          <t>paid_search</t>
        </is>
      </c>
      <c r="F4340">
        <f>IFERROR(MATCH(A4340,Deals!$A$2:$A$843,0),"")</f>
        <v/>
      </c>
      <c r="G4340">
        <f>IF(F4340="",0,1)</f>
        <v/>
      </c>
      <c r="H4340" s="29">
        <f>IF(F4340="","",INDEX(Deals!$E$2:$E$843,F4340))</f>
        <v/>
      </c>
      <c r="I4340">
        <f>IF(F4340="","",INDEX(Deals!$D$2:$D$843,F4340))</f>
        <v/>
      </c>
      <c r="J4340">
        <f>IF(F4340="","",INT(H4340)-B4340)</f>
        <v/>
      </c>
      <c r="K4340">
        <f>IF(B4340&gt;=Settings!$C$5,1,0)</f>
        <v/>
      </c>
    </row>
    <row r="4341">
      <c r="A4341" t="inlineStr">
        <is>
          <t>89d7b51cbf6fdf18a3b0586c9e538b6d</t>
        </is>
      </c>
      <c r="B4341" s="29" t="n">
        <v>43131</v>
      </c>
      <c r="C4341" t="inlineStr">
        <is>
          <t>2018-01</t>
        </is>
      </c>
      <c r="D4341" t="inlineStr">
        <is>
          <t>30077c17f2ec5010a82e37ad8925b95f</t>
        </is>
      </c>
      <c r="E4341" t="inlineStr">
        <is>
          <t>paid_search</t>
        </is>
      </c>
      <c r="F4341">
        <f>IFERROR(MATCH(A4341,Deals!$A$2:$A$843,0),"")</f>
        <v/>
      </c>
      <c r="G4341">
        <f>IF(F4341="",0,1)</f>
        <v/>
      </c>
      <c r="H4341" s="29">
        <f>IF(F4341="","",INDEX(Deals!$E$2:$E$843,F4341))</f>
        <v/>
      </c>
      <c r="I4341">
        <f>IF(F4341="","",INDEX(Deals!$D$2:$D$843,F4341))</f>
        <v/>
      </c>
      <c r="J4341">
        <f>IF(F4341="","",INT(H4341)-B4341)</f>
        <v/>
      </c>
      <c r="K4341">
        <f>IF(B4341&gt;=Settings!$C$5,1,0)</f>
        <v/>
      </c>
    </row>
    <row r="4342">
      <c r="A4342" t="inlineStr">
        <is>
          <t>7375737cbc45eaf7c478be2858e294ca</t>
        </is>
      </c>
      <c r="B4342" s="29" t="n">
        <v>43209</v>
      </c>
      <c r="C4342" t="inlineStr">
        <is>
          <t>2018-04</t>
        </is>
      </c>
      <c r="D4342" t="inlineStr">
        <is>
          <t>b76ef37428e6799c421989521c0e5077</t>
        </is>
      </c>
      <c r="E4342" t="inlineStr">
        <is>
          <t>unknown</t>
        </is>
      </c>
      <c r="F4342">
        <f>IFERROR(MATCH(A4342,Deals!$A$2:$A$843,0),"")</f>
        <v/>
      </c>
      <c r="G4342">
        <f>IF(F4342="",0,1)</f>
        <v/>
      </c>
      <c r="H4342" s="29">
        <f>IF(F4342="","",INDEX(Deals!$E$2:$E$843,F4342))</f>
        <v/>
      </c>
      <c r="I4342">
        <f>IF(F4342="","",INDEX(Deals!$D$2:$D$843,F4342))</f>
        <v/>
      </c>
      <c r="J4342">
        <f>IF(F4342="","",INT(H4342)-B4342)</f>
        <v/>
      </c>
      <c r="K4342">
        <f>IF(B4342&gt;=Settings!$C$5,1,0)</f>
        <v/>
      </c>
    </row>
    <row r="4343">
      <c r="A4343" t="inlineStr">
        <is>
          <t>20693004ec845da4c1ed7f7c05c7685a</t>
        </is>
      </c>
      <c r="B4343" s="29" t="n">
        <v>43130</v>
      </c>
      <c r="C4343" t="inlineStr">
        <is>
          <t>2018-01</t>
        </is>
      </c>
      <c r="D4343" t="inlineStr">
        <is>
          <t>88740e65d5d6b056e0cda098e1ea6313</t>
        </is>
      </c>
      <c r="E4343" t="inlineStr">
        <is>
          <t>social</t>
        </is>
      </c>
      <c r="F4343">
        <f>IFERROR(MATCH(A4343,Deals!$A$2:$A$843,0),"")</f>
        <v/>
      </c>
      <c r="G4343">
        <f>IF(F4343="",0,1)</f>
        <v/>
      </c>
      <c r="H4343" s="29">
        <f>IF(F4343="","",INDEX(Deals!$E$2:$E$843,F4343))</f>
        <v/>
      </c>
      <c r="I4343">
        <f>IF(F4343="","",INDEX(Deals!$D$2:$D$843,F4343))</f>
        <v/>
      </c>
      <c r="J4343">
        <f>IF(F4343="","",INT(H4343)-B4343)</f>
        <v/>
      </c>
      <c r="K4343">
        <f>IF(B4343&gt;=Settings!$C$5,1,0)</f>
        <v/>
      </c>
    </row>
    <row r="4344">
      <c r="A4344" t="inlineStr">
        <is>
          <t>c9181c54402583f631b0ec7e6685b0d0</t>
        </is>
      </c>
      <c r="B4344" s="29" t="n">
        <v>43105</v>
      </c>
      <c r="C4344" t="inlineStr">
        <is>
          <t>2018-01</t>
        </is>
      </c>
      <c r="D4344" t="inlineStr">
        <is>
          <t>c2f7f172d3275d27cba772ab70ac3052</t>
        </is>
      </c>
      <c r="E4344" t="inlineStr">
        <is>
          <t>organic_search</t>
        </is>
      </c>
      <c r="F4344">
        <f>IFERROR(MATCH(A4344,Deals!$A$2:$A$843,0),"")</f>
        <v/>
      </c>
      <c r="G4344">
        <f>IF(F4344="",0,1)</f>
        <v/>
      </c>
      <c r="H4344" s="29">
        <f>IF(F4344="","",INDEX(Deals!$E$2:$E$843,F4344))</f>
        <v/>
      </c>
      <c r="I4344">
        <f>IF(F4344="","",INDEX(Deals!$D$2:$D$843,F4344))</f>
        <v/>
      </c>
      <c r="J4344">
        <f>IF(F4344="","",INT(H4344)-B4344)</f>
        <v/>
      </c>
      <c r="K4344">
        <f>IF(B4344&gt;=Settings!$C$5,1,0)</f>
        <v/>
      </c>
    </row>
    <row r="4345">
      <c r="A4345" t="inlineStr">
        <is>
          <t>729f48eb079c2f9bd8aac4d8f6dfbfd5</t>
        </is>
      </c>
      <c r="B4345" s="29" t="n">
        <v>43028</v>
      </c>
      <c r="C4345" t="inlineStr">
        <is>
          <t>2017-10</t>
        </is>
      </c>
      <c r="D4345" t="inlineStr">
        <is>
          <t>7fa6214d82e911d070f51ef79381b956</t>
        </is>
      </c>
      <c r="E4345" t="inlineStr">
        <is>
          <t>organic_search</t>
        </is>
      </c>
      <c r="F4345">
        <f>IFERROR(MATCH(A4345,Deals!$A$2:$A$843,0),"")</f>
        <v/>
      </c>
      <c r="G4345">
        <f>IF(F4345="",0,1)</f>
        <v/>
      </c>
      <c r="H4345" s="29">
        <f>IF(F4345="","",INDEX(Deals!$E$2:$E$843,F4345))</f>
        <v/>
      </c>
      <c r="I4345">
        <f>IF(F4345="","",INDEX(Deals!$D$2:$D$843,F4345))</f>
        <v/>
      </c>
      <c r="J4345">
        <f>IF(F4345="","",INT(H4345)-B4345)</f>
        <v/>
      </c>
      <c r="K4345">
        <f>IF(B4345&gt;=Settings!$C$5,1,0)</f>
        <v/>
      </c>
    </row>
    <row r="4346">
      <c r="A4346" t="inlineStr">
        <is>
          <t>1fb0a167e68e4e697611819f9f970c8e</t>
        </is>
      </c>
      <c r="B4346" s="29" t="n">
        <v>43153</v>
      </c>
      <c r="C4346" t="inlineStr">
        <is>
          <t>2018-02</t>
        </is>
      </c>
      <c r="D4346" t="inlineStr">
        <is>
          <t>30077c17f2ec5010a82e37ad8925b95f</t>
        </is>
      </c>
      <c r="E4346" t="inlineStr">
        <is>
          <t>direct_traffic</t>
        </is>
      </c>
      <c r="F4346">
        <f>IFERROR(MATCH(A4346,Deals!$A$2:$A$843,0),"")</f>
        <v/>
      </c>
      <c r="G4346">
        <f>IF(F4346="",0,1)</f>
        <v/>
      </c>
      <c r="H4346" s="29">
        <f>IF(F4346="","",INDEX(Deals!$E$2:$E$843,F4346))</f>
        <v/>
      </c>
      <c r="I4346">
        <f>IF(F4346="","",INDEX(Deals!$D$2:$D$843,F4346))</f>
        <v/>
      </c>
      <c r="J4346">
        <f>IF(F4346="","",INT(H4346)-B4346)</f>
        <v/>
      </c>
      <c r="K4346">
        <f>IF(B4346&gt;=Settings!$C$5,1,0)</f>
        <v/>
      </c>
    </row>
    <row r="4347">
      <c r="A4347" t="inlineStr">
        <is>
          <t>3e9ab873309a46c29f602377705e5b4d</t>
        </is>
      </c>
      <c r="B4347" s="29" t="n">
        <v>43061</v>
      </c>
      <c r="C4347" t="inlineStr">
        <is>
          <t>2017-11</t>
        </is>
      </c>
      <c r="D4347" t="inlineStr">
        <is>
          <t>88740e65d5d6b056e0cda098e1ea6313</t>
        </is>
      </c>
      <c r="E4347" t="inlineStr">
        <is>
          <t>social</t>
        </is>
      </c>
      <c r="F4347">
        <f>IFERROR(MATCH(A4347,Deals!$A$2:$A$843,0),"")</f>
        <v/>
      </c>
      <c r="G4347">
        <f>IF(F4347="",0,1)</f>
        <v/>
      </c>
      <c r="H4347" s="29">
        <f>IF(F4347="","",INDEX(Deals!$E$2:$E$843,F4347))</f>
        <v/>
      </c>
      <c r="I4347">
        <f>IF(F4347="","",INDEX(Deals!$D$2:$D$843,F4347))</f>
        <v/>
      </c>
      <c r="J4347">
        <f>IF(F4347="","",INT(H4347)-B4347)</f>
        <v/>
      </c>
      <c r="K4347">
        <f>IF(B4347&gt;=Settings!$C$5,1,0)</f>
        <v/>
      </c>
    </row>
    <row r="4348">
      <c r="A4348" t="inlineStr">
        <is>
          <t>c323092e3dc96ec44049c28c7dd27089</t>
        </is>
      </c>
      <c r="B4348" s="29" t="n">
        <v>42950</v>
      </c>
      <c r="C4348" t="inlineStr">
        <is>
          <t>2017-08</t>
        </is>
      </c>
      <c r="D4348" t="inlineStr">
        <is>
          <t>e492ee5eaf1697716985cc6f33f9cd9b</t>
        </is>
      </c>
      <c r="E4348" t="inlineStr">
        <is>
          <t>paid_search</t>
        </is>
      </c>
      <c r="F4348">
        <f>IFERROR(MATCH(A4348,Deals!$A$2:$A$843,0),"")</f>
        <v/>
      </c>
      <c r="G4348">
        <f>IF(F4348="",0,1)</f>
        <v/>
      </c>
      <c r="H4348" s="29">
        <f>IF(F4348="","",INDEX(Deals!$E$2:$E$843,F4348))</f>
        <v/>
      </c>
      <c r="I4348">
        <f>IF(F4348="","",INDEX(Deals!$D$2:$D$843,F4348))</f>
        <v/>
      </c>
      <c r="J4348">
        <f>IF(F4348="","",INT(H4348)-B4348)</f>
        <v/>
      </c>
      <c r="K4348">
        <f>IF(B4348&gt;=Settings!$C$5,1,0)</f>
        <v/>
      </c>
    </row>
    <row r="4349">
      <c r="A4349" t="inlineStr">
        <is>
          <t>49816aea39ae3c2e7d14b5f5a39ec7f0</t>
        </is>
      </c>
      <c r="B4349" s="29" t="n">
        <v>43140</v>
      </c>
      <c r="C4349" t="inlineStr">
        <is>
          <t>2018-02</t>
        </is>
      </c>
      <c r="D4349" t="inlineStr">
        <is>
          <t>22c29808c4f815213303f8933030604c</t>
        </is>
      </c>
      <c r="E4349" t="inlineStr">
        <is>
          <t>organic_search</t>
        </is>
      </c>
      <c r="F4349">
        <f>IFERROR(MATCH(A4349,Deals!$A$2:$A$843,0),"")</f>
        <v/>
      </c>
      <c r="G4349">
        <f>IF(F4349="",0,1)</f>
        <v/>
      </c>
      <c r="H4349" s="29">
        <f>IF(F4349="","",INDEX(Deals!$E$2:$E$843,F4349))</f>
        <v/>
      </c>
      <c r="I4349">
        <f>IF(F4349="","",INDEX(Deals!$D$2:$D$843,F4349))</f>
        <v/>
      </c>
      <c r="J4349">
        <f>IF(F4349="","",INT(H4349)-B4349)</f>
        <v/>
      </c>
      <c r="K4349">
        <f>IF(B4349&gt;=Settings!$C$5,1,0)</f>
        <v/>
      </c>
    </row>
    <row r="4350">
      <c r="A4350" t="inlineStr">
        <is>
          <t>e3ad7bdd4df4a7d9653820d9d67d4e49</t>
        </is>
      </c>
      <c r="B4350" s="29" t="n">
        <v>43221</v>
      </c>
      <c r="C4350" t="inlineStr">
        <is>
          <t>2018-05</t>
        </is>
      </c>
      <c r="D4350" t="inlineStr">
        <is>
          <t>b76ef37428e6799c421989521c0e5077</t>
        </is>
      </c>
      <c r="E4350" t="inlineStr">
        <is>
          <t>unknown</t>
        </is>
      </c>
      <c r="F4350">
        <f>IFERROR(MATCH(A4350,Deals!$A$2:$A$843,0),"")</f>
        <v/>
      </c>
      <c r="G4350">
        <f>IF(F4350="",0,1)</f>
        <v/>
      </c>
      <c r="H4350" s="29">
        <f>IF(F4350="","",INDEX(Deals!$E$2:$E$843,F4350))</f>
        <v/>
      </c>
      <c r="I4350">
        <f>IF(F4350="","",INDEX(Deals!$D$2:$D$843,F4350))</f>
        <v/>
      </c>
      <c r="J4350">
        <f>IF(F4350="","",INT(H4350)-B4350)</f>
        <v/>
      </c>
      <c r="K4350">
        <f>IF(B4350&gt;=Settings!$C$5,1,0)</f>
        <v/>
      </c>
    </row>
    <row r="4351">
      <c r="A4351" t="inlineStr">
        <is>
          <t>dcae12740b8e5aada9483b428027d6e4</t>
        </is>
      </c>
      <c r="B4351" s="29" t="n">
        <v>43160</v>
      </c>
      <c r="C4351" t="inlineStr">
        <is>
          <t>2018-03</t>
        </is>
      </c>
      <c r="D4351" t="inlineStr">
        <is>
          <t>007f9098284a86ee80ddeb25d53e0af8</t>
        </is>
      </c>
      <c r="E4351" t="inlineStr">
        <is>
          <t>paid_search</t>
        </is>
      </c>
      <c r="F4351">
        <f>IFERROR(MATCH(A4351,Deals!$A$2:$A$843,0),"")</f>
        <v/>
      </c>
      <c r="G4351">
        <f>IF(F4351="",0,1)</f>
        <v/>
      </c>
      <c r="H4351" s="29">
        <f>IF(F4351="","",INDEX(Deals!$E$2:$E$843,F4351))</f>
        <v/>
      </c>
      <c r="I4351">
        <f>IF(F4351="","",INDEX(Deals!$D$2:$D$843,F4351))</f>
        <v/>
      </c>
      <c r="J4351">
        <f>IF(F4351="","",INT(H4351)-B4351)</f>
        <v/>
      </c>
      <c r="K4351">
        <f>IF(B4351&gt;=Settings!$C$5,1,0)</f>
        <v/>
      </c>
    </row>
    <row r="4352">
      <c r="A4352" t="inlineStr">
        <is>
          <t>3c7b933fa023d881921776fe47b69a0b</t>
        </is>
      </c>
      <c r="B4352" s="29" t="n">
        <v>43195</v>
      </c>
      <c r="C4352" t="inlineStr">
        <is>
          <t>2018-04</t>
        </is>
      </c>
      <c r="D4352" t="inlineStr">
        <is>
          <t>0b37d43dbde6452cdd94c17bf61a88e4</t>
        </is>
      </c>
      <c r="E4352" t="inlineStr">
        <is>
          <t>organic_search</t>
        </is>
      </c>
      <c r="F4352">
        <f>IFERROR(MATCH(A4352,Deals!$A$2:$A$843,0),"")</f>
        <v/>
      </c>
      <c r="G4352">
        <f>IF(F4352="",0,1)</f>
        <v/>
      </c>
      <c r="H4352" s="29">
        <f>IF(F4352="","",INDEX(Deals!$E$2:$E$843,F4352))</f>
        <v/>
      </c>
      <c r="I4352">
        <f>IF(F4352="","",INDEX(Deals!$D$2:$D$843,F4352))</f>
        <v/>
      </c>
      <c r="J4352">
        <f>IF(F4352="","",INT(H4352)-B4352)</f>
        <v/>
      </c>
      <c r="K4352">
        <f>IF(B4352&gt;=Settings!$C$5,1,0)</f>
        <v/>
      </c>
    </row>
    <row r="4353">
      <c r="A4353" t="inlineStr">
        <is>
          <t>49da248b6bc129a75aa8019f4352e943</t>
        </is>
      </c>
      <c r="B4353" s="29" t="n">
        <v>43111</v>
      </c>
      <c r="C4353" t="inlineStr">
        <is>
          <t>2018-01</t>
        </is>
      </c>
      <c r="D4353" t="inlineStr">
        <is>
          <t>9df372c20395ad99d9cb43dfd84e305f</t>
        </is>
      </c>
      <c r="E4353" t="inlineStr">
        <is>
          <t>email</t>
        </is>
      </c>
      <c r="F4353">
        <f>IFERROR(MATCH(A4353,Deals!$A$2:$A$843,0),"")</f>
        <v/>
      </c>
      <c r="G4353">
        <f>IF(F4353="",0,1)</f>
        <v/>
      </c>
      <c r="H4353" s="29">
        <f>IF(F4353="","",INDEX(Deals!$E$2:$E$843,F4353))</f>
        <v/>
      </c>
      <c r="I4353">
        <f>IF(F4353="","",INDEX(Deals!$D$2:$D$843,F4353))</f>
        <v/>
      </c>
      <c r="J4353">
        <f>IF(F4353="","",INT(H4353)-B4353)</f>
        <v/>
      </c>
      <c r="K4353">
        <f>IF(B4353&gt;=Settings!$C$5,1,0)</f>
        <v/>
      </c>
    </row>
    <row r="4354">
      <c r="A4354" t="inlineStr">
        <is>
          <t>f914d0cdf0233e2914cd6fcaec2e700e</t>
        </is>
      </c>
      <c r="B4354" s="29" t="n">
        <v>43192</v>
      </c>
      <c r="C4354" t="inlineStr">
        <is>
          <t>2018-04</t>
        </is>
      </c>
      <c r="D4354" t="inlineStr">
        <is>
          <t>7b8106a8b4d2982573b70980cbb01e9d</t>
        </is>
      </c>
      <c r="E4354" t="inlineStr">
        <is>
          <t>referral</t>
        </is>
      </c>
      <c r="F4354">
        <f>IFERROR(MATCH(A4354,Deals!$A$2:$A$843,0),"")</f>
        <v/>
      </c>
      <c r="G4354">
        <f>IF(F4354="",0,1)</f>
        <v/>
      </c>
      <c r="H4354" s="29">
        <f>IF(F4354="","",INDEX(Deals!$E$2:$E$843,F4354))</f>
        <v/>
      </c>
      <c r="I4354">
        <f>IF(F4354="","",INDEX(Deals!$D$2:$D$843,F4354))</f>
        <v/>
      </c>
      <c r="J4354">
        <f>IF(F4354="","",INT(H4354)-B4354)</f>
        <v/>
      </c>
      <c r="K4354">
        <f>IF(B4354&gt;=Settings!$C$5,1,0)</f>
        <v/>
      </c>
    </row>
    <row r="4355">
      <c r="A4355" t="inlineStr">
        <is>
          <t>d7f6f515ad5fbbf32bbd88be0090781e</t>
        </is>
      </c>
      <c r="B4355" s="29" t="n">
        <v>43158</v>
      </c>
      <c r="C4355" t="inlineStr">
        <is>
          <t>2018-02</t>
        </is>
      </c>
      <c r="D4355" t="inlineStr">
        <is>
          <t>ce1a65abd0973638f1c887a6efcfa82d</t>
        </is>
      </c>
      <c r="E4355" t="inlineStr">
        <is>
          <t>display</t>
        </is>
      </c>
      <c r="F4355">
        <f>IFERROR(MATCH(A4355,Deals!$A$2:$A$843,0),"")</f>
        <v/>
      </c>
      <c r="G4355">
        <f>IF(F4355="",0,1)</f>
        <v/>
      </c>
      <c r="H4355" s="29">
        <f>IF(F4355="","",INDEX(Deals!$E$2:$E$843,F4355))</f>
        <v/>
      </c>
      <c r="I4355">
        <f>IF(F4355="","",INDEX(Deals!$D$2:$D$843,F4355))</f>
        <v/>
      </c>
      <c r="J4355">
        <f>IF(F4355="","",INT(H4355)-B4355)</f>
        <v/>
      </c>
      <c r="K4355">
        <f>IF(B4355&gt;=Settings!$C$5,1,0)</f>
        <v/>
      </c>
    </row>
    <row r="4356">
      <c r="A4356" t="inlineStr">
        <is>
          <t>b20eef1fea97cb4e1913531f8b3d0176</t>
        </is>
      </c>
      <c r="B4356" s="29" t="n">
        <v>42996</v>
      </c>
      <c r="C4356" t="inlineStr">
        <is>
          <t>2017-09</t>
        </is>
      </c>
      <c r="D4356" t="inlineStr">
        <is>
          <t>22c29808c4f815213303f8933030604c</t>
        </is>
      </c>
      <c r="E4356" t="inlineStr">
        <is>
          <t>organic_search</t>
        </is>
      </c>
      <c r="F4356">
        <f>IFERROR(MATCH(A4356,Deals!$A$2:$A$843,0),"")</f>
        <v/>
      </c>
      <c r="G4356">
        <f>IF(F4356="",0,1)</f>
        <v/>
      </c>
      <c r="H4356" s="29">
        <f>IF(F4356="","",INDEX(Deals!$E$2:$E$843,F4356))</f>
        <v/>
      </c>
      <c r="I4356">
        <f>IF(F4356="","",INDEX(Deals!$D$2:$D$843,F4356))</f>
        <v/>
      </c>
      <c r="J4356">
        <f>IF(F4356="","",INT(H4356)-B4356)</f>
        <v/>
      </c>
      <c r="K4356">
        <f>IF(B4356&gt;=Settings!$C$5,1,0)</f>
        <v/>
      </c>
    </row>
    <row r="4357">
      <c r="A4357" t="inlineStr">
        <is>
          <t>83d788e65786046542c9354d17b92450</t>
        </is>
      </c>
      <c r="B4357" s="29" t="n">
        <v>43202</v>
      </c>
      <c r="C4357" t="inlineStr">
        <is>
          <t>2018-04</t>
        </is>
      </c>
      <c r="D4357" t="inlineStr">
        <is>
          <t>ce1a65abd0973638f1c887a6efcfa82d</t>
        </is>
      </c>
      <c r="E4357" t="inlineStr">
        <is>
          <t>organic_search</t>
        </is>
      </c>
      <c r="F4357">
        <f>IFERROR(MATCH(A4357,Deals!$A$2:$A$843,0),"")</f>
        <v/>
      </c>
      <c r="G4357">
        <f>IF(F4357="",0,1)</f>
        <v/>
      </c>
      <c r="H4357" s="29">
        <f>IF(F4357="","",INDEX(Deals!$E$2:$E$843,F4357))</f>
        <v/>
      </c>
      <c r="I4357">
        <f>IF(F4357="","",INDEX(Deals!$D$2:$D$843,F4357))</f>
        <v/>
      </c>
      <c r="J4357">
        <f>IF(F4357="","",INT(H4357)-B4357)</f>
        <v/>
      </c>
      <c r="K4357">
        <f>IF(B4357&gt;=Settings!$C$5,1,0)</f>
        <v/>
      </c>
    </row>
    <row r="4358">
      <c r="A4358" t="inlineStr">
        <is>
          <t>ed68030ad096167305ee933b382d92f4</t>
        </is>
      </c>
      <c r="B4358" s="29" t="n">
        <v>43243</v>
      </c>
      <c r="C4358" t="inlineStr">
        <is>
          <t>2018-05</t>
        </is>
      </c>
      <c r="D4358" t="inlineStr">
        <is>
          <t>b76ef37428e6799c421989521c0e5077</t>
        </is>
      </c>
      <c r="E4358" t="inlineStr">
        <is>
          <t>organic_search</t>
        </is>
      </c>
      <c r="F4358">
        <f>IFERROR(MATCH(A4358,Deals!$A$2:$A$843,0),"")</f>
        <v/>
      </c>
      <c r="G4358">
        <f>IF(F4358="",0,1)</f>
        <v/>
      </c>
      <c r="H4358" s="29">
        <f>IF(F4358="","",INDEX(Deals!$E$2:$E$843,F4358))</f>
        <v/>
      </c>
      <c r="I4358">
        <f>IF(F4358="","",INDEX(Deals!$D$2:$D$843,F4358))</f>
        <v/>
      </c>
      <c r="J4358">
        <f>IF(F4358="","",INT(H4358)-B4358)</f>
        <v/>
      </c>
      <c r="K4358">
        <f>IF(B4358&gt;=Settings!$C$5,1,0)</f>
        <v/>
      </c>
    </row>
    <row r="4359">
      <c r="A4359" t="inlineStr">
        <is>
          <t>8935ea08a91b9a60357e72c3a415b71f</t>
        </is>
      </c>
      <c r="B4359" s="29" t="n">
        <v>43162</v>
      </c>
      <c r="C4359" t="inlineStr">
        <is>
          <t>2018-03</t>
        </is>
      </c>
      <c r="D4359" t="inlineStr">
        <is>
          <t>649b7b8b46b254497e92038d88f6ced8</t>
        </is>
      </c>
      <c r="E4359" t="inlineStr">
        <is>
          <t>social</t>
        </is>
      </c>
      <c r="F4359">
        <f>IFERROR(MATCH(A4359,Deals!$A$2:$A$843,0),"")</f>
        <v/>
      </c>
      <c r="G4359">
        <f>IF(F4359="",0,1)</f>
        <v/>
      </c>
      <c r="H4359" s="29">
        <f>IF(F4359="","",INDEX(Deals!$E$2:$E$843,F4359))</f>
        <v/>
      </c>
      <c r="I4359">
        <f>IF(F4359="","",INDEX(Deals!$D$2:$D$843,F4359))</f>
        <v/>
      </c>
      <c r="J4359">
        <f>IF(F4359="","",INT(H4359)-B4359)</f>
        <v/>
      </c>
      <c r="K4359">
        <f>IF(B4359&gt;=Settings!$C$5,1,0)</f>
        <v/>
      </c>
    </row>
    <row r="4360">
      <c r="A4360" t="inlineStr">
        <is>
          <t>c7025284683262a8eb81056c48968d74</t>
        </is>
      </c>
      <c r="B4360" s="29" t="n">
        <v>43111</v>
      </c>
      <c r="C4360" t="inlineStr">
        <is>
          <t>2018-01</t>
        </is>
      </c>
      <c r="D4360" t="inlineStr">
        <is>
          <t>22c29808c4f815213303f8933030604c</t>
        </is>
      </c>
      <c r="E4360" t="inlineStr">
        <is>
          <t>organic_search</t>
        </is>
      </c>
      <c r="F4360">
        <f>IFERROR(MATCH(A4360,Deals!$A$2:$A$843,0),"")</f>
        <v/>
      </c>
      <c r="G4360">
        <f>IF(F4360="",0,1)</f>
        <v/>
      </c>
      <c r="H4360" s="29">
        <f>IF(F4360="","",INDEX(Deals!$E$2:$E$843,F4360))</f>
        <v/>
      </c>
      <c r="I4360">
        <f>IF(F4360="","",INDEX(Deals!$D$2:$D$843,F4360))</f>
        <v/>
      </c>
      <c r="J4360">
        <f>IF(F4360="","",INT(H4360)-B4360)</f>
        <v/>
      </c>
      <c r="K4360">
        <f>IF(B4360&gt;=Settings!$C$5,1,0)</f>
        <v/>
      </c>
    </row>
    <row r="4361">
      <c r="A4361" t="inlineStr">
        <is>
          <t>c63abd089c81265e5b1c4f5a345758e6</t>
        </is>
      </c>
      <c r="B4361" s="29" t="n">
        <v>43101</v>
      </c>
      <c r="C4361" t="inlineStr">
        <is>
          <t>2018-01</t>
        </is>
      </c>
      <c r="D4361" t="inlineStr">
        <is>
          <t>88740e65d5d6b056e0cda098e1ea6313</t>
        </is>
      </c>
      <c r="E4361" t="inlineStr">
        <is>
          <t>social</t>
        </is>
      </c>
      <c r="F4361">
        <f>IFERROR(MATCH(A4361,Deals!$A$2:$A$843,0),"")</f>
        <v/>
      </c>
      <c r="G4361">
        <f>IF(F4361="",0,1)</f>
        <v/>
      </c>
      <c r="H4361" s="29">
        <f>IF(F4361="","",INDEX(Deals!$E$2:$E$843,F4361))</f>
        <v/>
      </c>
      <c r="I4361">
        <f>IF(F4361="","",INDEX(Deals!$D$2:$D$843,F4361))</f>
        <v/>
      </c>
      <c r="J4361">
        <f>IF(F4361="","",INT(H4361)-B4361)</f>
        <v/>
      </c>
      <c r="K4361">
        <f>IF(B4361&gt;=Settings!$C$5,1,0)</f>
        <v/>
      </c>
    </row>
    <row r="4362">
      <c r="A4362" t="inlineStr">
        <is>
          <t>a1b9f1acde9cefc136cd562ddce56ece</t>
        </is>
      </c>
      <c r="B4362" s="29" t="n">
        <v>43048</v>
      </c>
      <c r="C4362" t="inlineStr">
        <is>
          <t>2017-11</t>
        </is>
      </c>
      <c r="D4362" t="inlineStr">
        <is>
          <t>1722481ac9e5371e5099dea226b5421d</t>
        </is>
      </c>
      <c r="E4362" t="inlineStr">
        <is>
          <t>organic_search</t>
        </is>
      </c>
      <c r="F4362">
        <f>IFERROR(MATCH(A4362,Deals!$A$2:$A$843,0),"")</f>
        <v/>
      </c>
      <c r="G4362">
        <f>IF(F4362="",0,1)</f>
        <v/>
      </c>
      <c r="H4362" s="29">
        <f>IF(F4362="","",INDEX(Deals!$E$2:$E$843,F4362))</f>
        <v/>
      </c>
      <c r="I4362">
        <f>IF(F4362="","",INDEX(Deals!$D$2:$D$843,F4362))</f>
        <v/>
      </c>
      <c r="J4362">
        <f>IF(F4362="","",INT(H4362)-B4362)</f>
        <v/>
      </c>
      <c r="K4362">
        <f>IF(B4362&gt;=Settings!$C$5,1,0)</f>
        <v/>
      </c>
    </row>
    <row r="4363">
      <c r="A4363" t="inlineStr">
        <is>
          <t>f380a1a11b8447811db8d2de62d0e6f3</t>
        </is>
      </c>
      <c r="B4363" s="29" t="n">
        <v>43248</v>
      </c>
      <c r="C4363" t="inlineStr">
        <is>
          <t>2018-05</t>
        </is>
      </c>
      <c r="D4363" t="inlineStr">
        <is>
          <t>58326e62183c14b0c03085c33b9fdc44</t>
        </is>
      </c>
      <c r="E4363" t="inlineStr">
        <is>
          <t>social</t>
        </is>
      </c>
      <c r="F4363">
        <f>IFERROR(MATCH(A4363,Deals!$A$2:$A$843,0),"")</f>
        <v/>
      </c>
      <c r="G4363">
        <f>IF(F4363="",0,1)</f>
        <v/>
      </c>
      <c r="H4363" s="29">
        <f>IF(F4363="","",INDEX(Deals!$E$2:$E$843,F4363))</f>
        <v/>
      </c>
      <c r="I4363">
        <f>IF(F4363="","",INDEX(Deals!$D$2:$D$843,F4363))</f>
        <v/>
      </c>
      <c r="J4363">
        <f>IF(F4363="","",INT(H4363)-B4363)</f>
        <v/>
      </c>
      <c r="K4363">
        <f>IF(B4363&gt;=Settings!$C$5,1,0)</f>
        <v/>
      </c>
    </row>
    <row r="4364">
      <c r="A4364" t="inlineStr">
        <is>
          <t>21ff915375c8abc3be247356b256935c</t>
        </is>
      </c>
      <c r="B4364" s="29" t="n">
        <v>43102</v>
      </c>
      <c r="C4364" t="inlineStr">
        <is>
          <t>2018-01</t>
        </is>
      </c>
      <c r="D4364" t="inlineStr">
        <is>
          <t>8baedb6d46227facee694be5d82f2926</t>
        </is>
      </c>
      <c r="E4364" t="inlineStr">
        <is>
          <t>other</t>
        </is>
      </c>
      <c r="F4364">
        <f>IFERROR(MATCH(A4364,Deals!$A$2:$A$843,0),"")</f>
        <v/>
      </c>
      <c r="G4364">
        <f>IF(F4364="",0,1)</f>
        <v/>
      </c>
      <c r="H4364" s="29">
        <f>IF(F4364="","",INDEX(Deals!$E$2:$E$843,F4364))</f>
        <v/>
      </c>
      <c r="I4364">
        <f>IF(F4364="","",INDEX(Deals!$D$2:$D$843,F4364))</f>
        <v/>
      </c>
      <c r="J4364">
        <f>IF(F4364="","",INT(H4364)-B4364)</f>
        <v/>
      </c>
      <c r="K4364">
        <f>IF(B4364&gt;=Settings!$C$5,1,0)</f>
        <v/>
      </c>
    </row>
    <row r="4365">
      <c r="A4365" t="inlineStr">
        <is>
          <t>86d5334824b3cf306d28b1fff0b45dc2</t>
        </is>
      </c>
      <c r="B4365" s="29" t="n">
        <v>43108</v>
      </c>
      <c r="C4365" t="inlineStr">
        <is>
          <t>2018-01</t>
        </is>
      </c>
      <c r="D4365" t="inlineStr">
        <is>
          <t>22c29808c4f815213303f8933030604c</t>
        </is>
      </c>
      <c r="E4365" t="inlineStr">
        <is>
          <t>organic_search</t>
        </is>
      </c>
      <c r="F4365">
        <f>IFERROR(MATCH(A4365,Deals!$A$2:$A$843,0),"")</f>
        <v/>
      </c>
      <c r="G4365">
        <f>IF(F4365="",0,1)</f>
        <v/>
      </c>
      <c r="H4365" s="29">
        <f>IF(F4365="","",INDEX(Deals!$E$2:$E$843,F4365))</f>
        <v/>
      </c>
      <c r="I4365">
        <f>IF(F4365="","",INDEX(Deals!$D$2:$D$843,F4365))</f>
        <v/>
      </c>
      <c r="J4365">
        <f>IF(F4365="","",INT(H4365)-B4365)</f>
        <v/>
      </c>
      <c r="K4365">
        <f>IF(B4365&gt;=Settings!$C$5,1,0)</f>
        <v/>
      </c>
    </row>
    <row r="4366">
      <c r="A4366" t="inlineStr">
        <is>
          <t>9f6c425b71df66aa20ff08042ad059d9</t>
        </is>
      </c>
      <c r="B4366" s="29" t="n">
        <v>42936</v>
      </c>
      <c r="C4366" t="inlineStr">
        <is>
          <t>2017-07</t>
        </is>
      </c>
      <c r="D4366" t="inlineStr">
        <is>
          <t>3cd2a8301d5395f21cdd3094c9eaa2f4</t>
        </is>
      </c>
      <c r="E4366" t="inlineStr">
        <is>
          <t>paid_search</t>
        </is>
      </c>
      <c r="F4366">
        <f>IFERROR(MATCH(A4366,Deals!$A$2:$A$843,0),"")</f>
        <v/>
      </c>
      <c r="G4366">
        <f>IF(F4366="",0,1)</f>
        <v/>
      </c>
      <c r="H4366" s="29">
        <f>IF(F4366="","",INDEX(Deals!$E$2:$E$843,F4366))</f>
        <v/>
      </c>
      <c r="I4366">
        <f>IF(F4366="","",INDEX(Deals!$D$2:$D$843,F4366))</f>
        <v/>
      </c>
      <c r="J4366">
        <f>IF(F4366="","",INT(H4366)-B4366)</f>
        <v/>
      </c>
      <c r="K4366">
        <f>IF(B4366&gt;=Settings!$C$5,1,0)</f>
        <v/>
      </c>
    </row>
    <row r="4367">
      <c r="A4367" t="inlineStr">
        <is>
          <t>46289f543de88e17a84f7014fc172c49</t>
        </is>
      </c>
      <c r="B4367" s="29" t="n">
        <v>43164</v>
      </c>
      <c r="C4367" t="inlineStr">
        <is>
          <t>2018-03</t>
        </is>
      </c>
      <c r="D4367" t="inlineStr">
        <is>
          <t>241f79c7a8fe0270f4fb79fcbbcd17ad</t>
        </is>
      </c>
      <c r="E4367" t="inlineStr">
        <is>
          <t>paid_search</t>
        </is>
      </c>
      <c r="F4367">
        <f>IFERROR(MATCH(A4367,Deals!$A$2:$A$843,0),"")</f>
        <v/>
      </c>
      <c r="G4367">
        <f>IF(F4367="",0,1)</f>
        <v/>
      </c>
      <c r="H4367" s="29">
        <f>IF(F4367="","",INDEX(Deals!$E$2:$E$843,F4367))</f>
        <v/>
      </c>
      <c r="I4367">
        <f>IF(F4367="","",INDEX(Deals!$D$2:$D$843,F4367))</f>
        <v/>
      </c>
      <c r="J4367">
        <f>IF(F4367="","",INT(H4367)-B4367)</f>
        <v/>
      </c>
      <c r="K4367">
        <f>IF(B4367&gt;=Settings!$C$5,1,0)</f>
        <v/>
      </c>
    </row>
    <row r="4368">
      <c r="A4368" t="inlineStr">
        <is>
          <t>3201dbdb788243afa7b24fb5311f8dfc</t>
        </is>
      </c>
      <c r="B4368" s="29" t="n">
        <v>42970</v>
      </c>
      <c r="C4368" t="inlineStr">
        <is>
          <t>2017-08</t>
        </is>
      </c>
      <c r="D4368" t="inlineStr">
        <is>
          <t>1722481ac9e5371e5099dea226b5421d</t>
        </is>
      </c>
      <c r="E4368" t="inlineStr">
        <is>
          <t>social</t>
        </is>
      </c>
      <c r="F4368">
        <f>IFERROR(MATCH(A4368,Deals!$A$2:$A$843,0),"")</f>
        <v/>
      </c>
      <c r="G4368">
        <f>IF(F4368="",0,1)</f>
        <v/>
      </c>
      <c r="H4368" s="29">
        <f>IF(F4368="","",INDEX(Deals!$E$2:$E$843,F4368))</f>
        <v/>
      </c>
      <c r="I4368">
        <f>IF(F4368="","",INDEX(Deals!$D$2:$D$843,F4368))</f>
        <v/>
      </c>
      <c r="J4368">
        <f>IF(F4368="","",INT(H4368)-B4368)</f>
        <v/>
      </c>
      <c r="K4368">
        <f>IF(B4368&gt;=Settings!$C$5,1,0)</f>
        <v/>
      </c>
    </row>
    <row r="4369">
      <c r="A4369" t="inlineStr">
        <is>
          <t>8686fa633cfb5f49a0609122b9e4140b</t>
        </is>
      </c>
      <c r="B4369" s="29" t="n">
        <v>43116</v>
      </c>
      <c r="C4369" t="inlineStr">
        <is>
          <t>2018-01</t>
        </is>
      </c>
      <c r="D4369" t="inlineStr">
        <is>
          <t>22c29808c4f815213303f8933030604c</t>
        </is>
      </c>
      <c r="E4369" t="inlineStr">
        <is>
          <t>direct_traffic</t>
        </is>
      </c>
      <c r="F4369">
        <f>IFERROR(MATCH(A4369,Deals!$A$2:$A$843,0),"")</f>
        <v/>
      </c>
      <c r="G4369">
        <f>IF(F4369="",0,1)</f>
        <v/>
      </c>
      <c r="H4369" s="29">
        <f>IF(F4369="","",INDEX(Deals!$E$2:$E$843,F4369))</f>
        <v/>
      </c>
      <c r="I4369">
        <f>IF(F4369="","",INDEX(Deals!$D$2:$D$843,F4369))</f>
        <v/>
      </c>
      <c r="J4369">
        <f>IF(F4369="","",INT(H4369)-B4369)</f>
        <v/>
      </c>
      <c r="K4369">
        <f>IF(B4369&gt;=Settings!$C$5,1,0)</f>
        <v/>
      </c>
    </row>
    <row r="4370">
      <c r="A4370" t="inlineStr">
        <is>
          <t>d238f0c1fbf6fccb32a3f8efcf03e3b8</t>
        </is>
      </c>
      <c r="B4370" s="29" t="n">
        <v>43227</v>
      </c>
      <c r="C4370" t="inlineStr">
        <is>
          <t>2018-05</t>
        </is>
      </c>
      <c r="D4370" t="inlineStr">
        <is>
          <t>f017be4dbf86243af5c1ebed0cff36a2</t>
        </is>
      </c>
      <c r="E4370" t="inlineStr">
        <is>
          <t>organic_search</t>
        </is>
      </c>
      <c r="F4370">
        <f>IFERROR(MATCH(A4370,Deals!$A$2:$A$843,0),"")</f>
        <v/>
      </c>
      <c r="G4370">
        <f>IF(F4370="",0,1)</f>
        <v/>
      </c>
      <c r="H4370" s="29">
        <f>IF(F4370="","",INDEX(Deals!$E$2:$E$843,F4370))</f>
        <v/>
      </c>
      <c r="I4370">
        <f>IF(F4370="","",INDEX(Deals!$D$2:$D$843,F4370))</f>
        <v/>
      </c>
      <c r="J4370">
        <f>IF(F4370="","",INT(H4370)-B4370)</f>
        <v/>
      </c>
      <c r="K4370">
        <f>IF(B4370&gt;=Settings!$C$5,1,0)</f>
        <v/>
      </c>
    </row>
    <row r="4371">
      <c r="A4371" t="inlineStr">
        <is>
          <t>a12848aeac58ac57e95977f93fec17fd</t>
        </is>
      </c>
      <c r="B4371" s="29" t="n">
        <v>42925</v>
      </c>
      <c r="C4371" t="inlineStr">
        <is>
          <t>2017-07</t>
        </is>
      </c>
      <c r="D4371" t="inlineStr">
        <is>
          <t>d1bad8bf984bd4d7ee08f814ca589897</t>
        </is>
      </c>
      <c r="E4371" t="inlineStr">
        <is>
          <t>paid_search</t>
        </is>
      </c>
      <c r="F4371">
        <f>IFERROR(MATCH(A4371,Deals!$A$2:$A$843,0),"")</f>
        <v/>
      </c>
      <c r="G4371">
        <f>IF(F4371="",0,1)</f>
        <v/>
      </c>
      <c r="H4371" s="29">
        <f>IF(F4371="","",INDEX(Deals!$E$2:$E$843,F4371))</f>
        <v/>
      </c>
      <c r="I4371">
        <f>IF(F4371="","",INDEX(Deals!$D$2:$D$843,F4371))</f>
        <v/>
      </c>
      <c r="J4371">
        <f>IF(F4371="","",INT(H4371)-B4371)</f>
        <v/>
      </c>
      <c r="K4371">
        <f>IF(B4371&gt;=Settings!$C$5,1,0)</f>
        <v/>
      </c>
    </row>
    <row r="4372">
      <c r="A4372" t="inlineStr">
        <is>
          <t>28ca2a3ef786a75109a9e2af23c1a4f7</t>
        </is>
      </c>
      <c r="B4372" s="29" t="n">
        <v>42982</v>
      </c>
      <c r="C4372" t="inlineStr">
        <is>
          <t>2017-09</t>
        </is>
      </c>
      <c r="D4372" t="inlineStr">
        <is>
          <t>22c29808c4f815213303f8933030604c</t>
        </is>
      </c>
      <c r="E4372" t="inlineStr">
        <is>
          <t>organic_search</t>
        </is>
      </c>
      <c r="F4372">
        <f>IFERROR(MATCH(A4372,Deals!$A$2:$A$843,0),"")</f>
        <v/>
      </c>
      <c r="G4372">
        <f>IF(F4372="",0,1)</f>
        <v/>
      </c>
      <c r="H4372" s="29">
        <f>IF(F4372="","",INDEX(Deals!$E$2:$E$843,F4372))</f>
        <v/>
      </c>
      <c r="I4372">
        <f>IF(F4372="","",INDEX(Deals!$D$2:$D$843,F4372))</f>
        <v/>
      </c>
      <c r="J4372">
        <f>IF(F4372="","",INT(H4372)-B4372)</f>
        <v/>
      </c>
      <c r="K4372">
        <f>IF(B4372&gt;=Settings!$C$5,1,0)</f>
        <v/>
      </c>
    </row>
    <row r="4373">
      <c r="A4373" t="inlineStr">
        <is>
          <t>95345799f982ff5ba10930c9e397f79a</t>
        </is>
      </c>
      <c r="B4373" s="29" t="n">
        <v>43224</v>
      </c>
      <c r="C4373" t="inlineStr">
        <is>
          <t>2018-05</t>
        </is>
      </c>
      <c r="D4373" t="inlineStr">
        <is>
          <t>e492ee5eaf1697716985cc6f33f9cd9b</t>
        </is>
      </c>
      <c r="E4373" t="inlineStr">
        <is>
          <t>organic_search</t>
        </is>
      </c>
      <c r="F4373">
        <f>IFERROR(MATCH(A4373,Deals!$A$2:$A$843,0),"")</f>
        <v/>
      </c>
      <c r="G4373">
        <f>IF(F4373="",0,1)</f>
        <v/>
      </c>
      <c r="H4373" s="29">
        <f>IF(F4373="","",INDEX(Deals!$E$2:$E$843,F4373))</f>
        <v/>
      </c>
      <c r="I4373">
        <f>IF(F4373="","",INDEX(Deals!$D$2:$D$843,F4373))</f>
        <v/>
      </c>
      <c r="J4373">
        <f>IF(F4373="","",INT(H4373)-B4373)</f>
        <v/>
      </c>
      <c r="K4373">
        <f>IF(B4373&gt;=Settings!$C$5,1,0)</f>
        <v/>
      </c>
    </row>
    <row r="4374">
      <c r="A4374" t="inlineStr">
        <is>
          <t>f46f61cd63260f08d5e9873280cfb833</t>
        </is>
      </c>
      <c r="B4374" s="29" t="n">
        <v>43243</v>
      </c>
      <c r="C4374" t="inlineStr">
        <is>
          <t>2018-05</t>
        </is>
      </c>
      <c r="D4374" t="inlineStr">
        <is>
          <t>9fa37f5177115156b1814ffc237402a6</t>
        </is>
      </c>
      <c r="E4374" t="inlineStr">
        <is>
          <t>paid_search</t>
        </is>
      </c>
      <c r="F4374">
        <f>IFERROR(MATCH(A4374,Deals!$A$2:$A$843,0),"")</f>
        <v/>
      </c>
      <c r="G4374">
        <f>IF(F4374="",0,1)</f>
        <v/>
      </c>
      <c r="H4374" s="29">
        <f>IF(F4374="","",INDEX(Deals!$E$2:$E$843,F4374))</f>
        <v/>
      </c>
      <c r="I4374">
        <f>IF(F4374="","",INDEX(Deals!$D$2:$D$843,F4374))</f>
        <v/>
      </c>
      <c r="J4374">
        <f>IF(F4374="","",INT(H4374)-B4374)</f>
        <v/>
      </c>
      <c r="K4374">
        <f>IF(B4374&gt;=Settings!$C$5,1,0)</f>
        <v/>
      </c>
    </row>
    <row r="4375">
      <c r="A4375" t="inlineStr">
        <is>
          <t>9871ea580e0ffe5d7cec065e10bd1344</t>
        </is>
      </c>
      <c r="B4375" s="29" t="n">
        <v>43139</v>
      </c>
      <c r="C4375" t="inlineStr">
        <is>
          <t>2018-02</t>
        </is>
      </c>
      <c r="D4375" t="inlineStr">
        <is>
          <t>88740e65d5d6b056e0cda098e1ea6313</t>
        </is>
      </c>
      <c r="E4375" t="inlineStr">
        <is>
          <t>social</t>
        </is>
      </c>
      <c r="F4375">
        <f>IFERROR(MATCH(A4375,Deals!$A$2:$A$843,0),"")</f>
        <v/>
      </c>
      <c r="G4375">
        <f>IF(F4375="",0,1)</f>
        <v/>
      </c>
      <c r="H4375" s="29">
        <f>IF(F4375="","",INDEX(Deals!$E$2:$E$843,F4375))</f>
        <v/>
      </c>
      <c r="I4375">
        <f>IF(F4375="","",INDEX(Deals!$D$2:$D$843,F4375))</f>
        <v/>
      </c>
      <c r="J4375">
        <f>IF(F4375="","",INT(H4375)-B4375)</f>
        <v/>
      </c>
      <c r="K4375">
        <f>IF(B4375&gt;=Settings!$C$5,1,0)</f>
        <v/>
      </c>
    </row>
    <row r="4376">
      <c r="A4376" t="inlineStr">
        <is>
          <t>ad84a0f16b417e91bb6f070d5b76a999</t>
        </is>
      </c>
      <c r="B4376" s="29" t="n">
        <v>43153</v>
      </c>
      <c r="C4376" t="inlineStr">
        <is>
          <t>2018-02</t>
        </is>
      </c>
      <c r="D4376" t="inlineStr">
        <is>
          <t>2228a43ac0bc372e25f9569e69fc9015</t>
        </is>
      </c>
      <c r="E4376" t="inlineStr">
        <is>
          <t>email</t>
        </is>
      </c>
      <c r="F4376">
        <f>IFERROR(MATCH(A4376,Deals!$A$2:$A$843,0),"")</f>
        <v/>
      </c>
      <c r="G4376">
        <f>IF(F4376="",0,1)</f>
        <v/>
      </c>
      <c r="H4376" s="29">
        <f>IF(F4376="","",INDEX(Deals!$E$2:$E$843,F4376))</f>
        <v/>
      </c>
      <c r="I4376">
        <f>IF(F4376="","",INDEX(Deals!$D$2:$D$843,F4376))</f>
        <v/>
      </c>
      <c r="J4376">
        <f>IF(F4376="","",INT(H4376)-B4376)</f>
        <v/>
      </c>
      <c r="K4376">
        <f>IF(B4376&gt;=Settings!$C$5,1,0)</f>
        <v/>
      </c>
    </row>
    <row r="4377">
      <c r="A4377" t="inlineStr">
        <is>
          <t>eb87f329a7095bf6716e1d8dc1be01aa</t>
        </is>
      </c>
      <c r="B4377" s="29" t="n">
        <v>43124</v>
      </c>
      <c r="C4377" t="inlineStr">
        <is>
          <t>2018-01</t>
        </is>
      </c>
      <c r="D4377" t="inlineStr">
        <is>
          <t>0218f6be0b76aca72ab4d00ee9e8cf10</t>
        </is>
      </c>
      <c r="E4377" t="inlineStr">
        <is>
          <t>referral</t>
        </is>
      </c>
      <c r="F4377">
        <f>IFERROR(MATCH(A4377,Deals!$A$2:$A$843,0),"")</f>
        <v/>
      </c>
      <c r="G4377">
        <f>IF(F4377="",0,1)</f>
        <v/>
      </c>
      <c r="H4377" s="29">
        <f>IF(F4377="","",INDEX(Deals!$E$2:$E$843,F4377))</f>
        <v/>
      </c>
      <c r="I4377">
        <f>IF(F4377="","",INDEX(Deals!$D$2:$D$843,F4377))</f>
        <v/>
      </c>
      <c r="J4377">
        <f>IF(F4377="","",INT(H4377)-B4377)</f>
        <v/>
      </c>
      <c r="K4377">
        <f>IF(B4377&gt;=Settings!$C$5,1,0)</f>
        <v/>
      </c>
    </row>
    <row r="4378">
      <c r="A4378" t="inlineStr">
        <is>
          <t>44cd3cf72972846c9eaec796280aedf8</t>
        </is>
      </c>
      <c r="B4378" s="29" t="n">
        <v>43172</v>
      </c>
      <c r="C4378" t="inlineStr">
        <is>
          <t>2018-03</t>
        </is>
      </c>
      <c r="D4378" t="inlineStr">
        <is>
          <t>ce1a65abd0973638f1c887a6efcfa82d</t>
        </is>
      </c>
      <c r="E4378" t="inlineStr">
        <is>
          <t>organic_search</t>
        </is>
      </c>
      <c r="F4378">
        <f>IFERROR(MATCH(A4378,Deals!$A$2:$A$843,0),"")</f>
        <v/>
      </c>
      <c r="G4378">
        <f>IF(F4378="",0,1)</f>
        <v/>
      </c>
      <c r="H4378" s="29">
        <f>IF(F4378="","",INDEX(Deals!$E$2:$E$843,F4378))</f>
        <v/>
      </c>
      <c r="I4378">
        <f>IF(F4378="","",INDEX(Deals!$D$2:$D$843,F4378))</f>
        <v/>
      </c>
      <c r="J4378">
        <f>IF(F4378="","",INT(H4378)-B4378)</f>
        <v/>
      </c>
      <c r="K4378">
        <f>IF(B4378&gt;=Settings!$C$5,1,0)</f>
        <v/>
      </c>
    </row>
    <row r="4379">
      <c r="A4379" t="inlineStr">
        <is>
          <t>986f7af96202a882ea4501485a1f3536</t>
        </is>
      </c>
      <c r="B4379" s="29" t="n">
        <v>43117</v>
      </c>
      <c r="C4379" t="inlineStr">
        <is>
          <t>2018-01</t>
        </is>
      </c>
      <c r="D4379" t="inlineStr">
        <is>
          <t>88740e65d5d6b056e0cda098e1ea6313</t>
        </is>
      </c>
      <c r="E4379" t="inlineStr">
        <is>
          <t>social</t>
        </is>
      </c>
      <c r="F4379">
        <f>IFERROR(MATCH(A4379,Deals!$A$2:$A$843,0),"")</f>
        <v/>
      </c>
      <c r="G4379">
        <f>IF(F4379="",0,1)</f>
        <v/>
      </c>
      <c r="H4379" s="29">
        <f>IF(F4379="","",INDEX(Deals!$E$2:$E$843,F4379))</f>
        <v/>
      </c>
      <c r="I4379">
        <f>IF(F4379="","",INDEX(Deals!$D$2:$D$843,F4379))</f>
        <v/>
      </c>
      <c r="J4379">
        <f>IF(F4379="","",INT(H4379)-B4379)</f>
        <v/>
      </c>
      <c r="K4379">
        <f>IF(B4379&gt;=Settings!$C$5,1,0)</f>
        <v/>
      </c>
    </row>
    <row r="4380">
      <c r="A4380" t="inlineStr">
        <is>
          <t>401824122ab093701a7e77def38d370f</t>
        </is>
      </c>
      <c r="B4380" s="29" t="n">
        <v>43147</v>
      </c>
      <c r="C4380" t="inlineStr">
        <is>
          <t>2018-02</t>
        </is>
      </c>
      <c r="D4380" t="inlineStr">
        <is>
          <t>1694e838dffa97f640fcfa35e86e438e</t>
        </is>
      </c>
      <c r="E4380" t="inlineStr">
        <is>
          <t>organic_search</t>
        </is>
      </c>
      <c r="F4380">
        <f>IFERROR(MATCH(A4380,Deals!$A$2:$A$843,0),"")</f>
        <v/>
      </c>
      <c r="G4380">
        <f>IF(F4380="",0,1)</f>
        <v/>
      </c>
      <c r="H4380" s="29">
        <f>IF(F4380="","",INDEX(Deals!$E$2:$E$843,F4380))</f>
        <v/>
      </c>
      <c r="I4380">
        <f>IF(F4380="","",INDEX(Deals!$D$2:$D$843,F4380))</f>
        <v/>
      </c>
      <c r="J4380">
        <f>IF(F4380="","",INT(H4380)-B4380)</f>
        <v/>
      </c>
      <c r="K4380">
        <f>IF(B4380&gt;=Settings!$C$5,1,0)</f>
        <v/>
      </c>
    </row>
    <row r="4381">
      <c r="A4381" t="inlineStr">
        <is>
          <t>b2c6dec66eada0847015737371ffa928</t>
        </is>
      </c>
      <c r="B4381" s="29" t="n">
        <v>43021</v>
      </c>
      <c r="C4381" t="inlineStr">
        <is>
          <t>2017-10</t>
        </is>
      </c>
      <c r="D4381" t="inlineStr">
        <is>
          <t>c05f0fd41e79d7811221253e0d4eadc8</t>
        </is>
      </c>
      <c r="E4381" t="inlineStr">
        <is>
          <t>organic_search</t>
        </is>
      </c>
      <c r="F4381">
        <f>IFERROR(MATCH(A4381,Deals!$A$2:$A$843,0),"")</f>
        <v/>
      </c>
      <c r="G4381">
        <f>IF(F4381="",0,1)</f>
        <v/>
      </c>
      <c r="H4381" s="29">
        <f>IF(F4381="","",INDEX(Deals!$E$2:$E$843,F4381))</f>
        <v/>
      </c>
      <c r="I4381">
        <f>IF(F4381="","",INDEX(Deals!$D$2:$D$843,F4381))</f>
        <v/>
      </c>
      <c r="J4381">
        <f>IF(F4381="","",INT(H4381)-B4381)</f>
        <v/>
      </c>
      <c r="K4381">
        <f>IF(B4381&gt;=Settings!$C$5,1,0)</f>
        <v/>
      </c>
    </row>
    <row r="4382">
      <c r="A4382" t="inlineStr">
        <is>
          <t>bbd311d57a856ad0a5d57fb8781dda97</t>
        </is>
      </c>
      <c r="B4382" s="29" t="n">
        <v>43187</v>
      </c>
      <c r="C4382" t="inlineStr">
        <is>
          <t>2018-03</t>
        </is>
      </c>
      <c r="D4382" t="inlineStr">
        <is>
          <t>2f08471dfb83baef522f952438a36f6e</t>
        </is>
      </c>
      <c r="E4382" t="inlineStr">
        <is>
          <t>organic_search</t>
        </is>
      </c>
      <c r="F4382">
        <f>IFERROR(MATCH(A4382,Deals!$A$2:$A$843,0),"")</f>
        <v/>
      </c>
      <c r="G4382">
        <f>IF(F4382="",0,1)</f>
        <v/>
      </c>
      <c r="H4382" s="29">
        <f>IF(F4382="","",INDEX(Deals!$E$2:$E$843,F4382))</f>
        <v/>
      </c>
      <c r="I4382">
        <f>IF(F4382="","",INDEX(Deals!$D$2:$D$843,F4382))</f>
        <v/>
      </c>
      <c r="J4382">
        <f>IF(F4382="","",INT(H4382)-B4382)</f>
        <v/>
      </c>
      <c r="K4382">
        <f>IF(B4382&gt;=Settings!$C$5,1,0)</f>
        <v/>
      </c>
    </row>
    <row r="4383">
      <c r="A4383" t="inlineStr">
        <is>
          <t>35dae000552fd88cce58a6571998738c</t>
        </is>
      </c>
      <c r="B4383" s="29" t="n">
        <v>43210</v>
      </c>
      <c r="C4383" t="inlineStr">
        <is>
          <t>2018-04</t>
        </is>
      </c>
      <c r="D4383" t="inlineStr">
        <is>
          <t>b76ef37428e6799c421989521c0e5077</t>
        </is>
      </c>
      <c r="E4383" t="inlineStr">
        <is>
          <t>unknown</t>
        </is>
      </c>
      <c r="F4383">
        <f>IFERROR(MATCH(A4383,Deals!$A$2:$A$843,0),"")</f>
        <v/>
      </c>
      <c r="G4383">
        <f>IF(F4383="",0,1)</f>
        <v/>
      </c>
      <c r="H4383" s="29">
        <f>IF(F4383="","",INDEX(Deals!$E$2:$E$843,F4383))</f>
        <v/>
      </c>
      <c r="I4383">
        <f>IF(F4383="","",INDEX(Deals!$D$2:$D$843,F4383))</f>
        <v/>
      </c>
      <c r="J4383">
        <f>IF(F4383="","",INT(H4383)-B4383)</f>
        <v/>
      </c>
      <c r="K4383">
        <f>IF(B4383&gt;=Settings!$C$5,1,0)</f>
        <v/>
      </c>
    </row>
    <row r="4384">
      <c r="A4384" t="inlineStr">
        <is>
          <t>1e4be82281a54a839c8849d1e7440d32</t>
        </is>
      </c>
      <c r="B4384" s="29" t="n">
        <v>43244</v>
      </c>
      <c r="C4384" t="inlineStr">
        <is>
          <t>2018-05</t>
        </is>
      </c>
      <c r="D4384" t="inlineStr">
        <is>
          <t>9fa37f5177115156b1814ffc237402a6</t>
        </is>
      </c>
      <c r="E4384" t="inlineStr">
        <is>
          <t>paid_search</t>
        </is>
      </c>
      <c r="F4384">
        <f>IFERROR(MATCH(A4384,Deals!$A$2:$A$843,0),"")</f>
        <v/>
      </c>
      <c r="G4384">
        <f>IF(F4384="",0,1)</f>
        <v/>
      </c>
      <c r="H4384" s="29">
        <f>IF(F4384="","",INDEX(Deals!$E$2:$E$843,F4384))</f>
        <v/>
      </c>
      <c r="I4384">
        <f>IF(F4384="","",INDEX(Deals!$D$2:$D$843,F4384))</f>
        <v/>
      </c>
      <c r="J4384">
        <f>IF(F4384="","",INT(H4384)-B4384)</f>
        <v/>
      </c>
      <c r="K4384">
        <f>IF(B4384&gt;=Settings!$C$5,1,0)</f>
        <v/>
      </c>
    </row>
    <row r="4385">
      <c r="A4385" t="inlineStr">
        <is>
          <t>f10d3bf5a7378662d917cbaba3d9182a</t>
        </is>
      </c>
      <c r="B4385" s="29" t="n">
        <v>43179</v>
      </c>
      <c r="C4385" t="inlineStr">
        <is>
          <t>2018-03</t>
        </is>
      </c>
      <c r="D4385" t="inlineStr">
        <is>
          <t>62a620c9f1f5dbe99651c2c9e369cbb0</t>
        </is>
      </c>
      <c r="E4385" t="inlineStr">
        <is>
          <t>email</t>
        </is>
      </c>
      <c r="F4385">
        <f>IFERROR(MATCH(A4385,Deals!$A$2:$A$843,0),"")</f>
        <v/>
      </c>
      <c r="G4385">
        <f>IF(F4385="",0,1)</f>
        <v/>
      </c>
      <c r="H4385" s="29">
        <f>IF(F4385="","",INDEX(Deals!$E$2:$E$843,F4385))</f>
        <v/>
      </c>
      <c r="I4385">
        <f>IF(F4385="","",INDEX(Deals!$D$2:$D$843,F4385))</f>
        <v/>
      </c>
      <c r="J4385">
        <f>IF(F4385="","",INT(H4385)-B4385)</f>
        <v/>
      </c>
      <c r="K4385">
        <f>IF(B4385&gt;=Settings!$C$5,1,0)</f>
        <v/>
      </c>
    </row>
    <row r="4386">
      <c r="A4386" t="inlineStr">
        <is>
          <t>012fa44d6752ee07c167165cb8c6f11c</t>
        </is>
      </c>
      <c r="B4386" s="29" t="n">
        <v>43166</v>
      </c>
      <c r="C4386" t="inlineStr">
        <is>
          <t>2018-03</t>
        </is>
      </c>
      <c r="D4386" t="inlineStr">
        <is>
          <t>22c29808c4f815213303f8933030604c</t>
        </is>
      </c>
      <c r="E4386" t="inlineStr">
        <is>
          <t>unknown</t>
        </is>
      </c>
      <c r="F4386">
        <f>IFERROR(MATCH(A4386,Deals!$A$2:$A$843,0),"")</f>
        <v/>
      </c>
      <c r="G4386">
        <f>IF(F4386="",0,1)</f>
        <v/>
      </c>
      <c r="H4386" s="29">
        <f>IF(F4386="","",INDEX(Deals!$E$2:$E$843,F4386))</f>
        <v/>
      </c>
      <c r="I4386">
        <f>IF(F4386="","",INDEX(Deals!$D$2:$D$843,F4386))</f>
        <v/>
      </c>
      <c r="J4386">
        <f>IF(F4386="","",INT(H4386)-B4386)</f>
        <v/>
      </c>
      <c r="K4386">
        <f>IF(B4386&gt;=Settings!$C$5,1,0)</f>
        <v/>
      </c>
    </row>
    <row r="4387">
      <c r="A4387" t="inlineStr">
        <is>
          <t>541c51438d38c7582b03d08fcf9b81ca</t>
        </is>
      </c>
      <c r="B4387" s="29" t="n">
        <v>43215</v>
      </c>
      <c r="C4387" t="inlineStr">
        <is>
          <t>2018-04</t>
        </is>
      </c>
      <c r="D4387" t="inlineStr">
        <is>
          <t>36120633c8737035fbabf079082f4ec1</t>
        </is>
      </c>
      <c r="E4387" t="inlineStr">
        <is>
          <t>organic_search</t>
        </is>
      </c>
      <c r="F4387">
        <f>IFERROR(MATCH(A4387,Deals!$A$2:$A$843,0),"")</f>
        <v/>
      </c>
      <c r="G4387">
        <f>IF(F4387="",0,1)</f>
        <v/>
      </c>
      <c r="H4387" s="29">
        <f>IF(F4387="","",INDEX(Deals!$E$2:$E$843,F4387))</f>
        <v/>
      </c>
      <c r="I4387">
        <f>IF(F4387="","",INDEX(Deals!$D$2:$D$843,F4387))</f>
        <v/>
      </c>
      <c r="J4387">
        <f>IF(F4387="","",INT(H4387)-B4387)</f>
        <v/>
      </c>
      <c r="K4387">
        <f>IF(B4387&gt;=Settings!$C$5,1,0)</f>
        <v/>
      </c>
    </row>
    <row r="4388">
      <c r="A4388" t="inlineStr">
        <is>
          <t>ee7b293e486f3334d7e758ffc822d40e</t>
        </is>
      </c>
      <c r="B4388" s="29" t="n">
        <v>43186</v>
      </c>
      <c r="C4388" t="inlineStr">
        <is>
          <t>2018-03</t>
        </is>
      </c>
      <c r="D4388" t="inlineStr">
        <is>
          <t>40dec9f3d5259a3d2dbcdab2114fae47</t>
        </is>
      </c>
      <c r="E4388" t="inlineStr">
        <is>
          <t>paid_search</t>
        </is>
      </c>
      <c r="F4388">
        <f>IFERROR(MATCH(A4388,Deals!$A$2:$A$843,0),"")</f>
        <v/>
      </c>
      <c r="G4388">
        <f>IF(F4388="",0,1)</f>
        <v/>
      </c>
      <c r="H4388" s="29">
        <f>IF(F4388="","",INDEX(Deals!$E$2:$E$843,F4388))</f>
        <v/>
      </c>
      <c r="I4388">
        <f>IF(F4388="","",INDEX(Deals!$D$2:$D$843,F4388))</f>
        <v/>
      </c>
      <c r="J4388">
        <f>IF(F4388="","",INT(H4388)-B4388)</f>
        <v/>
      </c>
      <c r="K4388">
        <f>IF(B4388&gt;=Settings!$C$5,1,0)</f>
        <v/>
      </c>
    </row>
    <row r="4389">
      <c r="A4389" t="inlineStr">
        <is>
          <t>15a0f9a3d4cae6bdfdb879afead2f39c</t>
        </is>
      </c>
      <c r="B4389" s="29" t="n">
        <v>42991</v>
      </c>
      <c r="C4389" t="inlineStr">
        <is>
          <t>2017-09</t>
        </is>
      </c>
      <c r="D4389" t="inlineStr">
        <is>
          <t>a7982125ff7aa3b2054c6e44f9d28522</t>
        </is>
      </c>
      <c r="E4389" t="inlineStr">
        <is>
          <t>organic_search</t>
        </is>
      </c>
      <c r="F4389">
        <f>IFERROR(MATCH(A4389,Deals!$A$2:$A$843,0),"")</f>
        <v/>
      </c>
      <c r="G4389">
        <f>IF(F4389="",0,1)</f>
        <v/>
      </c>
      <c r="H4389" s="29">
        <f>IF(F4389="","",INDEX(Deals!$E$2:$E$843,F4389))</f>
        <v/>
      </c>
      <c r="I4389">
        <f>IF(F4389="","",INDEX(Deals!$D$2:$D$843,F4389))</f>
        <v/>
      </c>
      <c r="J4389">
        <f>IF(F4389="","",INT(H4389)-B4389)</f>
        <v/>
      </c>
      <c r="K4389">
        <f>IF(B4389&gt;=Settings!$C$5,1,0)</f>
        <v/>
      </c>
    </row>
    <row r="4390">
      <c r="A4390" t="inlineStr">
        <is>
          <t>037adb4f3aa1d0bad47958c8bc165985</t>
        </is>
      </c>
      <c r="B4390" s="29" t="n">
        <v>43152</v>
      </c>
      <c r="C4390" t="inlineStr">
        <is>
          <t>2018-02</t>
        </is>
      </c>
      <c r="D4390" t="inlineStr">
        <is>
          <t>88740e65d5d6b056e0cda098e1ea6313</t>
        </is>
      </c>
      <c r="E4390" t="inlineStr">
        <is>
          <t>social</t>
        </is>
      </c>
      <c r="F4390">
        <f>IFERROR(MATCH(A4390,Deals!$A$2:$A$843,0),"")</f>
        <v/>
      </c>
      <c r="G4390">
        <f>IF(F4390="",0,1)</f>
        <v/>
      </c>
      <c r="H4390" s="29">
        <f>IF(F4390="","",INDEX(Deals!$E$2:$E$843,F4390))</f>
        <v/>
      </c>
      <c r="I4390">
        <f>IF(F4390="","",INDEX(Deals!$D$2:$D$843,F4390))</f>
        <v/>
      </c>
      <c r="J4390">
        <f>IF(F4390="","",INT(H4390)-B4390)</f>
        <v/>
      </c>
      <c r="K4390">
        <f>IF(B4390&gt;=Settings!$C$5,1,0)</f>
        <v/>
      </c>
    </row>
    <row r="4391">
      <c r="A4391" t="inlineStr">
        <is>
          <t>63e8cd622a63c57fc1b17a23e438d9ac</t>
        </is>
      </c>
      <c r="B4391" s="29" t="n">
        <v>43096</v>
      </c>
      <c r="C4391" t="inlineStr">
        <is>
          <t>2017-12</t>
        </is>
      </c>
      <c r="D4391" t="inlineStr">
        <is>
          <t>40dec9f3d5259a3d2dbcdab2114fae47</t>
        </is>
      </c>
      <c r="E4391" t="inlineStr">
        <is>
          <t>organic_search</t>
        </is>
      </c>
      <c r="F4391">
        <f>IFERROR(MATCH(A4391,Deals!$A$2:$A$843,0),"")</f>
        <v/>
      </c>
      <c r="G4391">
        <f>IF(F4391="",0,1)</f>
        <v/>
      </c>
      <c r="H4391" s="29">
        <f>IF(F4391="","",INDEX(Deals!$E$2:$E$843,F4391))</f>
        <v/>
      </c>
      <c r="I4391">
        <f>IF(F4391="","",INDEX(Deals!$D$2:$D$843,F4391))</f>
        <v/>
      </c>
      <c r="J4391">
        <f>IF(F4391="","",INT(H4391)-B4391)</f>
        <v/>
      </c>
      <c r="K4391">
        <f>IF(B4391&gt;=Settings!$C$5,1,0)</f>
        <v/>
      </c>
    </row>
    <row r="4392">
      <c r="A4392" t="inlineStr">
        <is>
          <t>a10c04b2fcdecb8f67af5921c0765664</t>
        </is>
      </c>
      <c r="B4392" s="29" t="n">
        <v>43146</v>
      </c>
      <c r="C4392" t="inlineStr">
        <is>
          <t>2018-02</t>
        </is>
      </c>
      <c r="D4392" t="inlineStr">
        <is>
          <t>22c29808c4f815213303f8933030604c</t>
        </is>
      </c>
      <c r="E4392" t="inlineStr">
        <is>
          <t>organic_search</t>
        </is>
      </c>
      <c r="F4392">
        <f>IFERROR(MATCH(A4392,Deals!$A$2:$A$843,0),"")</f>
        <v/>
      </c>
      <c r="G4392">
        <f>IF(F4392="",0,1)</f>
        <v/>
      </c>
      <c r="H4392" s="29">
        <f>IF(F4392="","",INDEX(Deals!$E$2:$E$843,F4392))</f>
        <v/>
      </c>
      <c r="I4392">
        <f>IF(F4392="","",INDEX(Deals!$D$2:$D$843,F4392))</f>
        <v/>
      </c>
      <c r="J4392">
        <f>IF(F4392="","",INT(H4392)-B4392)</f>
        <v/>
      </c>
      <c r="K4392">
        <f>IF(B4392&gt;=Settings!$C$5,1,0)</f>
        <v/>
      </c>
    </row>
    <row r="4393">
      <c r="A4393" t="inlineStr">
        <is>
          <t>7c23dad2386a690e9be33d37e496a45e</t>
        </is>
      </c>
      <c r="B4393" s="29" t="n">
        <v>43132</v>
      </c>
      <c r="C4393" t="inlineStr">
        <is>
          <t>2018-02</t>
        </is>
      </c>
      <c r="D4393" t="inlineStr">
        <is>
          <t>88740e65d5d6b056e0cda098e1ea6313</t>
        </is>
      </c>
      <c r="E4393" t="inlineStr">
        <is>
          <t>social</t>
        </is>
      </c>
      <c r="F4393">
        <f>IFERROR(MATCH(A4393,Deals!$A$2:$A$843,0),"")</f>
        <v/>
      </c>
      <c r="G4393">
        <f>IF(F4393="",0,1)</f>
        <v/>
      </c>
      <c r="H4393" s="29">
        <f>IF(F4393="","",INDEX(Deals!$E$2:$E$843,F4393))</f>
        <v/>
      </c>
      <c r="I4393">
        <f>IF(F4393="","",INDEX(Deals!$D$2:$D$843,F4393))</f>
        <v/>
      </c>
      <c r="J4393">
        <f>IF(F4393="","",INT(H4393)-B4393)</f>
        <v/>
      </c>
      <c r="K4393">
        <f>IF(B4393&gt;=Settings!$C$5,1,0)</f>
        <v/>
      </c>
    </row>
    <row r="4394">
      <c r="A4394" t="inlineStr">
        <is>
          <t>2fb120f46d3672b167d80140583a6063</t>
        </is>
      </c>
      <c r="B4394" s="29" t="n">
        <v>43228</v>
      </c>
      <c r="C4394" t="inlineStr">
        <is>
          <t>2018-05</t>
        </is>
      </c>
      <c r="D4394" t="inlineStr">
        <is>
          <t>22c29808c4f815213303f8933030604c</t>
        </is>
      </c>
      <c r="E4394" t="inlineStr">
        <is>
          <t>organic_search</t>
        </is>
      </c>
      <c r="F4394">
        <f>IFERROR(MATCH(A4394,Deals!$A$2:$A$843,0),"")</f>
        <v/>
      </c>
      <c r="G4394">
        <f>IF(F4394="",0,1)</f>
        <v/>
      </c>
      <c r="H4394" s="29">
        <f>IF(F4394="","",INDEX(Deals!$E$2:$E$843,F4394))</f>
        <v/>
      </c>
      <c r="I4394">
        <f>IF(F4394="","",INDEX(Deals!$D$2:$D$843,F4394))</f>
        <v/>
      </c>
      <c r="J4394">
        <f>IF(F4394="","",INT(H4394)-B4394)</f>
        <v/>
      </c>
      <c r="K4394">
        <f>IF(B4394&gt;=Settings!$C$5,1,0)</f>
        <v/>
      </c>
    </row>
    <row r="4395">
      <c r="A4395" t="inlineStr">
        <is>
          <t>df1cd9015c1cd8dd15d874bade18d868</t>
        </is>
      </c>
      <c r="B4395" s="29" t="n">
        <v>43065</v>
      </c>
      <c r="C4395" t="inlineStr">
        <is>
          <t>2017-11</t>
        </is>
      </c>
      <c r="D4395" t="inlineStr">
        <is>
          <t>4aab772aeb9833c170d8ea5413e02eac</t>
        </is>
      </c>
      <c r="E4395" t="inlineStr">
        <is>
          <t>paid_search</t>
        </is>
      </c>
      <c r="F4395">
        <f>IFERROR(MATCH(A4395,Deals!$A$2:$A$843,0),"")</f>
        <v/>
      </c>
      <c r="G4395">
        <f>IF(F4395="",0,1)</f>
        <v/>
      </c>
      <c r="H4395" s="29">
        <f>IF(F4395="","",INDEX(Deals!$E$2:$E$843,F4395))</f>
        <v/>
      </c>
      <c r="I4395">
        <f>IF(F4395="","",INDEX(Deals!$D$2:$D$843,F4395))</f>
        <v/>
      </c>
      <c r="J4395">
        <f>IF(F4395="","",INT(H4395)-B4395)</f>
        <v/>
      </c>
      <c r="K4395">
        <f>IF(B4395&gt;=Settings!$C$5,1,0)</f>
        <v/>
      </c>
    </row>
    <row r="4396">
      <c r="A4396" t="inlineStr">
        <is>
          <t>32bb7c61fe2128bc9ec3c76bfea30fbb</t>
        </is>
      </c>
      <c r="B4396" s="29" t="n">
        <v>43197</v>
      </c>
      <c r="C4396" t="inlineStr">
        <is>
          <t>2018-04</t>
        </is>
      </c>
      <c r="D4396" t="inlineStr">
        <is>
          <t>58326e62183c14b0c03085c33b9fdc44</t>
        </is>
      </c>
      <c r="E4396" t="inlineStr">
        <is>
          <t>social</t>
        </is>
      </c>
      <c r="F4396">
        <f>IFERROR(MATCH(A4396,Deals!$A$2:$A$843,0),"")</f>
        <v/>
      </c>
      <c r="G4396">
        <f>IF(F4396="",0,1)</f>
        <v/>
      </c>
      <c r="H4396" s="29">
        <f>IF(F4396="","",INDEX(Deals!$E$2:$E$843,F4396))</f>
        <v/>
      </c>
      <c r="I4396">
        <f>IF(F4396="","",INDEX(Deals!$D$2:$D$843,F4396))</f>
        <v/>
      </c>
      <c r="J4396">
        <f>IF(F4396="","",INT(H4396)-B4396)</f>
        <v/>
      </c>
      <c r="K4396">
        <f>IF(B4396&gt;=Settings!$C$5,1,0)</f>
        <v/>
      </c>
    </row>
    <row r="4397">
      <c r="A4397" t="inlineStr">
        <is>
          <t>52ec1c0cc952d63a8bda67ff969b6968</t>
        </is>
      </c>
      <c r="B4397" s="29" t="n">
        <v>43110</v>
      </c>
      <c r="C4397" t="inlineStr">
        <is>
          <t>2018-01</t>
        </is>
      </c>
      <c r="D4397" t="inlineStr">
        <is>
          <t>ce1a65abd0973638f1c887a6efcfa82d</t>
        </is>
      </c>
      <c r="E4397" t="inlineStr">
        <is>
          <t>organic_search</t>
        </is>
      </c>
      <c r="F4397">
        <f>IFERROR(MATCH(A4397,Deals!$A$2:$A$843,0),"")</f>
        <v/>
      </c>
      <c r="G4397">
        <f>IF(F4397="",0,1)</f>
        <v/>
      </c>
      <c r="H4397" s="29">
        <f>IF(F4397="","",INDEX(Deals!$E$2:$E$843,F4397))</f>
        <v/>
      </c>
      <c r="I4397">
        <f>IF(F4397="","",INDEX(Deals!$D$2:$D$843,F4397))</f>
        <v/>
      </c>
      <c r="J4397">
        <f>IF(F4397="","",INT(H4397)-B4397)</f>
        <v/>
      </c>
      <c r="K4397">
        <f>IF(B4397&gt;=Settings!$C$5,1,0)</f>
        <v/>
      </c>
    </row>
    <row r="4398">
      <c r="A4398" t="inlineStr">
        <is>
          <t>4f4255f798ca34028903c6bc606c32de</t>
        </is>
      </c>
      <c r="B4398" s="29" t="n">
        <v>43231</v>
      </c>
      <c r="C4398" t="inlineStr">
        <is>
          <t>2018-05</t>
        </is>
      </c>
      <c r="D4398" t="inlineStr">
        <is>
          <t>58326e62183c14b0c03085c33b9fdc44</t>
        </is>
      </c>
      <c r="E4398" t="inlineStr">
        <is>
          <t>social</t>
        </is>
      </c>
      <c r="F4398">
        <f>IFERROR(MATCH(A4398,Deals!$A$2:$A$843,0),"")</f>
        <v/>
      </c>
      <c r="G4398">
        <f>IF(F4398="",0,1)</f>
        <v/>
      </c>
      <c r="H4398" s="29">
        <f>IF(F4398="","",INDEX(Deals!$E$2:$E$843,F4398))</f>
        <v/>
      </c>
      <c r="I4398">
        <f>IF(F4398="","",INDEX(Deals!$D$2:$D$843,F4398))</f>
        <v/>
      </c>
      <c r="J4398">
        <f>IF(F4398="","",INT(H4398)-B4398)</f>
        <v/>
      </c>
      <c r="K4398">
        <f>IF(B4398&gt;=Settings!$C$5,1,0)</f>
        <v/>
      </c>
    </row>
    <row r="4399">
      <c r="A4399" t="inlineStr">
        <is>
          <t>f5043e335ce8e2caf79cf0e80220b161</t>
        </is>
      </c>
      <c r="B4399" s="29" t="n">
        <v>43118</v>
      </c>
      <c r="C4399" t="inlineStr">
        <is>
          <t>2018-01</t>
        </is>
      </c>
      <c r="D4399" t="inlineStr">
        <is>
          <t>b76ef37428e6799c421989521c0e5077</t>
        </is>
      </c>
      <c r="E4399" t="inlineStr">
        <is>
          <t>unknown</t>
        </is>
      </c>
      <c r="F4399">
        <f>IFERROR(MATCH(A4399,Deals!$A$2:$A$843,0),"")</f>
        <v/>
      </c>
      <c r="G4399">
        <f>IF(F4399="",0,1)</f>
        <v/>
      </c>
      <c r="H4399" s="29">
        <f>IF(F4399="","",INDEX(Deals!$E$2:$E$843,F4399))</f>
        <v/>
      </c>
      <c r="I4399">
        <f>IF(F4399="","",INDEX(Deals!$D$2:$D$843,F4399))</f>
        <v/>
      </c>
      <c r="J4399">
        <f>IF(F4399="","",INT(H4399)-B4399)</f>
        <v/>
      </c>
      <c r="K4399">
        <f>IF(B4399&gt;=Settings!$C$5,1,0)</f>
        <v/>
      </c>
    </row>
    <row r="4400">
      <c r="A4400" t="inlineStr">
        <is>
          <t>d9df28994e8a318d20f4a2598f5f16c8</t>
        </is>
      </c>
      <c r="B4400" s="29" t="n">
        <v>43155</v>
      </c>
      <c r="C4400" t="inlineStr">
        <is>
          <t>2018-02</t>
        </is>
      </c>
      <c r="D4400" t="inlineStr">
        <is>
          <t>22c29808c4f815213303f8933030604c</t>
        </is>
      </c>
      <c r="E4400" t="inlineStr">
        <is>
          <t>organic_search</t>
        </is>
      </c>
      <c r="F4400">
        <f>IFERROR(MATCH(A4400,Deals!$A$2:$A$843,0),"")</f>
        <v/>
      </c>
      <c r="G4400">
        <f>IF(F4400="",0,1)</f>
        <v/>
      </c>
      <c r="H4400" s="29">
        <f>IF(F4400="","",INDEX(Deals!$E$2:$E$843,F4400))</f>
        <v/>
      </c>
      <c r="I4400">
        <f>IF(F4400="","",INDEX(Deals!$D$2:$D$843,F4400))</f>
        <v/>
      </c>
      <c r="J4400">
        <f>IF(F4400="","",INT(H4400)-B4400)</f>
        <v/>
      </c>
      <c r="K4400">
        <f>IF(B4400&gt;=Settings!$C$5,1,0)</f>
        <v/>
      </c>
    </row>
    <row r="4401">
      <c r="A4401" t="inlineStr">
        <is>
          <t>0259efa4c1af4483993ba098982ae298</t>
        </is>
      </c>
      <c r="B4401" s="29" t="n">
        <v>43199</v>
      </c>
      <c r="C4401" t="inlineStr">
        <is>
          <t>2018-04</t>
        </is>
      </c>
      <c r="D4401" t="inlineStr">
        <is>
          <t>58326e62183c14b0c03085c33b9fdc44</t>
        </is>
      </c>
      <c r="E4401" t="inlineStr">
        <is>
          <t>social</t>
        </is>
      </c>
      <c r="F4401">
        <f>IFERROR(MATCH(A4401,Deals!$A$2:$A$843,0),"")</f>
        <v/>
      </c>
      <c r="G4401">
        <f>IF(F4401="",0,1)</f>
        <v/>
      </c>
      <c r="H4401" s="29">
        <f>IF(F4401="","",INDEX(Deals!$E$2:$E$843,F4401))</f>
        <v/>
      </c>
      <c r="I4401">
        <f>IF(F4401="","",INDEX(Deals!$D$2:$D$843,F4401))</f>
        <v/>
      </c>
      <c r="J4401">
        <f>IF(F4401="","",INT(H4401)-B4401)</f>
        <v/>
      </c>
      <c r="K4401">
        <f>IF(B4401&gt;=Settings!$C$5,1,0)</f>
        <v/>
      </c>
    </row>
    <row r="4402">
      <c r="A4402" t="inlineStr">
        <is>
          <t>37ce349008efb55b22c8594ca047413c</t>
        </is>
      </c>
      <c r="B4402" s="29" t="n">
        <v>43102</v>
      </c>
      <c r="C4402" t="inlineStr">
        <is>
          <t>2018-01</t>
        </is>
      </c>
      <c r="D4402" t="inlineStr">
        <is>
          <t>73f31a40697cc90a86c1273563ac230e</t>
        </is>
      </c>
      <c r="E4402" t="inlineStr">
        <is>
          <t>organic_search</t>
        </is>
      </c>
      <c r="F4402">
        <f>IFERROR(MATCH(A4402,Deals!$A$2:$A$843,0),"")</f>
        <v/>
      </c>
      <c r="G4402">
        <f>IF(F4402="",0,1)</f>
        <v/>
      </c>
      <c r="H4402" s="29">
        <f>IF(F4402="","",INDEX(Deals!$E$2:$E$843,F4402))</f>
        <v/>
      </c>
      <c r="I4402">
        <f>IF(F4402="","",INDEX(Deals!$D$2:$D$843,F4402))</f>
        <v/>
      </c>
      <c r="J4402">
        <f>IF(F4402="","",INT(H4402)-B4402)</f>
        <v/>
      </c>
      <c r="K4402">
        <f>IF(B4402&gt;=Settings!$C$5,1,0)</f>
        <v/>
      </c>
    </row>
    <row r="4403">
      <c r="A4403" t="inlineStr">
        <is>
          <t>d73084414361442cb1fd4d659b395c38</t>
        </is>
      </c>
      <c r="B4403" s="29" t="n">
        <v>43086</v>
      </c>
      <c r="C4403" t="inlineStr">
        <is>
          <t>2017-12</t>
        </is>
      </c>
      <c r="D4403" t="inlineStr">
        <is>
          <t>ce1a65abd0973638f1c887a6efcfa82d</t>
        </is>
      </c>
      <c r="E4403" t="inlineStr">
        <is>
          <t>direct_traffic</t>
        </is>
      </c>
      <c r="F4403">
        <f>IFERROR(MATCH(A4403,Deals!$A$2:$A$843,0),"")</f>
        <v/>
      </c>
      <c r="G4403">
        <f>IF(F4403="",0,1)</f>
        <v/>
      </c>
      <c r="H4403" s="29">
        <f>IF(F4403="","",INDEX(Deals!$E$2:$E$843,F4403))</f>
        <v/>
      </c>
      <c r="I4403">
        <f>IF(F4403="","",INDEX(Deals!$D$2:$D$843,F4403))</f>
        <v/>
      </c>
      <c r="J4403">
        <f>IF(F4403="","",INT(H4403)-B4403)</f>
        <v/>
      </c>
      <c r="K4403">
        <f>IF(B4403&gt;=Settings!$C$5,1,0)</f>
        <v/>
      </c>
    </row>
    <row r="4404">
      <c r="A4404" t="inlineStr">
        <is>
          <t>8c6ff9e1b53e7e1f532048b6b1435d7b</t>
        </is>
      </c>
      <c r="B4404" s="29" t="n">
        <v>43134</v>
      </c>
      <c r="C4404" t="inlineStr">
        <is>
          <t>2018-02</t>
        </is>
      </c>
      <c r="D4404" t="inlineStr">
        <is>
          <t>40dec9f3d5259a3d2dbcdab2114fae47</t>
        </is>
      </c>
      <c r="E4404" t="inlineStr">
        <is>
          <t>organic_search</t>
        </is>
      </c>
      <c r="F4404">
        <f>IFERROR(MATCH(A4404,Deals!$A$2:$A$843,0),"")</f>
        <v/>
      </c>
      <c r="G4404">
        <f>IF(F4404="",0,1)</f>
        <v/>
      </c>
      <c r="H4404" s="29">
        <f>IF(F4404="","",INDEX(Deals!$E$2:$E$843,F4404))</f>
        <v/>
      </c>
      <c r="I4404">
        <f>IF(F4404="","",INDEX(Deals!$D$2:$D$843,F4404))</f>
        <v/>
      </c>
      <c r="J4404">
        <f>IF(F4404="","",INT(H4404)-B4404)</f>
        <v/>
      </c>
      <c r="K4404">
        <f>IF(B4404&gt;=Settings!$C$5,1,0)</f>
        <v/>
      </c>
    </row>
    <row r="4405">
      <c r="A4405" t="inlineStr">
        <is>
          <t>7d214dbbb7364420941d28a3e51a11e4</t>
        </is>
      </c>
      <c r="B4405" s="29" t="n">
        <v>43138</v>
      </c>
      <c r="C4405" t="inlineStr">
        <is>
          <t>2018-02</t>
        </is>
      </c>
      <c r="D4405" t="inlineStr">
        <is>
          <t>7fa6214d82e911d070f51ef79381b956</t>
        </is>
      </c>
      <c r="E4405" t="inlineStr">
        <is>
          <t>direct_traffic</t>
        </is>
      </c>
      <c r="F4405">
        <f>IFERROR(MATCH(A4405,Deals!$A$2:$A$843,0),"")</f>
        <v/>
      </c>
      <c r="G4405">
        <f>IF(F4405="",0,1)</f>
        <v/>
      </c>
      <c r="H4405" s="29">
        <f>IF(F4405="","",INDEX(Deals!$E$2:$E$843,F4405))</f>
        <v/>
      </c>
      <c r="I4405">
        <f>IF(F4405="","",INDEX(Deals!$D$2:$D$843,F4405))</f>
        <v/>
      </c>
      <c r="J4405">
        <f>IF(F4405="","",INT(H4405)-B4405)</f>
        <v/>
      </c>
      <c r="K4405">
        <f>IF(B4405&gt;=Settings!$C$5,1,0)</f>
        <v/>
      </c>
    </row>
    <row r="4406">
      <c r="A4406" t="inlineStr">
        <is>
          <t>88b3ff36ab4d36ab60fdb843278606e2</t>
        </is>
      </c>
      <c r="B4406" s="29" t="n">
        <v>43110</v>
      </c>
      <c r="C4406" t="inlineStr">
        <is>
          <t>2018-01</t>
        </is>
      </c>
      <c r="D4406" t="inlineStr">
        <is>
          <t>b76ef37428e6799c421989521c0e5077</t>
        </is>
      </c>
      <c r="E4406" t="inlineStr">
        <is>
          <t>unknown</t>
        </is>
      </c>
      <c r="F4406">
        <f>IFERROR(MATCH(A4406,Deals!$A$2:$A$843,0),"")</f>
        <v/>
      </c>
      <c r="G4406">
        <f>IF(F4406="",0,1)</f>
        <v/>
      </c>
      <c r="H4406" s="29">
        <f>IF(F4406="","",INDEX(Deals!$E$2:$E$843,F4406))</f>
        <v/>
      </c>
      <c r="I4406">
        <f>IF(F4406="","",INDEX(Deals!$D$2:$D$843,F4406))</f>
        <v/>
      </c>
      <c r="J4406">
        <f>IF(F4406="","",INT(H4406)-B4406)</f>
        <v/>
      </c>
      <c r="K4406">
        <f>IF(B4406&gt;=Settings!$C$5,1,0)</f>
        <v/>
      </c>
    </row>
    <row r="4407">
      <c r="A4407" t="inlineStr">
        <is>
          <t>acf03541bce60ecb8a4c02a9805f6667</t>
        </is>
      </c>
      <c r="B4407" s="29" t="n">
        <v>43055</v>
      </c>
      <c r="C4407" t="inlineStr">
        <is>
          <t>2017-11</t>
        </is>
      </c>
      <c r="D4407" t="inlineStr">
        <is>
          <t>ce1a65abd0973638f1c887a6efcfa82d</t>
        </is>
      </c>
      <c r="E4407" t="inlineStr">
        <is>
          <t>paid_search</t>
        </is>
      </c>
      <c r="F4407">
        <f>IFERROR(MATCH(A4407,Deals!$A$2:$A$843,0),"")</f>
        <v/>
      </c>
      <c r="G4407">
        <f>IF(F4407="",0,1)</f>
        <v/>
      </c>
      <c r="H4407" s="29">
        <f>IF(F4407="","",INDEX(Deals!$E$2:$E$843,F4407))</f>
        <v/>
      </c>
      <c r="I4407">
        <f>IF(F4407="","",INDEX(Deals!$D$2:$D$843,F4407))</f>
        <v/>
      </c>
      <c r="J4407">
        <f>IF(F4407="","",INT(H4407)-B4407)</f>
        <v/>
      </c>
      <c r="K4407">
        <f>IF(B4407&gt;=Settings!$C$5,1,0)</f>
        <v/>
      </c>
    </row>
    <row r="4408">
      <c r="A4408" t="inlineStr">
        <is>
          <t>b7799d0004c7a0b7c5e0672f7848ff04</t>
        </is>
      </c>
      <c r="B4408" s="29" t="n">
        <v>42927</v>
      </c>
      <c r="C4408" t="inlineStr">
        <is>
          <t>2017-07</t>
        </is>
      </c>
      <c r="D4408" t="inlineStr">
        <is>
          <t>d1bad8bf984bd4d7ee08f814ca589897</t>
        </is>
      </c>
      <c r="E4408" t="inlineStr">
        <is>
          <t>paid_search</t>
        </is>
      </c>
      <c r="F4408">
        <f>IFERROR(MATCH(A4408,Deals!$A$2:$A$843,0),"")</f>
        <v/>
      </c>
      <c r="G4408">
        <f>IF(F4408="",0,1)</f>
        <v/>
      </c>
      <c r="H4408" s="29">
        <f>IF(F4408="","",INDEX(Deals!$E$2:$E$843,F4408))</f>
        <v/>
      </c>
      <c r="I4408">
        <f>IF(F4408="","",INDEX(Deals!$D$2:$D$843,F4408))</f>
        <v/>
      </c>
      <c r="J4408">
        <f>IF(F4408="","",INT(H4408)-B4408)</f>
        <v/>
      </c>
      <c r="K4408">
        <f>IF(B4408&gt;=Settings!$C$5,1,0)</f>
        <v/>
      </c>
    </row>
    <row r="4409">
      <c r="A4409" t="inlineStr">
        <is>
          <t>3742d490ac2e1efc538d0d7c271839e7</t>
        </is>
      </c>
      <c r="B4409" s="29" t="n">
        <v>43046</v>
      </c>
      <c r="C4409" t="inlineStr">
        <is>
          <t>2017-11</t>
        </is>
      </c>
      <c r="D4409" t="inlineStr">
        <is>
          <t>22c29808c4f815213303f8933030604c</t>
        </is>
      </c>
      <c r="E4409" t="inlineStr">
        <is>
          <t>paid_search</t>
        </is>
      </c>
      <c r="F4409">
        <f>IFERROR(MATCH(A4409,Deals!$A$2:$A$843,0),"")</f>
        <v/>
      </c>
      <c r="G4409">
        <f>IF(F4409="",0,1)</f>
        <v/>
      </c>
      <c r="H4409" s="29">
        <f>IF(F4409="","",INDEX(Deals!$E$2:$E$843,F4409))</f>
        <v/>
      </c>
      <c r="I4409">
        <f>IF(F4409="","",INDEX(Deals!$D$2:$D$843,F4409))</f>
        <v/>
      </c>
      <c r="J4409">
        <f>IF(F4409="","",INT(H4409)-B4409)</f>
        <v/>
      </c>
      <c r="K4409">
        <f>IF(B4409&gt;=Settings!$C$5,1,0)</f>
        <v/>
      </c>
    </row>
    <row r="4410">
      <c r="A4410" t="inlineStr">
        <is>
          <t>20dc8189c94c4cee588ee6868c3d003c</t>
        </is>
      </c>
      <c r="B4410" s="29" t="n">
        <v>43213</v>
      </c>
      <c r="C4410" t="inlineStr">
        <is>
          <t>2018-04</t>
        </is>
      </c>
      <c r="D4410" t="inlineStr">
        <is>
          <t>b649e8f33e9c3b38af415a395a446552</t>
        </is>
      </c>
      <c r="E4410" t="inlineStr">
        <is>
          <t>paid_search</t>
        </is>
      </c>
      <c r="F4410">
        <f>IFERROR(MATCH(A4410,Deals!$A$2:$A$843,0),"")</f>
        <v/>
      </c>
      <c r="G4410">
        <f>IF(F4410="",0,1)</f>
        <v/>
      </c>
      <c r="H4410" s="29">
        <f>IF(F4410="","",INDEX(Deals!$E$2:$E$843,F4410))</f>
        <v/>
      </c>
      <c r="I4410">
        <f>IF(F4410="","",INDEX(Deals!$D$2:$D$843,F4410))</f>
        <v/>
      </c>
      <c r="J4410">
        <f>IF(F4410="","",INT(H4410)-B4410)</f>
        <v/>
      </c>
      <c r="K4410">
        <f>IF(B4410&gt;=Settings!$C$5,1,0)</f>
        <v/>
      </c>
    </row>
    <row r="4411">
      <c r="A4411" t="inlineStr">
        <is>
          <t>2cbc117bacf0afa92380905d9b99281b</t>
        </is>
      </c>
      <c r="B4411" s="29" t="n">
        <v>42936</v>
      </c>
      <c r="C4411" t="inlineStr">
        <is>
          <t>2017-07</t>
        </is>
      </c>
      <c r="D4411" t="inlineStr">
        <is>
          <t>b76ef37428e6799c421989521c0e5077</t>
        </is>
      </c>
      <c r="E4411" t="inlineStr">
        <is>
          <t>unknown</t>
        </is>
      </c>
      <c r="F4411">
        <f>IFERROR(MATCH(A4411,Deals!$A$2:$A$843,0),"")</f>
        <v/>
      </c>
      <c r="G4411">
        <f>IF(F4411="",0,1)</f>
        <v/>
      </c>
      <c r="H4411" s="29">
        <f>IF(F4411="","",INDEX(Deals!$E$2:$E$843,F4411))</f>
        <v/>
      </c>
      <c r="I4411">
        <f>IF(F4411="","",INDEX(Deals!$D$2:$D$843,F4411))</f>
        <v/>
      </c>
      <c r="J4411">
        <f>IF(F4411="","",INT(H4411)-B4411)</f>
        <v/>
      </c>
      <c r="K4411">
        <f>IF(B4411&gt;=Settings!$C$5,1,0)</f>
        <v/>
      </c>
    </row>
    <row r="4412">
      <c r="A4412" t="inlineStr">
        <is>
          <t>fb24fdefb6d2dd80651f6c1a87bc0d7f</t>
        </is>
      </c>
      <c r="B4412" s="29" t="n">
        <v>43179</v>
      </c>
      <c r="C4412" t="inlineStr">
        <is>
          <t>2018-03</t>
        </is>
      </c>
      <c r="D4412" t="inlineStr">
        <is>
          <t>ce1a65abd0973638f1c887a6efcfa82d</t>
        </is>
      </c>
      <c r="E4412" t="inlineStr">
        <is>
          <t>organic_search</t>
        </is>
      </c>
      <c r="F4412">
        <f>IFERROR(MATCH(A4412,Deals!$A$2:$A$843,0),"")</f>
        <v/>
      </c>
      <c r="G4412">
        <f>IF(F4412="",0,1)</f>
        <v/>
      </c>
      <c r="H4412" s="29">
        <f>IF(F4412="","",INDEX(Deals!$E$2:$E$843,F4412))</f>
        <v/>
      </c>
      <c r="I4412">
        <f>IF(F4412="","",INDEX(Deals!$D$2:$D$843,F4412))</f>
        <v/>
      </c>
      <c r="J4412">
        <f>IF(F4412="","",INT(H4412)-B4412)</f>
        <v/>
      </c>
      <c r="K4412">
        <f>IF(B4412&gt;=Settings!$C$5,1,0)</f>
        <v/>
      </c>
    </row>
    <row r="4413">
      <c r="A4413" t="inlineStr">
        <is>
          <t>8c33e4788904c28f0aee4b02b35ed9d3</t>
        </is>
      </c>
      <c r="B4413" s="29" t="n">
        <v>43200</v>
      </c>
      <c r="C4413" t="inlineStr">
        <is>
          <t>2018-04</t>
        </is>
      </c>
      <c r="D4413" t="inlineStr">
        <is>
          <t>1ceb590cd1e00c7ee95220971f82693d</t>
        </is>
      </c>
      <c r="E4413" t="inlineStr">
        <is>
          <t>organic_search</t>
        </is>
      </c>
      <c r="F4413">
        <f>IFERROR(MATCH(A4413,Deals!$A$2:$A$843,0),"")</f>
        <v/>
      </c>
      <c r="G4413">
        <f>IF(F4413="",0,1)</f>
        <v/>
      </c>
      <c r="H4413" s="29">
        <f>IF(F4413="","",INDEX(Deals!$E$2:$E$843,F4413))</f>
        <v/>
      </c>
      <c r="I4413">
        <f>IF(F4413="","",INDEX(Deals!$D$2:$D$843,F4413))</f>
        <v/>
      </c>
      <c r="J4413">
        <f>IF(F4413="","",INT(H4413)-B4413)</f>
        <v/>
      </c>
      <c r="K4413">
        <f>IF(B4413&gt;=Settings!$C$5,1,0)</f>
        <v/>
      </c>
    </row>
    <row r="4414">
      <c r="A4414" t="inlineStr">
        <is>
          <t>8004a717b7ea85ef262a5313f2e25533</t>
        </is>
      </c>
      <c r="B4414" s="29" t="n">
        <v>43201</v>
      </c>
      <c r="C4414" t="inlineStr">
        <is>
          <t>2018-04</t>
        </is>
      </c>
      <c r="D4414" t="inlineStr">
        <is>
          <t>ce1a65abd0973638f1c887a6efcfa82d</t>
        </is>
      </c>
      <c r="E4414" t="inlineStr">
        <is>
          <t>organic_search</t>
        </is>
      </c>
      <c r="F4414">
        <f>IFERROR(MATCH(A4414,Deals!$A$2:$A$843,0),"")</f>
        <v/>
      </c>
      <c r="G4414">
        <f>IF(F4414="",0,1)</f>
        <v/>
      </c>
      <c r="H4414" s="29">
        <f>IF(F4414="","",INDEX(Deals!$E$2:$E$843,F4414))</f>
        <v/>
      </c>
      <c r="I4414">
        <f>IF(F4414="","",INDEX(Deals!$D$2:$D$843,F4414))</f>
        <v/>
      </c>
      <c r="J4414">
        <f>IF(F4414="","",INT(H4414)-B4414)</f>
        <v/>
      </c>
      <c r="K4414">
        <f>IF(B4414&gt;=Settings!$C$5,1,0)</f>
        <v/>
      </c>
    </row>
    <row r="4415">
      <c r="A4415" t="inlineStr">
        <is>
          <t>f7188fdbd35e020927f6c18b3ae847b4</t>
        </is>
      </c>
      <c r="B4415" s="29" t="n">
        <v>43104</v>
      </c>
      <c r="C4415" t="inlineStr">
        <is>
          <t>2018-01</t>
        </is>
      </c>
      <c r="D4415" t="inlineStr">
        <is>
          <t>40dec9f3d5259a3d2dbcdab2114fae47</t>
        </is>
      </c>
      <c r="E4415" t="inlineStr">
        <is>
          <t>other_publicities</t>
        </is>
      </c>
      <c r="F4415">
        <f>IFERROR(MATCH(A4415,Deals!$A$2:$A$843,0),"")</f>
        <v/>
      </c>
      <c r="G4415">
        <f>IF(F4415="",0,1)</f>
        <v/>
      </c>
      <c r="H4415" s="29">
        <f>IF(F4415="","",INDEX(Deals!$E$2:$E$843,F4415))</f>
        <v/>
      </c>
      <c r="I4415">
        <f>IF(F4415="","",INDEX(Deals!$D$2:$D$843,F4415))</f>
        <v/>
      </c>
      <c r="J4415">
        <f>IF(F4415="","",INT(H4415)-B4415)</f>
        <v/>
      </c>
      <c r="K4415">
        <f>IF(B4415&gt;=Settings!$C$5,1,0)</f>
        <v/>
      </c>
    </row>
    <row r="4416">
      <c r="A4416" t="inlineStr">
        <is>
          <t>ab712090eb9a27881b63080c859147de</t>
        </is>
      </c>
      <c r="B4416" s="29" t="n">
        <v>43111</v>
      </c>
      <c r="C4416" t="inlineStr">
        <is>
          <t>2018-01</t>
        </is>
      </c>
      <c r="D4416" t="inlineStr">
        <is>
          <t>b76ef37428e6799c421989521c0e5077</t>
        </is>
      </c>
      <c r="E4416" t="inlineStr">
        <is>
          <t>unknown</t>
        </is>
      </c>
      <c r="F4416">
        <f>IFERROR(MATCH(A4416,Deals!$A$2:$A$843,0),"")</f>
        <v/>
      </c>
      <c r="G4416">
        <f>IF(F4416="",0,1)</f>
        <v/>
      </c>
      <c r="H4416" s="29">
        <f>IF(F4416="","",INDEX(Deals!$E$2:$E$843,F4416))</f>
        <v/>
      </c>
      <c r="I4416">
        <f>IF(F4416="","",INDEX(Deals!$D$2:$D$843,F4416))</f>
        <v/>
      </c>
      <c r="J4416">
        <f>IF(F4416="","",INT(H4416)-B4416)</f>
        <v/>
      </c>
      <c r="K4416">
        <f>IF(B4416&gt;=Settings!$C$5,1,0)</f>
        <v/>
      </c>
    </row>
    <row r="4417">
      <c r="A4417" t="inlineStr">
        <is>
          <t>168253866cf4542ad1895c7d2dd3a175</t>
        </is>
      </c>
      <c r="B4417" s="29" t="n">
        <v>43230</v>
      </c>
      <c r="C4417" t="inlineStr">
        <is>
          <t>2018-05</t>
        </is>
      </c>
      <c r="D4417" t="inlineStr">
        <is>
          <t>44cb5e9f50dfa3b36e485b0f26c4fe5f</t>
        </is>
      </c>
      <c r="E4417" t="inlineStr">
        <is>
          <t>direct_traffic</t>
        </is>
      </c>
      <c r="F4417">
        <f>IFERROR(MATCH(A4417,Deals!$A$2:$A$843,0),"")</f>
        <v/>
      </c>
      <c r="G4417">
        <f>IF(F4417="",0,1)</f>
        <v/>
      </c>
      <c r="H4417" s="29">
        <f>IF(F4417="","",INDEX(Deals!$E$2:$E$843,F4417))</f>
        <v/>
      </c>
      <c r="I4417">
        <f>IF(F4417="","",INDEX(Deals!$D$2:$D$843,F4417))</f>
        <v/>
      </c>
      <c r="J4417">
        <f>IF(F4417="","",INT(H4417)-B4417)</f>
        <v/>
      </c>
      <c r="K4417">
        <f>IF(B4417&gt;=Settings!$C$5,1,0)</f>
        <v/>
      </c>
    </row>
    <row r="4418">
      <c r="A4418" t="inlineStr">
        <is>
          <t>820d7297223d5e401166cb6cbfd53b1f</t>
        </is>
      </c>
      <c r="B4418" s="29" t="n">
        <v>42995</v>
      </c>
      <c r="C4418" t="inlineStr">
        <is>
          <t>2017-09</t>
        </is>
      </c>
      <c r="D4418" t="inlineStr">
        <is>
          <t>f017be4dbf86243af5c1ebed0cff36a2</t>
        </is>
      </c>
      <c r="E4418" t="inlineStr">
        <is>
          <t>unknown</t>
        </is>
      </c>
      <c r="F4418">
        <f>IFERROR(MATCH(A4418,Deals!$A$2:$A$843,0),"")</f>
        <v/>
      </c>
      <c r="G4418">
        <f>IF(F4418="",0,1)</f>
        <v/>
      </c>
      <c r="H4418" s="29">
        <f>IF(F4418="","",INDEX(Deals!$E$2:$E$843,F4418))</f>
        <v/>
      </c>
      <c r="I4418">
        <f>IF(F4418="","",INDEX(Deals!$D$2:$D$843,F4418))</f>
        <v/>
      </c>
      <c r="J4418">
        <f>IF(F4418="","",INT(H4418)-B4418)</f>
        <v/>
      </c>
      <c r="K4418">
        <f>IF(B4418&gt;=Settings!$C$5,1,0)</f>
        <v/>
      </c>
    </row>
    <row r="4419">
      <c r="A4419" t="inlineStr">
        <is>
          <t>401dbf72920e26fa6a117af833108674</t>
        </is>
      </c>
      <c r="B4419" s="29" t="n">
        <v>43236</v>
      </c>
      <c r="C4419" t="inlineStr">
        <is>
          <t>2018-05</t>
        </is>
      </c>
      <c r="D4419" t="inlineStr">
        <is>
          <t>6a110e795dd487f1cf8d7583671987af</t>
        </is>
      </c>
      <c r="E4419" t="inlineStr">
        <is>
          <t>email</t>
        </is>
      </c>
      <c r="F4419">
        <f>IFERROR(MATCH(A4419,Deals!$A$2:$A$843,0),"")</f>
        <v/>
      </c>
      <c r="G4419">
        <f>IF(F4419="",0,1)</f>
        <v/>
      </c>
      <c r="H4419" s="29">
        <f>IF(F4419="","",INDEX(Deals!$E$2:$E$843,F4419))</f>
        <v/>
      </c>
      <c r="I4419">
        <f>IF(F4419="","",INDEX(Deals!$D$2:$D$843,F4419))</f>
        <v/>
      </c>
      <c r="J4419">
        <f>IF(F4419="","",INT(H4419)-B4419)</f>
        <v/>
      </c>
      <c r="K4419">
        <f>IF(B4419&gt;=Settings!$C$5,1,0)</f>
        <v/>
      </c>
    </row>
    <row r="4420">
      <c r="A4420" t="inlineStr">
        <is>
          <t>be5701ad6a0f85ad1ddca69370aac3a3</t>
        </is>
      </c>
      <c r="B4420" s="29" t="n">
        <v>43241</v>
      </c>
      <c r="C4420" t="inlineStr">
        <is>
          <t>2018-05</t>
        </is>
      </c>
      <c r="D4420" t="inlineStr">
        <is>
          <t>330b9d44078a1ae5a221d655dcb77afa</t>
        </is>
      </c>
      <c r="E4420" t="inlineStr">
        <is>
          <t>email</t>
        </is>
      </c>
      <c r="F4420">
        <f>IFERROR(MATCH(A4420,Deals!$A$2:$A$843,0),"")</f>
        <v/>
      </c>
      <c r="G4420">
        <f>IF(F4420="",0,1)</f>
        <v/>
      </c>
      <c r="H4420" s="29">
        <f>IF(F4420="","",INDEX(Deals!$E$2:$E$843,F4420))</f>
        <v/>
      </c>
      <c r="I4420">
        <f>IF(F4420="","",INDEX(Deals!$D$2:$D$843,F4420))</f>
        <v/>
      </c>
      <c r="J4420">
        <f>IF(F4420="","",INT(H4420)-B4420)</f>
        <v/>
      </c>
      <c r="K4420">
        <f>IF(B4420&gt;=Settings!$C$5,1,0)</f>
        <v/>
      </c>
    </row>
    <row r="4421">
      <c r="A4421" t="inlineStr">
        <is>
          <t>b229154b44b3e48723ec020fb471975f</t>
        </is>
      </c>
      <c r="B4421" s="29" t="n">
        <v>43151</v>
      </c>
      <c r="C4421" t="inlineStr">
        <is>
          <t>2018-02</t>
        </is>
      </c>
      <c r="D4421" t="inlineStr">
        <is>
          <t>f017be4dbf86243af5c1ebed0cff36a2</t>
        </is>
      </c>
      <c r="E4421" t="inlineStr">
        <is>
          <t>organic_search</t>
        </is>
      </c>
      <c r="F4421">
        <f>IFERROR(MATCH(A4421,Deals!$A$2:$A$843,0),"")</f>
        <v/>
      </c>
      <c r="G4421">
        <f>IF(F4421="",0,1)</f>
        <v/>
      </c>
      <c r="H4421" s="29">
        <f>IF(F4421="","",INDEX(Deals!$E$2:$E$843,F4421))</f>
        <v/>
      </c>
      <c r="I4421">
        <f>IF(F4421="","",INDEX(Deals!$D$2:$D$843,F4421))</f>
        <v/>
      </c>
      <c r="J4421">
        <f>IF(F4421="","",INT(H4421)-B4421)</f>
        <v/>
      </c>
      <c r="K4421">
        <f>IF(B4421&gt;=Settings!$C$5,1,0)</f>
        <v/>
      </c>
    </row>
    <row r="4422">
      <c r="A4422" t="inlineStr">
        <is>
          <t>77d3a7e7ef6967723e66a296bb94cc2e</t>
        </is>
      </c>
      <c r="B4422" s="29" t="n">
        <v>43224</v>
      </c>
      <c r="C4422" t="inlineStr">
        <is>
          <t>2018-05</t>
        </is>
      </c>
      <c r="D4422" t="inlineStr">
        <is>
          <t>bfd05fa9f9fe2aedee539951a84f2aaf</t>
        </is>
      </c>
      <c r="E4422" t="inlineStr">
        <is>
          <t>display</t>
        </is>
      </c>
      <c r="F4422">
        <f>IFERROR(MATCH(A4422,Deals!$A$2:$A$843,0),"")</f>
        <v/>
      </c>
      <c r="G4422">
        <f>IF(F4422="",0,1)</f>
        <v/>
      </c>
      <c r="H4422" s="29">
        <f>IF(F4422="","",INDEX(Deals!$E$2:$E$843,F4422))</f>
        <v/>
      </c>
      <c r="I4422">
        <f>IF(F4422="","",INDEX(Deals!$D$2:$D$843,F4422))</f>
        <v/>
      </c>
      <c r="J4422">
        <f>IF(F4422="","",INT(H4422)-B4422)</f>
        <v/>
      </c>
      <c r="K4422">
        <f>IF(B4422&gt;=Settings!$C$5,1,0)</f>
        <v/>
      </c>
    </row>
    <row r="4423">
      <c r="A4423" t="inlineStr">
        <is>
          <t>f9009793d98fb864b2067957cebb8250</t>
        </is>
      </c>
      <c r="B4423" s="29" t="n">
        <v>43056</v>
      </c>
      <c r="C4423" t="inlineStr">
        <is>
          <t>2017-11</t>
        </is>
      </c>
      <c r="D4423" t="inlineStr">
        <is>
          <t>f98c2bd96ac4a5d9476734e790c91384</t>
        </is>
      </c>
      <c r="E4423" t="inlineStr">
        <is>
          <t>unknown</t>
        </is>
      </c>
      <c r="F4423">
        <f>IFERROR(MATCH(A4423,Deals!$A$2:$A$843,0),"")</f>
        <v/>
      </c>
      <c r="G4423">
        <f>IF(F4423="",0,1)</f>
        <v/>
      </c>
      <c r="H4423" s="29">
        <f>IF(F4423="","",INDEX(Deals!$E$2:$E$843,F4423))</f>
        <v/>
      </c>
      <c r="I4423">
        <f>IF(F4423="","",INDEX(Deals!$D$2:$D$843,F4423))</f>
        <v/>
      </c>
      <c r="J4423">
        <f>IF(F4423="","",INT(H4423)-B4423)</f>
        <v/>
      </c>
      <c r="K4423">
        <f>IF(B4423&gt;=Settings!$C$5,1,0)</f>
        <v/>
      </c>
    </row>
    <row r="4424">
      <c r="A4424" t="inlineStr">
        <is>
          <t>3d25d97d74b25fda24861545538d0475</t>
        </is>
      </c>
      <c r="B4424" s="29" t="n">
        <v>43137</v>
      </c>
      <c r="C4424" t="inlineStr">
        <is>
          <t>2018-02</t>
        </is>
      </c>
      <c r="D4424" t="inlineStr">
        <is>
          <t>0218f6be0b76aca72ab4d00ee9e8cf10</t>
        </is>
      </c>
      <c r="E4424" t="inlineStr">
        <is>
          <t>unknown</t>
        </is>
      </c>
      <c r="F4424">
        <f>IFERROR(MATCH(A4424,Deals!$A$2:$A$843,0),"")</f>
        <v/>
      </c>
      <c r="G4424">
        <f>IF(F4424="",0,1)</f>
        <v/>
      </c>
      <c r="H4424" s="29">
        <f>IF(F4424="","",INDEX(Deals!$E$2:$E$843,F4424))</f>
        <v/>
      </c>
      <c r="I4424">
        <f>IF(F4424="","",INDEX(Deals!$D$2:$D$843,F4424))</f>
        <v/>
      </c>
      <c r="J4424">
        <f>IF(F4424="","",INT(H4424)-B4424)</f>
        <v/>
      </c>
      <c r="K4424">
        <f>IF(B4424&gt;=Settings!$C$5,1,0)</f>
        <v/>
      </c>
    </row>
    <row r="4425">
      <c r="A4425" t="inlineStr">
        <is>
          <t>3fdc6213681ba98cb5a95150380e0e04</t>
        </is>
      </c>
      <c r="B4425" s="29" t="n">
        <v>43115</v>
      </c>
      <c r="C4425" t="inlineStr">
        <is>
          <t>2018-01</t>
        </is>
      </c>
      <c r="D4425" t="inlineStr">
        <is>
          <t>a7982125ff7aa3b2054c6e44f9d28522</t>
        </is>
      </c>
      <c r="E4425" t="inlineStr">
        <is>
          <t>display</t>
        </is>
      </c>
      <c r="F4425">
        <f>IFERROR(MATCH(A4425,Deals!$A$2:$A$843,0),"")</f>
        <v/>
      </c>
      <c r="G4425">
        <f>IF(F4425="",0,1)</f>
        <v/>
      </c>
      <c r="H4425" s="29">
        <f>IF(F4425="","",INDEX(Deals!$E$2:$E$843,F4425))</f>
        <v/>
      </c>
      <c r="I4425">
        <f>IF(F4425="","",INDEX(Deals!$D$2:$D$843,F4425))</f>
        <v/>
      </c>
      <c r="J4425">
        <f>IF(F4425="","",INT(H4425)-B4425)</f>
        <v/>
      </c>
      <c r="K4425">
        <f>IF(B4425&gt;=Settings!$C$5,1,0)</f>
        <v/>
      </c>
    </row>
    <row r="4426">
      <c r="A4426" t="inlineStr">
        <is>
          <t>ec1e33b6bd8535e35b7ed12a7a9182fb</t>
        </is>
      </c>
      <c r="B4426" s="29" t="n">
        <v>43063</v>
      </c>
      <c r="C4426" t="inlineStr">
        <is>
          <t>2017-11</t>
        </is>
      </c>
      <c r="D4426" t="inlineStr">
        <is>
          <t>241f79c7a8fe0270f4fb79fcbbcd17ad</t>
        </is>
      </c>
      <c r="E4426" t="inlineStr">
        <is>
          <t>paid_search</t>
        </is>
      </c>
      <c r="F4426">
        <f>IFERROR(MATCH(A4426,Deals!$A$2:$A$843,0),"")</f>
        <v/>
      </c>
      <c r="G4426">
        <f>IF(F4426="",0,1)</f>
        <v/>
      </c>
      <c r="H4426" s="29">
        <f>IF(F4426="","",INDEX(Deals!$E$2:$E$843,F4426))</f>
        <v/>
      </c>
      <c r="I4426">
        <f>IF(F4426="","",INDEX(Deals!$D$2:$D$843,F4426))</f>
        <v/>
      </c>
      <c r="J4426">
        <f>IF(F4426="","",INT(H4426)-B4426)</f>
        <v/>
      </c>
      <c r="K4426">
        <f>IF(B4426&gt;=Settings!$C$5,1,0)</f>
        <v/>
      </c>
    </row>
    <row r="4427">
      <c r="A4427" t="inlineStr">
        <is>
          <t>f220cfabf79009211ae4493c75c742a9</t>
        </is>
      </c>
      <c r="B4427" s="29" t="n">
        <v>43215</v>
      </c>
      <c r="C4427" t="inlineStr">
        <is>
          <t>2018-04</t>
        </is>
      </c>
      <c r="D4427" t="inlineStr">
        <is>
          <t>22c29808c4f815213303f8933030604c</t>
        </is>
      </c>
      <c r="E4427" t="inlineStr">
        <is>
          <t>organic_search</t>
        </is>
      </c>
      <c r="F4427">
        <f>IFERROR(MATCH(A4427,Deals!$A$2:$A$843,0),"")</f>
        <v/>
      </c>
      <c r="G4427">
        <f>IF(F4427="",0,1)</f>
        <v/>
      </c>
      <c r="H4427" s="29">
        <f>IF(F4427="","",INDEX(Deals!$E$2:$E$843,F4427))</f>
        <v/>
      </c>
      <c r="I4427">
        <f>IF(F4427="","",INDEX(Deals!$D$2:$D$843,F4427))</f>
        <v/>
      </c>
      <c r="J4427">
        <f>IF(F4427="","",INT(H4427)-B4427)</f>
        <v/>
      </c>
      <c r="K4427">
        <f>IF(B4427&gt;=Settings!$C$5,1,0)</f>
        <v/>
      </c>
    </row>
    <row r="4428">
      <c r="A4428" t="inlineStr">
        <is>
          <t>04a4730468a0d657ebec4e0f1dafbbd4</t>
        </is>
      </c>
      <c r="B4428" s="29" t="n">
        <v>43051</v>
      </c>
      <c r="C4428" t="inlineStr">
        <is>
          <t>2017-11</t>
        </is>
      </c>
      <c r="D4428" t="inlineStr">
        <is>
          <t>88740e65d5d6b056e0cda098e1ea6313</t>
        </is>
      </c>
      <c r="E4428" t="inlineStr">
        <is>
          <t>social</t>
        </is>
      </c>
      <c r="F4428">
        <f>IFERROR(MATCH(A4428,Deals!$A$2:$A$843,0),"")</f>
        <v/>
      </c>
      <c r="G4428">
        <f>IF(F4428="",0,1)</f>
        <v/>
      </c>
      <c r="H4428" s="29">
        <f>IF(F4428="","",INDEX(Deals!$E$2:$E$843,F4428))</f>
        <v/>
      </c>
      <c r="I4428">
        <f>IF(F4428="","",INDEX(Deals!$D$2:$D$843,F4428))</f>
        <v/>
      </c>
      <c r="J4428">
        <f>IF(F4428="","",INT(H4428)-B4428)</f>
        <v/>
      </c>
      <c r="K4428">
        <f>IF(B4428&gt;=Settings!$C$5,1,0)</f>
        <v/>
      </c>
    </row>
    <row r="4429">
      <c r="A4429" t="inlineStr">
        <is>
          <t>6648cb0e60b6ebcb33f638831097eb8b</t>
        </is>
      </c>
      <c r="B4429" s="29" t="n">
        <v>43209</v>
      </c>
      <c r="C4429" t="inlineStr">
        <is>
          <t>2018-04</t>
        </is>
      </c>
      <c r="D4429" t="inlineStr">
        <is>
          <t>e534a08b23c682d94859d0ab860bd57a</t>
        </is>
      </c>
      <c r="E4429" t="inlineStr">
        <is>
          <t>direct_traffic</t>
        </is>
      </c>
      <c r="F4429">
        <f>IFERROR(MATCH(A4429,Deals!$A$2:$A$843,0),"")</f>
        <v/>
      </c>
      <c r="G4429">
        <f>IF(F4429="",0,1)</f>
        <v/>
      </c>
      <c r="H4429" s="29">
        <f>IF(F4429="","",INDEX(Deals!$E$2:$E$843,F4429))</f>
        <v/>
      </c>
      <c r="I4429">
        <f>IF(F4429="","",INDEX(Deals!$D$2:$D$843,F4429))</f>
        <v/>
      </c>
      <c r="J4429">
        <f>IF(F4429="","",INT(H4429)-B4429)</f>
        <v/>
      </c>
      <c r="K4429">
        <f>IF(B4429&gt;=Settings!$C$5,1,0)</f>
        <v/>
      </c>
    </row>
    <row r="4430">
      <c r="A4430" t="inlineStr">
        <is>
          <t>28b666d0bbf15152aca966add171113d</t>
        </is>
      </c>
      <c r="B4430" s="29" t="n">
        <v>43199</v>
      </c>
      <c r="C4430" t="inlineStr">
        <is>
          <t>2018-04</t>
        </is>
      </c>
      <c r="D4430" t="inlineStr">
        <is>
          <t>d41d8cd98f00b204e9800998ecf8427e</t>
        </is>
      </c>
      <c r="E4430" t="inlineStr">
        <is>
          <t>(missing)</t>
        </is>
      </c>
      <c r="F4430">
        <f>IFERROR(MATCH(A4430,Deals!$A$2:$A$843,0),"")</f>
        <v/>
      </c>
      <c r="G4430">
        <f>IF(F4430="",0,1)</f>
        <v/>
      </c>
      <c r="H4430" s="29">
        <f>IF(F4430="","",INDEX(Deals!$E$2:$E$843,F4430))</f>
        <v/>
      </c>
      <c r="I4430">
        <f>IF(F4430="","",INDEX(Deals!$D$2:$D$843,F4430))</f>
        <v/>
      </c>
      <c r="J4430">
        <f>IF(F4430="","",INT(H4430)-B4430)</f>
        <v/>
      </c>
      <c r="K4430">
        <f>IF(B4430&gt;=Settings!$C$5,1,0)</f>
        <v/>
      </c>
    </row>
    <row r="4431">
      <c r="A4431" t="inlineStr">
        <is>
          <t>824adc5954e9e6ce2a7c0b0ef584359f</t>
        </is>
      </c>
      <c r="B4431" s="29" t="n">
        <v>43197</v>
      </c>
      <c r="C4431" t="inlineStr">
        <is>
          <t>2018-04</t>
        </is>
      </c>
      <c r="D4431" t="inlineStr">
        <is>
          <t>58326e62183c14b0c03085c33b9fdc44</t>
        </is>
      </c>
      <c r="E4431" t="inlineStr">
        <is>
          <t>social</t>
        </is>
      </c>
      <c r="F4431">
        <f>IFERROR(MATCH(A4431,Deals!$A$2:$A$843,0),"")</f>
        <v/>
      </c>
      <c r="G4431">
        <f>IF(F4431="",0,1)</f>
        <v/>
      </c>
      <c r="H4431" s="29">
        <f>IF(F4431="","",INDEX(Deals!$E$2:$E$843,F4431))</f>
        <v/>
      </c>
      <c r="I4431">
        <f>IF(F4431="","",INDEX(Deals!$D$2:$D$843,F4431))</f>
        <v/>
      </c>
      <c r="J4431">
        <f>IF(F4431="","",INT(H4431)-B4431)</f>
        <v/>
      </c>
      <c r="K4431">
        <f>IF(B4431&gt;=Settings!$C$5,1,0)</f>
        <v/>
      </c>
    </row>
    <row r="4432">
      <c r="A4432" t="inlineStr">
        <is>
          <t>4eee02653a93c9555a4ae9037e3ab69e</t>
        </is>
      </c>
      <c r="B4432" s="29" t="n">
        <v>43138</v>
      </c>
      <c r="C4432" t="inlineStr">
        <is>
          <t>2018-02</t>
        </is>
      </c>
      <c r="D4432" t="inlineStr">
        <is>
          <t>b76ef37428e6799c421989521c0e5077</t>
        </is>
      </c>
      <c r="E4432" t="inlineStr">
        <is>
          <t>unknown</t>
        </is>
      </c>
      <c r="F4432">
        <f>IFERROR(MATCH(A4432,Deals!$A$2:$A$843,0),"")</f>
        <v/>
      </c>
      <c r="G4432">
        <f>IF(F4432="",0,1)</f>
        <v/>
      </c>
      <c r="H4432" s="29">
        <f>IF(F4432="","",INDEX(Deals!$E$2:$E$843,F4432))</f>
        <v/>
      </c>
      <c r="I4432">
        <f>IF(F4432="","",INDEX(Deals!$D$2:$D$843,F4432))</f>
        <v/>
      </c>
      <c r="J4432">
        <f>IF(F4432="","",INT(H4432)-B4432)</f>
        <v/>
      </c>
      <c r="K4432">
        <f>IF(B4432&gt;=Settings!$C$5,1,0)</f>
        <v/>
      </c>
    </row>
    <row r="4433">
      <c r="A4433" t="inlineStr">
        <is>
          <t>7446f6200e3167caa3cab7b651d11828</t>
        </is>
      </c>
      <c r="B4433" s="29" t="n">
        <v>43230</v>
      </c>
      <c r="C4433" t="inlineStr">
        <is>
          <t>2018-05</t>
        </is>
      </c>
      <c r="D4433" t="inlineStr">
        <is>
          <t>3e2dbc66617ded5ca6a69bdb3a354d4a</t>
        </is>
      </c>
      <c r="E4433" t="inlineStr">
        <is>
          <t>direct_traffic</t>
        </is>
      </c>
      <c r="F4433">
        <f>IFERROR(MATCH(A4433,Deals!$A$2:$A$843,0),"")</f>
        <v/>
      </c>
      <c r="G4433">
        <f>IF(F4433="",0,1)</f>
        <v/>
      </c>
      <c r="H4433" s="29">
        <f>IF(F4433="","",INDEX(Deals!$E$2:$E$843,F4433))</f>
        <v/>
      </c>
      <c r="I4433">
        <f>IF(F4433="","",INDEX(Deals!$D$2:$D$843,F4433))</f>
        <v/>
      </c>
      <c r="J4433">
        <f>IF(F4433="","",INT(H4433)-B4433)</f>
        <v/>
      </c>
      <c r="K4433">
        <f>IF(B4433&gt;=Settings!$C$5,1,0)</f>
        <v/>
      </c>
    </row>
    <row r="4434">
      <c r="A4434" t="inlineStr">
        <is>
          <t>ee8c32be50cf39acaff23d6e4c3482c1</t>
        </is>
      </c>
      <c r="B4434" s="29" t="n">
        <v>43235</v>
      </c>
      <c r="C4434" t="inlineStr">
        <is>
          <t>2018-05</t>
        </is>
      </c>
      <c r="D4434" t="inlineStr">
        <is>
          <t>6a110e795dd487f1cf8d7583671987af</t>
        </is>
      </c>
      <c r="E4434" t="inlineStr">
        <is>
          <t>unknown</t>
        </is>
      </c>
      <c r="F4434">
        <f>IFERROR(MATCH(A4434,Deals!$A$2:$A$843,0),"")</f>
        <v/>
      </c>
      <c r="G4434">
        <f>IF(F4434="",0,1)</f>
        <v/>
      </c>
      <c r="H4434" s="29">
        <f>IF(F4434="","",INDEX(Deals!$E$2:$E$843,F4434))</f>
        <v/>
      </c>
      <c r="I4434">
        <f>IF(F4434="","",INDEX(Deals!$D$2:$D$843,F4434))</f>
        <v/>
      </c>
      <c r="J4434">
        <f>IF(F4434="","",INT(H4434)-B4434)</f>
        <v/>
      </c>
      <c r="K4434">
        <f>IF(B4434&gt;=Settings!$C$5,1,0)</f>
        <v/>
      </c>
    </row>
    <row r="4435">
      <c r="A4435" t="inlineStr">
        <is>
          <t>d7f5e28f4a82a513a859b4168b7e9566</t>
        </is>
      </c>
      <c r="B4435" s="29" t="n">
        <v>43178</v>
      </c>
      <c r="C4435" t="inlineStr">
        <is>
          <t>2018-03</t>
        </is>
      </c>
      <c r="D4435" t="inlineStr">
        <is>
          <t>c35447dcd1a50b2e2ee3184be602b597</t>
        </is>
      </c>
      <c r="E4435" t="inlineStr">
        <is>
          <t>social</t>
        </is>
      </c>
      <c r="F4435">
        <f>IFERROR(MATCH(A4435,Deals!$A$2:$A$843,0),"")</f>
        <v/>
      </c>
      <c r="G4435">
        <f>IF(F4435="",0,1)</f>
        <v/>
      </c>
      <c r="H4435" s="29">
        <f>IF(F4435="","",INDEX(Deals!$E$2:$E$843,F4435))</f>
        <v/>
      </c>
      <c r="I4435">
        <f>IF(F4435="","",INDEX(Deals!$D$2:$D$843,F4435))</f>
        <v/>
      </c>
      <c r="J4435">
        <f>IF(F4435="","",INT(H4435)-B4435)</f>
        <v/>
      </c>
      <c r="K4435">
        <f>IF(B4435&gt;=Settings!$C$5,1,0)</f>
        <v/>
      </c>
    </row>
    <row r="4436">
      <c r="A4436" t="inlineStr">
        <is>
          <t>16b2e31fefe580e6aab327e53949bc14</t>
        </is>
      </c>
      <c r="B4436" s="29" t="n">
        <v>43160</v>
      </c>
      <c r="C4436" t="inlineStr">
        <is>
          <t>2018-03</t>
        </is>
      </c>
      <c r="D4436" t="inlineStr">
        <is>
          <t>b76ef37428e6799c421989521c0e5077</t>
        </is>
      </c>
      <c r="E4436" t="inlineStr">
        <is>
          <t>unknown</t>
        </is>
      </c>
      <c r="F4436">
        <f>IFERROR(MATCH(A4436,Deals!$A$2:$A$843,0),"")</f>
        <v/>
      </c>
      <c r="G4436">
        <f>IF(F4436="",0,1)</f>
        <v/>
      </c>
      <c r="H4436" s="29">
        <f>IF(F4436="","",INDEX(Deals!$E$2:$E$843,F4436))</f>
        <v/>
      </c>
      <c r="I4436">
        <f>IF(F4436="","",INDEX(Deals!$D$2:$D$843,F4436))</f>
        <v/>
      </c>
      <c r="J4436">
        <f>IF(F4436="","",INT(H4436)-B4436)</f>
        <v/>
      </c>
      <c r="K4436">
        <f>IF(B4436&gt;=Settings!$C$5,1,0)</f>
        <v/>
      </c>
    </row>
    <row r="4437">
      <c r="A4437" t="inlineStr">
        <is>
          <t>ca6e313f954bf055efb75700c6e3d5b0</t>
        </is>
      </c>
      <c r="B4437" s="29" t="n">
        <v>43228</v>
      </c>
      <c r="C4437" t="inlineStr">
        <is>
          <t>2018-05</t>
        </is>
      </c>
      <c r="D4437" t="inlineStr">
        <is>
          <t>e492ee5eaf1697716985cc6f33f9cd9b</t>
        </is>
      </c>
      <c r="E4437" t="inlineStr">
        <is>
          <t>organic_search</t>
        </is>
      </c>
      <c r="F4437">
        <f>IFERROR(MATCH(A4437,Deals!$A$2:$A$843,0),"")</f>
        <v/>
      </c>
      <c r="G4437">
        <f>IF(F4437="",0,1)</f>
        <v/>
      </c>
      <c r="H4437" s="29">
        <f>IF(F4437="","",INDEX(Deals!$E$2:$E$843,F4437))</f>
        <v/>
      </c>
      <c r="I4437">
        <f>IF(F4437="","",INDEX(Deals!$D$2:$D$843,F4437))</f>
        <v/>
      </c>
      <c r="J4437">
        <f>IF(F4437="","",INT(H4437)-B4437)</f>
        <v/>
      </c>
      <c r="K4437">
        <f>IF(B4437&gt;=Settings!$C$5,1,0)</f>
        <v/>
      </c>
    </row>
    <row r="4438">
      <c r="A4438" t="inlineStr">
        <is>
          <t>dc7721d3d2ac1ff14aa7442d0666d5f3</t>
        </is>
      </c>
      <c r="B4438" s="29" t="n">
        <v>43112</v>
      </c>
      <c r="C4438" t="inlineStr">
        <is>
          <t>2018-01</t>
        </is>
      </c>
      <c r="D4438" t="inlineStr">
        <is>
          <t>caef563a428392ddc7807d2a529413b9</t>
        </is>
      </c>
      <c r="E4438" t="inlineStr">
        <is>
          <t>direct_traffic</t>
        </is>
      </c>
      <c r="F4438">
        <f>IFERROR(MATCH(A4438,Deals!$A$2:$A$843,0),"")</f>
        <v/>
      </c>
      <c r="G4438">
        <f>IF(F4438="",0,1)</f>
        <v/>
      </c>
      <c r="H4438" s="29">
        <f>IF(F4438="","",INDEX(Deals!$E$2:$E$843,F4438))</f>
        <v/>
      </c>
      <c r="I4438">
        <f>IF(F4438="","",INDEX(Deals!$D$2:$D$843,F4438))</f>
        <v/>
      </c>
      <c r="J4438">
        <f>IF(F4438="","",INT(H4438)-B4438)</f>
        <v/>
      </c>
      <c r="K4438">
        <f>IF(B4438&gt;=Settings!$C$5,1,0)</f>
        <v/>
      </c>
    </row>
    <row r="4439">
      <c r="A4439" t="inlineStr">
        <is>
          <t>59aff3a8835bab1c3c1725498ef4631a</t>
        </is>
      </c>
      <c r="B4439" s="29" t="n">
        <v>43171</v>
      </c>
      <c r="C4439" t="inlineStr">
        <is>
          <t>2018-03</t>
        </is>
      </c>
      <c r="D4439" t="inlineStr">
        <is>
          <t>ce1a65abd0973638f1c887a6efcfa82d</t>
        </is>
      </c>
      <c r="E4439" t="inlineStr">
        <is>
          <t>organic_search</t>
        </is>
      </c>
      <c r="F4439">
        <f>IFERROR(MATCH(A4439,Deals!$A$2:$A$843,0),"")</f>
        <v/>
      </c>
      <c r="G4439">
        <f>IF(F4439="",0,1)</f>
        <v/>
      </c>
      <c r="H4439" s="29">
        <f>IF(F4439="","",INDEX(Deals!$E$2:$E$843,F4439))</f>
        <v/>
      </c>
      <c r="I4439">
        <f>IF(F4439="","",INDEX(Deals!$D$2:$D$843,F4439))</f>
        <v/>
      </c>
      <c r="J4439">
        <f>IF(F4439="","",INT(H4439)-B4439)</f>
        <v/>
      </c>
      <c r="K4439">
        <f>IF(B4439&gt;=Settings!$C$5,1,0)</f>
        <v/>
      </c>
    </row>
    <row r="4440">
      <c r="A4440" t="inlineStr">
        <is>
          <t>e73b04578cae9ad34b98a7aeebe3ad0a</t>
        </is>
      </c>
      <c r="B4440" s="29" t="n">
        <v>43173</v>
      </c>
      <c r="C4440" t="inlineStr">
        <is>
          <t>2018-03</t>
        </is>
      </c>
      <c r="D4440" t="inlineStr">
        <is>
          <t>83bfeb1d106df88a2cde0965999161f0</t>
        </is>
      </c>
      <c r="E4440" t="inlineStr">
        <is>
          <t>organic_search</t>
        </is>
      </c>
      <c r="F4440">
        <f>IFERROR(MATCH(A4440,Deals!$A$2:$A$843,0),"")</f>
        <v/>
      </c>
      <c r="G4440">
        <f>IF(F4440="",0,1)</f>
        <v/>
      </c>
      <c r="H4440" s="29">
        <f>IF(F4440="","",INDEX(Deals!$E$2:$E$843,F4440))</f>
        <v/>
      </c>
      <c r="I4440">
        <f>IF(F4440="","",INDEX(Deals!$D$2:$D$843,F4440))</f>
        <v/>
      </c>
      <c r="J4440">
        <f>IF(F4440="","",INT(H4440)-B4440)</f>
        <v/>
      </c>
      <c r="K4440">
        <f>IF(B4440&gt;=Settings!$C$5,1,0)</f>
        <v/>
      </c>
    </row>
    <row r="4441">
      <c r="A4441" t="inlineStr">
        <is>
          <t>56a5739ae918ad4bfbfac3cb50658476</t>
        </is>
      </c>
      <c r="B4441" s="29" t="n">
        <v>43025</v>
      </c>
      <c r="C4441" t="inlineStr">
        <is>
          <t>2017-10</t>
        </is>
      </c>
      <c r="D4441" t="inlineStr">
        <is>
          <t>1722481ac9e5371e5099dea226b5421d</t>
        </is>
      </c>
      <c r="E4441" t="inlineStr">
        <is>
          <t>organic_search</t>
        </is>
      </c>
      <c r="F4441">
        <f>IFERROR(MATCH(A4441,Deals!$A$2:$A$843,0),"")</f>
        <v/>
      </c>
      <c r="G4441">
        <f>IF(F4441="",0,1)</f>
        <v/>
      </c>
      <c r="H4441" s="29">
        <f>IF(F4441="","",INDEX(Deals!$E$2:$E$843,F4441))</f>
        <v/>
      </c>
      <c r="I4441">
        <f>IF(F4441="","",INDEX(Deals!$D$2:$D$843,F4441))</f>
        <v/>
      </c>
      <c r="J4441">
        <f>IF(F4441="","",INT(H4441)-B4441)</f>
        <v/>
      </c>
      <c r="K4441">
        <f>IF(B4441&gt;=Settings!$C$5,1,0)</f>
        <v/>
      </c>
    </row>
    <row r="4442">
      <c r="A4442" t="inlineStr">
        <is>
          <t>7fd75bd9098fc85c4efeee425d83b3c1</t>
        </is>
      </c>
      <c r="B4442" s="29" t="n">
        <v>43202</v>
      </c>
      <c r="C4442" t="inlineStr">
        <is>
          <t>2018-04</t>
        </is>
      </c>
      <c r="D4442" t="inlineStr">
        <is>
          <t>58326e62183c14b0c03085c33b9fdc44</t>
        </is>
      </c>
      <c r="E4442" t="inlineStr">
        <is>
          <t>social</t>
        </is>
      </c>
      <c r="F4442">
        <f>IFERROR(MATCH(A4442,Deals!$A$2:$A$843,0),"")</f>
        <v/>
      </c>
      <c r="G4442">
        <f>IF(F4442="",0,1)</f>
        <v/>
      </c>
      <c r="H4442" s="29">
        <f>IF(F4442="","",INDEX(Deals!$E$2:$E$843,F4442))</f>
        <v/>
      </c>
      <c r="I4442">
        <f>IF(F4442="","",INDEX(Deals!$D$2:$D$843,F4442))</f>
        <v/>
      </c>
      <c r="J4442">
        <f>IF(F4442="","",INT(H4442)-B4442)</f>
        <v/>
      </c>
      <c r="K4442">
        <f>IF(B4442&gt;=Settings!$C$5,1,0)</f>
        <v/>
      </c>
    </row>
    <row r="4443">
      <c r="A4443" t="inlineStr">
        <is>
          <t>67577e94367b2efc073a5c9085a0e31d</t>
        </is>
      </c>
      <c r="B4443" s="29" t="n">
        <v>43077</v>
      </c>
      <c r="C4443" t="inlineStr">
        <is>
          <t>2017-12</t>
        </is>
      </c>
      <c r="D4443" t="inlineStr">
        <is>
          <t>ce1a65abd0973638f1c887a6efcfa82d</t>
        </is>
      </c>
      <c r="E4443" t="inlineStr">
        <is>
          <t>direct_traffic</t>
        </is>
      </c>
      <c r="F4443">
        <f>IFERROR(MATCH(A4443,Deals!$A$2:$A$843,0),"")</f>
        <v/>
      </c>
      <c r="G4443">
        <f>IF(F4443="",0,1)</f>
        <v/>
      </c>
      <c r="H4443" s="29">
        <f>IF(F4443="","",INDEX(Deals!$E$2:$E$843,F4443))</f>
        <v/>
      </c>
      <c r="I4443">
        <f>IF(F4443="","",INDEX(Deals!$D$2:$D$843,F4443))</f>
        <v/>
      </c>
      <c r="J4443">
        <f>IF(F4443="","",INT(H4443)-B4443)</f>
        <v/>
      </c>
      <c r="K4443">
        <f>IF(B4443&gt;=Settings!$C$5,1,0)</f>
        <v/>
      </c>
    </row>
    <row r="4444">
      <c r="A4444" t="inlineStr">
        <is>
          <t>967bd553aef09d7f7f55e3f7f2ea580e</t>
        </is>
      </c>
      <c r="B4444" s="29" t="n">
        <v>43204</v>
      </c>
      <c r="C4444" t="inlineStr">
        <is>
          <t>2018-04</t>
        </is>
      </c>
      <c r="D4444" t="inlineStr">
        <is>
          <t>0218f6be0b76aca72ab4d00ee9e8cf10</t>
        </is>
      </c>
      <c r="E4444" t="inlineStr">
        <is>
          <t>organic_search</t>
        </is>
      </c>
      <c r="F4444">
        <f>IFERROR(MATCH(A4444,Deals!$A$2:$A$843,0),"")</f>
        <v/>
      </c>
      <c r="G4444">
        <f>IF(F4444="",0,1)</f>
        <v/>
      </c>
      <c r="H4444" s="29">
        <f>IF(F4444="","",INDEX(Deals!$E$2:$E$843,F4444))</f>
        <v/>
      </c>
      <c r="I4444">
        <f>IF(F4444="","",INDEX(Deals!$D$2:$D$843,F4444))</f>
        <v/>
      </c>
      <c r="J4444">
        <f>IF(F4444="","",INT(H4444)-B4444)</f>
        <v/>
      </c>
      <c r="K4444">
        <f>IF(B4444&gt;=Settings!$C$5,1,0)</f>
        <v/>
      </c>
    </row>
    <row r="4445">
      <c r="A4445" t="inlineStr">
        <is>
          <t>cf3df6fa1165f1ceaa6c246e9d7d0492</t>
        </is>
      </c>
      <c r="B4445" s="29" t="n">
        <v>42948</v>
      </c>
      <c r="C4445" t="inlineStr">
        <is>
          <t>2017-08</t>
        </is>
      </c>
      <c r="D4445" t="inlineStr">
        <is>
          <t>e492ee5eaf1697716985cc6f33f9cd9b</t>
        </is>
      </c>
      <c r="E4445" t="inlineStr">
        <is>
          <t>paid_search</t>
        </is>
      </c>
      <c r="F4445">
        <f>IFERROR(MATCH(A4445,Deals!$A$2:$A$843,0),"")</f>
        <v/>
      </c>
      <c r="G4445">
        <f>IF(F4445="",0,1)</f>
        <v/>
      </c>
      <c r="H4445" s="29">
        <f>IF(F4445="","",INDEX(Deals!$E$2:$E$843,F4445))</f>
        <v/>
      </c>
      <c r="I4445">
        <f>IF(F4445="","",INDEX(Deals!$D$2:$D$843,F4445))</f>
        <v/>
      </c>
      <c r="J4445">
        <f>IF(F4445="","",INT(H4445)-B4445)</f>
        <v/>
      </c>
      <c r="K4445">
        <f>IF(B4445&gt;=Settings!$C$5,1,0)</f>
        <v/>
      </c>
    </row>
    <row r="4446">
      <c r="A4446" t="inlineStr">
        <is>
          <t>2e61866ea98aba76b0b07e7e7728c646</t>
        </is>
      </c>
      <c r="B4446" s="29" t="n">
        <v>43159</v>
      </c>
      <c r="C4446" t="inlineStr">
        <is>
          <t>2018-02</t>
        </is>
      </c>
      <c r="D4446" t="inlineStr">
        <is>
          <t>4aab772aeb9833c170d8ea5413e02eac</t>
        </is>
      </c>
      <c r="E4446" t="inlineStr">
        <is>
          <t>paid_search</t>
        </is>
      </c>
      <c r="F4446">
        <f>IFERROR(MATCH(A4446,Deals!$A$2:$A$843,0),"")</f>
        <v/>
      </c>
      <c r="G4446">
        <f>IF(F4446="",0,1)</f>
        <v/>
      </c>
      <c r="H4446" s="29">
        <f>IF(F4446="","",INDEX(Deals!$E$2:$E$843,F4446))</f>
        <v/>
      </c>
      <c r="I4446">
        <f>IF(F4446="","",INDEX(Deals!$D$2:$D$843,F4446))</f>
        <v/>
      </c>
      <c r="J4446">
        <f>IF(F4446="","",INT(H4446)-B4446)</f>
        <v/>
      </c>
      <c r="K4446">
        <f>IF(B4446&gt;=Settings!$C$5,1,0)</f>
        <v/>
      </c>
    </row>
    <row r="4447">
      <c r="A4447" t="inlineStr">
        <is>
          <t>f3a589d86446fc3ecd5385a2779e8d34</t>
        </is>
      </c>
      <c r="B4447" s="29" t="n">
        <v>43136</v>
      </c>
      <c r="C4447" t="inlineStr">
        <is>
          <t>2018-02</t>
        </is>
      </c>
      <c r="D4447" t="inlineStr">
        <is>
          <t>f017be4dbf86243af5c1ebed0cff36a2</t>
        </is>
      </c>
      <c r="E4447" t="inlineStr">
        <is>
          <t>organic_search</t>
        </is>
      </c>
      <c r="F4447">
        <f>IFERROR(MATCH(A4447,Deals!$A$2:$A$843,0),"")</f>
        <v/>
      </c>
      <c r="G4447">
        <f>IF(F4447="",0,1)</f>
        <v/>
      </c>
      <c r="H4447" s="29">
        <f>IF(F4447="","",INDEX(Deals!$E$2:$E$843,F4447))</f>
        <v/>
      </c>
      <c r="I4447">
        <f>IF(F4447="","",INDEX(Deals!$D$2:$D$843,F4447))</f>
        <v/>
      </c>
      <c r="J4447">
        <f>IF(F4447="","",INT(H4447)-B4447)</f>
        <v/>
      </c>
      <c r="K4447">
        <f>IF(B4447&gt;=Settings!$C$5,1,0)</f>
        <v/>
      </c>
    </row>
    <row r="4448">
      <c r="A4448" t="inlineStr">
        <is>
          <t>c2711355c663caed162c2b57afcd6957</t>
        </is>
      </c>
      <c r="B4448" s="29" t="n">
        <v>43132</v>
      </c>
      <c r="C4448" t="inlineStr">
        <is>
          <t>2018-02</t>
        </is>
      </c>
      <c r="D4448" t="inlineStr">
        <is>
          <t>b6cd08ac77c501fd6857f7916d2c24f3</t>
        </is>
      </c>
      <c r="E4448" t="inlineStr">
        <is>
          <t>email</t>
        </is>
      </c>
      <c r="F4448">
        <f>IFERROR(MATCH(A4448,Deals!$A$2:$A$843,0),"")</f>
        <v/>
      </c>
      <c r="G4448">
        <f>IF(F4448="",0,1)</f>
        <v/>
      </c>
      <c r="H4448" s="29">
        <f>IF(F4448="","",INDEX(Deals!$E$2:$E$843,F4448))</f>
        <v/>
      </c>
      <c r="I4448">
        <f>IF(F4448="","",INDEX(Deals!$D$2:$D$843,F4448))</f>
        <v/>
      </c>
      <c r="J4448">
        <f>IF(F4448="","",INT(H4448)-B4448)</f>
        <v/>
      </c>
      <c r="K4448">
        <f>IF(B4448&gt;=Settings!$C$5,1,0)</f>
        <v/>
      </c>
    </row>
    <row r="4449">
      <c r="A4449" t="inlineStr">
        <is>
          <t>1fcdaeeb2f3492b18aa16cd1e6217f09</t>
        </is>
      </c>
      <c r="B4449" s="29" t="n">
        <v>43167</v>
      </c>
      <c r="C4449" t="inlineStr">
        <is>
          <t>2018-03</t>
        </is>
      </c>
      <c r="D4449" t="inlineStr">
        <is>
          <t>330b9d44078a1ae5a221d655dcb77afa</t>
        </is>
      </c>
      <c r="E4449" t="inlineStr">
        <is>
          <t>organic_search</t>
        </is>
      </c>
      <c r="F4449">
        <f>IFERROR(MATCH(A4449,Deals!$A$2:$A$843,0),"")</f>
        <v/>
      </c>
      <c r="G4449">
        <f>IF(F4449="",0,1)</f>
        <v/>
      </c>
      <c r="H4449" s="29">
        <f>IF(F4449="","",INDEX(Deals!$E$2:$E$843,F4449))</f>
        <v/>
      </c>
      <c r="I4449">
        <f>IF(F4449="","",INDEX(Deals!$D$2:$D$843,F4449))</f>
        <v/>
      </c>
      <c r="J4449">
        <f>IF(F4449="","",INT(H4449)-B4449)</f>
        <v/>
      </c>
      <c r="K4449">
        <f>IF(B4449&gt;=Settings!$C$5,1,0)</f>
        <v/>
      </c>
    </row>
    <row r="4450">
      <c r="A4450" t="inlineStr">
        <is>
          <t>2b5a0385f3efe2e2a7e088fc0311a33d</t>
        </is>
      </c>
      <c r="B4450" s="29" t="n">
        <v>43214</v>
      </c>
      <c r="C4450" t="inlineStr">
        <is>
          <t>2018-04</t>
        </is>
      </c>
      <c r="D4450" t="inlineStr">
        <is>
          <t>22c29808c4f815213303f8933030604c</t>
        </is>
      </c>
      <c r="E4450" t="inlineStr">
        <is>
          <t>organic_search</t>
        </is>
      </c>
      <c r="F4450">
        <f>IFERROR(MATCH(A4450,Deals!$A$2:$A$843,0),"")</f>
        <v/>
      </c>
      <c r="G4450">
        <f>IF(F4450="",0,1)</f>
        <v/>
      </c>
      <c r="H4450" s="29">
        <f>IF(F4450="","",INDEX(Deals!$E$2:$E$843,F4450))</f>
        <v/>
      </c>
      <c r="I4450">
        <f>IF(F4450="","",INDEX(Deals!$D$2:$D$843,F4450))</f>
        <v/>
      </c>
      <c r="J4450">
        <f>IF(F4450="","",INT(H4450)-B4450)</f>
        <v/>
      </c>
      <c r="K4450">
        <f>IF(B4450&gt;=Settings!$C$5,1,0)</f>
        <v/>
      </c>
    </row>
    <row r="4451">
      <c r="A4451" t="inlineStr">
        <is>
          <t>1900820441f58be72e092e531f54adc1</t>
        </is>
      </c>
      <c r="B4451" s="29" t="n">
        <v>43185</v>
      </c>
      <c r="C4451" t="inlineStr">
        <is>
          <t>2018-03</t>
        </is>
      </c>
      <c r="D4451" t="inlineStr">
        <is>
          <t>b76ef37428e6799c421989521c0e5077</t>
        </is>
      </c>
      <c r="E4451" t="inlineStr">
        <is>
          <t>unknown</t>
        </is>
      </c>
      <c r="F4451">
        <f>IFERROR(MATCH(A4451,Deals!$A$2:$A$843,0),"")</f>
        <v/>
      </c>
      <c r="G4451">
        <f>IF(F4451="",0,1)</f>
        <v/>
      </c>
      <c r="H4451" s="29">
        <f>IF(F4451="","",INDEX(Deals!$E$2:$E$843,F4451))</f>
        <v/>
      </c>
      <c r="I4451">
        <f>IF(F4451="","",INDEX(Deals!$D$2:$D$843,F4451))</f>
        <v/>
      </c>
      <c r="J4451">
        <f>IF(F4451="","",INT(H4451)-B4451)</f>
        <v/>
      </c>
      <c r="K4451">
        <f>IF(B4451&gt;=Settings!$C$5,1,0)</f>
        <v/>
      </c>
    </row>
    <row r="4452">
      <c r="A4452" t="inlineStr">
        <is>
          <t>ebd6638431159e2c7a8229ea9307ecc2</t>
        </is>
      </c>
      <c r="B4452" s="29" t="n">
        <v>43118</v>
      </c>
      <c r="C4452" t="inlineStr">
        <is>
          <t>2018-01</t>
        </is>
      </c>
      <c r="D4452" t="inlineStr">
        <is>
          <t>e492ee5eaf1697716985cc6f33f9cd9b</t>
        </is>
      </c>
      <c r="E4452" t="inlineStr">
        <is>
          <t>unknown</t>
        </is>
      </c>
      <c r="F4452">
        <f>IFERROR(MATCH(A4452,Deals!$A$2:$A$843,0),"")</f>
        <v/>
      </c>
      <c r="G4452">
        <f>IF(F4452="",0,1)</f>
        <v/>
      </c>
      <c r="H4452" s="29">
        <f>IF(F4452="","",INDEX(Deals!$E$2:$E$843,F4452))</f>
        <v/>
      </c>
      <c r="I4452">
        <f>IF(F4452="","",INDEX(Deals!$D$2:$D$843,F4452))</f>
        <v/>
      </c>
      <c r="J4452">
        <f>IF(F4452="","",INT(H4452)-B4452)</f>
        <v/>
      </c>
      <c r="K4452">
        <f>IF(B4452&gt;=Settings!$C$5,1,0)</f>
        <v/>
      </c>
    </row>
    <row r="4453">
      <c r="A4453" t="inlineStr">
        <is>
          <t>4b28b220ac44eb9727640e0b78cc622c</t>
        </is>
      </c>
      <c r="B4453" s="29" t="n">
        <v>43049</v>
      </c>
      <c r="C4453" t="inlineStr">
        <is>
          <t>2017-11</t>
        </is>
      </c>
      <c r="D4453" t="inlineStr">
        <is>
          <t>22c29808c4f815213303f8933030604c</t>
        </is>
      </c>
      <c r="E4453" t="inlineStr">
        <is>
          <t>organic_search</t>
        </is>
      </c>
      <c r="F4453">
        <f>IFERROR(MATCH(A4453,Deals!$A$2:$A$843,0),"")</f>
        <v/>
      </c>
      <c r="G4453">
        <f>IF(F4453="",0,1)</f>
        <v/>
      </c>
      <c r="H4453" s="29">
        <f>IF(F4453="","",INDEX(Deals!$E$2:$E$843,F4453))</f>
        <v/>
      </c>
      <c r="I4453">
        <f>IF(F4453="","",INDEX(Deals!$D$2:$D$843,F4453))</f>
        <v/>
      </c>
      <c r="J4453">
        <f>IF(F4453="","",INT(H4453)-B4453)</f>
        <v/>
      </c>
      <c r="K4453">
        <f>IF(B4453&gt;=Settings!$C$5,1,0)</f>
        <v/>
      </c>
    </row>
    <row r="4454">
      <c r="A4454" t="inlineStr">
        <is>
          <t>1c76fb9381aac8712c2d06e31a05702b</t>
        </is>
      </c>
      <c r="B4454" s="29" t="n">
        <v>42934</v>
      </c>
      <c r="C4454" t="inlineStr">
        <is>
          <t>2017-07</t>
        </is>
      </c>
      <c r="D4454" t="inlineStr">
        <is>
          <t>0b37d43dbde6452cdd94c17bf61a88e4</t>
        </is>
      </c>
      <c r="E4454" t="inlineStr">
        <is>
          <t>direct_traffic</t>
        </is>
      </c>
      <c r="F4454">
        <f>IFERROR(MATCH(A4454,Deals!$A$2:$A$843,0),"")</f>
        <v/>
      </c>
      <c r="G4454">
        <f>IF(F4454="",0,1)</f>
        <v/>
      </c>
      <c r="H4454" s="29">
        <f>IF(F4454="","",INDEX(Deals!$E$2:$E$843,F4454))</f>
        <v/>
      </c>
      <c r="I4454">
        <f>IF(F4454="","",INDEX(Deals!$D$2:$D$843,F4454))</f>
        <v/>
      </c>
      <c r="J4454">
        <f>IF(F4454="","",INT(H4454)-B4454)</f>
        <v/>
      </c>
      <c r="K4454">
        <f>IF(B4454&gt;=Settings!$C$5,1,0)</f>
        <v/>
      </c>
    </row>
    <row r="4455">
      <c r="A4455" t="inlineStr">
        <is>
          <t>6a5786dfbaaebbc3e92329baab4b4c08</t>
        </is>
      </c>
      <c r="B4455" s="29" t="n">
        <v>43062</v>
      </c>
      <c r="C4455" t="inlineStr">
        <is>
          <t>2017-11</t>
        </is>
      </c>
      <c r="D4455" t="inlineStr">
        <is>
          <t>007f9098284a86ee80ddeb25d53e0af8</t>
        </is>
      </c>
      <c r="E4455" t="inlineStr">
        <is>
          <t>organic_search</t>
        </is>
      </c>
      <c r="F4455">
        <f>IFERROR(MATCH(A4455,Deals!$A$2:$A$843,0),"")</f>
        <v/>
      </c>
      <c r="G4455">
        <f>IF(F4455="",0,1)</f>
        <v/>
      </c>
      <c r="H4455" s="29">
        <f>IF(F4455="","",INDEX(Deals!$E$2:$E$843,F4455))</f>
        <v/>
      </c>
      <c r="I4455">
        <f>IF(F4455="","",INDEX(Deals!$D$2:$D$843,F4455))</f>
        <v/>
      </c>
      <c r="J4455">
        <f>IF(F4455="","",INT(H4455)-B4455)</f>
        <v/>
      </c>
      <c r="K4455">
        <f>IF(B4455&gt;=Settings!$C$5,1,0)</f>
        <v/>
      </c>
    </row>
    <row r="4456">
      <c r="A4456" t="inlineStr">
        <is>
          <t>b45357b8257d2ec975e90db3da32947e</t>
        </is>
      </c>
      <c r="B4456" s="29" t="n">
        <v>43247</v>
      </c>
      <c r="C4456" t="inlineStr">
        <is>
          <t>2018-05</t>
        </is>
      </c>
      <c r="D4456" t="inlineStr">
        <is>
          <t>22c29808c4f815213303f8933030604c</t>
        </is>
      </c>
      <c r="E4456" t="inlineStr">
        <is>
          <t>social</t>
        </is>
      </c>
      <c r="F4456">
        <f>IFERROR(MATCH(A4456,Deals!$A$2:$A$843,0),"")</f>
        <v/>
      </c>
      <c r="G4456">
        <f>IF(F4456="",0,1)</f>
        <v/>
      </c>
      <c r="H4456" s="29">
        <f>IF(F4456="","",INDEX(Deals!$E$2:$E$843,F4456))</f>
        <v/>
      </c>
      <c r="I4456">
        <f>IF(F4456="","",INDEX(Deals!$D$2:$D$843,F4456))</f>
        <v/>
      </c>
      <c r="J4456">
        <f>IF(F4456="","",INT(H4456)-B4456)</f>
        <v/>
      </c>
      <c r="K4456">
        <f>IF(B4456&gt;=Settings!$C$5,1,0)</f>
        <v/>
      </c>
    </row>
    <row r="4457">
      <c r="A4457" t="inlineStr">
        <is>
          <t>ef3217af91c6be2ed9ff90f60f247620</t>
        </is>
      </c>
      <c r="B4457" s="29" t="n">
        <v>43212</v>
      </c>
      <c r="C4457" t="inlineStr">
        <is>
          <t>2018-04</t>
        </is>
      </c>
      <c r="D4457" t="inlineStr">
        <is>
          <t>b6cd08ac77c501fd6857f7916d2c24f3</t>
        </is>
      </c>
      <c r="E4457" t="inlineStr">
        <is>
          <t>direct_traffic</t>
        </is>
      </c>
      <c r="F4457">
        <f>IFERROR(MATCH(A4457,Deals!$A$2:$A$843,0),"")</f>
        <v/>
      </c>
      <c r="G4457">
        <f>IF(F4457="",0,1)</f>
        <v/>
      </c>
      <c r="H4457" s="29">
        <f>IF(F4457="","",INDEX(Deals!$E$2:$E$843,F4457))</f>
        <v/>
      </c>
      <c r="I4457">
        <f>IF(F4457="","",INDEX(Deals!$D$2:$D$843,F4457))</f>
        <v/>
      </c>
      <c r="J4457">
        <f>IF(F4457="","",INT(H4457)-B4457)</f>
        <v/>
      </c>
      <c r="K4457">
        <f>IF(B4457&gt;=Settings!$C$5,1,0)</f>
        <v/>
      </c>
    </row>
    <row r="4458">
      <c r="A4458" t="inlineStr">
        <is>
          <t>63343f64cc76a8c257077bb4e9482f5a</t>
        </is>
      </c>
      <c r="B4458" s="29" t="n">
        <v>43063</v>
      </c>
      <c r="C4458" t="inlineStr">
        <is>
          <t>2017-11</t>
        </is>
      </c>
      <c r="D4458" t="inlineStr">
        <is>
          <t>f017be4dbf86243af5c1ebed0cff36a2</t>
        </is>
      </c>
      <c r="E4458" t="inlineStr">
        <is>
          <t>organic_search</t>
        </is>
      </c>
      <c r="F4458">
        <f>IFERROR(MATCH(A4458,Deals!$A$2:$A$843,0),"")</f>
        <v/>
      </c>
      <c r="G4458">
        <f>IF(F4458="",0,1)</f>
        <v/>
      </c>
      <c r="H4458" s="29">
        <f>IF(F4458="","",INDEX(Deals!$E$2:$E$843,F4458))</f>
        <v/>
      </c>
      <c r="I4458">
        <f>IF(F4458="","",INDEX(Deals!$D$2:$D$843,F4458))</f>
        <v/>
      </c>
      <c r="J4458">
        <f>IF(F4458="","",INT(H4458)-B4458)</f>
        <v/>
      </c>
      <c r="K4458">
        <f>IF(B4458&gt;=Settings!$C$5,1,0)</f>
        <v/>
      </c>
    </row>
    <row r="4459">
      <c r="A4459" t="inlineStr">
        <is>
          <t>03300a14fb9934cc5c613e26bdfbaab8</t>
        </is>
      </c>
      <c r="B4459" s="29" t="n">
        <v>43127</v>
      </c>
      <c r="C4459" t="inlineStr">
        <is>
          <t>2018-01</t>
        </is>
      </c>
      <c r="D4459" t="inlineStr">
        <is>
          <t>f017be4dbf86243af5c1ebed0cff36a2</t>
        </is>
      </c>
      <c r="E4459" t="inlineStr">
        <is>
          <t>organic_search</t>
        </is>
      </c>
      <c r="F4459">
        <f>IFERROR(MATCH(A4459,Deals!$A$2:$A$843,0),"")</f>
        <v/>
      </c>
      <c r="G4459">
        <f>IF(F4459="",0,1)</f>
        <v/>
      </c>
      <c r="H4459" s="29">
        <f>IF(F4459="","",INDEX(Deals!$E$2:$E$843,F4459))</f>
        <v/>
      </c>
      <c r="I4459">
        <f>IF(F4459="","",INDEX(Deals!$D$2:$D$843,F4459))</f>
        <v/>
      </c>
      <c r="J4459">
        <f>IF(F4459="","",INT(H4459)-B4459)</f>
        <v/>
      </c>
      <c r="K4459">
        <f>IF(B4459&gt;=Settings!$C$5,1,0)</f>
        <v/>
      </c>
    </row>
    <row r="4460">
      <c r="A4460" t="inlineStr">
        <is>
          <t>60b01a86d9b3175d7f934b779c4b3643</t>
        </is>
      </c>
      <c r="B4460" s="29" t="n">
        <v>43069</v>
      </c>
      <c r="C4460" t="inlineStr">
        <is>
          <t>2017-11</t>
        </is>
      </c>
      <c r="D4460" t="inlineStr">
        <is>
          <t>58f8c0a253663304e348e81298bc255e</t>
        </is>
      </c>
      <c r="E4460" t="inlineStr">
        <is>
          <t>other_publicities</t>
        </is>
      </c>
      <c r="F4460">
        <f>IFERROR(MATCH(A4460,Deals!$A$2:$A$843,0),"")</f>
        <v/>
      </c>
      <c r="G4460">
        <f>IF(F4460="",0,1)</f>
        <v/>
      </c>
      <c r="H4460" s="29">
        <f>IF(F4460="","",INDEX(Deals!$E$2:$E$843,F4460))</f>
        <v/>
      </c>
      <c r="I4460">
        <f>IF(F4460="","",INDEX(Deals!$D$2:$D$843,F4460))</f>
        <v/>
      </c>
      <c r="J4460">
        <f>IF(F4460="","",INT(H4460)-B4460)</f>
        <v/>
      </c>
      <c r="K4460">
        <f>IF(B4460&gt;=Settings!$C$5,1,0)</f>
        <v/>
      </c>
    </row>
    <row r="4461">
      <c r="A4461" t="inlineStr">
        <is>
          <t>7945ab49f6845e9dec8c9d8240a182df</t>
        </is>
      </c>
      <c r="B4461" s="29" t="n">
        <v>43211</v>
      </c>
      <c r="C4461" t="inlineStr">
        <is>
          <t>2018-04</t>
        </is>
      </c>
      <c r="D4461" t="inlineStr">
        <is>
          <t>22c29808c4f815213303f8933030604c</t>
        </is>
      </c>
      <c r="E4461" t="inlineStr">
        <is>
          <t>paid_search</t>
        </is>
      </c>
      <c r="F4461">
        <f>IFERROR(MATCH(A4461,Deals!$A$2:$A$843,0),"")</f>
        <v/>
      </c>
      <c r="G4461">
        <f>IF(F4461="",0,1)</f>
        <v/>
      </c>
      <c r="H4461" s="29">
        <f>IF(F4461="","",INDEX(Deals!$E$2:$E$843,F4461))</f>
        <v/>
      </c>
      <c r="I4461">
        <f>IF(F4461="","",INDEX(Deals!$D$2:$D$843,F4461))</f>
        <v/>
      </c>
      <c r="J4461">
        <f>IF(F4461="","",INT(H4461)-B4461)</f>
        <v/>
      </c>
      <c r="K4461">
        <f>IF(B4461&gt;=Settings!$C$5,1,0)</f>
        <v/>
      </c>
    </row>
    <row r="4462">
      <c r="A4462" t="inlineStr">
        <is>
          <t>4b5dbba9871f88ef7386c26093eaf92a</t>
        </is>
      </c>
      <c r="B4462" s="29" t="n">
        <v>43163</v>
      </c>
      <c r="C4462" t="inlineStr">
        <is>
          <t>2018-03</t>
        </is>
      </c>
      <c r="D4462" t="inlineStr">
        <is>
          <t>b6cd08ac77c501fd6857f7916d2c24f3</t>
        </is>
      </c>
      <c r="E4462" t="inlineStr">
        <is>
          <t>direct_traffic</t>
        </is>
      </c>
      <c r="F4462">
        <f>IFERROR(MATCH(A4462,Deals!$A$2:$A$843,0),"")</f>
        <v/>
      </c>
      <c r="G4462">
        <f>IF(F4462="",0,1)</f>
        <v/>
      </c>
      <c r="H4462" s="29">
        <f>IF(F4462="","",INDEX(Deals!$E$2:$E$843,F4462))</f>
        <v/>
      </c>
      <c r="I4462">
        <f>IF(F4462="","",INDEX(Deals!$D$2:$D$843,F4462))</f>
        <v/>
      </c>
      <c r="J4462">
        <f>IF(F4462="","",INT(H4462)-B4462)</f>
        <v/>
      </c>
      <c r="K4462">
        <f>IF(B4462&gt;=Settings!$C$5,1,0)</f>
        <v/>
      </c>
    </row>
    <row r="4463">
      <c r="A4463" t="inlineStr">
        <is>
          <t>04ecc73f538bcc74df709fe9281e08b8</t>
        </is>
      </c>
      <c r="B4463" s="29" t="n">
        <v>43158</v>
      </c>
      <c r="C4463" t="inlineStr">
        <is>
          <t>2018-02</t>
        </is>
      </c>
      <c r="D4463" t="inlineStr">
        <is>
          <t>22c29808c4f815213303f8933030604c</t>
        </is>
      </c>
      <c r="E4463" t="inlineStr">
        <is>
          <t>organic_search</t>
        </is>
      </c>
      <c r="F4463">
        <f>IFERROR(MATCH(A4463,Deals!$A$2:$A$843,0),"")</f>
        <v/>
      </c>
      <c r="G4463">
        <f>IF(F4463="",0,1)</f>
        <v/>
      </c>
      <c r="H4463" s="29">
        <f>IF(F4463="","",INDEX(Deals!$E$2:$E$843,F4463))</f>
        <v/>
      </c>
      <c r="I4463">
        <f>IF(F4463="","",INDEX(Deals!$D$2:$D$843,F4463))</f>
        <v/>
      </c>
      <c r="J4463">
        <f>IF(F4463="","",INT(H4463)-B4463)</f>
        <v/>
      </c>
      <c r="K4463">
        <f>IF(B4463&gt;=Settings!$C$5,1,0)</f>
        <v/>
      </c>
    </row>
    <row r="4464">
      <c r="A4464" t="inlineStr">
        <is>
          <t>7fd23d812013ce3b530b821d855bccbf</t>
        </is>
      </c>
      <c r="B4464" s="29" t="n">
        <v>43101</v>
      </c>
      <c r="C4464" t="inlineStr">
        <is>
          <t>2018-01</t>
        </is>
      </c>
      <c r="D4464" t="inlineStr">
        <is>
          <t>d83b0d0e48c8447d1d5507a44027a955</t>
        </is>
      </c>
      <c r="E4464" t="inlineStr">
        <is>
          <t>organic_search</t>
        </is>
      </c>
      <c r="F4464">
        <f>IFERROR(MATCH(A4464,Deals!$A$2:$A$843,0),"")</f>
        <v/>
      </c>
      <c r="G4464">
        <f>IF(F4464="",0,1)</f>
        <v/>
      </c>
      <c r="H4464" s="29">
        <f>IF(F4464="","",INDEX(Deals!$E$2:$E$843,F4464))</f>
        <v/>
      </c>
      <c r="I4464">
        <f>IF(F4464="","",INDEX(Deals!$D$2:$D$843,F4464))</f>
        <v/>
      </c>
      <c r="J4464">
        <f>IF(F4464="","",INT(H4464)-B4464)</f>
        <v/>
      </c>
      <c r="K4464">
        <f>IF(B4464&gt;=Settings!$C$5,1,0)</f>
        <v/>
      </c>
    </row>
    <row r="4465">
      <c r="A4465" t="inlineStr">
        <is>
          <t>766b8260680f75badcb4665177affcc9</t>
        </is>
      </c>
      <c r="B4465" s="29" t="n">
        <v>43115</v>
      </c>
      <c r="C4465" t="inlineStr">
        <is>
          <t>2018-01</t>
        </is>
      </c>
      <c r="D4465" t="inlineStr">
        <is>
          <t>c6f28f804cf6330e6de735ef6e6fe95c</t>
        </is>
      </c>
      <c r="E4465" t="inlineStr">
        <is>
          <t>organic_search</t>
        </is>
      </c>
      <c r="F4465">
        <f>IFERROR(MATCH(A4465,Deals!$A$2:$A$843,0),"")</f>
        <v/>
      </c>
      <c r="G4465">
        <f>IF(F4465="",0,1)</f>
        <v/>
      </c>
      <c r="H4465" s="29">
        <f>IF(F4465="","",INDEX(Deals!$E$2:$E$843,F4465))</f>
        <v/>
      </c>
      <c r="I4465">
        <f>IF(F4465="","",INDEX(Deals!$D$2:$D$843,F4465))</f>
        <v/>
      </c>
      <c r="J4465">
        <f>IF(F4465="","",INT(H4465)-B4465)</f>
        <v/>
      </c>
      <c r="K4465">
        <f>IF(B4465&gt;=Settings!$C$5,1,0)</f>
        <v/>
      </c>
    </row>
    <row r="4466">
      <c r="A4466" t="inlineStr">
        <is>
          <t>d9004bc5310a8ce84f02ff8049792f92</t>
        </is>
      </c>
      <c r="B4466" s="29" t="n">
        <v>43125</v>
      </c>
      <c r="C4466" t="inlineStr">
        <is>
          <t>2018-01</t>
        </is>
      </c>
      <c r="D4466" t="inlineStr">
        <is>
          <t>22c29808c4f815213303f8933030604c</t>
        </is>
      </c>
      <c r="E4466" t="inlineStr">
        <is>
          <t>other</t>
        </is>
      </c>
      <c r="F4466">
        <f>IFERROR(MATCH(A4466,Deals!$A$2:$A$843,0),"")</f>
        <v/>
      </c>
      <c r="G4466">
        <f>IF(F4466="",0,1)</f>
        <v/>
      </c>
      <c r="H4466" s="29">
        <f>IF(F4466="","",INDEX(Deals!$E$2:$E$843,F4466))</f>
        <v/>
      </c>
      <c r="I4466">
        <f>IF(F4466="","",INDEX(Deals!$D$2:$D$843,F4466))</f>
        <v/>
      </c>
      <c r="J4466">
        <f>IF(F4466="","",INT(H4466)-B4466)</f>
        <v/>
      </c>
      <c r="K4466">
        <f>IF(B4466&gt;=Settings!$C$5,1,0)</f>
        <v/>
      </c>
    </row>
    <row r="4467">
      <c r="A4467" t="inlineStr">
        <is>
          <t>b380daa278888a81d3a803e941b93dd4</t>
        </is>
      </c>
      <c r="B4467" s="29" t="n">
        <v>43232</v>
      </c>
      <c r="C4467" t="inlineStr">
        <is>
          <t>2018-05</t>
        </is>
      </c>
      <c r="D4467" t="inlineStr">
        <is>
          <t>f017be4dbf86243af5c1ebed0cff36a2</t>
        </is>
      </c>
      <c r="E4467" t="inlineStr">
        <is>
          <t>organic_search</t>
        </is>
      </c>
      <c r="F4467">
        <f>IFERROR(MATCH(A4467,Deals!$A$2:$A$843,0),"")</f>
        <v/>
      </c>
      <c r="G4467">
        <f>IF(F4467="",0,1)</f>
        <v/>
      </c>
      <c r="H4467" s="29">
        <f>IF(F4467="","",INDEX(Deals!$E$2:$E$843,F4467))</f>
        <v/>
      </c>
      <c r="I4467">
        <f>IF(F4467="","",INDEX(Deals!$D$2:$D$843,F4467))</f>
        <v/>
      </c>
      <c r="J4467">
        <f>IF(F4467="","",INT(H4467)-B4467)</f>
        <v/>
      </c>
      <c r="K4467">
        <f>IF(B4467&gt;=Settings!$C$5,1,0)</f>
        <v/>
      </c>
    </row>
    <row r="4468">
      <c r="A4468" t="inlineStr">
        <is>
          <t>9e7dc95c541eb2d8bf26affe1089821f</t>
        </is>
      </c>
      <c r="B4468" s="29" t="n">
        <v>43214</v>
      </c>
      <c r="C4468" t="inlineStr">
        <is>
          <t>2018-04</t>
        </is>
      </c>
      <c r="D4468" t="inlineStr">
        <is>
          <t>ce1a65abd0973638f1c887a6efcfa82d</t>
        </is>
      </c>
      <c r="E4468" t="inlineStr">
        <is>
          <t>organic_search</t>
        </is>
      </c>
      <c r="F4468">
        <f>IFERROR(MATCH(A4468,Deals!$A$2:$A$843,0),"")</f>
        <v/>
      </c>
      <c r="G4468">
        <f>IF(F4468="",0,1)</f>
        <v/>
      </c>
      <c r="H4468" s="29">
        <f>IF(F4468="","",INDEX(Deals!$E$2:$E$843,F4468))</f>
        <v/>
      </c>
      <c r="I4468">
        <f>IF(F4468="","",INDEX(Deals!$D$2:$D$843,F4468))</f>
        <v/>
      </c>
      <c r="J4468">
        <f>IF(F4468="","",INT(H4468)-B4468)</f>
        <v/>
      </c>
      <c r="K4468">
        <f>IF(B4468&gt;=Settings!$C$5,1,0)</f>
        <v/>
      </c>
    </row>
    <row r="4469">
      <c r="A4469" t="inlineStr">
        <is>
          <t>fca7ac68a9bcfe7ec3a017257471f198</t>
        </is>
      </c>
      <c r="B4469" s="29" t="n">
        <v>43151</v>
      </c>
      <c r="C4469" t="inlineStr">
        <is>
          <t>2018-02</t>
        </is>
      </c>
      <c r="D4469" t="inlineStr">
        <is>
          <t>40dec9f3d5259a3d2dbcdab2114fae47</t>
        </is>
      </c>
      <c r="E4469" t="inlineStr">
        <is>
          <t>paid_search</t>
        </is>
      </c>
      <c r="F4469">
        <f>IFERROR(MATCH(A4469,Deals!$A$2:$A$843,0),"")</f>
        <v/>
      </c>
      <c r="G4469">
        <f>IF(F4469="",0,1)</f>
        <v/>
      </c>
      <c r="H4469" s="29">
        <f>IF(F4469="","",INDEX(Deals!$E$2:$E$843,F4469))</f>
        <v/>
      </c>
      <c r="I4469">
        <f>IF(F4469="","",INDEX(Deals!$D$2:$D$843,F4469))</f>
        <v/>
      </c>
      <c r="J4469">
        <f>IF(F4469="","",INT(H4469)-B4469)</f>
        <v/>
      </c>
      <c r="K4469">
        <f>IF(B4469&gt;=Settings!$C$5,1,0)</f>
        <v/>
      </c>
    </row>
    <row r="4470">
      <c r="A4470" t="inlineStr">
        <is>
          <t>3bedcf261a8ed93b45aee274277861b2</t>
        </is>
      </c>
      <c r="B4470" s="29" t="n">
        <v>43111</v>
      </c>
      <c r="C4470" t="inlineStr">
        <is>
          <t>2018-01</t>
        </is>
      </c>
      <c r="D4470" t="inlineStr">
        <is>
          <t>ce1a65abd0973638f1c887a6efcfa82d</t>
        </is>
      </c>
      <c r="E4470" t="inlineStr">
        <is>
          <t>organic_search</t>
        </is>
      </c>
      <c r="F4470">
        <f>IFERROR(MATCH(A4470,Deals!$A$2:$A$843,0),"")</f>
        <v/>
      </c>
      <c r="G4470">
        <f>IF(F4470="",0,1)</f>
        <v/>
      </c>
      <c r="H4470" s="29">
        <f>IF(F4470="","",INDEX(Deals!$E$2:$E$843,F4470))</f>
        <v/>
      </c>
      <c r="I4470">
        <f>IF(F4470="","",INDEX(Deals!$D$2:$D$843,F4470))</f>
        <v/>
      </c>
      <c r="J4470">
        <f>IF(F4470="","",INT(H4470)-B4470)</f>
        <v/>
      </c>
      <c r="K4470">
        <f>IF(B4470&gt;=Settings!$C$5,1,0)</f>
        <v/>
      </c>
    </row>
    <row r="4471">
      <c r="A4471" t="inlineStr">
        <is>
          <t>7155eaa13b3893b816315471556dae55</t>
        </is>
      </c>
      <c r="B4471" s="29" t="n">
        <v>43131</v>
      </c>
      <c r="C4471" t="inlineStr">
        <is>
          <t>2018-01</t>
        </is>
      </c>
      <c r="D4471" t="inlineStr">
        <is>
          <t>b76ef37428e6799c421989521c0e5077</t>
        </is>
      </c>
      <c r="E4471" t="inlineStr">
        <is>
          <t>social</t>
        </is>
      </c>
      <c r="F4471">
        <f>IFERROR(MATCH(A4471,Deals!$A$2:$A$843,0),"")</f>
        <v/>
      </c>
      <c r="G4471">
        <f>IF(F4471="",0,1)</f>
        <v/>
      </c>
      <c r="H4471" s="29">
        <f>IF(F4471="","",INDEX(Deals!$E$2:$E$843,F4471))</f>
        <v/>
      </c>
      <c r="I4471">
        <f>IF(F4471="","",INDEX(Deals!$D$2:$D$843,F4471))</f>
        <v/>
      </c>
      <c r="J4471">
        <f>IF(F4471="","",INT(H4471)-B4471)</f>
        <v/>
      </c>
      <c r="K4471">
        <f>IF(B4471&gt;=Settings!$C$5,1,0)</f>
        <v/>
      </c>
    </row>
    <row r="4472">
      <c r="A4472" t="inlineStr">
        <is>
          <t>7cfc37ec1434434ea9e2c926984fd996</t>
        </is>
      </c>
      <c r="B4472" s="29" t="n">
        <v>43134</v>
      </c>
      <c r="C4472" t="inlineStr">
        <is>
          <t>2018-02</t>
        </is>
      </c>
      <c r="D4472" t="inlineStr">
        <is>
          <t>22c29808c4f815213303f8933030604c</t>
        </is>
      </c>
      <c r="E4472" t="inlineStr">
        <is>
          <t>direct_traffic</t>
        </is>
      </c>
      <c r="F4472">
        <f>IFERROR(MATCH(A4472,Deals!$A$2:$A$843,0),"")</f>
        <v/>
      </c>
      <c r="G4472">
        <f>IF(F4472="",0,1)</f>
        <v/>
      </c>
      <c r="H4472" s="29">
        <f>IF(F4472="","",INDEX(Deals!$E$2:$E$843,F4472))</f>
        <v/>
      </c>
      <c r="I4472">
        <f>IF(F4472="","",INDEX(Deals!$D$2:$D$843,F4472))</f>
        <v/>
      </c>
      <c r="J4472">
        <f>IF(F4472="","",INT(H4472)-B4472)</f>
        <v/>
      </c>
      <c r="K4472">
        <f>IF(B4472&gt;=Settings!$C$5,1,0)</f>
        <v/>
      </c>
    </row>
    <row r="4473">
      <c r="A4473" t="inlineStr">
        <is>
          <t>dfe55b7e653dffe936a78a08bbe0af8e</t>
        </is>
      </c>
      <c r="B4473" s="29" t="n">
        <v>42986</v>
      </c>
      <c r="C4473" t="inlineStr">
        <is>
          <t>2017-09</t>
        </is>
      </c>
      <c r="D4473" t="inlineStr">
        <is>
          <t>87732658ba41d8775e8577df347a64db</t>
        </is>
      </c>
      <c r="E4473" t="inlineStr">
        <is>
          <t>social</t>
        </is>
      </c>
      <c r="F4473">
        <f>IFERROR(MATCH(A4473,Deals!$A$2:$A$843,0),"")</f>
        <v/>
      </c>
      <c r="G4473">
        <f>IF(F4473="",0,1)</f>
        <v/>
      </c>
      <c r="H4473" s="29">
        <f>IF(F4473="","",INDEX(Deals!$E$2:$E$843,F4473))</f>
        <v/>
      </c>
      <c r="I4473">
        <f>IF(F4473="","",INDEX(Deals!$D$2:$D$843,F4473))</f>
        <v/>
      </c>
      <c r="J4473">
        <f>IF(F4473="","",INT(H4473)-B4473)</f>
        <v/>
      </c>
      <c r="K4473">
        <f>IF(B4473&gt;=Settings!$C$5,1,0)</f>
        <v/>
      </c>
    </row>
    <row r="4474">
      <c r="A4474" t="inlineStr">
        <is>
          <t>b900a5f2bb1f01b0351c8c30e49a2b86</t>
        </is>
      </c>
      <c r="B4474" s="29" t="n">
        <v>43220</v>
      </c>
      <c r="C4474" t="inlineStr">
        <is>
          <t>2018-04</t>
        </is>
      </c>
      <c r="D4474" t="inlineStr">
        <is>
          <t>b76ef37428e6799c421989521c0e5077</t>
        </is>
      </c>
      <c r="E4474" t="inlineStr">
        <is>
          <t>organic_search</t>
        </is>
      </c>
      <c r="F4474">
        <f>IFERROR(MATCH(A4474,Deals!$A$2:$A$843,0),"")</f>
        <v/>
      </c>
      <c r="G4474">
        <f>IF(F4474="",0,1)</f>
        <v/>
      </c>
      <c r="H4474" s="29">
        <f>IF(F4474="","",INDEX(Deals!$E$2:$E$843,F4474))</f>
        <v/>
      </c>
      <c r="I4474">
        <f>IF(F4474="","",INDEX(Deals!$D$2:$D$843,F4474))</f>
        <v/>
      </c>
      <c r="J4474">
        <f>IF(F4474="","",INT(H4474)-B4474)</f>
        <v/>
      </c>
      <c r="K4474">
        <f>IF(B4474&gt;=Settings!$C$5,1,0)</f>
        <v/>
      </c>
    </row>
    <row r="4475">
      <c r="A4475" t="inlineStr">
        <is>
          <t>fc4e8fea154ecc9141c9fbedc9a1eea0</t>
        </is>
      </c>
      <c r="B4475" s="29" t="n">
        <v>43154</v>
      </c>
      <c r="C4475" t="inlineStr">
        <is>
          <t>2018-02</t>
        </is>
      </c>
      <c r="D4475" t="inlineStr">
        <is>
          <t>4e82dd1f6d00626bda0723eef0a269a6</t>
        </is>
      </c>
      <c r="E4475" t="inlineStr">
        <is>
          <t>referral</t>
        </is>
      </c>
      <c r="F4475">
        <f>IFERROR(MATCH(A4475,Deals!$A$2:$A$843,0),"")</f>
        <v/>
      </c>
      <c r="G4475">
        <f>IF(F4475="",0,1)</f>
        <v/>
      </c>
      <c r="H4475" s="29">
        <f>IF(F4475="","",INDEX(Deals!$E$2:$E$843,F4475))</f>
        <v/>
      </c>
      <c r="I4475">
        <f>IF(F4475="","",INDEX(Deals!$D$2:$D$843,F4475))</f>
        <v/>
      </c>
      <c r="J4475">
        <f>IF(F4475="","",INT(H4475)-B4475)</f>
        <v/>
      </c>
      <c r="K4475">
        <f>IF(B4475&gt;=Settings!$C$5,1,0)</f>
        <v/>
      </c>
    </row>
    <row r="4476">
      <c r="A4476" t="inlineStr">
        <is>
          <t>52c79818b1929f24043e21b5c238eb7d</t>
        </is>
      </c>
      <c r="B4476" s="29" t="n">
        <v>43191</v>
      </c>
      <c r="C4476" t="inlineStr">
        <is>
          <t>2018-04</t>
        </is>
      </c>
      <c r="D4476" t="inlineStr">
        <is>
          <t>65d9f9d71e562365e8b44037c2888d98</t>
        </is>
      </c>
      <c r="E4476" t="inlineStr">
        <is>
          <t>paid_search</t>
        </is>
      </c>
      <c r="F4476">
        <f>IFERROR(MATCH(A4476,Deals!$A$2:$A$843,0),"")</f>
        <v/>
      </c>
      <c r="G4476">
        <f>IF(F4476="",0,1)</f>
        <v/>
      </c>
      <c r="H4476" s="29">
        <f>IF(F4476="","",INDEX(Deals!$E$2:$E$843,F4476))</f>
        <v/>
      </c>
      <c r="I4476">
        <f>IF(F4476="","",INDEX(Deals!$D$2:$D$843,F4476))</f>
        <v/>
      </c>
      <c r="J4476">
        <f>IF(F4476="","",INT(H4476)-B4476)</f>
        <v/>
      </c>
      <c r="K4476">
        <f>IF(B4476&gt;=Settings!$C$5,1,0)</f>
        <v/>
      </c>
    </row>
    <row r="4477">
      <c r="A4477" t="inlineStr">
        <is>
          <t>20bf15daea22c05f7a212b9883b90376</t>
        </is>
      </c>
      <c r="B4477" s="29" t="n">
        <v>43130</v>
      </c>
      <c r="C4477" t="inlineStr">
        <is>
          <t>2018-01</t>
        </is>
      </c>
      <c r="D4477" t="inlineStr">
        <is>
          <t>73f31a40697cc90a86c1273563ac230e</t>
        </is>
      </c>
      <c r="E4477" t="inlineStr">
        <is>
          <t>email</t>
        </is>
      </c>
      <c r="F4477">
        <f>IFERROR(MATCH(A4477,Deals!$A$2:$A$843,0),"")</f>
        <v/>
      </c>
      <c r="G4477">
        <f>IF(F4477="",0,1)</f>
        <v/>
      </c>
      <c r="H4477" s="29">
        <f>IF(F4477="","",INDEX(Deals!$E$2:$E$843,F4477))</f>
        <v/>
      </c>
      <c r="I4477">
        <f>IF(F4477="","",INDEX(Deals!$D$2:$D$843,F4477))</f>
        <v/>
      </c>
      <c r="J4477">
        <f>IF(F4477="","",INT(H4477)-B4477)</f>
        <v/>
      </c>
      <c r="K4477">
        <f>IF(B4477&gt;=Settings!$C$5,1,0)</f>
        <v/>
      </c>
    </row>
    <row r="4478">
      <c r="A4478" t="inlineStr">
        <is>
          <t>c5c242ec74572352e18cd97e2db983ea</t>
        </is>
      </c>
      <c r="B4478" s="29" t="n">
        <v>43151</v>
      </c>
      <c r="C4478" t="inlineStr">
        <is>
          <t>2018-02</t>
        </is>
      </c>
      <c r="D4478" t="inlineStr">
        <is>
          <t>f017be4dbf86243af5c1ebed0cff36a2</t>
        </is>
      </c>
      <c r="E4478" t="inlineStr">
        <is>
          <t>unknown</t>
        </is>
      </c>
      <c r="F4478">
        <f>IFERROR(MATCH(A4478,Deals!$A$2:$A$843,0),"")</f>
        <v/>
      </c>
      <c r="G4478">
        <f>IF(F4478="",0,1)</f>
        <v/>
      </c>
      <c r="H4478" s="29">
        <f>IF(F4478="","",INDEX(Deals!$E$2:$E$843,F4478))</f>
        <v/>
      </c>
      <c r="I4478">
        <f>IF(F4478="","",INDEX(Deals!$D$2:$D$843,F4478))</f>
        <v/>
      </c>
      <c r="J4478">
        <f>IF(F4478="","",INT(H4478)-B4478)</f>
        <v/>
      </c>
      <c r="K4478">
        <f>IF(B4478&gt;=Settings!$C$5,1,0)</f>
        <v/>
      </c>
    </row>
    <row r="4479">
      <c r="A4479" t="inlineStr">
        <is>
          <t>1cc27fcb2c4f78845486607056ac1e05</t>
        </is>
      </c>
      <c r="B4479" s="29" t="n">
        <v>43185</v>
      </c>
      <c r="C4479" t="inlineStr">
        <is>
          <t>2018-03</t>
        </is>
      </c>
      <c r="D4479" t="inlineStr">
        <is>
          <t>b2d69a58fe781b4a116be5368be17353</t>
        </is>
      </c>
      <c r="E4479" t="inlineStr">
        <is>
          <t>organic_search</t>
        </is>
      </c>
      <c r="F4479">
        <f>IFERROR(MATCH(A4479,Deals!$A$2:$A$843,0),"")</f>
        <v/>
      </c>
      <c r="G4479">
        <f>IF(F4479="",0,1)</f>
        <v/>
      </c>
      <c r="H4479" s="29">
        <f>IF(F4479="","",INDEX(Deals!$E$2:$E$843,F4479))</f>
        <v/>
      </c>
      <c r="I4479">
        <f>IF(F4479="","",INDEX(Deals!$D$2:$D$843,F4479))</f>
        <v/>
      </c>
      <c r="J4479">
        <f>IF(F4479="","",INT(H4479)-B4479)</f>
        <v/>
      </c>
      <c r="K4479">
        <f>IF(B4479&gt;=Settings!$C$5,1,0)</f>
        <v/>
      </c>
    </row>
    <row r="4480">
      <c r="A4480" t="inlineStr">
        <is>
          <t>8bf88c8b94582f3dc62dbd89f00c20b6</t>
        </is>
      </c>
      <c r="B4480" s="29" t="n">
        <v>43153</v>
      </c>
      <c r="C4480" t="inlineStr">
        <is>
          <t>2018-02</t>
        </is>
      </c>
      <c r="D4480" t="inlineStr">
        <is>
          <t>fbc24da54d531c6204ae2d17b1090bb1</t>
        </is>
      </c>
      <c r="E4480" t="inlineStr">
        <is>
          <t>paid_search</t>
        </is>
      </c>
      <c r="F4480">
        <f>IFERROR(MATCH(A4480,Deals!$A$2:$A$843,0),"")</f>
        <v/>
      </c>
      <c r="G4480">
        <f>IF(F4480="",0,1)</f>
        <v/>
      </c>
      <c r="H4480" s="29">
        <f>IF(F4480="","",INDEX(Deals!$E$2:$E$843,F4480))</f>
        <v/>
      </c>
      <c r="I4480">
        <f>IF(F4480="","",INDEX(Deals!$D$2:$D$843,F4480))</f>
        <v/>
      </c>
      <c r="J4480">
        <f>IF(F4480="","",INT(H4480)-B4480)</f>
        <v/>
      </c>
      <c r="K4480">
        <f>IF(B4480&gt;=Settings!$C$5,1,0)</f>
        <v/>
      </c>
    </row>
    <row r="4481">
      <c r="A4481" t="inlineStr">
        <is>
          <t>3df7396cd096a478643b671713de26fb</t>
        </is>
      </c>
      <c r="B4481" s="29" t="n">
        <v>43245</v>
      </c>
      <c r="C4481" t="inlineStr">
        <is>
          <t>2018-05</t>
        </is>
      </c>
      <c r="D4481" t="inlineStr">
        <is>
          <t>1ceb590cd1e00c7ee95220971f82693d</t>
        </is>
      </c>
      <c r="E4481" t="inlineStr">
        <is>
          <t>paid_search</t>
        </is>
      </c>
      <c r="F4481">
        <f>IFERROR(MATCH(A4481,Deals!$A$2:$A$843,0),"")</f>
        <v/>
      </c>
      <c r="G4481">
        <f>IF(F4481="",0,1)</f>
        <v/>
      </c>
      <c r="H4481" s="29">
        <f>IF(F4481="","",INDEX(Deals!$E$2:$E$843,F4481))</f>
        <v/>
      </c>
      <c r="I4481">
        <f>IF(F4481="","",INDEX(Deals!$D$2:$D$843,F4481))</f>
        <v/>
      </c>
      <c r="J4481">
        <f>IF(F4481="","",INT(H4481)-B4481)</f>
        <v/>
      </c>
      <c r="K4481">
        <f>IF(B4481&gt;=Settings!$C$5,1,0)</f>
        <v/>
      </c>
    </row>
    <row r="4482">
      <c r="A4482" t="inlineStr">
        <is>
          <t>6977ef734c71570520a63229a66bf63e</t>
        </is>
      </c>
      <c r="B4482" s="29" t="n">
        <v>43099</v>
      </c>
      <c r="C4482" t="inlineStr">
        <is>
          <t>2017-12</t>
        </is>
      </c>
      <c r="D4482" t="inlineStr">
        <is>
          <t>ce1a65abd0973638f1c887a6efcfa82d</t>
        </is>
      </c>
      <c r="E4482" t="inlineStr">
        <is>
          <t>organic_search</t>
        </is>
      </c>
      <c r="F4482">
        <f>IFERROR(MATCH(A4482,Deals!$A$2:$A$843,0),"")</f>
        <v/>
      </c>
      <c r="G4482">
        <f>IF(F4482="",0,1)</f>
        <v/>
      </c>
      <c r="H4482" s="29">
        <f>IF(F4482="","",INDEX(Deals!$E$2:$E$843,F4482))</f>
        <v/>
      </c>
      <c r="I4482">
        <f>IF(F4482="","",INDEX(Deals!$D$2:$D$843,F4482))</f>
        <v/>
      </c>
      <c r="J4482">
        <f>IF(F4482="","",INT(H4482)-B4482)</f>
        <v/>
      </c>
      <c r="K4482">
        <f>IF(B4482&gt;=Settings!$C$5,1,0)</f>
        <v/>
      </c>
    </row>
    <row r="4483">
      <c r="A4483" t="inlineStr">
        <is>
          <t>3a9aa4b8be741e21ba9f80b3c3684ce5</t>
        </is>
      </c>
      <c r="B4483" s="29" t="n">
        <v>42955</v>
      </c>
      <c r="C4483" t="inlineStr">
        <is>
          <t>2017-08</t>
        </is>
      </c>
      <c r="D4483" t="inlineStr">
        <is>
          <t>3cd2a8301d5395f21cdd3094c9eaa2f4</t>
        </is>
      </c>
      <c r="E4483" t="inlineStr">
        <is>
          <t>paid_search</t>
        </is>
      </c>
      <c r="F4483">
        <f>IFERROR(MATCH(A4483,Deals!$A$2:$A$843,0),"")</f>
        <v/>
      </c>
      <c r="G4483">
        <f>IF(F4483="",0,1)</f>
        <v/>
      </c>
      <c r="H4483" s="29">
        <f>IF(F4483="","",INDEX(Deals!$E$2:$E$843,F4483))</f>
        <v/>
      </c>
      <c r="I4483">
        <f>IF(F4483="","",INDEX(Deals!$D$2:$D$843,F4483))</f>
        <v/>
      </c>
      <c r="J4483">
        <f>IF(F4483="","",INT(H4483)-B4483)</f>
        <v/>
      </c>
      <c r="K4483">
        <f>IF(B4483&gt;=Settings!$C$5,1,0)</f>
        <v/>
      </c>
    </row>
    <row r="4484">
      <c r="A4484" t="inlineStr">
        <is>
          <t>217ced262d2d8c45bcda1cdce89bbeb5</t>
        </is>
      </c>
      <c r="B4484" s="29" t="n">
        <v>43238</v>
      </c>
      <c r="C4484" t="inlineStr">
        <is>
          <t>2018-05</t>
        </is>
      </c>
      <c r="D4484" t="inlineStr">
        <is>
          <t>58326e62183c14b0c03085c33b9fdc44</t>
        </is>
      </c>
      <c r="E4484" t="inlineStr">
        <is>
          <t>social</t>
        </is>
      </c>
      <c r="F4484">
        <f>IFERROR(MATCH(A4484,Deals!$A$2:$A$843,0),"")</f>
        <v/>
      </c>
      <c r="G4484">
        <f>IF(F4484="",0,1)</f>
        <v/>
      </c>
      <c r="H4484" s="29">
        <f>IF(F4484="","",INDEX(Deals!$E$2:$E$843,F4484))</f>
        <v/>
      </c>
      <c r="I4484">
        <f>IF(F4484="","",INDEX(Deals!$D$2:$D$843,F4484))</f>
        <v/>
      </c>
      <c r="J4484">
        <f>IF(F4484="","",INT(H4484)-B4484)</f>
        <v/>
      </c>
      <c r="K4484">
        <f>IF(B4484&gt;=Settings!$C$5,1,0)</f>
        <v/>
      </c>
    </row>
    <row r="4485">
      <c r="A4485" t="inlineStr">
        <is>
          <t>677f48b868739f85b47ef6ff20996487</t>
        </is>
      </c>
      <c r="B4485" s="29" t="n">
        <v>43248</v>
      </c>
      <c r="C4485" t="inlineStr">
        <is>
          <t>2018-05</t>
        </is>
      </c>
      <c r="D4485" t="inlineStr">
        <is>
          <t>a0fbc0263cb98bdb0d72b9f9f283a172</t>
        </is>
      </c>
      <c r="E4485" t="inlineStr">
        <is>
          <t>paid_search</t>
        </is>
      </c>
      <c r="F4485">
        <f>IFERROR(MATCH(A4485,Deals!$A$2:$A$843,0),"")</f>
        <v/>
      </c>
      <c r="G4485">
        <f>IF(F4485="",0,1)</f>
        <v/>
      </c>
      <c r="H4485" s="29">
        <f>IF(F4485="","",INDEX(Deals!$E$2:$E$843,F4485))</f>
        <v/>
      </c>
      <c r="I4485">
        <f>IF(F4485="","",INDEX(Deals!$D$2:$D$843,F4485))</f>
        <v/>
      </c>
      <c r="J4485">
        <f>IF(F4485="","",INT(H4485)-B4485)</f>
        <v/>
      </c>
      <c r="K4485">
        <f>IF(B4485&gt;=Settings!$C$5,1,0)</f>
        <v/>
      </c>
    </row>
    <row r="4486">
      <c r="A4486" t="inlineStr">
        <is>
          <t>dfe9e18ded4239b8f21081ad7e88cfea</t>
        </is>
      </c>
      <c r="B4486" s="29" t="n">
        <v>43222</v>
      </c>
      <c r="C4486" t="inlineStr">
        <is>
          <t>2018-05</t>
        </is>
      </c>
      <c r="D4486" t="inlineStr">
        <is>
          <t>58326e62183c14b0c03085c33b9fdc44</t>
        </is>
      </c>
      <c r="E4486" t="inlineStr">
        <is>
          <t>social</t>
        </is>
      </c>
      <c r="F4486">
        <f>IFERROR(MATCH(A4486,Deals!$A$2:$A$843,0),"")</f>
        <v/>
      </c>
      <c r="G4486">
        <f>IF(F4486="",0,1)</f>
        <v/>
      </c>
      <c r="H4486" s="29">
        <f>IF(F4486="","",INDEX(Deals!$E$2:$E$843,F4486))</f>
        <v/>
      </c>
      <c r="I4486">
        <f>IF(F4486="","",INDEX(Deals!$D$2:$D$843,F4486))</f>
        <v/>
      </c>
      <c r="J4486">
        <f>IF(F4486="","",INT(H4486)-B4486)</f>
        <v/>
      </c>
      <c r="K4486">
        <f>IF(B4486&gt;=Settings!$C$5,1,0)</f>
        <v/>
      </c>
    </row>
    <row r="4487">
      <c r="A4487" t="inlineStr">
        <is>
          <t>ab4ac6732cd2448b9fbf36555a896983</t>
        </is>
      </c>
      <c r="B4487" s="29" t="n">
        <v>43130</v>
      </c>
      <c r="C4487" t="inlineStr">
        <is>
          <t>2018-01</t>
        </is>
      </c>
      <c r="D4487" t="inlineStr">
        <is>
          <t>22c29808c4f815213303f8933030604c</t>
        </is>
      </c>
      <c r="E4487" t="inlineStr">
        <is>
          <t>organic_search</t>
        </is>
      </c>
      <c r="F4487">
        <f>IFERROR(MATCH(A4487,Deals!$A$2:$A$843,0),"")</f>
        <v/>
      </c>
      <c r="G4487">
        <f>IF(F4487="",0,1)</f>
        <v/>
      </c>
      <c r="H4487" s="29">
        <f>IF(F4487="","",INDEX(Deals!$E$2:$E$843,F4487))</f>
        <v/>
      </c>
      <c r="I4487">
        <f>IF(F4487="","",INDEX(Deals!$D$2:$D$843,F4487))</f>
        <v/>
      </c>
      <c r="J4487">
        <f>IF(F4487="","",INT(H4487)-B4487)</f>
        <v/>
      </c>
      <c r="K4487">
        <f>IF(B4487&gt;=Settings!$C$5,1,0)</f>
        <v/>
      </c>
    </row>
    <row r="4488">
      <c r="A4488" t="inlineStr">
        <is>
          <t>65b03949d3939d49c8caf082faed86b4</t>
        </is>
      </c>
      <c r="B4488" s="29" t="n">
        <v>43105</v>
      </c>
      <c r="C4488" t="inlineStr">
        <is>
          <t>2018-01</t>
        </is>
      </c>
      <c r="D4488" t="inlineStr">
        <is>
          <t>b6885f18d203a61176418c1fb3764815</t>
        </is>
      </c>
      <c r="E4488" t="inlineStr">
        <is>
          <t>organic_search</t>
        </is>
      </c>
      <c r="F4488">
        <f>IFERROR(MATCH(A4488,Deals!$A$2:$A$843,0),"")</f>
        <v/>
      </c>
      <c r="G4488">
        <f>IF(F4488="",0,1)</f>
        <v/>
      </c>
      <c r="H4488" s="29">
        <f>IF(F4488="","",INDEX(Deals!$E$2:$E$843,F4488))</f>
        <v/>
      </c>
      <c r="I4488">
        <f>IF(F4488="","",INDEX(Deals!$D$2:$D$843,F4488))</f>
        <v/>
      </c>
      <c r="J4488">
        <f>IF(F4488="","",INT(H4488)-B4488)</f>
        <v/>
      </c>
      <c r="K4488">
        <f>IF(B4488&gt;=Settings!$C$5,1,0)</f>
        <v/>
      </c>
    </row>
    <row r="4489">
      <c r="A4489" t="inlineStr">
        <is>
          <t>25d1c6898db37060c918aa29c1d7bd72</t>
        </is>
      </c>
      <c r="B4489" s="29" t="n">
        <v>43217</v>
      </c>
      <c r="C4489" t="inlineStr">
        <is>
          <t>2018-04</t>
        </is>
      </c>
      <c r="D4489" t="inlineStr">
        <is>
          <t>58326e62183c14b0c03085c33b9fdc44</t>
        </is>
      </c>
      <c r="E4489" t="inlineStr">
        <is>
          <t>social</t>
        </is>
      </c>
      <c r="F4489">
        <f>IFERROR(MATCH(A4489,Deals!$A$2:$A$843,0),"")</f>
        <v/>
      </c>
      <c r="G4489">
        <f>IF(F4489="",0,1)</f>
        <v/>
      </c>
      <c r="H4489" s="29">
        <f>IF(F4489="","",INDEX(Deals!$E$2:$E$843,F4489))</f>
        <v/>
      </c>
      <c r="I4489">
        <f>IF(F4489="","",INDEX(Deals!$D$2:$D$843,F4489))</f>
        <v/>
      </c>
      <c r="J4489">
        <f>IF(F4489="","",INT(H4489)-B4489)</f>
        <v/>
      </c>
      <c r="K4489">
        <f>IF(B4489&gt;=Settings!$C$5,1,0)</f>
        <v/>
      </c>
    </row>
    <row r="4490">
      <c r="A4490" t="inlineStr">
        <is>
          <t>f297b6d8f7d2fc4548282b09b8a0294a</t>
        </is>
      </c>
      <c r="B4490" s="29" t="n">
        <v>43147</v>
      </c>
      <c r="C4490" t="inlineStr">
        <is>
          <t>2018-02</t>
        </is>
      </c>
      <c r="D4490" t="inlineStr">
        <is>
          <t>c0fa54bbdd331f215aa84b4dd86d7255</t>
        </is>
      </c>
      <c r="E4490" t="inlineStr">
        <is>
          <t>direct_traffic</t>
        </is>
      </c>
      <c r="F4490">
        <f>IFERROR(MATCH(A4490,Deals!$A$2:$A$843,0),"")</f>
        <v/>
      </c>
      <c r="G4490">
        <f>IF(F4490="",0,1)</f>
        <v/>
      </c>
      <c r="H4490" s="29">
        <f>IF(F4490="","",INDEX(Deals!$E$2:$E$843,F4490))</f>
        <v/>
      </c>
      <c r="I4490">
        <f>IF(F4490="","",INDEX(Deals!$D$2:$D$843,F4490))</f>
        <v/>
      </c>
      <c r="J4490">
        <f>IF(F4490="","",INT(H4490)-B4490)</f>
        <v/>
      </c>
      <c r="K4490">
        <f>IF(B4490&gt;=Settings!$C$5,1,0)</f>
        <v/>
      </c>
    </row>
    <row r="4491">
      <c r="A4491" t="inlineStr">
        <is>
          <t>2a0a1ce251866140a002ef0a7bd8c690</t>
        </is>
      </c>
      <c r="B4491" s="29" t="n">
        <v>43041</v>
      </c>
      <c r="C4491" t="inlineStr">
        <is>
          <t>2017-11</t>
        </is>
      </c>
      <c r="D4491" t="inlineStr">
        <is>
          <t>88740e65d5d6b056e0cda098e1ea6313</t>
        </is>
      </c>
      <c r="E4491" t="inlineStr">
        <is>
          <t>social</t>
        </is>
      </c>
      <c r="F4491">
        <f>IFERROR(MATCH(A4491,Deals!$A$2:$A$843,0),"")</f>
        <v/>
      </c>
      <c r="G4491">
        <f>IF(F4491="",0,1)</f>
        <v/>
      </c>
      <c r="H4491" s="29">
        <f>IF(F4491="","",INDEX(Deals!$E$2:$E$843,F4491))</f>
        <v/>
      </c>
      <c r="I4491">
        <f>IF(F4491="","",INDEX(Deals!$D$2:$D$843,F4491))</f>
        <v/>
      </c>
      <c r="J4491">
        <f>IF(F4491="","",INT(H4491)-B4491)</f>
        <v/>
      </c>
      <c r="K4491">
        <f>IF(B4491&gt;=Settings!$C$5,1,0)</f>
        <v/>
      </c>
    </row>
    <row r="4492">
      <c r="A4492" t="inlineStr">
        <is>
          <t>c1de6a38b02d9b0e2014dfdf0c2eb56d</t>
        </is>
      </c>
      <c r="B4492" s="29" t="n">
        <v>43103</v>
      </c>
      <c r="C4492" t="inlineStr">
        <is>
          <t>2018-01</t>
        </is>
      </c>
      <c r="D4492" t="inlineStr">
        <is>
          <t>5209e2e679d32a6619feb6942702fd14</t>
        </is>
      </c>
      <c r="E4492" t="inlineStr">
        <is>
          <t>organic_search</t>
        </is>
      </c>
      <c r="F4492">
        <f>IFERROR(MATCH(A4492,Deals!$A$2:$A$843,0),"")</f>
        <v/>
      </c>
      <c r="G4492">
        <f>IF(F4492="",0,1)</f>
        <v/>
      </c>
      <c r="H4492" s="29">
        <f>IF(F4492="","",INDEX(Deals!$E$2:$E$843,F4492))</f>
        <v/>
      </c>
      <c r="I4492">
        <f>IF(F4492="","",INDEX(Deals!$D$2:$D$843,F4492))</f>
        <v/>
      </c>
      <c r="J4492">
        <f>IF(F4492="","",INT(H4492)-B4492)</f>
        <v/>
      </c>
      <c r="K4492">
        <f>IF(B4492&gt;=Settings!$C$5,1,0)</f>
        <v/>
      </c>
    </row>
    <row r="4493">
      <c r="A4493" t="inlineStr">
        <is>
          <t>5bfcc918b4ac11cfd8c4a49e73bfa882</t>
        </is>
      </c>
      <c r="B4493" s="29" t="n">
        <v>42950</v>
      </c>
      <c r="C4493" t="inlineStr">
        <is>
          <t>2017-08</t>
        </is>
      </c>
      <c r="D4493" t="inlineStr">
        <is>
          <t>e492ee5eaf1697716985cc6f33f9cd9b</t>
        </is>
      </c>
      <c r="E4493" t="inlineStr">
        <is>
          <t>organic_search</t>
        </is>
      </c>
      <c r="F4493">
        <f>IFERROR(MATCH(A4493,Deals!$A$2:$A$843,0),"")</f>
        <v/>
      </c>
      <c r="G4493">
        <f>IF(F4493="",0,1)</f>
        <v/>
      </c>
      <c r="H4493" s="29">
        <f>IF(F4493="","",INDEX(Deals!$E$2:$E$843,F4493))</f>
        <v/>
      </c>
      <c r="I4493">
        <f>IF(F4493="","",INDEX(Deals!$D$2:$D$843,F4493))</f>
        <v/>
      </c>
      <c r="J4493">
        <f>IF(F4493="","",INT(H4493)-B4493)</f>
        <v/>
      </c>
      <c r="K4493">
        <f>IF(B4493&gt;=Settings!$C$5,1,0)</f>
        <v/>
      </c>
    </row>
    <row r="4494">
      <c r="A4494" t="inlineStr">
        <is>
          <t>cb4e168db1faa34bd0893e4889a2f4f1</t>
        </is>
      </c>
      <c r="B4494" s="29" t="n">
        <v>43239</v>
      </c>
      <c r="C4494" t="inlineStr">
        <is>
          <t>2018-05</t>
        </is>
      </c>
      <c r="D4494" t="inlineStr">
        <is>
          <t>22c29808c4f815213303f8933030604c</t>
        </is>
      </c>
      <c r="E4494" t="inlineStr">
        <is>
          <t>organic_search</t>
        </is>
      </c>
      <c r="F4494">
        <f>IFERROR(MATCH(A4494,Deals!$A$2:$A$843,0),"")</f>
        <v/>
      </c>
      <c r="G4494">
        <f>IF(F4494="",0,1)</f>
        <v/>
      </c>
      <c r="H4494" s="29">
        <f>IF(F4494="","",INDEX(Deals!$E$2:$E$843,F4494))</f>
        <v/>
      </c>
      <c r="I4494">
        <f>IF(F4494="","",INDEX(Deals!$D$2:$D$843,F4494))</f>
        <v/>
      </c>
      <c r="J4494">
        <f>IF(F4494="","",INT(H4494)-B4494)</f>
        <v/>
      </c>
      <c r="K4494">
        <f>IF(B4494&gt;=Settings!$C$5,1,0)</f>
        <v/>
      </c>
    </row>
    <row r="4495">
      <c r="A4495" t="inlineStr">
        <is>
          <t>cda95cf018c449a29def6c95a0bf8db5</t>
        </is>
      </c>
      <c r="B4495" s="29" t="n">
        <v>43122</v>
      </c>
      <c r="C4495" t="inlineStr">
        <is>
          <t>2018-01</t>
        </is>
      </c>
      <c r="D4495" t="inlineStr">
        <is>
          <t>b76ef37428e6799c421989521c0e5077</t>
        </is>
      </c>
      <c r="E4495" t="inlineStr">
        <is>
          <t>unknown</t>
        </is>
      </c>
      <c r="F4495">
        <f>IFERROR(MATCH(A4495,Deals!$A$2:$A$843,0),"")</f>
        <v/>
      </c>
      <c r="G4495">
        <f>IF(F4495="",0,1)</f>
        <v/>
      </c>
      <c r="H4495" s="29">
        <f>IF(F4495="","",INDEX(Deals!$E$2:$E$843,F4495))</f>
        <v/>
      </c>
      <c r="I4495">
        <f>IF(F4495="","",INDEX(Deals!$D$2:$D$843,F4495))</f>
        <v/>
      </c>
      <c r="J4495">
        <f>IF(F4495="","",INT(H4495)-B4495)</f>
        <v/>
      </c>
      <c r="K4495">
        <f>IF(B4495&gt;=Settings!$C$5,1,0)</f>
        <v/>
      </c>
    </row>
    <row r="4496">
      <c r="A4496" t="inlineStr">
        <is>
          <t>e858bc7170399a5d4ef609748e59cc33</t>
        </is>
      </c>
      <c r="B4496" s="29" t="n">
        <v>43193</v>
      </c>
      <c r="C4496" t="inlineStr">
        <is>
          <t>2018-04</t>
        </is>
      </c>
      <c r="D4496" t="inlineStr">
        <is>
          <t>58326e62183c14b0c03085c33b9fdc44</t>
        </is>
      </c>
      <c r="E4496" t="inlineStr">
        <is>
          <t>social</t>
        </is>
      </c>
      <c r="F4496">
        <f>IFERROR(MATCH(A4496,Deals!$A$2:$A$843,0),"")</f>
        <v/>
      </c>
      <c r="G4496">
        <f>IF(F4496="",0,1)</f>
        <v/>
      </c>
      <c r="H4496" s="29">
        <f>IF(F4496="","",INDEX(Deals!$E$2:$E$843,F4496))</f>
        <v/>
      </c>
      <c r="I4496">
        <f>IF(F4496="","",INDEX(Deals!$D$2:$D$843,F4496))</f>
        <v/>
      </c>
      <c r="J4496">
        <f>IF(F4496="","",INT(H4496)-B4496)</f>
        <v/>
      </c>
      <c r="K4496">
        <f>IF(B4496&gt;=Settings!$C$5,1,0)</f>
        <v/>
      </c>
    </row>
    <row r="4497">
      <c r="A4497" t="inlineStr">
        <is>
          <t>1a0765221ce5d8a5c55dfaeb5321e8df</t>
        </is>
      </c>
      <c r="B4497" s="29" t="n">
        <v>43182</v>
      </c>
      <c r="C4497" t="inlineStr">
        <is>
          <t>2018-03</t>
        </is>
      </c>
      <c r="D4497" t="inlineStr">
        <is>
          <t>fbc24da54d531c6204ae2d17b1090bb1</t>
        </is>
      </c>
      <c r="E4497" t="inlineStr">
        <is>
          <t>paid_search</t>
        </is>
      </c>
      <c r="F4497">
        <f>IFERROR(MATCH(A4497,Deals!$A$2:$A$843,0),"")</f>
        <v/>
      </c>
      <c r="G4497">
        <f>IF(F4497="",0,1)</f>
        <v/>
      </c>
      <c r="H4497" s="29">
        <f>IF(F4497="","",INDEX(Deals!$E$2:$E$843,F4497))</f>
        <v/>
      </c>
      <c r="I4497">
        <f>IF(F4497="","",INDEX(Deals!$D$2:$D$843,F4497))</f>
        <v/>
      </c>
      <c r="J4497">
        <f>IF(F4497="","",INT(H4497)-B4497)</f>
        <v/>
      </c>
      <c r="K4497">
        <f>IF(B4497&gt;=Settings!$C$5,1,0)</f>
        <v/>
      </c>
    </row>
    <row r="4498">
      <c r="A4498" t="inlineStr">
        <is>
          <t>a7f3d45a6782bc654321c0a9bc92ca66</t>
        </is>
      </c>
      <c r="B4498" s="29" t="n">
        <v>42957</v>
      </c>
      <c r="C4498" t="inlineStr">
        <is>
          <t>2017-08</t>
        </is>
      </c>
      <c r="D4498" t="inlineStr">
        <is>
          <t>71ef148e8a549ba85ca27271a3a94c26</t>
        </is>
      </c>
      <c r="E4498" t="inlineStr">
        <is>
          <t>email</t>
        </is>
      </c>
      <c r="F4498">
        <f>IFERROR(MATCH(A4498,Deals!$A$2:$A$843,0),"")</f>
        <v/>
      </c>
      <c r="G4498">
        <f>IF(F4498="",0,1)</f>
        <v/>
      </c>
      <c r="H4498" s="29">
        <f>IF(F4498="","",INDEX(Deals!$E$2:$E$843,F4498))</f>
        <v/>
      </c>
      <c r="I4498">
        <f>IF(F4498="","",INDEX(Deals!$D$2:$D$843,F4498))</f>
        <v/>
      </c>
      <c r="J4498">
        <f>IF(F4498="","",INT(H4498)-B4498)</f>
        <v/>
      </c>
      <c r="K4498">
        <f>IF(B4498&gt;=Settings!$C$5,1,0)</f>
        <v/>
      </c>
    </row>
    <row r="4499">
      <c r="A4499" t="inlineStr">
        <is>
          <t>20c36cacc13323ce30881fb41a87e83a</t>
        </is>
      </c>
      <c r="B4499" s="29" t="n">
        <v>43068</v>
      </c>
      <c r="C4499" t="inlineStr">
        <is>
          <t>2017-11</t>
        </is>
      </c>
      <c r="D4499" t="inlineStr">
        <is>
          <t>58f8c0a253663304e348e81298bc255e</t>
        </is>
      </c>
      <c r="E4499" t="inlineStr">
        <is>
          <t>email</t>
        </is>
      </c>
      <c r="F4499">
        <f>IFERROR(MATCH(A4499,Deals!$A$2:$A$843,0),"")</f>
        <v/>
      </c>
      <c r="G4499">
        <f>IF(F4499="",0,1)</f>
        <v/>
      </c>
      <c r="H4499" s="29">
        <f>IF(F4499="","",INDEX(Deals!$E$2:$E$843,F4499))</f>
        <v/>
      </c>
      <c r="I4499">
        <f>IF(F4499="","",INDEX(Deals!$D$2:$D$843,F4499))</f>
        <v/>
      </c>
      <c r="J4499">
        <f>IF(F4499="","",INT(H4499)-B4499)</f>
        <v/>
      </c>
      <c r="K4499">
        <f>IF(B4499&gt;=Settings!$C$5,1,0)</f>
        <v/>
      </c>
    </row>
    <row r="4500">
      <c r="A4500" t="inlineStr">
        <is>
          <t>44942b82e5dea398aea2195a5a582c18</t>
        </is>
      </c>
      <c r="B4500" s="29" t="n">
        <v>43230</v>
      </c>
      <c r="C4500" t="inlineStr">
        <is>
          <t>2018-05</t>
        </is>
      </c>
      <c r="D4500" t="inlineStr">
        <is>
          <t>22c29808c4f815213303f8933030604c</t>
        </is>
      </c>
      <c r="E4500" t="inlineStr">
        <is>
          <t>direct_traffic</t>
        </is>
      </c>
      <c r="F4500">
        <f>IFERROR(MATCH(A4500,Deals!$A$2:$A$843,0),"")</f>
        <v/>
      </c>
      <c r="G4500">
        <f>IF(F4500="",0,1)</f>
        <v/>
      </c>
      <c r="H4500" s="29">
        <f>IF(F4500="","",INDEX(Deals!$E$2:$E$843,F4500))</f>
        <v/>
      </c>
      <c r="I4500">
        <f>IF(F4500="","",INDEX(Deals!$D$2:$D$843,F4500))</f>
        <v/>
      </c>
      <c r="J4500">
        <f>IF(F4500="","",INT(H4500)-B4500)</f>
        <v/>
      </c>
      <c r="K4500">
        <f>IF(B4500&gt;=Settings!$C$5,1,0)</f>
        <v/>
      </c>
    </row>
    <row r="4501">
      <c r="A4501" t="inlineStr">
        <is>
          <t>5e6c4da8e79f2e2b37856fc407901176</t>
        </is>
      </c>
      <c r="B4501" s="29" t="n">
        <v>43208</v>
      </c>
      <c r="C4501" t="inlineStr">
        <is>
          <t>2018-04</t>
        </is>
      </c>
      <c r="D4501" t="inlineStr">
        <is>
          <t>ce1a65abd0973638f1c887a6efcfa82d</t>
        </is>
      </c>
      <c r="E4501" t="inlineStr">
        <is>
          <t>referral</t>
        </is>
      </c>
      <c r="F4501">
        <f>IFERROR(MATCH(A4501,Deals!$A$2:$A$843,0),"")</f>
        <v/>
      </c>
      <c r="G4501">
        <f>IF(F4501="",0,1)</f>
        <v/>
      </c>
      <c r="H4501" s="29">
        <f>IF(F4501="","",INDEX(Deals!$E$2:$E$843,F4501))</f>
        <v/>
      </c>
      <c r="I4501">
        <f>IF(F4501="","",INDEX(Deals!$D$2:$D$843,F4501))</f>
        <v/>
      </c>
      <c r="J4501">
        <f>IF(F4501="","",INT(H4501)-B4501)</f>
        <v/>
      </c>
      <c r="K4501">
        <f>IF(B4501&gt;=Settings!$C$5,1,0)</f>
        <v/>
      </c>
    </row>
    <row r="4502">
      <c r="A4502" t="inlineStr">
        <is>
          <t>83323d5fa94b66f71130ea896433375e</t>
        </is>
      </c>
      <c r="B4502" s="29" t="n">
        <v>43123</v>
      </c>
      <c r="C4502" t="inlineStr">
        <is>
          <t>2018-01</t>
        </is>
      </c>
      <c r="D4502" t="inlineStr">
        <is>
          <t>40dec9f3d5259a3d2dbcdab2114fae47</t>
        </is>
      </c>
      <c r="E4502" t="inlineStr">
        <is>
          <t>paid_search</t>
        </is>
      </c>
      <c r="F4502">
        <f>IFERROR(MATCH(A4502,Deals!$A$2:$A$843,0),"")</f>
        <v/>
      </c>
      <c r="G4502">
        <f>IF(F4502="",0,1)</f>
        <v/>
      </c>
      <c r="H4502" s="29">
        <f>IF(F4502="","",INDEX(Deals!$E$2:$E$843,F4502))</f>
        <v/>
      </c>
      <c r="I4502">
        <f>IF(F4502="","",INDEX(Deals!$D$2:$D$843,F4502))</f>
        <v/>
      </c>
      <c r="J4502">
        <f>IF(F4502="","",INT(H4502)-B4502)</f>
        <v/>
      </c>
      <c r="K4502">
        <f>IF(B4502&gt;=Settings!$C$5,1,0)</f>
        <v/>
      </c>
    </row>
    <row r="4503">
      <c r="A4503" t="inlineStr">
        <is>
          <t>7e25eab261cae11877bc9a0f8e02be50</t>
        </is>
      </c>
      <c r="B4503" s="29" t="n">
        <v>43213</v>
      </c>
      <c r="C4503" t="inlineStr">
        <is>
          <t>2018-04</t>
        </is>
      </c>
      <c r="D4503" t="inlineStr">
        <is>
          <t>58326e62183c14b0c03085c33b9fdc44</t>
        </is>
      </c>
      <c r="E4503" t="inlineStr">
        <is>
          <t>social</t>
        </is>
      </c>
      <c r="F4503">
        <f>IFERROR(MATCH(A4503,Deals!$A$2:$A$843,0),"")</f>
        <v/>
      </c>
      <c r="G4503">
        <f>IF(F4503="",0,1)</f>
        <v/>
      </c>
      <c r="H4503" s="29">
        <f>IF(F4503="","",INDEX(Deals!$E$2:$E$843,F4503))</f>
        <v/>
      </c>
      <c r="I4503">
        <f>IF(F4503="","",INDEX(Deals!$D$2:$D$843,F4503))</f>
        <v/>
      </c>
      <c r="J4503">
        <f>IF(F4503="","",INT(H4503)-B4503)</f>
        <v/>
      </c>
      <c r="K4503">
        <f>IF(B4503&gt;=Settings!$C$5,1,0)</f>
        <v/>
      </c>
    </row>
    <row r="4504">
      <c r="A4504" t="inlineStr">
        <is>
          <t>21e6ce98c8943660f4ccf0435058083d</t>
        </is>
      </c>
      <c r="B4504" s="29" t="n">
        <v>43109</v>
      </c>
      <c r="C4504" t="inlineStr">
        <is>
          <t>2018-01</t>
        </is>
      </c>
      <c r="D4504" t="inlineStr">
        <is>
          <t>b76ef37428e6799c421989521c0e5077</t>
        </is>
      </c>
      <c r="E4504" t="inlineStr">
        <is>
          <t>unknown</t>
        </is>
      </c>
      <c r="F4504">
        <f>IFERROR(MATCH(A4504,Deals!$A$2:$A$843,0),"")</f>
        <v/>
      </c>
      <c r="G4504">
        <f>IF(F4504="",0,1)</f>
        <v/>
      </c>
      <c r="H4504" s="29">
        <f>IF(F4504="","",INDEX(Deals!$E$2:$E$843,F4504))</f>
        <v/>
      </c>
      <c r="I4504">
        <f>IF(F4504="","",INDEX(Deals!$D$2:$D$843,F4504))</f>
        <v/>
      </c>
      <c r="J4504">
        <f>IF(F4504="","",INT(H4504)-B4504)</f>
        <v/>
      </c>
      <c r="K4504">
        <f>IF(B4504&gt;=Settings!$C$5,1,0)</f>
        <v/>
      </c>
    </row>
    <row r="4505">
      <c r="A4505" t="inlineStr">
        <is>
          <t>79b19f8c7ce5e7b42f625fd97dab070a</t>
        </is>
      </c>
      <c r="B4505" s="29" t="n">
        <v>43122</v>
      </c>
      <c r="C4505" t="inlineStr">
        <is>
          <t>2018-01</t>
        </is>
      </c>
      <c r="D4505" t="inlineStr">
        <is>
          <t>d45d558f0daeecf3cccdffe3c59684aa</t>
        </is>
      </c>
      <c r="E4505" t="inlineStr">
        <is>
          <t>organic_search</t>
        </is>
      </c>
      <c r="F4505">
        <f>IFERROR(MATCH(A4505,Deals!$A$2:$A$843,0),"")</f>
        <v/>
      </c>
      <c r="G4505">
        <f>IF(F4505="",0,1)</f>
        <v/>
      </c>
      <c r="H4505" s="29">
        <f>IF(F4505="","",INDEX(Deals!$E$2:$E$843,F4505))</f>
        <v/>
      </c>
      <c r="I4505">
        <f>IF(F4505="","",INDEX(Deals!$D$2:$D$843,F4505))</f>
        <v/>
      </c>
      <c r="J4505">
        <f>IF(F4505="","",INT(H4505)-B4505)</f>
        <v/>
      </c>
      <c r="K4505">
        <f>IF(B4505&gt;=Settings!$C$5,1,0)</f>
        <v/>
      </c>
    </row>
    <row r="4506">
      <c r="A4506" t="inlineStr">
        <is>
          <t>813b4d093386869b83b2f66e19755229</t>
        </is>
      </c>
      <c r="B4506" s="29" t="n">
        <v>43208</v>
      </c>
      <c r="C4506" t="inlineStr">
        <is>
          <t>2018-04</t>
        </is>
      </c>
      <c r="D4506" t="inlineStr">
        <is>
          <t>9fa37f5177115156b1814ffc237402a6</t>
        </is>
      </c>
      <c r="E4506" t="inlineStr">
        <is>
          <t>paid_search</t>
        </is>
      </c>
      <c r="F4506">
        <f>IFERROR(MATCH(A4506,Deals!$A$2:$A$843,0),"")</f>
        <v/>
      </c>
      <c r="G4506">
        <f>IF(F4506="",0,1)</f>
        <v/>
      </c>
      <c r="H4506" s="29">
        <f>IF(F4506="","",INDEX(Deals!$E$2:$E$843,F4506))</f>
        <v/>
      </c>
      <c r="I4506">
        <f>IF(F4506="","",INDEX(Deals!$D$2:$D$843,F4506))</f>
        <v/>
      </c>
      <c r="J4506">
        <f>IF(F4506="","",INT(H4506)-B4506)</f>
        <v/>
      </c>
      <c r="K4506">
        <f>IF(B4506&gt;=Settings!$C$5,1,0)</f>
        <v/>
      </c>
    </row>
    <row r="4507">
      <c r="A4507" t="inlineStr">
        <is>
          <t>1a1d4f57954c3c7f143cbaf3c9996ac4</t>
        </is>
      </c>
      <c r="B4507" s="29" t="n">
        <v>43042</v>
      </c>
      <c r="C4507" t="inlineStr">
        <is>
          <t>2017-11</t>
        </is>
      </c>
      <c r="D4507" t="inlineStr">
        <is>
          <t>40dec9f3d5259a3d2dbcdab2114fae47</t>
        </is>
      </c>
      <c r="E4507" t="inlineStr">
        <is>
          <t>paid_search</t>
        </is>
      </c>
      <c r="F4507">
        <f>IFERROR(MATCH(A4507,Deals!$A$2:$A$843,0),"")</f>
        <v/>
      </c>
      <c r="G4507">
        <f>IF(F4507="",0,1)</f>
        <v/>
      </c>
      <c r="H4507" s="29">
        <f>IF(F4507="","",INDEX(Deals!$E$2:$E$843,F4507))</f>
        <v/>
      </c>
      <c r="I4507">
        <f>IF(F4507="","",INDEX(Deals!$D$2:$D$843,F4507))</f>
        <v/>
      </c>
      <c r="J4507">
        <f>IF(F4507="","",INT(H4507)-B4507)</f>
        <v/>
      </c>
      <c r="K4507">
        <f>IF(B4507&gt;=Settings!$C$5,1,0)</f>
        <v/>
      </c>
    </row>
    <row r="4508">
      <c r="A4508" t="inlineStr">
        <is>
          <t>acd746ef45bbe504516078ff295ad7a7</t>
        </is>
      </c>
      <c r="B4508" s="29" t="n">
        <v>43023</v>
      </c>
      <c r="C4508" t="inlineStr">
        <is>
          <t>2017-10</t>
        </is>
      </c>
      <c r="D4508" t="inlineStr">
        <is>
          <t>88740e65d5d6b056e0cda098e1ea6313</t>
        </is>
      </c>
      <c r="E4508" t="inlineStr">
        <is>
          <t>social</t>
        </is>
      </c>
      <c r="F4508">
        <f>IFERROR(MATCH(A4508,Deals!$A$2:$A$843,0),"")</f>
        <v/>
      </c>
      <c r="G4508">
        <f>IF(F4508="",0,1)</f>
        <v/>
      </c>
      <c r="H4508" s="29">
        <f>IF(F4508="","",INDEX(Deals!$E$2:$E$843,F4508))</f>
        <v/>
      </c>
      <c r="I4508">
        <f>IF(F4508="","",INDEX(Deals!$D$2:$D$843,F4508))</f>
        <v/>
      </c>
      <c r="J4508">
        <f>IF(F4508="","",INT(H4508)-B4508)</f>
        <v/>
      </c>
      <c r="K4508">
        <f>IF(B4508&gt;=Settings!$C$5,1,0)</f>
        <v/>
      </c>
    </row>
    <row r="4509">
      <c r="A4509" t="inlineStr">
        <is>
          <t>309e788d39ad52b4d43dd4001adecaad</t>
        </is>
      </c>
      <c r="B4509" s="29" t="n">
        <v>43034</v>
      </c>
      <c r="C4509" t="inlineStr">
        <is>
          <t>2017-10</t>
        </is>
      </c>
      <c r="D4509" t="inlineStr">
        <is>
          <t>c5516085d771ceb51e07f0a17b337bd7</t>
        </is>
      </c>
      <c r="E4509" t="inlineStr">
        <is>
          <t>organic_search</t>
        </is>
      </c>
      <c r="F4509">
        <f>IFERROR(MATCH(A4509,Deals!$A$2:$A$843,0),"")</f>
        <v/>
      </c>
      <c r="G4509">
        <f>IF(F4509="",0,1)</f>
        <v/>
      </c>
      <c r="H4509" s="29">
        <f>IF(F4509="","",INDEX(Deals!$E$2:$E$843,F4509))</f>
        <v/>
      </c>
      <c r="I4509">
        <f>IF(F4509="","",INDEX(Deals!$D$2:$D$843,F4509))</f>
        <v/>
      </c>
      <c r="J4509">
        <f>IF(F4509="","",INT(H4509)-B4509)</f>
        <v/>
      </c>
      <c r="K4509">
        <f>IF(B4509&gt;=Settings!$C$5,1,0)</f>
        <v/>
      </c>
    </row>
    <row r="4510">
      <c r="A4510" t="inlineStr">
        <is>
          <t>25393b46957e31fcdc605d76428cae67</t>
        </is>
      </c>
      <c r="B4510" s="29" t="n">
        <v>43223</v>
      </c>
      <c r="C4510" t="inlineStr">
        <is>
          <t>2018-05</t>
        </is>
      </c>
      <c r="D4510" t="inlineStr">
        <is>
          <t>649b7b8b46b254497e92038d88f6ced8</t>
        </is>
      </c>
      <c r="E4510" t="inlineStr">
        <is>
          <t>paid_search</t>
        </is>
      </c>
      <c r="F4510">
        <f>IFERROR(MATCH(A4510,Deals!$A$2:$A$843,0),"")</f>
        <v/>
      </c>
      <c r="G4510">
        <f>IF(F4510="",0,1)</f>
        <v/>
      </c>
      <c r="H4510" s="29">
        <f>IF(F4510="","",INDEX(Deals!$E$2:$E$843,F4510))</f>
        <v/>
      </c>
      <c r="I4510">
        <f>IF(F4510="","",INDEX(Deals!$D$2:$D$843,F4510))</f>
        <v/>
      </c>
      <c r="J4510">
        <f>IF(F4510="","",INT(H4510)-B4510)</f>
        <v/>
      </c>
      <c r="K4510">
        <f>IF(B4510&gt;=Settings!$C$5,1,0)</f>
        <v/>
      </c>
    </row>
    <row r="4511">
      <c r="A4511" t="inlineStr">
        <is>
          <t>e4ccb212806eb5e35794b3ebbdf1f6b6</t>
        </is>
      </c>
      <c r="B4511" s="29" t="n">
        <v>43208</v>
      </c>
      <c r="C4511" t="inlineStr">
        <is>
          <t>2018-04</t>
        </is>
      </c>
      <c r="D4511" t="inlineStr">
        <is>
          <t>358adb2fee9a122549618e46925a00a5</t>
        </is>
      </c>
      <c r="E4511" t="inlineStr">
        <is>
          <t>unknown</t>
        </is>
      </c>
      <c r="F4511">
        <f>IFERROR(MATCH(A4511,Deals!$A$2:$A$843,0),"")</f>
        <v/>
      </c>
      <c r="G4511">
        <f>IF(F4511="",0,1)</f>
        <v/>
      </c>
      <c r="H4511" s="29">
        <f>IF(F4511="","",INDEX(Deals!$E$2:$E$843,F4511))</f>
        <v/>
      </c>
      <c r="I4511">
        <f>IF(F4511="","",INDEX(Deals!$D$2:$D$843,F4511))</f>
        <v/>
      </c>
      <c r="J4511">
        <f>IF(F4511="","",INT(H4511)-B4511)</f>
        <v/>
      </c>
      <c r="K4511">
        <f>IF(B4511&gt;=Settings!$C$5,1,0)</f>
        <v/>
      </c>
    </row>
    <row r="4512">
      <c r="A4512" t="inlineStr">
        <is>
          <t>2acada6d8bf5d4624dcb1374d25dcfb0</t>
        </is>
      </c>
      <c r="B4512" s="29" t="n">
        <v>43185</v>
      </c>
      <c r="C4512" t="inlineStr">
        <is>
          <t>2018-03</t>
        </is>
      </c>
      <c r="D4512" t="inlineStr">
        <is>
          <t>22c29808c4f815213303f8933030604c</t>
        </is>
      </c>
      <c r="E4512" t="inlineStr">
        <is>
          <t>unknown</t>
        </is>
      </c>
      <c r="F4512">
        <f>IFERROR(MATCH(A4512,Deals!$A$2:$A$843,0),"")</f>
        <v/>
      </c>
      <c r="G4512">
        <f>IF(F4512="",0,1)</f>
        <v/>
      </c>
      <c r="H4512" s="29">
        <f>IF(F4512="","",INDEX(Deals!$E$2:$E$843,F4512))</f>
        <v/>
      </c>
      <c r="I4512">
        <f>IF(F4512="","",INDEX(Deals!$D$2:$D$843,F4512))</f>
        <v/>
      </c>
      <c r="J4512">
        <f>IF(F4512="","",INT(H4512)-B4512)</f>
        <v/>
      </c>
      <c r="K4512">
        <f>IF(B4512&gt;=Settings!$C$5,1,0)</f>
        <v/>
      </c>
    </row>
    <row r="4513">
      <c r="A4513" t="inlineStr">
        <is>
          <t>8d43d24610dc1b429fc90118b0d30417</t>
        </is>
      </c>
      <c r="B4513" s="29" t="n">
        <v>43106</v>
      </c>
      <c r="C4513" t="inlineStr">
        <is>
          <t>2018-01</t>
        </is>
      </c>
      <c r="D4513" t="inlineStr">
        <is>
          <t>88740e65d5d6b056e0cda098e1ea6313</t>
        </is>
      </c>
      <c r="E4513" t="inlineStr">
        <is>
          <t>social</t>
        </is>
      </c>
      <c r="F4513">
        <f>IFERROR(MATCH(A4513,Deals!$A$2:$A$843,0),"")</f>
        <v/>
      </c>
      <c r="G4513">
        <f>IF(F4513="",0,1)</f>
        <v/>
      </c>
      <c r="H4513" s="29">
        <f>IF(F4513="","",INDEX(Deals!$E$2:$E$843,F4513))</f>
        <v/>
      </c>
      <c r="I4513">
        <f>IF(F4513="","",INDEX(Deals!$D$2:$D$843,F4513))</f>
        <v/>
      </c>
      <c r="J4513">
        <f>IF(F4513="","",INT(H4513)-B4513)</f>
        <v/>
      </c>
      <c r="K4513">
        <f>IF(B4513&gt;=Settings!$C$5,1,0)</f>
        <v/>
      </c>
    </row>
    <row r="4514">
      <c r="A4514" t="inlineStr">
        <is>
          <t>ef4ef75d0a079e91cfb73d5c60ba6f0d</t>
        </is>
      </c>
      <c r="B4514" s="29" t="n">
        <v>43235</v>
      </c>
      <c r="C4514" t="inlineStr">
        <is>
          <t>2018-05</t>
        </is>
      </c>
      <c r="D4514" t="inlineStr">
        <is>
          <t>e492ee5eaf1697716985cc6f33f9cd9b</t>
        </is>
      </c>
      <c r="E4514" t="inlineStr">
        <is>
          <t>social</t>
        </is>
      </c>
      <c r="F4514">
        <f>IFERROR(MATCH(A4514,Deals!$A$2:$A$843,0),"")</f>
        <v/>
      </c>
      <c r="G4514">
        <f>IF(F4514="",0,1)</f>
        <v/>
      </c>
      <c r="H4514" s="29">
        <f>IF(F4514="","",INDEX(Deals!$E$2:$E$843,F4514))</f>
        <v/>
      </c>
      <c r="I4514">
        <f>IF(F4514="","",INDEX(Deals!$D$2:$D$843,F4514))</f>
        <v/>
      </c>
      <c r="J4514">
        <f>IF(F4514="","",INT(H4514)-B4514)</f>
        <v/>
      </c>
      <c r="K4514">
        <f>IF(B4514&gt;=Settings!$C$5,1,0)</f>
        <v/>
      </c>
    </row>
    <row r="4515">
      <c r="A4515" t="inlineStr">
        <is>
          <t>67012a7770c47eba3bc1b811ca28ecc6</t>
        </is>
      </c>
      <c r="B4515" s="29" t="n">
        <v>43024</v>
      </c>
      <c r="C4515" t="inlineStr">
        <is>
          <t>2017-10</t>
        </is>
      </c>
      <c r="D4515" t="inlineStr">
        <is>
          <t>c05f0fd41e79d7811221253e0d4eadc8</t>
        </is>
      </c>
      <c r="E4515" t="inlineStr">
        <is>
          <t>other_publicities</t>
        </is>
      </c>
      <c r="F4515">
        <f>IFERROR(MATCH(A4515,Deals!$A$2:$A$843,0),"")</f>
        <v/>
      </c>
      <c r="G4515">
        <f>IF(F4515="",0,1)</f>
        <v/>
      </c>
      <c r="H4515" s="29">
        <f>IF(F4515="","",INDEX(Deals!$E$2:$E$843,F4515))</f>
        <v/>
      </c>
      <c r="I4515">
        <f>IF(F4515="","",INDEX(Deals!$D$2:$D$843,F4515))</f>
        <v/>
      </c>
      <c r="J4515">
        <f>IF(F4515="","",INT(H4515)-B4515)</f>
        <v/>
      </c>
      <c r="K4515">
        <f>IF(B4515&gt;=Settings!$C$5,1,0)</f>
        <v/>
      </c>
    </row>
    <row r="4516">
      <c r="A4516" t="inlineStr">
        <is>
          <t>bbbbd43f98a71e0d67a800f6f8bd1e24</t>
        </is>
      </c>
      <c r="B4516" s="29" t="n">
        <v>43061</v>
      </c>
      <c r="C4516" t="inlineStr">
        <is>
          <t>2017-11</t>
        </is>
      </c>
      <c r="D4516" t="inlineStr">
        <is>
          <t>40dec9f3d5259a3d2dbcdab2114fae47</t>
        </is>
      </c>
      <c r="E4516" t="inlineStr">
        <is>
          <t>paid_search</t>
        </is>
      </c>
      <c r="F4516">
        <f>IFERROR(MATCH(A4516,Deals!$A$2:$A$843,0),"")</f>
        <v/>
      </c>
      <c r="G4516">
        <f>IF(F4516="",0,1)</f>
        <v/>
      </c>
      <c r="H4516" s="29">
        <f>IF(F4516="","",INDEX(Deals!$E$2:$E$843,F4516))</f>
        <v/>
      </c>
      <c r="I4516">
        <f>IF(F4516="","",INDEX(Deals!$D$2:$D$843,F4516))</f>
        <v/>
      </c>
      <c r="J4516">
        <f>IF(F4516="","",INT(H4516)-B4516)</f>
        <v/>
      </c>
      <c r="K4516">
        <f>IF(B4516&gt;=Settings!$C$5,1,0)</f>
        <v/>
      </c>
    </row>
    <row r="4517">
      <c r="A4517" t="inlineStr">
        <is>
          <t>c61085b95025e125ca4ef45f74c5f537</t>
        </is>
      </c>
      <c r="B4517" s="29" t="n">
        <v>43179</v>
      </c>
      <c r="C4517" t="inlineStr">
        <is>
          <t>2018-03</t>
        </is>
      </c>
      <c r="D4517" t="inlineStr">
        <is>
          <t>40dec9f3d5259a3d2dbcdab2114fae47</t>
        </is>
      </c>
      <c r="E4517" t="inlineStr">
        <is>
          <t>paid_search</t>
        </is>
      </c>
      <c r="F4517">
        <f>IFERROR(MATCH(A4517,Deals!$A$2:$A$843,0),"")</f>
        <v/>
      </c>
      <c r="G4517">
        <f>IF(F4517="",0,1)</f>
        <v/>
      </c>
      <c r="H4517" s="29">
        <f>IF(F4517="","",INDEX(Deals!$E$2:$E$843,F4517))</f>
        <v/>
      </c>
      <c r="I4517">
        <f>IF(F4517="","",INDEX(Deals!$D$2:$D$843,F4517))</f>
        <v/>
      </c>
      <c r="J4517">
        <f>IF(F4517="","",INT(H4517)-B4517)</f>
        <v/>
      </c>
      <c r="K4517">
        <f>IF(B4517&gt;=Settings!$C$5,1,0)</f>
        <v/>
      </c>
    </row>
    <row r="4518">
      <c r="A4518" t="inlineStr">
        <is>
          <t>c7f1da0a5723f5afd7996648fa9c20d5</t>
        </is>
      </c>
      <c r="B4518" s="29" t="n">
        <v>43122</v>
      </c>
      <c r="C4518" t="inlineStr">
        <is>
          <t>2018-01</t>
        </is>
      </c>
      <c r="D4518" t="inlineStr">
        <is>
          <t>b76ef37428e6799c421989521c0e5077</t>
        </is>
      </c>
      <c r="E4518" t="inlineStr">
        <is>
          <t>unknown</t>
        </is>
      </c>
      <c r="F4518">
        <f>IFERROR(MATCH(A4518,Deals!$A$2:$A$843,0),"")</f>
        <v/>
      </c>
      <c r="G4518">
        <f>IF(F4518="",0,1)</f>
        <v/>
      </c>
      <c r="H4518" s="29">
        <f>IF(F4518="","",INDEX(Deals!$E$2:$E$843,F4518))</f>
        <v/>
      </c>
      <c r="I4518">
        <f>IF(F4518="","",INDEX(Deals!$D$2:$D$843,F4518))</f>
        <v/>
      </c>
      <c r="J4518">
        <f>IF(F4518="","",INT(H4518)-B4518)</f>
        <v/>
      </c>
      <c r="K4518">
        <f>IF(B4518&gt;=Settings!$C$5,1,0)</f>
        <v/>
      </c>
    </row>
    <row r="4519">
      <c r="A4519" t="inlineStr">
        <is>
          <t>7c3e1a45e4127c0eb25d7a8b7250da5b</t>
        </is>
      </c>
      <c r="B4519" s="29" t="n">
        <v>42977</v>
      </c>
      <c r="C4519" t="inlineStr">
        <is>
          <t>2017-08</t>
        </is>
      </c>
      <c r="D4519" t="inlineStr">
        <is>
          <t>fbc24da54d531c6204ae2d17b1090bb1</t>
        </is>
      </c>
      <c r="E4519" t="inlineStr">
        <is>
          <t>paid_search</t>
        </is>
      </c>
      <c r="F4519">
        <f>IFERROR(MATCH(A4519,Deals!$A$2:$A$843,0),"")</f>
        <v/>
      </c>
      <c r="G4519">
        <f>IF(F4519="",0,1)</f>
        <v/>
      </c>
      <c r="H4519" s="29">
        <f>IF(F4519="","",INDEX(Deals!$E$2:$E$843,F4519))</f>
        <v/>
      </c>
      <c r="I4519">
        <f>IF(F4519="","",INDEX(Deals!$D$2:$D$843,F4519))</f>
        <v/>
      </c>
      <c r="J4519">
        <f>IF(F4519="","",INT(H4519)-B4519)</f>
        <v/>
      </c>
      <c r="K4519">
        <f>IF(B4519&gt;=Settings!$C$5,1,0)</f>
        <v/>
      </c>
    </row>
    <row r="4520">
      <c r="A4520" t="inlineStr">
        <is>
          <t>a1b60cfa6b8b9e72a9b206c570fc4964</t>
        </is>
      </c>
      <c r="B4520" s="29" t="n">
        <v>43105</v>
      </c>
      <c r="C4520" t="inlineStr">
        <is>
          <t>2018-01</t>
        </is>
      </c>
      <c r="D4520" t="inlineStr">
        <is>
          <t>73f31a40697cc90a86c1273563ac230e</t>
        </is>
      </c>
      <c r="E4520" t="inlineStr">
        <is>
          <t>other</t>
        </is>
      </c>
      <c r="F4520">
        <f>IFERROR(MATCH(A4520,Deals!$A$2:$A$843,0),"")</f>
        <v/>
      </c>
      <c r="G4520">
        <f>IF(F4520="",0,1)</f>
        <v/>
      </c>
      <c r="H4520" s="29">
        <f>IF(F4520="","",INDEX(Deals!$E$2:$E$843,F4520))</f>
        <v/>
      </c>
      <c r="I4520">
        <f>IF(F4520="","",INDEX(Deals!$D$2:$D$843,F4520))</f>
        <v/>
      </c>
      <c r="J4520">
        <f>IF(F4520="","",INT(H4520)-B4520)</f>
        <v/>
      </c>
      <c r="K4520">
        <f>IF(B4520&gt;=Settings!$C$5,1,0)</f>
        <v/>
      </c>
    </row>
    <row r="4521">
      <c r="A4521" t="inlineStr">
        <is>
          <t>042d5795f8a89756d19c4d5aff933e18</t>
        </is>
      </c>
      <c r="B4521" s="29" t="n">
        <v>43121</v>
      </c>
      <c r="C4521" t="inlineStr">
        <is>
          <t>2018-01</t>
        </is>
      </c>
      <c r="D4521" t="inlineStr">
        <is>
          <t>88740e65d5d6b056e0cda098e1ea6313</t>
        </is>
      </c>
      <c r="E4521" t="inlineStr">
        <is>
          <t>social</t>
        </is>
      </c>
      <c r="F4521">
        <f>IFERROR(MATCH(A4521,Deals!$A$2:$A$843,0),"")</f>
        <v/>
      </c>
      <c r="G4521">
        <f>IF(F4521="",0,1)</f>
        <v/>
      </c>
      <c r="H4521" s="29">
        <f>IF(F4521="","",INDEX(Deals!$E$2:$E$843,F4521))</f>
        <v/>
      </c>
      <c r="I4521">
        <f>IF(F4521="","",INDEX(Deals!$D$2:$D$843,F4521))</f>
        <v/>
      </c>
      <c r="J4521">
        <f>IF(F4521="","",INT(H4521)-B4521)</f>
        <v/>
      </c>
      <c r="K4521">
        <f>IF(B4521&gt;=Settings!$C$5,1,0)</f>
        <v/>
      </c>
    </row>
    <row r="4522">
      <c r="A4522" t="inlineStr">
        <is>
          <t>8e12ae4ee6dc484ecf2277a19b845658</t>
        </is>
      </c>
      <c r="B4522" s="29" t="n">
        <v>43228</v>
      </c>
      <c r="C4522" t="inlineStr">
        <is>
          <t>2018-05</t>
        </is>
      </c>
      <c r="D4522" t="inlineStr">
        <is>
          <t>3c3d58faafc86beae6e757f1470ce9f0</t>
        </is>
      </c>
      <c r="E4522" t="inlineStr">
        <is>
          <t>paid_search</t>
        </is>
      </c>
      <c r="F4522">
        <f>IFERROR(MATCH(A4522,Deals!$A$2:$A$843,0),"")</f>
        <v/>
      </c>
      <c r="G4522">
        <f>IF(F4522="",0,1)</f>
        <v/>
      </c>
      <c r="H4522" s="29">
        <f>IF(F4522="","",INDEX(Deals!$E$2:$E$843,F4522))</f>
        <v/>
      </c>
      <c r="I4522">
        <f>IF(F4522="","",INDEX(Deals!$D$2:$D$843,F4522))</f>
        <v/>
      </c>
      <c r="J4522">
        <f>IF(F4522="","",INT(H4522)-B4522)</f>
        <v/>
      </c>
      <c r="K4522">
        <f>IF(B4522&gt;=Settings!$C$5,1,0)</f>
        <v/>
      </c>
    </row>
    <row r="4523">
      <c r="A4523" t="inlineStr">
        <is>
          <t>8fae1017385f209b727c45cda5e956aa</t>
        </is>
      </c>
      <c r="B4523" s="29" t="n">
        <v>43206</v>
      </c>
      <c r="C4523" t="inlineStr">
        <is>
          <t>2018-04</t>
        </is>
      </c>
      <c r="D4523" t="inlineStr">
        <is>
          <t>58326e62183c14b0c03085c33b9fdc44</t>
        </is>
      </c>
      <c r="E4523" t="inlineStr">
        <is>
          <t>social</t>
        </is>
      </c>
      <c r="F4523">
        <f>IFERROR(MATCH(A4523,Deals!$A$2:$A$843,0),"")</f>
        <v/>
      </c>
      <c r="G4523">
        <f>IF(F4523="",0,1)</f>
        <v/>
      </c>
      <c r="H4523" s="29">
        <f>IF(F4523="","",INDEX(Deals!$E$2:$E$843,F4523))</f>
        <v/>
      </c>
      <c r="I4523">
        <f>IF(F4523="","",INDEX(Deals!$D$2:$D$843,F4523))</f>
        <v/>
      </c>
      <c r="J4523">
        <f>IF(F4523="","",INT(H4523)-B4523)</f>
        <v/>
      </c>
      <c r="K4523">
        <f>IF(B4523&gt;=Settings!$C$5,1,0)</f>
        <v/>
      </c>
    </row>
    <row r="4524">
      <c r="A4524" t="inlineStr">
        <is>
          <t>3d08cf28390d5a33944faa283911a623</t>
        </is>
      </c>
      <c r="B4524" s="29" t="n">
        <v>43141</v>
      </c>
      <c r="C4524" t="inlineStr">
        <is>
          <t>2018-02</t>
        </is>
      </c>
      <c r="D4524" t="inlineStr">
        <is>
          <t>76d33b7836dd4396f9dd310392f570f8</t>
        </is>
      </c>
      <c r="E4524" t="inlineStr">
        <is>
          <t>organic_search</t>
        </is>
      </c>
      <c r="F4524">
        <f>IFERROR(MATCH(A4524,Deals!$A$2:$A$843,0),"")</f>
        <v/>
      </c>
      <c r="G4524">
        <f>IF(F4524="",0,1)</f>
        <v/>
      </c>
      <c r="H4524" s="29">
        <f>IF(F4524="","",INDEX(Deals!$E$2:$E$843,F4524))</f>
        <v/>
      </c>
      <c r="I4524">
        <f>IF(F4524="","",INDEX(Deals!$D$2:$D$843,F4524))</f>
        <v/>
      </c>
      <c r="J4524">
        <f>IF(F4524="","",INT(H4524)-B4524)</f>
        <v/>
      </c>
      <c r="K4524">
        <f>IF(B4524&gt;=Settings!$C$5,1,0)</f>
        <v/>
      </c>
    </row>
    <row r="4525">
      <c r="A4525" t="inlineStr">
        <is>
          <t>41dba7c677fd1dc761ad8717c352da92</t>
        </is>
      </c>
      <c r="B4525" s="29" t="n">
        <v>43122</v>
      </c>
      <c r="C4525" t="inlineStr">
        <is>
          <t>2018-01</t>
        </is>
      </c>
      <c r="D4525" t="inlineStr">
        <is>
          <t>f017be4dbf86243af5c1ebed0cff36a2</t>
        </is>
      </c>
      <c r="E4525" t="inlineStr">
        <is>
          <t>organic_search</t>
        </is>
      </c>
      <c r="F4525">
        <f>IFERROR(MATCH(A4525,Deals!$A$2:$A$843,0),"")</f>
        <v/>
      </c>
      <c r="G4525">
        <f>IF(F4525="",0,1)</f>
        <v/>
      </c>
      <c r="H4525" s="29">
        <f>IF(F4525="","",INDEX(Deals!$E$2:$E$843,F4525))</f>
        <v/>
      </c>
      <c r="I4525">
        <f>IF(F4525="","",INDEX(Deals!$D$2:$D$843,F4525))</f>
        <v/>
      </c>
      <c r="J4525">
        <f>IF(F4525="","",INT(H4525)-B4525)</f>
        <v/>
      </c>
      <c r="K4525">
        <f>IF(B4525&gt;=Settings!$C$5,1,0)</f>
        <v/>
      </c>
    </row>
    <row r="4526">
      <c r="A4526" t="inlineStr">
        <is>
          <t>b90658ac073c1d522b88fe8d00ba799f</t>
        </is>
      </c>
      <c r="B4526" s="29" t="n">
        <v>43220</v>
      </c>
      <c r="C4526" t="inlineStr">
        <is>
          <t>2018-04</t>
        </is>
      </c>
      <c r="D4526" t="inlineStr">
        <is>
          <t>9fa37f5177115156b1814ffc237402a6</t>
        </is>
      </c>
      <c r="E4526" t="inlineStr">
        <is>
          <t>paid_search</t>
        </is>
      </c>
      <c r="F4526">
        <f>IFERROR(MATCH(A4526,Deals!$A$2:$A$843,0),"")</f>
        <v/>
      </c>
      <c r="G4526">
        <f>IF(F4526="",0,1)</f>
        <v/>
      </c>
      <c r="H4526" s="29">
        <f>IF(F4526="","",INDEX(Deals!$E$2:$E$843,F4526))</f>
        <v/>
      </c>
      <c r="I4526">
        <f>IF(F4526="","",INDEX(Deals!$D$2:$D$843,F4526))</f>
        <v/>
      </c>
      <c r="J4526">
        <f>IF(F4526="","",INT(H4526)-B4526)</f>
        <v/>
      </c>
      <c r="K4526">
        <f>IF(B4526&gt;=Settings!$C$5,1,0)</f>
        <v/>
      </c>
    </row>
    <row r="4527">
      <c r="A4527" t="inlineStr">
        <is>
          <t>e75d0b169ffeb90d4b805790ce68a239</t>
        </is>
      </c>
      <c r="B4527" s="29" t="n">
        <v>43130</v>
      </c>
      <c r="C4527" t="inlineStr">
        <is>
          <t>2018-01</t>
        </is>
      </c>
      <c r="D4527" t="inlineStr">
        <is>
          <t>40dec9f3d5259a3d2dbcdab2114fae47</t>
        </is>
      </c>
      <c r="E4527" t="inlineStr">
        <is>
          <t>paid_search</t>
        </is>
      </c>
      <c r="F4527">
        <f>IFERROR(MATCH(A4527,Deals!$A$2:$A$843,0),"")</f>
        <v/>
      </c>
      <c r="G4527">
        <f>IF(F4527="",0,1)</f>
        <v/>
      </c>
      <c r="H4527" s="29">
        <f>IF(F4527="","",INDEX(Deals!$E$2:$E$843,F4527))</f>
        <v/>
      </c>
      <c r="I4527">
        <f>IF(F4527="","",INDEX(Deals!$D$2:$D$843,F4527))</f>
        <v/>
      </c>
      <c r="J4527">
        <f>IF(F4527="","",INT(H4527)-B4527)</f>
        <v/>
      </c>
      <c r="K4527">
        <f>IF(B4527&gt;=Settings!$C$5,1,0)</f>
        <v/>
      </c>
    </row>
    <row r="4528">
      <c r="A4528" t="inlineStr">
        <is>
          <t>dd6e83b6da55d90f5740e0dd3f3e5a13</t>
        </is>
      </c>
      <c r="B4528" s="29" t="n">
        <v>43171</v>
      </c>
      <c r="C4528" t="inlineStr">
        <is>
          <t>2018-03</t>
        </is>
      </c>
      <c r="D4528" t="inlineStr">
        <is>
          <t>88740e65d5d6b056e0cda098e1ea6313</t>
        </is>
      </c>
      <c r="E4528" t="inlineStr">
        <is>
          <t>social</t>
        </is>
      </c>
      <c r="F4528">
        <f>IFERROR(MATCH(A4528,Deals!$A$2:$A$843,0),"")</f>
        <v/>
      </c>
      <c r="G4528">
        <f>IF(F4528="",0,1)</f>
        <v/>
      </c>
      <c r="H4528" s="29">
        <f>IF(F4528="","",INDEX(Deals!$E$2:$E$843,F4528))</f>
        <v/>
      </c>
      <c r="I4528">
        <f>IF(F4528="","",INDEX(Deals!$D$2:$D$843,F4528))</f>
        <v/>
      </c>
      <c r="J4528">
        <f>IF(F4528="","",INT(H4528)-B4528)</f>
        <v/>
      </c>
      <c r="K4528">
        <f>IF(B4528&gt;=Settings!$C$5,1,0)</f>
        <v/>
      </c>
    </row>
    <row r="4529">
      <c r="A4529" t="inlineStr">
        <is>
          <t>1d87fb03475c5f052588cd435b46656d</t>
        </is>
      </c>
      <c r="B4529" s="29" t="n">
        <v>43108</v>
      </c>
      <c r="C4529" t="inlineStr">
        <is>
          <t>2018-01</t>
        </is>
      </c>
      <c r="D4529" t="inlineStr">
        <is>
          <t>b76ef37428e6799c421989521c0e5077</t>
        </is>
      </c>
      <c r="E4529" t="inlineStr">
        <is>
          <t>unknown</t>
        </is>
      </c>
      <c r="F4529">
        <f>IFERROR(MATCH(A4529,Deals!$A$2:$A$843,0),"")</f>
        <v/>
      </c>
      <c r="G4529">
        <f>IF(F4529="",0,1)</f>
        <v/>
      </c>
      <c r="H4529" s="29">
        <f>IF(F4529="","",INDEX(Deals!$E$2:$E$843,F4529))</f>
        <v/>
      </c>
      <c r="I4529">
        <f>IF(F4529="","",INDEX(Deals!$D$2:$D$843,F4529))</f>
        <v/>
      </c>
      <c r="J4529">
        <f>IF(F4529="","",INT(H4529)-B4529)</f>
        <v/>
      </c>
      <c r="K4529">
        <f>IF(B4529&gt;=Settings!$C$5,1,0)</f>
        <v/>
      </c>
    </row>
    <row r="4530">
      <c r="A4530" t="inlineStr">
        <is>
          <t>a8c3d1773ca7ab2af8cb44b118ae8df4</t>
        </is>
      </c>
      <c r="B4530" s="29" t="n">
        <v>43249</v>
      </c>
      <c r="C4530" t="inlineStr">
        <is>
          <t>2018-05</t>
        </is>
      </c>
      <c r="D4530" t="inlineStr">
        <is>
          <t>358adb2fee9a122549618e46925a00a5</t>
        </is>
      </c>
      <c r="E4530" t="inlineStr">
        <is>
          <t>organic_search</t>
        </is>
      </c>
      <c r="F4530">
        <f>IFERROR(MATCH(A4530,Deals!$A$2:$A$843,0),"")</f>
        <v/>
      </c>
      <c r="G4530">
        <f>IF(F4530="",0,1)</f>
        <v/>
      </c>
      <c r="H4530" s="29">
        <f>IF(F4530="","",INDEX(Deals!$E$2:$E$843,F4530))</f>
        <v/>
      </c>
      <c r="I4530">
        <f>IF(F4530="","",INDEX(Deals!$D$2:$D$843,F4530))</f>
        <v/>
      </c>
      <c r="J4530">
        <f>IF(F4530="","",INT(H4530)-B4530)</f>
        <v/>
      </c>
      <c r="K4530">
        <f>IF(B4530&gt;=Settings!$C$5,1,0)</f>
        <v/>
      </c>
    </row>
    <row r="4531">
      <c r="A4531" t="inlineStr">
        <is>
          <t>162809b3a22232ad10ae0de553b6d01c</t>
        </is>
      </c>
      <c r="B4531" s="29" t="n">
        <v>43127</v>
      </c>
      <c r="C4531" t="inlineStr">
        <is>
          <t>2018-01</t>
        </is>
      </c>
      <c r="D4531" t="inlineStr">
        <is>
          <t>f017be4dbf86243af5c1ebed0cff36a2</t>
        </is>
      </c>
      <c r="E4531" t="inlineStr">
        <is>
          <t>organic_search</t>
        </is>
      </c>
      <c r="F4531">
        <f>IFERROR(MATCH(A4531,Deals!$A$2:$A$843,0),"")</f>
        <v/>
      </c>
      <c r="G4531">
        <f>IF(F4531="",0,1)</f>
        <v/>
      </c>
      <c r="H4531" s="29">
        <f>IF(F4531="","",INDEX(Deals!$E$2:$E$843,F4531))</f>
        <v/>
      </c>
      <c r="I4531">
        <f>IF(F4531="","",INDEX(Deals!$D$2:$D$843,F4531))</f>
        <v/>
      </c>
      <c r="J4531">
        <f>IF(F4531="","",INT(H4531)-B4531)</f>
        <v/>
      </c>
      <c r="K4531">
        <f>IF(B4531&gt;=Settings!$C$5,1,0)</f>
        <v/>
      </c>
    </row>
    <row r="4532">
      <c r="A4532" t="inlineStr">
        <is>
          <t>360993beda80fd8b385b2c2c8ef98ca5</t>
        </is>
      </c>
      <c r="B4532" s="29" t="n">
        <v>43063</v>
      </c>
      <c r="C4532" t="inlineStr">
        <is>
          <t>2017-11</t>
        </is>
      </c>
      <c r="D4532" t="inlineStr">
        <is>
          <t>58f8c0a253663304e348e81298bc255e</t>
        </is>
      </c>
      <c r="E4532" t="inlineStr">
        <is>
          <t>organic_search</t>
        </is>
      </c>
      <c r="F4532">
        <f>IFERROR(MATCH(A4532,Deals!$A$2:$A$843,0),"")</f>
        <v/>
      </c>
      <c r="G4532">
        <f>IF(F4532="",0,1)</f>
        <v/>
      </c>
      <c r="H4532" s="29">
        <f>IF(F4532="","",INDEX(Deals!$E$2:$E$843,F4532))</f>
        <v/>
      </c>
      <c r="I4532">
        <f>IF(F4532="","",INDEX(Deals!$D$2:$D$843,F4532))</f>
        <v/>
      </c>
      <c r="J4532">
        <f>IF(F4532="","",INT(H4532)-B4532)</f>
        <v/>
      </c>
      <c r="K4532">
        <f>IF(B4532&gt;=Settings!$C$5,1,0)</f>
        <v/>
      </c>
    </row>
    <row r="4533">
      <c r="A4533" t="inlineStr">
        <is>
          <t>41947964e392efcf6b95c43e9aacba20</t>
        </is>
      </c>
      <c r="B4533" s="29" t="n">
        <v>43242</v>
      </c>
      <c r="C4533" t="inlineStr">
        <is>
          <t>2018-05</t>
        </is>
      </c>
      <c r="D4533" t="inlineStr">
        <is>
          <t>bfd05fa9f9fe2aedee539951a84f2aaf</t>
        </is>
      </c>
      <c r="E4533" t="inlineStr">
        <is>
          <t>paid_search</t>
        </is>
      </c>
      <c r="F4533">
        <f>IFERROR(MATCH(A4533,Deals!$A$2:$A$843,0),"")</f>
        <v/>
      </c>
      <c r="G4533">
        <f>IF(F4533="",0,1)</f>
        <v/>
      </c>
      <c r="H4533" s="29">
        <f>IF(F4533="","",INDEX(Deals!$E$2:$E$843,F4533))</f>
        <v/>
      </c>
      <c r="I4533">
        <f>IF(F4533="","",INDEX(Deals!$D$2:$D$843,F4533))</f>
        <v/>
      </c>
      <c r="J4533">
        <f>IF(F4533="","",INT(H4533)-B4533)</f>
        <v/>
      </c>
      <c r="K4533">
        <f>IF(B4533&gt;=Settings!$C$5,1,0)</f>
        <v/>
      </c>
    </row>
    <row r="4534">
      <c r="A4534" t="inlineStr">
        <is>
          <t>dd23490768a67ebc2fc92804d875f292</t>
        </is>
      </c>
      <c r="B4534" s="29" t="n">
        <v>43128</v>
      </c>
      <c r="C4534" t="inlineStr">
        <is>
          <t>2018-01</t>
        </is>
      </c>
      <c r="D4534" t="inlineStr">
        <is>
          <t>88740e65d5d6b056e0cda098e1ea6313</t>
        </is>
      </c>
      <c r="E4534" t="inlineStr">
        <is>
          <t>social</t>
        </is>
      </c>
      <c r="F4534">
        <f>IFERROR(MATCH(A4534,Deals!$A$2:$A$843,0),"")</f>
        <v/>
      </c>
      <c r="G4534">
        <f>IF(F4534="",0,1)</f>
        <v/>
      </c>
      <c r="H4534" s="29">
        <f>IF(F4534="","",INDEX(Deals!$E$2:$E$843,F4534))</f>
        <v/>
      </c>
      <c r="I4534">
        <f>IF(F4534="","",INDEX(Deals!$D$2:$D$843,F4534))</f>
        <v/>
      </c>
      <c r="J4534">
        <f>IF(F4534="","",INT(H4534)-B4534)</f>
        <v/>
      </c>
      <c r="K4534">
        <f>IF(B4534&gt;=Settings!$C$5,1,0)</f>
        <v/>
      </c>
    </row>
    <row r="4535">
      <c r="A4535" t="inlineStr">
        <is>
          <t>2506cb5bb9ec000ba76112982bb47dc2</t>
        </is>
      </c>
      <c r="B4535" s="29" t="n">
        <v>43138</v>
      </c>
      <c r="C4535" t="inlineStr">
        <is>
          <t>2018-02</t>
        </is>
      </c>
      <c r="D4535" t="inlineStr">
        <is>
          <t>dfc3b656bac13de62e4efca322b3f2c1</t>
        </is>
      </c>
      <c r="E4535" t="inlineStr">
        <is>
          <t>email</t>
        </is>
      </c>
      <c r="F4535">
        <f>IFERROR(MATCH(A4535,Deals!$A$2:$A$843,0),"")</f>
        <v/>
      </c>
      <c r="G4535">
        <f>IF(F4535="",0,1)</f>
        <v/>
      </c>
      <c r="H4535" s="29">
        <f>IF(F4535="","",INDEX(Deals!$E$2:$E$843,F4535))</f>
        <v/>
      </c>
      <c r="I4535">
        <f>IF(F4535="","",INDEX(Deals!$D$2:$D$843,F4535))</f>
        <v/>
      </c>
      <c r="J4535">
        <f>IF(F4535="","",INT(H4535)-B4535)</f>
        <v/>
      </c>
      <c r="K4535">
        <f>IF(B4535&gt;=Settings!$C$5,1,0)</f>
        <v/>
      </c>
    </row>
    <row r="4536">
      <c r="A4536" t="inlineStr">
        <is>
          <t>0fcbf0a290e4dba30d5702ec0ed9444e</t>
        </is>
      </c>
      <c r="B4536" s="29" t="n">
        <v>43245</v>
      </c>
      <c r="C4536" t="inlineStr">
        <is>
          <t>2018-05</t>
        </is>
      </c>
      <c r="D4536" t="inlineStr">
        <is>
          <t>f017be4dbf86243af5c1ebed0cff36a2</t>
        </is>
      </c>
      <c r="E4536" t="inlineStr">
        <is>
          <t>organic_search</t>
        </is>
      </c>
      <c r="F4536">
        <f>IFERROR(MATCH(A4536,Deals!$A$2:$A$843,0),"")</f>
        <v/>
      </c>
      <c r="G4536">
        <f>IF(F4536="",0,1)</f>
        <v/>
      </c>
      <c r="H4536" s="29">
        <f>IF(F4536="","",INDEX(Deals!$E$2:$E$843,F4536))</f>
        <v/>
      </c>
      <c r="I4536">
        <f>IF(F4536="","",INDEX(Deals!$D$2:$D$843,F4536))</f>
        <v/>
      </c>
      <c r="J4536">
        <f>IF(F4536="","",INT(H4536)-B4536)</f>
        <v/>
      </c>
      <c r="K4536">
        <f>IF(B4536&gt;=Settings!$C$5,1,0)</f>
        <v/>
      </c>
    </row>
    <row r="4537">
      <c r="A4537" t="inlineStr">
        <is>
          <t>0aa886105b1ba7a8db845491110a5bb7</t>
        </is>
      </c>
      <c r="B4537" s="29" t="n">
        <v>42983</v>
      </c>
      <c r="C4537" t="inlineStr">
        <is>
          <t>2017-09</t>
        </is>
      </c>
      <c r="D4537" t="inlineStr">
        <is>
          <t>1694e838dffa97f640fcfa35e86e438e</t>
        </is>
      </c>
      <c r="E4537" t="inlineStr">
        <is>
          <t>organic_search</t>
        </is>
      </c>
      <c r="F4537">
        <f>IFERROR(MATCH(A4537,Deals!$A$2:$A$843,0),"")</f>
        <v/>
      </c>
      <c r="G4537">
        <f>IF(F4537="",0,1)</f>
        <v/>
      </c>
      <c r="H4537" s="29">
        <f>IF(F4537="","",INDEX(Deals!$E$2:$E$843,F4537))</f>
        <v/>
      </c>
      <c r="I4537">
        <f>IF(F4537="","",INDEX(Deals!$D$2:$D$843,F4537))</f>
        <v/>
      </c>
      <c r="J4537">
        <f>IF(F4537="","",INT(H4537)-B4537)</f>
        <v/>
      </c>
      <c r="K4537">
        <f>IF(B4537&gt;=Settings!$C$5,1,0)</f>
        <v/>
      </c>
    </row>
    <row r="4538">
      <c r="A4538" t="inlineStr">
        <is>
          <t>d1adea75d1a44e2993a7c3b1313a08c7</t>
        </is>
      </c>
      <c r="B4538" s="29" t="n">
        <v>43182</v>
      </c>
      <c r="C4538" t="inlineStr">
        <is>
          <t>2018-03</t>
        </is>
      </c>
      <c r="D4538" t="inlineStr">
        <is>
          <t>b76ef37428e6799c421989521c0e5077</t>
        </is>
      </c>
      <c r="E4538" t="inlineStr">
        <is>
          <t>unknown</t>
        </is>
      </c>
      <c r="F4538">
        <f>IFERROR(MATCH(A4538,Deals!$A$2:$A$843,0),"")</f>
        <v/>
      </c>
      <c r="G4538">
        <f>IF(F4538="",0,1)</f>
        <v/>
      </c>
      <c r="H4538" s="29">
        <f>IF(F4538="","",INDEX(Deals!$E$2:$E$843,F4538))</f>
        <v/>
      </c>
      <c r="I4538">
        <f>IF(F4538="","",INDEX(Deals!$D$2:$D$843,F4538))</f>
        <v/>
      </c>
      <c r="J4538">
        <f>IF(F4538="","",INT(H4538)-B4538)</f>
        <v/>
      </c>
      <c r="K4538">
        <f>IF(B4538&gt;=Settings!$C$5,1,0)</f>
        <v/>
      </c>
    </row>
    <row r="4539">
      <c r="A4539" t="inlineStr">
        <is>
          <t>f9a337694667d58b8659df20c9ef8bba</t>
        </is>
      </c>
      <c r="B4539" s="29" t="n">
        <v>43162</v>
      </c>
      <c r="C4539" t="inlineStr">
        <is>
          <t>2018-03</t>
        </is>
      </c>
      <c r="D4539" t="inlineStr">
        <is>
          <t>a7982125ff7aa3b2054c6e44f9d28522</t>
        </is>
      </c>
      <c r="E4539" t="inlineStr">
        <is>
          <t>organic_search</t>
        </is>
      </c>
      <c r="F4539">
        <f>IFERROR(MATCH(A4539,Deals!$A$2:$A$843,0),"")</f>
        <v/>
      </c>
      <c r="G4539">
        <f>IF(F4539="",0,1)</f>
        <v/>
      </c>
      <c r="H4539" s="29">
        <f>IF(F4539="","",INDEX(Deals!$E$2:$E$843,F4539))</f>
        <v/>
      </c>
      <c r="I4539">
        <f>IF(F4539="","",INDEX(Deals!$D$2:$D$843,F4539))</f>
        <v/>
      </c>
      <c r="J4539">
        <f>IF(F4539="","",INT(H4539)-B4539)</f>
        <v/>
      </c>
      <c r="K4539">
        <f>IF(B4539&gt;=Settings!$C$5,1,0)</f>
        <v/>
      </c>
    </row>
    <row r="4540">
      <c r="A4540" t="inlineStr">
        <is>
          <t>66a7bb0bfc7f4f952d518528c1c7e024</t>
        </is>
      </c>
      <c r="B4540" s="29" t="n">
        <v>43196</v>
      </c>
      <c r="C4540" t="inlineStr">
        <is>
          <t>2018-04</t>
        </is>
      </c>
      <c r="D4540" t="inlineStr">
        <is>
          <t>22c29808c4f815213303f8933030604c</t>
        </is>
      </c>
      <c r="E4540" t="inlineStr">
        <is>
          <t>organic_search</t>
        </is>
      </c>
      <c r="F4540">
        <f>IFERROR(MATCH(A4540,Deals!$A$2:$A$843,0),"")</f>
        <v/>
      </c>
      <c r="G4540">
        <f>IF(F4540="",0,1)</f>
        <v/>
      </c>
      <c r="H4540" s="29">
        <f>IF(F4540="","",INDEX(Deals!$E$2:$E$843,F4540))</f>
        <v/>
      </c>
      <c r="I4540">
        <f>IF(F4540="","",INDEX(Deals!$D$2:$D$843,F4540))</f>
        <v/>
      </c>
      <c r="J4540">
        <f>IF(F4540="","",INT(H4540)-B4540)</f>
        <v/>
      </c>
      <c r="K4540">
        <f>IF(B4540&gt;=Settings!$C$5,1,0)</f>
        <v/>
      </c>
    </row>
    <row r="4541">
      <c r="A4541" t="inlineStr">
        <is>
          <t>3ca11bf25d70249efaa8defbad073898</t>
        </is>
      </c>
      <c r="B4541" s="29" t="n">
        <v>43172</v>
      </c>
      <c r="C4541" t="inlineStr">
        <is>
          <t>2018-03</t>
        </is>
      </c>
      <c r="D4541" t="inlineStr">
        <is>
          <t>bddebc4f4d44106c427bd00695840e64</t>
        </is>
      </c>
      <c r="E4541" t="inlineStr">
        <is>
          <t>email</t>
        </is>
      </c>
      <c r="F4541">
        <f>IFERROR(MATCH(A4541,Deals!$A$2:$A$843,0),"")</f>
        <v/>
      </c>
      <c r="G4541">
        <f>IF(F4541="",0,1)</f>
        <v/>
      </c>
      <c r="H4541" s="29">
        <f>IF(F4541="","",INDEX(Deals!$E$2:$E$843,F4541))</f>
        <v/>
      </c>
      <c r="I4541">
        <f>IF(F4541="","",INDEX(Deals!$D$2:$D$843,F4541))</f>
        <v/>
      </c>
      <c r="J4541">
        <f>IF(F4541="","",INT(H4541)-B4541)</f>
        <v/>
      </c>
      <c r="K4541">
        <f>IF(B4541&gt;=Settings!$C$5,1,0)</f>
        <v/>
      </c>
    </row>
    <row r="4542">
      <c r="A4542" t="inlineStr">
        <is>
          <t>7ccf00b6949c12d2df1963c60fad4f25</t>
        </is>
      </c>
      <c r="B4542" s="29" t="n">
        <v>43178</v>
      </c>
      <c r="C4542" t="inlineStr">
        <is>
          <t>2018-03</t>
        </is>
      </c>
      <c r="D4542" t="inlineStr">
        <is>
          <t>c35447dcd1a50b2e2ee3184be602b597</t>
        </is>
      </c>
      <c r="E4542" t="inlineStr">
        <is>
          <t>social</t>
        </is>
      </c>
      <c r="F4542">
        <f>IFERROR(MATCH(A4542,Deals!$A$2:$A$843,0),"")</f>
        <v/>
      </c>
      <c r="G4542">
        <f>IF(F4542="",0,1)</f>
        <v/>
      </c>
      <c r="H4542" s="29">
        <f>IF(F4542="","",INDEX(Deals!$E$2:$E$843,F4542))</f>
        <v/>
      </c>
      <c r="I4542">
        <f>IF(F4542="","",INDEX(Deals!$D$2:$D$843,F4542))</f>
        <v/>
      </c>
      <c r="J4542">
        <f>IF(F4542="","",INT(H4542)-B4542)</f>
        <v/>
      </c>
      <c r="K4542">
        <f>IF(B4542&gt;=Settings!$C$5,1,0)</f>
        <v/>
      </c>
    </row>
    <row r="4543">
      <c r="A4543" t="inlineStr">
        <is>
          <t>fa42c2df2fc8063cd98aa32937c4bdd4</t>
        </is>
      </c>
      <c r="B4543" s="29" t="n">
        <v>42965</v>
      </c>
      <c r="C4543" t="inlineStr">
        <is>
          <t>2017-08</t>
        </is>
      </c>
      <c r="D4543" t="inlineStr">
        <is>
          <t>22c29808c4f815213303f8933030604c</t>
        </is>
      </c>
      <c r="E4543" t="inlineStr">
        <is>
          <t>paid_search</t>
        </is>
      </c>
      <c r="F4543">
        <f>IFERROR(MATCH(A4543,Deals!$A$2:$A$843,0),"")</f>
        <v/>
      </c>
      <c r="G4543">
        <f>IF(F4543="",0,1)</f>
        <v/>
      </c>
      <c r="H4543" s="29">
        <f>IF(F4543="","",INDEX(Deals!$E$2:$E$843,F4543))</f>
        <v/>
      </c>
      <c r="I4543">
        <f>IF(F4543="","",INDEX(Deals!$D$2:$D$843,F4543))</f>
        <v/>
      </c>
      <c r="J4543">
        <f>IF(F4543="","",INT(H4543)-B4543)</f>
        <v/>
      </c>
      <c r="K4543">
        <f>IF(B4543&gt;=Settings!$C$5,1,0)</f>
        <v/>
      </c>
    </row>
    <row r="4544">
      <c r="A4544" t="inlineStr">
        <is>
          <t>8f77d77a3ccd2278ae5786de7012b816</t>
        </is>
      </c>
      <c r="B4544" s="29" t="n">
        <v>43156</v>
      </c>
      <c r="C4544" t="inlineStr">
        <is>
          <t>2018-02</t>
        </is>
      </c>
      <c r="D4544" t="inlineStr">
        <is>
          <t>d662cbb2406577ba48384119fd62ac14</t>
        </is>
      </c>
      <c r="E4544" t="inlineStr">
        <is>
          <t>social</t>
        </is>
      </c>
      <c r="F4544">
        <f>IFERROR(MATCH(A4544,Deals!$A$2:$A$843,0),"")</f>
        <v/>
      </c>
      <c r="G4544">
        <f>IF(F4544="",0,1)</f>
        <v/>
      </c>
      <c r="H4544" s="29">
        <f>IF(F4544="","",INDEX(Deals!$E$2:$E$843,F4544))</f>
        <v/>
      </c>
      <c r="I4544">
        <f>IF(F4544="","",INDEX(Deals!$D$2:$D$843,F4544))</f>
        <v/>
      </c>
      <c r="J4544">
        <f>IF(F4544="","",INT(H4544)-B4544)</f>
        <v/>
      </c>
      <c r="K4544">
        <f>IF(B4544&gt;=Settings!$C$5,1,0)</f>
        <v/>
      </c>
    </row>
    <row r="4545">
      <c r="A4545" t="inlineStr">
        <is>
          <t>08fdf1038af7dd3070bdcd18922e23b2</t>
        </is>
      </c>
      <c r="B4545" s="29" t="n">
        <v>43137</v>
      </c>
      <c r="C4545" t="inlineStr">
        <is>
          <t>2018-02</t>
        </is>
      </c>
      <c r="D4545" t="inlineStr">
        <is>
          <t>864a3926849a5f8043323b1a6ef0fb26</t>
        </is>
      </c>
      <c r="E4545" t="inlineStr">
        <is>
          <t>paid_search</t>
        </is>
      </c>
      <c r="F4545">
        <f>IFERROR(MATCH(A4545,Deals!$A$2:$A$843,0),"")</f>
        <v/>
      </c>
      <c r="G4545">
        <f>IF(F4545="",0,1)</f>
        <v/>
      </c>
      <c r="H4545" s="29">
        <f>IF(F4545="","",INDEX(Deals!$E$2:$E$843,F4545))</f>
        <v/>
      </c>
      <c r="I4545">
        <f>IF(F4545="","",INDEX(Deals!$D$2:$D$843,F4545))</f>
        <v/>
      </c>
      <c r="J4545">
        <f>IF(F4545="","",INT(H4545)-B4545)</f>
        <v/>
      </c>
      <c r="K4545">
        <f>IF(B4545&gt;=Settings!$C$5,1,0)</f>
        <v/>
      </c>
    </row>
    <row r="4546">
      <c r="A4546" t="inlineStr">
        <is>
          <t>3c48606cfd8cbb659833c45ce87e49a6</t>
        </is>
      </c>
      <c r="B4546" s="29" t="n">
        <v>43219</v>
      </c>
      <c r="C4546" t="inlineStr">
        <is>
          <t>2018-04</t>
        </is>
      </c>
      <c r="D4546" t="inlineStr">
        <is>
          <t>40dec9f3d5259a3d2dbcdab2114fae47</t>
        </is>
      </c>
      <c r="E4546" t="inlineStr">
        <is>
          <t>organic_search</t>
        </is>
      </c>
      <c r="F4546">
        <f>IFERROR(MATCH(A4546,Deals!$A$2:$A$843,0),"")</f>
        <v/>
      </c>
      <c r="G4546">
        <f>IF(F4546="",0,1)</f>
        <v/>
      </c>
      <c r="H4546" s="29">
        <f>IF(F4546="","",INDEX(Deals!$E$2:$E$843,F4546))</f>
        <v/>
      </c>
      <c r="I4546">
        <f>IF(F4546="","",INDEX(Deals!$D$2:$D$843,F4546))</f>
        <v/>
      </c>
      <c r="J4546">
        <f>IF(F4546="","",INT(H4546)-B4546)</f>
        <v/>
      </c>
      <c r="K4546">
        <f>IF(B4546&gt;=Settings!$C$5,1,0)</f>
        <v/>
      </c>
    </row>
    <row r="4547">
      <c r="A4547" t="inlineStr">
        <is>
          <t>791b8be7a85b67b9f4c4cb57f8927fac</t>
        </is>
      </c>
      <c r="B4547" s="29" t="n">
        <v>43161</v>
      </c>
      <c r="C4547" t="inlineStr">
        <is>
          <t>2018-03</t>
        </is>
      </c>
      <c r="D4547" t="inlineStr">
        <is>
          <t>b76ef37428e6799c421989521c0e5077</t>
        </is>
      </c>
      <c r="E4547" t="inlineStr">
        <is>
          <t>unknown</t>
        </is>
      </c>
      <c r="F4547">
        <f>IFERROR(MATCH(A4547,Deals!$A$2:$A$843,0),"")</f>
        <v/>
      </c>
      <c r="G4547">
        <f>IF(F4547="",0,1)</f>
        <v/>
      </c>
      <c r="H4547" s="29">
        <f>IF(F4547="","",INDEX(Deals!$E$2:$E$843,F4547))</f>
        <v/>
      </c>
      <c r="I4547">
        <f>IF(F4547="","",INDEX(Deals!$D$2:$D$843,F4547))</f>
        <v/>
      </c>
      <c r="J4547">
        <f>IF(F4547="","",INT(H4547)-B4547)</f>
        <v/>
      </c>
      <c r="K4547">
        <f>IF(B4547&gt;=Settings!$C$5,1,0)</f>
        <v/>
      </c>
    </row>
    <row r="4548">
      <c r="A4548" t="inlineStr">
        <is>
          <t>4ff3d71d1db60f2973fc2a2f24967dc7</t>
        </is>
      </c>
      <c r="B4548" s="29" t="n">
        <v>43207</v>
      </c>
      <c r="C4548" t="inlineStr">
        <is>
          <t>2018-04</t>
        </is>
      </c>
      <c r="D4548" t="inlineStr">
        <is>
          <t>40dec9f3d5259a3d2dbcdab2114fae47</t>
        </is>
      </c>
      <c r="E4548" t="inlineStr">
        <is>
          <t>paid_search</t>
        </is>
      </c>
      <c r="F4548">
        <f>IFERROR(MATCH(A4548,Deals!$A$2:$A$843,0),"")</f>
        <v/>
      </c>
      <c r="G4548">
        <f>IF(F4548="",0,1)</f>
        <v/>
      </c>
      <c r="H4548" s="29">
        <f>IF(F4548="","",INDEX(Deals!$E$2:$E$843,F4548))</f>
        <v/>
      </c>
      <c r="I4548">
        <f>IF(F4548="","",INDEX(Deals!$D$2:$D$843,F4548))</f>
        <v/>
      </c>
      <c r="J4548">
        <f>IF(F4548="","",INT(H4548)-B4548)</f>
        <v/>
      </c>
      <c r="K4548">
        <f>IF(B4548&gt;=Settings!$C$5,1,0)</f>
        <v/>
      </c>
    </row>
    <row r="4549">
      <c r="A4549" t="inlineStr">
        <is>
          <t>1b52316d70bb30edd173db4f2805c856</t>
        </is>
      </c>
      <c r="B4549" s="29" t="n">
        <v>42968</v>
      </c>
      <c r="C4549" t="inlineStr">
        <is>
          <t>2017-08</t>
        </is>
      </c>
      <c r="D4549" t="inlineStr">
        <is>
          <t>87732658ba41d8775e8577df347a64db</t>
        </is>
      </c>
      <c r="E4549" t="inlineStr">
        <is>
          <t>social</t>
        </is>
      </c>
      <c r="F4549">
        <f>IFERROR(MATCH(A4549,Deals!$A$2:$A$843,0),"")</f>
        <v/>
      </c>
      <c r="G4549">
        <f>IF(F4549="",0,1)</f>
        <v/>
      </c>
      <c r="H4549" s="29">
        <f>IF(F4549="","",INDEX(Deals!$E$2:$E$843,F4549))</f>
        <v/>
      </c>
      <c r="I4549">
        <f>IF(F4549="","",INDEX(Deals!$D$2:$D$843,F4549))</f>
        <v/>
      </c>
      <c r="J4549">
        <f>IF(F4549="","",INT(H4549)-B4549)</f>
        <v/>
      </c>
      <c r="K4549">
        <f>IF(B4549&gt;=Settings!$C$5,1,0)</f>
        <v/>
      </c>
    </row>
    <row r="4550">
      <c r="A4550" t="inlineStr">
        <is>
          <t>24d510a6f87403bf5b83f64726c3fd90</t>
        </is>
      </c>
      <c r="B4550" s="29" t="n">
        <v>43202</v>
      </c>
      <c r="C4550" t="inlineStr">
        <is>
          <t>2018-04</t>
        </is>
      </c>
      <c r="D4550" t="inlineStr">
        <is>
          <t>5ecb50153794666e90bc04c0076b7834</t>
        </is>
      </c>
      <c r="E4550" t="inlineStr">
        <is>
          <t>paid_search</t>
        </is>
      </c>
      <c r="F4550">
        <f>IFERROR(MATCH(A4550,Deals!$A$2:$A$843,0),"")</f>
        <v/>
      </c>
      <c r="G4550">
        <f>IF(F4550="",0,1)</f>
        <v/>
      </c>
      <c r="H4550" s="29">
        <f>IF(F4550="","",INDEX(Deals!$E$2:$E$843,F4550))</f>
        <v/>
      </c>
      <c r="I4550">
        <f>IF(F4550="","",INDEX(Deals!$D$2:$D$843,F4550))</f>
        <v/>
      </c>
      <c r="J4550">
        <f>IF(F4550="","",INT(H4550)-B4550)</f>
        <v/>
      </c>
      <c r="K4550">
        <f>IF(B4550&gt;=Settings!$C$5,1,0)</f>
        <v/>
      </c>
    </row>
    <row r="4551">
      <c r="A4551" t="inlineStr">
        <is>
          <t>3ae71b78fa1f65e5a707af81770cd388</t>
        </is>
      </c>
      <c r="B4551" s="29" t="n">
        <v>43172</v>
      </c>
      <c r="C4551" t="inlineStr">
        <is>
          <t>2018-03</t>
        </is>
      </c>
      <c r="D4551" t="inlineStr">
        <is>
          <t>daa9619c6f8ed06d059265dca0f9257f</t>
        </is>
      </c>
      <c r="E4551" t="inlineStr">
        <is>
          <t>other_publicities</t>
        </is>
      </c>
      <c r="F4551">
        <f>IFERROR(MATCH(A4551,Deals!$A$2:$A$843,0),"")</f>
        <v/>
      </c>
      <c r="G4551">
        <f>IF(F4551="",0,1)</f>
        <v/>
      </c>
      <c r="H4551" s="29">
        <f>IF(F4551="","",INDEX(Deals!$E$2:$E$843,F4551))</f>
        <v/>
      </c>
      <c r="I4551">
        <f>IF(F4551="","",INDEX(Deals!$D$2:$D$843,F4551))</f>
        <v/>
      </c>
      <c r="J4551">
        <f>IF(F4551="","",INT(H4551)-B4551)</f>
        <v/>
      </c>
      <c r="K4551">
        <f>IF(B4551&gt;=Settings!$C$5,1,0)</f>
        <v/>
      </c>
    </row>
    <row r="4552">
      <c r="A4552" t="inlineStr">
        <is>
          <t>a0a9b321a2b35675be63a0603e77f0f2</t>
        </is>
      </c>
      <c r="B4552" s="29" t="n">
        <v>43171</v>
      </c>
      <c r="C4552" t="inlineStr">
        <is>
          <t>2018-03</t>
        </is>
      </c>
      <c r="D4552" t="inlineStr">
        <is>
          <t>330b9d44078a1ae5a221d655dcb77afa</t>
        </is>
      </c>
      <c r="E4552" t="inlineStr">
        <is>
          <t>unknown</t>
        </is>
      </c>
      <c r="F4552">
        <f>IFERROR(MATCH(A4552,Deals!$A$2:$A$843,0),"")</f>
        <v/>
      </c>
      <c r="G4552">
        <f>IF(F4552="",0,1)</f>
        <v/>
      </c>
      <c r="H4552" s="29">
        <f>IF(F4552="","",INDEX(Deals!$E$2:$E$843,F4552))</f>
        <v/>
      </c>
      <c r="I4552">
        <f>IF(F4552="","",INDEX(Deals!$D$2:$D$843,F4552))</f>
        <v/>
      </c>
      <c r="J4552">
        <f>IF(F4552="","",INT(H4552)-B4552)</f>
        <v/>
      </c>
      <c r="K4552">
        <f>IF(B4552&gt;=Settings!$C$5,1,0)</f>
        <v/>
      </c>
    </row>
    <row r="4553">
      <c r="A4553" t="inlineStr">
        <is>
          <t>31fa042538088bc9a6cf8de213b5181b</t>
        </is>
      </c>
      <c r="B4553" s="29" t="n">
        <v>43184</v>
      </c>
      <c r="C4553" t="inlineStr">
        <is>
          <t>2018-03</t>
        </is>
      </c>
      <c r="D4553" t="inlineStr">
        <is>
          <t>f98c2bd96ac4a5d9476734e790c91384</t>
        </is>
      </c>
      <c r="E4553" t="inlineStr">
        <is>
          <t>organic_search</t>
        </is>
      </c>
      <c r="F4553">
        <f>IFERROR(MATCH(A4553,Deals!$A$2:$A$843,0),"")</f>
        <v/>
      </c>
      <c r="G4553">
        <f>IF(F4553="",0,1)</f>
        <v/>
      </c>
      <c r="H4553" s="29">
        <f>IF(F4553="","",INDEX(Deals!$E$2:$E$843,F4553))</f>
        <v/>
      </c>
      <c r="I4553">
        <f>IF(F4553="","",INDEX(Deals!$D$2:$D$843,F4553))</f>
        <v/>
      </c>
      <c r="J4553">
        <f>IF(F4553="","",INT(H4553)-B4553)</f>
        <v/>
      </c>
      <c r="K4553">
        <f>IF(B4553&gt;=Settings!$C$5,1,0)</f>
        <v/>
      </c>
    </row>
    <row r="4554">
      <c r="A4554" t="inlineStr">
        <is>
          <t>f0d09ad8cf586c7097caf3a153961a65</t>
        </is>
      </c>
      <c r="B4554" s="29" t="n">
        <v>43245</v>
      </c>
      <c r="C4554" t="inlineStr">
        <is>
          <t>2018-05</t>
        </is>
      </c>
      <c r="D4554" t="inlineStr">
        <is>
          <t>7fa6214d82e911d070f51ef79381b956</t>
        </is>
      </c>
      <c r="E4554" t="inlineStr">
        <is>
          <t>organic_search</t>
        </is>
      </c>
      <c r="F4554">
        <f>IFERROR(MATCH(A4554,Deals!$A$2:$A$843,0),"")</f>
        <v/>
      </c>
      <c r="G4554">
        <f>IF(F4554="",0,1)</f>
        <v/>
      </c>
      <c r="H4554" s="29">
        <f>IF(F4554="","",INDEX(Deals!$E$2:$E$843,F4554))</f>
        <v/>
      </c>
      <c r="I4554">
        <f>IF(F4554="","",INDEX(Deals!$D$2:$D$843,F4554))</f>
        <v/>
      </c>
      <c r="J4554">
        <f>IF(F4554="","",INT(H4554)-B4554)</f>
        <v/>
      </c>
      <c r="K4554">
        <f>IF(B4554&gt;=Settings!$C$5,1,0)</f>
        <v/>
      </c>
    </row>
    <row r="4555">
      <c r="A4555" t="inlineStr">
        <is>
          <t>fdd877d9c3ca4eaf91d22d2b2ba54f52</t>
        </is>
      </c>
      <c r="B4555" s="29" t="n">
        <v>43005</v>
      </c>
      <c r="C4555" t="inlineStr">
        <is>
          <t>2017-09</t>
        </is>
      </c>
      <c r="D4555" t="inlineStr">
        <is>
          <t>c555aa36478386fdf85a2d0ca5cd0ff8</t>
        </is>
      </c>
      <c r="E4555" t="inlineStr">
        <is>
          <t>referral</t>
        </is>
      </c>
      <c r="F4555">
        <f>IFERROR(MATCH(A4555,Deals!$A$2:$A$843,0),"")</f>
        <v/>
      </c>
      <c r="G4555">
        <f>IF(F4555="",0,1)</f>
        <v/>
      </c>
      <c r="H4555" s="29">
        <f>IF(F4555="","",INDEX(Deals!$E$2:$E$843,F4555))</f>
        <v/>
      </c>
      <c r="I4555">
        <f>IF(F4555="","",INDEX(Deals!$D$2:$D$843,F4555))</f>
        <v/>
      </c>
      <c r="J4555">
        <f>IF(F4555="","",INT(H4555)-B4555)</f>
        <v/>
      </c>
      <c r="K4555">
        <f>IF(B4555&gt;=Settings!$C$5,1,0)</f>
        <v/>
      </c>
    </row>
    <row r="4556">
      <c r="A4556" t="inlineStr">
        <is>
          <t>2cf7926aeec52fbe4f1a6ae2a1770329</t>
        </is>
      </c>
      <c r="B4556" s="29" t="n">
        <v>42974</v>
      </c>
      <c r="C4556" t="inlineStr">
        <is>
          <t>2017-08</t>
        </is>
      </c>
      <c r="D4556" t="inlineStr">
        <is>
          <t>87732658ba41d8775e8577df347a64db</t>
        </is>
      </c>
      <c r="E4556" t="inlineStr">
        <is>
          <t>social</t>
        </is>
      </c>
      <c r="F4556">
        <f>IFERROR(MATCH(A4556,Deals!$A$2:$A$843,0),"")</f>
        <v/>
      </c>
      <c r="G4556">
        <f>IF(F4556="",0,1)</f>
        <v/>
      </c>
      <c r="H4556" s="29">
        <f>IF(F4556="","",INDEX(Deals!$E$2:$E$843,F4556))</f>
        <v/>
      </c>
      <c r="I4556">
        <f>IF(F4556="","",INDEX(Deals!$D$2:$D$843,F4556))</f>
        <v/>
      </c>
      <c r="J4556">
        <f>IF(F4556="","",INT(H4556)-B4556)</f>
        <v/>
      </c>
      <c r="K4556">
        <f>IF(B4556&gt;=Settings!$C$5,1,0)</f>
        <v/>
      </c>
    </row>
    <row r="4557">
      <c r="A4557" t="inlineStr">
        <is>
          <t>3b05af2c48dbaf6656fdf2d2f905b3b6</t>
        </is>
      </c>
      <c r="B4557" s="29" t="n">
        <v>43120</v>
      </c>
      <c r="C4557" t="inlineStr">
        <is>
          <t>2018-01</t>
        </is>
      </c>
      <c r="D4557" t="inlineStr">
        <is>
          <t>909e333f8f23574f93115bd3d402e202</t>
        </is>
      </c>
      <c r="E4557" t="inlineStr">
        <is>
          <t>social</t>
        </is>
      </c>
      <c r="F4557">
        <f>IFERROR(MATCH(A4557,Deals!$A$2:$A$843,0),"")</f>
        <v/>
      </c>
      <c r="G4557">
        <f>IF(F4557="",0,1)</f>
        <v/>
      </c>
      <c r="H4557" s="29">
        <f>IF(F4557="","",INDEX(Deals!$E$2:$E$843,F4557))</f>
        <v/>
      </c>
      <c r="I4557">
        <f>IF(F4557="","",INDEX(Deals!$D$2:$D$843,F4557))</f>
        <v/>
      </c>
      <c r="J4557">
        <f>IF(F4557="","",INT(H4557)-B4557)</f>
        <v/>
      </c>
      <c r="K4557">
        <f>IF(B4557&gt;=Settings!$C$5,1,0)</f>
        <v/>
      </c>
    </row>
    <row r="4558">
      <c r="A4558" t="inlineStr">
        <is>
          <t>eaded4ffac1061e8ed9daea37561e941</t>
        </is>
      </c>
      <c r="B4558" s="29" t="n">
        <v>43109</v>
      </c>
      <c r="C4558" t="inlineStr">
        <is>
          <t>2018-01</t>
        </is>
      </c>
      <c r="D4558" t="inlineStr">
        <is>
          <t>88740e65d5d6b056e0cda098e1ea6313</t>
        </is>
      </c>
      <c r="E4558" t="inlineStr">
        <is>
          <t>social</t>
        </is>
      </c>
      <c r="F4558">
        <f>IFERROR(MATCH(A4558,Deals!$A$2:$A$843,0),"")</f>
        <v/>
      </c>
      <c r="G4558">
        <f>IF(F4558="",0,1)</f>
        <v/>
      </c>
      <c r="H4558" s="29">
        <f>IF(F4558="","",INDEX(Deals!$E$2:$E$843,F4558))</f>
        <v/>
      </c>
      <c r="I4558">
        <f>IF(F4558="","",INDEX(Deals!$D$2:$D$843,F4558))</f>
        <v/>
      </c>
      <c r="J4558">
        <f>IF(F4558="","",INT(H4558)-B4558)</f>
        <v/>
      </c>
      <c r="K4558">
        <f>IF(B4558&gt;=Settings!$C$5,1,0)</f>
        <v/>
      </c>
    </row>
    <row r="4559">
      <c r="A4559" t="inlineStr">
        <is>
          <t>e0823ffafcbdc34fa7140049fbe02f70</t>
        </is>
      </c>
      <c r="B4559" s="29" t="n">
        <v>43004</v>
      </c>
      <c r="C4559" t="inlineStr">
        <is>
          <t>2017-09</t>
        </is>
      </c>
      <c r="D4559" t="inlineStr">
        <is>
          <t>acd502dc52a068d7c4014af6d5dbcd11</t>
        </is>
      </c>
      <c r="E4559" t="inlineStr">
        <is>
          <t>email</t>
        </is>
      </c>
      <c r="F4559">
        <f>IFERROR(MATCH(A4559,Deals!$A$2:$A$843,0),"")</f>
        <v/>
      </c>
      <c r="G4559">
        <f>IF(F4559="",0,1)</f>
        <v/>
      </c>
      <c r="H4559" s="29">
        <f>IF(F4559="","",INDEX(Deals!$E$2:$E$843,F4559))</f>
        <v/>
      </c>
      <c r="I4559">
        <f>IF(F4559="","",INDEX(Deals!$D$2:$D$843,F4559))</f>
        <v/>
      </c>
      <c r="J4559">
        <f>IF(F4559="","",INT(H4559)-B4559)</f>
        <v/>
      </c>
      <c r="K4559">
        <f>IF(B4559&gt;=Settings!$C$5,1,0)</f>
        <v/>
      </c>
    </row>
    <row r="4560">
      <c r="A4560" t="inlineStr">
        <is>
          <t>42759774827b8680ddb8a6587761480f</t>
        </is>
      </c>
      <c r="B4560" s="29" t="n">
        <v>43204</v>
      </c>
      <c r="C4560" t="inlineStr">
        <is>
          <t>2018-04</t>
        </is>
      </c>
      <c r="D4560" t="inlineStr">
        <is>
          <t>f4cb9c7b1dc31afca77d4896d2ae8d4b</t>
        </is>
      </c>
      <c r="E4560" t="inlineStr">
        <is>
          <t>organic_search</t>
        </is>
      </c>
      <c r="F4560">
        <f>IFERROR(MATCH(A4560,Deals!$A$2:$A$843,0),"")</f>
        <v/>
      </c>
      <c r="G4560">
        <f>IF(F4560="",0,1)</f>
        <v/>
      </c>
      <c r="H4560" s="29">
        <f>IF(F4560="","",INDEX(Deals!$E$2:$E$843,F4560))</f>
        <v/>
      </c>
      <c r="I4560">
        <f>IF(F4560="","",INDEX(Deals!$D$2:$D$843,F4560))</f>
        <v/>
      </c>
      <c r="J4560">
        <f>IF(F4560="","",INT(H4560)-B4560)</f>
        <v/>
      </c>
      <c r="K4560">
        <f>IF(B4560&gt;=Settings!$C$5,1,0)</f>
        <v/>
      </c>
    </row>
    <row r="4561">
      <c r="A4561" t="inlineStr">
        <is>
          <t>1ae19daa81787a742185372def2a6aba</t>
        </is>
      </c>
      <c r="B4561" s="29" t="n">
        <v>43170</v>
      </c>
      <c r="C4561" t="inlineStr">
        <is>
          <t>2018-03</t>
        </is>
      </c>
      <c r="D4561" t="inlineStr">
        <is>
          <t>73f31a40697cc90a86c1273563ac230e</t>
        </is>
      </c>
      <c r="E4561" t="inlineStr">
        <is>
          <t>other</t>
        </is>
      </c>
      <c r="F4561">
        <f>IFERROR(MATCH(A4561,Deals!$A$2:$A$843,0),"")</f>
        <v/>
      </c>
      <c r="G4561">
        <f>IF(F4561="",0,1)</f>
        <v/>
      </c>
      <c r="H4561" s="29">
        <f>IF(F4561="","",INDEX(Deals!$E$2:$E$843,F4561))</f>
        <v/>
      </c>
      <c r="I4561">
        <f>IF(F4561="","",INDEX(Deals!$D$2:$D$843,F4561))</f>
        <v/>
      </c>
      <c r="J4561">
        <f>IF(F4561="","",INT(H4561)-B4561)</f>
        <v/>
      </c>
      <c r="K4561">
        <f>IF(B4561&gt;=Settings!$C$5,1,0)</f>
        <v/>
      </c>
    </row>
    <row r="4562">
      <c r="A4562" t="inlineStr">
        <is>
          <t>285976ea634eee4a3e2204b519e7e7d9</t>
        </is>
      </c>
      <c r="B4562" s="29" t="n">
        <v>43198</v>
      </c>
      <c r="C4562" t="inlineStr">
        <is>
          <t>2018-04</t>
        </is>
      </c>
      <c r="D4562" t="inlineStr">
        <is>
          <t>30077c17f2ec5010a82e37ad8925b95f</t>
        </is>
      </c>
      <c r="E4562" t="inlineStr">
        <is>
          <t>organic_search</t>
        </is>
      </c>
      <c r="F4562">
        <f>IFERROR(MATCH(A4562,Deals!$A$2:$A$843,0),"")</f>
        <v/>
      </c>
      <c r="G4562">
        <f>IF(F4562="",0,1)</f>
        <v/>
      </c>
      <c r="H4562" s="29">
        <f>IF(F4562="","",INDEX(Deals!$E$2:$E$843,F4562))</f>
        <v/>
      </c>
      <c r="I4562">
        <f>IF(F4562="","",INDEX(Deals!$D$2:$D$843,F4562))</f>
        <v/>
      </c>
      <c r="J4562">
        <f>IF(F4562="","",INT(H4562)-B4562)</f>
        <v/>
      </c>
      <c r="K4562">
        <f>IF(B4562&gt;=Settings!$C$5,1,0)</f>
        <v/>
      </c>
    </row>
    <row r="4563">
      <c r="A4563" t="inlineStr">
        <is>
          <t>e92ea2e30768f2fda96f7e9eba39c6eb</t>
        </is>
      </c>
      <c r="B4563" s="29" t="n">
        <v>43180</v>
      </c>
      <c r="C4563" t="inlineStr">
        <is>
          <t>2018-03</t>
        </is>
      </c>
      <c r="D4563" t="inlineStr">
        <is>
          <t>e492ee5eaf1697716985cc6f33f9cd9b</t>
        </is>
      </c>
      <c r="E4563" t="inlineStr">
        <is>
          <t>email</t>
        </is>
      </c>
      <c r="F4563">
        <f>IFERROR(MATCH(A4563,Deals!$A$2:$A$843,0),"")</f>
        <v/>
      </c>
      <c r="G4563">
        <f>IF(F4563="",0,1)</f>
        <v/>
      </c>
      <c r="H4563" s="29">
        <f>IF(F4563="","",INDEX(Deals!$E$2:$E$843,F4563))</f>
        <v/>
      </c>
      <c r="I4563">
        <f>IF(F4563="","",INDEX(Deals!$D$2:$D$843,F4563))</f>
        <v/>
      </c>
      <c r="J4563">
        <f>IF(F4563="","",INT(H4563)-B4563)</f>
        <v/>
      </c>
      <c r="K4563">
        <f>IF(B4563&gt;=Settings!$C$5,1,0)</f>
        <v/>
      </c>
    </row>
    <row r="4564">
      <c r="A4564" t="inlineStr">
        <is>
          <t>4663bd95f4de11218493533738a71b00</t>
        </is>
      </c>
      <c r="B4564" s="29" t="n">
        <v>43126</v>
      </c>
      <c r="C4564" t="inlineStr">
        <is>
          <t>2018-01</t>
        </is>
      </c>
      <c r="D4564" t="inlineStr">
        <is>
          <t>e492ee5eaf1697716985cc6f33f9cd9b</t>
        </is>
      </c>
      <c r="E4564" t="inlineStr">
        <is>
          <t>other</t>
        </is>
      </c>
      <c r="F4564">
        <f>IFERROR(MATCH(A4564,Deals!$A$2:$A$843,0),"")</f>
        <v/>
      </c>
      <c r="G4564">
        <f>IF(F4564="",0,1)</f>
        <v/>
      </c>
      <c r="H4564" s="29">
        <f>IF(F4564="","",INDEX(Deals!$E$2:$E$843,F4564))</f>
        <v/>
      </c>
      <c r="I4564">
        <f>IF(F4564="","",INDEX(Deals!$D$2:$D$843,F4564))</f>
        <v/>
      </c>
      <c r="J4564">
        <f>IF(F4564="","",INT(H4564)-B4564)</f>
        <v/>
      </c>
      <c r="K4564">
        <f>IF(B4564&gt;=Settings!$C$5,1,0)</f>
        <v/>
      </c>
    </row>
    <row r="4565">
      <c r="A4565" t="inlineStr">
        <is>
          <t>240d037d4b3f1297e1bd4e9128a94506</t>
        </is>
      </c>
      <c r="B4565" s="29" t="n">
        <v>43180</v>
      </c>
      <c r="C4565" t="inlineStr">
        <is>
          <t>2018-03</t>
        </is>
      </c>
      <c r="D4565" t="inlineStr">
        <is>
          <t>40dec9f3d5259a3d2dbcdab2114fae47</t>
        </is>
      </c>
      <c r="E4565" t="inlineStr">
        <is>
          <t>paid_search</t>
        </is>
      </c>
      <c r="F4565">
        <f>IFERROR(MATCH(A4565,Deals!$A$2:$A$843,0),"")</f>
        <v/>
      </c>
      <c r="G4565">
        <f>IF(F4565="",0,1)</f>
        <v/>
      </c>
      <c r="H4565" s="29">
        <f>IF(F4565="","",INDEX(Deals!$E$2:$E$843,F4565))</f>
        <v/>
      </c>
      <c r="I4565">
        <f>IF(F4565="","",INDEX(Deals!$D$2:$D$843,F4565))</f>
        <v/>
      </c>
      <c r="J4565">
        <f>IF(F4565="","",INT(H4565)-B4565)</f>
        <v/>
      </c>
      <c r="K4565">
        <f>IF(B4565&gt;=Settings!$C$5,1,0)</f>
        <v/>
      </c>
    </row>
    <row r="4566">
      <c r="A4566" t="inlineStr">
        <is>
          <t>fe7fdf179234f77c4d0ab2ea82a82c52</t>
        </is>
      </c>
      <c r="B4566" s="29" t="n">
        <v>43228</v>
      </c>
      <c r="C4566" t="inlineStr">
        <is>
          <t>2018-05</t>
        </is>
      </c>
      <c r="D4566" t="inlineStr">
        <is>
          <t>f98c2bd96ac4a5d9476734e790c91384</t>
        </is>
      </c>
      <c r="E4566" t="inlineStr">
        <is>
          <t>organic_search</t>
        </is>
      </c>
      <c r="F4566">
        <f>IFERROR(MATCH(A4566,Deals!$A$2:$A$843,0),"")</f>
        <v/>
      </c>
      <c r="G4566">
        <f>IF(F4566="",0,1)</f>
        <v/>
      </c>
      <c r="H4566" s="29">
        <f>IF(F4566="","",INDEX(Deals!$E$2:$E$843,F4566))</f>
        <v/>
      </c>
      <c r="I4566">
        <f>IF(F4566="","",INDEX(Deals!$D$2:$D$843,F4566))</f>
        <v/>
      </c>
      <c r="J4566">
        <f>IF(F4566="","",INT(H4566)-B4566)</f>
        <v/>
      </c>
      <c r="K4566">
        <f>IF(B4566&gt;=Settings!$C$5,1,0)</f>
        <v/>
      </c>
    </row>
    <row r="4567">
      <c r="A4567" t="inlineStr">
        <is>
          <t>889b262e03e28a9f19e72f08ab1ec3f0</t>
        </is>
      </c>
      <c r="B4567" s="29" t="n">
        <v>42973</v>
      </c>
      <c r="C4567" t="inlineStr">
        <is>
          <t>2017-08</t>
        </is>
      </c>
      <c r="D4567" t="inlineStr">
        <is>
          <t>b48ec5f3b04e9068441002a19df93c6c</t>
        </is>
      </c>
      <c r="E4567" t="inlineStr">
        <is>
          <t>direct_traffic</t>
        </is>
      </c>
      <c r="F4567">
        <f>IFERROR(MATCH(A4567,Deals!$A$2:$A$843,0),"")</f>
        <v/>
      </c>
      <c r="G4567">
        <f>IF(F4567="",0,1)</f>
        <v/>
      </c>
      <c r="H4567" s="29">
        <f>IF(F4567="","",INDEX(Deals!$E$2:$E$843,F4567))</f>
        <v/>
      </c>
      <c r="I4567">
        <f>IF(F4567="","",INDEX(Deals!$D$2:$D$843,F4567))</f>
        <v/>
      </c>
      <c r="J4567">
        <f>IF(F4567="","",INT(H4567)-B4567)</f>
        <v/>
      </c>
      <c r="K4567">
        <f>IF(B4567&gt;=Settings!$C$5,1,0)</f>
        <v/>
      </c>
    </row>
    <row r="4568">
      <c r="A4568" t="inlineStr">
        <is>
          <t>b2fb7865dfca2461177cbad7ec520b0e</t>
        </is>
      </c>
      <c r="B4568" s="29" t="n">
        <v>43129</v>
      </c>
      <c r="C4568" t="inlineStr">
        <is>
          <t>2018-01</t>
        </is>
      </c>
      <c r="D4568" t="inlineStr">
        <is>
          <t>8515f4df7468489ed6bced112f86e360</t>
        </is>
      </c>
      <c r="E4568" t="inlineStr">
        <is>
          <t>email</t>
        </is>
      </c>
      <c r="F4568">
        <f>IFERROR(MATCH(A4568,Deals!$A$2:$A$843,0),"")</f>
        <v/>
      </c>
      <c r="G4568">
        <f>IF(F4568="",0,1)</f>
        <v/>
      </c>
      <c r="H4568" s="29">
        <f>IF(F4568="","",INDEX(Deals!$E$2:$E$843,F4568))</f>
        <v/>
      </c>
      <c r="I4568">
        <f>IF(F4568="","",INDEX(Deals!$D$2:$D$843,F4568))</f>
        <v/>
      </c>
      <c r="J4568">
        <f>IF(F4568="","",INT(H4568)-B4568)</f>
        <v/>
      </c>
      <c r="K4568">
        <f>IF(B4568&gt;=Settings!$C$5,1,0)</f>
        <v/>
      </c>
    </row>
    <row r="4569">
      <c r="A4569" t="inlineStr">
        <is>
          <t>00b7912ef80c0e4f2b56d5e11118fbf1</t>
        </is>
      </c>
      <c r="B4569" s="29" t="n">
        <v>43217</v>
      </c>
      <c r="C4569" t="inlineStr">
        <is>
          <t>2018-04</t>
        </is>
      </c>
      <c r="D4569" t="inlineStr">
        <is>
          <t>22c29808c4f815213303f8933030604c</t>
        </is>
      </c>
      <c r="E4569" t="inlineStr">
        <is>
          <t>organic_search</t>
        </is>
      </c>
      <c r="F4569">
        <f>IFERROR(MATCH(A4569,Deals!$A$2:$A$843,0),"")</f>
        <v/>
      </c>
      <c r="G4569">
        <f>IF(F4569="",0,1)</f>
        <v/>
      </c>
      <c r="H4569" s="29">
        <f>IF(F4569="","",INDEX(Deals!$E$2:$E$843,F4569))</f>
        <v/>
      </c>
      <c r="I4569">
        <f>IF(F4569="","",INDEX(Deals!$D$2:$D$843,F4569))</f>
        <v/>
      </c>
      <c r="J4569">
        <f>IF(F4569="","",INT(H4569)-B4569)</f>
        <v/>
      </c>
      <c r="K4569">
        <f>IF(B4569&gt;=Settings!$C$5,1,0)</f>
        <v/>
      </c>
    </row>
    <row r="4570">
      <c r="A4570" t="inlineStr">
        <is>
          <t>1f892c7fae284a3a13a11df4292c1454</t>
        </is>
      </c>
      <c r="B4570" s="29" t="n">
        <v>43141</v>
      </c>
      <c r="C4570" t="inlineStr">
        <is>
          <t>2018-02</t>
        </is>
      </c>
      <c r="D4570" t="inlineStr">
        <is>
          <t>88740e65d5d6b056e0cda098e1ea6313</t>
        </is>
      </c>
      <c r="E4570" t="inlineStr">
        <is>
          <t>other</t>
        </is>
      </c>
      <c r="F4570">
        <f>IFERROR(MATCH(A4570,Deals!$A$2:$A$843,0),"")</f>
        <v/>
      </c>
      <c r="G4570">
        <f>IF(F4570="",0,1)</f>
        <v/>
      </c>
      <c r="H4570" s="29">
        <f>IF(F4570="","",INDEX(Deals!$E$2:$E$843,F4570))</f>
        <v/>
      </c>
      <c r="I4570">
        <f>IF(F4570="","",INDEX(Deals!$D$2:$D$843,F4570))</f>
        <v/>
      </c>
      <c r="J4570">
        <f>IF(F4570="","",INT(H4570)-B4570)</f>
        <v/>
      </c>
      <c r="K4570">
        <f>IF(B4570&gt;=Settings!$C$5,1,0)</f>
        <v/>
      </c>
    </row>
    <row r="4571">
      <c r="A4571" t="inlineStr">
        <is>
          <t>bd746e33153ddb0378723279b3525dc1</t>
        </is>
      </c>
      <c r="B4571" s="29" t="n">
        <v>43172</v>
      </c>
      <c r="C4571" t="inlineStr">
        <is>
          <t>2018-03</t>
        </is>
      </c>
      <c r="D4571" t="inlineStr">
        <is>
          <t>daa9619c6f8ed06d059265dca0f9257f</t>
        </is>
      </c>
      <c r="E4571" t="inlineStr">
        <is>
          <t>email</t>
        </is>
      </c>
      <c r="F4571">
        <f>IFERROR(MATCH(A4571,Deals!$A$2:$A$843,0),"")</f>
        <v/>
      </c>
      <c r="G4571">
        <f>IF(F4571="",0,1)</f>
        <v/>
      </c>
      <c r="H4571" s="29">
        <f>IF(F4571="","",INDEX(Deals!$E$2:$E$843,F4571))</f>
        <v/>
      </c>
      <c r="I4571">
        <f>IF(F4571="","",INDEX(Deals!$D$2:$D$843,F4571))</f>
        <v/>
      </c>
      <c r="J4571">
        <f>IF(F4571="","",INT(H4571)-B4571)</f>
        <v/>
      </c>
      <c r="K4571">
        <f>IF(B4571&gt;=Settings!$C$5,1,0)</f>
        <v/>
      </c>
    </row>
    <row r="4572">
      <c r="A4572" t="inlineStr">
        <is>
          <t>83736f851256ebfd392d677baefc775d</t>
        </is>
      </c>
      <c r="B4572" s="29" t="n">
        <v>43128</v>
      </c>
      <c r="C4572" t="inlineStr">
        <is>
          <t>2018-01</t>
        </is>
      </c>
      <c r="D4572" t="inlineStr">
        <is>
          <t>22c29808c4f815213303f8933030604c</t>
        </is>
      </c>
      <c r="E4572" t="inlineStr">
        <is>
          <t>paid_search</t>
        </is>
      </c>
      <c r="F4572">
        <f>IFERROR(MATCH(A4572,Deals!$A$2:$A$843,0),"")</f>
        <v/>
      </c>
      <c r="G4572">
        <f>IF(F4572="",0,1)</f>
        <v/>
      </c>
      <c r="H4572" s="29">
        <f>IF(F4572="","",INDEX(Deals!$E$2:$E$843,F4572))</f>
        <v/>
      </c>
      <c r="I4572">
        <f>IF(F4572="","",INDEX(Deals!$D$2:$D$843,F4572))</f>
        <v/>
      </c>
      <c r="J4572">
        <f>IF(F4572="","",INT(H4572)-B4572)</f>
        <v/>
      </c>
      <c r="K4572">
        <f>IF(B4572&gt;=Settings!$C$5,1,0)</f>
        <v/>
      </c>
    </row>
    <row r="4573">
      <c r="A4573" t="inlineStr">
        <is>
          <t>d82dcce748db2b286c31075d899273b0</t>
        </is>
      </c>
      <c r="B4573" s="29" t="n">
        <v>43057</v>
      </c>
      <c r="C4573" t="inlineStr">
        <is>
          <t>2017-11</t>
        </is>
      </c>
      <c r="D4573" t="inlineStr">
        <is>
          <t>22c29808c4f815213303f8933030604c</t>
        </is>
      </c>
      <c r="E4573" t="inlineStr">
        <is>
          <t>organic_search</t>
        </is>
      </c>
      <c r="F4573">
        <f>IFERROR(MATCH(A4573,Deals!$A$2:$A$843,0),"")</f>
        <v/>
      </c>
      <c r="G4573">
        <f>IF(F4573="",0,1)</f>
        <v/>
      </c>
      <c r="H4573" s="29">
        <f>IF(F4573="","",INDEX(Deals!$E$2:$E$843,F4573))</f>
        <v/>
      </c>
      <c r="I4573">
        <f>IF(F4573="","",INDEX(Deals!$D$2:$D$843,F4573))</f>
        <v/>
      </c>
      <c r="J4573">
        <f>IF(F4573="","",INT(H4573)-B4573)</f>
        <v/>
      </c>
      <c r="K4573">
        <f>IF(B4573&gt;=Settings!$C$5,1,0)</f>
        <v/>
      </c>
    </row>
    <row r="4574">
      <c r="A4574" t="inlineStr">
        <is>
          <t>5ebfa70416c6e41452ddde4ce2b536ac</t>
        </is>
      </c>
      <c r="B4574" s="29" t="n">
        <v>43162</v>
      </c>
      <c r="C4574" t="inlineStr">
        <is>
          <t>2018-03</t>
        </is>
      </c>
      <c r="D4574" t="inlineStr">
        <is>
          <t>ce1a65abd0973638f1c887a6efcfa82d</t>
        </is>
      </c>
      <c r="E4574" t="inlineStr">
        <is>
          <t>organic_search</t>
        </is>
      </c>
      <c r="F4574">
        <f>IFERROR(MATCH(A4574,Deals!$A$2:$A$843,0),"")</f>
        <v/>
      </c>
      <c r="G4574">
        <f>IF(F4574="",0,1)</f>
        <v/>
      </c>
      <c r="H4574" s="29">
        <f>IF(F4574="","",INDEX(Deals!$E$2:$E$843,F4574))</f>
        <v/>
      </c>
      <c r="I4574">
        <f>IF(F4574="","",INDEX(Deals!$D$2:$D$843,F4574))</f>
        <v/>
      </c>
      <c r="J4574">
        <f>IF(F4574="","",INT(H4574)-B4574)</f>
        <v/>
      </c>
      <c r="K4574">
        <f>IF(B4574&gt;=Settings!$C$5,1,0)</f>
        <v/>
      </c>
    </row>
    <row r="4575">
      <c r="A4575" t="inlineStr">
        <is>
          <t>e657722b5cb4436e98eeaf60b4e6267a</t>
        </is>
      </c>
      <c r="B4575" s="29" t="n">
        <v>43084</v>
      </c>
      <c r="C4575" t="inlineStr">
        <is>
          <t>2017-12</t>
        </is>
      </c>
      <c r="D4575" t="inlineStr">
        <is>
          <t>f98c2bd96ac4a5d9476734e790c91384</t>
        </is>
      </c>
      <c r="E4575" t="inlineStr">
        <is>
          <t>organic_search</t>
        </is>
      </c>
      <c r="F4575">
        <f>IFERROR(MATCH(A4575,Deals!$A$2:$A$843,0),"")</f>
        <v/>
      </c>
      <c r="G4575">
        <f>IF(F4575="",0,1)</f>
        <v/>
      </c>
      <c r="H4575" s="29">
        <f>IF(F4575="","",INDEX(Deals!$E$2:$E$843,F4575))</f>
        <v/>
      </c>
      <c r="I4575">
        <f>IF(F4575="","",INDEX(Deals!$D$2:$D$843,F4575))</f>
        <v/>
      </c>
      <c r="J4575">
        <f>IF(F4575="","",INT(H4575)-B4575)</f>
        <v/>
      </c>
      <c r="K4575">
        <f>IF(B4575&gt;=Settings!$C$5,1,0)</f>
        <v/>
      </c>
    </row>
    <row r="4576">
      <c r="A4576" t="inlineStr">
        <is>
          <t>622ebb7539fcf7c5996e06a3229912a8</t>
        </is>
      </c>
      <c r="B4576" s="29" t="n">
        <v>43140</v>
      </c>
      <c r="C4576" t="inlineStr">
        <is>
          <t>2018-02</t>
        </is>
      </c>
      <c r="D4576" t="inlineStr">
        <is>
          <t>a623837d6a3000b3cd020295728e8252</t>
        </is>
      </c>
      <c r="E4576" t="inlineStr">
        <is>
          <t>paid_search</t>
        </is>
      </c>
      <c r="F4576">
        <f>IFERROR(MATCH(A4576,Deals!$A$2:$A$843,0),"")</f>
        <v/>
      </c>
      <c r="G4576">
        <f>IF(F4576="",0,1)</f>
        <v/>
      </c>
      <c r="H4576" s="29">
        <f>IF(F4576="","",INDEX(Deals!$E$2:$E$843,F4576))</f>
        <v/>
      </c>
      <c r="I4576">
        <f>IF(F4576="","",INDEX(Deals!$D$2:$D$843,F4576))</f>
        <v/>
      </c>
      <c r="J4576">
        <f>IF(F4576="","",INT(H4576)-B4576)</f>
        <v/>
      </c>
      <c r="K4576">
        <f>IF(B4576&gt;=Settings!$C$5,1,0)</f>
        <v/>
      </c>
    </row>
    <row r="4577">
      <c r="A4577" t="inlineStr">
        <is>
          <t>5d4bacc197021d46db1445d67072835e</t>
        </is>
      </c>
      <c r="B4577" s="29" t="n">
        <v>43019</v>
      </c>
      <c r="C4577" t="inlineStr">
        <is>
          <t>2017-10</t>
        </is>
      </c>
      <c r="D4577" t="inlineStr">
        <is>
          <t>88740e65d5d6b056e0cda098e1ea6313</t>
        </is>
      </c>
      <c r="E4577" t="inlineStr">
        <is>
          <t>social</t>
        </is>
      </c>
      <c r="F4577">
        <f>IFERROR(MATCH(A4577,Deals!$A$2:$A$843,0),"")</f>
        <v/>
      </c>
      <c r="G4577">
        <f>IF(F4577="",0,1)</f>
        <v/>
      </c>
      <c r="H4577" s="29">
        <f>IF(F4577="","",INDEX(Deals!$E$2:$E$843,F4577))</f>
        <v/>
      </c>
      <c r="I4577">
        <f>IF(F4577="","",INDEX(Deals!$D$2:$D$843,F4577))</f>
        <v/>
      </c>
      <c r="J4577">
        <f>IF(F4577="","",INT(H4577)-B4577)</f>
        <v/>
      </c>
      <c r="K4577">
        <f>IF(B4577&gt;=Settings!$C$5,1,0)</f>
        <v/>
      </c>
    </row>
    <row r="4578">
      <c r="A4578" t="inlineStr">
        <is>
          <t>f864749bcc30eb76d8b8a043bc0ee97d</t>
        </is>
      </c>
      <c r="B4578" s="29" t="n">
        <v>43035</v>
      </c>
      <c r="C4578" t="inlineStr">
        <is>
          <t>2017-10</t>
        </is>
      </c>
      <c r="D4578" t="inlineStr">
        <is>
          <t>87780f7c05ecd79791bde76af663db15</t>
        </is>
      </c>
      <c r="E4578" t="inlineStr">
        <is>
          <t>other_publicities</t>
        </is>
      </c>
      <c r="F4578">
        <f>IFERROR(MATCH(A4578,Deals!$A$2:$A$843,0),"")</f>
        <v/>
      </c>
      <c r="G4578">
        <f>IF(F4578="",0,1)</f>
        <v/>
      </c>
      <c r="H4578" s="29">
        <f>IF(F4578="","",INDEX(Deals!$E$2:$E$843,F4578))</f>
        <v/>
      </c>
      <c r="I4578">
        <f>IF(F4578="","",INDEX(Deals!$D$2:$D$843,F4578))</f>
        <v/>
      </c>
      <c r="J4578">
        <f>IF(F4578="","",INT(H4578)-B4578)</f>
        <v/>
      </c>
      <c r="K4578">
        <f>IF(B4578&gt;=Settings!$C$5,1,0)</f>
        <v/>
      </c>
    </row>
    <row r="4579">
      <c r="A4579" t="inlineStr">
        <is>
          <t>99cd2e5dc62a0d6fd4af4fdc1c691633</t>
        </is>
      </c>
      <c r="B4579" s="29" t="n">
        <v>43239</v>
      </c>
      <c r="C4579" t="inlineStr">
        <is>
          <t>2018-05</t>
        </is>
      </c>
      <c r="D4579" t="inlineStr">
        <is>
          <t>f017be4dbf86243af5c1ebed0cff36a2</t>
        </is>
      </c>
      <c r="E4579" t="inlineStr">
        <is>
          <t>social</t>
        </is>
      </c>
      <c r="F4579">
        <f>IFERROR(MATCH(A4579,Deals!$A$2:$A$843,0),"")</f>
        <v/>
      </c>
      <c r="G4579">
        <f>IF(F4579="",0,1)</f>
        <v/>
      </c>
      <c r="H4579" s="29">
        <f>IF(F4579="","",INDEX(Deals!$E$2:$E$843,F4579))</f>
        <v/>
      </c>
      <c r="I4579">
        <f>IF(F4579="","",INDEX(Deals!$D$2:$D$843,F4579))</f>
        <v/>
      </c>
      <c r="J4579">
        <f>IF(F4579="","",INT(H4579)-B4579)</f>
        <v/>
      </c>
      <c r="K4579">
        <f>IF(B4579&gt;=Settings!$C$5,1,0)</f>
        <v/>
      </c>
    </row>
    <row r="4580">
      <c r="A4580" t="inlineStr">
        <is>
          <t>30fecbdcc460ef0bc018ebb6057ebc84</t>
        </is>
      </c>
      <c r="B4580" s="29" t="n">
        <v>43103</v>
      </c>
      <c r="C4580" t="inlineStr">
        <is>
          <t>2018-01</t>
        </is>
      </c>
      <c r="D4580" t="inlineStr">
        <is>
          <t>f017be4dbf86243af5c1ebed0cff36a2</t>
        </is>
      </c>
      <c r="E4580" t="inlineStr">
        <is>
          <t>organic_search</t>
        </is>
      </c>
      <c r="F4580">
        <f>IFERROR(MATCH(A4580,Deals!$A$2:$A$843,0),"")</f>
        <v/>
      </c>
      <c r="G4580">
        <f>IF(F4580="",0,1)</f>
        <v/>
      </c>
      <c r="H4580" s="29">
        <f>IF(F4580="","",INDEX(Deals!$E$2:$E$843,F4580))</f>
        <v/>
      </c>
      <c r="I4580">
        <f>IF(F4580="","",INDEX(Deals!$D$2:$D$843,F4580))</f>
        <v/>
      </c>
      <c r="J4580">
        <f>IF(F4580="","",INT(H4580)-B4580)</f>
        <v/>
      </c>
      <c r="K4580">
        <f>IF(B4580&gt;=Settings!$C$5,1,0)</f>
        <v/>
      </c>
    </row>
    <row r="4581">
      <c r="A4581" t="inlineStr">
        <is>
          <t>1f66ed8f4ebe40b5296e858c26f24c4a</t>
        </is>
      </c>
      <c r="B4581" s="29" t="n">
        <v>43214</v>
      </c>
      <c r="C4581" t="inlineStr">
        <is>
          <t>2018-04</t>
        </is>
      </c>
      <c r="D4581" t="inlineStr">
        <is>
          <t>b76ef37428e6799c421989521c0e5077</t>
        </is>
      </c>
      <c r="E4581" t="inlineStr">
        <is>
          <t>paid_search</t>
        </is>
      </c>
      <c r="F4581">
        <f>IFERROR(MATCH(A4581,Deals!$A$2:$A$843,0),"")</f>
        <v/>
      </c>
      <c r="G4581">
        <f>IF(F4581="",0,1)</f>
        <v/>
      </c>
      <c r="H4581" s="29">
        <f>IF(F4581="","",INDEX(Deals!$E$2:$E$843,F4581))</f>
        <v/>
      </c>
      <c r="I4581">
        <f>IF(F4581="","",INDEX(Deals!$D$2:$D$843,F4581))</f>
        <v/>
      </c>
      <c r="J4581">
        <f>IF(F4581="","",INT(H4581)-B4581)</f>
        <v/>
      </c>
      <c r="K4581">
        <f>IF(B4581&gt;=Settings!$C$5,1,0)</f>
        <v/>
      </c>
    </row>
    <row r="4582">
      <c r="A4582" t="inlineStr">
        <is>
          <t>5aba61339be8c5667aeb08c044e8f59a</t>
        </is>
      </c>
      <c r="B4582" s="29" t="n">
        <v>43175</v>
      </c>
      <c r="C4582" t="inlineStr">
        <is>
          <t>2018-03</t>
        </is>
      </c>
      <c r="D4582" t="inlineStr">
        <is>
          <t>15cf89bab2c3163b4f9d8601d108f8b2</t>
        </is>
      </c>
      <c r="E4582" t="inlineStr">
        <is>
          <t>organic_search</t>
        </is>
      </c>
      <c r="F4582">
        <f>IFERROR(MATCH(A4582,Deals!$A$2:$A$843,0),"")</f>
        <v/>
      </c>
      <c r="G4582">
        <f>IF(F4582="",0,1)</f>
        <v/>
      </c>
      <c r="H4582" s="29">
        <f>IF(F4582="","",INDEX(Deals!$E$2:$E$843,F4582))</f>
        <v/>
      </c>
      <c r="I4582">
        <f>IF(F4582="","",INDEX(Deals!$D$2:$D$843,F4582))</f>
        <v/>
      </c>
      <c r="J4582">
        <f>IF(F4582="","",INT(H4582)-B4582)</f>
        <v/>
      </c>
      <c r="K4582">
        <f>IF(B4582&gt;=Settings!$C$5,1,0)</f>
        <v/>
      </c>
    </row>
    <row r="4583">
      <c r="A4583" t="inlineStr">
        <is>
          <t>137c77c43a107ab28e59ae80d25dd86d</t>
        </is>
      </c>
      <c r="B4583" s="29" t="n">
        <v>42928</v>
      </c>
      <c r="C4583" t="inlineStr">
        <is>
          <t>2017-07</t>
        </is>
      </c>
      <c r="D4583" t="inlineStr">
        <is>
          <t>a56671a54260a44923d32c2f08fad39c</t>
        </is>
      </c>
      <c r="E4583" t="inlineStr">
        <is>
          <t>email</t>
        </is>
      </c>
      <c r="F4583">
        <f>IFERROR(MATCH(A4583,Deals!$A$2:$A$843,0),"")</f>
        <v/>
      </c>
      <c r="G4583">
        <f>IF(F4583="",0,1)</f>
        <v/>
      </c>
      <c r="H4583" s="29">
        <f>IF(F4583="","",INDEX(Deals!$E$2:$E$843,F4583))</f>
        <v/>
      </c>
      <c r="I4583">
        <f>IF(F4583="","",INDEX(Deals!$D$2:$D$843,F4583))</f>
        <v/>
      </c>
      <c r="J4583">
        <f>IF(F4583="","",INT(H4583)-B4583)</f>
        <v/>
      </c>
      <c r="K4583">
        <f>IF(B4583&gt;=Settings!$C$5,1,0)</f>
        <v/>
      </c>
    </row>
    <row r="4584">
      <c r="A4584" t="inlineStr">
        <is>
          <t>0d1bed06d643471985149a14a1eb24d0</t>
        </is>
      </c>
      <c r="B4584" s="29" t="n">
        <v>43066</v>
      </c>
      <c r="C4584" t="inlineStr">
        <is>
          <t>2017-11</t>
        </is>
      </c>
      <c r="D4584" t="inlineStr">
        <is>
          <t>40dec9f3d5259a3d2dbcdab2114fae47</t>
        </is>
      </c>
      <c r="E4584" t="inlineStr">
        <is>
          <t>paid_search</t>
        </is>
      </c>
      <c r="F4584">
        <f>IFERROR(MATCH(A4584,Deals!$A$2:$A$843,0),"")</f>
        <v/>
      </c>
      <c r="G4584">
        <f>IF(F4584="",0,1)</f>
        <v/>
      </c>
      <c r="H4584" s="29">
        <f>IF(F4584="","",INDEX(Deals!$E$2:$E$843,F4584))</f>
        <v/>
      </c>
      <c r="I4584">
        <f>IF(F4584="","",INDEX(Deals!$D$2:$D$843,F4584))</f>
        <v/>
      </c>
      <c r="J4584">
        <f>IF(F4584="","",INT(H4584)-B4584)</f>
        <v/>
      </c>
      <c r="K4584">
        <f>IF(B4584&gt;=Settings!$C$5,1,0)</f>
        <v/>
      </c>
    </row>
    <row r="4585">
      <c r="A4585" t="inlineStr">
        <is>
          <t>ffec39090fa0c85692730fdbd647e34d</t>
        </is>
      </c>
      <c r="B4585" s="29" t="n">
        <v>43207</v>
      </c>
      <c r="C4585" t="inlineStr">
        <is>
          <t>2018-04</t>
        </is>
      </c>
      <c r="D4585" t="inlineStr">
        <is>
          <t>515742ea988a44a8ca0ddc44ff92735f</t>
        </is>
      </c>
      <c r="E4585" t="inlineStr">
        <is>
          <t>email</t>
        </is>
      </c>
      <c r="F4585">
        <f>IFERROR(MATCH(A4585,Deals!$A$2:$A$843,0),"")</f>
        <v/>
      </c>
      <c r="G4585">
        <f>IF(F4585="",0,1)</f>
        <v/>
      </c>
      <c r="H4585" s="29">
        <f>IF(F4585="","",INDEX(Deals!$E$2:$E$843,F4585))</f>
        <v/>
      </c>
      <c r="I4585">
        <f>IF(F4585="","",INDEX(Deals!$D$2:$D$843,F4585))</f>
        <v/>
      </c>
      <c r="J4585">
        <f>IF(F4585="","",INT(H4585)-B4585)</f>
        <v/>
      </c>
      <c r="K4585">
        <f>IF(B4585&gt;=Settings!$C$5,1,0)</f>
        <v/>
      </c>
    </row>
    <row r="4586">
      <c r="A4586" t="inlineStr">
        <is>
          <t>870327f92efd3be6f7be7279c858eb0d</t>
        </is>
      </c>
      <c r="B4586" s="29" t="n">
        <v>43201</v>
      </c>
      <c r="C4586" t="inlineStr">
        <is>
          <t>2018-04</t>
        </is>
      </c>
      <c r="D4586" t="inlineStr">
        <is>
          <t>649b7b8b46b254497e92038d88f6ced8</t>
        </is>
      </c>
      <c r="E4586" t="inlineStr">
        <is>
          <t>social</t>
        </is>
      </c>
      <c r="F4586">
        <f>IFERROR(MATCH(A4586,Deals!$A$2:$A$843,0),"")</f>
        <v/>
      </c>
      <c r="G4586">
        <f>IF(F4586="",0,1)</f>
        <v/>
      </c>
      <c r="H4586" s="29">
        <f>IF(F4586="","",INDEX(Deals!$E$2:$E$843,F4586))</f>
        <v/>
      </c>
      <c r="I4586">
        <f>IF(F4586="","",INDEX(Deals!$D$2:$D$843,F4586))</f>
        <v/>
      </c>
      <c r="J4586">
        <f>IF(F4586="","",INT(H4586)-B4586)</f>
        <v/>
      </c>
      <c r="K4586">
        <f>IF(B4586&gt;=Settings!$C$5,1,0)</f>
        <v/>
      </c>
    </row>
    <row r="4587">
      <c r="A4587" t="inlineStr">
        <is>
          <t>fa8a19487bcedc1a7d6630926bee8c6b</t>
        </is>
      </c>
      <c r="B4587" s="29" t="n">
        <v>43227</v>
      </c>
      <c r="C4587" t="inlineStr">
        <is>
          <t>2018-05</t>
        </is>
      </c>
      <c r="D4587" t="inlineStr">
        <is>
          <t>34c9ef8fb69f256ff66add711305d279</t>
        </is>
      </c>
      <c r="E4587" t="inlineStr">
        <is>
          <t>paid_search</t>
        </is>
      </c>
      <c r="F4587">
        <f>IFERROR(MATCH(A4587,Deals!$A$2:$A$843,0),"")</f>
        <v/>
      </c>
      <c r="G4587">
        <f>IF(F4587="",0,1)</f>
        <v/>
      </c>
      <c r="H4587" s="29">
        <f>IF(F4587="","",INDEX(Deals!$E$2:$E$843,F4587))</f>
        <v/>
      </c>
      <c r="I4587">
        <f>IF(F4587="","",INDEX(Deals!$D$2:$D$843,F4587))</f>
        <v/>
      </c>
      <c r="J4587">
        <f>IF(F4587="","",INT(H4587)-B4587)</f>
        <v/>
      </c>
      <c r="K4587">
        <f>IF(B4587&gt;=Settings!$C$5,1,0)</f>
        <v/>
      </c>
    </row>
    <row r="4588">
      <c r="A4588" t="inlineStr">
        <is>
          <t>a992fdba69fe794820cb261f31df434d</t>
        </is>
      </c>
      <c r="B4588" s="29" t="n">
        <v>43034</v>
      </c>
      <c r="C4588" t="inlineStr">
        <is>
          <t>2017-10</t>
        </is>
      </c>
      <c r="D4588" t="inlineStr">
        <is>
          <t>b76ef37428e6799c421989521c0e5077</t>
        </is>
      </c>
      <c r="E4588" t="inlineStr">
        <is>
          <t>direct_traffic</t>
        </is>
      </c>
      <c r="F4588">
        <f>IFERROR(MATCH(A4588,Deals!$A$2:$A$843,0),"")</f>
        <v/>
      </c>
      <c r="G4588">
        <f>IF(F4588="",0,1)</f>
        <v/>
      </c>
      <c r="H4588" s="29">
        <f>IF(F4588="","",INDEX(Deals!$E$2:$E$843,F4588))</f>
        <v/>
      </c>
      <c r="I4588">
        <f>IF(F4588="","",INDEX(Deals!$D$2:$D$843,F4588))</f>
        <v/>
      </c>
      <c r="J4588">
        <f>IF(F4588="","",INT(H4588)-B4588)</f>
        <v/>
      </c>
      <c r="K4588">
        <f>IF(B4588&gt;=Settings!$C$5,1,0)</f>
        <v/>
      </c>
    </row>
    <row r="4589">
      <c r="A4589" t="inlineStr">
        <is>
          <t>f4a5d99730ab736c45838ef0ed2fcd37</t>
        </is>
      </c>
      <c r="B4589" s="29" t="n">
        <v>42968</v>
      </c>
      <c r="C4589" t="inlineStr">
        <is>
          <t>2017-08</t>
        </is>
      </c>
      <c r="D4589" t="inlineStr">
        <is>
          <t>87732658ba41d8775e8577df347a64db</t>
        </is>
      </c>
      <c r="E4589" t="inlineStr">
        <is>
          <t>social</t>
        </is>
      </c>
      <c r="F4589">
        <f>IFERROR(MATCH(A4589,Deals!$A$2:$A$843,0),"")</f>
        <v/>
      </c>
      <c r="G4589">
        <f>IF(F4589="",0,1)</f>
        <v/>
      </c>
      <c r="H4589" s="29">
        <f>IF(F4589="","",INDEX(Deals!$E$2:$E$843,F4589))</f>
        <v/>
      </c>
      <c r="I4589">
        <f>IF(F4589="","",INDEX(Deals!$D$2:$D$843,F4589))</f>
        <v/>
      </c>
      <c r="J4589">
        <f>IF(F4589="","",INT(H4589)-B4589)</f>
        <v/>
      </c>
      <c r="K4589">
        <f>IF(B4589&gt;=Settings!$C$5,1,0)</f>
        <v/>
      </c>
    </row>
    <row r="4590">
      <c r="A4590" t="inlineStr">
        <is>
          <t>ada012db4884546fde5a0efea090d690</t>
        </is>
      </c>
      <c r="B4590" s="29" t="n">
        <v>43200</v>
      </c>
      <c r="C4590" t="inlineStr">
        <is>
          <t>2018-04</t>
        </is>
      </c>
      <c r="D4590" t="inlineStr">
        <is>
          <t>36120633c8737035fbabf079082f4ec1</t>
        </is>
      </c>
      <c r="E4590" t="inlineStr">
        <is>
          <t>paid_search</t>
        </is>
      </c>
      <c r="F4590">
        <f>IFERROR(MATCH(A4590,Deals!$A$2:$A$843,0),"")</f>
        <v/>
      </c>
      <c r="G4590">
        <f>IF(F4590="",0,1)</f>
        <v/>
      </c>
      <c r="H4590" s="29">
        <f>IF(F4590="","",INDEX(Deals!$E$2:$E$843,F4590))</f>
        <v/>
      </c>
      <c r="I4590">
        <f>IF(F4590="","",INDEX(Deals!$D$2:$D$843,F4590))</f>
        <v/>
      </c>
      <c r="J4590">
        <f>IF(F4590="","",INT(H4590)-B4590)</f>
        <v/>
      </c>
      <c r="K4590">
        <f>IF(B4590&gt;=Settings!$C$5,1,0)</f>
        <v/>
      </c>
    </row>
    <row r="4591">
      <c r="A4591" t="inlineStr">
        <is>
          <t>18cd6ebfb5567eb228c7ea1e1b792099</t>
        </is>
      </c>
      <c r="B4591" s="29" t="n">
        <v>43048</v>
      </c>
      <c r="C4591" t="inlineStr">
        <is>
          <t>2017-11</t>
        </is>
      </c>
      <c r="D4591" t="inlineStr">
        <is>
          <t>f03e241af08912ba7ffb65d69b0eb4d9</t>
        </is>
      </c>
      <c r="E4591" t="inlineStr">
        <is>
          <t>paid_search</t>
        </is>
      </c>
      <c r="F4591">
        <f>IFERROR(MATCH(A4591,Deals!$A$2:$A$843,0),"")</f>
        <v/>
      </c>
      <c r="G4591">
        <f>IF(F4591="",0,1)</f>
        <v/>
      </c>
      <c r="H4591" s="29">
        <f>IF(F4591="","",INDEX(Deals!$E$2:$E$843,F4591))</f>
        <v/>
      </c>
      <c r="I4591">
        <f>IF(F4591="","",INDEX(Deals!$D$2:$D$843,F4591))</f>
        <v/>
      </c>
      <c r="J4591">
        <f>IF(F4591="","",INT(H4591)-B4591)</f>
        <v/>
      </c>
      <c r="K4591">
        <f>IF(B4591&gt;=Settings!$C$5,1,0)</f>
        <v/>
      </c>
    </row>
    <row r="4592">
      <c r="A4592" t="inlineStr">
        <is>
          <t>4ee3f0492290c6f29384ec280a7bd715</t>
        </is>
      </c>
      <c r="B4592" s="29" t="n">
        <v>42954</v>
      </c>
      <c r="C4592" t="inlineStr">
        <is>
          <t>2017-08</t>
        </is>
      </c>
      <c r="D4592" t="inlineStr">
        <is>
          <t>d7549bc9744c53d31a4a1abc7fb7b5ee</t>
        </is>
      </c>
      <c r="E4592" t="inlineStr">
        <is>
          <t>organic_search</t>
        </is>
      </c>
      <c r="F4592">
        <f>IFERROR(MATCH(A4592,Deals!$A$2:$A$843,0),"")</f>
        <v/>
      </c>
      <c r="G4592">
        <f>IF(F4592="",0,1)</f>
        <v/>
      </c>
      <c r="H4592" s="29">
        <f>IF(F4592="","",INDEX(Deals!$E$2:$E$843,F4592))</f>
        <v/>
      </c>
      <c r="I4592">
        <f>IF(F4592="","",INDEX(Deals!$D$2:$D$843,F4592))</f>
        <v/>
      </c>
      <c r="J4592">
        <f>IF(F4592="","",INT(H4592)-B4592)</f>
        <v/>
      </c>
      <c r="K4592">
        <f>IF(B4592&gt;=Settings!$C$5,1,0)</f>
        <v/>
      </c>
    </row>
    <row r="4593">
      <c r="A4593" t="inlineStr">
        <is>
          <t>612dc8387f092f8c04c5c475993f26ae</t>
        </is>
      </c>
      <c r="B4593" s="29" t="n">
        <v>43163</v>
      </c>
      <c r="C4593" t="inlineStr">
        <is>
          <t>2018-03</t>
        </is>
      </c>
      <c r="D4593" t="inlineStr">
        <is>
          <t>57d5edb1844a746128fd1274524b94c7</t>
        </is>
      </c>
      <c r="E4593" t="inlineStr">
        <is>
          <t>direct_traffic</t>
        </is>
      </c>
      <c r="F4593">
        <f>IFERROR(MATCH(A4593,Deals!$A$2:$A$843,0),"")</f>
        <v/>
      </c>
      <c r="G4593">
        <f>IF(F4593="",0,1)</f>
        <v/>
      </c>
      <c r="H4593" s="29">
        <f>IF(F4593="","",INDEX(Deals!$E$2:$E$843,F4593))</f>
        <v/>
      </c>
      <c r="I4593">
        <f>IF(F4593="","",INDEX(Deals!$D$2:$D$843,F4593))</f>
        <v/>
      </c>
      <c r="J4593">
        <f>IF(F4593="","",INT(H4593)-B4593)</f>
        <v/>
      </c>
      <c r="K4593">
        <f>IF(B4593&gt;=Settings!$C$5,1,0)</f>
        <v/>
      </c>
    </row>
    <row r="4594">
      <c r="A4594" t="inlineStr">
        <is>
          <t>e2d0f33b82899e38000b5d82a0840506</t>
        </is>
      </c>
      <c r="B4594" s="29" t="n">
        <v>43031</v>
      </c>
      <c r="C4594" t="inlineStr">
        <is>
          <t>2017-10</t>
        </is>
      </c>
      <c r="D4594" t="inlineStr">
        <is>
          <t>22c29808c4f815213303f8933030604c</t>
        </is>
      </c>
      <c r="E4594" t="inlineStr">
        <is>
          <t>social</t>
        </is>
      </c>
      <c r="F4594">
        <f>IFERROR(MATCH(A4594,Deals!$A$2:$A$843,0),"")</f>
        <v/>
      </c>
      <c r="G4594">
        <f>IF(F4594="",0,1)</f>
        <v/>
      </c>
      <c r="H4594" s="29">
        <f>IF(F4594="","",INDEX(Deals!$E$2:$E$843,F4594))</f>
        <v/>
      </c>
      <c r="I4594">
        <f>IF(F4594="","",INDEX(Deals!$D$2:$D$843,F4594))</f>
        <v/>
      </c>
      <c r="J4594">
        <f>IF(F4594="","",INT(H4594)-B4594)</f>
        <v/>
      </c>
      <c r="K4594">
        <f>IF(B4594&gt;=Settings!$C$5,1,0)</f>
        <v/>
      </c>
    </row>
    <row r="4595">
      <c r="A4595" t="inlineStr">
        <is>
          <t>8f37d35601db1ec603ddcd88d874e73e</t>
        </is>
      </c>
      <c r="B4595" s="29" t="n">
        <v>43205</v>
      </c>
      <c r="C4595" t="inlineStr">
        <is>
          <t>2018-04</t>
        </is>
      </c>
      <c r="D4595" t="inlineStr">
        <is>
          <t>58326e62183c14b0c03085c33b9fdc44</t>
        </is>
      </c>
      <c r="E4595" t="inlineStr">
        <is>
          <t>social</t>
        </is>
      </c>
      <c r="F4595">
        <f>IFERROR(MATCH(A4595,Deals!$A$2:$A$843,0),"")</f>
        <v/>
      </c>
      <c r="G4595">
        <f>IF(F4595="",0,1)</f>
        <v/>
      </c>
      <c r="H4595" s="29">
        <f>IF(F4595="","",INDEX(Deals!$E$2:$E$843,F4595))</f>
        <v/>
      </c>
      <c r="I4595">
        <f>IF(F4595="","",INDEX(Deals!$D$2:$D$843,F4595))</f>
        <v/>
      </c>
      <c r="J4595">
        <f>IF(F4595="","",INT(H4595)-B4595)</f>
        <v/>
      </c>
      <c r="K4595">
        <f>IF(B4595&gt;=Settings!$C$5,1,0)</f>
        <v/>
      </c>
    </row>
    <row r="4596">
      <c r="A4596" t="inlineStr">
        <is>
          <t>f23a13a09954dada8fad3e0691dfcf0f</t>
        </is>
      </c>
      <c r="B4596" s="29" t="n">
        <v>42968</v>
      </c>
      <c r="C4596" t="inlineStr">
        <is>
          <t>2017-08</t>
        </is>
      </c>
      <c r="D4596" t="inlineStr">
        <is>
          <t>007f9098284a86ee80ddeb25d53e0af8</t>
        </is>
      </c>
      <c r="E4596" t="inlineStr">
        <is>
          <t>organic_search</t>
        </is>
      </c>
      <c r="F4596">
        <f>IFERROR(MATCH(A4596,Deals!$A$2:$A$843,0),"")</f>
        <v/>
      </c>
      <c r="G4596">
        <f>IF(F4596="",0,1)</f>
        <v/>
      </c>
      <c r="H4596" s="29">
        <f>IF(F4596="","",INDEX(Deals!$E$2:$E$843,F4596))</f>
        <v/>
      </c>
      <c r="I4596">
        <f>IF(F4596="","",INDEX(Deals!$D$2:$D$843,F4596))</f>
        <v/>
      </c>
      <c r="J4596">
        <f>IF(F4596="","",INT(H4596)-B4596)</f>
        <v/>
      </c>
      <c r="K4596">
        <f>IF(B4596&gt;=Settings!$C$5,1,0)</f>
        <v/>
      </c>
    </row>
    <row r="4597">
      <c r="A4597" t="inlineStr">
        <is>
          <t>9064926a39ede3627d76ffcc643bd773</t>
        </is>
      </c>
      <c r="B4597" s="29" t="n">
        <v>43180</v>
      </c>
      <c r="C4597" t="inlineStr">
        <is>
          <t>2018-03</t>
        </is>
      </c>
      <c r="D4597" t="inlineStr">
        <is>
          <t>b76ef37428e6799c421989521c0e5077</t>
        </is>
      </c>
      <c r="E4597" t="inlineStr">
        <is>
          <t>unknown</t>
        </is>
      </c>
      <c r="F4597">
        <f>IFERROR(MATCH(A4597,Deals!$A$2:$A$843,0),"")</f>
        <v/>
      </c>
      <c r="G4597">
        <f>IF(F4597="",0,1)</f>
        <v/>
      </c>
      <c r="H4597" s="29">
        <f>IF(F4597="","",INDEX(Deals!$E$2:$E$843,F4597))</f>
        <v/>
      </c>
      <c r="I4597">
        <f>IF(F4597="","",INDEX(Deals!$D$2:$D$843,F4597))</f>
        <v/>
      </c>
      <c r="J4597">
        <f>IF(F4597="","",INT(H4597)-B4597)</f>
        <v/>
      </c>
      <c r="K4597">
        <f>IF(B4597&gt;=Settings!$C$5,1,0)</f>
        <v/>
      </c>
    </row>
    <row r="4598">
      <c r="A4598" t="inlineStr">
        <is>
          <t>30e34847e6a2bcd7a40f671acae634d5</t>
        </is>
      </c>
      <c r="B4598" s="29" t="n">
        <v>43186</v>
      </c>
      <c r="C4598" t="inlineStr">
        <is>
          <t>2018-03</t>
        </is>
      </c>
      <c r="D4598" t="inlineStr">
        <is>
          <t>22c29808c4f815213303f8933030604c</t>
        </is>
      </c>
      <c r="E4598" t="inlineStr">
        <is>
          <t>organic_search</t>
        </is>
      </c>
      <c r="F4598">
        <f>IFERROR(MATCH(A4598,Deals!$A$2:$A$843,0),"")</f>
        <v/>
      </c>
      <c r="G4598">
        <f>IF(F4598="",0,1)</f>
        <v/>
      </c>
      <c r="H4598" s="29">
        <f>IF(F4598="","",INDEX(Deals!$E$2:$E$843,F4598))</f>
        <v/>
      </c>
      <c r="I4598">
        <f>IF(F4598="","",INDEX(Deals!$D$2:$D$843,F4598))</f>
        <v/>
      </c>
      <c r="J4598">
        <f>IF(F4598="","",INT(H4598)-B4598)</f>
        <v/>
      </c>
      <c r="K4598">
        <f>IF(B4598&gt;=Settings!$C$5,1,0)</f>
        <v/>
      </c>
    </row>
    <row r="4599">
      <c r="A4599" t="inlineStr">
        <is>
          <t>237badad699a572a4071d58e19cdc8b4</t>
        </is>
      </c>
      <c r="B4599" s="29" t="n">
        <v>43115</v>
      </c>
      <c r="C4599" t="inlineStr">
        <is>
          <t>2018-01</t>
        </is>
      </c>
      <c r="D4599" t="inlineStr">
        <is>
          <t>40dec9f3d5259a3d2dbcdab2114fae47</t>
        </is>
      </c>
      <c r="E4599" t="inlineStr">
        <is>
          <t>organic_search</t>
        </is>
      </c>
      <c r="F4599">
        <f>IFERROR(MATCH(A4599,Deals!$A$2:$A$843,0),"")</f>
        <v/>
      </c>
      <c r="G4599">
        <f>IF(F4599="",0,1)</f>
        <v/>
      </c>
      <c r="H4599" s="29">
        <f>IF(F4599="","",INDEX(Deals!$E$2:$E$843,F4599))</f>
        <v/>
      </c>
      <c r="I4599">
        <f>IF(F4599="","",INDEX(Deals!$D$2:$D$843,F4599))</f>
        <v/>
      </c>
      <c r="J4599">
        <f>IF(F4599="","",INT(H4599)-B4599)</f>
        <v/>
      </c>
      <c r="K4599">
        <f>IF(B4599&gt;=Settings!$C$5,1,0)</f>
        <v/>
      </c>
    </row>
    <row r="4600">
      <c r="A4600" t="inlineStr">
        <is>
          <t>2a081587c87c2f361a44876167336224</t>
        </is>
      </c>
      <c r="B4600" s="29" t="n">
        <v>43038</v>
      </c>
      <c r="C4600" t="inlineStr">
        <is>
          <t>2017-10</t>
        </is>
      </c>
      <c r="D4600" t="inlineStr">
        <is>
          <t>f017be4dbf86243af5c1ebed0cff36a2</t>
        </is>
      </c>
      <c r="E4600" t="inlineStr">
        <is>
          <t>organic_search</t>
        </is>
      </c>
      <c r="F4600">
        <f>IFERROR(MATCH(A4600,Deals!$A$2:$A$843,0),"")</f>
        <v/>
      </c>
      <c r="G4600">
        <f>IF(F4600="",0,1)</f>
        <v/>
      </c>
      <c r="H4600" s="29">
        <f>IF(F4600="","",INDEX(Deals!$E$2:$E$843,F4600))</f>
        <v/>
      </c>
      <c r="I4600">
        <f>IF(F4600="","",INDEX(Deals!$D$2:$D$843,F4600))</f>
        <v/>
      </c>
      <c r="J4600">
        <f>IF(F4600="","",INT(H4600)-B4600)</f>
        <v/>
      </c>
      <c r="K4600">
        <f>IF(B4600&gt;=Settings!$C$5,1,0)</f>
        <v/>
      </c>
    </row>
    <row r="4601">
      <c r="A4601" t="inlineStr">
        <is>
          <t>3870e23479b42ad046256d65834e987f</t>
        </is>
      </c>
      <c r="B4601" s="29" t="n">
        <v>43100</v>
      </c>
      <c r="C4601" t="inlineStr">
        <is>
          <t>2017-12</t>
        </is>
      </c>
      <c r="D4601" t="inlineStr">
        <is>
          <t>ee3c3bad6ed3eb9d5de56688d1f9c91b</t>
        </is>
      </c>
      <c r="E4601" t="inlineStr">
        <is>
          <t>organic_search</t>
        </is>
      </c>
      <c r="F4601">
        <f>IFERROR(MATCH(A4601,Deals!$A$2:$A$843,0),"")</f>
        <v/>
      </c>
      <c r="G4601">
        <f>IF(F4601="",0,1)</f>
        <v/>
      </c>
      <c r="H4601" s="29">
        <f>IF(F4601="","",INDEX(Deals!$E$2:$E$843,F4601))</f>
        <v/>
      </c>
      <c r="I4601">
        <f>IF(F4601="","",INDEX(Deals!$D$2:$D$843,F4601))</f>
        <v/>
      </c>
      <c r="J4601">
        <f>IF(F4601="","",INT(H4601)-B4601)</f>
        <v/>
      </c>
      <c r="K4601">
        <f>IF(B4601&gt;=Settings!$C$5,1,0)</f>
        <v/>
      </c>
    </row>
    <row r="4602">
      <c r="A4602" t="inlineStr">
        <is>
          <t>448a7e8a46946d59a16758d346844a06</t>
        </is>
      </c>
      <c r="B4602" s="29" t="n">
        <v>43154</v>
      </c>
      <c r="C4602" t="inlineStr">
        <is>
          <t>2018-02</t>
        </is>
      </c>
      <c r="D4602" t="inlineStr">
        <is>
          <t>88740e65d5d6b056e0cda098e1ea6313</t>
        </is>
      </c>
      <c r="E4602" t="inlineStr">
        <is>
          <t>social</t>
        </is>
      </c>
      <c r="F4602">
        <f>IFERROR(MATCH(A4602,Deals!$A$2:$A$843,0),"")</f>
        <v/>
      </c>
      <c r="G4602">
        <f>IF(F4602="",0,1)</f>
        <v/>
      </c>
      <c r="H4602" s="29">
        <f>IF(F4602="","",INDEX(Deals!$E$2:$E$843,F4602))</f>
        <v/>
      </c>
      <c r="I4602">
        <f>IF(F4602="","",INDEX(Deals!$D$2:$D$843,F4602))</f>
        <v/>
      </c>
      <c r="J4602">
        <f>IF(F4602="","",INT(H4602)-B4602)</f>
        <v/>
      </c>
      <c r="K4602">
        <f>IF(B4602&gt;=Settings!$C$5,1,0)</f>
        <v/>
      </c>
    </row>
    <row r="4603">
      <c r="A4603" t="inlineStr">
        <is>
          <t>2ba77af80ddfc70b7b6fb4436f15adf8</t>
        </is>
      </c>
      <c r="B4603" s="29" t="n">
        <v>43137</v>
      </c>
      <c r="C4603" t="inlineStr">
        <is>
          <t>2018-02</t>
        </is>
      </c>
      <c r="D4603" t="inlineStr">
        <is>
          <t>b76ef37428e6799c421989521c0e5077</t>
        </is>
      </c>
      <c r="E4603" t="inlineStr">
        <is>
          <t>unknown</t>
        </is>
      </c>
      <c r="F4603">
        <f>IFERROR(MATCH(A4603,Deals!$A$2:$A$843,0),"")</f>
        <v/>
      </c>
      <c r="G4603">
        <f>IF(F4603="",0,1)</f>
        <v/>
      </c>
      <c r="H4603" s="29">
        <f>IF(F4603="","",INDEX(Deals!$E$2:$E$843,F4603))</f>
        <v/>
      </c>
      <c r="I4603">
        <f>IF(F4603="","",INDEX(Deals!$D$2:$D$843,F4603))</f>
        <v/>
      </c>
      <c r="J4603">
        <f>IF(F4603="","",INT(H4603)-B4603)</f>
        <v/>
      </c>
      <c r="K4603">
        <f>IF(B4603&gt;=Settings!$C$5,1,0)</f>
        <v/>
      </c>
    </row>
    <row r="4604">
      <c r="A4604" t="inlineStr">
        <is>
          <t>7b3f65a67546eca7a9249e1310a6be4f</t>
        </is>
      </c>
      <c r="B4604" s="29" t="n">
        <v>43115</v>
      </c>
      <c r="C4604" t="inlineStr">
        <is>
          <t>2018-01</t>
        </is>
      </c>
      <c r="D4604" t="inlineStr">
        <is>
          <t>ce1a65abd0973638f1c887a6efcfa82d</t>
        </is>
      </c>
      <c r="E4604" t="inlineStr">
        <is>
          <t>referral</t>
        </is>
      </c>
      <c r="F4604">
        <f>IFERROR(MATCH(A4604,Deals!$A$2:$A$843,0),"")</f>
        <v/>
      </c>
      <c r="G4604">
        <f>IF(F4604="",0,1)</f>
        <v/>
      </c>
      <c r="H4604" s="29">
        <f>IF(F4604="","",INDEX(Deals!$E$2:$E$843,F4604))</f>
        <v/>
      </c>
      <c r="I4604">
        <f>IF(F4604="","",INDEX(Deals!$D$2:$D$843,F4604))</f>
        <v/>
      </c>
      <c r="J4604">
        <f>IF(F4604="","",INT(H4604)-B4604)</f>
        <v/>
      </c>
      <c r="K4604">
        <f>IF(B4604&gt;=Settings!$C$5,1,0)</f>
        <v/>
      </c>
    </row>
    <row r="4605">
      <c r="A4605" t="inlineStr">
        <is>
          <t>44f24b3c093ffe8bb756db22f86a9a2f</t>
        </is>
      </c>
      <c r="B4605" s="29" t="n">
        <v>43174</v>
      </c>
      <c r="C4605" t="inlineStr">
        <is>
          <t>2018-03</t>
        </is>
      </c>
      <c r="D4605" t="inlineStr">
        <is>
          <t>330b9d44078a1ae5a221d655dcb77afa</t>
        </is>
      </c>
      <c r="E4605" t="inlineStr">
        <is>
          <t>paid_search</t>
        </is>
      </c>
      <c r="F4605">
        <f>IFERROR(MATCH(A4605,Deals!$A$2:$A$843,0),"")</f>
        <v/>
      </c>
      <c r="G4605">
        <f>IF(F4605="",0,1)</f>
        <v/>
      </c>
      <c r="H4605" s="29">
        <f>IF(F4605="","",INDEX(Deals!$E$2:$E$843,F4605))</f>
        <v/>
      </c>
      <c r="I4605">
        <f>IF(F4605="","",INDEX(Deals!$D$2:$D$843,F4605))</f>
        <v/>
      </c>
      <c r="J4605">
        <f>IF(F4605="","",INT(H4605)-B4605)</f>
        <v/>
      </c>
      <c r="K4605">
        <f>IF(B4605&gt;=Settings!$C$5,1,0)</f>
        <v/>
      </c>
    </row>
    <row r="4606">
      <c r="A4606" t="inlineStr">
        <is>
          <t>0a1e1d8da51f5dd7077a7f2748b10d58</t>
        </is>
      </c>
      <c r="B4606" s="29" t="n">
        <v>43241</v>
      </c>
      <c r="C4606" t="inlineStr">
        <is>
          <t>2018-05</t>
        </is>
      </c>
      <c r="D4606" t="inlineStr">
        <is>
          <t>b76ef37428e6799c421989521c0e5077</t>
        </is>
      </c>
      <c r="E4606" t="inlineStr">
        <is>
          <t>organic_search</t>
        </is>
      </c>
      <c r="F4606">
        <f>IFERROR(MATCH(A4606,Deals!$A$2:$A$843,0),"")</f>
        <v/>
      </c>
      <c r="G4606">
        <f>IF(F4606="",0,1)</f>
        <v/>
      </c>
      <c r="H4606" s="29">
        <f>IF(F4606="","",INDEX(Deals!$E$2:$E$843,F4606))</f>
        <v/>
      </c>
      <c r="I4606">
        <f>IF(F4606="","",INDEX(Deals!$D$2:$D$843,F4606))</f>
        <v/>
      </c>
      <c r="J4606">
        <f>IF(F4606="","",INT(H4606)-B4606)</f>
        <v/>
      </c>
      <c r="K4606">
        <f>IF(B4606&gt;=Settings!$C$5,1,0)</f>
        <v/>
      </c>
    </row>
    <row r="4607">
      <c r="A4607" t="inlineStr">
        <is>
          <t>eed7d5ba22bb638d57b1e1e241f763c8</t>
        </is>
      </c>
      <c r="B4607" s="29" t="n">
        <v>43112</v>
      </c>
      <c r="C4607" t="inlineStr">
        <is>
          <t>2018-01</t>
        </is>
      </c>
      <c r="D4607" t="inlineStr">
        <is>
          <t>e492ee5eaf1697716985cc6f33f9cd9b</t>
        </is>
      </c>
      <c r="E4607" t="inlineStr">
        <is>
          <t>paid_search</t>
        </is>
      </c>
      <c r="F4607">
        <f>IFERROR(MATCH(A4607,Deals!$A$2:$A$843,0),"")</f>
        <v/>
      </c>
      <c r="G4607">
        <f>IF(F4607="",0,1)</f>
        <v/>
      </c>
      <c r="H4607" s="29">
        <f>IF(F4607="","",INDEX(Deals!$E$2:$E$843,F4607))</f>
        <v/>
      </c>
      <c r="I4607">
        <f>IF(F4607="","",INDEX(Deals!$D$2:$D$843,F4607))</f>
        <v/>
      </c>
      <c r="J4607">
        <f>IF(F4607="","",INT(H4607)-B4607)</f>
        <v/>
      </c>
      <c r="K4607">
        <f>IF(B4607&gt;=Settings!$C$5,1,0)</f>
        <v/>
      </c>
    </row>
    <row r="4608">
      <c r="A4608" t="inlineStr">
        <is>
          <t>b05d4080611fca7960d66263f2b29fa5</t>
        </is>
      </c>
      <c r="B4608" s="29" t="n">
        <v>43136</v>
      </c>
      <c r="C4608" t="inlineStr">
        <is>
          <t>2018-02</t>
        </is>
      </c>
      <c r="D4608" t="inlineStr">
        <is>
          <t>40dec9f3d5259a3d2dbcdab2114fae47</t>
        </is>
      </c>
      <c r="E4608" t="inlineStr">
        <is>
          <t>paid_search</t>
        </is>
      </c>
      <c r="F4608">
        <f>IFERROR(MATCH(A4608,Deals!$A$2:$A$843,0),"")</f>
        <v/>
      </c>
      <c r="G4608">
        <f>IF(F4608="",0,1)</f>
        <v/>
      </c>
      <c r="H4608" s="29">
        <f>IF(F4608="","",INDEX(Deals!$E$2:$E$843,F4608))</f>
        <v/>
      </c>
      <c r="I4608">
        <f>IF(F4608="","",INDEX(Deals!$D$2:$D$843,F4608))</f>
        <v/>
      </c>
      <c r="J4608">
        <f>IF(F4608="","",INT(H4608)-B4608)</f>
        <v/>
      </c>
      <c r="K4608">
        <f>IF(B4608&gt;=Settings!$C$5,1,0)</f>
        <v/>
      </c>
    </row>
    <row r="4609">
      <c r="A4609" t="inlineStr">
        <is>
          <t>29ac0835a14c551405ff79715374bd05</t>
        </is>
      </c>
      <c r="B4609" s="29" t="n">
        <v>42943</v>
      </c>
      <c r="C4609" t="inlineStr">
        <is>
          <t>2017-07</t>
        </is>
      </c>
      <c r="D4609" t="inlineStr">
        <is>
          <t>e92a6f37ebb87a6bfbc569d439cf1635</t>
        </is>
      </c>
      <c r="E4609" t="inlineStr">
        <is>
          <t>organic_search</t>
        </is>
      </c>
      <c r="F4609">
        <f>IFERROR(MATCH(A4609,Deals!$A$2:$A$843,0),"")</f>
        <v/>
      </c>
      <c r="G4609">
        <f>IF(F4609="",0,1)</f>
        <v/>
      </c>
      <c r="H4609" s="29">
        <f>IF(F4609="","",INDEX(Deals!$E$2:$E$843,F4609))</f>
        <v/>
      </c>
      <c r="I4609">
        <f>IF(F4609="","",INDEX(Deals!$D$2:$D$843,F4609))</f>
        <v/>
      </c>
      <c r="J4609">
        <f>IF(F4609="","",INT(H4609)-B4609)</f>
        <v/>
      </c>
      <c r="K4609">
        <f>IF(B4609&gt;=Settings!$C$5,1,0)</f>
        <v/>
      </c>
    </row>
    <row r="4610">
      <c r="A4610" t="inlineStr">
        <is>
          <t>0124b431b5f5ec31102026abc3531f2f</t>
        </is>
      </c>
      <c r="B4610" s="29" t="n">
        <v>43205</v>
      </c>
      <c r="C4610" t="inlineStr">
        <is>
          <t>2018-04</t>
        </is>
      </c>
      <c r="D4610" t="inlineStr">
        <is>
          <t>58326e62183c14b0c03085c33b9fdc44</t>
        </is>
      </c>
      <c r="E4610" t="inlineStr">
        <is>
          <t>social</t>
        </is>
      </c>
      <c r="F4610">
        <f>IFERROR(MATCH(A4610,Deals!$A$2:$A$843,0),"")</f>
        <v/>
      </c>
      <c r="G4610">
        <f>IF(F4610="",0,1)</f>
        <v/>
      </c>
      <c r="H4610" s="29">
        <f>IF(F4610="","",INDEX(Deals!$E$2:$E$843,F4610))</f>
        <v/>
      </c>
      <c r="I4610">
        <f>IF(F4610="","",INDEX(Deals!$D$2:$D$843,F4610))</f>
        <v/>
      </c>
      <c r="J4610">
        <f>IF(F4610="","",INT(H4610)-B4610)</f>
        <v/>
      </c>
      <c r="K4610">
        <f>IF(B4610&gt;=Settings!$C$5,1,0)</f>
        <v/>
      </c>
    </row>
    <row r="4611">
      <c r="A4611" t="inlineStr">
        <is>
          <t>b6c7646d9f04a2ea49daecc3acedb33e</t>
        </is>
      </c>
      <c r="B4611" s="29" t="n">
        <v>43228</v>
      </c>
      <c r="C4611" t="inlineStr">
        <is>
          <t>2018-05</t>
        </is>
      </c>
      <c r="D4611" t="inlineStr">
        <is>
          <t>82028478fef3ab881990e8d1fb24ba3a</t>
        </is>
      </c>
      <c r="E4611" t="inlineStr">
        <is>
          <t>email</t>
        </is>
      </c>
      <c r="F4611">
        <f>IFERROR(MATCH(A4611,Deals!$A$2:$A$843,0),"")</f>
        <v/>
      </c>
      <c r="G4611">
        <f>IF(F4611="",0,1)</f>
        <v/>
      </c>
      <c r="H4611" s="29">
        <f>IF(F4611="","",INDEX(Deals!$E$2:$E$843,F4611))</f>
        <v/>
      </c>
      <c r="I4611">
        <f>IF(F4611="","",INDEX(Deals!$D$2:$D$843,F4611))</f>
        <v/>
      </c>
      <c r="J4611">
        <f>IF(F4611="","",INT(H4611)-B4611)</f>
        <v/>
      </c>
      <c r="K4611">
        <f>IF(B4611&gt;=Settings!$C$5,1,0)</f>
        <v/>
      </c>
    </row>
    <row r="4612">
      <c r="A4612" t="inlineStr">
        <is>
          <t>a1668ffc4a96b650355d86b7d70fe59a</t>
        </is>
      </c>
      <c r="B4612" s="29" t="n">
        <v>43244</v>
      </c>
      <c r="C4612" t="inlineStr">
        <is>
          <t>2018-05</t>
        </is>
      </c>
      <c r="D4612" t="inlineStr">
        <is>
          <t>f017be4dbf86243af5c1ebed0cff36a2</t>
        </is>
      </c>
      <c r="E4612" t="inlineStr">
        <is>
          <t>organic_search</t>
        </is>
      </c>
      <c r="F4612">
        <f>IFERROR(MATCH(A4612,Deals!$A$2:$A$843,0),"")</f>
        <v/>
      </c>
      <c r="G4612">
        <f>IF(F4612="",0,1)</f>
        <v/>
      </c>
      <c r="H4612" s="29">
        <f>IF(F4612="","",INDEX(Deals!$E$2:$E$843,F4612))</f>
        <v/>
      </c>
      <c r="I4612">
        <f>IF(F4612="","",INDEX(Deals!$D$2:$D$843,F4612))</f>
        <v/>
      </c>
      <c r="J4612">
        <f>IF(F4612="","",INT(H4612)-B4612)</f>
        <v/>
      </c>
      <c r="K4612">
        <f>IF(B4612&gt;=Settings!$C$5,1,0)</f>
        <v/>
      </c>
    </row>
    <row r="4613">
      <c r="A4613" t="inlineStr">
        <is>
          <t>0d166a9cd71ad7522b629d24a4473c00</t>
        </is>
      </c>
      <c r="B4613" s="29" t="n">
        <v>43241</v>
      </c>
      <c r="C4613" t="inlineStr">
        <is>
          <t>2018-05</t>
        </is>
      </c>
      <c r="D4613" t="inlineStr">
        <is>
          <t>e492ee5eaf1697716985cc6f33f9cd9b</t>
        </is>
      </c>
      <c r="E4613" t="inlineStr">
        <is>
          <t>paid_search</t>
        </is>
      </c>
      <c r="F4613">
        <f>IFERROR(MATCH(A4613,Deals!$A$2:$A$843,0),"")</f>
        <v/>
      </c>
      <c r="G4613">
        <f>IF(F4613="",0,1)</f>
        <v/>
      </c>
      <c r="H4613" s="29">
        <f>IF(F4613="","",INDEX(Deals!$E$2:$E$843,F4613))</f>
        <v/>
      </c>
      <c r="I4613">
        <f>IF(F4613="","",INDEX(Deals!$D$2:$D$843,F4613))</f>
        <v/>
      </c>
      <c r="J4613">
        <f>IF(F4613="","",INT(H4613)-B4613)</f>
        <v/>
      </c>
      <c r="K4613">
        <f>IF(B4613&gt;=Settings!$C$5,1,0)</f>
        <v/>
      </c>
    </row>
    <row r="4614">
      <c r="A4614" t="inlineStr">
        <is>
          <t>6916222172eb021e5d5f0043453078b9</t>
        </is>
      </c>
      <c r="B4614" s="29" t="n">
        <v>43248</v>
      </c>
      <c r="C4614" t="inlineStr">
        <is>
          <t>2018-05</t>
        </is>
      </c>
      <c r="D4614" t="inlineStr">
        <is>
          <t>f017be4dbf86243af5c1ebed0cff36a2</t>
        </is>
      </c>
      <c r="E4614" t="inlineStr">
        <is>
          <t>organic_search</t>
        </is>
      </c>
      <c r="F4614">
        <f>IFERROR(MATCH(A4614,Deals!$A$2:$A$843,0),"")</f>
        <v/>
      </c>
      <c r="G4614">
        <f>IF(F4614="",0,1)</f>
        <v/>
      </c>
      <c r="H4614" s="29">
        <f>IF(F4614="","",INDEX(Deals!$E$2:$E$843,F4614))</f>
        <v/>
      </c>
      <c r="I4614">
        <f>IF(F4614="","",INDEX(Deals!$D$2:$D$843,F4614))</f>
        <v/>
      </c>
      <c r="J4614">
        <f>IF(F4614="","",INT(H4614)-B4614)</f>
        <v/>
      </c>
      <c r="K4614">
        <f>IF(B4614&gt;=Settings!$C$5,1,0)</f>
        <v/>
      </c>
    </row>
    <row r="4615">
      <c r="A4615" t="inlineStr">
        <is>
          <t>f593b9ead8801922f74f0a5329e31486</t>
        </is>
      </c>
      <c r="B4615" s="29" t="n">
        <v>43121</v>
      </c>
      <c r="C4615" t="inlineStr">
        <is>
          <t>2018-01</t>
        </is>
      </c>
      <c r="D4615" t="inlineStr">
        <is>
          <t>639b8856a99f6e208406b764ba5a7be5</t>
        </is>
      </c>
      <c r="E4615" t="inlineStr">
        <is>
          <t>organic_search</t>
        </is>
      </c>
      <c r="F4615">
        <f>IFERROR(MATCH(A4615,Deals!$A$2:$A$843,0),"")</f>
        <v/>
      </c>
      <c r="G4615">
        <f>IF(F4615="",0,1)</f>
        <v/>
      </c>
      <c r="H4615" s="29">
        <f>IF(F4615="","",INDEX(Deals!$E$2:$E$843,F4615))</f>
        <v/>
      </c>
      <c r="I4615">
        <f>IF(F4615="","",INDEX(Deals!$D$2:$D$843,F4615))</f>
        <v/>
      </c>
      <c r="J4615">
        <f>IF(F4615="","",INT(H4615)-B4615)</f>
        <v/>
      </c>
      <c r="K4615">
        <f>IF(B4615&gt;=Settings!$C$5,1,0)</f>
        <v/>
      </c>
    </row>
    <row r="4616">
      <c r="A4616" t="inlineStr">
        <is>
          <t>9cbea5b353f2dec1fed2002724850f17</t>
        </is>
      </c>
      <c r="B4616" s="29" t="n">
        <v>43195</v>
      </c>
      <c r="C4616" t="inlineStr">
        <is>
          <t>2018-04</t>
        </is>
      </c>
      <c r="D4616" t="inlineStr">
        <is>
          <t>1ceb590cd1e00c7ee95220971f82693d</t>
        </is>
      </c>
      <c r="E4616" t="inlineStr">
        <is>
          <t>other_publicities</t>
        </is>
      </c>
      <c r="F4616">
        <f>IFERROR(MATCH(A4616,Deals!$A$2:$A$843,0),"")</f>
        <v/>
      </c>
      <c r="G4616">
        <f>IF(F4616="",0,1)</f>
        <v/>
      </c>
      <c r="H4616" s="29">
        <f>IF(F4616="","",INDEX(Deals!$E$2:$E$843,F4616))</f>
        <v/>
      </c>
      <c r="I4616">
        <f>IF(F4616="","",INDEX(Deals!$D$2:$D$843,F4616))</f>
        <v/>
      </c>
      <c r="J4616">
        <f>IF(F4616="","",INT(H4616)-B4616)</f>
        <v/>
      </c>
      <c r="K4616">
        <f>IF(B4616&gt;=Settings!$C$5,1,0)</f>
        <v/>
      </c>
    </row>
    <row r="4617">
      <c r="A4617" t="inlineStr">
        <is>
          <t>85bcd4523877c541065a40d7e1563269</t>
        </is>
      </c>
      <c r="B4617" s="29" t="n">
        <v>42964</v>
      </c>
      <c r="C4617" t="inlineStr">
        <is>
          <t>2017-08</t>
        </is>
      </c>
      <c r="D4617" t="inlineStr">
        <is>
          <t>186132bda8b5f41c7dc834d063745d19</t>
        </is>
      </c>
      <c r="E4617" t="inlineStr">
        <is>
          <t>paid_search</t>
        </is>
      </c>
      <c r="F4617">
        <f>IFERROR(MATCH(A4617,Deals!$A$2:$A$843,0),"")</f>
        <v/>
      </c>
      <c r="G4617">
        <f>IF(F4617="",0,1)</f>
        <v/>
      </c>
      <c r="H4617" s="29">
        <f>IF(F4617="","",INDEX(Deals!$E$2:$E$843,F4617))</f>
        <v/>
      </c>
      <c r="I4617">
        <f>IF(F4617="","",INDEX(Deals!$D$2:$D$843,F4617))</f>
        <v/>
      </c>
      <c r="J4617">
        <f>IF(F4617="","",INT(H4617)-B4617)</f>
        <v/>
      </c>
      <c r="K4617">
        <f>IF(B4617&gt;=Settings!$C$5,1,0)</f>
        <v/>
      </c>
    </row>
    <row r="4618">
      <c r="A4618" t="inlineStr">
        <is>
          <t>ee5b912101bea6d7649532c3234c7fce</t>
        </is>
      </c>
      <c r="B4618" s="29" t="n">
        <v>43163</v>
      </c>
      <c r="C4618" t="inlineStr">
        <is>
          <t>2018-03</t>
        </is>
      </c>
      <c r="D4618" t="inlineStr">
        <is>
          <t>a7982125ff7aa3b2054c6e44f9d28522</t>
        </is>
      </c>
      <c r="E4618" t="inlineStr">
        <is>
          <t>organic_search</t>
        </is>
      </c>
      <c r="F4618">
        <f>IFERROR(MATCH(A4618,Deals!$A$2:$A$843,0),"")</f>
        <v/>
      </c>
      <c r="G4618">
        <f>IF(F4618="",0,1)</f>
        <v/>
      </c>
      <c r="H4618" s="29">
        <f>IF(F4618="","",INDEX(Deals!$E$2:$E$843,F4618))</f>
        <v/>
      </c>
      <c r="I4618">
        <f>IF(F4618="","",INDEX(Deals!$D$2:$D$843,F4618))</f>
        <v/>
      </c>
      <c r="J4618">
        <f>IF(F4618="","",INT(H4618)-B4618)</f>
        <v/>
      </c>
      <c r="K4618">
        <f>IF(B4618&gt;=Settings!$C$5,1,0)</f>
        <v/>
      </c>
    </row>
    <row r="4619">
      <c r="A4619" t="inlineStr">
        <is>
          <t>2826a001bddefaad0896bd7a85941b2f</t>
        </is>
      </c>
      <c r="B4619" s="29" t="n">
        <v>43242</v>
      </c>
      <c r="C4619" t="inlineStr">
        <is>
          <t>2018-05</t>
        </is>
      </c>
      <c r="D4619" t="inlineStr">
        <is>
          <t>21a104c3279681d9856b8a48723c4fee</t>
        </is>
      </c>
      <c r="E4619" t="inlineStr">
        <is>
          <t>organic_search</t>
        </is>
      </c>
      <c r="F4619">
        <f>IFERROR(MATCH(A4619,Deals!$A$2:$A$843,0),"")</f>
        <v/>
      </c>
      <c r="G4619">
        <f>IF(F4619="",0,1)</f>
        <v/>
      </c>
      <c r="H4619" s="29">
        <f>IF(F4619="","",INDEX(Deals!$E$2:$E$843,F4619))</f>
        <v/>
      </c>
      <c r="I4619">
        <f>IF(F4619="","",INDEX(Deals!$D$2:$D$843,F4619))</f>
        <v/>
      </c>
      <c r="J4619">
        <f>IF(F4619="","",INT(H4619)-B4619)</f>
        <v/>
      </c>
      <c r="K4619">
        <f>IF(B4619&gt;=Settings!$C$5,1,0)</f>
        <v/>
      </c>
    </row>
    <row r="4620">
      <c r="A4620" t="inlineStr">
        <is>
          <t>c2dd0b60035ad00b08f81244a20b4860</t>
        </is>
      </c>
      <c r="B4620" s="29" t="n">
        <v>43108</v>
      </c>
      <c r="C4620" t="inlineStr">
        <is>
          <t>2018-01</t>
        </is>
      </c>
      <c r="D4620" t="inlineStr">
        <is>
          <t>a0fbc0263cb98bdb0d72b9f9f283a172</t>
        </is>
      </c>
      <c r="E4620" t="inlineStr">
        <is>
          <t>paid_search</t>
        </is>
      </c>
      <c r="F4620">
        <f>IFERROR(MATCH(A4620,Deals!$A$2:$A$843,0),"")</f>
        <v/>
      </c>
      <c r="G4620">
        <f>IF(F4620="",0,1)</f>
        <v/>
      </c>
      <c r="H4620" s="29">
        <f>IF(F4620="","",INDEX(Deals!$E$2:$E$843,F4620))</f>
        <v/>
      </c>
      <c r="I4620">
        <f>IF(F4620="","",INDEX(Deals!$D$2:$D$843,F4620))</f>
        <v/>
      </c>
      <c r="J4620">
        <f>IF(F4620="","",INT(H4620)-B4620)</f>
        <v/>
      </c>
      <c r="K4620">
        <f>IF(B4620&gt;=Settings!$C$5,1,0)</f>
        <v/>
      </c>
    </row>
    <row r="4621">
      <c r="A4621" t="inlineStr">
        <is>
          <t>f30e13dda67413e38d9dec087e89d3ed</t>
        </is>
      </c>
      <c r="B4621" s="29" t="n">
        <v>43130</v>
      </c>
      <c r="C4621" t="inlineStr">
        <is>
          <t>2018-01</t>
        </is>
      </c>
      <c r="D4621" t="inlineStr">
        <is>
          <t>b76ef37428e6799c421989521c0e5077</t>
        </is>
      </c>
      <c r="E4621" t="inlineStr">
        <is>
          <t>unknown</t>
        </is>
      </c>
      <c r="F4621">
        <f>IFERROR(MATCH(A4621,Deals!$A$2:$A$843,0),"")</f>
        <v/>
      </c>
      <c r="G4621">
        <f>IF(F4621="",0,1)</f>
        <v/>
      </c>
      <c r="H4621" s="29">
        <f>IF(F4621="","",INDEX(Deals!$E$2:$E$843,F4621))</f>
        <v/>
      </c>
      <c r="I4621">
        <f>IF(F4621="","",INDEX(Deals!$D$2:$D$843,F4621))</f>
        <v/>
      </c>
      <c r="J4621">
        <f>IF(F4621="","",INT(H4621)-B4621)</f>
        <v/>
      </c>
      <c r="K4621">
        <f>IF(B4621&gt;=Settings!$C$5,1,0)</f>
        <v/>
      </c>
    </row>
    <row r="4622">
      <c r="A4622" t="inlineStr">
        <is>
          <t>7c985c86cdb068f0cdd3014ce627458f</t>
        </is>
      </c>
      <c r="B4622" s="29" t="n">
        <v>43055</v>
      </c>
      <c r="C4622" t="inlineStr">
        <is>
          <t>2017-11</t>
        </is>
      </c>
      <c r="D4622" t="inlineStr">
        <is>
          <t>214b0943d4ad794c4086cf7e38785ef2</t>
        </is>
      </c>
      <c r="E4622" t="inlineStr">
        <is>
          <t>email</t>
        </is>
      </c>
      <c r="F4622">
        <f>IFERROR(MATCH(A4622,Deals!$A$2:$A$843,0),"")</f>
        <v/>
      </c>
      <c r="G4622">
        <f>IF(F4622="",0,1)</f>
        <v/>
      </c>
      <c r="H4622" s="29">
        <f>IF(F4622="","",INDEX(Deals!$E$2:$E$843,F4622))</f>
        <v/>
      </c>
      <c r="I4622">
        <f>IF(F4622="","",INDEX(Deals!$D$2:$D$843,F4622))</f>
        <v/>
      </c>
      <c r="J4622">
        <f>IF(F4622="","",INT(H4622)-B4622)</f>
        <v/>
      </c>
      <c r="K4622">
        <f>IF(B4622&gt;=Settings!$C$5,1,0)</f>
        <v/>
      </c>
    </row>
    <row r="4623">
      <c r="A4623" t="inlineStr">
        <is>
          <t>5ca05341418f09367540f05484d0b650</t>
        </is>
      </c>
      <c r="B4623" s="29" t="n">
        <v>43113</v>
      </c>
      <c r="C4623" t="inlineStr">
        <is>
          <t>2018-01</t>
        </is>
      </c>
      <c r="D4623" t="inlineStr">
        <is>
          <t>ce1a65abd0973638f1c887a6efcfa82d</t>
        </is>
      </c>
      <c r="E4623" t="inlineStr">
        <is>
          <t>organic_search</t>
        </is>
      </c>
      <c r="F4623">
        <f>IFERROR(MATCH(A4623,Deals!$A$2:$A$843,0),"")</f>
        <v/>
      </c>
      <c r="G4623">
        <f>IF(F4623="",0,1)</f>
        <v/>
      </c>
      <c r="H4623" s="29">
        <f>IF(F4623="","",INDEX(Deals!$E$2:$E$843,F4623))</f>
        <v/>
      </c>
      <c r="I4623">
        <f>IF(F4623="","",INDEX(Deals!$D$2:$D$843,F4623))</f>
        <v/>
      </c>
      <c r="J4623">
        <f>IF(F4623="","",INT(H4623)-B4623)</f>
        <v/>
      </c>
      <c r="K4623">
        <f>IF(B4623&gt;=Settings!$C$5,1,0)</f>
        <v/>
      </c>
    </row>
    <row r="4624">
      <c r="A4624" t="inlineStr">
        <is>
          <t>0f18e4824fc601cd270a4d31b084bb5d</t>
        </is>
      </c>
      <c r="B4624" s="29" t="n">
        <v>43073</v>
      </c>
      <c r="C4624" t="inlineStr">
        <is>
          <t>2017-12</t>
        </is>
      </c>
      <c r="D4624" t="inlineStr">
        <is>
          <t>a0fbc0263cb98bdb0d72b9f9f283a172</t>
        </is>
      </c>
      <c r="E4624" t="inlineStr">
        <is>
          <t>paid_search</t>
        </is>
      </c>
      <c r="F4624">
        <f>IFERROR(MATCH(A4624,Deals!$A$2:$A$843,0),"")</f>
        <v/>
      </c>
      <c r="G4624">
        <f>IF(F4624="",0,1)</f>
        <v/>
      </c>
      <c r="H4624" s="29">
        <f>IF(F4624="","",INDEX(Deals!$E$2:$E$843,F4624))</f>
        <v/>
      </c>
      <c r="I4624">
        <f>IF(F4624="","",INDEX(Deals!$D$2:$D$843,F4624))</f>
        <v/>
      </c>
      <c r="J4624">
        <f>IF(F4624="","",INT(H4624)-B4624)</f>
        <v/>
      </c>
      <c r="K4624">
        <f>IF(B4624&gt;=Settings!$C$5,1,0)</f>
        <v/>
      </c>
    </row>
    <row r="4625">
      <c r="A4625" t="inlineStr">
        <is>
          <t>3c6e64ee63b13dc34d7b3199a1c2ce57</t>
        </is>
      </c>
      <c r="B4625" s="29" t="n">
        <v>43154</v>
      </c>
      <c r="C4625" t="inlineStr">
        <is>
          <t>2018-02</t>
        </is>
      </c>
      <c r="D4625" t="inlineStr">
        <is>
          <t>f017be4dbf86243af5c1ebed0cff36a2</t>
        </is>
      </c>
      <c r="E4625" t="inlineStr">
        <is>
          <t>organic_search</t>
        </is>
      </c>
      <c r="F4625">
        <f>IFERROR(MATCH(A4625,Deals!$A$2:$A$843,0),"")</f>
        <v/>
      </c>
      <c r="G4625">
        <f>IF(F4625="",0,1)</f>
        <v/>
      </c>
      <c r="H4625" s="29">
        <f>IF(F4625="","",INDEX(Deals!$E$2:$E$843,F4625))</f>
        <v/>
      </c>
      <c r="I4625">
        <f>IF(F4625="","",INDEX(Deals!$D$2:$D$843,F4625))</f>
        <v/>
      </c>
      <c r="J4625">
        <f>IF(F4625="","",INT(H4625)-B4625)</f>
        <v/>
      </c>
      <c r="K4625">
        <f>IF(B4625&gt;=Settings!$C$5,1,0)</f>
        <v/>
      </c>
    </row>
    <row r="4626">
      <c r="A4626" t="inlineStr">
        <is>
          <t>9209d9f3516cb004ae00cb39cfe27fa5</t>
        </is>
      </c>
      <c r="B4626" s="29" t="n">
        <v>43189</v>
      </c>
      <c r="C4626" t="inlineStr">
        <is>
          <t>2018-03</t>
        </is>
      </c>
      <c r="D4626" t="inlineStr">
        <is>
          <t>ea0650174e273c41e12002dcdd4708be</t>
        </is>
      </c>
      <c r="E4626" t="inlineStr">
        <is>
          <t>unknown</t>
        </is>
      </c>
      <c r="F4626">
        <f>IFERROR(MATCH(A4626,Deals!$A$2:$A$843,0),"")</f>
        <v/>
      </c>
      <c r="G4626">
        <f>IF(F4626="",0,1)</f>
        <v/>
      </c>
      <c r="H4626" s="29">
        <f>IF(F4626="","",INDEX(Deals!$E$2:$E$843,F4626))</f>
        <v/>
      </c>
      <c r="I4626">
        <f>IF(F4626="","",INDEX(Deals!$D$2:$D$843,F4626))</f>
        <v/>
      </c>
      <c r="J4626">
        <f>IF(F4626="","",INT(H4626)-B4626)</f>
        <v/>
      </c>
      <c r="K4626">
        <f>IF(B4626&gt;=Settings!$C$5,1,0)</f>
        <v/>
      </c>
    </row>
    <row r="4627">
      <c r="A4627" t="inlineStr">
        <is>
          <t>9d6aff53582ed982f98a286028db2d32</t>
        </is>
      </c>
      <c r="B4627" s="29" t="n">
        <v>43109</v>
      </c>
      <c r="C4627" t="inlineStr">
        <is>
          <t>2018-01</t>
        </is>
      </c>
      <c r="D4627" t="inlineStr">
        <is>
          <t>88740e65d5d6b056e0cda098e1ea6313</t>
        </is>
      </c>
      <c r="E4627" t="inlineStr">
        <is>
          <t>social</t>
        </is>
      </c>
      <c r="F4627">
        <f>IFERROR(MATCH(A4627,Deals!$A$2:$A$843,0),"")</f>
        <v/>
      </c>
      <c r="G4627">
        <f>IF(F4627="",0,1)</f>
        <v/>
      </c>
      <c r="H4627" s="29">
        <f>IF(F4627="","",INDEX(Deals!$E$2:$E$843,F4627))</f>
        <v/>
      </c>
      <c r="I4627">
        <f>IF(F4627="","",INDEX(Deals!$D$2:$D$843,F4627))</f>
        <v/>
      </c>
      <c r="J4627">
        <f>IF(F4627="","",INT(H4627)-B4627)</f>
        <v/>
      </c>
      <c r="K4627">
        <f>IF(B4627&gt;=Settings!$C$5,1,0)</f>
        <v/>
      </c>
    </row>
    <row r="4628">
      <c r="A4628" t="inlineStr">
        <is>
          <t>06908932bbf6e2930a902e9597fa5e58</t>
        </is>
      </c>
      <c r="B4628" s="29" t="n">
        <v>43244</v>
      </c>
      <c r="C4628" t="inlineStr">
        <is>
          <t>2018-05</t>
        </is>
      </c>
      <c r="D4628" t="inlineStr">
        <is>
          <t>1ceb590cd1e00c7ee95220971f82693d</t>
        </is>
      </c>
      <c r="E4628" t="inlineStr">
        <is>
          <t>paid_search</t>
        </is>
      </c>
      <c r="F4628">
        <f>IFERROR(MATCH(A4628,Deals!$A$2:$A$843,0),"")</f>
        <v/>
      </c>
      <c r="G4628">
        <f>IF(F4628="",0,1)</f>
        <v/>
      </c>
      <c r="H4628" s="29">
        <f>IF(F4628="","",INDEX(Deals!$E$2:$E$843,F4628))</f>
        <v/>
      </c>
      <c r="I4628">
        <f>IF(F4628="","",INDEX(Deals!$D$2:$D$843,F4628))</f>
        <v/>
      </c>
      <c r="J4628">
        <f>IF(F4628="","",INT(H4628)-B4628)</f>
        <v/>
      </c>
      <c r="K4628">
        <f>IF(B4628&gt;=Settings!$C$5,1,0)</f>
        <v/>
      </c>
    </row>
    <row r="4629">
      <c r="A4629" t="inlineStr">
        <is>
          <t>8ddfdffe24f209e425baf83eebbe7173</t>
        </is>
      </c>
      <c r="B4629" s="29" t="n">
        <v>43053</v>
      </c>
      <c r="C4629" t="inlineStr">
        <is>
          <t>2017-11</t>
        </is>
      </c>
      <c r="D4629" t="inlineStr">
        <is>
          <t>214b0943d4ad794c4086cf7e38785ef2</t>
        </is>
      </c>
      <c r="E4629" t="inlineStr">
        <is>
          <t>organic_search</t>
        </is>
      </c>
      <c r="F4629">
        <f>IFERROR(MATCH(A4629,Deals!$A$2:$A$843,0),"")</f>
        <v/>
      </c>
      <c r="G4629">
        <f>IF(F4629="",0,1)</f>
        <v/>
      </c>
      <c r="H4629" s="29">
        <f>IF(F4629="","",INDEX(Deals!$E$2:$E$843,F4629))</f>
        <v/>
      </c>
      <c r="I4629">
        <f>IF(F4629="","",INDEX(Deals!$D$2:$D$843,F4629))</f>
        <v/>
      </c>
      <c r="J4629">
        <f>IF(F4629="","",INT(H4629)-B4629)</f>
        <v/>
      </c>
      <c r="K4629">
        <f>IF(B4629&gt;=Settings!$C$5,1,0)</f>
        <v/>
      </c>
    </row>
    <row r="4630">
      <c r="A4630" t="inlineStr">
        <is>
          <t>00c37b7a1f13daf967813da9b68937f3</t>
        </is>
      </c>
      <c r="B4630" s="29" t="n">
        <v>43014</v>
      </c>
      <c r="C4630" t="inlineStr">
        <is>
          <t>2017-10</t>
        </is>
      </c>
      <c r="D4630" t="inlineStr">
        <is>
          <t>007f9098284a86ee80ddeb25d53e0af8</t>
        </is>
      </c>
      <c r="E4630" t="inlineStr">
        <is>
          <t>paid_search</t>
        </is>
      </c>
      <c r="F4630">
        <f>IFERROR(MATCH(A4630,Deals!$A$2:$A$843,0),"")</f>
        <v/>
      </c>
      <c r="G4630">
        <f>IF(F4630="",0,1)</f>
        <v/>
      </c>
      <c r="H4630" s="29">
        <f>IF(F4630="","",INDEX(Deals!$E$2:$E$843,F4630))</f>
        <v/>
      </c>
      <c r="I4630">
        <f>IF(F4630="","",INDEX(Deals!$D$2:$D$843,F4630))</f>
        <v/>
      </c>
      <c r="J4630">
        <f>IF(F4630="","",INT(H4630)-B4630)</f>
        <v/>
      </c>
      <c r="K4630">
        <f>IF(B4630&gt;=Settings!$C$5,1,0)</f>
        <v/>
      </c>
    </row>
    <row r="4631">
      <c r="A4631" t="inlineStr">
        <is>
          <t>0891f989331f84a1bd0738dd8646e721</t>
        </is>
      </c>
      <c r="B4631" s="29" t="n">
        <v>43192</v>
      </c>
      <c r="C4631" t="inlineStr">
        <is>
          <t>2018-04</t>
        </is>
      </c>
      <c r="D4631" t="inlineStr">
        <is>
          <t>c6f28f804cf6330e6de735ef6e6fe95c</t>
        </is>
      </c>
      <c r="E4631" t="inlineStr">
        <is>
          <t>paid_search</t>
        </is>
      </c>
      <c r="F4631">
        <f>IFERROR(MATCH(A4631,Deals!$A$2:$A$843,0),"")</f>
        <v/>
      </c>
      <c r="G4631">
        <f>IF(F4631="",0,1)</f>
        <v/>
      </c>
      <c r="H4631" s="29">
        <f>IF(F4631="","",INDEX(Deals!$E$2:$E$843,F4631))</f>
        <v/>
      </c>
      <c r="I4631">
        <f>IF(F4631="","",INDEX(Deals!$D$2:$D$843,F4631))</f>
        <v/>
      </c>
      <c r="J4631">
        <f>IF(F4631="","",INT(H4631)-B4631)</f>
        <v/>
      </c>
      <c r="K4631">
        <f>IF(B4631&gt;=Settings!$C$5,1,0)</f>
        <v/>
      </c>
    </row>
    <row r="4632">
      <c r="A4632" t="inlineStr">
        <is>
          <t>49701d39d51b7a1bea8b17f15a3f447d</t>
        </is>
      </c>
      <c r="B4632" s="29" t="n">
        <v>43215</v>
      </c>
      <c r="C4632" t="inlineStr">
        <is>
          <t>2018-04</t>
        </is>
      </c>
      <c r="D4632" t="inlineStr">
        <is>
          <t>58326e62183c14b0c03085c33b9fdc44</t>
        </is>
      </c>
      <c r="E4632" t="inlineStr">
        <is>
          <t>social</t>
        </is>
      </c>
      <c r="F4632">
        <f>IFERROR(MATCH(A4632,Deals!$A$2:$A$843,0),"")</f>
        <v/>
      </c>
      <c r="G4632">
        <f>IF(F4632="",0,1)</f>
        <v/>
      </c>
      <c r="H4632" s="29">
        <f>IF(F4632="","",INDEX(Deals!$E$2:$E$843,F4632))</f>
        <v/>
      </c>
      <c r="I4632">
        <f>IF(F4632="","",INDEX(Deals!$D$2:$D$843,F4632))</f>
        <v/>
      </c>
      <c r="J4632">
        <f>IF(F4632="","",INT(H4632)-B4632)</f>
        <v/>
      </c>
      <c r="K4632">
        <f>IF(B4632&gt;=Settings!$C$5,1,0)</f>
        <v/>
      </c>
    </row>
    <row r="4633">
      <c r="A4633" t="inlineStr">
        <is>
          <t>c317fbe1a05c7f68f17a4df97d51824f</t>
        </is>
      </c>
      <c r="B4633" s="29" t="n">
        <v>43045</v>
      </c>
      <c r="C4633" t="inlineStr">
        <is>
          <t>2017-11</t>
        </is>
      </c>
      <c r="D4633" t="inlineStr">
        <is>
          <t>f017be4dbf86243af5c1ebed0cff36a2</t>
        </is>
      </c>
      <c r="E4633" t="inlineStr">
        <is>
          <t>referral</t>
        </is>
      </c>
      <c r="F4633">
        <f>IFERROR(MATCH(A4633,Deals!$A$2:$A$843,0),"")</f>
        <v/>
      </c>
      <c r="G4633">
        <f>IF(F4633="",0,1)</f>
        <v/>
      </c>
      <c r="H4633" s="29">
        <f>IF(F4633="","",INDEX(Deals!$E$2:$E$843,F4633))</f>
        <v/>
      </c>
      <c r="I4633">
        <f>IF(F4633="","",INDEX(Deals!$D$2:$D$843,F4633))</f>
        <v/>
      </c>
      <c r="J4633">
        <f>IF(F4633="","",INT(H4633)-B4633)</f>
        <v/>
      </c>
      <c r="K4633">
        <f>IF(B4633&gt;=Settings!$C$5,1,0)</f>
        <v/>
      </c>
    </row>
    <row r="4634">
      <c r="A4634" t="inlineStr">
        <is>
          <t>3b782fa395459a50d498b04c3ed93093</t>
        </is>
      </c>
      <c r="B4634" s="29" t="n">
        <v>42974</v>
      </c>
      <c r="C4634" t="inlineStr">
        <is>
          <t>2017-08</t>
        </is>
      </c>
      <c r="D4634" t="inlineStr">
        <is>
          <t>15cf89bab2c3163b4f9d8601d108f8b2</t>
        </is>
      </c>
      <c r="E4634" t="inlineStr">
        <is>
          <t>organic_search</t>
        </is>
      </c>
      <c r="F4634">
        <f>IFERROR(MATCH(A4634,Deals!$A$2:$A$843,0),"")</f>
        <v/>
      </c>
      <c r="G4634">
        <f>IF(F4634="",0,1)</f>
        <v/>
      </c>
      <c r="H4634" s="29">
        <f>IF(F4634="","",INDEX(Deals!$E$2:$E$843,F4634))</f>
        <v/>
      </c>
      <c r="I4634">
        <f>IF(F4634="","",INDEX(Deals!$D$2:$D$843,F4634))</f>
        <v/>
      </c>
      <c r="J4634">
        <f>IF(F4634="","",INT(H4634)-B4634)</f>
        <v/>
      </c>
      <c r="K4634">
        <f>IF(B4634&gt;=Settings!$C$5,1,0)</f>
        <v/>
      </c>
    </row>
    <row r="4635">
      <c r="A4635" t="inlineStr">
        <is>
          <t>7b41e963c997a06a34c7d3d4957e03a7</t>
        </is>
      </c>
      <c r="B4635" s="29" t="n">
        <v>43035</v>
      </c>
      <c r="C4635" t="inlineStr">
        <is>
          <t>2017-10</t>
        </is>
      </c>
      <c r="D4635" t="inlineStr">
        <is>
          <t>f98c2bd96ac4a5d9476734e790c91384</t>
        </is>
      </c>
      <c r="E4635" t="inlineStr">
        <is>
          <t>email</t>
        </is>
      </c>
      <c r="F4635">
        <f>IFERROR(MATCH(A4635,Deals!$A$2:$A$843,0),"")</f>
        <v/>
      </c>
      <c r="G4635">
        <f>IF(F4635="",0,1)</f>
        <v/>
      </c>
      <c r="H4635" s="29">
        <f>IF(F4635="","",INDEX(Deals!$E$2:$E$843,F4635))</f>
        <v/>
      </c>
      <c r="I4635">
        <f>IF(F4635="","",INDEX(Deals!$D$2:$D$843,F4635))</f>
        <v/>
      </c>
      <c r="J4635">
        <f>IF(F4635="","",INT(H4635)-B4635)</f>
        <v/>
      </c>
      <c r="K4635">
        <f>IF(B4635&gt;=Settings!$C$5,1,0)</f>
        <v/>
      </c>
    </row>
    <row r="4636">
      <c r="A4636" t="inlineStr">
        <is>
          <t>55cf3cb24c03af3505a373c353ef9b99</t>
        </is>
      </c>
      <c r="B4636" s="29" t="n">
        <v>43124</v>
      </c>
      <c r="C4636" t="inlineStr">
        <is>
          <t>2018-01</t>
        </is>
      </c>
      <c r="D4636" t="inlineStr">
        <is>
          <t>b48ec5f3b04e9068441002a19df93c6c</t>
        </is>
      </c>
      <c r="E4636" t="inlineStr">
        <is>
          <t>direct_traffic</t>
        </is>
      </c>
      <c r="F4636">
        <f>IFERROR(MATCH(A4636,Deals!$A$2:$A$843,0),"")</f>
        <v/>
      </c>
      <c r="G4636">
        <f>IF(F4636="",0,1)</f>
        <v/>
      </c>
      <c r="H4636" s="29">
        <f>IF(F4636="","",INDEX(Deals!$E$2:$E$843,F4636))</f>
        <v/>
      </c>
      <c r="I4636">
        <f>IF(F4636="","",INDEX(Deals!$D$2:$D$843,F4636))</f>
        <v/>
      </c>
      <c r="J4636">
        <f>IF(F4636="","",INT(H4636)-B4636)</f>
        <v/>
      </c>
      <c r="K4636">
        <f>IF(B4636&gt;=Settings!$C$5,1,0)</f>
        <v/>
      </c>
    </row>
    <row r="4637">
      <c r="A4637" t="inlineStr">
        <is>
          <t>83b12c7d5f1bc35f22e866f5fcef9bc3</t>
        </is>
      </c>
      <c r="B4637" s="29" t="n">
        <v>43074</v>
      </c>
      <c r="C4637" t="inlineStr">
        <is>
          <t>2017-12</t>
        </is>
      </c>
      <c r="D4637" t="inlineStr">
        <is>
          <t>241f79c7a8fe0270f4fb79fcbbcd17ad</t>
        </is>
      </c>
      <c r="E4637" t="inlineStr">
        <is>
          <t>paid_search</t>
        </is>
      </c>
      <c r="F4637">
        <f>IFERROR(MATCH(A4637,Deals!$A$2:$A$843,0),"")</f>
        <v/>
      </c>
      <c r="G4637">
        <f>IF(F4637="",0,1)</f>
        <v/>
      </c>
      <c r="H4637" s="29">
        <f>IF(F4637="","",INDEX(Deals!$E$2:$E$843,F4637))</f>
        <v/>
      </c>
      <c r="I4637">
        <f>IF(F4637="","",INDEX(Deals!$D$2:$D$843,F4637))</f>
        <v/>
      </c>
      <c r="J4637">
        <f>IF(F4637="","",INT(H4637)-B4637)</f>
        <v/>
      </c>
      <c r="K4637">
        <f>IF(B4637&gt;=Settings!$C$5,1,0)</f>
        <v/>
      </c>
    </row>
    <row r="4638">
      <c r="A4638" t="inlineStr">
        <is>
          <t>82ab631faae192a17db862389778fb2c</t>
        </is>
      </c>
      <c r="B4638" s="29" t="n">
        <v>43226</v>
      </c>
      <c r="C4638" t="inlineStr">
        <is>
          <t>2018-05</t>
        </is>
      </c>
      <c r="D4638" t="inlineStr">
        <is>
          <t>ce1a65abd0973638f1c887a6efcfa82d</t>
        </is>
      </c>
      <c r="E4638" t="inlineStr">
        <is>
          <t>social</t>
        </is>
      </c>
      <c r="F4638">
        <f>IFERROR(MATCH(A4638,Deals!$A$2:$A$843,0),"")</f>
        <v/>
      </c>
      <c r="G4638">
        <f>IF(F4638="",0,1)</f>
        <v/>
      </c>
      <c r="H4638" s="29">
        <f>IF(F4638="","",INDEX(Deals!$E$2:$E$843,F4638))</f>
        <v/>
      </c>
      <c r="I4638">
        <f>IF(F4638="","",INDEX(Deals!$D$2:$D$843,F4638))</f>
        <v/>
      </c>
      <c r="J4638">
        <f>IF(F4638="","",INT(H4638)-B4638)</f>
        <v/>
      </c>
      <c r="K4638">
        <f>IF(B4638&gt;=Settings!$C$5,1,0)</f>
        <v/>
      </c>
    </row>
    <row r="4639">
      <c r="A4639" t="inlineStr">
        <is>
          <t>7d2578091727918ed91a5bcf8639543a</t>
        </is>
      </c>
      <c r="B4639" s="29" t="n">
        <v>43238</v>
      </c>
      <c r="C4639" t="inlineStr">
        <is>
          <t>2018-05</t>
        </is>
      </c>
      <c r="D4639" t="inlineStr">
        <is>
          <t>5dc848e7dd9418dffe183215b8ff0bc1</t>
        </is>
      </c>
      <c r="E4639" t="inlineStr">
        <is>
          <t>paid_search</t>
        </is>
      </c>
      <c r="F4639">
        <f>IFERROR(MATCH(A4639,Deals!$A$2:$A$843,0),"")</f>
        <v/>
      </c>
      <c r="G4639">
        <f>IF(F4639="",0,1)</f>
        <v/>
      </c>
      <c r="H4639" s="29">
        <f>IF(F4639="","",INDEX(Deals!$E$2:$E$843,F4639))</f>
        <v/>
      </c>
      <c r="I4639">
        <f>IF(F4639="","",INDEX(Deals!$D$2:$D$843,F4639))</f>
        <v/>
      </c>
      <c r="J4639">
        <f>IF(F4639="","",INT(H4639)-B4639)</f>
        <v/>
      </c>
      <c r="K4639">
        <f>IF(B4639&gt;=Settings!$C$5,1,0)</f>
        <v/>
      </c>
    </row>
    <row r="4640">
      <c r="A4640" t="inlineStr">
        <is>
          <t>6903df7077db0e82dc39246b45ae1f0d</t>
        </is>
      </c>
      <c r="B4640" s="29" t="n">
        <v>43011</v>
      </c>
      <c r="C4640" t="inlineStr">
        <is>
          <t>2017-10</t>
        </is>
      </c>
      <c r="D4640" t="inlineStr">
        <is>
          <t>241f79c7a8fe0270f4fb79fcbbcd17ad</t>
        </is>
      </c>
      <c r="E4640" t="inlineStr">
        <is>
          <t>paid_search</t>
        </is>
      </c>
      <c r="F4640">
        <f>IFERROR(MATCH(A4640,Deals!$A$2:$A$843,0),"")</f>
        <v/>
      </c>
      <c r="G4640">
        <f>IF(F4640="",0,1)</f>
        <v/>
      </c>
      <c r="H4640" s="29">
        <f>IF(F4640="","",INDEX(Deals!$E$2:$E$843,F4640))</f>
        <v/>
      </c>
      <c r="I4640">
        <f>IF(F4640="","",INDEX(Deals!$D$2:$D$843,F4640))</f>
        <v/>
      </c>
      <c r="J4640">
        <f>IF(F4640="","",INT(H4640)-B4640)</f>
        <v/>
      </c>
      <c r="K4640">
        <f>IF(B4640&gt;=Settings!$C$5,1,0)</f>
        <v/>
      </c>
    </row>
    <row r="4641">
      <c r="A4641" t="inlineStr">
        <is>
          <t>1ef14ce4ee3294e6a1214136ce45e85b</t>
        </is>
      </c>
      <c r="B4641" s="29" t="n">
        <v>43028</v>
      </c>
      <c r="C4641" t="inlineStr">
        <is>
          <t>2017-10</t>
        </is>
      </c>
      <c r="D4641" t="inlineStr">
        <is>
          <t>a5f7caba65f90d45005f62cb85bced39</t>
        </is>
      </c>
      <c r="E4641" t="inlineStr">
        <is>
          <t>email</t>
        </is>
      </c>
      <c r="F4641">
        <f>IFERROR(MATCH(A4641,Deals!$A$2:$A$843,0),"")</f>
        <v/>
      </c>
      <c r="G4641">
        <f>IF(F4641="",0,1)</f>
        <v/>
      </c>
      <c r="H4641" s="29">
        <f>IF(F4641="","",INDEX(Deals!$E$2:$E$843,F4641))</f>
        <v/>
      </c>
      <c r="I4641">
        <f>IF(F4641="","",INDEX(Deals!$D$2:$D$843,F4641))</f>
        <v/>
      </c>
      <c r="J4641">
        <f>IF(F4641="","",INT(H4641)-B4641)</f>
        <v/>
      </c>
      <c r="K4641">
        <f>IF(B4641&gt;=Settings!$C$5,1,0)</f>
        <v/>
      </c>
    </row>
    <row r="4642">
      <c r="A4642" t="inlineStr">
        <is>
          <t>7c677ff4c58e458338c5f7e74556735d</t>
        </is>
      </c>
      <c r="B4642" s="29" t="n">
        <v>43165</v>
      </c>
      <c r="C4642" t="inlineStr">
        <is>
          <t>2018-03</t>
        </is>
      </c>
      <c r="D4642" t="inlineStr">
        <is>
          <t>120ad10683075526ee1b3b00489dafec</t>
        </is>
      </c>
      <c r="E4642" t="inlineStr">
        <is>
          <t>email</t>
        </is>
      </c>
      <c r="F4642">
        <f>IFERROR(MATCH(A4642,Deals!$A$2:$A$843,0),"")</f>
        <v/>
      </c>
      <c r="G4642">
        <f>IF(F4642="",0,1)</f>
        <v/>
      </c>
      <c r="H4642" s="29">
        <f>IF(F4642="","",INDEX(Deals!$E$2:$E$843,F4642))</f>
        <v/>
      </c>
      <c r="I4642">
        <f>IF(F4642="","",INDEX(Deals!$D$2:$D$843,F4642))</f>
        <v/>
      </c>
      <c r="J4642">
        <f>IF(F4642="","",INT(H4642)-B4642)</f>
        <v/>
      </c>
      <c r="K4642">
        <f>IF(B4642&gt;=Settings!$C$5,1,0)</f>
        <v/>
      </c>
    </row>
    <row r="4643">
      <c r="A4643" t="inlineStr">
        <is>
          <t>92732d8798add606646430bbd6748bfd</t>
        </is>
      </c>
      <c r="B4643" s="29" t="n">
        <v>43210</v>
      </c>
      <c r="C4643" t="inlineStr">
        <is>
          <t>2018-04</t>
        </is>
      </c>
      <c r="D4643" t="inlineStr">
        <is>
          <t>40dec9f3d5259a3d2dbcdab2114fae47</t>
        </is>
      </c>
      <c r="E4643" t="inlineStr">
        <is>
          <t>paid_search</t>
        </is>
      </c>
      <c r="F4643">
        <f>IFERROR(MATCH(A4643,Deals!$A$2:$A$843,0),"")</f>
        <v/>
      </c>
      <c r="G4643">
        <f>IF(F4643="",0,1)</f>
        <v/>
      </c>
      <c r="H4643" s="29">
        <f>IF(F4643="","",INDEX(Deals!$E$2:$E$843,F4643))</f>
        <v/>
      </c>
      <c r="I4643">
        <f>IF(F4643="","",INDEX(Deals!$D$2:$D$843,F4643))</f>
        <v/>
      </c>
      <c r="J4643">
        <f>IF(F4643="","",INT(H4643)-B4643)</f>
        <v/>
      </c>
      <c r="K4643">
        <f>IF(B4643&gt;=Settings!$C$5,1,0)</f>
        <v/>
      </c>
    </row>
    <row r="4644">
      <c r="A4644" t="inlineStr">
        <is>
          <t>e633c6ab554c0e79eb395d73fc855347</t>
        </is>
      </c>
      <c r="B4644" s="29" t="n">
        <v>43118</v>
      </c>
      <c r="C4644" t="inlineStr">
        <is>
          <t>2018-01</t>
        </is>
      </c>
      <c r="D4644" t="inlineStr">
        <is>
          <t>e492ee5eaf1697716985cc6f33f9cd9b</t>
        </is>
      </c>
      <c r="E4644" t="inlineStr">
        <is>
          <t>direct_traffic</t>
        </is>
      </c>
      <c r="F4644">
        <f>IFERROR(MATCH(A4644,Deals!$A$2:$A$843,0),"")</f>
        <v/>
      </c>
      <c r="G4644">
        <f>IF(F4644="",0,1)</f>
        <v/>
      </c>
      <c r="H4644" s="29">
        <f>IF(F4644="","",INDEX(Deals!$E$2:$E$843,F4644))</f>
        <v/>
      </c>
      <c r="I4644">
        <f>IF(F4644="","",INDEX(Deals!$D$2:$D$843,F4644))</f>
        <v/>
      </c>
      <c r="J4644">
        <f>IF(F4644="","",INT(H4644)-B4644)</f>
        <v/>
      </c>
      <c r="K4644">
        <f>IF(B4644&gt;=Settings!$C$5,1,0)</f>
        <v/>
      </c>
    </row>
    <row r="4645">
      <c r="A4645" t="inlineStr">
        <is>
          <t>fe835aab19a198d00851eb7695eea4f2</t>
        </is>
      </c>
      <c r="B4645" s="29" t="n">
        <v>43184</v>
      </c>
      <c r="C4645" t="inlineStr">
        <is>
          <t>2018-03</t>
        </is>
      </c>
      <c r="D4645" t="inlineStr">
        <is>
          <t>22c29808c4f815213303f8933030604c</t>
        </is>
      </c>
      <c r="E4645" t="inlineStr">
        <is>
          <t>paid_search</t>
        </is>
      </c>
      <c r="F4645">
        <f>IFERROR(MATCH(A4645,Deals!$A$2:$A$843,0),"")</f>
        <v/>
      </c>
      <c r="G4645">
        <f>IF(F4645="",0,1)</f>
        <v/>
      </c>
      <c r="H4645" s="29">
        <f>IF(F4645="","",INDEX(Deals!$E$2:$E$843,F4645))</f>
        <v/>
      </c>
      <c r="I4645">
        <f>IF(F4645="","",INDEX(Deals!$D$2:$D$843,F4645))</f>
        <v/>
      </c>
      <c r="J4645">
        <f>IF(F4645="","",INT(H4645)-B4645)</f>
        <v/>
      </c>
      <c r="K4645">
        <f>IF(B4645&gt;=Settings!$C$5,1,0)</f>
        <v/>
      </c>
    </row>
    <row r="4646">
      <c r="A4646" t="inlineStr">
        <is>
          <t>5487b2557b4811e4c8431f9faa663749</t>
        </is>
      </c>
      <c r="B4646" s="29" t="n">
        <v>43173</v>
      </c>
      <c r="C4646" t="inlineStr">
        <is>
          <t>2018-03</t>
        </is>
      </c>
      <c r="D4646" t="inlineStr">
        <is>
          <t>a7982125ff7aa3b2054c6e44f9d28522</t>
        </is>
      </c>
      <c r="E4646" t="inlineStr">
        <is>
          <t>display</t>
        </is>
      </c>
      <c r="F4646">
        <f>IFERROR(MATCH(A4646,Deals!$A$2:$A$843,0),"")</f>
        <v/>
      </c>
      <c r="G4646">
        <f>IF(F4646="",0,1)</f>
        <v/>
      </c>
      <c r="H4646" s="29">
        <f>IF(F4646="","",INDEX(Deals!$E$2:$E$843,F4646))</f>
        <v/>
      </c>
      <c r="I4646">
        <f>IF(F4646="","",INDEX(Deals!$D$2:$D$843,F4646))</f>
        <v/>
      </c>
      <c r="J4646">
        <f>IF(F4646="","",INT(H4646)-B4646)</f>
        <v/>
      </c>
      <c r="K4646">
        <f>IF(B4646&gt;=Settings!$C$5,1,0)</f>
        <v/>
      </c>
    </row>
    <row r="4647">
      <c r="A4647" t="inlineStr">
        <is>
          <t>dcd0e718c9a56bce753f866b980544b0</t>
        </is>
      </c>
      <c r="B4647" s="29" t="n">
        <v>43109</v>
      </c>
      <c r="C4647" t="inlineStr">
        <is>
          <t>2018-01</t>
        </is>
      </c>
      <c r="D4647" t="inlineStr">
        <is>
          <t>ce1a65abd0973638f1c887a6efcfa82d</t>
        </is>
      </c>
      <c r="E4647" t="inlineStr">
        <is>
          <t>organic_search</t>
        </is>
      </c>
      <c r="F4647">
        <f>IFERROR(MATCH(A4647,Deals!$A$2:$A$843,0),"")</f>
        <v/>
      </c>
      <c r="G4647">
        <f>IF(F4647="",0,1)</f>
        <v/>
      </c>
      <c r="H4647" s="29">
        <f>IF(F4647="","",INDEX(Deals!$E$2:$E$843,F4647))</f>
        <v/>
      </c>
      <c r="I4647">
        <f>IF(F4647="","",INDEX(Deals!$D$2:$D$843,F4647))</f>
        <v/>
      </c>
      <c r="J4647">
        <f>IF(F4647="","",INT(H4647)-B4647)</f>
        <v/>
      </c>
      <c r="K4647">
        <f>IF(B4647&gt;=Settings!$C$5,1,0)</f>
        <v/>
      </c>
    </row>
    <row r="4648">
      <c r="A4648" t="inlineStr">
        <is>
          <t>1869fb91c7518887d7bda05bae6af9e7</t>
        </is>
      </c>
      <c r="B4648" s="29" t="n">
        <v>43036</v>
      </c>
      <c r="C4648" t="inlineStr">
        <is>
          <t>2017-10</t>
        </is>
      </c>
      <c r="D4648" t="inlineStr">
        <is>
          <t>f017be4dbf86243af5c1ebed0cff36a2</t>
        </is>
      </c>
      <c r="E4648" t="inlineStr">
        <is>
          <t>social</t>
        </is>
      </c>
      <c r="F4648">
        <f>IFERROR(MATCH(A4648,Deals!$A$2:$A$843,0),"")</f>
        <v/>
      </c>
      <c r="G4648">
        <f>IF(F4648="",0,1)</f>
        <v/>
      </c>
      <c r="H4648" s="29">
        <f>IF(F4648="","",INDEX(Deals!$E$2:$E$843,F4648))</f>
        <v/>
      </c>
      <c r="I4648">
        <f>IF(F4648="","",INDEX(Deals!$D$2:$D$843,F4648))</f>
        <v/>
      </c>
      <c r="J4648">
        <f>IF(F4648="","",INT(H4648)-B4648)</f>
        <v/>
      </c>
      <c r="K4648">
        <f>IF(B4648&gt;=Settings!$C$5,1,0)</f>
        <v/>
      </c>
    </row>
    <row r="4649">
      <c r="A4649" t="inlineStr">
        <is>
          <t>8aa25d565a8891e68d123138a137622b</t>
        </is>
      </c>
      <c r="B4649" s="29" t="n">
        <v>43178</v>
      </c>
      <c r="C4649" t="inlineStr">
        <is>
          <t>2018-03</t>
        </is>
      </c>
      <c r="D4649" t="inlineStr">
        <is>
          <t>83355a82a9cee26f3ba2b186ddb0bbbe</t>
        </is>
      </c>
      <c r="E4649" t="inlineStr">
        <is>
          <t>unknown</t>
        </is>
      </c>
      <c r="F4649">
        <f>IFERROR(MATCH(A4649,Deals!$A$2:$A$843,0),"")</f>
        <v/>
      </c>
      <c r="G4649">
        <f>IF(F4649="",0,1)</f>
        <v/>
      </c>
      <c r="H4649" s="29">
        <f>IF(F4649="","",INDEX(Deals!$E$2:$E$843,F4649))</f>
        <v/>
      </c>
      <c r="I4649">
        <f>IF(F4649="","",INDEX(Deals!$D$2:$D$843,F4649))</f>
        <v/>
      </c>
      <c r="J4649">
        <f>IF(F4649="","",INT(H4649)-B4649)</f>
        <v/>
      </c>
      <c r="K4649">
        <f>IF(B4649&gt;=Settings!$C$5,1,0)</f>
        <v/>
      </c>
    </row>
    <row r="4650">
      <c r="A4650" t="inlineStr">
        <is>
          <t>1f00e37d4309d3b61b38186081e54e14</t>
        </is>
      </c>
      <c r="B4650" s="29" t="n">
        <v>43105</v>
      </c>
      <c r="C4650" t="inlineStr">
        <is>
          <t>2018-01</t>
        </is>
      </c>
      <c r="D4650" t="inlineStr">
        <is>
          <t>73f31a40697cc90a86c1273563ac230e</t>
        </is>
      </c>
      <c r="E4650" t="inlineStr">
        <is>
          <t>other</t>
        </is>
      </c>
      <c r="F4650">
        <f>IFERROR(MATCH(A4650,Deals!$A$2:$A$843,0),"")</f>
        <v/>
      </c>
      <c r="G4650">
        <f>IF(F4650="",0,1)</f>
        <v/>
      </c>
      <c r="H4650" s="29">
        <f>IF(F4650="","",INDEX(Deals!$E$2:$E$843,F4650))</f>
        <v/>
      </c>
      <c r="I4650">
        <f>IF(F4650="","",INDEX(Deals!$D$2:$D$843,F4650))</f>
        <v/>
      </c>
      <c r="J4650">
        <f>IF(F4650="","",INT(H4650)-B4650)</f>
        <v/>
      </c>
      <c r="K4650">
        <f>IF(B4650&gt;=Settings!$C$5,1,0)</f>
        <v/>
      </c>
    </row>
    <row r="4651">
      <c r="A4651" t="inlineStr">
        <is>
          <t>3767ce596a099bc691ee43e67fb6ec03</t>
        </is>
      </c>
      <c r="B4651" s="29" t="n">
        <v>43109</v>
      </c>
      <c r="C4651" t="inlineStr">
        <is>
          <t>2018-01</t>
        </is>
      </c>
      <c r="D4651" t="inlineStr">
        <is>
          <t>ce1a65abd0973638f1c887a6efcfa82d</t>
        </is>
      </c>
      <c r="E4651" t="inlineStr">
        <is>
          <t>unknown</t>
        </is>
      </c>
      <c r="F4651">
        <f>IFERROR(MATCH(A4651,Deals!$A$2:$A$843,0),"")</f>
        <v/>
      </c>
      <c r="G4651">
        <f>IF(F4651="",0,1)</f>
        <v/>
      </c>
      <c r="H4651" s="29">
        <f>IF(F4651="","",INDEX(Deals!$E$2:$E$843,F4651))</f>
        <v/>
      </c>
      <c r="I4651">
        <f>IF(F4651="","",INDEX(Deals!$D$2:$D$843,F4651))</f>
        <v/>
      </c>
      <c r="J4651">
        <f>IF(F4651="","",INT(H4651)-B4651)</f>
        <v/>
      </c>
      <c r="K4651">
        <f>IF(B4651&gt;=Settings!$C$5,1,0)</f>
        <v/>
      </c>
    </row>
    <row r="4652">
      <c r="A4652" t="inlineStr">
        <is>
          <t>51124bb11e4fb823e8a990629ded42e4</t>
        </is>
      </c>
      <c r="B4652" s="29" t="n">
        <v>43203</v>
      </c>
      <c r="C4652" t="inlineStr">
        <is>
          <t>2018-04</t>
        </is>
      </c>
      <c r="D4652" t="inlineStr">
        <is>
          <t>58326e62183c14b0c03085c33b9fdc44</t>
        </is>
      </c>
      <c r="E4652" t="inlineStr">
        <is>
          <t>social</t>
        </is>
      </c>
      <c r="F4652">
        <f>IFERROR(MATCH(A4652,Deals!$A$2:$A$843,0),"")</f>
        <v/>
      </c>
      <c r="G4652">
        <f>IF(F4652="",0,1)</f>
        <v/>
      </c>
      <c r="H4652" s="29">
        <f>IF(F4652="","",INDEX(Deals!$E$2:$E$843,F4652))</f>
        <v/>
      </c>
      <c r="I4652">
        <f>IF(F4652="","",INDEX(Deals!$D$2:$D$843,F4652))</f>
        <v/>
      </c>
      <c r="J4652">
        <f>IF(F4652="","",INT(H4652)-B4652)</f>
        <v/>
      </c>
      <c r="K4652">
        <f>IF(B4652&gt;=Settings!$C$5,1,0)</f>
        <v/>
      </c>
    </row>
    <row r="4653">
      <c r="A4653" t="inlineStr">
        <is>
          <t>4bf5d7d2a1bc51d753fecf97244464a2</t>
        </is>
      </c>
      <c r="B4653" s="29" t="n">
        <v>42965</v>
      </c>
      <c r="C4653" t="inlineStr">
        <is>
          <t>2017-08</t>
        </is>
      </c>
      <c r="D4653" t="inlineStr">
        <is>
          <t>c79bafc4a099ff23e3bab1534797fb45</t>
        </is>
      </c>
      <c r="E4653" t="inlineStr">
        <is>
          <t>paid_search</t>
        </is>
      </c>
      <c r="F4653">
        <f>IFERROR(MATCH(A4653,Deals!$A$2:$A$843,0),"")</f>
        <v/>
      </c>
      <c r="G4653">
        <f>IF(F4653="",0,1)</f>
        <v/>
      </c>
      <c r="H4653" s="29">
        <f>IF(F4653="","",INDEX(Deals!$E$2:$E$843,F4653))</f>
        <v/>
      </c>
      <c r="I4653">
        <f>IF(F4653="","",INDEX(Deals!$D$2:$D$843,F4653))</f>
        <v/>
      </c>
      <c r="J4653">
        <f>IF(F4653="","",INT(H4653)-B4653)</f>
        <v/>
      </c>
      <c r="K4653">
        <f>IF(B4653&gt;=Settings!$C$5,1,0)</f>
        <v/>
      </c>
    </row>
    <row r="4654">
      <c r="A4654" t="inlineStr">
        <is>
          <t>ce4ef2a93a49e822821eb2038540a6d3</t>
        </is>
      </c>
      <c r="B4654" s="29" t="n">
        <v>43133</v>
      </c>
      <c r="C4654" t="inlineStr">
        <is>
          <t>2018-02</t>
        </is>
      </c>
      <c r="D4654" t="inlineStr">
        <is>
          <t>b48ec5f3b04e9068441002a19df93c6c</t>
        </is>
      </c>
      <c r="E4654" t="inlineStr">
        <is>
          <t>organic_search</t>
        </is>
      </c>
      <c r="F4654">
        <f>IFERROR(MATCH(A4654,Deals!$A$2:$A$843,0),"")</f>
        <v/>
      </c>
      <c r="G4654">
        <f>IF(F4654="",0,1)</f>
        <v/>
      </c>
      <c r="H4654" s="29">
        <f>IF(F4654="","",INDEX(Deals!$E$2:$E$843,F4654))</f>
        <v/>
      </c>
      <c r="I4654">
        <f>IF(F4654="","",INDEX(Deals!$D$2:$D$843,F4654))</f>
        <v/>
      </c>
      <c r="J4654">
        <f>IF(F4654="","",INT(H4654)-B4654)</f>
        <v/>
      </c>
      <c r="K4654">
        <f>IF(B4654&gt;=Settings!$C$5,1,0)</f>
        <v/>
      </c>
    </row>
    <row r="4655">
      <c r="A4655" t="inlineStr">
        <is>
          <t>562eec4ba9b07078010e6d03345f031f</t>
        </is>
      </c>
      <c r="B4655" s="29" t="n">
        <v>43015</v>
      </c>
      <c r="C4655" t="inlineStr">
        <is>
          <t>2017-10</t>
        </is>
      </c>
      <c r="D4655" t="inlineStr">
        <is>
          <t>88740e65d5d6b056e0cda098e1ea6313</t>
        </is>
      </c>
      <c r="E4655" t="inlineStr">
        <is>
          <t>social</t>
        </is>
      </c>
      <c r="F4655">
        <f>IFERROR(MATCH(A4655,Deals!$A$2:$A$843,0),"")</f>
        <v/>
      </c>
      <c r="G4655">
        <f>IF(F4655="",0,1)</f>
        <v/>
      </c>
      <c r="H4655" s="29">
        <f>IF(F4655="","",INDEX(Deals!$E$2:$E$843,F4655))</f>
        <v/>
      </c>
      <c r="I4655">
        <f>IF(F4655="","",INDEX(Deals!$D$2:$D$843,F4655))</f>
        <v/>
      </c>
      <c r="J4655">
        <f>IF(F4655="","",INT(H4655)-B4655)</f>
        <v/>
      </c>
      <c r="K4655">
        <f>IF(B4655&gt;=Settings!$C$5,1,0)</f>
        <v/>
      </c>
    </row>
    <row r="4656">
      <c r="A4656" t="inlineStr">
        <is>
          <t>0091e45c86dc2efef2743c810c61a3bb</t>
        </is>
      </c>
      <c r="B4656" s="29" t="n">
        <v>43185</v>
      </c>
      <c r="C4656" t="inlineStr">
        <is>
          <t>2018-03</t>
        </is>
      </c>
      <c r="D4656" t="inlineStr">
        <is>
          <t>f017be4dbf86243af5c1ebed0cff36a2</t>
        </is>
      </c>
      <c r="E4656" t="inlineStr">
        <is>
          <t>organic_search</t>
        </is>
      </c>
      <c r="F4656">
        <f>IFERROR(MATCH(A4656,Deals!$A$2:$A$843,0),"")</f>
        <v/>
      </c>
      <c r="G4656">
        <f>IF(F4656="",0,1)</f>
        <v/>
      </c>
      <c r="H4656" s="29">
        <f>IF(F4656="","",INDEX(Deals!$E$2:$E$843,F4656))</f>
        <v/>
      </c>
      <c r="I4656">
        <f>IF(F4656="","",INDEX(Deals!$D$2:$D$843,F4656))</f>
        <v/>
      </c>
      <c r="J4656">
        <f>IF(F4656="","",INT(H4656)-B4656)</f>
        <v/>
      </c>
      <c r="K4656">
        <f>IF(B4656&gt;=Settings!$C$5,1,0)</f>
        <v/>
      </c>
    </row>
    <row r="4657">
      <c r="A4657" t="inlineStr">
        <is>
          <t>48c608a1f01cab11ed9cb892877b7c62</t>
        </is>
      </c>
      <c r="B4657" s="29" t="n">
        <v>43007</v>
      </c>
      <c r="C4657" t="inlineStr">
        <is>
          <t>2017-09</t>
        </is>
      </c>
      <c r="D4657" t="inlineStr">
        <is>
          <t>87732658ba41d8775e8577df347a64db</t>
        </is>
      </c>
      <c r="E4657" t="inlineStr">
        <is>
          <t>social</t>
        </is>
      </c>
      <c r="F4657">
        <f>IFERROR(MATCH(A4657,Deals!$A$2:$A$843,0),"")</f>
        <v/>
      </c>
      <c r="G4657">
        <f>IF(F4657="",0,1)</f>
        <v/>
      </c>
      <c r="H4657" s="29">
        <f>IF(F4657="","",INDEX(Deals!$E$2:$E$843,F4657))</f>
        <v/>
      </c>
      <c r="I4657">
        <f>IF(F4657="","",INDEX(Deals!$D$2:$D$843,F4657))</f>
        <v/>
      </c>
      <c r="J4657">
        <f>IF(F4657="","",INT(H4657)-B4657)</f>
        <v/>
      </c>
      <c r="K4657">
        <f>IF(B4657&gt;=Settings!$C$5,1,0)</f>
        <v/>
      </c>
    </row>
    <row r="4658">
      <c r="A4658" t="inlineStr">
        <is>
          <t>d2f5a3d588f126cdc58997a0398ab960</t>
        </is>
      </c>
      <c r="B4658" s="29" t="n">
        <v>43027</v>
      </c>
      <c r="C4658" t="inlineStr">
        <is>
          <t>2017-10</t>
        </is>
      </c>
      <c r="D4658" t="inlineStr">
        <is>
          <t>22c29808c4f815213303f8933030604c</t>
        </is>
      </c>
      <c r="E4658" t="inlineStr">
        <is>
          <t>organic_search</t>
        </is>
      </c>
      <c r="F4658">
        <f>IFERROR(MATCH(A4658,Deals!$A$2:$A$843,0),"")</f>
        <v/>
      </c>
      <c r="G4658">
        <f>IF(F4658="",0,1)</f>
        <v/>
      </c>
      <c r="H4658" s="29">
        <f>IF(F4658="","",INDEX(Deals!$E$2:$E$843,F4658))</f>
        <v/>
      </c>
      <c r="I4658">
        <f>IF(F4658="","",INDEX(Deals!$D$2:$D$843,F4658))</f>
        <v/>
      </c>
      <c r="J4658">
        <f>IF(F4658="","",INT(H4658)-B4658)</f>
        <v/>
      </c>
      <c r="K4658">
        <f>IF(B4658&gt;=Settings!$C$5,1,0)</f>
        <v/>
      </c>
    </row>
    <row r="4659">
      <c r="A4659" t="inlineStr">
        <is>
          <t>11350c3ae817005a8ecdeafbd48b75ae</t>
        </is>
      </c>
      <c r="B4659" s="29" t="n">
        <v>43159</v>
      </c>
      <c r="C4659" t="inlineStr">
        <is>
          <t>2018-02</t>
        </is>
      </c>
      <c r="D4659" t="inlineStr">
        <is>
          <t>27cd3540bace1f4a4b2bc6d319b0553c</t>
        </is>
      </c>
      <c r="E4659" t="inlineStr">
        <is>
          <t>unknown</t>
        </is>
      </c>
      <c r="F4659">
        <f>IFERROR(MATCH(A4659,Deals!$A$2:$A$843,0),"")</f>
        <v/>
      </c>
      <c r="G4659">
        <f>IF(F4659="",0,1)</f>
        <v/>
      </c>
      <c r="H4659" s="29">
        <f>IF(F4659="","",INDEX(Deals!$E$2:$E$843,F4659))</f>
        <v/>
      </c>
      <c r="I4659">
        <f>IF(F4659="","",INDEX(Deals!$D$2:$D$843,F4659))</f>
        <v/>
      </c>
      <c r="J4659">
        <f>IF(F4659="","",INT(H4659)-B4659)</f>
        <v/>
      </c>
      <c r="K4659">
        <f>IF(B4659&gt;=Settings!$C$5,1,0)</f>
        <v/>
      </c>
    </row>
    <row r="4660">
      <c r="A4660" t="inlineStr">
        <is>
          <t>7e64ef4e0d891aed100893d4ba43bb15</t>
        </is>
      </c>
      <c r="B4660" s="29" t="n">
        <v>42978</v>
      </c>
      <c r="C4660" t="inlineStr">
        <is>
          <t>2017-08</t>
        </is>
      </c>
      <c r="D4660" t="inlineStr">
        <is>
          <t>8ca8a42a9a8f1c60580ffacb121cce69</t>
        </is>
      </c>
      <c r="E4660" t="inlineStr">
        <is>
          <t>paid_search</t>
        </is>
      </c>
      <c r="F4660">
        <f>IFERROR(MATCH(A4660,Deals!$A$2:$A$843,0),"")</f>
        <v/>
      </c>
      <c r="G4660">
        <f>IF(F4660="",0,1)</f>
        <v/>
      </c>
      <c r="H4660" s="29">
        <f>IF(F4660="","",INDEX(Deals!$E$2:$E$843,F4660))</f>
        <v/>
      </c>
      <c r="I4660">
        <f>IF(F4660="","",INDEX(Deals!$D$2:$D$843,F4660))</f>
        <v/>
      </c>
      <c r="J4660">
        <f>IF(F4660="","",INT(H4660)-B4660)</f>
        <v/>
      </c>
      <c r="K4660">
        <f>IF(B4660&gt;=Settings!$C$5,1,0)</f>
        <v/>
      </c>
    </row>
    <row r="4661">
      <c r="A4661" t="inlineStr">
        <is>
          <t>370caceecffaa11d5c0fe2dfefa413c1</t>
        </is>
      </c>
      <c r="B4661" s="29" t="n">
        <v>43172</v>
      </c>
      <c r="C4661" t="inlineStr">
        <is>
          <t>2018-03</t>
        </is>
      </c>
      <c r="D4661" t="inlineStr">
        <is>
          <t>22c29808c4f815213303f8933030604c</t>
        </is>
      </c>
      <c r="E4661" t="inlineStr">
        <is>
          <t>organic_search</t>
        </is>
      </c>
      <c r="F4661">
        <f>IFERROR(MATCH(A4661,Deals!$A$2:$A$843,0),"")</f>
        <v/>
      </c>
      <c r="G4661">
        <f>IF(F4661="",0,1)</f>
        <v/>
      </c>
      <c r="H4661" s="29">
        <f>IF(F4661="","",INDEX(Deals!$E$2:$E$843,F4661))</f>
        <v/>
      </c>
      <c r="I4661">
        <f>IF(F4661="","",INDEX(Deals!$D$2:$D$843,F4661))</f>
        <v/>
      </c>
      <c r="J4661">
        <f>IF(F4661="","",INT(H4661)-B4661)</f>
        <v/>
      </c>
      <c r="K4661">
        <f>IF(B4661&gt;=Settings!$C$5,1,0)</f>
        <v/>
      </c>
    </row>
    <row r="4662">
      <c r="A4662" t="inlineStr">
        <is>
          <t>73752e30dc460dabd746d6ebba649e19</t>
        </is>
      </c>
      <c r="B4662" s="29" t="n">
        <v>43180</v>
      </c>
      <c r="C4662" t="inlineStr">
        <is>
          <t>2018-03</t>
        </is>
      </c>
      <c r="D4662" t="inlineStr">
        <is>
          <t>f017be4dbf86243af5c1ebed0cff36a2</t>
        </is>
      </c>
      <c r="E4662" t="inlineStr">
        <is>
          <t>organic_search</t>
        </is>
      </c>
      <c r="F4662">
        <f>IFERROR(MATCH(A4662,Deals!$A$2:$A$843,0),"")</f>
        <v/>
      </c>
      <c r="G4662">
        <f>IF(F4662="",0,1)</f>
        <v/>
      </c>
      <c r="H4662" s="29">
        <f>IF(F4662="","",INDEX(Deals!$E$2:$E$843,F4662))</f>
        <v/>
      </c>
      <c r="I4662">
        <f>IF(F4662="","",INDEX(Deals!$D$2:$D$843,F4662))</f>
        <v/>
      </c>
      <c r="J4662">
        <f>IF(F4662="","",INT(H4662)-B4662)</f>
        <v/>
      </c>
      <c r="K4662">
        <f>IF(B4662&gt;=Settings!$C$5,1,0)</f>
        <v/>
      </c>
    </row>
    <row r="4663">
      <c r="A4663" t="inlineStr">
        <is>
          <t>45a0104473e934a22cc04bdc1db8615b</t>
        </is>
      </c>
      <c r="B4663" s="29" t="n">
        <v>43171</v>
      </c>
      <c r="C4663" t="inlineStr">
        <is>
          <t>2018-03</t>
        </is>
      </c>
      <c r="D4663" t="inlineStr">
        <is>
          <t>22c29808c4f815213303f8933030604c</t>
        </is>
      </c>
      <c r="E4663" t="inlineStr">
        <is>
          <t>organic_search</t>
        </is>
      </c>
      <c r="F4663">
        <f>IFERROR(MATCH(A4663,Deals!$A$2:$A$843,0),"")</f>
        <v/>
      </c>
      <c r="G4663">
        <f>IF(F4663="",0,1)</f>
        <v/>
      </c>
      <c r="H4663" s="29">
        <f>IF(F4663="","",INDEX(Deals!$E$2:$E$843,F4663))</f>
        <v/>
      </c>
      <c r="I4663">
        <f>IF(F4663="","",INDEX(Deals!$D$2:$D$843,F4663))</f>
        <v/>
      </c>
      <c r="J4663">
        <f>IF(F4663="","",INT(H4663)-B4663)</f>
        <v/>
      </c>
      <c r="K4663">
        <f>IF(B4663&gt;=Settings!$C$5,1,0)</f>
        <v/>
      </c>
    </row>
    <row r="4664">
      <c r="A4664" t="inlineStr">
        <is>
          <t>9874e7748b87210dab60a15f1757d02f</t>
        </is>
      </c>
      <c r="B4664" s="29" t="n">
        <v>43117</v>
      </c>
      <c r="C4664" t="inlineStr">
        <is>
          <t>2018-01</t>
        </is>
      </c>
      <c r="D4664" t="inlineStr">
        <is>
          <t>e492ee5eaf1697716985cc6f33f9cd9b</t>
        </is>
      </c>
      <c r="E4664" t="inlineStr">
        <is>
          <t>email</t>
        </is>
      </c>
      <c r="F4664">
        <f>IFERROR(MATCH(A4664,Deals!$A$2:$A$843,0),"")</f>
        <v/>
      </c>
      <c r="G4664">
        <f>IF(F4664="",0,1)</f>
        <v/>
      </c>
      <c r="H4664" s="29">
        <f>IF(F4664="","",INDEX(Deals!$E$2:$E$843,F4664))</f>
        <v/>
      </c>
      <c r="I4664">
        <f>IF(F4664="","",INDEX(Deals!$D$2:$D$843,F4664))</f>
        <v/>
      </c>
      <c r="J4664">
        <f>IF(F4664="","",INT(H4664)-B4664)</f>
        <v/>
      </c>
      <c r="K4664">
        <f>IF(B4664&gt;=Settings!$C$5,1,0)</f>
        <v/>
      </c>
    </row>
    <row r="4665">
      <c r="A4665" t="inlineStr">
        <is>
          <t>c41986ac5ff94e0fabd00a41ec56e40d</t>
        </is>
      </c>
      <c r="B4665" s="29" t="n">
        <v>43108</v>
      </c>
      <c r="C4665" t="inlineStr">
        <is>
          <t>2018-01</t>
        </is>
      </c>
      <c r="D4665" t="inlineStr">
        <is>
          <t>b76ef37428e6799c421989521c0e5077</t>
        </is>
      </c>
      <c r="E4665" t="inlineStr">
        <is>
          <t>unknown</t>
        </is>
      </c>
      <c r="F4665">
        <f>IFERROR(MATCH(A4665,Deals!$A$2:$A$843,0),"")</f>
        <v/>
      </c>
      <c r="G4665">
        <f>IF(F4665="",0,1)</f>
        <v/>
      </c>
      <c r="H4665" s="29">
        <f>IF(F4665="","",INDEX(Deals!$E$2:$E$843,F4665))</f>
        <v/>
      </c>
      <c r="I4665">
        <f>IF(F4665="","",INDEX(Deals!$D$2:$D$843,F4665))</f>
        <v/>
      </c>
      <c r="J4665">
        <f>IF(F4665="","",INT(H4665)-B4665)</f>
        <v/>
      </c>
      <c r="K4665">
        <f>IF(B4665&gt;=Settings!$C$5,1,0)</f>
        <v/>
      </c>
    </row>
    <row r="4666">
      <c r="A4666" t="inlineStr">
        <is>
          <t>b47ea67781941189af94d2e217161684</t>
        </is>
      </c>
      <c r="B4666" s="29" t="n">
        <v>43245</v>
      </c>
      <c r="C4666" t="inlineStr">
        <is>
          <t>2018-05</t>
        </is>
      </c>
      <c r="D4666" t="inlineStr">
        <is>
          <t>358adb2fee9a122549618e46925a00a5</t>
        </is>
      </c>
      <c r="E4666" t="inlineStr">
        <is>
          <t>unknown</t>
        </is>
      </c>
      <c r="F4666">
        <f>IFERROR(MATCH(A4666,Deals!$A$2:$A$843,0),"")</f>
        <v/>
      </c>
      <c r="G4666">
        <f>IF(F4666="",0,1)</f>
        <v/>
      </c>
      <c r="H4666" s="29">
        <f>IF(F4666="","",INDEX(Deals!$E$2:$E$843,F4666))</f>
        <v/>
      </c>
      <c r="I4666">
        <f>IF(F4666="","",INDEX(Deals!$D$2:$D$843,F4666))</f>
        <v/>
      </c>
      <c r="J4666">
        <f>IF(F4666="","",INT(H4666)-B4666)</f>
        <v/>
      </c>
      <c r="K4666">
        <f>IF(B4666&gt;=Settings!$C$5,1,0)</f>
        <v/>
      </c>
    </row>
    <row r="4667">
      <c r="A4667" t="inlineStr">
        <is>
          <t>27c20a93c89bfd0336394f370163d43c</t>
        </is>
      </c>
      <c r="B4667" s="29" t="n">
        <v>42992</v>
      </c>
      <c r="C4667" t="inlineStr">
        <is>
          <t>2017-09</t>
        </is>
      </c>
      <c r="D4667" t="inlineStr">
        <is>
          <t>87732658ba41d8775e8577df347a64db</t>
        </is>
      </c>
      <c r="E4667" t="inlineStr">
        <is>
          <t>email</t>
        </is>
      </c>
      <c r="F4667">
        <f>IFERROR(MATCH(A4667,Deals!$A$2:$A$843,0),"")</f>
        <v/>
      </c>
      <c r="G4667">
        <f>IF(F4667="",0,1)</f>
        <v/>
      </c>
      <c r="H4667" s="29">
        <f>IF(F4667="","",INDEX(Deals!$E$2:$E$843,F4667))</f>
        <v/>
      </c>
      <c r="I4667">
        <f>IF(F4667="","",INDEX(Deals!$D$2:$D$843,F4667))</f>
        <v/>
      </c>
      <c r="J4667">
        <f>IF(F4667="","",INT(H4667)-B4667)</f>
        <v/>
      </c>
      <c r="K4667">
        <f>IF(B4667&gt;=Settings!$C$5,1,0)</f>
        <v/>
      </c>
    </row>
    <row r="4668">
      <c r="A4668" t="inlineStr">
        <is>
          <t>fe11fd4030d827a13e7e5593851e0040</t>
        </is>
      </c>
      <c r="B4668" s="29" t="n">
        <v>43201</v>
      </c>
      <c r="C4668" t="inlineStr">
        <is>
          <t>2018-04</t>
        </is>
      </c>
      <c r="D4668" t="inlineStr">
        <is>
          <t>f98c2bd96ac4a5d9476734e790c91384</t>
        </is>
      </c>
      <c r="E4668" t="inlineStr">
        <is>
          <t>organic_search</t>
        </is>
      </c>
      <c r="F4668">
        <f>IFERROR(MATCH(A4668,Deals!$A$2:$A$843,0),"")</f>
        <v/>
      </c>
      <c r="G4668">
        <f>IF(F4668="",0,1)</f>
        <v/>
      </c>
      <c r="H4668" s="29">
        <f>IF(F4668="","",INDEX(Deals!$E$2:$E$843,F4668))</f>
        <v/>
      </c>
      <c r="I4668">
        <f>IF(F4668="","",INDEX(Deals!$D$2:$D$843,F4668))</f>
        <v/>
      </c>
      <c r="J4668">
        <f>IF(F4668="","",INT(H4668)-B4668)</f>
        <v/>
      </c>
      <c r="K4668">
        <f>IF(B4668&gt;=Settings!$C$5,1,0)</f>
        <v/>
      </c>
    </row>
    <row r="4669">
      <c r="A4669" t="inlineStr">
        <is>
          <t>65eb5db459959a46240c2d2335b70fae</t>
        </is>
      </c>
      <c r="B4669" s="29" t="n">
        <v>43230</v>
      </c>
      <c r="C4669" t="inlineStr">
        <is>
          <t>2018-05</t>
        </is>
      </c>
      <c r="D4669" t="inlineStr">
        <is>
          <t>36525851387908b96e770b1ce5d79a43</t>
        </is>
      </c>
      <c r="E4669" t="inlineStr">
        <is>
          <t>paid_search</t>
        </is>
      </c>
      <c r="F4669">
        <f>IFERROR(MATCH(A4669,Deals!$A$2:$A$843,0),"")</f>
        <v/>
      </c>
      <c r="G4669">
        <f>IF(F4669="",0,1)</f>
        <v/>
      </c>
      <c r="H4669" s="29">
        <f>IF(F4669="","",INDEX(Deals!$E$2:$E$843,F4669))</f>
        <v/>
      </c>
      <c r="I4669">
        <f>IF(F4669="","",INDEX(Deals!$D$2:$D$843,F4669))</f>
        <v/>
      </c>
      <c r="J4669">
        <f>IF(F4669="","",INT(H4669)-B4669)</f>
        <v/>
      </c>
      <c r="K4669">
        <f>IF(B4669&gt;=Settings!$C$5,1,0)</f>
        <v/>
      </c>
    </row>
    <row r="4670">
      <c r="A4670" t="inlineStr">
        <is>
          <t>9146233d91b3462e4ad1919e70ba11f9</t>
        </is>
      </c>
      <c r="B4670" s="29" t="n">
        <v>43158</v>
      </c>
      <c r="C4670" t="inlineStr">
        <is>
          <t>2018-02</t>
        </is>
      </c>
      <c r="D4670" t="inlineStr">
        <is>
          <t>e492ee5eaf1697716985cc6f33f9cd9b</t>
        </is>
      </c>
      <c r="E4670" t="inlineStr">
        <is>
          <t>organic_search</t>
        </is>
      </c>
      <c r="F4670">
        <f>IFERROR(MATCH(A4670,Deals!$A$2:$A$843,0),"")</f>
        <v/>
      </c>
      <c r="G4670">
        <f>IF(F4670="",0,1)</f>
        <v/>
      </c>
      <c r="H4670" s="29">
        <f>IF(F4670="","",INDEX(Deals!$E$2:$E$843,F4670))</f>
        <v/>
      </c>
      <c r="I4670">
        <f>IF(F4670="","",INDEX(Deals!$D$2:$D$843,F4670))</f>
        <v/>
      </c>
      <c r="J4670">
        <f>IF(F4670="","",INT(H4670)-B4670)</f>
        <v/>
      </c>
      <c r="K4670">
        <f>IF(B4670&gt;=Settings!$C$5,1,0)</f>
        <v/>
      </c>
    </row>
    <row r="4671">
      <c r="A4671" t="inlineStr">
        <is>
          <t>e72d760a8952d3ae95a15f40cf8f56d3</t>
        </is>
      </c>
      <c r="B4671" s="29" t="n">
        <v>42928</v>
      </c>
      <c r="C4671" t="inlineStr">
        <is>
          <t>2017-07</t>
        </is>
      </c>
      <c r="D4671" t="inlineStr">
        <is>
          <t>22c29808c4f815213303f8933030604c</t>
        </is>
      </c>
      <c r="E4671" t="inlineStr">
        <is>
          <t>direct_traffic</t>
        </is>
      </c>
      <c r="F4671">
        <f>IFERROR(MATCH(A4671,Deals!$A$2:$A$843,0),"")</f>
        <v/>
      </c>
      <c r="G4671">
        <f>IF(F4671="",0,1)</f>
        <v/>
      </c>
      <c r="H4671" s="29">
        <f>IF(F4671="","",INDEX(Deals!$E$2:$E$843,F4671))</f>
        <v/>
      </c>
      <c r="I4671">
        <f>IF(F4671="","",INDEX(Deals!$D$2:$D$843,F4671))</f>
        <v/>
      </c>
      <c r="J4671">
        <f>IF(F4671="","",INT(H4671)-B4671)</f>
        <v/>
      </c>
      <c r="K4671">
        <f>IF(B4671&gt;=Settings!$C$5,1,0)</f>
        <v/>
      </c>
    </row>
    <row r="4672">
      <c r="A4672" t="inlineStr">
        <is>
          <t>b9101847ce161df57c65b56b80771189</t>
        </is>
      </c>
      <c r="B4672" s="29" t="n">
        <v>43157</v>
      </c>
      <c r="C4672" t="inlineStr">
        <is>
          <t>2018-02</t>
        </is>
      </c>
      <c r="D4672" t="inlineStr">
        <is>
          <t>645b2f3e4380afe5121a2a90ca732c74</t>
        </is>
      </c>
      <c r="E4672" t="inlineStr">
        <is>
          <t>organic_search</t>
        </is>
      </c>
      <c r="F4672">
        <f>IFERROR(MATCH(A4672,Deals!$A$2:$A$843,0),"")</f>
        <v/>
      </c>
      <c r="G4672">
        <f>IF(F4672="",0,1)</f>
        <v/>
      </c>
      <c r="H4672" s="29">
        <f>IF(F4672="","",INDEX(Deals!$E$2:$E$843,F4672))</f>
        <v/>
      </c>
      <c r="I4672">
        <f>IF(F4672="","",INDEX(Deals!$D$2:$D$843,F4672))</f>
        <v/>
      </c>
      <c r="J4672">
        <f>IF(F4672="","",INT(H4672)-B4672)</f>
        <v/>
      </c>
      <c r="K4672">
        <f>IF(B4672&gt;=Settings!$C$5,1,0)</f>
        <v/>
      </c>
    </row>
    <row r="4673">
      <c r="A4673" t="inlineStr">
        <is>
          <t>0e5e839681f3afe608d1555c1c698efe</t>
        </is>
      </c>
      <c r="B4673" s="29" t="n">
        <v>43014</v>
      </c>
      <c r="C4673" t="inlineStr">
        <is>
          <t>2017-10</t>
        </is>
      </c>
      <c r="D4673" t="inlineStr">
        <is>
          <t>007f9098284a86ee80ddeb25d53e0af8</t>
        </is>
      </c>
      <c r="E4673" t="inlineStr">
        <is>
          <t>other</t>
        </is>
      </c>
      <c r="F4673">
        <f>IFERROR(MATCH(A4673,Deals!$A$2:$A$843,0),"")</f>
        <v/>
      </c>
      <c r="G4673">
        <f>IF(F4673="",0,1)</f>
        <v/>
      </c>
      <c r="H4673" s="29">
        <f>IF(F4673="","",INDEX(Deals!$E$2:$E$843,F4673))</f>
        <v/>
      </c>
      <c r="I4673">
        <f>IF(F4673="","",INDEX(Deals!$D$2:$D$843,F4673))</f>
        <v/>
      </c>
      <c r="J4673">
        <f>IF(F4673="","",INT(H4673)-B4673)</f>
        <v/>
      </c>
      <c r="K4673">
        <f>IF(B4673&gt;=Settings!$C$5,1,0)</f>
        <v/>
      </c>
    </row>
    <row r="4674">
      <c r="A4674" t="inlineStr">
        <is>
          <t>f3314823b3e76de2f99ab14830e4e2e1</t>
        </is>
      </c>
      <c r="B4674" s="29" t="n">
        <v>43075</v>
      </c>
      <c r="C4674" t="inlineStr">
        <is>
          <t>2017-12</t>
        </is>
      </c>
      <c r="D4674" t="inlineStr">
        <is>
          <t>88740e65d5d6b056e0cda098e1ea6313</t>
        </is>
      </c>
      <c r="E4674" t="inlineStr">
        <is>
          <t>social</t>
        </is>
      </c>
      <c r="F4674">
        <f>IFERROR(MATCH(A4674,Deals!$A$2:$A$843,0),"")</f>
        <v/>
      </c>
      <c r="G4674">
        <f>IF(F4674="",0,1)</f>
        <v/>
      </c>
      <c r="H4674" s="29">
        <f>IF(F4674="","",INDEX(Deals!$E$2:$E$843,F4674))</f>
        <v/>
      </c>
      <c r="I4674">
        <f>IF(F4674="","",INDEX(Deals!$D$2:$D$843,F4674))</f>
        <v/>
      </c>
      <c r="J4674">
        <f>IF(F4674="","",INT(H4674)-B4674)</f>
        <v/>
      </c>
      <c r="K4674">
        <f>IF(B4674&gt;=Settings!$C$5,1,0)</f>
        <v/>
      </c>
    </row>
    <row r="4675">
      <c r="A4675" t="inlineStr">
        <is>
          <t>7451a2adba8556c1dd74192afb81fb07</t>
        </is>
      </c>
      <c r="B4675" s="29" t="n">
        <v>43118</v>
      </c>
      <c r="C4675" t="inlineStr">
        <is>
          <t>2018-01</t>
        </is>
      </c>
      <c r="D4675" t="inlineStr">
        <is>
          <t>f017be4dbf86243af5c1ebed0cff36a2</t>
        </is>
      </c>
      <c r="E4675" t="inlineStr">
        <is>
          <t>organic_search</t>
        </is>
      </c>
      <c r="F4675">
        <f>IFERROR(MATCH(A4675,Deals!$A$2:$A$843,0),"")</f>
        <v/>
      </c>
      <c r="G4675">
        <f>IF(F4675="",0,1)</f>
        <v/>
      </c>
      <c r="H4675" s="29">
        <f>IF(F4675="","",INDEX(Deals!$E$2:$E$843,F4675))</f>
        <v/>
      </c>
      <c r="I4675">
        <f>IF(F4675="","",INDEX(Deals!$D$2:$D$843,F4675))</f>
        <v/>
      </c>
      <c r="J4675">
        <f>IF(F4675="","",INT(H4675)-B4675)</f>
        <v/>
      </c>
      <c r="K4675">
        <f>IF(B4675&gt;=Settings!$C$5,1,0)</f>
        <v/>
      </c>
    </row>
    <row r="4676">
      <c r="A4676" t="inlineStr">
        <is>
          <t>f5386ed31571beed0361427ff58a9778</t>
        </is>
      </c>
      <c r="B4676" s="29" t="n">
        <v>43227</v>
      </c>
      <c r="C4676" t="inlineStr">
        <is>
          <t>2018-05</t>
        </is>
      </c>
      <c r="D4676" t="inlineStr">
        <is>
          <t>35c9b150ab36fe584c1f24fd458c453a</t>
        </is>
      </c>
      <c r="E4676" t="inlineStr">
        <is>
          <t>paid_search</t>
        </is>
      </c>
      <c r="F4676">
        <f>IFERROR(MATCH(A4676,Deals!$A$2:$A$843,0),"")</f>
        <v/>
      </c>
      <c r="G4676">
        <f>IF(F4676="",0,1)</f>
        <v/>
      </c>
      <c r="H4676" s="29">
        <f>IF(F4676="","",INDEX(Deals!$E$2:$E$843,F4676))</f>
        <v/>
      </c>
      <c r="I4676">
        <f>IF(F4676="","",INDEX(Deals!$D$2:$D$843,F4676))</f>
        <v/>
      </c>
      <c r="J4676">
        <f>IF(F4676="","",INT(H4676)-B4676)</f>
        <v/>
      </c>
      <c r="K4676">
        <f>IF(B4676&gt;=Settings!$C$5,1,0)</f>
        <v/>
      </c>
    </row>
    <row r="4677">
      <c r="A4677" t="inlineStr">
        <is>
          <t>70607a5baefe5608d76e9195017fc667</t>
        </is>
      </c>
      <c r="B4677" s="29" t="n">
        <v>43119</v>
      </c>
      <c r="C4677" t="inlineStr">
        <is>
          <t>2018-01</t>
        </is>
      </c>
      <c r="D4677" t="inlineStr">
        <is>
          <t>b76ef37428e6799c421989521c0e5077</t>
        </is>
      </c>
      <c r="E4677" t="inlineStr">
        <is>
          <t>unknown</t>
        </is>
      </c>
      <c r="F4677">
        <f>IFERROR(MATCH(A4677,Deals!$A$2:$A$843,0),"")</f>
        <v/>
      </c>
      <c r="G4677">
        <f>IF(F4677="",0,1)</f>
        <v/>
      </c>
      <c r="H4677" s="29">
        <f>IF(F4677="","",INDEX(Deals!$E$2:$E$843,F4677))</f>
        <v/>
      </c>
      <c r="I4677">
        <f>IF(F4677="","",INDEX(Deals!$D$2:$D$843,F4677))</f>
        <v/>
      </c>
      <c r="J4677">
        <f>IF(F4677="","",INT(H4677)-B4677)</f>
        <v/>
      </c>
      <c r="K4677">
        <f>IF(B4677&gt;=Settings!$C$5,1,0)</f>
        <v/>
      </c>
    </row>
    <row r="4678">
      <c r="A4678" t="inlineStr">
        <is>
          <t>000dd3543ac84d906eae52e7c779bb2a</t>
        </is>
      </c>
      <c r="B4678" s="29" t="n">
        <v>43195</v>
      </c>
      <c r="C4678" t="inlineStr">
        <is>
          <t>2018-04</t>
        </is>
      </c>
      <c r="D4678" t="inlineStr">
        <is>
          <t>b48ec5f3b04e9068441002a19df93c6c</t>
        </is>
      </c>
      <c r="E4678" t="inlineStr">
        <is>
          <t>organic_search</t>
        </is>
      </c>
      <c r="F4678">
        <f>IFERROR(MATCH(A4678,Deals!$A$2:$A$843,0),"")</f>
        <v/>
      </c>
      <c r="G4678">
        <f>IF(F4678="",0,1)</f>
        <v/>
      </c>
      <c r="H4678" s="29">
        <f>IF(F4678="","",INDEX(Deals!$E$2:$E$843,F4678))</f>
        <v/>
      </c>
      <c r="I4678">
        <f>IF(F4678="","",INDEX(Deals!$D$2:$D$843,F4678))</f>
        <v/>
      </c>
      <c r="J4678">
        <f>IF(F4678="","",INT(H4678)-B4678)</f>
        <v/>
      </c>
      <c r="K4678">
        <f>IF(B4678&gt;=Settings!$C$5,1,0)</f>
        <v/>
      </c>
    </row>
    <row r="4679">
      <c r="A4679" t="inlineStr">
        <is>
          <t>eb8957cfa91a0992d3570d7fac93cb8e</t>
        </is>
      </c>
      <c r="B4679" s="29" t="n">
        <v>42951</v>
      </c>
      <c r="C4679" t="inlineStr">
        <is>
          <t>2017-08</t>
        </is>
      </c>
      <c r="D4679" t="inlineStr">
        <is>
          <t>c555aa36478386fdf85a2d0ca5cd0ff8</t>
        </is>
      </c>
      <c r="E4679" t="inlineStr">
        <is>
          <t>email</t>
        </is>
      </c>
      <c r="F4679">
        <f>IFERROR(MATCH(A4679,Deals!$A$2:$A$843,0),"")</f>
        <v/>
      </c>
      <c r="G4679">
        <f>IF(F4679="",0,1)</f>
        <v/>
      </c>
      <c r="H4679" s="29">
        <f>IF(F4679="","",INDEX(Deals!$E$2:$E$843,F4679))</f>
        <v/>
      </c>
      <c r="I4679">
        <f>IF(F4679="","",INDEX(Deals!$D$2:$D$843,F4679))</f>
        <v/>
      </c>
      <c r="J4679">
        <f>IF(F4679="","",INT(H4679)-B4679)</f>
        <v/>
      </c>
      <c r="K4679">
        <f>IF(B4679&gt;=Settings!$C$5,1,0)</f>
        <v/>
      </c>
    </row>
    <row r="4680">
      <c r="A4680" t="inlineStr">
        <is>
          <t>5c58445efcd5f7954e6beb87eec789c9</t>
        </is>
      </c>
      <c r="B4680" s="29" t="n">
        <v>43225</v>
      </c>
      <c r="C4680" t="inlineStr">
        <is>
          <t>2018-05</t>
        </is>
      </c>
      <c r="D4680" t="inlineStr">
        <is>
          <t>fb58285f6f6c4e504dfa628de116cae8</t>
        </is>
      </c>
      <c r="E4680" t="inlineStr">
        <is>
          <t>email</t>
        </is>
      </c>
      <c r="F4680">
        <f>IFERROR(MATCH(A4680,Deals!$A$2:$A$843,0),"")</f>
        <v/>
      </c>
      <c r="G4680">
        <f>IF(F4680="",0,1)</f>
        <v/>
      </c>
      <c r="H4680" s="29">
        <f>IF(F4680="","",INDEX(Deals!$E$2:$E$843,F4680))</f>
        <v/>
      </c>
      <c r="I4680">
        <f>IF(F4680="","",INDEX(Deals!$D$2:$D$843,F4680))</f>
        <v/>
      </c>
      <c r="J4680">
        <f>IF(F4680="","",INT(H4680)-B4680)</f>
        <v/>
      </c>
      <c r="K4680">
        <f>IF(B4680&gt;=Settings!$C$5,1,0)</f>
        <v/>
      </c>
    </row>
    <row r="4681">
      <c r="A4681" t="inlineStr">
        <is>
          <t>86ce53990daffe15ddd6f30a41738ba7</t>
        </is>
      </c>
      <c r="B4681" s="29" t="n">
        <v>43110</v>
      </c>
      <c r="C4681" t="inlineStr">
        <is>
          <t>2018-01</t>
        </is>
      </c>
      <c r="D4681" t="inlineStr">
        <is>
          <t>ce1a65abd0973638f1c887a6efcfa82d</t>
        </is>
      </c>
      <c r="E4681" t="inlineStr">
        <is>
          <t>organic_search</t>
        </is>
      </c>
      <c r="F4681">
        <f>IFERROR(MATCH(A4681,Deals!$A$2:$A$843,0),"")</f>
        <v/>
      </c>
      <c r="G4681">
        <f>IF(F4681="",0,1)</f>
        <v/>
      </c>
      <c r="H4681" s="29">
        <f>IF(F4681="","",INDEX(Deals!$E$2:$E$843,F4681))</f>
        <v/>
      </c>
      <c r="I4681">
        <f>IF(F4681="","",INDEX(Deals!$D$2:$D$843,F4681))</f>
        <v/>
      </c>
      <c r="J4681">
        <f>IF(F4681="","",INT(H4681)-B4681)</f>
        <v/>
      </c>
      <c r="K4681">
        <f>IF(B4681&gt;=Settings!$C$5,1,0)</f>
        <v/>
      </c>
    </row>
    <row r="4682">
      <c r="A4682" t="inlineStr">
        <is>
          <t>eef825caae0897b2eb1a665ce96fdef6</t>
        </is>
      </c>
      <c r="B4682" s="29" t="n">
        <v>43170</v>
      </c>
      <c r="C4682" t="inlineStr">
        <is>
          <t>2018-03</t>
        </is>
      </c>
      <c r="D4682" t="inlineStr">
        <is>
          <t>4b0974ddecd83fd34439a7312a609824</t>
        </is>
      </c>
      <c r="E4682" t="inlineStr">
        <is>
          <t>paid_search</t>
        </is>
      </c>
      <c r="F4682">
        <f>IFERROR(MATCH(A4682,Deals!$A$2:$A$843,0),"")</f>
        <v/>
      </c>
      <c r="G4682">
        <f>IF(F4682="",0,1)</f>
        <v/>
      </c>
      <c r="H4682" s="29">
        <f>IF(F4682="","",INDEX(Deals!$E$2:$E$843,F4682))</f>
        <v/>
      </c>
      <c r="I4682">
        <f>IF(F4682="","",INDEX(Deals!$D$2:$D$843,F4682))</f>
        <v/>
      </c>
      <c r="J4682">
        <f>IF(F4682="","",INT(H4682)-B4682)</f>
        <v/>
      </c>
      <c r="K4682">
        <f>IF(B4682&gt;=Settings!$C$5,1,0)</f>
        <v/>
      </c>
    </row>
    <row r="4683">
      <c r="A4683" t="inlineStr">
        <is>
          <t>d9ff4e5efa087c26ac440ffcf4ad83f9</t>
        </is>
      </c>
      <c r="B4683" s="29" t="n">
        <v>43042</v>
      </c>
      <c r="C4683" t="inlineStr">
        <is>
          <t>2017-11</t>
        </is>
      </c>
      <c r="D4683" t="inlineStr">
        <is>
          <t>22c29808c4f815213303f8933030604c</t>
        </is>
      </c>
      <c r="E4683" t="inlineStr">
        <is>
          <t>direct_traffic</t>
        </is>
      </c>
      <c r="F4683">
        <f>IFERROR(MATCH(A4683,Deals!$A$2:$A$843,0),"")</f>
        <v/>
      </c>
      <c r="G4683">
        <f>IF(F4683="",0,1)</f>
        <v/>
      </c>
      <c r="H4683" s="29">
        <f>IF(F4683="","",INDEX(Deals!$E$2:$E$843,F4683))</f>
        <v/>
      </c>
      <c r="I4683">
        <f>IF(F4683="","",INDEX(Deals!$D$2:$D$843,F4683))</f>
        <v/>
      </c>
      <c r="J4683">
        <f>IF(F4683="","",INT(H4683)-B4683)</f>
        <v/>
      </c>
      <c r="K4683">
        <f>IF(B4683&gt;=Settings!$C$5,1,0)</f>
        <v/>
      </c>
    </row>
    <row r="4684">
      <c r="A4684" t="inlineStr">
        <is>
          <t>f7b49030b84b97848504c5f439564b69</t>
        </is>
      </c>
      <c r="B4684" s="29" t="n">
        <v>42969</v>
      </c>
      <c r="C4684" t="inlineStr">
        <is>
          <t>2017-08</t>
        </is>
      </c>
      <c r="D4684" t="inlineStr">
        <is>
          <t>154e7506c0176dc761f19fa0cb4988c4</t>
        </is>
      </c>
      <c r="E4684" t="inlineStr">
        <is>
          <t>unknown</t>
        </is>
      </c>
      <c r="F4684">
        <f>IFERROR(MATCH(A4684,Deals!$A$2:$A$843,0),"")</f>
        <v/>
      </c>
      <c r="G4684">
        <f>IF(F4684="",0,1)</f>
        <v/>
      </c>
      <c r="H4684" s="29">
        <f>IF(F4684="","",INDEX(Deals!$E$2:$E$843,F4684))</f>
        <v/>
      </c>
      <c r="I4684">
        <f>IF(F4684="","",INDEX(Deals!$D$2:$D$843,F4684))</f>
        <v/>
      </c>
      <c r="J4684">
        <f>IF(F4684="","",INT(H4684)-B4684)</f>
        <v/>
      </c>
      <c r="K4684">
        <f>IF(B4684&gt;=Settings!$C$5,1,0)</f>
        <v/>
      </c>
    </row>
    <row r="4685">
      <c r="A4685" t="inlineStr">
        <is>
          <t>e64b501715515c69b555d5e27670a832</t>
        </is>
      </c>
      <c r="B4685" s="29" t="n">
        <v>43207</v>
      </c>
      <c r="C4685" t="inlineStr">
        <is>
          <t>2018-04</t>
        </is>
      </c>
      <c r="D4685" t="inlineStr">
        <is>
          <t>e534a08b23c682d94859d0ab860bd57a</t>
        </is>
      </c>
      <c r="E4685" t="inlineStr">
        <is>
          <t>other_publicities</t>
        </is>
      </c>
      <c r="F4685">
        <f>IFERROR(MATCH(A4685,Deals!$A$2:$A$843,0),"")</f>
        <v/>
      </c>
      <c r="G4685">
        <f>IF(F4685="",0,1)</f>
        <v/>
      </c>
      <c r="H4685" s="29">
        <f>IF(F4685="","",INDEX(Deals!$E$2:$E$843,F4685))</f>
        <v/>
      </c>
      <c r="I4685">
        <f>IF(F4685="","",INDEX(Deals!$D$2:$D$843,F4685))</f>
        <v/>
      </c>
      <c r="J4685">
        <f>IF(F4685="","",INT(H4685)-B4685)</f>
        <v/>
      </c>
      <c r="K4685">
        <f>IF(B4685&gt;=Settings!$C$5,1,0)</f>
        <v/>
      </c>
    </row>
    <row r="4686">
      <c r="A4686" t="inlineStr">
        <is>
          <t>becebedf1c232fd3fcd44dcd8c0ef821</t>
        </is>
      </c>
      <c r="B4686" s="29" t="n">
        <v>43223</v>
      </c>
      <c r="C4686" t="inlineStr">
        <is>
          <t>2018-05</t>
        </is>
      </c>
      <c r="D4686" t="inlineStr">
        <is>
          <t>58326e62183c14b0c03085c33b9fdc44</t>
        </is>
      </c>
      <c r="E4686" t="inlineStr">
        <is>
          <t>social</t>
        </is>
      </c>
      <c r="F4686">
        <f>IFERROR(MATCH(A4686,Deals!$A$2:$A$843,0),"")</f>
        <v/>
      </c>
      <c r="G4686">
        <f>IF(F4686="",0,1)</f>
        <v/>
      </c>
      <c r="H4686" s="29">
        <f>IF(F4686="","",INDEX(Deals!$E$2:$E$843,F4686))</f>
        <v/>
      </c>
      <c r="I4686">
        <f>IF(F4686="","",INDEX(Deals!$D$2:$D$843,F4686))</f>
        <v/>
      </c>
      <c r="J4686">
        <f>IF(F4686="","",INT(H4686)-B4686)</f>
        <v/>
      </c>
      <c r="K4686">
        <f>IF(B4686&gt;=Settings!$C$5,1,0)</f>
        <v/>
      </c>
    </row>
    <row r="4687">
      <c r="A4687" t="inlineStr">
        <is>
          <t>25851845bd6a3cbf79e4341c1f6baa59</t>
        </is>
      </c>
      <c r="B4687" s="29" t="n">
        <v>43178</v>
      </c>
      <c r="C4687" t="inlineStr">
        <is>
          <t>2018-03</t>
        </is>
      </c>
      <c r="D4687" t="inlineStr">
        <is>
          <t>5da54625ee0a9560dc9b9b9f6ccb03d0</t>
        </is>
      </c>
      <c r="E4687" t="inlineStr">
        <is>
          <t>paid_search</t>
        </is>
      </c>
      <c r="F4687">
        <f>IFERROR(MATCH(A4687,Deals!$A$2:$A$843,0),"")</f>
        <v/>
      </c>
      <c r="G4687">
        <f>IF(F4687="",0,1)</f>
        <v/>
      </c>
      <c r="H4687" s="29">
        <f>IF(F4687="","",INDEX(Deals!$E$2:$E$843,F4687))</f>
        <v/>
      </c>
      <c r="I4687">
        <f>IF(F4687="","",INDEX(Deals!$D$2:$D$843,F4687))</f>
        <v/>
      </c>
      <c r="J4687">
        <f>IF(F4687="","",INT(H4687)-B4687)</f>
        <v/>
      </c>
      <c r="K4687">
        <f>IF(B4687&gt;=Settings!$C$5,1,0)</f>
        <v/>
      </c>
    </row>
    <row r="4688">
      <c r="A4688" t="inlineStr">
        <is>
          <t>1e2da877e5d7479ab76792ffcead7a50</t>
        </is>
      </c>
      <c r="B4688" s="29" t="n">
        <v>43228</v>
      </c>
      <c r="C4688" t="inlineStr">
        <is>
          <t>2018-05</t>
        </is>
      </c>
      <c r="D4688" t="inlineStr">
        <is>
          <t>82028478fef3ab881990e8d1fb24ba3a</t>
        </is>
      </c>
      <c r="E4688" t="inlineStr">
        <is>
          <t>email</t>
        </is>
      </c>
      <c r="F4688">
        <f>IFERROR(MATCH(A4688,Deals!$A$2:$A$843,0),"")</f>
        <v/>
      </c>
      <c r="G4688">
        <f>IF(F4688="",0,1)</f>
        <v/>
      </c>
      <c r="H4688" s="29">
        <f>IF(F4688="","",INDEX(Deals!$E$2:$E$843,F4688))</f>
        <v/>
      </c>
      <c r="I4688">
        <f>IF(F4688="","",INDEX(Deals!$D$2:$D$843,F4688))</f>
        <v/>
      </c>
      <c r="J4688">
        <f>IF(F4688="","",INT(H4688)-B4688)</f>
        <v/>
      </c>
      <c r="K4688">
        <f>IF(B4688&gt;=Settings!$C$5,1,0)</f>
        <v/>
      </c>
    </row>
    <row r="4689">
      <c r="A4689" t="inlineStr">
        <is>
          <t>d1d99ef14bb813e29718b9b4df53de52</t>
        </is>
      </c>
      <c r="B4689" s="29" t="n">
        <v>43147</v>
      </c>
      <c r="C4689" t="inlineStr">
        <is>
          <t>2018-02</t>
        </is>
      </c>
      <c r="D4689" t="inlineStr">
        <is>
          <t>b16779a74f2b20eb9a17a785519f63a0</t>
        </is>
      </c>
      <c r="E4689" t="inlineStr">
        <is>
          <t>email</t>
        </is>
      </c>
      <c r="F4689">
        <f>IFERROR(MATCH(A4689,Deals!$A$2:$A$843,0),"")</f>
        <v/>
      </c>
      <c r="G4689">
        <f>IF(F4689="",0,1)</f>
        <v/>
      </c>
      <c r="H4689" s="29">
        <f>IF(F4689="","",INDEX(Deals!$E$2:$E$843,F4689))</f>
        <v/>
      </c>
      <c r="I4689">
        <f>IF(F4689="","",INDEX(Deals!$D$2:$D$843,F4689))</f>
        <v/>
      </c>
      <c r="J4689">
        <f>IF(F4689="","",INT(H4689)-B4689)</f>
        <v/>
      </c>
      <c r="K4689">
        <f>IF(B4689&gt;=Settings!$C$5,1,0)</f>
        <v/>
      </c>
    </row>
    <row r="4690">
      <c r="A4690" t="inlineStr">
        <is>
          <t>d0f9bb33570e638d52fb559e5b50bc71</t>
        </is>
      </c>
      <c r="B4690" s="29" t="n">
        <v>43245</v>
      </c>
      <c r="C4690" t="inlineStr">
        <is>
          <t>2018-05</t>
        </is>
      </c>
      <c r="D4690" t="inlineStr">
        <is>
          <t>0b37d43dbde6452cdd94c17bf61a88e4</t>
        </is>
      </c>
      <c r="E4690" t="inlineStr">
        <is>
          <t>paid_search</t>
        </is>
      </c>
      <c r="F4690">
        <f>IFERROR(MATCH(A4690,Deals!$A$2:$A$843,0),"")</f>
        <v/>
      </c>
      <c r="G4690">
        <f>IF(F4690="",0,1)</f>
        <v/>
      </c>
      <c r="H4690" s="29">
        <f>IF(F4690="","",INDEX(Deals!$E$2:$E$843,F4690))</f>
        <v/>
      </c>
      <c r="I4690">
        <f>IF(F4690="","",INDEX(Deals!$D$2:$D$843,F4690))</f>
        <v/>
      </c>
      <c r="J4690">
        <f>IF(F4690="","",INT(H4690)-B4690)</f>
        <v/>
      </c>
      <c r="K4690">
        <f>IF(B4690&gt;=Settings!$C$5,1,0)</f>
        <v/>
      </c>
    </row>
    <row r="4691">
      <c r="A4691" t="inlineStr">
        <is>
          <t>20b7a02ba34a9e26c207f81c4422cf7e</t>
        </is>
      </c>
      <c r="B4691" s="29" t="n">
        <v>43234</v>
      </c>
      <c r="C4691" t="inlineStr">
        <is>
          <t>2018-05</t>
        </is>
      </c>
      <c r="D4691" t="inlineStr">
        <is>
          <t>58326e62183c14b0c03085c33b9fdc44</t>
        </is>
      </c>
      <c r="E4691" t="inlineStr">
        <is>
          <t>social</t>
        </is>
      </c>
      <c r="F4691">
        <f>IFERROR(MATCH(A4691,Deals!$A$2:$A$843,0),"")</f>
        <v/>
      </c>
      <c r="G4691">
        <f>IF(F4691="",0,1)</f>
        <v/>
      </c>
      <c r="H4691" s="29">
        <f>IF(F4691="","",INDEX(Deals!$E$2:$E$843,F4691))</f>
        <v/>
      </c>
      <c r="I4691">
        <f>IF(F4691="","",INDEX(Deals!$D$2:$D$843,F4691))</f>
        <v/>
      </c>
      <c r="J4691">
        <f>IF(F4691="","",INT(H4691)-B4691)</f>
        <v/>
      </c>
      <c r="K4691">
        <f>IF(B4691&gt;=Settings!$C$5,1,0)</f>
        <v/>
      </c>
    </row>
    <row r="4692">
      <c r="A4692" t="inlineStr">
        <is>
          <t>897a943c5bb9301dc4e1e6de217d17b0</t>
        </is>
      </c>
      <c r="B4692" s="29" t="n">
        <v>43158</v>
      </c>
      <c r="C4692" t="inlineStr">
        <is>
          <t>2018-02</t>
        </is>
      </c>
      <c r="D4692" t="inlineStr">
        <is>
          <t>b76ef37428e6799c421989521c0e5077</t>
        </is>
      </c>
      <c r="E4692" t="inlineStr">
        <is>
          <t>unknown</t>
        </is>
      </c>
      <c r="F4692">
        <f>IFERROR(MATCH(A4692,Deals!$A$2:$A$843,0),"")</f>
        <v/>
      </c>
      <c r="G4692">
        <f>IF(F4692="",0,1)</f>
        <v/>
      </c>
      <c r="H4692" s="29">
        <f>IF(F4692="","",INDEX(Deals!$E$2:$E$843,F4692))</f>
        <v/>
      </c>
      <c r="I4692">
        <f>IF(F4692="","",INDEX(Deals!$D$2:$D$843,F4692))</f>
        <v/>
      </c>
      <c r="J4692">
        <f>IF(F4692="","",INT(H4692)-B4692)</f>
        <v/>
      </c>
      <c r="K4692">
        <f>IF(B4692&gt;=Settings!$C$5,1,0)</f>
        <v/>
      </c>
    </row>
    <row r="4693">
      <c r="A4693" t="inlineStr">
        <is>
          <t>16a50d670cfa9afa1ebd0022240fb0f9</t>
        </is>
      </c>
      <c r="B4693" s="29" t="n">
        <v>43033</v>
      </c>
      <c r="C4693" t="inlineStr">
        <is>
          <t>2017-10</t>
        </is>
      </c>
      <c r="D4693" t="inlineStr">
        <is>
          <t>241f79c7a8fe0270f4fb79fcbbcd17ad</t>
        </is>
      </c>
      <c r="E4693" t="inlineStr">
        <is>
          <t>paid_search</t>
        </is>
      </c>
      <c r="F4693">
        <f>IFERROR(MATCH(A4693,Deals!$A$2:$A$843,0),"")</f>
        <v/>
      </c>
      <c r="G4693">
        <f>IF(F4693="",0,1)</f>
        <v/>
      </c>
      <c r="H4693" s="29">
        <f>IF(F4693="","",INDEX(Deals!$E$2:$E$843,F4693))</f>
        <v/>
      </c>
      <c r="I4693">
        <f>IF(F4693="","",INDEX(Deals!$D$2:$D$843,F4693))</f>
        <v/>
      </c>
      <c r="J4693">
        <f>IF(F4693="","",INT(H4693)-B4693)</f>
        <v/>
      </c>
      <c r="K4693">
        <f>IF(B4693&gt;=Settings!$C$5,1,0)</f>
        <v/>
      </c>
    </row>
    <row r="4694">
      <c r="A4694" t="inlineStr">
        <is>
          <t>b9b993f4d1b942206120102f00b759fe</t>
        </is>
      </c>
      <c r="B4694" s="29" t="n">
        <v>43090</v>
      </c>
      <c r="C4694" t="inlineStr">
        <is>
          <t>2017-12</t>
        </is>
      </c>
      <c r="D4694" t="inlineStr">
        <is>
          <t>5bc6da5f353093c37734eddd2eafc993</t>
        </is>
      </c>
      <c r="E4694" t="inlineStr">
        <is>
          <t>unknown</t>
        </is>
      </c>
      <c r="F4694">
        <f>IFERROR(MATCH(A4694,Deals!$A$2:$A$843,0),"")</f>
        <v/>
      </c>
      <c r="G4694">
        <f>IF(F4694="",0,1)</f>
        <v/>
      </c>
      <c r="H4694" s="29">
        <f>IF(F4694="","",INDEX(Deals!$E$2:$E$843,F4694))</f>
        <v/>
      </c>
      <c r="I4694">
        <f>IF(F4694="","",INDEX(Deals!$D$2:$D$843,F4694))</f>
        <v/>
      </c>
      <c r="J4694">
        <f>IF(F4694="","",INT(H4694)-B4694)</f>
        <v/>
      </c>
      <c r="K4694">
        <f>IF(B4694&gt;=Settings!$C$5,1,0)</f>
        <v/>
      </c>
    </row>
    <row r="4695">
      <c r="A4695" t="inlineStr">
        <is>
          <t>cc1d6397370f680339bb84ca6ad55267</t>
        </is>
      </c>
      <c r="B4695" s="29" t="n">
        <v>43147</v>
      </c>
      <c r="C4695" t="inlineStr">
        <is>
          <t>2018-02</t>
        </is>
      </c>
      <c r="D4695" t="inlineStr">
        <is>
          <t>ce1a65abd0973638f1c887a6efcfa82d</t>
        </is>
      </c>
      <c r="E4695" t="inlineStr">
        <is>
          <t>email</t>
        </is>
      </c>
      <c r="F4695">
        <f>IFERROR(MATCH(A4695,Deals!$A$2:$A$843,0),"")</f>
        <v/>
      </c>
      <c r="G4695">
        <f>IF(F4695="",0,1)</f>
        <v/>
      </c>
      <c r="H4695" s="29">
        <f>IF(F4695="","",INDEX(Deals!$E$2:$E$843,F4695))</f>
        <v/>
      </c>
      <c r="I4695">
        <f>IF(F4695="","",INDEX(Deals!$D$2:$D$843,F4695))</f>
        <v/>
      </c>
      <c r="J4695">
        <f>IF(F4695="","",INT(H4695)-B4695)</f>
        <v/>
      </c>
      <c r="K4695">
        <f>IF(B4695&gt;=Settings!$C$5,1,0)</f>
        <v/>
      </c>
    </row>
    <row r="4696">
      <c r="A4696" t="inlineStr">
        <is>
          <t>45c04c3ce3edf82e8849d8b1f77debc4</t>
        </is>
      </c>
      <c r="B4696" s="29" t="n">
        <v>43185</v>
      </c>
      <c r="C4696" t="inlineStr">
        <is>
          <t>2018-03</t>
        </is>
      </c>
      <c r="D4696" t="inlineStr">
        <is>
          <t>58326e62183c14b0c03085c33b9fdc44</t>
        </is>
      </c>
      <c r="E4696" t="inlineStr">
        <is>
          <t>social</t>
        </is>
      </c>
      <c r="F4696">
        <f>IFERROR(MATCH(A4696,Deals!$A$2:$A$843,0),"")</f>
        <v/>
      </c>
      <c r="G4696">
        <f>IF(F4696="",0,1)</f>
        <v/>
      </c>
      <c r="H4696" s="29">
        <f>IF(F4696="","",INDEX(Deals!$E$2:$E$843,F4696))</f>
        <v/>
      </c>
      <c r="I4696">
        <f>IF(F4696="","",INDEX(Deals!$D$2:$D$843,F4696))</f>
        <v/>
      </c>
      <c r="J4696">
        <f>IF(F4696="","",INT(H4696)-B4696)</f>
        <v/>
      </c>
      <c r="K4696">
        <f>IF(B4696&gt;=Settings!$C$5,1,0)</f>
        <v/>
      </c>
    </row>
    <row r="4697">
      <c r="A4697" t="inlineStr">
        <is>
          <t>f8d14273189ea32081fd8c41ce65c89b</t>
        </is>
      </c>
      <c r="B4697" s="29" t="n">
        <v>43164</v>
      </c>
      <c r="C4697" t="inlineStr">
        <is>
          <t>2018-03</t>
        </is>
      </c>
      <c r="D4697" t="inlineStr">
        <is>
          <t>ce1a65abd0973638f1c887a6efcfa82d</t>
        </is>
      </c>
      <c r="E4697" t="inlineStr">
        <is>
          <t>organic_search</t>
        </is>
      </c>
      <c r="F4697">
        <f>IFERROR(MATCH(A4697,Deals!$A$2:$A$843,0),"")</f>
        <v/>
      </c>
      <c r="G4697">
        <f>IF(F4697="",0,1)</f>
        <v/>
      </c>
      <c r="H4697" s="29">
        <f>IF(F4697="","",INDEX(Deals!$E$2:$E$843,F4697))</f>
        <v/>
      </c>
      <c r="I4697">
        <f>IF(F4697="","",INDEX(Deals!$D$2:$D$843,F4697))</f>
        <v/>
      </c>
      <c r="J4697">
        <f>IF(F4697="","",INT(H4697)-B4697)</f>
        <v/>
      </c>
      <c r="K4697">
        <f>IF(B4697&gt;=Settings!$C$5,1,0)</f>
        <v/>
      </c>
    </row>
    <row r="4698">
      <c r="A4698" t="inlineStr">
        <is>
          <t>9246bffe09c17934ccc7ad81a31111ec</t>
        </is>
      </c>
      <c r="B4698" s="29" t="n">
        <v>43128</v>
      </c>
      <c r="C4698" t="inlineStr">
        <is>
          <t>2018-01</t>
        </is>
      </c>
      <c r="D4698" t="inlineStr">
        <is>
          <t>88740e65d5d6b056e0cda098e1ea6313</t>
        </is>
      </c>
      <c r="E4698" t="inlineStr">
        <is>
          <t>social</t>
        </is>
      </c>
      <c r="F4698">
        <f>IFERROR(MATCH(A4698,Deals!$A$2:$A$843,0),"")</f>
        <v/>
      </c>
      <c r="G4698">
        <f>IF(F4698="",0,1)</f>
        <v/>
      </c>
      <c r="H4698" s="29">
        <f>IF(F4698="","",INDEX(Deals!$E$2:$E$843,F4698))</f>
        <v/>
      </c>
      <c r="I4698">
        <f>IF(F4698="","",INDEX(Deals!$D$2:$D$843,F4698))</f>
        <v/>
      </c>
      <c r="J4698">
        <f>IF(F4698="","",INT(H4698)-B4698)</f>
        <v/>
      </c>
      <c r="K4698">
        <f>IF(B4698&gt;=Settings!$C$5,1,0)</f>
        <v/>
      </c>
    </row>
    <row r="4699">
      <c r="A4699" t="inlineStr">
        <is>
          <t>9fc0baa4d24c7eb0a4c171d49e174a3d</t>
        </is>
      </c>
      <c r="B4699" s="29" t="n">
        <v>43058</v>
      </c>
      <c r="C4699" t="inlineStr">
        <is>
          <t>2017-11</t>
        </is>
      </c>
      <c r="D4699" t="inlineStr">
        <is>
          <t>88740e65d5d6b056e0cda098e1ea6313</t>
        </is>
      </c>
      <c r="E4699" t="inlineStr">
        <is>
          <t>social</t>
        </is>
      </c>
      <c r="F4699">
        <f>IFERROR(MATCH(A4699,Deals!$A$2:$A$843,0),"")</f>
        <v/>
      </c>
      <c r="G4699">
        <f>IF(F4699="",0,1)</f>
        <v/>
      </c>
      <c r="H4699" s="29">
        <f>IF(F4699="","",INDEX(Deals!$E$2:$E$843,F4699))</f>
        <v/>
      </c>
      <c r="I4699">
        <f>IF(F4699="","",INDEX(Deals!$D$2:$D$843,F4699))</f>
        <v/>
      </c>
      <c r="J4699">
        <f>IF(F4699="","",INT(H4699)-B4699)</f>
        <v/>
      </c>
      <c r="K4699">
        <f>IF(B4699&gt;=Settings!$C$5,1,0)</f>
        <v/>
      </c>
    </row>
    <row r="4700">
      <c r="A4700" t="inlineStr">
        <is>
          <t>0febd8884d4018ef0f494a74d24b63a3</t>
        </is>
      </c>
      <c r="B4700" s="29" t="n">
        <v>43014</v>
      </c>
      <c r="C4700" t="inlineStr">
        <is>
          <t>2017-10</t>
        </is>
      </c>
      <c r="D4700" t="inlineStr">
        <is>
          <t>a56671a54260a44923d32c2f08fad39c</t>
        </is>
      </c>
      <c r="E4700" t="inlineStr">
        <is>
          <t>referral</t>
        </is>
      </c>
      <c r="F4700">
        <f>IFERROR(MATCH(A4700,Deals!$A$2:$A$843,0),"")</f>
        <v/>
      </c>
      <c r="G4700">
        <f>IF(F4700="",0,1)</f>
        <v/>
      </c>
      <c r="H4700" s="29">
        <f>IF(F4700="","",INDEX(Deals!$E$2:$E$843,F4700))</f>
        <v/>
      </c>
      <c r="I4700">
        <f>IF(F4700="","",INDEX(Deals!$D$2:$D$843,F4700))</f>
        <v/>
      </c>
      <c r="J4700">
        <f>IF(F4700="","",INT(H4700)-B4700)</f>
        <v/>
      </c>
      <c r="K4700">
        <f>IF(B4700&gt;=Settings!$C$5,1,0)</f>
        <v/>
      </c>
    </row>
    <row r="4701">
      <c r="A4701" t="inlineStr">
        <is>
          <t>97084587768c3d424f01174c4c008d59</t>
        </is>
      </c>
      <c r="B4701" s="29" t="n">
        <v>43167</v>
      </c>
      <c r="C4701" t="inlineStr">
        <is>
          <t>2018-03</t>
        </is>
      </c>
      <c r="D4701" t="inlineStr">
        <is>
          <t>f017be4dbf86243af5c1ebed0cff36a2</t>
        </is>
      </c>
      <c r="E4701" t="inlineStr">
        <is>
          <t>organic_search</t>
        </is>
      </c>
      <c r="F4701">
        <f>IFERROR(MATCH(A4701,Deals!$A$2:$A$843,0),"")</f>
        <v/>
      </c>
      <c r="G4701">
        <f>IF(F4701="",0,1)</f>
        <v/>
      </c>
      <c r="H4701" s="29">
        <f>IF(F4701="","",INDEX(Deals!$E$2:$E$843,F4701))</f>
        <v/>
      </c>
      <c r="I4701">
        <f>IF(F4701="","",INDEX(Deals!$D$2:$D$843,F4701))</f>
        <v/>
      </c>
      <c r="J4701">
        <f>IF(F4701="","",INT(H4701)-B4701)</f>
        <v/>
      </c>
      <c r="K4701">
        <f>IF(B4701&gt;=Settings!$C$5,1,0)</f>
        <v/>
      </c>
    </row>
    <row r="4702">
      <c r="A4702" t="inlineStr">
        <is>
          <t>b3f634f6e02425702178395dfe6f062a</t>
        </is>
      </c>
      <c r="B4702" s="29" t="n">
        <v>42950</v>
      </c>
      <c r="C4702" t="inlineStr">
        <is>
          <t>2017-08</t>
        </is>
      </c>
      <c r="D4702" t="inlineStr">
        <is>
          <t>22c29808c4f815213303f8933030604c</t>
        </is>
      </c>
      <c r="E4702" t="inlineStr">
        <is>
          <t>organic_search</t>
        </is>
      </c>
      <c r="F4702">
        <f>IFERROR(MATCH(A4702,Deals!$A$2:$A$843,0),"")</f>
        <v/>
      </c>
      <c r="G4702">
        <f>IF(F4702="",0,1)</f>
        <v/>
      </c>
      <c r="H4702" s="29">
        <f>IF(F4702="","",INDEX(Deals!$E$2:$E$843,F4702))</f>
        <v/>
      </c>
      <c r="I4702">
        <f>IF(F4702="","",INDEX(Deals!$D$2:$D$843,F4702))</f>
        <v/>
      </c>
      <c r="J4702">
        <f>IF(F4702="","",INT(H4702)-B4702)</f>
        <v/>
      </c>
      <c r="K4702">
        <f>IF(B4702&gt;=Settings!$C$5,1,0)</f>
        <v/>
      </c>
    </row>
    <row r="4703">
      <c r="A4703" t="inlineStr">
        <is>
          <t>dacf1de88e7c80b43b3b23f39c1e8d0b</t>
        </is>
      </c>
      <c r="B4703" s="29" t="n">
        <v>43138</v>
      </c>
      <c r="C4703" t="inlineStr">
        <is>
          <t>2018-02</t>
        </is>
      </c>
      <c r="D4703" t="inlineStr">
        <is>
          <t>73f31a40697cc90a86c1273563ac230e</t>
        </is>
      </c>
      <c r="E4703" t="inlineStr">
        <is>
          <t>social</t>
        </is>
      </c>
      <c r="F4703">
        <f>IFERROR(MATCH(A4703,Deals!$A$2:$A$843,0),"")</f>
        <v/>
      </c>
      <c r="G4703">
        <f>IF(F4703="",0,1)</f>
        <v/>
      </c>
      <c r="H4703" s="29">
        <f>IF(F4703="","",INDEX(Deals!$E$2:$E$843,F4703))</f>
        <v/>
      </c>
      <c r="I4703">
        <f>IF(F4703="","",INDEX(Deals!$D$2:$D$843,F4703))</f>
        <v/>
      </c>
      <c r="J4703">
        <f>IF(F4703="","",INT(H4703)-B4703)</f>
        <v/>
      </c>
      <c r="K4703">
        <f>IF(B4703&gt;=Settings!$C$5,1,0)</f>
        <v/>
      </c>
    </row>
    <row r="4704">
      <c r="A4704" t="inlineStr">
        <is>
          <t>b1fc0592b638f7319e1bc46972c04b1b</t>
        </is>
      </c>
      <c r="B4704" s="29" t="n">
        <v>43070</v>
      </c>
      <c r="C4704" t="inlineStr">
        <is>
          <t>2017-12</t>
        </is>
      </c>
      <c r="D4704" t="inlineStr">
        <is>
          <t>bdaeb752e5c3caa215ebe04c61e22325</t>
        </is>
      </c>
      <c r="E4704" t="inlineStr">
        <is>
          <t>organic_search</t>
        </is>
      </c>
      <c r="F4704">
        <f>IFERROR(MATCH(A4704,Deals!$A$2:$A$843,0),"")</f>
        <v/>
      </c>
      <c r="G4704">
        <f>IF(F4704="",0,1)</f>
        <v/>
      </c>
      <c r="H4704" s="29">
        <f>IF(F4704="","",INDEX(Deals!$E$2:$E$843,F4704))</f>
        <v/>
      </c>
      <c r="I4704">
        <f>IF(F4704="","",INDEX(Deals!$D$2:$D$843,F4704))</f>
        <v/>
      </c>
      <c r="J4704">
        <f>IF(F4704="","",INT(H4704)-B4704)</f>
        <v/>
      </c>
      <c r="K4704">
        <f>IF(B4704&gt;=Settings!$C$5,1,0)</f>
        <v/>
      </c>
    </row>
    <row r="4705">
      <c r="A4705" t="inlineStr">
        <is>
          <t>91bf42fe769d7f395d8f11b747000def</t>
        </is>
      </c>
      <c r="B4705" s="29" t="n">
        <v>43168</v>
      </c>
      <c r="C4705" t="inlineStr">
        <is>
          <t>2018-03</t>
        </is>
      </c>
      <c r="D4705" t="inlineStr">
        <is>
          <t>241f79c7a8fe0270f4fb79fcbbcd17ad</t>
        </is>
      </c>
      <c r="E4705" t="inlineStr">
        <is>
          <t>organic_search</t>
        </is>
      </c>
      <c r="F4705">
        <f>IFERROR(MATCH(A4705,Deals!$A$2:$A$843,0),"")</f>
        <v/>
      </c>
      <c r="G4705">
        <f>IF(F4705="",0,1)</f>
        <v/>
      </c>
      <c r="H4705" s="29">
        <f>IF(F4705="","",INDEX(Deals!$E$2:$E$843,F4705))</f>
        <v/>
      </c>
      <c r="I4705">
        <f>IF(F4705="","",INDEX(Deals!$D$2:$D$843,F4705))</f>
        <v/>
      </c>
      <c r="J4705">
        <f>IF(F4705="","",INT(H4705)-B4705)</f>
        <v/>
      </c>
      <c r="K4705">
        <f>IF(B4705&gt;=Settings!$C$5,1,0)</f>
        <v/>
      </c>
    </row>
    <row r="4706">
      <c r="A4706" t="inlineStr">
        <is>
          <t>45bb6f7fd156d0f5ed675304cf8a978a</t>
        </is>
      </c>
      <c r="B4706" s="29" t="n">
        <v>43038</v>
      </c>
      <c r="C4706" t="inlineStr">
        <is>
          <t>2017-10</t>
        </is>
      </c>
      <c r="D4706" t="inlineStr">
        <is>
          <t>e492ee5eaf1697716985cc6f33f9cd9b</t>
        </is>
      </c>
      <c r="E4706" t="inlineStr">
        <is>
          <t>organic_search</t>
        </is>
      </c>
      <c r="F4706">
        <f>IFERROR(MATCH(A4706,Deals!$A$2:$A$843,0),"")</f>
        <v/>
      </c>
      <c r="G4706">
        <f>IF(F4706="",0,1)</f>
        <v/>
      </c>
      <c r="H4706" s="29">
        <f>IF(F4706="","",INDEX(Deals!$E$2:$E$843,F4706))</f>
        <v/>
      </c>
      <c r="I4706">
        <f>IF(F4706="","",INDEX(Deals!$D$2:$D$843,F4706))</f>
        <v/>
      </c>
      <c r="J4706">
        <f>IF(F4706="","",INT(H4706)-B4706)</f>
        <v/>
      </c>
      <c r="K4706">
        <f>IF(B4706&gt;=Settings!$C$5,1,0)</f>
        <v/>
      </c>
    </row>
    <row r="4707">
      <c r="A4707" t="inlineStr">
        <is>
          <t>03c7f28e71151ecf37efa593de96aeaa</t>
        </is>
      </c>
      <c r="B4707" s="29" t="n">
        <v>43178</v>
      </c>
      <c r="C4707" t="inlineStr">
        <is>
          <t>2018-03</t>
        </is>
      </c>
      <c r="D4707" t="inlineStr">
        <is>
          <t>0b37d43dbde6452cdd94c17bf61a88e4</t>
        </is>
      </c>
      <c r="E4707" t="inlineStr">
        <is>
          <t>direct_traffic</t>
        </is>
      </c>
      <c r="F4707">
        <f>IFERROR(MATCH(A4707,Deals!$A$2:$A$843,0),"")</f>
        <v/>
      </c>
      <c r="G4707">
        <f>IF(F4707="",0,1)</f>
        <v/>
      </c>
      <c r="H4707" s="29">
        <f>IF(F4707="","",INDEX(Deals!$E$2:$E$843,F4707))</f>
        <v/>
      </c>
      <c r="I4707">
        <f>IF(F4707="","",INDEX(Deals!$D$2:$D$843,F4707))</f>
        <v/>
      </c>
      <c r="J4707">
        <f>IF(F4707="","",INT(H4707)-B4707)</f>
        <v/>
      </c>
      <c r="K4707">
        <f>IF(B4707&gt;=Settings!$C$5,1,0)</f>
        <v/>
      </c>
    </row>
    <row r="4708">
      <c r="A4708" t="inlineStr">
        <is>
          <t>c5b432382d5978b94676426a32725dff</t>
        </is>
      </c>
      <c r="B4708" s="29" t="n">
        <v>43003</v>
      </c>
      <c r="C4708" t="inlineStr">
        <is>
          <t>2017-09</t>
        </is>
      </c>
      <c r="D4708" t="inlineStr">
        <is>
          <t>87d670b00a8db612286ba8419cf82e83</t>
        </is>
      </c>
      <c r="E4708" t="inlineStr">
        <is>
          <t>paid_search</t>
        </is>
      </c>
      <c r="F4708">
        <f>IFERROR(MATCH(A4708,Deals!$A$2:$A$843,0),"")</f>
        <v/>
      </c>
      <c r="G4708">
        <f>IF(F4708="",0,1)</f>
        <v/>
      </c>
      <c r="H4708" s="29">
        <f>IF(F4708="","",INDEX(Deals!$E$2:$E$843,F4708))</f>
        <v/>
      </c>
      <c r="I4708">
        <f>IF(F4708="","",INDEX(Deals!$D$2:$D$843,F4708))</f>
        <v/>
      </c>
      <c r="J4708">
        <f>IF(F4708="","",INT(H4708)-B4708)</f>
        <v/>
      </c>
      <c r="K4708">
        <f>IF(B4708&gt;=Settings!$C$5,1,0)</f>
        <v/>
      </c>
    </row>
    <row r="4709">
      <c r="A4709" t="inlineStr">
        <is>
          <t>9a985e5d14e44dc2c97d12877dd7cd8c</t>
        </is>
      </c>
      <c r="B4709" s="29" t="n">
        <v>42930</v>
      </c>
      <c r="C4709" t="inlineStr">
        <is>
          <t>2017-07</t>
        </is>
      </c>
      <c r="D4709" t="inlineStr">
        <is>
          <t>241f79c7a8fe0270f4fb79fcbbcd17ad</t>
        </is>
      </c>
      <c r="E4709" t="inlineStr">
        <is>
          <t>paid_search</t>
        </is>
      </c>
      <c r="F4709">
        <f>IFERROR(MATCH(A4709,Deals!$A$2:$A$843,0),"")</f>
        <v/>
      </c>
      <c r="G4709">
        <f>IF(F4709="",0,1)</f>
        <v/>
      </c>
      <c r="H4709" s="29">
        <f>IF(F4709="","",INDEX(Deals!$E$2:$E$843,F4709))</f>
        <v/>
      </c>
      <c r="I4709">
        <f>IF(F4709="","",INDEX(Deals!$D$2:$D$843,F4709))</f>
        <v/>
      </c>
      <c r="J4709">
        <f>IF(F4709="","",INT(H4709)-B4709)</f>
        <v/>
      </c>
      <c r="K4709">
        <f>IF(B4709&gt;=Settings!$C$5,1,0)</f>
        <v/>
      </c>
    </row>
    <row r="4710">
      <c r="A4710" t="inlineStr">
        <is>
          <t>f64053caa298ce3743d8852cb8510f55</t>
        </is>
      </c>
      <c r="B4710" s="29" t="n">
        <v>43034</v>
      </c>
      <c r="C4710" t="inlineStr">
        <is>
          <t>2017-10</t>
        </is>
      </c>
      <c r="D4710" t="inlineStr">
        <is>
          <t>b217afa2c1f4cb502423005639878f6d</t>
        </is>
      </c>
      <c r="E4710" t="inlineStr">
        <is>
          <t>organic_search</t>
        </is>
      </c>
      <c r="F4710">
        <f>IFERROR(MATCH(A4710,Deals!$A$2:$A$843,0),"")</f>
        <v/>
      </c>
      <c r="G4710">
        <f>IF(F4710="",0,1)</f>
        <v/>
      </c>
      <c r="H4710" s="29">
        <f>IF(F4710="","",INDEX(Deals!$E$2:$E$843,F4710))</f>
        <v/>
      </c>
      <c r="I4710">
        <f>IF(F4710="","",INDEX(Deals!$D$2:$D$843,F4710))</f>
        <v/>
      </c>
      <c r="J4710">
        <f>IF(F4710="","",INT(H4710)-B4710)</f>
        <v/>
      </c>
      <c r="K4710">
        <f>IF(B4710&gt;=Settings!$C$5,1,0)</f>
        <v/>
      </c>
    </row>
    <row r="4711">
      <c r="A4711" t="inlineStr">
        <is>
          <t>696f528c370cf145a481248a60ed85b5</t>
        </is>
      </c>
      <c r="B4711" s="29" t="n">
        <v>43234</v>
      </c>
      <c r="C4711" t="inlineStr">
        <is>
          <t>2018-05</t>
        </is>
      </c>
      <c r="D4711" t="inlineStr">
        <is>
          <t>dd26cc89043f913c5441e3c88f2c26b6</t>
        </is>
      </c>
      <c r="E4711" t="inlineStr">
        <is>
          <t>organic_search</t>
        </is>
      </c>
      <c r="F4711">
        <f>IFERROR(MATCH(A4711,Deals!$A$2:$A$843,0),"")</f>
        <v/>
      </c>
      <c r="G4711">
        <f>IF(F4711="",0,1)</f>
        <v/>
      </c>
      <c r="H4711" s="29">
        <f>IF(F4711="","",INDEX(Deals!$E$2:$E$843,F4711))</f>
        <v/>
      </c>
      <c r="I4711">
        <f>IF(F4711="","",INDEX(Deals!$D$2:$D$843,F4711))</f>
        <v/>
      </c>
      <c r="J4711">
        <f>IF(F4711="","",INT(H4711)-B4711)</f>
        <v/>
      </c>
      <c r="K4711">
        <f>IF(B4711&gt;=Settings!$C$5,1,0)</f>
        <v/>
      </c>
    </row>
    <row r="4712">
      <c r="A4712" t="inlineStr">
        <is>
          <t>451fbb024d0794ffcda2258170740a1e</t>
        </is>
      </c>
      <c r="B4712" s="29" t="n">
        <v>42951</v>
      </c>
      <c r="C4712" t="inlineStr">
        <is>
          <t>2017-08</t>
        </is>
      </c>
      <c r="D4712" t="inlineStr">
        <is>
          <t>3cd2a8301d5395f21cdd3094c9eaa2f4</t>
        </is>
      </c>
      <c r="E4712" t="inlineStr">
        <is>
          <t>paid_search</t>
        </is>
      </c>
      <c r="F4712">
        <f>IFERROR(MATCH(A4712,Deals!$A$2:$A$843,0),"")</f>
        <v/>
      </c>
      <c r="G4712">
        <f>IF(F4712="",0,1)</f>
        <v/>
      </c>
      <c r="H4712" s="29">
        <f>IF(F4712="","",INDEX(Deals!$E$2:$E$843,F4712))</f>
        <v/>
      </c>
      <c r="I4712">
        <f>IF(F4712="","",INDEX(Deals!$D$2:$D$843,F4712))</f>
        <v/>
      </c>
      <c r="J4712">
        <f>IF(F4712="","",INT(H4712)-B4712)</f>
        <v/>
      </c>
      <c r="K4712">
        <f>IF(B4712&gt;=Settings!$C$5,1,0)</f>
        <v/>
      </c>
    </row>
    <row r="4713">
      <c r="A4713" t="inlineStr">
        <is>
          <t>2ba14bf3ef59ae42b0031005b2eea17c</t>
        </is>
      </c>
      <c r="B4713" s="29" t="n">
        <v>43222</v>
      </c>
      <c r="C4713" t="inlineStr">
        <is>
          <t>2018-05</t>
        </is>
      </c>
      <c r="D4713" t="inlineStr">
        <is>
          <t>22c29808c4f815213303f8933030604c</t>
        </is>
      </c>
      <c r="E4713" t="inlineStr">
        <is>
          <t>organic_search</t>
        </is>
      </c>
      <c r="F4713">
        <f>IFERROR(MATCH(A4713,Deals!$A$2:$A$843,0),"")</f>
        <v/>
      </c>
      <c r="G4713">
        <f>IF(F4713="",0,1)</f>
        <v/>
      </c>
      <c r="H4713" s="29">
        <f>IF(F4713="","",INDEX(Deals!$E$2:$E$843,F4713))</f>
        <v/>
      </c>
      <c r="I4713">
        <f>IF(F4713="","",INDEX(Deals!$D$2:$D$843,F4713))</f>
        <v/>
      </c>
      <c r="J4713">
        <f>IF(F4713="","",INT(H4713)-B4713)</f>
        <v/>
      </c>
      <c r="K4713">
        <f>IF(B4713&gt;=Settings!$C$5,1,0)</f>
        <v/>
      </c>
    </row>
    <row r="4714">
      <c r="A4714" t="inlineStr">
        <is>
          <t>e76d0860a1123e0cbc3cd3ec02e3c31b</t>
        </is>
      </c>
      <c r="B4714" s="29" t="n">
        <v>43136</v>
      </c>
      <c r="C4714" t="inlineStr">
        <is>
          <t>2018-02</t>
        </is>
      </c>
      <c r="D4714" t="inlineStr">
        <is>
          <t>b76ef37428e6799c421989521c0e5077</t>
        </is>
      </c>
      <c r="E4714" t="inlineStr">
        <is>
          <t>paid_search</t>
        </is>
      </c>
      <c r="F4714">
        <f>IFERROR(MATCH(A4714,Deals!$A$2:$A$843,0),"")</f>
        <v/>
      </c>
      <c r="G4714">
        <f>IF(F4714="",0,1)</f>
        <v/>
      </c>
      <c r="H4714" s="29">
        <f>IF(F4714="","",INDEX(Deals!$E$2:$E$843,F4714))</f>
        <v/>
      </c>
      <c r="I4714">
        <f>IF(F4714="","",INDEX(Deals!$D$2:$D$843,F4714))</f>
        <v/>
      </c>
      <c r="J4714">
        <f>IF(F4714="","",INT(H4714)-B4714)</f>
        <v/>
      </c>
      <c r="K4714">
        <f>IF(B4714&gt;=Settings!$C$5,1,0)</f>
        <v/>
      </c>
    </row>
    <row r="4715">
      <c r="A4715" t="inlineStr">
        <is>
          <t>4adef779a21771e0a5619a2157c8c22a</t>
        </is>
      </c>
      <c r="B4715" s="29" t="n">
        <v>42958</v>
      </c>
      <c r="C4715" t="inlineStr">
        <is>
          <t>2017-08</t>
        </is>
      </c>
      <c r="D4715" t="inlineStr">
        <is>
          <t>c70eb6fb5bd6e939b0d5ef32f21f61e8</t>
        </is>
      </c>
      <c r="E4715" t="inlineStr">
        <is>
          <t>organic_search</t>
        </is>
      </c>
      <c r="F4715">
        <f>IFERROR(MATCH(A4715,Deals!$A$2:$A$843,0),"")</f>
        <v/>
      </c>
      <c r="G4715">
        <f>IF(F4715="",0,1)</f>
        <v/>
      </c>
      <c r="H4715" s="29">
        <f>IF(F4715="","",INDEX(Deals!$E$2:$E$843,F4715))</f>
        <v/>
      </c>
      <c r="I4715">
        <f>IF(F4715="","",INDEX(Deals!$D$2:$D$843,F4715))</f>
        <v/>
      </c>
      <c r="J4715">
        <f>IF(F4715="","",INT(H4715)-B4715)</f>
        <v/>
      </c>
      <c r="K4715">
        <f>IF(B4715&gt;=Settings!$C$5,1,0)</f>
        <v/>
      </c>
    </row>
    <row r="4716">
      <c r="A4716" t="inlineStr">
        <is>
          <t>3c12c84af346626dc2f1b77e52bb301e</t>
        </is>
      </c>
      <c r="B4716" s="29" t="n">
        <v>42970</v>
      </c>
      <c r="C4716" t="inlineStr">
        <is>
          <t>2017-08</t>
        </is>
      </c>
      <c r="D4716" t="inlineStr">
        <is>
          <t>e492ee5eaf1697716985cc6f33f9cd9b</t>
        </is>
      </c>
      <c r="E4716" t="inlineStr">
        <is>
          <t>unknown</t>
        </is>
      </c>
      <c r="F4716">
        <f>IFERROR(MATCH(A4716,Deals!$A$2:$A$843,0),"")</f>
        <v/>
      </c>
      <c r="G4716">
        <f>IF(F4716="",0,1)</f>
        <v/>
      </c>
      <c r="H4716" s="29">
        <f>IF(F4716="","",INDEX(Deals!$E$2:$E$843,F4716))</f>
        <v/>
      </c>
      <c r="I4716">
        <f>IF(F4716="","",INDEX(Deals!$D$2:$D$843,F4716))</f>
        <v/>
      </c>
      <c r="J4716">
        <f>IF(F4716="","",INT(H4716)-B4716)</f>
        <v/>
      </c>
      <c r="K4716">
        <f>IF(B4716&gt;=Settings!$C$5,1,0)</f>
        <v/>
      </c>
    </row>
    <row r="4717">
      <c r="A4717" t="inlineStr">
        <is>
          <t>54f74e13fb751c8314219791024de62b</t>
        </is>
      </c>
      <c r="B4717" s="29" t="n">
        <v>43243</v>
      </c>
      <c r="C4717" t="inlineStr">
        <is>
          <t>2018-05</t>
        </is>
      </c>
      <c r="D4717" t="inlineStr">
        <is>
          <t>58326e62183c14b0c03085c33b9fdc44</t>
        </is>
      </c>
      <c r="E4717" t="inlineStr">
        <is>
          <t>social</t>
        </is>
      </c>
      <c r="F4717">
        <f>IFERROR(MATCH(A4717,Deals!$A$2:$A$843,0),"")</f>
        <v/>
      </c>
      <c r="G4717">
        <f>IF(F4717="",0,1)</f>
        <v/>
      </c>
      <c r="H4717" s="29">
        <f>IF(F4717="","",INDEX(Deals!$E$2:$E$843,F4717))</f>
        <v/>
      </c>
      <c r="I4717">
        <f>IF(F4717="","",INDEX(Deals!$D$2:$D$843,F4717))</f>
        <v/>
      </c>
      <c r="J4717">
        <f>IF(F4717="","",INT(H4717)-B4717)</f>
        <v/>
      </c>
      <c r="K4717">
        <f>IF(B4717&gt;=Settings!$C$5,1,0)</f>
        <v/>
      </c>
    </row>
    <row r="4718">
      <c r="A4718" t="inlineStr">
        <is>
          <t>fbd9a04c9613d31b12e072430c25ae90</t>
        </is>
      </c>
      <c r="B4718" s="29" t="n">
        <v>43111</v>
      </c>
      <c r="C4718" t="inlineStr">
        <is>
          <t>2018-01</t>
        </is>
      </c>
      <c r="D4718" t="inlineStr">
        <is>
          <t>e492ee5eaf1697716985cc6f33f9cd9b</t>
        </is>
      </c>
      <c r="E4718" t="inlineStr">
        <is>
          <t>email</t>
        </is>
      </c>
      <c r="F4718">
        <f>IFERROR(MATCH(A4718,Deals!$A$2:$A$843,0),"")</f>
        <v/>
      </c>
      <c r="G4718">
        <f>IF(F4718="",0,1)</f>
        <v/>
      </c>
      <c r="H4718" s="29">
        <f>IF(F4718="","",INDEX(Deals!$E$2:$E$843,F4718))</f>
        <v/>
      </c>
      <c r="I4718">
        <f>IF(F4718="","",INDEX(Deals!$D$2:$D$843,F4718))</f>
        <v/>
      </c>
      <c r="J4718">
        <f>IF(F4718="","",INT(H4718)-B4718)</f>
        <v/>
      </c>
      <c r="K4718">
        <f>IF(B4718&gt;=Settings!$C$5,1,0)</f>
        <v/>
      </c>
    </row>
    <row r="4719">
      <c r="A4719" t="inlineStr">
        <is>
          <t>1060d2312d7844e40b99153c4d1a45ad</t>
        </is>
      </c>
      <c r="B4719" s="29" t="n">
        <v>43122</v>
      </c>
      <c r="C4719" t="inlineStr">
        <is>
          <t>2018-01</t>
        </is>
      </c>
      <c r="D4719" t="inlineStr">
        <is>
          <t>b76ef37428e6799c421989521c0e5077</t>
        </is>
      </c>
      <c r="E4719" t="inlineStr">
        <is>
          <t>unknown</t>
        </is>
      </c>
      <c r="F4719">
        <f>IFERROR(MATCH(A4719,Deals!$A$2:$A$843,0),"")</f>
        <v/>
      </c>
      <c r="G4719">
        <f>IF(F4719="",0,1)</f>
        <v/>
      </c>
      <c r="H4719" s="29">
        <f>IF(F4719="","",INDEX(Deals!$E$2:$E$843,F4719))</f>
        <v/>
      </c>
      <c r="I4719">
        <f>IF(F4719="","",INDEX(Deals!$D$2:$D$843,F4719))</f>
        <v/>
      </c>
      <c r="J4719">
        <f>IF(F4719="","",INT(H4719)-B4719)</f>
        <v/>
      </c>
      <c r="K4719">
        <f>IF(B4719&gt;=Settings!$C$5,1,0)</f>
        <v/>
      </c>
    </row>
    <row r="4720">
      <c r="A4720" t="inlineStr">
        <is>
          <t>4ae5a92484155bfad3c7629a192244fe</t>
        </is>
      </c>
      <c r="B4720" s="29" t="n">
        <v>43241</v>
      </c>
      <c r="C4720" t="inlineStr">
        <is>
          <t>2018-05</t>
        </is>
      </c>
      <c r="D4720" t="inlineStr">
        <is>
          <t>40dec9f3d5259a3d2dbcdab2114fae47</t>
        </is>
      </c>
      <c r="E4720" t="inlineStr">
        <is>
          <t>paid_search</t>
        </is>
      </c>
      <c r="F4720">
        <f>IFERROR(MATCH(A4720,Deals!$A$2:$A$843,0),"")</f>
        <v/>
      </c>
      <c r="G4720">
        <f>IF(F4720="",0,1)</f>
        <v/>
      </c>
      <c r="H4720" s="29">
        <f>IF(F4720="","",INDEX(Deals!$E$2:$E$843,F4720))</f>
        <v/>
      </c>
      <c r="I4720">
        <f>IF(F4720="","",INDEX(Deals!$D$2:$D$843,F4720))</f>
        <v/>
      </c>
      <c r="J4720">
        <f>IF(F4720="","",INT(H4720)-B4720)</f>
        <v/>
      </c>
      <c r="K4720">
        <f>IF(B4720&gt;=Settings!$C$5,1,0)</f>
        <v/>
      </c>
    </row>
    <row r="4721">
      <c r="A4721" t="inlineStr">
        <is>
          <t>a458815a2e9f6c8099390b770a7be4e2</t>
        </is>
      </c>
      <c r="B4721" s="29" t="n">
        <v>43234</v>
      </c>
      <c r="C4721" t="inlineStr">
        <is>
          <t>2018-05</t>
        </is>
      </c>
      <c r="D4721" t="inlineStr">
        <is>
          <t>40dec9f3d5259a3d2dbcdab2114fae47</t>
        </is>
      </c>
      <c r="E4721" t="inlineStr">
        <is>
          <t>organic_search</t>
        </is>
      </c>
      <c r="F4721">
        <f>IFERROR(MATCH(A4721,Deals!$A$2:$A$843,0),"")</f>
        <v/>
      </c>
      <c r="G4721">
        <f>IF(F4721="",0,1)</f>
        <v/>
      </c>
      <c r="H4721" s="29">
        <f>IF(F4721="","",INDEX(Deals!$E$2:$E$843,F4721))</f>
        <v/>
      </c>
      <c r="I4721">
        <f>IF(F4721="","",INDEX(Deals!$D$2:$D$843,F4721))</f>
        <v/>
      </c>
      <c r="J4721">
        <f>IF(F4721="","",INT(H4721)-B4721)</f>
        <v/>
      </c>
      <c r="K4721">
        <f>IF(B4721&gt;=Settings!$C$5,1,0)</f>
        <v/>
      </c>
    </row>
    <row r="4722">
      <c r="A4722" t="inlineStr">
        <is>
          <t>beb790dc500304731e458a80a44d4299</t>
        </is>
      </c>
      <c r="B4722" s="29" t="n">
        <v>43185</v>
      </c>
      <c r="C4722" t="inlineStr">
        <is>
          <t>2018-03</t>
        </is>
      </c>
      <c r="D4722" t="inlineStr">
        <is>
          <t>aafc43d934a043b451b1dc5a61943a6b</t>
        </is>
      </c>
      <c r="E4722" t="inlineStr">
        <is>
          <t>direct_traffic</t>
        </is>
      </c>
      <c r="F4722">
        <f>IFERROR(MATCH(A4722,Deals!$A$2:$A$843,0),"")</f>
        <v/>
      </c>
      <c r="G4722">
        <f>IF(F4722="",0,1)</f>
        <v/>
      </c>
      <c r="H4722" s="29">
        <f>IF(F4722="","",INDEX(Deals!$E$2:$E$843,F4722))</f>
        <v/>
      </c>
      <c r="I4722">
        <f>IF(F4722="","",INDEX(Deals!$D$2:$D$843,F4722))</f>
        <v/>
      </c>
      <c r="J4722">
        <f>IF(F4722="","",INT(H4722)-B4722)</f>
        <v/>
      </c>
      <c r="K4722">
        <f>IF(B4722&gt;=Settings!$C$5,1,0)</f>
        <v/>
      </c>
    </row>
    <row r="4723">
      <c r="A4723" t="inlineStr">
        <is>
          <t>f2f28358656f049dba5140a578e0f1d3</t>
        </is>
      </c>
      <c r="B4723" s="29" t="n">
        <v>43224</v>
      </c>
      <c r="C4723" t="inlineStr">
        <is>
          <t>2018-05</t>
        </is>
      </c>
      <c r="D4723" t="inlineStr">
        <is>
          <t>386ab4223b463542f214d97a27247329</t>
        </is>
      </c>
      <c r="E4723" t="inlineStr">
        <is>
          <t>direct_traffic</t>
        </is>
      </c>
      <c r="F4723">
        <f>IFERROR(MATCH(A4723,Deals!$A$2:$A$843,0),"")</f>
        <v/>
      </c>
      <c r="G4723">
        <f>IF(F4723="",0,1)</f>
        <v/>
      </c>
      <c r="H4723" s="29">
        <f>IF(F4723="","",INDEX(Deals!$E$2:$E$843,F4723))</f>
        <v/>
      </c>
      <c r="I4723">
        <f>IF(F4723="","",INDEX(Deals!$D$2:$D$843,F4723))</f>
        <v/>
      </c>
      <c r="J4723">
        <f>IF(F4723="","",INT(H4723)-B4723)</f>
        <v/>
      </c>
      <c r="K4723">
        <f>IF(B4723&gt;=Settings!$C$5,1,0)</f>
        <v/>
      </c>
    </row>
    <row r="4724">
      <c r="A4724" t="inlineStr">
        <is>
          <t>02cf73a7e1fd4c345a7e759c951edd35</t>
        </is>
      </c>
      <c r="B4724" s="29" t="n">
        <v>43241</v>
      </c>
      <c r="C4724" t="inlineStr">
        <is>
          <t>2018-05</t>
        </is>
      </c>
      <c r="D4724" t="inlineStr">
        <is>
          <t>e492ee5eaf1697716985cc6f33f9cd9b</t>
        </is>
      </c>
      <c r="E4724" t="inlineStr">
        <is>
          <t>organic_search</t>
        </is>
      </c>
      <c r="F4724">
        <f>IFERROR(MATCH(A4724,Deals!$A$2:$A$843,0),"")</f>
        <v/>
      </c>
      <c r="G4724">
        <f>IF(F4724="",0,1)</f>
        <v/>
      </c>
      <c r="H4724" s="29">
        <f>IF(F4724="","",INDEX(Deals!$E$2:$E$843,F4724))</f>
        <v/>
      </c>
      <c r="I4724">
        <f>IF(F4724="","",INDEX(Deals!$D$2:$D$843,F4724))</f>
        <v/>
      </c>
      <c r="J4724">
        <f>IF(F4724="","",INT(H4724)-B4724)</f>
        <v/>
      </c>
      <c r="K4724">
        <f>IF(B4724&gt;=Settings!$C$5,1,0)</f>
        <v/>
      </c>
    </row>
    <row r="4725">
      <c r="A4725" t="inlineStr">
        <is>
          <t>5bb359283f79a2e477eefe535fedc9dc</t>
        </is>
      </c>
      <c r="B4725" s="29" t="n">
        <v>43012</v>
      </c>
      <c r="C4725" t="inlineStr">
        <is>
          <t>2017-10</t>
        </is>
      </c>
      <c r="D4725" t="inlineStr">
        <is>
          <t>007f9098284a86ee80ddeb25d53e0af8</t>
        </is>
      </c>
      <c r="E4725" t="inlineStr">
        <is>
          <t>paid_search</t>
        </is>
      </c>
      <c r="F4725">
        <f>IFERROR(MATCH(A4725,Deals!$A$2:$A$843,0),"")</f>
        <v/>
      </c>
      <c r="G4725">
        <f>IF(F4725="",0,1)</f>
        <v/>
      </c>
      <c r="H4725" s="29">
        <f>IF(F4725="","",INDEX(Deals!$E$2:$E$843,F4725))</f>
        <v/>
      </c>
      <c r="I4725">
        <f>IF(F4725="","",INDEX(Deals!$D$2:$D$843,F4725))</f>
        <v/>
      </c>
      <c r="J4725">
        <f>IF(F4725="","",INT(H4725)-B4725)</f>
        <v/>
      </c>
      <c r="K4725">
        <f>IF(B4725&gt;=Settings!$C$5,1,0)</f>
        <v/>
      </c>
    </row>
    <row r="4726">
      <c r="A4726" t="inlineStr">
        <is>
          <t>44c7d2e7b23eee739f61b49c659a25f5</t>
        </is>
      </c>
      <c r="B4726" s="29" t="n">
        <v>42984</v>
      </c>
      <c r="C4726" t="inlineStr">
        <is>
          <t>2017-09</t>
        </is>
      </c>
      <c r="D4726" t="inlineStr">
        <is>
          <t>b6885f18d203a61176418c1fb3764815</t>
        </is>
      </c>
      <c r="E4726" t="inlineStr">
        <is>
          <t>paid_search</t>
        </is>
      </c>
      <c r="F4726">
        <f>IFERROR(MATCH(A4726,Deals!$A$2:$A$843,0),"")</f>
        <v/>
      </c>
      <c r="G4726">
        <f>IF(F4726="",0,1)</f>
        <v/>
      </c>
      <c r="H4726" s="29">
        <f>IF(F4726="","",INDEX(Deals!$E$2:$E$843,F4726))</f>
        <v/>
      </c>
      <c r="I4726">
        <f>IF(F4726="","",INDEX(Deals!$D$2:$D$843,F4726))</f>
        <v/>
      </c>
      <c r="J4726">
        <f>IF(F4726="","",INT(H4726)-B4726)</f>
        <v/>
      </c>
      <c r="K4726">
        <f>IF(B4726&gt;=Settings!$C$5,1,0)</f>
        <v/>
      </c>
    </row>
    <row r="4727">
      <c r="A4727" t="inlineStr">
        <is>
          <t>0dee07203418a72583e5dd79d66965ed</t>
        </is>
      </c>
      <c r="B4727" s="29" t="n">
        <v>43105</v>
      </c>
      <c r="C4727" t="inlineStr">
        <is>
          <t>2018-01</t>
        </is>
      </c>
      <c r="D4727" t="inlineStr">
        <is>
          <t>73f31a40697cc90a86c1273563ac230e</t>
        </is>
      </c>
      <c r="E4727" t="inlineStr">
        <is>
          <t>organic_search</t>
        </is>
      </c>
      <c r="F4727">
        <f>IFERROR(MATCH(A4727,Deals!$A$2:$A$843,0),"")</f>
        <v/>
      </c>
      <c r="G4727">
        <f>IF(F4727="",0,1)</f>
        <v/>
      </c>
      <c r="H4727" s="29">
        <f>IF(F4727="","",INDEX(Deals!$E$2:$E$843,F4727))</f>
        <v/>
      </c>
      <c r="I4727">
        <f>IF(F4727="","",INDEX(Deals!$D$2:$D$843,F4727))</f>
        <v/>
      </c>
      <c r="J4727">
        <f>IF(F4727="","",INT(H4727)-B4727)</f>
        <v/>
      </c>
      <c r="K4727">
        <f>IF(B4727&gt;=Settings!$C$5,1,0)</f>
        <v/>
      </c>
    </row>
    <row r="4728">
      <c r="A4728" t="inlineStr">
        <is>
          <t>7a1f2dc249381d68bc29e8e2f60c04de</t>
        </is>
      </c>
      <c r="B4728" s="29" t="n">
        <v>43117</v>
      </c>
      <c r="C4728" t="inlineStr">
        <is>
          <t>2018-01</t>
        </is>
      </c>
      <c r="D4728" t="inlineStr">
        <is>
          <t>88740e65d5d6b056e0cda098e1ea6313</t>
        </is>
      </c>
      <c r="E4728" t="inlineStr">
        <is>
          <t>social</t>
        </is>
      </c>
      <c r="F4728">
        <f>IFERROR(MATCH(A4728,Deals!$A$2:$A$843,0),"")</f>
        <v/>
      </c>
      <c r="G4728">
        <f>IF(F4728="",0,1)</f>
        <v/>
      </c>
      <c r="H4728" s="29">
        <f>IF(F4728="","",INDEX(Deals!$E$2:$E$843,F4728))</f>
        <v/>
      </c>
      <c r="I4728">
        <f>IF(F4728="","",INDEX(Deals!$D$2:$D$843,F4728))</f>
        <v/>
      </c>
      <c r="J4728">
        <f>IF(F4728="","",INT(H4728)-B4728)</f>
        <v/>
      </c>
      <c r="K4728">
        <f>IF(B4728&gt;=Settings!$C$5,1,0)</f>
        <v/>
      </c>
    </row>
    <row r="4729">
      <c r="A4729" t="inlineStr">
        <is>
          <t>30bb20e13b018817fd47172ff321c685</t>
        </is>
      </c>
      <c r="B4729" s="29" t="n">
        <v>43165</v>
      </c>
      <c r="C4729" t="inlineStr">
        <is>
          <t>2018-03</t>
        </is>
      </c>
      <c r="D4729" t="inlineStr">
        <is>
          <t>36120633c8737035fbabf079082f4ec1</t>
        </is>
      </c>
      <c r="E4729" t="inlineStr">
        <is>
          <t>organic_search</t>
        </is>
      </c>
      <c r="F4729">
        <f>IFERROR(MATCH(A4729,Deals!$A$2:$A$843,0),"")</f>
        <v/>
      </c>
      <c r="G4729">
        <f>IF(F4729="",0,1)</f>
        <v/>
      </c>
      <c r="H4729" s="29">
        <f>IF(F4729="","",INDEX(Deals!$E$2:$E$843,F4729))</f>
        <v/>
      </c>
      <c r="I4729">
        <f>IF(F4729="","",INDEX(Deals!$D$2:$D$843,F4729))</f>
        <v/>
      </c>
      <c r="J4729">
        <f>IF(F4729="","",INT(H4729)-B4729)</f>
        <v/>
      </c>
      <c r="K4729">
        <f>IF(B4729&gt;=Settings!$C$5,1,0)</f>
        <v/>
      </c>
    </row>
    <row r="4730">
      <c r="A4730" t="inlineStr">
        <is>
          <t>8a0d997c88054bf6ac6646d9b3c0a020</t>
        </is>
      </c>
      <c r="B4730" s="29" t="n">
        <v>43206</v>
      </c>
      <c r="C4730" t="inlineStr">
        <is>
          <t>2018-04</t>
        </is>
      </c>
      <c r="D4730" t="inlineStr">
        <is>
          <t>21a104c3279681d9856b8a48723c4fee</t>
        </is>
      </c>
      <c r="E4730" t="inlineStr">
        <is>
          <t>organic_search</t>
        </is>
      </c>
      <c r="F4730">
        <f>IFERROR(MATCH(A4730,Deals!$A$2:$A$843,0),"")</f>
        <v/>
      </c>
      <c r="G4730">
        <f>IF(F4730="",0,1)</f>
        <v/>
      </c>
      <c r="H4730" s="29">
        <f>IF(F4730="","",INDEX(Deals!$E$2:$E$843,F4730))</f>
        <v/>
      </c>
      <c r="I4730">
        <f>IF(F4730="","",INDEX(Deals!$D$2:$D$843,F4730))</f>
        <v/>
      </c>
      <c r="J4730">
        <f>IF(F4730="","",INT(H4730)-B4730)</f>
        <v/>
      </c>
      <c r="K4730">
        <f>IF(B4730&gt;=Settings!$C$5,1,0)</f>
        <v/>
      </c>
    </row>
    <row r="4731">
      <c r="A4731" t="inlineStr">
        <is>
          <t>e0e98d22f87057af6cf8eaed65f1ea55</t>
        </is>
      </c>
      <c r="B4731" s="29" t="n">
        <v>43206</v>
      </c>
      <c r="C4731" t="inlineStr">
        <is>
          <t>2018-04</t>
        </is>
      </c>
      <c r="D4731" t="inlineStr">
        <is>
          <t>58326e62183c14b0c03085c33b9fdc44</t>
        </is>
      </c>
      <c r="E4731" t="inlineStr">
        <is>
          <t>social</t>
        </is>
      </c>
      <c r="F4731">
        <f>IFERROR(MATCH(A4731,Deals!$A$2:$A$843,0),"")</f>
        <v/>
      </c>
      <c r="G4731">
        <f>IF(F4731="",0,1)</f>
        <v/>
      </c>
      <c r="H4731" s="29">
        <f>IF(F4731="","",INDEX(Deals!$E$2:$E$843,F4731))</f>
        <v/>
      </c>
      <c r="I4731">
        <f>IF(F4731="","",INDEX(Deals!$D$2:$D$843,F4731))</f>
        <v/>
      </c>
      <c r="J4731">
        <f>IF(F4731="","",INT(H4731)-B4731)</f>
        <v/>
      </c>
      <c r="K4731">
        <f>IF(B4731&gt;=Settings!$C$5,1,0)</f>
        <v/>
      </c>
    </row>
    <row r="4732">
      <c r="A4732" t="inlineStr">
        <is>
          <t>f0508452fedcf6e35a39ff5dc1b3e218</t>
        </is>
      </c>
      <c r="B4732" s="29" t="n">
        <v>43124</v>
      </c>
      <c r="C4732" t="inlineStr">
        <is>
          <t>2018-01</t>
        </is>
      </c>
      <c r="D4732" t="inlineStr">
        <is>
          <t>88740e65d5d6b056e0cda098e1ea6313</t>
        </is>
      </c>
      <c r="E4732" t="inlineStr">
        <is>
          <t>display</t>
        </is>
      </c>
      <c r="F4732">
        <f>IFERROR(MATCH(A4732,Deals!$A$2:$A$843,0),"")</f>
        <v/>
      </c>
      <c r="G4732">
        <f>IF(F4732="",0,1)</f>
        <v/>
      </c>
      <c r="H4732" s="29">
        <f>IF(F4732="","",INDEX(Deals!$E$2:$E$843,F4732))</f>
        <v/>
      </c>
      <c r="I4732">
        <f>IF(F4732="","",INDEX(Deals!$D$2:$D$843,F4732))</f>
        <v/>
      </c>
      <c r="J4732">
        <f>IF(F4732="","",INT(H4732)-B4732)</f>
        <v/>
      </c>
      <c r="K4732">
        <f>IF(B4732&gt;=Settings!$C$5,1,0)</f>
        <v/>
      </c>
    </row>
    <row r="4733">
      <c r="A4733" t="inlineStr">
        <is>
          <t>38d5c9e6ea8ead1ba673e0212e1ee2fb</t>
        </is>
      </c>
      <c r="B4733" s="29" t="n">
        <v>43061</v>
      </c>
      <c r="C4733" t="inlineStr">
        <is>
          <t>2017-11</t>
        </is>
      </c>
      <c r="D4733" t="inlineStr">
        <is>
          <t>e492ee5eaf1697716985cc6f33f9cd9b</t>
        </is>
      </c>
      <c r="E4733" t="inlineStr">
        <is>
          <t>display</t>
        </is>
      </c>
      <c r="F4733">
        <f>IFERROR(MATCH(A4733,Deals!$A$2:$A$843,0),"")</f>
        <v/>
      </c>
      <c r="G4733">
        <f>IF(F4733="",0,1)</f>
        <v/>
      </c>
      <c r="H4733" s="29">
        <f>IF(F4733="","",INDEX(Deals!$E$2:$E$843,F4733))</f>
        <v/>
      </c>
      <c r="I4733">
        <f>IF(F4733="","",INDEX(Deals!$D$2:$D$843,F4733))</f>
        <v/>
      </c>
      <c r="J4733">
        <f>IF(F4733="","",INT(H4733)-B4733)</f>
        <v/>
      </c>
      <c r="K4733">
        <f>IF(B4733&gt;=Settings!$C$5,1,0)</f>
        <v/>
      </c>
    </row>
    <row r="4734">
      <c r="A4734" t="inlineStr">
        <is>
          <t>eee683c03a8c960e1309ce1cb5523a1e</t>
        </is>
      </c>
      <c r="B4734" s="29" t="n">
        <v>43182</v>
      </c>
      <c r="C4734" t="inlineStr">
        <is>
          <t>2018-03</t>
        </is>
      </c>
      <c r="D4734" t="inlineStr">
        <is>
          <t>22c29808c4f815213303f8933030604c</t>
        </is>
      </c>
      <c r="E4734" t="inlineStr">
        <is>
          <t>organic_search</t>
        </is>
      </c>
      <c r="F4734">
        <f>IFERROR(MATCH(A4734,Deals!$A$2:$A$843,0),"")</f>
        <v/>
      </c>
      <c r="G4734">
        <f>IF(F4734="",0,1)</f>
        <v/>
      </c>
      <c r="H4734" s="29">
        <f>IF(F4734="","",INDEX(Deals!$E$2:$E$843,F4734))</f>
        <v/>
      </c>
      <c r="I4734">
        <f>IF(F4734="","",INDEX(Deals!$D$2:$D$843,F4734))</f>
        <v/>
      </c>
      <c r="J4734">
        <f>IF(F4734="","",INT(H4734)-B4734)</f>
        <v/>
      </c>
      <c r="K4734">
        <f>IF(B4734&gt;=Settings!$C$5,1,0)</f>
        <v/>
      </c>
    </row>
    <row r="4735">
      <c r="A4735" t="inlineStr">
        <is>
          <t>670f33f3cfb5217bcf008786165f1dc7</t>
        </is>
      </c>
      <c r="B4735" s="29" t="n">
        <v>43015</v>
      </c>
      <c r="C4735" t="inlineStr">
        <is>
          <t>2017-10</t>
        </is>
      </c>
      <c r="D4735" t="inlineStr">
        <is>
          <t>88740e65d5d6b056e0cda098e1ea6313</t>
        </is>
      </c>
      <c r="E4735" t="inlineStr">
        <is>
          <t>social</t>
        </is>
      </c>
      <c r="F4735">
        <f>IFERROR(MATCH(A4735,Deals!$A$2:$A$843,0),"")</f>
        <v/>
      </c>
      <c r="G4735">
        <f>IF(F4735="",0,1)</f>
        <v/>
      </c>
      <c r="H4735" s="29">
        <f>IF(F4735="","",INDEX(Deals!$E$2:$E$843,F4735))</f>
        <v/>
      </c>
      <c r="I4735">
        <f>IF(F4735="","",INDEX(Deals!$D$2:$D$843,F4735))</f>
        <v/>
      </c>
      <c r="J4735">
        <f>IF(F4735="","",INT(H4735)-B4735)</f>
        <v/>
      </c>
      <c r="K4735">
        <f>IF(B4735&gt;=Settings!$C$5,1,0)</f>
        <v/>
      </c>
    </row>
    <row r="4736">
      <c r="A4736" t="inlineStr">
        <is>
          <t>6f85adccb998c7a7840b3548fe19ffda</t>
        </is>
      </c>
      <c r="B4736" s="29" t="n">
        <v>43004</v>
      </c>
      <c r="C4736" t="inlineStr">
        <is>
          <t>2017-09</t>
        </is>
      </c>
      <c r="D4736" t="inlineStr">
        <is>
          <t>82ce7345d29d3003d376f9382fc0eba0</t>
        </is>
      </c>
      <c r="E4736" t="inlineStr">
        <is>
          <t>unknown</t>
        </is>
      </c>
      <c r="F4736">
        <f>IFERROR(MATCH(A4736,Deals!$A$2:$A$843,0),"")</f>
        <v/>
      </c>
      <c r="G4736">
        <f>IF(F4736="",0,1)</f>
        <v/>
      </c>
      <c r="H4736" s="29">
        <f>IF(F4736="","",INDEX(Deals!$E$2:$E$843,F4736))</f>
        <v/>
      </c>
      <c r="I4736">
        <f>IF(F4736="","",INDEX(Deals!$D$2:$D$843,F4736))</f>
        <v/>
      </c>
      <c r="J4736">
        <f>IF(F4736="","",INT(H4736)-B4736)</f>
        <v/>
      </c>
      <c r="K4736">
        <f>IF(B4736&gt;=Settings!$C$5,1,0)</f>
        <v/>
      </c>
    </row>
    <row r="4737">
      <c r="A4737" t="inlineStr">
        <is>
          <t>1ed9b5733d23ac86bef5bcda662c56b6</t>
        </is>
      </c>
      <c r="B4737" s="29" t="n">
        <v>43249</v>
      </c>
      <c r="C4737" t="inlineStr">
        <is>
          <t>2018-05</t>
        </is>
      </c>
      <c r="D4737" t="inlineStr">
        <is>
          <t>22c29808c4f815213303f8933030604c</t>
        </is>
      </c>
      <c r="E4737" t="inlineStr">
        <is>
          <t>referral</t>
        </is>
      </c>
      <c r="F4737">
        <f>IFERROR(MATCH(A4737,Deals!$A$2:$A$843,0),"")</f>
        <v/>
      </c>
      <c r="G4737">
        <f>IF(F4737="",0,1)</f>
        <v/>
      </c>
      <c r="H4737" s="29">
        <f>IF(F4737="","",INDEX(Deals!$E$2:$E$843,F4737))</f>
        <v/>
      </c>
      <c r="I4737">
        <f>IF(F4737="","",INDEX(Deals!$D$2:$D$843,F4737))</f>
        <v/>
      </c>
      <c r="J4737">
        <f>IF(F4737="","",INT(H4737)-B4737)</f>
        <v/>
      </c>
      <c r="K4737">
        <f>IF(B4737&gt;=Settings!$C$5,1,0)</f>
        <v/>
      </c>
    </row>
    <row r="4738">
      <c r="A4738" t="inlineStr">
        <is>
          <t>b0b75c3f654f444cd535f16487223151</t>
        </is>
      </c>
      <c r="B4738" s="29" t="n">
        <v>43225</v>
      </c>
      <c r="C4738" t="inlineStr">
        <is>
          <t>2018-05</t>
        </is>
      </c>
      <c r="D4738" t="inlineStr">
        <is>
          <t>36120633c8737035fbabf079082f4ec1</t>
        </is>
      </c>
      <c r="E4738" t="inlineStr">
        <is>
          <t>direct_traffic</t>
        </is>
      </c>
      <c r="F4738">
        <f>IFERROR(MATCH(A4738,Deals!$A$2:$A$843,0),"")</f>
        <v/>
      </c>
      <c r="G4738">
        <f>IF(F4738="",0,1)</f>
        <v/>
      </c>
      <c r="H4738" s="29">
        <f>IF(F4738="","",INDEX(Deals!$E$2:$E$843,F4738))</f>
        <v/>
      </c>
      <c r="I4738">
        <f>IF(F4738="","",INDEX(Deals!$D$2:$D$843,F4738))</f>
        <v/>
      </c>
      <c r="J4738">
        <f>IF(F4738="","",INT(H4738)-B4738)</f>
        <v/>
      </c>
      <c r="K4738">
        <f>IF(B4738&gt;=Settings!$C$5,1,0)</f>
        <v/>
      </c>
    </row>
    <row r="4739">
      <c r="A4739" t="inlineStr">
        <is>
          <t>a81fd14f84d7df07fbc3c49bcd9e705f</t>
        </is>
      </c>
      <c r="B4739" s="29" t="n">
        <v>43217</v>
      </c>
      <c r="C4739" t="inlineStr">
        <is>
          <t>2018-04</t>
        </is>
      </c>
      <c r="D4739" t="inlineStr">
        <is>
          <t>f80696b73d17fb34f5c4fde157f119d8</t>
        </is>
      </c>
      <c r="E4739" t="inlineStr">
        <is>
          <t>organic_search</t>
        </is>
      </c>
      <c r="F4739">
        <f>IFERROR(MATCH(A4739,Deals!$A$2:$A$843,0),"")</f>
        <v/>
      </c>
      <c r="G4739">
        <f>IF(F4739="",0,1)</f>
        <v/>
      </c>
      <c r="H4739" s="29">
        <f>IF(F4739="","",INDEX(Deals!$E$2:$E$843,F4739))</f>
        <v/>
      </c>
      <c r="I4739">
        <f>IF(F4739="","",INDEX(Deals!$D$2:$D$843,F4739))</f>
        <v/>
      </c>
      <c r="J4739">
        <f>IF(F4739="","",INT(H4739)-B4739)</f>
        <v/>
      </c>
      <c r="K4739">
        <f>IF(B4739&gt;=Settings!$C$5,1,0)</f>
        <v/>
      </c>
    </row>
    <row r="4740">
      <c r="A4740" t="inlineStr">
        <is>
          <t>223b8a4bd884f01d8f1f94a8b0b1f97b</t>
        </is>
      </c>
      <c r="B4740" s="29" t="n">
        <v>42993</v>
      </c>
      <c r="C4740" t="inlineStr">
        <is>
          <t>2017-09</t>
        </is>
      </c>
      <c r="D4740" t="inlineStr">
        <is>
          <t>c79bafc4a099ff23e3bab1534797fb45</t>
        </is>
      </c>
      <c r="E4740" t="inlineStr">
        <is>
          <t>paid_search</t>
        </is>
      </c>
      <c r="F4740">
        <f>IFERROR(MATCH(A4740,Deals!$A$2:$A$843,0),"")</f>
        <v/>
      </c>
      <c r="G4740">
        <f>IF(F4740="",0,1)</f>
        <v/>
      </c>
      <c r="H4740" s="29">
        <f>IF(F4740="","",INDEX(Deals!$E$2:$E$843,F4740))</f>
        <v/>
      </c>
      <c r="I4740">
        <f>IF(F4740="","",INDEX(Deals!$D$2:$D$843,F4740))</f>
        <v/>
      </c>
      <c r="J4740">
        <f>IF(F4740="","",INT(H4740)-B4740)</f>
        <v/>
      </c>
      <c r="K4740">
        <f>IF(B4740&gt;=Settings!$C$5,1,0)</f>
        <v/>
      </c>
    </row>
    <row r="4741">
      <c r="A4741" t="inlineStr">
        <is>
          <t>bcf08b7e8f1f95a0ba5a8cd87a6c67d6</t>
        </is>
      </c>
      <c r="B4741" s="29" t="n">
        <v>43155</v>
      </c>
      <c r="C4741" t="inlineStr">
        <is>
          <t>2018-02</t>
        </is>
      </c>
      <c r="D4741" t="inlineStr">
        <is>
          <t>88740e65d5d6b056e0cda098e1ea6313</t>
        </is>
      </c>
      <c r="E4741" t="inlineStr">
        <is>
          <t>social</t>
        </is>
      </c>
      <c r="F4741">
        <f>IFERROR(MATCH(A4741,Deals!$A$2:$A$843,0),"")</f>
        <v/>
      </c>
      <c r="G4741">
        <f>IF(F4741="",0,1)</f>
        <v/>
      </c>
      <c r="H4741" s="29">
        <f>IF(F4741="","",INDEX(Deals!$E$2:$E$843,F4741))</f>
        <v/>
      </c>
      <c r="I4741">
        <f>IF(F4741="","",INDEX(Deals!$D$2:$D$843,F4741))</f>
        <v/>
      </c>
      <c r="J4741">
        <f>IF(F4741="","",INT(H4741)-B4741)</f>
        <v/>
      </c>
      <c r="K4741">
        <f>IF(B4741&gt;=Settings!$C$5,1,0)</f>
        <v/>
      </c>
    </row>
    <row r="4742">
      <c r="A4742" t="inlineStr">
        <is>
          <t>a4fe3e4de8ad631acb028b271b1fc271</t>
        </is>
      </c>
      <c r="B4742" s="29" t="n">
        <v>43227</v>
      </c>
      <c r="C4742" t="inlineStr">
        <is>
          <t>2018-05</t>
        </is>
      </c>
      <c r="D4742" t="inlineStr">
        <is>
          <t>58326e62183c14b0c03085c33b9fdc44</t>
        </is>
      </c>
      <c r="E4742" t="inlineStr">
        <is>
          <t>social</t>
        </is>
      </c>
      <c r="F4742">
        <f>IFERROR(MATCH(A4742,Deals!$A$2:$A$843,0),"")</f>
        <v/>
      </c>
      <c r="G4742">
        <f>IF(F4742="",0,1)</f>
        <v/>
      </c>
      <c r="H4742" s="29">
        <f>IF(F4742="","",INDEX(Deals!$E$2:$E$843,F4742))</f>
        <v/>
      </c>
      <c r="I4742">
        <f>IF(F4742="","",INDEX(Deals!$D$2:$D$843,F4742))</f>
        <v/>
      </c>
      <c r="J4742">
        <f>IF(F4742="","",INT(H4742)-B4742)</f>
        <v/>
      </c>
      <c r="K4742">
        <f>IF(B4742&gt;=Settings!$C$5,1,0)</f>
        <v/>
      </c>
    </row>
    <row r="4743">
      <c r="A4743" t="inlineStr">
        <is>
          <t>c56202b66d431a16fbc0260c3d2bd1f6</t>
        </is>
      </c>
      <c r="B4743" s="29" t="n">
        <v>43248</v>
      </c>
      <c r="C4743" t="inlineStr">
        <is>
          <t>2018-05</t>
        </is>
      </c>
      <c r="D4743" t="inlineStr">
        <is>
          <t>40dec9f3d5259a3d2dbcdab2114fae47</t>
        </is>
      </c>
      <c r="E4743" t="inlineStr">
        <is>
          <t>paid_search</t>
        </is>
      </c>
      <c r="F4743">
        <f>IFERROR(MATCH(A4743,Deals!$A$2:$A$843,0),"")</f>
        <v/>
      </c>
      <c r="G4743">
        <f>IF(F4743="",0,1)</f>
        <v/>
      </c>
      <c r="H4743" s="29">
        <f>IF(F4743="","",INDEX(Deals!$E$2:$E$843,F4743))</f>
        <v/>
      </c>
      <c r="I4743">
        <f>IF(F4743="","",INDEX(Deals!$D$2:$D$843,F4743))</f>
        <v/>
      </c>
      <c r="J4743">
        <f>IF(F4743="","",INT(H4743)-B4743)</f>
        <v/>
      </c>
      <c r="K4743">
        <f>IF(B4743&gt;=Settings!$C$5,1,0)</f>
        <v/>
      </c>
    </row>
    <row r="4744">
      <c r="A4744" t="inlineStr">
        <is>
          <t>917652aa518c7e4f75a9f41bbf03909e</t>
        </is>
      </c>
      <c r="B4744" s="29" t="n">
        <v>43156</v>
      </c>
      <c r="C4744" t="inlineStr">
        <is>
          <t>2018-02</t>
        </is>
      </c>
      <c r="D4744" t="inlineStr">
        <is>
          <t>a7982125ff7aa3b2054c6e44f9d28522</t>
        </is>
      </c>
      <c r="E4744" t="inlineStr">
        <is>
          <t>display</t>
        </is>
      </c>
      <c r="F4744">
        <f>IFERROR(MATCH(A4744,Deals!$A$2:$A$843,0),"")</f>
        <v/>
      </c>
      <c r="G4744">
        <f>IF(F4744="",0,1)</f>
        <v/>
      </c>
      <c r="H4744" s="29">
        <f>IF(F4744="","",INDEX(Deals!$E$2:$E$843,F4744))</f>
        <v/>
      </c>
      <c r="I4744">
        <f>IF(F4744="","",INDEX(Deals!$D$2:$D$843,F4744))</f>
        <v/>
      </c>
      <c r="J4744">
        <f>IF(F4744="","",INT(H4744)-B4744)</f>
        <v/>
      </c>
      <c r="K4744">
        <f>IF(B4744&gt;=Settings!$C$5,1,0)</f>
        <v/>
      </c>
    </row>
    <row r="4745">
      <c r="A4745" t="inlineStr">
        <is>
          <t>d1f60334a2e88e320f513b8d40d1b84e</t>
        </is>
      </c>
      <c r="B4745" s="29" t="n">
        <v>43191</v>
      </c>
      <c r="C4745" t="inlineStr">
        <is>
          <t>2018-04</t>
        </is>
      </c>
      <c r="D4745" t="inlineStr">
        <is>
          <t>f017be4dbf86243af5c1ebed0cff36a2</t>
        </is>
      </c>
      <c r="E4745" t="inlineStr">
        <is>
          <t>social</t>
        </is>
      </c>
      <c r="F4745">
        <f>IFERROR(MATCH(A4745,Deals!$A$2:$A$843,0),"")</f>
        <v/>
      </c>
      <c r="G4745">
        <f>IF(F4745="",0,1)</f>
        <v/>
      </c>
      <c r="H4745" s="29">
        <f>IF(F4745="","",INDEX(Deals!$E$2:$E$843,F4745))</f>
        <v/>
      </c>
      <c r="I4745">
        <f>IF(F4745="","",INDEX(Deals!$D$2:$D$843,F4745))</f>
        <v/>
      </c>
      <c r="J4745">
        <f>IF(F4745="","",INT(H4745)-B4745)</f>
        <v/>
      </c>
      <c r="K4745">
        <f>IF(B4745&gt;=Settings!$C$5,1,0)</f>
        <v/>
      </c>
    </row>
    <row r="4746">
      <c r="A4746" t="inlineStr">
        <is>
          <t>42ca5f08354583dcb39aa9ff31efa85b</t>
        </is>
      </c>
      <c r="B4746" s="29" t="n">
        <v>42965</v>
      </c>
      <c r="C4746" t="inlineStr">
        <is>
          <t>2017-08</t>
        </is>
      </c>
      <c r="D4746" t="inlineStr">
        <is>
          <t>22c29808c4f815213303f8933030604c</t>
        </is>
      </c>
      <c r="E4746" t="inlineStr">
        <is>
          <t>paid_search</t>
        </is>
      </c>
      <c r="F4746">
        <f>IFERROR(MATCH(A4746,Deals!$A$2:$A$843,0),"")</f>
        <v/>
      </c>
      <c r="G4746">
        <f>IF(F4746="",0,1)</f>
        <v/>
      </c>
      <c r="H4746" s="29">
        <f>IF(F4746="","",INDEX(Deals!$E$2:$E$843,F4746))</f>
        <v/>
      </c>
      <c r="I4746">
        <f>IF(F4746="","",INDEX(Deals!$D$2:$D$843,F4746))</f>
        <v/>
      </c>
      <c r="J4746">
        <f>IF(F4746="","",INT(H4746)-B4746)</f>
        <v/>
      </c>
      <c r="K4746">
        <f>IF(B4746&gt;=Settings!$C$5,1,0)</f>
        <v/>
      </c>
    </row>
    <row r="4747">
      <c r="A4747" t="inlineStr">
        <is>
          <t>dbf60138c911308b0c99510ba80c36cc</t>
        </is>
      </c>
      <c r="B4747" s="29" t="n">
        <v>43231</v>
      </c>
      <c r="C4747" t="inlineStr">
        <is>
          <t>2018-05</t>
        </is>
      </c>
      <c r="D4747" t="inlineStr">
        <is>
          <t>58326e62183c14b0c03085c33b9fdc44</t>
        </is>
      </c>
      <c r="E4747" t="inlineStr">
        <is>
          <t>social</t>
        </is>
      </c>
      <c r="F4747">
        <f>IFERROR(MATCH(A4747,Deals!$A$2:$A$843,0),"")</f>
        <v/>
      </c>
      <c r="G4747">
        <f>IF(F4747="",0,1)</f>
        <v/>
      </c>
      <c r="H4747" s="29">
        <f>IF(F4747="","",INDEX(Deals!$E$2:$E$843,F4747))</f>
        <v/>
      </c>
      <c r="I4747">
        <f>IF(F4747="","",INDEX(Deals!$D$2:$D$843,F4747))</f>
        <v/>
      </c>
      <c r="J4747">
        <f>IF(F4747="","",INT(H4747)-B4747)</f>
        <v/>
      </c>
      <c r="K4747">
        <f>IF(B4747&gt;=Settings!$C$5,1,0)</f>
        <v/>
      </c>
    </row>
    <row r="4748">
      <c r="A4748" t="inlineStr">
        <is>
          <t>a24f9fefe9f752e7aa0351371d1f6e18</t>
        </is>
      </c>
      <c r="B4748" s="29" t="n">
        <v>43246</v>
      </c>
      <c r="C4748" t="inlineStr">
        <is>
          <t>2018-05</t>
        </is>
      </c>
      <c r="D4748" t="inlineStr">
        <is>
          <t>58326e62183c14b0c03085c33b9fdc44</t>
        </is>
      </c>
      <c r="E4748" t="inlineStr">
        <is>
          <t>social</t>
        </is>
      </c>
      <c r="F4748">
        <f>IFERROR(MATCH(A4748,Deals!$A$2:$A$843,0),"")</f>
        <v/>
      </c>
      <c r="G4748">
        <f>IF(F4748="",0,1)</f>
        <v/>
      </c>
      <c r="H4748" s="29">
        <f>IF(F4748="","",INDEX(Deals!$E$2:$E$843,F4748))</f>
        <v/>
      </c>
      <c r="I4748">
        <f>IF(F4748="","",INDEX(Deals!$D$2:$D$843,F4748))</f>
        <v/>
      </c>
      <c r="J4748">
        <f>IF(F4748="","",INT(H4748)-B4748)</f>
        <v/>
      </c>
      <c r="K4748">
        <f>IF(B4748&gt;=Settings!$C$5,1,0)</f>
        <v/>
      </c>
    </row>
    <row r="4749">
      <c r="A4749" t="inlineStr">
        <is>
          <t>803523d233c42a1fc11cc41033a7b76f</t>
        </is>
      </c>
      <c r="B4749" s="29" t="n">
        <v>42994</v>
      </c>
      <c r="C4749" t="inlineStr">
        <is>
          <t>2017-09</t>
        </is>
      </c>
      <c r="D4749" t="inlineStr">
        <is>
          <t>c555aa36478386fdf85a2d0ca5cd0ff8</t>
        </is>
      </c>
      <c r="E4749" t="inlineStr">
        <is>
          <t>unknown</t>
        </is>
      </c>
      <c r="F4749">
        <f>IFERROR(MATCH(A4749,Deals!$A$2:$A$843,0),"")</f>
        <v/>
      </c>
      <c r="G4749">
        <f>IF(F4749="",0,1)</f>
        <v/>
      </c>
      <c r="H4749" s="29">
        <f>IF(F4749="","",INDEX(Deals!$E$2:$E$843,F4749))</f>
        <v/>
      </c>
      <c r="I4749">
        <f>IF(F4749="","",INDEX(Deals!$D$2:$D$843,F4749))</f>
        <v/>
      </c>
      <c r="J4749">
        <f>IF(F4749="","",INT(H4749)-B4749)</f>
        <v/>
      </c>
      <c r="K4749">
        <f>IF(B4749&gt;=Settings!$C$5,1,0)</f>
        <v/>
      </c>
    </row>
    <row r="4750">
      <c r="A4750" t="inlineStr">
        <is>
          <t>48f80b634fc8d3d9ec00cb9f04956a6d</t>
        </is>
      </c>
      <c r="B4750" s="29" t="n">
        <v>43208</v>
      </c>
      <c r="C4750" t="inlineStr">
        <is>
          <t>2018-04</t>
        </is>
      </c>
      <c r="D4750" t="inlineStr">
        <is>
          <t>0b9430edcbf2d9a95148c806af2b6699</t>
        </is>
      </c>
      <c r="E4750" t="inlineStr">
        <is>
          <t>organic_search</t>
        </is>
      </c>
      <c r="F4750">
        <f>IFERROR(MATCH(A4750,Deals!$A$2:$A$843,0),"")</f>
        <v/>
      </c>
      <c r="G4750">
        <f>IF(F4750="",0,1)</f>
        <v/>
      </c>
      <c r="H4750" s="29">
        <f>IF(F4750="","",INDEX(Deals!$E$2:$E$843,F4750))</f>
        <v/>
      </c>
      <c r="I4750">
        <f>IF(F4750="","",INDEX(Deals!$D$2:$D$843,F4750))</f>
        <v/>
      </c>
      <c r="J4750">
        <f>IF(F4750="","",INT(H4750)-B4750)</f>
        <v/>
      </c>
      <c r="K4750">
        <f>IF(B4750&gt;=Settings!$C$5,1,0)</f>
        <v/>
      </c>
    </row>
    <row r="4751">
      <c r="A4751" t="inlineStr">
        <is>
          <t>0916f1db3e9e09d43a82ea0a0d88eb8c</t>
        </is>
      </c>
      <c r="B4751" s="29" t="n">
        <v>43240</v>
      </c>
      <c r="C4751" t="inlineStr">
        <is>
          <t>2018-05</t>
        </is>
      </c>
      <c r="D4751" t="inlineStr">
        <is>
          <t>40dec9f3d5259a3d2dbcdab2114fae47</t>
        </is>
      </c>
      <c r="E4751" t="inlineStr">
        <is>
          <t>paid_search</t>
        </is>
      </c>
      <c r="F4751">
        <f>IFERROR(MATCH(A4751,Deals!$A$2:$A$843,0),"")</f>
        <v/>
      </c>
      <c r="G4751">
        <f>IF(F4751="",0,1)</f>
        <v/>
      </c>
      <c r="H4751" s="29">
        <f>IF(F4751="","",INDEX(Deals!$E$2:$E$843,F4751))</f>
        <v/>
      </c>
      <c r="I4751">
        <f>IF(F4751="","",INDEX(Deals!$D$2:$D$843,F4751))</f>
        <v/>
      </c>
      <c r="J4751">
        <f>IF(F4751="","",INT(H4751)-B4751)</f>
        <v/>
      </c>
      <c r="K4751">
        <f>IF(B4751&gt;=Settings!$C$5,1,0)</f>
        <v/>
      </c>
    </row>
    <row r="4752">
      <c r="A4752" t="inlineStr">
        <is>
          <t>9e57be5389ed6ba4e95ec7bdd5ff9f2f</t>
        </is>
      </c>
      <c r="B4752" s="29" t="n">
        <v>43248</v>
      </c>
      <c r="C4752" t="inlineStr">
        <is>
          <t>2018-05</t>
        </is>
      </c>
      <c r="D4752" t="inlineStr">
        <is>
          <t>5dc848e7dd9418dffe183215b8ff0bc1</t>
        </is>
      </c>
      <c r="E4752" t="inlineStr">
        <is>
          <t>paid_search</t>
        </is>
      </c>
      <c r="F4752">
        <f>IFERROR(MATCH(A4752,Deals!$A$2:$A$843,0),"")</f>
        <v/>
      </c>
      <c r="G4752">
        <f>IF(F4752="",0,1)</f>
        <v/>
      </c>
      <c r="H4752" s="29">
        <f>IF(F4752="","",INDEX(Deals!$E$2:$E$843,F4752))</f>
        <v/>
      </c>
      <c r="I4752">
        <f>IF(F4752="","",INDEX(Deals!$D$2:$D$843,F4752))</f>
        <v/>
      </c>
      <c r="J4752">
        <f>IF(F4752="","",INT(H4752)-B4752)</f>
        <v/>
      </c>
      <c r="K4752">
        <f>IF(B4752&gt;=Settings!$C$5,1,0)</f>
        <v/>
      </c>
    </row>
    <row r="4753">
      <c r="A4753" t="inlineStr">
        <is>
          <t>f4a9a68e297332af20b8abf5c7321756</t>
        </is>
      </c>
      <c r="B4753" s="29" t="n">
        <v>43056</v>
      </c>
      <c r="C4753" t="inlineStr">
        <is>
          <t>2017-11</t>
        </is>
      </c>
      <c r="D4753" t="inlineStr">
        <is>
          <t>1722481ac9e5371e5099dea226b5421d</t>
        </is>
      </c>
      <c r="E4753" t="inlineStr">
        <is>
          <t>unknown</t>
        </is>
      </c>
      <c r="F4753">
        <f>IFERROR(MATCH(A4753,Deals!$A$2:$A$843,0),"")</f>
        <v/>
      </c>
      <c r="G4753">
        <f>IF(F4753="",0,1)</f>
        <v/>
      </c>
      <c r="H4753" s="29">
        <f>IF(F4753="","",INDEX(Deals!$E$2:$E$843,F4753))</f>
        <v/>
      </c>
      <c r="I4753">
        <f>IF(F4753="","",INDEX(Deals!$D$2:$D$843,F4753))</f>
        <v/>
      </c>
      <c r="J4753">
        <f>IF(F4753="","",INT(H4753)-B4753)</f>
        <v/>
      </c>
      <c r="K4753">
        <f>IF(B4753&gt;=Settings!$C$5,1,0)</f>
        <v/>
      </c>
    </row>
    <row r="4754">
      <c r="A4754" t="inlineStr">
        <is>
          <t>36bddf5b1a3c2410ac9a49a4fbb22a07</t>
        </is>
      </c>
      <c r="B4754" s="29" t="n">
        <v>43235</v>
      </c>
      <c r="C4754" t="inlineStr">
        <is>
          <t>2018-05</t>
        </is>
      </c>
      <c r="D4754" t="inlineStr">
        <is>
          <t>58326e62183c14b0c03085c33b9fdc44</t>
        </is>
      </c>
      <c r="E4754" t="inlineStr">
        <is>
          <t>social</t>
        </is>
      </c>
      <c r="F4754">
        <f>IFERROR(MATCH(A4754,Deals!$A$2:$A$843,0),"")</f>
        <v/>
      </c>
      <c r="G4754">
        <f>IF(F4754="",0,1)</f>
        <v/>
      </c>
      <c r="H4754" s="29">
        <f>IF(F4754="","",INDEX(Deals!$E$2:$E$843,F4754))</f>
        <v/>
      </c>
      <c r="I4754">
        <f>IF(F4754="","",INDEX(Deals!$D$2:$D$843,F4754))</f>
        <v/>
      </c>
      <c r="J4754">
        <f>IF(F4754="","",INT(H4754)-B4754)</f>
        <v/>
      </c>
      <c r="K4754">
        <f>IF(B4754&gt;=Settings!$C$5,1,0)</f>
        <v/>
      </c>
    </row>
    <row r="4755">
      <c r="A4755" t="inlineStr">
        <is>
          <t>69f196a57f4b2b9d8b32e734f94c041c</t>
        </is>
      </c>
      <c r="B4755" s="29" t="n">
        <v>43248</v>
      </c>
      <c r="C4755" t="inlineStr">
        <is>
          <t>2018-05</t>
        </is>
      </c>
      <c r="D4755" t="inlineStr">
        <is>
          <t>b76ef37428e6799c421989521c0e5077</t>
        </is>
      </c>
      <c r="E4755" t="inlineStr">
        <is>
          <t>organic_search</t>
        </is>
      </c>
      <c r="F4755">
        <f>IFERROR(MATCH(A4755,Deals!$A$2:$A$843,0),"")</f>
        <v/>
      </c>
      <c r="G4755">
        <f>IF(F4755="",0,1)</f>
        <v/>
      </c>
      <c r="H4755" s="29">
        <f>IF(F4755="","",INDEX(Deals!$E$2:$E$843,F4755))</f>
        <v/>
      </c>
      <c r="I4755">
        <f>IF(F4755="","",INDEX(Deals!$D$2:$D$843,F4755))</f>
        <v/>
      </c>
      <c r="J4755">
        <f>IF(F4755="","",INT(H4755)-B4755)</f>
        <v/>
      </c>
      <c r="K4755">
        <f>IF(B4755&gt;=Settings!$C$5,1,0)</f>
        <v/>
      </c>
    </row>
    <row r="4756">
      <c r="A4756" t="inlineStr">
        <is>
          <t>453de1f9372765b433aa4ba21106a377</t>
        </is>
      </c>
      <c r="B4756" s="29" t="n">
        <v>43080</v>
      </c>
      <c r="C4756" t="inlineStr">
        <is>
          <t>2017-12</t>
        </is>
      </c>
      <c r="D4756" t="inlineStr">
        <is>
          <t>f017be4dbf86243af5c1ebed0cff36a2</t>
        </is>
      </c>
      <c r="E4756" t="inlineStr">
        <is>
          <t>organic_search</t>
        </is>
      </c>
      <c r="F4756">
        <f>IFERROR(MATCH(A4756,Deals!$A$2:$A$843,0),"")</f>
        <v/>
      </c>
      <c r="G4756">
        <f>IF(F4756="",0,1)</f>
        <v/>
      </c>
      <c r="H4756" s="29">
        <f>IF(F4756="","",INDEX(Deals!$E$2:$E$843,F4756))</f>
        <v/>
      </c>
      <c r="I4756">
        <f>IF(F4756="","",INDEX(Deals!$D$2:$D$843,F4756))</f>
        <v/>
      </c>
      <c r="J4756">
        <f>IF(F4756="","",INT(H4756)-B4756)</f>
        <v/>
      </c>
      <c r="K4756">
        <f>IF(B4756&gt;=Settings!$C$5,1,0)</f>
        <v/>
      </c>
    </row>
    <row r="4757">
      <c r="A4757" t="inlineStr">
        <is>
          <t>e67eecf0ca844bd510ca62420eb53769</t>
        </is>
      </c>
      <c r="B4757" s="29" t="n">
        <v>43153</v>
      </c>
      <c r="C4757" t="inlineStr">
        <is>
          <t>2018-02</t>
        </is>
      </c>
      <c r="D4757" t="inlineStr">
        <is>
          <t>ce1a65abd0973638f1c887a6efcfa82d</t>
        </is>
      </c>
      <c r="E4757" t="inlineStr">
        <is>
          <t>organic_search</t>
        </is>
      </c>
      <c r="F4757">
        <f>IFERROR(MATCH(A4757,Deals!$A$2:$A$843,0),"")</f>
        <v/>
      </c>
      <c r="G4757">
        <f>IF(F4757="",0,1)</f>
        <v/>
      </c>
      <c r="H4757" s="29">
        <f>IF(F4757="","",INDEX(Deals!$E$2:$E$843,F4757))</f>
        <v/>
      </c>
      <c r="I4757">
        <f>IF(F4757="","",INDEX(Deals!$D$2:$D$843,F4757))</f>
        <v/>
      </c>
      <c r="J4757">
        <f>IF(F4757="","",INT(H4757)-B4757)</f>
        <v/>
      </c>
      <c r="K4757">
        <f>IF(B4757&gt;=Settings!$C$5,1,0)</f>
        <v/>
      </c>
    </row>
    <row r="4758">
      <c r="A4758" t="inlineStr">
        <is>
          <t>288a14ff0a8582fae832476950df486f</t>
        </is>
      </c>
      <c r="B4758" s="29" t="n">
        <v>43135</v>
      </c>
      <c r="C4758" t="inlineStr">
        <is>
          <t>2018-02</t>
        </is>
      </c>
      <c r="D4758" t="inlineStr">
        <is>
          <t>0218f6be0b76aca72ab4d00ee9e8cf10</t>
        </is>
      </c>
      <c r="E4758" t="inlineStr">
        <is>
          <t>referral</t>
        </is>
      </c>
      <c r="F4758">
        <f>IFERROR(MATCH(A4758,Deals!$A$2:$A$843,0),"")</f>
        <v/>
      </c>
      <c r="G4758">
        <f>IF(F4758="",0,1)</f>
        <v/>
      </c>
      <c r="H4758" s="29">
        <f>IF(F4758="","",INDEX(Deals!$E$2:$E$843,F4758))</f>
        <v/>
      </c>
      <c r="I4758">
        <f>IF(F4758="","",INDEX(Deals!$D$2:$D$843,F4758))</f>
        <v/>
      </c>
      <c r="J4758">
        <f>IF(F4758="","",INT(H4758)-B4758)</f>
        <v/>
      </c>
      <c r="K4758">
        <f>IF(B4758&gt;=Settings!$C$5,1,0)</f>
        <v/>
      </c>
    </row>
    <row r="4759">
      <c r="A4759" t="inlineStr">
        <is>
          <t>13f4d2015796000f8216b3d4c488ea9f</t>
        </is>
      </c>
      <c r="B4759" s="29" t="n">
        <v>43188</v>
      </c>
      <c r="C4759" t="inlineStr">
        <is>
          <t>2018-03</t>
        </is>
      </c>
      <c r="D4759" t="inlineStr">
        <is>
          <t>58326e62183c14b0c03085c33b9fdc44</t>
        </is>
      </c>
      <c r="E4759" t="inlineStr">
        <is>
          <t>social</t>
        </is>
      </c>
      <c r="F4759">
        <f>IFERROR(MATCH(A4759,Deals!$A$2:$A$843,0),"")</f>
        <v/>
      </c>
      <c r="G4759">
        <f>IF(F4759="",0,1)</f>
        <v/>
      </c>
      <c r="H4759" s="29">
        <f>IF(F4759="","",INDEX(Deals!$E$2:$E$843,F4759))</f>
        <v/>
      </c>
      <c r="I4759">
        <f>IF(F4759="","",INDEX(Deals!$D$2:$D$843,F4759))</f>
        <v/>
      </c>
      <c r="J4759">
        <f>IF(F4759="","",INT(H4759)-B4759)</f>
        <v/>
      </c>
      <c r="K4759">
        <f>IF(B4759&gt;=Settings!$C$5,1,0)</f>
        <v/>
      </c>
    </row>
    <row r="4760">
      <c r="A4760" t="inlineStr">
        <is>
          <t>fa49eb69043e202e2370b17f86bb10a8</t>
        </is>
      </c>
      <c r="B4760" s="29" t="n">
        <v>43146</v>
      </c>
      <c r="C4760" t="inlineStr">
        <is>
          <t>2018-02</t>
        </is>
      </c>
      <c r="D4760" t="inlineStr">
        <is>
          <t>b16779a74f2b20eb9a17a785519f63a0</t>
        </is>
      </c>
      <c r="E4760" t="inlineStr">
        <is>
          <t>display</t>
        </is>
      </c>
      <c r="F4760">
        <f>IFERROR(MATCH(A4760,Deals!$A$2:$A$843,0),"")</f>
        <v/>
      </c>
      <c r="G4760">
        <f>IF(F4760="",0,1)</f>
        <v/>
      </c>
      <c r="H4760" s="29">
        <f>IF(F4760="","",INDEX(Deals!$E$2:$E$843,F4760))</f>
        <v/>
      </c>
      <c r="I4760">
        <f>IF(F4760="","",INDEX(Deals!$D$2:$D$843,F4760))</f>
        <v/>
      </c>
      <c r="J4760">
        <f>IF(F4760="","",INT(H4760)-B4760)</f>
        <v/>
      </c>
      <c r="K4760">
        <f>IF(B4760&gt;=Settings!$C$5,1,0)</f>
        <v/>
      </c>
    </row>
    <row r="4761">
      <c r="A4761" t="inlineStr">
        <is>
          <t>74aa30b06b0cf754dc3bd8ad62d3b19e</t>
        </is>
      </c>
      <c r="B4761" s="29" t="n">
        <v>43217</v>
      </c>
      <c r="C4761" t="inlineStr">
        <is>
          <t>2018-04</t>
        </is>
      </c>
      <c r="D4761" t="inlineStr">
        <is>
          <t>447cabeecc99dc245cb42be7122cba9e</t>
        </is>
      </c>
      <c r="E4761" t="inlineStr">
        <is>
          <t>display</t>
        </is>
      </c>
      <c r="F4761">
        <f>IFERROR(MATCH(A4761,Deals!$A$2:$A$843,0),"")</f>
        <v/>
      </c>
      <c r="G4761">
        <f>IF(F4761="",0,1)</f>
        <v/>
      </c>
      <c r="H4761" s="29">
        <f>IF(F4761="","",INDEX(Deals!$E$2:$E$843,F4761))</f>
        <v/>
      </c>
      <c r="I4761">
        <f>IF(F4761="","",INDEX(Deals!$D$2:$D$843,F4761))</f>
        <v/>
      </c>
      <c r="J4761">
        <f>IF(F4761="","",INT(H4761)-B4761)</f>
        <v/>
      </c>
      <c r="K4761">
        <f>IF(B4761&gt;=Settings!$C$5,1,0)</f>
        <v/>
      </c>
    </row>
    <row r="4762">
      <c r="A4762" t="inlineStr">
        <is>
          <t>31aa9651503a33c7f28f2a6e4d46b6e0</t>
        </is>
      </c>
      <c r="B4762" s="29" t="n">
        <v>43112</v>
      </c>
      <c r="C4762" t="inlineStr">
        <is>
          <t>2018-01</t>
        </is>
      </c>
      <c r="D4762" t="inlineStr">
        <is>
          <t>b76ef37428e6799c421989521c0e5077</t>
        </is>
      </c>
      <c r="E4762" t="inlineStr">
        <is>
          <t>unknown</t>
        </is>
      </c>
      <c r="F4762">
        <f>IFERROR(MATCH(A4762,Deals!$A$2:$A$843,0),"")</f>
        <v/>
      </c>
      <c r="G4762">
        <f>IF(F4762="",0,1)</f>
        <v/>
      </c>
      <c r="H4762" s="29">
        <f>IF(F4762="","",INDEX(Deals!$E$2:$E$843,F4762))</f>
        <v/>
      </c>
      <c r="I4762">
        <f>IF(F4762="","",INDEX(Deals!$D$2:$D$843,F4762))</f>
        <v/>
      </c>
      <c r="J4762">
        <f>IF(F4762="","",INT(H4762)-B4762)</f>
        <v/>
      </c>
      <c r="K4762">
        <f>IF(B4762&gt;=Settings!$C$5,1,0)</f>
        <v/>
      </c>
    </row>
    <row r="4763">
      <c r="A4763" t="inlineStr">
        <is>
          <t>e52ffcd4db3508737ab74289962af746</t>
        </is>
      </c>
      <c r="B4763" s="29" t="n">
        <v>43137</v>
      </c>
      <c r="C4763" t="inlineStr">
        <is>
          <t>2018-02</t>
        </is>
      </c>
      <c r="D4763" t="inlineStr">
        <is>
          <t>dfc3b656bac13de62e4efca322b3f2c1</t>
        </is>
      </c>
      <c r="E4763" t="inlineStr">
        <is>
          <t>email</t>
        </is>
      </c>
      <c r="F4763">
        <f>IFERROR(MATCH(A4763,Deals!$A$2:$A$843,0),"")</f>
        <v/>
      </c>
      <c r="G4763">
        <f>IF(F4763="",0,1)</f>
        <v/>
      </c>
      <c r="H4763" s="29">
        <f>IF(F4763="","",INDEX(Deals!$E$2:$E$843,F4763))</f>
        <v/>
      </c>
      <c r="I4763">
        <f>IF(F4763="","",INDEX(Deals!$D$2:$D$843,F4763))</f>
        <v/>
      </c>
      <c r="J4763">
        <f>IF(F4763="","",INT(H4763)-B4763)</f>
        <v/>
      </c>
      <c r="K4763">
        <f>IF(B4763&gt;=Settings!$C$5,1,0)</f>
        <v/>
      </c>
    </row>
    <row r="4764">
      <c r="A4764" t="inlineStr">
        <is>
          <t>c94494e0d50330ac0366a48520d08537</t>
        </is>
      </c>
      <c r="B4764" s="29" t="n">
        <v>43069</v>
      </c>
      <c r="C4764" t="inlineStr">
        <is>
          <t>2017-11</t>
        </is>
      </c>
      <c r="D4764" t="inlineStr">
        <is>
          <t>ce1a65abd0973638f1c887a6efcfa82d</t>
        </is>
      </c>
      <c r="E4764" t="inlineStr">
        <is>
          <t>unknown</t>
        </is>
      </c>
      <c r="F4764">
        <f>IFERROR(MATCH(A4764,Deals!$A$2:$A$843,0),"")</f>
        <v/>
      </c>
      <c r="G4764">
        <f>IF(F4764="",0,1)</f>
        <v/>
      </c>
      <c r="H4764" s="29">
        <f>IF(F4764="","",INDEX(Deals!$E$2:$E$843,F4764))</f>
        <v/>
      </c>
      <c r="I4764">
        <f>IF(F4764="","",INDEX(Deals!$D$2:$D$843,F4764))</f>
        <v/>
      </c>
      <c r="J4764">
        <f>IF(F4764="","",INT(H4764)-B4764)</f>
        <v/>
      </c>
      <c r="K4764">
        <f>IF(B4764&gt;=Settings!$C$5,1,0)</f>
        <v/>
      </c>
    </row>
    <row r="4765">
      <c r="A4765" t="inlineStr">
        <is>
          <t>c9b03be66eee564123ecf4b66c25986a</t>
        </is>
      </c>
      <c r="B4765" s="29" t="n">
        <v>43170</v>
      </c>
      <c r="C4765" t="inlineStr">
        <is>
          <t>2018-03</t>
        </is>
      </c>
      <c r="D4765" t="inlineStr">
        <is>
          <t>22c29808c4f815213303f8933030604c</t>
        </is>
      </c>
      <c r="E4765" t="inlineStr">
        <is>
          <t>organic_search</t>
        </is>
      </c>
      <c r="F4765">
        <f>IFERROR(MATCH(A4765,Deals!$A$2:$A$843,0),"")</f>
        <v/>
      </c>
      <c r="G4765">
        <f>IF(F4765="",0,1)</f>
        <v/>
      </c>
      <c r="H4765" s="29">
        <f>IF(F4765="","",INDEX(Deals!$E$2:$E$843,F4765))</f>
        <v/>
      </c>
      <c r="I4765">
        <f>IF(F4765="","",INDEX(Deals!$D$2:$D$843,F4765))</f>
        <v/>
      </c>
      <c r="J4765">
        <f>IF(F4765="","",INT(H4765)-B4765)</f>
        <v/>
      </c>
      <c r="K4765">
        <f>IF(B4765&gt;=Settings!$C$5,1,0)</f>
        <v/>
      </c>
    </row>
    <row r="4766">
      <c r="A4766" t="inlineStr">
        <is>
          <t>ca9e2abfc4b54221804d727d207accb1</t>
        </is>
      </c>
      <c r="B4766" s="29" t="n">
        <v>43238</v>
      </c>
      <c r="C4766" t="inlineStr">
        <is>
          <t>2018-05</t>
        </is>
      </c>
      <c r="D4766" t="inlineStr">
        <is>
          <t>8e1f60cfb4a7def895d8baf0eec1394e</t>
        </is>
      </c>
      <c r="E4766" t="inlineStr">
        <is>
          <t>unknown</t>
        </is>
      </c>
      <c r="F4766">
        <f>IFERROR(MATCH(A4766,Deals!$A$2:$A$843,0),"")</f>
        <v/>
      </c>
      <c r="G4766">
        <f>IF(F4766="",0,1)</f>
        <v/>
      </c>
      <c r="H4766" s="29">
        <f>IF(F4766="","",INDEX(Deals!$E$2:$E$843,F4766))</f>
        <v/>
      </c>
      <c r="I4766">
        <f>IF(F4766="","",INDEX(Deals!$D$2:$D$843,F4766))</f>
        <v/>
      </c>
      <c r="J4766">
        <f>IF(F4766="","",INT(H4766)-B4766)</f>
        <v/>
      </c>
      <c r="K4766">
        <f>IF(B4766&gt;=Settings!$C$5,1,0)</f>
        <v/>
      </c>
    </row>
    <row r="4767">
      <c r="A4767" t="inlineStr">
        <is>
          <t>270e376d0cb0bc15ebfe8b2e1e338bef</t>
        </is>
      </c>
      <c r="B4767" s="29" t="n">
        <v>43234</v>
      </c>
      <c r="C4767" t="inlineStr">
        <is>
          <t>2018-05</t>
        </is>
      </c>
      <c r="D4767" t="inlineStr">
        <is>
          <t>1ceb590cd1e00c7ee95220971f82693d</t>
        </is>
      </c>
      <c r="E4767" t="inlineStr">
        <is>
          <t>social</t>
        </is>
      </c>
      <c r="F4767">
        <f>IFERROR(MATCH(A4767,Deals!$A$2:$A$843,0),"")</f>
        <v/>
      </c>
      <c r="G4767">
        <f>IF(F4767="",0,1)</f>
        <v/>
      </c>
      <c r="H4767" s="29">
        <f>IF(F4767="","",INDEX(Deals!$E$2:$E$843,F4767))</f>
        <v/>
      </c>
      <c r="I4767">
        <f>IF(F4767="","",INDEX(Deals!$D$2:$D$843,F4767))</f>
        <v/>
      </c>
      <c r="J4767">
        <f>IF(F4767="","",INT(H4767)-B4767)</f>
        <v/>
      </c>
      <c r="K4767">
        <f>IF(B4767&gt;=Settings!$C$5,1,0)</f>
        <v/>
      </c>
    </row>
    <row r="4768">
      <c r="A4768" t="inlineStr">
        <is>
          <t>a1dc88a49b4e8487ec802e857d5de7d4</t>
        </is>
      </c>
      <c r="B4768" s="29" t="n">
        <v>43228</v>
      </c>
      <c r="C4768" t="inlineStr">
        <is>
          <t>2018-05</t>
        </is>
      </c>
      <c r="D4768" t="inlineStr">
        <is>
          <t>1ceb590cd1e00c7ee95220971f82693d</t>
        </is>
      </c>
      <c r="E4768" t="inlineStr">
        <is>
          <t>paid_search</t>
        </is>
      </c>
      <c r="F4768">
        <f>IFERROR(MATCH(A4768,Deals!$A$2:$A$843,0),"")</f>
        <v/>
      </c>
      <c r="G4768">
        <f>IF(F4768="",0,1)</f>
        <v/>
      </c>
      <c r="H4768" s="29">
        <f>IF(F4768="","",INDEX(Deals!$E$2:$E$843,F4768))</f>
        <v/>
      </c>
      <c r="I4768">
        <f>IF(F4768="","",INDEX(Deals!$D$2:$D$843,F4768))</f>
        <v/>
      </c>
      <c r="J4768">
        <f>IF(F4768="","",INT(H4768)-B4768)</f>
        <v/>
      </c>
      <c r="K4768">
        <f>IF(B4768&gt;=Settings!$C$5,1,0)</f>
        <v/>
      </c>
    </row>
    <row r="4769">
      <c r="A4769" t="inlineStr">
        <is>
          <t>0d786ca032d3de26beac81f7848f21bb</t>
        </is>
      </c>
      <c r="B4769" s="29" t="n">
        <v>43192</v>
      </c>
      <c r="C4769" t="inlineStr">
        <is>
          <t>2018-04</t>
        </is>
      </c>
      <c r="D4769" t="inlineStr">
        <is>
          <t>22c29808c4f815213303f8933030604c</t>
        </is>
      </c>
      <c r="E4769" t="inlineStr">
        <is>
          <t>organic_search</t>
        </is>
      </c>
      <c r="F4769">
        <f>IFERROR(MATCH(A4769,Deals!$A$2:$A$843,0),"")</f>
        <v/>
      </c>
      <c r="G4769">
        <f>IF(F4769="",0,1)</f>
        <v/>
      </c>
      <c r="H4769" s="29">
        <f>IF(F4769="","",INDEX(Deals!$E$2:$E$843,F4769))</f>
        <v/>
      </c>
      <c r="I4769">
        <f>IF(F4769="","",INDEX(Deals!$D$2:$D$843,F4769))</f>
        <v/>
      </c>
      <c r="J4769">
        <f>IF(F4769="","",INT(H4769)-B4769)</f>
        <v/>
      </c>
      <c r="K4769">
        <f>IF(B4769&gt;=Settings!$C$5,1,0)</f>
        <v/>
      </c>
    </row>
    <row r="4770">
      <c r="A4770" t="inlineStr">
        <is>
          <t>fd00756a9a5295413342790f2cd6bae9</t>
        </is>
      </c>
      <c r="B4770" s="29" t="n">
        <v>43217</v>
      </c>
      <c r="C4770" t="inlineStr">
        <is>
          <t>2018-04</t>
        </is>
      </c>
      <c r="D4770" t="inlineStr">
        <is>
          <t>966098efaef7a4d665be6b0cb617541b</t>
        </is>
      </c>
      <c r="E4770" t="inlineStr">
        <is>
          <t>organic_search</t>
        </is>
      </c>
      <c r="F4770">
        <f>IFERROR(MATCH(A4770,Deals!$A$2:$A$843,0),"")</f>
        <v/>
      </c>
      <c r="G4770">
        <f>IF(F4770="",0,1)</f>
        <v/>
      </c>
      <c r="H4770" s="29">
        <f>IF(F4770="","",INDEX(Deals!$E$2:$E$843,F4770))</f>
        <v/>
      </c>
      <c r="I4770">
        <f>IF(F4770="","",INDEX(Deals!$D$2:$D$843,F4770))</f>
        <v/>
      </c>
      <c r="J4770">
        <f>IF(F4770="","",INT(H4770)-B4770)</f>
        <v/>
      </c>
      <c r="K4770">
        <f>IF(B4770&gt;=Settings!$C$5,1,0)</f>
        <v/>
      </c>
    </row>
    <row r="4771">
      <c r="A4771" t="inlineStr">
        <is>
          <t>9430142689f1e3004253e1d85c9aef57</t>
        </is>
      </c>
      <c r="B4771" s="29" t="n">
        <v>43139</v>
      </c>
      <c r="C4771" t="inlineStr">
        <is>
          <t>2018-02</t>
        </is>
      </c>
      <c r="D4771" t="inlineStr">
        <is>
          <t>b76ef37428e6799c421989521c0e5077</t>
        </is>
      </c>
      <c r="E4771" t="inlineStr">
        <is>
          <t>unknown</t>
        </is>
      </c>
      <c r="F4771">
        <f>IFERROR(MATCH(A4771,Deals!$A$2:$A$843,0),"")</f>
        <v/>
      </c>
      <c r="G4771">
        <f>IF(F4771="",0,1)</f>
        <v/>
      </c>
      <c r="H4771" s="29">
        <f>IF(F4771="","",INDEX(Deals!$E$2:$E$843,F4771))</f>
        <v/>
      </c>
      <c r="I4771">
        <f>IF(F4771="","",INDEX(Deals!$D$2:$D$843,F4771))</f>
        <v/>
      </c>
      <c r="J4771">
        <f>IF(F4771="","",INT(H4771)-B4771)</f>
        <v/>
      </c>
      <c r="K4771">
        <f>IF(B4771&gt;=Settings!$C$5,1,0)</f>
        <v/>
      </c>
    </row>
    <row r="4772">
      <c r="A4772" t="inlineStr">
        <is>
          <t>e49d2c5518a31bb355c3c558b310d891</t>
        </is>
      </c>
      <c r="B4772" s="29" t="n">
        <v>43234</v>
      </c>
      <c r="C4772" t="inlineStr">
        <is>
          <t>2018-05</t>
        </is>
      </c>
      <c r="D4772" t="inlineStr">
        <is>
          <t>b76ef37428e6799c421989521c0e5077</t>
        </is>
      </c>
      <c r="E4772" t="inlineStr">
        <is>
          <t>unknown</t>
        </is>
      </c>
      <c r="F4772">
        <f>IFERROR(MATCH(A4772,Deals!$A$2:$A$843,0),"")</f>
        <v/>
      </c>
      <c r="G4772">
        <f>IF(F4772="",0,1)</f>
        <v/>
      </c>
      <c r="H4772" s="29">
        <f>IF(F4772="","",INDEX(Deals!$E$2:$E$843,F4772))</f>
        <v/>
      </c>
      <c r="I4772">
        <f>IF(F4772="","",INDEX(Deals!$D$2:$D$843,F4772))</f>
        <v/>
      </c>
      <c r="J4772">
        <f>IF(F4772="","",INT(H4772)-B4772)</f>
        <v/>
      </c>
      <c r="K4772">
        <f>IF(B4772&gt;=Settings!$C$5,1,0)</f>
        <v/>
      </c>
    </row>
    <row r="4773">
      <c r="A4773" t="inlineStr">
        <is>
          <t>1abc4dd8e76bb2a9f79363d66d5d3f61</t>
        </is>
      </c>
      <c r="B4773" s="29" t="n">
        <v>43184</v>
      </c>
      <c r="C4773" t="inlineStr">
        <is>
          <t>2018-03</t>
        </is>
      </c>
      <c r="D4773" t="inlineStr">
        <is>
          <t>22c29808c4f815213303f8933030604c</t>
        </is>
      </c>
      <c r="E4773" t="inlineStr">
        <is>
          <t>organic_search</t>
        </is>
      </c>
      <c r="F4773">
        <f>IFERROR(MATCH(A4773,Deals!$A$2:$A$843,0),"")</f>
        <v/>
      </c>
      <c r="G4773">
        <f>IF(F4773="",0,1)</f>
        <v/>
      </c>
      <c r="H4773" s="29">
        <f>IF(F4773="","",INDEX(Deals!$E$2:$E$843,F4773))</f>
        <v/>
      </c>
      <c r="I4773">
        <f>IF(F4773="","",INDEX(Deals!$D$2:$D$843,F4773))</f>
        <v/>
      </c>
      <c r="J4773">
        <f>IF(F4773="","",INT(H4773)-B4773)</f>
        <v/>
      </c>
      <c r="K4773">
        <f>IF(B4773&gt;=Settings!$C$5,1,0)</f>
        <v/>
      </c>
    </row>
    <row r="4774">
      <c r="A4774" t="inlineStr">
        <is>
          <t>2df813719b776c6b44523d72c6d31d45</t>
        </is>
      </c>
      <c r="B4774" s="29" t="n">
        <v>43226</v>
      </c>
      <c r="C4774" t="inlineStr">
        <is>
          <t>2018-05</t>
        </is>
      </c>
      <c r="D4774" t="inlineStr">
        <is>
          <t>58326e62183c14b0c03085c33b9fdc44</t>
        </is>
      </c>
      <c r="E4774" t="inlineStr">
        <is>
          <t>social</t>
        </is>
      </c>
      <c r="F4774">
        <f>IFERROR(MATCH(A4774,Deals!$A$2:$A$843,0),"")</f>
        <v/>
      </c>
      <c r="G4774">
        <f>IF(F4774="",0,1)</f>
        <v/>
      </c>
      <c r="H4774" s="29">
        <f>IF(F4774="","",INDEX(Deals!$E$2:$E$843,F4774))</f>
        <v/>
      </c>
      <c r="I4774">
        <f>IF(F4774="","",INDEX(Deals!$D$2:$D$843,F4774))</f>
        <v/>
      </c>
      <c r="J4774">
        <f>IF(F4774="","",INT(H4774)-B4774)</f>
        <v/>
      </c>
      <c r="K4774">
        <f>IF(B4774&gt;=Settings!$C$5,1,0)</f>
        <v/>
      </c>
    </row>
    <row r="4775">
      <c r="A4775" t="inlineStr">
        <is>
          <t>4d60a385a8f1a095e0999b065bc14bc8</t>
        </is>
      </c>
      <c r="B4775" s="29" t="n">
        <v>42943</v>
      </c>
      <c r="C4775" t="inlineStr">
        <is>
          <t>2017-07</t>
        </is>
      </c>
      <c r="D4775" t="inlineStr">
        <is>
          <t>3cd2a8301d5395f21cdd3094c9eaa2f4</t>
        </is>
      </c>
      <c r="E4775" t="inlineStr">
        <is>
          <t>paid_search</t>
        </is>
      </c>
      <c r="F4775">
        <f>IFERROR(MATCH(A4775,Deals!$A$2:$A$843,0),"")</f>
        <v/>
      </c>
      <c r="G4775">
        <f>IF(F4775="",0,1)</f>
        <v/>
      </c>
      <c r="H4775" s="29">
        <f>IF(F4775="","",INDEX(Deals!$E$2:$E$843,F4775))</f>
        <v/>
      </c>
      <c r="I4775">
        <f>IF(F4775="","",INDEX(Deals!$D$2:$D$843,F4775))</f>
        <v/>
      </c>
      <c r="J4775">
        <f>IF(F4775="","",INT(H4775)-B4775)</f>
        <v/>
      </c>
      <c r="K4775">
        <f>IF(B4775&gt;=Settings!$C$5,1,0)</f>
        <v/>
      </c>
    </row>
    <row r="4776">
      <c r="A4776" t="inlineStr">
        <is>
          <t>c8126ff04279310bed26167f226c67c0</t>
        </is>
      </c>
      <c r="B4776" s="29" t="n">
        <v>43136</v>
      </c>
      <c r="C4776" t="inlineStr">
        <is>
          <t>2018-02</t>
        </is>
      </c>
      <c r="D4776" t="inlineStr">
        <is>
          <t>616767b0bfb0a97510747d8bbcc40290</t>
        </is>
      </c>
      <c r="E4776" t="inlineStr">
        <is>
          <t>other_publicities</t>
        </is>
      </c>
      <c r="F4776">
        <f>IFERROR(MATCH(A4776,Deals!$A$2:$A$843,0),"")</f>
        <v/>
      </c>
      <c r="G4776">
        <f>IF(F4776="",0,1)</f>
        <v/>
      </c>
      <c r="H4776" s="29">
        <f>IF(F4776="","",INDEX(Deals!$E$2:$E$843,F4776))</f>
        <v/>
      </c>
      <c r="I4776">
        <f>IF(F4776="","",INDEX(Deals!$D$2:$D$843,F4776))</f>
        <v/>
      </c>
      <c r="J4776">
        <f>IF(F4776="","",INT(H4776)-B4776)</f>
        <v/>
      </c>
      <c r="K4776">
        <f>IF(B4776&gt;=Settings!$C$5,1,0)</f>
        <v/>
      </c>
    </row>
    <row r="4777">
      <c r="A4777" t="inlineStr">
        <is>
          <t>565b7e1332c5d26362dd2487ea625746</t>
        </is>
      </c>
      <c r="B4777" s="29" t="n">
        <v>43003</v>
      </c>
      <c r="C4777" t="inlineStr">
        <is>
          <t>2017-09</t>
        </is>
      </c>
      <c r="D4777" t="inlineStr">
        <is>
          <t>007f9098284a86ee80ddeb25d53e0af8</t>
        </is>
      </c>
      <c r="E4777" t="inlineStr">
        <is>
          <t>paid_search</t>
        </is>
      </c>
      <c r="F4777">
        <f>IFERROR(MATCH(A4777,Deals!$A$2:$A$843,0),"")</f>
        <v/>
      </c>
      <c r="G4777">
        <f>IF(F4777="",0,1)</f>
        <v/>
      </c>
      <c r="H4777" s="29">
        <f>IF(F4777="","",INDEX(Deals!$E$2:$E$843,F4777))</f>
        <v/>
      </c>
      <c r="I4777">
        <f>IF(F4777="","",INDEX(Deals!$D$2:$D$843,F4777))</f>
        <v/>
      </c>
      <c r="J4777">
        <f>IF(F4777="","",INT(H4777)-B4777)</f>
        <v/>
      </c>
      <c r="K4777">
        <f>IF(B4777&gt;=Settings!$C$5,1,0)</f>
        <v/>
      </c>
    </row>
    <row r="4778">
      <c r="A4778" t="inlineStr">
        <is>
          <t>ee4c60b6d9527af61af10a4c4c247d24</t>
        </is>
      </c>
      <c r="B4778" s="29" t="n">
        <v>43222</v>
      </c>
      <c r="C4778" t="inlineStr">
        <is>
          <t>2018-05</t>
        </is>
      </c>
      <c r="D4778" t="inlineStr">
        <is>
          <t>58326e62183c14b0c03085c33b9fdc44</t>
        </is>
      </c>
      <c r="E4778" t="inlineStr">
        <is>
          <t>social</t>
        </is>
      </c>
      <c r="F4778">
        <f>IFERROR(MATCH(A4778,Deals!$A$2:$A$843,0),"")</f>
        <v/>
      </c>
      <c r="G4778">
        <f>IF(F4778="",0,1)</f>
        <v/>
      </c>
      <c r="H4778" s="29">
        <f>IF(F4778="","",INDEX(Deals!$E$2:$E$843,F4778))</f>
        <v/>
      </c>
      <c r="I4778">
        <f>IF(F4778="","",INDEX(Deals!$D$2:$D$843,F4778))</f>
        <v/>
      </c>
      <c r="J4778">
        <f>IF(F4778="","",INT(H4778)-B4778)</f>
        <v/>
      </c>
      <c r="K4778">
        <f>IF(B4778&gt;=Settings!$C$5,1,0)</f>
        <v/>
      </c>
    </row>
    <row r="4779">
      <c r="A4779" t="inlineStr">
        <is>
          <t>d1d2b7387785026488d8ffeeea82fb8a</t>
        </is>
      </c>
      <c r="B4779" s="29" t="n">
        <v>42933</v>
      </c>
      <c r="C4779" t="inlineStr">
        <is>
          <t>2017-07</t>
        </is>
      </c>
      <c r="D4779" t="inlineStr">
        <is>
          <t>fbc24da54d531c6204ae2d17b1090bb1</t>
        </is>
      </c>
      <c r="E4779" t="inlineStr">
        <is>
          <t>paid_search</t>
        </is>
      </c>
      <c r="F4779">
        <f>IFERROR(MATCH(A4779,Deals!$A$2:$A$843,0),"")</f>
        <v/>
      </c>
      <c r="G4779">
        <f>IF(F4779="",0,1)</f>
        <v/>
      </c>
      <c r="H4779" s="29">
        <f>IF(F4779="","",INDEX(Deals!$E$2:$E$843,F4779))</f>
        <v/>
      </c>
      <c r="I4779">
        <f>IF(F4779="","",INDEX(Deals!$D$2:$D$843,F4779))</f>
        <v/>
      </c>
      <c r="J4779">
        <f>IF(F4779="","",INT(H4779)-B4779)</f>
        <v/>
      </c>
      <c r="K4779">
        <f>IF(B4779&gt;=Settings!$C$5,1,0)</f>
        <v/>
      </c>
    </row>
    <row r="4780">
      <c r="A4780" t="inlineStr">
        <is>
          <t>109d211aa9d2aeb2bd9db5c6561ed68d</t>
        </is>
      </c>
      <c r="B4780" s="29" t="n">
        <v>43187</v>
      </c>
      <c r="C4780" t="inlineStr">
        <is>
          <t>2018-03</t>
        </is>
      </c>
      <c r="D4780" t="inlineStr">
        <is>
          <t>40dec9f3d5259a3d2dbcdab2114fae47</t>
        </is>
      </c>
      <c r="E4780" t="inlineStr">
        <is>
          <t>paid_search</t>
        </is>
      </c>
      <c r="F4780">
        <f>IFERROR(MATCH(A4780,Deals!$A$2:$A$843,0),"")</f>
        <v/>
      </c>
      <c r="G4780">
        <f>IF(F4780="",0,1)</f>
        <v/>
      </c>
      <c r="H4780" s="29">
        <f>IF(F4780="","",INDEX(Deals!$E$2:$E$843,F4780))</f>
        <v/>
      </c>
      <c r="I4780">
        <f>IF(F4780="","",INDEX(Deals!$D$2:$D$843,F4780))</f>
        <v/>
      </c>
      <c r="J4780">
        <f>IF(F4780="","",INT(H4780)-B4780)</f>
        <v/>
      </c>
      <c r="K4780">
        <f>IF(B4780&gt;=Settings!$C$5,1,0)</f>
        <v/>
      </c>
    </row>
    <row r="4781">
      <c r="A4781" t="inlineStr">
        <is>
          <t>f1ddf320f999ec237d93342fd176c667</t>
        </is>
      </c>
      <c r="B4781" s="29" t="n">
        <v>43182</v>
      </c>
      <c r="C4781" t="inlineStr">
        <is>
          <t>2018-03</t>
        </is>
      </c>
      <c r="D4781" t="inlineStr">
        <is>
          <t>cf747f07a385ddb157f79df52898ab14</t>
        </is>
      </c>
      <c r="E4781" t="inlineStr">
        <is>
          <t>paid_search</t>
        </is>
      </c>
      <c r="F4781">
        <f>IFERROR(MATCH(A4781,Deals!$A$2:$A$843,0),"")</f>
        <v/>
      </c>
      <c r="G4781">
        <f>IF(F4781="",0,1)</f>
        <v/>
      </c>
      <c r="H4781" s="29">
        <f>IF(F4781="","",INDEX(Deals!$E$2:$E$843,F4781))</f>
        <v/>
      </c>
      <c r="I4781">
        <f>IF(F4781="","",INDEX(Deals!$D$2:$D$843,F4781))</f>
        <v/>
      </c>
      <c r="J4781">
        <f>IF(F4781="","",INT(H4781)-B4781)</f>
        <v/>
      </c>
      <c r="K4781">
        <f>IF(B4781&gt;=Settings!$C$5,1,0)</f>
        <v/>
      </c>
    </row>
    <row r="4782">
      <c r="A4782" t="inlineStr">
        <is>
          <t>2b6a1d360326583e2b95118913845eb5</t>
        </is>
      </c>
      <c r="B4782" s="29" t="n">
        <v>43229</v>
      </c>
      <c r="C4782" t="inlineStr">
        <is>
          <t>2018-05</t>
        </is>
      </c>
      <c r="D4782" t="inlineStr">
        <is>
          <t>22c29808c4f815213303f8933030604c</t>
        </is>
      </c>
      <c r="E4782" t="inlineStr">
        <is>
          <t>direct_traffic</t>
        </is>
      </c>
      <c r="F4782">
        <f>IFERROR(MATCH(A4782,Deals!$A$2:$A$843,0),"")</f>
        <v/>
      </c>
      <c r="G4782">
        <f>IF(F4782="",0,1)</f>
        <v/>
      </c>
      <c r="H4782" s="29">
        <f>IF(F4782="","",INDEX(Deals!$E$2:$E$843,F4782))</f>
        <v/>
      </c>
      <c r="I4782">
        <f>IF(F4782="","",INDEX(Deals!$D$2:$D$843,F4782))</f>
        <v/>
      </c>
      <c r="J4782">
        <f>IF(F4782="","",INT(H4782)-B4782)</f>
        <v/>
      </c>
      <c r="K4782">
        <f>IF(B4782&gt;=Settings!$C$5,1,0)</f>
        <v/>
      </c>
    </row>
    <row r="4783">
      <c r="A4783" t="inlineStr">
        <is>
          <t>aae09b34cb6484fb8ead6e5aaacfde0b</t>
        </is>
      </c>
      <c r="B4783" s="29" t="n">
        <v>43201</v>
      </c>
      <c r="C4783" t="inlineStr">
        <is>
          <t>2018-04</t>
        </is>
      </c>
      <c r="D4783" t="inlineStr">
        <is>
          <t>73f31a40697cc90a86c1273563ac230e</t>
        </is>
      </c>
      <c r="E4783" t="inlineStr">
        <is>
          <t>organic_search</t>
        </is>
      </c>
      <c r="F4783">
        <f>IFERROR(MATCH(A4783,Deals!$A$2:$A$843,0),"")</f>
        <v/>
      </c>
      <c r="G4783">
        <f>IF(F4783="",0,1)</f>
        <v/>
      </c>
      <c r="H4783" s="29">
        <f>IF(F4783="","",INDEX(Deals!$E$2:$E$843,F4783))</f>
        <v/>
      </c>
      <c r="I4783">
        <f>IF(F4783="","",INDEX(Deals!$D$2:$D$843,F4783))</f>
        <v/>
      </c>
      <c r="J4783">
        <f>IF(F4783="","",INT(H4783)-B4783)</f>
        <v/>
      </c>
      <c r="K4783">
        <f>IF(B4783&gt;=Settings!$C$5,1,0)</f>
        <v/>
      </c>
    </row>
    <row r="4784">
      <c r="A4784" t="inlineStr">
        <is>
          <t>7dbf1a9148569d32830ae9c5a1acd40e</t>
        </is>
      </c>
      <c r="B4784" s="29" t="n">
        <v>43216</v>
      </c>
      <c r="C4784" t="inlineStr">
        <is>
          <t>2018-04</t>
        </is>
      </c>
      <c r="D4784" t="inlineStr">
        <is>
          <t>99b00c6e27db383d844d1763dbcbfe06</t>
        </is>
      </c>
      <c r="E4784" t="inlineStr">
        <is>
          <t>organic_search</t>
        </is>
      </c>
      <c r="F4784">
        <f>IFERROR(MATCH(A4784,Deals!$A$2:$A$843,0),"")</f>
        <v/>
      </c>
      <c r="G4784">
        <f>IF(F4784="",0,1)</f>
        <v/>
      </c>
      <c r="H4784" s="29">
        <f>IF(F4784="","",INDEX(Deals!$E$2:$E$843,F4784))</f>
        <v/>
      </c>
      <c r="I4784">
        <f>IF(F4784="","",INDEX(Deals!$D$2:$D$843,F4784))</f>
        <v/>
      </c>
      <c r="J4784">
        <f>IF(F4784="","",INT(H4784)-B4784)</f>
        <v/>
      </c>
      <c r="K4784">
        <f>IF(B4784&gt;=Settings!$C$5,1,0)</f>
        <v/>
      </c>
    </row>
    <row r="4785">
      <c r="A4785" t="inlineStr">
        <is>
          <t>194191c15060e323bb610faf147e1700</t>
        </is>
      </c>
      <c r="B4785" s="29" t="n">
        <v>43012</v>
      </c>
      <c r="C4785" t="inlineStr">
        <is>
          <t>2017-10</t>
        </is>
      </c>
      <c r="D4785" t="inlineStr">
        <is>
          <t>c555aa36478386fdf85a2d0ca5cd0ff8</t>
        </is>
      </c>
      <c r="E4785" t="inlineStr">
        <is>
          <t>unknown</t>
        </is>
      </c>
      <c r="F4785">
        <f>IFERROR(MATCH(A4785,Deals!$A$2:$A$843,0),"")</f>
        <v/>
      </c>
      <c r="G4785">
        <f>IF(F4785="",0,1)</f>
        <v/>
      </c>
      <c r="H4785" s="29">
        <f>IF(F4785="","",INDEX(Deals!$E$2:$E$843,F4785))</f>
        <v/>
      </c>
      <c r="I4785">
        <f>IF(F4785="","",INDEX(Deals!$D$2:$D$843,F4785))</f>
        <v/>
      </c>
      <c r="J4785">
        <f>IF(F4785="","",INT(H4785)-B4785)</f>
        <v/>
      </c>
      <c r="K4785">
        <f>IF(B4785&gt;=Settings!$C$5,1,0)</f>
        <v/>
      </c>
    </row>
    <row r="4786">
      <c r="A4786" t="inlineStr">
        <is>
          <t>3f00436e3415eabeafb77ba1fe5b6f87</t>
        </is>
      </c>
      <c r="B4786" s="29" t="n">
        <v>43116</v>
      </c>
      <c r="C4786" t="inlineStr">
        <is>
          <t>2018-01</t>
        </is>
      </c>
      <c r="D4786" t="inlineStr">
        <is>
          <t>007f9098284a86ee80ddeb25d53e0af8</t>
        </is>
      </c>
      <c r="E4786" t="inlineStr">
        <is>
          <t>paid_search</t>
        </is>
      </c>
      <c r="F4786">
        <f>IFERROR(MATCH(A4786,Deals!$A$2:$A$843,0),"")</f>
        <v/>
      </c>
      <c r="G4786">
        <f>IF(F4786="",0,1)</f>
        <v/>
      </c>
      <c r="H4786" s="29">
        <f>IF(F4786="","",INDEX(Deals!$E$2:$E$843,F4786))</f>
        <v/>
      </c>
      <c r="I4786">
        <f>IF(F4786="","",INDEX(Deals!$D$2:$D$843,F4786))</f>
        <v/>
      </c>
      <c r="J4786">
        <f>IF(F4786="","",INT(H4786)-B4786)</f>
        <v/>
      </c>
      <c r="K4786">
        <f>IF(B4786&gt;=Settings!$C$5,1,0)</f>
        <v/>
      </c>
    </row>
    <row r="4787">
      <c r="A4787" t="inlineStr">
        <is>
          <t>f191bee63afb73c64730435e063e61b1</t>
        </is>
      </c>
      <c r="B4787" s="29" t="n">
        <v>43208</v>
      </c>
      <c r="C4787" t="inlineStr">
        <is>
          <t>2018-04</t>
        </is>
      </c>
      <c r="D4787" t="inlineStr">
        <is>
          <t>40dec9f3d5259a3d2dbcdab2114fae47</t>
        </is>
      </c>
      <c r="E4787" t="inlineStr">
        <is>
          <t>direct_traffic</t>
        </is>
      </c>
      <c r="F4787">
        <f>IFERROR(MATCH(A4787,Deals!$A$2:$A$843,0),"")</f>
        <v/>
      </c>
      <c r="G4787">
        <f>IF(F4787="",0,1)</f>
        <v/>
      </c>
      <c r="H4787" s="29">
        <f>IF(F4787="","",INDEX(Deals!$E$2:$E$843,F4787))</f>
        <v/>
      </c>
      <c r="I4787">
        <f>IF(F4787="","",INDEX(Deals!$D$2:$D$843,F4787))</f>
        <v/>
      </c>
      <c r="J4787">
        <f>IF(F4787="","",INT(H4787)-B4787)</f>
        <v/>
      </c>
      <c r="K4787">
        <f>IF(B4787&gt;=Settings!$C$5,1,0)</f>
        <v/>
      </c>
    </row>
    <row r="4788">
      <c r="A4788" t="inlineStr">
        <is>
          <t>c5e28052b141b6bf37afd3b8356ffa32</t>
        </is>
      </c>
      <c r="B4788" s="29" t="n">
        <v>43232</v>
      </c>
      <c r="C4788" t="inlineStr">
        <is>
          <t>2018-05</t>
        </is>
      </c>
      <c r="D4788" t="inlineStr">
        <is>
          <t>7fa6214d82e911d070f51ef79381b956</t>
        </is>
      </c>
      <c r="E4788" t="inlineStr">
        <is>
          <t>paid_search</t>
        </is>
      </c>
      <c r="F4788">
        <f>IFERROR(MATCH(A4788,Deals!$A$2:$A$843,0),"")</f>
        <v/>
      </c>
      <c r="G4788">
        <f>IF(F4788="",0,1)</f>
        <v/>
      </c>
      <c r="H4788" s="29">
        <f>IF(F4788="","",INDEX(Deals!$E$2:$E$843,F4788))</f>
        <v/>
      </c>
      <c r="I4788">
        <f>IF(F4788="","",INDEX(Deals!$D$2:$D$843,F4788))</f>
        <v/>
      </c>
      <c r="J4788">
        <f>IF(F4788="","",INT(H4788)-B4788)</f>
        <v/>
      </c>
      <c r="K4788">
        <f>IF(B4788&gt;=Settings!$C$5,1,0)</f>
        <v/>
      </c>
    </row>
    <row r="4789">
      <c r="A4789" t="inlineStr">
        <is>
          <t>b4c7c814fe156fb44bac5948ab179f82</t>
        </is>
      </c>
      <c r="B4789" s="29" t="n">
        <v>43185</v>
      </c>
      <c r="C4789" t="inlineStr">
        <is>
          <t>2018-03</t>
        </is>
      </c>
      <c r="D4789" t="inlineStr">
        <is>
          <t>649b7b8b46b254497e92038d88f6ced8</t>
        </is>
      </c>
      <c r="E4789" t="inlineStr">
        <is>
          <t>social</t>
        </is>
      </c>
      <c r="F4789">
        <f>IFERROR(MATCH(A4789,Deals!$A$2:$A$843,0),"")</f>
        <v/>
      </c>
      <c r="G4789">
        <f>IF(F4789="",0,1)</f>
        <v/>
      </c>
      <c r="H4789" s="29">
        <f>IF(F4789="","",INDEX(Deals!$E$2:$E$843,F4789))</f>
        <v/>
      </c>
      <c r="I4789">
        <f>IF(F4789="","",INDEX(Deals!$D$2:$D$843,F4789))</f>
        <v/>
      </c>
      <c r="J4789">
        <f>IF(F4789="","",INT(H4789)-B4789)</f>
        <v/>
      </c>
      <c r="K4789">
        <f>IF(B4789&gt;=Settings!$C$5,1,0)</f>
        <v/>
      </c>
    </row>
    <row r="4790">
      <c r="A4790" t="inlineStr">
        <is>
          <t>7d35335f47d5d82b093aeee47a5b0a64</t>
        </is>
      </c>
      <c r="B4790" s="29" t="n">
        <v>43155</v>
      </c>
      <c r="C4790" t="inlineStr">
        <is>
          <t>2018-02</t>
        </is>
      </c>
      <c r="D4790" t="inlineStr">
        <is>
          <t>e492ee5eaf1697716985cc6f33f9cd9b</t>
        </is>
      </c>
      <c r="E4790" t="inlineStr">
        <is>
          <t>organic_search</t>
        </is>
      </c>
      <c r="F4790">
        <f>IFERROR(MATCH(A4790,Deals!$A$2:$A$843,0),"")</f>
        <v/>
      </c>
      <c r="G4790">
        <f>IF(F4790="",0,1)</f>
        <v/>
      </c>
      <c r="H4790" s="29">
        <f>IF(F4790="","",INDEX(Deals!$E$2:$E$843,F4790))</f>
        <v/>
      </c>
      <c r="I4790">
        <f>IF(F4790="","",INDEX(Deals!$D$2:$D$843,F4790))</f>
        <v/>
      </c>
      <c r="J4790">
        <f>IF(F4790="","",INT(H4790)-B4790)</f>
        <v/>
      </c>
      <c r="K4790">
        <f>IF(B4790&gt;=Settings!$C$5,1,0)</f>
        <v/>
      </c>
    </row>
    <row r="4791">
      <c r="A4791" t="inlineStr">
        <is>
          <t>3b3f06f94891410cd5cec559abe7cff8</t>
        </is>
      </c>
      <c r="B4791" s="29" t="n">
        <v>43192</v>
      </c>
      <c r="C4791" t="inlineStr">
        <is>
          <t>2018-04</t>
        </is>
      </c>
      <c r="D4791" t="inlineStr">
        <is>
          <t>a7982125ff7aa3b2054c6e44f9d28522</t>
        </is>
      </c>
      <c r="E4791" t="inlineStr">
        <is>
          <t>display</t>
        </is>
      </c>
      <c r="F4791">
        <f>IFERROR(MATCH(A4791,Deals!$A$2:$A$843,0),"")</f>
        <v/>
      </c>
      <c r="G4791">
        <f>IF(F4791="",0,1)</f>
        <v/>
      </c>
      <c r="H4791" s="29">
        <f>IF(F4791="","",INDEX(Deals!$E$2:$E$843,F4791))</f>
        <v/>
      </c>
      <c r="I4791">
        <f>IF(F4791="","",INDEX(Deals!$D$2:$D$843,F4791))</f>
        <v/>
      </c>
      <c r="J4791">
        <f>IF(F4791="","",INT(H4791)-B4791)</f>
        <v/>
      </c>
      <c r="K4791">
        <f>IF(B4791&gt;=Settings!$C$5,1,0)</f>
        <v/>
      </c>
    </row>
    <row r="4792">
      <c r="A4792" t="inlineStr">
        <is>
          <t>e195c8d9639740a0e9118526e45d4389</t>
        </is>
      </c>
      <c r="B4792" s="29" t="n">
        <v>42942</v>
      </c>
      <c r="C4792" t="inlineStr">
        <is>
          <t>2017-07</t>
        </is>
      </c>
      <c r="D4792" t="inlineStr">
        <is>
          <t>7eb40e4e44fef8bff604b621119446c7</t>
        </is>
      </c>
      <c r="E4792" t="inlineStr">
        <is>
          <t>referral</t>
        </is>
      </c>
      <c r="F4792">
        <f>IFERROR(MATCH(A4792,Deals!$A$2:$A$843,0),"")</f>
        <v/>
      </c>
      <c r="G4792">
        <f>IF(F4792="",0,1)</f>
        <v/>
      </c>
      <c r="H4792" s="29">
        <f>IF(F4792="","",INDEX(Deals!$E$2:$E$843,F4792))</f>
        <v/>
      </c>
      <c r="I4792">
        <f>IF(F4792="","",INDEX(Deals!$D$2:$D$843,F4792))</f>
        <v/>
      </c>
      <c r="J4792">
        <f>IF(F4792="","",INT(H4792)-B4792)</f>
        <v/>
      </c>
      <c r="K4792">
        <f>IF(B4792&gt;=Settings!$C$5,1,0)</f>
        <v/>
      </c>
    </row>
    <row r="4793">
      <c r="A4793" t="inlineStr">
        <is>
          <t>2e95ade370c3871fda51e03448bf1b20</t>
        </is>
      </c>
      <c r="B4793" s="29" t="n">
        <v>43132</v>
      </c>
      <c r="C4793" t="inlineStr">
        <is>
          <t>2018-02</t>
        </is>
      </c>
      <c r="D4793" t="inlineStr">
        <is>
          <t>40dec9f3d5259a3d2dbcdab2114fae47</t>
        </is>
      </c>
      <c r="E4793" t="inlineStr">
        <is>
          <t>paid_search</t>
        </is>
      </c>
      <c r="F4793">
        <f>IFERROR(MATCH(A4793,Deals!$A$2:$A$843,0),"")</f>
        <v/>
      </c>
      <c r="G4793">
        <f>IF(F4793="",0,1)</f>
        <v/>
      </c>
      <c r="H4793" s="29">
        <f>IF(F4793="","",INDEX(Deals!$E$2:$E$843,F4793))</f>
        <v/>
      </c>
      <c r="I4793">
        <f>IF(F4793="","",INDEX(Deals!$D$2:$D$843,F4793))</f>
        <v/>
      </c>
      <c r="J4793">
        <f>IF(F4793="","",INT(H4793)-B4793)</f>
        <v/>
      </c>
      <c r="K4793">
        <f>IF(B4793&gt;=Settings!$C$5,1,0)</f>
        <v/>
      </c>
    </row>
    <row r="4794">
      <c r="A4794" t="inlineStr">
        <is>
          <t>dd61b41d5b91a9a09e504f025a87553b</t>
        </is>
      </c>
      <c r="B4794" s="29" t="n">
        <v>43124</v>
      </c>
      <c r="C4794" t="inlineStr">
        <is>
          <t>2018-01</t>
        </is>
      </c>
      <c r="D4794" t="inlineStr">
        <is>
          <t>22c29808c4f815213303f8933030604c</t>
        </is>
      </c>
      <c r="E4794" t="inlineStr">
        <is>
          <t>organic_search</t>
        </is>
      </c>
      <c r="F4794">
        <f>IFERROR(MATCH(A4794,Deals!$A$2:$A$843,0),"")</f>
        <v/>
      </c>
      <c r="G4794">
        <f>IF(F4794="",0,1)</f>
        <v/>
      </c>
      <c r="H4794" s="29">
        <f>IF(F4794="","",INDEX(Deals!$E$2:$E$843,F4794))</f>
        <v/>
      </c>
      <c r="I4794">
        <f>IF(F4794="","",INDEX(Deals!$D$2:$D$843,F4794))</f>
        <v/>
      </c>
      <c r="J4794">
        <f>IF(F4794="","",INT(H4794)-B4794)</f>
        <v/>
      </c>
      <c r="K4794">
        <f>IF(B4794&gt;=Settings!$C$5,1,0)</f>
        <v/>
      </c>
    </row>
    <row r="4795">
      <c r="A4795" t="inlineStr">
        <is>
          <t>446a291b5674ca638ddfa8c596748875</t>
        </is>
      </c>
      <c r="B4795" s="29" t="n">
        <v>43221</v>
      </c>
      <c r="C4795" t="inlineStr">
        <is>
          <t>2018-05</t>
        </is>
      </c>
      <c r="D4795" t="inlineStr">
        <is>
          <t>b76ef37428e6799c421989521c0e5077</t>
        </is>
      </c>
      <c r="E4795" t="inlineStr">
        <is>
          <t>unknown</t>
        </is>
      </c>
      <c r="F4795">
        <f>IFERROR(MATCH(A4795,Deals!$A$2:$A$843,0),"")</f>
        <v/>
      </c>
      <c r="G4795">
        <f>IF(F4795="",0,1)</f>
        <v/>
      </c>
      <c r="H4795" s="29">
        <f>IF(F4795="","",INDEX(Deals!$E$2:$E$843,F4795))</f>
        <v/>
      </c>
      <c r="I4795">
        <f>IF(F4795="","",INDEX(Deals!$D$2:$D$843,F4795))</f>
        <v/>
      </c>
      <c r="J4795">
        <f>IF(F4795="","",INT(H4795)-B4795)</f>
        <v/>
      </c>
      <c r="K4795">
        <f>IF(B4795&gt;=Settings!$C$5,1,0)</f>
        <v/>
      </c>
    </row>
    <row r="4796">
      <c r="A4796" t="inlineStr">
        <is>
          <t>52a12674622f5d70124e38fe9fa8fcac</t>
        </is>
      </c>
      <c r="B4796" s="29" t="n">
        <v>43242</v>
      </c>
      <c r="C4796" t="inlineStr">
        <is>
          <t>2018-05</t>
        </is>
      </c>
      <c r="D4796" t="inlineStr">
        <is>
          <t>fa5a0151e1f37d0055a3478fbb48827a</t>
        </is>
      </c>
      <c r="E4796" t="inlineStr">
        <is>
          <t>paid_search</t>
        </is>
      </c>
      <c r="F4796">
        <f>IFERROR(MATCH(A4796,Deals!$A$2:$A$843,0),"")</f>
        <v/>
      </c>
      <c r="G4796">
        <f>IF(F4796="",0,1)</f>
        <v/>
      </c>
      <c r="H4796" s="29">
        <f>IF(F4796="","",INDEX(Deals!$E$2:$E$843,F4796))</f>
        <v/>
      </c>
      <c r="I4796">
        <f>IF(F4796="","",INDEX(Deals!$D$2:$D$843,F4796))</f>
        <v/>
      </c>
      <c r="J4796">
        <f>IF(F4796="","",INT(H4796)-B4796)</f>
        <v/>
      </c>
      <c r="K4796">
        <f>IF(B4796&gt;=Settings!$C$5,1,0)</f>
        <v/>
      </c>
    </row>
    <row r="4797">
      <c r="A4797" t="inlineStr">
        <is>
          <t>d7facbd2b01e0596ed7115dbdc49df43</t>
        </is>
      </c>
      <c r="B4797" s="29" t="n">
        <v>42947</v>
      </c>
      <c r="C4797" t="inlineStr">
        <is>
          <t>2017-07</t>
        </is>
      </c>
      <c r="D4797" t="inlineStr">
        <is>
          <t>3cd2a8301d5395f21cdd3094c9eaa2f4</t>
        </is>
      </c>
      <c r="E4797" t="inlineStr">
        <is>
          <t>direct_traffic</t>
        </is>
      </c>
      <c r="F4797">
        <f>IFERROR(MATCH(A4797,Deals!$A$2:$A$843,0),"")</f>
        <v/>
      </c>
      <c r="G4797">
        <f>IF(F4797="",0,1)</f>
        <v/>
      </c>
      <c r="H4797" s="29">
        <f>IF(F4797="","",INDEX(Deals!$E$2:$E$843,F4797))</f>
        <v/>
      </c>
      <c r="I4797">
        <f>IF(F4797="","",INDEX(Deals!$D$2:$D$843,F4797))</f>
        <v/>
      </c>
      <c r="J4797">
        <f>IF(F4797="","",INT(H4797)-B4797)</f>
        <v/>
      </c>
      <c r="K4797">
        <f>IF(B4797&gt;=Settings!$C$5,1,0)</f>
        <v/>
      </c>
    </row>
    <row r="4798">
      <c r="A4798" t="inlineStr">
        <is>
          <t>61ae94caa4df330f8633334fa4cdc804</t>
        </is>
      </c>
      <c r="B4798" s="29" t="n">
        <v>43153</v>
      </c>
      <c r="C4798" t="inlineStr">
        <is>
          <t>2018-02</t>
        </is>
      </c>
      <c r="D4798" t="inlineStr">
        <is>
          <t>2228a43ac0bc372e25f9569e69fc9015</t>
        </is>
      </c>
      <c r="E4798" t="inlineStr">
        <is>
          <t>unknown</t>
        </is>
      </c>
      <c r="F4798">
        <f>IFERROR(MATCH(A4798,Deals!$A$2:$A$843,0),"")</f>
        <v/>
      </c>
      <c r="G4798">
        <f>IF(F4798="",0,1)</f>
        <v/>
      </c>
      <c r="H4798" s="29">
        <f>IF(F4798="","",INDEX(Deals!$E$2:$E$843,F4798))</f>
        <v/>
      </c>
      <c r="I4798">
        <f>IF(F4798="","",INDEX(Deals!$D$2:$D$843,F4798))</f>
        <v/>
      </c>
      <c r="J4798">
        <f>IF(F4798="","",INT(H4798)-B4798)</f>
        <v/>
      </c>
      <c r="K4798">
        <f>IF(B4798&gt;=Settings!$C$5,1,0)</f>
        <v/>
      </c>
    </row>
    <row r="4799">
      <c r="A4799" t="inlineStr">
        <is>
          <t>dbb2f657507d0df59c4a0c2481f71134</t>
        </is>
      </c>
      <c r="B4799" s="29" t="n">
        <v>43105</v>
      </c>
      <c r="C4799" t="inlineStr">
        <is>
          <t>2018-01</t>
        </is>
      </c>
      <c r="D4799" t="inlineStr">
        <is>
          <t>22c29808c4f815213303f8933030604c</t>
        </is>
      </c>
      <c r="E4799" t="inlineStr">
        <is>
          <t>organic_search</t>
        </is>
      </c>
      <c r="F4799">
        <f>IFERROR(MATCH(A4799,Deals!$A$2:$A$843,0),"")</f>
        <v/>
      </c>
      <c r="G4799">
        <f>IF(F4799="",0,1)</f>
        <v/>
      </c>
      <c r="H4799" s="29">
        <f>IF(F4799="","",INDEX(Deals!$E$2:$E$843,F4799))</f>
        <v/>
      </c>
      <c r="I4799">
        <f>IF(F4799="","",INDEX(Deals!$D$2:$D$843,F4799))</f>
        <v/>
      </c>
      <c r="J4799">
        <f>IF(F4799="","",INT(H4799)-B4799)</f>
        <v/>
      </c>
      <c r="K4799">
        <f>IF(B4799&gt;=Settings!$C$5,1,0)</f>
        <v/>
      </c>
    </row>
    <row r="4800">
      <c r="A4800" t="inlineStr">
        <is>
          <t>8b0a6e823972477463ff90b9e804a70c</t>
        </is>
      </c>
      <c r="B4800" s="29" t="n">
        <v>43123</v>
      </c>
      <c r="C4800" t="inlineStr">
        <is>
          <t>2018-01</t>
        </is>
      </c>
      <c r="D4800" t="inlineStr">
        <is>
          <t>1d4ddc25ccaa2adeded340b6eda66182</t>
        </is>
      </c>
      <c r="E4800" t="inlineStr">
        <is>
          <t>direct_traffic</t>
        </is>
      </c>
      <c r="F4800">
        <f>IFERROR(MATCH(A4800,Deals!$A$2:$A$843,0),"")</f>
        <v/>
      </c>
      <c r="G4800">
        <f>IF(F4800="",0,1)</f>
        <v/>
      </c>
      <c r="H4800" s="29">
        <f>IF(F4800="","",INDEX(Deals!$E$2:$E$843,F4800))</f>
        <v/>
      </c>
      <c r="I4800">
        <f>IF(F4800="","",INDEX(Deals!$D$2:$D$843,F4800))</f>
        <v/>
      </c>
      <c r="J4800">
        <f>IF(F4800="","",INT(H4800)-B4800)</f>
        <v/>
      </c>
      <c r="K4800">
        <f>IF(B4800&gt;=Settings!$C$5,1,0)</f>
        <v/>
      </c>
    </row>
    <row r="4801">
      <c r="A4801" t="inlineStr">
        <is>
          <t>54ba329c7cf69f8cc79445f2cacd2dff</t>
        </is>
      </c>
      <c r="B4801" s="29" t="n">
        <v>43017</v>
      </c>
      <c r="C4801" t="inlineStr">
        <is>
          <t>2017-10</t>
        </is>
      </c>
      <c r="D4801" t="inlineStr">
        <is>
          <t>b76ef37428e6799c421989521c0e5077</t>
        </is>
      </c>
      <c r="E4801" t="inlineStr">
        <is>
          <t>unknown</t>
        </is>
      </c>
      <c r="F4801">
        <f>IFERROR(MATCH(A4801,Deals!$A$2:$A$843,0),"")</f>
        <v/>
      </c>
      <c r="G4801">
        <f>IF(F4801="",0,1)</f>
        <v/>
      </c>
      <c r="H4801" s="29">
        <f>IF(F4801="","",INDEX(Deals!$E$2:$E$843,F4801))</f>
        <v/>
      </c>
      <c r="I4801">
        <f>IF(F4801="","",INDEX(Deals!$D$2:$D$843,F4801))</f>
        <v/>
      </c>
      <c r="J4801">
        <f>IF(F4801="","",INT(H4801)-B4801)</f>
        <v/>
      </c>
      <c r="K4801">
        <f>IF(B4801&gt;=Settings!$C$5,1,0)</f>
        <v/>
      </c>
    </row>
    <row r="4802">
      <c r="A4802" t="inlineStr">
        <is>
          <t>7602980244b8793fb90d3bfb3bef1639</t>
        </is>
      </c>
      <c r="B4802" s="29" t="n">
        <v>43131</v>
      </c>
      <c r="C4802" t="inlineStr">
        <is>
          <t>2018-01</t>
        </is>
      </c>
      <c r="D4802" t="inlineStr">
        <is>
          <t>c30d0b4337fd05444a3fe502562508d1</t>
        </is>
      </c>
      <c r="E4802" t="inlineStr">
        <is>
          <t>organic_search</t>
        </is>
      </c>
      <c r="F4802">
        <f>IFERROR(MATCH(A4802,Deals!$A$2:$A$843,0),"")</f>
        <v/>
      </c>
      <c r="G4802">
        <f>IF(F4802="",0,1)</f>
        <v/>
      </c>
      <c r="H4802" s="29">
        <f>IF(F4802="","",INDEX(Deals!$E$2:$E$843,F4802))</f>
        <v/>
      </c>
      <c r="I4802">
        <f>IF(F4802="","",INDEX(Deals!$D$2:$D$843,F4802))</f>
        <v/>
      </c>
      <c r="J4802">
        <f>IF(F4802="","",INT(H4802)-B4802)</f>
        <v/>
      </c>
      <c r="K4802">
        <f>IF(B4802&gt;=Settings!$C$5,1,0)</f>
        <v/>
      </c>
    </row>
    <row r="4803">
      <c r="A4803" t="inlineStr">
        <is>
          <t>27750161b72331d1b1cad81cf19f315b</t>
        </is>
      </c>
      <c r="B4803" s="29" t="n">
        <v>43137</v>
      </c>
      <c r="C4803" t="inlineStr">
        <is>
          <t>2018-02</t>
        </is>
      </c>
      <c r="D4803" t="inlineStr">
        <is>
          <t>b76ef37428e6799c421989521c0e5077</t>
        </is>
      </c>
      <c r="E4803" t="inlineStr">
        <is>
          <t>paid_search</t>
        </is>
      </c>
      <c r="F4803">
        <f>IFERROR(MATCH(A4803,Deals!$A$2:$A$843,0),"")</f>
        <v/>
      </c>
      <c r="G4803">
        <f>IF(F4803="",0,1)</f>
        <v/>
      </c>
      <c r="H4803" s="29">
        <f>IF(F4803="","",INDEX(Deals!$E$2:$E$843,F4803))</f>
        <v/>
      </c>
      <c r="I4803">
        <f>IF(F4803="","",INDEX(Deals!$D$2:$D$843,F4803))</f>
        <v/>
      </c>
      <c r="J4803">
        <f>IF(F4803="","",INT(H4803)-B4803)</f>
        <v/>
      </c>
      <c r="K4803">
        <f>IF(B4803&gt;=Settings!$C$5,1,0)</f>
        <v/>
      </c>
    </row>
    <row r="4804">
      <c r="A4804" t="inlineStr">
        <is>
          <t>3e851d689e10f4b1b1385ce82cf0cd1f</t>
        </is>
      </c>
      <c r="B4804" s="29" t="n">
        <v>43185</v>
      </c>
      <c r="C4804" t="inlineStr">
        <is>
          <t>2018-03</t>
        </is>
      </c>
      <c r="D4804" t="inlineStr">
        <is>
          <t>5679ae2329cbad78cdf97737d11bad06</t>
        </is>
      </c>
      <c r="E4804" t="inlineStr">
        <is>
          <t>direct_traffic</t>
        </is>
      </c>
      <c r="F4804">
        <f>IFERROR(MATCH(A4804,Deals!$A$2:$A$843,0),"")</f>
        <v/>
      </c>
      <c r="G4804">
        <f>IF(F4804="",0,1)</f>
        <v/>
      </c>
      <c r="H4804" s="29">
        <f>IF(F4804="","",INDEX(Deals!$E$2:$E$843,F4804))</f>
        <v/>
      </c>
      <c r="I4804">
        <f>IF(F4804="","",INDEX(Deals!$D$2:$D$843,F4804))</f>
        <v/>
      </c>
      <c r="J4804">
        <f>IF(F4804="","",INT(H4804)-B4804)</f>
        <v/>
      </c>
      <c r="K4804">
        <f>IF(B4804&gt;=Settings!$C$5,1,0)</f>
        <v/>
      </c>
    </row>
    <row r="4805">
      <c r="A4805" t="inlineStr">
        <is>
          <t>cbe674ba9bc1702bf55e91103db4a022</t>
        </is>
      </c>
      <c r="B4805" s="29" t="n">
        <v>42939</v>
      </c>
      <c r="C4805" t="inlineStr">
        <is>
          <t>2017-07</t>
        </is>
      </c>
      <c r="D4805" t="inlineStr">
        <is>
          <t>91dbdf987124ca09b297bd87f06b5e64</t>
        </is>
      </c>
      <c r="E4805" t="inlineStr">
        <is>
          <t>paid_search</t>
        </is>
      </c>
      <c r="F4805">
        <f>IFERROR(MATCH(A4805,Deals!$A$2:$A$843,0),"")</f>
        <v/>
      </c>
      <c r="G4805">
        <f>IF(F4805="",0,1)</f>
        <v/>
      </c>
      <c r="H4805" s="29">
        <f>IF(F4805="","",INDEX(Deals!$E$2:$E$843,F4805))</f>
        <v/>
      </c>
      <c r="I4805">
        <f>IF(F4805="","",INDEX(Deals!$D$2:$D$843,F4805))</f>
        <v/>
      </c>
      <c r="J4805">
        <f>IF(F4805="","",INT(H4805)-B4805)</f>
        <v/>
      </c>
      <c r="K4805">
        <f>IF(B4805&gt;=Settings!$C$5,1,0)</f>
        <v/>
      </c>
    </row>
    <row r="4806">
      <c r="A4806" t="inlineStr">
        <is>
          <t>a7f3f490c7f84e0169307b56f9f474f7</t>
        </is>
      </c>
      <c r="B4806" s="29" t="n">
        <v>43222</v>
      </c>
      <c r="C4806" t="inlineStr">
        <is>
          <t>2018-05</t>
        </is>
      </c>
      <c r="D4806" t="inlineStr">
        <is>
          <t>f80696b73d17fb34f5c4fde157f119d8</t>
        </is>
      </c>
      <c r="E4806" t="inlineStr">
        <is>
          <t>organic_search</t>
        </is>
      </c>
      <c r="F4806">
        <f>IFERROR(MATCH(A4806,Deals!$A$2:$A$843,0),"")</f>
        <v/>
      </c>
      <c r="G4806">
        <f>IF(F4806="",0,1)</f>
        <v/>
      </c>
      <c r="H4806" s="29">
        <f>IF(F4806="","",INDEX(Deals!$E$2:$E$843,F4806))</f>
        <v/>
      </c>
      <c r="I4806">
        <f>IF(F4806="","",INDEX(Deals!$D$2:$D$843,F4806))</f>
        <v/>
      </c>
      <c r="J4806">
        <f>IF(F4806="","",INT(H4806)-B4806)</f>
        <v/>
      </c>
      <c r="K4806">
        <f>IF(B4806&gt;=Settings!$C$5,1,0)</f>
        <v/>
      </c>
    </row>
    <row r="4807">
      <c r="A4807" t="inlineStr">
        <is>
          <t>3ad933a1f8e366828cbfc88b038fa41e</t>
        </is>
      </c>
      <c r="B4807" s="29" t="n">
        <v>42957</v>
      </c>
      <c r="C4807" t="inlineStr">
        <is>
          <t>2017-08</t>
        </is>
      </c>
      <c r="D4807" t="inlineStr">
        <is>
          <t>57d5edb1844a746128fd1274524b94c7</t>
        </is>
      </c>
      <c r="E4807" t="inlineStr">
        <is>
          <t>organic_search</t>
        </is>
      </c>
      <c r="F4807">
        <f>IFERROR(MATCH(A4807,Deals!$A$2:$A$843,0),"")</f>
        <v/>
      </c>
      <c r="G4807">
        <f>IF(F4807="",0,1)</f>
        <v/>
      </c>
      <c r="H4807" s="29">
        <f>IF(F4807="","",INDEX(Deals!$E$2:$E$843,F4807))</f>
        <v/>
      </c>
      <c r="I4807">
        <f>IF(F4807="","",INDEX(Deals!$D$2:$D$843,F4807))</f>
        <v/>
      </c>
      <c r="J4807">
        <f>IF(F4807="","",INT(H4807)-B4807)</f>
        <v/>
      </c>
      <c r="K4807">
        <f>IF(B4807&gt;=Settings!$C$5,1,0)</f>
        <v/>
      </c>
    </row>
    <row r="4808">
      <c r="A4808" t="inlineStr">
        <is>
          <t>d291ad2a5e01e7ffd844632afa3defda</t>
        </is>
      </c>
      <c r="B4808" s="29" t="n">
        <v>43209</v>
      </c>
      <c r="C4808" t="inlineStr">
        <is>
          <t>2018-04</t>
        </is>
      </c>
      <c r="D4808" t="inlineStr">
        <is>
          <t>7fa6214d82e911d070f51ef79381b956</t>
        </is>
      </c>
      <c r="E4808" t="inlineStr">
        <is>
          <t>direct_traffic</t>
        </is>
      </c>
      <c r="F4808">
        <f>IFERROR(MATCH(A4808,Deals!$A$2:$A$843,0),"")</f>
        <v/>
      </c>
      <c r="G4808">
        <f>IF(F4808="",0,1)</f>
        <v/>
      </c>
      <c r="H4808" s="29">
        <f>IF(F4808="","",INDEX(Deals!$E$2:$E$843,F4808))</f>
        <v/>
      </c>
      <c r="I4808">
        <f>IF(F4808="","",INDEX(Deals!$D$2:$D$843,F4808))</f>
        <v/>
      </c>
      <c r="J4808">
        <f>IF(F4808="","",INT(H4808)-B4808)</f>
        <v/>
      </c>
      <c r="K4808">
        <f>IF(B4808&gt;=Settings!$C$5,1,0)</f>
        <v/>
      </c>
    </row>
    <row r="4809">
      <c r="A4809" t="inlineStr">
        <is>
          <t>44d37f9019983d92ead37f855133415b</t>
        </is>
      </c>
      <c r="B4809" s="29" t="n">
        <v>43060</v>
      </c>
      <c r="C4809" t="inlineStr">
        <is>
          <t>2017-11</t>
        </is>
      </c>
      <c r="D4809" t="inlineStr">
        <is>
          <t>f017be4dbf86243af5c1ebed0cff36a2</t>
        </is>
      </c>
      <c r="E4809" t="inlineStr">
        <is>
          <t>organic_search</t>
        </is>
      </c>
      <c r="F4809">
        <f>IFERROR(MATCH(A4809,Deals!$A$2:$A$843,0),"")</f>
        <v/>
      </c>
      <c r="G4809">
        <f>IF(F4809="",0,1)</f>
        <v/>
      </c>
      <c r="H4809" s="29">
        <f>IF(F4809="","",INDEX(Deals!$E$2:$E$843,F4809))</f>
        <v/>
      </c>
      <c r="I4809">
        <f>IF(F4809="","",INDEX(Deals!$D$2:$D$843,F4809))</f>
        <v/>
      </c>
      <c r="J4809">
        <f>IF(F4809="","",INT(H4809)-B4809)</f>
        <v/>
      </c>
      <c r="K4809">
        <f>IF(B4809&gt;=Settings!$C$5,1,0)</f>
        <v/>
      </c>
    </row>
    <row r="4810">
      <c r="A4810" t="inlineStr">
        <is>
          <t>7714ab6ab1ea68593e80de97752745e8</t>
        </is>
      </c>
      <c r="B4810" s="29" t="n">
        <v>43005</v>
      </c>
      <c r="C4810" t="inlineStr">
        <is>
          <t>2017-09</t>
        </is>
      </c>
      <c r="D4810" t="inlineStr">
        <is>
          <t>82ce7345d29d3003d376f9382fc0eba0</t>
        </is>
      </c>
      <c r="E4810" t="inlineStr">
        <is>
          <t>organic_search</t>
        </is>
      </c>
      <c r="F4810">
        <f>IFERROR(MATCH(A4810,Deals!$A$2:$A$843,0),"")</f>
        <v/>
      </c>
      <c r="G4810">
        <f>IF(F4810="",0,1)</f>
        <v/>
      </c>
      <c r="H4810" s="29">
        <f>IF(F4810="","",INDEX(Deals!$E$2:$E$843,F4810))</f>
        <v/>
      </c>
      <c r="I4810">
        <f>IF(F4810="","",INDEX(Deals!$D$2:$D$843,F4810))</f>
        <v/>
      </c>
      <c r="J4810">
        <f>IF(F4810="","",INT(H4810)-B4810)</f>
        <v/>
      </c>
      <c r="K4810">
        <f>IF(B4810&gt;=Settings!$C$5,1,0)</f>
        <v/>
      </c>
    </row>
    <row r="4811">
      <c r="A4811" t="inlineStr">
        <is>
          <t>9ee2b9c532316ec51fae945b6b7b8cf8</t>
        </is>
      </c>
      <c r="B4811" s="29" t="n">
        <v>43069</v>
      </c>
      <c r="C4811" t="inlineStr">
        <is>
          <t>2017-11</t>
        </is>
      </c>
      <c r="D4811" t="inlineStr">
        <is>
          <t>58f8c0a253663304e348e81298bc255e</t>
        </is>
      </c>
      <c r="E4811" t="inlineStr">
        <is>
          <t>organic_search</t>
        </is>
      </c>
      <c r="F4811">
        <f>IFERROR(MATCH(A4811,Deals!$A$2:$A$843,0),"")</f>
        <v/>
      </c>
      <c r="G4811">
        <f>IF(F4811="",0,1)</f>
        <v/>
      </c>
      <c r="H4811" s="29">
        <f>IF(F4811="","",INDEX(Deals!$E$2:$E$843,F4811))</f>
        <v/>
      </c>
      <c r="I4811">
        <f>IF(F4811="","",INDEX(Deals!$D$2:$D$843,F4811))</f>
        <v/>
      </c>
      <c r="J4811">
        <f>IF(F4811="","",INT(H4811)-B4811)</f>
        <v/>
      </c>
      <c r="K4811">
        <f>IF(B4811&gt;=Settings!$C$5,1,0)</f>
        <v/>
      </c>
    </row>
    <row r="4812">
      <c r="A4812" t="inlineStr">
        <is>
          <t>ae922cf52884c98814fdc2d6ea786719</t>
        </is>
      </c>
      <c r="B4812" s="29" t="n">
        <v>43157</v>
      </c>
      <c r="C4812" t="inlineStr">
        <is>
          <t>2018-02</t>
        </is>
      </c>
      <c r="D4812" t="inlineStr">
        <is>
          <t>bddebc4f4d44106c427bd00695840e64</t>
        </is>
      </c>
      <c r="E4812" t="inlineStr">
        <is>
          <t>referral</t>
        </is>
      </c>
      <c r="F4812">
        <f>IFERROR(MATCH(A4812,Deals!$A$2:$A$843,0),"")</f>
        <v/>
      </c>
      <c r="G4812">
        <f>IF(F4812="",0,1)</f>
        <v/>
      </c>
      <c r="H4812" s="29">
        <f>IF(F4812="","",INDEX(Deals!$E$2:$E$843,F4812))</f>
        <v/>
      </c>
      <c r="I4812">
        <f>IF(F4812="","",INDEX(Deals!$D$2:$D$843,F4812))</f>
        <v/>
      </c>
      <c r="J4812">
        <f>IF(F4812="","",INT(H4812)-B4812)</f>
        <v/>
      </c>
      <c r="K4812">
        <f>IF(B4812&gt;=Settings!$C$5,1,0)</f>
        <v/>
      </c>
    </row>
    <row r="4813">
      <c r="A4813" t="inlineStr">
        <is>
          <t>34547f7d214265ed715e40b7e2866272</t>
        </is>
      </c>
      <c r="B4813" s="29" t="n">
        <v>42985</v>
      </c>
      <c r="C4813" t="inlineStr">
        <is>
          <t>2017-09</t>
        </is>
      </c>
      <c r="D4813" t="inlineStr">
        <is>
          <t>22c29808c4f815213303f8933030604c</t>
        </is>
      </c>
      <c r="E4813" t="inlineStr">
        <is>
          <t>direct_traffic</t>
        </is>
      </c>
      <c r="F4813">
        <f>IFERROR(MATCH(A4813,Deals!$A$2:$A$843,0),"")</f>
        <v/>
      </c>
      <c r="G4813">
        <f>IF(F4813="",0,1)</f>
        <v/>
      </c>
      <c r="H4813" s="29">
        <f>IF(F4813="","",INDEX(Deals!$E$2:$E$843,F4813))</f>
        <v/>
      </c>
      <c r="I4813">
        <f>IF(F4813="","",INDEX(Deals!$D$2:$D$843,F4813))</f>
        <v/>
      </c>
      <c r="J4813">
        <f>IF(F4813="","",INT(H4813)-B4813)</f>
        <v/>
      </c>
      <c r="K4813">
        <f>IF(B4813&gt;=Settings!$C$5,1,0)</f>
        <v/>
      </c>
    </row>
    <row r="4814">
      <c r="A4814" t="inlineStr">
        <is>
          <t>601970c3dd46aedab36f193c9b381065</t>
        </is>
      </c>
      <c r="B4814" s="29" t="n">
        <v>43208</v>
      </c>
      <c r="C4814" t="inlineStr">
        <is>
          <t>2018-04</t>
        </is>
      </c>
      <c r="D4814" t="inlineStr">
        <is>
          <t>58326e62183c14b0c03085c33b9fdc44</t>
        </is>
      </c>
      <c r="E4814" t="inlineStr">
        <is>
          <t>social</t>
        </is>
      </c>
      <c r="F4814">
        <f>IFERROR(MATCH(A4814,Deals!$A$2:$A$843,0),"")</f>
        <v/>
      </c>
      <c r="G4814">
        <f>IF(F4814="",0,1)</f>
        <v/>
      </c>
      <c r="H4814" s="29">
        <f>IF(F4814="","",INDEX(Deals!$E$2:$E$843,F4814))</f>
        <v/>
      </c>
      <c r="I4814">
        <f>IF(F4814="","",INDEX(Deals!$D$2:$D$843,F4814))</f>
        <v/>
      </c>
      <c r="J4814">
        <f>IF(F4814="","",INT(H4814)-B4814)</f>
        <v/>
      </c>
      <c r="K4814">
        <f>IF(B4814&gt;=Settings!$C$5,1,0)</f>
        <v/>
      </c>
    </row>
    <row r="4815">
      <c r="A4815" t="inlineStr">
        <is>
          <t>28aa9a7dc657760d51fc6f31b0de2b6c</t>
        </is>
      </c>
      <c r="B4815" s="29" t="n">
        <v>43166</v>
      </c>
      <c r="C4815" t="inlineStr">
        <is>
          <t>2018-03</t>
        </is>
      </c>
      <c r="D4815" t="inlineStr">
        <is>
          <t>22c29808c4f815213303f8933030604c</t>
        </is>
      </c>
      <c r="E4815" t="inlineStr">
        <is>
          <t>paid_search</t>
        </is>
      </c>
      <c r="F4815">
        <f>IFERROR(MATCH(A4815,Deals!$A$2:$A$843,0),"")</f>
        <v/>
      </c>
      <c r="G4815">
        <f>IF(F4815="",0,1)</f>
        <v/>
      </c>
      <c r="H4815" s="29">
        <f>IF(F4815="","",INDEX(Deals!$E$2:$E$843,F4815))</f>
        <v/>
      </c>
      <c r="I4815">
        <f>IF(F4815="","",INDEX(Deals!$D$2:$D$843,F4815))</f>
        <v/>
      </c>
      <c r="J4815">
        <f>IF(F4815="","",INT(H4815)-B4815)</f>
        <v/>
      </c>
      <c r="K4815">
        <f>IF(B4815&gt;=Settings!$C$5,1,0)</f>
        <v/>
      </c>
    </row>
    <row r="4816">
      <c r="A4816" t="inlineStr">
        <is>
          <t>114785876eb0846158d3620567ae7398</t>
        </is>
      </c>
      <c r="B4816" s="29" t="n">
        <v>43206</v>
      </c>
      <c r="C4816" t="inlineStr">
        <is>
          <t>2018-04</t>
        </is>
      </c>
      <c r="D4816" t="inlineStr">
        <is>
          <t>9fa37f5177115156b1814ffc237402a6</t>
        </is>
      </c>
      <c r="E4816" t="inlineStr">
        <is>
          <t>paid_search</t>
        </is>
      </c>
      <c r="F4816">
        <f>IFERROR(MATCH(A4816,Deals!$A$2:$A$843,0),"")</f>
        <v/>
      </c>
      <c r="G4816">
        <f>IF(F4816="",0,1)</f>
        <v/>
      </c>
      <c r="H4816" s="29">
        <f>IF(F4816="","",INDEX(Deals!$E$2:$E$843,F4816))</f>
        <v/>
      </c>
      <c r="I4816">
        <f>IF(F4816="","",INDEX(Deals!$D$2:$D$843,F4816))</f>
        <v/>
      </c>
      <c r="J4816">
        <f>IF(F4816="","",INT(H4816)-B4816)</f>
        <v/>
      </c>
      <c r="K4816">
        <f>IF(B4816&gt;=Settings!$C$5,1,0)</f>
        <v/>
      </c>
    </row>
    <row r="4817">
      <c r="A4817" t="inlineStr">
        <is>
          <t>da67c5310469d8c3edabf91e7ee99471</t>
        </is>
      </c>
      <c r="B4817" s="29" t="n">
        <v>43110</v>
      </c>
      <c r="C4817" t="inlineStr">
        <is>
          <t>2018-01</t>
        </is>
      </c>
      <c r="D4817" t="inlineStr">
        <is>
          <t>a7982125ff7aa3b2054c6e44f9d28522</t>
        </is>
      </c>
      <c r="E4817" t="inlineStr">
        <is>
          <t>display</t>
        </is>
      </c>
      <c r="F4817">
        <f>IFERROR(MATCH(A4817,Deals!$A$2:$A$843,0),"")</f>
        <v/>
      </c>
      <c r="G4817">
        <f>IF(F4817="",0,1)</f>
        <v/>
      </c>
      <c r="H4817" s="29">
        <f>IF(F4817="","",INDEX(Deals!$E$2:$E$843,F4817))</f>
        <v/>
      </c>
      <c r="I4817">
        <f>IF(F4817="","",INDEX(Deals!$D$2:$D$843,F4817))</f>
        <v/>
      </c>
      <c r="J4817">
        <f>IF(F4817="","",INT(H4817)-B4817)</f>
        <v/>
      </c>
      <c r="K4817">
        <f>IF(B4817&gt;=Settings!$C$5,1,0)</f>
        <v/>
      </c>
    </row>
    <row r="4818">
      <c r="A4818" t="inlineStr">
        <is>
          <t>c242ee43f6d34d89ee71b02fbc5e88a7</t>
        </is>
      </c>
      <c r="B4818" s="29" t="n">
        <v>43125</v>
      </c>
      <c r="C4818" t="inlineStr">
        <is>
          <t>2018-01</t>
        </is>
      </c>
      <c r="D4818" t="inlineStr">
        <is>
          <t>37cf94070e940a694969304de58debe1</t>
        </is>
      </c>
      <c r="E4818" t="inlineStr">
        <is>
          <t>referral</t>
        </is>
      </c>
      <c r="F4818">
        <f>IFERROR(MATCH(A4818,Deals!$A$2:$A$843,0),"")</f>
        <v/>
      </c>
      <c r="G4818">
        <f>IF(F4818="",0,1)</f>
        <v/>
      </c>
      <c r="H4818" s="29">
        <f>IF(F4818="","",INDEX(Deals!$E$2:$E$843,F4818))</f>
        <v/>
      </c>
      <c r="I4818">
        <f>IF(F4818="","",INDEX(Deals!$D$2:$D$843,F4818))</f>
        <v/>
      </c>
      <c r="J4818">
        <f>IF(F4818="","",INT(H4818)-B4818)</f>
        <v/>
      </c>
      <c r="K4818">
        <f>IF(B4818&gt;=Settings!$C$5,1,0)</f>
        <v/>
      </c>
    </row>
    <row r="4819">
      <c r="A4819" t="inlineStr">
        <is>
          <t>d763cdb506b75d273b864de2ed69058f</t>
        </is>
      </c>
      <c r="B4819" s="29" t="n">
        <v>43143</v>
      </c>
      <c r="C4819" t="inlineStr">
        <is>
          <t>2018-02</t>
        </is>
      </c>
      <c r="D4819" t="inlineStr">
        <is>
          <t>b76ef37428e6799c421989521c0e5077</t>
        </is>
      </c>
      <c r="E4819" t="inlineStr">
        <is>
          <t>unknown</t>
        </is>
      </c>
      <c r="F4819">
        <f>IFERROR(MATCH(A4819,Deals!$A$2:$A$843,0),"")</f>
        <v/>
      </c>
      <c r="G4819">
        <f>IF(F4819="",0,1)</f>
        <v/>
      </c>
      <c r="H4819" s="29">
        <f>IF(F4819="","",INDEX(Deals!$E$2:$E$843,F4819))</f>
        <v/>
      </c>
      <c r="I4819">
        <f>IF(F4819="","",INDEX(Deals!$D$2:$D$843,F4819))</f>
        <v/>
      </c>
      <c r="J4819">
        <f>IF(F4819="","",INT(H4819)-B4819)</f>
        <v/>
      </c>
      <c r="K4819">
        <f>IF(B4819&gt;=Settings!$C$5,1,0)</f>
        <v/>
      </c>
    </row>
    <row r="4820">
      <c r="A4820" t="inlineStr">
        <is>
          <t>7e0a79cfc141c8bfc8ee8247f40ce8cf</t>
        </is>
      </c>
      <c r="B4820" s="29" t="n">
        <v>43232</v>
      </c>
      <c r="C4820" t="inlineStr">
        <is>
          <t>2018-05</t>
        </is>
      </c>
      <c r="D4820" t="inlineStr">
        <is>
          <t>bfd05fa9f9fe2aedee539951a84f2aaf</t>
        </is>
      </c>
      <c r="E4820" t="inlineStr">
        <is>
          <t>paid_search</t>
        </is>
      </c>
      <c r="F4820">
        <f>IFERROR(MATCH(A4820,Deals!$A$2:$A$843,0),"")</f>
        <v/>
      </c>
      <c r="G4820">
        <f>IF(F4820="",0,1)</f>
        <v/>
      </c>
      <c r="H4820" s="29">
        <f>IF(F4820="","",INDEX(Deals!$E$2:$E$843,F4820))</f>
        <v/>
      </c>
      <c r="I4820">
        <f>IF(F4820="","",INDEX(Deals!$D$2:$D$843,F4820))</f>
        <v/>
      </c>
      <c r="J4820">
        <f>IF(F4820="","",INT(H4820)-B4820)</f>
        <v/>
      </c>
      <c r="K4820">
        <f>IF(B4820&gt;=Settings!$C$5,1,0)</f>
        <v/>
      </c>
    </row>
    <row r="4821">
      <c r="A4821" t="inlineStr">
        <is>
          <t>7f2a1a95486cdfec15f637cd6a8a00bf</t>
        </is>
      </c>
      <c r="B4821" s="29" t="n">
        <v>43172</v>
      </c>
      <c r="C4821" t="inlineStr">
        <is>
          <t>2018-03</t>
        </is>
      </c>
      <c r="D4821" t="inlineStr">
        <is>
          <t>33009ff58323b15ce24eba767675f434</t>
        </is>
      </c>
      <c r="E4821" t="inlineStr">
        <is>
          <t>paid_search</t>
        </is>
      </c>
      <c r="F4821">
        <f>IFERROR(MATCH(A4821,Deals!$A$2:$A$843,0),"")</f>
        <v/>
      </c>
      <c r="G4821">
        <f>IF(F4821="",0,1)</f>
        <v/>
      </c>
      <c r="H4821" s="29">
        <f>IF(F4821="","",INDEX(Deals!$E$2:$E$843,F4821))</f>
        <v/>
      </c>
      <c r="I4821">
        <f>IF(F4821="","",INDEX(Deals!$D$2:$D$843,F4821))</f>
        <v/>
      </c>
      <c r="J4821">
        <f>IF(F4821="","",INT(H4821)-B4821)</f>
        <v/>
      </c>
      <c r="K4821">
        <f>IF(B4821&gt;=Settings!$C$5,1,0)</f>
        <v/>
      </c>
    </row>
    <row r="4822">
      <c r="A4822" t="inlineStr">
        <is>
          <t>2919eeb3c6714bf944f4332bdae5735a</t>
        </is>
      </c>
      <c r="B4822" s="29" t="n">
        <v>43171</v>
      </c>
      <c r="C4822" t="inlineStr">
        <is>
          <t>2018-03</t>
        </is>
      </c>
      <c r="D4822" t="inlineStr">
        <is>
          <t>88740e65d5d6b056e0cda098e1ea6313</t>
        </is>
      </c>
      <c r="E4822" t="inlineStr">
        <is>
          <t>social</t>
        </is>
      </c>
      <c r="F4822">
        <f>IFERROR(MATCH(A4822,Deals!$A$2:$A$843,0),"")</f>
        <v/>
      </c>
      <c r="G4822">
        <f>IF(F4822="",0,1)</f>
        <v/>
      </c>
      <c r="H4822" s="29">
        <f>IF(F4822="","",INDEX(Deals!$E$2:$E$843,F4822))</f>
        <v/>
      </c>
      <c r="I4822">
        <f>IF(F4822="","",INDEX(Deals!$D$2:$D$843,F4822))</f>
        <v/>
      </c>
      <c r="J4822">
        <f>IF(F4822="","",INT(H4822)-B4822)</f>
        <v/>
      </c>
      <c r="K4822">
        <f>IF(B4822&gt;=Settings!$C$5,1,0)</f>
        <v/>
      </c>
    </row>
    <row r="4823">
      <c r="A4823" t="inlineStr">
        <is>
          <t>a0675cdf2f0553632cab932d02188333</t>
        </is>
      </c>
      <c r="B4823" s="29" t="n">
        <v>43039</v>
      </c>
      <c r="C4823" t="inlineStr">
        <is>
          <t>2017-10</t>
        </is>
      </c>
      <c r="D4823" t="inlineStr">
        <is>
          <t>83ccc33d426eab8a3db70bd15aba46b8</t>
        </is>
      </c>
      <c r="E4823" t="inlineStr">
        <is>
          <t>direct_traffic</t>
        </is>
      </c>
      <c r="F4823">
        <f>IFERROR(MATCH(A4823,Deals!$A$2:$A$843,0),"")</f>
        <v/>
      </c>
      <c r="G4823">
        <f>IF(F4823="",0,1)</f>
        <v/>
      </c>
      <c r="H4823" s="29">
        <f>IF(F4823="","",INDEX(Deals!$E$2:$E$843,F4823))</f>
        <v/>
      </c>
      <c r="I4823">
        <f>IF(F4823="","",INDEX(Deals!$D$2:$D$843,F4823))</f>
        <v/>
      </c>
      <c r="J4823">
        <f>IF(F4823="","",INT(H4823)-B4823)</f>
        <v/>
      </c>
      <c r="K4823">
        <f>IF(B4823&gt;=Settings!$C$5,1,0)</f>
        <v/>
      </c>
    </row>
    <row r="4824">
      <c r="A4824" t="inlineStr">
        <is>
          <t>8b63b93bbe10e6712a7ecfc86c7c735e</t>
        </is>
      </c>
      <c r="B4824" s="29" t="n">
        <v>43210</v>
      </c>
      <c r="C4824" t="inlineStr">
        <is>
          <t>2018-04</t>
        </is>
      </c>
      <c r="D4824" t="inlineStr">
        <is>
          <t>22c29808c4f815213303f8933030604c</t>
        </is>
      </c>
      <c r="E4824" t="inlineStr">
        <is>
          <t>organic_search</t>
        </is>
      </c>
      <c r="F4824">
        <f>IFERROR(MATCH(A4824,Deals!$A$2:$A$843,0),"")</f>
        <v/>
      </c>
      <c r="G4824">
        <f>IF(F4824="",0,1)</f>
        <v/>
      </c>
      <c r="H4824" s="29">
        <f>IF(F4824="","",INDEX(Deals!$E$2:$E$843,F4824))</f>
        <v/>
      </c>
      <c r="I4824">
        <f>IF(F4824="","",INDEX(Deals!$D$2:$D$843,F4824))</f>
        <v/>
      </c>
      <c r="J4824">
        <f>IF(F4824="","",INT(H4824)-B4824)</f>
        <v/>
      </c>
      <c r="K4824">
        <f>IF(B4824&gt;=Settings!$C$5,1,0)</f>
        <v/>
      </c>
    </row>
    <row r="4825">
      <c r="A4825" t="inlineStr">
        <is>
          <t>7290c4082936311a3295b7c9ca7bda8f</t>
        </is>
      </c>
      <c r="B4825" s="29" t="n">
        <v>43159</v>
      </c>
      <c r="C4825" t="inlineStr">
        <is>
          <t>2018-02</t>
        </is>
      </c>
      <c r="D4825" t="inlineStr">
        <is>
          <t>22c29808c4f815213303f8933030604c</t>
        </is>
      </c>
      <c r="E4825" t="inlineStr">
        <is>
          <t>organic_search</t>
        </is>
      </c>
      <c r="F4825">
        <f>IFERROR(MATCH(A4825,Deals!$A$2:$A$843,0),"")</f>
        <v/>
      </c>
      <c r="G4825">
        <f>IF(F4825="",0,1)</f>
        <v/>
      </c>
      <c r="H4825" s="29">
        <f>IF(F4825="","",INDEX(Deals!$E$2:$E$843,F4825))</f>
        <v/>
      </c>
      <c r="I4825">
        <f>IF(F4825="","",INDEX(Deals!$D$2:$D$843,F4825))</f>
        <v/>
      </c>
      <c r="J4825">
        <f>IF(F4825="","",INT(H4825)-B4825)</f>
        <v/>
      </c>
      <c r="K4825">
        <f>IF(B4825&gt;=Settings!$C$5,1,0)</f>
        <v/>
      </c>
    </row>
    <row r="4826">
      <c r="A4826" t="inlineStr">
        <is>
          <t>cd24c3cabd88307c9c9299817143ba5d</t>
        </is>
      </c>
      <c r="B4826" s="29" t="n">
        <v>43206</v>
      </c>
      <c r="C4826" t="inlineStr">
        <is>
          <t>2018-04</t>
        </is>
      </c>
      <c r="D4826" t="inlineStr">
        <is>
          <t>ce1a65abd0973638f1c887a6efcfa82d</t>
        </is>
      </c>
      <c r="E4826" t="inlineStr">
        <is>
          <t>organic_search</t>
        </is>
      </c>
      <c r="F4826">
        <f>IFERROR(MATCH(A4826,Deals!$A$2:$A$843,0),"")</f>
        <v/>
      </c>
      <c r="G4826">
        <f>IF(F4826="",0,1)</f>
        <v/>
      </c>
      <c r="H4826" s="29">
        <f>IF(F4826="","",INDEX(Deals!$E$2:$E$843,F4826))</f>
        <v/>
      </c>
      <c r="I4826">
        <f>IF(F4826="","",INDEX(Deals!$D$2:$D$843,F4826))</f>
        <v/>
      </c>
      <c r="J4826">
        <f>IF(F4826="","",INT(H4826)-B4826)</f>
        <v/>
      </c>
      <c r="K4826">
        <f>IF(B4826&gt;=Settings!$C$5,1,0)</f>
        <v/>
      </c>
    </row>
    <row r="4827">
      <c r="A4827" t="inlineStr">
        <is>
          <t>41b9a741e2e7f60d61dc04c5c27e3724</t>
        </is>
      </c>
      <c r="B4827" s="29" t="n">
        <v>43208</v>
      </c>
      <c r="C4827" t="inlineStr">
        <is>
          <t>2018-04</t>
        </is>
      </c>
      <c r="D4827" t="inlineStr">
        <is>
          <t>d75a2371281f42d607be43b08bd74905</t>
        </is>
      </c>
      <c r="E4827" t="inlineStr">
        <is>
          <t>email</t>
        </is>
      </c>
      <c r="F4827">
        <f>IFERROR(MATCH(A4827,Deals!$A$2:$A$843,0),"")</f>
        <v/>
      </c>
      <c r="G4827">
        <f>IF(F4827="",0,1)</f>
        <v/>
      </c>
      <c r="H4827" s="29">
        <f>IF(F4827="","",INDEX(Deals!$E$2:$E$843,F4827))</f>
        <v/>
      </c>
      <c r="I4827">
        <f>IF(F4827="","",INDEX(Deals!$D$2:$D$843,F4827))</f>
        <v/>
      </c>
      <c r="J4827">
        <f>IF(F4827="","",INT(H4827)-B4827)</f>
        <v/>
      </c>
      <c r="K4827">
        <f>IF(B4827&gt;=Settings!$C$5,1,0)</f>
        <v/>
      </c>
    </row>
    <row r="4828">
      <c r="A4828" t="inlineStr">
        <is>
          <t>867b28af28629f14bcc0aa513c835fbb</t>
        </is>
      </c>
      <c r="B4828" s="29" t="n">
        <v>43102</v>
      </c>
      <c r="C4828" t="inlineStr">
        <is>
          <t>2018-01</t>
        </is>
      </c>
      <c r="D4828" t="inlineStr">
        <is>
          <t>b76ef37428e6799c421989521c0e5077</t>
        </is>
      </c>
      <c r="E4828" t="inlineStr">
        <is>
          <t>unknown</t>
        </is>
      </c>
      <c r="F4828">
        <f>IFERROR(MATCH(A4828,Deals!$A$2:$A$843,0),"")</f>
        <v/>
      </c>
      <c r="G4828">
        <f>IF(F4828="",0,1)</f>
        <v/>
      </c>
      <c r="H4828" s="29">
        <f>IF(F4828="","",INDEX(Deals!$E$2:$E$843,F4828))</f>
        <v/>
      </c>
      <c r="I4828">
        <f>IF(F4828="","",INDEX(Deals!$D$2:$D$843,F4828))</f>
        <v/>
      </c>
      <c r="J4828">
        <f>IF(F4828="","",INT(H4828)-B4828)</f>
        <v/>
      </c>
      <c r="K4828">
        <f>IF(B4828&gt;=Settings!$C$5,1,0)</f>
        <v/>
      </c>
    </row>
    <row r="4829">
      <c r="A4829" t="inlineStr">
        <is>
          <t>fd3b06f899e496c55baee2c0e1a460f3</t>
        </is>
      </c>
      <c r="B4829" s="29" t="n">
        <v>43134</v>
      </c>
      <c r="C4829" t="inlineStr">
        <is>
          <t>2018-02</t>
        </is>
      </c>
      <c r="D4829" t="inlineStr">
        <is>
          <t>22c29808c4f815213303f8933030604c</t>
        </is>
      </c>
      <c r="E4829" t="inlineStr">
        <is>
          <t>paid_search</t>
        </is>
      </c>
      <c r="F4829">
        <f>IFERROR(MATCH(A4829,Deals!$A$2:$A$843,0),"")</f>
        <v/>
      </c>
      <c r="G4829">
        <f>IF(F4829="",0,1)</f>
        <v/>
      </c>
      <c r="H4829" s="29">
        <f>IF(F4829="","",INDEX(Deals!$E$2:$E$843,F4829))</f>
        <v/>
      </c>
      <c r="I4829">
        <f>IF(F4829="","",INDEX(Deals!$D$2:$D$843,F4829))</f>
        <v/>
      </c>
      <c r="J4829">
        <f>IF(F4829="","",INT(H4829)-B4829)</f>
        <v/>
      </c>
      <c r="K4829">
        <f>IF(B4829&gt;=Settings!$C$5,1,0)</f>
        <v/>
      </c>
    </row>
    <row r="4830">
      <c r="A4830" t="inlineStr">
        <is>
          <t>95b4738e0867cc64385b42e3cb13d3b6</t>
        </is>
      </c>
      <c r="B4830" s="29" t="n">
        <v>43121</v>
      </c>
      <c r="C4830" t="inlineStr">
        <is>
          <t>2018-01</t>
        </is>
      </c>
      <c r="D4830" t="inlineStr">
        <is>
          <t>22c29808c4f815213303f8933030604c</t>
        </is>
      </c>
      <c r="E4830" t="inlineStr">
        <is>
          <t>organic_search</t>
        </is>
      </c>
      <c r="F4830">
        <f>IFERROR(MATCH(A4830,Deals!$A$2:$A$843,0),"")</f>
        <v/>
      </c>
      <c r="G4830">
        <f>IF(F4830="",0,1)</f>
        <v/>
      </c>
      <c r="H4830" s="29">
        <f>IF(F4830="","",INDEX(Deals!$E$2:$E$843,F4830))</f>
        <v/>
      </c>
      <c r="I4830">
        <f>IF(F4830="","",INDEX(Deals!$D$2:$D$843,F4830))</f>
        <v/>
      </c>
      <c r="J4830">
        <f>IF(F4830="","",INT(H4830)-B4830)</f>
        <v/>
      </c>
      <c r="K4830">
        <f>IF(B4830&gt;=Settings!$C$5,1,0)</f>
        <v/>
      </c>
    </row>
    <row r="4831">
      <c r="A4831" t="inlineStr">
        <is>
          <t>450f494136d806344675040a107518cd</t>
        </is>
      </c>
      <c r="B4831" s="29" t="n">
        <v>43220</v>
      </c>
      <c r="C4831" t="inlineStr">
        <is>
          <t>2018-04</t>
        </is>
      </c>
      <c r="D4831" t="inlineStr">
        <is>
          <t>0b353d6bc27566f1d238313c33d95f56</t>
        </is>
      </c>
      <c r="E4831" t="inlineStr">
        <is>
          <t>organic_search</t>
        </is>
      </c>
      <c r="F4831">
        <f>IFERROR(MATCH(A4831,Deals!$A$2:$A$843,0),"")</f>
        <v/>
      </c>
      <c r="G4831">
        <f>IF(F4831="",0,1)</f>
        <v/>
      </c>
      <c r="H4831" s="29">
        <f>IF(F4831="","",INDEX(Deals!$E$2:$E$843,F4831))</f>
        <v/>
      </c>
      <c r="I4831">
        <f>IF(F4831="","",INDEX(Deals!$D$2:$D$843,F4831))</f>
        <v/>
      </c>
      <c r="J4831">
        <f>IF(F4831="","",INT(H4831)-B4831)</f>
        <v/>
      </c>
      <c r="K4831">
        <f>IF(B4831&gt;=Settings!$C$5,1,0)</f>
        <v/>
      </c>
    </row>
    <row r="4832">
      <c r="A4832" t="inlineStr">
        <is>
          <t>1b9f12a814847b47a21871a32ac4349d</t>
        </is>
      </c>
      <c r="B4832" s="29" t="n">
        <v>43049</v>
      </c>
      <c r="C4832" t="inlineStr">
        <is>
          <t>2017-11</t>
        </is>
      </c>
      <c r="D4832" t="inlineStr">
        <is>
          <t>87780f7c05ecd79791bde76af663db15</t>
        </is>
      </c>
      <c r="E4832" t="inlineStr">
        <is>
          <t>social</t>
        </is>
      </c>
      <c r="F4832">
        <f>IFERROR(MATCH(A4832,Deals!$A$2:$A$843,0),"")</f>
        <v/>
      </c>
      <c r="G4832">
        <f>IF(F4832="",0,1)</f>
        <v/>
      </c>
      <c r="H4832" s="29">
        <f>IF(F4832="","",INDEX(Deals!$E$2:$E$843,F4832))</f>
        <v/>
      </c>
      <c r="I4832">
        <f>IF(F4832="","",INDEX(Deals!$D$2:$D$843,F4832))</f>
        <v/>
      </c>
      <c r="J4832">
        <f>IF(F4832="","",INT(H4832)-B4832)</f>
        <v/>
      </c>
      <c r="K4832">
        <f>IF(B4832&gt;=Settings!$C$5,1,0)</f>
        <v/>
      </c>
    </row>
    <row r="4833">
      <c r="A4833" t="inlineStr">
        <is>
          <t>fcc1ab387e9247cd26c69dec1ef956f1</t>
        </is>
      </c>
      <c r="B4833" s="29" t="n">
        <v>43117</v>
      </c>
      <c r="C4833" t="inlineStr">
        <is>
          <t>2018-01</t>
        </is>
      </c>
      <c r="D4833" t="inlineStr">
        <is>
          <t>88740e65d5d6b056e0cda098e1ea6313</t>
        </is>
      </c>
      <c r="E4833" t="inlineStr">
        <is>
          <t>social</t>
        </is>
      </c>
      <c r="F4833">
        <f>IFERROR(MATCH(A4833,Deals!$A$2:$A$843,0),"")</f>
        <v/>
      </c>
      <c r="G4833">
        <f>IF(F4833="",0,1)</f>
        <v/>
      </c>
      <c r="H4833" s="29">
        <f>IF(F4833="","",INDEX(Deals!$E$2:$E$843,F4833))</f>
        <v/>
      </c>
      <c r="I4833">
        <f>IF(F4833="","",INDEX(Deals!$D$2:$D$843,F4833))</f>
        <v/>
      </c>
      <c r="J4833">
        <f>IF(F4833="","",INT(H4833)-B4833)</f>
        <v/>
      </c>
      <c r="K4833">
        <f>IF(B4833&gt;=Settings!$C$5,1,0)</f>
        <v/>
      </c>
    </row>
    <row r="4834">
      <c r="A4834" t="inlineStr">
        <is>
          <t>abdcaa8e62fa9a0e2e86a0564d11bde4</t>
        </is>
      </c>
      <c r="B4834" s="29" t="n">
        <v>42962</v>
      </c>
      <c r="C4834" t="inlineStr">
        <is>
          <t>2017-08</t>
        </is>
      </c>
      <c r="D4834" t="inlineStr">
        <is>
          <t>83ccc33d426eab8a3db70bd15aba46b8</t>
        </is>
      </c>
      <c r="E4834" t="inlineStr">
        <is>
          <t>organic_search</t>
        </is>
      </c>
      <c r="F4834">
        <f>IFERROR(MATCH(A4834,Deals!$A$2:$A$843,0),"")</f>
        <v/>
      </c>
      <c r="G4834">
        <f>IF(F4834="",0,1)</f>
        <v/>
      </c>
      <c r="H4834" s="29">
        <f>IF(F4834="","",INDEX(Deals!$E$2:$E$843,F4834))</f>
        <v/>
      </c>
      <c r="I4834">
        <f>IF(F4834="","",INDEX(Deals!$D$2:$D$843,F4834))</f>
        <v/>
      </c>
      <c r="J4834">
        <f>IF(F4834="","",INT(H4834)-B4834)</f>
        <v/>
      </c>
      <c r="K4834">
        <f>IF(B4834&gt;=Settings!$C$5,1,0)</f>
        <v/>
      </c>
    </row>
    <row r="4835">
      <c r="A4835" t="inlineStr">
        <is>
          <t>7f15535c7ed441352a52758452d82f18</t>
        </is>
      </c>
      <c r="B4835" s="29" t="n">
        <v>43127</v>
      </c>
      <c r="C4835" t="inlineStr">
        <is>
          <t>2018-01</t>
        </is>
      </c>
      <c r="D4835" t="inlineStr">
        <is>
          <t>22c29808c4f815213303f8933030604c</t>
        </is>
      </c>
      <c r="E4835" t="inlineStr">
        <is>
          <t>direct_traffic</t>
        </is>
      </c>
      <c r="F4835">
        <f>IFERROR(MATCH(A4835,Deals!$A$2:$A$843,0),"")</f>
        <v/>
      </c>
      <c r="G4835">
        <f>IF(F4835="",0,1)</f>
        <v/>
      </c>
      <c r="H4835" s="29">
        <f>IF(F4835="","",INDEX(Deals!$E$2:$E$843,F4835))</f>
        <v/>
      </c>
      <c r="I4835">
        <f>IF(F4835="","",INDEX(Deals!$D$2:$D$843,F4835))</f>
        <v/>
      </c>
      <c r="J4835">
        <f>IF(F4835="","",INT(H4835)-B4835)</f>
        <v/>
      </c>
      <c r="K4835">
        <f>IF(B4835&gt;=Settings!$C$5,1,0)</f>
        <v/>
      </c>
    </row>
    <row r="4836">
      <c r="A4836" t="inlineStr">
        <is>
          <t>02b29213efb13cf2c1e08537498a5e2f</t>
        </is>
      </c>
      <c r="B4836" s="29" t="n">
        <v>43110</v>
      </c>
      <c r="C4836" t="inlineStr">
        <is>
          <t>2018-01</t>
        </is>
      </c>
      <c r="D4836" t="inlineStr">
        <is>
          <t>b76ef37428e6799c421989521c0e5077</t>
        </is>
      </c>
      <c r="E4836" t="inlineStr">
        <is>
          <t>unknown</t>
        </is>
      </c>
      <c r="F4836">
        <f>IFERROR(MATCH(A4836,Deals!$A$2:$A$843,0),"")</f>
        <v/>
      </c>
      <c r="G4836">
        <f>IF(F4836="",0,1)</f>
        <v/>
      </c>
      <c r="H4836" s="29">
        <f>IF(F4836="","",INDEX(Deals!$E$2:$E$843,F4836))</f>
        <v/>
      </c>
      <c r="I4836">
        <f>IF(F4836="","",INDEX(Deals!$D$2:$D$843,F4836))</f>
        <v/>
      </c>
      <c r="J4836">
        <f>IF(F4836="","",INT(H4836)-B4836)</f>
        <v/>
      </c>
      <c r="K4836">
        <f>IF(B4836&gt;=Settings!$C$5,1,0)</f>
        <v/>
      </c>
    </row>
    <row r="4837">
      <c r="A4837" t="inlineStr">
        <is>
          <t>615ee85103d4287b7d8ee9bb886d2f15</t>
        </is>
      </c>
      <c r="B4837" s="29" t="n">
        <v>43174</v>
      </c>
      <c r="C4837" t="inlineStr">
        <is>
          <t>2018-03</t>
        </is>
      </c>
      <c r="D4837" t="inlineStr">
        <is>
          <t>330b9d44078a1ae5a221d655dcb77afa</t>
        </is>
      </c>
      <c r="E4837" t="inlineStr">
        <is>
          <t>organic_search</t>
        </is>
      </c>
      <c r="F4837">
        <f>IFERROR(MATCH(A4837,Deals!$A$2:$A$843,0),"")</f>
        <v/>
      </c>
      <c r="G4837">
        <f>IF(F4837="",0,1)</f>
        <v/>
      </c>
      <c r="H4837" s="29">
        <f>IF(F4837="","",INDEX(Deals!$E$2:$E$843,F4837))</f>
        <v/>
      </c>
      <c r="I4837">
        <f>IF(F4837="","",INDEX(Deals!$D$2:$D$843,F4837))</f>
        <v/>
      </c>
      <c r="J4837">
        <f>IF(F4837="","",INT(H4837)-B4837)</f>
        <v/>
      </c>
      <c r="K4837">
        <f>IF(B4837&gt;=Settings!$C$5,1,0)</f>
        <v/>
      </c>
    </row>
    <row r="4838">
      <c r="A4838" t="inlineStr">
        <is>
          <t>7c8616cf86f6ca71e8189ff8d544d5ac</t>
        </is>
      </c>
      <c r="B4838" s="29" t="n">
        <v>43122</v>
      </c>
      <c r="C4838" t="inlineStr">
        <is>
          <t>2018-01</t>
        </is>
      </c>
      <c r="D4838" t="inlineStr">
        <is>
          <t>d45d558f0daeecf3cccdffe3c59684aa</t>
        </is>
      </c>
      <c r="E4838" t="inlineStr">
        <is>
          <t>email</t>
        </is>
      </c>
      <c r="F4838">
        <f>IFERROR(MATCH(A4838,Deals!$A$2:$A$843,0),"")</f>
        <v/>
      </c>
      <c r="G4838">
        <f>IF(F4838="",0,1)</f>
        <v/>
      </c>
      <c r="H4838" s="29">
        <f>IF(F4838="","",INDEX(Deals!$E$2:$E$843,F4838))</f>
        <v/>
      </c>
      <c r="I4838">
        <f>IF(F4838="","",INDEX(Deals!$D$2:$D$843,F4838))</f>
        <v/>
      </c>
      <c r="J4838">
        <f>IF(F4838="","",INT(H4838)-B4838)</f>
        <v/>
      </c>
      <c r="K4838">
        <f>IF(B4838&gt;=Settings!$C$5,1,0)</f>
        <v/>
      </c>
    </row>
    <row r="4839">
      <c r="A4839" t="inlineStr">
        <is>
          <t>280110c28d6040b59edcb4b1b9fdf71c</t>
        </is>
      </c>
      <c r="B4839" s="29" t="n">
        <v>43159</v>
      </c>
      <c r="C4839" t="inlineStr">
        <is>
          <t>2018-02</t>
        </is>
      </c>
      <c r="D4839" t="inlineStr">
        <is>
          <t>e492ee5eaf1697716985cc6f33f9cd9b</t>
        </is>
      </c>
      <c r="E4839" t="inlineStr">
        <is>
          <t>paid_search</t>
        </is>
      </c>
      <c r="F4839">
        <f>IFERROR(MATCH(A4839,Deals!$A$2:$A$843,0),"")</f>
        <v/>
      </c>
      <c r="G4839">
        <f>IF(F4839="",0,1)</f>
        <v/>
      </c>
      <c r="H4839" s="29">
        <f>IF(F4839="","",INDEX(Deals!$E$2:$E$843,F4839))</f>
        <v/>
      </c>
      <c r="I4839">
        <f>IF(F4839="","",INDEX(Deals!$D$2:$D$843,F4839))</f>
        <v/>
      </c>
      <c r="J4839">
        <f>IF(F4839="","",INT(H4839)-B4839)</f>
        <v/>
      </c>
      <c r="K4839">
        <f>IF(B4839&gt;=Settings!$C$5,1,0)</f>
        <v/>
      </c>
    </row>
    <row r="4840">
      <c r="A4840" t="inlineStr">
        <is>
          <t>c724bedfba9b4aeb92b446fbb6baf31c</t>
        </is>
      </c>
      <c r="B4840" s="29" t="n">
        <v>43185</v>
      </c>
      <c r="C4840" t="inlineStr">
        <is>
          <t>2018-03</t>
        </is>
      </c>
      <c r="D4840" t="inlineStr">
        <is>
          <t>b48ec5f3b04e9068441002a19df93c6c</t>
        </is>
      </c>
      <c r="E4840" t="inlineStr">
        <is>
          <t>organic_search</t>
        </is>
      </c>
      <c r="F4840">
        <f>IFERROR(MATCH(A4840,Deals!$A$2:$A$843,0),"")</f>
        <v/>
      </c>
      <c r="G4840">
        <f>IF(F4840="",0,1)</f>
        <v/>
      </c>
      <c r="H4840" s="29">
        <f>IF(F4840="","",INDEX(Deals!$E$2:$E$843,F4840))</f>
        <v/>
      </c>
      <c r="I4840">
        <f>IF(F4840="","",INDEX(Deals!$D$2:$D$843,F4840))</f>
        <v/>
      </c>
      <c r="J4840">
        <f>IF(F4840="","",INT(H4840)-B4840)</f>
        <v/>
      </c>
      <c r="K4840">
        <f>IF(B4840&gt;=Settings!$C$5,1,0)</f>
        <v/>
      </c>
    </row>
    <row r="4841">
      <c r="A4841" t="inlineStr">
        <is>
          <t>2ffe5ae29bb6b60145835654b541b443</t>
        </is>
      </c>
      <c r="B4841" s="29" t="n">
        <v>43002</v>
      </c>
      <c r="C4841" t="inlineStr">
        <is>
          <t>2017-09</t>
        </is>
      </c>
      <c r="D4841" t="inlineStr">
        <is>
          <t>dcb589befb0d245279c49c137d0afbb9</t>
        </is>
      </c>
      <c r="E4841" t="inlineStr">
        <is>
          <t>direct_traffic</t>
        </is>
      </c>
      <c r="F4841">
        <f>IFERROR(MATCH(A4841,Deals!$A$2:$A$843,0),"")</f>
        <v/>
      </c>
      <c r="G4841">
        <f>IF(F4841="",0,1)</f>
        <v/>
      </c>
      <c r="H4841" s="29">
        <f>IF(F4841="","",INDEX(Deals!$E$2:$E$843,F4841))</f>
        <v/>
      </c>
      <c r="I4841">
        <f>IF(F4841="","",INDEX(Deals!$D$2:$D$843,F4841))</f>
        <v/>
      </c>
      <c r="J4841">
        <f>IF(F4841="","",INT(H4841)-B4841)</f>
        <v/>
      </c>
      <c r="K4841">
        <f>IF(B4841&gt;=Settings!$C$5,1,0)</f>
        <v/>
      </c>
    </row>
    <row r="4842">
      <c r="A4842" t="inlineStr">
        <is>
          <t>538e490f6a73108a40ea757734a00b95</t>
        </is>
      </c>
      <c r="B4842" s="29" t="n">
        <v>43222</v>
      </c>
      <c r="C4842" t="inlineStr">
        <is>
          <t>2018-05</t>
        </is>
      </c>
      <c r="D4842" t="inlineStr">
        <is>
          <t>b76ef37428e6799c421989521c0e5077</t>
        </is>
      </c>
      <c r="E4842" t="inlineStr">
        <is>
          <t>unknown</t>
        </is>
      </c>
      <c r="F4842">
        <f>IFERROR(MATCH(A4842,Deals!$A$2:$A$843,0),"")</f>
        <v/>
      </c>
      <c r="G4842">
        <f>IF(F4842="",0,1)</f>
        <v/>
      </c>
      <c r="H4842" s="29">
        <f>IF(F4842="","",INDEX(Deals!$E$2:$E$843,F4842))</f>
        <v/>
      </c>
      <c r="I4842">
        <f>IF(F4842="","",INDEX(Deals!$D$2:$D$843,F4842))</f>
        <v/>
      </c>
      <c r="J4842">
        <f>IF(F4842="","",INT(H4842)-B4842)</f>
        <v/>
      </c>
      <c r="K4842">
        <f>IF(B4842&gt;=Settings!$C$5,1,0)</f>
        <v/>
      </c>
    </row>
    <row r="4843">
      <c r="A4843" t="inlineStr">
        <is>
          <t>c885743821cce93ad525c5919aa9faa9</t>
        </is>
      </c>
      <c r="B4843" s="29" t="n">
        <v>43167</v>
      </c>
      <c r="C4843" t="inlineStr">
        <is>
          <t>2018-03</t>
        </is>
      </c>
      <c r="D4843" t="inlineStr">
        <is>
          <t>22c29808c4f815213303f8933030604c</t>
        </is>
      </c>
      <c r="E4843" t="inlineStr">
        <is>
          <t>organic_search</t>
        </is>
      </c>
      <c r="F4843">
        <f>IFERROR(MATCH(A4843,Deals!$A$2:$A$843,0),"")</f>
        <v/>
      </c>
      <c r="G4843">
        <f>IF(F4843="",0,1)</f>
        <v/>
      </c>
      <c r="H4843" s="29">
        <f>IF(F4843="","",INDEX(Deals!$E$2:$E$843,F4843))</f>
        <v/>
      </c>
      <c r="I4843">
        <f>IF(F4843="","",INDEX(Deals!$D$2:$D$843,F4843))</f>
        <v/>
      </c>
      <c r="J4843">
        <f>IF(F4843="","",INT(H4843)-B4843)</f>
        <v/>
      </c>
      <c r="K4843">
        <f>IF(B4843&gt;=Settings!$C$5,1,0)</f>
        <v/>
      </c>
    </row>
    <row r="4844">
      <c r="A4844" t="inlineStr">
        <is>
          <t>0ace14f7dd3d8e29870664c6fa021440</t>
        </is>
      </c>
      <c r="B4844" s="29" t="n">
        <v>43131</v>
      </c>
      <c r="C4844" t="inlineStr">
        <is>
          <t>2018-01</t>
        </is>
      </c>
      <c r="D4844" t="inlineStr">
        <is>
          <t>22c29808c4f815213303f8933030604c</t>
        </is>
      </c>
      <c r="E4844" t="inlineStr">
        <is>
          <t>organic_search</t>
        </is>
      </c>
      <c r="F4844">
        <f>IFERROR(MATCH(A4844,Deals!$A$2:$A$843,0),"")</f>
        <v/>
      </c>
      <c r="G4844">
        <f>IF(F4844="",0,1)</f>
        <v/>
      </c>
      <c r="H4844" s="29">
        <f>IF(F4844="","",INDEX(Deals!$E$2:$E$843,F4844))</f>
        <v/>
      </c>
      <c r="I4844">
        <f>IF(F4844="","",INDEX(Deals!$D$2:$D$843,F4844))</f>
        <v/>
      </c>
      <c r="J4844">
        <f>IF(F4844="","",INT(H4844)-B4844)</f>
        <v/>
      </c>
      <c r="K4844">
        <f>IF(B4844&gt;=Settings!$C$5,1,0)</f>
        <v/>
      </c>
    </row>
    <row r="4845">
      <c r="A4845" t="inlineStr">
        <is>
          <t>c2998fc7e9fb8ddc9d1089051305fddd</t>
        </is>
      </c>
      <c r="B4845" s="29" t="n">
        <v>43049</v>
      </c>
      <c r="C4845" t="inlineStr">
        <is>
          <t>2017-11</t>
        </is>
      </c>
      <c r="D4845" t="inlineStr">
        <is>
          <t>f03e241af08912ba7ffb65d69b0eb4d9</t>
        </is>
      </c>
      <c r="E4845" t="inlineStr">
        <is>
          <t>organic_search</t>
        </is>
      </c>
      <c r="F4845">
        <f>IFERROR(MATCH(A4845,Deals!$A$2:$A$843,0),"")</f>
        <v/>
      </c>
      <c r="G4845">
        <f>IF(F4845="",0,1)</f>
        <v/>
      </c>
      <c r="H4845" s="29">
        <f>IF(F4845="","",INDEX(Deals!$E$2:$E$843,F4845))</f>
        <v/>
      </c>
      <c r="I4845">
        <f>IF(F4845="","",INDEX(Deals!$D$2:$D$843,F4845))</f>
        <v/>
      </c>
      <c r="J4845">
        <f>IF(F4845="","",INT(H4845)-B4845)</f>
        <v/>
      </c>
      <c r="K4845">
        <f>IF(B4845&gt;=Settings!$C$5,1,0)</f>
        <v/>
      </c>
    </row>
    <row r="4846">
      <c r="A4846" t="inlineStr">
        <is>
          <t>b56669fbdab303dea8afe5483fe4c3ad</t>
        </is>
      </c>
      <c r="B4846" s="29" t="n">
        <v>43215</v>
      </c>
      <c r="C4846" t="inlineStr">
        <is>
          <t>2018-04</t>
        </is>
      </c>
      <c r="D4846" t="inlineStr">
        <is>
          <t>1baca9df5850e5ba75545d8b2eb8d966</t>
        </is>
      </c>
      <c r="E4846" t="inlineStr">
        <is>
          <t>organic_search</t>
        </is>
      </c>
      <c r="F4846">
        <f>IFERROR(MATCH(A4846,Deals!$A$2:$A$843,0),"")</f>
        <v/>
      </c>
      <c r="G4846">
        <f>IF(F4846="",0,1)</f>
        <v/>
      </c>
      <c r="H4846" s="29">
        <f>IF(F4846="","",INDEX(Deals!$E$2:$E$843,F4846))</f>
        <v/>
      </c>
      <c r="I4846">
        <f>IF(F4846="","",INDEX(Deals!$D$2:$D$843,F4846))</f>
        <v/>
      </c>
      <c r="J4846">
        <f>IF(F4846="","",INT(H4846)-B4846)</f>
        <v/>
      </c>
      <c r="K4846">
        <f>IF(B4846&gt;=Settings!$C$5,1,0)</f>
        <v/>
      </c>
    </row>
    <row r="4847">
      <c r="A4847" t="inlineStr">
        <is>
          <t>3af9c18dfa6098d8ec01d3bebcd7a956</t>
        </is>
      </c>
      <c r="B4847" s="29" t="n">
        <v>43025</v>
      </c>
      <c r="C4847" t="inlineStr">
        <is>
          <t>2017-10</t>
        </is>
      </c>
      <c r="D4847" t="inlineStr">
        <is>
          <t>a5f7caba65f90d45005f62cb85bced39</t>
        </is>
      </c>
      <c r="E4847" t="inlineStr">
        <is>
          <t>email</t>
        </is>
      </c>
      <c r="F4847">
        <f>IFERROR(MATCH(A4847,Deals!$A$2:$A$843,0),"")</f>
        <v/>
      </c>
      <c r="G4847">
        <f>IF(F4847="",0,1)</f>
        <v/>
      </c>
      <c r="H4847" s="29">
        <f>IF(F4847="","",INDEX(Deals!$E$2:$E$843,F4847))</f>
        <v/>
      </c>
      <c r="I4847">
        <f>IF(F4847="","",INDEX(Deals!$D$2:$D$843,F4847))</f>
        <v/>
      </c>
      <c r="J4847">
        <f>IF(F4847="","",INT(H4847)-B4847)</f>
        <v/>
      </c>
      <c r="K4847">
        <f>IF(B4847&gt;=Settings!$C$5,1,0)</f>
        <v/>
      </c>
    </row>
    <row r="4848">
      <c r="A4848" t="inlineStr">
        <is>
          <t>63f3b385141b5cb91d2ea1f058384f06</t>
        </is>
      </c>
      <c r="B4848" s="29" t="n">
        <v>43187</v>
      </c>
      <c r="C4848" t="inlineStr">
        <is>
          <t>2018-03</t>
        </is>
      </c>
      <c r="D4848" t="inlineStr">
        <is>
          <t>ea0650174e273c41e12002dcdd4708be</t>
        </is>
      </c>
      <c r="E4848" t="inlineStr">
        <is>
          <t>email</t>
        </is>
      </c>
      <c r="F4848">
        <f>IFERROR(MATCH(A4848,Deals!$A$2:$A$843,0),"")</f>
        <v/>
      </c>
      <c r="G4848">
        <f>IF(F4848="",0,1)</f>
        <v/>
      </c>
      <c r="H4848" s="29">
        <f>IF(F4848="","",INDEX(Deals!$E$2:$E$843,F4848))</f>
        <v/>
      </c>
      <c r="I4848">
        <f>IF(F4848="","",INDEX(Deals!$D$2:$D$843,F4848))</f>
        <v/>
      </c>
      <c r="J4848">
        <f>IF(F4848="","",INT(H4848)-B4848)</f>
        <v/>
      </c>
      <c r="K4848">
        <f>IF(B4848&gt;=Settings!$C$5,1,0)</f>
        <v/>
      </c>
    </row>
    <row r="4849">
      <c r="A4849" t="inlineStr">
        <is>
          <t>dabae0ad17c002ae7a711aca44636260</t>
        </is>
      </c>
      <c r="B4849" s="29" t="n">
        <v>43111</v>
      </c>
      <c r="C4849" t="inlineStr">
        <is>
          <t>2018-01</t>
        </is>
      </c>
      <c r="D4849" t="inlineStr">
        <is>
          <t>b76ef37428e6799c421989521c0e5077</t>
        </is>
      </c>
      <c r="E4849" t="inlineStr">
        <is>
          <t>organic_search</t>
        </is>
      </c>
      <c r="F4849">
        <f>IFERROR(MATCH(A4849,Deals!$A$2:$A$843,0),"")</f>
        <v/>
      </c>
      <c r="G4849">
        <f>IF(F4849="",0,1)</f>
        <v/>
      </c>
      <c r="H4849" s="29">
        <f>IF(F4849="","",INDEX(Deals!$E$2:$E$843,F4849))</f>
        <v/>
      </c>
      <c r="I4849">
        <f>IF(F4849="","",INDEX(Deals!$D$2:$D$843,F4849))</f>
        <v/>
      </c>
      <c r="J4849">
        <f>IF(F4849="","",INT(H4849)-B4849)</f>
        <v/>
      </c>
      <c r="K4849">
        <f>IF(B4849&gt;=Settings!$C$5,1,0)</f>
        <v/>
      </c>
    </row>
    <row r="4850">
      <c r="A4850" t="inlineStr">
        <is>
          <t>2d321b74176afd496ffdd4240de35f97</t>
        </is>
      </c>
      <c r="B4850" s="29" t="n">
        <v>43031</v>
      </c>
      <c r="C4850" t="inlineStr">
        <is>
          <t>2017-10</t>
        </is>
      </c>
      <c r="D4850" t="inlineStr">
        <is>
          <t>22c29808c4f815213303f8933030604c</t>
        </is>
      </c>
      <c r="E4850" t="inlineStr">
        <is>
          <t>direct_traffic</t>
        </is>
      </c>
      <c r="F4850">
        <f>IFERROR(MATCH(A4850,Deals!$A$2:$A$843,0),"")</f>
        <v/>
      </c>
      <c r="G4850">
        <f>IF(F4850="",0,1)</f>
        <v/>
      </c>
      <c r="H4850" s="29">
        <f>IF(F4850="","",INDEX(Deals!$E$2:$E$843,F4850))</f>
        <v/>
      </c>
      <c r="I4850">
        <f>IF(F4850="","",INDEX(Deals!$D$2:$D$843,F4850))</f>
        <v/>
      </c>
      <c r="J4850">
        <f>IF(F4850="","",INT(H4850)-B4850)</f>
        <v/>
      </c>
      <c r="K4850">
        <f>IF(B4850&gt;=Settings!$C$5,1,0)</f>
        <v/>
      </c>
    </row>
    <row r="4851">
      <c r="A4851" t="inlineStr">
        <is>
          <t>7e6cf3f0d96826a32b9ae0f49f5d3780</t>
        </is>
      </c>
      <c r="B4851" s="29" t="n">
        <v>43185</v>
      </c>
      <c r="C4851" t="inlineStr">
        <is>
          <t>2018-03</t>
        </is>
      </c>
      <c r="D4851" t="inlineStr">
        <is>
          <t>22c29808c4f815213303f8933030604c</t>
        </is>
      </c>
      <c r="E4851" t="inlineStr">
        <is>
          <t>direct_traffic</t>
        </is>
      </c>
      <c r="F4851">
        <f>IFERROR(MATCH(A4851,Deals!$A$2:$A$843,0),"")</f>
        <v/>
      </c>
      <c r="G4851">
        <f>IF(F4851="",0,1)</f>
        <v/>
      </c>
      <c r="H4851" s="29">
        <f>IF(F4851="","",INDEX(Deals!$E$2:$E$843,F4851))</f>
        <v/>
      </c>
      <c r="I4851">
        <f>IF(F4851="","",INDEX(Deals!$D$2:$D$843,F4851))</f>
        <v/>
      </c>
      <c r="J4851">
        <f>IF(F4851="","",INT(H4851)-B4851)</f>
        <v/>
      </c>
      <c r="K4851">
        <f>IF(B4851&gt;=Settings!$C$5,1,0)</f>
        <v/>
      </c>
    </row>
    <row r="4852">
      <c r="A4852" t="inlineStr">
        <is>
          <t>ba0c381a53d4575d96bf70873edc52a4</t>
        </is>
      </c>
      <c r="B4852" s="29" t="n">
        <v>42969</v>
      </c>
      <c r="C4852" t="inlineStr">
        <is>
          <t>2017-08</t>
        </is>
      </c>
      <c r="D4852" t="inlineStr">
        <is>
          <t>33d93d27f43d86b4a7e89186936d8c6c</t>
        </is>
      </c>
      <c r="E4852" t="inlineStr">
        <is>
          <t>unknown</t>
        </is>
      </c>
      <c r="F4852">
        <f>IFERROR(MATCH(A4852,Deals!$A$2:$A$843,0),"")</f>
        <v/>
      </c>
      <c r="G4852">
        <f>IF(F4852="",0,1)</f>
        <v/>
      </c>
      <c r="H4852" s="29">
        <f>IF(F4852="","",INDEX(Deals!$E$2:$E$843,F4852))</f>
        <v/>
      </c>
      <c r="I4852">
        <f>IF(F4852="","",INDEX(Deals!$D$2:$D$843,F4852))</f>
        <v/>
      </c>
      <c r="J4852">
        <f>IF(F4852="","",INT(H4852)-B4852)</f>
        <v/>
      </c>
      <c r="K4852">
        <f>IF(B4852&gt;=Settings!$C$5,1,0)</f>
        <v/>
      </c>
    </row>
    <row r="4853">
      <c r="A4853" t="inlineStr">
        <is>
          <t>3cff8e6cde4b5c40f89aced3769e6215</t>
        </is>
      </c>
      <c r="B4853" s="29" t="n">
        <v>43132</v>
      </c>
      <c r="C4853" t="inlineStr">
        <is>
          <t>2018-02</t>
        </is>
      </c>
      <c r="D4853" t="inlineStr">
        <is>
          <t>88740e65d5d6b056e0cda098e1ea6313</t>
        </is>
      </c>
      <c r="E4853" t="inlineStr">
        <is>
          <t>social</t>
        </is>
      </c>
      <c r="F4853">
        <f>IFERROR(MATCH(A4853,Deals!$A$2:$A$843,0),"")</f>
        <v/>
      </c>
      <c r="G4853">
        <f>IF(F4853="",0,1)</f>
        <v/>
      </c>
      <c r="H4853" s="29">
        <f>IF(F4853="","",INDEX(Deals!$E$2:$E$843,F4853))</f>
        <v/>
      </c>
      <c r="I4853">
        <f>IF(F4853="","",INDEX(Deals!$D$2:$D$843,F4853))</f>
        <v/>
      </c>
      <c r="J4853">
        <f>IF(F4853="","",INT(H4853)-B4853)</f>
        <v/>
      </c>
      <c r="K4853">
        <f>IF(B4853&gt;=Settings!$C$5,1,0)</f>
        <v/>
      </c>
    </row>
    <row r="4854">
      <c r="A4854" t="inlineStr">
        <is>
          <t>1d015de3059eb8754a365b5bbc735818</t>
        </is>
      </c>
      <c r="B4854" s="29" t="n">
        <v>43243</v>
      </c>
      <c r="C4854" t="inlineStr">
        <is>
          <t>2018-05</t>
        </is>
      </c>
      <c r="D4854" t="inlineStr">
        <is>
          <t>22c29808c4f815213303f8933030604c</t>
        </is>
      </c>
      <c r="E4854" t="inlineStr">
        <is>
          <t>referral</t>
        </is>
      </c>
      <c r="F4854">
        <f>IFERROR(MATCH(A4854,Deals!$A$2:$A$843,0),"")</f>
        <v/>
      </c>
      <c r="G4854">
        <f>IF(F4854="",0,1)</f>
        <v/>
      </c>
      <c r="H4854" s="29">
        <f>IF(F4854="","",INDEX(Deals!$E$2:$E$843,F4854))</f>
        <v/>
      </c>
      <c r="I4854">
        <f>IF(F4854="","",INDEX(Deals!$D$2:$D$843,F4854))</f>
        <v/>
      </c>
      <c r="J4854">
        <f>IF(F4854="","",INT(H4854)-B4854)</f>
        <v/>
      </c>
      <c r="K4854">
        <f>IF(B4854&gt;=Settings!$C$5,1,0)</f>
        <v/>
      </c>
    </row>
    <row r="4855">
      <c r="A4855" t="inlineStr">
        <is>
          <t>4fa302c679e1aa216f3c5163c487a2cb</t>
        </is>
      </c>
      <c r="B4855" s="29" t="n">
        <v>43111</v>
      </c>
      <c r="C4855" t="inlineStr">
        <is>
          <t>2018-01</t>
        </is>
      </c>
      <c r="D4855" t="inlineStr">
        <is>
          <t>e492ee5eaf1697716985cc6f33f9cd9b</t>
        </is>
      </c>
      <c r="E4855" t="inlineStr">
        <is>
          <t>unknown</t>
        </is>
      </c>
      <c r="F4855">
        <f>IFERROR(MATCH(A4855,Deals!$A$2:$A$843,0),"")</f>
        <v/>
      </c>
      <c r="G4855">
        <f>IF(F4855="",0,1)</f>
        <v/>
      </c>
      <c r="H4855" s="29">
        <f>IF(F4855="","",INDEX(Deals!$E$2:$E$843,F4855))</f>
        <v/>
      </c>
      <c r="I4855">
        <f>IF(F4855="","",INDEX(Deals!$D$2:$D$843,F4855))</f>
        <v/>
      </c>
      <c r="J4855">
        <f>IF(F4855="","",INT(H4855)-B4855)</f>
        <v/>
      </c>
      <c r="K4855">
        <f>IF(B4855&gt;=Settings!$C$5,1,0)</f>
        <v/>
      </c>
    </row>
    <row r="4856">
      <c r="A4856" t="inlineStr">
        <is>
          <t>f619679ba92005bcb5c0d31e77fe4055</t>
        </is>
      </c>
      <c r="B4856" s="29" t="n">
        <v>43169</v>
      </c>
      <c r="C4856" t="inlineStr">
        <is>
          <t>2018-03</t>
        </is>
      </c>
      <c r="D4856" t="inlineStr">
        <is>
          <t>649b7b8b46b254497e92038d88f6ced8</t>
        </is>
      </c>
      <c r="E4856" t="inlineStr">
        <is>
          <t>social</t>
        </is>
      </c>
      <c r="F4856">
        <f>IFERROR(MATCH(A4856,Deals!$A$2:$A$843,0),"")</f>
        <v/>
      </c>
      <c r="G4856">
        <f>IF(F4856="",0,1)</f>
        <v/>
      </c>
      <c r="H4856" s="29">
        <f>IF(F4856="","",INDEX(Deals!$E$2:$E$843,F4856))</f>
        <v/>
      </c>
      <c r="I4856">
        <f>IF(F4856="","",INDEX(Deals!$D$2:$D$843,F4856))</f>
        <v/>
      </c>
      <c r="J4856">
        <f>IF(F4856="","",INT(H4856)-B4856)</f>
        <v/>
      </c>
      <c r="K4856">
        <f>IF(B4856&gt;=Settings!$C$5,1,0)</f>
        <v/>
      </c>
    </row>
    <row r="4857">
      <c r="A4857" t="inlineStr">
        <is>
          <t>b893c8c2eaa339c705d03677f0a184a0</t>
        </is>
      </c>
      <c r="B4857" s="29" t="n">
        <v>43126</v>
      </c>
      <c r="C4857" t="inlineStr">
        <is>
          <t>2018-01</t>
        </is>
      </c>
      <c r="D4857" t="inlineStr">
        <is>
          <t>b76ef37428e6799c421989521c0e5077</t>
        </is>
      </c>
      <c r="E4857" t="inlineStr">
        <is>
          <t>unknown</t>
        </is>
      </c>
      <c r="F4857">
        <f>IFERROR(MATCH(A4857,Deals!$A$2:$A$843,0),"")</f>
        <v/>
      </c>
      <c r="G4857">
        <f>IF(F4857="",0,1)</f>
        <v/>
      </c>
      <c r="H4857" s="29">
        <f>IF(F4857="","",INDEX(Deals!$E$2:$E$843,F4857))</f>
        <v/>
      </c>
      <c r="I4857">
        <f>IF(F4857="","",INDEX(Deals!$D$2:$D$843,F4857))</f>
        <v/>
      </c>
      <c r="J4857">
        <f>IF(F4857="","",INT(H4857)-B4857)</f>
        <v/>
      </c>
      <c r="K4857">
        <f>IF(B4857&gt;=Settings!$C$5,1,0)</f>
        <v/>
      </c>
    </row>
    <row r="4858">
      <c r="A4858" t="inlineStr">
        <is>
          <t>f2258c61a8b46c0620005f5949fb11b8</t>
        </is>
      </c>
      <c r="B4858" s="29" t="n">
        <v>43137</v>
      </c>
      <c r="C4858" t="inlineStr">
        <is>
          <t>2018-02</t>
        </is>
      </c>
      <c r="D4858" t="inlineStr">
        <is>
          <t>22c29808c4f815213303f8933030604c</t>
        </is>
      </c>
      <c r="E4858" t="inlineStr">
        <is>
          <t>email</t>
        </is>
      </c>
      <c r="F4858">
        <f>IFERROR(MATCH(A4858,Deals!$A$2:$A$843,0),"")</f>
        <v/>
      </c>
      <c r="G4858">
        <f>IF(F4858="",0,1)</f>
        <v/>
      </c>
      <c r="H4858" s="29">
        <f>IF(F4858="","",INDEX(Deals!$E$2:$E$843,F4858))</f>
        <v/>
      </c>
      <c r="I4858">
        <f>IF(F4858="","",INDEX(Deals!$D$2:$D$843,F4858))</f>
        <v/>
      </c>
      <c r="J4858">
        <f>IF(F4858="","",INT(H4858)-B4858)</f>
        <v/>
      </c>
      <c r="K4858">
        <f>IF(B4858&gt;=Settings!$C$5,1,0)</f>
        <v/>
      </c>
    </row>
    <row r="4859">
      <c r="A4859" t="inlineStr">
        <is>
          <t>3b806ea25d00afb9a43874b68042e62a</t>
        </is>
      </c>
      <c r="B4859" s="29" t="n">
        <v>43235</v>
      </c>
      <c r="C4859" t="inlineStr">
        <is>
          <t>2018-05</t>
        </is>
      </c>
      <c r="D4859" t="inlineStr">
        <is>
          <t>a7982125ff7aa3b2054c6e44f9d28522</t>
        </is>
      </c>
      <c r="E4859" t="inlineStr">
        <is>
          <t>organic_search</t>
        </is>
      </c>
      <c r="F4859">
        <f>IFERROR(MATCH(A4859,Deals!$A$2:$A$843,0),"")</f>
        <v/>
      </c>
      <c r="G4859">
        <f>IF(F4859="",0,1)</f>
        <v/>
      </c>
      <c r="H4859" s="29">
        <f>IF(F4859="","",INDEX(Deals!$E$2:$E$843,F4859))</f>
        <v/>
      </c>
      <c r="I4859">
        <f>IF(F4859="","",INDEX(Deals!$D$2:$D$843,F4859))</f>
        <v/>
      </c>
      <c r="J4859">
        <f>IF(F4859="","",INT(H4859)-B4859)</f>
        <v/>
      </c>
      <c r="K4859">
        <f>IF(B4859&gt;=Settings!$C$5,1,0)</f>
        <v/>
      </c>
    </row>
    <row r="4860">
      <c r="A4860" t="inlineStr">
        <is>
          <t>7fdfbdb466640e43e4da51b6295e2bf2</t>
        </is>
      </c>
      <c r="B4860" s="29" t="n">
        <v>43125</v>
      </c>
      <c r="C4860" t="inlineStr">
        <is>
          <t>2018-01</t>
        </is>
      </c>
      <c r="D4860" t="inlineStr">
        <is>
          <t>241f79c7a8fe0270f4fb79fcbbcd17ad</t>
        </is>
      </c>
      <c r="E4860" t="inlineStr">
        <is>
          <t>paid_search</t>
        </is>
      </c>
      <c r="F4860">
        <f>IFERROR(MATCH(A4860,Deals!$A$2:$A$843,0),"")</f>
        <v/>
      </c>
      <c r="G4860">
        <f>IF(F4860="",0,1)</f>
        <v/>
      </c>
      <c r="H4860" s="29">
        <f>IF(F4860="","",INDEX(Deals!$E$2:$E$843,F4860))</f>
        <v/>
      </c>
      <c r="I4860">
        <f>IF(F4860="","",INDEX(Deals!$D$2:$D$843,F4860))</f>
        <v/>
      </c>
      <c r="J4860">
        <f>IF(F4860="","",INT(H4860)-B4860)</f>
        <v/>
      </c>
      <c r="K4860">
        <f>IF(B4860&gt;=Settings!$C$5,1,0)</f>
        <v/>
      </c>
    </row>
    <row r="4861">
      <c r="A4861" t="inlineStr">
        <is>
          <t>731c6152f1bcd7ffa2a7a9ffc9d555ca</t>
        </is>
      </c>
      <c r="B4861" s="29" t="n">
        <v>43004</v>
      </c>
      <c r="C4861" t="inlineStr">
        <is>
          <t>2017-09</t>
        </is>
      </c>
      <c r="D4861" t="inlineStr">
        <is>
          <t>a0fbc0263cb98bdb0d72b9f9f283a172</t>
        </is>
      </c>
      <c r="E4861" t="inlineStr">
        <is>
          <t>paid_search</t>
        </is>
      </c>
      <c r="F4861">
        <f>IFERROR(MATCH(A4861,Deals!$A$2:$A$843,0),"")</f>
        <v/>
      </c>
      <c r="G4861">
        <f>IF(F4861="",0,1)</f>
        <v/>
      </c>
      <c r="H4861" s="29">
        <f>IF(F4861="","",INDEX(Deals!$E$2:$E$843,F4861))</f>
        <v/>
      </c>
      <c r="I4861">
        <f>IF(F4861="","",INDEX(Deals!$D$2:$D$843,F4861))</f>
        <v/>
      </c>
      <c r="J4861">
        <f>IF(F4861="","",INT(H4861)-B4861)</f>
        <v/>
      </c>
      <c r="K4861">
        <f>IF(B4861&gt;=Settings!$C$5,1,0)</f>
        <v/>
      </c>
    </row>
    <row r="4862">
      <c r="A4862" t="inlineStr">
        <is>
          <t>2eb6c7a030d336aa15486f40154049a4</t>
        </is>
      </c>
      <c r="B4862" s="29" t="n">
        <v>43150</v>
      </c>
      <c r="C4862" t="inlineStr">
        <is>
          <t>2018-02</t>
        </is>
      </c>
      <c r="D4862" t="inlineStr">
        <is>
          <t>88740e65d5d6b056e0cda098e1ea6313</t>
        </is>
      </c>
      <c r="E4862" t="inlineStr">
        <is>
          <t>social</t>
        </is>
      </c>
      <c r="F4862">
        <f>IFERROR(MATCH(A4862,Deals!$A$2:$A$843,0),"")</f>
        <v/>
      </c>
      <c r="G4862">
        <f>IF(F4862="",0,1)</f>
        <v/>
      </c>
      <c r="H4862" s="29">
        <f>IF(F4862="","",INDEX(Deals!$E$2:$E$843,F4862))</f>
        <v/>
      </c>
      <c r="I4862">
        <f>IF(F4862="","",INDEX(Deals!$D$2:$D$843,F4862))</f>
        <v/>
      </c>
      <c r="J4862">
        <f>IF(F4862="","",INT(H4862)-B4862)</f>
        <v/>
      </c>
      <c r="K4862">
        <f>IF(B4862&gt;=Settings!$C$5,1,0)</f>
        <v/>
      </c>
    </row>
    <row r="4863">
      <c r="A4863" t="inlineStr">
        <is>
          <t>59aee406105cd10e79b22ee05173ead7</t>
        </is>
      </c>
      <c r="B4863" s="29" t="n">
        <v>43199</v>
      </c>
      <c r="C4863" t="inlineStr">
        <is>
          <t>2018-04</t>
        </is>
      </c>
      <c r="D4863" t="inlineStr">
        <is>
          <t>b76ef37428e6799c421989521c0e5077</t>
        </is>
      </c>
      <c r="E4863" t="inlineStr">
        <is>
          <t>unknown</t>
        </is>
      </c>
      <c r="F4863">
        <f>IFERROR(MATCH(A4863,Deals!$A$2:$A$843,0),"")</f>
        <v/>
      </c>
      <c r="G4863">
        <f>IF(F4863="",0,1)</f>
        <v/>
      </c>
      <c r="H4863" s="29">
        <f>IF(F4863="","",INDEX(Deals!$E$2:$E$843,F4863))</f>
        <v/>
      </c>
      <c r="I4863">
        <f>IF(F4863="","",INDEX(Deals!$D$2:$D$843,F4863))</f>
        <v/>
      </c>
      <c r="J4863">
        <f>IF(F4863="","",INT(H4863)-B4863)</f>
        <v/>
      </c>
      <c r="K4863">
        <f>IF(B4863&gt;=Settings!$C$5,1,0)</f>
        <v/>
      </c>
    </row>
    <row r="4864">
      <c r="A4864" t="inlineStr">
        <is>
          <t>9c153a8ea88deab857daff598e62bcf8</t>
        </is>
      </c>
      <c r="B4864" s="29" t="n">
        <v>43235</v>
      </c>
      <c r="C4864" t="inlineStr">
        <is>
          <t>2018-05</t>
        </is>
      </c>
      <c r="D4864" t="inlineStr">
        <is>
          <t>6a110e795dd487f1cf8d7583671987af</t>
        </is>
      </c>
      <c r="E4864" t="inlineStr">
        <is>
          <t>email</t>
        </is>
      </c>
      <c r="F4864">
        <f>IFERROR(MATCH(A4864,Deals!$A$2:$A$843,0),"")</f>
        <v/>
      </c>
      <c r="G4864">
        <f>IF(F4864="",0,1)</f>
        <v/>
      </c>
      <c r="H4864" s="29">
        <f>IF(F4864="","",INDEX(Deals!$E$2:$E$843,F4864))</f>
        <v/>
      </c>
      <c r="I4864">
        <f>IF(F4864="","",INDEX(Deals!$D$2:$D$843,F4864))</f>
        <v/>
      </c>
      <c r="J4864">
        <f>IF(F4864="","",INT(H4864)-B4864)</f>
        <v/>
      </c>
      <c r="K4864">
        <f>IF(B4864&gt;=Settings!$C$5,1,0)</f>
        <v/>
      </c>
    </row>
    <row r="4865">
      <c r="A4865" t="inlineStr">
        <is>
          <t>0bbeb62dd6ee2b168c92a84bacfb2040</t>
        </is>
      </c>
      <c r="B4865" s="29" t="n">
        <v>43186</v>
      </c>
      <c r="C4865" t="inlineStr">
        <is>
          <t>2018-03</t>
        </is>
      </c>
      <c r="D4865" t="inlineStr">
        <is>
          <t>149878f8f96bf77a1a69f88519a8fe99</t>
        </is>
      </c>
      <c r="E4865" t="inlineStr">
        <is>
          <t>unknown</t>
        </is>
      </c>
      <c r="F4865">
        <f>IFERROR(MATCH(A4865,Deals!$A$2:$A$843,0),"")</f>
        <v/>
      </c>
      <c r="G4865">
        <f>IF(F4865="",0,1)</f>
        <v/>
      </c>
      <c r="H4865" s="29">
        <f>IF(F4865="","",INDEX(Deals!$E$2:$E$843,F4865))</f>
        <v/>
      </c>
      <c r="I4865">
        <f>IF(F4865="","",INDEX(Deals!$D$2:$D$843,F4865))</f>
        <v/>
      </c>
      <c r="J4865">
        <f>IF(F4865="","",INT(H4865)-B4865)</f>
        <v/>
      </c>
      <c r="K4865">
        <f>IF(B4865&gt;=Settings!$C$5,1,0)</f>
        <v/>
      </c>
    </row>
    <row r="4866">
      <c r="A4866" t="inlineStr">
        <is>
          <t>bc060de03aa94c7edf5e6b4f1755c1f0</t>
        </is>
      </c>
      <c r="B4866" s="29" t="n">
        <v>43236</v>
      </c>
      <c r="C4866" t="inlineStr">
        <is>
          <t>2018-05</t>
        </is>
      </c>
      <c r="D4866" t="inlineStr">
        <is>
          <t>22c29808c4f815213303f8933030604c</t>
        </is>
      </c>
      <c r="E4866" t="inlineStr">
        <is>
          <t>referral</t>
        </is>
      </c>
      <c r="F4866">
        <f>IFERROR(MATCH(A4866,Deals!$A$2:$A$843,0),"")</f>
        <v/>
      </c>
      <c r="G4866">
        <f>IF(F4866="",0,1)</f>
        <v/>
      </c>
      <c r="H4866" s="29">
        <f>IF(F4866="","",INDEX(Deals!$E$2:$E$843,F4866))</f>
        <v/>
      </c>
      <c r="I4866">
        <f>IF(F4866="","",INDEX(Deals!$D$2:$D$843,F4866))</f>
        <v/>
      </c>
      <c r="J4866">
        <f>IF(F4866="","",INT(H4866)-B4866)</f>
        <v/>
      </c>
      <c r="K4866">
        <f>IF(B4866&gt;=Settings!$C$5,1,0)</f>
        <v/>
      </c>
    </row>
    <row r="4867">
      <c r="A4867" t="inlineStr">
        <is>
          <t>42cae009aa36f970c223de2959268e5a</t>
        </is>
      </c>
      <c r="B4867" s="29" t="n">
        <v>42955</v>
      </c>
      <c r="C4867" t="inlineStr">
        <is>
          <t>2017-08</t>
        </is>
      </c>
      <c r="D4867" t="inlineStr">
        <is>
          <t>09949e05e2c5fa4ba780fe27213bc575</t>
        </is>
      </c>
      <c r="E4867" t="inlineStr">
        <is>
          <t>display</t>
        </is>
      </c>
      <c r="F4867">
        <f>IFERROR(MATCH(A4867,Deals!$A$2:$A$843,0),"")</f>
        <v/>
      </c>
      <c r="G4867">
        <f>IF(F4867="",0,1)</f>
        <v/>
      </c>
      <c r="H4867" s="29">
        <f>IF(F4867="","",INDEX(Deals!$E$2:$E$843,F4867))</f>
        <v/>
      </c>
      <c r="I4867">
        <f>IF(F4867="","",INDEX(Deals!$D$2:$D$843,F4867))</f>
        <v/>
      </c>
      <c r="J4867">
        <f>IF(F4867="","",INT(H4867)-B4867)</f>
        <v/>
      </c>
      <c r="K4867">
        <f>IF(B4867&gt;=Settings!$C$5,1,0)</f>
        <v/>
      </c>
    </row>
    <row r="4868">
      <c r="A4868" t="inlineStr">
        <is>
          <t>5572975b6c55e23bb68391acaa8ca141</t>
        </is>
      </c>
      <c r="B4868" s="29" t="n">
        <v>43251</v>
      </c>
      <c r="C4868" t="inlineStr">
        <is>
          <t>2018-05</t>
        </is>
      </c>
      <c r="D4868" t="inlineStr">
        <is>
          <t>b76ef37428e6799c421989521c0e5077</t>
        </is>
      </c>
      <c r="E4868" t="inlineStr">
        <is>
          <t>unknown</t>
        </is>
      </c>
      <c r="F4868">
        <f>IFERROR(MATCH(A4868,Deals!$A$2:$A$843,0),"")</f>
        <v/>
      </c>
      <c r="G4868">
        <f>IF(F4868="",0,1)</f>
        <v/>
      </c>
      <c r="H4868" s="29">
        <f>IF(F4868="","",INDEX(Deals!$E$2:$E$843,F4868))</f>
        <v/>
      </c>
      <c r="I4868">
        <f>IF(F4868="","",INDEX(Deals!$D$2:$D$843,F4868))</f>
        <v/>
      </c>
      <c r="J4868">
        <f>IF(F4868="","",INT(H4868)-B4868)</f>
        <v/>
      </c>
      <c r="K4868">
        <f>IF(B4868&gt;=Settings!$C$5,1,0)</f>
        <v/>
      </c>
    </row>
    <row r="4869">
      <c r="A4869" t="inlineStr">
        <is>
          <t>1613d4862f2a54d215d260b5080a0289</t>
        </is>
      </c>
      <c r="B4869" s="29" t="n">
        <v>43031</v>
      </c>
      <c r="C4869" t="inlineStr">
        <is>
          <t>2017-10</t>
        </is>
      </c>
      <c r="D4869" t="inlineStr">
        <is>
          <t>1722481ac9e5371e5099dea226b5421d</t>
        </is>
      </c>
      <c r="E4869" t="inlineStr">
        <is>
          <t>organic_search</t>
        </is>
      </c>
      <c r="F4869">
        <f>IFERROR(MATCH(A4869,Deals!$A$2:$A$843,0),"")</f>
        <v/>
      </c>
      <c r="G4869">
        <f>IF(F4869="",0,1)</f>
        <v/>
      </c>
      <c r="H4869" s="29">
        <f>IF(F4869="","",INDEX(Deals!$E$2:$E$843,F4869))</f>
        <v/>
      </c>
      <c r="I4869">
        <f>IF(F4869="","",INDEX(Deals!$D$2:$D$843,F4869))</f>
        <v/>
      </c>
      <c r="J4869">
        <f>IF(F4869="","",INT(H4869)-B4869)</f>
        <v/>
      </c>
      <c r="K4869">
        <f>IF(B4869&gt;=Settings!$C$5,1,0)</f>
        <v/>
      </c>
    </row>
    <row r="4870">
      <c r="A4870" t="inlineStr">
        <is>
          <t>fbe5e0c28bacadd7d2a741b9dba27e6b</t>
        </is>
      </c>
      <c r="B4870" s="29" t="n">
        <v>43053</v>
      </c>
      <c r="C4870" t="inlineStr">
        <is>
          <t>2017-11</t>
        </is>
      </c>
      <c r="D4870" t="inlineStr">
        <is>
          <t>ee3c3bad6ed3eb9d5de56688d1f9c91b</t>
        </is>
      </c>
      <c r="E4870" t="inlineStr">
        <is>
          <t>organic_search</t>
        </is>
      </c>
      <c r="F4870">
        <f>IFERROR(MATCH(A4870,Deals!$A$2:$A$843,0),"")</f>
        <v/>
      </c>
      <c r="G4870">
        <f>IF(F4870="",0,1)</f>
        <v/>
      </c>
      <c r="H4870" s="29">
        <f>IF(F4870="","",INDEX(Deals!$E$2:$E$843,F4870))</f>
        <v/>
      </c>
      <c r="I4870">
        <f>IF(F4870="","",INDEX(Deals!$D$2:$D$843,F4870))</f>
        <v/>
      </c>
      <c r="J4870">
        <f>IF(F4870="","",INT(H4870)-B4870)</f>
        <v/>
      </c>
      <c r="K4870">
        <f>IF(B4870&gt;=Settings!$C$5,1,0)</f>
        <v/>
      </c>
    </row>
    <row r="4871">
      <c r="A4871" t="inlineStr">
        <is>
          <t>6505e8a0c0e1a90d8da8879e49a437f0</t>
        </is>
      </c>
      <c r="B4871" s="29" t="n">
        <v>43237</v>
      </c>
      <c r="C4871" t="inlineStr">
        <is>
          <t>2018-05</t>
        </is>
      </c>
      <c r="D4871" t="inlineStr">
        <is>
          <t>b76ef37428e6799c421989521c0e5077</t>
        </is>
      </c>
      <c r="E4871" t="inlineStr">
        <is>
          <t>unknown</t>
        </is>
      </c>
      <c r="F4871">
        <f>IFERROR(MATCH(A4871,Deals!$A$2:$A$843,0),"")</f>
        <v/>
      </c>
      <c r="G4871">
        <f>IF(F4871="",0,1)</f>
        <v/>
      </c>
      <c r="H4871" s="29">
        <f>IF(F4871="","",INDEX(Deals!$E$2:$E$843,F4871))</f>
        <v/>
      </c>
      <c r="I4871">
        <f>IF(F4871="","",INDEX(Deals!$D$2:$D$843,F4871))</f>
        <v/>
      </c>
      <c r="J4871">
        <f>IF(F4871="","",INT(H4871)-B4871)</f>
        <v/>
      </c>
      <c r="K4871">
        <f>IF(B4871&gt;=Settings!$C$5,1,0)</f>
        <v/>
      </c>
    </row>
    <row r="4872">
      <c r="A4872" t="inlineStr">
        <is>
          <t>e61b6944181963814cecc684432bb512</t>
        </is>
      </c>
      <c r="B4872" s="29" t="n">
        <v>43152</v>
      </c>
      <c r="C4872" t="inlineStr">
        <is>
          <t>2018-02</t>
        </is>
      </c>
      <c r="D4872" t="inlineStr">
        <is>
          <t>22c29808c4f815213303f8933030604c</t>
        </is>
      </c>
      <c r="E4872" t="inlineStr">
        <is>
          <t>organic_search</t>
        </is>
      </c>
      <c r="F4872">
        <f>IFERROR(MATCH(A4872,Deals!$A$2:$A$843,0),"")</f>
        <v/>
      </c>
      <c r="G4872">
        <f>IF(F4872="",0,1)</f>
        <v/>
      </c>
      <c r="H4872" s="29">
        <f>IF(F4872="","",INDEX(Deals!$E$2:$E$843,F4872))</f>
        <v/>
      </c>
      <c r="I4872">
        <f>IF(F4872="","",INDEX(Deals!$D$2:$D$843,F4872))</f>
        <v/>
      </c>
      <c r="J4872">
        <f>IF(F4872="","",INT(H4872)-B4872)</f>
        <v/>
      </c>
      <c r="K4872">
        <f>IF(B4872&gt;=Settings!$C$5,1,0)</f>
        <v/>
      </c>
    </row>
    <row r="4873">
      <c r="A4873" t="inlineStr">
        <is>
          <t>b1e895366dfa5d6a2b31a21ecfc5efe3</t>
        </is>
      </c>
      <c r="B4873" s="29" t="n">
        <v>42992</v>
      </c>
      <c r="C4873" t="inlineStr">
        <is>
          <t>2017-09</t>
        </is>
      </c>
      <c r="D4873" t="inlineStr">
        <is>
          <t>4aab772aeb9833c170d8ea5413e02eac</t>
        </is>
      </c>
      <c r="E4873" t="inlineStr">
        <is>
          <t>paid_search</t>
        </is>
      </c>
      <c r="F4873">
        <f>IFERROR(MATCH(A4873,Deals!$A$2:$A$843,0),"")</f>
        <v/>
      </c>
      <c r="G4873">
        <f>IF(F4873="",0,1)</f>
        <v/>
      </c>
      <c r="H4873" s="29">
        <f>IF(F4873="","",INDEX(Deals!$E$2:$E$843,F4873))</f>
        <v/>
      </c>
      <c r="I4873">
        <f>IF(F4873="","",INDEX(Deals!$D$2:$D$843,F4873))</f>
        <v/>
      </c>
      <c r="J4873">
        <f>IF(F4873="","",INT(H4873)-B4873)</f>
        <v/>
      </c>
      <c r="K4873">
        <f>IF(B4873&gt;=Settings!$C$5,1,0)</f>
        <v/>
      </c>
    </row>
    <row r="4874">
      <c r="A4874" t="inlineStr">
        <is>
          <t>72b88a3d3980100f04f225a780c2dc20</t>
        </is>
      </c>
      <c r="B4874" s="29" t="n">
        <v>42964</v>
      </c>
      <c r="C4874" t="inlineStr">
        <is>
          <t>2017-08</t>
        </is>
      </c>
      <c r="D4874" t="inlineStr">
        <is>
          <t>22c29808c4f815213303f8933030604c</t>
        </is>
      </c>
      <c r="E4874" t="inlineStr">
        <is>
          <t>organic_search</t>
        </is>
      </c>
      <c r="F4874">
        <f>IFERROR(MATCH(A4874,Deals!$A$2:$A$843,0),"")</f>
        <v/>
      </c>
      <c r="G4874">
        <f>IF(F4874="",0,1)</f>
        <v/>
      </c>
      <c r="H4874" s="29">
        <f>IF(F4874="","",INDEX(Deals!$E$2:$E$843,F4874))</f>
        <v/>
      </c>
      <c r="I4874">
        <f>IF(F4874="","",INDEX(Deals!$D$2:$D$843,F4874))</f>
        <v/>
      </c>
      <c r="J4874">
        <f>IF(F4874="","",INT(H4874)-B4874)</f>
        <v/>
      </c>
      <c r="K4874">
        <f>IF(B4874&gt;=Settings!$C$5,1,0)</f>
        <v/>
      </c>
    </row>
    <row r="4875">
      <c r="A4875" t="inlineStr">
        <is>
          <t>1d40146c766379675bb19be6c641a5f9</t>
        </is>
      </c>
      <c r="B4875" s="29" t="n">
        <v>43227</v>
      </c>
      <c r="C4875" t="inlineStr">
        <is>
          <t>2018-05</t>
        </is>
      </c>
      <c r="D4875" t="inlineStr">
        <is>
          <t>b76ef37428e6799c421989521c0e5077</t>
        </is>
      </c>
      <c r="E4875" t="inlineStr">
        <is>
          <t>unknown</t>
        </is>
      </c>
      <c r="F4875">
        <f>IFERROR(MATCH(A4875,Deals!$A$2:$A$843,0),"")</f>
        <v/>
      </c>
      <c r="G4875">
        <f>IF(F4875="",0,1)</f>
        <v/>
      </c>
      <c r="H4875" s="29">
        <f>IF(F4875="","",INDEX(Deals!$E$2:$E$843,F4875))</f>
        <v/>
      </c>
      <c r="I4875">
        <f>IF(F4875="","",INDEX(Deals!$D$2:$D$843,F4875))</f>
        <v/>
      </c>
      <c r="J4875">
        <f>IF(F4875="","",INT(H4875)-B4875)</f>
        <v/>
      </c>
      <c r="K4875">
        <f>IF(B4875&gt;=Settings!$C$5,1,0)</f>
        <v/>
      </c>
    </row>
    <row r="4876">
      <c r="A4876" t="inlineStr">
        <is>
          <t>73bf1ef5ec2267ff8d02a8048adf3e79</t>
        </is>
      </c>
      <c r="B4876" s="29" t="n">
        <v>43188</v>
      </c>
      <c r="C4876" t="inlineStr">
        <is>
          <t>2018-03</t>
        </is>
      </c>
      <c r="D4876" t="inlineStr">
        <is>
          <t>22c29808c4f815213303f8933030604c</t>
        </is>
      </c>
      <c r="E4876" t="inlineStr">
        <is>
          <t>direct_traffic</t>
        </is>
      </c>
      <c r="F4876">
        <f>IFERROR(MATCH(A4876,Deals!$A$2:$A$843,0),"")</f>
        <v/>
      </c>
      <c r="G4876">
        <f>IF(F4876="",0,1)</f>
        <v/>
      </c>
      <c r="H4876" s="29">
        <f>IF(F4876="","",INDEX(Deals!$E$2:$E$843,F4876))</f>
        <v/>
      </c>
      <c r="I4876">
        <f>IF(F4876="","",INDEX(Deals!$D$2:$D$843,F4876))</f>
        <v/>
      </c>
      <c r="J4876">
        <f>IF(F4876="","",INT(H4876)-B4876)</f>
        <v/>
      </c>
      <c r="K4876">
        <f>IF(B4876&gt;=Settings!$C$5,1,0)</f>
        <v/>
      </c>
    </row>
    <row r="4877">
      <c r="A4877" t="inlineStr">
        <is>
          <t>2d968cb99817ea5e49f4bcb70f7f154a</t>
        </is>
      </c>
      <c r="B4877" s="29" t="n">
        <v>43114</v>
      </c>
      <c r="C4877" t="inlineStr">
        <is>
          <t>2018-01</t>
        </is>
      </c>
      <c r="D4877" t="inlineStr">
        <is>
          <t>0218f6be0b76aca72ab4d00ee9e8cf10</t>
        </is>
      </c>
      <c r="E4877" t="inlineStr">
        <is>
          <t>organic_search</t>
        </is>
      </c>
      <c r="F4877">
        <f>IFERROR(MATCH(A4877,Deals!$A$2:$A$843,0),"")</f>
        <v/>
      </c>
      <c r="G4877">
        <f>IF(F4877="",0,1)</f>
        <v/>
      </c>
      <c r="H4877" s="29">
        <f>IF(F4877="","",INDEX(Deals!$E$2:$E$843,F4877))</f>
        <v/>
      </c>
      <c r="I4877">
        <f>IF(F4877="","",INDEX(Deals!$D$2:$D$843,F4877))</f>
        <v/>
      </c>
      <c r="J4877">
        <f>IF(F4877="","",INT(H4877)-B4877)</f>
        <v/>
      </c>
      <c r="K4877">
        <f>IF(B4877&gt;=Settings!$C$5,1,0)</f>
        <v/>
      </c>
    </row>
    <row r="4878">
      <c r="A4878" t="inlineStr">
        <is>
          <t>28fcea06661f13ebe9c87327f949f3a8</t>
        </is>
      </c>
      <c r="B4878" s="29" t="n">
        <v>43138</v>
      </c>
      <c r="C4878" t="inlineStr">
        <is>
          <t>2018-02</t>
        </is>
      </c>
      <c r="D4878" t="inlineStr">
        <is>
          <t>88740e65d5d6b056e0cda098e1ea6313</t>
        </is>
      </c>
      <c r="E4878" t="inlineStr">
        <is>
          <t>social</t>
        </is>
      </c>
      <c r="F4878">
        <f>IFERROR(MATCH(A4878,Deals!$A$2:$A$843,0),"")</f>
        <v/>
      </c>
      <c r="G4878">
        <f>IF(F4878="",0,1)</f>
        <v/>
      </c>
      <c r="H4878" s="29">
        <f>IF(F4878="","",INDEX(Deals!$E$2:$E$843,F4878))</f>
        <v/>
      </c>
      <c r="I4878">
        <f>IF(F4878="","",INDEX(Deals!$D$2:$D$843,F4878))</f>
        <v/>
      </c>
      <c r="J4878">
        <f>IF(F4878="","",INT(H4878)-B4878)</f>
        <v/>
      </c>
      <c r="K4878">
        <f>IF(B4878&gt;=Settings!$C$5,1,0)</f>
        <v/>
      </c>
    </row>
    <row r="4879">
      <c r="A4879" t="inlineStr">
        <is>
          <t>f4854d16f1c74c2e64a5b01933a04ada</t>
        </is>
      </c>
      <c r="B4879" s="29" t="n">
        <v>43227</v>
      </c>
      <c r="C4879" t="inlineStr">
        <is>
          <t>2018-05</t>
        </is>
      </c>
      <c r="D4879" t="inlineStr">
        <is>
          <t>b76ef37428e6799c421989521c0e5077</t>
        </is>
      </c>
      <c r="E4879" t="inlineStr">
        <is>
          <t>unknown</t>
        </is>
      </c>
      <c r="F4879">
        <f>IFERROR(MATCH(A4879,Deals!$A$2:$A$843,0),"")</f>
        <v/>
      </c>
      <c r="G4879">
        <f>IF(F4879="",0,1)</f>
        <v/>
      </c>
      <c r="H4879" s="29">
        <f>IF(F4879="","",INDEX(Deals!$E$2:$E$843,F4879))</f>
        <v/>
      </c>
      <c r="I4879">
        <f>IF(F4879="","",INDEX(Deals!$D$2:$D$843,F4879))</f>
        <v/>
      </c>
      <c r="J4879">
        <f>IF(F4879="","",INT(H4879)-B4879)</f>
        <v/>
      </c>
      <c r="K4879">
        <f>IF(B4879&gt;=Settings!$C$5,1,0)</f>
        <v/>
      </c>
    </row>
    <row r="4880">
      <c r="A4880" t="inlineStr">
        <is>
          <t>16da233fed78660c0a49fe947c7585a2</t>
        </is>
      </c>
      <c r="B4880" s="29" t="n">
        <v>43147</v>
      </c>
      <c r="C4880" t="inlineStr">
        <is>
          <t>2018-02</t>
        </is>
      </c>
      <c r="D4880" t="inlineStr">
        <is>
          <t>ce1a65abd0973638f1c887a6efcfa82d</t>
        </is>
      </c>
      <c r="E4880" t="inlineStr">
        <is>
          <t>direct_traffic</t>
        </is>
      </c>
      <c r="F4880">
        <f>IFERROR(MATCH(A4880,Deals!$A$2:$A$843,0),"")</f>
        <v/>
      </c>
      <c r="G4880">
        <f>IF(F4880="",0,1)</f>
        <v/>
      </c>
      <c r="H4880" s="29">
        <f>IF(F4880="","",INDEX(Deals!$E$2:$E$843,F4880))</f>
        <v/>
      </c>
      <c r="I4880">
        <f>IF(F4880="","",INDEX(Deals!$D$2:$D$843,F4880))</f>
        <v/>
      </c>
      <c r="J4880">
        <f>IF(F4880="","",INT(H4880)-B4880)</f>
        <v/>
      </c>
      <c r="K4880">
        <f>IF(B4880&gt;=Settings!$C$5,1,0)</f>
        <v/>
      </c>
    </row>
    <row r="4881">
      <c r="A4881" t="inlineStr">
        <is>
          <t>b9f081c9e97e49e170511f498f4693f5</t>
        </is>
      </c>
      <c r="B4881" s="29" t="n">
        <v>43242</v>
      </c>
      <c r="C4881" t="inlineStr">
        <is>
          <t>2018-05</t>
        </is>
      </c>
      <c r="D4881" t="inlineStr">
        <is>
          <t>58326e62183c14b0c03085c33b9fdc44</t>
        </is>
      </c>
      <c r="E4881" t="inlineStr">
        <is>
          <t>social</t>
        </is>
      </c>
      <c r="F4881">
        <f>IFERROR(MATCH(A4881,Deals!$A$2:$A$843,0),"")</f>
        <v/>
      </c>
      <c r="G4881">
        <f>IF(F4881="",0,1)</f>
        <v/>
      </c>
      <c r="H4881" s="29">
        <f>IF(F4881="","",INDEX(Deals!$E$2:$E$843,F4881))</f>
        <v/>
      </c>
      <c r="I4881">
        <f>IF(F4881="","",INDEX(Deals!$D$2:$D$843,F4881))</f>
        <v/>
      </c>
      <c r="J4881">
        <f>IF(F4881="","",INT(H4881)-B4881)</f>
        <v/>
      </c>
      <c r="K4881">
        <f>IF(B4881&gt;=Settings!$C$5,1,0)</f>
        <v/>
      </c>
    </row>
    <row r="4882">
      <c r="A4882" t="inlineStr">
        <is>
          <t>59b6b45880d0169d22da3c35b4f716db</t>
        </is>
      </c>
      <c r="B4882" s="29" t="n">
        <v>43170</v>
      </c>
      <c r="C4882" t="inlineStr">
        <is>
          <t>2018-03</t>
        </is>
      </c>
      <c r="D4882" t="inlineStr">
        <is>
          <t>bdaeb752e5c3caa215ebe04c61e22325</t>
        </is>
      </c>
      <c r="E4882" t="inlineStr">
        <is>
          <t>organic_search</t>
        </is>
      </c>
      <c r="F4882">
        <f>IFERROR(MATCH(A4882,Deals!$A$2:$A$843,0),"")</f>
        <v/>
      </c>
      <c r="G4882">
        <f>IF(F4882="",0,1)</f>
        <v/>
      </c>
      <c r="H4882" s="29">
        <f>IF(F4882="","",INDEX(Deals!$E$2:$E$843,F4882))</f>
        <v/>
      </c>
      <c r="I4882">
        <f>IF(F4882="","",INDEX(Deals!$D$2:$D$843,F4882))</f>
        <v/>
      </c>
      <c r="J4882">
        <f>IF(F4882="","",INT(H4882)-B4882)</f>
        <v/>
      </c>
      <c r="K4882">
        <f>IF(B4882&gt;=Settings!$C$5,1,0)</f>
        <v/>
      </c>
    </row>
    <row r="4883">
      <c r="A4883" t="inlineStr">
        <is>
          <t>3a68abc388606a36771c8c8b8bf64129</t>
        </is>
      </c>
      <c r="B4883" s="29" t="n">
        <v>42978</v>
      </c>
      <c r="C4883" t="inlineStr">
        <is>
          <t>2017-08</t>
        </is>
      </c>
      <c r="D4883" t="inlineStr">
        <is>
          <t>186132bda8b5f41c7dc834d063745d19</t>
        </is>
      </c>
      <c r="E4883" t="inlineStr">
        <is>
          <t>paid_search</t>
        </is>
      </c>
      <c r="F4883">
        <f>IFERROR(MATCH(A4883,Deals!$A$2:$A$843,0),"")</f>
        <v/>
      </c>
      <c r="G4883">
        <f>IF(F4883="",0,1)</f>
        <v/>
      </c>
      <c r="H4883" s="29">
        <f>IF(F4883="","",INDEX(Deals!$E$2:$E$843,F4883))</f>
        <v/>
      </c>
      <c r="I4883">
        <f>IF(F4883="","",INDEX(Deals!$D$2:$D$843,F4883))</f>
        <v/>
      </c>
      <c r="J4883">
        <f>IF(F4883="","",INT(H4883)-B4883)</f>
        <v/>
      </c>
      <c r="K4883">
        <f>IF(B4883&gt;=Settings!$C$5,1,0)</f>
        <v/>
      </c>
    </row>
    <row r="4884">
      <c r="A4884" t="inlineStr">
        <is>
          <t>cf4012623d75c1e1f73eef47b4ec918d</t>
        </is>
      </c>
      <c r="B4884" s="29" t="n">
        <v>43060</v>
      </c>
      <c r="C4884" t="inlineStr">
        <is>
          <t>2017-11</t>
        </is>
      </c>
      <c r="D4884" t="inlineStr">
        <is>
          <t>88740e65d5d6b056e0cda098e1ea6313</t>
        </is>
      </c>
      <c r="E4884" t="inlineStr">
        <is>
          <t>social</t>
        </is>
      </c>
      <c r="F4884">
        <f>IFERROR(MATCH(A4884,Deals!$A$2:$A$843,0),"")</f>
        <v/>
      </c>
      <c r="G4884">
        <f>IF(F4884="",0,1)</f>
        <v/>
      </c>
      <c r="H4884" s="29">
        <f>IF(F4884="","",INDEX(Deals!$E$2:$E$843,F4884))</f>
        <v/>
      </c>
      <c r="I4884">
        <f>IF(F4884="","",INDEX(Deals!$D$2:$D$843,F4884))</f>
        <v/>
      </c>
      <c r="J4884">
        <f>IF(F4884="","",INT(H4884)-B4884)</f>
        <v/>
      </c>
      <c r="K4884">
        <f>IF(B4884&gt;=Settings!$C$5,1,0)</f>
        <v/>
      </c>
    </row>
    <row r="4885">
      <c r="A4885" t="inlineStr">
        <is>
          <t>4b8e69697ca282927b31516ba968a297</t>
        </is>
      </c>
      <c r="B4885" s="29" t="n">
        <v>43235</v>
      </c>
      <c r="C4885" t="inlineStr">
        <is>
          <t>2018-05</t>
        </is>
      </c>
      <c r="D4885" t="inlineStr">
        <is>
          <t>bddebc4f4d44106c427bd00695840e64</t>
        </is>
      </c>
      <c r="E4885" t="inlineStr">
        <is>
          <t>unknown</t>
        </is>
      </c>
      <c r="F4885">
        <f>IFERROR(MATCH(A4885,Deals!$A$2:$A$843,0),"")</f>
        <v/>
      </c>
      <c r="G4885">
        <f>IF(F4885="",0,1)</f>
        <v/>
      </c>
      <c r="H4885" s="29">
        <f>IF(F4885="","",INDEX(Deals!$E$2:$E$843,F4885))</f>
        <v/>
      </c>
      <c r="I4885">
        <f>IF(F4885="","",INDEX(Deals!$D$2:$D$843,F4885))</f>
        <v/>
      </c>
      <c r="J4885">
        <f>IF(F4885="","",INT(H4885)-B4885)</f>
        <v/>
      </c>
      <c r="K4885">
        <f>IF(B4885&gt;=Settings!$C$5,1,0)</f>
        <v/>
      </c>
    </row>
    <row r="4886">
      <c r="A4886" t="inlineStr">
        <is>
          <t>b03625c7a437a32ba45832b8e81c4271</t>
        </is>
      </c>
      <c r="B4886" s="29" t="n">
        <v>43035</v>
      </c>
      <c r="C4886" t="inlineStr">
        <is>
          <t>2017-10</t>
        </is>
      </c>
      <c r="D4886" t="inlineStr">
        <is>
          <t>111313f5b9ceedf17ab5af7317a9f9bc</t>
        </is>
      </c>
      <c r="E4886" t="inlineStr">
        <is>
          <t>email</t>
        </is>
      </c>
      <c r="F4886">
        <f>IFERROR(MATCH(A4886,Deals!$A$2:$A$843,0),"")</f>
        <v/>
      </c>
      <c r="G4886">
        <f>IF(F4886="",0,1)</f>
        <v/>
      </c>
      <c r="H4886" s="29">
        <f>IF(F4886="","",INDEX(Deals!$E$2:$E$843,F4886))</f>
        <v/>
      </c>
      <c r="I4886">
        <f>IF(F4886="","",INDEX(Deals!$D$2:$D$843,F4886))</f>
        <v/>
      </c>
      <c r="J4886">
        <f>IF(F4886="","",INT(H4886)-B4886)</f>
        <v/>
      </c>
      <c r="K4886">
        <f>IF(B4886&gt;=Settings!$C$5,1,0)</f>
        <v/>
      </c>
    </row>
    <row r="4887">
      <c r="A4887" t="inlineStr">
        <is>
          <t>dc682fe74bcd4780c8b5592a127f7813</t>
        </is>
      </c>
      <c r="B4887" s="29" t="n">
        <v>43117</v>
      </c>
      <c r="C4887" t="inlineStr">
        <is>
          <t>2018-01</t>
        </is>
      </c>
      <c r="D4887" t="inlineStr">
        <is>
          <t>99b00c6e27db383d844d1763dbcbfe06</t>
        </is>
      </c>
      <c r="E4887" t="inlineStr">
        <is>
          <t>direct_traffic</t>
        </is>
      </c>
      <c r="F4887">
        <f>IFERROR(MATCH(A4887,Deals!$A$2:$A$843,0),"")</f>
        <v/>
      </c>
      <c r="G4887">
        <f>IF(F4887="",0,1)</f>
        <v/>
      </c>
      <c r="H4887" s="29">
        <f>IF(F4887="","",INDEX(Deals!$E$2:$E$843,F4887))</f>
        <v/>
      </c>
      <c r="I4887">
        <f>IF(F4887="","",INDEX(Deals!$D$2:$D$843,F4887))</f>
        <v/>
      </c>
      <c r="J4887">
        <f>IF(F4887="","",INT(H4887)-B4887)</f>
        <v/>
      </c>
      <c r="K4887">
        <f>IF(B4887&gt;=Settings!$C$5,1,0)</f>
        <v/>
      </c>
    </row>
    <row r="4888">
      <c r="A4888" t="inlineStr">
        <is>
          <t>1d10c65b774172bd62b8b1dae15b8fd8</t>
        </is>
      </c>
      <c r="B4888" s="29" t="n">
        <v>42947</v>
      </c>
      <c r="C4888" t="inlineStr">
        <is>
          <t>2017-07</t>
        </is>
      </c>
      <c r="D4888" t="inlineStr">
        <is>
          <t>7eb40e4e44fef8bff604b621119446c7</t>
        </is>
      </c>
      <c r="E4888" t="inlineStr">
        <is>
          <t>referral</t>
        </is>
      </c>
      <c r="F4888">
        <f>IFERROR(MATCH(A4888,Deals!$A$2:$A$843,0),"")</f>
        <v/>
      </c>
      <c r="G4888">
        <f>IF(F4888="",0,1)</f>
        <v/>
      </c>
      <c r="H4888" s="29">
        <f>IF(F4888="","",INDEX(Deals!$E$2:$E$843,F4888))</f>
        <v/>
      </c>
      <c r="I4888">
        <f>IF(F4888="","",INDEX(Deals!$D$2:$D$843,F4888))</f>
        <v/>
      </c>
      <c r="J4888">
        <f>IF(F4888="","",INT(H4888)-B4888)</f>
        <v/>
      </c>
      <c r="K4888">
        <f>IF(B4888&gt;=Settings!$C$5,1,0)</f>
        <v/>
      </c>
    </row>
    <row r="4889">
      <c r="A4889" t="inlineStr">
        <is>
          <t>58c07bd222183a648f687888daf96733</t>
        </is>
      </c>
      <c r="B4889" s="29" t="n">
        <v>43229</v>
      </c>
      <c r="C4889" t="inlineStr">
        <is>
          <t>2018-05</t>
        </is>
      </c>
      <c r="D4889" t="inlineStr">
        <is>
          <t>35c9b150ab36fe584c1f24fd458c453a</t>
        </is>
      </c>
      <c r="E4889" t="inlineStr">
        <is>
          <t>organic_search</t>
        </is>
      </c>
      <c r="F4889">
        <f>IFERROR(MATCH(A4889,Deals!$A$2:$A$843,0),"")</f>
        <v/>
      </c>
      <c r="G4889">
        <f>IF(F4889="",0,1)</f>
        <v/>
      </c>
      <c r="H4889" s="29">
        <f>IF(F4889="","",INDEX(Deals!$E$2:$E$843,F4889))</f>
        <v/>
      </c>
      <c r="I4889">
        <f>IF(F4889="","",INDEX(Deals!$D$2:$D$843,F4889))</f>
        <v/>
      </c>
      <c r="J4889">
        <f>IF(F4889="","",INT(H4889)-B4889)</f>
        <v/>
      </c>
      <c r="K4889">
        <f>IF(B4889&gt;=Settings!$C$5,1,0)</f>
        <v/>
      </c>
    </row>
    <row r="4890">
      <c r="A4890" t="inlineStr">
        <is>
          <t>fa1ecbb29c36a80120fa7bba7191f1b8</t>
        </is>
      </c>
      <c r="B4890" s="29" t="n">
        <v>43063</v>
      </c>
      <c r="C4890" t="inlineStr">
        <is>
          <t>2017-11</t>
        </is>
      </c>
      <c r="D4890" t="inlineStr">
        <is>
          <t>b6885f18d203a61176418c1fb3764815</t>
        </is>
      </c>
      <c r="E4890" t="inlineStr">
        <is>
          <t>paid_search</t>
        </is>
      </c>
      <c r="F4890">
        <f>IFERROR(MATCH(A4890,Deals!$A$2:$A$843,0),"")</f>
        <v/>
      </c>
      <c r="G4890">
        <f>IF(F4890="",0,1)</f>
        <v/>
      </c>
      <c r="H4890" s="29">
        <f>IF(F4890="","",INDEX(Deals!$E$2:$E$843,F4890))</f>
        <v/>
      </c>
      <c r="I4890">
        <f>IF(F4890="","",INDEX(Deals!$D$2:$D$843,F4890))</f>
        <v/>
      </c>
      <c r="J4890">
        <f>IF(F4890="","",INT(H4890)-B4890)</f>
        <v/>
      </c>
      <c r="K4890">
        <f>IF(B4890&gt;=Settings!$C$5,1,0)</f>
        <v/>
      </c>
    </row>
    <row r="4891">
      <c r="A4891" t="inlineStr">
        <is>
          <t>9e49c72b76b91efc504292d0225e16c3</t>
        </is>
      </c>
      <c r="B4891" s="29" t="n">
        <v>43210</v>
      </c>
      <c r="C4891" t="inlineStr">
        <is>
          <t>2018-04</t>
        </is>
      </c>
      <c r="D4891" t="inlineStr">
        <is>
          <t>b76ef37428e6799c421989521c0e5077</t>
        </is>
      </c>
      <c r="E4891" t="inlineStr">
        <is>
          <t>unknown</t>
        </is>
      </c>
      <c r="F4891">
        <f>IFERROR(MATCH(A4891,Deals!$A$2:$A$843,0),"")</f>
        <v/>
      </c>
      <c r="G4891">
        <f>IF(F4891="",0,1)</f>
        <v/>
      </c>
      <c r="H4891" s="29">
        <f>IF(F4891="","",INDEX(Deals!$E$2:$E$843,F4891))</f>
        <v/>
      </c>
      <c r="I4891">
        <f>IF(F4891="","",INDEX(Deals!$D$2:$D$843,F4891))</f>
        <v/>
      </c>
      <c r="J4891">
        <f>IF(F4891="","",INT(H4891)-B4891)</f>
        <v/>
      </c>
      <c r="K4891">
        <f>IF(B4891&gt;=Settings!$C$5,1,0)</f>
        <v/>
      </c>
    </row>
    <row r="4892">
      <c r="A4892" t="inlineStr">
        <is>
          <t>515b37a5bb29c8ea5c7d919139b22971</t>
        </is>
      </c>
      <c r="B4892" s="29" t="n">
        <v>43250</v>
      </c>
      <c r="C4892" t="inlineStr">
        <is>
          <t>2018-05</t>
        </is>
      </c>
      <c r="D4892" t="inlineStr">
        <is>
          <t>330b9d44078a1ae5a221d655dcb77afa</t>
        </is>
      </c>
      <c r="E4892" t="inlineStr">
        <is>
          <t>display</t>
        </is>
      </c>
      <c r="F4892">
        <f>IFERROR(MATCH(A4892,Deals!$A$2:$A$843,0),"")</f>
        <v/>
      </c>
      <c r="G4892">
        <f>IF(F4892="",0,1)</f>
        <v/>
      </c>
      <c r="H4892" s="29">
        <f>IF(F4892="","",INDEX(Deals!$E$2:$E$843,F4892))</f>
        <v/>
      </c>
      <c r="I4892">
        <f>IF(F4892="","",INDEX(Deals!$D$2:$D$843,F4892))</f>
        <v/>
      </c>
      <c r="J4892">
        <f>IF(F4892="","",INT(H4892)-B4892)</f>
        <v/>
      </c>
      <c r="K4892">
        <f>IF(B4892&gt;=Settings!$C$5,1,0)</f>
        <v/>
      </c>
    </row>
    <row r="4893">
      <c r="A4893" t="inlineStr">
        <is>
          <t>6aa7ed58002a17aa719e565537c1006c</t>
        </is>
      </c>
      <c r="B4893" s="29" t="n">
        <v>43142</v>
      </c>
      <c r="C4893" t="inlineStr">
        <is>
          <t>2018-02</t>
        </is>
      </c>
      <c r="D4893" t="inlineStr">
        <is>
          <t>88740e65d5d6b056e0cda098e1ea6313</t>
        </is>
      </c>
      <c r="E4893" t="inlineStr">
        <is>
          <t>social</t>
        </is>
      </c>
      <c r="F4893">
        <f>IFERROR(MATCH(A4893,Deals!$A$2:$A$843,0),"")</f>
        <v/>
      </c>
      <c r="G4893">
        <f>IF(F4893="",0,1)</f>
        <v/>
      </c>
      <c r="H4893" s="29">
        <f>IF(F4893="","",INDEX(Deals!$E$2:$E$843,F4893))</f>
        <v/>
      </c>
      <c r="I4893">
        <f>IF(F4893="","",INDEX(Deals!$D$2:$D$843,F4893))</f>
        <v/>
      </c>
      <c r="J4893">
        <f>IF(F4893="","",INT(H4893)-B4893)</f>
        <v/>
      </c>
      <c r="K4893">
        <f>IF(B4893&gt;=Settings!$C$5,1,0)</f>
        <v/>
      </c>
    </row>
    <row r="4894">
      <c r="A4894" t="inlineStr">
        <is>
          <t>046637588961a84922c89105d922b288</t>
        </is>
      </c>
      <c r="B4894" s="29" t="n">
        <v>43156</v>
      </c>
      <c r="C4894" t="inlineStr">
        <is>
          <t>2018-02</t>
        </is>
      </c>
      <c r="D4894" t="inlineStr">
        <is>
          <t>ce1a65abd0973638f1c887a6efcfa82d</t>
        </is>
      </c>
      <c r="E4894" t="inlineStr">
        <is>
          <t>unknown</t>
        </is>
      </c>
      <c r="F4894">
        <f>IFERROR(MATCH(A4894,Deals!$A$2:$A$843,0),"")</f>
        <v/>
      </c>
      <c r="G4894">
        <f>IF(F4894="",0,1)</f>
        <v/>
      </c>
      <c r="H4894" s="29">
        <f>IF(F4894="","",INDEX(Deals!$E$2:$E$843,F4894))</f>
        <v/>
      </c>
      <c r="I4894">
        <f>IF(F4894="","",INDEX(Deals!$D$2:$D$843,F4894))</f>
        <v/>
      </c>
      <c r="J4894">
        <f>IF(F4894="","",INT(H4894)-B4894)</f>
        <v/>
      </c>
      <c r="K4894">
        <f>IF(B4894&gt;=Settings!$C$5,1,0)</f>
        <v/>
      </c>
    </row>
    <row r="4895">
      <c r="A4895" t="inlineStr">
        <is>
          <t>3c3961f8fc1f905eb7d2a9d96cd84298</t>
        </is>
      </c>
      <c r="B4895" s="29" t="n">
        <v>43026</v>
      </c>
      <c r="C4895" t="inlineStr">
        <is>
          <t>2017-10</t>
        </is>
      </c>
      <c r="D4895" t="inlineStr">
        <is>
          <t>007f9098284a86ee80ddeb25d53e0af8</t>
        </is>
      </c>
      <c r="E4895" t="inlineStr">
        <is>
          <t>paid_search</t>
        </is>
      </c>
      <c r="F4895">
        <f>IFERROR(MATCH(A4895,Deals!$A$2:$A$843,0),"")</f>
        <v/>
      </c>
      <c r="G4895">
        <f>IF(F4895="",0,1)</f>
        <v/>
      </c>
      <c r="H4895" s="29">
        <f>IF(F4895="","",INDEX(Deals!$E$2:$E$843,F4895))</f>
        <v/>
      </c>
      <c r="I4895">
        <f>IF(F4895="","",INDEX(Deals!$D$2:$D$843,F4895))</f>
        <v/>
      </c>
      <c r="J4895">
        <f>IF(F4895="","",INT(H4895)-B4895)</f>
        <v/>
      </c>
      <c r="K4895">
        <f>IF(B4895&gt;=Settings!$C$5,1,0)</f>
        <v/>
      </c>
    </row>
    <row r="4896">
      <c r="A4896" t="inlineStr">
        <is>
          <t>e368c94c4062c8f13b8ad88c68469b55</t>
        </is>
      </c>
      <c r="B4896" s="29" t="n">
        <v>43189</v>
      </c>
      <c r="C4896" t="inlineStr">
        <is>
          <t>2018-03</t>
        </is>
      </c>
      <c r="D4896" t="inlineStr">
        <is>
          <t>58326e62183c14b0c03085c33b9fdc44</t>
        </is>
      </c>
      <c r="E4896" t="inlineStr">
        <is>
          <t>social</t>
        </is>
      </c>
      <c r="F4896">
        <f>IFERROR(MATCH(A4896,Deals!$A$2:$A$843,0),"")</f>
        <v/>
      </c>
      <c r="G4896">
        <f>IF(F4896="",0,1)</f>
        <v/>
      </c>
      <c r="H4896" s="29">
        <f>IF(F4896="","",INDEX(Deals!$E$2:$E$843,F4896))</f>
        <v/>
      </c>
      <c r="I4896">
        <f>IF(F4896="","",INDEX(Deals!$D$2:$D$843,F4896))</f>
        <v/>
      </c>
      <c r="J4896">
        <f>IF(F4896="","",INT(H4896)-B4896)</f>
        <v/>
      </c>
      <c r="K4896">
        <f>IF(B4896&gt;=Settings!$C$5,1,0)</f>
        <v/>
      </c>
    </row>
    <row r="4897">
      <c r="A4897" t="inlineStr">
        <is>
          <t>52427b6097c05044266c10cf110bb16c</t>
        </is>
      </c>
      <c r="B4897" s="29" t="n">
        <v>43219</v>
      </c>
      <c r="C4897" t="inlineStr">
        <is>
          <t>2018-04</t>
        </is>
      </c>
      <c r="D4897" t="inlineStr">
        <is>
          <t>22c29808c4f815213303f8933030604c</t>
        </is>
      </c>
      <c r="E4897" t="inlineStr">
        <is>
          <t>referral</t>
        </is>
      </c>
      <c r="F4897">
        <f>IFERROR(MATCH(A4897,Deals!$A$2:$A$843,0),"")</f>
        <v/>
      </c>
      <c r="G4897">
        <f>IF(F4897="",0,1)</f>
        <v/>
      </c>
      <c r="H4897" s="29">
        <f>IF(F4897="","",INDEX(Deals!$E$2:$E$843,F4897))</f>
        <v/>
      </c>
      <c r="I4897">
        <f>IF(F4897="","",INDEX(Deals!$D$2:$D$843,F4897))</f>
        <v/>
      </c>
      <c r="J4897">
        <f>IF(F4897="","",INT(H4897)-B4897)</f>
        <v/>
      </c>
      <c r="K4897">
        <f>IF(B4897&gt;=Settings!$C$5,1,0)</f>
        <v/>
      </c>
    </row>
    <row r="4898">
      <c r="A4898" t="inlineStr">
        <is>
          <t>0bf330ad68b59cf49006f7c8be6c9b1b</t>
        </is>
      </c>
      <c r="B4898" s="29" t="n">
        <v>43172</v>
      </c>
      <c r="C4898" t="inlineStr">
        <is>
          <t>2018-03</t>
        </is>
      </c>
      <c r="D4898" t="inlineStr">
        <is>
          <t>daa9619c6f8ed06d059265dca0f9257f</t>
        </is>
      </c>
      <c r="E4898" t="inlineStr">
        <is>
          <t>email</t>
        </is>
      </c>
      <c r="F4898">
        <f>IFERROR(MATCH(A4898,Deals!$A$2:$A$843,0),"")</f>
        <v/>
      </c>
      <c r="G4898">
        <f>IF(F4898="",0,1)</f>
        <v/>
      </c>
      <c r="H4898" s="29">
        <f>IF(F4898="","",INDEX(Deals!$E$2:$E$843,F4898))</f>
        <v/>
      </c>
      <c r="I4898">
        <f>IF(F4898="","",INDEX(Deals!$D$2:$D$843,F4898))</f>
        <v/>
      </c>
      <c r="J4898">
        <f>IF(F4898="","",INT(H4898)-B4898)</f>
        <v/>
      </c>
      <c r="K4898">
        <f>IF(B4898&gt;=Settings!$C$5,1,0)</f>
        <v/>
      </c>
    </row>
    <row r="4899">
      <c r="A4899" t="inlineStr">
        <is>
          <t>b2f1234b9a029e7a40211c6b4773c5bd</t>
        </is>
      </c>
      <c r="B4899" s="29" t="n">
        <v>43025</v>
      </c>
      <c r="C4899" t="inlineStr">
        <is>
          <t>2017-10</t>
        </is>
      </c>
      <c r="D4899" t="inlineStr">
        <is>
          <t>1722481ac9e5371e5099dea226b5421d</t>
        </is>
      </c>
      <c r="E4899" t="inlineStr">
        <is>
          <t>paid_search</t>
        </is>
      </c>
      <c r="F4899">
        <f>IFERROR(MATCH(A4899,Deals!$A$2:$A$843,0),"")</f>
        <v/>
      </c>
      <c r="G4899">
        <f>IF(F4899="",0,1)</f>
        <v/>
      </c>
      <c r="H4899" s="29">
        <f>IF(F4899="","",INDEX(Deals!$E$2:$E$843,F4899))</f>
        <v/>
      </c>
      <c r="I4899">
        <f>IF(F4899="","",INDEX(Deals!$D$2:$D$843,F4899))</f>
        <v/>
      </c>
      <c r="J4899">
        <f>IF(F4899="","",INT(H4899)-B4899)</f>
        <v/>
      </c>
      <c r="K4899">
        <f>IF(B4899&gt;=Settings!$C$5,1,0)</f>
        <v/>
      </c>
    </row>
    <row r="4900">
      <c r="A4900" t="inlineStr">
        <is>
          <t>7539b289b6d61e964f60a8a6e9311bde</t>
        </is>
      </c>
      <c r="B4900" s="29" t="n">
        <v>43156</v>
      </c>
      <c r="C4900" t="inlineStr">
        <is>
          <t>2018-02</t>
        </is>
      </c>
      <c r="D4900" t="inlineStr">
        <is>
          <t>21a104c3279681d9856b8a48723c4fee</t>
        </is>
      </c>
      <c r="E4900" t="inlineStr">
        <is>
          <t>paid_search</t>
        </is>
      </c>
      <c r="F4900">
        <f>IFERROR(MATCH(A4900,Deals!$A$2:$A$843,0),"")</f>
        <v/>
      </c>
      <c r="G4900">
        <f>IF(F4900="",0,1)</f>
        <v/>
      </c>
      <c r="H4900" s="29">
        <f>IF(F4900="","",INDEX(Deals!$E$2:$E$843,F4900))</f>
        <v/>
      </c>
      <c r="I4900">
        <f>IF(F4900="","",INDEX(Deals!$D$2:$D$843,F4900))</f>
        <v/>
      </c>
      <c r="J4900">
        <f>IF(F4900="","",INT(H4900)-B4900)</f>
        <v/>
      </c>
      <c r="K4900">
        <f>IF(B4900&gt;=Settings!$C$5,1,0)</f>
        <v/>
      </c>
    </row>
    <row r="4901">
      <c r="A4901" t="inlineStr">
        <is>
          <t>ed5dbdd2da9881c10dc1a37f4472042f</t>
        </is>
      </c>
      <c r="B4901" s="29" t="n">
        <v>43124</v>
      </c>
      <c r="C4901" t="inlineStr">
        <is>
          <t>2018-01</t>
        </is>
      </c>
      <c r="D4901" t="inlineStr">
        <is>
          <t>d45d558f0daeecf3cccdffe3c59684aa</t>
        </is>
      </c>
      <c r="E4901" t="inlineStr">
        <is>
          <t>email</t>
        </is>
      </c>
      <c r="F4901">
        <f>IFERROR(MATCH(A4901,Deals!$A$2:$A$843,0),"")</f>
        <v/>
      </c>
      <c r="G4901">
        <f>IF(F4901="",0,1)</f>
        <v/>
      </c>
      <c r="H4901" s="29">
        <f>IF(F4901="","",INDEX(Deals!$E$2:$E$843,F4901))</f>
        <v/>
      </c>
      <c r="I4901">
        <f>IF(F4901="","",INDEX(Deals!$D$2:$D$843,F4901))</f>
        <v/>
      </c>
      <c r="J4901">
        <f>IF(F4901="","",INT(H4901)-B4901)</f>
        <v/>
      </c>
      <c r="K4901">
        <f>IF(B4901&gt;=Settings!$C$5,1,0)</f>
        <v/>
      </c>
    </row>
    <row r="4902">
      <c r="A4902" t="inlineStr">
        <is>
          <t>73eefa6445cf4f4e8eb4b7194575e1e4</t>
        </is>
      </c>
      <c r="B4902" s="29" t="n">
        <v>42998</v>
      </c>
      <c r="C4902" t="inlineStr">
        <is>
          <t>2017-09</t>
        </is>
      </c>
      <c r="D4902" t="inlineStr">
        <is>
          <t>0218f6be0b76aca72ab4d00ee9e8cf10</t>
        </is>
      </c>
      <c r="E4902" t="inlineStr">
        <is>
          <t>unknown</t>
        </is>
      </c>
      <c r="F4902">
        <f>IFERROR(MATCH(A4902,Deals!$A$2:$A$843,0),"")</f>
        <v/>
      </c>
      <c r="G4902">
        <f>IF(F4902="",0,1)</f>
        <v/>
      </c>
      <c r="H4902" s="29">
        <f>IF(F4902="","",INDEX(Deals!$E$2:$E$843,F4902))</f>
        <v/>
      </c>
      <c r="I4902">
        <f>IF(F4902="","",INDEX(Deals!$D$2:$D$843,F4902))</f>
        <v/>
      </c>
      <c r="J4902">
        <f>IF(F4902="","",INT(H4902)-B4902)</f>
        <v/>
      </c>
      <c r="K4902">
        <f>IF(B4902&gt;=Settings!$C$5,1,0)</f>
        <v/>
      </c>
    </row>
    <row r="4903">
      <c r="A4903" t="inlineStr">
        <is>
          <t>c70bb5cfd0305c9d18312d92f820c321</t>
        </is>
      </c>
      <c r="B4903" s="29" t="n">
        <v>43227</v>
      </c>
      <c r="C4903" t="inlineStr">
        <is>
          <t>2018-05</t>
        </is>
      </c>
      <c r="D4903" t="inlineStr">
        <is>
          <t>fb58285f6f6c4e504dfa628de116cae8</t>
        </is>
      </c>
      <c r="E4903" t="inlineStr">
        <is>
          <t>unknown</t>
        </is>
      </c>
      <c r="F4903">
        <f>IFERROR(MATCH(A4903,Deals!$A$2:$A$843,0),"")</f>
        <v/>
      </c>
      <c r="G4903">
        <f>IF(F4903="",0,1)</f>
        <v/>
      </c>
      <c r="H4903" s="29">
        <f>IF(F4903="","",INDEX(Deals!$E$2:$E$843,F4903))</f>
        <v/>
      </c>
      <c r="I4903">
        <f>IF(F4903="","",INDEX(Deals!$D$2:$D$843,F4903))</f>
        <v/>
      </c>
      <c r="J4903">
        <f>IF(F4903="","",INT(H4903)-B4903)</f>
        <v/>
      </c>
      <c r="K4903">
        <f>IF(B4903&gt;=Settings!$C$5,1,0)</f>
        <v/>
      </c>
    </row>
    <row r="4904">
      <c r="A4904" t="inlineStr">
        <is>
          <t>4a850ecfb32efa4f6e894ed5b631d445</t>
        </is>
      </c>
      <c r="B4904" s="29" t="n">
        <v>42934</v>
      </c>
      <c r="C4904" t="inlineStr">
        <is>
          <t>2017-07</t>
        </is>
      </c>
      <c r="D4904" t="inlineStr">
        <is>
          <t>30077c17f2ec5010a82e37ad8925b95f</t>
        </is>
      </c>
      <c r="E4904" t="inlineStr">
        <is>
          <t>social</t>
        </is>
      </c>
      <c r="F4904">
        <f>IFERROR(MATCH(A4904,Deals!$A$2:$A$843,0),"")</f>
        <v/>
      </c>
      <c r="G4904">
        <f>IF(F4904="",0,1)</f>
        <v/>
      </c>
      <c r="H4904" s="29">
        <f>IF(F4904="","",INDEX(Deals!$E$2:$E$843,F4904))</f>
        <v/>
      </c>
      <c r="I4904">
        <f>IF(F4904="","",INDEX(Deals!$D$2:$D$843,F4904))</f>
        <v/>
      </c>
      <c r="J4904">
        <f>IF(F4904="","",INT(H4904)-B4904)</f>
        <v/>
      </c>
      <c r="K4904">
        <f>IF(B4904&gt;=Settings!$C$5,1,0)</f>
        <v/>
      </c>
    </row>
    <row r="4905">
      <c r="A4905" t="inlineStr">
        <is>
          <t>20c99c680bff19bd1d0925e3aeb26f86</t>
        </is>
      </c>
      <c r="B4905" s="29" t="n">
        <v>42996</v>
      </c>
      <c r="C4905" t="inlineStr">
        <is>
          <t>2017-09</t>
        </is>
      </c>
      <c r="D4905" t="inlineStr">
        <is>
          <t>37145c5650a33da9e6b2df70ae1aec80</t>
        </is>
      </c>
      <c r="E4905" t="inlineStr">
        <is>
          <t>unknown</t>
        </is>
      </c>
      <c r="F4905">
        <f>IFERROR(MATCH(A4905,Deals!$A$2:$A$843,0),"")</f>
        <v/>
      </c>
      <c r="G4905">
        <f>IF(F4905="",0,1)</f>
        <v/>
      </c>
      <c r="H4905" s="29">
        <f>IF(F4905="","",INDEX(Deals!$E$2:$E$843,F4905))</f>
        <v/>
      </c>
      <c r="I4905">
        <f>IF(F4905="","",INDEX(Deals!$D$2:$D$843,F4905))</f>
        <v/>
      </c>
      <c r="J4905">
        <f>IF(F4905="","",INT(H4905)-B4905)</f>
        <v/>
      </c>
      <c r="K4905">
        <f>IF(B4905&gt;=Settings!$C$5,1,0)</f>
        <v/>
      </c>
    </row>
    <row r="4906">
      <c r="A4906" t="inlineStr">
        <is>
          <t>f5e9e329e1bc1ae7c49d22cef556e797</t>
        </is>
      </c>
      <c r="B4906" s="29" t="n">
        <v>43214</v>
      </c>
      <c r="C4906" t="inlineStr">
        <is>
          <t>2018-04</t>
        </is>
      </c>
      <c r="D4906" t="inlineStr">
        <is>
          <t>58326e62183c14b0c03085c33b9fdc44</t>
        </is>
      </c>
      <c r="E4906" t="inlineStr">
        <is>
          <t>social</t>
        </is>
      </c>
      <c r="F4906">
        <f>IFERROR(MATCH(A4906,Deals!$A$2:$A$843,0),"")</f>
        <v/>
      </c>
      <c r="G4906">
        <f>IF(F4906="",0,1)</f>
        <v/>
      </c>
      <c r="H4906" s="29">
        <f>IF(F4906="","",INDEX(Deals!$E$2:$E$843,F4906))</f>
        <v/>
      </c>
      <c r="I4906">
        <f>IF(F4906="","",INDEX(Deals!$D$2:$D$843,F4906))</f>
        <v/>
      </c>
      <c r="J4906">
        <f>IF(F4906="","",INT(H4906)-B4906)</f>
        <v/>
      </c>
      <c r="K4906">
        <f>IF(B4906&gt;=Settings!$C$5,1,0)</f>
        <v/>
      </c>
    </row>
    <row r="4907">
      <c r="A4907" t="inlineStr">
        <is>
          <t>da740a2d739707c310f3762453b41359</t>
        </is>
      </c>
      <c r="B4907" s="29" t="n">
        <v>43104</v>
      </c>
      <c r="C4907" t="inlineStr">
        <is>
          <t>2018-01</t>
        </is>
      </c>
      <c r="D4907" t="inlineStr">
        <is>
          <t>40dec9f3d5259a3d2dbcdab2114fae47</t>
        </is>
      </c>
      <c r="E4907" t="inlineStr">
        <is>
          <t>paid_search</t>
        </is>
      </c>
      <c r="F4907">
        <f>IFERROR(MATCH(A4907,Deals!$A$2:$A$843,0),"")</f>
        <v/>
      </c>
      <c r="G4907">
        <f>IF(F4907="",0,1)</f>
        <v/>
      </c>
      <c r="H4907" s="29">
        <f>IF(F4907="","",INDEX(Deals!$E$2:$E$843,F4907))</f>
        <v/>
      </c>
      <c r="I4907">
        <f>IF(F4907="","",INDEX(Deals!$D$2:$D$843,F4907))</f>
        <v/>
      </c>
      <c r="J4907">
        <f>IF(F4907="","",INT(H4907)-B4907)</f>
        <v/>
      </c>
      <c r="K4907">
        <f>IF(B4907&gt;=Settings!$C$5,1,0)</f>
        <v/>
      </c>
    </row>
    <row r="4908">
      <c r="A4908" t="inlineStr">
        <is>
          <t>777d507edf29d82605c3f695407c681f</t>
        </is>
      </c>
      <c r="B4908" s="29" t="n">
        <v>43151</v>
      </c>
      <c r="C4908" t="inlineStr">
        <is>
          <t>2018-02</t>
        </is>
      </c>
      <c r="D4908" t="inlineStr">
        <is>
          <t>88740e65d5d6b056e0cda098e1ea6313</t>
        </is>
      </c>
      <c r="E4908" t="inlineStr">
        <is>
          <t>social</t>
        </is>
      </c>
      <c r="F4908">
        <f>IFERROR(MATCH(A4908,Deals!$A$2:$A$843,0),"")</f>
        <v/>
      </c>
      <c r="G4908">
        <f>IF(F4908="",0,1)</f>
        <v/>
      </c>
      <c r="H4908" s="29">
        <f>IF(F4908="","",INDEX(Deals!$E$2:$E$843,F4908))</f>
        <v/>
      </c>
      <c r="I4908">
        <f>IF(F4908="","",INDEX(Deals!$D$2:$D$843,F4908))</f>
        <v/>
      </c>
      <c r="J4908">
        <f>IF(F4908="","",INT(H4908)-B4908)</f>
        <v/>
      </c>
      <c r="K4908">
        <f>IF(B4908&gt;=Settings!$C$5,1,0)</f>
        <v/>
      </c>
    </row>
    <row r="4909">
      <c r="A4909" t="inlineStr">
        <is>
          <t>cd39b2fcf60d4580dbe25b82be3fd1ab</t>
        </is>
      </c>
      <c r="B4909" s="29" t="n">
        <v>43151</v>
      </c>
      <c r="C4909" t="inlineStr">
        <is>
          <t>2018-02</t>
        </is>
      </c>
      <c r="D4909" t="inlineStr">
        <is>
          <t>54d5e01ab35155d4bd8cf723fc6f04a0</t>
        </is>
      </c>
      <c r="E4909" t="inlineStr">
        <is>
          <t>organic_search</t>
        </is>
      </c>
      <c r="F4909">
        <f>IFERROR(MATCH(A4909,Deals!$A$2:$A$843,0),"")</f>
        <v/>
      </c>
      <c r="G4909">
        <f>IF(F4909="",0,1)</f>
        <v/>
      </c>
      <c r="H4909" s="29">
        <f>IF(F4909="","",INDEX(Deals!$E$2:$E$843,F4909))</f>
        <v/>
      </c>
      <c r="I4909">
        <f>IF(F4909="","",INDEX(Deals!$D$2:$D$843,F4909))</f>
        <v/>
      </c>
      <c r="J4909">
        <f>IF(F4909="","",INT(H4909)-B4909)</f>
        <v/>
      </c>
      <c r="K4909">
        <f>IF(B4909&gt;=Settings!$C$5,1,0)</f>
        <v/>
      </c>
    </row>
    <row r="4910">
      <c r="A4910" t="inlineStr">
        <is>
          <t>4aff4e2601625effb12ca78354f06d18</t>
        </is>
      </c>
      <c r="B4910" s="29" t="n">
        <v>43146</v>
      </c>
      <c r="C4910" t="inlineStr">
        <is>
          <t>2018-02</t>
        </is>
      </c>
      <c r="D4910" t="inlineStr">
        <is>
          <t>65d9f9d71e562365e8b44037c2888d98</t>
        </is>
      </c>
      <c r="E4910" t="inlineStr">
        <is>
          <t>paid_search</t>
        </is>
      </c>
      <c r="F4910">
        <f>IFERROR(MATCH(A4910,Deals!$A$2:$A$843,0),"")</f>
        <v/>
      </c>
      <c r="G4910">
        <f>IF(F4910="",0,1)</f>
        <v/>
      </c>
      <c r="H4910" s="29">
        <f>IF(F4910="","",INDEX(Deals!$E$2:$E$843,F4910))</f>
        <v/>
      </c>
      <c r="I4910">
        <f>IF(F4910="","",INDEX(Deals!$D$2:$D$843,F4910))</f>
        <v/>
      </c>
      <c r="J4910">
        <f>IF(F4910="","",INT(H4910)-B4910)</f>
        <v/>
      </c>
      <c r="K4910">
        <f>IF(B4910&gt;=Settings!$C$5,1,0)</f>
        <v/>
      </c>
    </row>
    <row r="4911">
      <c r="A4911" t="inlineStr">
        <is>
          <t>3af7e700968700884b9da655b280a267</t>
        </is>
      </c>
      <c r="B4911" s="29" t="n">
        <v>42961</v>
      </c>
      <c r="C4911" t="inlineStr">
        <is>
          <t>2017-08</t>
        </is>
      </c>
      <c r="D4911" t="inlineStr">
        <is>
          <t>b48ec5f3b04e9068441002a19df93c6c</t>
        </is>
      </c>
      <c r="E4911" t="inlineStr">
        <is>
          <t>organic_search</t>
        </is>
      </c>
      <c r="F4911">
        <f>IFERROR(MATCH(A4911,Deals!$A$2:$A$843,0),"")</f>
        <v/>
      </c>
      <c r="G4911">
        <f>IF(F4911="",0,1)</f>
        <v/>
      </c>
      <c r="H4911" s="29">
        <f>IF(F4911="","",INDEX(Deals!$E$2:$E$843,F4911))</f>
        <v/>
      </c>
      <c r="I4911">
        <f>IF(F4911="","",INDEX(Deals!$D$2:$D$843,F4911))</f>
        <v/>
      </c>
      <c r="J4911">
        <f>IF(F4911="","",INT(H4911)-B4911)</f>
        <v/>
      </c>
      <c r="K4911">
        <f>IF(B4911&gt;=Settings!$C$5,1,0)</f>
        <v/>
      </c>
    </row>
    <row r="4912">
      <c r="A4912" t="inlineStr">
        <is>
          <t>13bfa3b0c77bec4598bc7fe923d12972</t>
        </is>
      </c>
      <c r="B4912" s="29" t="n">
        <v>42943</v>
      </c>
      <c r="C4912" t="inlineStr">
        <is>
          <t>2017-07</t>
        </is>
      </c>
      <c r="D4912" t="inlineStr">
        <is>
          <t>ef0b482996664cc1107b9051efd3ca84</t>
        </is>
      </c>
      <c r="E4912" t="inlineStr">
        <is>
          <t>organic_search</t>
        </is>
      </c>
      <c r="F4912">
        <f>IFERROR(MATCH(A4912,Deals!$A$2:$A$843,0),"")</f>
        <v/>
      </c>
      <c r="G4912">
        <f>IF(F4912="",0,1)</f>
        <v/>
      </c>
      <c r="H4912" s="29">
        <f>IF(F4912="","",INDEX(Deals!$E$2:$E$843,F4912))</f>
        <v/>
      </c>
      <c r="I4912">
        <f>IF(F4912="","",INDEX(Deals!$D$2:$D$843,F4912))</f>
        <v/>
      </c>
      <c r="J4912">
        <f>IF(F4912="","",INT(H4912)-B4912)</f>
        <v/>
      </c>
      <c r="K4912">
        <f>IF(B4912&gt;=Settings!$C$5,1,0)</f>
        <v/>
      </c>
    </row>
    <row r="4913">
      <c r="A4913" t="inlineStr">
        <is>
          <t>f3296629e5e4964de099e204626f32fd</t>
        </is>
      </c>
      <c r="B4913" s="29" t="n">
        <v>43177</v>
      </c>
      <c r="C4913" t="inlineStr">
        <is>
          <t>2018-03</t>
        </is>
      </c>
      <c r="D4913" t="inlineStr">
        <is>
          <t>d8a14bb9ac08a36af5e3221b224966ba</t>
        </is>
      </c>
      <c r="E4913" t="inlineStr">
        <is>
          <t>paid_search</t>
        </is>
      </c>
      <c r="F4913">
        <f>IFERROR(MATCH(A4913,Deals!$A$2:$A$843,0),"")</f>
        <v/>
      </c>
      <c r="G4913">
        <f>IF(F4913="",0,1)</f>
        <v/>
      </c>
      <c r="H4913" s="29">
        <f>IF(F4913="","",INDEX(Deals!$E$2:$E$843,F4913))</f>
        <v/>
      </c>
      <c r="I4913">
        <f>IF(F4913="","",INDEX(Deals!$D$2:$D$843,F4913))</f>
        <v/>
      </c>
      <c r="J4913">
        <f>IF(F4913="","",INT(H4913)-B4913)</f>
        <v/>
      </c>
      <c r="K4913">
        <f>IF(B4913&gt;=Settings!$C$5,1,0)</f>
        <v/>
      </c>
    </row>
    <row r="4914">
      <c r="A4914" t="inlineStr">
        <is>
          <t>80cfbf53d537457298be2f3ffc1831d0</t>
        </is>
      </c>
      <c r="B4914" s="29" t="n">
        <v>43143</v>
      </c>
      <c r="C4914" t="inlineStr">
        <is>
          <t>2018-02</t>
        </is>
      </c>
      <c r="D4914" t="inlineStr">
        <is>
          <t>b76ef37428e6799c421989521c0e5077</t>
        </is>
      </c>
      <c r="E4914" t="inlineStr">
        <is>
          <t>unknown</t>
        </is>
      </c>
      <c r="F4914">
        <f>IFERROR(MATCH(A4914,Deals!$A$2:$A$843,0),"")</f>
        <v/>
      </c>
      <c r="G4914">
        <f>IF(F4914="",0,1)</f>
        <v/>
      </c>
      <c r="H4914" s="29">
        <f>IF(F4914="","",INDEX(Deals!$E$2:$E$843,F4914))</f>
        <v/>
      </c>
      <c r="I4914">
        <f>IF(F4914="","",INDEX(Deals!$D$2:$D$843,F4914))</f>
        <v/>
      </c>
      <c r="J4914">
        <f>IF(F4914="","",INT(H4914)-B4914)</f>
        <v/>
      </c>
      <c r="K4914">
        <f>IF(B4914&gt;=Settings!$C$5,1,0)</f>
        <v/>
      </c>
    </row>
    <row r="4915">
      <c r="A4915" t="inlineStr">
        <is>
          <t>297fbe6be1631f492c1783ce8db54a6e</t>
        </is>
      </c>
      <c r="B4915" s="29" t="n">
        <v>43045</v>
      </c>
      <c r="C4915" t="inlineStr">
        <is>
          <t>2017-11</t>
        </is>
      </c>
      <c r="D4915" t="inlineStr">
        <is>
          <t>15cf89bab2c3163b4f9d8601d108f8b2</t>
        </is>
      </c>
      <c r="E4915" t="inlineStr">
        <is>
          <t>organic_search</t>
        </is>
      </c>
      <c r="F4915">
        <f>IFERROR(MATCH(A4915,Deals!$A$2:$A$843,0),"")</f>
        <v/>
      </c>
      <c r="G4915">
        <f>IF(F4915="",0,1)</f>
        <v/>
      </c>
      <c r="H4915" s="29">
        <f>IF(F4915="","",INDEX(Deals!$E$2:$E$843,F4915))</f>
        <v/>
      </c>
      <c r="I4915">
        <f>IF(F4915="","",INDEX(Deals!$D$2:$D$843,F4915))</f>
        <v/>
      </c>
      <c r="J4915">
        <f>IF(F4915="","",INT(H4915)-B4915)</f>
        <v/>
      </c>
      <c r="K4915">
        <f>IF(B4915&gt;=Settings!$C$5,1,0)</f>
        <v/>
      </c>
    </row>
    <row r="4916">
      <c r="A4916" t="inlineStr">
        <is>
          <t>f7464066678a4b2b73cd89da6c7c161c</t>
        </is>
      </c>
      <c r="B4916" s="29" t="n">
        <v>42988</v>
      </c>
      <c r="C4916" t="inlineStr">
        <is>
          <t>2017-09</t>
        </is>
      </c>
      <c r="D4916" t="inlineStr">
        <is>
          <t>22c29808c4f815213303f8933030604c</t>
        </is>
      </c>
      <c r="E4916" t="inlineStr">
        <is>
          <t>direct_traffic</t>
        </is>
      </c>
      <c r="F4916">
        <f>IFERROR(MATCH(A4916,Deals!$A$2:$A$843,0),"")</f>
        <v/>
      </c>
      <c r="G4916">
        <f>IF(F4916="",0,1)</f>
        <v/>
      </c>
      <c r="H4916" s="29">
        <f>IF(F4916="","",INDEX(Deals!$E$2:$E$843,F4916))</f>
        <v/>
      </c>
      <c r="I4916">
        <f>IF(F4916="","",INDEX(Deals!$D$2:$D$843,F4916))</f>
        <v/>
      </c>
      <c r="J4916">
        <f>IF(F4916="","",INT(H4916)-B4916)</f>
        <v/>
      </c>
      <c r="K4916">
        <f>IF(B4916&gt;=Settings!$C$5,1,0)</f>
        <v/>
      </c>
    </row>
    <row r="4917">
      <c r="A4917" t="inlineStr">
        <is>
          <t>4ee285c12ef11f247df48292946aea6d</t>
        </is>
      </c>
      <c r="B4917" s="29" t="n">
        <v>43198</v>
      </c>
      <c r="C4917" t="inlineStr">
        <is>
          <t>2018-04</t>
        </is>
      </c>
      <c r="D4917" t="inlineStr">
        <is>
          <t>58326e62183c14b0c03085c33b9fdc44</t>
        </is>
      </c>
      <c r="E4917" t="inlineStr">
        <is>
          <t>social</t>
        </is>
      </c>
      <c r="F4917">
        <f>IFERROR(MATCH(A4917,Deals!$A$2:$A$843,0),"")</f>
        <v/>
      </c>
      <c r="G4917">
        <f>IF(F4917="",0,1)</f>
        <v/>
      </c>
      <c r="H4917" s="29">
        <f>IF(F4917="","",INDEX(Deals!$E$2:$E$843,F4917))</f>
        <v/>
      </c>
      <c r="I4917">
        <f>IF(F4917="","",INDEX(Deals!$D$2:$D$843,F4917))</f>
        <v/>
      </c>
      <c r="J4917">
        <f>IF(F4917="","",INT(H4917)-B4917)</f>
        <v/>
      </c>
      <c r="K4917">
        <f>IF(B4917&gt;=Settings!$C$5,1,0)</f>
        <v/>
      </c>
    </row>
    <row r="4918">
      <c r="A4918" t="inlineStr">
        <is>
          <t>169c542306442d8ef169c0761d661257</t>
        </is>
      </c>
      <c r="B4918" s="29" t="n">
        <v>43105</v>
      </c>
      <c r="C4918" t="inlineStr">
        <is>
          <t>2018-01</t>
        </is>
      </c>
      <c r="D4918" t="inlineStr">
        <is>
          <t>241f79c7a8fe0270f4fb79fcbbcd17ad</t>
        </is>
      </c>
      <c r="E4918" t="inlineStr">
        <is>
          <t>organic_search</t>
        </is>
      </c>
      <c r="F4918">
        <f>IFERROR(MATCH(A4918,Deals!$A$2:$A$843,0),"")</f>
        <v/>
      </c>
      <c r="G4918">
        <f>IF(F4918="",0,1)</f>
        <v/>
      </c>
      <c r="H4918" s="29">
        <f>IF(F4918="","",INDEX(Deals!$E$2:$E$843,F4918))</f>
        <v/>
      </c>
      <c r="I4918">
        <f>IF(F4918="","",INDEX(Deals!$D$2:$D$843,F4918))</f>
        <v/>
      </c>
      <c r="J4918">
        <f>IF(F4918="","",INT(H4918)-B4918)</f>
        <v/>
      </c>
      <c r="K4918">
        <f>IF(B4918&gt;=Settings!$C$5,1,0)</f>
        <v/>
      </c>
    </row>
    <row r="4919">
      <c r="A4919" t="inlineStr">
        <is>
          <t>26c8106f0f28bd50208678b59c7f722d</t>
        </is>
      </c>
      <c r="B4919" s="29" t="n">
        <v>42961</v>
      </c>
      <c r="C4919" t="inlineStr">
        <is>
          <t>2017-08</t>
        </is>
      </c>
      <c r="D4919" t="inlineStr">
        <is>
          <t>76d33b7836dd4396f9dd310392f570f8</t>
        </is>
      </c>
      <c r="E4919" t="inlineStr">
        <is>
          <t>organic_search</t>
        </is>
      </c>
      <c r="F4919">
        <f>IFERROR(MATCH(A4919,Deals!$A$2:$A$843,0),"")</f>
        <v/>
      </c>
      <c r="G4919">
        <f>IF(F4919="",0,1)</f>
        <v/>
      </c>
      <c r="H4919" s="29">
        <f>IF(F4919="","",INDEX(Deals!$E$2:$E$843,F4919))</f>
        <v/>
      </c>
      <c r="I4919">
        <f>IF(F4919="","",INDEX(Deals!$D$2:$D$843,F4919))</f>
        <v/>
      </c>
      <c r="J4919">
        <f>IF(F4919="","",INT(H4919)-B4919)</f>
        <v/>
      </c>
      <c r="K4919">
        <f>IF(B4919&gt;=Settings!$C$5,1,0)</f>
        <v/>
      </c>
    </row>
    <row r="4920">
      <c r="A4920" t="inlineStr">
        <is>
          <t>9eca6659a8b78c13386f85bb3fbb70a2</t>
        </is>
      </c>
      <c r="B4920" s="29" t="n">
        <v>43210</v>
      </c>
      <c r="C4920" t="inlineStr">
        <is>
          <t>2018-04</t>
        </is>
      </c>
      <c r="D4920" t="inlineStr">
        <is>
          <t>22c29808c4f815213303f8933030604c</t>
        </is>
      </c>
      <c r="E4920" t="inlineStr">
        <is>
          <t>organic_search</t>
        </is>
      </c>
      <c r="F4920">
        <f>IFERROR(MATCH(A4920,Deals!$A$2:$A$843,0),"")</f>
        <v/>
      </c>
      <c r="G4920">
        <f>IF(F4920="",0,1)</f>
        <v/>
      </c>
      <c r="H4920" s="29">
        <f>IF(F4920="","",INDEX(Deals!$E$2:$E$843,F4920))</f>
        <v/>
      </c>
      <c r="I4920">
        <f>IF(F4920="","",INDEX(Deals!$D$2:$D$843,F4920))</f>
        <v/>
      </c>
      <c r="J4920">
        <f>IF(F4920="","",INT(H4920)-B4920)</f>
        <v/>
      </c>
      <c r="K4920">
        <f>IF(B4920&gt;=Settings!$C$5,1,0)</f>
        <v/>
      </c>
    </row>
    <row r="4921">
      <c r="A4921" t="inlineStr">
        <is>
          <t>180933be379609eaf8430b56c790acda</t>
        </is>
      </c>
      <c r="B4921" s="29" t="n">
        <v>43007</v>
      </c>
      <c r="C4921" t="inlineStr">
        <is>
          <t>2017-09</t>
        </is>
      </c>
      <c r="D4921" t="inlineStr">
        <is>
          <t>4aab772aeb9833c170d8ea5413e02eac</t>
        </is>
      </c>
      <c r="E4921" t="inlineStr">
        <is>
          <t>paid_search</t>
        </is>
      </c>
      <c r="F4921">
        <f>IFERROR(MATCH(A4921,Deals!$A$2:$A$843,0),"")</f>
        <v/>
      </c>
      <c r="G4921">
        <f>IF(F4921="",0,1)</f>
        <v/>
      </c>
      <c r="H4921" s="29">
        <f>IF(F4921="","",INDEX(Deals!$E$2:$E$843,F4921))</f>
        <v/>
      </c>
      <c r="I4921">
        <f>IF(F4921="","",INDEX(Deals!$D$2:$D$843,F4921))</f>
        <v/>
      </c>
      <c r="J4921">
        <f>IF(F4921="","",INT(H4921)-B4921)</f>
        <v/>
      </c>
      <c r="K4921">
        <f>IF(B4921&gt;=Settings!$C$5,1,0)</f>
        <v/>
      </c>
    </row>
    <row r="4922">
      <c r="A4922" t="inlineStr">
        <is>
          <t>aca7c9e7a20ed3b97148e7e099e76d02</t>
        </is>
      </c>
      <c r="B4922" s="29" t="n">
        <v>43202</v>
      </c>
      <c r="C4922" t="inlineStr">
        <is>
          <t>2018-04</t>
        </is>
      </c>
      <c r="D4922" t="inlineStr">
        <is>
          <t>58326e62183c14b0c03085c33b9fdc44</t>
        </is>
      </c>
      <c r="E4922" t="inlineStr">
        <is>
          <t>social</t>
        </is>
      </c>
      <c r="F4922">
        <f>IFERROR(MATCH(A4922,Deals!$A$2:$A$843,0),"")</f>
        <v/>
      </c>
      <c r="G4922">
        <f>IF(F4922="",0,1)</f>
        <v/>
      </c>
      <c r="H4922" s="29">
        <f>IF(F4922="","",INDEX(Deals!$E$2:$E$843,F4922))</f>
        <v/>
      </c>
      <c r="I4922">
        <f>IF(F4922="","",INDEX(Deals!$D$2:$D$843,F4922))</f>
        <v/>
      </c>
      <c r="J4922">
        <f>IF(F4922="","",INT(H4922)-B4922)</f>
        <v/>
      </c>
      <c r="K4922">
        <f>IF(B4922&gt;=Settings!$C$5,1,0)</f>
        <v/>
      </c>
    </row>
    <row r="4923">
      <c r="A4923" t="inlineStr">
        <is>
          <t>5b6359f4589fe6e5a4856110f0480240</t>
        </is>
      </c>
      <c r="B4923" s="29" t="n">
        <v>43237</v>
      </c>
      <c r="C4923" t="inlineStr">
        <is>
          <t>2018-05</t>
        </is>
      </c>
      <c r="D4923" t="inlineStr">
        <is>
          <t>a7982125ff7aa3b2054c6e44f9d28522</t>
        </is>
      </c>
      <c r="E4923" t="inlineStr">
        <is>
          <t>organic_search</t>
        </is>
      </c>
      <c r="F4923">
        <f>IFERROR(MATCH(A4923,Deals!$A$2:$A$843,0),"")</f>
        <v/>
      </c>
      <c r="G4923">
        <f>IF(F4923="",0,1)</f>
        <v/>
      </c>
      <c r="H4923" s="29">
        <f>IF(F4923="","",INDEX(Deals!$E$2:$E$843,F4923))</f>
        <v/>
      </c>
      <c r="I4923">
        <f>IF(F4923="","",INDEX(Deals!$D$2:$D$843,F4923))</f>
        <v/>
      </c>
      <c r="J4923">
        <f>IF(F4923="","",INT(H4923)-B4923)</f>
        <v/>
      </c>
      <c r="K4923">
        <f>IF(B4923&gt;=Settings!$C$5,1,0)</f>
        <v/>
      </c>
    </row>
    <row r="4924">
      <c r="A4924" t="inlineStr">
        <is>
          <t>d2404acc0827133844e0a3c396af3dd0</t>
        </is>
      </c>
      <c r="B4924" s="29" t="n">
        <v>43191</v>
      </c>
      <c r="C4924" t="inlineStr">
        <is>
          <t>2018-04</t>
        </is>
      </c>
      <c r="D4924" t="inlineStr">
        <is>
          <t>ce1a65abd0973638f1c887a6efcfa82d</t>
        </is>
      </c>
      <c r="E4924" t="inlineStr">
        <is>
          <t>organic_search</t>
        </is>
      </c>
      <c r="F4924">
        <f>IFERROR(MATCH(A4924,Deals!$A$2:$A$843,0),"")</f>
        <v/>
      </c>
      <c r="G4924">
        <f>IF(F4924="",0,1)</f>
        <v/>
      </c>
      <c r="H4924" s="29">
        <f>IF(F4924="","",INDEX(Deals!$E$2:$E$843,F4924))</f>
        <v/>
      </c>
      <c r="I4924">
        <f>IF(F4924="","",INDEX(Deals!$D$2:$D$843,F4924))</f>
        <v/>
      </c>
      <c r="J4924">
        <f>IF(F4924="","",INT(H4924)-B4924)</f>
        <v/>
      </c>
      <c r="K4924">
        <f>IF(B4924&gt;=Settings!$C$5,1,0)</f>
        <v/>
      </c>
    </row>
    <row r="4925">
      <c r="A4925" t="inlineStr">
        <is>
          <t>3a55a38f5f96deb7a6064d9dac177151</t>
        </is>
      </c>
      <c r="B4925" s="29" t="n">
        <v>43114</v>
      </c>
      <c r="C4925" t="inlineStr">
        <is>
          <t>2018-01</t>
        </is>
      </c>
      <c r="D4925" t="inlineStr">
        <is>
          <t>f98c2bd96ac4a5d9476734e790c91384</t>
        </is>
      </c>
      <c r="E4925" t="inlineStr">
        <is>
          <t>direct_traffic</t>
        </is>
      </c>
      <c r="F4925">
        <f>IFERROR(MATCH(A4925,Deals!$A$2:$A$843,0),"")</f>
        <v/>
      </c>
      <c r="G4925">
        <f>IF(F4925="",0,1)</f>
        <v/>
      </c>
      <c r="H4925" s="29">
        <f>IF(F4925="","",INDEX(Deals!$E$2:$E$843,F4925))</f>
        <v/>
      </c>
      <c r="I4925">
        <f>IF(F4925="","",INDEX(Deals!$D$2:$D$843,F4925))</f>
        <v/>
      </c>
      <c r="J4925">
        <f>IF(F4925="","",INT(H4925)-B4925)</f>
        <v/>
      </c>
      <c r="K4925">
        <f>IF(B4925&gt;=Settings!$C$5,1,0)</f>
        <v/>
      </c>
    </row>
    <row r="4926">
      <c r="A4926" t="inlineStr">
        <is>
          <t>6078c5a808c1d1fab2096fad001f4d0d</t>
        </is>
      </c>
      <c r="B4926" s="29" t="n">
        <v>43116</v>
      </c>
      <c r="C4926" t="inlineStr">
        <is>
          <t>2018-01</t>
        </is>
      </c>
      <c r="D4926" t="inlineStr">
        <is>
          <t>65d9f9d71e562365e8b44037c2888d98</t>
        </is>
      </c>
      <c r="E4926" t="inlineStr">
        <is>
          <t>paid_search</t>
        </is>
      </c>
      <c r="F4926">
        <f>IFERROR(MATCH(A4926,Deals!$A$2:$A$843,0),"")</f>
        <v/>
      </c>
      <c r="G4926">
        <f>IF(F4926="",0,1)</f>
        <v/>
      </c>
      <c r="H4926" s="29">
        <f>IF(F4926="","",INDEX(Deals!$E$2:$E$843,F4926))</f>
        <v/>
      </c>
      <c r="I4926">
        <f>IF(F4926="","",INDEX(Deals!$D$2:$D$843,F4926))</f>
        <v/>
      </c>
      <c r="J4926">
        <f>IF(F4926="","",INT(H4926)-B4926)</f>
        <v/>
      </c>
      <c r="K4926">
        <f>IF(B4926&gt;=Settings!$C$5,1,0)</f>
        <v/>
      </c>
    </row>
    <row r="4927">
      <c r="A4927" t="inlineStr">
        <is>
          <t>279aa7d7fd021560f07070295c4cb888</t>
        </is>
      </c>
      <c r="B4927" s="29" t="n">
        <v>43225</v>
      </c>
      <c r="C4927" t="inlineStr">
        <is>
          <t>2018-05</t>
        </is>
      </c>
      <c r="D4927" t="inlineStr">
        <is>
          <t>7fa6214d82e911d070f51ef79381b956</t>
        </is>
      </c>
      <c r="E4927" t="inlineStr">
        <is>
          <t>organic_search</t>
        </is>
      </c>
      <c r="F4927">
        <f>IFERROR(MATCH(A4927,Deals!$A$2:$A$843,0),"")</f>
        <v/>
      </c>
      <c r="G4927">
        <f>IF(F4927="",0,1)</f>
        <v/>
      </c>
      <c r="H4927" s="29">
        <f>IF(F4927="","",INDEX(Deals!$E$2:$E$843,F4927))</f>
        <v/>
      </c>
      <c r="I4927">
        <f>IF(F4927="","",INDEX(Deals!$D$2:$D$843,F4927))</f>
        <v/>
      </c>
      <c r="J4927">
        <f>IF(F4927="","",INT(H4927)-B4927)</f>
        <v/>
      </c>
      <c r="K4927">
        <f>IF(B4927&gt;=Settings!$C$5,1,0)</f>
        <v/>
      </c>
    </row>
    <row r="4928">
      <c r="A4928" t="inlineStr">
        <is>
          <t>45c8951d7a63d3827f1d45d2ac103dfd</t>
        </is>
      </c>
      <c r="B4928" s="29" t="n">
        <v>42941</v>
      </c>
      <c r="C4928" t="inlineStr">
        <is>
          <t>2017-07</t>
        </is>
      </c>
      <c r="D4928" t="inlineStr">
        <is>
          <t>7eb40e4e44fef8bff604b621119446c7</t>
        </is>
      </c>
      <c r="E4928" t="inlineStr">
        <is>
          <t>organic_search</t>
        </is>
      </c>
      <c r="F4928">
        <f>IFERROR(MATCH(A4928,Deals!$A$2:$A$843,0),"")</f>
        <v/>
      </c>
      <c r="G4928">
        <f>IF(F4928="",0,1)</f>
        <v/>
      </c>
      <c r="H4928" s="29">
        <f>IF(F4928="","",INDEX(Deals!$E$2:$E$843,F4928))</f>
        <v/>
      </c>
      <c r="I4928">
        <f>IF(F4928="","",INDEX(Deals!$D$2:$D$843,F4928))</f>
        <v/>
      </c>
      <c r="J4928">
        <f>IF(F4928="","",INT(H4928)-B4928)</f>
        <v/>
      </c>
      <c r="K4928">
        <f>IF(B4928&gt;=Settings!$C$5,1,0)</f>
        <v/>
      </c>
    </row>
    <row r="4929">
      <c r="A4929" t="inlineStr">
        <is>
          <t>c37cc97f8ce18a041b73ae6a749c55a0</t>
        </is>
      </c>
      <c r="B4929" s="29" t="n">
        <v>43196</v>
      </c>
      <c r="C4929" t="inlineStr">
        <is>
          <t>2018-04</t>
        </is>
      </c>
      <c r="D4929" t="inlineStr">
        <is>
          <t>40dec9f3d5259a3d2dbcdab2114fae47</t>
        </is>
      </c>
      <c r="E4929" t="inlineStr">
        <is>
          <t>paid_search</t>
        </is>
      </c>
      <c r="F4929">
        <f>IFERROR(MATCH(A4929,Deals!$A$2:$A$843,0),"")</f>
        <v/>
      </c>
      <c r="G4929">
        <f>IF(F4929="",0,1)</f>
        <v/>
      </c>
      <c r="H4929" s="29">
        <f>IF(F4929="","",INDEX(Deals!$E$2:$E$843,F4929))</f>
        <v/>
      </c>
      <c r="I4929">
        <f>IF(F4929="","",INDEX(Deals!$D$2:$D$843,F4929))</f>
        <v/>
      </c>
      <c r="J4929">
        <f>IF(F4929="","",INT(H4929)-B4929)</f>
        <v/>
      </c>
      <c r="K4929">
        <f>IF(B4929&gt;=Settings!$C$5,1,0)</f>
        <v/>
      </c>
    </row>
    <row r="4930">
      <c r="A4930" t="inlineStr">
        <is>
          <t>64346f3fd75112f55f90dbb6b766c3a8</t>
        </is>
      </c>
      <c r="B4930" s="29" t="n">
        <v>43245</v>
      </c>
      <c r="C4930" t="inlineStr">
        <is>
          <t>2018-05</t>
        </is>
      </c>
      <c r="D4930" t="inlineStr">
        <is>
          <t>1ceb590cd1e00c7ee95220971f82693d</t>
        </is>
      </c>
      <c r="E4930" t="inlineStr">
        <is>
          <t>organic_search</t>
        </is>
      </c>
      <c r="F4930">
        <f>IFERROR(MATCH(A4930,Deals!$A$2:$A$843,0),"")</f>
        <v/>
      </c>
      <c r="G4930">
        <f>IF(F4930="",0,1)</f>
        <v/>
      </c>
      <c r="H4930" s="29">
        <f>IF(F4930="","",INDEX(Deals!$E$2:$E$843,F4930))</f>
        <v/>
      </c>
      <c r="I4930">
        <f>IF(F4930="","",INDEX(Deals!$D$2:$D$843,F4930))</f>
        <v/>
      </c>
      <c r="J4930">
        <f>IF(F4930="","",INT(H4930)-B4930)</f>
        <v/>
      </c>
      <c r="K4930">
        <f>IF(B4930&gt;=Settings!$C$5,1,0)</f>
        <v/>
      </c>
    </row>
    <row r="4931">
      <c r="A4931" t="inlineStr">
        <is>
          <t>c84b270aa5893770d53468e5ccd5d512</t>
        </is>
      </c>
      <c r="B4931" s="29" t="n">
        <v>43222</v>
      </c>
      <c r="C4931" t="inlineStr">
        <is>
          <t>2018-05</t>
        </is>
      </c>
      <c r="D4931" t="inlineStr">
        <is>
          <t>58326e62183c14b0c03085c33b9fdc44</t>
        </is>
      </c>
      <c r="E4931" t="inlineStr">
        <is>
          <t>direct_traffic</t>
        </is>
      </c>
      <c r="F4931">
        <f>IFERROR(MATCH(A4931,Deals!$A$2:$A$843,0),"")</f>
        <v/>
      </c>
      <c r="G4931">
        <f>IF(F4931="",0,1)</f>
        <v/>
      </c>
      <c r="H4931" s="29">
        <f>IF(F4931="","",INDEX(Deals!$E$2:$E$843,F4931))</f>
        <v/>
      </c>
      <c r="I4931">
        <f>IF(F4931="","",INDEX(Deals!$D$2:$D$843,F4931))</f>
        <v/>
      </c>
      <c r="J4931">
        <f>IF(F4931="","",INT(H4931)-B4931)</f>
        <v/>
      </c>
      <c r="K4931">
        <f>IF(B4931&gt;=Settings!$C$5,1,0)</f>
        <v/>
      </c>
    </row>
    <row r="4932">
      <c r="A4932" t="inlineStr">
        <is>
          <t>d52e1bd0f9d78d2709b4bc78c7e0f5a2</t>
        </is>
      </c>
      <c r="B4932" s="29" t="n">
        <v>43018</v>
      </c>
      <c r="C4932" t="inlineStr">
        <is>
          <t>2017-10</t>
        </is>
      </c>
      <c r="D4932" t="inlineStr">
        <is>
          <t>f98c2bd96ac4a5d9476734e790c91384</t>
        </is>
      </c>
      <c r="E4932" t="inlineStr">
        <is>
          <t>paid_search</t>
        </is>
      </c>
      <c r="F4932">
        <f>IFERROR(MATCH(A4932,Deals!$A$2:$A$843,0),"")</f>
        <v/>
      </c>
      <c r="G4932">
        <f>IF(F4932="",0,1)</f>
        <v/>
      </c>
      <c r="H4932" s="29">
        <f>IF(F4932="","",INDEX(Deals!$E$2:$E$843,F4932))</f>
        <v/>
      </c>
      <c r="I4932">
        <f>IF(F4932="","",INDEX(Deals!$D$2:$D$843,F4932))</f>
        <v/>
      </c>
      <c r="J4932">
        <f>IF(F4932="","",INT(H4932)-B4932)</f>
        <v/>
      </c>
      <c r="K4932">
        <f>IF(B4932&gt;=Settings!$C$5,1,0)</f>
        <v/>
      </c>
    </row>
    <row r="4933">
      <c r="A4933" t="inlineStr">
        <is>
          <t>070659cee3540cd84a4ca2eabd2a694c</t>
        </is>
      </c>
      <c r="B4933" s="29" t="n">
        <v>43108</v>
      </c>
      <c r="C4933" t="inlineStr">
        <is>
          <t>2018-01</t>
        </is>
      </c>
      <c r="D4933" t="inlineStr">
        <is>
          <t>f017be4dbf86243af5c1ebed0cff36a2</t>
        </is>
      </c>
      <c r="E4933" t="inlineStr">
        <is>
          <t>organic_search</t>
        </is>
      </c>
      <c r="F4933">
        <f>IFERROR(MATCH(A4933,Deals!$A$2:$A$843,0),"")</f>
        <v/>
      </c>
      <c r="G4933">
        <f>IF(F4933="",0,1)</f>
        <v/>
      </c>
      <c r="H4933" s="29">
        <f>IF(F4933="","",INDEX(Deals!$E$2:$E$843,F4933))</f>
        <v/>
      </c>
      <c r="I4933">
        <f>IF(F4933="","",INDEX(Deals!$D$2:$D$843,F4933))</f>
        <v/>
      </c>
      <c r="J4933">
        <f>IF(F4933="","",INT(H4933)-B4933)</f>
        <v/>
      </c>
      <c r="K4933">
        <f>IF(B4933&gt;=Settings!$C$5,1,0)</f>
        <v/>
      </c>
    </row>
    <row r="4934">
      <c r="A4934" t="inlineStr">
        <is>
          <t>ae5a48893b0ff60134096f2f4c9f7db2</t>
        </is>
      </c>
      <c r="B4934" s="29" t="n">
        <v>43154</v>
      </c>
      <c r="C4934" t="inlineStr">
        <is>
          <t>2018-02</t>
        </is>
      </c>
      <c r="D4934" t="inlineStr">
        <is>
          <t>b76ef37428e6799c421989521c0e5077</t>
        </is>
      </c>
      <c r="E4934" t="inlineStr">
        <is>
          <t>paid_search</t>
        </is>
      </c>
      <c r="F4934">
        <f>IFERROR(MATCH(A4934,Deals!$A$2:$A$843,0),"")</f>
        <v/>
      </c>
      <c r="G4934">
        <f>IF(F4934="",0,1)</f>
        <v/>
      </c>
      <c r="H4934" s="29">
        <f>IF(F4934="","",INDEX(Deals!$E$2:$E$843,F4934))</f>
        <v/>
      </c>
      <c r="I4934">
        <f>IF(F4934="","",INDEX(Deals!$D$2:$D$843,F4934))</f>
        <v/>
      </c>
      <c r="J4934">
        <f>IF(F4934="","",INT(H4934)-B4934)</f>
        <v/>
      </c>
      <c r="K4934">
        <f>IF(B4934&gt;=Settings!$C$5,1,0)</f>
        <v/>
      </c>
    </row>
    <row r="4935">
      <c r="A4935" t="inlineStr">
        <is>
          <t>990c47be825204a64cfe2c32db046120</t>
        </is>
      </c>
      <c r="B4935" s="29" t="n">
        <v>43202</v>
      </c>
      <c r="C4935" t="inlineStr">
        <is>
          <t>2018-04</t>
        </is>
      </c>
      <c r="D4935" t="inlineStr">
        <is>
          <t>1baca9df5850e5ba75545d8b2eb8d966</t>
        </is>
      </c>
      <c r="E4935" t="inlineStr">
        <is>
          <t>organic_search</t>
        </is>
      </c>
      <c r="F4935">
        <f>IFERROR(MATCH(A4935,Deals!$A$2:$A$843,0),"")</f>
        <v/>
      </c>
      <c r="G4935">
        <f>IF(F4935="",0,1)</f>
        <v/>
      </c>
      <c r="H4935" s="29">
        <f>IF(F4935="","",INDEX(Deals!$E$2:$E$843,F4935))</f>
        <v/>
      </c>
      <c r="I4935">
        <f>IF(F4935="","",INDEX(Deals!$D$2:$D$843,F4935))</f>
        <v/>
      </c>
      <c r="J4935">
        <f>IF(F4935="","",INT(H4935)-B4935)</f>
        <v/>
      </c>
      <c r="K4935">
        <f>IF(B4935&gt;=Settings!$C$5,1,0)</f>
        <v/>
      </c>
    </row>
    <row r="4936">
      <c r="A4936" t="inlineStr">
        <is>
          <t>376d16bcfb665a865b9c932ebb072894</t>
        </is>
      </c>
      <c r="B4936" s="29" t="n">
        <v>43212</v>
      </c>
      <c r="C4936" t="inlineStr">
        <is>
          <t>2018-04</t>
        </is>
      </c>
      <c r="D4936" t="inlineStr">
        <is>
          <t>721e54f5ec9978339e69dd3601713456</t>
        </is>
      </c>
      <c r="E4936" t="inlineStr">
        <is>
          <t>paid_search</t>
        </is>
      </c>
      <c r="F4936">
        <f>IFERROR(MATCH(A4936,Deals!$A$2:$A$843,0),"")</f>
        <v/>
      </c>
      <c r="G4936">
        <f>IF(F4936="",0,1)</f>
        <v/>
      </c>
      <c r="H4936" s="29">
        <f>IF(F4936="","",INDEX(Deals!$E$2:$E$843,F4936))</f>
        <v/>
      </c>
      <c r="I4936">
        <f>IF(F4936="","",INDEX(Deals!$D$2:$D$843,F4936))</f>
        <v/>
      </c>
      <c r="J4936">
        <f>IF(F4936="","",INT(H4936)-B4936)</f>
        <v/>
      </c>
      <c r="K4936">
        <f>IF(B4936&gt;=Settings!$C$5,1,0)</f>
        <v/>
      </c>
    </row>
    <row r="4937">
      <c r="A4937" t="inlineStr">
        <is>
          <t>319d3166ea5c551f99dd475924788d9a</t>
        </is>
      </c>
      <c r="B4937" s="29" t="n">
        <v>43165</v>
      </c>
      <c r="C4937" t="inlineStr">
        <is>
          <t>2018-03</t>
        </is>
      </c>
      <c r="D4937" t="inlineStr">
        <is>
          <t>649b7b8b46b254497e92038d88f6ced8</t>
        </is>
      </c>
      <c r="E4937" t="inlineStr">
        <is>
          <t>social</t>
        </is>
      </c>
      <c r="F4937">
        <f>IFERROR(MATCH(A4937,Deals!$A$2:$A$843,0),"")</f>
        <v/>
      </c>
      <c r="G4937">
        <f>IF(F4937="",0,1)</f>
        <v/>
      </c>
      <c r="H4937" s="29">
        <f>IF(F4937="","",INDEX(Deals!$E$2:$E$843,F4937))</f>
        <v/>
      </c>
      <c r="I4937">
        <f>IF(F4937="","",INDEX(Deals!$D$2:$D$843,F4937))</f>
        <v/>
      </c>
      <c r="J4937">
        <f>IF(F4937="","",INT(H4937)-B4937)</f>
        <v/>
      </c>
      <c r="K4937">
        <f>IF(B4937&gt;=Settings!$C$5,1,0)</f>
        <v/>
      </c>
    </row>
    <row r="4938">
      <c r="A4938" t="inlineStr">
        <is>
          <t>98eac8c94409e17058b6e89bfa4b2626</t>
        </is>
      </c>
      <c r="B4938" s="29" t="n">
        <v>43102</v>
      </c>
      <c r="C4938" t="inlineStr">
        <is>
          <t>2018-01</t>
        </is>
      </c>
      <c r="D4938" t="inlineStr">
        <is>
          <t>b76ef37428e6799c421989521c0e5077</t>
        </is>
      </c>
      <c r="E4938" t="inlineStr">
        <is>
          <t>unknown</t>
        </is>
      </c>
      <c r="F4938">
        <f>IFERROR(MATCH(A4938,Deals!$A$2:$A$843,0),"")</f>
        <v/>
      </c>
      <c r="G4938">
        <f>IF(F4938="",0,1)</f>
        <v/>
      </c>
      <c r="H4938" s="29">
        <f>IF(F4938="","",INDEX(Deals!$E$2:$E$843,F4938))</f>
        <v/>
      </c>
      <c r="I4938">
        <f>IF(F4938="","",INDEX(Deals!$D$2:$D$843,F4938))</f>
        <v/>
      </c>
      <c r="J4938">
        <f>IF(F4938="","",INT(H4938)-B4938)</f>
        <v/>
      </c>
      <c r="K4938">
        <f>IF(B4938&gt;=Settings!$C$5,1,0)</f>
        <v/>
      </c>
    </row>
    <row r="4939">
      <c r="A4939" t="inlineStr">
        <is>
          <t>e008edf12132e41485fc702ed94c5943</t>
        </is>
      </c>
      <c r="B4939" s="29" t="n">
        <v>43163</v>
      </c>
      <c r="C4939" t="inlineStr">
        <is>
          <t>2018-03</t>
        </is>
      </c>
      <c r="D4939" t="inlineStr">
        <is>
          <t>73f31a40697cc90a86c1273563ac230e</t>
        </is>
      </c>
      <c r="E4939" t="inlineStr">
        <is>
          <t>other</t>
        </is>
      </c>
      <c r="F4939">
        <f>IFERROR(MATCH(A4939,Deals!$A$2:$A$843,0),"")</f>
        <v/>
      </c>
      <c r="G4939">
        <f>IF(F4939="",0,1)</f>
        <v/>
      </c>
      <c r="H4939" s="29">
        <f>IF(F4939="","",INDEX(Deals!$E$2:$E$843,F4939))</f>
        <v/>
      </c>
      <c r="I4939">
        <f>IF(F4939="","",INDEX(Deals!$D$2:$D$843,F4939))</f>
        <v/>
      </c>
      <c r="J4939">
        <f>IF(F4939="","",INT(H4939)-B4939)</f>
        <v/>
      </c>
      <c r="K4939">
        <f>IF(B4939&gt;=Settings!$C$5,1,0)</f>
        <v/>
      </c>
    </row>
    <row r="4940">
      <c r="A4940" t="inlineStr">
        <is>
          <t>8a56411e564e1b19f84c7481ef68b41a</t>
        </is>
      </c>
      <c r="B4940" s="29" t="n">
        <v>43151</v>
      </c>
      <c r="C4940" t="inlineStr">
        <is>
          <t>2018-02</t>
        </is>
      </c>
      <c r="D4940" t="inlineStr">
        <is>
          <t>ce1a65abd0973638f1c887a6efcfa82d</t>
        </is>
      </c>
      <c r="E4940" t="inlineStr">
        <is>
          <t>organic_search</t>
        </is>
      </c>
      <c r="F4940">
        <f>IFERROR(MATCH(A4940,Deals!$A$2:$A$843,0),"")</f>
        <v/>
      </c>
      <c r="G4940">
        <f>IF(F4940="",0,1)</f>
        <v/>
      </c>
      <c r="H4940" s="29">
        <f>IF(F4940="","",INDEX(Deals!$E$2:$E$843,F4940))</f>
        <v/>
      </c>
      <c r="I4940">
        <f>IF(F4940="","",INDEX(Deals!$D$2:$D$843,F4940))</f>
        <v/>
      </c>
      <c r="J4940">
        <f>IF(F4940="","",INT(H4940)-B4940)</f>
        <v/>
      </c>
      <c r="K4940">
        <f>IF(B4940&gt;=Settings!$C$5,1,0)</f>
        <v/>
      </c>
    </row>
    <row r="4941">
      <c r="A4941" t="inlineStr">
        <is>
          <t>cab49b7c26182e5279f969f606792866</t>
        </is>
      </c>
      <c r="B4941" s="29" t="n">
        <v>43240</v>
      </c>
      <c r="C4941" t="inlineStr">
        <is>
          <t>2018-05</t>
        </is>
      </c>
      <c r="D4941" t="inlineStr">
        <is>
          <t>5dc848e7dd9418dffe183215b8ff0bc1</t>
        </is>
      </c>
      <c r="E4941" t="inlineStr">
        <is>
          <t>paid_search</t>
        </is>
      </c>
      <c r="F4941">
        <f>IFERROR(MATCH(A4941,Deals!$A$2:$A$843,0),"")</f>
        <v/>
      </c>
      <c r="G4941">
        <f>IF(F4941="",0,1)</f>
        <v/>
      </c>
      <c r="H4941" s="29">
        <f>IF(F4941="","",INDEX(Deals!$E$2:$E$843,F4941))</f>
        <v/>
      </c>
      <c r="I4941">
        <f>IF(F4941="","",INDEX(Deals!$D$2:$D$843,F4941))</f>
        <v/>
      </c>
      <c r="J4941">
        <f>IF(F4941="","",INT(H4941)-B4941)</f>
        <v/>
      </c>
      <c r="K4941">
        <f>IF(B4941&gt;=Settings!$C$5,1,0)</f>
        <v/>
      </c>
    </row>
    <row r="4942">
      <c r="A4942" t="inlineStr">
        <is>
          <t>f5808c97283bb6284cd9a5c57a63dfdc</t>
        </is>
      </c>
      <c r="B4942" s="29" t="n">
        <v>43199</v>
      </c>
      <c r="C4942" t="inlineStr">
        <is>
          <t>2018-04</t>
        </is>
      </c>
      <c r="D4942" t="inlineStr">
        <is>
          <t>22c29808c4f815213303f8933030604c</t>
        </is>
      </c>
      <c r="E4942" t="inlineStr">
        <is>
          <t>organic_search</t>
        </is>
      </c>
      <c r="F4942">
        <f>IFERROR(MATCH(A4942,Deals!$A$2:$A$843,0),"")</f>
        <v/>
      </c>
      <c r="G4942">
        <f>IF(F4942="",0,1)</f>
        <v/>
      </c>
      <c r="H4942" s="29">
        <f>IF(F4942="","",INDEX(Deals!$E$2:$E$843,F4942))</f>
        <v/>
      </c>
      <c r="I4942">
        <f>IF(F4942="","",INDEX(Deals!$D$2:$D$843,F4942))</f>
        <v/>
      </c>
      <c r="J4942">
        <f>IF(F4942="","",INT(H4942)-B4942)</f>
        <v/>
      </c>
      <c r="K4942">
        <f>IF(B4942&gt;=Settings!$C$5,1,0)</f>
        <v/>
      </c>
    </row>
    <row r="4943">
      <c r="A4943" t="inlineStr">
        <is>
          <t>f9e2270a84c5a14c77836f5ed85d24a8</t>
        </is>
      </c>
      <c r="B4943" s="29" t="n">
        <v>43161</v>
      </c>
      <c r="C4943" t="inlineStr">
        <is>
          <t>2018-03</t>
        </is>
      </c>
      <c r="D4943" t="inlineStr">
        <is>
          <t>ce1a65abd0973638f1c887a6efcfa82d</t>
        </is>
      </c>
      <c r="E4943" t="inlineStr">
        <is>
          <t>organic_search</t>
        </is>
      </c>
      <c r="F4943">
        <f>IFERROR(MATCH(A4943,Deals!$A$2:$A$843,0),"")</f>
        <v/>
      </c>
      <c r="G4943">
        <f>IF(F4943="",0,1)</f>
        <v/>
      </c>
      <c r="H4943" s="29">
        <f>IF(F4943="","",INDEX(Deals!$E$2:$E$843,F4943))</f>
        <v/>
      </c>
      <c r="I4943">
        <f>IF(F4943="","",INDEX(Deals!$D$2:$D$843,F4943))</f>
        <v/>
      </c>
      <c r="J4943">
        <f>IF(F4943="","",INT(H4943)-B4943)</f>
        <v/>
      </c>
      <c r="K4943">
        <f>IF(B4943&gt;=Settings!$C$5,1,0)</f>
        <v/>
      </c>
    </row>
    <row r="4944">
      <c r="A4944" t="inlineStr">
        <is>
          <t>d788c46ad6a6c020b5062c1a99f55b2c</t>
        </is>
      </c>
      <c r="B4944" s="29" t="n">
        <v>43235</v>
      </c>
      <c r="C4944" t="inlineStr">
        <is>
          <t>2018-05</t>
        </is>
      </c>
      <c r="D4944" t="inlineStr">
        <is>
          <t>0c83f57c786a0b4a39efab23731c7ebc</t>
        </is>
      </c>
      <c r="E4944" t="inlineStr">
        <is>
          <t>(missing)</t>
        </is>
      </c>
      <c r="F4944">
        <f>IFERROR(MATCH(A4944,Deals!$A$2:$A$843,0),"")</f>
        <v/>
      </c>
      <c r="G4944">
        <f>IF(F4944="",0,1)</f>
        <v/>
      </c>
      <c r="H4944" s="29">
        <f>IF(F4944="","",INDEX(Deals!$E$2:$E$843,F4944))</f>
        <v/>
      </c>
      <c r="I4944">
        <f>IF(F4944="","",INDEX(Deals!$D$2:$D$843,F4944))</f>
        <v/>
      </c>
      <c r="J4944">
        <f>IF(F4944="","",INT(H4944)-B4944)</f>
        <v/>
      </c>
      <c r="K4944">
        <f>IF(B4944&gt;=Settings!$C$5,1,0)</f>
        <v/>
      </c>
    </row>
    <row r="4945">
      <c r="A4945" t="inlineStr">
        <is>
          <t>ec698d146655a805d3cef1c607f9d035</t>
        </is>
      </c>
      <c r="B4945" s="29" t="n">
        <v>43046</v>
      </c>
      <c r="C4945" t="inlineStr">
        <is>
          <t>2017-11</t>
        </is>
      </c>
      <c r="D4945" t="inlineStr">
        <is>
          <t>88740e65d5d6b056e0cda098e1ea6313</t>
        </is>
      </c>
      <c r="E4945" t="inlineStr">
        <is>
          <t>social</t>
        </is>
      </c>
      <c r="F4945">
        <f>IFERROR(MATCH(A4945,Deals!$A$2:$A$843,0),"")</f>
        <v/>
      </c>
      <c r="G4945">
        <f>IF(F4945="",0,1)</f>
        <v/>
      </c>
      <c r="H4945" s="29">
        <f>IF(F4945="","",INDEX(Deals!$E$2:$E$843,F4945))</f>
        <v/>
      </c>
      <c r="I4945">
        <f>IF(F4945="","",INDEX(Deals!$D$2:$D$843,F4945))</f>
        <v/>
      </c>
      <c r="J4945">
        <f>IF(F4945="","",INT(H4945)-B4945)</f>
        <v/>
      </c>
      <c r="K4945">
        <f>IF(B4945&gt;=Settings!$C$5,1,0)</f>
        <v/>
      </c>
    </row>
    <row r="4946">
      <c r="A4946" t="inlineStr">
        <is>
          <t>e34e51889b063b3158e587de76dd4129</t>
        </is>
      </c>
      <c r="B4946" s="29" t="n">
        <v>43216</v>
      </c>
      <c r="C4946" t="inlineStr">
        <is>
          <t>2018-04</t>
        </is>
      </c>
      <c r="D4946" t="inlineStr">
        <is>
          <t>b76ef37428e6799c421989521c0e5077</t>
        </is>
      </c>
      <c r="E4946" t="inlineStr">
        <is>
          <t>organic_search</t>
        </is>
      </c>
      <c r="F4946">
        <f>IFERROR(MATCH(A4946,Deals!$A$2:$A$843,0),"")</f>
        <v/>
      </c>
      <c r="G4946">
        <f>IF(F4946="",0,1)</f>
        <v/>
      </c>
      <c r="H4946" s="29">
        <f>IF(F4946="","",INDEX(Deals!$E$2:$E$843,F4946))</f>
        <v/>
      </c>
      <c r="I4946">
        <f>IF(F4946="","",INDEX(Deals!$D$2:$D$843,F4946))</f>
        <v/>
      </c>
      <c r="J4946">
        <f>IF(F4946="","",INT(H4946)-B4946)</f>
        <v/>
      </c>
      <c r="K4946">
        <f>IF(B4946&gt;=Settings!$C$5,1,0)</f>
        <v/>
      </c>
    </row>
    <row r="4947">
      <c r="A4947" t="inlineStr">
        <is>
          <t>3532ba8963b76ecaa46dc6d6f055a31a</t>
        </is>
      </c>
      <c r="B4947" s="29" t="n">
        <v>43154</v>
      </c>
      <c r="C4947" t="inlineStr">
        <is>
          <t>2018-02</t>
        </is>
      </c>
      <c r="D4947" t="inlineStr">
        <is>
          <t>b76ef37428e6799c421989521c0e5077</t>
        </is>
      </c>
      <c r="E4947" t="inlineStr">
        <is>
          <t>unknown</t>
        </is>
      </c>
      <c r="F4947">
        <f>IFERROR(MATCH(A4947,Deals!$A$2:$A$843,0),"")</f>
        <v/>
      </c>
      <c r="G4947">
        <f>IF(F4947="",0,1)</f>
        <v/>
      </c>
      <c r="H4947" s="29">
        <f>IF(F4947="","",INDEX(Deals!$E$2:$E$843,F4947))</f>
        <v/>
      </c>
      <c r="I4947">
        <f>IF(F4947="","",INDEX(Deals!$D$2:$D$843,F4947))</f>
        <v/>
      </c>
      <c r="J4947">
        <f>IF(F4947="","",INT(H4947)-B4947)</f>
        <v/>
      </c>
      <c r="K4947">
        <f>IF(B4947&gt;=Settings!$C$5,1,0)</f>
        <v/>
      </c>
    </row>
    <row r="4948">
      <c r="A4948" t="inlineStr">
        <is>
          <t>6451343e4f4041fb19ddf7b9dc58538b</t>
        </is>
      </c>
      <c r="B4948" s="29" t="n">
        <v>43220</v>
      </c>
      <c r="C4948" t="inlineStr">
        <is>
          <t>2018-04</t>
        </is>
      </c>
      <c r="D4948" t="inlineStr">
        <is>
          <t>35c9b150ab36fe584c1f24fd458c453a</t>
        </is>
      </c>
      <c r="E4948" t="inlineStr">
        <is>
          <t>paid_search</t>
        </is>
      </c>
      <c r="F4948">
        <f>IFERROR(MATCH(A4948,Deals!$A$2:$A$843,0),"")</f>
        <v/>
      </c>
      <c r="G4948">
        <f>IF(F4948="",0,1)</f>
        <v/>
      </c>
      <c r="H4948" s="29">
        <f>IF(F4948="","",INDEX(Deals!$E$2:$E$843,F4948))</f>
        <v/>
      </c>
      <c r="I4948">
        <f>IF(F4948="","",INDEX(Deals!$D$2:$D$843,F4948))</f>
        <v/>
      </c>
      <c r="J4948">
        <f>IF(F4948="","",INT(H4948)-B4948)</f>
        <v/>
      </c>
      <c r="K4948">
        <f>IF(B4948&gt;=Settings!$C$5,1,0)</f>
        <v/>
      </c>
    </row>
    <row r="4949">
      <c r="A4949" t="inlineStr">
        <is>
          <t>5ee85f64aafcce6b24e3e1171a475ea6</t>
        </is>
      </c>
      <c r="B4949" s="29" t="n">
        <v>43134</v>
      </c>
      <c r="C4949" t="inlineStr">
        <is>
          <t>2018-02</t>
        </is>
      </c>
      <c r="D4949" t="inlineStr">
        <is>
          <t>f017be4dbf86243af5c1ebed0cff36a2</t>
        </is>
      </c>
      <c r="E4949" t="inlineStr">
        <is>
          <t>unknown</t>
        </is>
      </c>
      <c r="F4949">
        <f>IFERROR(MATCH(A4949,Deals!$A$2:$A$843,0),"")</f>
        <v/>
      </c>
      <c r="G4949">
        <f>IF(F4949="",0,1)</f>
        <v/>
      </c>
      <c r="H4949" s="29">
        <f>IF(F4949="","",INDEX(Deals!$E$2:$E$843,F4949))</f>
        <v/>
      </c>
      <c r="I4949">
        <f>IF(F4949="","",INDEX(Deals!$D$2:$D$843,F4949))</f>
        <v/>
      </c>
      <c r="J4949">
        <f>IF(F4949="","",INT(H4949)-B4949)</f>
        <v/>
      </c>
      <c r="K4949">
        <f>IF(B4949&gt;=Settings!$C$5,1,0)</f>
        <v/>
      </c>
    </row>
    <row r="4950">
      <c r="A4950" t="inlineStr">
        <is>
          <t>f86e80e20c504f532b6664fcb25c7dbb</t>
        </is>
      </c>
      <c r="B4950" s="29" t="n">
        <v>43154</v>
      </c>
      <c r="C4950" t="inlineStr">
        <is>
          <t>2018-02</t>
        </is>
      </c>
      <c r="D4950" t="inlineStr">
        <is>
          <t>649b7b8b46b254497e92038d88f6ced8</t>
        </is>
      </c>
      <c r="E4950" t="inlineStr">
        <is>
          <t>social</t>
        </is>
      </c>
      <c r="F4950">
        <f>IFERROR(MATCH(A4950,Deals!$A$2:$A$843,0),"")</f>
        <v/>
      </c>
      <c r="G4950">
        <f>IF(F4950="",0,1)</f>
        <v/>
      </c>
      <c r="H4950" s="29">
        <f>IF(F4950="","",INDEX(Deals!$E$2:$E$843,F4950))</f>
        <v/>
      </c>
      <c r="I4950">
        <f>IF(F4950="","",INDEX(Deals!$D$2:$D$843,F4950))</f>
        <v/>
      </c>
      <c r="J4950">
        <f>IF(F4950="","",INT(H4950)-B4950)</f>
        <v/>
      </c>
      <c r="K4950">
        <f>IF(B4950&gt;=Settings!$C$5,1,0)</f>
        <v/>
      </c>
    </row>
    <row r="4951">
      <c r="A4951" t="inlineStr">
        <is>
          <t>8010af36c42039baae15e6a510e8d1de</t>
        </is>
      </c>
      <c r="B4951" s="29" t="n">
        <v>43104</v>
      </c>
      <c r="C4951" t="inlineStr">
        <is>
          <t>2018-01</t>
        </is>
      </c>
      <c r="D4951" t="inlineStr">
        <is>
          <t>88740e65d5d6b056e0cda098e1ea6313</t>
        </is>
      </c>
      <c r="E4951" t="inlineStr">
        <is>
          <t>social</t>
        </is>
      </c>
      <c r="F4951">
        <f>IFERROR(MATCH(A4951,Deals!$A$2:$A$843,0),"")</f>
        <v/>
      </c>
      <c r="G4951">
        <f>IF(F4951="",0,1)</f>
        <v/>
      </c>
      <c r="H4951" s="29">
        <f>IF(F4951="","",INDEX(Deals!$E$2:$E$843,F4951))</f>
        <v/>
      </c>
      <c r="I4951">
        <f>IF(F4951="","",INDEX(Deals!$D$2:$D$843,F4951))</f>
        <v/>
      </c>
      <c r="J4951">
        <f>IF(F4951="","",INT(H4951)-B4951)</f>
        <v/>
      </c>
      <c r="K4951">
        <f>IF(B4951&gt;=Settings!$C$5,1,0)</f>
        <v/>
      </c>
    </row>
    <row r="4952">
      <c r="A4952" t="inlineStr">
        <is>
          <t>2fdf6e16e6c71d85fa8e12e367201909</t>
        </is>
      </c>
      <c r="B4952" s="29" t="n">
        <v>43182</v>
      </c>
      <c r="C4952" t="inlineStr">
        <is>
          <t>2018-03</t>
        </is>
      </c>
      <c r="D4952" t="inlineStr">
        <is>
          <t>aa6c941b72ed890d9c43511f94bafab2</t>
        </is>
      </c>
      <c r="E4952" t="inlineStr">
        <is>
          <t>paid_search</t>
        </is>
      </c>
      <c r="F4952">
        <f>IFERROR(MATCH(A4952,Deals!$A$2:$A$843,0),"")</f>
        <v/>
      </c>
      <c r="G4952">
        <f>IF(F4952="",0,1)</f>
        <v/>
      </c>
      <c r="H4952" s="29">
        <f>IF(F4952="","",INDEX(Deals!$E$2:$E$843,F4952))</f>
        <v/>
      </c>
      <c r="I4952">
        <f>IF(F4952="","",INDEX(Deals!$D$2:$D$843,F4952))</f>
        <v/>
      </c>
      <c r="J4952">
        <f>IF(F4952="","",INT(H4952)-B4952)</f>
        <v/>
      </c>
      <c r="K4952">
        <f>IF(B4952&gt;=Settings!$C$5,1,0)</f>
        <v/>
      </c>
    </row>
    <row r="4953">
      <c r="A4953" t="inlineStr">
        <is>
          <t>5678529e43a5a6c284845228a97db3f5</t>
        </is>
      </c>
      <c r="B4953" s="29" t="n">
        <v>43048</v>
      </c>
      <c r="C4953" t="inlineStr">
        <is>
          <t>2017-11</t>
        </is>
      </c>
      <c r="D4953" t="inlineStr">
        <is>
          <t>88740e65d5d6b056e0cda098e1ea6313</t>
        </is>
      </c>
      <c r="E4953" t="inlineStr">
        <is>
          <t>social</t>
        </is>
      </c>
      <c r="F4953">
        <f>IFERROR(MATCH(A4953,Deals!$A$2:$A$843,0),"")</f>
        <v/>
      </c>
      <c r="G4953">
        <f>IF(F4953="",0,1)</f>
        <v/>
      </c>
      <c r="H4953" s="29">
        <f>IF(F4953="","",INDEX(Deals!$E$2:$E$843,F4953))</f>
        <v/>
      </c>
      <c r="I4953">
        <f>IF(F4953="","",INDEX(Deals!$D$2:$D$843,F4953))</f>
        <v/>
      </c>
      <c r="J4953">
        <f>IF(F4953="","",INT(H4953)-B4953)</f>
        <v/>
      </c>
      <c r="K4953">
        <f>IF(B4953&gt;=Settings!$C$5,1,0)</f>
        <v/>
      </c>
    </row>
    <row r="4954">
      <c r="A4954" t="inlineStr">
        <is>
          <t>4b98e90ba839623e88d5b3d6dce56562</t>
        </is>
      </c>
      <c r="B4954" s="29" t="n">
        <v>43083</v>
      </c>
      <c r="C4954" t="inlineStr">
        <is>
          <t>2017-12</t>
        </is>
      </c>
      <c r="D4954" t="inlineStr">
        <is>
          <t>99b00c6e27db383d844d1763dbcbfe06</t>
        </is>
      </c>
      <c r="E4954" t="inlineStr">
        <is>
          <t>(missing)</t>
        </is>
      </c>
      <c r="F4954">
        <f>IFERROR(MATCH(A4954,Deals!$A$2:$A$843,0),"")</f>
        <v/>
      </c>
      <c r="G4954">
        <f>IF(F4954="",0,1)</f>
        <v/>
      </c>
      <c r="H4954" s="29">
        <f>IF(F4954="","",INDEX(Deals!$E$2:$E$843,F4954))</f>
        <v/>
      </c>
      <c r="I4954">
        <f>IF(F4954="","",INDEX(Deals!$D$2:$D$843,F4954))</f>
        <v/>
      </c>
      <c r="J4954">
        <f>IF(F4954="","",INT(H4954)-B4954)</f>
        <v/>
      </c>
      <c r="K4954">
        <f>IF(B4954&gt;=Settings!$C$5,1,0)</f>
        <v/>
      </c>
    </row>
    <row r="4955">
      <c r="A4955" t="inlineStr">
        <is>
          <t>c5b3da73adacd81b5962e60b6b987e52</t>
        </is>
      </c>
      <c r="B4955" s="29" t="n">
        <v>43098</v>
      </c>
      <c r="C4955" t="inlineStr">
        <is>
          <t>2017-12</t>
        </is>
      </c>
      <c r="D4955" t="inlineStr">
        <is>
          <t>88740e65d5d6b056e0cda098e1ea6313</t>
        </is>
      </c>
      <c r="E4955" t="inlineStr">
        <is>
          <t>social</t>
        </is>
      </c>
      <c r="F4955">
        <f>IFERROR(MATCH(A4955,Deals!$A$2:$A$843,0),"")</f>
        <v/>
      </c>
      <c r="G4955">
        <f>IF(F4955="",0,1)</f>
        <v/>
      </c>
      <c r="H4955" s="29">
        <f>IF(F4955="","",INDEX(Deals!$E$2:$E$843,F4955))</f>
        <v/>
      </c>
      <c r="I4955">
        <f>IF(F4955="","",INDEX(Deals!$D$2:$D$843,F4955))</f>
        <v/>
      </c>
      <c r="J4955">
        <f>IF(F4955="","",INT(H4955)-B4955)</f>
        <v/>
      </c>
      <c r="K4955">
        <f>IF(B4955&gt;=Settings!$C$5,1,0)</f>
        <v/>
      </c>
    </row>
    <row r="4956">
      <c r="A4956" t="inlineStr">
        <is>
          <t>284605b7526f241d24b2543bb5b0cfdc</t>
        </is>
      </c>
      <c r="B4956" s="29" t="n">
        <v>43182</v>
      </c>
      <c r="C4956" t="inlineStr">
        <is>
          <t>2018-03</t>
        </is>
      </c>
      <c r="D4956" t="inlineStr">
        <is>
          <t>b6885f18d203a61176418c1fb3764815</t>
        </is>
      </c>
      <c r="E4956" t="inlineStr">
        <is>
          <t>paid_search</t>
        </is>
      </c>
      <c r="F4956">
        <f>IFERROR(MATCH(A4956,Deals!$A$2:$A$843,0),"")</f>
        <v/>
      </c>
      <c r="G4956">
        <f>IF(F4956="",0,1)</f>
        <v/>
      </c>
      <c r="H4956" s="29">
        <f>IF(F4956="","",INDEX(Deals!$E$2:$E$843,F4956))</f>
        <v/>
      </c>
      <c r="I4956">
        <f>IF(F4956="","",INDEX(Deals!$D$2:$D$843,F4956))</f>
        <v/>
      </c>
      <c r="J4956">
        <f>IF(F4956="","",INT(H4956)-B4956)</f>
        <v/>
      </c>
      <c r="K4956">
        <f>IF(B4956&gt;=Settings!$C$5,1,0)</f>
        <v/>
      </c>
    </row>
    <row r="4957">
      <c r="A4957" t="inlineStr">
        <is>
          <t>37836091f56fa1178678c1cad54e775c</t>
        </is>
      </c>
      <c r="B4957" s="29" t="n">
        <v>43188</v>
      </c>
      <c r="C4957" t="inlineStr">
        <is>
          <t>2018-03</t>
        </is>
      </c>
      <c r="D4957" t="inlineStr">
        <is>
          <t>1ec5f5ec77c51a968271b2ca9862907d</t>
        </is>
      </c>
      <c r="E4957" t="inlineStr">
        <is>
          <t>organic_search</t>
        </is>
      </c>
      <c r="F4957">
        <f>IFERROR(MATCH(A4957,Deals!$A$2:$A$843,0),"")</f>
        <v/>
      </c>
      <c r="G4957">
        <f>IF(F4957="",0,1)</f>
        <v/>
      </c>
      <c r="H4957" s="29">
        <f>IF(F4957="","",INDEX(Deals!$E$2:$E$843,F4957))</f>
        <v/>
      </c>
      <c r="I4957">
        <f>IF(F4957="","",INDEX(Deals!$D$2:$D$843,F4957))</f>
        <v/>
      </c>
      <c r="J4957">
        <f>IF(F4957="","",INT(H4957)-B4957)</f>
        <v/>
      </c>
      <c r="K4957">
        <f>IF(B4957&gt;=Settings!$C$5,1,0)</f>
        <v/>
      </c>
    </row>
    <row r="4958">
      <c r="A4958" t="inlineStr">
        <is>
          <t>2fdef625a264874c1a4081ca24dd479d</t>
        </is>
      </c>
      <c r="B4958" s="29" t="n">
        <v>43179</v>
      </c>
      <c r="C4958" t="inlineStr">
        <is>
          <t>2018-03</t>
        </is>
      </c>
      <c r="D4958" t="inlineStr">
        <is>
          <t>40dec9f3d5259a3d2dbcdab2114fae47</t>
        </is>
      </c>
      <c r="E4958" t="inlineStr">
        <is>
          <t>paid_search</t>
        </is>
      </c>
      <c r="F4958">
        <f>IFERROR(MATCH(A4958,Deals!$A$2:$A$843,0),"")</f>
        <v/>
      </c>
      <c r="G4958">
        <f>IF(F4958="",0,1)</f>
        <v/>
      </c>
      <c r="H4958" s="29">
        <f>IF(F4958="","",INDEX(Deals!$E$2:$E$843,F4958))</f>
        <v/>
      </c>
      <c r="I4958">
        <f>IF(F4958="","",INDEX(Deals!$D$2:$D$843,F4958))</f>
        <v/>
      </c>
      <c r="J4958">
        <f>IF(F4958="","",INT(H4958)-B4958)</f>
        <v/>
      </c>
      <c r="K4958">
        <f>IF(B4958&gt;=Settings!$C$5,1,0)</f>
        <v/>
      </c>
    </row>
    <row r="4959">
      <c r="A4959" t="inlineStr">
        <is>
          <t>be7459c5ae1f843bc8ec135f3dbf22dd</t>
        </is>
      </c>
      <c r="B4959" s="29" t="n">
        <v>43227</v>
      </c>
      <c r="C4959" t="inlineStr">
        <is>
          <t>2018-05</t>
        </is>
      </c>
      <c r="D4959" t="inlineStr">
        <is>
          <t>58326e62183c14b0c03085c33b9fdc44</t>
        </is>
      </c>
      <c r="E4959" t="inlineStr">
        <is>
          <t>social</t>
        </is>
      </c>
      <c r="F4959">
        <f>IFERROR(MATCH(A4959,Deals!$A$2:$A$843,0),"")</f>
        <v/>
      </c>
      <c r="G4959">
        <f>IF(F4959="",0,1)</f>
        <v/>
      </c>
      <c r="H4959" s="29">
        <f>IF(F4959="","",INDEX(Deals!$E$2:$E$843,F4959))</f>
        <v/>
      </c>
      <c r="I4959">
        <f>IF(F4959="","",INDEX(Deals!$D$2:$D$843,F4959))</f>
        <v/>
      </c>
      <c r="J4959">
        <f>IF(F4959="","",INT(H4959)-B4959)</f>
        <v/>
      </c>
      <c r="K4959">
        <f>IF(B4959&gt;=Settings!$C$5,1,0)</f>
        <v/>
      </c>
    </row>
    <row r="4960">
      <c r="A4960" t="inlineStr">
        <is>
          <t>aeeb1da8efc046ce13c5157ff4d0c1e6</t>
        </is>
      </c>
      <c r="B4960" s="29" t="n">
        <v>43143</v>
      </c>
      <c r="C4960" t="inlineStr">
        <is>
          <t>2018-02</t>
        </is>
      </c>
      <c r="D4960" t="inlineStr">
        <is>
          <t>88740e65d5d6b056e0cda098e1ea6313</t>
        </is>
      </c>
      <c r="E4960" t="inlineStr">
        <is>
          <t>social</t>
        </is>
      </c>
      <c r="F4960">
        <f>IFERROR(MATCH(A4960,Deals!$A$2:$A$843,0),"")</f>
        <v/>
      </c>
      <c r="G4960">
        <f>IF(F4960="",0,1)</f>
        <v/>
      </c>
      <c r="H4960" s="29">
        <f>IF(F4960="","",INDEX(Deals!$E$2:$E$843,F4960))</f>
        <v/>
      </c>
      <c r="I4960">
        <f>IF(F4960="","",INDEX(Deals!$D$2:$D$843,F4960))</f>
        <v/>
      </c>
      <c r="J4960">
        <f>IF(F4960="","",INT(H4960)-B4960)</f>
        <v/>
      </c>
      <c r="K4960">
        <f>IF(B4960&gt;=Settings!$C$5,1,0)</f>
        <v/>
      </c>
    </row>
    <row r="4961">
      <c r="A4961" t="inlineStr">
        <is>
          <t>a85e8c31c51cc06e0b9abc2076abe38c</t>
        </is>
      </c>
      <c r="B4961" s="29" t="n">
        <v>43158</v>
      </c>
      <c r="C4961" t="inlineStr">
        <is>
          <t>2018-02</t>
        </is>
      </c>
      <c r="D4961" t="inlineStr">
        <is>
          <t>36120633c8737035fbabf079082f4ec1</t>
        </is>
      </c>
      <c r="E4961" t="inlineStr">
        <is>
          <t>direct_traffic</t>
        </is>
      </c>
      <c r="F4961">
        <f>IFERROR(MATCH(A4961,Deals!$A$2:$A$843,0),"")</f>
        <v/>
      </c>
      <c r="G4961">
        <f>IF(F4961="",0,1)</f>
        <v/>
      </c>
      <c r="H4961" s="29">
        <f>IF(F4961="","",INDEX(Deals!$E$2:$E$843,F4961))</f>
        <v/>
      </c>
      <c r="I4961">
        <f>IF(F4961="","",INDEX(Deals!$D$2:$D$843,F4961))</f>
        <v/>
      </c>
      <c r="J4961">
        <f>IF(F4961="","",INT(H4961)-B4961)</f>
        <v/>
      </c>
      <c r="K4961">
        <f>IF(B4961&gt;=Settings!$C$5,1,0)</f>
        <v/>
      </c>
    </row>
    <row r="4962">
      <c r="A4962" t="inlineStr">
        <is>
          <t>b8a54e345fa5fa48d9f72b7cd514240d</t>
        </is>
      </c>
      <c r="B4962" s="29" t="n">
        <v>43195</v>
      </c>
      <c r="C4962" t="inlineStr">
        <is>
          <t>2018-04</t>
        </is>
      </c>
      <c r="D4962" t="inlineStr">
        <is>
          <t>22c29808c4f815213303f8933030604c</t>
        </is>
      </c>
      <c r="E4962" t="inlineStr">
        <is>
          <t>organic_search</t>
        </is>
      </c>
      <c r="F4962">
        <f>IFERROR(MATCH(A4962,Deals!$A$2:$A$843,0),"")</f>
        <v/>
      </c>
      <c r="G4962">
        <f>IF(F4962="",0,1)</f>
        <v/>
      </c>
      <c r="H4962" s="29">
        <f>IF(F4962="","",INDEX(Deals!$E$2:$E$843,F4962))</f>
        <v/>
      </c>
      <c r="I4962">
        <f>IF(F4962="","",INDEX(Deals!$D$2:$D$843,F4962))</f>
        <v/>
      </c>
      <c r="J4962">
        <f>IF(F4962="","",INT(H4962)-B4962)</f>
        <v/>
      </c>
      <c r="K4962">
        <f>IF(B4962&gt;=Settings!$C$5,1,0)</f>
        <v/>
      </c>
    </row>
    <row r="4963">
      <c r="A4963" t="inlineStr">
        <is>
          <t>2b1f292723cc6f4ca4761f8710141cbb</t>
        </is>
      </c>
      <c r="B4963" s="29" t="n">
        <v>43167</v>
      </c>
      <c r="C4963" t="inlineStr">
        <is>
          <t>2018-03</t>
        </is>
      </c>
      <c r="D4963" t="inlineStr">
        <is>
          <t>65d9f9d71e562365e8b44037c2888d98</t>
        </is>
      </c>
      <c r="E4963" t="inlineStr">
        <is>
          <t>paid_search</t>
        </is>
      </c>
      <c r="F4963">
        <f>IFERROR(MATCH(A4963,Deals!$A$2:$A$843,0),"")</f>
        <v/>
      </c>
      <c r="G4963">
        <f>IF(F4963="",0,1)</f>
        <v/>
      </c>
      <c r="H4963" s="29">
        <f>IF(F4963="","",INDEX(Deals!$E$2:$E$843,F4963))</f>
        <v/>
      </c>
      <c r="I4963">
        <f>IF(F4963="","",INDEX(Deals!$D$2:$D$843,F4963))</f>
        <v/>
      </c>
      <c r="J4963">
        <f>IF(F4963="","",INT(H4963)-B4963)</f>
        <v/>
      </c>
      <c r="K4963">
        <f>IF(B4963&gt;=Settings!$C$5,1,0)</f>
        <v/>
      </c>
    </row>
    <row r="4964">
      <c r="A4964" t="inlineStr">
        <is>
          <t>365c8db9da5e64912ea81fa4332b170a</t>
        </is>
      </c>
      <c r="B4964" s="29" t="n">
        <v>43225</v>
      </c>
      <c r="C4964" t="inlineStr">
        <is>
          <t>2018-05</t>
        </is>
      </c>
      <c r="D4964" t="inlineStr">
        <is>
          <t>58326e62183c14b0c03085c33b9fdc44</t>
        </is>
      </c>
      <c r="E4964" t="inlineStr">
        <is>
          <t>social</t>
        </is>
      </c>
      <c r="F4964">
        <f>IFERROR(MATCH(A4964,Deals!$A$2:$A$843,0),"")</f>
        <v/>
      </c>
      <c r="G4964">
        <f>IF(F4964="",0,1)</f>
        <v/>
      </c>
      <c r="H4964" s="29">
        <f>IF(F4964="","",INDEX(Deals!$E$2:$E$843,F4964))</f>
        <v/>
      </c>
      <c r="I4964">
        <f>IF(F4964="","",INDEX(Deals!$D$2:$D$843,F4964))</f>
        <v/>
      </c>
      <c r="J4964">
        <f>IF(F4964="","",INT(H4964)-B4964)</f>
        <v/>
      </c>
      <c r="K4964">
        <f>IF(B4964&gt;=Settings!$C$5,1,0)</f>
        <v/>
      </c>
    </row>
    <row r="4965">
      <c r="A4965" t="inlineStr">
        <is>
          <t>6107eb48aa5ee13a438f2c0e903de38a</t>
        </is>
      </c>
      <c r="B4965" s="29" t="n">
        <v>43220</v>
      </c>
      <c r="C4965" t="inlineStr">
        <is>
          <t>2018-04</t>
        </is>
      </c>
      <c r="D4965" t="inlineStr">
        <is>
          <t>40dec9f3d5259a3d2dbcdab2114fae47</t>
        </is>
      </c>
      <c r="E4965" t="inlineStr">
        <is>
          <t>unknown</t>
        </is>
      </c>
      <c r="F4965">
        <f>IFERROR(MATCH(A4965,Deals!$A$2:$A$843,0),"")</f>
        <v/>
      </c>
      <c r="G4965">
        <f>IF(F4965="",0,1)</f>
        <v/>
      </c>
      <c r="H4965" s="29">
        <f>IF(F4965="","",INDEX(Deals!$E$2:$E$843,F4965))</f>
        <v/>
      </c>
      <c r="I4965">
        <f>IF(F4965="","",INDEX(Deals!$D$2:$D$843,F4965))</f>
        <v/>
      </c>
      <c r="J4965">
        <f>IF(F4965="","",INT(H4965)-B4965)</f>
        <v/>
      </c>
      <c r="K4965">
        <f>IF(B4965&gt;=Settings!$C$5,1,0)</f>
        <v/>
      </c>
    </row>
    <row r="4966">
      <c r="A4966" t="inlineStr">
        <is>
          <t>ba69c18752ba976646ab3002adf2a116</t>
        </is>
      </c>
      <c r="B4966" s="29" t="n">
        <v>43199</v>
      </c>
      <c r="C4966" t="inlineStr">
        <is>
          <t>2018-04</t>
        </is>
      </c>
      <c r="D4966" t="inlineStr">
        <is>
          <t>73f31a40697cc90a86c1273563ac230e</t>
        </is>
      </c>
      <c r="E4966" t="inlineStr">
        <is>
          <t>other</t>
        </is>
      </c>
      <c r="F4966">
        <f>IFERROR(MATCH(A4966,Deals!$A$2:$A$843,0),"")</f>
        <v/>
      </c>
      <c r="G4966">
        <f>IF(F4966="",0,1)</f>
        <v/>
      </c>
      <c r="H4966" s="29">
        <f>IF(F4966="","",INDEX(Deals!$E$2:$E$843,F4966))</f>
        <v/>
      </c>
      <c r="I4966">
        <f>IF(F4966="","",INDEX(Deals!$D$2:$D$843,F4966))</f>
        <v/>
      </c>
      <c r="J4966">
        <f>IF(F4966="","",INT(H4966)-B4966)</f>
        <v/>
      </c>
      <c r="K4966">
        <f>IF(B4966&gt;=Settings!$C$5,1,0)</f>
        <v/>
      </c>
    </row>
    <row r="4967">
      <c r="A4967" t="inlineStr">
        <is>
          <t>08457b5ff06564481f2455c1adad6fd5</t>
        </is>
      </c>
      <c r="B4967" s="29" t="n">
        <v>43052</v>
      </c>
      <c r="C4967" t="inlineStr">
        <is>
          <t>2017-11</t>
        </is>
      </c>
      <c r="D4967" t="inlineStr">
        <is>
          <t>e492ee5eaf1697716985cc6f33f9cd9b</t>
        </is>
      </c>
      <c r="E4967" t="inlineStr">
        <is>
          <t>paid_search</t>
        </is>
      </c>
      <c r="F4967">
        <f>IFERROR(MATCH(A4967,Deals!$A$2:$A$843,0),"")</f>
        <v/>
      </c>
      <c r="G4967">
        <f>IF(F4967="",0,1)</f>
        <v/>
      </c>
      <c r="H4967" s="29">
        <f>IF(F4967="","",INDEX(Deals!$E$2:$E$843,F4967))</f>
        <v/>
      </c>
      <c r="I4967">
        <f>IF(F4967="","",INDEX(Deals!$D$2:$D$843,F4967))</f>
        <v/>
      </c>
      <c r="J4967">
        <f>IF(F4967="","",INT(H4967)-B4967)</f>
        <v/>
      </c>
      <c r="K4967">
        <f>IF(B4967&gt;=Settings!$C$5,1,0)</f>
        <v/>
      </c>
    </row>
    <row r="4968">
      <c r="A4968" t="inlineStr">
        <is>
          <t>95430bfbaaa74b4b18b28b0ba10b4b39</t>
        </is>
      </c>
      <c r="B4968" s="29" t="n">
        <v>42935</v>
      </c>
      <c r="C4968" t="inlineStr">
        <is>
          <t>2017-07</t>
        </is>
      </c>
      <c r="D4968" t="inlineStr">
        <is>
          <t>65d9f9d71e562365e8b44037c2888d98</t>
        </is>
      </c>
      <c r="E4968" t="inlineStr">
        <is>
          <t>paid_search</t>
        </is>
      </c>
      <c r="F4968">
        <f>IFERROR(MATCH(A4968,Deals!$A$2:$A$843,0),"")</f>
        <v/>
      </c>
      <c r="G4968">
        <f>IF(F4968="",0,1)</f>
        <v/>
      </c>
      <c r="H4968" s="29">
        <f>IF(F4968="","",INDEX(Deals!$E$2:$E$843,F4968))</f>
        <v/>
      </c>
      <c r="I4968">
        <f>IF(F4968="","",INDEX(Deals!$D$2:$D$843,F4968))</f>
        <v/>
      </c>
      <c r="J4968">
        <f>IF(F4968="","",INT(H4968)-B4968)</f>
        <v/>
      </c>
      <c r="K4968">
        <f>IF(B4968&gt;=Settings!$C$5,1,0)</f>
        <v/>
      </c>
    </row>
    <row r="4969">
      <c r="A4969" t="inlineStr">
        <is>
          <t>01df78d65072e655cdc1a6f1c46432ac</t>
        </is>
      </c>
      <c r="B4969" s="29" t="n">
        <v>43056</v>
      </c>
      <c r="C4969" t="inlineStr">
        <is>
          <t>2017-11</t>
        </is>
      </c>
      <c r="D4969" t="inlineStr">
        <is>
          <t>e492ee5eaf1697716985cc6f33f9cd9b</t>
        </is>
      </c>
      <c r="E4969" t="inlineStr">
        <is>
          <t>referral</t>
        </is>
      </c>
      <c r="F4969">
        <f>IFERROR(MATCH(A4969,Deals!$A$2:$A$843,0),"")</f>
        <v/>
      </c>
      <c r="G4969">
        <f>IF(F4969="",0,1)</f>
        <v/>
      </c>
      <c r="H4969" s="29">
        <f>IF(F4969="","",INDEX(Deals!$E$2:$E$843,F4969))</f>
        <v/>
      </c>
      <c r="I4969">
        <f>IF(F4969="","",INDEX(Deals!$D$2:$D$843,F4969))</f>
        <v/>
      </c>
      <c r="J4969">
        <f>IF(F4969="","",INT(H4969)-B4969)</f>
        <v/>
      </c>
      <c r="K4969">
        <f>IF(B4969&gt;=Settings!$C$5,1,0)</f>
        <v/>
      </c>
    </row>
    <row r="4970">
      <c r="A4970" t="inlineStr">
        <is>
          <t>17fb38b64f9f6f9f2d1bc004b3e3e59c</t>
        </is>
      </c>
      <c r="B4970" s="29" t="n">
        <v>43131</v>
      </c>
      <c r="C4970" t="inlineStr">
        <is>
          <t>2018-01</t>
        </is>
      </c>
      <c r="D4970" t="inlineStr">
        <is>
          <t>ce1a65abd0973638f1c887a6efcfa82d</t>
        </is>
      </c>
      <c r="E4970" t="inlineStr">
        <is>
          <t>paid_search</t>
        </is>
      </c>
      <c r="F4970">
        <f>IFERROR(MATCH(A4970,Deals!$A$2:$A$843,0),"")</f>
        <v/>
      </c>
      <c r="G4970">
        <f>IF(F4970="",0,1)</f>
        <v/>
      </c>
      <c r="H4970" s="29">
        <f>IF(F4970="","",INDEX(Deals!$E$2:$E$843,F4970))</f>
        <v/>
      </c>
      <c r="I4970">
        <f>IF(F4970="","",INDEX(Deals!$D$2:$D$843,F4970))</f>
        <v/>
      </c>
      <c r="J4970">
        <f>IF(F4970="","",INT(H4970)-B4970)</f>
        <v/>
      </c>
      <c r="K4970">
        <f>IF(B4970&gt;=Settings!$C$5,1,0)</f>
        <v/>
      </c>
    </row>
    <row r="4971">
      <c r="A4971" t="inlineStr">
        <is>
          <t>dc8d4ea197cff803ceb8a1926a733a1a</t>
        </is>
      </c>
      <c r="B4971" s="29" t="n">
        <v>43222</v>
      </c>
      <c r="C4971" t="inlineStr">
        <is>
          <t>2018-05</t>
        </is>
      </c>
      <c r="D4971" t="inlineStr">
        <is>
          <t>58326e62183c14b0c03085c33b9fdc44</t>
        </is>
      </c>
      <c r="E4971" t="inlineStr">
        <is>
          <t>social</t>
        </is>
      </c>
      <c r="F4971">
        <f>IFERROR(MATCH(A4971,Deals!$A$2:$A$843,0),"")</f>
        <v/>
      </c>
      <c r="G4971">
        <f>IF(F4971="",0,1)</f>
        <v/>
      </c>
      <c r="H4971" s="29">
        <f>IF(F4971="","",INDEX(Deals!$E$2:$E$843,F4971))</f>
        <v/>
      </c>
      <c r="I4971">
        <f>IF(F4971="","",INDEX(Deals!$D$2:$D$843,F4971))</f>
        <v/>
      </c>
      <c r="J4971">
        <f>IF(F4971="","",INT(H4971)-B4971)</f>
        <v/>
      </c>
      <c r="K4971">
        <f>IF(B4971&gt;=Settings!$C$5,1,0)</f>
        <v/>
      </c>
    </row>
    <row r="4972">
      <c r="A4972" t="inlineStr">
        <is>
          <t>a7c1543e35a5fbc383363e39ccb7701d</t>
        </is>
      </c>
      <c r="B4972" s="29" t="n">
        <v>43129</v>
      </c>
      <c r="C4972" t="inlineStr">
        <is>
          <t>2018-01</t>
        </is>
      </c>
      <c r="D4972" t="inlineStr">
        <is>
          <t>a7982125ff7aa3b2054c6e44f9d28522</t>
        </is>
      </c>
      <c r="E4972" t="inlineStr">
        <is>
          <t>organic_search</t>
        </is>
      </c>
      <c r="F4972">
        <f>IFERROR(MATCH(A4972,Deals!$A$2:$A$843,0),"")</f>
        <v/>
      </c>
      <c r="G4972">
        <f>IF(F4972="",0,1)</f>
        <v/>
      </c>
      <c r="H4972" s="29">
        <f>IF(F4972="","",INDEX(Deals!$E$2:$E$843,F4972))</f>
        <v/>
      </c>
      <c r="I4972">
        <f>IF(F4972="","",INDEX(Deals!$D$2:$D$843,F4972))</f>
        <v/>
      </c>
      <c r="J4972">
        <f>IF(F4972="","",INT(H4972)-B4972)</f>
        <v/>
      </c>
      <c r="K4972">
        <f>IF(B4972&gt;=Settings!$C$5,1,0)</f>
        <v/>
      </c>
    </row>
    <row r="4973">
      <c r="A4973" t="inlineStr">
        <is>
          <t>b8b687939c2ff82c6cc395c7de783262</t>
        </is>
      </c>
      <c r="B4973" s="29" t="n">
        <v>43132</v>
      </c>
      <c r="C4973" t="inlineStr">
        <is>
          <t>2018-02</t>
        </is>
      </c>
      <c r="D4973" t="inlineStr">
        <is>
          <t>dd6f55db3947b0aeaadb65a610334799</t>
        </is>
      </c>
      <c r="E4973" t="inlineStr">
        <is>
          <t>email</t>
        </is>
      </c>
      <c r="F4973">
        <f>IFERROR(MATCH(A4973,Deals!$A$2:$A$843,0),"")</f>
        <v/>
      </c>
      <c r="G4973">
        <f>IF(F4973="",0,1)</f>
        <v/>
      </c>
      <c r="H4973" s="29">
        <f>IF(F4973="","",INDEX(Deals!$E$2:$E$843,F4973))</f>
        <v/>
      </c>
      <c r="I4973">
        <f>IF(F4973="","",INDEX(Deals!$D$2:$D$843,F4973))</f>
        <v/>
      </c>
      <c r="J4973">
        <f>IF(F4973="","",INT(H4973)-B4973)</f>
        <v/>
      </c>
      <c r="K4973">
        <f>IF(B4973&gt;=Settings!$C$5,1,0)</f>
        <v/>
      </c>
    </row>
    <row r="4974">
      <c r="A4974" t="inlineStr">
        <is>
          <t>65d449141c5c218eaa405110a08f0cc0</t>
        </is>
      </c>
      <c r="B4974" s="29" t="n">
        <v>43233</v>
      </c>
      <c r="C4974" t="inlineStr">
        <is>
          <t>2018-05</t>
        </is>
      </c>
      <c r="D4974" t="inlineStr">
        <is>
          <t>58326e62183c14b0c03085c33b9fdc44</t>
        </is>
      </c>
      <c r="E4974" t="inlineStr">
        <is>
          <t>social</t>
        </is>
      </c>
      <c r="F4974">
        <f>IFERROR(MATCH(A4974,Deals!$A$2:$A$843,0),"")</f>
        <v/>
      </c>
      <c r="G4974">
        <f>IF(F4974="",0,1)</f>
        <v/>
      </c>
      <c r="H4974" s="29">
        <f>IF(F4974="","",INDEX(Deals!$E$2:$E$843,F4974))</f>
        <v/>
      </c>
      <c r="I4974">
        <f>IF(F4974="","",INDEX(Deals!$D$2:$D$843,F4974))</f>
        <v/>
      </c>
      <c r="J4974">
        <f>IF(F4974="","",INT(H4974)-B4974)</f>
        <v/>
      </c>
      <c r="K4974">
        <f>IF(B4974&gt;=Settings!$C$5,1,0)</f>
        <v/>
      </c>
    </row>
    <row r="4975">
      <c r="A4975" t="inlineStr">
        <is>
          <t>83672563a735a0e086c45ca392adf13f</t>
        </is>
      </c>
      <c r="B4975" s="29" t="n">
        <v>42969</v>
      </c>
      <c r="C4975" t="inlineStr">
        <is>
          <t>2017-08</t>
        </is>
      </c>
      <c r="D4975" t="inlineStr">
        <is>
          <t>a0fbc0263cb98bdb0d72b9f9f283a172</t>
        </is>
      </c>
      <c r="E4975" t="inlineStr">
        <is>
          <t>paid_search</t>
        </is>
      </c>
      <c r="F4975">
        <f>IFERROR(MATCH(A4975,Deals!$A$2:$A$843,0),"")</f>
        <v/>
      </c>
      <c r="G4975">
        <f>IF(F4975="",0,1)</f>
        <v/>
      </c>
      <c r="H4975" s="29">
        <f>IF(F4975="","",INDEX(Deals!$E$2:$E$843,F4975))</f>
        <v/>
      </c>
      <c r="I4975">
        <f>IF(F4975="","",INDEX(Deals!$D$2:$D$843,F4975))</f>
        <v/>
      </c>
      <c r="J4975">
        <f>IF(F4975="","",INT(H4975)-B4975)</f>
        <v/>
      </c>
      <c r="K4975">
        <f>IF(B4975&gt;=Settings!$C$5,1,0)</f>
        <v/>
      </c>
    </row>
    <row r="4976">
      <c r="A4976" t="inlineStr">
        <is>
          <t>8688cb7c76fc1bd40704ac69becb564b</t>
        </is>
      </c>
      <c r="B4976" s="29" t="n">
        <v>43186</v>
      </c>
      <c r="C4976" t="inlineStr">
        <is>
          <t>2018-03</t>
        </is>
      </c>
      <c r="D4976" t="inlineStr">
        <is>
          <t>22c29808c4f815213303f8933030604c</t>
        </is>
      </c>
      <c r="E4976" t="inlineStr">
        <is>
          <t>organic_search</t>
        </is>
      </c>
      <c r="F4976">
        <f>IFERROR(MATCH(A4976,Deals!$A$2:$A$843,0),"")</f>
        <v/>
      </c>
      <c r="G4976">
        <f>IF(F4976="",0,1)</f>
        <v/>
      </c>
      <c r="H4976" s="29">
        <f>IF(F4976="","",INDEX(Deals!$E$2:$E$843,F4976))</f>
        <v/>
      </c>
      <c r="I4976">
        <f>IF(F4976="","",INDEX(Deals!$D$2:$D$843,F4976))</f>
        <v/>
      </c>
      <c r="J4976">
        <f>IF(F4976="","",INT(H4976)-B4976)</f>
        <v/>
      </c>
      <c r="K4976">
        <f>IF(B4976&gt;=Settings!$C$5,1,0)</f>
        <v/>
      </c>
    </row>
    <row r="4977">
      <c r="A4977" t="inlineStr">
        <is>
          <t>a78562b316f0578286ddea6e6eaf2c63</t>
        </is>
      </c>
      <c r="B4977" s="29" t="n">
        <v>43196</v>
      </c>
      <c r="C4977" t="inlineStr">
        <is>
          <t>2018-04</t>
        </is>
      </c>
      <c r="D4977" t="inlineStr">
        <is>
          <t>b76ef37428e6799c421989521c0e5077</t>
        </is>
      </c>
      <c r="E4977" t="inlineStr">
        <is>
          <t>unknown</t>
        </is>
      </c>
      <c r="F4977">
        <f>IFERROR(MATCH(A4977,Deals!$A$2:$A$843,0),"")</f>
        <v/>
      </c>
      <c r="G4977">
        <f>IF(F4977="",0,1)</f>
        <v/>
      </c>
      <c r="H4977" s="29">
        <f>IF(F4977="","",INDEX(Deals!$E$2:$E$843,F4977))</f>
        <v/>
      </c>
      <c r="I4977">
        <f>IF(F4977="","",INDEX(Deals!$D$2:$D$843,F4977))</f>
        <v/>
      </c>
      <c r="J4977">
        <f>IF(F4977="","",INT(H4977)-B4977)</f>
        <v/>
      </c>
      <c r="K4977">
        <f>IF(B4977&gt;=Settings!$C$5,1,0)</f>
        <v/>
      </c>
    </row>
    <row r="4978">
      <c r="A4978" t="inlineStr">
        <is>
          <t>589571eb2abb82ce6ab1a954d9b1a08c</t>
        </is>
      </c>
      <c r="B4978" s="29" t="n">
        <v>43177</v>
      </c>
      <c r="C4978" t="inlineStr">
        <is>
          <t>2018-03</t>
        </is>
      </c>
      <c r="D4978" t="inlineStr">
        <is>
          <t>c35447dcd1a50b2e2ee3184be602b597</t>
        </is>
      </c>
      <c r="E4978" t="inlineStr">
        <is>
          <t>organic_search</t>
        </is>
      </c>
      <c r="F4978">
        <f>IFERROR(MATCH(A4978,Deals!$A$2:$A$843,0),"")</f>
        <v/>
      </c>
      <c r="G4978">
        <f>IF(F4978="",0,1)</f>
        <v/>
      </c>
      <c r="H4978" s="29">
        <f>IF(F4978="","",INDEX(Deals!$E$2:$E$843,F4978))</f>
        <v/>
      </c>
      <c r="I4978">
        <f>IF(F4978="","",INDEX(Deals!$D$2:$D$843,F4978))</f>
        <v/>
      </c>
      <c r="J4978">
        <f>IF(F4978="","",INT(H4978)-B4978)</f>
        <v/>
      </c>
      <c r="K4978">
        <f>IF(B4978&gt;=Settings!$C$5,1,0)</f>
        <v/>
      </c>
    </row>
    <row r="4979">
      <c r="A4979" t="inlineStr">
        <is>
          <t>d52545a1ce8ce8282dbce0a06536ddec</t>
        </is>
      </c>
      <c r="B4979" s="29" t="n">
        <v>43192</v>
      </c>
      <c r="C4979" t="inlineStr">
        <is>
          <t>2018-04</t>
        </is>
      </c>
      <c r="D4979" t="inlineStr">
        <is>
          <t>909e333f8f23574f93115bd3d402e202</t>
        </is>
      </c>
      <c r="E4979" t="inlineStr">
        <is>
          <t>organic_search</t>
        </is>
      </c>
      <c r="F4979">
        <f>IFERROR(MATCH(A4979,Deals!$A$2:$A$843,0),"")</f>
        <v/>
      </c>
      <c r="G4979">
        <f>IF(F4979="",0,1)</f>
        <v/>
      </c>
      <c r="H4979" s="29">
        <f>IF(F4979="","",INDEX(Deals!$E$2:$E$843,F4979))</f>
        <v/>
      </c>
      <c r="I4979">
        <f>IF(F4979="","",INDEX(Deals!$D$2:$D$843,F4979))</f>
        <v/>
      </c>
      <c r="J4979">
        <f>IF(F4979="","",INT(H4979)-B4979)</f>
        <v/>
      </c>
      <c r="K4979">
        <f>IF(B4979&gt;=Settings!$C$5,1,0)</f>
        <v/>
      </c>
    </row>
    <row r="4980">
      <c r="A4980" t="inlineStr">
        <is>
          <t>c0760e4171db0cd649bda18fcd314e33</t>
        </is>
      </c>
      <c r="B4980" s="29" t="n">
        <v>43117</v>
      </c>
      <c r="C4980" t="inlineStr">
        <is>
          <t>2018-01</t>
        </is>
      </c>
      <c r="D4980" t="inlineStr">
        <is>
          <t>b76ef37428e6799c421989521c0e5077</t>
        </is>
      </c>
      <c r="E4980" t="inlineStr">
        <is>
          <t>unknown</t>
        </is>
      </c>
      <c r="F4980">
        <f>IFERROR(MATCH(A4980,Deals!$A$2:$A$843,0),"")</f>
        <v/>
      </c>
      <c r="G4980">
        <f>IF(F4980="",0,1)</f>
        <v/>
      </c>
      <c r="H4980" s="29">
        <f>IF(F4980="","",INDEX(Deals!$E$2:$E$843,F4980))</f>
        <v/>
      </c>
      <c r="I4980">
        <f>IF(F4980="","",INDEX(Deals!$D$2:$D$843,F4980))</f>
        <v/>
      </c>
      <c r="J4980">
        <f>IF(F4980="","",INT(H4980)-B4980)</f>
        <v/>
      </c>
      <c r="K4980">
        <f>IF(B4980&gt;=Settings!$C$5,1,0)</f>
        <v/>
      </c>
    </row>
    <row r="4981">
      <c r="A4981" t="inlineStr">
        <is>
          <t>13aa4b97741ab666f4cccdf5b44ad772</t>
        </is>
      </c>
      <c r="B4981" s="29" t="n">
        <v>43244</v>
      </c>
      <c r="C4981" t="inlineStr">
        <is>
          <t>2018-05</t>
        </is>
      </c>
      <c r="D4981" t="inlineStr">
        <is>
          <t>58326e62183c14b0c03085c33b9fdc44</t>
        </is>
      </c>
      <c r="E4981" t="inlineStr">
        <is>
          <t>social</t>
        </is>
      </c>
      <c r="F4981">
        <f>IFERROR(MATCH(A4981,Deals!$A$2:$A$843,0),"")</f>
        <v/>
      </c>
      <c r="G4981">
        <f>IF(F4981="",0,1)</f>
        <v/>
      </c>
      <c r="H4981" s="29">
        <f>IF(F4981="","",INDEX(Deals!$E$2:$E$843,F4981))</f>
        <v/>
      </c>
      <c r="I4981">
        <f>IF(F4981="","",INDEX(Deals!$D$2:$D$843,F4981))</f>
        <v/>
      </c>
      <c r="J4981">
        <f>IF(F4981="","",INT(H4981)-B4981)</f>
        <v/>
      </c>
      <c r="K4981">
        <f>IF(B4981&gt;=Settings!$C$5,1,0)</f>
        <v/>
      </c>
    </row>
    <row r="4982">
      <c r="A4982" t="inlineStr">
        <is>
          <t>158223cf1707f7e6dd5cd3a0d64f89f3</t>
        </is>
      </c>
      <c r="B4982" s="29" t="n">
        <v>43238</v>
      </c>
      <c r="C4982" t="inlineStr">
        <is>
          <t>2018-05</t>
        </is>
      </c>
      <c r="D4982" t="inlineStr">
        <is>
          <t>ce1a65abd0973638f1c887a6efcfa82d</t>
        </is>
      </c>
      <c r="E4982" t="inlineStr">
        <is>
          <t>organic_search</t>
        </is>
      </c>
      <c r="F4982">
        <f>IFERROR(MATCH(A4982,Deals!$A$2:$A$843,0),"")</f>
        <v/>
      </c>
      <c r="G4982">
        <f>IF(F4982="",0,1)</f>
        <v/>
      </c>
      <c r="H4982" s="29">
        <f>IF(F4982="","",INDEX(Deals!$E$2:$E$843,F4982))</f>
        <v/>
      </c>
      <c r="I4982">
        <f>IF(F4982="","",INDEX(Deals!$D$2:$D$843,F4982))</f>
        <v/>
      </c>
      <c r="J4982">
        <f>IF(F4982="","",INT(H4982)-B4982)</f>
        <v/>
      </c>
      <c r="K4982">
        <f>IF(B4982&gt;=Settings!$C$5,1,0)</f>
        <v/>
      </c>
    </row>
    <row r="4983">
      <c r="A4983" t="inlineStr">
        <is>
          <t>c98e7eb508ad306c40cc4d7773a3a69a</t>
        </is>
      </c>
      <c r="B4983" s="29" t="n">
        <v>43190</v>
      </c>
      <c r="C4983" t="inlineStr">
        <is>
          <t>2018-03</t>
        </is>
      </c>
      <c r="D4983" t="inlineStr">
        <is>
          <t>65d9f9d71e562365e8b44037c2888d98</t>
        </is>
      </c>
      <c r="E4983" t="inlineStr">
        <is>
          <t>paid_search</t>
        </is>
      </c>
      <c r="F4983">
        <f>IFERROR(MATCH(A4983,Deals!$A$2:$A$843,0),"")</f>
        <v/>
      </c>
      <c r="G4983">
        <f>IF(F4983="",0,1)</f>
        <v/>
      </c>
      <c r="H4983" s="29">
        <f>IF(F4983="","",INDEX(Deals!$E$2:$E$843,F4983))</f>
        <v/>
      </c>
      <c r="I4983">
        <f>IF(F4983="","",INDEX(Deals!$D$2:$D$843,F4983))</f>
        <v/>
      </c>
      <c r="J4983">
        <f>IF(F4983="","",INT(H4983)-B4983)</f>
        <v/>
      </c>
      <c r="K4983">
        <f>IF(B4983&gt;=Settings!$C$5,1,0)</f>
        <v/>
      </c>
    </row>
    <row r="4984">
      <c r="A4984" t="inlineStr">
        <is>
          <t>107dd95cbdbd492c7f55e7128eaebce5</t>
        </is>
      </c>
      <c r="B4984" s="29" t="n">
        <v>43238</v>
      </c>
      <c r="C4984" t="inlineStr">
        <is>
          <t>2018-05</t>
        </is>
      </c>
      <c r="D4984" t="inlineStr">
        <is>
          <t>22c29808c4f815213303f8933030604c</t>
        </is>
      </c>
      <c r="E4984" t="inlineStr">
        <is>
          <t>direct_traffic</t>
        </is>
      </c>
      <c r="F4984">
        <f>IFERROR(MATCH(A4984,Deals!$A$2:$A$843,0),"")</f>
        <v/>
      </c>
      <c r="G4984">
        <f>IF(F4984="",0,1)</f>
        <v/>
      </c>
      <c r="H4984" s="29">
        <f>IF(F4984="","",INDEX(Deals!$E$2:$E$843,F4984))</f>
        <v/>
      </c>
      <c r="I4984">
        <f>IF(F4984="","",INDEX(Deals!$D$2:$D$843,F4984))</f>
        <v/>
      </c>
      <c r="J4984">
        <f>IF(F4984="","",INT(H4984)-B4984)</f>
        <v/>
      </c>
      <c r="K4984">
        <f>IF(B4984&gt;=Settings!$C$5,1,0)</f>
        <v/>
      </c>
    </row>
    <row r="4985">
      <c r="A4985" t="inlineStr">
        <is>
          <t>9ef248df74556f4768271660f5ef5f7b</t>
        </is>
      </c>
      <c r="B4985" s="29" t="n">
        <v>43129</v>
      </c>
      <c r="C4985" t="inlineStr">
        <is>
          <t>2018-01</t>
        </is>
      </c>
      <c r="D4985" t="inlineStr">
        <is>
          <t>22c29808c4f815213303f8933030604c</t>
        </is>
      </c>
      <c r="E4985" t="inlineStr">
        <is>
          <t>organic_search</t>
        </is>
      </c>
      <c r="F4985">
        <f>IFERROR(MATCH(A4985,Deals!$A$2:$A$843,0),"")</f>
        <v/>
      </c>
      <c r="G4985">
        <f>IF(F4985="",0,1)</f>
        <v/>
      </c>
      <c r="H4985" s="29">
        <f>IF(F4985="","",INDEX(Deals!$E$2:$E$843,F4985))</f>
        <v/>
      </c>
      <c r="I4985">
        <f>IF(F4985="","",INDEX(Deals!$D$2:$D$843,F4985))</f>
        <v/>
      </c>
      <c r="J4985">
        <f>IF(F4985="","",INT(H4985)-B4985)</f>
        <v/>
      </c>
      <c r="K4985">
        <f>IF(B4985&gt;=Settings!$C$5,1,0)</f>
        <v/>
      </c>
    </row>
    <row r="4986">
      <c r="A4986" t="inlineStr">
        <is>
          <t>b0a86041b9e3d8fa343441e899557fd7</t>
        </is>
      </c>
      <c r="B4986" s="29" t="n">
        <v>43033</v>
      </c>
      <c r="C4986" t="inlineStr">
        <is>
          <t>2017-10</t>
        </is>
      </c>
      <c r="D4986" t="inlineStr">
        <is>
          <t>e492ee5eaf1697716985cc6f33f9cd9b</t>
        </is>
      </c>
      <c r="E4986" t="inlineStr">
        <is>
          <t>organic_search</t>
        </is>
      </c>
      <c r="F4986">
        <f>IFERROR(MATCH(A4986,Deals!$A$2:$A$843,0),"")</f>
        <v/>
      </c>
      <c r="G4986">
        <f>IF(F4986="",0,1)</f>
        <v/>
      </c>
      <c r="H4986" s="29">
        <f>IF(F4986="","",INDEX(Deals!$E$2:$E$843,F4986))</f>
        <v/>
      </c>
      <c r="I4986">
        <f>IF(F4986="","",INDEX(Deals!$D$2:$D$843,F4986))</f>
        <v/>
      </c>
      <c r="J4986">
        <f>IF(F4986="","",INT(H4986)-B4986)</f>
        <v/>
      </c>
      <c r="K4986">
        <f>IF(B4986&gt;=Settings!$C$5,1,0)</f>
        <v/>
      </c>
    </row>
    <row r="4987">
      <c r="A4987" t="inlineStr">
        <is>
          <t>8c30a9c43fd59ad62ec0d4255a73a594</t>
        </is>
      </c>
      <c r="B4987" s="29" t="n">
        <v>43069</v>
      </c>
      <c r="C4987" t="inlineStr">
        <is>
          <t>2017-11</t>
        </is>
      </c>
      <c r="D4987" t="inlineStr">
        <is>
          <t>1c19071a49fd2b43d0d4df3ff05c19c4</t>
        </is>
      </c>
      <c r="E4987" t="inlineStr">
        <is>
          <t>organic_search</t>
        </is>
      </c>
      <c r="F4987">
        <f>IFERROR(MATCH(A4987,Deals!$A$2:$A$843,0),"")</f>
        <v/>
      </c>
      <c r="G4987">
        <f>IF(F4987="",0,1)</f>
        <v/>
      </c>
      <c r="H4987" s="29">
        <f>IF(F4987="","",INDEX(Deals!$E$2:$E$843,F4987))</f>
        <v/>
      </c>
      <c r="I4987">
        <f>IF(F4987="","",INDEX(Deals!$D$2:$D$843,F4987))</f>
        <v/>
      </c>
      <c r="J4987">
        <f>IF(F4987="","",INT(H4987)-B4987)</f>
        <v/>
      </c>
      <c r="K4987">
        <f>IF(B4987&gt;=Settings!$C$5,1,0)</f>
        <v/>
      </c>
    </row>
    <row r="4988">
      <c r="A4988" t="inlineStr">
        <is>
          <t>776b55b5ec8eda392aec950f51b2e1ec</t>
        </is>
      </c>
      <c r="B4988" s="29" t="n">
        <v>43236</v>
      </c>
      <c r="C4988" t="inlineStr">
        <is>
          <t>2018-05</t>
        </is>
      </c>
      <c r="D4988" t="inlineStr">
        <is>
          <t>36120633c8737035fbabf079082f4ec1</t>
        </is>
      </c>
      <c r="E4988" t="inlineStr">
        <is>
          <t>social</t>
        </is>
      </c>
      <c r="F4988">
        <f>IFERROR(MATCH(A4988,Deals!$A$2:$A$843,0),"")</f>
        <v/>
      </c>
      <c r="G4988">
        <f>IF(F4988="",0,1)</f>
        <v/>
      </c>
      <c r="H4988" s="29">
        <f>IF(F4988="","",INDEX(Deals!$E$2:$E$843,F4988))</f>
        <v/>
      </c>
      <c r="I4988">
        <f>IF(F4988="","",INDEX(Deals!$D$2:$D$843,F4988))</f>
        <v/>
      </c>
      <c r="J4988">
        <f>IF(F4988="","",INT(H4988)-B4988)</f>
        <v/>
      </c>
      <c r="K4988">
        <f>IF(B4988&gt;=Settings!$C$5,1,0)</f>
        <v/>
      </c>
    </row>
    <row r="4989">
      <c r="A4989" t="inlineStr">
        <is>
          <t>4532f03593699ffdfd5fc1b58540190e</t>
        </is>
      </c>
      <c r="B4989" s="29" t="n">
        <v>43168</v>
      </c>
      <c r="C4989" t="inlineStr">
        <is>
          <t>2018-03</t>
        </is>
      </c>
      <c r="D4989" t="inlineStr">
        <is>
          <t>b76ef37428e6799c421989521c0e5077</t>
        </is>
      </c>
      <c r="E4989" t="inlineStr">
        <is>
          <t>unknown</t>
        </is>
      </c>
      <c r="F4989">
        <f>IFERROR(MATCH(A4989,Deals!$A$2:$A$843,0),"")</f>
        <v/>
      </c>
      <c r="G4989">
        <f>IF(F4989="",0,1)</f>
        <v/>
      </c>
      <c r="H4989" s="29">
        <f>IF(F4989="","",INDEX(Deals!$E$2:$E$843,F4989))</f>
        <v/>
      </c>
      <c r="I4989">
        <f>IF(F4989="","",INDEX(Deals!$D$2:$D$843,F4989))</f>
        <v/>
      </c>
      <c r="J4989">
        <f>IF(F4989="","",INT(H4989)-B4989)</f>
        <v/>
      </c>
      <c r="K4989">
        <f>IF(B4989&gt;=Settings!$C$5,1,0)</f>
        <v/>
      </c>
    </row>
    <row r="4990">
      <c r="A4990" t="inlineStr">
        <is>
          <t>dada30935bcfc75c69e651430ea8815f</t>
        </is>
      </c>
      <c r="B4990" s="29" t="n">
        <v>43134</v>
      </c>
      <c r="C4990" t="inlineStr">
        <is>
          <t>2018-02</t>
        </is>
      </c>
      <c r="D4990" t="inlineStr">
        <is>
          <t>0218f6be0b76aca72ab4d00ee9e8cf10</t>
        </is>
      </c>
      <c r="E4990" t="inlineStr">
        <is>
          <t>organic_search</t>
        </is>
      </c>
      <c r="F4990">
        <f>IFERROR(MATCH(A4990,Deals!$A$2:$A$843,0),"")</f>
        <v/>
      </c>
      <c r="G4990">
        <f>IF(F4990="",0,1)</f>
        <v/>
      </c>
      <c r="H4990" s="29">
        <f>IF(F4990="","",INDEX(Deals!$E$2:$E$843,F4990))</f>
        <v/>
      </c>
      <c r="I4990">
        <f>IF(F4990="","",INDEX(Deals!$D$2:$D$843,F4990))</f>
        <v/>
      </c>
      <c r="J4990">
        <f>IF(F4990="","",INT(H4990)-B4990)</f>
        <v/>
      </c>
      <c r="K4990">
        <f>IF(B4990&gt;=Settings!$C$5,1,0)</f>
        <v/>
      </c>
    </row>
    <row r="4991">
      <c r="A4991" t="inlineStr">
        <is>
          <t>88b60db46229bc2e21574705df09a08b</t>
        </is>
      </c>
      <c r="B4991" s="29" t="n">
        <v>43228</v>
      </c>
      <c r="C4991" t="inlineStr">
        <is>
          <t>2018-05</t>
        </is>
      </c>
      <c r="D4991" t="inlineStr">
        <is>
          <t>58326e62183c14b0c03085c33b9fdc44</t>
        </is>
      </c>
      <c r="E4991" t="inlineStr">
        <is>
          <t>social</t>
        </is>
      </c>
      <c r="F4991">
        <f>IFERROR(MATCH(A4991,Deals!$A$2:$A$843,0),"")</f>
        <v/>
      </c>
      <c r="G4991">
        <f>IF(F4991="",0,1)</f>
        <v/>
      </c>
      <c r="H4991" s="29">
        <f>IF(F4991="","",INDEX(Deals!$E$2:$E$843,F4991))</f>
        <v/>
      </c>
      <c r="I4991">
        <f>IF(F4991="","",INDEX(Deals!$D$2:$D$843,F4991))</f>
        <v/>
      </c>
      <c r="J4991">
        <f>IF(F4991="","",INT(H4991)-B4991)</f>
        <v/>
      </c>
      <c r="K4991">
        <f>IF(B4991&gt;=Settings!$C$5,1,0)</f>
        <v/>
      </c>
    </row>
    <row r="4992">
      <c r="A4992" t="inlineStr">
        <is>
          <t>e9631bea70bc3ae4018bff0eac2c0986</t>
        </is>
      </c>
      <c r="B4992" s="29" t="n">
        <v>43223</v>
      </c>
      <c r="C4992" t="inlineStr">
        <is>
          <t>2018-05</t>
        </is>
      </c>
      <c r="D4992" t="inlineStr">
        <is>
          <t>ca2cd580bff13775c778f128c7db2b41</t>
        </is>
      </c>
      <c r="E4992" t="inlineStr">
        <is>
          <t>social</t>
        </is>
      </c>
      <c r="F4992">
        <f>IFERROR(MATCH(A4992,Deals!$A$2:$A$843,0),"")</f>
        <v/>
      </c>
      <c r="G4992">
        <f>IF(F4992="",0,1)</f>
        <v/>
      </c>
      <c r="H4992" s="29">
        <f>IF(F4992="","",INDEX(Deals!$E$2:$E$843,F4992))</f>
        <v/>
      </c>
      <c r="I4992">
        <f>IF(F4992="","",INDEX(Deals!$D$2:$D$843,F4992))</f>
        <v/>
      </c>
      <c r="J4992">
        <f>IF(F4992="","",INT(H4992)-B4992)</f>
        <v/>
      </c>
      <c r="K4992">
        <f>IF(B4992&gt;=Settings!$C$5,1,0)</f>
        <v/>
      </c>
    </row>
    <row r="4993">
      <c r="A4993" t="inlineStr">
        <is>
          <t>3c184dcd417be3257ecc68d4c195b463</t>
        </is>
      </c>
      <c r="B4993" s="29" t="n">
        <v>43151</v>
      </c>
      <c r="C4993" t="inlineStr">
        <is>
          <t>2018-02</t>
        </is>
      </c>
      <c r="D4993" t="inlineStr">
        <is>
          <t>40dec9f3d5259a3d2dbcdab2114fae47</t>
        </is>
      </c>
      <c r="E4993" t="inlineStr">
        <is>
          <t>paid_search</t>
        </is>
      </c>
      <c r="F4993">
        <f>IFERROR(MATCH(A4993,Deals!$A$2:$A$843,0),"")</f>
        <v/>
      </c>
      <c r="G4993">
        <f>IF(F4993="",0,1)</f>
        <v/>
      </c>
      <c r="H4993" s="29">
        <f>IF(F4993="","",INDEX(Deals!$E$2:$E$843,F4993))</f>
        <v/>
      </c>
      <c r="I4993">
        <f>IF(F4993="","",INDEX(Deals!$D$2:$D$843,F4993))</f>
        <v/>
      </c>
      <c r="J4993">
        <f>IF(F4993="","",INT(H4993)-B4993)</f>
        <v/>
      </c>
      <c r="K4993">
        <f>IF(B4993&gt;=Settings!$C$5,1,0)</f>
        <v/>
      </c>
    </row>
    <row r="4994">
      <c r="A4994" t="inlineStr">
        <is>
          <t>4eb3daf007ac19628896be4312a370f4</t>
        </is>
      </c>
      <c r="B4994" s="29" t="n">
        <v>42965</v>
      </c>
      <c r="C4994" t="inlineStr">
        <is>
          <t>2017-08</t>
        </is>
      </c>
      <c r="D4994" t="inlineStr">
        <is>
          <t>b76ef37428e6799c421989521c0e5077</t>
        </is>
      </c>
      <c r="E4994" t="inlineStr">
        <is>
          <t>unknown</t>
        </is>
      </c>
      <c r="F4994">
        <f>IFERROR(MATCH(A4994,Deals!$A$2:$A$843,0),"")</f>
        <v/>
      </c>
      <c r="G4994">
        <f>IF(F4994="",0,1)</f>
        <v/>
      </c>
      <c r="H4994" s="29">
        <f>IF(F4994="","",INDEX(Deals!$E$2:$E$843,F4994))</f>
        <v/>
      </c>
      <c r="I4994">
        <f>IF(F4994="","",INDEX(Deals!$D$2:$D$843,F4994))</f>
        <v/>
      </c>
      <c r="J4994">
        <f>IF(F4994="","",INT(H4994)-B4994)</f>
        <v/>
      </c>
      <c r="K4994">
        <f>IF(B4994&gt;=Settings!$C$5,1,0)</f>
        <v/>
      </c>
    </row>
    <row r="4995">
      <c r="A4995" t="inlineStr">
        <is>
          <t>d02a0679e1ed95b5961f798794c6f54a</t>
        </is>
      </c>
      <c r="B4995" s="29" t="n">
        <v>43013</v>
      </c>
      <c r="C4995" t="inlineStr">
        <is>
          <t>2017-10</t>
        </is>
      </c>
      <c r="D4995" t="inlineStr">
        <is>
          <t>a7982125ff7aa3b2054c6e44f9d28522</t>
        </is>
      </c>
      <c r="E4995" t="inlineStr">
        <is>
          <t>paid_search</t>
        </is>
      </c>
      <c r="F4995">
        <f>IFERROR(MATCH(A4995,Deals!$A$2:$A$843,0),"")</f>
        <v/>
      </c>
      <c r="G4995">
        <f>IF(F4995="",0,1)</f>
        <v/>
      </c>
      <c r="H4995" s="29">
        <f>IF(F4995="","",INDEX(Deals!$E$2:$E$843,F4995))</f>
        <v/>
      </c>
      <c r="I4995">
        <f>IF(F4995="","",INDEX(Deals!$D$2:$D$843,F4995))</f>
        <v/>
      </c>
      <c r="J4995">
        <f>IF(F4995="","",INT(H4995)-B4995)</f>
        <v/>
      </c>
      <c r="K4995">
        <f>IF(B4995&gt;=Settings!$C$5,1,0)</f>
        <v/>
      </c>
    </row>
    <row r="4996">
      <c r="A4996" t="inlineStr">
        <is>
          <t>21a499f4402f59364b11fbcdcf1da269</t>
        </is>
      </c>
      <c r="B4996" s="29" t="n">
        <v>43137</v>
      </c>
      <c r="C4996" t="inlineStr">
        <is>
          <t>2018-02</t>
        </is>
      </c>
      <c r="D4996" t="inlineStr">
        <is>
          <t>090ffa1062e6dde353c36524563acefc</t>
        </is>
      </c>
      <c r="E4996" t="inlineStr">
        <is>
          <t>organic_search</t>
        </is>
      </c>
      <c r="F4996">
        <f>IFERROR(MATCH(A4996,Deals!$A$2:$A$843,0),"")</f>
        <v/>
      </c>
      <c r="G4996">
        <f>IF(F4996="",0,1)</f>
        <v/>
      </c>
      <c r="H4996" s="29">
        <f>IF(F4996="","",INDEX(Deals!$E$2:$E$843,F4996))</f>
        <v/>
      </c>
      <c r="I4996">
        <f>IF(F4996="","",INDEX(Deals!$D$2:$D$843,F4996))</f>
        <v/>
      </c>
      <c r="J4996">
        <f>IF(F4996="","",INT(H4996)-B4996)</f>
        <v/>
      </c>
      <c r="K4996">
        <f>IF(B4996&gt;=Settings!$C$5,1,0)</f>
        <v/>
      </c>
    </row>
    <row r="4997">
      <c r="A4997" t="inlineStr">
        <is>
          <t>1268adfb5db8c00c75b37961e8a9b787</t>
        </is>
      </c>
      <c r="B4997" s="29" t="n">
        <v>43216</v>
      </c>
      <c r="C4997" t="inlineStr">
        <is>
          <t>2018-04</t>
        </is>
      </c>
      <c r="D4997" t="inlineStr">
        <is>
          <t>c0f9e439226ea0373a7e3c0dfe71e4f9</t>
        </is>
      </c>
      <c r="E4997" t="inlineStr">
        <is>
          <t>social</t>
        </is>
      </c>
      <c r="F4997">
        <f>IFERROR(MATCH(A4997,Deals!$A$2:$A$843,0),"")</f>
        <v/>
      </c>
      <c r="G4997">
        <f>IF(F4997="",0,1)</f>
        <v/>
      </c>
      <c r="H4997" s="29">
        <f>IF(F4997="","",INDEX(Deals!$E$2:$E$843,F4997))</f>
        <v/>
      </c>
      <c r="I4997">
        <f>IF(F4997="","",INDEX(Deals!$D$2:$D$843,F4997))</f>
        <v/>
      </c>
      <c r="J4997">
        <f>IF(F4997="","",INT(H4997)-B4997)</f>
        <v/>
      </c>
      <c r="K4997">
        <f>IF(B4997&gt;=Settings!$C$5,1,0)</f>
        <v/>
      </c>
    </row>
    <row r="4998">
      <c r="A4998" t="inlineStr">
        <is>
          <t>cc357e38cb35b97eac4bf587c3341b3c</t>
        </is>
      </c>
      <c r="B4998" s="29" t="n">
        <v>43212</v>
      </c>
      <c r="C4998" t="inlineStr">
        <is>
          <t>2018-04</t>
        </is>
      </c>
      <c r="D4998" t="inlineStr">
        <is>
          <t>58326e62183c14b0c03085c33b9fdc44</t>
        </is>
      </c>
      <c r="E4998" t="inlineStr">
        <is>
          <t>social</t>
        </is>
      </c>
      <c r="F4998">
        <f>IFERROR(MATCH(A4998,Deals!$A$2:$A$843,0),"")</f>
        <v/>
      </c>
      <c r="G4998">
        <f>IF(F4998="",0,1)</f>
        <v/>
      </c>
      <c r="H4998" s="29">
        <f>IF(F4998="","",INDEX(Deals!$E$2:$E$843,F4998))</f>
        <v/>
      </c>
      <c r="I4998">
        <f>IF(F4998="","",INDEX(Deals!$D$2:$D$843,F4998))</f>
        <v/>
      </c>
      <c r="J4998">
        <f>IF(F4998="","",INT(H4998)-B4998)</f>
        <v/>
      </c>
      <c r="K4998">
        <f>IF(B4998&gt;=Settings!$C$5,1,0)</f>
        <v/>
      </c>
    </row>
    <row r="4999">
      <c r="A4999" t="inlineStr">
        <is>
          <t>22242fffb164c888879c3513a550427b</t>
        </is>
      </c>
      <c r="B4999" s="29" t="n">
        <v>43185</v>
      </c>
      <c r="C4999" t="inlineStr">
        <is>
          <t>2018-03</t>
        </is>
      </c>
      <c r="D4999" t="inlineStr">
        <is>
          <t>b6885f18d203a61176418c1fb3764815</t>
        </is>
      </c>
      <c r="E4999" t="inlineStr">
        <is>
          <t>paid_search</t>
        </is>
      </c>
      <c r="F4999">
        <f>IFERROR(MATCH(A4999,Deals!$A$2:$A$843,0),"")</f>
        <v/>
      </c>
      <c r="G4999">
        <f>IF(F4999="",0,1)</f>
        <v/>
      </c>
      <c r="H4999" s="29">
        <f>IF(F4999="","",INDEX(Deals!$E$2:$E$843,F4999))</f>
        <v/>
      </c>
      <c r="I4999">
        <f>IF(F4999="","",INDEX(Deals!$D$2:$D$843,F4999))</f>
        <v/>
      </c>
      <c r="J4999">
        <f>IF(F4999="","",INT(H4999)-B4999)</f>
        <v/>
      </c>
      <c r="K4999">
        <f>IF(B4999&gt;=Settings!$C$5,1,0)</f>
        <v/>
      </c>
    </row>
    <row r="5000">
      <c r="A5000" t="inlineStr">
        <is>
          <t>5c2ef9d8092bde26ff170b873741ba15</t>
        </is>
      </c>
      <c r="B5000" s="29" t="n">
        <v>43217</v>
      </c>
      <c r="C5000" t="inlineStr">
        <is>
          <t>2018-04</t>
        </is>
      </c>
      <c r="D5000" t="inlineStr">
        <is>
          <t>966098efaef7a4d665be6b0cb617541b</t>
        </is>
      </c>
      <c r="E5000" t="inlineStr">
        <is>
          <t>referral</t>
        </is>
      </c>
      <c r="F5000">
        <f>IFERROR(MATCH(A5000,Deals!$A$2:$A$843,0),"")</f>
        <v/>
      </c>
      <c r="G5000">
        <f>IF(F5000="",0,1)</f>
        <v/>
      </c>
      <c r="H5000" s="29">
        <f>IF(F5000="","",INDEX(Deals!$E$2:$E$843,F5000))</f>
        <v/>
      </c>
      <c r="I5000">
        <f>IF(F5000="","",INDEX(Deals!$D$2:$D$843,F5000))</f>
        <v/>
      </c>
      <c r="J5000">
        <f>IF(F5000="","",INT(H5000)-B5000)</f>
        <v/>
      </c>
      <c r="K5000">
        <f>IF(B5000&gt;=Settings!$C$5,1,0)</f>
        <v/>
      </c>
    </row>
    <row r="5001">
      <c r="A5001" t="inlineStr">
        <is>
          <t>eeb09655187345d8cec4b994779d02e2</t>
        </is>
      </c>
      <c r="B5001" s="29" t="n">
        <v>43220</v>
      </c>
      <c r="C5001" t="inlineStr">
        <is>
          <t>2018-04</t>
        </is>
      </c>
      <c r="D5001" t="inlineStr">
        <is>
          <t>966098efaef7a4d665be6b0cb617541b</t>
        </is>
      </c>
      <c r="E5001" t="inlineStr">
        <is>
          <t>unknown</t>
        </is>
      </c>
      <c r="F5001">
        <f>IFERROR(MATCH(A5001,Deals!$A$2:$A$843,0),"")</f>
        <v/>
      </c>
      <c r="G5001">
        <f>IF(F5001="",0,1)</f>
        <v/>
      </c>
      <c r="H5001" s="29">
        <f>IF(F5001="","",INDEX(Deals!$E$2:$E$843,F5001))</f>
        <v/>
      </c>
      <c r="I5001">
        <f>IF(F5001="","",INDEX(Deals!$D$2:$D$843,F5001))</f>
        <v/>
      </c>
      <c r="J5001">
        <f>IF(F5001="","",INT(H5001)-B5001)</f>
        <v/>
      </c>
      <c r="K5001">
        <f>IF(B5001&gt;=Settings!$C$5,1,0)</f>
        <v/>
      </c>
    </row>
    <row r="5002">
      <c r="A5002" t="inlineStr">
        <is>
          <t>715d91778d743b59134e3cab3b0ffb1d</t>
        </is>
      </c>
      <c r="B5002" s="29" t="n">
        <v>43208</v>
      </c>
      <c r="C5002" t="inlineStr">
        <is>
          <t>2018-04</t>
        </is>
      </c>
      <c r="D5002" t="inlineStr">
        <is>
          <t>e534a08b23c682d94859d0ab860bd57a</t>
        </is>
      </c>
      <c r="E5002" t="inlineStr">
        <is>
          <t>organic_search</t>
        </is>
      </c>
      <c r="F5002">
        <f>IFERROR(MATCH(A5002,Deals!$A$2:$A$843,0),"")</f>
        <v/>
      </c>
      <c r="G5002">
        <f>IF(F5002="",0,1)</f>
        <v/>
      </c>
      <c r="H5002" s="29">
        <f>IF(F5002="","",INDEX(Deals!$E$2:$E$843,F5002))</f>
        <v/>
      </c>
      <c r="I5002">
        <f>IF(F5002="","",INDEX(Deals!$D$2:$D$843,F5002))</f>
        <v/>
      </c>
      <c r="J5002">
        <f>IF(F5002="","",INT(H5002)-B5002)</f>
        <v/>
      </c>
      <c r="K5002">
        <f>IF(B5002&gt;=Settings!$C$5,1,0)</f>
        <v/>
      </c>
    </row>
    <row r="5003">
      <c r="A5003" t="inlineStr">
        <is>
          <t>96cb629cbc300804537276a93ef0e7f2</t>
        </is>
      </c>
      <c r="B5003" s="29" t="n">
        <v>43117</v>
      </c>
      <c r="C5003" t="inlineStr">
        <is>
          <t>2018-01</t>
        </is>
      </c>
      <c r="D5003" t="inlineStr">
        <is>
          <t>ce1a65abd0973638f1c887a6efcfa82d</t>
        </is>
      </c>
      <c r="E5003" t="inlineStr">
        <is>
          <t>paid_search</t>
        </is>
      </c>
      <c r="F5003">
        <f>IFERROR(MATCH(A5003,Deals!$A$2:$A$843,0),"")</f>
        <v/>
      </c>
      <c r="G5003">
        <f>IF(F5003="",0,1)</f>
        <v/>
      </c>
      <c r="H5003" s="29">
        <f>IF(F5003="","",INDEX(Deals!$E$2:$E$843,F5003))</f>
        <v/>
      </c>
      <c r="I5003">
        <f>IF(F5003="","",INDEX(Deals!$D$2:$D$843,F5003))</f>
        <v/>
      </c>
      <c r="J5003">
        <f>IF(F5003="","",INT(H5003)-B5003)</f>
        <v/>
      </c>
      <c r="K5003">
        <f>IF(B5003&gt;=Settings!$C$5,1,0)</f>
        <v/>
      </c>
    </row>
    <row r="5004">
      <c r="A5004" t="inlineStr">
        <is>
          <t>1dbafa1bd602541ba5249cf8cc388acf</t>
        </is>
      </c>
      <c r="B5004" s="29" t="n">
        <v>43245</v>
      </c>
      <c r="C5004" t="inlineStr">
        <is>
          <t>2018-05</t>
        </is>
      </c>
      <c r="D5004" t="inlineStr">
        <is>
          <t>7fa6214d82e911d070f51ef79381b956</t>
        </is>
      </c>
      <c r="E5004" t="inlineStr">
        <is>
          <t>organic_search</t>
        </is>
      </c>
      <c r="F5004">
        <f>IFERROR(MATCH(A5004,Deals!$A$2:$A$843,0),"")</f>
        <v/>
      </c>
      <c r="G5004">
        <f>IF(F5004="",0,1)</f>
        <v/>
      </c>
      <c r="H5004" s="29">
        <f>IF(F5004="","",INDEX(Deals!$E$2:$E$843,F5004))</f>
        <v/>
      </c>
      <c r="I5004">
        <f>IF(F5004="","",INDEX(Deals!$D$2:$D$843,F5004))</f>
        <v/>
      </c>
      <c r="J5004">
        <f>IF(F5004="","",INT(H5004)-B5004)</f>
        <v/>
      </c>
      <c r="K5004">
        <f>IF(B5004&gt;=Settings!$C$5,1,0)</f>
        <v/>
      </c>
    </row>
    <row r="5005">
      <c r="A5005" t="inlineStr">
        <is>
          <t>aa1c251b60472e18e33ecdeaf84dd867</t>
        </is>
      </c>
      <c r="B5005" s="29" t="n">
        <v>43156</v>
      </c>
      <c r="C5005" t="inlineStr">
        <is>
          <t>2018-02</t>
        </is>
      </c>
      <c r="D5005" t="inlineStr">
        <is>
          <t>e492ee5eaf1697716985cc6f33f9cd9b</t>
        </is>
      </c>
      <c r="E5005" t="inlineStr">
        <is>
          <t>organic_search</t>
        </is>
      </c>
      <c r="F5005">
        <f>IFERROR(MATCH(A5005,Deals!$A$2:$A$843,0),"")</f>
        <v/>
      </c>
      <c r="G5005">
        <f>IF(F5005="",0,1)</f>
        <v/>
      </c>
      <c r="H5005" s="29">
        <f>IF(F5005="","",INDEX(Deals!$E$2:$E$843,F5005))</f>
        <v/>
      </c>
      <c r="I5005">
        <f>IF(F5005="","",INDEX(Deals!$D$2:$D$843,F5005))</f>
        <v/>
      </c>
      <c r="J5005">
        <f>IF(F5005="","",INT(H5005)-B5005)</f>
        <v/>
      </c>
      <c r="K5005">
        <f>IF(B5005&gt;=Settings!$C$5,1,0)</f>
        <v/>
      </c>
    </row>
    <row r="5006">
      <c r="A5006" t="inlineStr">
        <is>
          <t>740db62814c09f5f0f6e781e915b15ac</t>
        </is>
      </c>
      <c r="B5006" s="29" t="n">
        <v>43095</v>
      </c>
      <c r="C5006" t="inlineStr">
        <is>
          <t>2017-12</t>
        </is>
      </c>
      <c r="D5006" t="inlineStr">
        <is>
          <t>65d9f9d71e562365e8b44037c2888d98</t>
        </is>
      </c>
      <c r="E5006" t="inlineStr">
        <is>
          <t>paid_search</t>
        </is>
      </c>
      <c r="F5006">
        <f>IFERROR(MATCH(A5006,Deals!$A$2:$A$843,0),"")</f>
        <v/>
      </c>
      <c r="G5006">
        <f>IF(F5006="",0,1)</f>
        <v/>
      </c>
      <c r="H5006" s="29">
        <f>IF(F5006="","",INDEX(Deals!$E$2:$E$843,F5006))</f>
        <v/>
      </c>
      <c r="I5006">
        <f>IF(F5006="","",INDEX(Deals!$D$2:$D$843,F5006))</f>
        <v/>
      </c>
      <c r="J5006">
        <f>IF(F5006="","",INT(H5006)-B5006)</f>
        <v/>
      </c>
      <c r="K5006">
        <f>IF(B5006&gt;=Settings!$C$5,1,0)</f>
        <v/>
      </c>
    </row>
    <row r="5007">
      <c r="A5007" t="inlineStr">
        <is>
          <t>ce651728d53387a4dc56052bc6d035dd</t>
        </is>
      </c>
      <c r="B5007" s="29" t="n">
        <v>42923</v>
      </c>
      <c r="C5007" t="inlineStr">
        <is>
          <t>2017-07</t>
        </is>
      </c>
      <c r="D5007" t="inlineStr">
        <is>
          <t>e92a6f37ebb87a6bfbc569d439cf1635</t>
        </is>
      </c>
      <c r="E5007" t="inlineStr">
        <is>
          <t>organic_search</t>
        </is>
      </c>
      <c r="F5007">
        <f>IFERROR(MATCH(A5007,Deals!$A$2:$A$843,0),"")</f>
        <v/>
      </c>
      <c r="G5007">
        <f>IF(F5007="",0,1)</f>
        <v/>
      </c>
      <c r="H5007" s="29">
        <f>IF(F5007="","",INDEX(Deals!$E$2:$E$843,F5007))</f>
        <v/>
      </c>
      <c r="I5007">
        <f>IF(F5007="","",INDEX(Deals!$D$2:$D$843,F5007))</f>
        <v/>
      </c>
      <c r="J5007">
        <f>IF(F5007="","",INT(H5007)-B5007)</f>
        <v/>
      </c>
      <c r="K5007">
        <f>IF(B5007&gt;=Settings!$C$5,1,0)</f>
        <v/>
      </c>
    </row>
    <row r="5008">
      <c r="A5008" t="inlineStr">
        <is>
          <t>d92949512f85bf2db92ad19b662922f6</t>
        </is>
      </c>
      <c r="B5008" s="29" t="n">
        <v>43236</v>
      </c>
      <c r="C5008" t="inlineStr">
        <is>
          <t>2018-05</t>
        </is>
      </c>
      <c r="D5008" t="inlineStr">
        <is>
          <t>b76ef37428e6799c421989521c0e5077</t>
        </is>
      </c>
      <c r="E5008" t="inlineStr">
        <is>
          <t>unknown</t>
        </is>
      </c>
      <c r="F5008">
        <f>IFERROR(MATCH(A5008,Deals!$A$2:$A$843,0),"")</f>
        <v/>
      </c>
      <c r="G5008">
        <f>IF(F5008="",0,1)</f>
        <v/>
      </c>
      <c r="H5008" s="29">
        <f>IF(F5008="","",INDEX(Deals!$E$2:$E$843,F5008))</f>
        <v/>
      </c>
      <c r="I5008">
        <f>IF(F5008="","",INDEX(Deals!$D$2:$D$843,F5008))</f>
        <v/>
      </c>
      <c r="J5008">
        <f>IF(F5008="","",INT(H5008)-B5008)</f>
        <v/>
      </c>
      <c r="K5008">
        <f>IF(B5008&gt;=Settings!$C$5,1,0)</f>
        <v/>
      </c>
    </row>
    <row r="5009">
      <c r="A5009" t="inlineStr">
        <is>
          <t>0ff5e6749c211dec8c7509b33ee8a698</t>
        </is>
      </c>
      <c r="B5009" s="29" t="n">
        <v>43206</v>
      </c>
      <c r="C5009" t="inlineStr">
        <is>
          <t>2018-04</t>
        </is>
      </c>
      <c r="D5009" t="inlineStr">
        <is>
          <t>ce1a65abd0973638f1c887a6efcfa82d</t>
        </is>
      </c>
      <c r="E5009" t="inlineStr">
        <is>
          <t>organic_search</t>
        </is>
      </c>
      <c r="F5009">
        <f>IFERROR(MATCH(A5009,Deals!$A$2:$A$843,0),"")</f>
        <v/>
      </c>
      <c r="G5009">
        <f>IF(F5009="",0,1)</f>
        <v/>
      </c>
      <c r="H5009" s="29">
        <f>IF(F5009="","",INDEX(Deals!$E$2:$E$843,F5009))</f>
        <v/>
      </c>
      <c r="I5009">
        <f>IF(F5009="","",INDEX(Deals!$D$2:$D$843,F5009))</f>
        <v/>
      </c>
      <c r="J5009">
        <f>IF(F5009="","",INT(H5009)-B5009)</f>
        <v/>
      </c>
      <c r="K5009">
        <f>IF(B5009&gt;=Settings!$C$5,1,0)</f>
        <v/>
      </c>
    </row>
    <row r="5010">
      <c r="A5010" t="inlineStr">
        <is>
          <t>df0d020fc9a3e0bafef47e229b498ba5</t>
        </is>
      </c>
      <c r="B5010" s="29" t="n">
        <v>43035</v>
      </c>
      <c r="C5010" t="inlineStr">
        <is>
          <t>2017-10</t>
        </is>
      </c>
      <c r="D5010" t="inlineStr">
        <is>
          <t>111313f5b9ceedf17ab5af7317a9f9bc</t>
        </is>
      </c>
      <c r="E5010" t="inlineStr">
        <is>
          <t>paid_search</t>
        </is>
      </c>
      <c r="F5010">
        <f>IFERROR(MATCH(A5010,Deals!$A$2:$A$843,0),"")</f>
        <v/>
      </c>
      <c r="G5010">
        <f>IF(F5010="",0,1)</f>
        <v/>
      </c>
      <c r="H5010" s="29">
        <f>IF(F5010="","",INDEX(Deals!$E$2:$E$843,F5010))</f>
        <v/>
      </c>
      <c r="I5010">
        <f>IF(F5010="","",INDEX(Deals!$D$2:$D$843,F5010))</f>
        <v/>
      </c>
      <c r="J5010">
        <f>IF(F5010="","",INT(H5010)-B5010)</f>
        <v/>
      </c>
      <c r="K5010">
        <f>IF(B5010&gt;=Settings!$C$5,1,0)</f>
        <v/>
      </c>
    </row>
    <row r="5011">
      <c r="A5011" t="inlineStr">
        <is>
          <t>8497a1cc70f42de1ab3d4ed57d54ff83</t>
        </is>
      </c>
      <c r="B5011" s="29" t="n">
        <v>42961</v>
      </c>
      <c r="C5011" t="inlineStr">
        <is>
          <t>2017-08</t>
        </is>
      </c>
      <c r="D5011" t="inlineStr">
        <is>
          <t>8d25d9ae4ed5f78b8614b81350173e99</t>
        </is>
      </c>
      <c r="E5011" t="inlineStr">
        <is>
          <t>paid_search</t>
        </is>
      </c>
      <c r="F5011">
        <f>IFERROR(MATCH(A5011,Deals!$A$2:$A$843,0),"")</f>
        <v/>
      </c>
      <c r="G5011">
        <f>IF(F5011="",0,1)</f>
        <v/>
      </c>
      <c r="H5011" s="29">
        <f>IF(F5011="","",INDEX(Deals!$E$2:$E$843,F5011))</f>
        <v/>
      </c>
      <c r="I5011">
        <f>IF(F5011="","",INDEX(Deals!$D$2:$D$843,F5011))</f>
        <v/>
      </c>
      <c r="J5011">
        <f>IF(F5011="","",INT(H5011)-B5011)</f>
        <v/>
      </c>
      <c r="K5011">
        <f>IF(B5011&gt;=Settings!$C$5,1,0)</f>
        <v/>
      </c>
    </row>
    <row r="5012">
      <c r="A5012" t="inlineStr">
        <is>
          <t>6de138653a359bbbc1d392d52fa333e6</t>
        </is>
      </c>
      <c r="B5012" s="29" t="n">
        <v>42941</v>
      </c>
      <c r="C5012" t="inlineStr">
        <is>
          <t>2017-07</t>
        </is>
      </c>
      <c r="D5012" t="inlineStr">
        <is>
          <t>b76ef37428e6799c421989521c0e5077</t>
        </is>
      </c>
      <c r="E5012" t="inlineStr">
        <is>
          <t>unknown</t>
        </is>
      </c>
      <c r="F5012">
        <f>IFERROR(MATCH(A5012,Deals!$A$2:$A$843,0),"")</f>
        <v/>
      </c>
      <c r="G5012">
        <f>IF(F5012="",0,1)</f>
        <v/>
      </c>
      <c r="H5012" s="29">
        <f>IF(F5012="","",INDEX(Deals!$E$2:$E$843,F5012))</f>
        <v/>
      </c>
      <c r="I5012">
        <f>IF(F5012="","",INDEX(Deals!$D$2:$D$843,F5012))</f>
        <v/>
      </c>
      <c r="J5012">
        <f>IF(F5012="","",INT(H5012)-B5012)</f>
        <v/>
      </c>
      <c r="K5012">
        <f>IF(B5012&gt;=Settings!$C$5,1,0)</f>
        <v/>
      </c>
    </row>
    <row r="5013">
      <c r="A5013" t="inlineStr">
        <is>
          <t>20e06ccf8995288d032238847b531adb</t>
        </is>
      </c>
      <c r="B5013" s="29" t="n">
        <v>43172</v>
      </c>
      <c r="C5013" t="inlineStr">
        <is>
          <t>2018-03</t>
        </is>
      </c>
      <c r="D5013" t="inlineStr">
        <is>
          <t>e492ee5eaf1697716985cc6f33f9cd9b</t>
        </is>
      </c>
      <c r="E5013" t="inlineStr">
        <is>
          <t>direct_traffic</t>
        </is>
      </c>
      <c r="F5013">
        <f>IFERROR(MATCH(A5013,Deals!$A$2:$A$843,0),"")</f>
        <v/>
      </c>
      <c r="G5013">
        <f>IF(F5013="",0,1)</f>
        <v/>
      </c>
      <c r="H5013" s="29">
        <f>IF(F5013="","",INDEX(Deals!$E$2:$E$843,F5013))</f>
        <v/>
      </c>
      <c r="I5013">
        <f>IF(F5013="","",INDEX(Deals!$D$2:$D$843,F5013))</f>
        <v/>
      </c>
      <c r="J5013">
        <f>IF(F5013="","",INT(H5013)-B5013)</f>
        <v/>
      </c>
      <c r="K5013">
        <f>IF(B5013&gt;=Settings!$C$5,1,0)</f>
        <v/>
      </c>
    </row>
    <row r="5014">
      <c r="A5014" t="inlineStr">
        <is>
          <t>ab62bfb723e1c716bbb98005b47df372</t>
        </is>
      </c>
      <c r="B5014" s="29" t="n">
        <v>43159</v>
      </c>
      <c r="C5014" t="inlineStr">
        <is>
          <t>2018-02</t>
        </is>
      </c>
      <c r="D5014" t="inlineStr">
        <is>
          <t>f98c2bd96ac4a5d9476734e790c91384</t>
        </is>
      </c>
      <c r="E5014" t="inlineStr">
        <is>
          <t>paid_search</t>
        </is>
      </c>
      <c r="F5014">
        <f>IFERROR(MATCH(A5014,Deals!$A$2:$A$843,0),"")</f>
        <v/>
      </c>
      <c r="G5014">
        <f>IF(F5014="",0,1)</f>
        <v/>
      </c>
      <c r="H5014" s="29">
        <f>IF(F5014="","",INDEX(Deals!$E$2:$E$843,F5014))</f>
        <v/>
      </c>
      <c r="I5014">
        <f>IF(F5014="","",INDEX(Deals!$D$2:$D$843,F5014))</f>
        <v/>
      </c>
      <c r="J5014">
        <f>IF(F5014="","",INT(H5014)-B5014)</f>
        <v/>
      </c>
      <c r="K5014">
        <f>IF(B5014&gt;=Settings!$C$5,1,0)</f>
        <v/>
      </c>
    </row>
    <row r="5015">
      <c r="A5015" t="inlineStr">
        <is>
          <t>e28d0039d7a780948b4c5b8400671f94</t>
        </is>
      </c>
      <c r="B5015" s="29" t="n">
        <v>43146</v>
      </c>
      <c r="C5015" t="inlineStr">
        <is>
          <t>2018-02</t>
        </is>
      </c>
      <c r="D5015" t="inlineStr">
        <is>
          <t>5342a9e3497ac934ce6a4e62086cfcca</t>
        </is>
      </c>
      <c r="E5015" t="inlineStr">
        <is>
          <t>organic_search</t>
        </is>
      </c>
      <c r="F5015">
        <f>IFERROR(MATCH(A5015,Deals!$A$2:$A$843,0),"")</f>
        <v/>
      </c>
      <c r="G5015">
        <f>IF(F5015="",0,1)</f>
        <v/>
      </c>
      <c r="H5015" s="29">
        <f>IF(F5015="","",INDEX(Deals!$E$2:$E$843,F5015))</f>
        <v/>
      </c>
      <c r="I5015">
        <f>IF(F5015="","",INDEX(Deals!$D$2:$D$843,F5015))</f>
        <v/>
      </c>
      <c r="J5015">
        <f>IF(F5015="","",INT(H5015)-B5015)</f>
        <v/>
      </c>
      <c r="K5015">
        <f>IF(B5015&gt;=Settings!$C$5,1,0)</f>
        <v/>
      </c>
    </row>
    <row r="5016">
      <c r="A5016" t="inlineStr">
        <is>
          <t>89922c835b50167ccb792746cb8b1d34</t>
        </is>
      </c>
      <c r="B5016" s="29" t="n">
        <v>43161</v>
      </c>
      <c r="C5016" t="inlineStr">
        <is>
          <t>2018-03</t>
        </is>
      </c>
      <c r="D5016" t="inlineStr">
        <is>
          <t>b76ef37428e6799c421989521c0e5077</t>
        </is>
      </c>
      <c r="E5016" t="inlineStr">
        <is>
          <t>unknown</t>
        </is>
      </c>
      <c r="F5016">
        <f>IFERROR(MATCH(A5016,Deals!$A$2:$A$843,0),"")</f>
        <v/>
      </c>
      <c r="G5016">
        <f>IF(F5016="",0,1)</f>
        <v/>
      </c>
      <c r="H5016" s="29">
        <f>IF(F5016="","",INDEX(Deals!$E$2:$E$843,F5016))</f>
        <v/>
      </c>
      <c r="I5016">
        <f>IF(F5016="","",INDEX(Deals!$D$2:$D$843,F5016))</f>
        <v/>
      </c>
      <c r="J5016">
        <f>IF(F5016="","",INT(H5016)-B5016)</f>
        <v/>
      </c>
      <c r="K5016">
        <f>IF(B5016&gt;=Settings!$C$5,1,0)</f>
        <v/>
      </c>
    </row>
    <row r="5017">
      <c r="A5017" t="inlineStr">
        <is>
          <t>eecb123d97c7bcdacb57163d01b01055</t>
        </is>
      </c>
      <c r="B5017" s="29" t="n">
        <v>43108</v>
      </c>
      <c r="C5017" t="inlineStr">
        <is>
          <t>2018-01</t>
        </is>
      </c>
      <c r="D5017" t="inlineStr">
        <is>
          <t>ce1a65abd0973638f1c887a6efcfa82d</t>
        </is>
      </c>
      <c r="E5017" t="inlineStr">
        <is>
          <t>organic_search</t>
        </is>
      </c>
      <c r="F5017">
        <f>IFERROR(MATCH(A5017,Deals!$A$2:$A$843,0),"")</f>
        <v/>
      </c>
      <c r="G5017">
        <f>IF(F5017="",0,1)</f>
        <v/>
      </c>
      <c r="H5017" s="29">
        <f>IF(F5017="","",INDEX(Deals!$E$2:$E$843,F5017))</f>
        <v/>
      </c>
      <c r="I5017">
        <f>IF(F5017="","",INDEX(Deals!$D$2:$D$843,F5017))</f>
        <v/>
      </c>
      <c r="J5017">
        <f>IF(F5017="","",INT(H5017)-B5017)</f>
        <v/>
      </c>
      <c r="K5017">
        <f>IF(B5017&gt;=Settings!$C$5,1,0)</f>
        <v/>
      </c>
    </row>
    <row r="5018">
      <c r="A5018" t="inlineStr">
        <is>
          <t>dcee66ccb49a492ae42c446c0cc01b3a</t>
        </is>
      </c>
      <c r="B5018" s="29" t="n">
        <v>43133</v>
      </c>
      <c r="C5018" t="inlineStr">
        <is>
          <t>2018-02</t>
        </is>
      </c>
      <c r="D5018" t="inlineStr">
        <is>
          <t>0f7f8ed9a1db8fc2a42e273972db10d4</t>
        </is>
      </c>
      <c r="E5018" t="inlineStr">
        <is>
          <t>paid_search</t>
        </is>
      </c>
      <c r="F5018">
        <f>IFERROR(MATCH(A5018,Deals!$A$2:$A$843,0),"")</f>
        <v/>
      </c>
      <c r="G5018">
        <f>IF(F5018="",0,1)</f>
        <v/>
      </c>
      <c r="H5018" s="29">
        <f>IF(F5018="","",INDEX(Deals!$E$2:$E$843,F5018))</f>
        <v/>
      </c>
      <c r="I5018">
        <f>IF(F5018="","",INDEX(Deals!$D$2:$D$843,F5018))</f>
        <v/>
      </c>
      <c r="J5018">
        <f>IF(F5018="","",INT(H5018)-B5018)</f>
        <v/>
      </c>
      <c r="K5018">
        <f>IF(B5018&gt;=Settings!$C$5,1,0)</f>
        <v/>
      </c>
    </row>
    <row r="5019">
      <c r="A5019" t="inlineStr">
        <is>
          <t>499d9afe5b4f88f2585fbff224d8c0f5</t>
        </is>
      </c>
      <c r="B5019" s="29" t="n">
        <v>43194</v>
      </c>
      <c r="C5019" t="inlineStr">
        <is>
          <t>2018-04</t>
        </is>
      </c>
      <c r="D5019" t="inlineStr">
        <is>
          <t>22c29808c4f815213303f8933030604c</t>
        </is>
      </c>
      <c r="E5019" t="inlineStr">
        <is>
          <t>organic_search</t>
        </is>
      </c>
      <c r="F5019">
        <f>IFERROR(MATCH(A5019,Deals!$A$2:$A$843,0),"")</f>
        <v/>
      </c>
      <c r="G5019">
        <f>IF(F5019="",0,1)</f>
        <v/>
      </c>
      <c r="H5019" s="29">
        <f>IF(F5019="","",INDEX(Deals!$E$2:$E$843,F5019))</f>
        <v/>
      </c>
      <c r="I5019">
        <f>IF(F5019="","",INDEX(Deals!$D$2:$D$843,F5019))</f>
        <v/>
      </c>
      <c r="J5019">
        <f>IF(F5019="","",INT(H5019)-B5019)</f>
        <v/>
      </c>
      <c r="K5019">
        <f>IF(B5019&gt;=Settings!$C$5,1,0)</f>
        <v/>
      </c>
    </row>
    <row r="5020">
      <c r="A5020" t="inlineStr">
        <is>
          <t>6709b9b30a5de8dedc4c345249c2076e</t>
        </is>
      </c>
      <c r="B5020" s="29" t="n">
        <v>43239</v>
      </c>
      <c r="C5020" t="inlineStr">
        <is>
          <t>2018-05</t>
        </is>
      </c>
      <c r="D5020" t="inlineStr">
        <is>
          <t>42a2a1be58277f162c18bad69bcc544f</t>
        </is>
      </c>
      <c r="E5020" t="inlineStr">
        <is>
          <t>display</t>
        </is>
      </c>
      <c r="F5020">
        <f>IFERROR(MATCH(A5020,Deals!$A$2:$A$843,0),"")</f>
        <v/>
      </c>
      <c r="G5020">
        <f>IF(F5020="",0,1)</f>
        <v/>
      </c>
      <c r="H5020" s="29">
        <f>IF(F5020="","",INDEX(Deals!$E$2:$E$843,F5020))</f>
        <v/>
      </c>
      <c r="I5020">
        <f>IF(F5020="","",INDEX(Deals!$D$2:$D$843,F5020))</f>
        <v/>
      </c>
      <c r="J5020">
        <f>IF(F5020="","",INT(H5020)-B5020)</f>
        <v/>
      </c>
      <c r="K5020">
        <f>IF(B5020&gt;=Settings!$C$5,1,0)</f>
        <v/>
      </c>
    </row>
    <row r="5021">
      <c r="A5021" t="inlineStr">
        <is>
          <t>8f7a73fe6b9682ff2ad7400c0744a043</t>
        </is>
      </c>
      <c r="B5021" s="29" t="n">
        <v>43228</v>
      </c>
      <c r="C5021" t="inlineStr">
        <is>
          <t>2018-05</t>
        </is>
      </c>
      <c r="D5021" t="inlineStr">
        <is>
          <t>f017be4dbf86243af5c1ebed0cff36a2</t>
        </is>
      </c>
      <c r="E5021" t="inlineStr">
        <is>
          <t>organic_search</t>
        </is>
      </c>
      <c r="F5021">
        <f>IFERROR(MATCH(A5021,Deals!$A$2:$A$843,0),"")</f>
        <v/>
      </c>
      <c r="G5021">
        <f>IF(F5021="",0,1)</f>
        <v/>
      </c>
      <c r="H5021" s="29">
        <f>IF(F5021="","",INDEX(Deals!$E$2:$E$843,F5021))</f>
        <v/>
      </c>
      <c r="I5021">
        <f>IF(F5021="","",INDEX(Deals!$D$2:$D$843,F5021))</f>
        <v/>
      </c>
      <c r="J5021">
        <f>IF(F5021="","",INT(H5021)-B5021)</f>
        <v/>
      </c>
      <c r="K5021">
        <f>IF(B5021&gt;=Settings!$C$5,1,0)</f>
        <v/>
      </c>
    </row>
    <row r="5022">
      <c r="A5022" t="inlineStr">
        <is>
          <t>6ffd0a7e2060229ac8e4b94807767abe</t>
        </is>
      </c>
      <c r="B5022" s="29" t="n">
        <v>43236</v>
      </c>
      <c r="C5022" t="inlineStr">
        <is>
          <t>2018-05</t>
        </is>
      </c>
      <c r="D5022" t="inlineStr">
        <is>
          <t>58326e62183c14b0c03085c33b9fdc44</t>
        </is>
      </c>
      <c r="E5022" t="inlineStr">
        <is>
          <t>social</t>
        </is>
      </c>
      <c r="F5022">
        <f>IFERROR(MATCH(A5022,Deals!$A$2:$A$843,0),"")</f>
        <v/>
      </c>
      <c r="G5022">
        <f>IF(F5022="",0,1)</f>
        <v/>
      </c>
      <c r="H5022" s="29">
        <f>IF(F5022="","",INDEX(Deals!$E$2:$E$843,F5022))</f>
        <v/>
      </c>
      <c r="I5022">
        <f>IF(F5022="","",INDEX(Deals!$D$2:$D$843,F5022))</f>
        <v/>
      </c>
      <c r="J5022">
        <f>IF(F5022="","",INT(H5022)-B5022)</f>
        <v/>
      </c>
      <c r="K5022">
        <f>IF(B5022&gt;=Settings!$C$5,1,0)</f>
        <v/>
      </c>
    </row>
    <row r="5023">
      <c r="A5023" t="inlineStr">
        <is>
          <t>480d0c9cb2cc4ac70a9a55cfab1118c8</t>
        </is>
      </c>
      <c r="B5023" s="29" t="n">
        <v>42921</v>
      </c>
      <c r="C5023" t="inlineStr">
        <is>
          <t>2017-07</t>
        </is>
      </c>
      <c r="D5023" t="inlineStr">
        <is>
          <t>3c46fdd071e979b10c7a2ccc395e72f0</t>
        </is>
      </c>
      <c r="E5023" t="inlineStr">
        <is>
          <t>unknown</t>
        </is>
      </c>
      <c r="F5023">
        <f>IFERROR(MATCH(A5023,Deals!$A$2:$A$843,0),"")</f>
        <v/>
      </c>
      <c r="G5023">
        <f>IF(F5023="",0,1)</f>
        <v/>
      </c>
      <c r="H5023" s="29">
        <f>IF(F5023="","",INDEX(Deals!$E$2:$E$843,F5023))</f>
        <v/>
      </c>
      <c r="I5023">
        <f>IF(F5023="","",INDEX(Deals!$D$2:$D$843,F5023))</f>
        <v/>
      </c>
      <c r="J5023">
        <f>IF(F5023="","",INT(H5023)-B5023)</f>
        <v/>
      </c>
      <c r="K5023">
        <f>IF(B5023&gt;=Settings!$C$5,1,0)</f>
        <v/>
      </c>
    </row>
    <row r="5024">
      <c r="A5024" t="inlineStr">
        <is>
          <t>19ffc09943f1dffb251cef5a0b71c183</t>
        </is>
      </c>
      <c r="B5024" s="29" t="n">
        <v>43213</v>
      </c>
      <c r="C5024" t="inlineStr">
        <is>
          <t>2018-04</t>
        </is>
      </c>
      <c r="D5024" t="inlineStr">
        <is>
          <t>5dc848e7dd9418dffe183215b8ff0bc1</t>
        </is>
      </c>
      <c r="E5024" t="inlineStr">
        <is>
          <t>paid_search</t>
        </is>
      </c>
      <c r="F5024">
        <f>IFERROR(MATCH(A5024,Deals!$A$2:$A$843,0),"")</f>
        <v/>
      </c>
      <c r="G5024">
        <f>IF(F5024="",0,1)</f>
        <v/>
      </c>
      <c r="H5024" s="29">
        <f>IF(F5024="","",INDEX(Deals!$E$2:$E$843,F5024))</f>
        <v/>
      </c>
      <c r="I5024">
        <f>IF(F5024="","",INDEX(Deals!$D$2:$D$843,F5024))</f>
        <v/>
      </c>
      <c r="J5024">
        <f>IF(F5024="","",INT(H5024)-B5024)</f>
        <v/>
      </c>
      <c r="K5024">
        <f>IF(B5024&gt;=Settings!$C$5,1,0)</f>
        <v/>
      </c>
    </row>
    <row r="5025">
      <c r="A5025" t="inlineStr">
        <is>
          <t>3b0399840bb107f5895b874334708610</t>
        </is>
      </c>
      <c r="B5025" s="29" t="n">
        <v>43242</v>
      </c>
      <c r="C5025" t="inlineStr">
        <is>
          <t>2018-05</t>
        </is>
      </c>
      <c r="D5025" t="inlineStr">
        <is>
          <t>7fa6214d82e911d070f51ef79381b956</t>
        </is>
      </c>
      <c r="E5025" t="inlineStr">
        <is>
          <t>direct_traffic</t>
        </is>
      </c>
      <c r="F5025">
        <f>IFERROR(MATCH(A5025,Deals!$A$2:$A$843,0),"")</f>
        <v/>
      </c>
      <c r="G5025">
        <f>IF(F5025="",0,1)</f>
        <v/>
      </c>
      <c r="H5025" s="29">
        <f>IF(F5025="","",INDEX(Deals!$E$2:$E$843,F5025))</f>
        <v/>
      </c>
      <c r="I5025">
        <f>IF(F5025="","",INDEX(Deals!$D$2:$D$843,F5025))</f>
        <v/>
      </c>
      <c r="J5025">
        <f>IF(F5025="","",INT(H5025)-B5025)</f>
        <v/>
      </c>
      <c r="K5025">
        <f>IF(B5025&gt;=Settings!$C$5,1,0)</f>
        <v/>
      </c>
    </row>
    <row r="5026">
      <c r="A5026" t="inlineStr">
        <is>
          <t>4a357e43fba47afd6d96c6f6524ade53</t>
        </is>
      </c>
      <c r="B5026" s="29" t="n">
        <v>43139</v>
      </c>
      <c r="C5026" t="inlineStr">
        <is>
          <t>2018-02</t>
        </is>
      </c>
      <c r="D5026" t="inlineStr">
        <is>
          <t>40dec9f3d5259a3d2dbcdab2114fae47</t>
        </is>
      </c>
      <c r="E5026" t="inlineStr">
        <is>
          <t>paid_search</t>
        </is>
      </c>
      <c r="F5026">
        <f>IFERROR(MATCH(A5026,Deals!$A$2:$A$843,0),"")</f>
        <v/>
      </c>
      <c r="G5026">
        <f>IF(F5026="",0,1)</f>
        <v/>
      </c>
      <c r="H5026" s="29">
        <f>IF(F5026="","",INDEX(Deals!$E$2:$E$843,F5026))</f>
        <v/>
      </c>
      <c r="I5026">
        <f>IF(F5026="","",INDEX(Deals!$D$2:$D$843,F5026))</f>
        <v/>
      </c>
      <c r="J5026">
        <f>IF(F5026="","",INT(H5026)-B5026)</f>
        <v/>
      </c>
      <c r="K5026">
        <f>IF(B5026&gt;=Settings!$C$5,1,0)</f>
        <v/>
      </c>
    </row>
    <row r="5027">
      <c r="A5027" t="inlineStr">
        <is>
          <t>a05f9cec1aa039d415da43958c85af8e</t>
        </is>
      </c>
      <c r="B5027" s="29" t="n">
        <v>43211</v>
      </c>
      <c r="C5027" t="inlineStr">
        <is>
          <t>2018-04</t>
        </is>
      </c>
      <c r="D5027" t="inlineStr">
        <is>
          <t>22c29808c4f815213303f8933030604c</t>
        </is>
      </c>
      <c r="E5027" t="inlineStr">
        <is>
          <t>direct_traffic</t>
        </is>
      </c>
      <c r="F5027">
        <f>IFERROR(MATCH(A5027,Deals!$A$2:$A$843,0),"")</f>
        <v/>
      </c>
      <c r="G5027">
        <f>IF(F5027="",0,1)</f>
        <v/>
      </c>
      <c r="H5027" s="29">
        <f>IF(F5027="","",INDEX(Deals!$E$2:$E$843,F5027))</f>
        <v/>
      </c>
      <c r="I5027">
        <f>IF(F5027="","",INDEX(Deals!$D$2:$D$843,F5027))</f>
        <v/>
      </c>
      <c r="J5027">
        <f>IF(F5027="","",INT(H5027)-B5027)</f>
        <v/>
      </c>
      <c r="K5027">
        <f>IF(B5027&gt;=Settings!$C$5,1,0)</f>
        <v/>
      </c>
    </row>
    <row r="5028">
      <c r="A5028" t="inlineStr">
        <is>
          <t>fceb58eea3ffda92cf9ab32fd9e5fe0d</t>
        </is>
      </c>
      <c r="B5028" s="29" t="n">
        <v>43181</v>
      </c>
      <c r="C5028" t="inlineStr">
        <is>
          <t>2018-03</t>
        </is>
      </c>
      <c r="D5028" t="inlineStr">
        <is>
          <t>e492ee5eaf1697716985cc6f33f9cd9b</t>
        </is>
      </c>
      <c r="E5028" t="inlineStr">
        <is>
          <t>organic_search</t>
        </is>
      </c>
      <c r="F5028">
        <f>IFERROR(MATCH(A5028,Deals!$A$2:$A$843,0),"")</f>
        <v/>
      </c>
      <c r="G5028">
        <f>IF(F5028="",0,1)</f>
        <v/>
      </c>
      <c r="H5028" s="29">
        <f>IF(F5028="","",INDEX(Deals!$E$2:$E$843,F5028))</f>
        <v/>
      </c>
      <c r="I5028">
        <f>IF(F5028="","",INDEX(Deals!$D$2:$D$843,F5028))</f>
        <v/>
      </c>
      <c r="J5028">
        <f>IF(F5028="","",INT(H5028)-B5028)</f>
        <v/>
      </c>
      <c r="K5028">
        <f>IF(B5028&gt;=Settings!$C$5,1,0)</f>
        <v/>
      </c>
    </row>
    <row r="5029">
      <c r="A5029" t="inlineStr">
        <is>
          <t>18a6f803b524a418072e40aca987971a</t>
        </is>
      </c>
      <c r="B5029" s="29" t="n">
        <v>43170</v>
      </c>
      <c r="C5029" t="inlineStr">
        <is>
          <t>2018-03</t>
        </is>
      </c>
      <c r="D5029" t="inlineStr">
        <is>
          <t>88740e65d5d6b056e0cda098e1ea6313</t>
        </is>
      </c>
      <c r="E5029" t="inlineStr">
        <is>
          <t>social</t>
        </is>
      </c>
      <c r="F5029">
        <f>IFERROR(MATCH(A5029,Deals!$A$2:$A$843,0),"")</f>
        <v/>
      </c>
      <c r="G5029">
        <f>IF(F5029="",0,1)</f>
        <v/>
      </c>
      <c r="H5029" s="29">
        <f>IF(F5029="","",INDEX(Deals!$E$2:$E$843,F5029))</f>
        <v/>
      </c>
      <c r="I5029">
        <f>IF(F5029="","",INDEX(Deals!$D$2:$D$843,F5029))</f>
        <v/>
      </c>
      <c r="J5029">
        <f>IF(F5029="","",INT(H5029)-B5029)</f>
        <v/>
      </c>
      <c r="K5029">
        <f>IF(B5029&gt;=Settings!$C$5,1,0)</f>
        <v/>
      </c>
    </row>
    <row r="5030">
      <c r="A5030" t="inlineStr">
        <is>
          <t>db9ac3a65676e73044ba7e4cecf5f665</t>
        </is>
      </c>
      <c r="B5030" s="29" t="n">
        <v>43033</v>
      </c>
      <c r="C5030" t="inlineStr">
        <is>
          <t>2017-10</t>
        </is>
      </c>
      <c r="D5030" t="inlineStr">
        <is>
          <t>b76ef37428e6799c421989521c0e5077</t>
        </is>
      </c>
      <c r="E5030" t="inlineStr">
        <is>
          <t>unknown</t>
        </is>
      </c>
      <c r="F5030">
        <f>IFERROR(MATCH(A5030,Deals!$A$2:$A$843,0),"")</f>
        <v/>
      </c>
      <c r="G5030">
        <f>IF(F5030="",0,1)</f>
        <v/>
      </c>
      <c r="H5030" s="29">
        <f>IF(F5030="","",INDEX(Deals!$E$2:$E$843,F5030))</f>
        <v/>
      </c>
      <c r="I5030">
        <f>IF(F5030="","",INDEX(Deals!$D$2:$D$843,F5030))</f>
        <v/>
      </c>
      <c r="J5030">
        <f>IF(F5030="","",INT(H5030)-B5030)</f>
        <v/>
      </c>
      <c r="K5030">
        <f>IF(B5030&gt;=Settings!$C$5,1,0)</f>
        <v/>
      </c>
    </row>
    <row r="5031">
      <c r="A5031" t="inlineStr">
        <is>
          <t>c30671584190a925103ec62a394de6ad</t>
        </is>
      </c>
      <c r="B5031" s="29" t="n">
        <v>43243</v>
      </c>
      <c r="C5031" t="inlineStr">
        <is>
          <t>2018-05</t>
        </is>
      </c>
      <c r="D5031" t="inlineStr">
        <is>
          <t>2f08471dfb83baef522f952438a36f6e</t>
        </is>
      </c>
      <c r="E5031" t="inlineStr">
        <is>
          <t>organic_search</t>
        </is>
      </c>
      <c r="F5031">
        <f>IFERROR(MATCH(A5031,Deals!$A$2:$A$843,0),"")</f>
        <v/>
      </c>
      <c r="G5031">
        <f>IF(F5031="",0,1)</f>
        <v/>
      </c>
      <c r="H5031" s="29">
        <f>IF(F5031="","",INDEX(Deals!$E$2:$E$843,F5031))</f>
        <v/>
      </c>
      <c r="I5031">
        <f>IF(F5031="","",INDEX(Deals!$D$2:$D$843,F5031))</f>
        <v/>
      </c>
      <c r="J5031">
        <f>IF(F5031="","",INT(H5031)-B5031)</f>
        <v/>
      </c>
      <c r="K5031">
        <f>IF(B5031&gt;=Settings!$C$5,1,0)</f>
        <v/>
      </c>
    </row>
    <row r="5032">
      <c r="A5032" t="inlineStr">
        <is>
          <t>9804911810c0dd6d53af460e8ef34811</t>
        </is>
      </c>
      <c r="B5032" s="29" t="n">
        <v>43096</v>
      </c>
      <c r="C5032" t="inlineStr">
        <is>
          <t>2017-12</t>
        </is>
      </c>
      <c r="D5032" t="inlineStr">
        <is>
          <t>40dec9f3d5259a3d2dbcdab2114fae47</t>
        </is>
      </c>
      <c r="E5032" t="inlineStr">
        <is>
          <t>paid_search</t>
        </is>
      </c>
      <c r="F5032">
        <f>IFERROR(MATCH(A5032,Deals!$A$2:$A$843,0),"")</f>
        <v/>
      </c>
      <c r="G5032">
        <f>IF(F5032="",0,1)</f>
        <v/>
      </c>
      <c r="H5032" s="29">
        <f>IF(F5032="","",INDEX(Deals!$E$2:$E$843,F5032))</f>
        <v/>
      </c>
      <c r="I5032">
        <f>IF(F5032="","",INDEX(Deals!$D$2:$D$843,F5032))</f>
        <v/>
      </c>
      <c r="J5032">
        <f>IF(F5032="","",INT(H5032)-B5032)</f>
        <v/>
      </c>
      <c r="K5032">
        <f>IF(B5032&gt;=Settings!$C$5,1,0)</f>
        <v/>
      </c>
    </row>
    <row r="5033">
      <c r="A5033" t="inlineStr">
        <is>
          <t>cf9ad2ca65265e31795644dfe32958db</t>
        </is>
      </c>
      <c r="B5033" s="29" t="n">
        <v>43138</v>
      </c>
      <c r="C5033" t="inlineStr">
        <is>
          <t>2018-02</t>
        </is>
      </c>
      <c r="D5033" t="inlineStr">
        <is>
          <t>d83b0d0e48c8447d1d5507a44027a955</t>
        </is>
      </c>
      <c r="E5033" t="inlineStr">
        <is>
          <t>paid_search</t>
        </is>
      </c>
      <c r="F5033">
        <f>IFERROR(MATCH(A5033,Deals!$A$2:$A$843,0),"")</f>
        <v/>
      </c>
      <c r="G5033">
        <f>IF(F5033="",0,1)</f>
        <v/>
      </c>
      <c r="H5033" s="29">
        <f>IF(F5033="","",INDEX(Deals!$E$2:$E$843,F5033))</f>
        <v/>
      </c>
      <c r="I5033">
        <f>IF(F5033="","",INDEX(Deals!$D$2:$D$843,F5033))</f>
        <v/>
      </c>
      <c r="J5033">
        <f>IF(F5033="","",INT(H5033)-B5033)</f>
        <v/>
      </c>
      <c r="K5033">
        <f>IF(B5033&gt;=Settings!$C$5,1,0)</f>
        <v/>
      </c>
    </row>
    <row r="5034">
      <c r="A5034" t="inlineStr">
        <is>
          <t>57cc530f74e4507c2c21808dfb840ae4</t>
        </is>
      </c>
      <c r="B5034" s="29" t="n">
        <v>43248</v>
      </c>
      <c r="C5034" t="inlineStr">
        <is>
          <t>2018-05</t>
        </is>
      </c>
      <c r="D5034" t="inlineStr">
        <is>
          <t>ef8fd2bd651e9bede81dfb6e45480793</t>
        </is>
      </c>
      <c r="E5034" t="inlineStr">
        <is>
          <t>unknown</t>
        </is>
      </c>
      <c r="F5034">
        <f>IFERROR(MATCH(A5034,Deals!$A$2:$A$843,0),"")</f>
        <v/>
      </c>
      <c r="G5034">
        <f>IF(F5034="",0,1)</f>
        <v/>
      </c>
      <c r="H5034" s="29">
        <f>IF(F5034="","",INDEX(Deals!$E$2:$E$843,F5034))</f>
        <v/>
      </c>
      <c r="I5034">
        <f>IF(F5034="","",INDEX(Deals!$D$2:$D$843,F5034))</f>
        <v/>
      </c>
      <c r="J5034">
        <f>IF(F5034="","",INT(H5034)-B5034)</f>
        <v/>
      </c>
      <c r="K5034">
        <f>IF(B5034&gt;=Settings!$C$5,1,0)</f>
        <v/>
      </c>
    </row>
    <row r="5035">
      <c r="A5035" t="inlineStr">
        <is>
          <t>63d196328512c582293ce6c845521bb6</t>
        </is>
      </c>
      <c r="B5035" s="29" t="n">
        <v>43034</v>
      </c>
      <c r="C5035" t="inlineStr">
        <is>
          <t>2017-10</t>
        </is>
      </c>
      <c r="D5035" t="inlineStr">
        <is>
          <t>4aab772aeb9833c170d8ea5413e02eac</t>
        </is>
      </c>
      <c r="E5035" t="inlineStr">
        <is>
          <t>paid_search</t>
        </is>
      </c>
      <c r="F5035">
        <f>IFERROR(MATCH(A5035,Deals!$A$2:$A$843,0),"")</f>
        <v/>
      </c>
      <c r="G5035">
        <f>IF(F5035="",0,1)</f>
        <v/>
      </c>
      <c r="H5035" s="29">
        <f>IF(F5035="","",INDEX(Deals!$E$2:$E$843,F5035))</f>
        <v/>
      </c>
      <c r="I5035">
        <f>IF(F5035="","",INDEX(Deals!$D$2:$D$843,F5035))</f>
        <v/>
      </c>
      <c r="J5035">
        <f>IF(F5035="","",INT(H5035)-B5035)</f>
        <v/>
      </c>
      <c r="K5035">
        <f>IF(B5035&gt;=Settings!$C$5,1,0)</f>
        <v/>
      </c>
    </row>
    <row r="5036">
      <c r="A5036" t="inlineStr">
        <is>
          <t>cd60cded04fede4abccff6e0dea36f6e</t>
        </is>
      </c>
      <c r="B5036" s="29" t="n">
        <v>43148</v>
      </c>
      <c r="C5036" t="inlineStr">
        <is>
          <t>2018-02</t>
        </is>
      </c>
      <c r="D5036" t="inlineStr">
        <is>
          <t>22c29808c4f815213303f8933030604c</t>
        </is>
      </c>
      <c r="E5036" t="inlineStr">
        <is>
          <t>organic_search</t>
        </is>
      </c>
      <c r="F5036">
        <f>IFERROR(MATCH(A5036,Deals!$A$2:$A$843,0),"")</f>
        <v/>
      </c>
      <c r="G5036">
        <f>IF(F5036="",0,1)</f>
        <v/>
      </c>
      <c r="H5036" s="29">
        <f>IF(F5036="","",INDEX(Deals!$E$2:$E$843,F5036))</f>
        <v/>
      </c>
      <c r="I5036">
        <f>IF(F5036="","",INDEX(Deals!$D$2:$D$843,F5036))</f>
        <v/>
      </c>
      <c r="J5036">
        <f>IF(F5036="","",INT(H5036)-B5036)</f>
        <v/>
      </c>
      <c r="K5036">
        <f>IF(B5036&gt;=Settings!$C$5,1,0)</f>
        <v/>
      </c>
    </row>
    <row r="5037">
      <c r="A5037" t="inlineStr">
        <is>
          <t>899f8a1e3c79738fa39712ca986c88e7</t>
        </is>
      </c>
      <c r="B5037" s="29" t="n">
        <v>43147</v>
      </c>
      <c r="C5037" t="inlineStr">
        <is>
          <t>2018-02</t>
        </is>
      </c>
      <c r="D5037" t="inlineStr">
        <is>
          <t>65d9f9d71e562365e8b44037c2888d98</t>
        </is>
      </c>
      <c r="E5037" t="inlineStr">
        <is>
          <t>paid_search</t>
        </is>
      </c>
      <c r="F5037">
        <f>IFERROR(MATCH(A5037,Deals!$A$2:$A$843,0),"")</f>
        <v/>
      </c>
      <c r="G5037">
        <f>IF(F5037="",0,1)</f>
        <v/>
      </c>
      <c r="H5037" s="29">
        <f>IF(F5037="","",INDEX(Deals!$E$2:$E$843,F5037))</f>
        <v/>
      </c>
      <c r="I5037">
        <f>IF(F5037="","",INDEX(Deals!$D$2:$D$843,F5037))</f>
        <v/>
      </c>
      <c r="J5037">
        <f>IF(F5037="","",INT(H5037)-B5037)</f>
        <v/>
      </c>
      <c r="K5037">
        <f>IF(B5037&gt;=Settings!$C$5,1,0)</f>
        <v/>
      </c>
    </row>
    <row r="5038">
      <c r="A5038" t="inlineStr">
        <is>
          <t>18d30de5260b28e09faee73740f523d2</t>
        </is>
      </c>
      <c r="B5038" s="29" t="n">
        <v>43133</v>
      </c>
      <c r="C5038" t="inlineStr">
        <is>
          <t>2018-02</t>
        </is>
      </c>
      <c r="D5038" t="inlineStr">
        <is>
          <t>e492ee5eaf1697716985cc6f33f9cd9b</t>
        </is>
      </c>
      <c r="E5038" t="inlineStr">
        <is>
          <t>organic_search</t>
        </is>
      </c>
      <c r="F5038">
        <f>IFERROR(MATCH(A5038,Deals!$A$2:$A$843,0),"")</f>
        <v/>
      </c>
      <c r="G5038">
        <f>IF(F5038="",0,1)</f>
        <v/>
      </c>
      <c r="H5038" s="29">
        <f>IF(F5038="","",INDEX(Deals!$E$2:$E$843,F5038))</f>
        <v/>
      </c>
      <c r="I5038">
        <f>IF(F5038="","",INDEX(Deals!$D$2:$D$843,F5038))</f>
        <v/>
      </c>
      <c r="J5038">
        <f>IF(F5038="","",INT(H5038)-B5038)</f>
        <v/>
      </c>
      <c r="K5038">
        <f>IF(B5038&gt;=Settings!$C$5,1,0)</f>
        <v/>
      </c>
    </row>
    <row r="5039">
      <c r="A5039" t="inlineStr">
        <is>
          <t>6fd8a9e989f62bd98e7d20c2f81b1519</t>
        </is>
      </c>
      <c r="B5039" s="29" t="n">
        <v>43202</v>
      </c>
      <c r="C5039" t="inlineStr">
        <is>
          <t>2018-04</t>
        </is>
      </c>
      <c r="D5039" t="inlineStr">
        <is>
          <t>40dec9f3d5259a3d2dbcdab2114fae47</t>
        </is>
      </c>
      <c r="E5039" t="inlineStr">
        <is>
          <t>paid_search</t>
        </is>
      </c>
      <c r="F5039">
        <f>IFERROR(MATCH(A5039,Deals!$A$2:$A$843,0),"")</f>
        <v/>
      </c>
      <c r="G5039">
        <f>IF(F5039="",0,1)</f>
        <v/>
      </c>
      <c r="H5039" s="29">
        <f>IF(F5039="","",INDEX(Deals!$E$2:$E$843,F5039))</f>
        <v/>
      </c>
      <c r="I5039">
        <f>IF(F5039="","",INDEX(Deals!$D$2:$D$843,F5039))</f>
        <v/>
      </c>
      <c r="J5039">
        <f>IF(F5039="","",INT(H5039)-B5039)</f>
        <v/>
      </c>
      <c r="K5039">
        <f>IF(B5039&gt;=Settings!$C$5,1,0)</f>
        <v/>
      </c>
    </row>
    <row r="5040">
      <c r="A5040" t="inlineStr">
        <is>
          <t>2096a1e3206c02898f4cb287fbeac1cd</t>
        </is>
      </c>
      <c r="B5040" s="29" t="n">
        <v>43116</v>
      </c>
      <c r="C5040" t="inlineStr">
        <is>
          <t>2018-01</t>
        </is>
      </c>
      <c r="D5040" t="inlineStr">
        <is>
          <t>ce1a65abd0973638f1c887a6efcfa82d</t>
        </is>
      </c>
      <c r="E5040" t="inlineStr">
        <is>
          <t>unknown</t>
        </is>
      </c>
      <c r="F5040">
        <f>IFERROR(MATCH(A5040,Deals!$A$2:$A$843,0),"")</f>
        <v/>
      </c>
      <c r="G5040">
        <f>IF(F5040="",0,1)</f>
        <v/>
      </c>
      <c r="H5040" s="29">
        <f>IF(F5040="","",INDEX(Deals!$E$2:$E$843,F5040))</f>
        <v/>
      </c>
      <c r="I5040">
        <f>IF(F5040="","",INDEX(Deals!$D$2:$D$843,F5040))</f>
        <v/>
      </c>
      <c r="J5040">
        <f>IF(F5040="","",INT(H5040)-B5040)</f>
        <v/>
      </c>
      <c r="K5040">
        <f>IF(B5040&gt;=Settings!$C$5,1,0)</f>
        <v/>
      </c>
    </row>
    <row r="5041">
      <c r="A5041" t="inlineStr">
        <is>
          <t>b478e76e6a84df66dc6e89d7b03ac7dd</t>
        </is>
      </c>
      <c r="B5041" s="29" t="n">
        <v>43230</v>
      </c>
      <c r="C5041" t="inlineStr">
        <is>
          <t>2018-05</t>
        </is>
      </c>
      <c r="D5041" t="inlineStr">
        <is>
          <t>c0fb5b3c854a4b30334892c71faa13c2</t>
        </is>
      </c>
      <c r="E5041" t="inlineStr">
        <is>
          <t>unknown</t>
        </is>
      </c>
      <c r="F5041">
        <f>IFERROR(MATCH(A5041,Deals!$A$2:$A$843,0),"")</f>
        <v/>
      </c>
      <c r="G5041">
        <f>IF(F5041="",0,1)</f>
        <v/>
      </c>
      <c r="H5041" s="29">
        <f>IF(F5041="","",INDEX(Deals!$E$2:$E$843,F5041))</f>
        <v/>
      </c>
      <c r="I5041">
        <f>IF(F5041="","",INDEX(Deals!$D$2:$D$843,F5041))</f>
        <v/>
      </c>
      <c r="J5041">
        <f>IF(F5041="","",INT(H5041)-B5041)</f>
        <v/>
      </c>
      <c r="K5041">
        <f>IF(B5041&gt;=Settings!$C$5,1,0)</f>
        <v/>
      </c>
    </row>
    <row r="5042">
      <c r="A5042" t="inlineStr">
        <is>
          <t>4b56f7c0493648c3c0870c4e3edabd3a</t>
        </is>
      </c>
      <c r="B5042" s="29" t="n">
        <v>43216</v>
      </c>
      <c r="C5042" t="inlineStr">
        <is>
          <t>2018-04</t>
        </is>
      </c>
      <c r="D5042" t="inlineStr">
        <is>
          <t>b76ef37428e6799c421989521c0e5077</t>
        </is>
      </c>
      <c r="E5042" t="inlineStr">
        <is>
          <t>unknown</t>
        </is>
      </c>
      <c r="F5042">
        <f>IFERROR(MATCH(A5042,Deals!$A$2:$A$843,0),"")</f>
        <v/>
      </c>
      <c r="G5042">
        <f>IF(F5042="",0,1)</f>
        <v/>
      </c>
      <c r="H5042" s="29">
        <f>IF(F5042="","",INDEX(Deals!$E$2:$E$843,F5042))</f>
        <v/>
      </c>
      <c r="I5042">
        <f>IF(F5042="","",INDEX(Deals!$D$2:$D$843,F5042))</f>
        <v/>
      </c>
      <c r="J5042">
        <f>IF(F5042="","",INT(H5042)-B5042)</f>
        <v/>
      </c>
      <c r="K5042">
        <f>IF(B5042&gt;=Settings!$C$5,1,0)</f>
        <v/>
      </c>
    </row>
    <row r="5043">
      <c r="A5043" t="inlineStr">
        <is>
          <t>e03c43e6cfff88b9e06badf1de66b950</t>
        </is>
      </c>
      <c r="B5043" s="29" t="n">
        <v>43211</v>
      </c>
      <c r="C5043" t="inlineStr">
        <is>
          <t>2018-04</t>
        </is>
      </c>
      <c r="D5043" t="inlineStr">
        <is>
          <t>0b353d6bc27566f1d238313c33d95f56</t>
        </is>
      </c>
      <c r="E5043" t="inlineStr">
        <is>
          <t>paid_search</t>
        </is>
      </c>
      <c r="F5043">
        <f>IFERROR(MATCH(A5043,Deals!$A$2:$A$843,0),"")</f>
        <v/>
      </c>
      <c r="G5043">
        <f>IF(F5043="",0,1)</f>
        <v/>
      </c>
      <c r="H5043" s="29">
        <f>IF(F5043="","",INDEX(Deals!$E$2:$E$843,F5043))</f>
        <v/>
      </c>
      <c r="I5043">
        <f>IF(F5043="","",INDEX(Deals!$D$2:$D$843,F5043))</f>
        <v/>
      </c>
      <c r="J5043">
        <f>IF(F5043="","",INT(H5043)-B5043)</f>
        <v/>
      </c>
      <c r="K5043">
        <f>IF(B5043&gt;=Settings!$C$5,1,0)</f>
        <v/>
      </c>
    </row>
    <row r="5044">
      <c r="A5044" t="inlineStr">
        <is>
          <t>1f8979c25882c2299311cd761870aecf</t>
        </is>
      </c>
      <c r="B5044" s="29" t="n">
        <v>43217</v>
      </c>
      <c r="C5044" t="inlineStr">
        <is>
          <t>2018-04</t>
        </is>
      </c>
      <c r="D5044" t="inlineStr">
        <is>
          <t>e492ee5eaf1697716985cc6f33f9cd9b</t>
        </is>
      </c>
      <c r="E5044" t="inlineStr">
        <is>
          <t>organic_search</t>
        </is>
      </c>
      <c r="F5044">
        <f>IFERROR(MATCH(A5044,Deals!$A$2:$A$843,0),"")</f>
        <v/>
      </c>
      <c r="G5044">
        <f>IF(F5044="",0,1)</f>
        <v/>
      </c>
      <c r="H5044" s="29">
        <f>IF(F5044="","",INDEX(Deals!$E$2:$E$843,F5044))</f>
        <v/>
      </c>
      <c r="I5044">
        <f>IF(F5044="","",INDEX(Deals!$D$2:$D$843,F5044))</f>
        <v/>
      </c>
      <c r="J5044">
        <f>IF(F5044="","",INT(H5044)-B5044)</f>
        <v/>
      </c>
      <c r="K5044">
        <f>IF(B5044&gt;=Settings!$C$5,1,0)</f>
        <v/>
      </c>
    </row>
    <row r="5045">
      <c r="A5045" t="inlineStr">
        <is>
          <t>33d81348225fe436802063fc73e6f2c5</t>
        </is>
      </c>
      <c r="B5045" s="29" t="n">
        <v>43185</v>
      </c>
      <c r="C5045" t="inlineStr">
        <is>
          <t>2018-03</t>
        </is>
      </c>
      <c r="D5045" t="inlineStr">
        <is>
          <t>b76ef37428e6799c421989521c0e5077</t>
        </is>
      </c>
      <c r="E5045" t="inlineStr">
        <is>
          <t>organic_search</t>
        </is>
      </c>
      <c r="F5045">
        <f>IFERROR(MATCH(A5045,Deals!$A$2:$A$843,0),"")</f>
        <v/>
      </c>
      <c r="G5045">
        <f>IF(F5045="",0,1)</f>
        <v/>
      </c>
      <c r="H5045" s="29">
        <f>IF(F5045="","",INDEX(Deals!$E$2:$E$843,F5045))</f>
        <v/>
      </c>
      <c r="I5045">
        <f>IF(F5045="","",INDEX(Deals!$D$2:$D$843,F5045))</f>
        <v/>
      </c>
      <c r="J5045">
        <f>IF(F5045="","",INT(H5045)-B5045)</f>
        <v/>
      </c>
      <c r="K5045">
        <f>IF(B5045&gt;=Settings!$C$5,1,0)</f>
        <v/>
      </c>
    </row>
    <row r="5046">
      <c r="A5046" t="inlineStr">
        <is>
          <t>2231ab96ce86ba795cd299682c4170d8</t>
        </is>
      </c>
      <c r="B5046" s="29" t="n">
        <v>43105</v>
      </c>
      <c r="C5046" t="inlineStr">
        <is>
          <t>2018-01</t>
        </is>
      </c>
      <c r="D5046" t="inlineStr">
        <is>
          <t>40dec9f3d5259a3d2dbcdab2114fae47</t>
        </is>
      </c>
      <c r="E5046" t="inlineStr">
        <is>
          <t>paid_search</t>
        </is>
      </c>
      <c r="F5046">
        <f>IFERROR(MATCH(A5046,Deals!$A$2:$A$843,0),"")</f>
        <v/>
      </c>
      <c r="G5046">
        <f>IF(F5046="",0,1)</f>
        <v/>
      </c>
      <c r="H5046" s="29">
        <f>IF(F5046="","",INDEX(Deals!$E$2:$E$843,F5046))</f>
        <v/>
      </c>
      <c r="I5046">
        <f>IF(F5046="","",INDEX(Deals!$D$2:$D$843,F5046))</f>
        <v/>
      </c>
      <c r="J5046">
        <f>IF(F5046="","",INT(H5046)-B5046)</f>
        <v/>
      </c>
      <c r="K5046">
        <f>IF(B5046&gt;=Settings!$C$5,1,0)</f>
        <v/>
      </c>
    </row>
    <row r="5047">
      <c r="A5047" t="inlineStr">
        <is>
          <t>b325ce2830a0a1538031152d9e5ce1b5</t>
        </is>
      </c>
      <c r="B5047" s="29" t="n">
        <v>43129</v>
      </c>
      <c r="C5047" t="inlineStr">
        <is>
          <t>2018-01</t>
        </is>
      </c>
      <c r="D5047" t="inlineStr">
        <is>
          <t>ce1a65abd0973638f1c887a6efcfa82d</t>
        </is>
      </c>
      <c r="E5047" t="inlineStr">
        <is>
          <t>organic_search</t>
        </is>
      </c>
      <c r="F5047">
        <f>IFERROR(MATCH(A5047,Deals!$A$2:$A$843,0),"")</f>
        <v/>
      </c>
      <c r="G5047">
        <f>IF(F5047="",0,1)</f>
        <v/>
      </c>
      <c r="H5047" s="29">
        <f>IF(F5047="","",INDEX(Deals!$E$2:$E$843,F5047))</f>
        <v/>
      </c>
      <c r="I5047">
        <f>IF(F5047="","",INDEX(Deals!$D$2:$D$843,F5047))</f>
        <v/>
      </c>
      <c r="J5047">
        <f>IF(F5047="","",INT(H5047)-B5047)</f>
        <v/>
      </c>
      <c r="K5047">
        <f>IF(B5047&gt;=Settings!$C$5,1,0)</f>
        <v/>
      </c>
    </row>
    <row r="5048">
      <c r="A5048" t="inlineStr">
        <is>
          <t>ac2adbbec7f0d2fffad8e21d5e8a58e1</t>
        </is>
      </c>
      <c r="B5048" s="29" t="n">
        <v>43153</v>
      </c>
      <c r="C5048" t="inlineStr">
        <is>
          <t>2018-02</t>
        </is>
      </c>
      <c r="D5048" t="inlineStr">
        <is>
          <t>2228a43ac0bc372e25f9569e69fc9015</t>
        </is>
      </c>
      <c r="E5048" t="inlineStr">
        <is>
          <t>email</t>
        </is>
      </c>
      <c r="F5048">
        <f>IFERROR(MATCH(A5048,Deals!$A$2:$A$843,0),"")</f>
        <v/>
      </c>
      <c r="G5048">
        <f>IF(F5048="",0,1)</f>
        <v/>
      </c>
      <c r="H5048" s="29">
        <f>IF(F5048="","",INDEX(Deals!$E$2:$E$843,F5048))</f>
        <v/>
      </c>
      <c r="I5048">
        <f>IF(F5048="","",INDEX(Deals!$D$2:$D$843,F5048))</f>
        <v/>
      </c>
      <c r="J5048">
        <f>IF(F5048="","",INT(H5048)-B5048)</f>
        <v/>
      </c>
      <c r="K5048">
        <f>IF(B5048&gt;=Settings!$C$5,1,0)</f>
        <v/>
      </c>
    </row>
    <row r="5049">
      <c r="A5049" t="inlineStr">
        <is>
          <t>4be7cee3530ff65c6ca9d86119b50716</t>
        </is>
      </c>
      <c r="B5049" s="29" t="n">
        <v>43232</v>
      </c>
      <c r="C5049" t="inlineStr">
        <is>
          <t>2018-05</t>
        </is>
      </c>
      <c r="D5049" t="inlineStr">
        <is>
          <t>ce1a65abd0973638f1c887a6efcfa82d</t>
        </is>
      </c>
      <c r="E5049" t="inlineStr">
        <is>
          <t>social</t>
        </is>
      </c>
      <c r="F5049">
        <f>IFERROR(MATCH(A5049,Deals!$A$2:$A$843,0),"")</f>
        <v/>
      </c>
      <c r="G5049">
        <f>IF(F5049="",0,1)</f>
        <v/>
      </c>
      <c r="H5049" s="29">
        <f>IF(F5049="","",INDEX(Deals!$E$2:$E$843,F5049))</f>
        <v/>
      </c>
      <c r="I5049">
        <f>IF(F5049="","",INDEX(Deals!$D$2:$D$843,F5049))</f>
        <v/>
      </c>
      <c r="J5049">
        <f>IF(F5049="","",INT(H5049)-B5049)</f>
        <v/>
      </c>
      <c r="K5049">
        <f>IF(B5049&gt;=Settings!$C$5,1,0)</f>
        <v/>
      </c>
    </row>
    <row r="5050">
      <c r="A5050" t="inlineStr">
        <is>
          <t>040cea6d24ed05b83f0db871f6794b61</t>
        </is>
      </c>
      <c r="B5050" s="29" t="n">
        <v>42923</v>
      </c>
      <c r="C5050" t="inlineStr">
        <is>
          <t>2017-07</t>
        </is>
      </c>
      <c r="D5050" t="inlineStr">
        <is>
          <t>872eb32141128a5320bfe7b8cf80fc14</t>
        </is>
      </c>
      <c r="E5050" t="inlineStr">
        <is>
          <t>other</t>
        </is>
      </c>
      <c r="F5050">
        <f>IFERROR(MATCH(A5050,Deals!$A$2:$A$843,0),"")</f>
        <v/>
      </c>
      <c r="G5050">
        <f>IF(F5050="",0,1)</f>
        <v/>
      </c>
      <c r="H5050" s="29">
        <f>IF(F5050="","",INDEX(Deals!$E$2:$E$843,F5050))</f>
        <v/>
      </c>
      <c r="I5050">
        <f>IF(F5050="","",INDEX(Deals!$D$2:$D$843,F5050))</f>
        <v/>
      </c>
      <c r="J5050">
        <f>IF(F5050="","",INT(H5050)-B5050)</f>
        <v/>
      </c>
      <c r="K5050">
        <f>IF(B5050&gt;=Settings!$C$5,1,0)</f>
        <v/>
      </c>
    </row>
    <row r="5051">
      <c r="A5051" t="inlineStr">
        <is>
          <t>efb02112a854f238b26fc03996342d96</t>
        </is>
      </c>
      <c r="B5051" s="29" t="n">
        <v>43178</v>
      </c>
      <c r="C5051" t="inlineStr">
        <is>
          <t>2018-03</t>
        </is>
      </c>
      <c r="D5051" t="inlineStr">
        <is>
          <t>22c29808c4f815213303f8933030604c</t>
        </is>
      </c>
      <c r="E5051" t="inlineStr">
        <is>
          <t>organic_search</t>
        </is>
      </c>
      <c r="F5051">
        <f>IFERROR(MATCH(A5051,Deals!$A$2:$A$843,0),"")</f>
        <v/>
      </c>
      <c r="G5051">
        <f>IF(F5051="",0,1)</f>
        <v/>
      </c>
      <c r="H5051" s="29">
        <f>IF(F5051="","",INDEX(Deals!$E$2:$E$843,F5051))</f>
        <v/>
      </c>
      <c r="I5051">
        <f>IF(F5051="","",INDEX(Deals!$D$2:$D$843,F5051))</f>
        <v/>
      </c>
      <c r="J5051">
        <f>IF(F5051="","",INT(H5051)-B5051)</f>
        <v/>
      </c>
      <c r="K5051">
        <f>IF(B5051&gt;=Settings!$C$5,1,0)</f>
        <v/>
      </c>
    </row>
    <row r="5052">
      <c r="A5052" t="inlineStr">
        <is>
          <t>248e0936054f0ff1fa6135969174f162</t>
        </is>
      </c>
      <c r="B5052" s="29" t="n">
        <v>43121</v>
      </c>
      <c r="C5052" t="inlineStr">
        <is>
          <t>2018-01</t>
        </is>
      </c>
      <c r="D5052" t="inlineStr">
        <is>
          <t>76d33b7836dd4396f9dd310392f570f8</t>
        </is>
      </c>
      <c r="E5052" t="inlineStr">
        <is>
          <t>organic_search</t>
        </is>
      </c>
      <c r="F5052">
        <f>IFERROR(MATCH(A5052,Deals!$A$2:$A$843,0),"")</f>
        <v/>
      </c>
      <c r="G5052">
        <f>IF(F5052="",0,1)</f>
        <v/>
      </c>
      <c r="H5052" s="29">
        <f>IF(F5052="","",INDEX(Deals!$E$2:$E$843,F5052))</f>
        <v/>
      </c>
      <c r="I5052">
        <f>IF(F5052="","",INDEX(Deals!$D$2:$D$843,F5052))</f>
        <v/>
      </c>
      <c r="J5052">
        <f>IF(F5052="","",INT(H5052)-B5052)</f>
        <v/>
      </c>
      <c r="K5052">
        <f>IF(B5052&gt;=Settings!$C$5,1,0)</f>
        <v/>
      </c>
    </row>
    <row r="5053">
      <c r="A5053" t="inlineStr">
        <is>
          <t>8dcedd6884e553e55dfb6298a6f6cd94</t>
        </is>
      </c>
      <c r="B5053" s="29" t="n">
        <v>43196</v>
      </c>
      <c r="C5053" t="inlineStr">
        <is>
          <t>2018-04</t>
        </is>
      </c>
      <c r="D5053" t="inlineStr">
        <is>
          <t>b76ef37428e6799c421989521c0e5077</t>
        </is>
      </c>
      <c r="E5053" t="inlineStr">
        <is>
          <t>direct_traffic</t>
        </is>
      </c>
      <c r="F5053">
        <f>IFERROR(MATCH(A5053,Deals!$A$2:$A$843,0),"")</f>
        <v/>
      </c>
      <c r="G5053">
        <f>IF(F5053="",0,1)</f>
        <v/>
      </c>
      <c r="H5053" s="29">
        <f>IF(F5053="","",INDEX(Deals!$E$2:$E$843,F5053))</f>
        <v/>
      </c>
      <c r="I5053">
        <f>IF(F5053="","",INDEX(Deals!$D$2:$D$843,F5053))</f>
        <v/>
      </c>
      <c r="J5053">
        <f>IF(F5053="","",INT(H5053)-B5053)</f>
        <v/>
      </c>
      <c r="K5053">
        <f>IF(B5053&gt;=Settings!$C$5,1,0)</f>
        <v/>
      </c>
    </row>
    <row r="5054">
      <c r="A5054" t="inlineStr">
        <is>
          <t>c17f34697eff61933db1f1b27045649c</t>
        </is>
      </c>
      <c r="B5054" s="29" t="n">
        <v>43251</v>
      </c>
      <c r="C5054" t="inlineStr">
        <is>
          <t>2018-05</t>
        </is>
      </c>
      <c r="D5054" t="inlineStr">
        <is>
          <t>58326e62183c14b0c03085c33b9fdc44</t>
        </is>
      </c>
      <c r="E5054" t="inlineStr">
        <is>
          <t>social</t>
        </is>
      </c>
      <c r="F5054">
        <f>IFERROR(MATCH(A5054,Deals!$A$2:$A$843,0),"")</f>
        <v/>
      </c>
      <c r="G5054">
        <f>IF(F5054="",0,1)</f>
        <v/>
      </c>
      <c r="H5054" s="29">
        <f>IF(F5054="","",INDEX(Deals!$E$2:$E$843,F5054))</f>
        <v/>
      </c>
      <c r="I5054">
        <f>IF(F5054="","",INDEX(Deals!$D$2:$D$843,F5054))</f>
        <v/>
      </c>
      <c r="J5054">
        <f>IF(F5054="","",INT(H5054)-B5054)</f>
        <v/>
      </c>
      <c r="K5054">
        <f>IF(B5054&gt;=Settings!$C$5,1,0)</f>
        <v/>
      </c>
    </row>
    <row r="5055">
      <c r="A5055" t="inlineStr">
        <is>
          <t>a451ee22deede109dbb5b96fd7aae4e8</t>
        </is>
      </c>
      <c r="B5055" s="29" t="n">
        <v>42992</v>
      </c>
      <c r="C5055" t="inlineStr">
        <is>
          <t>2017-09</t>
        </is>
      </c>
      <c r="D5055" t="inlineStr">
        <is>
          <t>ef0b482996664cc1107b9051efd3ca84</t>
        </is>
      </c>
      <c r="E5055" t="inlineStr">
        <is>
          <t>organic_search</t>
        </is>
      </c>
      <c r="F5055">
        <f>IFERROR(MATCH(A5055,Deals!$A$2:$A$843,0),"")</f>
        <v/>
      </c>
      <c r="G5055">
        <f>IF(F5055="",0,1)</f>
        <v/>
      </c>
      <c r="H5055" s="29">
        <f>IF(F5055="","",INDEX(Deals!$E$2:$E$843,F5055))</f>
        <v/>
      </c>
      <c r="I5055">
        <f>IF(F5055="","",INDEX(Deals!$D$2:$D$843,F5055))</f>
        <v/>
      </c>
      <c r="J5055">
        <f>IF(F5055="","",INT(H5055)-B5055)</f>
        <v/>
      </c>
      <c r="K5055">
        <f>IF(B5055&gt;=Settings!$C$5,1,0)</f>
        <v/>
      </c>
    </row>
    <row r="5056">
      <c r="A5056" t="inlineStr">
        <is>
          <t>971dc6073a2e2440bc0c4a0fe51ba2a4</t>
        </is>
      </c>
      <c r="B5056" s="29" t="n">
        <v>43239</v>
      </c>
      <c r="C5056" t="inlineStr">
        <is>
          <t>2018-05</t>
        </is>
      </c>
      <c r="D5056" t="inlineStr">
        <is>
          <t>8ff57dffc365fcb5233232fff6e6bfd0</t>
        </is>
      </c>
      <c r="E5056" t="inlineStr">
        <is>
          <t>organic_search</t>
        </is>
      </c>
      <c r="F5056">
        <f>IFERROR(MATCH(A5056,Deals!$A$2:$A$843,0),"")</f>
        <v/>
      </c>
      <c r="G5056">
        <f>IF(F5056="",0,1)</f>
        <v/>
      </c>
      <c r="H5056" s="29">
        <f>IF(F5056="","",INDEX(Deals!$E$2:$E$843,F5056))</f>
        <v/>
      </c>
      <c r="I5056">
        <f>IF(F5056="","",INDEX(Deals!$D$2:$D$843,F5056))</f>
        <v/>
      </c>
      <c r="J5056">
        <f>IF(F5056="","",INT(H5056)-B5056)</f>
        <v/>
      </c>
      <c r="K5056">
        <f>IF(B5056&gt;=Settings!$C$5,1,0)</f>
        <v/>
      </c>
    </row>
    <row r="5057">
      <c r="A5057" t="inlineStr">
        <is>
          <t>3466b68ad54d3cfece81d60afe179a36</t>
        </is>
      </c>
      <c r="B5057" s="29" t="n">
        <v>43213</v>
      </c>
      <c r="C5057" t="inlineStr">
        <is>
          <t>2018-04</t>
        </is>
      </c>
      <c r="D5057" t="inlineStr">
        <is>
          <t>58326e62183c14b0c03085c33b9fdc44</t>
        </is>
      </c>
      <c r="E5057" t="inlineStr">
        <is>
          <t>social</t>
        </is>
      </c>
      <c r="F5057">
        <f>IFERROR(MATCH(A5057,Deals!$A$2:$A$843,0),"")</f>
        <v/>
      </c>
      <c r="G5057">
        <f>IF(F5057="",0,1)</f>
        <v/>
      </c>
      <c r="H5057" s="29">
        <f>IF(F5057="","",INDEX(Deals!$E$2:$E$843,F5057))</f>
        <v/>
      </c>
      <c r="I5057">
        <f>IF(F5057="","",INDEX(Deals!$D$2:$D$843,F5057))</f>
        <v/>
      </c>
      <c r="J5057">
        <f>IF(F5057="","",INT(H5057)-B5057)</f>
        <v/>
      </c>
      <c r="K5057">
        <f>IF(B5057&gt;=Settings!$C$5,1,0)</f>
        <v/>
      </c>
    </row>
    <row r="5058">
      <c r="A5058" t="inlineStr">
        <is>
          <t>047973d4ae66ca988048b8eb53788ead</t>
        </is>
      </c>
      <c r="B5058" s="29" t="n">
        <v>43018</v>
      </c>
      <c r="C5058" t="inlineStr">
        <is>
          <t>2017-10</t>
        </is>
      </c>
      <c r="D5058" t="inlineStr">
        <is>
          <t>87780f7c05ecd79791bde76af663db15</t>
        </is>
      </c>
      <c r="E5058" t="inlineStr">
        <is>
          <t>social</t>
        </is>
      </c>
      <c r="F5058">
        <f>IFERROR(MATCH(A5058,Deals!$A$2:$A$843,0),"")</f>
        <v/>
      </c>
      <c r="G5058">
        <f>IF(F5058="",0,1)</f>
        <v/>
      </c>
      <c r="H5058" s="29">
        <f>IF(F5058="","",INDEX(Deals!$E$2:$E$843,F5058))</f>
        <v/>
      </c>
      <c r="I5058">
        <f>IF(F5058="","",INDEX(Deals!$D$2:$D$843,F5058))</f>
        <v/>
      </c>
      <c r="J5058">
        <f>IF(F5058="","",INT(H5058)-B5058)</f>
        <v/>
      </c>
      <c r="K5058">
        <f>IF(B5058&gt;=Settings!$C$5,1,0)</f>
        <v/>
      </c>
    </row>
    <row r="5059">
      <c r="A5059" t="inlineStr">
        <is>
          <t>c3570da56db1511167324d0f5d0c8dfa</t>
        </is>
      </c>
      <c r="B5059" s="29" t="n">
        <v>43244</v>
      </c>
      <c r="C5059" t="inlineStr">
        <is>
          <t>2018-05</t>
        </is>
      </c>
      <c r="D5059" t="inlineStr">
        <is>
          <t>b76ef37428e6799c421989521c0e5077</t>
        </is>
      </c>
      <c r="E5059" t="inlineStr">
        <is>
          <t>unknown</t>
        </is>
      </c>
      <c r="F5059">
        <f>IFERROR(MATCH(A5059,Deals!$A$2:$A$843,0),"")</f>
        <v/>
      </c>
      <c r="G5059">
        <f>IF(F5059="",0,1)</f>
        <v/>
      </c>
      <c r="H5059" s="29">
        <f>IF(F5059="","",INDEX(Deals!$E$2:$E$843,F5059))</f>
        <v/>
      </c>
      <c r="I5059">
        <f>IF(F5059="","",INDEX(Deals!$D$2:$D$843,F5059))</f>
        <v/>
      </c>
      <c r="J5059">
        <f>IF(F5059="","",INT(H5059)-B5059)</f>
        <v/>
      </c>
      <c r="K5059">
        <f>IF(B5059&gt;=Settings!$C$5,1,0)</f>
        <v/>
      </c>
    </row>
    <row r="5060">
      <c r="A5060" t="inlineStr">
        <is>
          <t>630a1e2b96fd0b0216e3a30b53eaa6c7</t>
        </is>
      </c>
      <c r="B5060" s="29" t="n">
        <v>43136</v>
      </c>
      <c r="C5060" t="inlineStr">
        <is>
          <t>2018-02</t>
        </is>
      </c>
      <c r="D5060" t="inlineStr">
        <is>
          <t>e492ee5eaf1697716985cc6f33f9cd9b</t>
        </is>
      </c>
      <c r="E5060" t="inlineStr">
        <is>
          <t>unknown</t>
        </is>
      </c>
      <c r="F5060">
        <f>IFERROR(MATCH(A5060,Deals!$A$2:$A$843,0),"")</f>
        <v/>
      </c>
      <c r="G5060">
        <f>IF(F5060="",0,1)</f>
        <v/>
      </c>
      <c r="H5060" s="29">
        <f>IF(F5060="","",INDEX(Deals!$E$2:$E$843,F5060))</f>
        <v/>
      </c>
      <c r="I5060">
        <f>IF(F5060="","",INDEX(Deals!$D$2:$D$843,F5060))</f>
        <v/>
      </c>
      <c r="J5060">
        <f>IF(F5060="","",INT(H5060)-B5060)</f>
        <v/>
      </c>
      <c r="K5060">
        <f>IF(B5060&gt;=Settings!$C$5,1,0)</f>
        <v/>
      </c>
    </row>
    <row r="5061">
      <c r="A5061" t="inlineStr">
        <is>
          <t>32364276cb2f62e1e492f15ca557159c</t>
        </is>
      </c>
      <c r="B5061" s="29" t="n">
        <v>42948</v>
      </c>
      <c r="C5061" t="inlineStr">
        <is>
          <t>2017-08</t>
        </is>
      </c>
      <c r="D5061" t="inlineStr">
        <is>
          <t>b76ef37428e6799c421989521c0e5077</t>
        </is>
      </c>
      <c r="E5061" t="inlineStr">
        <is>
          <t>unknown</t>
        </is>
      </c>
      <c r="F5061">
        <f>IFERROR(MATCH(A5061,Deals!$A$2:$A$843,0),"")</f>
        <v/>
      </c>
      <c r="G5061">
        <f>IF(F5061="",0,1)</f>
        <v/>
      </c>
      <c r="H5061" s="29">
        <f>IF(F5061="","",INDEX(Deals!$E$2:$E$843,F5061))</f>
        <v/>
      </c>
      <c r="I5061">
        <f>IF(F5061="","",INDEX(Deals!$D$2:$D$843,F5061))</f>
        <v/>
      </c>
      <c r="J5061">
        <f>IF(F5061="","",INT(H5061)-B5061)</f>
        <v/>
      </c>
      <c r="K5061">
        <f>IF(B5061&gt;=Settings!$C$5,1,0)</f>
        <v/>
      </c>
    </row>
    <row r="5062">
      <c r="A5062" t="inlineStr">
        <is>
          <t>20fb03bff718adc3da15d5abf8a3e573</t>
        </is>
      </c>
      <c r="B5062" s="29" t="n">
        <v>43227</v>
      </c>
      <c r="C5062" t="inlineStr">
        <is>
          <t>2018-05</t>
        </is>
      </c>
      <c r="D5062" t="inlineStr">
        <is>
          <t>58326e62183c14b0c03085c33b9fdc44</t>
        </is>
      </c>
      <c r="E5062" t="inlineStr">
        <is>
          <t>social</t>
        </is>
      </c>
      <c r="F5062">
        <f>IFERROR(MATCH(A5062,Deals!$A$2:$A$843,0),"")</f>
        <v/>
      </c>
      <c r="G5062">
        <f>IF(F5062="",0,1)</f>
        <v/>
      </c>
      <c r="H5062" s="29">
        <f>IF(F5062="","",INDEX(Deals!$E$2:$E$843,F5062))</f>
        <v/>
      </c>
      <c r="I5062">
        <f>IF(F5062="","",INDEX(Deals!$D$2:$D$843,F5062))</f>
        <v/>
      </c>
      <c r="J5062">
        <f>IF(F5062="","",INT(H5062)-B5062)</f>
        <v/>
      </c>
      <c r="K5062">
        <f>IF(B5062&gt;=Settings!$C$5,1,0)</f>
        <v/>
      </c>
    </row>
    <row r="5063">
      <c r="A5063" t="inlineStr">
        <is>
          <t>7c1d29f0df3a9eba77951cd8222b08a0</t>
        </is>
      </c>
      <c r="B5063" s="29" t="n">
        <v>43203</v>
      </c>
      <c r="C5063" t="inlineStr">
        <is>
          <t>2018-04</t>
        </is>
      </c>
      <c r="D5063" t="inlineStr">
        <is>
          <t>58326e62183c14b0c03085c33b9fdc44</t>
        </is>
      </c>
      <c r="E5063" t="inlineStr">
        <is>
          <t>social</t>
        </is>
      </c>
      <c r="F5063">
        <f>IFERROR(MATCH(A5063,Deals!$A$2:$A$843,0),"")</f>
        <v/>
      </c>
      <c r="G5063">
        <f>IF(F5063="",0,1)</f>
        <v/>
      </c>
      <c r="H5063" s="29">
        <f>IF(F5063="","",INDEX(Deals!$E$2:$E$843,F5063))</f>
        <v/>
      </c>
      <c r="I5063">
        <f>IF(F5063="","",INDEX(Deals!$D$2:$D$843,F5063))</f>
        <v/>
      </c>
      <c r="J5063">
        <f>IF(F5063="","",INT(H5063)-B5063)</f>
        <v/>
      </c>
      <c r="K5063">
        <f>IF(B5063&gt;=Settings!$C$5,1,0)</f>
        <v/>
      </c>
    </row>
    <row r="5064">
      <c r="A5064" t="inlineStr">
        <is>
          <t>1b7b2f2e63a4aee4d9a766abdd911efb</t>
        </is>
      </c>
      <c r="B5064" s="29" t="n">
        <v>43129</v>
      </c>
      <c r="C5064" t="inlineStr">
        <is>
          <t>2018-01</t>
        </is>
      </c>
      <c r="D5064" t="inlineStr">
        <is>
          <t>d45d558f0daeecf3cccdffe3c59684aa</t>
        </is>
      </c>
      <c r="E5064" t="inlineStr">
        <is>
          <t>email</t>
        </is>
      </c>
      <c r="F5064">
        <f>IFERROR(MATCH(A5064,Deals!$A$2:$A$843,0),"")</f>
        <v/>
      </c>
      <c r="G5064">
        <f>IF(F5064="",0,1)</f>
        <v/>
      </c>
      <c r="H5064" s="29">
        <f>IF(F5064="","",INDEX(Deals!$E$2:$E$843,F5064))</f>
        <v/>
      </c>
      <c r="I5064">
        <f>IF(F5064="","",INDEX(Deals!$D$2:$D$843,F5064))</f>
        <v/>
      </c>
      <c r="J5064">
        <f>IF(F5064="","",INT(H5064)-B5064)</f>
        <v/>
      </c>
      <c r="K5064">
        <f>IF(B5064&gt;=Settings!$C$5,1,0)</f>
        <v/>
      </c>
    </row>
    <row r="5065">
      <c r="A5065" t="inlineStr">
        <is>
          <t>ebcd0fb1c44b0ed07842254daec4c3cc</t>
        </is>
      </c>
      <c r="B5065" s="29" t="n">
        <v>43014</v>
      </c>
      <c r="C5065" t="inlineStr">
        <is>
          <t>2017-10</t>
        </is>
      </c>
      <c r="D5065" t="inlineStr">
        <is>
          <t>b76ef37428e6799c421989521c0e5077</t>
        </is>
      </c>
      <c r="E5065" t="inlineStr">
        <is>
          <t>unknown</t>
        </is>
      </c>
      <c r="F5065">
        <f>IFERROR(MATCH(A5065,Deals!$A$2:$A$843,0),"")</f>
        <v/>
      </c>
      <c r="G5065">
        <f>IF(F5065="",0,1)</f>
        <v/>
      </c>
      <c r="H5065" s="29">
        <f>IF(F5065="","",INDEX(Deals!$E$2:$E$843,F5065))</f>
        <v/>
      </c>
      <c r="I5065">
        <f>IF(F5065="","",INDEX(Deals!$D$2:$D$843,F5065))</f>
        <v/>
      </c>
      <c r="J5065">
        <f>IF(F5065="","",INT(H5065)-B5065)</f>
        <v/>
      </c>
      <c r="K5065">
        <f>IF(B5065&gt;=Settings!$C$5,1,0)</f>
        <v/>
      </c>
    </row>
    <row r="5066">
      <c r="A5066" t="inlineStr">
        <is>
          <t>1c195f62b31f99d41ec618e21786719b</t>
        </is>
      </c>
      <c r="B5066" s="29" t="n">
        <v>43033</v>
      </c>
      <c r="C5066" t="inlineStr">
        <is>
          <t>2017-10</t>
        </is>
      </c>
      <c r="D5066" t="inlineStr">
        <is>
          <t>63355b003224fe06badbd9de99644792</t>
        </is>
      </c>
      <c r="E5066" t="inlineStr">
        <is>
          <t>email</t>
        </is>
      </c>
      <c r="F5066">
        <f>IFERROR(MATCH(A5066,Deals!$A$2:$A$843,0),"")</f>
        <v/>
      </c>
      <c r="G5066">
        <f>IF(F5066="",0,1)</f>
        <v/>
      </c>
      <c r="H5066" s="29">
        <f>IF(F5066="","",INDEX(Deals!$E$2:$E$843,F5066))</f>
        <v/>
      </c>
      <c r="I5066">
        <f>IF(F5066="","",INDEX(Deals!$D$2:$D$843,F5066))</f>
        <v/>
      </c>
      <c r="J5066">
        <f>IF(F5066="","",INT(H5066)-B5066)</f>
        <v/>
      </c>
      <c r="K5066">
        <f>IF(B5066&gt;=Settings!$C$5,1,0)</f>
        <v/>
      </c>
    </row>
    <row r="5067">
      <c r="A5067" t="inlineStr">
        <is>
          <t>dc17d9b4862d86f8054735577c04462a</t>
        </is>
      </c>
      <c r="B5067" s="29" t="n">
        <v>43017</v>
      </c>
      <c r="C5067" t="inlineStr">
        <is>
          <t>2017-10</t>
        </is>
      </c>
      <c r="D5067" t="inlineStr">
        <is>
          <t>909e333f8f23574f93115bd3d402e202</t>
        </is>
      </c>
      <c r="E5067" t="inlineStr">
        <is>
          <t>social</t>
        </is>
      </c>
      <c r="F5067">
        <f>IFERROR(MATCH(A5067,Deals!$A$2:$A$843,0),"")</f>
        <v/>
      </c>
      <c r="G5067">
        <f>IF(F5067="",0,1)</f>
        <v/>
      </c>
      <c r="H5067" s="29">
        <f>IF(F5067="","",INDEX(Deals!$E$2:$E$843,F5067))</f>
        <v/>
      </c>
      <c r="I5067">
        <f>IF(F5067="","",INDEX(Deals!$D$2:$D$843,F5067))</f>
        <v/>
      </c>
      <c r="J5067">
        <f>IF(F5067="","",INT(H5067)-B5067)</f>
        <v/>
      </c>
      <c r="K5067">
        <f>IF(B5067&gt;=Settings!$C$5,1,0)</f>
        <v/>
      </c>
    </row>
    <row r="5068">
      <c r="A5068" t="inlineStr">
        <is>
          <t>8ab9523c37d8f410f7f35e270ce14369</t>
        </is>
      </c>
      <c r="B5068" s="29" t="n">
        <v>43210</v>
      </c>
      <c r="C5068" t="inlineStr">
        <is>
          <t>2018-04</t>
        </is>
      </c>
      <c r="D5068" t="inlineStr">
        <is>
          <t>38addfd5b0598e69bfa843b9c85c9a19</t>
        </is>
      </c>
      <c r="E5068" t="inlineStr">
        <is>
          <t>organic_search</t>
        </is>
      </c>
      <c r="F5068">
        <f>IFERROR(MATCH(A5068,Deals!$A$2:$A$843,0),"")</f>
        <v/>
      </c>
      <c r="G5068">
        <f>IF(F5068="",0,1)</f>
        <v/>
      </c>
      <c r="H5068" s="29">
        <f>IF(F5068="","",INDEX(Deals!$E$2:$E$843,F5068))</f>
        <v/>
      </c>
      <c r="I5068">
        <f>IF(F5068="","",INDEX(Deals!$D$2:$D$843,F5068))</f>
        <v/>
      </c>
      <c r="J5068">
        <f>IF(F5068="","",INT(H5068)-B5068)</f>
        <v/>
      </c>
      <c r="K5068">
        <f>IF(B5068&gt;=Settings!$C$5,1,0)</f>
        <v/>
      </c>
    </row>
    <row r="5069">
      <c r="A5069" t="inlineStr">
        <is>
          <t>77c33d0fb152118e33778d34ae8a0473</t>
        </is>
      </c>
      <c r="B5069" s="29" t="n">
        <v>42970</v>
      </c>
      <c r="C5069" t="inlineStr">
        <is>
          <t>2017-08</t>
        </is>
      </c>
      <c r="D5069" t="inlineStr">
        <is>
          <t>1694e838dffa97f640fcfa35e86e438e</t>
        </is>
      </c>
      <c r="E5069" t="inlineStr">
        <is>
          <t>organic_search</t>
        </is>
      </c>
      <c r="F5069">
        <f>IFERROR(MATCH(A5069,Deals!$A$2:$A$843,0),"")</f>
        <v/>
      </c>
      <c r="G5069">
        <f>IF(F5069="",0,1)</f>
        <v/>
      </c>
      <c r="H5069" s="29">
        <f>IF(F5069="","",INDEX(Deals!$E$2:$E$843,F5069))</f>
        <v/>
      </c>
      <c r="I5069">
        <f>IF(F5069="","",INDEX(Deals!$D$2:$D$843,F5069))</f>
        <v/>
      </c>
      <c r="J5069">
        <f>IF(F5069="","",INT(H5069)-B5069)</f>
        <v/>
      </c>
      <c r="K5069">
        <f>IF(B5069&gt;=Settings!$C$5,1,0)</f>
        <v/>
      </c>
    </row>
    <row r="5070">
      <c r="A5070" t="inlineStr">
        <is>
          <t>1bdde90ebfdef547440410e79b1877bf</t>
        </is>
      </c>
      <c r="B5070" s="29" t="n">
        <v>43237</v>
      </c>
      <c r="C5070" t="inlineStr">
        <is>
          <t>2018-05</t>
        </is>
      </c>
      <c r="D5070" t="inlineStr">
        <is>
          <t>ce1a65abd0973638f1c887a6efcfa82d</t>
        </is>
      </c>
      <c r="E5070" t="inlineStr">
        <is>
          <t>social</t>
        </is>
      </c>
      <c r="F5070">
        <f>IFERROR(MATCH(A5070,Deals!$A$2:$A$843,0),"")</f>
        <v/>
      </c>
      <c r="G5070">
        <f>IF(F5070="",0,1)</f>
        <v/>
      </c>
      <c r="H5070" s="29">
        <f>IF(F5070="","",INDEX(Deals!$E$2:$E$843,F5070))</f>
        <v/>
      </c>
      <c r="I5070">
        <f>IF(F5070="","",INDEX(Deals!$D$2:$D$843,F5070))</f>
        <v/>
      </c>
      <c r="J5070">
        <f>IF(F5070="","",INT(H5070)-B5070)</f>
        <v/>
      </c>
      <c r="K5070">
        <f>IF(B5070&gt;=Settings!$C$5,1,0)</f>
        <v/>
      </c>
    </row>
    <row r="5071">
      <c r="A5071" t="inlineStr">
        <is>
          <t>2f93f3e672327c71ba76c43d93a9b2c5</t>
        </is>
      </c>
      <c r="B5071" s="29" t="n">
        <v>43113</v>
      </c>
      <c r="C5071" t="inlineStr">
        <is>
          <t>2018-01</t>
        </is>
      </c>
      <c r="D5071" t="inlineStr">
        <is>
          <t>22c29808c4f815213303f8933030604c</t>
        </is>
      </c>
      <c r="E5071" t="inlineStr">
        <is>
          <t>organic_search</t>
        </is>
      </c>
      <c r="F5071">
        <f>IFERROR(MATCH(A5071,Deals!$A$2:$A$843,0),"")</f>
        <v/>
      </c>
      <c r="G5071">
        <f>IF(F5071="",0,1)</f>
        <v/>
      </c>
      <c r="H5071" s="29">
        <f>IF(F5071="","",INDEX(Deals!$E$2:$E$843,F5071))</f>
        <v/>
      </c>
      <c r="I5071">
        <f>IF(F5071="","",INDEX(Deals!$D$2:$D$843,F5071))</f>
        <v/>
      </c>
      <c r="J5071">
        <f>IF(F5071="","",INT(H5071)-B5071)</f>
        <v/>
      </c>
      <c r="K5071">
        <f>IF(B5071&gt;=Settings!$C$5,1,0)</f>
        <v/>
      </c>
    </row>
    <row r="5072">
      <c r="A5072" t="inlineStr">
        <is>
          <t>6107f0a7614917c3c78a74ebe45f00ca</t>
        </is>
      </c>
      <c r="B5072" s="29" t="n">
        <v>42983</v>
      </c>
      <c r="C5072" t="inlineStr">
        <is>
          <t>2017-09</t>
        </is>
      </c>
      <c r="D5072" t="inlineStr">
        <is>
          <t>87732658ba41d8775e8577df347a64db</t>
        </is>
      </c>
      <c r="E5072" t="inlineStr">
        <is>
          <t>social</t>
        </is>
      </c>
      <c r="F5072">
        <f>IFERROR(MATCH(A5072,Deals!$A$2:$A$843,0),"")</f>
        <v/>
      </c>
      <c r="G5072">
        <f>IF(F5072="",0,1)</f>
        <v/>
      </c>
      <c r="H5072" s="29">
        <f>IF(F5072="","",INDEX(Deals!$E$2:$E$843,F5072))</f>
        <v/>
      </c>
      <c r="I5072">
        <f>IF(F5072="","",INDEX(Deals!$D$2:$D$843,F5072))</f>
        <v/>
      </c>
      <c r="J5072">
        <f>IF(F5072="","",INT(H5072)-B5072)</f>
        <v/>
      </c>
      <c r="K5072">
        <f>IF(B5072&gt;=Settings!$C$5,1,0)</f>
        <v/>
      </c>
    </row>
    <row r="5073">
      <c r="A5073" t="inlineStr">
        <is>
          <t>79bd2e9fd8400fb610d59e4f0e1019f3</t>
        </is>
      </c>
      <c r="B5073" s="29" t="n">
        <v>43046</v>
      </c>
      <c r="C5073" t="inlineStr">
        <is>
          <t>2017-11</t>
        </is>
      </c>
      <c r="D5073" t="inlineStr">
        <is>
          <t>1722481ac9e5371e5099dea226b5421d</t>
        </is>
      </c>
      <c r="E5073" t="inlineStr">
        <is>
          <t>email</t>
        </is>
      </c>
      <c r="F5073">
        <f>IFERROR(MATCH(A5073,Deals!$A$2:$A$843,0),"")</f>
        <v/>
      </c>
      <c r="G5073">
        <f>IF(F5073="",0,1)</f>
        <v/>
      </c>
      <c r="H5073" s="29">
        <f>IF(F5073="","",INDEX(Deals!$E$2:$E$843,F5073))</f>
        <v/>
      </c>
      <c r="I5073">
        <f>IF(F5073="","",INDEX(Deals!$D$2:$D$843,F5073))</f>
        <v/>
      </c>
      <c r="J5073">
        <f>IF(F5073="","",INT(H5073)-B5073)</f>
        <v/>
      </c>
      <c r="K5073">
        <f>IF(B5073&gt;=Settings!$C$5,1,0)</f>
        <v/>
      </c>
    </row>
    <row r="5074">
      <c r="A5074" t="inlineStr">
        <is>
          <t>e0d04159c4304a1f2a5e191f551f3a94</t>
        </is>
      </c>
      <c r="B5074" s="29" t="n">
        <v>42991</v>
      </c>
      <c r="C5074" t="inlineStr">
        <is>
          <t>2017-09</t>
        </is>
      </c>
      <c r="D5074" t="inlineStr">
        <is>
          <t>87732658ba41d8775e8577df347a64db</t>
        </is>
      </c>
      <c r="E5074" t="inlineStr">
        <is>
          <t>social</t>
        </is>
      </c>
      <c r="F5074">
        <f>IFERROR(MATCH(A5074,Deals!$A$2:$A$843,0),"")</f>
        <v/>
      </c>
      <c r="G5074">
        <f>IF(F5074="",0,1)</f>
        <v/>
      </c>
      <c r="H5074" s="29">
        <f>IF(F5074="","",INDEX(Deals!$E$2:$E$843,F5074))</f>
        <v/>
      </c>
      <c r="I5074">
        <f>IF(F5074="","",INDEX(Deals!$D$2:$D$843,F5074))</f>
        <v/>
      </c>
      <c r="J5074">
        <f>IF(F5074="","",INT(H5074)-B5074)</f>
        <v/>
      </c>
      <c r="K5074">
        <f>IF(B5074&gt;=Settings!$C$5,1,0)</f>
        <v/>
      </c>
    </row>
    <row r="5075">
      <c r="A5075" t="inlineStr">
        <is>
          <t>f8b1611e1174171fdb36e05f664b7e3a</t>
        </is>
      </c>
      <c r="B5075" s="29" t="n">
        <v>43159</v>
      </c>
      <c r="C5075" t="inlineStr">
        <is>
          <t>2018-02</t>
        </is>
      </c>
      <c r="D5075" t="inlineStr">
        <is>
          <t>b217afa2c1f4cb502423005639878f6d</t>
        </is>
      </c>
      <c r="E5075" t="inlineStr">
        <is>
          <t>paid_search</t>
        </is>
      </c>
      <c r="F5075">
        <f>IFERROR(MATCH(A5075,Deals!$A$2:$A$843,0),"")</f>
        <v/>
      </c>
      <c r="G5075">
        <f>IF(F5075="",0,1)</f>
        <v/>
      </c>
      <c r="H5075" s="29">
        <f>IF(F5075="","",INDEX(Deals!$E$2:$E$843,F5075))</f>
        <v/>
      </c>
      <c r="I5075">
        <f>IF(F5075="","",INDEX(Deals!$D$2:$D$843,F5075))</f>
        <v/>
      </c>
      <c r="J5075">
        <f>IF(F5075="","",INT(H5075)-B5075)</f>
        <v/>
      </c>
      <c r="K5075">
        <f>IF(B5075&gt;=Settings!$C$5,1,0)</f>
        <v/>
      </c>
    </row>
    <row r="5076">
      <c r="A5076" t="inlineStr">
        <is>
          <t>95a4c08b069b1c01250ffeda1f8e7f7b</t>
        </is>
      </c>
      <c r="B5076" s="29" t="n">
        <v>43065</v>
      </c>
      <c r="C5076" t="inlineStr">
        <is>
          <t>2017-11</t>
        </is>
      </c>
      <c r="D5076" t="inlineStr">
        <is>
          <t>294ce16d2b3c2186a805f26aa8de3ebc</t>
        </is>
      </c>
      <c r="E5076" t="inlineStr">
        <is>
          <t>social</t>
        </is>
      </c>
      <c r="F5076">
        <f>IFERROR(MATCH(A5076,Deals!$A$2:$A$843,0),"")</f>
        <v/>
      </c>
      <c r="G5076">
        <f>IF(F5076="",0,1)</f>
        <v/>
      </c>
      <c r="H5076" s="29">
        <f>IF(F5076="","",INDEX(Deals!$E$2:$E$843,F5076))</f>
        <v/>
      </c>
      <c r="I5076">
        <f>IF(F5076="","",INDEX(Deals!$D$2:$D$843,F5076))</f>
        <v/>
      </c>
      <c r="J5076">
        <f>IF(F5076="","",INT(H5076)-B5076)</f>
        <v/>
      </c>
      <c r="K5076">
        <f>IF(B5076&gt;=Settings!$C$5,1,0)</f>
        <v/>
      </c>
    </row>
    <row r="5077">
      <c r="A5077" t="inlineStr">
        <is>
          <t>6857dca1dac34cbfd8e34777a63bc394</t>
        </is>
      </c>
      <c r="B5077" s="29" t="n">
        <v>43187</v>
      </c>
      <c r="C5077" t="inlineStr">
        <is>
          <t>2018-03</t>
        </is>
      </c>
      <c r="D5077" t="inlineStr">
        <is>
          <t>4ed6bf4ac34e75c7c81fcf829d96b739</t>
        </is>
      </c>
      <c r="E5077" t="inlineStr">
        <is>
          <t>organic_search</t>
        </is>
      </c>
      <c r="F5077">
        <f>IFERROR(MATCH(A5077,Deals!$A$2:$A$843,0),"")</f>
        <v/>
      </c>
      <c r="G5077">
        <f>IF(F5077="",0,1)</f>
        <v/>
      </c>
      <c r="H5077" s="29">
        <f>IF(F5077="","",INDEX(Deals!$E$2:$E$843,F5077))</f>
        <v/>
      </c>
      <c r="I5077">
        <f>IF(F5077="","",INDEX(Deals!$D$2:$D$843,F5077))</f>
        <v/>
      </c>
      <c r="J5077">
        <f>IF(F5077="","",INT(H5077)-B5077)</f>
        <v/>
      </c>
      <c r="K5077">
        <f>IF(B5077&gt;=Settings!$C$5,1,0)</f>
        <v/>
      </c>
    </row>
    <row r="5078">
      <c r="A5078" t="inlineStr">
        <is>
          <t>a9a80dd485d4058159acd75553f0d2f2</t>
        </is>
      </c>
      <c r="B5078" s="29" t="n">
        <v>43111</v>
      </c>
      <c r="C5078" t="inlineStr">
        <is>
          <t>2018-01</t>
        </is>
      </c>
      <c r="D5078" t="inlineStr">
        <is>
          <t>e492ee5eaf1697716985cc6f33f9cd9b</t>
        </is>
      </c>
      <c r="E5078" t="inlineStr">
        <is>
          <t>organic_search</t>
        </is>
      </c>
      <c r="F5078">
        <f>IFERROR(MATCH(A5078,Deals!$A$2:$A$843,0),"")</f>
        <v/>
      </c>
      <c r="G5078">
        <f>IF(F5078="",0,1)</f>
        <v/>
      </c>
      <c r="H5078" s="29">
        <f>IF(F5078="","",INDEX(Deals!$E$2:$E$843,F5078))</f>
        <v/>
      </c>
      <c r="I5078">
        <f>IF(F5078="","",INDEX(Deals!$D$2:$D$843,F5078))</f>
        <v/>
      </c>
      <c r="J5078">
        <f>IF(F5078="","",INT(H5078)-B5078)</f>
        <v/>
      </c>
      <c r="K5078">
        <f>IF(B5078&gt;=Settings!$C$5,1,0)</f>
        <v/>
      </c>
    </row>
    <row r="5079">
      <c r="A5079" t="inlineStr">
        <is>
          <t>f5a96340894b4583c7365b639e33d52f</t>
        </is>
      </c>
      <c r="B5079" s="29" t="n">
        <v>43109</v>
      </c>
      <c r="C5079" t="inlineStr">
        <is>
          <t>2018-01</t>
        </is>
      </c>
      <c r="D5079" t="inlineStr">
        <is>
          <t>40dec9f3d5259a3d2dbcdab2114fae47</t>
        </is>
      </c>
      <c r="E5079" t="inlineStr">
        <is>
          <t>unknown</t>
        </is>
      </c>
      <c r="F5079">
        <f>IFERROR(MATCH(A5079,Deals!$A$2:$A$843,0),"")</f>
        <v/>
      </c>
      <c r="G5079">
        <f>IF(F5079="",0,1)</f>
        <v/>
      </c>
      <c r="H5079" s="29">
        <f>IF(F5079="","",INDEX(Deals!$E$2:$E$843,F5079))</f>
        <v/>
      </c>
      <c r="I5079">
        <f>IF(F5079="","",INDEX(Deals!$D$2:$D$843,F5079))</f>
        <v/>
      </c>
      <c r="J5079">
        <f>IF(F5079="","",INT(H5079)-B5079)</f>
        <v/>
      </c>
      <c r="K5079">
        <f>IF(B5079&gt;=Settings!$C$5,1,0)</f>
        <v/>
      </c>
    </row>
    <row r="5080">
      <c r="A5080" t="inlineStr">
        <is>
          <t>5eca46e40da5b91af0922aaf4bc32583</t>
        </is>
      </c>
      <c r="B5080" s="29" t="n">
        <v>43230</v>
      </c>
      <c r="C5080" t="inlineStr">
        <is>
          <t>2018-05</t>
        </is>
      </c>
      <c r="D5080" t="inlineStr">
        <is>
          <t>58326e62183c14b0c03085c33b9fdc44</t>
        </is>
      </c>
      <c r="E5080" t="inlineStr">
        <is>
          <t>social</t>
        </is>
      </c>
      <c r="F5080">
        <f>IFERROR(MATCH(A5080,Deals!$A$2:$A$843,0),"")</f>
        <v/>
      </c>
      <c r="G5080">
        <f>IF(F5080="",0,1)</f>
        <v/>
      </c>
      <c r="H5080" s="29">
        <f>IF(F5080="","",INDEX(Deals!$E$2:$E$843,F5080))</f>
        <v/>
      </c>
      <c r="I5080">
        <f>IF(F5080="","",INDEX(Deals!$D$2:$D$843,F5080))</f>
        <v/>
      </c>
      <c r="J5080">
        <f>IF(F5080="","",INT(H5080)-B5080)</f>
        <v/>
      </c>
      <c r="K5080">
        <f>IF(B5080&gt;=Settings!$C$5,1,0)</f>
        <v/>
      </c>
    </row>
    <row r="5081">
      <c r="A5081" t="inlineStr">
        <is>
          <t>8be61bb4942454f1fce2c9ff38c40ec3</t>
        </is>
      </c>
      <c r="B5081" s="29" t="n">
        <v>43251</v>
      </c>
      <c r="C5081" t="inlineStr">
        <is>
          <t>2018-05</t>
        </is>
      </c>
      <c r="D5081" t="inlineStr">
        <is>
          <t>0b353d6bc27566f1d238313c33d95f56</t>
        </is>
      </c>
      <c r="E5081" t="inlineStr">
        <is>
          <t>paid_search</t>
        </is>
      </c>
      <c r="F5081">
        <f>IFERROR(MATCH(A5081,Deals!$A$2:$A$843,0),"")</f>
        <v/>
      </c>
      <c r="G5081">
        <f>IF(F5081="",0,1)</f>
        <v/>
      </c>
      <c r="H5081" s="29">
        <f>IF(F5081="","",INDEX(Deals!$E$2:$E$843,F5081))</f>
        <v/>
      </c>
      <c r="I5081">
        <f>IF(F5081="","",INDEX(Deals!$D$2:$D$843,F5081))</f>
        <v/>
      </c>
      <c r="J5081">
        <f>IF(F5081="","",INT(H5081)-B5081)</f>
        <v/>
      </c>
      <c r="K5081">
        <f>IF(B5081&gt;=Settings!$C$5,1,0)</f>
        <v/>
      </c>
    </row>
    <row r="5082">
      <c r="A5082" t="inlineStr">
        <is>
          <t>d4101d82258e55566374438d8df8be0c</t>
        </is>
      </c>
      <c r="B5082" s="29" t="n">
        <v>43200</v>
      </c>
      <c r="C5082" t="inlineStr">
        <is>
          <t>2018-04</t>
        </is>
      </c>
      <c r="D5082" t="inlineStr">
        <is>
          <t>ce1a65abd0973638f1c887a6efcfa82d</t>
        </is>
      </c>
      <c r="E5082" t="inlineStr">
        <is>
          <t>organic_search</t>
        </is>
      </c>
      <c r="F5082">
        <f>IFERROR(MATCH(A5082,Deals!$A$2:$A$843,0),"")</f>
        <v/>
      </c>
      <c r="G5082">
        <f>IF(F5082="",0,1)</f>
        <v/>
      </c>
      <c r="H5082" s="29">
        <f>IF(F5082="","",INDEX(Deals!$E$2:$E$843,F5082))</f>
        <v/>
      </c>
      <c r="I5082">
        <f>IF(F5082="","",INDEX(Deals!$D$2:$D$843,F5082))</f>
        <v/>
      </c>
      <c r="J5082">
        <f>IF(F5082="","",INT(H5082)-B5082)</f>
        <v/>
      </c>
      <c r="K5082">
        <f>IF(B5082&gt;=Settings!$C$5,1,0)</f>
        <v/>
      </c>
    </row>
    <row r="5083">
      <c r="A5083" t="inlineStr">
        <is>
          <t>2eef67b0201d6efda363726dc4588070</t>
        </is>
      </c>
      <c r="B5083" s="29" t="n">
        <v>43137</v>
      </c>
      <c r="C5083" t="inlineStr">
        <is>
          <t>2018-02</t>
        </is>
      </c>
      <c r="D5083" t="inlineStr">
        <is>
          <t>88740e65d5d6b056e0cda098e1ea6313</t>
        </is>
      </c>
      <c r="E5083" t="inlineStr">
        <is>
          <t>social</t>
        </is>
      </c>
      <c r="F5083">
        <f>IFERROR(MATCH(A5083,Deals!$A$2:$A$843,0),"")</f>
        <v/>
      </c>
      <c r="G5083">
        <f>IF(F5083="",0,1)</f>
        <v/>
      </c>
      <c r="H5083" s="29">
        <f>IF(F5083="","",INDEX(Deals!$E$2:$E$843,F5083))</f>
        <v/>
      </c>
      <c r="I5083">
        <f>IF(F5083="","",INDEX(Deals!$D$2:$D$843,F5083))</f>
        <v/>
      </c>
      <c r="J5083">
        <f>IF(F5083="","",INT(H5083)-B5083)</f>
        <v/>
      </c>
      <c r="K5083">
        <f>IF(B5083&gt;=Settings!$C$5,1,0)</f>
        <v/>
      </c>
    </row>
    <row r="5084">
      <c r="A5084" t="inlineStr">
        <is>
          <t>1c7fc92b4e56daf8abebce1c429e0d5a</t>
        </is>
      </c>
      <c r="B5084" s="29" t="n">
        <v>43067</v>
      </c>
      <c r="C5084" t="inlineStr">
        <is>
          <t>2017-11</t>
        </is>
      </c>
      <c r="D5084" t="inlineStr">
        <is>
          <t>88740e65d5d6b056e0cda098e1ea6313</t>
        </is>
      </c>
      <c r="E5084" t="inlineStr">
        <is>
          <t>social</t>
        </is>
      </c>
      <c r="F5084">
        <f>IFERROR(MATCH(A5084,Deals!$A$2:$A$843,0),"")</f>
        <v/>
      </c>
      <c r="G5084">
        <f>IF(F5084="",0,1)</f>
        <v/>
      </c>
      <c r="H5084" s="29">
        <f>IF(F5084="","",INDEX(Deals!$E$2:$E$843,F5084))</f>
        <v/>
      </c>
      <c r="I5084">
        <f>IF(F5084="","",INDEX(Deals!$D$2:$D$843,F5084))</f>
        <v/>
      </c>
      <c r="J5084">
        <f>IF(F5084="","",INT(H5084)-B5084)</f>
        <v/>
      </c>
      <c r="K5084">
        <f>IF(B5084&gt;=Settings!$C$5,1,0)</f>
        <v/>
      </c>
    </row>
    <row r="5085">
      <c r="A5085" t="inlineStr">
        <is>
          <t>35c13118f5be908c0dcca1464bd9106e</t>
        </is>
      </c>
      <c r="B5085" s="29" t="n">
        <v>43157</v>
      </c>
      <c r="C5085" t="inlineStr">
        <is>
          <t>2018-02</t>
        </is>
      </c>
      <c r="D5085" t="inlineStr">
        <is>
          <t>27cd3540bace1f4a4b2bc6d319b0553c</t>
        </is>
      </c>
      <c r="E5085" t="inlineStr">
        <is>
          <t>unknown</t>
        </is>
      </c>
      <c r="F5085">
        <f>IFERROR(MATCH(A5085,Deals!$A$2:$A$843,0),"")</f>
        <v/>
      </c>
      <c r="G5085">
        <f>IF(F5085="",0,1)</f>
        <v/>
      </c>
      <c r="H5085" s="29">
        <f>IF(F5085="","",INDEX(Deals!$E$2:$E$843,F5085))</f>
        <v/>
      </c>
      <c r="I5085">
        <f>IF(F5085="","",INDEX(Deals!$D$2:$D$843,F5085))</f>
        <v/>
      </c>
      <c r="J5085">
        <f>IF(F5085="","",INT(H5085)-B5085)</f>
        <v/>
      </c>
      <c r="K5085">
        <f>IF(B5085&gt;=Settings!$C$5,1,0)</f>
        <v/>
      </c>
    </row>
    <row r="5086">
      <c r="A5086" t="inlineStr">
        <is>
          <t>ba0773260354774c193b04f6af910192</t>
        </is>
      </c>
      <c r="B5086" s="29" t="n">
        <v>43180</v>
      </c>
      <c r="C5086" t="inlineStr">
        <is>
          <t>2018-03</t>
        </is>
      </c>
      <c r="D5086" t="inlineStr">
        <is>
          <t>27cd3540bace1f4a4b2bc6d319b0553c</t>
        </is>
      </c>
      <c r="E5086" t="inlineStr">
        <is>
          <t>direct_traffic</t>
        </is>
      </c>
      <c r="F5086">
        <f>IFERROR(MATCH(A5086,Deals!$A$2:$A$843,0),"")</f>
        <v/>
      </c>
      <c r="G5086">
        <f>IF(F5086="",0,1)</f>
        <v/>
      </c>
      <c r="H5086" s="29">
        <f>IF(F5086="","",INDEX(Deals!$E$2:$E$843,F5086))</f>
        <v/>
      </c>
      <c r="I5086">
        <f>IF(F5086="","",INDEX(Deals!$D$2:$D$843,F5086))</f>
        <v/>
      </c>
      <c r="J5086">
        <f>IF(F5086="","",INT(H5086)-B5086)</f>
        <v/>
      </c>
      <c r="K5086">
        <f>IF(B5086&gt;=Settings!$C$5,1,0)</f>
        <v/>
      </c>
    </row>
    <row r="5087">
      <c r="A5087" t="inlineStr">
        <is>
          <t>a5676171b00e004f5956b7933de18b0d</t>
        </is>
      </c>
      <c r="B5087" s="29" t="n">
        <v>43153</v>
      </c>
      <c r="C5087" t="inlineStr">
        <is>
          <t>2018-02</t>
        </is>
      </c>
      <c r="D5087" t="inlineStr">
        <is>
          <t>2228a43ac0bc372e25f9569e69fc9015</t>
        </is>
      </c>
      <c r="E5087" t="inlineStr">
        <is>
          <t>paid_search</t>
        </is>
      </c>
      <c r="F5087">
        <f>IFERROR(MATCH(A5087,Deals!$A$2:$A$843,0),"")</f>
        <v/>
      </c>
      <c r="G5087">
        <f>IF(F5087="",0,1)</f>
        <v/>
      </c>
      <c r="H5087" s="29">
        <f>IF(F5087="","",INDEX(Deals!$E$2:$E$843,F5087))</f>
        <v/>
      </c>
      <c r="I5087">
        <f>IF(F5087="","",INDEX(Deals!$D$2:$D$843,F5087))</f>
        <v/>
      </c>
      <c r="J5087">
        <f>IF(F5087="","",INT(H5087)-B5087)</f>
        <v/>
      </c>
      <c r="K5087">
        <f>IF(B5087&gt;=Settings!$C$5,1,0)</f>
        <v/>
      </c>
    </row>
    <row r="5088">
      <c r="A5088" t="inlineStr">
        <is>
          <t>b55d7ce2adb9449fc4dae6115cbbe30f</t>
        </is>
      </c>
      <c r="B5088" s="29" t="n">
        <v>43136</v>
      </c>
      <c r="C5088" t="inlineStr">
        <is>
          <t>2018-02</t>
        </is>
      </c>
      <c r="D5088" t="inlineStr">
        <is>
          <t>88740e65d5d6b056e0cda098e1ea6313</t>
        </is>
      </c>
      <c r="E5088" t="inlineStr">
        <is>
          <t>paid_search</t>
        </is>
      </c>
      <c r="F5088">
        <f>IFERROR(MATCH(A5088,Deals!$A$2:$A$843,0),"")</f>
        <v/>
      </c>
      <c r="G5088">
        <f>IF(F5088="",0,1)</f>
        <v/>
      </c>
      <c r="H5088" s="29">
        <f>IF(F5088="","",INDEX(Deals!$E$2:$E$843,F5088))</f>
        <v/>
      </c>
      <c r="I5088">
        <f>IF(F5088="","",INDEX(Deals!$D$2:$D$843,F5088))</f>
        <v/>
      </c>
      <c r="J5088">
        <f>IF(F5088="","",INT(H5088)-B5088)</f>
        <v/>
      </c>
      <c r="K5088">
        <f>IF(B5088&gt;=Settings!$C$5,1,0)</f>
        <v/>
      </c>
    </row>
    <row r="5089">
      <c r="A5089" t="inlineStr">
        <is>
          <t>f5a1d0cc197cca41eaa5035bbffd4841</t>
        </is>
      </c>
      <c r="B5089" s="29" t="n">
        <v>43235</v>
      </c>
      <c r="C5089" t="inlineStr">
        <is>
          <t>2018-05</t>
        </is>
      </c>
      <c r="D5089" t="inlineStr">
        <is>
          <t>67215f7bc6c2a85df0711d66d514a3d9</t>
        </is>
      </c>
      <c r="E5089" t="inlineStr">
        <is>
          <t>unknown</t>
        </is>
      </c>
      <c r="F5089">
        <f>IFERROR(MATCH(A5089,Deals!$A$2:$A$843,0),"")</f>
        <v/>
      </c>
      <c r="G5089">
        <f>IF(F5089="",0,1)</f>
        <v/>
      </c>
      <c r="H5089" s="29">
        <f>IF(F5089="","",INDEX(Deals!$E$2:$E$843,F5089))</f>
        <v/>
      </c>
      <c r="I5089">
        <f>IF(F5089="","",INDEX(Deals!$D$2:$D$843,F5089))</f>
        <v/>
      </c>
      <c r="J5089">
        <f>IF(F5089="","",INT(H5089)-B5089)</f>
        <v/>
      </c>
      <c r="K5089">
        <f>IF(B5089&gt;=Settings!$C$5,1,0)</f>
        <v/>
      </c>
    </row>
    <row r="5090">
      <c r="A5090" t="inlineStr">
        <is>
          <t>cded3aaf29d4f966ac4207eeaa15dcfc</t>
        </is>
      </c>
      <c r="B5090" s="29" t="n">
        <v>43061</v>
      </c>
      <c r="C5090" t="inlineStr">
        <is>
          <t>2017-11</t>
        </is>
      </c>
      <c r="D5090" t="inlineStr">
        <is>
          <t>f03e241af08912ba7ffb65d69b0eb4d9</t>
        </is>
      </c>
      <c r="E5090" t="inlineStr">
        <is>
          <t>paid_search</t>
        </is>
      </c>
      <c r="F5090">
        <f>IFERROR(MATCH(A5090,Deals!$A$2:$A$843,0),"")</f>
        <v/>
      </c>
      <c r="G5090">
        <f>IF(F5090="",0,1)</f>
        <v/>
      </c>
      <c r="H5090" s="29">
        <f>IF(F5090="","",INDEX(Deals!$E$2:$E$843,F5090))</f>
        <v/>
      </c>
      <c r="I5090">
        <f>IF(F5090="","",INDEX(Deals!$D$2:$D$843,F5090))</f>
        <v/>
      </c>
      <c r="J5090">
        <f>IF(F5090="","",INT(H5090)-B5090)</f>
        <v/>
      </c>
      <c r="K5090">
        <f>IF(B5090&gt;=Settings!$C$5,1,0)</f>
        <v/>
      </c>
    </row>
    <row r="5091">
      <c r="A5091" t="inlineStr">
        <is>
          <t>6afb45b1fa88e49d68d1ed2c3481a36a</t>
        </is>
      </c>
      <c r="B5091" s="29" t="n">
        <v>42991</v>
      </c>
      <c r="C5091" t="inlineStr">
        <is>
          <t>2017-09</t>
        </is>
      </c>
      <c r="D5091" t="inlineStr">
        <is>
          <t>298895230612f85f0742434fc434ad10</t>
        </is>
      </c>
      <c r="E5091" t="inlineStr">
        <is>
          <t>email</t>
        </is>
      </c>
      <c r="F5091">
        <f>IFERROR(MATCH(A5091,Deals!$A$2:$A$843,0),"")</f>
        <v/>
      </c>
      <c r="G5091">
        <f>IF(F5091="",0,1)</f>
        <v/>
      </c>
      <c r="H5091" s="29">
        <f>IF(F5091="","",INDEX(Deals!$E$2:$E$843,F5091))</f>
        <v/>
      </c>
      <c r="I5091">
        <f>IF(F5091="","",INDEX(Deals!$D$2:$D$843,F5091))</f>
        <v/>
      </c>
      <c r="J5091">
        <f>IF(F5091="","",INT(H5091)-B5091)</f>
        <v/>
      </c>
      <c r="K5091">
        <f>IF(B5091&gt;=Settings!$C$5,1,0)</f>
        <v/>
      </c>
    </row>
    <row r="5092">
      <c r="A5092" t="inlineStr">
        <is>
          <t>36ed6e6ed1415bdbbb65d53883df06b5</t>
        </is>
      </c>
      <c r="B5092" s="29" t="n">
        <v>43207</v>
      </c>
      <c r="C5092" t="inlineStr">
        <is>
          <t>2018-04</t>
        </is>
      </c>
      <c r="D5092" t="inlineStr">
        <is>
          <t>35c9b150ab36fe584c1f24fd458c453a</t>
        </is>
      </c>
      <c r="E5092" t="inlineStr">
        <is>
          <t>referral</t>
        </is>
      </c>
      <c r="F5092">
        <f>IFERROR(MATCH(A5092,Deals!$A$2:$A$843,0),"")</f>
        <v/>
      </c>
      <c r="G5092">
        <f>IF(F5092="",0,1)</f>
        <v/>
      </c>
      <c r="H5092" s="29">
        <f>IF(F5092="","",INDEX(Deals!$E$2:$E$843,F5092))</f>
        <v/>
      </c>
      <c r="I5092">
        <f>IF(F5092="","",INDEX(Deals!$D$2:$D$843,F5092))</f>
        <v/>
      </c>
      <c r="J5092">
        <f>IF(F5092="","",INT(H5092)-B5092)</f>
        <v/>
      </c>
      <c r="K5092">
        <f>IF(B5092&gt;=Settings!$C$5,1,0)</f>
        <v/>
      </c>
    </row>
    <row r="5093">
      <c r="A5093" t="inlineStr">
        <is>
          <t>b17e796ecb7ca0a99d52a19390bcfc61</t>
        </is>
      </c>
      <c r="B5093" s="29" t="n">
        <v>43164</v>
      </c>
      <c r="C5093" t="inlineStr">
        <is>
          <t>2018-03</t>
        </is>
      </c>
      <c r="D5093" t="inlineStr">
        <is>
          <t>88740e65d5d6b056e0cda098e1ea6313</t>
        </is>
      </c>
      <c r="E5093" t="inlineStr">
        <is>
          <t>social</t>
        </is>
      </c>
      <c r="F5093">
        <f>IFERROR(MATCH(A5093,Deals!$A$2:$A$843,0),"")</f>
        <v/>
      </c>
      <c r="G5093">
        <f>IF(F5093="",0,1)</f>
        <v/>
      </c>
      <c r="H5093" s="29">
        <f>IF(F5093="","",INDEX(Deals!$E$2:$E$843,F5093))</f>
        <v/>
      </c>
      <c r="I5093">
        <f>IF(F5093="","",INDEX(Deals!$D$2:$D$843,F5093))</f>
        <v/>
      </c>
      <c r="J5093">
        <f>IF(F5093="","",INT(H5093)-B5093)</f>
        <v/>
      </c>
      <c r="K5093">
        <f>IF(B5093&gt;=Settings!$C$5,1,0)</f>
        <v/>
      </c>
    </row>
    <row r="5094">
      <c r="A5094" t="inlineStr">
        <is>
          <t>0ff768b9aec0057b915265fb8fccbe3a</t>
        </is>
      </c>
      <c r="B5094" s="29" t="n">
        <v>43026</v>
      </c>
      <c r="C5094" t="inlineStr">
        <is>
          <t>2017-10</t>
        </is>
      </c>
      <c r="D5094" t="inlineStr">
        <is>
          <t>f017be4dbf86243af5c1ebed0cff36a2</t>
        </is>
      </c>
      <c r="E5094" t="inlineStr">
        <is>
          <t>organic_search</t>
        </is>
      </c>
      <c r="F5094">
        <f>IFERROR(MATCH(A5094,Deals!$A$2:$A$843,0),"")</f>
        <v/>
      </c>
      <c r="G5094">
        <f>IF(F5094="",0,1)</f>
        <v/>
      </c>
      <c r="H5094" s="29">
        <f>IF(F5094="","",INDEX(Deals!$E$2:$E$843,F5094))</f>
        <v/>
      </c>
      <c r="I5094">
        <f>IF(F5094="","",INDEX(Deals!$D$2:$D$843,F5094))</f>
        <v/>
      </c>
      <c r="J5094">
        <f>IF(F5094="","",INT(H5094)-B5094)</f>
        <v/>
      </c>
      <c r="K5094">
        <f>IF(B5094&gt;=Settings!$C$5,1,0)</f>
        <v/>
      </c>
    </row>
    <row r="5095">
      <c r="A5095" t="inlineStr">
        <is>
          <t>251081321995fc4185d55a5d3e788e39</t>
        </is>
      </c>
      <c r="B5095" s="29" t="n">
        <v>43136</v>
      </c>
      <c r="C5095" t="inlineStr">
        <is>
          <t>2018-02</t>
        </is>
      </c>
      <c r="D5095" t="inlineStr">
        <is>
          <t>15cf89bab2c3163b4f9d8601d108f8b2</t>
        </is>
      </c>
      <c r="E5095" t="inlineStr">
        <is>
          <t>organic_search</t>
        </is>
      </c>
      <c r="F5095">
        <f>IFERROR(MATCH(A5095,Deals!$A$2:$A$843,0),"")</f>
        <v/>
      </c>
      <c r="G5095">
        <f>IF(F5095="",0,1)</f>
        <v/>
      </c>
      <c r="H5095" s="29">
        <f>IF(F5095="","",INDEX(Deals!$E$2:$E$843,F5095))</f>
        <v/>
      </c>
      <c r="I5095">
        <f>IF(F5095="","",INDEX(Deals!$D$2:$D$843,F5095))</f>
        <v/>
      </c>
      <c r="J5095">
        <f>IF(F5095="","",INT(H5095)-B5095)</f>
        <v/>
      </c>
      <c r="K5095">
        <f>IF(B5095&gt;=Settings!$C$5,1,0)</f>
        <v/>
      </c>
    </row>
    <row r="5096">
      <c r="A5096" t="inlineStr">
        <is>
          <t>0fea2b3318abff2a4caa04545ada33d9</t>
        </is>
      </c>
      <c r="B5096" s="29" t="n">
        <v>43206</v>
      </c>
      <c r="C5096" t="inlineStr">
        <is>
          <t>2018-04</t>
        </is>
      </c>
      <c r="D5096" t="inlineStr">
        <is>
          <t>73f31a40697cc90a86c1273563ac230e</t>
        </is>
      </c>
      <c r="E5096" t="inlineStr">
        <is>
          <t>other</t>
        </is>
      </c>
      <c r="F5096">
        <f>IFERROR(MATCH(A5096,Deals!$A$2:$A$843,0),"")</f>
        <v/>
      </c>
      <c r="G5096">
        <f>IF(F5096="",0,1)</f>
        <v/>
      </c>
      <c r="H5096" s="29">
        <f>IF(F5096="","",INDEX(Deals!$E$2:$E$843,F5096))</f>
        <v/>
      </c>
      <c r="I5096">
        <f>IF(F5096="","",INDEX(Deals!$D$2:$D$843,F5096))</f>
        <v/>
      </c>
      <c r="J5096">
        <f>IF(F5096="","",INT(H5096)-B5096)</f>
        <v/>
      </c>
      <c r="K5096">
        <f>IF(B5096&gt;=Settings!$C$5,1,0)</f>
        <v/>
      </c>
    </row>
    <row r="5097">
      <c r="A5097" t="inlineStr">
        <is>
          <t>816db1628e55697e86b63406750fff4a</t>
        </is>
      </c>
      <c r="B5097" s="29" t="n">
        <v>43117</v>
      </c>
      <c r="C5097" t="inlineStr">
        <is>
          <t>2018-01</t>
        </is>
      </c>
      <c r="D5097" t="inlineStr">
        <is>
          <t>b76ef37428e6799c421989521c0e5077</t>
        </is>
      </c>
      <c r="E5097" t="inlineStr">
        <is>
          <t>unknown</t>
        </is>
      </c>
      <c r="F5097">
        <f>IFERROR(MATCH(A5097,Deals!$A$2:$A$843,0),"")</f>
        <v/>
      </c>
      <c r="G5097">
        <f>IF(F5097="",0,1)</f>
        <v/>
      </c>
      <c r="H5097" s="29">
        <f>IF(F5097="","",INDEX(Deals!$E$2:$E$843,F5097))</f>
        <v/>
      </c>
      <c r="I5097">
        <f>IF(F5097="","",INDEX(Deals!$D$2:$D$843,F5097))</f>
        <v/>
      </c>
      <c r="J5097">
        <f>IF(F5097="","",INT(H5097)-B5097)</f>
        <v/>
      </c>
      <c r="K5097">
        <f>IF(B5097&gt;=Settings!$C$5,1,0)</f>
        <v/>
      </c>
    </row>
    <row r="5098">
      <c r="A5098" t="inlineStr">
        <is>
          <t>39a1defee57f7841d42d24a41918815b</t>
        </is>
      </c>
      <c r="B5098" s="29" t="n">
        <v>43068</v>
      </c>
      <c r="C5098" t="inlineStr">
        <is>
          <t>2017-11</t>
        </is>
      </c>
      <c r="D5098" t="inlineStr">
        <is>
          <t>88740e65d5d6b056e0cda098e1ea6313</t>
        </is>
      </c>
      <c r="E5098" t="inlineStr">
        <is>
          <t>social</t>
        </is>
      </c>
      <c r="F5098">
        <f>IFERROR(MATCH(A5098,Deals!$A$2:$A$843,0),"")</f>
        <v/>
      </c>
      <c r="G5098">
        <f>IF(F5098="",0,1)</f>
        <v/>
      </c>
      <c r="H5098" s="29">
        <f>IF(F5098="","",INDEX(Deals!$E$2:$E$843,F5098))</f>
        <v/>
      </c>
      <c r="I5098">
        <f>IF(F5098="","",INDEX(Deals!$D$2:$D$843,F5098))</f>
        <v/>
      </c>
      <c r="J5098">
        <f>IF(F5098="","",INT(H5098)-B5098)</f>
        <v/>
      </c>
      <c r="K5098">
        <f>IF(B5098&gt;=Settings!$C$5,1,0)</f>
        <v/>
      </c>
    </row>
    <row r="5099">
      <c r="A5099" t="inlineStr">
        <is>
          <t>f5772c97a8e2bcf909674d8701480d55</t>
        </is>
      </c>
      <c r="B5099" s="29" t="n">
        <v>43130</v>
      </c>
      <c r="C5099" t="inlineStr">
        <is>
          <t>2018-01</t>
        </is>
      </c>
      <c r="D5099" t="inlineStr">
        <is>
          <t>ce1a65abd0973638f1c887a6efcfa82d</t>
        </is>
      </c>
      <c r="E5099" t="inlineStr">
        <is>
          <t>organic_search</t>
        </is>
      </c>
      <c r="F5099">
        <f>IFERROR(MATCH(A5099,Deals!$A$2:$A$843,0),"")</f>
        <v/>
      </c>
      <c r="G5099">
        <f>IF(F5099="",0,1)</f>
        <v/>
      </c>
      <c r="H5099" s="29">
        <f>IF(F5099="","",INDEX(Deals!$E$2:$E$843,F5099))</f>
        <v/>
      </c>
      <c r="I5099">
        <f>IF(F5099="","",INDEX(Deals!$D$2:$D$843,F5099))</f>
        <v/>
      </c>
      <c r="J5099">
        <f>IF(F5099="","",INT(H5099)-B5099)</f>
        <v/>
      </c>
      <c r="K5099">
        <f>IF(B5099&gt;=Settings!$C$5,1,0)</f>
        <v/>
      </c>
    </row>
    <row r="5100">
      <c r="A5100" t="inlineStr">
        <is>
          <t>4926b735eb624e5de200880635cc272a</t>
        </is>
      </c>
      <c r="B5100" s="29" t="n">
        <v>43108</v>
      </c>
      <c r="C5100" t="inlineStr">
        <is>
          <t>2018-01</t>
        </is>
      </c>
      <c r="D5100" t="inlineStr">
        <is>
          <t>22c29808c4f815213303f8933030604c</t>
        </is>
      </c>
      <c r="E5100" t="inlineStr">
        <is>
          <t>organic_search</t>
        </is>
      </c>
      <c r="F5100">
        <f>IFERROR(MATCH(A5100,Deals!$A$2:$A$843,0),"")</f>
        <v/>
      </c>
      <c r="G5100">
        <f>IF(F5100="",0,1)</f>
        <v/>
      </c>
      <c r="H5100" s="29">
        <f>IF(F5100="","",INDEX(Deals!$E$2:$E$843,F5100))</f>
        <v/>
      </c>
      <c r="I5100">
        <f>IF(F5100="","",INDEX(Deals!$D$2:$D$843,F5100))</f>
        <v/>
      </c>
      <c r="J5100">
        <f>IF(F5100="","",INT(H5100)-B5100)</f>
        <v/>
      </c>
      <c r="K5100">
        <f>IF(B5100&gt;=Settings!$C$5,1,0)</f>
        <v/>
      </c>
    </row>
    <row r="5101">
      <c r="A5101" t="inlineStr">
        <is>
          <t>2a0231d2d461c00f311124486fc4d8f8</t>
        </is>
      </c>
      <c r="B5101" s="29" t="n">
        <v>43120</v>
      </c>
      <c r="C5101" t="inlineStr">
        <is>
          <t>2018-01</t>
        </is>
      </c>
      <c r="D5101" t="inlineStr">
        <is>
          <t>88740e65d5d6b056e0cda098e1ea6313</t>
        </is>
      </c>
      <c r="E5101" t="inlineStr">
        <is>
          <t>social</t>
        </is>
      </c>
      <c r="F5101">
        <f>IFERROR(MATCH(A5101,Deals!$A$2:$A$843,0),"")</f>
        <v/>
      </c>
      <c r="G5101">
        <f>IF(F5101="",0,1)</f>
        <v/>
      </c>
      <c r="H5101" s="29">
        <f>IF(F5101="","",INDEX(Deals!$E$2:$E$843,F5101))</f>
        <v/>
      </c>
      <c r="I5101">
        <f>IF(F5101="","",INDEX(Deals!$D$2:$D$843,F5101))</f>
        <v/>
      </c>
      <c r="J5101">
        <f>IF(F5101="","",INT(H5101)-B5101)</f>
        <v/>
      </c>
      <c r="K5101">
        <f>IF(B5101&gt;=Settings!$C$5,1,0)</f>
        <v/>
      </c>
    </row>
    <row r="5102">
      <c r="A5102" t="inlineStr">
        <is>
          <t>59453fa0bebefbd119f74f689486c243</t>
        </is>
      </c>
      <c r="B5102" s="29" t="n">
        <v>43215</v>
      </c>
      <c r="C5102" t="inlineStr">
        <is>
          <t>2018-04</t>
        </is>
      </c>
      <c r="D5102" t="inlineStr">
        <is>
          <t>22c29808c4f815213303f8933030604c</t>
        </is>
      </c>
      <c r="E5102" t="inlineStr">
        <is>
          <t>organic_search</t>
        </is>
      </c>
      <c r="F5102">
        <f>IFERROR(MATCH(A5102,Deals!$A$2:$A$843,0),"")</f>
        <v/>
      </c>
      <c r="G5102">
        <f>IF(F5102="",0,1)</f>
        <v/>
      </c>
      <c r="H5102" s="29">
        <f>IF(F5102="","",INDEX(Deals!$E$2:$E$843,F5102))</f>
        <v/>
      </c>
      <c r="I5102">
        <f>IF(F5102="","",INDEX(Deals!$D$2:$D$843,F5102))</f>
        <v/>
      </c>
      <c r="J5102">
        <f>IF(F5102="","",INT(H5102)-B5102)</f>
        <v/>
      </c>
      <c r="K5102">
        <f>IF(B5102&gt;=Settings!$C$5,1,0)</f>
        <v/>
      </c>
    </row>
    <row r="5103">
      <c r="A5103" t="inlineStr">
        <is>
          <t>30841bea013ba7357328165089fd6b47</t>
        </is>
      </c>
      <c r="B5103" s="29" t="n">
        <v>43034</v>
      </c>
      <c r="C5103" t="inlineStr">
        <is>
          <t>2017-10</t>
        </is>
      </c>
      <c r="D5103" t="inlineStr">
        <is>
          <t>007f9098284a86ee80ddeb25d53e0af8</t>
        </is>
      </c>
      <c r="E5103" t="inlineStr">
        <is>
          <t>organic_search</t>
        </is>
      </c>
      <c r="F5103">
        <f>IFERROR(MATCH(A5103,Deals!$A$2:$A$843,0),"")</f>
        <v/>
      </c>
      <c r="G5103">
        <f>IF(F5103="",0,1)</f>
        <v/>
      </c>
      <c r="H5103" s="29">
        <f>IF(F5103="","",INDEX(Deals!$E$2:$E$843,F5103))</f>
        <v/>
      </c>
      <c r="I5103">
        <f>IF(F5103="","",INDEX(Deals!$D$2:$D$843,F5103))</f>
        <v/>
      </c>
      <c r="J5103">
        <f>IF(F5103="","",INT(H5103)-B5103)</f>
        <v/>
      </c>
      <c r="K5103">
        <f>IF(B5103&gt;=Settings!$C$5,1,0)</f>
        <v/>
      </c>
    </row>
    <row r="5104">
      <c r="A5104" t="inlineStr">
        <is>
          <t>817de051c6314c5bd351084d5296f2e7</t>
        </is>
      </c>
      <c r="B5104" s="29" t="n">
        <v>43161</v>
      </c>
      <c r="C5104" t="inlineStr">
        <is>
          <t>2018-03</t>
        </is>
      </c>
      <c r="D5104" t="inlineStr">
        <is>
          <t>65d9f9d71e562365e8b44037c2888d98</t>
        </is>
      </c>
      <c r="E5104" t="inlineStr">
        <is>
          <t>organic_search</t>
        </is>
      </c>
      <c r="F5104">
        <f>IFERROR(MATCH(A5104,Deals!$A$2:$A$843,0),"")</f>
        <v/>
      </c>
      <c r="G5104">
        <f>IF(F5104="",0,1)</f>
        <v/>
      </c>
      <c r="H5104" s="29">
        <f>IF(F5104="","",INDEX(Deals!$E$2:$E$843,F5104))</f>
        <v/>
      </c>
      <c r="I5104">
        <f>IF(F5104="","",INDEX(Deals!$D$2:$D$843,F5104))</f>
        <v/>
      </c>
      <c r="J5104">
        <f>IF(F5104="","",INT(H5104)-B5104)</f>
        <v/>
      </c>
      <c r="K5104">
        <f>IF(B5104&gt;=Settings!$C$5,1,0)</f>
        <v/>
      </c>
    </row>
    <row r="5105">
      <c r="A5105" t="inlineStr">
        <is>
          <t>981d34514a093fa94b6d484867e14fac</t>
        </is>
      </c>
      <c r="B5105" s="29" t="n">
        <v>43125</v>
      </c>
      <c r="C5105" t="inlineStr">
        <is>
          <t>2018-01</t>
        </is>
      </c>
      <c r="D5105" t="inlineStr">
        <is>
          <t>da14b7e2eb0d1eecf65abbd05a31c87d</t>
        </is>
      </c>
      <c r="E5105" t="inlineStr">
        <is>
          <t>unknown</t>
        </is>
      </c>
      <c r="F5105">
        <f>IFERROR(MATCH(A5105,Deals!$A$2:$A$843,0),"")</f>
        <v/>
      </c>
      <c r="G5105">
        <f>IF(F5105="",0,1)</f>
        <v/>
      </c>
      <c r="H5105" s="29">
        <f>IF(F5105="","",INDEX(Deals!$E$2:$E$843,F5105))</f>
        <v/>
      </c>
      <c r="I5105">
        <f>IF(F5105="","",INDEX(Deals!$D$2:$D$843,F5105))</f>
        <v/>
      </c>
      <c r="J5105">
        <f>IF(F5105="","",INT(H5105)-B5105)</f>
        <v/>
      </c>
      <c r="K5105">
        <f>IF(B5105&gt;=Settings!$C$5,1,0)</f>
        <v/>
      </c>
    </row>
    <row r="5106">
      <c r="A5106" t="inlineStr">
        <is>
          <t>81beb0c897b55ba7bc4d35105d2aaa62</t>
        </is>
      </c>
      <c r="B5106" s="29" t="n">
        <v>43147</v>
      </c>
      <c r="C5106" t="inlineStr">
        <is>
          <t>2018-02</t>
        </is>
      </c>
      <c r="D5106" t="inlineStr">
        <is>
          <t>b76ef37428e6799c421989521c0e5077</t>
        </is>
      </c>
      <c r="E5106" t="inlineStr">
        <is>
          <t>unknown</t>
        </is>
      </c>
      <c r="F5106">
        <f>IFERROR(MATCH(A5106,Deals!$A$2:$A$843,0),"")</f>
        <v/>
      </c>
      <c r="G5106">
        <f>IF(F5106="",0,1)</f>
        <v/>
      </c>
      <c r="H5106" s="29">
        <f>IF(F5106="","",INDEX(Deals!$E$2:$E$843,F5106))</f>
        <v/>
      </c>
      <c r="I5106">
        <f>IF(F5106="","",INDEX(Deals!$D$2:$D$843,F5106))</f>
        <v/>
      </c>
      <c r="J5106">
        <f>IF(F5106="","",INT(H5106)-B5106)</f>
        <v/>
      </c>
      <c r="K5106">
        <f>IF(B5106&gt;=Settings!$C$5,1,0)</f>
        <v/>
      </c>
    </row>
    <row r="5107">
      <c r="A5107" t="inlineStr">
        <is>
          <t>666ea6cdce817ac66f83e17f0229b4d7</t>
        </is>
      </c>
      <c r="B5107" s="29" t="n">
        <v>43098</v>
      </c>
      <c r="C5107" t="inlineStr">
        <is>
          <t>2017-12</t>
        </is>
      </c>
      <c r="D5107" t="inlineStr">
        <is>
          <t>b76ef37428e6799c421989521c0e5077</t>
        </is>
      </c>
      <c r="E5107" t="inlineStr">
        <is>
          <t>unknown</t>
        </is>
      </c>
      <c r="F5107">
        <f>IFERROR(MATCH(A5107,Deals!$A$2:$A$843,0),"")</f>
        <v/>
      </c>
      <c r="G5107">
        <f>IF(F5107="",0,1)</f>
        <v/>
      </c>
      <c r="H5107" s="29">
        <f>IF(F5107="","",INDEX(Deals!$E$2:$E$843,F5107))</f>
        <v/>
      </c>
      <c r="I5107">
        <f>IF(F5107="","",INDEX(Deals!$D$2:$D$843,F5107))</f>
        <v/>
      </c>
      <c r="J5107">
        <f>IF(F5107="","",INT(H5107)-B5107)</f>
        <v/>
      </c>
      <c r="K5107">
        <f>IF(B5107&gt;=Settings!$C$5,1,0)</f>
        <v/>
      </c>
    </row>
    <row r="5108">
      <c r="A5108" t="inlineStr">
        <is>
          <t>4d9687c66adadc63934f5102bf079d74</t>
        </is>
      </c>
      <c r="B5108" s="29" t="n">
        <v>43228</v>
      </c>
      <c r="C5108" t="inlineStr">
        <is>
          <t>2018-05</t>
        </is>
      </c>
      <c r="D5108" t="inlineStr">
        <is>
          <t>7fa6590e1b6cc9f17eb5cfdcfad63d50</t>
        </is>
      </c>
      <c r="E5108" t="inlineStr">
        <is>
          <t>direct_traffic</t>
        </is>
      </c>
      <c r="F5108">
        <f>IFERROR(MATCH(A5108,Deals!$A$2:$A$843,0),"")</f>
        <v/>
      </c>
      <c r="G5108">
        <f>IF(F5108="",0,1)</f>
        <v/>
      </c>
      <c r="H5108" s="29">
        <f>IF(F5108="","",INDEX(Deals!$E$2:$E$843,F5108))</f>
        <v/>
      </c>
      <c r="I5108">
        <f>IF(F5108="","",INDEX(Deals!$D$2:$D$843,F5108))</f>
        <v/>
      </c>
      <c r="J5108">
        <f>IF(F5108="","",INT(H5108)-B5108)</f>
        <v/>
      </c>
      <c r="K5108">
        <f>IF(B5108&gt;=Settings!$C$5,1,0)</f>
        <v/>
      </c>
    </row>
    <row r="5109">
      <c r="A5109" t="inlineStr">
        <is>
          <t>dbd456d85889141a5bca8a0b51abcd7a</t>
        </is>
      </c>
      <c r="B5109" s="29" t="n">
        <v>43066</v>
      </c>
      <c r="C5109" t="inlineStr">
        <is>
          <t>2017-11</t>
        </is>
      </c>
      <c r="D5109" t="inlineStr">
        <is>
          <t>40dec9f3d5259a3d2dbcdab2114fae47</t>
        </is>
      </c>
      <c r="E5109" t="inlineStr">
        <is>
          <t>paid_search</t>
        </is>
      </c>
      <c r="F5109">
        <f>IFERROR(MATCH(A5109,Deals!$A$2:$A$843,0),"")</f>
        <v/>
      </c>
      <c r="G5109">
        <f>IF(F5109="",0,1)</f>
        <v/>
      </c>
      <c r="H5109" s="29">
        <f>IF(F5109="","",INDEX(Deals!$E$2:$E$843,F5109))</f>
        <v/>
      </c>
      <c r="I5109">
        <f>IF(F5109="","",INDEX(Deals!$D$2:$D$843,F5109))</f>
        <v/>
      </c>
      <c r="J5109">
        <f>IF(F5109="","",INT(H5109)-B5109)</f>
        <v/>
      </c>
      <c r="K5109">
        <f>IF(B5109&gt;=Settings!$C$5,1,0)</f>
        <v/>
      </c>
    </row>
    <row r="5110">
      <c r="A5110" t="inlineStr">
        <is>
          <t>55e643e737da20b912037cce912305fb</t>
        </is>
      </c>
      <c r="B5110" s="29" t="n">
        <v>43157</v>
      </c>
      <c r="C5110" t="inlineStr">
        <is>
          <t>2018-02</t>
        </is>
      </c>
      <c r="D5110" t="inlineStr">
        <is>
          <t>ce1a65abd0973638f1c887a6efcfa82d</t>
        </is>
      </c>
      <c r="E5110" t="inlineStr">
        <is>
          <t>social</t>
        </is>
      </c>
      <c r="F5110">
        <f>IFERROR(MATCH(A5110,Deals!$A$2:$A$843,0),"")</f>
        <v/>
      </c>
      <c r="G5110">
        <f>IF(F5110="",0,1)</f>
        <v/>
      </c>
      <c r="H5110" s="29">
        <f>IF(F5110="","",INDEX(Deals!$E$2:$E$843,F5110))</f>
        <v/>
      </c>
      <c r="I5110">
        <f>IF(F5110="","",INDEX(Deals!$D$2:$D$843,F5110))</f>
        <v/>
      </c>
      <c r="J5110">
        <f>IF(F5110="","",INT(H5110)-B5110)</f>
        <v/>
      </c>
      <c r="K5110">
        <f>IF(B5110&gt;=Settings!$C$5,1,0)</f>
        <v/>
      </c>
    </row>
    <row r="5111">
      <c r="A5111" t="inlineStr">
        <is>
          <t>28f36aa85fbadc0663c2df15a5af35db</t>
        </is>
      </c>
      <c r="B5111" s="29" t="n">
        <v>43208</v>
      </c>
      <c r="C5111" t="inlineStr">
        <is>
          <t>2018-04</t>
        </is>
      </c>
      <c r="D5111" t="inlineStr">
        <is>
          <t>f017be4dbf86243af5c1ebed0cff36a2</t>
        </is>
      </c>
      <c r="E5111" t="inlineStr">
        <is>
          <t>organic_search</t>
        </is>
      </c>
      <c r="F5111">
        <f>IFERROR(MATCH(A5111,Deals!$A$2:$A$843,0),"")</f>
        <v/>
      </c>
      <c r="G5111">
        <f>IF(F5111="",0,1)</f>
        <v/>
      </c>
      <c r="H5111" s="29">
        <f>IF(F5111="","",INDEX(Deals!$E$2:$E$843,F5111))</f>
        <v/>
      </c>
      <c r="I5111">
        <f>IF(F5111="","",INDEX(Deals!$D$2:$D$843,F5111))</f>
        <v/>
      </c>
      <c r="J5111">
        <f>IF(F5111="","",INT(H5111)-B5111)</f>
        <v/>
      </c>
      <c r="K5111">
        <f>IF(B5111&gt;=Settings!$C$5,1,0)</f>
        <v/>
      </c>
    </row>
    <row r="5112">
      <c r="A5112" t="inlineStr">
        <is>
          <t>4cc79b05efacf681d3c957b92ec08ac2</t>
        </is>
      </c>
      <c r="B5112" s="29" t="n">
        <v>43066</v>
      </c>
      <c r="C5112" t="inlineStr">
        <is>
          <t>2017-11</t>
        </is>
      </c>
      <c r="D5112" t="inlineStr">
        <is>
          <t>f017be4dbf86243af5c1ebed0cff36a2</t>
        </is>
      </c>
      <c r="E5112" t="inlineStr">
        <is>
          <t>organic_search</t>
        </is>
      </c>
      <c r="F5112">
        <f>IFERROR(MATCH(A5112,Deals!$A$2:$A$843,0),"")</f>
        <v/>
      </c>
      <c r="G5112">
        <f>IF(F5112="",0,1)</f>
        <v/>
      </c>
      <c r="H5112" s="29">
        <f>IF(F5112="","",INDEX(Deals!$E$2:$E$843,F5112))</f>
        <v/>
      </c>
      <c r="I5112">
        <f>IF(F5112="","",INDEX(Deals!$D$2:$D$843,F5112))</f>
        <v/>
      </c>
      <c r="J5112">
        <f>IF(F5112="","",INT(H5112)-B5112)</f>
        <v/>
      </c>
      <c r="K5112">
        <f>IF(B5112&gt;=Settings!$C$5,1,0)</f>
        <v/>
      </c>
    </row>
    <row r="5113">
      <c r="A5113" t="inlineStr">
        <is>
          <t>0383bd4aa37e8dd109be3864bc703eda</t>
        </is>
      </c>
      <c r="B5113" s="29" t="n">
        <v>43034</v>
      </c>
      <c r="C5113" t="inlineStr">
        <is>
          <t>2017-10</t>
        </is>
      </c>
      <c r="D5113" t="inlineStr">
        <is>
          <t>733adfe409c752b5c200bf23fa2f22d0</t>
        </is>
      </c>
      <c r="E5113" t="inlineStr">
        <is>
          <t>paid_search</t>
        </is>
      </c>
      <c r="F5113">
        <f>IFERROR(MATCH(A5113,Deals!$A$2:$A$843,0),"")</f>
        <v/>
      </c>
      <c r="G5113">
        <f>IF(F5113="",0,1)</f>
        <v/>
      </c>
      <c r="H5113" s="29">
        <f>IF(F5113="","",INDEX(Deals!$E$2:$E$843,F5113))</f>
        <v/>
      </c>
      <c r="I5113">
        <f>IF(F5113="","",INDEX(Deals!$D$2:$D$843,F5113))</f>
        <v/>
      </c>
      <c r="J5113">
        <f>IF(F5113="","",INT(H5113)-B5113)</f>
        <v/>
      </c>
      <c r="K5113">
        <f>IF(B5113&gt;=Settings!$C$5,1,0)</f>
        <v/>
      </c>
    </row>
    <row r="5114">
      <c r="A5114" t="inlineStr">
        <is>
          <t>3a54be65ff15989e0d1bd75d5d18544a</t>
        </is>
      </c>
      <c r="B5114" s="29" t="n">
        <v>43189</v>
      </c>
      <c r="C5114" t="inlineStr">
        <is>
          <t>2018-03</t>
        </is>
      </c>
      <c r="D5114" t="inlineStr">
        <is>
          <t>b76ef37428e6799c421989521c0e5077</t>
        </is>
      </c>
      <c r="E5114" t="inlineStr">
        <is>
          <t>direct_traffic</t>
        </is>
      </c>
      <c r="F5114">
        <f>IFERROR(MATCH(A5114,Deals!$A$2:$A$843,0),"")</f>
        <v/>
      </c>
      <c r="G5114">
        <f>IF(F5114="",0,1)</f>
        <v/>
      </c>
      <c r="H5114" s="29">
        <f>IF(F5114="","",INDEX(Deals!$E$2:$E$843,F5114))</f>
        <v/>
      </c>
      <c r="I5114">
        <f>IF(F5114="","",INDEX(Deals!$D$2:$D$843,F5114))</f>
        <v/>
      </c>
      <c r="J5114">
        <f>IF(F5114="","",INT(H5114)-B5114)</f>
        <v/>
      </c>
      <c r="K5114">
        <f>IF(B5114&gt;=Settings!$C$5,1,0)</f>
        <v/>
      </c>
    </row>
    <row r="5115">
      <c r="A5115" t="inlineStr">
        <is>
          <t>5d347461fef2060cacfa445eb828b790</t>
        </is>
      </c>
      <c r="B5115" s="29" t="n">
        <v>43166</v>
      </c>
      <c r="C5115" t="inlineStr">
        <is>
          <t>2018-03</t>
        </is>
      </c>
      <c r="D5115" t="inlineStr">
        <is>
          <t>54d5e01ab35155d4bd8cf723fc6f04a0</t>
        </is>
      </c>
      <c r="E5115" t="inlineStr">
        <is>
          <t>display</t>
        </is>
      </c>
      <c r="F5115">
        <f>IFERROR(MATCH(A5115,Deals!$A$2:$A$843,0),"")</f>
        <v/>
      </c>
      <c r="G5115">
        <f>IF(F5115="",0,1)</f>
        <v/>
      </c>
      <c r="H5115" s="29">
        <f>IF(F5115="","",INDEX(Deals!$E$2:$E$843,F5115))</f>
        <v/>
      </c>
      <c r="I5115">
        <f>IF(F5115="","",INDEX(Deals!$D$2:$D$843,F5115))</f>
        <v/>
      </c>
      <c r="J5115">
        <f>IF(F5115="","",INT(H5115)-B5115)</f>
        <v/>
      </c>
      <c r="K5115">
        <f>IF(B5115&gt;=Settings!$C$5,1,0)</f>
        <v/>
      </c>
    </row>
    <row r="5116">
      <c r="A5116" t="inlineStr">
        <is>
          <t>7effc8914773ffc145f87c2da63fade2</t>
        </is>
      </c>
      <c r="B5116" s="29" t="n">
        <v>43060</v>
      </c>
      <c r="C5116" t="inlineStr">
        <is>
          <t>2017-11</t>
        </is>
      </c>
      <c r="D5116" t="inlineStr">
        <is>
          <t>40dec9f3d5259a3d2dbcdab2114fae47</t>
        </is>
      </c>
      <c r="E5116" t="inlineStr">
        <is>
          <t>organic_search</t>
        </is>
      </c>
      <c r="F5116">
        <f>IFERROR(MATCH(A5116,Deals!$A$2:$A$843,0),"")</f>
        <v/>
      </c>
      <c r="G5116">
        <f>IF(F5116="",0,1)</f>
        <v/>
      </c>
      <c r="H5116" s="29">
        <f>IF(F5116="","",INDEX(Deals!$E$2:$E$843,F5116))</f>
        <v/>
      </c>
      <c r="I5116">
        <f>IF(F5116="","",INDEX(Deals!$D$2:$D$843,F5116))</f>
        <v/>
      </c>
      <c r="J5116">
        <f>IF(F5116="","",INT(H5116)-B5116)</f>
        <v/>
      </c>
      <c r="K5116">
        <f>IF(B5116&gt;=Settings!$C$5,1,0)</f>
        <v/>
      </c>
    </row>
    <row r="5117">
      <c r="A5117" t="inlineStr">
        <is>
          <t>5973aed4c6276ad73571909e779e56cc</t>
        </is>
      </c>
      <c r="B5117" s="29" t="n">
        <v>43099</v>
      </c>
      <c r="C5117" t="inlineStr">
        <is>
          <t>2017-12</t>
        </is>
      </c>
      <c r="D5117" t="inlineStr">
        <is>
          <t>22c29808c4f815213303f8933030604c</t>
        </is>
      </c>
      <c r="E5117" t="inlineStr">
        <is>
          <t>paid_search</t>
        </is>
      </c>
      <c r="F5117">
        <f>IFERROR(MATCH(A5117,Deals!$A$2:$A$843,0),"")</f>
        <v/>
      </c>
      <c r="G5117">
        <f>IF(F5117="",0,1)</f>
        <v/>
      </c>
      <c r="H5117" s="29">
        <f>IF(F5117="","",INDEX(Deals!$E$2:$E$843,F5117))</f>
        <v/>
      </c>
      <c r="I5117">
        <f>IF(F5117="","",INDEX(Deals!$D$2:$D$843,F5117))</f>
        <v/>
      </c>
      <c r="J5117">
        <f>IF(F5117="","",INT(H5117)-B5117)</f>
        <v/>
      </c>
      <c r="K5117">
        <f>IF(B5117&gt;=Settings!$C$5,1,0)</f>
        <v/>
      </c>
    </row>
    <row r="5118">
      <c r="A5118" t="inlineStr">
        <is>
          <t>9fed52a60e3217e5d188b53add56278a</t>
        </is>
      </c>
      <c r="B5118" s="29" t="n">
        <v>43182</v>
      </c>
      <c r="C5118" t="inlineStr">
        <is>
          <t>2018-03</t>
        </is>
      </c>
      <c r="D5118" t="inlineStr">
        <is>
          <t>58326e62183c14b0c03085c33b9fdc44</t>
        </is>
      </c>
      <c r="E5118" t="inlineStr">
        <is>
          <t>direct_traffic</t>
        </is>
      </c>
      <c r="F5118">
        <f>IFERROR(MATCH(A5118,Deals!$A$2:$A$843,0),"")</f>
        <v/>
      </c>
      <c r="G5118">
        <f>IF(F5118="",0,1)</f>
        <v/>
      </c>
      <c r="H5118" s="29">
        <f>IF(F5118="","",INDEX(Deals!$E$2:$E$843,F5118))</f>
        <v/>
      </c>
      <c r="I5118">
        <f>IF(F5118="","",INDEX(Deals!$D$2:$D$843,F5118))</f>
        <v/>
      </c>
      <c r="J5118">
        <f>IF(F5118="","",INT(H5118)-B5118)</f>
        <v/>
      </c>
      <c r="K5118">
        <f>IF(B5118&gt;=Settings!$C$5,1,0)</f>
        <v/>
      </c>
    </row>
    <row r="5119">
      <c r="A5119" t="inlineStr">
        <is>
          <t>74992087b6b1542bd4e45082d671a6ab</t>
        </is>
      </c>
      <c r="B5119" s="29" t="n">
        <v>43052</v>
      </c>
      <c r="C5119" t="inlineStr">
        <is>
          <t>2017-11</t>
        </is>
      </c>
      <c r="D5119" t="inlineStr">
        <is>
          <t>e492ee5eaf1697716985cc6f33f9cd9b</t>
        </is>
      </c>
      <c r="E5119" t="inlineStr">
        <is>
          <t>organic_search</t>
        </is>
      </c>
      <c r="F5119">
        <f>IFERROR(MATCH(A5119,Deals!$A$2:$A$843,0),"")</f>
        <v/>
      </c>
      <c r="G5119">
        <f>IF(F5119="",0,1)</f>
        <v/>
      </c>
      <c r="H5119" s="29">
        <f>IF(F5119="","",INDEX(Deals!$E$2:$E$843,F5119))</f>
        <v/>
      </c>
      <c r="I5119">
        <f>IF(F5119="","",INDEX(Deals!$D$2:$D$843,F5119))</f>
        <v/>
      </c>
      <c r="J5119">
        <f>IF(F5119="","",INT(H5119)-B5119)</f>
        <v/>
      </c>
      <c r="K5119">
        <f>IF(B5119&gt;=Settings!$C$5,1,0)</f>
        <v/>
      </c>
    </row>
    <row r="5120">
      <c r="A5120" t="inlineStr">
        <is>
          <t>eade5febf80213b6310d1b17bafc98ff</t>
        </is>
      </c>
      <c r="B5120" s="29" t="n">
        <v>42940</v>
      </c>
      <c r="C5120" t="inlineStr">
        <is>
          <t>2017-07</t>
        </is>
      </c>
      <c r="D5120" t="inlineStr">
        <is>
          <t>007f9098284a86ee80ddeb25d53e0af8</t>
        </is>
      </c>
      <c r="E5120" t="inlineStr">
        <is>
          <t>unknown</t>
        </is>
      </c>
      <c r="F5120">
        <f>IFERROR(MATCH(A5120,Deals!$A$2:$A$843,0),"")</f>
        <v/>
      </c>
      <c r="G5120">
        <f>IF(F5120="",0,1)</f>
        <v/>
      </c>
      <c r="H5120" s="29">
        <f>IF(F5120="","",INDEX(Deals!$E$2:$E$843,F5120))</f>
        <v/>
      </c>
      <c r="I5120">
        <f>IF(F5120="","",INDEX(Deals!$D$2:$D$843,F5120))</f>
        <v/>
      </c>
      <c r="J5120">
        <f>IF(F5120="","",INT(H5120)-B5120)</f>
        <v/>
      </c>
      <c r="K5120">
        <f>IF(B5120&gt;=Settings!$C$5,1,0)</f>
        <v/>
      </c>
    </row>
    <row r="5121">
      <c r="A5121" t="inlineStr">
        <is>
          <t>9a10ba00bcdf929df950b6e1eae1994e</t>
        </is>
      </c>
      <c r="B5121" s="29" t="n">
        <v>43164</v>
      </c>
      <c r="C5121" t="inlineStr">
        <is>
          <t>2018-03</t>
        </is>
      </c>
      <c r="D5121" t="inlineStr">
        <is>
          <t>22c29808c4f815213303f8933030604c</t>
        </is>
      </c>
      <c r="E5121" t="inlineStr">
        <is>
          <t>organic_search</t>
        </is>
      </c>
      <c r="F5121">
        <f>IFERROR(MATCH(A5121,Deals!$A$2:$A$843,0),"")</f>
        <v/>
      </c>
      <c r="G5121">
        <f>IF(F5121="",0,1)</f>
        <v/>
      </c>
      <c r="H5121" s="29">
        <f>IF(F5121="","",INDEX(Deals!$E$2:$E$843,F5121))</f>
        <v/>
      </c>
      <c r="I5121">
        <f>IF(F5121="","",INDEX(Deals!$D$2:$D$843,F5121))</f>
        <v/>
      </c>
      <c r="J5121">
        <f>IF(F5121="","",INT(H5121)-B5121)</f>
        <v/>
      </c>
      <c r="K5121">
        <f>IF(B5121&gt;=Settings!$C$5,1,0)</f>
        <v/>
      </c>
    </row>
    <row r="5122">
      <c r="A5122" t="inlineStr">
        <is>
          <t>3c091577be6349ed5429131fe38513eb</t>
        </is>
      </c>
      <c r="B5122" s="29" t="n">
        <v>43084</v>
      </c>
      <c r="C5122" t="inlineStr">
        <is>
          <t>2017-12</t>
        </is>
      </c>
      <c r="D5122" t="inlineStr">
        <is>
          <t>22c29808c4f815213303f8933030604c</t>
        </is>
      </c>
      <c r="E5122" t="inlineStr">
        <is>
          <t>organic_search</t>
        </is>
      </c>
      <c r="F5122">
        <f>IFERROR(MATCH(A5122,Deals!$A$2:$A$843,0),"")</f>
        <v/>
      </c>
      <c r="G5122">
        <f>IF(F5122="",0,1)</f>
        <v/>
      </c>
      <c r="H5122" s="29">
        <f>IF(F5122="","",INDEX(Deals!$E$2:$E$843,F5122))</f>
        <v/>
      </c>
      <c r="I5122">
        <f>IF(F5122="","",INDEX(Deals!$D$2:$D$843,F5122))</f>
        <v/>
      </c>
      <c r="J5122">
        <f>IF(F5122="","",INT(H5122)-B5122)</f>
        <v/>
      </c>
      <c r="K5122">
        <f>IF(B5122&gt;=Settings!$C$5,1,0)</f>
        <v/>
      </c>
    </row>
    <row r="5123">
      <c r="A5123" t="inlineStr">
        <is>
          <t>80f3f5f7b631b0e974a4a4627672e73a</t>
        </is>
      </c>
      <c r="B5123" s="29" t="n">
        <v>43120</v>
      </c>
      <c r="C5123" t="inlineStr">
        <is>
          <t>2018-01</t>
        </is>
      </c>
      <c r="D5123" t="inlineStr">
        <is>
          <t>22c29808c4f815213303f8933030604c</t>
        </is>
      </c>
      <c r="E5123" t="inlineStr">
        <is>
          <t>organic_search</t>
        </is>
      </c>
      <c r="F5123">
        <f>IFERROR(MATCH(A5123,Deals!$A$2:$A$843,0),"")</f>
        <v/>
      </c>
      <c r="G5123">
        <f>IF(F5123="",0,1)</f>
        <v/>
      </c>
      <c r="H5123" s="29">
        <f>IF(F5123="","",INDEX(Deals!$E$2:$E$843,F5123))</f>
        <v/>
      </c>
      <c r="I5123">
        <f>IF(F5123="","",INDEX(Deals!$D$2:$D$843,F5123))</f>
        <v/>
      </c>
      <c r="J5123">
        <f>IF(F5123="","",INT(H5123)-B5123)</f>
        <v/>
      </c>
      <c r="K5123">
        <f>IF(B5123&gt;=Settings!$C$5,1,0)</f>
        <v/>
      </c>
    </row>
    <row r="5124">
      <c r="A5124" t="inlineStr">
        <is>
          <t>f4d6f152ec84baf228eb36bf424a6aa1</t>
        </is>
      </c>
      <c r="B5124" s="29" t="n">
        <v>43157</v>
      </c>
      <c r="C5124" t="inlineStr">
        <is>
          <t>2018-02</t>
        </is>
      </c>
      <c r="D5124" t="inlineStr">
        <is>
          <t>b76ef37428e6799c421989521c0e5077</t>
        </is>
      </c>
      <c r="E5124" t="inlineStr">
        <is>
          <t>unknown</t>
        </is>
      </c>
      <c r="F5124">
        <f>IFERROR(MATCH(A5124,Deals!$A$2:$A$843,0),"")</f>
        <v/>
      </c>
      <c r="G5124">
        <f>IF(F5124="",0,1)</f>
        <v/>
      </c>
      <c r="H5124" s="29">
        <f>IF(F5124="","",INDEX(Deals!$E$2:$E$843,F5124))</f>
        <v/>
      </c>
      <c r="I5124">
        <f>IF(F5124="","",INDEX(Deals!$D$2:$D$843,F5124))</f>
        <v/>
      </c>
      <c r="J5124">
        <f>IF(F5124="","",INT(H5124)-B5124)</f>
        <v/>
      </c>
      <c r="K5124">
        <f>IF(B5124&gt;=Settings!$C$5,1,0)</f>
        <v/>
      </c>
    </row>
    <row r="5125">
      <c r="A5125" t="inlineStr">
        <is>
          <t>1a5bcb251f149deea7fcb58c63e6885b</t>
        </is>
      </c>
      <c r="B5125" s="29" t="n">
        <v>43187</v>
      </c>
      <c r="C5125" t="inlineStr">
        <is>
          <t>2018-03</t>
        </is>
      </c>
      <c r="D5125" t="inlineStr">
        <is>
          <t>da14b7e2eb0d1eecf65abbd05a31c87d</t>
        </is>
      </c>
      <c r="E5125" t="inlineStr">
        <is>
          <t>email</t>
        </is>
      </c>
      <c r="F5125">
        <f>IFERROR(MATCH(A5125,Deals!$A$2:$A$843,0),"")</f>
        <v/>
      </c>
      <c r="G5125">
        <f>IF(F5125="",0,1)</f>
        <v/>
      </c>
      <c r="H5125" s="29">
        <f>IF(F5125="","",INDEX(Deals!$E$2:$E$843,F5125))</f>
        <v/>
      </c>
      <c r="I5125">
        <f>IF(F5125="","",INDEX(Deals!$D$2:$D$843,F5125))</f>
        <v/>
      </c>
      <c r="J5125">
        <f>IF(F5125="","",INT(H5125)-B5125)</f>
        <v/>
      </c>
      <c r="K5125">
        <f>IF(B5125&gt;=Settings!$C$5,1,0)</f>
        <v/>
      </c>
    </row>
    <row r="5126">
      <c r="A5126" t="inlineStr">
        <is>
          <t>721d2344f7d2bfbe7a90c257f8d961df</t>
        </is>
      </c>
      <c r="B5126" s="29" t="n">
        <v>43017</v>
      </c>
      <c r="C5126" t="inlineStr">
        <is>
          <t>2017-10</t>
        </is>
      </c>
      <c r="D5126" t="inlineStr">
        <is>
          <t>a56671a54260a44923d32c2f08fad39c</t>
        </is>
      </c>
      <c r="E5126" t="inlineStr">
        <is>
          <t>organic_search</t>
        </is>
      </c>
      <c r="F5126">
        <f>IFERROR(MATCH(A5126,Deals!$A$2:$A$843,0),"")</f>
        <v/>
      </c>
      <c r="G5126">
        <f>IF(F5126="",0,1)</f>
        <v/>
      </c>
      <c r="H5126" s="29">
        <f>IF(F5126="","",INDEX(Deals!$E$2:$E$843,F5126))</f>
        <v/>
      </c>
      <c r="I5126">
        <f>IF(F5126="","",INDEX(Deals!$D$2:$D$843,F5126))</f>
        <v/>
      </c>
      <c r="J5126">
        <f>IF(F5126="","",INT(H5126)-B5126)</f>
        <v/>
      </c>
      <c r="K5126">
        <f>IF(B5126&gt;=Settings!$C$5,1,0)</f>
        <v/>
      </c>
    </row>
    <row r="5127">
      <c r="A5127" t="inlineStr">
        <is>
          <t>20c1fd3638caa5d1dce50b6c0b7fc409</t>
        </is>
      </c>
      <c r="B5127" s="29" t="n">
        <v>43168</v>
      </c>
      <c r="C5127" t="inlineStr">
        <is>
          <t>2018-03</t>
        </is>
      </c>
      <c r="D5127" t="inlineStr">
        <is>
          <t>1d83f02bfc05b6715ef428ee0ccd78be</t>
        </is>
      </c>
      <c r="E5127" t="inlineStr">
        <is>
          <t>organic_search</t>
        </is>
      </c>
      <c r="F5127">
        <f>IFERROR(MATCH(A5127,Deals!$A$2:$A$843,0),"")</f>
        <v/>
      </c>
      <c r="G5127">
        <f>IF(F5127="",0,1)</f>
        <v/>
      </c>
      <c r="H5127" s="29">
        <f>IF(F5127="","",INDEX(Deals!$E$2:$E$843,F5127))</f>
        <v/>
      </c>
      <c r="I5127">
        <f>IF(F5127="","",INDEX(Deals!$D$2:$D$843,F5127))</f>
        <v/>
      </c>
      <c r="J5127">
        <f>IF(F5127="","",INT(H5127)-B5127)</f>
        <v/>
      </c>
      <c r="K5127">
        <f>IF(B5127&gt;=Settings!$C$5,1,0)</f>
        <v/>
      </c>
    </row>
    <row r="5128">
      <c r="A5128" t="inlineStr">
        <is>
          <t>14b5caec7ac6a9609e748d56a17c174b</t>
        </is>
      </c>
      <c r="B5128" s="29" t="n">
        <v>42978</v>
      </c>
      <c r="C5128" t="inlineStr">
        <is>
          <t>2017-08</t>
        </is>
      </c>
      <c r="D5128" t="inlineStr">
        <is>
          <t>22c29808c4f815213303f8933030604c</t>
        </is>
      </c>
      <c r="E5128" t="inlineStr">
        <is>
          <t>social</t>
        </is>
      </c>
      <c r="F5128">
        <f>IFERROR(MATCH(A5128,Deals!$A$2:$A$843,0),"")</f>
        <v/>
      </c>
      <c r="G5128">
        <f>IF(F5128="",0,1)</f>
        <v/>
      </c>
      <c r="H5128" s="29">
        <f>IF(F5128="","",INDEX(Deals!$E$2:$E$843,F5128))</f>
        <v/>
      </c>
      <c r="I5128">
        <f>IF(F5128="","",INDEX(Deals!$D$2:$D$843,F5128))</f>
        <v/>
      </c>
      <c r="J5128">
        <f>IF(F5128="","",INT(H5128)-B5128)</f>
        <v/>
      </c>
      <c r="K5128">
        <f>IF(B5128&gt;=Settings!$C$5,1,0)</f>
        <v/>
      </c>
    </row>
    <row r="5129">
      <c r="A5129" t="inlineStr">
        <is>
          <t>7fe79c97dac8df04ef7f328137ffdec8</t>
        </is>
      </c>
      <c r="B5129" s="29" t="n">
        <v>43220</v>
      </c>
      <c r="C5129" t="inlineStr">
        <is>
          <t>2018-04</t>
        </is>
      </c>
      <c r="D5129" t="inlineStr">
        <is>
          <t>58326e62183c14b0c03085c33b9fdc44</t>
        </is>
      </c>
      <c r="E5129" t="inlineStr">
        <is>
          <t>social</t>
        </is>
      </c>
      <c r="F5129">
        <f>IFERROR(MATCH(A5129,Deals!$A$2:$A$843,0),"")</f>
        <v/>
      </c>
      <c r="G5129">
        <f>IF(F5129="",0,1)</f>
        <v/>
      </c>
      <c r="H5129" s="29">
        <f>IF(F5129="","",INDEX(Deals!$E$2:$E$843,F5129))</f>
        <v/>
      </c>
      <c r="I5129">
        <f>IF(F5129="","",INDEX(Deals!$D$2:$D$843,F5129))</f>
        <v/>
      </c>
      <c r="J5129">
        <f>IF(F5129="","",INT(H5129)-B5129)</f>
        <v/>
      </c>
      <c r="K5129">
        <f>IF(B5129&gt;=Settings!$C$5,1,0)</f>
        <v/>
      </c>
    </row>
    <row r="5130">
      <c r="A5130" t="inlineStr">
        <is>
          <t>5177d7712d018e49b0015adfdc2bb393</t>
        </is>
      </c>
      <c r="B5130" s="29" t="n">
        <v>43182</v>
      </c>
      <c r="C5130" t="inlineStr">
        <is>
          <t>2018-03</t>
        </is>
      </c>
      <c r="D5130" t="inlineStr">
        <is>
          <t>e492ee5eaf1697716985cc6f33f9cd9b</t>
        </is>
      </c>
      <c r="E5130" t="inlineStr">
        <is>
          <t>email</t>
        </is>
      </c>
      <c r="F5130">
        <f>IFERROR(MATCH(A5130,Deals!$A$2:$A$843,0),"")</f>
        <v/>
      </c>
      <c r="G5130">
        <f>IF(F5130="",0,1)</f>
        <v/>
      </c>
      <c r="H5130" s="29">
        <f>IF(F5130="","",INDEX(Deals!$E$2:$E$843,F5130))</f>
        <v/>
      </c>
      <c r="I5130">
        <f>IF(F5130="","",INDEX(Deals!$D$2:$D$843,F5130))</f>
        <v/>
      </c>
      <c r="J5130">
        <f>IF(F5130="","",INT(H5130)-B5130)</f>
        <v/>
      </c>
      <c r="K5130">
        <f>IF(B5130&gt;=Settings!$C$5,1,0)</f>
        <v/>
      </c>
    </row>
    <row r="5131">
      <c r="A5131" t="inlineStr">
        <is>
          <t>ed01e572aa3ed64fe279b2d56b144e42</t>
        </is>
      </c>
      <c r="B5131" s="29" t="n">
        <v>43069</v>
      </c>
      <c r="C5131" t="inlineStr">
        <is>
          <t>2017-11</t>
        </is>
      </c>
      <c r="D5131" t="inlineStr">
        <is>
          <t>1722481ac9e5371e5099dea226b5421d</t>
        </is>
      </c>
      <c r="E5131" t="inlineStr">
        <is>
          <t>organic_search</t>
        </is>
      </c>
      <c r="F5131">
        <f>IFERROR(MATCH(A5131,Deals!$A$2:$A$843,0),"")</f>
        <v/>
      </c>
      <c r="G5131">
        <f>IF(F5131="",0,1)</f>
        <v/>
      </c>
      <c r="H5131" s="29">
        <f>IF(F5131="","",INDEX(Deals!$E$2:$E$843,F5131))</f>
        <v/>
      </c>
      <c r="I5131">
        <f>IF(F5131="","",INDEX(Deals!$D$2:$D$843,F5131))</f>
        <v/>
      </c>
      <c r="J5131">
        <f>IF(F5131="","",INT(H5131)-B5131)</f>
        <v/>
      </c>
      <c r="K5131">
        <f>IF(B5131&gt;=Settings!$C$5,1,0)</f>
        <v/>
      </c>
    </row>
    <row r="5132">
      <c r="A5132" t="inlineStr">
        <is>
          <t>c8232bbc7ca19516fa77f94da4af98e9</t>
        </is>
      </c>
      <c r="B5132" s="29" t="n">
        <v>43146</v>
      </c>
      <c r="C5132" t="inlineStr">
        <is>
          <t>2018-02</t>
        </is>
      </c>
      <c r="D5132" t="inlineStr">
        <is>
          <t>a7982125ff7aa3b2054c6e44f9d28522</t>
        </is>
      </c>
      <c r="E5132" t="inlineStr">
        <is>
          <t>referral</t>
        </is>
      </c>
      <c r="F5132">
        <f>IFERROR(MATCH(A5132,Deals!$A$2:$A$843,0),"")</f>
        <v/>
      </c>
      <c r="G5132">
        <f>IF(F5132="",0,1)</f>
        <v/>
      </c>
      <c r="H5132" s="29">
        <f>IF(F5132="","",INDEX(Deals!$E$2:$E$843,F5132))</f>
        <v/>
      </c>
      <c r="I5132">
        <f>IF(F5132="","",INDEX(Deals!$D$2:$D$843,F5132))</f>
        <v/>
      </c>
      <c r="J5132">
        <f>IF(F5132="","",INT(H5132)-B5132)</f>
        <v/>
      </c>
      <c r="K5132">
        <f>IF(B5132&gt;=Settings!$C$5,1,0)</f>
        <v/>
      </c>
    </row>
    <row r="5133">
      <c r="A5133" t="inlineStr">
        <is>
          <t>3f972cdb5e257034c5ad72bd3b0ed184</t>
        </is>
      </c>
      <c r="B5133" s="29" t="n">
        <v>43056</v>
      </c>
      <c r="C5133" t="inlineStr">
        <is>
          <t>2017-11</t>
        </is>
      </c>
      <c r="D5133" t="inlineStr">
        <is>
          <t>b76ef37428e6799c421989521c0e5077</t>
        </is>
      </c>
      <c r="E5133" t="inlineStr">
        <is>
          <t>unknown</t>
        </is>
      </c>
      <c r="F5133">
        <f>IFERROR(MATCH(A5133,Deals!$A$2:$A$843,0),"")</f>
        <v/>
      </c>
      <c r="G5133">
        <f>IF(F5133="",0,1)</f>
        <v/>
      </c>
      <c r="H5133" s="29">
        <f>IF(F5133="","",INDEX(Deals!$E$2:$E$843,F5133))</f>
        <v/>
      </c>
      <c r="I5133">
        <f>IF(F5133="","",INDEX(Deals!$D$2:$D$843,F5133))</f>
        <v/>
      </c>
      <c r="J5133">
        <f>IF(F5133="","",INT(H5133)-B5133)</f>
        <v/>
      </c>
      <c r="K5133">
        <f>IF(B5133&gt;=Settings!$C$5,1,0)</f>
        <v/>
      </c>
    </row>
    <row r="5134">
      <c r="A5134" t="inlineStr">
        <is>
          <t>b440cc1f36911a5256b3dc30a1d599ba</t>
        </is>
      </c>
      <c r="B5134" s="29" t="n">
        <v>43119</v>
      </c>
      <c r="C5134" t="inlineStr">
        <is>
          <t>2018-01</t>
        </is>
      </c>
      <c r="D5134" t="inlineStr">
        <is>
          <t>ce1a65abd0973638f1c887a6efcfa82d</t>
        </is>
      </c>
      <c r="E5134" t="inlineStr">
        <is>
          <t>direct_traffic</t>
        </is>
      </c>
      <c r="F5134">
        <f>IFERROR(MATCH(A5134,Deals!$A$2:$A$843,0),"")</f>
        <v/>
      </c>
      <c r="G5134">
        <f>IF(F5134="",0,1)</f>
        <v/>
      </c>
      <c r="H5134" s="29">
        <f>IF(F5134="","",INDEX(Deals!$E$2:$E$843,F5134))</f>
        <v/>
      </c>
      <c r="I5134">
        <f>IF(F5134="","",INDEX(Deals!$D$2:$D$843,F5134))</f>
        <v/>
      </c>
      <c r="J5134">
        <f>IF(F5134="","",INT(H5134)-B5134)</f>
        <v/>
      </c>
      <c r="K5134">
        <f>IF(B5134&gt;=Settings!$C$5,1,0)</f>
        <v/>
      </c>
    </row>
    <row r="5135">
      <c r="A5135" t="inlineStr">
        <is>
          <t>c13f724567246c6aba1da13e2eb69230</t>
        </is>
      </c>
      <c r="B5135" s="29" t="n">
        <v>43222</v>
      </c>
      <c r="C5135" t="inlineStr">
        <is>
          <t>2018-05</t>
        </is>
      </c>
      <c r="D5135" t="inlineStr">
        <is>
          <t>fb58285f6f6c4e504dfa628de116cae8</t>
        </is>
      </c>
      <c r="E5135" t="inlineStr">
        <is>
          <t>email</t>
        </is>
      </c>
      <c r="F5135">
        <f>IFERROR(MATCH(A5135,Deals!$A$2:$A$843,0),"")</f>
        <v/>
      </c>
      <c r="G5135">
        <f>IF(F5135="",0,1)</f>
        <v/>
      </c>
      <c r="H5135" s="29">
        <f>IF(F5135="","",INDEX(Deals!$E$2:$E$843,F5135))</f>
        <v/>
      </c>
      <c r="I5135">
        <f>IF(F5135="","",INDEX(Deals!$D$2:$D$843,F5135))</f>
        <v/>
      </c>
      <c r="J5135">
        <f>IF(F5135="","",INT(H5135)-B5135)</f>
        <v/>
      </c>
      <c r="K5135">
        <f>IF(B5135&gt;=Settings!$C$5,1,0)</f>
        <v/>
      </c>
    </row>
    <row r="5136">
      <c r="A5136" t="inlineStr">
        <is>
          <t>5b7fc89c42ee0f99a9db33e8baed5c52</t>
        </is>
      </c>
      <c r="B5136" s="29" t="n">
        <v>43175</v>
      </c>
      <c r="C5136" t="inlineStr">
        <is>
          <t>2018-03</t>
        </is>
      </c>
      <c r="D5136" t="inlineStr">
        <is>
          <t>4aab772aeb9833c170d8ea5413e02eac</t>
        </is>
      </c>
      <c r="E5136" t="inlineStr">
        <is>
          <t>organic_search</t>
        </is>
      </c>
      <c r="F5136">
        <f>IFERROR(MATCH(A5136,Deals!$A$2:$A$843,0),"")</f>
        <v/>
      </c>
      <c r="G5136">
        <f>IF(F5136="",0,1)</f>
        <v/>
      </c>
      <c r="H5136" s="29">
        <f>IF(F5136="","",INDEX(Deals!$E$2:$E$843,F5136))</f>
        <v/>
      </c>
      <c r="I5136">
        <f>IF(F5136="","",INDEX(Deals!$D$2:$D$843,F5136))</f>
        <v/>
      </c>
      <c r="J5136">
        <f>IF(F5136="","",INT(H5136)-B5136)</f>
        <v/>
      </c>
      <c r="K5136">
        <f>IF(B5136&gt;=Settings!$C$5,1,0)</f>
        <v/>
      </c>
    </row>
    <row r="5137">
      <c r="A5137" t="inlineStr">
        <is>
          <t>0eaf0f796b918b4c9c7eec8cc4a9e0cb</t>
        </is>
      </c>
      <c r="B5137" s="29" t="n">
        <v>42990</v>
      </c>
      <c r="C5137" t="inlineStr">
        <is>
          <t>2017-09</t>
        </is>
      </c>
      <c r="D5137" t="inlineStr">
        <is>
          <t>733adfe409c752b5c200bf23fa2f22d0</t>
        </is>
      </c>
      <c r="E5137" t="inlineStr">
        <is>
          <t>paid_search</t>
        </is>
      </c>
      <c r="F5137">
        <f>IFERROR(MATCH(A5137,Deals!$A$2:$A$843,0),"")</f>
        <v/>
      </c>
      <c r="G5137">
        <f>IF(F5137="",0,1)</f>
        <v/>
      </c>
      <c r="H5137" s="29">
        <f>IF(F5137="","",INDEX(Deals!$E$2:$E$843,F5137))</f>
        <v/>
      </c>
      <c r="I5137">
        <f>IF(F5137="","",INDEX(Deals!$D$2:$D$843,F5137))</f>
        <v/>
      </c>
      <c r="J5137">
        <f>IF(F5137="","",INT(H5137)-B5137)</f>
        <v/>
      </c>
      <c r="K5137">
        <f>IF(B5137&gt;=Settings!$C$5,1,0)</f>
        <v/>
      </c>
    </row>
    <row r="5138">
      <c r="A5138" t="inlineStr">
        <is>
          <t>9fd10588a886cac5909755e5c69535cb</t>
        </is>
      </c>
      <c r="B5138" s="29" t="n">
        <v>43136</v>
      </c>
      <c r="C5138" t="inlineStr">
        <is>
          <t>2018-02</t>
        </is>
      </c>
      <c r="D5138" t="inlineStr">
        <is>
          <t>36120633c8737035fbabf079082f4ec1</t>
        </is>
      </c>
      <c r="E5138" t="inlineStr">
        <is>
          <t>social</t>
        </is>
      </c>
      <c r="F5138">
        <f>IFERROR(MATCH(A5138,Deals!$A$2:$A$843,0),"")</f>
        <v/>
      </c>
      <c r="G5138">
        <f>IF(F5138="",0,1)</f>
        <v/>
      </c>
      <c r="H5138" s="29">
        <f>IF(F5138="","",INDEX(Deals!$E$2:$E$843,F5138))</f>
        <v/>
      </c>
      <c r="I5138">
        <f>IF(F5138="","",INDEX(Deals!$D$2:$D$843,F5138))</f>
        <v/>
      </c>
      <c r="J5138">
        <f>IF(F5138="","",INT(H5138)-B5138)</f>
        <v/>
      </c>
      <c r="K5138">
        <f>IF(B5138&gt;=Settings!$C$5,1,0)</f>
        <v/>
      </c>
    </row>
    <row r="5139">
      <c r="A5139" t="inlineStr">
        <is>
          <t>c48ec6112a8e66ac6e211fd95210b551</t>
        </is>
      </c>
      <c r="B5139" s="29" t="n">
        <v>43046</v>
      </c>
      <c r="C5139" t="inlineStr">
        <is>
          <t>2017-11</t>
        </is>
      </c>
      <c r="D5139" t="inlineStr">
        <is>
          <t>649b7b8b46b254497e92038d88f6ced8</t>
        </is>
      </c>
      <c r="E5139" t="inlineStr">
        <is>
          <t>social</t>
        </is>
      </c>
      <c r="F5139">
        <f>IFERROR(MATCH(A5139,Deals!$A$2:$A$843,0),"")</f>
        <v/>
      </c>
      <c r="G5139">
        <f>IF(F5139="",0,1)</f>
        <v/>
      </c>
      <c r="H5139" s="29">
        <f>IF(F5139="","",INDEX(Deals!$E$2:$E$843,F5139))</f>
        <v/>
      </c>
      <c r="I5139">
        <f>IF(F5139="","",INDEX(Deals!$D$2:$D$843,F5139))</f>
        <v/>
      </c>
      <c r="J5139">
        <f>IF(F5139="","",INT(H5139)-B5139)</f>
        <v/>
      </c>
      <c r="K5139">
        <f>IF(B5139&gt;=Settings!$C$5,1,0)</f>
        <v/>
      </c>
    </row>
    <row r="5140">
      <c r="A5140" t="inlineStr">
        <is>
          <t>319fd8c45a08ab006ad64523becfa651</t>
        </is>
      </c>
      <c r="B5140" s="29" t="n">
        <v>43190</v>
      </c>
      <c r="C5140" t="inlineStr">
        <is>
          <t>2018-03</t>
        </is>
      </c>
      <c r="D5140" t="inlineStr">
        <is>
          <t>58326e62183c14b0c03085c33b9fdc44</t>
        </is>
      </c>
      <c r="E5140" t="inlineStr">
        <is>
          <t>referral</t>
        </is>
      </c>
      <c r="F5140">
        <f>IFERROR(MATCH(A5140,Deals!$A$2:$A$843,0),"")</f>
        <v/>
      </c>
      <c r="G5140">
        <f>IF(F5140="",0,1)</f>
        <v/>
      </c>
      <c r="H5140" s="29">
        <f>IF(F5140="","",INDEX(Deals!$E$2:$E$843,F5140))</f>
        <v/>
      </c>
      <c r="I5140">
        <f>IF(F5140="","",INDEX(Deals!$D$2:$D$843,F5140))</f>
        <v/>
      </c>
      <c r="J5140">
        <f>IF(F5140="","",INT(H5140)-B5140)</f>
        <v/>
      </c>
      <c r="K5140">
        <f>IF(B5140&gt;=Settings!$C$5,1,0)</f>
        <v/>
      </c>
    </row>
    <row r="5141">
      <c r="A5141" t="inlineStr">
        <is>
          <t>b8f5a378adbebec3b6fb49840d4adb21</t>
        </is>
      </c>
      <c r="B5141" s="29" t="n">
        <v>42992</v>
      </c>
      <c r="C5141" t="inlineStr">
        <is>
          <t>2017-09</t>
        </is>
      </c>
      <c r="D5141" t="inlineStr">
        <is>
          <t>22c29808c4f815213303f8933030604c</t>
        </is>
      </c>
      <c r="E5141" t="inlineStr">
        <is>
          <t>social</t>
        </is>
      </c>
      <c r="F5141">
        <f>IFERROR(MATCH(A5141,Deals!$A$2:$A$843,0),"")</f>
        <v/>
      </c>
      <c r="G5141">
        <f>IF(F5141="",0,1)</f>
        <v/>
      </c>
      <c r="H5141" s="29">
        <f>IF(F5141="","",INDEX(Deals!$E$2:$E$843,F5141))</f>
        <v/>
      </c>
      <c r="I5141">
        <f>IF(F5141="","",INDEX(Deals!$D$2:$D$843,F5141))</f>
        <v/>
      </c>
      <c r="J5141">
        <f>IF(F5141="","",INT(H5141)-B5141)</f>
        <v/>
      </c>
      <c r="K5141">
        <f>IF(B5141&gt;=Settings!$C$5,1,0)</f>
        <v/>
      </c>
    </row>
    <row r="5142">
      <c r="A5142" t="inlineStr">
        <is>
          <t>0bbf479bf2780e276ffca0dfe4583aa4</t>
        </is>
      </c>
      <c r="B5142" s="29" t="n">
        <v>43096</v>
      </c>
      <c r="C5142" t="inlineStr">
        <is>
          <t>2017-12</t>
        </is>
      </c>
      <c r="D5142" t="inlineStr">
        <is>
          <t>ce1a65abd0973638f1c887a6efcfa82d</t>
        </is>
      </c>
      <c r="E5142" t="inlineStr">
        <is>
          <t>organic_search</t>
        </is>
      </c>
      <c r="F5142">
        <f>IFERROR(MATCH(A5142,Deals!$A$2:$A$843,0),"")</f>
        <v/>
      </c>
      <c r="G5142">
        <f>IF(F5142="",0,1)</f>
        <v/>
      </c>
      <c r="H5142" s="29">
        <f>IF(F5142="","",INDEX(Deals!$E$2:$E$843,F5142))</f>
        <v/>
      </c>
      <c r="I5142">
        <f>IF(F5142="","",INDEX(Deals!$D$2:$D$843,F5142))</f>
        <v/>
      </c>
      <c r="J5142">
        <f>IF(F5142="","",INT(H5142)-B5142)</f>
        <v/>
      </c>
      <c r="K5142">
        <f>IF(B5142&gt;=Settings!$C$5,1,0)</f>
        <v/>
      </c>
    </row>
    <row r="5143">
      <c r="A5143" t="inlineStr">
        <is>
          <t>5f0238da3ebf4fbc26baeaa644331de5</t>
        </is>
      </c>
      <c r="B5143" s="29" t="n">
        <v>43126</v>
      </c>
      <c r="C5143" t="inlineStr">
        <is>
          <t>2018-01</t>
        </is>
      </c>
      <c r="D5143" t="inlineStr">
        <is>
          <t>e492ee5eaf1697716985cc6f33f9cd9b</t>
        </is>
      </c>
      <c r="E5143" t="inlineStr">
        <is>
          <t>email</t>
        </is>
      </c>
      <c r="F5143">
        <f>IFERROR(MATCH(A5143,Deals!$A$2:$A$843,0),"")</f>
        <v/>
      </c>
      <c r="G5143">
        <f>IF(F5143="",0,1)</f>
        <v/>
      </c>
      <c r="H5143" s="29">
        <f>IF(F5143="","",INDEX(Deals!$E$2:$E$843,F5143))</f>
        <v/>
      </c>
      <c r="I5143">
        <f>IF(F5143="","",INDEX(Deals!$D$2:$D$843,F5143))</f>
        <v/>
      </c>
      <c r="J5143">
        <f>IF(F5143="","",INT(H5143)-B5143)</f>
        <v/>
      </c>
      <c r="K5143">
        <f>IF(B5143&gt;=Settings!$C$5,1,0)</f>
        <v/>
      </c>
    </row>
    <row r="5144">
      <c r="A5144" t="inlineStr">
        <is>
          <t>9c18e0234c3ef3417ccd511f41ad71d8</t>
        </is>
      </c>
      <c r="B5144" s="29" t="n">
        <v>43180</v>
      </c>
      <c r="C5144" t="inlineStr">
        <is>
          <t>2018-03</t>
        </is>
      </c>
      <c r="D5144" t="inlineStr">
        <is>
          <t>83fb61eb103000456b0acbfa36c60ea8</t>
        </is>
      </c>
      <c r="E5144" t="inlineStr">
        <is>
          <t>other</t>
        </is>
      </c>
      <c r="F5144">
        <f>IFERROR(MATCH(A5144,Deals!$A$2:$A$843,0),"")</f>
        <v/>
      </c>
      <c r="G5144">
        <f>IF(F5144="",0,1)</f>
        <v/>
      </c>
      <c r="H5144" s="29">
        <f>IF(F5144="","",INDEX(Deals!$E$2:$E$843,F5144))</f>
        <v/>
      </c>
      <c r="I5144">
        <f>IF(F5144="","",INDEX(Deals!$D$2:$D$843,F5144))</f>
        <v/>
      </c>
      <c r="J5144">
        <f>IF(F5144="","",INT(H5144)-B5144)</f>
        <v/>
      </c>
      <c r="K5144">
        <f>IF(B5144&gt;=Settings!$C$5,1,0)</f>
        <v/>
      </c>
    </row>
    <row r="5145">
      <c r="A5145" t="inlineStr">
        <is>
          <t>39de933d24421bb8c259b569451e20a5</t>
        </is>
      </c>
      <c r="B5145" s="29" t="n">
        <v>42947</v>
      </c>
      <c r="C5145" t="inlineStr">
        <is>
          <t>2017-07</t>
        </is>
      </c>
      <c r="D5145" t="inlineStr">
        <is>
          <t>1722481ac9e5371e5099dea226b5421d</t>
        </is>
      </c>
      <c r="E5145" t="inlineStr">
        <is>
          <t>social</t>
        </is>
      </c>
      <c r="F5145">
        <f>IFERROR(MATCH(A5145,Deals!$A$2:$A$843,0),"")</f>
        <v/>
      </c>
      <c r="G5145">
        <f>IF(F5145="",0,1)</f>
        <v/>
      </c>
      <c r="H5145" s="29">
        <f>IF(F5145="","",INDEX(Deals!$E$2:$E$843,F5145))</f>
        <v/>
      </c>
      <c r="I5145">
        <f>IF(F5145="","",INDEX(Deals!$D$2:$D$843,F5145))</f>
        <v/>
      </c>
      <c r="J5145">
        <f>IF(F5145="","",INT(H5145)-B5145)</f>
        <v/>
      </c>
      <c r="K5145">
        <f>IF(B5145&gt;=Settings!$C$5,1,0)</f>
        <v/>
      </c>
    </row>
    <row r="5146">
      <c r="A5146" t="inlineStr">
        <is>
          <t>239221bec2543757132d37b66dfee507</t>
        </is>
      </c>
      <c r="B5146" s="29" t="n">
        <v>43053</v>
      </c>
      <c r="C5146" t="inlineStr">
        <is>
          <t>2017-11</t>
        </is>
      </c>
      <c r="D5146" t="inlineStr">
        <is>
          <t>92bd5f77d493a36dac9bddb66d1b9dbf</t>
        </is>
      </c>
      <c r="E5146" t="inlineStr">
        <is>
          <t>organic_search</t>
        </is>
      </c>
      <c r="F5146">
        <f>IFERROR(MATCH(A5146,Deals!$A$2:$A$843,0),"")</f>
        <v/>
      </c>
      <c r="G5146">
        <f>IF(F5146="",0,1)</f>
        <v/>
      </c>
      <c r="H5146" s="29">
        <f>IF(F5146="","",INDEX(Deals!$E$2:$E$843,F5146))</f>
        <v/>
      </c>
      <c r="I5146">
        <f>IF(F5146="","",INDEX(Deals!$D$2:$D$843,F5146))</f>
        <v/>
      </c>
      <c r="J5146">
        <f>IF(F5146="","",INT(H5146)-B5146)</f>
        <v/>
      </c>
      <c r="K5146">
        <f>IF(B5146&gt;=Settings!$C$5,1,0)</f>
        <v/>
      </c>
    </row>
    <row r="5147">
      <c r="A5147" t="inlineStr">
        <is>
          <t>16ecd261ac5088aee91078bf5225abd9</t>
        </is>
      </c>
      <c r="B5147" s="29" t="n">
        <v>43115</v>
      </c>
      <c r="C5147" t="inlineStr">
        <is>
          <t>2018-01</t>
        </is>
      </c>
      <c r="D5147" t="inlineStr">
        <is>
          <t>ee3c3bad6ed3eb9d5de56688d1f9c91b</t>
        </is>
      </c>
      <c r="E5147" t="inlineStr">
        <is>
          <t>organic_search</t>
        </is>
      </c>
      <c r="F5147">
        <f>IFERROR(MATCH(A5147,Deals!$A$2:$A$843,0),"")</f>
        <v/>
      </c>
      <c r="G5147">
        <f>IF(F5147="",0,1)</f>
        <v/>
      </c>
      <c r="H5147" s="29">
        <f>IF(F5147="","",INDEX(Deals!$E$2:$E$843,F5147))</f>
        <v/>
      </c>
      <c r="I5147">
        <f>IF(F5147="","",INDEX(Deals!$D$2:$D$843,F5147))</f>
        <v/>
      </c>
      <c r="J5147">
        <f>IF(F5147="","",INT(H5147)-B5147)</f>
        <v/>
      </c>
      <c r="K5147">
        <f>IF(B5147&gt;=Settings!$C$5,1,0)</f>
        <v/>
      </c>
    </row>
    <row r="5148">
      <c r="A5148" t="inlineStr">
        <is>
          <t>f20c652e99dfc36133bdf9f2bc4af283</t>
        </is>
      </c>
      <c r="B5148" s="29" t="n">
        <v>43117</v>
      </c>
      <c r="C5148" t="inlineStr">
        <is>
          <t>2018-01</t>
        </is>
      </c>
      <c r="D5148" t="inlineStr">
        <is>
          <t>f017be4dbf86243af5c1ebed0cff36a2</t>
        </is>
      </c>
      <c r="E5148" t="inlineStr">
        <is>
          <t>organic_search</t>
        </is>
      </c>
      <c r="F5148">
        <f>IFERROR(MATCH(A5148,Deals!$A$2:$A$843,0),"")</f>
        <v/>
      </c>
      <c r="G5148">
        <f>IF(F5148="",0,1)</f>
        <v/>
      </c>
      <c r="H5148" s="29">
        <f>IF(F5148="","",INDEX(Deals!$E$2:$E$843,F5148))</f>
        <v/>
      </c>
      <c r="I5148">
        <f>IF(F5148="","",INDEX(Deals!$D$2:$D$843,F5148))</f>
        <v/>
      </c>
      <c r="J5148">
        <f>IF(F5148="","",INT(H5148)-B5148)</f>
        <v/>
      </c>
      <c r="K5148">
        <f>IF(B5148&gt;=Settings!$C$5,1,0)</f>
        <v/>
      </c>
    </row>
    <row r="5149">
      <c r="A5149" t="inlineStr">
        <is>
          <t>d52cb244fe49f0d4928d571932510772</t>
        </is>
      </c>
      <c r="B5149" s="29" t="n">
        <v>43245</v>
      </c>
      <c r="C5149" t="inlineStr">
        <is>
          <t>2018-05</t>
        </is>
      </c>
      <c r="D5149" t="inlineStr">
        <is>
          <t>22c29808c4f815213303f8933030604c</t>
        </is>
      </c>
      <c r="E5149" t="inlineStr">
        <is>
          <t>paid_search</t>
        </is>
      </c>
      <c r="F5149">
        <f>IFERROR(MATCH(A5149,Deals!$A$2:$A$843,0),"")</f>
        <v/>
      </c>
      <c r="G5149">
        <f>IF(F5149="",0,1)</f>
        <v/>
      </c>
      <c r="H5149" s="29">
        <f>IF(F5149="","",INDEX(Deals!$E$2:$E$843,F5149))</f>
        <v/>
      </c>
      <c r="I5149">
        <f>IF(F5149="","",INDEX(Deals!$D$2:$D$843,F5149))</f>
        <v/>
      </c>
      <c r="J5149">
        <f>IF(F5149="","",INT(H5149)-B5149)</f>
        <v/>
      </c>
      <c r="K5149">
        <f>IF(B5149&gt;=Settings!$C$5,1,0)</f>
        <v/>
      </c>
    </row>
    <row r="5150">
      <c r="A5150" t="inlineStr">
        <is>
          <t>01705df5db71738be54c3a7969eb8390</t>
        </is>
      </c>
      <c r="B5150" s="29" t="n">
        <v>43230</v>
      </c>
      <c r="C5150" t="inlineStr">
        <is>
          <t>2018-05</t>
        </is>
      </c>
      <c r="D5150" t="inlineStr">
        <is>
          <t>1ceb590cd1e00c7ee95220971f82693d</t>
        </is>
      </c>
      <c r="E5150" t="inlineStr">
        <is>
          <t>paid_search</t>
        </is>
      </c>
      <c r="F5150">
        <f>IFERROR(MATCH(A5150,Deals!$A$2:$A$843,0),"")</f>
        <v/>
      </c>
      <c r="G5150">
        <f>IF(F5150="",0,1)</f>
        <v/>
      </c>
      <c r="H5150" s="29">
        <f>IF(F5150="","",INDEX(Deals!$E$2:$E$843,F5150))</f>
        <v/>
      </c>
      <c r="I5150">
        <f>IF(F5150="","",INDEX(Deals!$D$2:$D$843,F5150))</f>
        <v/>
      </c>
      <c r="J5150">
        <f>IF(F5150="","",INT(H5150)-B5150)</f>
        <v/>
      </c>
      <c r="K5150">
        <f>IF(B5150&gt;=Settings!$C$5,1,0)</f>
        <v/>
      </c>
    </row>
    <row r="5151">
      <c r="A5151" t="inlineStr">
        <is>
          <t>a3badea6c13ec771afd94ff9a23236e3</t>
        </is>
      </c>
      <c r="B5151" s="29" t="n">
        <v>43105</v>
      </c>
      <c r="C5151" t="inlineStr">
        <is>
          <t>2018-01</t>
        </is>
      </c>
      <c r="D5151" t="inlineStr">
        <is>
          <t>c8d7b5ac22b15ae22e689d1227db8d96</t>
        </is>
      </c>
      <c r="E5151" t="inlineStr">
        <is>
          <t>paid_search</t>
        </is>
      </c>
      <c r="F5151">
        <f>IFERROR(MATCH(A5151,Deals!$A$2:$A$843,0),"")</f>
        <v/>
      </c>
      <c r="G5151">
        <f>IF(F5151="",0,1)</f>
        <v/>
      </c>
      <c r="H5151" s="29">
        <f>IF(F5151="","",INDEX(Deals!$E$2:$E$843,F5151))</f>
        <v/>
      </c>
      <c r="I5151">
        <f>IF(F5151="","",INDEX(Deals!$D$2:$D$843,F5151))</f>
        <v/>
      </c>
      <c r="J5151">
        <f>IF(F5151="","",INT(H5151)-B5151)</f>
        <v/>
      </c>
      <c r="K5151">
        <f>IF(B5151&gt;=Settings!$C$5,1,0)</f>
        <v/>
      </c>
    </row>
    <row r="5152">
      <c r="A5152" t="inlineStr">
        <is>
          <t>d3acf9ea06733ab725beeec8333da403</t>
        </is>
      </c>
      <c r="B5152" s="29" t="n">
        <v>43109</v>
      </c>
      <c r="C5152" t="inlineStr">
        <is>
          <t>2018-01</t>
        </is>
      </c>
      <c r="D5152" t="inlineStr">
        <is>
          <t>88740e65d5d6b056e0cda098e1ea6313</t>
        </is>
      </c>
      <c r="E5152" t="inlineStr">
        <is>
          <t>social</t>
        </is>
      </c>
      <c r="F5152">
        <f>IFERROR(MATCH(A5152,Deals!$A$2:$A$843,0),"")</f>
        <v/>
      </c>
      <c r="G5152">
        <f>IF(F5152="",0,1)</f>
        <v/>
      </c>
      <c r="H5152" s="29">
        <f>IF(F5152="","",INDEX(Deals!$E$2:$E$843,F5152))</f>
        <v/>
      </c>
      <c r="I5152">
        <f>IF(F5152="","",INDEX(Deals!$D$2:$D$843,F5152))</f>
        <v/>
      </c>
      <c r="J5152">
        <f>IF(F5152="","",INT(H5152)-B5152)</f>
        <v/>
      </c>
      <c r="K5152">
        <f>IF(B5152&gt;=Settings!$C$5,1,0)</f>
        <v/>
      </c>
    </row>
    <row r="5153">
      <c r="A5153" t="inlineStr">
        <is>
          <t>633fc6b4e99c858a5e31dae8b4cf70cf</t>
        </is>
      </c>
      <c r="B5153" s="29" t="n">
        <v>43106</v>
      </c>
      <c r="C5153" t="inlineStr">
        <is>
          <t>2018-01</t>
        </is>
      </c>
      <c r="D5153" t="inlineStr">
        <is>
          <t>40dec9f3d5259a3d2dbcdab2114fae47</t>
        </is>
      </c>
      <c r="E5153" t="inlineStr">
        <is>
          <t>paid_search</t>
        </is>
      </c>
      <c r="F5153">
        <f>IFERROR(MATCH(A5153,Deals!$A$2:$A$843,0),"")</f>
        <v/>
      </c>
      <c r="G5153">
        <f>IF(F5153="",0,1)</f>
        <v/>
      </c>
      <c r="H5153" s="29">
        <f>IF(F5153="","",INDEX(Deals!$E$2:$E$843,F5153))</f>
        <v/>
      </c>
      <c r="I5153">
        <f>IF(F5153="","",INDEX(Deals!$D$2:$D$843,F5153))</f>
        <v/>
      </c>
      <c r="J5153">
        <f>IF(F5153="","",INT(H5153)-B5153)</f>
        <v/>
      </c>
      <c r="K5153">
        <f>IF(B5153&gt;=Settings!$C$5,1,0)</f>
        <v/>
      </c>
    </row>
    <row r="5154">
      <c r="A5154" t="inlineStr">
        <is>
          <t>bfa4c8f989b5998d069da0a75550a7ce</t>
        </is>
      </c>
      <c r="B5154" s="29" t="n">
        <v>43174</v>
      </c>
      <c r="C5154" t="inlineStr">
        <is>
          <t>2018-03</t>
        </is>
      </c>
      <c r="D5154" t="inlineStr">
        <is>
          <t>22c29808c4f815213303f8933030604c</t>
        </is>
      </c>
      <c r="E5154" t="inlineStr">
        <is>
          <t>organic_search</t>
        </is>
      </c>
      <c r="F5154">
        <f>IFERROR(MATCH(A5154,Deals!$A$2:$A$843,0),"")</f>
        <v/>
      </c>
      <c r="G5154">
        <f>IF(F5154="",0,1)</f>
        <v/>
      </c>
      <c r="H5154" s="29">
        <f>IF(F5154="","",INDEX(Deals!$E$2:$E$843,F5154))</f>
        <v/>
      </c>
      <c r="I5154">
        <f>IF(F5154="","",INDEX(Deals!$D$2:$D$843,F5154))</f>
        <v/>
      </c>
      <c r="J5154">
        <f>IF(F5154="","",INT(H5154)-B5154)</f>
        <v/>
      </c>
      <c r="K5154">
        <f>IF(B5154&gt;=Settings!$C$5,1,0)</f>
        <v/>
      </c>
    </row>
    <row r="5155">
      <c r="A5155" t="inlineStr">
        <is>
          <t>0dabd1a1be08da96cd6fa993b9afb0a8</t>
        </is>
      </c>
      <c r="B5155" s="29" t="n">
        <v>43246</v>
      </c>
      <c r="C5155" t="inlineStr">
        <is>
          <t>2018-05</t>
        </is>
      </c>
      <c r="D5155" t="inlineStr">
        <is>
          <t>d83b0d0e48c8447d1d5507a44027a955</t>
        </is>
      </c>
      <c r="E5155" t="inlineStr">
        <is>
          <t>paid_search</t>
        </is>
      </c>
      <c r="F5155">
        <f>IFERROR(MATCH(A5155,Deals!$A$2:$A$843,0),"")</f>
        <v/>
      </c>
      <c r="G5155">
        <f>IF(F5155="",0,1)</f>
        <v/>
      </c>
      <c r="H5155" s="29">
        <f>IF(F5155="","",INDEX(Deals!$E$2:$E$843,F5155))</f>
        <v/>
      </c>
      <c r="I5155">
        <f>IF(F5155="","",INDEX(Deals!$D$2:$D$843,F5155))</f>
        <v/>
      </c>
      <c r="J5155">
        <f>IF(F5155="","",INT(H5155)-B5155)</f>
        <v/>
      </c>
      <c r="K5155">
        <f>IF(B5155&gt;=Settings!$C$5,1,0)</f>
        <v/>
      </c>
    </row>
    <row r="5156">
      <c r="A5156" t="inlineStr">
        <is>
          <t>9ab8da6ebb84a25f23233a3a2e8cfc11</t>
        </is>
      </c>
      <c r="B5156" s="29" t="n">
        <v>43135</v>
      </c>
      <c r="C5156" t="inlineStr">
        <is>
          <t>2018-02</t>
        </is>
      </c>
      <c r="D5156" t="inlineStr">
        <is>
          <t>88740e65d5d6b056e0cda098e1ea6313</t>
        </is>
      </c>
      <c r="E5156" t="inlineStr">
        <is>
          <t>social</t>
        </is>
      </c>
      <c r="F5156">
        <f>IFERROR(MATCH(A5156,Deals!$A$2:$A$843,0),"")</f>
        <v/>
      </c>
      <c r="G5156">
        <f>IF(F5156="",0,1)</f>
        <v/>
      </c>
      <c r="H5156" s="29">
        <f>IF(F5156="","",INDEX(Deals!$E$2:$E$843,F5156))</f>
        <v/>
      </c>
      <c r="I5156">
        <f>IF(F5156="","",INDEX(Deals!$D$2:$D$843,F5156))</f>
        <v/>
      </c>
      <c r="J5156">
        <f>IF(F5156="","",INT(H5156)-B5156)</f>
        <v/>
      </c>
      <c r="K5156">
        <f>IF(B5156&gt;=Settings!$C$5,1,0)</f>
        <v/>
      </c>
    </row>
    <row r="5157">
      <c r="A5157" t="inlineStr">
        <is>
          <t>b565accf0eb5014ea306fc7b1deef0e5</t>
        </is>
      </c>
      <c r="B5157" s="29" t="n">
        <v>42999</v>
      </c>
      <c r="C5157" t="inlineStr">
        <is>
          <t>2017-09</t>
        </is>
      </c>
      <c r="D5157" t="inlineStr">
        <is>
          <t>f017be4dbf86243af5c1ebed0cff36a2</t>
        </is>
      </c>
      <c r="E5157" t="inlineStr">
        <is>
          <t>referral</t>
        </is>
      </c>
      <c r="F5157">
        <f>IFERROR(MATCH(A5157,Deals!$A$2:$A$843,0),"")</f>
        <v/>
      </c>
      <c r="G5157">
        <f>IF(F5157="",0,1)</f>
        <v/>
      </c>
      <c r="H5157" s="29">
        <f>IF(F5157="","",INDEX(Deals!$E$2:$E$843,F5157))</f>
        <v/>
      </c>
      <c r="I5157">
        <f>IF(F5157="","",INDEX(Deals!$D$2:$D$843,F5157))</f>
        <v/>
      </c>
      <c r="J5157">
        <f>IF(F5157="","",INT(H5157)-B5157)</f>
        <v/>
      </c>
      <c r="K5157">
        <f>IF(B5157&gt;=Settings!$C$5,1,0)</f>
        <v/>
      </c>
    </row>
    <row r="5158">
      <c r="A5158" t="inlineStr">
        <is>
          <t>aacc572e940c398be54447f8f5c1568a</t>
        </is>
      </c>
      <c r="B5158" s="29" t="n">
        <v>43193</v>
      </c>
      <c r="C5158" t="inlineStr">
        <is>
          <t>2018-04</t>
        </is>
      </c>
      <c r="D5158" t="inlineStr">
        <is>
          <t>1ceb590cd1e00c7ee95220971f82693d</t>
        </is>
      </c>
      <c r="E5158" t="inlineStr">
        <is>
          <t>paid_search</t>
        </is>
      </c>
      <c r="F5158">
        <f>IFERROR(MATCH(A5158,Deals!$A$2:$A$843,0),"")</f>
        <v/>
      </c>
      <c r="G5158">
        <f>IF(F5158="",0,1)</f>
        <v/>
      </c>
      <c r="H5158" s="29">
        <f>IF(F5158="","",INDEX(Deals!$E$2:$E$843,F5158))</f>
        <v/>
      </c>
      <c r="I5158">
        <f>IF(F5158="","",INDEX(Deals!$D$2:$D$843,F5158))</f>
        <v/>
      </c>
      <c r="J5158">
        <f>IF(F5158="","",INT(H5158)-B5158)</f>
        <v/>
      </c>
      <c r="K5158">
        <f>IF(B5158&gt;=Settings!$C$5,1,0)</f>
        <v/>
      </c>
    </row>
    <row r="5159">
      <c r="A5159" t="inlineStr">
        <is>
          <t>75189197f1edfc7d60d2aa4f0abf02a4</t>
        </is>
      </c>
      <c r="B5159" s="29" t="n">
        <v>43237</v>
      </c>
      <c r="C5159" t="inlineStr">
        <is>
          <t>2018-05</t>
        </is>
      </c>
      <c r="D5159" t="inlineStr">
        <is>
          <t>f017be4dbf86243af5c1ebed0cff36a2</t>
        </is>
      </c>
      <c r="E5159" t="inlineStr">
        <is>
          <t>organic_search</t>
        </is>
      </c>
      <c r="F5159">
        <f>IFERROR(MATCH(A5159,Deals!$A$2:$A$843,0),"")</f>
        <v/>
      </c>
      <c r="G5159">
        <f>IF(F5159="",0,1)</f>
        <v/>
      </c>
      <c r="H5159" s="29">
        <f>IF(F5159="","",INDEX(Deals!$E$2:$E$843,F5159))</f>
        <v/>
      </c>
      <c r="I5159">
        <f>IF(F5159="","",INDEX(Deals!$D$2:$D$843,F5159))</f>
        <v/>
      </c>
      <c r="J5159">
        <f>IF(F5159="","",INT(H5159)-B5159)</f>
        <v/>
      </c>
      <c r="K5159">
        <f>IF(B5159&gt;=Settings!$C$5,1,0)</f>
        <v/>
      </c>
    </row>
    <row r="5160">
      <c r="A5160" t="inlineStr">
        <is>
          <t>84bc271ba306332e0c86fa65a23a7c84</t>
        </is>
      </c>
      <c r="B5160" s="29" t="n">
        <v>43249</v>
      </c>
      <c r="C5160" t="inlineStr">
        <is>
          <t>2018-05</t>
        </is>
      </c>
      <c r="D5160" t="inlineStr">
        <is>
          <t>58326e62183c14b0c03085c33b9fdc44</t>
        </is>
      </c>
      <c r="E5160" t="inlineStr">
        <is>
          <t>social</t>
        </is>
      </c>
      <c r="F5160">
        <f>IFERROR(MATCH(A5160,Deals!$A$2:$A$843,0),"")</f>
        <v/>
      </c>
      <c r="G5160">
        <f>IF(F5160="",0,1)</f>
        <v/>
      </c>
      <c r="H5160" s="29">
        <f>IF(F5160="","",INDEX(Deals!$E$2:$E$843,F5160))</f>
        <v/>
      </c>
      <c r="I5160">
        <f>IF(F5160="","",INDEX(Deals!$D$2:$D$843,F5160))</f>
        <v/>
      </c>
      <c r="J5160">
        <f>IF(F5160="","",INT(H5160)-B5160)</f>
        <v/>
      </c>
      <c r="K5160">
        <f>IF(B5160&gt;=Settings!$C$5,1,0)</f>
        <v/>
      </c>
    </row>
    <row r="5161">
      <c r="A5161" t="inlineStr">
        <is>
          <t>1a79b49f4029af527d527becc49c0c07</t>
        </is>
      </c>
      <c r="B5161" s="29" t="n">
        <v>43182</v>
      </c>
      <c r="C5161" t="inlineStr">
        <is>
          <t>2018-03</t>
        </is>
      </c>
      <c r="D5161" t="inlineStr">
        <is>
          <t>f4cb9c7b1dc31afca77d4896d2ae8d4b</t>
        </is>
      </c>
      <c r="E5161" t="inlineStr">
        <is>
          <t>paid_search</t>
        </is>
      </c>
      <c r="F5161">
        <f>IFERROR(MATCH(A5161,Deals!$A$2:$A$843,0),"")</f>
        <v/>
      </c>
      <c r="G5161">
        <f>IF(F5161="",0,1)</f>
        <v/>
      </c>
      <c r="H5161" s="29">
        <f>IF(F5161="","",INDEX(Deals!$E$2:$E$843,F5161))</f>
        <v/>
      </c>
      <c r="I5161">
        <f>IF(F5161="","",INDEX(Deals!$D$2:$D$843,F5161))</f>
        <v/>
      </c>
      <c r="J5161">
        <f>IF(F5161="","",INT(H5161)-B5161)</f>
        <v/>
      </c>
      <c r="K5161">
        <f>IF(B5161&gt;=Settings!$C$5,1,0)</f>
        <v/>
      </c>
    </row>
    <row r="5162">
      <c r="A5162" t="inlineStr">
        <is>
          <t>9bb170d5a0adf8a2da13f042b4cffcab</t>
        </is>
      </c>
      <c r="B5162" s="29" t="n">
        <v>43178</v>
      </c>
      <c r="C5162" t="inlineStr">
        <is>
          <t>2018-03</t>
        </is>
      </c>
      <c r="D5162" t="inlineStr">
        <is>
          <t>b6885f18d203a61176418c1fb3764815</t>
        </is>
      </c>
      <c r="E5162" t="inlineStr">
        <is>
          <t>paid_search</t>
        </is>
      </c>
      <c r="F5162">
        <f>IFERROR(MATCH(A5162,Deals!$A$2:$A$843,0),"")</f>
        <v/>
      </c>
      <c r="G5162">
        <f>IF(F5162="",0,1)</f>
        <v/>
      </c>
      <c r="H5162" s="29">
        <f>IF(F5162="","",INDEX(Deals!$E$2:$E$843,F5162))</f>
        <v/>
      </c>
      <c r="I5162">
        <f>IF(F5162="","",INDEX(Deals!$D$2:$D$843,F5162))</f>
        <v/>
      </c>
      <c r="J5162">
        <f>IF(F5162="","",INT(H5162)-B5162)</f>
        <v/>
      </c>
      <c r="K5162">
        <f>IF(B5162&gt;=Settings!$C$5,1,0)</f>
        <v/>
      </c>
    </row>
    <row r="5163">
      <c r="A5163" t="inlineStr">
        <is>
          <t>dda2dd734c4c0462ae1c37edd01d5bcd</t>
        </is>
      </c>
      <c r="B5163" s="29" t="n">
        <v>43128</v>
      </c>
      <c r="C5163" t="inlineStr">
        <is>
          <t>2018-01</t>
        </is>
      </c>
      <c r="D5163" t="inlineStr">
        <is>
          <t>f017be4dbf86243af5c1ebed0cff36a2</t>
        </is>
      </c>
      <c r="E5163" t="inlineStr">
        <is>
          <t>display</t>
        </is>
      </c>
      <c r="F5163">
        <f>IFERROR(MATCH(A5163,Deals!$A$2:$A$843,0),"")</f>
        <v/>
      </c>
      <c r="G5163">
        <f>IF(F5163="",0,1)</f>
        <v/>
      </c>
      <c r="H5163" s="29">
        <f>IF(F5163="","",INDEX(Deals!$E$2:$E$843,F5163))</f>
        <v/>
      </c>
      <c r="I5163">
        <f>IF(F5163="","",INDEX(Deals!$D$2:$D$843,F5163))</f>
        <v/>
      </c>
      <c r="J5163">
        <f>IF(F5163="","",INT(H5163)-B5163)</f>
        <v/>
      </c>
      <c r="K5163">
        <f>IF(B5163&gt;=Settings!$C$5,1,0)</f>
        <v/>
      </c>
    </row>
    <row r="5164">
      <c r="A5164" t="inlineStr">
        <is>
          <t>9e63b0ebcbda33b9c833f3ce0ef7f1ca</t>
        </is>
      </c>
      <c r="B5164" s="29" t="n">
        <v>43185</v>
      </c>
      <c r="C5164" t="inlineStr">
        <is>
          <t>2018-03</t>
        </is>
      </c>
      <c r="D5164" t="inlineStr">
        <is>
          <t>46bbd1ad032b44f18f1fb613200965a0</t>
        </is>
      </c>
      <c r="E5164" t="inlineStr">
        <is>
          <t>paid_search</t>
        </is>
      </c>
      <c r="F5164">
        <f>IFERROR(MATCH(A5164,Deals!$A$2:$A$843,0),"")</f>
        <v/>
      </c>
      <c r="G5164">
        <f>IF(F5164="",0,1)</f>
        <v/>
      </c>
      <c r="H5164" s="29">
        <f>IF(F5164="","",INDEX(Deals!$E$2:$E$843,F5164))</f>
        <v/>
      </c>
      <c r="I5164">
        <f>IF(F5164="","",INDEX(Deals!$D$2:$D$843,F5164))</f>
        <v/>
      </c>
      <c r="J5164">
        <f>IF(F5164="","",INT(H5164)-B5164)</f>
        <v/>
      </c>
      <c r="K5164">
        <f>IF(B5164&gt;=Settings!$C$5,1,0)</f>
        <v/>
      </c>
    </row>
    <row r="5165">
      <c r="A5165" t="inlineStr">
        <is>
          <t>c4ba6775e8258a19bc5b83859a26d6f3</t>
        </is>
      </c>
      <c r="B5165" s="29" t="n">
        <v>43206</v>
      </c>
      <c r="C5165" t="inlineStr">
        <is>
          <t>2018-04</t>
        </is>
      </c>
      <c r="D5165" t="inlineStr">
        <is>
          <t>22c29808c4f815213303f8933030604c</t>
        </is>
      </c>
      <c r="E5165" t="inlineStr">
        <is>
          <t>organic_search</t>
        </is>
      </c>
      <c r="F5165">
        <f>IFERROR(MATCH(A5165,Deals!$A$2:$A$843,0),"")</f>
        <v/>
      </c>
      <c r="G5165">
        <f>IF(F5165="",0,1)</f>
        <v/>
      </c>
      <c r="H5165" s="29">
        <f>IF(F5165="","",INDEX(Deals!$E$2:$E$843,F5165))</f>
        <v/>
      </c>
      <c r="I5165">
        <f>IF(F5165="","",INDEX(Deals!$D$2:$D$843,F5165))</f>
        <v/>
      </c>
      <c r="J5165">
        <f>IF(F5165="","",INT(H5165)-B5165)</f>
        <v/>
      </c>
      <c r="K5165">
        <f>IF(B5165&gt;=Settings!$C$5,1,0)</f>
        <v/>
      </c>
    </row>
    <row r="5166">
      <c r="A5166" t="inlineStr">
        <is>
          <t>b0b5f5e1f8f548bbe5fafc4d06a3d527</t>
        </is>
      </c>
      <c r="B5166" s="29" t="n">
        <v>43217</v>
      </c>
      <c r="C5166" t="inlineStr">
        <is>
          <t>2018-04</t>
        </is>
      </c>
      <c r="D5166" t="inlineStr">
        <is>
          <t>ce1a65abd0973638f1c887a6efcfa82d</t>
        </is>
      </c>
      <c r="E5166" t="inlineStr">
        <is>
          <t>organic_search</t>
        </is>
      </c>
      <c r="F5166">
        <f>IFERROR(MATCH(A5166,Deals!$A$2:$A$843,0),"")</f>
        <v/>
      </c>
      <c r="G5166">
        <f>IF(F5166="",0,1)</f>
        <v/>
      </c>
      <c r="H5166" s="29">
        <f>IF(F5166="","",INDEX(Deals!$E$2:$E$843,F5166))</f>
        <v/>
      </c>
      <c r="I5166">
        <f>IF(F5166="","",INDEX(Deals!$D$2:$D$843,F5166))</f>
        <v/>
      </c>
      <c r="J5166">
        <f>IF(F5166="","",INT(H5166)-B5166)</f>
        <v/>
      </c>
      <c r="K5166">
        <f>IF(B5166&gt;=Settings!$C$5,1,0)</f>
        <v/>
      </c>
    </row>
    <row r="5167">
      <c r="A5167" t="inlineStr">
        <is>
          <t>cbac44f25cc867a81e7ec47ab95bbbf3</t>
        </is>
      </c>
      <c r="B5167" s="29" t="n">
        <v>43215</v>
      </c>
      <c r="C5167" t="inlineStr">
        <is>
          <t>2018-04</t>
        </is>
      </c>
      <c r="D5167" t="inlineStr">
        <is>
          <t>5dc848e7dd9418dffe183215b8ff0bc1</t>
        </is>
      </c>
      <c r="E5167" t="inlineStr">
        <is>
          <t>referral</t>
        </is>
      </c>
      <c r="F5167">
        <f>IFERROR(MATCH(A5167,Deals!$A$2:$A$843,0),"")</f>
        <v/>
      </c>
      <c r="G5167">
        <f>IF(F5167="",0,1)</f>
        <v/>
      </c>
      <c r="H5167" s="29">
        <f>IF(F5167="","",INDEX(Deals!$E$2:$E$843,F5167))</f>
        <v/>
      </c>
      <c r="I5167">
        <f>IF(F5167="","",INDEX(Deals!$D$2:$D$843,F5167))</f>
        <v/>
      </c>
      <c r="J5167">
        <f>IF(F5167="","",INT(H5167)-B5167)</f>
        <v/>
      </c>
      <c r="K5167">
        <f>IF(B5167&gt;=Settings!$C$5,1,0)</f>
        <v/>
      </c>
    </row>
    <row r="5168">
      <c r="A5168" t="inlineStr">
        <is>
          <t>bec6ae957f33a68725a02c625838a376</t>
        </is>
      </c>
      <c r="B5168" s="29" t="n">
        <v>43154</v>
      </c>
      <c r="C5168" t="inlineStr">
        <is>
          <t>2018-02</t>
        </is>
      </c>
      <c r="D5168" t="inlineStr">
        <is>
          <t>2228a43ac0bc372e25f9569e69fc9015</t>
        </is>
      </c>
      <c r="E5168" t="inlineStr">
        <is>
          <t>unknown</t>
        </is>
      </c>
      <c r="F5168">
        <f>IFERROR(MATCH(A5168,Deals!$A$2:$A$843,0),"")</f>
        <v/>
      </c>
      <c r="G5168">
        <f>IF(F5168="",0,1)</f>
        <v/>
      </c>
      <c r="H5168" s="29">
        <f>IF(F5168="","",INDEX(Deals!$E$2:$E$843,F5168))</f>
        <v/>
      </c>
      <c r="I5168">
        <f>IF(F5168="","",INDEX(Deals!$D$2:$D$843,F5168))</f>
        <v/>
      </c>
      <c r="J5168">
        <f>IF(F5168="","",INT(H5168)-B5168)</f>
        <v/>
      </c>
      <c r="K5168">
        <f>IF(B5168&gt;=Settings!$C$5,1,0)</f>
        <v/>
      </c>
    </row>
    <row r="5169">
      <c r="A5169" t="inlineStr">
        <is>
          <t>b844e481df2e5987e9f1a31c6642a2c4</t>
        </is>
      </c>
      <c r="B5169" s="29" t="n">
        <v>42953</v>
      </c>
      <c r="C5169" t="inlineStr">
        <is>
          <t>2017-08</t>
        </is>
      </c>
      <c r="D5169" t="inlineStr">
        <is>
          <t>87732658ba41d8775e8577df347a64db</t>
        </is>
      </c>
      <c r="E5169" t="inlineStr">
        <is>
          <t>other_publicities</t>
        </is>
      </c>
      <c r="F5169">
        <f>IFERROR(MATCH(A5169,Deals!$A$2:$A$843,0),"")</f>
        <v/>
      </c>
      <c r="G5169">
        <f>IF(F5169="",0,1)</f>
        <v/>
      </c>
      <c r="H5169" s="29">
        <f>IF(F5169="","",INDEX(Deals!$E$2:$E$843,F5169))</f>
        <v/>
      </c>
      <c r="I5169">
        <f>IF(F5169="","",INDEX(Deals!$D$2:$D$843,F5169))</f>
        <v/>
      </c>
      <c r="J5169">
        <f>IF(F5169="","",INT(H5169)-B5169)</f>
        <v/>
      </c>
      <c r="K5169">
        <f>IF(B5169&gt;=Settings!$C$5,1,0)</f>
        <v/>
      </c>
    </row>
    <row r="5170">
      <c r="A5170" t="inlineStr">
        <is>
          <t>78cb63acd2888606f925551760b69f54</t>
        </is>
      </c>
      <c r="B5170" s="29" t="n">
        <v>43210</v>
      </c>
      <c r="C5170" t="inlineStr">
        <is>
          <t>2018-04</t>
        </is>
      </c>
      <c r="D5170" t="inlineStr">
        <is>
          <t>607cb942712956d9e5cca504365378c0</t>
        </is>
      </c>
      <c r="E5170" t="inlineStr">
        <is>
          <t>social</t>
        </is>
      </c>
      <c r="F5170">
        <f>IFERROR(MATCH(A5170,Deals!$A$2:$A$843,0),"")</f>
        <v/>
      </c>
      <c r="G5170">
        <f>IF(F5170="",0,1)</f>
        <v/>
      </c>
      <c r="H5170" s="29">
        <f>IF(F5170="","",INDEX(Deals!$E$2:$E$843,F5170))</f>
        <v/>
      </c>
      <c r="I5170">
        <f>IF(F5170="","",INDEX(Deals!$D$2:$D$843,F5170))</f>
        <v/>
      </c>
      <c r="J5170">
        <f>IF(F5170="","",INT(H5170)-B5170)</f>
        <v/>
      </c>
      <c r="K5170">
        <f>IF(B5170&gt;=Settings!$C$5,1,0)</f>
        <v/>
      </c>
    </row>
    <row r="5171">
      <c r="A5171" t="inlineStr">
        <is>
          <t>4f828f34eab2d78b161b5c097b645a38</t>
        </is>
      </c>
      <c r="B5171" s="29" t="n">
        <v>43117</v>
      </c>
      <c r="C5171" t="inlineStr">
        <is>
          <t>2018-01</t>
        </is>
      </c>
      <c r="D5171" t="inlineStr">
        <is>
          <t>8d912d37229efff168ceba5d640cc4a1</t>
        </is>
      </c>
      <c r="E5171" t="inlineStr">
        <is>
          <t>other</t>
        </is>
      </c>
      <c r="F5171">
        <f>IFERROR(MATCH(A5171,Deals!$A$2:$A$843,0),"")</f>
        <v/>
      </c>
      <c r="G5171">
        <f>IF(F5171="",0,1)</f>
        <v/>
      </c>
      <c r="H5171" s="29">
        <f>IF(F5171="","",INDEX(Deals!$E$2:$E$843,F5171))</f>
        <v/>
      </c>
      <c r="I5171">
        <f>IF(F5171="","",INDEX(Deals!$D$2:$D$843,F5171))</f>
        <v/>
      </c>
      <c r="J5171">
        <f>IF(F5171="","",INT(H5171)-B5171)</f>
        <v/>
      </c>
      <c r="K5171">
        <f>IF(B5171&gt;=Settings!$C$5,1,0)</f>
        <v/>
      </c>
    </row>
    <row r="5172">
      <c r="A5172" t="inlineStr">
        <is>
          <t>093d559928d57fc466488f5176506e29</t>
        </is>
      </c>
      <c r="B5172" s="29" t="n">
        <v>43221</v>
      </c>
      <c r="C5172" t="inlineStr">
        <is>
          <t>2018-05</t>
        </is>
      </c>
      <c r="D5172" t="inlineStr">
        <is>
          <t>58326e62183c14b0c03085c33b9fdc44</t>
        </is>
      </c>
      <c r="E5172" t="inlineStr">
        <is>
          <t>social</t>
        </is>
      </c>
      <c r="F5172">
        <f>IFERROR(MATCH(A5172,Deals!$A$2:$A$843,0),"")</f>
        <v/>
      </c>
      <c r="G5172">
        <f>IF(F5172="",0,1)</f>
        <v/>
      </c>
      <c r="H5172" s="29">
        <f>IF(F5172="","",INDEX(Deals!$E$2:$E$843,F5172))</f>
        <v/>
      </c>
      <c r="I5172">
        <f>IF(F5172="","",INDEX(Deals!$D$2:$D$843,F5172))</f>
        <v/>
      </c>
      <c r="J5172">
        <f>IF(F5172="","",INT(H5172)-B5172)</f>
        <v/>
      </c>
      <c r="K5172">
        <f>IF(B5172&gt;=Settings!$C$5,1,0)</f>
        <v/>
      </c>
    </row>
    <row r="5173">
      <c r="A5173" t="inlineStr">
        <is>
          <t>80a19b2bee623d67010812c64f360300</t>
        </is>
      </c>
      <c r="B5173" s="29" t="n">
        <v>43137</v>
      </c>
      <c r="C5173" t="inlineStr">
        <is>
          <t>2018-02</t>
        </is>
      </c>
      <c r="D5173" t="inlineStr">
        <is>
          <t>b76ef37428e6799c421989521c0e5077</t>
        </is>
      </c>
      <c r="E5173" t="inlineStr">
        <is>
          <t>unknown</t>
        </is>
      </c>
      <c r="F5173">
        <f>IFERROR(MATCH(A5173,Deals!$A$2:$A$843,0),"")</f>
        <v/>
      </c>
      <c r="G5173">
        <f>IF(F5173="",0,1)</f>
        <v/>
      </c>
      <c r="H5173" s="29">
        <f>IF(F5173="","",INDEX(Deals!$E$2:$E$843,F5173))</f>
        <v/>
      </c>
      <c r="I5173">
        <f>IF(F5173="","",INDEX(Deals!$D$2:$D$843,F5173))</f>
        <v/>
      </c>
      <c r="J5173">
        <f>IF(F5173="","",INT(H5173)-B5173)</f>
        <v/>
      </c>
      <c r="K5173">
        <f>IF(B5173&gt;=Settings!$C$5,1,0)</f>
        <v/>
      </c>
    </row>
    <row r="5174">
      <c r="A5174" t="inlineStr">
        <is>
          <t>c2ad3ba220066148c8f08d2caa94bf1f</t>
        </is>
      </c>
      <c r="B5174" s="29" t="n">
        <v>43182</v>
      </c>
      <c r="C5174" t="inlineStr">
        <is>
          <t>2018-03</t>
        </is>
      </c>
      <c r="D5174" t="inlineStr">
        <is>
          <t>ce1a65abd0973638f1c887a6efcfa82d</t>
        </is>
      </c>
      <c r="E5174" t="inlineStr">
        <is>
          <t>direct_traffic</t>
        </is>
      </c>
      <c r="F5174">
        <f>IFERROR(MATCH(A5174,Deals!$A$2:$A$843,0),"")</f>
        <v/>
      </c>
      <c r="G5174">
        <f>IF(F5174="",0,1)</f>
        <v/>
      </c>
      <c r="H5174" s="29">
        <f>IF(F5174="","",INDEX(Deals!$E$2:$E$843,F5174))</f>
        <v/>
      </c>
      <c r="I5174">
        <f>IF(F5174="","",INDEX(Deals!$D$2:$D$843,F5174))</f>
        <v/>
      </c>
      <c r="J5174">
        <f>IF(F5174="","",INT(H5174)-B5174)</f>
        <v/>
      </c>
      <c r="K5174">
        <f>IF(B5174&gt;=Settings!$C$5,1,0)</f>
        <v/>
      </c>
    </row>
    <row r="5175">
      <c r="A5175" t="inlineStr">
        <is>
          <t>61a44cb2d2dd2ca95103ef78b92121da</t>
        </is>
      </c>
      <c r="B5175" s="29" t="n">
        <v>43179</v>
      </c>
      <c r="C5175" t="inlineStr">
        <is>
          <t>2018-03</t>
        </is>
      </c>
      <c r="D5175" t="inlineStr">
        <is>
          <t>b6885f18d203a61176418c1fb3764815</t>
        </is>
      </c>
      <c r="E5175" t="inlineStr">
        <is>
          <t>paid_search</t>
        </is>
      </c>
      <c r="F5175">
        <f>IFERROR(MATCH(A5175,Deals!$A$2:$A$843,0),"")</f>
        <v/>
      </c>
      <c r="G5175">
        <f>IF(F5175="",0,1)</f>
        <v/>
      </c>
      <c r="H5175" s="29">
        <f>IF(F5175="","",INDEX(Deals!$E$2:$E$843,F5175))</f>
        <v/>
      </c>
      <c r="I5175">
        <f>IF(F5175="","",INDEX(Deals!$D$2:$D$843,F5175))</f>
        <v/>
      </c>
      <c r="J5175">
        <f>IF(F5175="","",INT(H5175)-B5175)</f>
        <v/>
      </c>
      <c r="K5175">
        <f>IF(B5175&gt;=Settings!$C$5,1,0)</f>
        <v/>
      </c>
    </row>
    <row r="5176">
      <c r="A5176" t="inlineStr">
        <is>
          <t>4fb5dff6497d084597b3f94687c12fe8</t>
        </is>
      </c>
      <c r="B5176" s="29" t="n">
        <v>43139</v>
      </c>
      <c r="C5176" t="inlineStr">
        <is>
          <t>2018-02</t>
        </is>
      </c>
      <c r="D5176" t="inlineStr">
        <is>
          <t>40dec9f3d5259a3d2dbcdab2114fae47</t>
        </is>
      </c>
      <c r="E5176" t="inlineStr">
        <is>
          <t>paid_search</t>
        </is>
      </c>
      <c r="F5176">
        <f>IFERROR(MATCH(A5176,Deals!$A$2:$A$843,0),"")</f>
        <v/>
      </c>
      <c r="G5176">
        <f>IF(F5176="",0,1)</f>
        <v/>
      </c>
      <c r="H5176" s="29">
        <f>IF(F5176="","",INDEX(Deals!$E$2:$E$843,F5176))</f>
        <v/>
      </c>
      <c r="I5176">
        <f>IF(F5176="","",INDEX(Deals!$D$2:$D$843,F5176))</f>
        <v/>
      </c>
      <c r="J5176">
        <f>IF(F5176="","",INT(H5176)-B5176)</f>
        <v/>
      </c>
      <c r="K5176">
        <f>IF(B5176&gt;=Settings!$C$5,1,0)</f>
        <v/>
      </c>
    </row>
    <row r="5177">
      <c r="A5177" t="inlineStr">
        <is>
          <t>b88d1a4d8194f43a664ab37ba3d65461</t>
        </is>
      </c>
      <c r="B5177" s="29" t="n">
        <v>43122</v>
      </c>
      <c r="C5177" t="inlineStr">
        <is>
          <t>2018-01</t>
        </is>
      </c>
      <c r="D5177" t="inlineStr">
        <is>
          <t>e492ee5eaf1697716985cc6f33f9cd9b</t>
        </is>
      </c>
      <c r="E5177" t="inlineStr">
        <is>
          <t>paid_search</t>
        </is>
      </c>
      <c r="F5177">
        <f>IFERROR(MATCH(A5177,Deals!$A$2:$A$843,0),"")</f>
        <v/>
      </c>
      <c r="G5177">
        <f>IF(F5177="",0,1)</f>
        <v/>
      </c>
      <c r="H5177" s="29">
        <f>IF(F5177="","",INDEX(Deals!$E$2:$E$843,F5177))</f>
        <v/>
      </c>
      <c r="I5177">
        <f>IF(F5177="","",INDEX(Deals!$D$2:$D$843,F5177))</f>
        <v/>
      </c>
      <c r="J5177">
        <f>IF(F5177="","",INT(H5177)-B5177)</f>
        <v/>
      </c>
      <c r="K5177">
        <f>IF(B5177&gt;=Settings!$C$5,1,0)</f>
        <v/>
      </c>
    </row>
    <row r="5178">
      <c r="A5178" t="inlineStr">
        <is>
          <t>2ef4ebb167746897c151f0bed46d1994</t>
        </is>
      </c>
      <c r="B5178" s="29" t="n">
        <v>43152</v>
      </c>
      <c r="C5178" t="inlineStr">
        <is>
          <t>2018-02</t>
        </is>
      </c>
      <c r="D5178" t="inlineStr">
        <is>
          <t>b76ef37428e6799c421989521c0e5077</t>
        </is>
      </c>
      <c r="E5178" t="inlineStr">
        <is>
          <t>unknown</t>
        </is>
      </c>
      <c r="F5178">
        <f>IFERROR(MATCH(A5178,Deals!$A$2:$A$843,0),"")</f>
        <v/>
      </c>
      <c r="G5178">
        <f>IF(F5178="",0,1)</f>
        <v/>
      </c>
      <c r="H5178" s="29">
        <f>IF(F5178="","",INDEX(Deals!$E$2:$E$843,F5178))</f>
        <v/>
      </c>
      <c r="I5178">
        <f>IF(F5178="","",INDEX(Deals!$D$2:$D$843,F5178))</f>
        <v/>
      </c>
      <c r="J5178">
        <f>IF(F5178="","",INT(H5178)-B5178)</f>
        <v/>
      </c>
      <c r="K5178">
        <f>IF(B5178&gt;=Settings!$C$5,1,0)</f>
        <v/>
      </c>
    </row>
    <row r="5179">
      <c r="A5179" t="inlineStr">
        <is>
          <t>953d35bc03312bebdb597aa131ec3dd3</t>
        </is>
      </c>
      <c r="B5179" s="29" t="n">
        <v>43050</v>
      </c>
      <c r="C5179" t="inlineStr">
        <is>
          <t>2017-11</t>
        </is>
      </c>
      <c r="D5179" t="inlineStr">
        <is>
          <t>f98c2bd96ac4a5d9476734e790c91384</t>
        </is>
      </c>
      <c r="E5179" t="inlineStr">
        <is>
          <t>organic_search</t>
        </is>
      </c>
      <c r="F5179">
        <f>IFERROR(MATCH(A5179,Deals!$A$2:$A$843,0),"")</f>
        <v/>
      </c>
      <c r="G5179">
        <f>IF(F5179="",0,1)</f>
        <v/>
      </c>
      <c r="H5179" s="29">
        <f>IF(F5179="","",INDEX(Deals!$E$2:$E$843,F5179))</f>
        <v/>
      </c>
      <c r="I5179">
        <f>IF(F5179="","",INDEX(Deals!$D$2:$D$843,F5179))</f>
        <v/>
      </c>
      <c r="J5179">
        <f>IF(F5179="","",INT(H5179)-B5179)</f>
        <v/>
      </c>
      <c r="K5179">
        <f>IF(B5179&gt;=Settings!$C$5,1,0)</f>
        <v/>
      </c>
    </row>
    <row r="5180">
      <c r="A5180" t="inlineStr">
        <is>
          <t>99fb2c00a7924d2152227c0d60112947</t>
        </is>
      </c>
      <c r="B5180" s="29" t="n">
        <v>43164</v>
      </c>
      <c r="C5180" t="inlineStr">
        <is>
          <t>2018-03</t>
        </is>
      </c>
      <c r="D5180" t="inlineStr">
        <is>
          <t>a7982125ff7aa3b2054c6e44f9d28522</t>
        </is>
      </c>
      <c r="E5180" t="inlineStr">
        <is>
          <t>organic_search</t>
        </is>
      </c>
      <c r="F5180">
        <f>IFERROR(MATCH(A5180,Deals!$A$2:$A$843,0),"")</f>
        <v/>
      </c>
      <c r="G5180">
        <f>IF(F5180="",0,1)</f>
        <v/>
      </c>
      <c r="H5180" s="29">
        <f>IF(F5180="","",INDEX(Deals!$E$2:$E$843,F5180))</f>
        <v/>
      </c>
      <c r="I5180">
        <f>IF(F5180="","",INDEX(Deals!$D$2:$D$843,F5180))</f>
        <v/>
      </c>
      <c r="J5180">
        <f>IF(F5180="","",INT(H5180)-B5180)</f>
        <v/>
      </c>
      <c r="K5180">
        <f>IF(B5180&gt;=Settings!$C$5,1,0)</f>
        <v/>
      </c>
    </row>
    <row r="5181">
      <c r="A5181" t="inlineStr">
        <is>
          <t>1f7f61828a697b28059f813c0f512154</t>
        </is>
      </c>
      <c r="B5181" s="29" t="n">
        <v>43208</v>
      </c>
      <c r="C5181" t="inlineStr">
        <is>
          <t>2018-04</t>
        </is>
      </c>
      <c r="D5181" t="inlineStr">
        <is>
          <t>22c29808c4f815213303f8933030604c</t>
        </is>
      </c>
      <c r="E5181" t="inlineStr">
        <is>
          <t>organic_search</t>
        </is>
      </c>
      <c r="F5181">
        <f>IFERROR(MATCH(A5181,Deals!$A$2:$A$843,0),"")</f>
        <v/>
      </c>
      <c r="G5181">
        <f>IF(F5181="",0,1)</f>
        <v/>
      </c>
      <c r="H5181" s="29">
        <f>IF(F5181="","",INDEX(Deals!$E$2:$E$843,F5181))</f>
        <v/>
      </c>
      <c r="I5181">
        <f>IF(F5181="","",INDEX(Deals!$D$2:$D$843,F5181))</f>
        <v/>
      </c>
      <c r="J5181">
        <f>IF(F5181="","",INT(H5181)-B5181)</f>
        <v/>
      </c>
      <c r="K5181">
        <f>IF(B5181&gt;=Settings!$C$5,1,0)</f>
        <v/>
      </c>
    </row>
    <row r="5182">
      <c r="A5182" t="inlineStr">
        <is>
          <t>0ff5688b0935206594266ed9ba87e8e4</t>
        </is>
      </c>
      <c r="B5182" s="29" t="n">
        <v>43044</v>
      </c>
      <c r="C5182" t="inlineStr">
        <is>
          <t>2017-11</t>
        </is>
      </c>
      <c r="D5182" t="inlineStr">
        <is>
          <t>7b8106a8b4d2982573b70980cbb01e9d</t>
        </is>
      </c>
      <c r="E5182" t="inlineStr">
        <is>
          <t>referral</t>
        </is>
      </c>
      <c r="F5182">
        <f>IFERROR(MATCH(A5182,Deals!$A$2:$A$843,0),"")</f>
        <v/>
      </c>
      <c r="G5182">
        <f>IF(F5182="",0,1)</f>
        <v/>
      </c>
      <c r="H5182" s="29">
        <f>IF(F5182="","",INDEX(Deals!$E$2:$E$843,F5182))</f>
        <v/>
      </c>
      <c r="I5182">
        <f>IF(F5182="","",INDEX(Deals!$D$2:$D$843,F5182))</f>
        <v/>
      </c>
      <c r="J5182">
        <f>IF(F5182="","",INT(H5182)-B5182)</f>
        <v/>
      </c>
      <c r="K5182">
        <f>IF(B5182&gt;=Settings!$C$5,1,0)</f>
        <v/>
      </c>
    </row>
    <row r="5183">
      <c r="A5183" t="inlineStr">
        <is>
          <t>6df0ee5c598338f088fcc8059ddb2e32</t>
        </is>
      </c>
      <c r="B5183" s="29" t="n">
        <v>43228</v>
      </c>
      <c r="C5183" t="inlineStr">
        <is>
          <t>2018-05</t>
        </is>
      </c>
      <c r="D5183" t="inlineStr">
        <is>
          <t>b76ef37428e6799c421989521c0e5077</t>
        </is>
      </c>
      <c r="E5183" t="inlineStr">
        <is>
          <t>paid_search</t>
        </is>
      </c>
      <c r="F5183">
        <f>IFERROR(MATCH(A5183,Deals!$A$2:$A$843,0),"")</f>
        <v/>
      </c>
      <c r="G5183">
        <f>IF(F5183="",0,1)</f>
        <v/>
      </c>
      <c r="H5183" s="29">
        <f>IF(F5183="","",INDEX(Deals!$E$2:$E$843,F5183))</f>
        <v/>
      </c>
      <c r="I5183">
        <f>IF(F5183="","",INDEX(Deals!$D$2:$D$843,F5183))</f>
        <v/>
      </c>
      <c r="J5183">
        <f>IF(F5183="","",INT(H5183)-B5183)</f>
        <v/>
      </c>
      <c r="K5183">
        <f>IF(B5183&gt;=Settings!$C$5,1,0)</f>
        <v/>
      </c>
    </row>
    <row r="5184">
      <c r="A5184" t="inlineStr">
        <is>
          <t>2580aff5ea35fe4b1b4b0dd66bb22c65</t>
        </is>
      </c>
      <c r="B5184" s="29" t="n">
        <v>43164</v>
      </c>
      <c r="C5184" t="inlineStr">
        <is>
          <t>2018-03</t>
        </is>
      </c>
      <c r="D5184" t="inlineStr">
        <is>
          <t>88740e65d5d6b056e0cda098e1ea6313</t>
        </is>
      </c>
      <c r="E5184" t="inlineStr">
        <is>
          <t>social</t>
        </is>
      </c>
      <c r="F5184">
        <f>IFERROR(MATCH(A5184,Deals!$A$2:$A$843,0),"")</f>
        <v/>
      </c>
      <c r="G5184">
        <f>IF(F5184="",0,1)</f>
        <v/>
      </c>
      <c r="H5184" s="29">
        <f>IF(F5184="","",INDEX(Deals!$E$2:$E$843,F5184))</f>
        <v/>
      </c>
      <c r="I5184">
        <f>IF(F5184="","",INDEX(Deals!$D$2:$D$843,F5184))</f>
        <v/>
      </c>
      <c r="J5184">
        <f>IF(F5184="","",INT(H5184)-B5184)</f>
        <v/>
      </c>
      <c r="K5184">
        <f>IF(B5184&gt;=Settings!$C$5,1,0)</f>
        <v/>
      </c>
    </row>
    <row r="5185">
      <c r="A5185" t="inlineStr">
        <is>
          <t>fd31e5cd85f0ec42b569b55b0b165d84</t>
        </is>
      </c>
      <c r="B5185" s="29" t="n">
        <v>42961</v>
      </c>
      <c r="C5185" t="inlineStr">
        <is>
          <t>2017-08</t>
        </is>
      </c>
      <c r="D5185" t="inlineStr">
        <is>
          <t>f017be4dbf86243af5c1ebed0cff36a2</t>
        </is>
      </c>
      <c r="E5185" t="inlineStr">
        <is>
          <t>referral</t>
        </is>
      </c>
      <c r="F5185">
        <f>IFERROR(MATCH(A5185,Deals!$A$2:$A$843,0),"")</f>
        <v/>
      </c>
      <c r="G5185">
        <f>IF(F5185="",0,1)</f>
        <v/>
      </c>
      <c r="H5185" s="29">
        <f>IF(F5185="","",INDEX(Deals!$E$2:$E$843,F5185))</f>
        <v/>
      </c>
      <c r="I5185">
        <f>IF(F5185="","",INDEX(Deals!$D$2:$D$843,F5185))</f>
        <v/>
      </c>
      <c r="J5185">
        <f>IF(F5185="","",INT(H5185)-B5185)</f>
        <v/>
      </c>
      <c r="K5185">
        <f>IF(B5185&gt;=Settings!$C$5,1,0)</f>
        <v/>
      </c>
    </row>
    <row r="5186">
      <c r="A5186" t="inlineStr">
        <is>
          <t>2d821f9d210b3b0ec98f18bf84253c0f</t>
        </is>
      </c>
      <c r="B5186" s="29" t="n">
        <v>43107</v>
      </c>
      <c r="C5186" t="inlineStr">
        <is>
          <t>2018-01</t>
        </is>
      </c>
      <c r="D5186" t="inlineStr">
        <is>
          <t>b76ef37428e6799c421989521c0e5077</t>
        </is>
      </c>
      <c r="E5186" t="inlineStr">
        <is>
          <t>unknown</t>
        </is>
      </c>
      <c r="F5186">
        <f>IFERROR(MATCH(A5186,Deals!$A$2:$A$843,0),"")</f>
        <v/>
      </c>
      <c r="G5186">
        <f>IF(F5186="",0,1)</f>
        <v/>
      </c>
      <c r="H5186" s="29">
        <f>IF(F5186="","",INDEX(Deals!$E$2:$E$843,F5186))</f>
        <v/>
      </c>
      <c r="I5186">
        <f>IF(F5186="","",INDEX(Deals!$D$2:$D$843,F5186))</f>
        <v/>
      </c>
      <c r="J5186">
        <f>IF(F5186="","",INT(H5186)-B5186)</f>
        <v/>
      </c>
      <c r="K5186">
        <f>IF(B5186&gt;=Settings!$C$5,1,0)</f>
        <v/>
      </c>
    </row>
    <row r="5187">
      <c r="A5187" t="inlineStr">
        <is>
          <t>04be1d502cd2e61174e72d9ad6116639</t>
        </is>
      </c>
      <c r="B5187" s="29" t="n">
        <v>43172</v>
      </c>
      <c r="C5187" t="inlineStr">
        <is>
          <t>2018-03</t>
        </is>
      </c>
      <c r="D5187" t="inlineStr">
        <is>
          <t>30077c17f2ec5010a82e37ad8925b95f</t>
        </is>
      </c>
      <c r="E5187" t="inlineStr">
        <is>
          <t>direct_traffic</t>
        </is>
      </c>
      <c r="F5187">
        <f>IFERROR(MATCH(A5187,Deals!$A$2:$A$843,0),"")</f>
        <v/>
      </c>
      <c r="G5187">
        <f>IF(F5187="",0,1)</f>
        <v/>
      </c>
      <c r="H5187" s="29">
        <f>IF(F5187="","",INDEX(Deals!$E$2:$E$843,F5187))</f>
        <v/>
      </c>
      <c r="I5187">
        <f>IF(F5187="","",INDEX(Deals!$D$2:$D$843,F5187))</f>
        <v/>
      </c>
      <c r="J5187">
        <f>IF(F5187="","",INT(H5187)-B5187)</f>
        <v/>
      </c>
      <c r="K5187">
        <f>IF(B5187&gt;=Settings!$C$5,1,0)</f>
        <v/>
      </c>
    </row>
    <row r="5188">
      <c r="A5188" t="inlineStr">
        <is>
          <t>a8440eb8255de1b6ca1a13b7a6c351ea</t>
        </is>
      </c>
      <c r="B5188" s="29" t="n">
        <v>43123</v>
      </c>
      <c r="C5188" t="inlineStr">
        <is>
          <t>2018-01</t>
        </is>
      </c>
      <c r="D5188" t="inlineStr">
        <is>
          <t>d45d558f0daeecf3cccdffe3c59684aa</t>
        </is>
      </c>
      <c r="E5188" t="inlineStr">
        <is>
          <t>email</t>
        </is>
      </c>
      <c r="F5188">
        <f>IFERROR(MATCH(A5188,Deals!$A$2:$A$843,0),"")</f>
        <v/>
      </c>
      <c r="G5188">
        <f>IF(F5188="",0,1)</f>
        <v/>
      </c>
      <c r="H5188" s="29">
        <f>IF(F5188="","",INDEX(Deals!$E$2:$E$843,F5188))</f>
        <v/>
      </c>
      <c r="I5188">
        <f>IF(F5188="","",INDEX(Deals!$D$2:$D$843,F5188))</f>
        <v/>
      </c>
      <c r="J5188">
        <f>IF(F5188="","",INT(H5188)-B5188)</f>
        <v/>
      </c>
      <c r="K5188">
        <f>IF(B5188&gt;=Settings!$C$5,1,0)</f>
        <v/>
      </c>
    </row>
    <row r="5189">
      <c r="A5189" t="inlineStr">
        <is>
          <t>1853414c691b3e17ad1a14b23dfb9598</t>
        </is>
      </c>
      <c r="B5189" s="29" t="n">
        <v>43116</v>
      </c>
      <c r="C5189" t="inlineStr">
        <is>
          <t>2018-01</t>
        </is>
      </c>
      <c r="D5189" t="inlineStr">
        <is>
          <t>73f31a40697cc90a86c1273563ac230e</t>
        </is>
      </c>
      <c r="E5189" t="inlineStr">
        <is>
          <t>organic_search</t>
        </is>
      </c>
      <c r="F5189">
        <f>IFERROR(MATCH(A5189,Deals!$A$2:$A$843,0),"")</f>
        <v/>
      </c>
      <c r="G5189">
        <f>IF(F5189="",0,1)</f>
        <v/>
      </c>
      <c r="H5189" s="29">
        <f>IF(F5189="","",INDEX(Deals!$E$2:$E$843,F5189))</f>
        <v/>
      </c>
      <c r="I5189">
        <f>IF(F5189="","",INDEX(Deals!$D$2:$D$843,F5189))</f>
        <v/>
      </c>
      <c r="J5189">
        <f>IF(F5189="","",INT(H5189)-B5189)</f>
        <v/>
      </c>
      <c r="K5189">
        <f>IF(B5189&gt;=Settings!$C$5,1,0)</f>
        <v/>
      </c>
    </row>
    <row r="5190">
      <c r="A5190" t="inlineStr">
        <is>
          <t>d01016b522179c23b1a4830a85a8c1a3</t>
        </is>
      </c>
      <c r="B5190" s="29" t="n">
        <v>43137</v>
      </c>
      <c r="C5190" t="inlineStr">
        <is>
          <t>2018-02</t>
        </is>
      </c>
      <c r="D5190" t="inlineStr">
        <is>
          <t>ce1a65abd0973638f1c887a6efcfa82d</t>
        </is>
      </c>
      <c r="E5190" t="inlineStr">
        <is>
          <t>organic_search</t>
        </is>
      </c>
      <c r="F5190">
        <f>IFERROR(MATCH(A5190,Deals!$A$2:$A$843,0),"")</f>
        <v/>
      </c>
      <c r="G5190">
        <f>IF(F5190="",0,1)</f>
        <v/>
      </c>
      <c r="H5190" s="29">
        <f>IF(F5190="","",INDEX(Deals!$E$2:$E$843,F5190))</f>
        <v/>
      </c>
      <c r="I5190">
        <f>IF(F5190="","",INDEX(Deals!$D$2:$D$843,F5190))</f>
        <v/>
      </c>
      <c r="J5190">
        <f>IF(F5190="","",INT(H5190)-B5190)</f>
        <v/>
      </c>
      <c r="K5190">
        <f>IF(B5190&gt;=Settings!$C$5,1,0)</f>
        <v/>
      </c>
    </row>
    <row r="5191">
      <c r="A5191" t="inlineStr">
        <is>
          <t>37286bc401299e97a564f6b42792eb6d</t>
        </is>
      </c>
      <c r="B5191" s="29" t="n">
        <v>43237</v>
      </c>
      <c r="C5191" t="inlineStr">
        <is>
          <t>2018-05</t>
        </is>
      </c>
      <c r="D5191" t="inlineStr">
        <is>
          <t>36120633c8737035fbabf079082f4ec1</t>
        </is>
      </c>
      <c r="E5191" t="inlineStr">
        <is>
          <t>organic_search</t>
        </is>
      </c>
      <c r="F5191">
        <f>IFERROR(MATCH(A5191,Deals!$A$2:$A$843,0),"")</f>
        <v/>
      </c>
      <c r="G5191">
        <f>IF(F5191="",0,1)</f>
        <v/>
      </c>
      <c r="H5191" s="29">
        <f>IF(F5191="","",INDEX(Deals!$E$2:$E$843,F5191))</f>
        <v/>
      </c>
      <c r="I5191">
        <f>IF(F5191="","",INDEX(Deals!$D$2:$D$843,F5191))</f>
        <v/>
      </c>
      <c r="J5191">
        <f>IF(F5191="","",INT(H5191)-B5191)</f>
        <v/>
      </c>
      <c r="K5191">
        <f>IF(B5191&gt;=Settings!$C$5,1,0)</f>
        <v/>
      </c>
    </row>
    <row r="5192">
      <c r="A5192" t="inlineStr">
        <is>
          <t>10ce338ed92845fa2d7e3188b61b50ba</t>
        </is>
      </c>
      <c r="B5192" s="29" t="n">
        <v>43188</v>
      </c>
      <c r="C5192" t="inlineStr">
        <is>
          <t>2018-03</t>
        </is>
      </c>
      <c r="D5192" t="inlineStr">
        <is>
          <t>a7982125ff7aa3b2054c6e44f9d28522</t>
        </is>
      </c>
      <c r="E5192" t="inlineStr">
        <is>
          <t>direct_traffic</t>
        </is>
      </c>
      <c r="F5192">
        <f>IFERROR(MATCH(A5192,Deals!$A$2:$A$843,0),"")</f>
        <v/>
      </c>
      <c r="G5192">
        <f>IF(F5192="",0,1)</f>
        <v/>
      </c>
      <c r="H5192" s="29">
        <f>IF(F5192="","",INDEX(Deals!$E$2:$E$843,F5192))</f>
        <v/>
      </c>
      <c r="I5192">
        <f>IF(F5192="","",INDEX(Deals!$D$2:$D$843,F5192))</f>
        <v/>
      </c>
      <c r="J5192">
        <f>IF(F5192="","",INT(H5192)-B5192)</f>
        <v/>
      </c>
      <c r="K5192">
        <f>IF(B5192&gt;=Settings!$C$5,1,0)</f>
        <v/>
      </c>
    </row>
    <row r="5193">
      <c r="A5193" t="inlineStr">
        <is>
          <t>c6dd57cb9806eadc9f7915a90d91aa92</t>
        </is>
      </c>
      <c r="B5193" s="29" t="n">
        <v>42999</v>
      </c>
      <c r="C5193" t="inlineStr">
        <is>
          <t>2017-09</t>
        </is>
      </c>
      <c r="D5193" t="inlineStr">
        <is>
          <t>241f79c7a8fe0270f4fb79fcbbcd17ad</t>
        </is>
      </c>
      <c r="E5193" t="inlineStr">
        <is>
          <t>paid_search</t>
        </is>
      </c>
      <c r="F5193">
        <f>IFERROR(MATCH(A5193,Deals!$A$2:$A$843,0),"")</f>
        <v/>
      </c>
      <c r="G5193">
        <f>IF(F5193="",0,1)</f>
        <v/>
      </c>
      <c r="H5193" s="29">
        <f>IF(F5193="","",INDEX(Deals!$E$2:$E$843,F5193))</f>
        <v/>
      </c>
      <c r="I5193">
        <f>IF(F5193="","",INDEX(Deals!$D$2:$D$843,F5193))</f>
        <v/>
      </c>
      <c r="J5193">
        <f>IF(F5193="","",INT(H5193)-B5193)</f>
        <v/>
      </c>
      <c r="K5193">
        <f>IF(B5193&gt;=Settings!$C$5,1,0)</f>
        <v/>
      </c>
    </row>
    <row r="5194">
      <c r="A5194" t="inlineStr">
        <is>
          <t>820f7970418d010d52a1c1db2d3c1d65</t>
        </is>
      </c>
      <c r="B5194" s="29" t="n">
        <v>43153</v>
      </c>
      <c r="C5194" t="inlineStr">
        <is>
          <t>2018-02</t>
        </is>
      </c>
      <c r="D5194" t="inlineStr">
        <is>
          <t>88740e65d5d6b056e0cda098e1ea6313</t>
        </is>
      </c>
      <c r="E5194" t="inlineStr">
        <is>
          <t>social</t>
        </is>
      </c>
      <c r="F5194">
        <f>IFERROR(MATCH(A5194,Deals!$A$2:$A$843,0),"")</f>
        <v/>
      </c>
      <c r="G5194">
        <f>IF(F5194="",0,1)</f>
        <v/>
      </c>
      <c r="H5194" s="29">
        <f>IF(F5194="","",INDEX(Deals!$E$2:$E$843,F5194))</f>
        <v/>
      </c>
      <c r="I5194">
        <f>IF(F5194="","",INDEX(Deals!$D$2:$D$843,F5194))</f>
        <v/>
      </c>
      <c r="J5194">
        <f>IF(F5194="","",INT(H5194)-B5194)</f>
        <v/>
      </c>
      <c r="K5194">
        <f>IF(B5194&gt;=Settings!$C$5,1,0)</f>
        <v/>
      </c>
    </row>
    <row r="5195">
      <c r="A5195" t="inlineStr">
        <is>
          <t>192541804394679421f61ac9f8b8c194</t>
        </is>
      </c>
      <c r="B5195" s="29" t="n">
        <v>43139</v>
      </c>
      <c r="C5195" t="inlineStr">
        <is>
          <t>2018-02</t>
        </is>
      </c>
      <c r="D5195" t="inlineStr">
        <is>
          <t>b76ef37428e6799c421989521c0e5077</t>
        </is>
      </c>
      <c r="E5195" t="inlineStr">
        <is>
          <t>unknown</t>
        </is>
      </c>
      <c r="F5195">
        <f>IFERROR(MATCH(A5195,Deals!$A$2:$A$843,0),"")</f>
        <v/>
      </c>
      <c r="G5195">
        <f>IF(F5195="",0,1)</f>
        <v/>
      </c>
      <c r="H5195" s="29">
        <f>IF(F5195="","",INDEX(Deals!$E$2:$E$843,F5195))</f>
        <v/>
      </c>
      <c r="I5195">
        <f>IF(F5195="","",INDEX(Deals!$D$2:$D$843,F5195))</f>
        <v/>
      </c>
      <c r="J5195">
        <f>IF(F5195="","",INT(H5195)-B5195)</f>
        <v/>
      </c>
      <c r="K5195">
        <f>IF(B5195&gt;=Settings!$C$5,1,0)</f>
        <v/>
      </c>
    </row>
    <row r="5196">
      <c r="A5196" t="inlineStr">
        <is>
          <t>4daf3131a3b73237edccfc5c6acbd7ad</t>
        </is>
      </c>
      <c r="B5196" s="29" t="n">
        <v>42954</v>
      </c>
      <c r="C5196" t="inlineStr">
        <is>
          <t>2017-08</t>
        </is>
      </c>
      <c r="D5196" t="inlineStr">
        <is>
          <t>65d9f9d71e562365e8b44037c2888d98</t>
        </is>
      </c>
      <c r="E5196" t="inlineStr">
        <is>
          <t>paid_search</t>
        </is>
      </c>
      <c r="F5196">
        <f>IFERROR(MATCH(A5196,Deals!$A$2:$A$843,0),"")</f>
        <v/>
      </c>
      <c r="G5196">
        <f>IF(F5196="",0,1)</f>
        <v/>
      </c>
      <c r="H5196" s="29">
        <f>IF(F5196="","",INDEX(Deals!$E$2:$E$843,F5196))</f>
        <v/>
      </c>
      <c r="I5196">
        <f>IF(F5196="","",INDEX(Deals!$D$2:$D$843,F5196))</f>
        <v/>
      </c>
      <c r="J5196">
        <f>IF(F5196="","",INT(H5196)-B5196)</f>
        <v/>
      </c>
      <c r="K5196">
        <f>IF(B5196&gt;=Settings!$C$5,1,0)</f>
        <v/>
      </c>
    </row>
    <row r="5197">
      <c r="A5197" t="inlineStr">
        <is>
          <t>116e85430a46d31adf94aab13aa7f187</t>
        </is>
      </c>
      <c r="B5197" s="29" t="n">
        <v>43227</v>
      </c>
      <c r="C5197" t="inlineStr">
        <is>
          <t>2018-05</t>
        </is>
      </c>
      <c r="D5197" t="inlineStr">
        <is>
          <t>58326e62183c14b0c03085c33b9fdc44</t>
        </is>
      </c>
      <c r="E5197" t="inlineStr">
        <is>
          <t>social</t>
        </is>
      </c>
      <c r="F5197">
        <f>IFERROR(MATCH(A5197,Deals!$A$2:$A$843,0),"")</f>
        <v/>
      </c>
      <c r="G5197">
        <f>IF(F5197="",0,1)</f>
        <v/>
      </c>
      <c r="H5197" s="29">
        <f>IF(F5197="","",INDEX(Deals!$E$2:$E$843,F5197))</f>
        <v/>
      </c>
      <c r="I5197">
        <f>IF(F5197="","",INDEX(Deals!$D$2:$D$843,F5197))</f>
        <v/>
      </c>
      <c r="J5197">
        <f>IF(F5197="","",INT(H5197)-B5197)</f>
        <v/>
      </c>
      <c r="K5197">
        <f>IF(B5197&gt;=Settings!$C$5,1,0)</f>
        <v/>
      </c>
    </row>
    <row r="5198">
      <c r="A5198" t="inlineStr">
        <is>
          <t>da3d1c04a0f5d78302f0db830fdcb4da</t>
        </is>
      </c>
      <c r="B5198" s="29" t="n">
        <v>43126</v>
      </c>
      <c r="C5198" t="inlineStr">
        <is>
          <t>2018-01</t>
        </is>
      </c>
      <c r="D5198" t="inlineStr">
        <is>
          <t>b6885f18d203a61176418c1fb3764815</t>
        </is>
      </c>
      <c r="E5198" t="inlineStr">
        <is>
          <t>paid_search</t>
        </is>
      </c>
      <c r="F5198">
        <f>IFERROR(MATCH(A5198,Deals!$A$2:$A$843,0),"")</f>
        <v/>
      </c>
      <c r="G5198">
        <f>IF(F5198="",0,1)</f>
        <v/>
      </c>
      <c r="H5198" s="29">
        <f>IF(F5198="","",INDEX(Deals!$E$2:$E$843,F5198))</f>
        <v/>
      </c>
      <c r="I5198">
        <f>IF(F5198="","",INDEX(Deals!$D$2:$D$843,F5198))</f>
        <v/>
      </c>
      <c r="J5198">
        <f>IF(F5198="","",INT(H5198)-B5198)</f>
        <v/>
      </c>
      <c r="K5198">
        <f>IF(B5198&gt;=Settings!$C$5,1,0)</f>
        <v/>
      </c>
    </row>
    <row r="5199">
      <c r="A5199" t="inlineStr">
        <is>
          <t>97ce84b684875fd93dd134c18099ade9</t>
        </is>
      </c>
      <c r="B5199" s="29" t="n">
        <v>43228</v>
      </c>
      <c r="C5199" t="inlineStr">
        <is>
          <t>2018-05</t>
        </is>
      </c>
      <c r="D5199" t="inlineStr">
        <is>
          <t>f80696b73d17fb34f5c4fde157f119d8</t>
        </is>
      </c>
      <c r="E5199" t="inlineStr">
        <is>
          <t>direct_traffic</t>
        </is>
      </c>
      <c r="F5199">
        <f>IFERROR(MATCH(A5199,Deals!$A$2:$A$843,0),"")</f>
        <v/>
      </c>
      <c r="G5199">
        <f>IF(F5199="",0,1)</f>
        <v/>
      </c>
      <c r="H5199" s="29">
        <f>IF(F5199="","",INDEX(Deals!$E$2:$E$843,F5199))</f>
        <v/>
      </c>
      <c r="I5199">
        <f>IF(F5199="","",INDEX(Deals!$D$2:$D$843,F5199))</f>
        <v/>
      </c>
      <c r="J5199">
        <f>IF(F5199="","",INT(H5199)-B5199)</f>
        <v/>
      </c>
      <c r="K5199">
        <f>IF(B5199&gt;=Settings!$C$5,1,0)</f>
        <v/>
      </c>
    </row>
    <row r="5200">
      <c r="A5200" t="inlineStr">
        <is>
          <t>8c8da6cfc8dd7cf27862c09d9c803cfc</t>
        </is>
      </c>
      <c r="B5200" s="29" t="n">
        <v>43068</v>
      </c>
      <c r="C5200" t="inlineStr">
        <is>
          <t>2017-11</t>
        </is>
      </c>
      <c r="D5200" t="inlineStr">
        <is>
          <t>e492ee5eaf1697716985cc6f33f9cd9b</t>
        </is>
      </c>
      <c r="E5200" t="inlineStr">
        <is>
          <t>email</t>
        </is>
      </c>
      <c r="F5200">
        <f>IFERROR(MATCH(A5200,Deals!$A$2:$A$843,0),"")</f>
        <v/>
      </c>
      <c r="G5200">
        <f>IF(F5200="",0,1)</f>
        <v/>
      </c>
      <c r="H5200" s="29">
        <f>IF(F5200="","",INDEX(Deals!$E$2:$E$843,F5200))</f>
        <v/>
      </c>
      <c r="I5200">
        <f>IF(F5200="","",INDEX(Deals!$D$2:$D$843,F5200))</f>
        <v/>
      </c>
      <c r="J5200">
        <f>IF(F5200="","",INT(H5200)-B5200)</f>
        <v/>
      </c>
      <c r="K5200">
        <f>IF(B5200&gt;=Settings!$C$5,1,0)</f>
        <v/>
      </c>
    </row>
    <row r="5201">
      <c r="A5201" t="inlineStr">
        <is>
          <t>335ebb59c2d4bc89cef80c692c9a10b7</t>
        </is>
      </c>
      <c r="B5201" s="29" t="n">
        <v>43118</v>
      </c>
      <c r="C5201" t="inlineStr">
        <is>
          <t>2018-01</t>
        </is>
      </c>
      <c r="D5201" t="inlineStr">
        <is>
          <t>b76ef37428e6799c421989521c0e5077</t>
        </is>
      </c>
      <c r="E5201" t="inlineStr">
        <is>
          <t>organic_search</t>
        </is>
      </c>
      <c r="F5201">
        <f>IFERROR(MATCH(A5201,Deals!$A$2:$A$843,0),"")</f>
        <v/>
      </c>
      <c r="G5201">
        <f>IF(F5201="",0,1)</f>
        <v/>
      </c>
      <c r="H5201" s="29">
        <f>IF(F5201="","",INDEX(Deals!$E$2:$E$843,F5201))</f>
        <v/>
      </c>
      <c r="I5201">
        <f>IF(F5201="","",INDEX(Deals!$D$2:$D$843,F5201))</f>
        <v/>
      </c>
      <c r="J5201">
        <f>IF(F5201="","",INT(H5201)-B5201)</f>
        <v/>
      </c>
      <c r="K5201">
        <f>IF(B5201&gt;=Settings!$C$5,1,0)</f>
        <v/>
      </c>
    </row>
    <row r="5202">
      <c r="A5202" t="inlineStr">
        <is>
          <t>f85e4bf0e34f3ee66add56229845e4db</t>
        </is>
      </c>
      <c r="B5202" s="29" t="n">
        <v>43160</v>
      </c>
      <c r="C5202" t="inlineStr">
        <is>
          <t>2018-03</t>
        </is>
      </c>
      <c r="D5202" t="inlineStr">
        <is>
          <t>313edefdee4adcd34e8cbec1854ba5a9</t>
        </is>
      </c>
      <c r="E5202" t="inlineStr">
        <is>
          <t>email</t>
        </is>
      </c>
      <c r="F5202">
        <f>IFERROR(MATCH(A5202,Deals!$A$2:$A$843,0),"")</f>
        <v/>
      </c>
      <c r="G5202">
        <f>IF(F5202="",0,1)</f>
        <v/>
      </c>
      <c r="H5202" s="29">
        <f>IF(F5202="","",INDEX(Deals!$E$2:$E$843,F5202))</f>
        <v/>
      </c>
      <c r="I5202">
        <f>IF(F5202="","",INDEX(Deals!$D$2:$D$843,F5202))</f>
        <v/>
      </c>
      <c r="J5202">
        <f>IF(F5202="","",INT(H5202)-B5202)</f>
        <v/>
      </c>
      <c r="K5202">
        <f>IF(B5202&gt;=Settings!$C$5,1,0)</f>
        <v/>
      </c>
    </row>
    <row r="5203">
      <c r="A5203" t="inlineStr">
        <is>
          <t>a0851c2a81f3b106242e08d54365233d</t>
        </is>
      </c>
      <c r="B5203" s="29" t="n">
        <v>43188</v>
      </c>
      <c r="C5203" t="inlineStr">
        <is>
          <t>2018-03</t>
        </is>
      </c>
      <c r="D5203" t="inlineStr">
        <is>
          <t>ce1a65abd0973638f1c887a6efcfa82d</t>
        </is>
      </c>
      <c r="E5203" t="inlineStr">
        <is>
          <t>social</t>
        </is>
      </c>
      <c r="F5203">
        <f>IFERROR(MATCH(A5203,Deals!$A$2:$A$843,0),"")</f>
        <v/>
      </c>
      <c r="G5203">
        <f>IF(F5203="",0,1)</f>
        <v/>
      </c>
      <c r="H5203" s="29">
        <f>IF(F5203="","",INDEX(Deals!$E$2:$E$843,F5203))</f>
        <v/>
      </c>
      <c r="I5203">
        <f>IF(F5203="","",INDEX(Deals!$D$2:$D$843,F5203))</f>
        <v/>
      </c>
      <c r="J5203">
        <f>IF(F5203="","",INT(H5203)-B5203)</f>
        <v/>
      </c>
      <c r="K5203">
        <f>IF(B5203&gt;=Settings!$C$5,1,0)</f>
        <v/>
      </c>
    </row>
    <row r="5204">
      <c r="A5204" t="inlineStr">
        <is>
          <t>c22f68de5bdce96fee03e21ca08d898d</t>
        </is>
      </c>
      <c r="B5204" s="29" t="n">
        <v>43138</v>
      </c>
      <c r="C5204" t="inlineStr">
        <is>
          <t>2018-02</t>
        </is>
      </c>
      <c r="D5204" t="inlineStr">
        <is>
          <t>40dec9f3d5259a3d2dbcdab2114fae47</t>
        </is>
      </c>
      <c r="E5204" t="inlineStr">
        <is>
          <t>paid_search</t>
        </is>
      </c>
      <c r="F5204">
        <f>IFERROR(MATCH(A5204,Deals!$A$2:$A$843,0),"")</f>
        <v/>
      </c>
      <c r="G5204">
        <f>IF(F5204="",0,1)</f>
        <v/>
      </c>
      <c r="H5204" s="29">
        <f>IF(F5204="","",INDEX(Deals!$E$2:$E$843,F5204))</f>
        <v/>
      </c>
      <c r="I5204">
        <f>IF(F5204="","",INDEX(Deals!$D$2:$D$843,F5204))</f>
        <v/>
      </c>
      <c r="J5204">
        <f>IF(F5204="","",INT(H5204)-B5204)</f>
        <v/>
      </c>
      <c r="K5204">
        <f>IF(B5204&gt;=Settings!$C$5,1,0)</f>
        <v/>
      </c>
    </row>
    <row r="5205">
      <c r="A5205" t="inlineStr">
        <is>
          <t>8925f4bfc315c47adfcca80a74581f4b</t>
        </is>
      </c>
      <c r="B5205" s="29" t="n">
        <v>42998</v>
      </c>
      <c r="C5205" t="inlineStr">
        <is>
          <t>2017-09</t>
        </is>
      </c>
      <c r="D5205" t="inlineStr">
        <is>
          <t>ce1a65abd0973638f1c887a6efcfa82d</t>
        </is>
      </c>
      <c r="E5205" t="inlineStr">
        <is>
          <t>paid_search</t>
        </is>
      </c>
      <c r="F5205">
        <f>IFERROR(MATCH(A5205,Deals!$A$2:$A$843,0),"")</f>
        <v/>
      </c>
      <c r="G5205">
        <f>IF(F5205="",0,1)</f>
        <v/>
      </c>
      <c r="H5205" s="29">
        <f>IF(F5205="","",INDEX(Deals!$E$2:$E$843,F5205))</f>
        <v/>
      </c>
      <c r="I5205">
        <f>IF(F5205="","",INDEX(Deals!$D$2:$D$843,F5205))</f>
        <v/>
      </c>
      <c r="J5205">
        <f>IF(F5205="","",INT(H5205)-B5205)</f>
        <v/>
      </c>
      <c r="K5205">
        <f>IF(B5205&gt;=Settings!$C$5,1,0)</f>
        <v/>
      </c>
    </row>
    <row r="5206">
      <c r="A5206" t="inlineStr">
        <is>
          <t>4056cba83ccdca089bb5565e4b64680f</t>
        </is>
      </c>
      <c r="B5206" s="29" t="n">
        <v>43235</v>
      </c>
      <c r="C5206" t="inlineStr">
        <is>
          <t>2018-05</t>
        </is>
      </c>
      <c r="D5206" t="inlineStr">
        <is>
          <t>58326e62183c14b0c03085c33b9fdc44</t>
        </is>
      </c>
      <c r="E5206" t="inlineStr">
        <is>
          <t>social</t>
        </is>
      </c>
      <c r="F5206">
        <f>IFERROR(MATCH(A5206,Deals!$A$2:$A$843,0),"")</f>
        <v/>
      </c>
      <c r="G5206">
        <f>IF(F5206="",0,1)</f>
        <v/>
      </c>
      <c r="H5206" s="29">
        <f>IF(F5206="","",INDEX(Deals!$E$2:$E$843,F5206))</f>
        <v/>
      </c>
      <c r="I5206">
        <f>IF(F5206="","",INDEX(Deals!$D$2:$D$843,F5206))</f>
        <v/>
      </c>
      <c r="J5206">
        <f>IF(F5206="","",INT(H5206)-B5206)</f>
        <v/>
      </c>
      <c r="K5206">
        <f>IF(B5206&gt;=Settings!$C$5,1,0)</f>
        <v/>
      </c>
    </row>
    <row r="5207">
      <c r="A5207" t="inlineStr">
        <is>
          <t>807a284ada14944ff3095585658a03ae</t>
        </is>
      </c>
      <c r="B5207" s="29" t="n">
        <v>43063</v>
      </c>
      <c r="C5207" t="inlineStr">
        <is>
          <t>2017-11</t>
        </is>
      </c>
      <c r="D5207" t="inlineStr">
        <is>
          <t>ce1a65abd0973638f1c887a6efcfa82d</t>
        </is>
      </c>
      <c r="E5207" t="inlineStr">
        <is>
          <t>email</t>
        </is>
      </c>
      <c r="F5207">
        <f>IFERROR(MATCH(A5207,Deals!$A$2:$A$843,0),"")</f>
        <v/>
      </c>
      <c r="G5207">
        <f>IF(F5207="",0,1)</f>
        <v/>
      </c>
      <c r="H5207" s="29">
        <f>IF(F5207="","",INDEX(Deals!$E$2:$E$843,F5207))</f>
        <v/>
      </c>
      <c r="I5207">
        <f>IF(F5207="","",INDEX(Deals!$D$2:$D$843,F5207))</f>
        <v/>
      </c>
      <c r="J5207">
        <f>IF(F5207="","",INT(H5207)-B5207)</f>
        <v/>
      </c>
      <c r="K5207">
        <f>IF(B5207&gt;=Settings!$C$5,1,0)</f>
        <v/>
      </c>
    </row>
    <row r="5208">
      <c r="A5208" t="inlineStr">
        <is>
          <t>4077e51c9161eba27b433da8a62bd9cd</t>
        </is>
      </c>
      <c r="B5208" s="29" t="n">
        <v>43164</v>
      </c>
      <c r="C5208" t="inlineStr">
        <is>
          <t>2018-03</t>
        </is>
      </c>
      <c r="D5208" t="inlineStr">
        <is>
          <t>b76ef37428e6799c421989521c0e5077</t>
        </is>
      </c>
      <c r="E5208" t="inlineStr">
        <is>
          <t>unknown</t>
        </is>
      </c>
      <c r="F5208">
        <f>IFERROR(MATCH(A5208,Deals!$A$2:$A$843,0),"")</f>
        <v/>
      </c>
      <c r="G5208">
        <f>IF(F5208="",0,1)</f>
        <v/>
      </c>
      <c r="H5208" s="29">
        <f>IF(F5208="","",INDEX(Deals!$E$2:$E$843,F5208))</f>
        <v/>
      </c>
      <c r="I5208">
        <f>IF(F5208="","",INDEX(Deals!$D$2:$D$843,F5208))</f>
        <v/>
      </c>
      <c r="J5208">
        <f>IF(F5208="","",INT(H5208)-B5208)</f>
        <v/>
      </c>
      <c r="K5208">
        <f>IF(B5208&gt;=Settings!$C$5,1,0)</f>
        <v/>
      </c>
    </row>
    <row r="5209">
      <c r="A5209" t="inlineStr">
        <is>
          <t>03114c0c3fae310726281dd79793bcc3</t>
        </is>
      </c>
      <c r="B5209" s="29" t="n">
        <v>43206</v>
      </c>
      <c r="C5209" t="inlineStr">
        <is>
          <t>2018-04</t>
        </is>
      </c>
      <c r="D5209" t="inlineStr">
        <is>
          <t>58f8c0a253663304e348e81298bc255e</t>
        </is>
      </c>
      <c r="E5209" t="inlineStr">
        <is>
          <t>referral</t>
        </is>
      </c>
      <c r="F5209">
        <f>IFERROR(MATCH(A5209,Deals!$A$2:$A$843,0),"")</f>
        <v/>
      </c>
      <c r="G5209">
        <f>IF(F5209="",0,1)</f>
        <v/>
      </c>
      <c r="H5209" s="29">
        <f>IF(F5209="","",INDEX(Deals!$E$2:$E$843,F5209))</f>
        <v/>
      </c>
      <c r="I5209">
        <f>IF(F5209="","",INDEX(Deals!$D$2:$D$843,F5209))</f>
        <v/>
      </c>
      <c r="J5209">
        <f>IF(F5209="","",INT(H5209)-B5209)</f>
        <v/>
      </c>
      <c r="K5209">
        <f>IF(B5209&gt;=Settings!$C$5,1,0)</f>
        <v/>
      </c>
    </row>
    <row r="5210">
      <c r="A5210" t="inlineStr">
        <is>
          <t>bf7e527b0c579691ec93e1a1066fa18f</t>
        </is>
      </c>
      <c r="B5210" s="29" t="n">
        <v>43039</v>
      </c>
      <c r="C5210" t="inlineStr">
        <is>
          <t>2017-10</t>
        </is>
      </c>
      <c r="D5210" t="inlineStr">
        <is>
          <t>007f9098284a86ee80ddeb25d53e0af8</t>
        </is>
      </c>
      <c r="E5210" t="inlineStr">
        <is>
          <t>organic_search</t>
        </is>
      </c>
      <c r="F5210">
        <f>IFERROR(MATCH(A5210,Deals!$A$2:$A$843,0),"")</f>
        <v/>
      </c>
      <c r="G5210">
        <f>IF(F5210="",0,1)</f>
        <v/>
      </c>
      <c r="H5210" s="29">
        <f>IF(F5210="","",INDEX(Deals!$E$2:$E$843,F5210))</f>
        <v/>
      </c>
      <c r="I5210">
        <f>IF(F5210="","",INDEX(Deals!$D$2:$D$843,F5210))</f>
        <v/>
      </c>
      <c r="J5210">
        <f>IF(F5210="","",INT(H5210)-B5210)</f>
        <v/>
      </c>
      <c r="K5210">
        <f>IF(B5210&gt;=Settings!$C$5,1,0)</f>
        <v/>
      </c>
    </row>
    <row r="5211">
      <c r="A5211" t="inlineStr">
        <is>
          <t>992e801c9b969f93e54fb91fcca305f8</t>
        </is>
      </c>
      <c r="B5211" s="29" t="n">
        <v>43241</v>
      </c>
      <c r="C5211" t="inlineStr">
        <is>
          <t>2018-05</t>
        </is>
      </c>
      <c r="D5211" t="inlineStr">
        <is>
          <t>15cf89bab2c3163b4f9d8601d108f8b2</t>
        </is>
      </c>
      <c r="E5211" t="inlineStr">
        <is>
          <t>direct_traffic</t>
        </is>
      </c>
      <c r="F5211">
        <f>IFERROR(MATCH(A5211,Deals!$A$2:$A$843,0),"")</f>
        <v/>
      </c>
      <c r="G5211">
        <f>IF(F5211="",0,1)</f>
        <v/>
      </c>
      <c r="H5211" s="29">
        <f>IF(F5211="","",INDEX(Deals!$E$2:$E$843,F5211))</f>
        <v/>
      </c>
      <c r="I5211">
        <f>IF(F5211="","",INDEX(Deals!$D$2:$D$843,F5211))</f>
        <v/>
      </c>
      <c r="J5211">
        <f>IF(F5211="","",INT(H5211)-B5211)</f>
        <v/>
      </c>
      <c r="K5211">
        <f>IF(B5211&gt;=Settings!$C$5,1,0)</f>
        <v/>
      </c>
    </row>
    <row r="5212">
      <c r="A5212" t="inlineStr">
        <is>
          <t>401013266745e5661589292315434968</t>
        </is>
      </c>
      <c r="B5212" s="29" t="n">
        <v>43215</v>
      </c>
      <c r="C5212" t="inlineStr">
        <is>
          <t>2018-04</t>
        </is>
      </c>
      <c r="D5212" t="inlineStr">
        <is>
          <t>f80696b73d17fb34f5c4fde157f119d8</t>
        </is>
      </c>
      <c r="E5212" t="inlineStr">
        <is>
          <t>organic_search</t>
        </is>
      </c>
      <c r="F5212">
        <f>IFERROR(MATCH(A5212,Deals!$A$2:$A$843,0),"")</f>
        <v/>
      </c>
      <c r="G5212">
        <f>IF(F5212="",0,1)</f>
        <v/>
      </c>
      <c r="H5212" s="29">
        <f>IF(F5212="","",INDEX(Deals!$E$2:$E$843,F5212))</f>
        <v/>
      </c>
      <c r="I5212">
        <f>IF(F5212="","",INDEX(Deals!$D$2:$D$843,F5212))</f>
        <v/>
      </c>
      <c r="J5212">
        <f>IF(F5212="","",INT(H5212)-B5212)</f>
        <v/>
      </c>
      <c r="K5212">
        <f>IF(B5212&gt;=Settings!$C$5,1,0)</f>
        <v/>
      </c>
    </row>
    <row r="5213">
      <c r="A5213" t="inlineStr">
        <is>
          <t>1571d58519c49044fe800d2346e81aae</t>
        </is>
      </c>
      <c r="B5213" s="29" t="n">
        <v>43230</v>
      </c>
      <c r="C5213" t="inlineStr">
        <is>
          <t>2018-05</t>
        </is>
      </c>
      <c r="D5213" t="inlineStr">
        <is>
          <t>9fa37f5177115156b1814ffc237402a6</t>
        </is>
      </c>
      <c r="E5213" t="inlineStr">
        <is>
          <t>paid_search</t>
        </is>
      </c>
      <c r="F5213">
        <f>IFERROR(MATCH(A5213,Deals!$A$2:$A$843,0),"")</f>
        <v/>
      </c>
      <c r="G5213">
        <f>IF(F5213="",0,1)</f>
        <v/>
      </c>
      <c r="H5213" s="29">
        <f>IF(F5213="","",INDEX(Deals!$E$2:$E$843,F5213))</f>
        <v/>
      </c>
      <c r="I5213">
        <f>IF(F5213="","",INDEX(Deals!$D$2:$D$843,F5213))</f>
        <v/>
      </c>
      <c r="J5213">
        <f>IF(F5213="","",INT(H5213)-B5213)</f>
        <v/>
      </c>
      <c r="K5213">
        <f>IF(B5213&gt;=Settings!$C$5,1,0)</f>
        <v/>
      </c>
    </row>
    <row r="5214">
      <c r="A5214" t="inlineStr">
        <is>
          <t>54ba2d06c11229826ca8143a2933df73</t>
        </is>
      </c>
      <c r="B5214" s="29" t="n">
        <v>43122</v>
      </c>
      <c r="C5214" t="inlineStr">
        <is>
          <t>2018-01</t>
        </is>
      </c>
      <c r="D5214" t="inlineStr">
        <is>
          <t>b76ef37428e6799c421989521c0e5077</t>
        </is>
      </c>
      <c r="E5214" t="inlineStr">
        <is>
          <t>unknown</t>
        </is>
      </c>
      <c r="F5214">
        <f>IFERROR(MATCH(A5214,Deals!$A$2:$A$843,0),"")</f>
        <v/>
      </c>
      <c r="G5214">
        <f>IF(F5214="",0,1)</f>
        <v/>
      </c>
      <c r="H5214" s="29">
        <f>IF(F5214="","",INDEX(Deals!$E$2:$E$843,F5214))</f>
        <v/>
      </c>
      <c r="I5214">
        <f>IF(F5214="","",INDEX(Deals!$D$2:$D$843,F5214))</f>
        <v/>
      </c>
      <c r="J5214">
        <f>IF(F5214="","",INT(H5214)-B5214)</f>
        <v/>
      </c>
      <c r="K5214">
        <f>IF(B5214&gt;=Settings!$C$5,1,0)</f>
        <v/>
      </c>
    </row>
    <row r="5215">
      <c r="A5215" t="inlineStr">
        <is>
          <t>240f73d926897aea1692eac5c5bd3cd6</t>
        </is>
      </c>
      <c r="B5215" s="29" t="n">
        <v>43019</v>
      </c>
      <c r="C5215" t="inlineStr">
        <is>
          <t>2017-10</t>
        </is>
      </c>
      <c r="D5215" t="inlineStr">
        <is>
          <t>f017be4dbf86243af5c1ebed0cff36a2</t>
        </is>
      </c>
      <c r="E5215" t="inlineStr">
        <is>
          <t>other_publicities</t>
        </is>
      </c>
      <c r="F5215">
        <f>IFERROR(MATCH(A5215,Deals!$A$2:$A$843,0),"")</f>
        <v/>
      </c>
      <c r="G5215">
        <f>IF(F5215="",0,1)</f>
        <v/>
      </c>
      <c r="H5215" s="29">
        <f>IF(F5215="","",INDEX(Deals!$E$2:$E$843,F5215))</f>
        <v/>
      </c>
      <c r="I5215">
        <f>IF(F5215="","",INDEX(Deals!$D$2:$D$843,F5215))</f>
        <v/>
      </c>
      <c r="J5215">
        <f>IF(F5215="","",INT(H5215)-B5215)</f>
        <v/>
      </c>
      <c r="K5215">
        <f>IF(B5215&gt;=Settings!$C$5,1,0)</f>
        <v/>
      </c>
    </row>
    <row r="5216">
      <c r="A5216" t="inlineStr">
        <is>
          <t>a89c6a322a673042d64937409ad0d287</t>
        </is>
      </c>
      <c r="B5216" s="29" t="n">
        <v>43241</v>
      </c>
      <c r="C5216" t="inlineStr">
        <is>
          <t>2018-05</t>
        </is>
      </c>
      <c r="D5216" t="inlineStr">
        <is>
          <t>22c29808c4f815213303f8933030604c</t>
        </is>
      </c>
      <c r="E5216" t="inlineStr">
        <is>
          <t>organic_search</t>
        </is>
      </c>
      <c r="F5216">
        <f>IFERROR(MATCH(A5216,Deals!$A$2:$A$843,0),"")</f>
        <v/>
      </c>
      <c r="G5216">
        <f>IF(F5216="",0,1)</f>
        <v/>
      </c>
      <c r="H5216" s="29">
        <f>IF(F5216="","",INDEX(Deals!$E$2:$E$843,F5216))</f>
        <v/>
      </c>
      <c r="I5216">
        <f>IF(F5216="","",INDEX(Deals!$D$2:$D$843,F5216))</f>
        <v/>
      </c>
      <c r="J5216">
        <f>IF(F5216="","",INT(H5216)-B5216)</f>
        <v/>
      </c>
      <c r="K5216">
        <f>IF(B5216&gt;=Settings!$C$5,1,0)</f>
        <v/>
      </c>
    </row>
    <row r="5217">
      <c r="A5217" t="inlineStr">
        <is>
          <t>3fdf5b1f75b97ecec8c0e7c5dee739f6</t>
        </is>
      </c>
      <c r="B5217" s="29" t="n">
        <v>43227</v>
      </c>
      <c r="C5217" t="inlineStr">
        <is>
          <t>2018-05</t>
        </is>
      </c>
      <c r="D5217" t="inlineStr">
        <is>
          <t>2f08471dfb83baef522f952438a36f6e</t>
        </is>
      </c>
      <c r="E5217" t="inlineStr">
        <is>
          <t>direct_traffic</t>
        </is>
      </c>
      <c r="F5217">
        <f>IFERROR(MATCH(A5217,Deals!$A$2:$A$843,0),"")</f>
        <v/>
      </c>
      <c r="G5217">
        <f>IF(F5217="",0,1)</f>
        <v/>
      </c>
      <c r="H5217" s="29">
        <f>IF(F5217="","",INDEX(Deals!$E$2:$E$843,F5217))</f>
        <v/>
      </c>
      <c r="I5217">
        <f>IF(F5217="","",INDEX(Deals!$D$2:$D$843,F5217))</f>
        <v/>
      </c>
      <c r="J5217">
        <f>IF(F5217="","",INT(H5217)-B5217)</f>
        <v/>
      </c>
      <c r="K5217">
        <f>IF(B5217&gt;=Settings!$C$5,1,0)</f>
        <v/>
      </c>
    </row>
    <row r="5218">
      <c r="A5218" t="inlineStr">
        <is>
          <t>0456932dafd6f6b56f142efaa19ea8ed</t>
        </is>
      </c>
      <c r="B5218" s="29" t="n">
        <v>43200</v>
      </c>
      <c r="C5218" t="inlineStr">
        <is>
          <t>2018-04</t>
        </is>
      </c>
      <c r="D5218" t="inlineStr">
        <is>
          <t>b76ef37428e6799c421989521c0e5077</t>
        </is>
      </c>
      <c r="E5218" t="inlineStr">
        <is>
          <t>unknown</t>
        </is>
      </c>
      <c r="F5218">
        <f>IFERROR(MATCH(A5218,Deals!$A$2:$A$843,0),"")</f>
        <v/>
      </c>
      <c r="G5218">
        <f>IF(F5218="",0,1)</f>
        <v/>
      </c>
      <c r="H5218" s="29">
        <f>IF(F5218="","",INDEX(Deals!$E$2:$E$843,F5218))</f>
        <v/>
      </c>
      <c r="I5218">
        <f>IF(F5218="","",INDEX(Deals!$D$2:$D$843,F5218))</f>
        <v/>
      </c>
      <c r="J5218">
        <f>IF(F5218="","",INT(H5218)-B5218)</f>
        <v/>
      </c>
      <c r="K5218">
        <f>IF(B5218&gt;=Settings!$C$5,1,0)</f>
        <v/>
      </c>
    </row>
    <row r="5219">
      <c r="A5219" t="inlineStr">
        <is>
          <t>2aae855e4fce821396110897f2513c60</t>
        </is>
      </c>
      <c r="B5219" s="29" t="n">
        <v>42940</v>
      </c>
      <c r="C5219" t="inlineStr">
        <is>
          <t>2017-07</t>
        </is>
      </c>
      <c r="D5219" t="inlineStr">
        <is>
          <t>1ec5f5ec77c51a968271b2ca9862907d</t>
        </is>
      </c>
      <c r="E5219" t="inlineStr">
        <is>
          <t>paid_search</t>
        </is>
      </c>
      <c r="F5219">
        <f>IFERROR(MATCH(A5219,Deals!$A$2:$A$843,0),"")</f>
        <v/>
      </c>
      <c r="G5219">
        <f>IF(F5219="",0,1)</f>
        <v/>
      </c>
      <c r="H5219" s="29">
        <f>IF(F5219="","",INDEX(Deals!$E$2:$E$843,F5219))</f>
        <v/>
      </c>
      <c r="I5219">
        <f>IF(F5219="","",INDEX(Deals!$D$2:$D$843,F5219))</f>
        <v/>
      </c>
      <c r="J5219">
        <f>IF(F5219="","",INT(H5219)-B5219)</f>
        <v/>
      </c>
      <c r="K5219">
        <f>IF(B5219&gt;=Settings!$C$5,1,0)</f>
        <v/>
      </c>
    </row>
    <row r="5220">
      <c r="A5220" t="inlineStr">
        <is>
          <t>ebd9cedc5ac9828d71c03c72377a0992</t>
        </is>
      </c>
      <c r="B5220" s="29" t="n">
        <v>43026</v>
      </c>
      <c r="C5220" t="inlineStr">
        <is>
          <t>2017-10</t>
        </is>
      </c>
      <c r="D5220" t="inlineStr">
        <is>
          <t>22c29808c4f815213303f8933030604c</t>
        </is>
      </c>
      <c r="E5220" t="inlineStr">
        <is>
          <t>organic_search</t>
        </is>
      </c>
      <c r="F5220">
        <f>IFERROR(MATCH(A5220,Deals!$A$2:$A$843,0),"")</f>
        <v/>
      </c>
      <c r="G5220">
        <f>IF(F5220="",0,1)</f>
        <v/>
      </c>
      <c r="H5220" s="29">
        <f>IF(F5220="","",INDEX(Deals!$E$2:$E$843,F5220))</f>
        <v/>
      </c>
      <c r="I5220">
        <f>IF(F5220="","",INDEX(Deals!$D$2:$D$843,F5220))</f>
        <v/>
      </c>
      <c r="J5220">
        <f>IF(F5220="","",INT(H5220)-B5220)</f>
        <v/>
      </c>
      <c r="K5220">
        <f>IF(B5220&gt;=Settings!$C$5,1,0)</f>
        <v/>
      </c>
    </row>
    <row r="5221">
      <c r="A5221" t="inlineStr">
        <is>
          <t>08f966f051116fbae0de3356816aac80</t>
        </is>
      </c>
      <c r="B5221" s="29" t="n">
        <v>43207</v>
      </c>
      <c r="C5221" t="inlineStr">
        <is>
          <t>2018-04</t>
        </is>
      </c>
      <c r="D5221" t="inlineStr">
        <is>
          <t>0218f6be0b76aca72ab4d00ee9e8cf10</t>
        </is>
      </c>
      <c r="E5221" t="inlineStr">
        <is>
          <t>display</t>
        </is>
      </c>
      <c r="F5221">
        <f>IFERROR(MATCH(A5221,Deals!$A$2:$A$843,0),"")</f>
        <v/>
      </c>
      <c r="G5221">
        <f>IF(F5221="",0,1)</f>
        <v/>
      </c>
      <c r="H5221" s="29">
        <f>IF(F5221="","",INDEX(Deals!$E$2:$E$843,F5221))</f>
        <v/>
      </c>
      <c r="I5221">
        <f>IF(F5221="","",INDEX(Deals!$D$2:$D$843,F5221))</f>
        <v/>
      </c>
      <c r="J5221">
        <f>IF(F5221="","",INT(H5221)-B5221)</f>
        <v/>
      </c>
      <c r="K5221">
        <f>IF(B5221&gt;=Settings!$C$5,1,0)</f>
        <v/>
      </c>
    </row>
    <row r="5222">
      <c r="A5222" t="inlineStr">
        <is>
          <t>a0d5b283cb5fc43b41097fc63ce92b17</t>
        </is>
      </c>
      <c r="B5222" s="29" t="n">
        <v>43137</v>
      </c>
      <c r="C5222" t="inlineStr">
        <is>
          <t>2018-02</t>
        </is>
      </c>
      <c r="D5222" t="inlineStr">
        <is>
          <t>88740e65d5d6b056e0cda098e1ea6313</t>
        </is>
      </c>
      <c r="E5222" t="inlineStr">
        <is>
          <t>social</t>
        </is>
      </c>
      <c r="F5222">
        <f>IFERROR(MATCH(A5222,Deals!$A$2:$A$843,0),"")</f>
        <v/>
      </c>
      <c r="G5222">
        <f>IF(F5222="",0,1)</f>
        <v/>
      </c>
      <c r="H5222" s="29">
        <f>IF(F5222="","",INDEX(Deals!$E$2:$E$843,F5222))</f>
        <v/>
      </c>
      <c r="I5222">
        <f>IF(F5222="","",INDEX(Deals!$D$2:$D$843,F5222))</f>
        <v/>
      </c>
      <c r="J5222">
        <f>IF(F5222="","",INT(H5222)-B5222)</f>
        <v/>
      </c>
      <c r="K5222">
        <f>IF(B5222&gt;=Settings!$C$5,1,0)</f>
        <v/>
      </c>
    </row>
    <row r="5223">
      <c r="A5223" t="inlineStr">
        <is>
          <t>cb57ba36db3faf9723fcfeade897b7fb</t>
        </is>
      </c>
      <c r="B5223" s="29" t="n">
        <v>42997</v>
      </c>
      <c r="C5223" t="inlineStr">
        <is>
          <t>2017-09</t>
        </is>
      </c>
      <c r="D5223" t="inlineStr">
        <is>
          <t>22c29808c4f815213303f8933030604c</t>
        </is>
      </c>
      <c r="E5223" t="inlineStr">
        <is>
          <t>paid_search</t>
        </is>
      </c>
      <c r="F5223">
        <f>IFERROR(MATCH(A5223,Deals!$A$2:$A$843,0),"")</f>
        <v/>
      </c>
      <c r="G5223">
        <f>IF(F5223="",0,1)</f>
        <v/>
      </c>
      <c r="H5223" s="29">
        <f>IF(F5223="","",INDEX(Deals!$E$2:$E$843,F5223))</f>
        <v/>
      </c>
      <c r="I5223">
        <f>IF(F5223="","",INDEX(Deals!$D$2:$D$843,F5223))</f>
        <v/>
      </c>
      <c r="J5223">
        <f>IF(F5223="","",INT(H5223)-B5223)</f>
        <v/>
      </c>
      <c r="K5223">
        <f>IF(B5223&gt;=Settings!$C$5,1,0)</f>
        <v/>
      </c>
    </row>
    <row r="5224">
      <c r="A5224" t="inlineStr">
        <is>
          <t>309d426f91033fccd9d0808809f3b50d</t>
        </is>
      </c>
      <c r="B5224" s="29" t="n">
        <v>43226</v>
      </c>
      <c r="C5224" t="inlineStr">
        <is>
          <t>2018-05</t>
        </is>
      </c>
      <c r="D5224" t="inlineStr">
        <is>
          <t>b649e8f33e9c3b38af415a395a446552</t>
        </is>
      </c>
      <c r="E5224" t="inlineStr">
        <is>
          <t>paid_search</t>
        </is>
      </c>
      <c r="F5224">
        <f>IFERROR(MATCH(A5224,Deals!$A$2:$A$843,0),"")</f>
        <v/>
      </c>
      <c r="G5224">
        <f>IF(F5224="",0,1)</f>
        <v/>
      </c>
      <c r="H5224" s="29">
        <f>IF(F5224="","",INDEX(Deals!$E$2:$E$843,F5224))</f>
        <v/>
      </c>
      <c r="I5224">
        <f>IF(F5224="","",INDEX(Deals!$D$2:$D$843,F5224))</f>
        <v/>
      </c>
      <c r="J5224">
        <f>IF(F5224="","",INT(H5224)-B5224)</f>
        <v/>
      </c>
      <c r="K5224">
        <f>IF(B5224&gt;=Settings!$C$5,1,0)</f>
        <v/>
      </c>
    </row>
    <row r="5225">
      <c r="A5225" t="inlineStr">
        <is>
          <t>f022ec5e8e9dc392c8ace87bdcc89ecb</t>
        </is>
      </c>
      <c r="B5225" s="29" t="n">
        <v>43194</v>
      </c>
      <c r="C5225" t="inlineStr">
        <is>
          <t>2018-04</t>
        </is>
      </c>
      <c r="D5225" t="inlineStr">
        <is>
          <t>b76ef37428e6799c421989521c0e5077</t>
        </is>
      </c>
      <c r="E5225" t="inlineStr">
        <is>
          <t>paid_search</t>
        </is>
      </c>
      <c r="F5225">
        <f>IFERROR(MATCH(A5225,Deals!$A$2:$A$843,0),"")</f>
        <v/>
      </c>
      <c r="G5225">
        <f>IF(F5225="",0,1)</f>
        <v/>
      </c>
      <c r="H5225" s="29">
        <f>IF(F5225="","",INDEX(Deals!$E$2:$E$843,F5225))</f>
        <v/>
      </c>
      <c r="I5225">
        <f>IF(F5225="","",INDEX(Deals!$D$2:$D$843,F5225))</f>
        <v/>
      </c>
      <c r="J5225">
        <f>IF(F5225="","",INT(H5225)-B5225)</f>
        <v/>
      </c>
      <c r="K5225">
        <f>IF(B5225&gt;=Settings!$C$5,1,0)</f>
        <v/>
      </c>
    </row>
    <row r="5226">
      <c r="A5226" t="inlineStr">
        <is>
          <t>6ee0b1c15b0c6533d73b00d403baa864</t>
        </is>
      </c>
      <c r="B5226" s="29" t="n">
        <v>43226</v>
      </c>
      <c r="C5226" t="inlineStr">
        <is>
          <t>2018-05</t>
        </is>
      </c>
      <c r="D5226" t="inlineStr">
        <is>
          <t>58326e62183c14b0c03085c33b9fdc44</t>
        </is>
      </c>
      <c r="E5226" t="inlineStr">
        <is>
          <t>social</t>
        </is>
      </c>
      <c r="F5226">
        <f>IFERROR(MATCH(A5226,Deals!$A$2:$A$843,0),"")</f>
        <v/>
      </c>
      <c r="G5226">
        <f>IF(F5226="",0,1)</f>
        <v/>
      </c>
      <c r="H5226" s="29">
        <f>IF(F5226="","",INDEX(Deals!$E$2:$E$843,F5226))</f>
        <v/>
      </c>
      <c r="I5226">
        <f>IF(F5226="","",INDEX(Deals!$D$2:$D$843,F5226))</f>
        <v/>
      </c>
      <c r="J5226">
        <f>IF(F5226="","",INT(H5226)-B5226)</f>
        <v/>
      </c>
      <c r="K5226">
        <f>IF(B5226&gt;=Settings!$C$5,1,0)</f>
        <v/>
      </c>
    </row>
    <row r="5227">
      <c r="A5227" t="inlineStr">
        <is>
          <t>a40214bd3a777dc2d496e989bc520f98</t>
        </is>
      </c>
      <c r="B5227" s="29" t="n">
        <v>43026</v>
      </c>
      <c r="C5227" t="inlineStr">
        <is>
          <t>2017-10</t>
        </is>
      </c>
      <c r="D5227" t="inlineStr">
        <is>
          <t>64078d75b35c1df83ebde92c7babe9d4</t>
        </is>
      </c>
      <c r="E5227" t="inlineStr">
        <is>
          <t>direct_traffic</t>
        </is>
      </c>
      <c r="F5227">
        <f>IFERROR(MATCH(A5227,Deals!$A$2:$A$843,0),"")</f>
        <v/>
      </c>
      <c r="G5227">
        <f>IF(F5227="",0,1)</f>
        <v/>
      </c>
      <c r="H5227" s="29">
        <f>IF(F5227="","",INDEX(Deals!$E$2:$E$843,F5227))</f>
        <v/>
      </c>
      <c r="I5227">
        <f>IF(F5227="","",INDEX(Deals!$D$2:$D$843,F5227))</f>
        <v/>
      </c>
      <c r="J5227">
        <f>IF(F5227="","",INT(H5227)-B5227)</f>
        <v/>
      </c>
      <c r="K5227">
        <f>IF(B5227&gt;=Settings!$C$5,1,0)</f>
        <v/>
      </c>
    </row>
    <row r="5228">
      <c r="A5228" t="inlineStr">
        <is>
          <t>8191dd9a092c97bf36d5f6741cf533ad</t>
        </is>
      </c>
      <c r="B5228" s="29" t="n">
        <v>43108</v>
      </c>
      <c r="C5228" t="inlineStr">
        <is>
          <t>2018-01</t>
        </is>
      </c>
      <c r="D5228" t="inlineStr">
        <is>
          <t>b76ef37428e6799c421989521c0e5077</t>
        </is>
      </c>
      <c r="E5228" t="inlineStr">
        <is>
          <t>unknown</t>
        </is>
      </c>
      <c r="F5228">
        <f>IFERROR(MATCH(A5228,Deals!$A$2:$A$843,0),"")</f>
        <v/>
      </c>
      <c r="G5228">
        <f>IF(F5228="",0,1)</f>
        <v/>
      </c>
      <c r="H5228" s="29">
        <f>IF(F5228="","",INDEX(Deals!$E$2:$E$843,F5228))</f>
        <v/>
      </c>
      <c r="I5228">
        <f>IF(F5228="","",INDEX(Deals!$D$2:$D$843,F5228))</f>
        <v/>
      </c>
      <c r="J5228">
        <f>IF(F5228="","",INT(H5228)-B5228)</f>
        <v/>
      </c>
      <c r="K5228">
        <f>IF(B5228&gt;=Settings!$C$5,1,0)</f>
        <v/>
      </c>
    </row>
    <row r="5229">
      <c r="A5229" t="inlineStr">
        <is>
          <t>d9d78a37e125771a47795f73833ae66c</t>
        </is>
      </c>
      <c r="B5229" s="29" t="n">
        <v>43209</v>
      </c>
      <c r="C5229" t="inlineStr">
        <is>
          <t>2018-04</t>
        </is>
      </c>
      <c r="D5229" t="inlineStr">
        <is>
          <t>649b7b8b46b254497e92038d88f6ced8</t>
        </is>
      </c>
      <c r="E5229" t="inlineStr">
        <is>
          <t>social</t>
        </is>
      </c>
      <c r="F5229">
        <f>IFERROR(MATCH(A5229,Deals!$A$2:$A$843,0),"")</f>
        <v/>
      </c>
      <c r="G5229">
        <f>IF(F5229="",0,1)</f>
        <v/>
      </c>
      <c r="H5229" s="29">
        <f>IF(F5229="","",INDEX(Deals!$E$2:$E$843,F5229))</f>
        <v/>
      </c>
      <c r="I5229">
        <f>IF(F5229="","",INDEX(Deals!$D$2:$D$843,F5229))</f>
        <v/>
      </c>
      <c r="J5229">
        <f>IF(F5229="","",INT(H5229)-B5229)</f>
        <v/>
      </c>
      <c r="K5229">
        <f>IF(B5229&gt;=Settings!$C$5,1,0)</f>
        <v/>
      </c>
    </row>
    <row r="5230">
      <c r="A5230" t="inlineStr">
        <is>
          <t>86a745896c397a2f6484fcd9f8c6b2c0</t>
        </is>
      </c>
      <c r="B5230" s="29" t="n">
        <v>43193</v>
      </c>
      <c r="C5230" t="inlineStr">
        <is>
          <t>2018-04</t>
        </is>
      </c>
      <c r="D5230" t="inlineStr">
        <is>
          <t>b76ef37428e6799c421989521c0e5077</t>
        </is>
      </c>
      <c r="E5230" t="inlineStr">
        <is>
          <t>unknown</t>
        </is>
      </c>
      <c r="F5230">
        <f>IFERROR(MATCH(A5230,Deals!$A$2:$A$843,0),"")</f>
        <v/>
      </c>
      <c r="G5230">
        <f>IF(F5230="",0,1)</f>
        <v/>
      </c>
      <c r="H5230" s="29">
        <f>IF(F5230="","",INDEX(Deals!$E$2:$E$843,F5230))</f>
        <v/>
      </c>
      <c r="I5230">
        <f>IF(F5230="","",INDEX(Deals!$D$2:$D$843,F5230))</f>
        <v/>
      </c>
      <c r="J5230">
        <f>IF(F5230="","",INT(H5230)-B5230)</f>
        <v/>
      </c>
      <c r="K5230">
        <f>IF(B5230&gt;=Settings!$C$5,1,0)</f>
        <v/>
      </c>
    </row>
    <row r="5231">
      <c r="A5231" t="inlineStr">
        <is>
          <t>c46269770def083aca28a5ad93d79e18</t>
        </is>
      </c>
      <c r="B5231" s="29" t="n">
        <v>43209</v>
      </c>
      <c r="C5231" t="inlineStr">
        <is>
          <t>2018-04</t>
        </is>
      </c>
      <c r="D5231" t="inlineStr">
        <is>
          <t>58326e62183c14b0c03085c33b9fdc44</t>
        </is>
      </c>
      <c r="E5231" t="inlineStr">
        <is>
          <t>social</t>
        </is>
      </c>
      <c r="F5231">
        <f>IFERROR(MATCH(A5231,Deals!$A$2:$A$843,0),"")</f>
        <v/>
      </c>
      <c r="G5231">
        <f>IF(F5231="",0,1)</f>
        <v/>
      </c>
      <c r="H5231" s="29">
        <f>IF(F5231="","",INDEX(Deals!$E$2:$E$843,F5231))</f>
        <v/>
      </c>
      <c r="I5231">
        <f>IF(F5231="","",INDEX(Deals!$D$2:$D$843,F5231))</f>
        <v/>
      </c>
      <c r="J5231">
        <f>IF(F5231="","",INT(H5231)-B5231)</f>
        <v/>
      </c>
      <c r="K5231">
        <f>IF(B5231&gt;=Settings!$C$5,1,0)</f>
        <v/>
      </c>
    </row>
    <row r="5232">
      <c r="A5232" t="inlineStr">
        <is>
          <t>7da2a111a3dcb315e625bd2fc4ea2393</t>
        </is>
      </c>
      <c r="B5232" s="29" t="n">
        <v>42948</v>
      </c>
      <c r="C5232" t="inlineStr">
        <is>
          <t>2017-08</t>
        </is>
      </c>
      <c r="D5232" t="inlineStr">
        <is>
          <t>3b86d7e8c33da2767ad2af9782f383d5</t>
        </is>
      </c>
      <c r="E5232" t="inlineStr">
        <is>
          <t>organic_search</t>
        </is>
      </c>
      <c r="F5232">
        <f>IFERROR(MATCH(A5232,Deals!$A$2:$A$843,0),"")</f>
        <v/>
      </c>
      <c r="G5232">
        <f>IF(F5232="",0,1)</f>
        <v/>
      </c>
      <c r="H5232" s="29">
        <f>IF(F5232="","",INDEX(Deals!$E$2:$E$843,F5232))</f>
        <v/>
      </c>
      <c r="I5232">
        <f>IF(F5232="","",INDEX(Deals!$D$2:$D$843,F5232))</f>
        <v/>
      </c>
      <c r="J5232">
        <f>IF(F5232="","",INT(H5232)-B5232)</f>
        <v/>
      </c>
      <c r="K5232">
        <f>IF(B5232&gt;=Settings!$C$5,1,0)</f>
        <v/>
      </c>
    </row>
    <row r="5233">
      <c r="A5233" t="inlineStr">
        <is>
          <t>d9491a49890bfd7b08a07840795f98f2</t>
        </is>
      </c>
      <c r="B5233" s="29" t="n">
        <v>43027</v>
      </c>
      <c r="C5233" t="inlineStr">
        <is>
          <t>2017-10</t>
        </is>
      </c>
      <c r="D5233" t="inlineStr">
        <is>
          <t>c05f0fd41e79d7811221253e0d4eadc8</t>
        </is>
      </c>
      <c r="E5233" t="inlineStr">
        <is>
          <t>other_publicities</t>
        </is>
      </c>
      <c r="F5233">
        <f>IFERROR(MATCH(A5233,Deals!$A$2:$A$843,0),"")</f>
        <v/>
      </c>
      <c r="G5233">
        <f>IF(F5233="",0,1)</f>
        <v/>
      </c>
      <c r="H5233" s="29">
        <f>IF(F5233="","",INDEX(Deals!$E$2:$E$843,F5233))</f>
        <v/>
      </c>
      <c r="I5233">
        <f>IF(F5233="","",INDEX(Deals!$D$2:$D$843,F5233))</f>
        <v/>
      </c>
      <c r="J5233">
        <f>IF(F5233="","",INT(H5233)-B5233)</f>
        <v/>
      </c>
      <c r="K5233">
        <f>IF(B5233&gt;=Settings!$C$5,1,0)</f>
        <v/>
      </c>
    </row>
    <row r="5234">
      <c r="A5234" t="inlineStr">
        <is>
          <t>6dd0ef38856fd5fb21aed5223aea9e66</t>
        </is>
      </c>
      <c r="B5234" s="29" t="n">
        <v>42900</v>
      </c>
      <c r="C5234" t="inlineStr">
        <is>
          <t>2017-06</t>
        </is>
      </c>
      <c r="D5234" t="inlineStr">
        <is>
          <t>8f08d2ef8b9aec2ec5118fbcf7f96f11</t>
        </is>
      </c>
      <c r="E5234" t="inlineStr">
        <is>
          <t>display</t>
        </is>
      </c>
      <c r="F5234">
        <f>IFERROR(MATCH(A5234,Deals!$A$2:$A$843,0),"")</f>
        <v/>
      </c>
      <c r="G5234">
        <f>IF(F5234="",0,1)</f>
        <v/>
      </c>
      <c r="H5234" s="29">
        <f>IF(F5234="","",INDEX(Deals!$E$2:$E$843,F5234))</f>
        <v/>
      </c>
      <c r="I5234">
        <f>IF(F5234="","",INDEX(Deals!$D$2:$D$843,F5234))</f>
        <v/>
      </c>
      <c r="J5234">
        <f>IF(F5234="","",INT(H5234)-B5234)</f>
        <v/>
      </c>
      <c r="K5234">
        <f>IF(B5234&gt;=Settings!$C$5,1,0)</f>
        <v/>
      </c>
    </row>
    <row r="5235">
      <c r="A5235" t="inlineStr">
        <is>
          <t>73b4eba4a389d8ec601275a1a8012e14</t>
        </is>
      </c>
      <c r="B5235" s="29" t="n">
        <v>43187</v>
      </c>
      <c r="C5235" t="inlineStr">
        <is>
          <t>2018-03</t>
        </is>
      </c>
      <c r="D5235" t="inlineStr">
        <is>
          <t>15cf89bab2c3163b4f9d8601d108f8b2</t>
        </is>
      </c>
      <c r="E5235" t="inlineStr">
        <is>
          <t>organic_search</t>
        </is>
      </c>
      <c r="F5235">
        <f>IFERROR(MATCH(A5235,Deals!$A$2:$A$843,0),"")</f>
        <v/>
      </c>
      <c r="G5235">
        <f>IF(F5235="",0,1)</f>
        <v/>
      </c>
      <c r="H5235" s="29">
        <f>IF(F5235="","",INDEX(Deals!$E$2:$E$843,F5235))</f>
        <v/>
      </c>
      <c r="I5235">
        <f>IF(F5235="","",INDEX(Deals!$D$2:$D$843,F5235))</f>
        <v/>
      </c>
      <c r="J5235">
        <f>IF(F5235="","",INT(H5235)-B5235)</f>
        <v/>
      </c>
      <c r="K5235">
        <f>IF(B5235&gt;=Settings!$C$5,1,0)</f>
        <v/>
      </c>
    </row>
    <row r="5236">
      <c r="A5236" t="inlineStr">
        <is>
          <t>ab7b16c8e516ee2bd53b37ba5779dfc2</t>
        </is>
      </c>
      <c r="B5236" s="29" t="n">
        <v>43103</v>
      </c>
      <c r="C5236" t="inlineStr">
        <is>
          <t>2018-01</t>
        </is>
      </c>
      <c r="D5236" t="inlineStr">
        <is>
          <t>88740e65d5d6b056e0cda098e1ea6313</t>
        </is>
      </c>
      <c r="E5236" t="inlineStr">
        <is>
          <t>social</t>
        </is>
      </c>
      <c r="F5236">
        <f>IFERROR(MATCH(A5236,Deals!$A$2:$A$843,0),"")</f>
        <v/>
      </c>
      <c r="G5236">
        <f>IF(F5236="",0,1)</f>
        <v/>
      </c>
      <c r="H5236" s="29">
        <f>IF(F5236="","",INDEX(Deals!$E$2:$E$843,F5236))</f>
        <v/>
      </c>
      <c r="I5236">
        <f>IF(F5236="","",INDEX(Deals!$D$2:$D$843,F5236))</f>
        <v/>
      </c>
      <c r="J5236">
        <f>IF(F5236="","",INT(H5236)-B5236)</f>
        <v/>
      </c>
      <c r="K5236">
        <f>IF(B5236&gt;=Settings!$C$5,1,0)</f>
        <v/>
      </c>
    </row>
    <row r="5237">
      <c r="A5237" t="inlineStr">
        <is>
          <t>54ed85e7af8edc78637654cb4a89040e</t>
        </is>
      </c>
      <c r="B5237" s="29" t="n">
        <v>42987</v>
      </c>
      <c r="C5237" t="inlineStr">
        <is>
          <t>2017-09</t>
        </is>
      </c>
      <c r="D5237" t="inlineStr">
        <is>
          <t>007f9098284a86ee80ddeb25d53e0af8</t>
        </is>
      </c>
      <c r="E5237" t="inlineStr">
        <is>
          <t>paid_search</t>
        </is>
      </c>
      <c r="F5237">
        <f>IFERROR(MATCH(A5237,Deals!$A$2:$A$843,0),"")</f>
        <v/>
      </c>
      <c r="G5237">
        <f>IF(F5237="",0,1)</f>
        <v/>
      </c>
      <c r="H5237" s="29">
        <f>IF(F5237="","",INDEX(Deals!$E$2:$E$843,F5237))</f>
        <v/>
      </c>
      <c r="I5237">
        <f>IF(F5237="","",INDEX(Deals!$D$2:$D$843,F5237))</f>
        <v/>
      </c>
      <c r="J5237">
        <f>IF(F5237="","",INT(H5237)-B5237)</f>
        <v/>
      </c>
      <c r="K5237">
        <f>IF(B5237&gt;=Settings!$C$5,1,0)</f>
        <v/>
      </c>
    </row>
    <row r="5238">
      <c r="A5238" t="inlineStr">
        <is>
          <t>f9f0cd50df8a94019fc0391c61b96f3b</t>
        </is>
      </c>
      <c r="B5238" s="29" t="n">
        <v>43173</v>
      </c>
      <c r="C5238" t="inlineStr">
        <is>
          <t>2018-03</t>
        </is>
      </c>
      <c r="D5238" t="inlineStr">
        <is>
          <t>241f79c7a8fe0270f4fb79fcbbcd17ad</t>
        </is>
      </c>
      <c r="E5238" t="inlineStr">
        <is>
          <t>paid_search</t>
        </is>
      </c>
      <c r="F5238">
        <f>IFERROR(MATCH(A5238,Deals!$A$2:$A$843,0),"")</f>
        <v/>
      </c>
      <c r="G5238">
        <f>IF(F5238="",0,1)</f>
        <v/>
      </c>
      <c r="H5238" s="29">
        <f>IF(F5238="","",INDEX(Deals!$E$2:$E$843,F5238))</f>
        <v/>
      </c>
      <c r="I5238">
        <f>IF(F5238="","",INDEX(Deals!$D$2:$D$843,F5238))</f>
        <v/>
      </c>
      <c r="J5238">
        <f>IF(F5238="","",INT(H5238)-B5238)</f>
        <v/>
      </c>
      <c r="K5238">
        <f>IF(B5238&gt;=Settings!$C$5,1,0)</f>
        <v/>
      </c>
    </row>
    <row r="5239">
      <c r="A5239" t="inlineStr">
        <is>
          <t>498a0fe7d23bd74df53800a9719abf7e</t>
        </is>
      </c>
      <c r="B5239" s="29" t="n">
        <v>43118</v>
      </c>
      <c r="C5239" t="inlineStr">
        <is>
          <t>2018-01</t>
        </is>
      </c>
      <c r="D5239" t="inlineStr">
        <is>
          <t>f017be4dbf86243af5c1ebed0cff36a2</t>
        </is>
      </c>
      <c r="E5239" t="inlineStr">
        <is>
          <t>organic_search</t>
        </is>
      </c>
      <c r="F5239">
        <f>IFERROR(MATCH(A5239,Deals!$A$2:$A$843,0),"")</f>
        <v/>
      </c>
      <c r="G5239">
        <f>IF(F5239="",0,1)</f>
        <v/>
      </c>
      <c r="H5239" s="29">
        <f>IF(F5239="","",INDEX(Deals!$E$2:$E$843,F5239))</f>
        <v/>
      </c>
      <c r="I5239">
        <f>IF(F5239="","",INDEX(Deals!$D$2:$D$843,F5239))</f>
        <v/>
      </c>
      <c r="J5239">
        <f>IF(F5239="","",INT(H5239)-B5239)</f>
        <v/>
      </c>
      <c r="K5239">
        <f>IF(B5239&gt;=Settings!$C$5,1,0)</f>
        <v/>
      </c>
    </row>
    <row r="5240">
      <c r="A5240" t="inlineStr">
        <is>
          <t>f819f4ad5ee255b25df6d5418b8f9f6a</t>
        </is>
      </c>
      <c r="B5240" s="29" t="n">
        <v>43243</v>
      </c>
      <c r="C5240" t="inlineStr">
        <is>
          <t>2018-05</t>
        </is>
      </c>
      <c r="D5240" t="inlineStr">
        <is>
          <t>330b9d44078a1ae5a221d655dcb77afa</t>
        </is>
      </c>
      <c r="E5240" t="inlineStr">
        <is>
          <t>social</t>
        </is>
      </c>
      <c r="F5240">
        <f>IFERROR(MATCH(A5240,Deals!$A$2:$A$843,0),"")</f>
        <v/>
      </c>
      <c r="G5240">
        <f>IF(F5240="",0,1)</f>
        <v/>
      </c>
      <c r="H5240" s="29">
        <f>IF(F5240="","",INDEX(Deals!$E$2:$E$843,F5240))</f>
        <v/>
      </c>
      <c r="I5240">
        <f>IF(F5240="","",INDEX(Deals!$D$2:$D$843,F5240))</f>
        <v/>
      </c>
      <c r="J5240">
        <f>IF(F5240="","",INT(H5240)-B5240)</f>
        <v/>
      </c>
      <c r="K5240">
        <f>IF(B5240&gt;=Settings!$C$5,1,0)</f>
        <v/>
      </c>
    </row>
    <row r="5241">
      <c r="A5241" t="inlineStr">
        <is>
          <t>c9535ee549d198a4b146a5a81e0a6450</t>
        </is>
      </c>
      <c r="B5241" s="29" t="n">
        <v>43143</v>
      </c>
      <c r="C5241" t="inlineStr">
        <is>
          <t>2018-02</t>
        </is>
      </c>
      <c r="D5241" t="inlineStr">
        <is>
          <t>b76ef37428e6799c421989521c0e5077</t>
        </is>
      </c>
      <c r="E5241" t="inlineStr">
        <is>
          <t>unknown</t>
        </is>
      </c>
      <c r="F5241">
        <f>IFERROR(MATCH(A5241,Deals!$A$2:$A$843,0),"")</f>
        <v/>
      </c>
      <c r="G5241">
        <f>IF(F5241="",0,1)</f>
        <v/>
      </c>
      <c r="H5241" s="29">
        <f>IF(F5241="","",INDEX(Deals!$E$2:$E$843,F5241))</f>
        <v/>
      </c>
      <c r="I5241">
        <f>IF(F5241="","",INDEX(Deals!$D$2:$D$843,F5241))</f>
        <v/>
      </c>
      <c r="J5241">
        <f>IF(F5241="","",INT(H5241)-B5241)</f>
        <v/>
      </c>
      <c r="K5241">
        <f>IF(B5241&gt;=Settings!$C$5,1,0)</f>
        <v/>
      </c>
    </row>
    <row r="5242">
      <c r="A5242" t="inlineStr">
        <is>
          <t>b3df435f52be5287d9ace3b28e2dcac9</t>
        </is>
      </c>
      <c r="B5242" s="29" t="n">
        <v>42982</v>
      </c>
      <c r="C5242" t="inlineStr">
        <is>
          <t>2017-09</t>
        </is>
      </c>
      <c r="D5242" t="inlineStr">
        <is>
          <t>e492ee5eaf1697716985cc6f33f9cd9b</t>
        </is>
      </c>
      <c r="E5242" t="inlineStr">
        <is>
          <t>unknown</t>
        </is>
      </c>
      <c r="F5242">
        <f>IFERROR(MATCH(A5242,Deals!$A$2:$A$843,0),"")</f>
        <v/>
      </c>
      <c r="G5242">
        <f>IF(F5242="",0,1)</f>
        <v/>
      </c>
      <c r="H5242" s="29">
        <f>IF(F5242="","",INDEX(Deals!$E$2:$E$843,F5242))</f>
        <v/>
      </c>
      <c r="I5242">
        <f>IF(F5242="","",INDEX(Deals!$D$2:$D$843,F5242))</f>
        <v/>
      </c>
      <c r="J5242">
        <f>IF(F5242="","",INT(H5242)-B5242)</f>
        <v/>
      </c>
      <c r="K5242">
        <f>IF(B5242&gt;=Settings!$C$5,1,0)</f>
        <v/>
      </c>
    </row>
    <row r="5243">
      <c r="A5243" t="inlineStr">
        <is>
          <t>6fb435d98ce368e0b727cec0f8a2ccfb</t>
        </is>
      </c>
      <c r="B5243" s="29" t="n">
        <v>43193</v>
      </c>
      <c r="C5243" t="inlineStr">
        <is>
          <t>2018-04</t>
        </is>
      </c>
      <c r="D5243" t="inlineStr">
        <is>
          <t>b76ef37428e6799c421989521c0e5077</t>
        </is>
      </c>
      <c r="E5243" t="inlineStr">
        <is>
          <t>unknown</t>
        </is>
      </c>
      <c r="F5243">
        <f>IFERROR(MATCH(A5243,Deals!$A$2:$A$843,0),"")</f>
        <v/>
      </c>
      <c r="G5243">
        <f>IF(F5243="",0,1)</f>
        <v/>
      </c>
      <c r="H5243" s="29">
        <f>IF(F5243="","",INDEX(Deals!$E$2:$E$843,F5243))</f>
        <v/>
      </c>
      <c r="I5243">
        <f>IF(F5243="","",INDEX(Deals!$D$2:$D$843,F5243))</f>
        <v/>
      </c>
      <c r="J5243">
        <f>IF(F5243="","",INT(H5243)-B5243)</f>
        <v/>
      </c>
      <c r="K5243">
        <f>IF(B5243&gt;=Settings!$C$5,1,0)</f>
        <v/>
      </c>
    </row>
    <row r="5244">
      <c r="A5244" t="inlineStr">
        <is>
          <t>f888782cbdc8c8cad62044b2150782dc</t>
        </is>
      </c>
      <c r="B5244" s="29" t="n">
        <v>43193</v>
      </c>
      <c r="C5244" t="inlineStr">
        <is>
          <t>2018-04</t>
        </is>
      </c>
      <c r="D5244" t="inlineStr">
        <is>
          <t>e492ee5eaf1697716985cc6f33f9cd9b</t>
        </is>
      </c>
      <c r="E5244" t="inlineStr">
        <is>
          <t>other</t>
        </is>
      </c>
      <c r="F5244">
        <f>IFERROR(MATCH(A5244,Deals!$A$2:$A$843,0),"")</f>
        <v/>
      </c>
      <c r="G5244">
        <f>IF(F5244="",0,1)</f>
        <v/>
      </c>
      <c r="H5244" s="29">
        <f>IF(F5244="","",INDEX(Deals!$E$2:$E$843,F5244))</f>
        <v/>
      </c>
      <c r="I5244">
        <f>IF(F5244="","",INDEX(Deals!$D$2:$D$843,F5244))</f>
        <v/>
      </c>
      <c r="J5244">
        <f>IF(F5244="","",INT(H5244)-B5244)</f>
        <v/>
      </c>
      <c r="K5244">
        <f>IF(B5244&gt;=Settings!$C$5,1,0)</f>
        <v/>
      </c>
    </row>
    <row r="5245">
      <c r="A5245" t="inlineStr">
        <is>
          <t>080b2f9dad64f7c8737a6b14cd90a6b7</t>
        </is>
      </c>
      <c r="B5245" s="29" t="n">
        <v>43154</v>
      </c>
      <c r="C5245" t="inlineStr">
        <is>
          <t>2018-02</t>
        </is>
      </c>
      <c r="D5245" t="inlineStr">
        <is>
          <t>2228a43ac0bc372e25f9569e69fc9015</t>
        </is>
      </c>
      <c r="E5245" t="inlineStr">
        <is>
          <t>referral</t>
        </is>
      </c>
      <c r="F5245">
        <f>IFERROR(MATCH(A5245,Deals!$A$2:$A$843,0),"")</f>
        <v/>
      </c>
      <c r="G5245">
        <f>IF(F5245="",0,1)</f>
        <v/>
      </c>
      <c r="H5245" s="29">
        <f>IF(F5245="","",INDEX(Deals!$E$2:$E$843,F5245))</f>
        <v/>
      </c>
      <c r="I5245">
        <f>IF(F5245="","",INDEX(Deals!$D$2:$D$843,F5245))</f>
        <v/>
      </c>
      <c r="J5245">
        <f>IF(F5245="","",INT(H5245)-B5245)</f>
        <v/>
      </c>
      <c r="K5245">
        <f>IF(B5245&gt;=Settings!$C$5,1,0)</f>
        <v/>
      </c>
    </row>
    <row r="5246">
      <c r="A5246" t="inlineStr">
        <is>
          <t>9d40c1970d3d8f7224664a8a6523c0ea</t>
        </is>
      </c>
      <c r="B5246" s="29" t="n">
        <v>43223</v>
      </c>
      <c r="C5246" t="inlineStr">
        <is>
          <t>2018-05</t>
        </is>
      </c>
      <c r="D5246" t="inlineStr">
        <is>
          <t>0218f6be0b76aca72ab4d00ee9e8cf10</t>
        </is>
      </c>
      <c r="E5246" t="inlineStr">
        <is>
          <t>organic_search</t>
        </is>
      </c>
      <c r="F5246">
        <f>IFERROR(MATCH(A5246,Deals!$A$2:$A$843,0),"")</f>
        <v/>
      </c>
      <c r="G5246">
        <f>IF(F5246="",0,1)</f>
        <v/>
      </c>
      <c r="H5246" s="29">
        <f>IF(F5246="","",INDEX(Deals!$E$2:$E$843,F5246))</f>
        <v/>
      </c>
      <c r="I5246">
        <f>IF(F5246="","",INDEX(Deals!$D$2:$D$843,F5246))</f>
        <v/>
      </c>
      <c r="J5246">
        <f>IF(F5246="","",INT(H5246)-B5246)</f>
        <v/>
      </c>
      <c r="K5246">
        <f>IF(B5246&gt;=Settings!$C$5,1,0)</f>
        <v/>
      </c>
    </row>
    <row r="5247">
      <c r="A5247" t="inlineStr">
        <is>
          <t>4298f09989a95e881dd3c59e8e9adbe1</t>
        </is>
      </c>
      <c r="B5247" s="29" t="n">
        <v>43241</v>
      </c>
      <c r="C5247" t="inlineStr">
        <is>
          <t>2018-05</t>
        </is>
      </c>
      <c r="D5247" t="inlineStr">
        <is>
          <t>e492ee5eaf1697716985cc6f33f9cd9b</t>
        </is>
      </c>
      <c r="E5247" t="inlineStr">
        <is>
          <t>organic_search</t>
        </is>
      </c>
      <c r="F5247">
        <f>IFERROR(MATCH(A5247,Deals!$A$2:$A$843,0),"")</f>
        <v/>
      </c>
      <c r="G5247">
        <f>IF(F5247="",0,1)</f>
        <v/>
      </c>
      <c r="H5247" s="29">
        <f>IF(F5247="","",INDEX(Deals!$E$2:$E$843,F5247))</f>
        <v/>
      </c>
      <c r="I5247">
        <f>IF(F5247="","",INDEX(Deals!$D$2:$D$843,F5247))</f>
        <v/>
      </c>
      <c r="J5247">
        <f>IF(F5247="","",INT(H5247)-B5247)</f>
        <v/>
      </c>
      <c r="K5247">
        <f>IF(B5247&gt;=Settings!$C$5,1,0)</f>
        <v/>
      </c>
    </row>
    <row r="5248">
      <c r="A5248" t="inlineStr">
        <is>
          <t>422cf6c6f212dde0fa96c532de240104</t>
        </is>
      </c>
      <c r="B5248" s="29" t="n">
        <v>43171</v>
      </c>
      <c r="C5248" t="inlineStr">
        <is>
          <t>2018-03</t>
        </is>
      </c>
      <c r="D5248" t="inlineStr">
        <is>
          <t>27cd3540bace1f4a4b2bc6d319b0553c</t>
        </is>
      </c>
      <c r="E5248" t="inlineStr">
        <is>
          <t>unknown</t>
        </is>
      </c>
      <c r="F5248">
        <f>IFERROR(MATCH(A5248,Deals!$A$2:$A$843,0),"")</f>
        <v/>
      </c>
      <c r="G5248">
        <f>IF(F5248="",0,1)</f>
        <v/>
      </c>
      <c r="H5248" s="29">
        <f>IF(F5248="","",INDEX(Deals!$E$2:$E$843,F5248))</f>
        <v/>
      </c>
      <c r="I5248">
        <f>IF(F5248="","",INDEX(Deals!$D$2:$D$843,F5248))</f>
        <v/>
      </c>
      <c r="J5248">
        <f>IF(F5248="","",INT(H5248)-B5248)</f>
        <v/>
      </c>
      <c r="K5248">
        <f>IF(B5248&gt;=Settings!$C$5,1,0)</f>
        <v/>
      </c>
    </row>
    <row r="5249">
      <c r="A5249" t="inlineStr">
        <is>
          <t>7209375983416cef4eb2d1007716ce7e</t>
        </is>
      </c>
      <c r="B5249" s="29" t="n">
        <v>43126</v>
      </c>
      <c r="C5249" t="inlineStr">
        <is>
          <t>2018-01</t>
        </is>
      </c>
      <c r="D5249" t="inlineStr">
        <is>
          <t>65d9f9d71e562365e8b44037c2888d98</t>
        </is>
      </c>
      <c r="E5249" t="inlineStr">
        <is>
          <t>paid_search</t>
        </is>
      </c>
      <c r="F5249">
        <f>IFERROR(MATCH(A5249,Deals!$A$2:$A$843,0),"")</f>
        <v/>
      </c>
      <c r="G5249">
        <f>IF(F5249="",0,1)</f>
        <v/>
      </c>
      <c r="H5249" s="29">
        <f>IF(F5249="","",INDEX(Deals!$E$2:$E$843,F5249))</f>
        <v/>
      </c>
      <c r="I5249">
        <f>IF(F5249="","",INDEX(Deals!$D$2:$D$843,F5249))</f>
        <v/>
      </c>
      <c r="J5249">
        <f>IF(F5249="","",INT(H5249)-B5249)</f>
        <v/>
      </c>
      <c r="K5249">
        <f>IF(B5249&gt;=Settings!$C$5,1,0)</f>
        <v/>
      </c>
    </row>
    <row r="5250">
      <c r="A5250" t="inlineStr">
        <is>
          <t>fbf50efd552a22190e4e76d28f87b072</t>
        </is>
      </c>
      <c r="B5250" s="29" t="n">
        <v>43132</v>
      </c>
      <c r="C5250" t="inlineStr">
        <is>
          <t>2018-02</t>
        </is>
      </c>
      <c r="D5250" t="inlineStr">
        <is>
          <t>88740e65d5d6b056e0cda098e1ea6313</t>
        </is>
      </c>
      <c r="E5250" t="inlineStr">
        <is>
          <t>social</t>
        </is>
      </c>
      <c r="F5250">
        <f>IFERROR(MATCH(A5250,Deals!$A$2:$A$843,0),"")</f>
        <v/>
      </c>
      <c r="G5250">
        <f>IF(F5250="",0,1)</f>
        <v/>
      </c>
      <c r="H5250" s="29">
        <f>IF(F5250="","",INDEX(Deals!$E$2:$E$843,F5250))</f>
        <v/>
      </c>
      <c r="I5250">
        <f>IF(F5250="","",INDEX(Deals!$D$2:$D$843,F5250))</f>
        <v/>
      </c>
      <c r="J5250">
        <f>IF(F5250="","",INT(H5250)-B5250)</f>
        <v/>
      </c>
      <c r="K5250">
        <f>IF(B5250&gt;=Settings!$C$5,1,0)</f>
        <v/>
      </c>
    </row>
    <row r="5251">
      <c r="A5251" t="inlineStr">
        <is>
          <t>6fef9896ea55b5fe1a342b38bb464c78</t>
        </is>
      </c>
      <c r="B5251" s="29" t="n">
        <v>43025</v>
      </c>
      <c r="C5251" t="inlineStr">
        <is>
          <t>2017-10</t>
        </is>
      </c>
      <c r="D5251" t="inlineStr">
        <is>
          <t>ce1a65abd0973638f1c887a6efcfa82d</t>
        </is>
      </c>
      <c r="E5251" t="inlineStr">
        <is>
          <t>email</t>
        </is>
      </c>
      <c r="F5251">
        <f>IFERROR(MATCH(A5251,Deals!$A$2:$A$843,0),"")</f>
        <v/>
      </c>
      <c r="G5251">
        <f>IF(F5251="",0,1)</f>
        <v/>
      </c>
      <c r="H5251" s="29">
        <f>IF(F5251="","",INDEX(Deals!$E$2:$E$843,F5251))</f>
        <v/>
      </c>
      <c r="I5251">
        <f>IF(F5251="","",INDEX(Deals!$D$2:$D$843,F5251))</f>
        <v/>
      </c>
      <c r="J5251">
        <f>IF(F5251="","",INT(H5251)-B5251)</f>
        <v/>
      </c>
      <c r="K5251">
        <f>IF(B5251&gt;=Settings!$C$5,1,0)</f>
        <v/>
      </c>
    </row>
    <row r="5252">
      <c r="A5252" t="inlineStr">
        <is>
          <t>07bfe49721e230f6699703eb9d4128d8</t>
        </is>
      </c>
      <c r="B5252" s="29" t="n">
        <v>43136</v>
      </c>
      <c r="C5252" t="inlineStr">
        <is>
          <t>2018-02</t>
        </is>
      </c>
      <c r="D5252" t="inlineStr">
        <is>
          <t>b6cd08ac77c501fd6857f7916d2c24f3</t>
        </is>
      </c>
      <c r="E5252" t="inlineStr">
        <is>
          <t>email</t>
        </is>
      </c>
      <c r="F5252">
        <f>IFERROR(MATCH(A5252,Deals!$A$2:$A$843,0),"")</f>
        <v/>
      </c>
      <c r="G5252">
        <f>IF(F5252="",0,1)</f>
        <v/>
      </c>
      <c r="H5252" s="29">
        <f>IF(F5252="","",INDEX(Deals!$E$2:$E$843,F5252))</f>
        <v/>
      </c>
      <c r="I5252">
        <f>IF(F5252="","",INDEX(Deals!$D$2:$D$843,F5252))</f>
        <v/>
      </c>
      <c r="J5252">
        <f>IF(F5252="","",INT(H5252)-B5252)</f>
        <v/>
      </c>
      <c r="K5252">
        <f>IF(B5252&gt;=Settings!$C$5,1,0)</f>
        <v/>
      </c>
    </row>
    <row r="5253">
      <c r="A5253" t="inlineStr">
        <is>
          <t>7fc2e837c73d955ce1144ab2d5d765a7</t>
        </is>
      </c>
      <c r="B5253" s="29" t="n">
        <v>43060</v>
      </c>
      <c r="C5253" t="inlineStr">
        <is>
          <t>2017-11</t>
        </is>
      </c>
      <c r="D5253" t="inlineStr">
        <is>
          <t>b48ec5f3b04e9068441002a19df93c6c</t>
        </is>
      </c>
      <c r="E5253" t="inlineStr">
        <is>
          <t>organic_search</t>
        </is>
      </c>
      <c r="F5253">
        <f>IFERROR(MATCH(A5253,Deals!$A$2:$A$843,0),"")</f>
        <v/>
      </c>
      <c r="G5253">
        <f>IF(F5253="",0,1)</f>
        <v/>
      </c>
      <c r="H5253" s="29">
        <f>IF(F5253="","",INDEX(Deals!$E$2:$E$843,F5253))</f>
        <v/>
      </c>
      <c r="I5253">
        <f>IF(F5253="","",INDEX(Deals!$D$2:$D$843,F5253))</f>
        <v/>
      </c>
      <c r="J5253">
        <f>IF(F5253="","",INT(H5253)-B5253)</f>
        <v/>
      </c>
      <c r="K5253">
        <f>IF(B5253&gt;=Settings!$C$5,1,0)</f>
        <v/>
      </c>
    </row>
    <row r="5254">
      <c r="A5254" t="inlineStr">
        <is>
          <t>15b62ec17ab0e5a8fad19f1b6f84eaf4</t>
        </is>
      </c>
      <c r="B5254" s="29" t="n">
        <v>43182</v>
      </c>
      <c r="C5254" t="inlineStr">
        <is>
          <t>2018-03</t>
        </is>
      </c>
      <c r="D5254" t="inlineStr">
        <is>
          <t>b76ef37428e6799c421989521c0e5077</t>
        </is>
      </c>
      <c r="E5254" t="inlineStr">
        <is>
          <t>organic_search</t>
        </is>
      </c>
      <c r="F5254">
        <f>IFERROR(MATCH(A5254,Deals!$A$2:$A$843,0),"")</f>
        <v/>
      </c>
      <c r="G5254">
        <f>IF(F5254="",0,1)</f>
        <v/>
      </c>
      <c r="H5254" s="29">
        <f>IF(F5254="","",INDEX(Deals!$E$2:$E$843,F5254))</f>
        <v/>
      </c>
      <c r="I5254">
        <f>IF(F5254="","",INDEX(Deals!$D$2:$D$843,F5254))</f>
        <v/>
      </c>
      <c r="J5254">
        <f>IF(F5254="","",INT(H5254)-B5254)</f>
        <v/>
      </c>
      <c r="K5254">
        <f>IF(B5254&gt;=Settings!$C$5,1,0)</f>
        <v/>
      </c>
    </row>
    <row r="5255">
      <c r="A5255" t="inlineStr">
        <is>
          <t>58df5c4f13e698517e6a9aa00e311f9a</t>
        </is>
      </c>
      <c r="B5255" s="29" t="n">
        <v>43233</v>
      </c>
      <c r="C5255" t="inlineStr">
        <is>
          <t>2018-05</t>
        </is>
      </c>
      <c r="D5255" t="inlineStr">
        <is>
          <t>8ff57dffc365fcb5233232fff6e6bfd0</t>
        </is>
      </c>
      <c r="E5255" t="inlineStr">
        <is>
          <t>organic_search</t>
        </is>
      </c>
      <c r="F5255">
        <f>IFERROR(MATCH(A5255,Deals!$A$2:$A$843,0),"")</f>
        <v/>
      </c>
      <c r="G5255">
        <f>IF(F5255="",0,1)</f>
        <v/>
      </c>
      <c r="H5255" s="29">
        <f>IF(F5255="","",INDEX(Deals!$E$2:$E$843,F5255))</f>
        <v/>
      </c>
      <c r="I5255">
        <f>IF(F5255="","",INDEX(Deals!$D$2:$D$843,F5255))</f>
        <v/>
      </c>
      <c r="J5255">
        <f>IF(F5255="","",INT(H5255)-B5255)</f>
        <v/>
      </c>
      <c r="K5255">
        <f>IF(B5255&gt;=Settings!$C$5,1,0)</f>
        <v/>
      </c>
    </row>
    <row r="5256">
      <c r="A5256" t="inlineStr">
        <is>
          <t>d111938e811c0ed7c4ee3e749b07b454</t>
        </is>
      </c>
      <c r="B5256" s="29" t="n">
        <v>43172</v>
      </c>
      <c r="C5256" t="inlineStr">
        <is>
          <t>2018-03</t>
        </is>
      </c>
      <c r="D5256" t="inlineStr">
        <is>
          <t>241f79c7a8fe0270f4fb79fcbbcd17ad</t>
        </is>
      </c>
      <c r="E5256" t="inlineStr">
        <is>
          <t>paid_search</t>
        </is>
      </c>
      <c r="F5256">
        <f>IFERROR(MATCH(A5256,Deals!$A$2:$A$843,0),"")</f>
        <v/>
      </c>
      <c r="G5256">
        <f>IF(F5256="",0,1)</f>
        <v/>
      </c>
      <c r="H5256" s="29">
        <f>IF(F5256="","",INDEX(Deals!$E$2:$E$843,F5256))</f>
        <v/>
      </c>
      <c r="I5256">
        <f>IF(F5256="","",INDEX(Deals!$D$2:$D$843,F5256))</f>
        <v/>
      </c>
      <c r="J5256">
        <f>IF(F5256="","",INT(H5256)-B5256)</f>
        <v/>
      </c>
      <c r="K5256">
        <f>IF(B5256&gt;=Settings!$C$5,1,0)</f>
        <v/>
      </c>
    </row>
    <row r="5257">
      <c r="A5257" t="inlineStr">
        <is>
          <t>286142eb41f5c745b97e5dd10782e008</t>
        </is>
      </c>
      <c r="B5257" s="29" t="n">
        <v>43231</v>
      </c>
      <c r="C5257" t="inlineStr">
        <is>
          <t>2018-05</t>
        </is>
      </c>
      <c r="D5257" t="inlineStr">
        <is>
          <t>1ceb590cd1e00c7ee95220971f82693d</t>
        </is>
      </c>
      <c r="E5257" t="inlineStr">
        <is>
          <t>paid_search</t>
        </is>
      </c>
      <c r="F5257">
        <f>IFERROR(MATCH(A5257,Deals!$A$2:$A$843,0),"")</f>
        <v/>
      </c>
      <c r="G5257">
        <f>IF(F5257="",0,1)</f>
        <v/>
      </c>
      <c r="H5257" s="29">
        <f>IF(F5257="","",INDEX(Deals!$E$2:$E$843,F5257))</f>
        <v/>
      </c>
      <c r="I5257">
        <f>IF(F5257="","",INDEX(Deals!$D$2:$D$843,F5257))</f>
        <v/>
      </c>
      <c r="J5257">
        <f>IF(F5257="","",INT(H5257)-B5257)</f>
        <v/>
      </c>
      <c r="K5257">
        <f>IF(B5257&gt;=Settings!$C$5,1,0)</f>
        <v/>
      </c>
    </row>
    <row r="5258">
      <c r="A5258" t="inlineStr">
        <is>
          <t>719a6e5ecb3067f0725a36f477404c5c</t>
        </is>
      </c>
      <c r="B5258" s="29" t="n">
        <v>43210</v>
      </c>
      <c r="C5258" t="inlineStr">
        <is>
          <t>2018-04</t>
        </is>
      </c>
      <c r="D5258" t="inlineStr">
        <is>
          <t>9fa37f5177115156b1814ffc237402a6</t>
        </is>
      </c>
      <c r="E5258" t="inlineStr">
        <is>
          <t>paid_search</t>
        </is>
      </c>
      <c r="F5258">
        <f>IFERROR(MATCH(A5258,Deals!$A$2:$A$843,0),"")</f>
        <v/>
      </c>
      <c r="G5258">
        <f>IF(F5258="",0,1)</f>
        <v/>
      </c>
      <c r="H5258" s="29">
        <f>IF(F5258="","",INDEX(Deals!$E$2:$E$843,F5258))</f>
        <v/>
      </c>
      <c r="I5258">
        <f>IF(F5258="","",INDEX(Deals!$D$2:$D$843,F5258))</f>
        <v/>
      </c>
      <c r="J5258">
        <f>IF(F5258="","",INT(H5258)-B5258)</f>
        <v/>
      </c>
      <c r="K5258">
        <f>IF(B5258&gt;=Settings!$C$5,1,0)</f>
        <v/>
      </c>
    </row>
    <row r="5259">
      <c r="A5259" t="inlineStr">
        <is>
          <t>7f8186fc9a572c080f67e881052c7c84</t>
        </is>
      </c>
      <c r="B5259" s="29" t="n">
        <v>43150</v>
      </c>
      <c r="C5259" t="inlineStr">
        <is>
          <t>2018-02</t>
        </is>
      </c>
      <c r="D5259" t="inlineStr">
        <is>
          <t>f017be4dbf86243af5c1ebed0cff36a2</t>
        </is>
      </c>
      <c r="E5259" t="inlineStr">
        <is>
          <t>referral</t>
        </is>
      </c>
      <c r="F5259">
        <f>IFERROR(MATCH(A5259,Deals!$A$2:$A$843,0),"")</f>
        <v/>
      </c>
      <c r="G5259">
        <f>IF(F5259="",0,1)</f>
        <v/>
      </c>
      <c r="H5259" s="29">
        <f>IF(F5259="","",INDEX(Deals!$E$2:$E$843,F5259))</f>
        <v/>
      </c>
      <c r="I5259">
        <f>IF(F5259="","",INDEX(Deals!$D$2:$D$843,F5259))</f>
        <v/>
      </c>
      <c r="J5259">
        <f>IF(F5259="","",INT(H5259)-B5259)</f>
        <v/>
      </c>
      <c r="K5259">
        <f>IF(B5259&gt;=Settings!$C$5,1,0)</f>
        <v/>
      </c>
    </row>
    <row r="5260">
      <c r="A5260" t="inlineStr">
        <is>
          <t>6a67ad49461a5940715c8257a5902b79</t>
        </is>
      </c>
      <c r="B5260" s="29" t="n">
        <v>43066</v>
      </c>
      <c r="C5260" t="inlineStr">
        <is>
          <t>2017-11</t>
        </is>
      </c>
      <c r="D5260" t="inlineStr">
        <is>
          <t>87780f7c05ecd79791bde76af663db15</t>
        </is>
      </c>
      <c r="E5260" t="inlineStr">
        <is>
          <t>social</t>
        </is>
      </c>
      <c r="F5260">
        <f>IFERROR(MATCH(A5260,Deals!$A$2:$A$843,0),"")</f>
        <v/>
      </c>
      <c r="G5260">
        <f>IF(F5260="",0,1)</f>
        <v/>
      </c>
      <c r="H5260" s="29">
        <f>IF(F5260="","",INDEX(Deals!$E$2:$E$843,F5260))</f>
        <v/>
      </c>
      <c r="I5260">
        <f>IF(F5260="","",INDEX(Deals!$D$2:$D$843,F5260))</f>
        <v/>
      </c>
      <c r="J5260">
        <f>IF(F5260="","",INT(H5260)-B5260)</f>
        <v/>
      </c>
      <c r="K5260">
        <f>IF(B5260&gt;=Settings!$C$5,1,0)</f>
        <v/>
      </c>
    </row>
    <row r="5261">
      <c r="A5261" t="inlineStr">
        <is>
          <t>3fc4da65247af7ffd942e8ba951710e7</t>
        </is>
      </c>
      <c r="B5261" s="29" t="n">
        <v>43233</v>
      </c>
      <c r="C5261" t="inlineStr">
        <is>
          <t>2018-05</t>
        </is>
      </c>
      <c r="D5261" t="inlineStr">
        <is>
          <t>ce1a65abd0973638f1c887a6efcfa82d</t>
        </is>
      </c>
      <c r="E5261" t="inlineStr">
        <is>
          <t>organic_search</t>
        </is>
      </c>
      <c r="F5261">
        <f>IFERROR(MATCH(A5261,Deals!$A$2:$A$843,0),"")</f>
        <v/>
      </c>
      <c r="G5261">
        <f>IF(F5261="",0,1)</f>
        <v/>
      </c>
      <c r="H5261" s="29">
        <f>IF(F5261="","",INDEX(Deals!$E$2:$E$843,F5261))</f>
        <v/>
      </c>
      <c r="I5261">
        <f>IF(F5261="","",INDEX(Deals!$D$2:$D$843,F5261))</f>
        <v/>
      </c>
      <c r="J5261">
        <f>IF(F5261="","",INT(H5261)-B5261)</f>
        <v/>
      </c>
      <c r="K5261">
        <f>IF(B5261&gt;=Settings!$C$5,1,0)</f>
        <v/>
      </c>
    </row>
    <row r="5262">
      <c r="A5262" t="inlineStr">
        <is>
          <t>039a17bf61a2625b5315864251162296</t>
        </is>
      </c>
      <c r="B5262" s="29" t="n">
        <v>43167</v>
      </c>
      <c r="C5262" t="inlineStr">
        <is>
          <t>2018-03</t>
        </is>
      </c>
      <c r="D5262" t="inlineStr">
        <is>
          <t>73f31a40697cc90a86c1273563ac230e</t>
        </is>
      </c>
      <c r="E5262" t="inlineStr">
        <is>
          <t>social</t>
        </is>
      </c>
      <c r="F5262">
        <f>IFERROR(MATCH(A5262,Deals!$A$2:$A$843,0),"")</f>
        <v/>
      </c>
      <c r="G5262">
        <f>IF(F5262="",0,1)</f>
        <v/>
      </c>
      <c r="H5262" s="29">
        <f>IF(F5262="","",INDEX(Deals!$E$2:$E$843,F5262))</f>
        <v/>
      </c>
      <c r="I5262">
        <f>IF(F5262="","",INDEX(Deals!$D$2:$D$843,F5262))</f>
        <v/>
      </c>
      <c r="J5262">
        <f>IF(F5262="","",INT(H5262)-B5262)</f>
        <v/>
      </c>
      <c r="K5262">
        <f>IF(B5262&gt;=Settings!$C$5,1,0)</f>
        <v/>
      </c>
    </row>
    <row r="5263">
      <c r="A5263" t="inlineStr">
        <is>
          <t>bde5cb52f6b5890917e387c55b36c577</t>
        </is>
      </c>
      <c r="B5263" s="29" t="n">
        <v>43092</v>
      </c>
      <c r="C5263" t="inlineStr">
        <is>
          <t>2017-12</t>
        </is>
      </c>
      <c r="D5263" t="inlineStr">
        <is>
          <t>88740e65d5d6b056e0cda098e1ea6313</t>
        </is>
      </c>
      <c r="E5263" t="inlineStr">
        <is>
          <t>social</t>
        </is>
      </c>
      <c r="F5263">
        <f>IFERROR(MATCH(A5263,Deals!$A$2:$A$843,0),"")</f>
        <v/>
      </c>
      <c r="G5263">
        <f>IF(F5263="",0,1)</f>
        <v/>
      </c>
      <c r="H5263" s="29">
        <f>IF(F5263="","",INDEX(Deals!$E$2:$E$843,F5263))</f>
        <v/>
      </c>
      <c r="I5263">
        <f>IF(F5263="","",INDEX(Deals!$D$2:$D$843,F5263))</f>
        <v/>
      </c>
      <c r="J5263">
        <f>IF(F5263="","",INT(H5263)-B5263)</f>
        <v/>
      </c>
      <c r="K5263">
        <f>IF(B5263&gt;=Settings!$C$5,1,0)</f>
        <v/>
      </c>
    </row>
    <row r="5264">
      <c r="A5264" t="inlineStr">
        <is>
          <t>e135d58b281b92bb666a29ef5219dc90</t>
        </is>
      </c>
      <c r="B5264" s="29" t="n">
        <v>43045</v>
      </c>
      <c r="C5264" t="inlineStr">
        <is>
          <t>2017-11</t>
        </is>
      </c>
      <c r="D5264" t="inlineStr">
        <is>
          <t>40dec9f3d5259a3d2dbcdab2114fae47</t>
        </is>
      </c>
      <c r="E5264" t="inlineStr">
        <is>
          <t>paid_search</t>
        </is>
      </c>
      <c r="F5264">
        <f>IFERROR(MATCH(A5264,Deals!$A$2:$A$843,0),"")</f>
        <v/>
      </c>
      <c r="G5264">
        <f>IF(F5264="",0,1)</f>
        <v/>
      </c>
      <c r="H5264" s="29">
        <f>IF(F5264="","",INDEX(Deals!$E$2:$E$843,F5264))</f>
        <v/>
      </c>
      <c r="I5264">
        <f>IF(F5264="","",INDEX(Deals!$D$2:$D$843,F5264))</f>
        <v/>
      </c>
      <c r="J5264">
        <f>IF(F5264="","",INT(H5264)-B5264)</f>
        <v/>
      </c>
      <c r="K5264">
        <f>IF(B5264&gt;=Settings!$C$5,1,0)</f>
        <v/>
      </c>
    </row>
    <row r="5265">
      <c r="A5265" t="inlineStr">
        <is>
          <t>796a13649f7504836cc88fd7b385a278</t>
        </is>
      </c>
      <c r="B5265" s="29" t="n">
        <v>43125</v>
      </c>
      <c r="C5265" t="inlineStr">
        <is>
          <t>2018-01</t>
        </is>
      </c>
      <c r="D5265" t="inlineStr">
        <is>
          <t>b76ef37428e6799c421989521c0e5077</t>
        </is>
      </c>
      <c r="E5265" t="inlineStr">
        <is>
          <t>unknown</t>
        </is>
      </c>
      <c r="F5265">
        <f>IFERROR(MATCH(A5265,Deals!$A$2:$A$843,0),"")</f>
        <v/>
      </c>
      <c r="G5265">
        <f>IF(F5265="",0,1)</f>
        <v/>
      </c>
      <c r="H5265" s="29">
        <f>IF(F5265="","",INDEX(Deals!$E$2:$E$843,F5265))</f>
        <v/>
      </c>
      <c r="I5265">
        <f>IF(F5265="","",INDEX(Deals!$D$2:$D$843,F5265))</f>
        <v/>
      </c>
      <c r="J5265">
        <f>IF(F5265="","",INT(H5265)-B5265)</f>
        <v/>
      </c>
      <c r="K5265">
        <f>IF(B5265&gt;=Settings!$C$5,1,0)</f>
        <v/>
      </c>
    </row>
    <row r="5266">
      <c r="A5266" t="inlineStr">
        <is>
          <t>0ade119726e275e5a92ae19430b80e81</t>
        </is>
      </c>
      <c r="B5266" s="29" t="n">
        <v>43145</v>
      </c>
      <c r="C5266" t="inlineStr">
        <is>
          <t>2018-02</t>
        </is>
      </c>
      <c r="D5266" t="inlineStr">
        <is>
          <t>b76ef37428e6799c421989521c0e5077</t>
        </is>
      </c>
      <c r="E5266" t="inlineStr">
        <is>
          <t>paid_search</t>
        </is>
      </c>
      <c r="F5266">
        <f>IFERROR(MATCH(A5266,Deals!$A$2:$A$843,0),"")</f>
        <v/>
      </c>
      <c r="G5266">
        <f>IF(F5266="",0,1)</f>
        <v/>
      </c>
      <c r="H5266" s="29">
        <f>IF(F5266="","",INDEX(Deals!$E$2:$E$843,F5266))</f>
        <v/>
      </c>
      <c r="I5266">
        <f>IF(F5266="","",INDEX(Deals!$D$2:$D$843,F5266))</f>
        <v/>
      </c>
      <c r="J5266">
        <f>IF(F5266="","",INT(H5266)-B5266)</f>
        <v/>
      </c>
      <c r="K5266">
        <f>IF(B5266&gt;=Settings!$C$5,1,0)</f>
        <v/>
      </c>
    </row>
    <row r="5267">
      <c r="A5267" t="inlineStr">
        <is>
          <t>d9ba606994c4309bb9234bb5f1c3d5b5</t>
        </is>
      </c>
      <c r="B5267" s="29" t="n">
        <v>43200</v>
      </c>
      <c r="C5267" t="inlineStr">
        <is>
          <t>2018-04</t>
        </is>
      </c>
      <c r="D5267" t="inlineStr">
        <is>
          <t>5dc848e7dd9418dffe183215b8ff0bc1</t>
        </is>
      </c>
      <c r="E5267" t="inlineStr">
        <is>
          <t>paid_search</t>
        </is>
      </c>
      <c r="F5267">
        <f>IFERROR(MATCH(A5267,Deals!$A$2:$A$843,0),"")</f>
        <v/>
      </c>
      <c r="G5267">
        <f>IF(F5267="",0,1)</f>
        <v/>
      </c>
      <c r="H5267" s="29">
        <f>IF(F5267="","",INDEX(Deals!$E$2:$E$843,F5267))</f>
        <v/>
      </c>
      <c r="I5267">
        <f>IF(F5267="","",INDEX(Deals!$D$2:$D$843,F5267))</f>
        <v/>
      </c>
      <c r="J5267">
        <f>IF(F5267="","",INT(H5267)-B5267)</f>
        <v/>
      </c>
      <c r="K5267">
        <f>IF(B5267&gt;=Settings!$C$5,1,0)</f>
        <v/>
      </c>
    </row>
    <row r="5268">
      <c r="A5268" t="inlineStr">
        <is>
          <t>e0bcbf50b9afa71ee130b94dfe8bcf2e</t>
        </is>
      </c>
      <c r="B5268" s="29" t="n">
        <v>43222</v>
      </c>
      <c r="C5268" t="inlineStr">
        <is>
          <t>2018-05</t>
        </is>
      </c>
      <c r="D5268" t="inlineStr">
        <is>
          <t>1ceb590cd1e00c7ee95220971f82693d</t>
        </is>
      </c>
      <c r="E5268" t="inlineStr">
        <is>
          <t>paid_search</t>
        </is>
      </c>
      <c r="F5268">
        <f>IFERROR(MATCH(A5268,Deals!$A$2:$A$843,0),"")</f>
        <v/>
      </c>
      <c r="G5268">
        <f>IF(F5268="",0,1)</f>
        <v/>
      </c>
      <c r="H5268" s="29">
        <f>IF(F5268="","",INDEX(Deals!$E$2:$E$843,F5268))</f>
        <v/>
      </c>
      <c r="I5268">
        <f>IF(F5268="","",INDEX(Deals!$D$2:$D$843,F5268))</f>
        <v/>
      </c>
      <c r="J5268">
        <f>IF(F5268="","",INT(H5268)-B5268)</f>
        <v/>
      </c>
      <c r="K5268">
        <f>IF(B5268&gt;=Settings!$C$5,1,0)</f>
        <v/>
      </c>
    </row>
    <row r="5269">
      <c r="A5269" t="inlineStr">
        <is>
          <t>17a65bb1dc56c1235d7ee8029c94408b</t>
        </is>
      </c>
      <c r="B5269" s="29" t="n">
        <v>43117</v>
      </c>
      <c r="C5269" t="inlineStr">
        <is>
          <t>2018-01</t>
        </is>
      </c>
      <c r="D5269" t="inlineStr">
        <is>
          <t>b6cd08ac77c501fd6857f7916d2c24f3</t>
        </is>
      </c>
      <c r="E5269" t="inlineStr">
        <is>
          <t>email</t>
        </is>
      </c>
      <c r="F5269">
        <f>IFERROR(MATCH(A5269,Deals!$A$2:$A$843,0),"")</f>
        <v/>
      </c>
      <c r="G5269">
        <f>IF(F5269="",0,1)</f>
        <v/>
      </c>
      <c r="H5269" s="29">
        <f>IF(F5269="","",INDEX(Deals!$E$2:$E$843,F5269))</f>
        <v/>
      </c>
      <c r="I5269">
        <f>IF(F5269="","",INDEX(Deals!$D$2:$D$843,F5269))</f>
        <v/>
      </c>
      <c r="J5269">
        <f>IF(F5269="","",INT(H5269)-B5269)</f>
        <v/>
      </c>
      <c r="K5269">
        <f>IF(B5269&gt;=Settings!$C$5,1,0)</f>
        <v/>
      </c>
    </row>
    <row r="5270">
      <c r="A5270" t="inlineStr">
        <is>
          <t>76cad25a83564610f23e26a317dd1570</t>
        </is>
      </c>
      <c r="B5270" s="29" t="n">
        <v>43192</v>
      </c>
      <c r="C5270" t="inlineStr">
        <is>
          <t>2018-04</t>
        </is>
      </c>
      <c r="D5270" t="inlineStr">
        <is>
          <t>ce1a65abd0973638f1c887a6efcfa82d</t>
        </is>
      </c>
      <c r="E5270" t="inlineStr">
        <is>
          <t>paid_search</t>
        </is>
      </c>
      <c r="F5270">
        <f>IFERROR(MATCH(A5270,Deals!$A$2:$A$843,0),"")</f>
        <v/>
      </c>
      <c r="G5270">
        <f>IF(F5270="",0,1)</f>
        <v/>
      </c>
      <c r="H5270" s="29">
        <f>IF(F5270="","",INDEX(Deals!$E$2:$E$843,F5270))</f>
        <v/>
      </c>
      <c r="I5270">
        <f>IF(F5270="","",INDEX(Deals!$D$2:$D$843,F5270))</f>
        <v/>
      </c>
      <c r="J5270">
        <f>IF(F5270="","",INT(H5270)-B5270)</f>
        <v/>
      </c>
      <c r="K5270">
        <f>IF(B5270&gt;=Settings!$C$5,1,0)</f>
        <v/>
      </c>
    </row>
    <row r="5271">
      <c r="A5271" t="inlineStr">
        <is>
          <t>5e54918976bb01299a2eca9319c229d4</t>
        </is>
      </c>
      <c r="B5271" s="29" t="n">
        <v>42947</v>
      </c>
      <c r="C5271" t="inlineStr">
        <is>
          <t>2017-07</t>
        </is>
      </c>
      <c r="D5271" t="inlineStr">
        <is>
          <t>e492ee5eaf1697716985cc6f33f9cd9b</t>
        </is>
      </c>
      <c r="E5271" t="inlineStr">
        <is>
          <t>unknown</t>
        </is>
      </c>
      <c r="F5271">
        <f>IFERROR(MATCH(A5271,Deals!$A$2:$A$843,0),"")</f>
        <v/>
      </c>
      <c r="G5271">
        <f>IF(F5271="",0,1)</f>
        <v/>
      </c>
      <c r="H5271" s="29">
        <f>IF(F5271="","",INDEX(Deals!$E$2:$E$843,F5271))</f>
        <v/>
      </c>
      <c r="I5271">
        <f>IF(F5271="","",INDEX(Deals!$D$2:$D$843,F5271))</f>
        <v/>
      </c>
      <c r="J5271">
        <f>IF(F5271="","",INT(H5271)-B5271)</f>
        <v/>
      </c>
      <c r="K5271">
        <f>IF(B5271&gt;=Settings!$C$5,1,0)</f>
        <v/>
      </c>
    </row>
    <row r="5272">
      <c r="A5272" t="inlineStr">
        <is>
          <t>3126ed973cbecde2bbffe419f139f456</t>
        </is>
      </c>
      <c r="B5272" s="29" t="n">
        <v>42922</v>
      </c>
      <c r="C5272" t="inlineStr">
        <is>
          <t>2017-07</t>
        </is>
      </c>
      <c r="D5272" t="inlineStr">
        <is>
          <t>c797693346e9dcf3275d3e40bc3ddc1d</t>
        </is>
      </c>
      <c r="E5272" t="inlineStr">
        <is>
          <t>organic_search</t>
        </is>
      </c>
      <c r="F5272">
        <f>IFERROR(MATCH(A5272,Deals!$A$2:$A$843,0),"")</f>
        <v/>
      </c>
      <c r="G5272">
        <f>IF(F5272="",0,1)</f>
        <v/>
      </c>
      <c r="H5272" s="29">
        <f>IF(F5272="","",INDEX(Deals!$E$2:$E$843,F5272))</f>
        <v/>
      </c>
      <c r="I5272">
        <f>IF(F5272="","",INDEX(Deals!$D$2:$D$843,F5272))</f>
        <v/>
      </c>
      <c r="J5272">
        <f>IF(F5272="","",INT(H5272)-B5272)</f>
        <v/>
      </c>
      <c r="K5272">
        <f>IF(B5272&gt;=Settings!$C$5,1,0)</f>
        <v/>
      </c>
    </row>
    <row r="5273">
      <c r="A5273" t="inlineStr">
        <is>
          <t>f1cf07543e16470e35037dad7c698dbc</t>
        </is>
      </c>
      <c r="B5273" s="29" t="n">
        <v>43150</v>
      </c>
      <c r="C5273" t="inlineStr">
        <is>
          <t>2018-02</t>
        </is>
      </c>
      <c r="D5273" t="inlineStr">
        <is>
          <t>40dec9f3d5259a3d2dbcdab2114fae47</t>
        </is>
      </c>
      <c r="E5273" t="inlineStr">
        <is>
          <t>organic_search</t>
        </is>
      </c>
      <c r="F5273">
        <f>IFERROR(MATCH(A5273,Deals!$A$2:$A$843,0),"")</f>
        <v/>
      </c>
      <c r="G5273">
        <f>IF(F5273="",0,1)</f>
        <v/>
      </c>
      <c r="H5273" s="29">
        <f>IF(F5273="","",INDEX(Deals!$E$2:$E$843,F5273))</f>
        <v/>
      </c>
      <c r="I5273">
        <f>IF(F5273="","",INDEX(Deals!$D$2:$D$843,F5273))</f>
        <v/>
      </c>
      <c r="J5273">
        <f>IF(F5273="","",INT(H5273)-B5273)</f>
        <v/>
      </c>
      <c r="K5273">
        <f>IF(B5273&gt;=Settings!$C$5,1,0)</f>
        <v/>
      </c>
    </row>
    <row r="5274">
      <c r="A5274" t="inlineStr">
        <is>
          <t>10d6786c2646e4ef82973b3045096882</t>
        </is>
      </c>
      <c r="B5274" s="29" t="n">
        <v>43222</v>
      </c>
      <c r="C5274" t="inlineStr">
        <is>
          <t>2018-05</t>
        </is>
      </c>
      <c r="D5274" t="inlineStr">
        <is>
          <t>58326e62183c14b0c03085c33b9fdc44</t>
        </is>
      </c>
      <c r="E5274" t="inlineStr">
        <is>
          <t>social</t>
        </is>
      </c>
      <c r="F5274">
        <f>IFERROR(MATCH(A5274,Deals!$A$2:$A$843,0),"")</f>
        <v/>
      </c>
      <c r="G5274">
        <f>IF(F5274="",0,1)</f>
        <v/>
      </c>
      <c r="H5274" s="29">
        <f>IF(F5274="","",INDEX(Deals!$E$2:$E$843,F5274))</f>
        <v/>
      </c>
      <c r="I5274">
        <f>IF(F5274="","",INDEX(Deals!$D$2:$D$843,F5274))</f>
        <v/>
      </c>
      <c r="J5274">
        <f>IF(F5274="","",INT(H5274)-B5274)</f>
        <v/>
      </c>
      <c r="K5274">
        <f>IF(B5274&gt;=Settings!$C$5,1,0)</f>
        <v/>
      </c>
    </row>
    <row r="5275">
      <c r="A5275" t="inlineStr">
        <is>
          <t>4f6d05f8bfb914f0b7d96bb3cc7f4bd0</t>
        </is>
      </c>
      <c r="B5275" s="29" t="n">
        <v>43151</v>
      </c>
      <c r="C5275" t="inlineStr">
        <is>
          <t>2018-02</t>
        </is>
      </c>
      <c r="D5275" t="inlineStr">
        <is>
          <t>88740e65d5d6b056e0cda098e1ea6313</t>
        </is>
      </c>
      <c r="E5275" t="inlineStr">
        <is>
          <t>social</t>
        </is>
      </c>
      <c r="F5275">
        <f>IFERROR(MATCH(A5275,Deals!$A$2:$A$843,0),"")</f>
        <v/>
      </c>
      <c r="G5275">
        <f>IF(F5275="",0,1)</f>
        <v/>
      </c>
      <c r="H5275" s="29">
        <f>IF(F5275="","",INDEX(Deals!$E$2:$E$843,F5275))</f>
        <v/>
      </c>
      <c r="I5275">
        <f>IF(F5275="","",INDEX(Deals!$D$2:$D$843,F5275))</f>
        <v/>
      </c>
      <c r="J5275">
        <f>IF(F5275="","",INT(H5275)-B5275)</f>
        <v/>
      </c>
      <c r="K5275">
        <f>IF(B5275&gt;=Settings!$C$5,1,0)</f>
        <v/>
      </c>
    </row>
    <row r="5276">
      <c r="A5276" t="inlineStr">
        <is>
          <t>ca66c4195dbebc6f59ceaf0e10629664</t>
        </is>
      </c>
      <c r="B5276" s="29" t="n">
        <v>42963</v>
      </c>
      <c r="C5276" t="inlineStr">
        <is>
          <t>2017-08</t>
        </is>
      </c>
      <c r="D5276" t="inlineStr">
        <is>
          <t>5209e2e679d32a6619feb6942702fd14</t>
        </is>
      </c>
      <c r="E5276" t="inlineStr">
        <is>
          <t>organic_search</t>
        </is>
      </c>
      <c r="F5276">
        <f>IFERROR(MATCH(A5276,Deals!$A$2:$A$843,0),"")</f>
        <v/>
      </c>
      <c r="G5276">
        <f>IF(F5276="",0,1)</f>
        <v/>
      </c>
      <c r="H5276" s="29">
        <f>IF(F5276="","",INDEX(Deals!$E$2:$E$843,F5276))</f>
        <v/>
      </c>
      <c r="I5276">
        <f>IF(F5276="","",INDEX(Deals!$D$2:$D$843,F5276))</f>
        <v/>
      </c>
      <c r="J5276">
        <f>IF(F5276="","",INT(H5276)-B5276)</f>
        <v/>
      </c>
      <c r="K5276">
        <f>IF(B5276&gt;=Settings!$C$5,1,0)</f>
        <v/>
      </c>
    </row>
    <row r="5277">
      <c r="A5277" t="inlineStr">
        <is>
          <t>77415b528feaea76b34180a6f6412e77</t>
        </is>
      </c>
      <c r="B5277" s="29" t="n">
        <v>43150</v>
      </c>
      <c r="C5277" t="inlineStr">
        <is>
          <t>2018-02</t>
        </is>
      </c>
      <c r="D5277" t="inlineStr">
        <is>
          <t>b76ef37428e6799c421989521c0e5077</t>
        </is>
      </c>
      <c r="E5277" t="inlineStr">
        <is>
          <t>unknown</t>
        </is>
      </c>
      <c r="F5277">
        <f>IFERROR(MATCH(A5277,Deals!$A$2:$A$843,0),"")</f>
        <v/>
      </c>
      <c r="G5277">
        <f>IF(F5277="",0,1)</f>
        <v/>
      </c>
      <c r="H5277" s="29">
        <f>IF(F5277="","",INDEX(Deals!$E$2:$E$843,F5277))</f>
        <v/>
      </c>
      <c r="I5277">
        <f>IF(F5277="","",INDEX(Deals!$D$2:$D$843,F5277))</f>
        <v/>
      </c>
      <c r="J5277">
        <f>IF(F5277="","",INT(H5277)-B5277)</f>
        <v/>
      </c>
      <c r="K5277">
        <f>IF(B5277&gt;=Settings!$C$5,1,0)</f>
        <v/>
      </c>
    </row>
    <row r="5278">
      <c r="A5278" t="inlineStr">
        <is>
          <t>79304cca1ad8a247a9bafffd5f4db436</t>
        </is>
      </c>
      <c r="B5278" s="29" t="n">
        <v>43137</v>
      </c>
      <c r="C5278" t="inlineStr">
        <is>
          <t>2018-02</t>
        </is>
      </c>
      <c r="D5278" t="inlineStr">
        <is>
          <t>40dec9f3d5259a3d2dbcdab2114fae47</t>
        </is>
      </c>
      <c r="E5278" t="inlineStr">
        <is>
          <t>organic_search</t>
        </is>
      </c>
      <c r="F5278">
        <f>IFERROR(MATCH(A5278,Deals!$A$2:$A$843,0),"")</f>
        <v/>
      </c>
      <c r="G5278">
        <f>IF(F5278="",0,1)</f>
        <v/>
      </c>
      <c r="H5278" s="29">
        <f>IF(F5278="","",INDEX(Deals!$E$2:$E$843,F5278))</f>
        <v/>
      </c>
      <c r="I5278">
        <f>IF(F5278="","",INDEX(Deals!$D$2:$D$843,F5278))</f>
        <v/>
      </c>
      <c r="J5278">
        <f>IF(F5278="","",INT(H5278)-B5278)</f>
        <v/>
      </c>
      <c r="K5278">
        <f>IF(B5278&gt;=Settings!$C$5,1,0)</f>
        <v/>
      </c>
    </row>
    <row r="5279">
      <c r="A5279" t="inlineStr">
        <is>
          <t>8999714b474171439f0c56236609a287</t>
        </is>
      </c>
      <c r="B5279" s="29" t="n">
        <v>43116</v>
      </c>
      <c r="C5279" t="inlineStr">
        <is>
          <t>2018-01</t>
        </is>
      </c>
      <c r="D5279" t="inlineStr">
        <is>
          <t>22c29808c4f815213303f8933030604c</t>
        </is>
      </c>
      <c r="E5279" t="inlineStr">
        <is>
          <t>organic_search</t>
        </is>
      </c>
      <c r="F5279">
        <f>IFERROR(MATCH(A5279,Deals!$A$2:$A$843,0),"")</f>
        <v/>
      </c>
      <c r="G5279">
        <f>IF(F5279="",0,1)</f>
        <v/>
      </c>
      <c r="H5279" s="29">
        <f>IF(F5279="","",INDEX(Deals!$E$2:$E$843,F5279))</f>
        <v/>
      </c>
      <c r="I5279">
        <f>IF(F5279="","",INDEX(Deals!$D$2:$D$843,F5279))</f>
        <v/>
      </c>
      <c r="J5279">
        <f>IF(F5279="","",INT(H5279)-B5279)</f>
        <v/>
      </c>
      <c r="K5279">
        <f>IF(B5279&gt;=Settings!$C$5,1,0)</f>
        <v/>
      </c>
    </row>
    <row r="5280">
      <c r="A5280" t="inlineStr">
        <is>
          <t>9f7c438b9d4f659aec9373c844e76d6e</t>
        </is>
      </c>
      <c r="B5280" s="29" t="n">
        <v>43173</v>
      </c>
      <c r="C5280" t="inlineStr">
        <is>
          <t>2018-03</t>
        </is>
      </c>
      <c r="D5280" t="inlineStr">
        <is>
          <t>88740e65d5d6b056e0cda098e1ea6313</t>
        </is>
      </c>
      <c r="E5280" t="inlineStr">
        <is>
          <t>social</t>
        </is>
      </c>
      <c r="F5280">
        <f>IFERROR(MATCH(A5280,Deals!$A$2:$A$843,0),"")</f>
        <v/>
      </c>
      <c r="G5280">
        <f>IF(F5280="",0,1)</f>
        <v/>
      </c>
      <c r="H5280" s="29">
        <f>IF(F5280="","",INDEX(Deals!$E$2:$E$843,F5280))</f>
        <v/>
      </c>
      <c r="I5280">
        <f>IF(F5280="","",INDEX(Deals!$D$2:$D$843,F5280))</f>
        <v/>
      </c>
      <c r="J5280">
        <f>IF(F5280="","",INT(H5280)-B5280)</f>
        <v/>
      </c>
      <c r="K5280">
        <f>IF(B5280&gt;=Settings!$C$5,1,0)</f>
        <v/>
      </c>
    </row>
    <row r="5281">
      <c r="A5281" t="inlineStr">
        <is>
          <t>de39ebd3184a468cd1659f2d8a6717ba</t>
        </is>
      </c>
      <c r="B5281" s="29" t="n">
        <v>43123</v>
      </c>
      <c r="C5281" t="inlineStr">
        <is>
          <t>2018-01</t>
        </is>
      </c>
      <c r="D5281" t="inlineStr">
        <is>
          <t>bddebc4f4d44106c427bd00695840e64</t>
        </is>
      </c>
      <c r="E5281" t="inlineStr">
        <is>
          <t>email</t>
        </is>
      </c>
      <c r="F5281">
        <f>IFERROR(MATCH(A5281,Deals!$A$2:$A$843,0),"")</f>
        <v/>
      </c>
      <c r="G5281">
        <f>IF(F5281="",0,1)</f>
        <v/>
      </c>
      <c r="H5281" s="29">
        <f>IF(F5281="","",INDEX(Deals!$E$2:$E$843,F5281))</f>
        <v/>
      </c>
      <c r="I5281">
        <f>IF(F5281="","",INDEX(Deals!$D$2:$D$843,F5281))</f>
        <v/>
      </c>
      <c r="J5281">
        <f>IF(F5281="","",INT(H5281)-B5281)</f>
        <v/>
      </c>
      <c r="K5281">
        <f>IF(B5281&gt;=Settings!$C$5,1,0)</f>
        <v/>
      </c>
    </row>
    <row r="5282">
      <c r="A5282" t="inlineStr">
        <is>
          <t>a2409913883bc192c1608d76c6a47596</t>
        </is>
      </c>
      <c r="B5282" s="29" t="n">
        <v>43117</v>
      </c>
      <c r="C5282" t="inlineStr">
        <is>
          <t>2018-01</t>
        </is>
      </c>
      <c r="D5282" t="inlineStr">
        <is>
          <t>0f7f8ed9a1db8fc2a42e273972db10d4</t>
        </is>
      </c>
      <c r="E5282" t="inlineStr">
        <is>
          <t>paid_search</t>
        </is>
      </c>
      <c r="F5282">
        <f>IFERROR(MATCH(A5282,Deals!$A$2:$A$843,0),"")</f>
        <v/>
      </c>
      <c r="G5282">
        <f>IF(F5282="",0,1)</f>
        <v/>
      </c>
      <c r="H5282" s="29">
        <f>IF(F5282="","",INDEX(Deals!$E$2:$E$843,F5282))</f>
        <v/>
      </c>
      <c r="I5282">
        <f>IF(F5282="","",INDEX(Deals!$D$2:$D$843,F5282))</f>
        <v/>
      </c>
      <c r="J5282">
        <f>IF(F5282="","",INT(H5282)-B5282)</f>
        <v/>
      </c>
      <c r="K5282">
        <f>IF(B5282&gt;=Settings!$C$5,1,0)</f>
        <v/>
      </c>
    </row>
    <row r="5283">
      <c r="A5283" t="inlineStr">
        <is>
          <t>323799e616cdbe8f6d89d6a253e8f0fc</t>
        </is>
      </c>
      <c r="B5283" s="29" t="n">
        <v>43155</v>
      </c>
      <c r="C5283" t="inlineStr">
        <is>
          <t>2018-02</t>
        </is>
      </c>
      <c r="D5283" t="inlineStr">
        <is>
          <t>0218f6be0b76aca72ab4d00ee9e8cf10</t>
        </is>
      </c>
      <c r="E5283" t="inlineStr">
        <is>
          <t>organic_search</t>
        </is>
      </c>
      <c r="F5283">
        <f>IFERROR(MATCH(A5283,Deals!$A$2:$A$843,0),"")</f>
        <v/>
      </c>
      <c r="G5283">
        <f>IF(F5283="",0,1)</f>
        <v/>
      </c>
      <c r="H5283" s="29">
        <f>IF(F5283="","",INDEX(Deals!$E$2:$E$843,F5283))</f>
        <v/>
      </c>
      <c r="I5283">
        <f>IF(F5283="","",INDEX(Deals!$D$2:$D$843,F5283))</f>
        <v/>
      </c>
      <c r="J5283">
        <f>IF(F5283="","",INT(H5283)-B5283)</f>
        <v/>
      </c>
      <c r="K5283">
        <f>IF(B5283&gt;=Settings!$C$5,1,0)</f>
        <v/>
      </c>
    </row>
    <row r="5284">
      <c r="A5284" t="inlineStr">
        <is>
          <t>02dbe7f07a799718d80ddf18d709bdc2</t>
        </is>
      </c>
      <c r="B5284" s="29" t="n">
        <v>43104</v>
      </c>
      <c r="C5284" t="inlineStr">
        <is>
          <t>2018-01</t>
        </is>
      </c>
      <c r="D5284" t="inlineStr">
        <is>
          <t>a7982125ff7aa3b2054c6e44f9d28522</t>
        </is>
      </c>
      <c r="E5284" t="inlineStr">
        <is>
          <t>organic_search</t>
        </is>
      </c>
      <c r="F5284">
        <f>IFERROR(MATCH(A5284,Deals!$A$2:$A$843,0),"")</f>
        <v/>
      </c>
      <c r="G5284">
        <f>IF(F5284="",0,1)</f>
        <v/>
      </c>
      <c r="H5284" s="29">
        <f>IF(F5284="","",INDEX(Deals!$E$2:$E$843,F5284))</f>
        <v/>
      </c>
      <c r="I5284">
        <f>IF(F5284="","",INDEX(Deals!$D$2:$D$843,F5284))</f>
        <v/>
      </c>
      <c r="J5284">
        <f>IF(F5284="","",INT(H5284)-B5284)</f>
        <v/>
      </c>
      <c r="K5284">
        <f>IF(B5284&gt;=Settings!$C$5,1,0)</f>
        <v/>
      </c>
    </row>
    <row r="5285">
      <c r="A5285" t="inlineStr">
        <is>
          <t>da4e7a3d424c98f7377e21cd7a4290bc</t>
        </is>
      </c>
      <c r="B5285" s="29" t="n">
        <v>43239</v>
      </c>
      <c r="C5285" t="inlineStr">
        <is>
          <t>2018-05</t>
        </is>
      </c>
      <c r="D5285" t="inlineStr">
        <is>
          <t>f017be4dbf86243af5c1ebed0cff36a2</t>
        </is>
      </c>
      <c r="E5285" t="inlineStr">
        <is>
          <t>organic_search</t>
        </is>
      </c>
      <c r="F5285">
        <f>IFERROR(MATCH(A5285,Deals!$A$2:$A$843,0),"")</f>
        <v/>
      </c>
      <c r="G5285">
        <f>IF(F5285="",0,1)</f>
        <v/>
      </c>
      <c r="H5285" s="29">
        <f>IF(F5285="","",INDEX(Deals!$E$2:$E$843,F5285))</f>
        <v/>
      </c>
      <c r="I5285">
        <f>IF(F5285="","",INDEX(Deals!$D$2:$D$843,F5285))</f>
        <v/>
      </c>
      <c r="J5285">
        <f>IF(F5285="","",INT(H5285)-B5285)</f>
        <v/>
      </c>
      <c r="K5285">
        <f>IF(B5285&gt;=Settings!$C$5,1,0)</f>
        <v/>
      </c>
    </row>
    <row r="5286">
      <c r="A5286" t="inlineStr">
        <is>
          <t>333ffbae24dd36c1f85aa502b337048a</t>
        </is>
      </c>
      <c r="B5286" s="29" t="n">
        <v>43137</v>
      </c>
      <c r="C5286" t="inlineStr">
        <is>
          <t>2018-02</t>
        </is>
      </c>
      <c r="D5286" t="inlineStr">
        <is>
          <t>b48ec5f3b04e9068441002a19df93c6c</t>
        </is>
      </c>
      <c r="E5286" t="inlineStr">
        <is>
          <t>referral</t>
        </is>
      </c>
      <c r="F5286">
        <f>IFERROR(MATCH(A5286,Deals!$A$2:$A$843,0),"")</f>
        <v/>
      </c>
      <c r="G5286">
        <f>IF(F5286="",0,1)</f>
        <v/>
      </c>
      <c r="H5286" s="29">
        <f>IF(F5286="","",INDEX(Deals!$E$2:$E$843,F5286))</f>
        <v/>
      </c>
      <c r="I5286">
        <f>IF(F5286="","",INDEX(Deals!$D$2:$D$843,F5286))</f>
        <v/>
      </c>
      <c r="J5286">
        <f>IF(F5286="","",INT(H5286)-B5286)</f>
        <v/>
      </c>
      <c r="K5286">
        <f>IF(B5286&gt;=Settings!$C$5,1,0)</f>
        <v/>
      </c>
    </row>
    <row r="5287">
      <c r="A5287" t="inlineStr">
        <is>
          <t>b0ddd82af1b4a1bf5ae1fa5befbcb4e2</t>
        </is>
      </c>
      <c r="B5287" s="29" t="n">
        <v>43222</v>
      </c>
      <c r="C5287" t="inlineStr">
        <is>
          <t>2018-05</t>
        </is>
      </c>
      <c r="D5287" t="inlineStr">
        <is>
          <t>40dec9f3d5259a3d2dbcdab2114fae47</t>
        </is>
      </c>
      <c r="E5287" t="inlineStr">
        <is>
          <t>paid_search</t>
        </is>
      </c>
      <c r="F5287">
        <f>IFERROR(MATCH(A5287,Deals!$A$2:$A$843,0),"")</f>
        <v/>
      </c>
      <c r="G5287">
        <f>IF(F5287="",0,1)</f>
        <v/>
      </c>
      <c r="H5287" s="29">
        <f>IF(F5287="","",INDEX(Deals!$E$2:$E$843,F5287))</f>
        <v/>
      </c>
      <c r="I5287">
        <f>IF(F5287="","",INDEX(Deals!$D$2:$D$843,F5287))</f>
        <v/>
      </c>
      <c r="J5287">
        <f>IF(F5287="","",INT(H5287)-B5287)</f>
        <v/>
      </c>
      <c r="K5287">
        <f>IF(B5287&gt;=Settings!$C$5,1,0)</f>
        <v/>
      </c>
    </row>
    <row r="5288">
      <c r="A5288" t="inlineStr">
        <is>
          <t>fbfe09ef251ad45dc509c7b26134e0f3</t>
        </is>
      </c>
      <c r="B5288" s="29" t="n">
        <v>43097</v>
      </c>
      <c r="C5288" t="inlineStr">
        <is>
          <t>2017-12</t>
        </is>
      </c>
      <c r="D5288" t="inlineStr">
        <is>
          <t>4e82dd1f6d00626bda0723eef0a269a6</t>
        </is>
      </c>
      <c r="E5288" t="inlineStr">
        <is>
          <t>organic_search</t>
        </is>
      </c>
      <c r="F5288">
        <f>IFERROR(MATCH(A5288,Deals!$A$2:$A$843,0),"")</f>
        <v/>
      </c>
      <c r="G5288">
        <f>IF(F5288="",0,1)</f>
        <v/>
      </c>
      <c r="H5288" s="29">
        <f>IF(F5288="","",INDEX(Deals!$E$2:$E$843,F5288))</f>
        <v/>
      </c>
      <c r="I5288">
        <f>IF(F5288="","",INDEX(Deals!$D$2:$D$843,F5288))</f>
        <v/>
      </c>
      <c r="J5288">
        <f>IF(F5288="","",INT(H5288)-B5288)</f>
        <v/>
      </c>
      <c r="K5288">
        <f>IF(B5288&gt;=Settings!$C$5,1,0)</f>
        <v/>
      </c>
    </row>
    <row r="5289">
      <c r="A5289" t="inlineStr">
        <is>
          <t>66bbaf00db5e8dd5bc97b3642ec84aa3</t>
        </is>
      </c>
      <c r="B5289" s="29" t="n">
        <v>43094</v>
      </c>
      <c r="C5289" t="inlineStr">
        <is>
          <t>2017-12</t>
        </is>
      </c>
      <c r="D5289" t="inlineStr">
        <is>
          <t>872eb32141128a5320bfe7b8cf80fc14</t>
        </is>
      </c>
      <c r="E5289" t="inlineStr">
        <is>
          <t>organic_search</t>
        </is>
      </c>
      <c r="F5289">
        <f>IFERROR(MATCH(A5289,Deals!$A$2:$A$843,0),"")</f>
        <v/>
      </c>
      <c r="G5289">
        <f>IF(F5289="",0,1)</f>
        <v/>
      </c>
      <c r="H5289" s="29">
        <f>IF(F5289="","",INDEX(Deals!$E$2:$E$843,F5289))</f>
        <v/>
      </c>
      <c r="I5289">
        <f>IF(F5289="","",INDEX(Deals!$D$2:$D$843,F5289))</f>
        <v/>
      </c>
      <c r="J5289">
        <f>IF(F5289="","",INT(H5289)-B5289)</f>
        <v/>
      </c>
      <c r="K5289">
        <f>IF(B5289&gt;=Settings!$C$5,1,0)</f>
        <v/>
      </c>
    </row>
    <row r="5290">
      <c r="A5290" t="inlineStr">
        <is>
          <t>d3102a0b7413aa55427210bbd83624b4</t>
        </is>
      </c>
      <c r="B5290" s="29" t="n">
        <v>42990</v>
      </c>
      <c r="C5290" t="inlineStr">
        <is>
          <t>2017-09</t>
        </is>
      </c>
      <c r="D5290" t="inlineStr">
        <is>
          <t>7fa6214d82e911d070f51ef79381b956</t>
        </is>
      </c>
      <c r="E5290" t="inlineStr">
        <is>
          <t>paid_search</t>
        </is>
      </c>
      <c r="F5290">
        <f>IFERROR(MATCH(A5290,Deals!$A$2:$A$843,0),"")</f>
        <v/>
      </c>
      <c r="G5290">
        <f>IF(F5290="",0,1)</f>
        <v/>
      </c>
      <c r="H5290" s="29">
        <f>IF(F5290="","",INDEX(Deals!$E$2:$E$843,F5290))</f>
        <v/>
      </c>
      <c r="I5290">
        <f>IF(F5290="","",INDEX(Deals!$D$2:$D$843,F5290))</f>
        <v/>
      </c>
      <c r="J5290">
        <f>IF(F5290="","",INT(H5290)-B5290)</f>
        <v/>
      </c>
      <c r="K5290">
        <f>IF(B5290&gt;=Settings!$C$5,1,0)</f>
        <v/>
      </c>
    </row>
    <row r="5291">
      <c r="A5291" t="inlineStr">
        <is>
          <t>bcc31518de70244c0f9384837d9711ab</t>
        </is>
      </c>
      <c r="B5291" s="29" t="n">
        <v>43238</v>
      </c>
      <c r="C5291" t="inlineStr">
        <is>
          <t>2018-05</t>
        </is>
      </c>
      <c r="D5291" t="inlineStr">
        <is>
          <t>58326e62183c14b0c03085c33b9fdc44</t>
        </is>
      </c>
      <c r="E5291" t="inlineStr">
        <is>
          <t>social</t>
        </is>
      </c>
      <c r="F5291">
        <f>IFERROR(MATCH(A5291,Deals!$A$2:$A$843,0),"")</f>
        <v/>
      </c>
      <c r="G5291">
        <f>IF(F5291="",0,1)</f>
        <v/>
      </c>
      <c r="H5291" s="29">
        <f>IF(F5291="","",INDEX(Deals!$E$2:$E$843,F5291))</f>
        <v/>
      </c>
      <c r="I5291">
        <f>IF(F5291="","",INDEX(Deals!$D$2:$D$843,F5291))</f>
        <v/>
      </c>
      <c r="J5291">
        <f>IF(F5291="","",INT(H5291)-B5291)</f>
        <v/>
      </c>
      <c r="K5291">
        <f>IF(B5291&gt;=Settings!$C$5,1,0)</f>
        <v/>
      </c>
    </row>
    <row r="5292">
      <c r="A5292" t="inlineStr">
        <is>
          <t>6779d89e3553395a637e71a098d2f2b4</t>
        </is>
      </c>
      <c r="B5292" s="29" t="n">
        <v>43229</v>
      </c>
      <c r="C5292" t="inlineStr">
        <is>
          <t>2018-05</t>
        </is>
      </c>
      <c r="D5292" t="inlineStr">
        <is>
          <t>f017be4dbf86243af5c1ebed0cff36a2</t>
        </is>
      </c>
      <c r="E5292" t="inlineStr">
        <is>
          <t>social</t>
        </is>
      </c>
      <c r="F5292">
        <f>IFERROR(MATCH(A5292,Deals!$A$2:$A$843,0),"")</f>
        <v/>
      </c>
      <c r="G5292">
        <f>IF(F5292="",0,1)</f>
        <v/>
      </c>
      <c r="H5292" s="29">
        <f>IF(F5292="","",INDEX(Deals!$E$2:$E$843,F5292))</f>
        <v/>
      </c>
      <c r="I5292">
        <f>IF(F5292="","",INDEX(Deals!$D$2:$D$843,F5292))</f>
        <v/>
      </c>
      <c r="J5292">
        <f>IF(F5292="","",INT(H5292)-B5292)</f>
        <v/>
      </c>
      <c r="K5292">
        <f>IF(B5292&gt;=Settings!$C$5,1,0)</f>
        <v/>
      </c>
    </row>
    <row r="5293">
      <c r="A5293" t="inlineStr">
        <is>
          <t>6dd030ecc832c390a38db3f42c9506dd</t>
        </is>
      </c>
      <c r="B5293" s="29" t="n">
        <v>43225</v>
      </c>
      <c r="C5293" t="inlineStr">
        <is>
          <t>2018-05</t>
        </is>
      </c>
      <c r="D5293" t="inlineStr">
        <is>
          <t>58326e62183c14b0c03085c33b9fdc44</t>
        </is>
      </c>
      <c r="E5293" t="inlineStr">
        <is>
          <t>social</t>
        </is>
      </c>
      <c r="F5293">
        <f>IFERROR(MATCH(A5293,Deals!$A$2:$A$843,0),"")</f>
        <v/>
      </c>
      <c r="G5293">
        <f>IF(F5293="",0,1)</f>
        <v/>
      </c>
      <c r="H5293" s="29">
        <f>IF(F5293="","",INDEX(Deals!$E$2:$E$843,F5293))</f>
        <v/>
      </c>
      <c r="I5293">
        <f>IF(F5293="","",INDEX(Deals!$D$2:$D$843,F5293))</f>
        <v/>
      </c>
      <c r="J5293">
        <f>IF(F5293="","",INT(H5293)-B5293)</f>
        <v/>
      </c>
      <c r="K5293">
        <f>IF(B5293&gt;=Settings!$C$5,1,0)</f>
        <v/>
      </c>
    </row>
    <row r="5294">
      <c r="A5294" t="inlineStr">
        <is>
          <t>b04f5f73d6b998d82b2a855eaad77fad</t>
        </is>
      </c>
      <c r="B5294" s="29" t="n">
        <v>43157</v>
      </c>
      <c r="C5294" t="inlineStr">
        <is>
          <t>2018-02</t>
        </is>
      </c>
      <c r="D5294" t="inlineStr">
        <is>
          <t>b76ef37428e6799c421989521c0e5077</t>
        </is>
      </c>
      <c r="E5294" t="inlineStr">
        <is>
          <t>unknown</t>
        </is>
      </c>
      <c r="F5294">
        <f>IFERROR(MATCH(A5294,Deals!$A$2:$A$843,0),"")</f>
        <v/>
      </c>
      <c r="G5294">
        <f>IF(F5294="",0,1)</f>
        <v/>
      </c>
      <c r="H5294" s="29">
        <f>IF(F5294="","",INDEX(Deals!$E$2:$E$843,F5294))</f>
        <v/>
      </c>
      <c r="I5294">
        <f>IF(F5294="","",INDEX(Deals!$D$2:$D$843,F5294))</f>
        <v/>
      </c>
      <c r="J5294">
        <f>IF(F5294="","",INT(H5294)-B5294)</f>
        <v/>
      </c>
      <c r="K5294">
        <f>IF(B5294&gt;=Settings!$C$5,1,0)</f>
        <v/>
      </c>
    </row>
    <row r="5295">
      <c r="A5295" t="inlineStr">
        <is>
          <t>dc4851f871abe517bd3c0ac7a804af33</t>
        </is>
      </c>
      <c r="B5295" s="29" t="n">
        <v>43222</v>
      </c>
      <c r="C5295" t="inlineStr">
        <is>
          <t>2018-05</t>
        </is>
      </c>
      <c r="D5295" t="inlineStr">
        <is>
          <t>bfd05fa9f9fe2aedee539951a84f2aaf</t>
        </is>
      </c>
      <c r="E5295" t="inlineStr">
        <is>
          <t>unknown</t>
        </is>
      </c>
      <c r="F5295">
        <f>IFERROR(MATCH(A5295,Deals!$A$2:$A$843,0),"")</f>
        <v/>
      </c>
      <c r="G5295">
        <f>IF(F5295="",0,1)</f>
        <v/>
      </c>
      <c r="H5295" s="29">
        <f>IF(F5295="","",INDEX(Deals!$E$2:$E$843,F5295))</f>
        <v/>
      </c>
      <c r="I5295">
        <f>IF(F5295="","",INDEX(Deals!$D$2:$D$843,F5295))</f>
        <v/>
      </c>
      <c r="J5295">
        <f>IF(F5295="","",INT(H5295)-B5295)</f>
        <v/>
      </c>
      <c r="K5295">
        <f>IF(B5295&gt;=Settings!$C$5,1,0)</f>
        <v/>
      </c>
    </row>
    <row r="5296">
      <c r="A5296" t="inlineStr">
        <is>
          <t>7f61d36c9a87ccb4776231dd48d45a79</t>
        </is>
      </c>
      <c r="B5296" s="29" t="n">
        <v>43007</v>
      </c>
      <c r="C5296" t="inlineStr">
        <is>
          <t>2017-09</t>
        </is>
      </c>
      <c r="D5296" t="inlineStr">
        <is>
          <t>ef0b482996664cc1107b9051efd3ca84</t>
        </is>
      </c>
      <c r="E5296" t="inlineStr">
        <is>
          <t>organic_search</t>
        </is>
      </c>
      <c r="F5296">
        <f>IFERROR(MATCH(A5296,Deals!$A$2:$A$843,0),"")</f>
        <v/>
      </c>
      <c r="G5296">
        <f>IF(F5296="",0,1)</f>
        <v/>
      </c>
      <c r="H5296" s="29">
        <f>IF(F5296="","",INDEX(Deals!$E$2:$E$843,F5296))</f>
        <v/>
      </c>
      <c r="I5296">
        <f>IF(F5296="","",INDEX(Deals!$D$2:$D$843,F5296))</f>
        <v/>
      </c>
      <c r="J5296">
        <f>IF(F5296="","",INT(H5296)-B5296)</f>
        <v/>
      </c>
      <c r="K5296">
        <f>IF(B5296&gt;=Settings!$C$5,1,0)</f>
        <v/>
      </c>
    </row>
    <row r="5297">
      <c r="A5297" t="inlineStr">
        <is>
          <t>73114de8de57de8cafafd3774143a5e0</t>
        </is>
      </c>
      <c r="B5297" s="29" t="n">
        <v>43241</v>
      </c>
      <c r="C5297" t="inlineStr">
        <is>
          <t>2018-05</t>
        </is>
      </c>
      <c r="D5297" t="inlineStr">
        <is>
          <t>ce1a65abd0973638f1c887a6efcfa82d</t>
        </is>
      </c>
      <c r="E5297" t="inlineStr">
        <is>
          <t>organic_search</t>
        </is>
      </c>
      <c r="F5297">
        <f>IFERROR(MATCH(A5297,Deals!$A$2:$A$843,0),"")</f>
        <v/>
      </c>
      <c r="G5297">
        <f>IF(F5297="",0,1)</f>
        <v/>
      </c>
      <c r="H5297" s="29">
        <f>IF(F5297="","",INDEX(Deals!$E$2:$E$843,F5297))</f>
        <v/>
      </c>
      <c r="I5297">
        <f>IF(F5297="","",INDEX(Deals!$D$2:$D$843,F5297))</f>
        <v/>
      </c>
      <c r="J5297">
        <f>IF(F5297="","",INT(H5297)-B5297)</f>
        <v/>
      </c>
      <c r="K5297">
        <f>IF(B5297&gt;=Settings!$C$5,1,0)</f>
        <v/>
      </c>
    </row>
    <row r="5298">
      <c r="A5298" t="inlineStr">
        <is>
          <t>ede3df7da703d016ab211fe67a60c65b</t>
        </is>
      </c>
      <c r="B5298" s="29" t="n">
        <v>43197</v>
      </c>
      <c r="C5298" t="inlineStr">
        <is>
          <t>2018-04</t>
        </is>
      </c>
      <c r="D5298" t="inlineStr">
        <is>
          <t>a7982125ff7aa3b2054c6e44f9d28522</t>
        </is>
      </c>
      <c r="E5298" t="inlineStr">
        <is>
          <t>referral</t>
        </is>
      </c>
      <c r="F5298">
        <f>IFERROR(MATCH(A5298,Deals!$A$2:$A$843,0),"")</f>
        <v/>
      </c>
      <c r="G5298">
        <f>IF(F5298="",0,1)</f>
        <v/>
      </c>
      <c r="H5298" s="29">
        <f>IF(F5298="","",INDEX(Deals!$E$2:$E$843,F5298))</f>
        <v/>
      </c>
      <c r="I5298">
        <f>IF(F5298="","",INDEX(Deals!$D$2:$D$843,F5298))</f>
        <v/>
      </c>
      <c r="J5298">
        <f>IF(F5298="","",INT(H5298)-B5298)</f>
        <v/>
      </c>
      <c r="K5298">
        <f>IF(B5298&gt;=Settings!$C$5,1,0)</f>
        <v/>
      </c>
    </row>
    <row r="5299">
      <c r="A5299" t="inlineStr">
        <is>
          <t>c43ccefdf21cc037c57d54db312648ff</t>
        </is>
      </c>
      <c r="B5299" s="29" t="n">
        <v>43163</v>
      </c>
      <c r="C5299" t="inlineStr">
        <is>
          <t>2018-03</t>
        </is>
      </c>
      <c r="D5299" t="inlineStr">
        <is>
          <t>88740e65d5d6b056e0cda098e1ea6313</t>
        </is>
      </c>
      <c r="E5299" t="inlineStr">
        <is>
          <t>direct_traffic</t>
        </is>
      </c>
      <c r="F5299">
        <f>IFERROR(MATCH(A5299,Deals!$A$2:$A$843,0),"")</f>
        <v/>
      </c>
      <c r="G5299">
        <f>IF(F5299="",0,1)</f>
        <v/>
      </c>
      <c r="H5299" s="29">
        <f>IF(F5299="","",INDEX(Deals!$E$2:$E$843,F5299))</f>
        <v/>
      </c>
      <c r="I5299">
        <f>IF(F5299="","",INDEX(Deals!$D$2:$D$843,F5299))</f>
        <v/>
      </c>
      <c r="J5299">
        <f>IF(F5299="","",INT(H5299)-B5299)</f>
        <v/>
      </c>
      <c r="K5299">
        <f>IF(B5299&gt;=Settings!$C$5,1,0)</f>
        <v/>
      </c>
    </row>
    <row r="5300">
      <c r="A5300" t="inlineStr">
        <is>
          <t>d8bbc05a9852cf8c785e2b05c5ba1bd9</t>
        </is>
      </c>
      <c r="B5300" s="29" t="n">
        <v>43140</v>
      </c>
      <c r="C5300" t="inlineStr">
        <is>
          <t>2018-02</t>
        </is>
      </c>
      <c r="D5300" t="inlineStr">
        <is>
          <t>da14b7e2eb0d1eecf65abbd05a31c87d</t>
        </is>
      </c>
      <c r="E5300" t="inlineStr">
        <is>
          <t>unknown</t>
        </is>
      </c>
      <c r="F5300">
        <f>IFERROR(MATCH(A5300,Deals!$A$2:$A$843,0),"")</f>
        <v/>
      </c>
      <c r="G5300">
        <f>IF(F5300="",0,1)</f>
        <v/>
      </c>
      <c r="H5300" s="29">
        <f>IF(F5300="","",INDEX(Deals!$E$2:$E$843,F5300))</f>
        <v/>
      </c>
      <c r="I5300">
        <f>IF(F5300="","",INDEX(Deals!$D$2:$D$843,F5300))</f>
        <v/>
      </c>
      <c r="J5300">
        <f>IF(F5300="","",INT(H5300)-B5300)</f>
        <v/>
      </c>
      <c r="K5300">
        <f>IF(B5300&gt;=Settings!$C$5,1,0)</f>
        <v/>
      </c>
    </row>
    <row r="5301">
      <c r="A5301" t="inlineStr">
        <is>
          <t>459bc85d62c7e83fbb52f033e06a8f75</t>
        </is>
      </c>
      <c r="B5301" s="29" t="n">
        <v>43174</v>
      </c>
      <c r="C5301" t="inlineStr">
        <is>
          <t>2018-03</t>
        </is>
      </c>
      <c r="D5301" t="inlineStr">
        <is>
          <t>88740e65d5d6b056e0cda098e1ea6313</t>
        </is>
      </c>
      <c r="E5301" t="inlineStr">
        <is>
          <t>paid_search</t>
        </is>
      </c>
      <c r="F5301">
        <f>IFERROR(MATCH(A5301,Deals!$A$2:$A$843,0),"")</f>
        <v/>
      </c>
      <c r="G5301">
        <f>IF(F5301="",0,1)</f>
        <v/>
      </c>
      <c r="H5301" s="29">
        <f>IF(F5301="","",INDEX(Deals!$E$2:$E$843,F5301))</f>
        <v/>
      </c>
      <c r="I5301">
        <f>IF(F5301="","",INDEX(Deals!$D$2:$D$843,F5301))</f>
        <v/>
      </c>
      <c r="J5301">
        <f>IF(F5301="","",INT(H5301)-B5301)</f>
        <v/>
      </c>
      <c r="K5301">
        <f>IF(B5301&gt;=Settings!$C$5,1,0)</f>
        <v/>
      </c>
    </row>
    <row r="5302">
      <c r="A5302" t="inlineStr">
        <is>
          <t>0527dc6a05a520c0123d58da521a4a36</t>
        </is>
      </c>
      <c r="B5302" s="29" t="n">
        <v>43250</v>
      </c>
      <c r="C5302" t="inlineStr">
        <is>
          <t>2018-05</t>
        </is>
      </c>
      <c r="D5302" t="inlineStr">
        <is>
          <t>bddebc4f4d44106c427bd00695840e64</t>
        </is>
      </c>
      <c r="E5302" t="inlineStr">
        <is>
          <t>email</t>
        </is>
      </c>
      <c r="F5302">
        <f>IFERROR(MATCH(A5302,Deals!$A$2:$A$843,0),"")</f>
        <v/>
      </c>
      <c r="G5302">
        <f>IF(F5302="",0,1)</f>
        <v/>
      </c>
      <c r="H5302" s="29">
        <f>IF(F5302="","",INDEX(Deals!$E$2:$E$843,F5302))</f>
        <v/>
      </c>
      <c r="I5302">
        <f>IF(F5302="","",INDEX(Deals!$D$2:$D$843,F5302))</f>
        <v/>
      </c>
      <c r="J5302">
        <f>IF(F5302="","",INT(H5302)-B5302)</f>
        <v/>
      </c>
      <c r="K5302">
        <f>IF(B5302&gt;=Settings!$C$5,1,0)</f>
        <v/>
      </c>
    </row>
    <row r="5303">
      <c r="A5303" t="inlineStr">
        <is>
          <t>d75f0f0ebe4e61ae28331c574dca08b8</t>
        </is>
      </c>
      <c r="B5303" s="29" t="n">
        <v>43141</v>
      </c>
      <c r="C5303" t="inlineStr">
        <is>
          <t>2018-02</t>
        </is>
      </c>
      <c r="D5303" t="inlineStr">
        <is>
          <t>e492ee5eaf1697716985cc6f33f9cd9b</t>
        </is>
      </c>
      <c r="E5303" t="inlineStr">
        <is>
          <t>organic_search</t>
        </is>
      </c>
      <c r="F5303">
        <f>IFERROR(MATCH(A5303,Deals!$A$2:$A$843,0),"")</f>
        <v/>
      </c>
      <c r="G5303">
        <f>IF(F5303="",0,1)</f>
        <v/>
      </c>
      <c r="H5303" s="29">
        <f>IF(F5303="","",INDEX(Deals!$E$2:$E$843,F5303))</f>
        <v/>
      </c>
      <c r="I5303">
        <f>IF(F5303="","",INDEX(Deals!$D$2:$D$843,F5303))</f>
        <v/>
      </c>
      <c r="J5303">
        <f>IF(F5303="","",INT(H5303)-B5303)</f>
        <v/>
      </c>
      <c r="K5303">
        <f>IF(B5303&gt;=Settings!$C$5,1,0)</f>
        <v/>
      </c>
    </row>
    <row r="5304">
      <c r="A5304" t="inlineStr">
        <is>
          <t>fa6b306b0ee936fbef3a4c542f3aa896</t>
        </is>
      </c>
      <c r="B5304" s="29" t="n">
        <v>43117</v>
      </c>
      <c r="C5304" t="inlineStr">
        <is>
          <t>2018-01</t>
        </is>
      </c>
      <c r="D5304" t="inlineStr">
        <is>
          <t>57d5edb1844a746128fd1274524b94c7</t>
        </is>
      </c>
      <c r="E5304" t="inlineStr">
        <is>
          <t>organic_search</t>
        </is>
      </c>
      <c r="F5304">
        <f>IFERROR(MATCH(A5304,Deals!$A$2:$A$843,0),"")</f>
        <v/>
      </c>
      <c r="G5304">
        <f>IF(F5304="",0,1)</f>
        <v/>
      </c>
      <c r="H5304" s="29">
        <f>IF(F5304="","",INDEX(Deals!$E$2:$E$843,F5304))</f>
        <v/>
      </c>
      <c r="I5304">
        <f>IF(F5304="","",INDEX(Deals!$D$2:$D$843,F5304))</f>
        <v/>
      </c>
      <c r="J5304">
        <f>IF(F5304="","",INT(H5304)-B5304)</f>
        <v/>
      </c>
      <c r="K5304">
        <f>IF(B5304&gt;=Settings!$C$5,1,0)</f>
        <v/>
      </c>
    </row>
    <row r="5305">
      <c r="A5305" t="inlineStr">
        <is>
          <t>18b16aa4f6882ecd819ad38f21394925</t>
        </is>
      </c>
      <c r="B5305" s="29" t="n">
        <v>43217</v>
      </c>
      <c r="C5305" t="inlineStr">
        <is>
          <t>2018-04</t>
        </is>
      </c>
      <c r="D5305" t="inlineStr">
        <is>
          <t>b6168f7cc29e9a2b6d9e82df0e668a87</t>
        </is>
      </c>
      <c r="E5305" t="inlineStr">
        <is>
          <t>organic_search</t>
        </is>
      </c>
      <c r="F5305">
        <f>IFERROR(MATCH(A5305,Deals!$A$2:$A$843,0),"")</f>
        <v/>
      </c>
      <c r="G5305">
        <f>IF(F5305="",0,1)</f>
        <v/>
      </c>
      <c r="H5305" s="29">
        <f>IF(F5305="","",INDEX(Deals!$E$2:$E$843,F5305))</f>
        <v/>
      </c>
      <c r="I5305">
        <f>IF(F5305="","",INDEX(Deals!$D$2:$D$843,F5305))</f>
        <v/>
      </c>
      <c r="J5305">
        <f>IF(F5305="","",INT(H5305)-B5305)</f>
        <v/>
      </c>
      <c r="K5305">
        <f>IF(B5305&gt;=Settings!$C$5,1,0)</f>
        <v/>
      </c>
    </row>
    <row r="5306">
      <c r="A5306" t="inlineStr">
        <is>
          <t>afe1500653ec682b3ce7e0b9f39bed89</t>
        </is>
      </c>
      <c r="B5306" s="29" t="n">
        <v>43151</v>
      </c>
      <c r="C5306" t="inlineStr">
        <is>
          <t>2018-02</t>
        </is>
      </c>
      <c r="D5306" t="inlineStr">
        <is>
          <t>40dec9f3d5259a3d2dbcdab2114fae47</t>
        </is>
      </c>
      <c r="E5306" t="inlineStr">
        <is>
          <t>organic_search</t>
        </is>
      </c>
      <c r="F5306">
        <f>IFERROR(MATCH(A5306,Deals!$A$2:$A$843,0),"")</f>
        <v/>
      </c>
      <c r="G5306">
        <f>IF(F5306="",0,1)</f>
        <v/>
      </c>
      <c r="H5306" s="29">
        <f>IF(F5306="","",INDEX(Deals!$E$2:$E$843,F5306))</f>
        <v/>
      </c>
      <c r="I5306">
        <f>IF(F5306="","",INDEX(Deals!$D$2:$D$843,F5306))</f>
        <v/>
      </c>
      <c r="J5306">
        <f>IF(F5306="","",INT(H5306)-B5306)</f>
        <v/>
      </c>
      <c r="K5306">
        <f>IF(B5306&gt;=Settings!$C$5,1,0)</f>
        <v/>
      </c>
    </row>
    <row r="5307">
      <c r="A5307" t="inlineStr">
        <is>
          <t>a908989e899dc4f8273b76094426e9fe</t>
        </is>
      </c>
      <c r="B5307" s="29" t="n">
        <v>42951</v>
      </c>
      <c r="C5307" t="inlineStr">
        <is>
          <t>2017-08</t>
        </is>
      </c>
      <c r="D5307" t="inlineStr">
        <is>
          <t>e492ee5eaf1697716985cc6f33f9cd9b</t>
        </is>
      </c>
      <c r="E5307" t="inlineStr">
        <is>
          <t>organic_search</t>
        </is>
      </c>
      <c r="F5307">
        <f>IFERROR(MATCH(A5307,Deals!$A$2:$A$843,0),"")</f>
        <v/>
      </c>
      <c r="G5307">
        <f>IF(F5307="",0,1)</f>
        <v/>
      </c>
      <c r="H5307" s="29">
        <f>IF(F5307="","",INDEX(Deals!$E$2:$E$843,F5307))</f>
        <v/>
      </c>
      <c r="I5307">
        <f>IF(F5307="","",INDEX(Deals!$D$2:$D$843,F5307))</f>
        <v/>
      </c>
      <c r="J5307">
        <f>IF(F5307="","",INT(H5307)-B5307)</f>
        <v/>
      </c>
      <c r="K5307">
        <f>IF(B5307&gt;=Settings!$C$5,1,0)</f>
        <v/>
      </c>
    </row>
    <row r="5308">
      <c r="A5308" t="inlineStr">
        <is>
          <t>9a2cd76289c73f8698cbc91fda4944d1</t>
        </is>
      </c>
      <c r="B5308" s="29" t="n">
        <v>43194</v>
      </c>
      <c r="C5308" t="inlineStr">
        <is>
          <t>2018-04</t>
        </is>
      </c>
      <c r="D5308" t="inlineStr">
        <is>
          <t>b76ef37428e6799c421989521c0e5077</t>
        </is>
      </c>
      <c r="E5308" t="inlineStr">
        <is>
          <t>unknown</t>
        </is>
      </c>
      <c r="F5308">
        <f>IFERROR(MATCH(A5308,Deals!$A$2:$A$843,0),"")</f>
        <v/>
      </c>
      <c r="G5308">
        <f>IF(F5308="",0,1)</f>
        <v/>
      </c>
      <c r="H5308" s="29">
        <f>IF(F5308="","",INDEX(Deals!$E$2:$E$843,F5308))</f>
        <v/>
      </c>
      <c r="I5308">
        <f>IF(F5308="","",INDEX(Deals!$D$2:$D$843,F5308))</f>
        <v/>
      </c>
      <c r="J5308">
        <f>IF(F5308="","",INT(H5308)-B5308)</f>
        <v/>
      </c>
      <c r="K5308">
        <f>IF(B5308&gt;=Settings!$C$5,1,0)</f>
        <v/>
      </c>
    </row>
    <row r="5309">
      <c r="A5309" t="inlineStr">
        <is>
          <t>6315d05a06c6802f2e81cb79428686b9</t>
        </is>
      </c>
      <c r="B5309" s="29" t="n">
        <v>43139</v>
      </c>
      <c r="C5309" t="inlineStr">
        <is>
          <t>2018-02</t>
        </is>
      </c>
      <c r="D5309" t="inlineStr">
        <is>
          <t>f017be4dbf86243af5c1ebed0cff36a2</t>
        </is>
      </c>
      <c r="E5309" t="inlineStr">
        <is>
          <t>organic_search</t>
        </is>
      </c>
      <c r="F5309">
        <f>IFERROR(MATCH(A5309,Deals!$A$2:$A$843,0),"")</f>
        <v/>
      </c>
      <c r="G5309">
        <f>IF(F5309="",0,1)</f>
        <v/>
      </c>
      <c r="H5309" s="29">
        <f>IF(F5309="","",INDEX(Deals!$E$2:$E$843,F5309))</f>
        <v/>
      </c>
      <c r="I5309">
        <f>IF(F5309="","",INDEX(Deals!$D$2:$D$843,F5309))</f>
        <v/>
      </c>
      <c r="J5309">
        <f>IF(F5309="","",INT(H5309)-B5309)</f>
        <v/>
      </c>
      <c r="K5309">
        <f>IF(B5309&gt;=Settings!$C$5,1,0)</f>
        <v/>
      </c>
    </row>
    <row r="5310">
      <c r="A5310" t="inlineStr">
        <is>
          <t>1c20876584941388da40b3b01a9ad897</t>
        </is>
      </c>
      <c r="B5310" s="29" t="n">
        <v>43129</v>
      </c>
      <c r="C5310" t="inlineStr">
        <is>
          <t>2018-01</t>
        </is>
      </c>
      <c r="D5310" t="inlineStr">
        <is>
          <t>88740e65d5d6b056e0cda098e1ea6313</t>
        </is>
      </c>
      <c r="E5310" t="inlineStr">
        <is>
          <t>social</t>
        </is>
      </c>
      <c r="F5310">
        <f>IFERROR(MATCH(A5310,Deals!$A$2:$A$843,0),"")</f>
        <v/>
      </c>
      <c r="G5310">
        <f>IF(F5310="",0,1)</f>
        <v/>
      </c>
      <c r="H5310" s="29">
        <f>IF(F5310="","",INDEX(Deals!$E$2:$E$843,F5310))</f>
        <v/>
      </c>
      <c r="I5310">
        <f>IF(F5310="","",INDEX(Deals!$D$2:$D$843,F5310))</f>
        <v/>
      </c>
      <c r="J5310">
        <f>IF(F5310="","",INT(H5310)-B5310)</f>
        <v/>
      </c>
      <c r="K5310">
        <f>IF(B5310&gt;=Settings!$C$5,1,0)</f>
        <v/>
      </c>
    </row>
    <row r="5311">
      <c r="A5311" t="inlineStr">
        <is>
          <t>4486ad40507c7f22eb05dde3747e34de</t>
        </is>
      </c>
      <c r="B5311" s="29" t="n">
        <v>43229</v>
      </c>
      <c r="C5311" t="inlineStr">
        <is>
          <t>2018-05</t>
        </is>
      </c>
      <c r="D5311" t="inlineStr">
        <is>
          <t>099ddda4feb08e89c402f2d38ca94b2e</t>
        </is>
      </c>
      <c r="E5311" t="inlineStr">
        <is>
          <t>unknown</t>
        </is>
      </c>
      <c r="F5311">
        <f>IFERROR(MATCH(A5311,Deals!$A$2:$A$843,0),"")</f>
        <v/>
      </c>
      <c r="G5311">
        <f>IF(F5311="",0,1)</f>
        <v/>
      </c>
      <c r="H5311" s="29">
        <f>IF(F5311="","",INDEX(Deals!$E$2:$E$843,F5311))</f>
        <v/>
      </c>
      <c r="I5311">
        <f>IF(F5311="","",INDEX(Deals!$D$2:$D$843,F5311))</f>
        <v/>
      </c>
      <c r="J5311">
        <f>IF(F5311="","",INT(H5311)-B5311)</f>
        <v/>
      </c>
      <c r="K5311">
        <f>IF(B5311&gt;=Settings!$C$5,1,0)</f>
        <v/>
      </c>
    </row>
    <row r="5312">
      <c r="A5312" t="inlineStr">
        <is>
          <t>b37245bd5e22836dea166c9bf1ce3715</t>
        </is>
      </c>
      <c r="B5312" s="29" t="n">
        <v>43230</v>
      </c>
      <c r="C5312" t="inlineStr">
        <is>
          <t>2018-05</t>
        </is>
      </c>
      <c r="D5312" t="inlineStr">
        <is>
          <t>b76ef37428e6799c421989521c0e5077</t>
        </is>
      </c>
      <c r="E5312" t="inlineStr">
        <is>
          <t>unknown</t>
        </is>
      </c>
      <c r="F5312">
        <f>IFERROR(MATCH(A5312,Deals!$A$2:$A$843,0),"")</f>
        <v/>
      </c>
      <c r="G5312">
        <f>IF(F5312="",0,1)</f>
        <v/>
      </c>
      <c r="H5312" s="29">
        <f>IF(F5312="","",INDEX(Deals!$E$2:$E$843,F5312))</f>
        <v/>
      </c>
      <c r="I5312">
        <f>IF(F5312="","",INDEX(Deals!$D$2:$D$843,F5312))</f>
        <v/>
      </c>
      <c r="J5312">
        <f>IF(F5312="","",INT(H5312)-B5312)</f>
        <v/>
      </c>
      <c r="K5312">
        <f>IF(B5312&gt;=Settings!$C$5,1,0)</f>
        <v/>
      </c>
    </row>
    <row r="5313">
      <c r="A5313" t="inlineStr">
        <is>
          <t>98f57d973e7f90b1b813f13e5ebd847c</t>
        </is>
      </c>
      <c r="B5313" s="29" t="n">
        <v>43244</v>
      </c>
      <c r="C5313" t="inlineStr">
        <is>
          <t>2018-05</t>
        </is>
      </c>
      <c r="D5313" t="inlineStr">
        <is>
          <t>1ceb590cd1e00c7ee95220971f82693d</t>
        </is>
      </c>
      <c r="E5313" t="inlineStr">
        <is>
          <t>paid_search</t>
        </is>
      </c>
      <c r="F5313">
        <f>IFERROR(MATCH(A5313,Deals!$A$2:$A$843,0),"")</f>
        <v/>
      </c>
      <c r="G5313">
        <f>IF(F5313="",0,1)</f>
        <v/>
      </c>
      <c r="H5313" s="29">
        <f>IF(F5313="","",INDEX(Deals!$E$2:$E$843,F5313))</f>
        <v/>
      </c>
      <c r="I5313">
        <f>IF(F5313="","",INDEX(Deals!$D$2:$D$843,F5313))</f>
        <v/>
      </c>
      <c r="J5313">
        <f>IF(F5313="","",INT(H5313)-B5313)</f>
        <v/>
      </c>
      <c r="K5313">
        <f>IF(B5313&gt;=Settings!$C$5,1,0)</f>
        <v/>
      </c>
    </row>
    <row r="5314">
      <c r="A5314" t="inlineStr">
        <is>
          <t>8de3f64f6326c5f8b7056bd0b1d729da</t>
        </is>
      </c>
      <c r="B5314" s="29" t="n">
        <v>43217</v>
      </c>
      <c r="C5314" t="inlineStr">
        <is>
          <t>2018-04</t>
        </is>
      </c>
      <c r="D5314" t="inlineStr">
        <is>
          <t>e492ee5eaf1697716985cc6f33f9cd9b</t>
        </is>
      </c>
      <c r="E5314" t="inlineStr">
        <is>
          <t>organic_search</t>
        </is>
      </c>
      <c r="F5314">
        <f>IFERROR(MATCH(A5314,Deals!$A$2:$A$843,0),"")</f>
        <v/>
      </c>
      <c r="G5314">
        <f>IF(F5314="",0,1)</f>
        <v/>
      </c>
      <c r="H5314" s="29">
        <f>IF(F5314="","",INDEX(Deals!$E$2:$E$843,F5314))</f>
        <v/>
      </c>
      <c r="I5314">
        <f>IF(F5314="","",INDEX(Deals!$D$2:$D$843,F5314))</f>
        <v/>
      </c>
      <c r="J5314">
        <f>IF(F5314="","",INT(H5314)-B5314)</f>
        <v/>
      </c>
      <c r="K5314">
        <f>IF(B5314&gt;=Settings!$C$5,1,0)</f>
        <v/>
      </c>
    </row>
    <row r="5315">
      <c r="A5315" t="inlineStr">
        <is>
          <t>249743ebcc1fb015f416424135b5e48d</t>
        </is>
      </c>
      <c r="B5315" s="29" t="n">
        <v>43214</v>
      </c>
      <c r="C5315" t="inlineStr">
        <is>
          <t>2018-04</t>
        </is>
      </c>
      <c r="D5315" t="inlineStr">
        <is>
          <t>5ecb50153794666e90bc04c0076b7834</t>
        </is>
      </c>
      <c r="E5315" t="inlineStr">
        <is>
          <t>paid_search</t>
        </is>
      </c>
      <c r="F5315">
        <f>IFERROR(MATCH(A5315,Deals!$A$2:$A$843,0),"")</f>
        <v/>
      </c>
      <c r="G5315">
        <f>IF(F5315="",0,1)</f>
        <v/>
      </c>
      <c r="H5315" s="29">
        <f>IF(F5315="","",INDEX(Deals!$E$2:$E$843,F5315))</f>
        <v/>
      </c>
      <c r="I5315">
        <f>IF(F5315="","",INDEX(Deals!$D$2:$D$843,F5315))</f>
        <v/>
      </c>
      <c r="J5315">
        <f>IF(F5315="","",INT(H5315)-B5315)</f>
        <v/>
      </c>
      <c r="K5315">
        <f>IF(B5315&gt;=Settings!$C$5,1,0)</f>
        <v/>
      </c>
    </row>
    <row r="5316">
      <c r="A5316" t="inlineStr">
        <is>
          <t>0db1fb75f1918668d1248e31ff9988f5</t>
        </is>
      </c>
      <c r="B5316" s="29" t="n">
        <v>43105</v>
      </c>
      <c r="C5316" t="inlineStr">
        <is>
          <t>2018-01</t>
        </is>
      </c>
      <c r="D5316" t="inlineStr">
        <is>
          <t>22c29808c4f815213303f8933030604c</t>
        </is>
      </c>
      <c r="E5316" t="inlineStr">
        <is>
          <t>organic_search</t>
        </is>
      </c>
      <c r="F5316">
        <f>IFERROR(MATCH(A5316,Deals!$A$2:$A$843,0),"")</f>
        <v/>
      </c>
      <c r="G5316">
        <f>IF(F5316="",0,1)</f>
        <v/>
      </c>
      <c r="H5316" s="29">
        <f>IF(F5316="","",INDEX(Deals!$E$2:$E$843,F5316))</f>
        <v/>
      </c>
      <c r="I5316">
        <f>IF(F5316="","",INDEX(Deals!$D$2:$D$843,F5316))</f>
        <v/>
      </c>
      <c r="J5316">
        <f>IF(F5316="","",INT(H5316)-B5316)</f>
        <v/>
      </c>
      <c r="K5316">
        <f>IF(B5316&gt;=Settings!$C$5,1,0)</f>
        <v/>
      </c>
    </row>
    <row r="5317">
      <c r="A5317" t="inlineStr">
        <is>
          <t>24d26100b9d2097f0418ed14dd528b38</t>
        </is>
      </c>
      <c r="B5317" s="29" t="n">
        <v>42956</v>
      </c>
      <c r="C5317" t="inlineStr">
        <is>
          <t>2017-08</t>
        </is>
      </c>
      <c r="D5317" t="inlineStr">
        <is>
          <t>3cd2a8301d5395f21cdd3094c9eaa2f4</t>
        </is>
      </c>
      <c r="E5317" t="inlineStr">
        <is>
          <t>paid_search</t>
        </is>
      </c>
      <c r="F5317">
        <f>IFERROR(MATCH(A5317,Deals!$A$2:$A$843,0),"")</f>
        <v/>
      </c>
      <c r="G5317">
        <f>IF(F5317="",0,1)</f>
        <v/>
      </c>
      <c r="H5317" s="29">
        <f>IF(F5317="","",INDEX(Deals!$E$2:$E$843,F5317))</f>
        <v/>
      </c>
      <c r="I5317">
        <f>IF(F5317="","",INDEX(Deals!$D$2:$D$843,F5317))</f>
        <v/>
      </c>
      <c r="J5317">
        <f>IF(F5317="","",INT(H5317)-B5317)</f>
        <v/>
      </c>
      <c r="K5317">
        <f>IF(B5317&gt;=Settings!$C$5,1,0)</f>
        <v/>
      </c>
    </row>
    <row r="5318">
      <c r="A5318" t="inlineStr">
        <is>
          <t>5cbcd79fd63dc4d72595fa43f6df0dd4</t>
        </is>
      </c>
      <c r="B5318" s="29" t="n">
        <v>43029</v>
      </c>
      <c r="C5318" t="inlineStr">
        <is>
          <t>2017-10</t>
        </is>
      </c>
      <c r="D5318" t="inlineStr">
        <is>
          <t>f017be4dbf86243af5c1ebed0cff36a2</t>
        </is>
      </c>
      <c r="E5318" t="inlineStr">
        <is>
          <t>organic_search</t>
        </is>
      </c>
      <c r="F5318">
        <f>IFERROR(MATCH(A5318,Deals!$A$2:$A$843,0),"")</f>
        <v/>
      </c>
      <c r="G5318">
        <f>IF(F5318="",0,1)</f>
        <v/>
      </c>
      <c r="H5318" s="29">
        <f>IF(F5318="","",INDEX(Deals!$E$2:$E$843,F5318))</f>
        <v/>
      </c>
      <c r="I5318">
        <f>IF(F5318="","",INDEX(Deals!$D$2:$D$843,F5318))</f>
        <v/>
      </c>
      <c r="J5318">
        <f>IF(F5318="","",INT(H5318)-B5318)</f>
        <v/>
      </c>
      <c r="K5318">
        <f>IF(B5318&gt;=Settings!$C$5,1,0)</f>
        <v/>
      </c>
    </row>
    <row r="5319">
      <c r="A5319" t="inlineStr">
        <is>
          <t>fbc0b3bb261ad0691f41d025e5a28a0c</t>
        </is>
      </c>
      <c r="B5319" s="29" t="n">
        <v>43139</v>
      </c>
      <c r="C5319" t="inlineStr">
        <is>
          <t>2018-02</t>
        </is>
      </c>
      <c r="D5319" t="inlineStr">
        <is>
          <t>73f31a40697cc90a86c1273563ac230e</t>
        </is>
      </c>
      <c r="E5319" t="inlineStr">
        <is>
          <t>other</t>
        </is>
      </c>
      <c r="F5319">
        <f>IFERROR(MATCH(A5319,Deals!$A$2:$A$843,0),"")</f>
        <v/>
      </c>
      <c r="G5319">
        <f>IF(F5319="",0,1)</f>
        <v/>
      </c>
      <c r="H5319" s="29">
        <f>IF(F5319="","",INDEX(Deals!$E$2:$E$843,F5319))</f>
        <v/>
      </c>
      <c r="I5319">
        <f>IF(F5319="","",INDEX(Deals!$D$2:$D$843,F5319))</f>
        <v/>
      </c>
      <c r="J5319">
        <f>IF(F5319="","",INT(H5319)-B5319)</f>
        <v/>
      </c>
      <c r="K5319">
        <f>IF(B5319&gt;=Settings!$C$5,1,0)</f>
        <v/>
      </c>
    </row>
    <row r="5320">
      <c r="A5320" t="inlineStr">
        <is>
          <t>956ee7a225e2624c5c3fbdc7b1bb87b0</t>
        </is>
      </c>
      <c r="B5320" s="29" t="n">
        <v>43188</v>
      </c>
      <c r="C5320" t="inlineStr">
        <is>
          <t>2018-03</t>
        </is>
      </c>
      <c r="D5320" t="inlineStr">
        <is>
          <t>22c29808c4f815213303f8933030604c</t>
        </is>
      </c>
      <c r="E5320" t="inlineStr">
        <is>
          <t>direct_traffic</t>
        </is>
      </c>
      <c r="F5320">
        <f>IFERROR(MATCH(A5320,Deals!$A$2:$A$843,0),"")</f>
        <v/>
      </c>
      <c r="G5320">
        <f>IF(F5320="",0,1)</f>
        <v/>
      </c>
      <c r="H5320" s="29">
        <f>IF(F5320="","",INDEX(Deals!$E$2:$E$843,F5320))</f>
        <v/>
      </c>
      <c r="I5320">
        <f>IF(F5320="","",INDEX(Deals!$D$2:$D$843,F5320))</f>
        <v/>
      </c>
      <c r="J5320">
        <f>IF(F5320="","",INT(H5320)-B5320)</f>
        <v/>
      </c>
      <c r="K5320">
        <f>IF(B5320&gt;=Settings!$C$5,1,0)</f>
        <v/>
      </c>
    </row>
    <row r="5321">
      <c r="A5321" t="inlineStr">
        <is>
          <t>04eccd0076a2ba4c0ab95a548cb90543</t>
        </is>
      </c>
      <c r="B5321" s="29" t="n">
        <v>43187</v>
      </c>
      <c r="C5321" t="inlineStr">
        <is>
          <t>2018-03</t>
        </is>
      </c>
      <c r="D5321" t="inlineStr">
        <is>
          <t>b76ef37428e6799c421989521c0e5077</t>
        </is>
      </c>
      <c r="E5321" t="inlineStr">
        <is>
          <t>unknown</t>
        </is>
      </c>
      <c r="F5321">
        <f>IFERROR(MATCH(A5321,Deals!$A$2:$A$843,0),"")</f>
        <v/>
      </c>
      <c r="G5321">
        <f>IF(F5321="",0,1)</f>
        <v/>
      </c>
      <c r="H5321" s="29">
        <f>IF(F5321="","",INDEX(Deals!$E$2:$E$843,F5321))</f>
        <v/>
      </c>
      <c r="I5321">
        <f>IF(F5321="","",INDEX(Deals!$D$2:$D$843,F5321))</f>
        <v/>
      </c>
      <c r="J5321">
        <f>IF(F5321="","",INT(H5321)-B5321)</f>
        <v/>
      </c>
      <c r="K5321">
        <f>IF(B5321&gt;=Settings!$C$5,1,0)</f>
        <v/>
      </c>
    </row>
    <row r="5322">
      <c r="A5322" t="inlineStr">
        <is>
          <t>7206ef1be0a3d44c57fa8214fc74421e</t>
        </is>
      </c>
      <c r="B5322" s="29" t="n">
        <v>43175</v>
      </c>
      <c r="C5322" t="inlineStr">
        <is>
          <t>2018-03</t>
        </is>
      </c>
      <c r="D5322" t="inlineStr">
        <is>
          <t>a841af0f710cf7e340d0d43626d2e568</t>
        </is>
      </c>
      <c r="E5322" t="inlineStr">
        <is>
          <t>organic_search</t>
        </is>
      </c>
      <c r="F5322">
        <f>IFERROR(MATCH(A5322,Deals!$A$2:$A$843,0),"")</f>
        <v/>
      </c>
      <c r="G5322">
        <f>IF(F5322="",0,1)</f>
        <v/>
      </c>
      <c r="H5322" s="29">
        <f>IF(F5322="","",INDEX(Deals!$E$2:$E$843,F5322))</f>
        <v/>
      </c>
      <c r="I5322">
        <f>IF(F5322="","",INDEX(Deals!$D$2:$D$843,F5322))</f>
        <v/>
      </c>
      <c r="J5322">
        <f>IF(F5322="","",INT(H5322)-B5322)</f>
        <v/>
      </c>
      <c r="K5322">
        <f>IF(B5322&gt;=Settings!$C$5,1,0)</f>
        <v/>
      </c>
    </row>
    <row r="5323">
      <c r="A5323" t="inlineStr">
        <is>
          <t>4a99fa479cfa6a9212123a06a4cd8508</t>
        </is>
      </c>
      <c r="B5323" s="29" t="n">
        <v>43052</v>
      </c>
      <c r="C5323" t="inlineStr">
        <is>
          <t>2017-11</t>
        </is>
      </c>
      <c r="D5323" t="inlineStr">
        <is>
          <t>a7982125ff7aa3b2054c6e44f9d28522</t>
        </is>
      </c>
      <c r="E5323" t="inlineStr">
        <is>
          <t>organic_search</t>
        </is>
      </c>
      <c r="F5323">
        <f>IFERROR(MATCH(A5323,Deals!$A$2:$A$843,0),"")</f>
        <v/>
      </c>
      <c r="G5323">
        <f>IF(F5323="",0,1)</f>
        <v/>
      </c>
      <c r="H5323" s="29">
        <f>IF(F5323="","",INDEX(Deals!$E$2:$E$843,F5323))</f>
        <v/>
      </c>
      <c r="I5323">
        <f>IF(F5323="","",INDEX(Deals!$D$2:$D$843,F5323))</f>
        <v/>
      </c>
      <c r="J5323">
        <f>IF(F5323="","",INT(H5323)-B5323)</f>
        <v/>
      </c>
      <c r="K5323">
        <f>IF(B5323&gt;=Settings!$C$5,1,0)</f>
        <v/>
      </c>
    </row>
    <row r="5324">
      <c r="A5324" t="inlineStr">
        <is>
          <t>791608b685d1c61fb2fe8acdc69dc6b5</t>
        </is>
      </c>
      <c r="B5324" s="29" t="n">
        <v>43068</v>
      </c>
      <c r="C5324" t="inlineStr">
        <is>
          <t>2017-11</t>
        </is>
      </c>
      <c r="D5324" t="inlineStr">
        <is>
          <t>21a104c3279681d9856b8a48723c4fee</t>
        </is>
      </c>
      <c r="E5324" t="inlineStr">
        <is>
          <t>direct_traffic</t>
        </is>
      </c>
      <c r="F5324">
        <f>IFERROR(MATCH(A5324,Deals!$A$2:$A$843,0),"")</f>
        <v/>
      </c>
      <c r="G5324">
        <f>IF(F5324="",0,1)</f>
        <v/>
      </c>
      <c r="H5324" s="29">
        <f>IF(F5324="","",INDEX(Deals!$E$2:$E$843,F5324))</f>
        <v/>
      </c>
      <c r="I5324">
        <f>IF(F5324="","",INDEX(Deals!$D$2:$D$843,F5324))</f>
        <v/>
      </c>
      <c r="J5324">
        <f>IF(F5324="","",INT(H5324)-B5324)</f>
        <v/>
      </c>
      <c r="K5324">
        <f>IF(B5324&gt;=Settings!$C$5,1,0)</f>
        <v/>
      </c>
    </row>
    <row r="5325">
      <c r="A5325" t="inlineStr">
        <is>
          <t>8df878a8e746bb16f57beaa0615b5693</t>
        </is>
      </c>
      <c r="B5325" s="29" t="n">
        <v>43198</v>
      </c>
      <c r="C5325" t="inlineStr">
        <is>
          <t>2018-04</t>
        </is>
      </c>
      <c r="D5325" t="inlineStr">
        <is>
          <t>58326e62183c14b0c03085c33b9fdc44</t>
        </is>
      </c>
      <c r="E5325" t="inlineStr">
        <is>
          <t>social</t>
        </is>
      </c>
      <c r="F5325">
        <f>IFERROR(MATCH(A5325,Deals!$A$2:$A$843,0),"")</f>
        <v/>
      </c>
      <c r="G5325">
        <f>IF(F5325="",0,1)</f>
        <v/>
      </c>
      <c r="H5325" s="29">
        <f>IF(F5325="","",INDEX(Deals!$E$2:$E$843,F5325))</f>
        <v/>
      </c>
      <c r="I5325">
        <f>IF(F5325="","",INDEX(Deals!$D$2:$D$843,F5325))</f>
        <v/>
      </c>
      <c r="J5325">
        <f>IF(F5325="","",INT(H5325)-B5325)</f>
        <v/>
      </c>
      <c r="K5325">
        <f>IF(B5325&gt;=Settings!$C$5,1,0)</f>
        <v/>
      </c>
    </row>
    <row r="5326">
      <c r="A5326" t="inlineStr">
        <is>
          <t>efd609fb87c34abf4e581a542aa70db5</t>
        </is>
      </c>
      <c r="B5326" s="29" t="n">
        <v>42955</v>
      </c>
      <c r="C5326" t="inlineStr">
        <is>
          <t>2017-08</t>
        </is>
      </c>
      <c r="D5326" t="inlineStr">
        <is>
          <t>154e7506c0176dc761f19fa0cb4988c4</t>
        </is>
      </c>
      <c r="E5326" t="inlineStr">
        <is>
          <t>other</t>
        </is>
      </c>
      <c r="F5326">
        <f>IFERROR(MATCH(A5326,Deals!$A$2:$A$843,0),"")</f>
        <v/>
      </c>
      <c r="G5326">
        <f>IF(F5326="",0,1)</f>
        <v/>
      </c>
      <c r="H5326" s="29">
        <f>IF(F5326="","",INDEX(Deals!$E$2:$E$843,F5326))</f>
        <v/>
      </c>
      <c r="I5326">
        <f>IF(F5326="","",INDEX(Deals!$D$2:$D$843,F5326))</f>
        <v/>
      </c>
      <c r="J5326">
        <f>IF(F5326="","",INT(H5326)-B5326)</f>
        <v/>
      </c>
      <c r="K5326">
        <f>IF(B5326&gt;=Settings!$C$5,1,0)</f>
        <v/>
      </c>
    </row>
    <row r="5327">
      <c r="A5327" t="inlineStr">
        <is>
          <t>f2d7f80cad08f03745aa10c8b375c9e0</t>
        </is>
      </c>
      <c r="B5327" s="29" t="n">
        <v>43023</v>
      </c>
      <c r="C5327" t="inlineStr">
        <is>
          <t>2017-10</t>
        </is>
      </c>
      <c r="D5327" t="inlineStr">
        <is>
          <t>4e82dd1f6d00626bda0723eef0a269a6</t>
        </is>
      </c>
      <c r="E5327" t="inlineStr">
        <is>
          <t>referral</t>
        </is>
      </c>
      <c r="F5327">
        <f>IFERROR(MATCH(A5327,Deals!$A$2:$A$843,0),"")</f>
        <v/>
      </c>
      <c r="G5327">
        <f>IF(F5327="",0,1)</f>
        <v/>
      </c>
      <c r="H5327" s="29">
        <f>IF(F5327="","",INDEX(Deals!$E$2:$E$843,F5327))</f>
        <v/>
      </c>
      <c r="I5327">
        <f>IF(F5327="","",INDEX(Deals!$D$2:$D$843,F5327))</f>
        <v/>
      </c>
      <c r="J5327">
        <f>IF(F5327="","",INT(H5327)-B5327)</f>
        <v/>
      </c>
      <c r="K5327">
        <f>IF(B5327&gt;=Settings!$C$5,1,0)</f>
        <v/>
      </c>
    </row>
    <row r="5328">
      <c r="A5328" t="inlineStr">
        <is>
          <t>506b5559f05c479155e6e12f61e31c2d</t>
        </is>
      </c>
      <c r="B5328" s="29" t="n">
        <v>43159</v>
      </c>
      <c r="C5328" t="inlineStr">
        <is>
          <t>2018-02</t>
        </is>
      </c>
      <c r="D5328" t="inlineStr">
        <is>
          <t>27cd3540bace1f4a4b2bc6d319b0553c</t>
        </is>
      </c>
      <c r="E5328" t="inlineStr">
        <is>
          <t>unknown</t>
        </is>
      </c>
      <c r="F5328">
        <f>IFERROR(MATCH(A5328,Deals!$A$2:$A$843,0),"")</f>
        <v/>
      </c>
      <c r="G5328">
        <f>IF(F5328="",0,1)</f>
        <v/>
      </c>
      <c r="H5328" s="29">
        <f>IF(F5328="","",INDEX(Deals!$E$2:$E$843,F5328))</f>
        <v/>
      </c>
      <c r="I5328">
        <f>IF(F5328="","",INDEX(Deals!$D$2:$D$843,F5328))</f>
        <v/>
      </c>
      <c r="J5328">
        <f>IF(F5328="","",INT(H5328)-B5328)</f>
        <v/>
      </c>
      <c r="K5328">
        <f>IF(B5328&gt;=Settings!$C$5,1,0)</f>
        <v/>
      </c>
    </row>
    <row r="5329">
      <c r="A5329" t="inlineStr">
        <is>
          <t>bf2d441b88c9abbe91d46df156273c7b</t>
        </is>
      </c>
      <c r="B5329" s="29" t="n">
        <v>43173</v>
      </c>
      <c r="C5329" t="inlineStr">
        <is>
          <t>2018-03</t>
        </is>
      </c>
      <c r="D5329" t="inlineStr">
        <is>
          <t>330b9d44078a1ae5a221d655dcb77afa</t>
        </is>
      </c>
      <c r="E5329" t="inlineStr">
        <is>
          <t>referral</t>
        </is>
      </c>
      <c r="F5329">
        <f>IFERROR(MATCH(A5329,Deals!$A$2:$A$843,0),"")</f>
        <v/>
      </c>
      <c r="G5329">
        <f>IF(F5329="",0,1)</f>
        <v/>
      </c>
      <c r="H5329" s="29">
        <f>IF(F5329="","",INDEX(Deals!$E$2:$E$843,F5329))</f>
        <v/>
      </c>
      <c r="I5329">
        <f>IF(F5329="","",INDEX(Deals!$D$2:$D$843,F5329))</f>
        <v/>
      </c>
      <c r="J5329">
        <f>IF(F5329="","",INT(H5329)-B5329)</f>
        <v/>
      </c>
      <c r="K5329">
        <f>IF(B5329&gt;=Settings!$C$5,1,0)</f>
        <v/>
      </c>
    </row>
    <row r="5330">
      <c r="A5330" t="inlineStr">
        <is>
          <t>c0715b919f21f722a004a90a42f2c790</t>
        </is>
      </c>
      <c r="B5330" s="29" t="n">
        <v>43110</v>
      </c>
      <c r="C5330" t="inlineStr">
        <is>
          <t>2018-01</t>
        </is>
      </c>
      <c r="D5330" t="inlineStr">
        <is>
          <t>b76ef37428e6799c421989521c0e5077</t>
        </is>
      </c>
      <c r="E5330" t="inlineStr">
        <is>
          <t>unknown</t>
        </is>
      </c>
      <c r="F5330">
        <f>IFERROR(MATCH(A5330,Deals!$A$2:$A$843,0),"")</f>
        <v/>
      </c>
      <c r="G5330">
        <f>IF(F5330="",0,1)</f>
        <v/>
      </c>
      <c r="H5330" s="29">
        <f>IF(F5330="","",INDEX(Deals!$E$2:$E$843,F5330))</f>
        <v/>
      </c>
      <c r="I5330">
        <f>IF(F5330="","",INDEX(Deals!$D$2:$D$843,F5330))</f>
        <v/>
      </c>
      <c r="J5330">
        <f>IF(F5330="","",INT(H5330)-B5330)</f>
        <v/>
      </c>
      <c r="K5330">
        <f>IF(B5330&gt;=Settings!$C$5,1,0)</f>
        <v/>
      </c>
    </row>
    <row r="5331">
      <c r="A5331" t="inlineStr">
        <is>
          <t>900e3a38a492fd258dc54b8872c2dec1</t>
        </is>
      </c>
      <c r="B5331" s="29" t="n">
        <v>43061</v>
      </c>
      <c r="C5331" t="inlineStr">
        <is>
          <t>2017-11</t>
        </is>
      </c>
      <c r="D5331" t="inlineStr">
        <is>
          <t>1722481ac9e5371e5099dea226b5421d</t>
        </is>
      </c>
      <c r="E5331" t="inlineStr">
        <is>
          <t>unknown</t>
        </is>
      </c>
      <c r="F5331">
        <f>IFERROR(MATCH(A5331,Deals!$A$2:$A$843,0),"")</f>
        <v/>
      </c>
      <c r="G5331">
        <f>IF(F5331="",0,1)</f>
        <v/>
      </c>
      <c r="H5331" s="29">
        <f>IF(F5331="","",INDEX(Deals!$E$2:$E$843,F5331))</f>
        <v/>
      </c>
      <c r="I5331">
        <f>IF(F5331="","",INDEX(Deals!$D$2:$D$843,F5331))</f>
        <v/>
      </c>
      <c r="J5331">
        <f>IF(F5331="","",INT(H5331)-B5331)</f>
        <v/>
      </c>
      <c r="K5331">
        <f>IF(B5331&gt;=Settings!$C$5,1,0)</f>
        <v/>
      </c>
    </row>
    <row r="5332">
      <c r="A5332" t="inlineStr">
        <is>
          <t>7527a9a5e8ed7adc1389a59748913cb0</t>
        </is>
      </c>
      <c r="B5332" s="29" t="n">
        <v>43186</v>
      </c>
      <c r="C5332" t="inlineStr">
        <is>
          <t>2018-03</t>
        </is>
      </c>
      <c r="D5332" t="inlineStr">
        <is>
          <t>ce1542c96eaf50155d494300c7bfceb3</t>
        </is>
      </c>
      <c r="E5332" t="inlineStr">
        <is>
          <t>paid_search</t>
        </is>
      </c>
      <c r="F5332">
        <f>IFERROR(MATCH(A5332,Deals!$A$2:$A$843,0),"")</f>
        <v/>
      </c>
      <c r="G5332">
        <f>IF(F5332="",0,1)</f>
        <v/>
      </c>
      <c r="H5332" s="29">
        <f>IF(F5332="","",INDEX(Deals!$E$2:$E$843,F5332))</f>
        <v/>
      </c>
      <c r="I5332">
        <f>IF(F5332="","",INDEX(Deals!$D$2:$D$843,F5332))</f>
        <v/>
      </c>
      <c r="J5332">
        <f>IF(F5332="","",INT(H5332)-B5332)</f>
        <v/>
      </c>
      <c r="K5332">
        <f>IF(B5332&gt;=Settings!$C$5,1,0)</f>
        <v/>
      </c>
    </row>
    <row r="5333">
      <c r="A5333" t="inlineStr">
        <is>
          <t>5e130ee89ac5f986710d872ff5d3655a</t>
        </is>
      </c>
      <c r="B5333" s="29" t="n">
        <v>43235</v>
      </c>
      <c r="C5333" t="inlineStr">
        <is>
          <t>2018-05</t>
        </is>
      </c>
      <c r="D5333" t="inlineStr">
        <is>
          <t>40dec9f3d5259a3d2dbcdab2114fae47</t>
        </is>
      </c>
      <c r="E5333" t="inlineStr">
        <is>
          <t>paid_search</t>
        </is>
      </c>
      <c r="F5333">
        <f>IFERROR(MATCH(A5333,Deals!$A$2:$A$843,0),"")</f>
        <v/>
      </c>
      <c r="G5333">
        <f>IF(F5333="",0,1)</f>
        <v/>
      </c>
      <c r="H5333" s="29">
        <f>IF(F5333="","",INDEX(Deals!$E$2:$E$843,F5333))</f>
        <v/>
      </c>
      <c r="I5333">
        <f>IF(F5333="","",INDEX(Deals!$D$2:$D$843,F5333))</f>
        <v/>
      </c>
      <c r="J5333">
        <f>IF(F5333="","",INT(H5333)-B5333)</f>
        <v/>
      </c>
      <c r="K5333">
        <f>IF(B5333&gt;=Settings!$C$5,1,0)</f>
        <v/>
      </c>
    </row>
    <row r="5334">
      <c r="A5334" t="inlineStr">
        <is>
          <t>cb1c772c359ae814c34a9c82352a77fb</t>
        </is>
      </c>
      <c r="B5334" s="29" t="n">
        <v>43219</v>
      </c>
      <c r="C5334" t="inlineStr">
        <is>
          <t>2018-04</t>
        </is>
      </c>
      <c r="D5334" t="inlineStr">
        <is>
          <t>f80696b73d17fb34f5c4fde157f119d8</t>
        </is>
      </c>
      <c r="E5334" t="inlineStr">
        <is>
          <t>social</t>
        </is>
      </c>
      <c r="F5334">
        <f>IFERROR(MATCH(A5334,Deals!$A$2:$A$843,0),"")</f>
        <v/>
      </c>
      <c r="G5334">
        <f>IF(F5334="",0,1)</f>
        <v/>
      </c>
      <c r="H5334" s="29">
        <f>IF(F5334="","",INDEX(Deals!$E$2:$E$843,F5334))</f>
        <v/>
      </c>
      <c r="I5334">
        <f>IF(F5334="","",INDEX(Deals!$D$2:$D$843,F5334))</f>
        <v/>
      </c>
      <c r="J5334">
        <f>IF(F5334="","",INT(H5334)-B5334)</f>
        <v/>
      </c>
      <c r="K5334">
        <f>IF(B5334&gt;=Settings!$C$5,1,0)</f>
        <v/>
      </c>
    </row>
    <row r="5335">
      <c r="A5335" t="inlineStr">
        <is>
          <t>73695d0bcc7a89845ab2f7e3a5b3c0c9</t>
        </is>
      </c>
      <c r="B5335" s="29" t="n">
        <v>43101</v>
      </c>
      <c r="C5335" t="inlineStr">
        <is>
          <t>2018-01</t>
        </is>
      </c>
      <c r="D5335" t="inlineStr">
        <is>
          <t>8e198e412a2bd69038a26b35656e52a4</t>
        </is>
      </c>
      <c r="E5335" t="inlineStr">
        <is>
          <t>email</t>
        </is>
      </c>
      <c r="F5335">
        <f>IFERROR(MATCH(A5335,Deals!$A$2:$A$843,0),"")</f>
        <v/>
      </c>
      <c r="G5335">
        <f>IF(F5335="",0,1)</f>
        <v/>
      </c>
      <c r="H5335" s="29">
        <f>IF(F5335="","",INDEX(Deals!$E$2:$E$843,F5335))</f>
        <v/>
      </c>
      <c r="I5335">
        <f>IF(F5335="","",INDEX(Deals!$D$2:$D$843,F5335))</f>
        <v/>
      </c>
      <c r="J5335">
        <f>IF(F5335="","",INT(H5335)-B5335)</f>
        <v/>
      </c>
      <c r="K5335">
        <f>IF(B5335&gt;=Settings!$C$5,1,0)</f>
        <v/>
      </c>
    </row>
    <row r="5336">
      <c r="A5336" t="inlineStr">
        <is>
          <t>3b48bc98ee641fb7f5af80d729ab8f76</t>
        </is>
      </c>
      <c r="B5336" s="29" t="n">
        <v>43164</v>
      </c>
      <c r="C5336" t="inlineStr">
        <is>
          <t>2018-03</t>
        </is>
      </c>
      <c r="D5336" t="inlineStr">
        <is>
          <t>88740e65d5d6b056e0cda098e1ea6313</t>
        </is>
      </c>
      <c r="E5336" t="inlineStr">
        <is>
          <t>social</t>
        </is>
      </c>
      <c r="F5336">
        <f>IFERROR(MATCH(A5336,Deals!$A$2:$A$843,0),"")</f>
        <v/>
      </c>
      <c r="G5336">
        <f>IF(F5336="",0,1)</f>
        <v/>
      </c>
      <c r="H5336" s="29">
        <f>IF(F5336="","",INDEX(Deals!$E$2:$E$843,F5336))</f>
        <v/>
      </c>
      <c r="I5336">
        <f>IF(F5336="","",INDEX(Deals!$D$2:$D$843,F5336))</f>
        <v/>
      </c>
      <c r="J5336">
        <f>IF(F5336="","",INT(H5336)-B5336)</f>
        <v/>
      </c>
      <c r="K5336">
        <f>IF(B5336&gt;=Settings!$C$5,1,0)</f>
        <v/>
      </c>
    </row>
    <row r="5337">
      <c r="A5337" t="inlineStr">
        <is>
          <t>b52ee193d666163924bf97773879e947</t>
        </is>
      </c>
      <c r="B5337" s="29" t="n">
        <v>43223</v>
      </c>
      <c r="C5337" t="inlineStr">
        <is>
          <t>2018-05</t>
        </is>
      </c>
      <c r="D5337" t="inlineStr">
        <is>
          <t>b76ef37428e6799c421989521c0e5077</t>
        </is>
      </c>
      <c r="E5337" t="inlineStr">
        <is>
          <t>paid_search</t>
        </is>
      </c>
      <c r="F5337">
        <f>IFERROR(MATCH(A5337,Deals!$A$2:$A$843,0),"")</f>
        <v/>
      </c>
      <c r="G5337">
        <f>IF(F5337="",0,1)</f>
        <v/>
      </c>
      <c r="H5337" s="29">
        <f>IF(F5337="","",INDEX(Deals!$E$2:$E$843,F5337))</f>
        <v/>
      </c>
      <c r="I5337">
        <f>IF(F5337="","",INDEX(Deals!$D$2:$D$843,F5337))</f>
        <v/>
      </c>
      <c r="J5337">
        <f>IF(F5337="","",INT(H5337)-B5337)</f>
        <v/>
      </c>
      <c r="K5337">
        <f>IF(B5337&gt;=Settings!$C$5,1,0)</f>
        <v/>
      </c>
    </row>
    <row r="5338">
      <c r="A5338" t="inlineStr">
        <is>
          <t>daad2c59031ec67bcf6d5520e5da7af3</t>
        </is>
      </c>
      <c r="B5338" s="29" t="n">
        <v>43182</v>
      </c>
      <c r="C5338" t="inlineStr">
        <is>
          <t>2018-03</t>
        </is>
      </c>
      <c r="D5338" t="inlineStr">
        <is>
          <t>cf747f07a385ddb157f79df52898ab14</t>
        </is>
      </c>
      <c r="E5338" t="inlineStr">
        <is>
          <t>email</t>
        </is>
      </c>
      <c r="F5338">
        <f>IFERROR(MATCH(A5338,Deals!$A$2:$A$843,0),"")</f>
        <v/>
      </c>
      <c r="G5338">
        <f>IF(F5338="",0,1)</f>
        <v/>
      </c>
      <c r="H5338" s="29">
        <f>IF(F5338="","",INDEX(Deals!$E$2:$E$843,F5338))</f>
        <v/>
      </c>
      <c r="I5338">
        <f>IF(F5338="","",INDEX(Deals!$D$2:$D$843,F5338))</f>
        <v/>
      </c>
      <c r="J5338">
        <f>IF(F5338="","",INT(H5338)-B5338)</f>
        <v/>
      </c>
      <c r="K5338">
        <f>IF(B5338&gt;=Settings!$C$5,1,0)</f>
        <v/>
      </c>
    </row>
    <row r="5339">
      <c r="A5339" t="inlineStr">
        <is>
          <t>70a589991758f4a623b3493fc2c1a7ff</t>
        </is>
      </c>
      <c r="B5339" s="29" t="n">
        <v>43095</v>
      </c>
      <c r="C5339" t="inlineStr">
        <is>
          <t>2017-12</t>
        </is>
      </c>
      <c r="D5339" t="inlineStr">
        <is>
          <t>b217afa2c1f4cb502423005639878f6d</t>
        </is>
      </c>
      <c r="E5339" t="inlineStr">
        <is>
          <t>paid_search</t>
        </is>
      </c>
      <c r="F5339">
        <f>IFERROR(MATCH(A5339,Deals!$A$2:$A$843,0),"")</f>
        <v/>
      </c>
      <c r="G5339">
        <f>IF(F5339="",0,1)</f>
        <v/>
      </c>
      <c r="H5339" s="29">
        <f>IF(F5339="","",INDEX(Deals!$E$2:$E$843,F5339))</f>
        <v/>
      </c>
      <c r="I5339">
        <f>IF(F5339="","",INDEX(Deals!$D$2:$D$843,F5339))</f>
        <v/>
      </c>
      <c r="J5339">
        <f>IF(F5339="","",INT(H5339)-B5339)</f>
        <v/>
      </c>
      <c r="K5339">
        <f>IF(B5339&gt;=Settings!$C$5,1,0)</f>
        <v/>
      </c>
    </row>
    <row r="5340">
      <c r="A5340" t="inlineStr">
        <is>
          <t>6a46fc9cf2e83b10c15f61db3e777148</t>
        </is>
      </c>
      <c r="B5340" s="29" t="n">
        <v>42992</v>
      </c>
      <c r="C5340" t="inlineStr">
        <is>
          <t>2017-09</t>
        </is>
      </c>
      <c r="D5340" t="inlineStr">
        <is>
          <t>e92a6f37ebb87a6bfbc569d439cf1635</t>
        </is>
      </c>
      <c r="E5340" t="inlineStr">
        <is>
          <t>paid_search</t>
        </is>
      </c>
      <c r="F5340">
        <f>IFERROR(MATCH(A5340,Deals!$A$2:$A$843,0),"")</f>
        <v/>
      </c>
      <c r="G5340">
        <f>IF(F5340="",0,1)</f>
        <v/>
      </c>
      <c r="H5340" s="29">
        <f>IF(F5340="","",INDEX(Deals!$E$2:$E$843,F5340))</f>
        <v/>
      </c>
      <c r="I5340">
        <f>IF(F5340="","",INDEX(Deals!$D$2:$D$843,F5340))</f>
        <v/>
      </c>
      <c r="J5340">
        <f>IF(F5340="","",INT(H5340)-B5340)</f>
        <v/>
      </c>
      <c r="K5340">
        <f>IF(B5340&gt;=Settings!$C$5,1,0)</f>
        <v/>
      </c>
    </row>
    <row r="5341">
      <c r="A5341" t="inlineStr">
        <is>
          <t>fb3ca24280670b6cde3583783aefeac4</t>
        </is>
      </c>
      <c r="B5341" s="29" t="n">
        <v>43235</v>
      </c>
      <c r="C5341" t="inlineStr">
        <is>
          <t>2018-05</t>
        </is>
      </c>
      <c r="D5341" t="inlineStr">
        <is>
          <t>ce1a65abd0973638f1c887a6efcfa82d</t>
        </is>
      </c>
      <c r="E5341" t="inlineStr">
        <is>
          <t>organic_search</t>
        </is>
      </c>
      <c r="F5341">
        <f>IFERROR(MATCH(A5341,Deals!$A$2:$A$843,0),"")</f>
        <v/>
      </c>
      <c r="G5341">
        <f>IF(F5341="",0,1)</f>
        <v/>
      </c>
      <c r="H5341" s="29">
        <f>IF(F5341="","",INDEX(Deals!$E$2:$E$843,F5341))</f>
        <v/>
      </c>
      <c r="I5341">
        <f>IF(F5341="","",INDEX(Deals!$D$2:$D$843,F5341))</f>
        <v/>
      </c>
      <c r="J5341">
        <f>IF(F5341="","",INT(H5341)-B5341)</f>
        <v/>
      </c>
      <c r="K5341">
        <f>IF(B5341&gt;=Settings!$C$5,1,0)</f>
        <v/>
      </c>
    </row>
    <row r="5342">
      <c r="A5342" t="inlineStr">
        <is>
          <t>0be577456fb1a66d81c667c32d051733</t>
        </is>
      </c>
      <c r="B5342" s="29" t="n">
        <v>43235</v>
      </c>
      <c r="C5342" t="inlineStr">
        <is>
          <t>2018-05</t>
        </is>
      </c>
      <c r="D5342" t="inlineStr">
        <is>
          <t>6a110e795dd487f1cf8d7583671987af</t>
        </is>
      </c>
      <c r="E5342" t="inlineStr">
        <is>
          <t>email</t>
        </is>
      </c>
      <c r="F5342">
        <f>IFERROR(MATCH(A5342,Deals!$A$2:$A$843,0),"")</f>
        <v/>
      </c>
      <c r="G5342">
        <f>IF(F5342="",0,1)</f>
        <v/>
      </c>
      <c r="H5342" s="29">
        <f>IF(F5342="","",INDEX(Deals!$E$2:$E$843,F5342))</f>
        <v/>
      </c>
      <c r="I5342">
        <f>IF(F5342="","",INDEX(Deals!$D$2:$D$843,F5342))</f>
        <v/>
      </c>
      <c r="J5342">
        <f>IF(F5342="","",INT(H5342)-B5342)</f>
        <v/>
      </c>
      <c r="K5342">
        <f>IF(B5342&gt;=Settings!$C$5,1,0)</f>
        <v/>
      </c>
    </row>
    <row r="5343">
      <c r="A5343" t="inlineStr">
        <is>
          <t>5a9ad32644ebce6e589f4be9634332b9</t>
        </is>
      </c>
      <c r="B5343" s="29" t="n">
        <v>43196</v>
      </c>
      <c r="C5343" t="inlineStr">
        <is>
          <t>2018-04</t>
        </is>
      </c>
      <c r="D5343" t="inlineStr">
        <is>
          <t>58326e62183c14b0c03085c33b9fdc44</t>
        </is>
      </c>
      <c r="E5343" t="inlineStr">
        <is>
          <t>social</t>
        </is>
      </c>
      <c r="F5343">
        <f>IFERROR(MATCH(A5343,Deals!$A$2:$A$843,0),"")</f>
        <v/>
      </c>
      <c r="G5343">
        <f>IF(F5343="",0,1)</f>
        <v/>
      </c>
      <c r="H5343" s="29">
        <f>IF(F5343="","",INDEX(Deals!$E$2:$E$843,F5343))</f>
        <v/>
      </c>
      <c r="I5343">
        <f>IF(F5343="","",INDEX(Deals!$D$2:$D$843,F5343))</f>
        <v/>
      </c>
      <c r="J5343">
        <f>IF(F5343="","",INT(H5343)-B5343)</f>
        <v/>
      </c>
      <c r="K5343">
        <f>IF(B5343&gt;=Settings!$C$5,1,0)</f>
        <v/>
      </c>
    </row>
    <row r="5344">
      <c r="A5344" t="inlineStr">
        <is>
          <t>ea517968df45ef4db6d4be40cbf898f4</t>
        </is>
      </c>
      <c r="B5344" s="29" t="n">
        <v>43202</v>
      </c>
      <c r="C5344" t="inlineStr">
        <is>
          <t>2018-04</t>
        </is>
      </c>
      <c r="D5344" t="inlineStr">
        <is>
          <t>73f31a40697cc90a86c1273563ac230e</t>
        </is>
      </c>
      <c r="E5344" t="inlineStr">
        <is>
          <t>other</t>
        </is>
      </c>
      <c r="F5344">
        <f>IFERROR(MATCH(A5344,Deals!$A$2:$A$843,0),"")</f>
        <v/>
      </c>
      <c r="G5344">
        <f>IF(F5344="",0,1)</f>
        <v/>
      </c>
      <c r="H5344" s="29">
        <f>IF(F5344="","",INDEX(Deals!$E$2:$E$843,F5344))</f>
        <v/>
      </c>
      <c r="I5344">
        <f>IF(F5344="","",INDEX(Deals!$D$2:$D$843,F5344))</f>
        <v/>
      </c>
      <c r="J5344">
        <f>IF(F5344="","",INT(H5344)-B5344)</f>
        <v/>
      </c>
      <c r="K5344">
        <f>IF(B5344&gt;=Settings!$C$5,1,0)</f>
        <v/>
      </c>
    </row>
    <row r="5345">
      <c r="A5345" t="inlineStr">
        <is>
          <t>090a968f085be3d9fa22c743eb7d7194</t>
        </is>
      </c>
      <c r="B5345" s="29" t="n">
        <v>43131</v>
      </c>
      <c r="C5345" t="inlineStr">
        <is>
          <t>2018-01</t>
        </is>
      </c>
      <c r="D5345" t="inlineStr">
        <is>
          <t>ce1a65abd0973638f1c887a6efcfa82d</t>
        </is>
      </c>
      <c r="E5345" t="inlineStr">
        <is>
          <t>paid_search</t>
        </is>
      </c>
      <c r="F5345">
        <f>IFERROR(MATCH(A5345,Deals!$A$2:$A$843,0),"")</f>
        <v/>
      </c>
      <c r="G5345">
        <f>IF(F5345="",0,1)</f>
        <v/>
      </c>
      <c r="H5345" s="29">
        <f>IF(F5345="","",INDEX(Deals!$E$2:$E$843,F5345))</f>
        <v/>
      </c>
      <c r="I5345">
        <f>IF(F5345="","",INDEX(Deals!$D$2:$D$843,F5345))</f>
        <v/>
      </c>
      <c r="J5345">
        <f>IF(F5345="","",INT(H5345)-B5345)</f>
        <v/>
      </c>
      <c r="K5345">
        <f>IF(B5345&gt;=Settings!$C$5,1,0)</f>
        <v/>
      </c>
    </row>
    <row r="5346">
      <c r="A5346" t="inlineStr">
        <is>
          <t>5af48a7f56dcce4f168b0ce5ced62d2f</t>
        </is>
      </c>
      <c r="B5346" s="29" t="n">
        <v>43244</v>
      </c>
      <c r="C5346" t="inlineStr">
        <is>
          <t>2018-05</t>
        </is>
      </c>
      <c r="D5346" t="inlineStr">
        <is>
          <t>330b9d44078a1ae5a221d655dcb77afa</t>
        </is>
      </c>
      <c r="E5346" t="inlineStr">
        <is>
          <t>organic_search</t>
        </is>
      </c>
      <c r="F5346">
        <f>IFERROR(MATCH(A5346,Deals!$A$2:$A$843,0),"")</f>
        <v/>
      </c>
      <c r="G5346">
        <f>IF(F5346="",0,1)</f>
        <v/>
      </c>
      <c r="H5346" s="29">
        <f>IF(F5346="","",INDEX(Deals!$E$2:$E$843,F5346))</f>
        <v/>
      </c>
      <c r="I5346">
        <f>IF(F5346="","",INDEX(Deals!$D$2:$D$843,F5346))</f>
        <v/>
      </c>
      <c r="J5346">
        <f>IF(F5346="","",INT(H5346)-B5346)</f>
        <v/>
      </c>
      <c r="K5346">
        <f>IF(B5346&gt;=Settings!$C$5,1,0)</f>
        <v/>
      </c>
    </row>
    <row r="5347">
      <c r="A5347" t="inlineStr">
        <is>
          <t>baa44eaf29fa441ecc49f495f77f4aff</t>
        </is>
      </c>
      <c r="B5347" s="29" t="n">
        <v>43209</v>
      </c>
      <c r="C5347" t="inlineStr">
        <is>
          <t>2018-04</t>
        </is>
      </c>
      <c r="D5347" t="inlineStr">
        <is>
          <t>33009ff58323b15ce24eba767675f434</t>
        </is>
      </c>
      <c r="E5347" t="inlineStr">
        <is>
          <t>paid_search</t>
        </is>
      </c>
      <c r="F5347">
        <f>IFERROR(MATCH(A5347,Deals!$A$2:$A$843,0),"")</f>
        <v/>
      </c>
      <c r="G5347">
        <f>IF(F5347="",0,1)</f>
        <v/>
      </c>
      <c r="H5347" s="29">
        <f>IF(F5347="","",INDEX(Deals!$E$2:$E$843,F5347))</f>
        <v/>
      </c>
      <c r="I5347">
        <f>IF(F5347="","",INDEX(Deals!$D$2:$D$843,F5347))</f>
        <v/>
      </c>
      <c r="J5347">
        <f>IF(F5347="","",INT(H5347)-B5347)</f>
        <v/>
      </c>
      <c r="K5347">
        <f>IF(B5347&gt;=Settings!$C$5,1,0)</f>
        <v/>
      </c>
    </row>
    <row r="5348">
      <c r="A5348" t="inlineStr">
        <is>
          <t>023f6fecc6b88ffa0b732dd682093b80</t>
        </is>
      </c>
      <c r="B5348" s="29" t="n">
        <v>43193</v>
      </c>
      <c r="C5348" t="inlineStr">
        <is>
          <t>2018-04</t>
        </is>
      </c>
      <c r="D5348" t="inlineStr">
        <is>
          <t>5679ae2329cbad78cdf97737d11bad06</t>
        </is>
      </c>
      <c r="E5348" t="inlineStr">
        <is>
          <t>unknown</t>
        </is>
      </c>
      <c r="F5348">
        <f>IFERROR(MATCH(A5348,Deals!$A$2:$A$843,0),"")</f>
        <v/>
      </c>
      <c r="G5348">
        <f>IF(F5348="",0,1)</f>
        <v/>
      </c>
      <c r="H5348" s="29">
        <f>IF(F5348="","",INDEX(Deals!$E$2:$E$843,F5348))</f>
        <v/>
      </c>
      <c r="I5348">
        <f>IF(F5348="","",INDEX(Deals!$D$2:$D$843,F5348))</f>
        <v/>
      </c>
      <c r="J5348">
        <f>IF(F5348="","",INT(H5348)-B5348)</f>
        <v/>
      </c>
      <c r="K5348">
        <f>IF(B5348&gt;=Settings!$C$5,1,0)</f>
        <v/>
      </c>
    </row>
    <row r="5349">
      <c r="A5349" t="inlineStr">
        <is>
          <t>8a47e6bee13f2b5cbd289c8471ff7ace</t>
        </is>
      </c>
      <c r="B5349" s="29" t="n">
        <v>43002</v>
      </c>
      <c r="C5349" t="inlineStr">
        <is>
          <t>2017-09</t>
        </is>
      </c>
      <c r="D5349" t="inlineStr">
        <is>
          <t>22c29808c4f815213303f8933030604c</t>
        </is>
      </c>
      <c r="E5349" t="inlineStr">
        <is>
          <t>referral</t>
        </is>
      </c>
      <c r="F5349">
        <f>IFERROR(MATCH(A5349,Deals!$A$2:$A$843,0),"")</f>
        <v/>
      </c>
      <c r="G5349">
        <f>IF(F5349="",0,1)</f>
        <v/>
      </c>
      <c r="H5349" s="29">
        <f>IF(F5349="","",INDEX(Deals!$E$2:$E$843,F5349))</f>
        <v/>
      </c>
      <c r="I5349">
        <f>IF(F5349="","",INDEX(Deals!$D$2:$D$843,F5349))</f>
        <v/>
      </c>
      <c r="J5349">
        <f>IF(F5349="","",INT(H5349)-B5349)</f>
        <v/>
      </c>
      <c r="K5349">
        <f>IF(B5349&gt;=Settings!$C$5,1,0)</f>
        <v/>
      </c>
    </row>
    <row r="5350">
      <c r="A5350" t="inlineStr">
        <is>
          <t>30c79ab1cb1bb865fe03120da341ee09</t>
        </is>
      </c>
      <c r="B5350" s="29" t="n">
        <v>43021</v>
      </c>
      <c r="C5350" t="inlineStr">
        <is>
          <t>2017-10</t>
        </is>
      </c>
      <c r="D5350" t="inlineStr">
        <is>
          <t>1722481ac9e5371e5099dea226b5421d</t>
        </is>
      </c>
      <c r="E5350" t="inlineStr">
        <is>
          <t>unknown</t>
        </is>
      </c>
      <c r="F5350">
        <f>IFERROR(MATCH(A5350,Deals!$A$2:$A$843,0),"")</f>
        <v/>
      </c>
      <c r="G5350">
        <f>IF(F5350="",0,1)</f>
        <v/>
      </c>
      <c r="H5350" s="29">
        <f>IF(F5350="","",INDEX(Deals!$E$2:$E$843,F5350))</f>
        <v/>
      </c>
      <c r="I5350">
        <f>IF(F5350="","",INDEX(Deals!$D$2:$D$843,F5350))</f>
        <v/>
      </c>
      <c r="J5350">
        <f>IF(F5350="","",INT(H5350)-B5350)</f>
        <v/>
      </c>
      <c r="K5350">
        <f>IF(B5350&gt;=Settings!$C$5,1,0)</f>
        <v/>
      </c>
    </row>
    <row r="5351">
      <c r="A5351" t="inlineStr">
        <is>
          <t>0ac2445b1dd415e2d4b3e68cf88e4381</t>
        </is>
      </c>
      <c r="B5351" s="29" t="n">
        <v>43230</v>
      </c>
      <c r="C5351" t="inlineStr">
        <is>
          <t>2018-05</t>
        </is>
      </c>
      <c r="D5351" t="inlineStr">
        <is>
          <t>46bd119220c8bf61324669b1d82203ac</t>
        </is>
      </c>
      <c r="E5351" t="inlineStr">
        <is>
          <t>other</t>
        </is>
      </c>
      <c r="F5351">
        <f>IFERROR(MATCH(A5351,Deals!$A$2:$A$843,0),"")</f>
        <v/>
      </c>
      <c r="G5351">
        <f>IF(F5351="",0,1)</f>
        <v/>
      </c>
      <c r="H5351" s="29">
        <f>IF(F5351="","",INDEX(Deals!$E$2:$E$843,F5351))</f>
        <v/>
      </c>
      <c r="I5351">
        <f>IF(F5351="","",INDEX(Deals!$D$2:$D$843,F5351))</f>
        <v/>
      </c>
      <c r="J5351">
        <f>IF(F5351="","",INT(H5351)-B5351)</f>
        <v/>
      </c>
      <c r="K5351">
        <f>IF(B5351&gt;=Settings!$C$5,1,0)</f>
        <v/>
      </c>
    </row>
    <row r="5352">
      <c r="A5352" t="inlineStr">
        <is>
          <t>4bf9decb991cfa0ff9d26f47f2e807b9</t>
        </is>
      </c>
      <c r="B5352" s="29" t="n">
        <v>43222</v>
      </c>
      <c r="C5352" t="inlineStr">
        <is>
          <t>2018-05</t>
        </is>
      </c>
      <c r="D5352" t="inlineStr">
        <is>
          <t>58326e62183c14b0c03085c33b9fdc44</t>
        </is>
      </c>
      <c r="E5352" t="inlineStr">
        <is>
          <t>social</t>
        </is>
      </c>
      <c r="F5352">
        <f>IFERROR(MATCH(A5352,Deals!$A$2:$A$843,0),"")</f>
        <v/>
      </c>
      <c r="G5352">
        <f>IF(F5352="",0,1)</f>
        <v/>
      </c>
      <c r="H5352" s="29">
        <f>IF(F5352="","",INDEX(Deals!$E$2:$E$843,F5352))</f>
        <v/>
      </c>
      <c r="I5352">
        <f>IF(F5352="","",INDEX(Deals!$D$2:$D$843,F5352))</f>
        <v/>
      </c>
      <c r="J5352">
        <f>IF(F5352="","",INT(H5352)-B5352)</f>
        <v/>
      </c>
      <c r="K5352">
        <f>IF(B5352&gt;=Settings!$C$5,1,0)</f>
        <v/>
      </c>
    </row>
    <row r="5353">
      <c r="A5353" t="inlineStr">
        <is>
          <t>dd39400710867187ef39d00d99991082</t>
        </is>
      </c>
      <c r="B5353" s="29" t="n">
        <v>43246</v>
      </c>
      <c r="C5353" t="inlineStr">
        <is>
          <t>2018-05</t>
        </is>
      </c>
      <c r="D5353" t="inlineStr">
        <is>
          <t>58326e62183c14b0c03085c33b9fdc44</t>
        </is>
      </c>
      <c r="E5353" t="inlineStr">
        <is>
          <t>social</t>
        </is>
      </c>
      <c r="F5353">
        <f>IFERROR(MATCH(A5353,Deals!$A$2:$A$843,0),"")</f>
        <v/>
      </c>
      <c r="G5353">
        <f>IF(F5353="",0,1)</f>
        <v/>
      </c>
      <c r="H5353" s="29">
        <f>IF(F5353="","",INDEX(Deals!$E$2:$E$843,F5353))</f>
        <v/>
      </c>
      <c r="I5353">
        <f>IF(F5353="","",INDEX(Deals!$D$2:$D$843,F5353))</f>
        <v/>
      </c>
      <c r="J5353">
        <f>IF(F5353="","",INT(H5353)-B5353)</f>
        <v/>
      </c>
      <c r="K5353">
        <f>IF(B5353&gt;=Settings!$C$5,1,0)</f>
        <v/>
      </c>
    </row>
    <row r="5354">
      <c r="A5354" t="inlineStr">
        <is>
          <t>72811f4732ddc88edfc27602efc34145</t>
        </is>
      </c>
      <c r="B5354" s="29" t="n">
        <v>43110</v>
      </c>
      <c r="C5354" t="inlineStr">
        <is>
          <t>2018-01</t>
        </is>
      </c>
      <c r="D5354" t="inlineStr">
        <is>
          <t>b76ef37428e6799c421989521c0e5077</t>
        </is>
      </c>
      <c r="E5354" t="inlineStr">
        <is>
          <t>unknown</t>
        </is>
      </c>
      <c r="F5354">
        <f>IFERROR(MATCH(A5354,Deals!$A$2:$A$843,0),"")</f>
        <v/>
      </c>
      <c r="G5354">
        <f>IF(F5354="",0,1)</f>
        <v/>
      </c>
      <c r="H5354" s="29">
        <f>IF(F5354="","",INDEX(Deals!$E$2:$E$843,F5354))</f>
        <v/>
      </c>
      <c r="I5354">
        <f>IF(F5354="","",INDEX(Deals!$D$2:$D$843,F5354))</f>
        <v/>
      </c>
      <c r="J5354">
        <f>IF(F5354="","",INT(H5354)-B5354)</f>
        <v/>
      </c>
      <c r="K5354">
        <f>IF(B5354&gt;=Settings!$C$5,1,0)</f>
        <v/>
      </c>
    </row>
    <row r="5355">
      <c r="A5355" t="inlineStr">
        <is>
          <t>6fb475e33fd1df9c376f2c7256458e9f</t>
        </is>
      </c>
      <c r="B5355" s="29" t="n">
        <v>43153</v>
      </c>
      <c r="C5355" t="inlineStr">
        <is>
          <t>2018-02</t>
        </is>
      </c>
      <c r="D5355" t="inlineStr">
        <is>
          <t>b76ef37428e6799c421989521c0e5077</t>
        </is>
      </c>
      <c r="E5355" t="inlineStr">
        <is>
          <t>unknown</t>
        </is>
      </c>
      <c r="F5355">
        <f>IFERROR(MATCH(A5355,Deals!$A$2:$A$843,0),"")</f>
        <v/>
      </c>
      <c r="G5355">
        <f>IF(F5355="",0,1)</f>
        <v/>
      </c>
      <c r="H5355" s="29">
        <f>IF(F5355="","",INDEX(Deals!$E$2:$E$843,F5355))</f>
        <v/>
      </c>
      <c r="I5355">
        <f>IF(F5355="","",INDEX(Deals!$D$2:$D$843,F5355))</f>
        <v/>
      </c>
      <c r="J5355">
        <f>IF(F5355="","",INT(H5355)-B5355)</f>
        <v/>
      </c>
      <c r="K5355">
        <f>IF(B5355&gt;=Settings!$C$5,1,0)</f>
        <v/>
      </c>
    </row>
    <row r="5356">
      <c r="A5356" t="inlineStr">
        <is>
          <t>b2e6e837143d63daca07f522905f79a9</t>
        </is>
      </c>
      <c r="B5356" s="29" t="n">
        <v>43223</v>
      </c>
      <c r="C5356" t="inlineStr">
        <is>
          <t>2018-05</t>
        </is>
      </c>
      <c r="D5356" t="inlineStr">
        <is>
          <t>58326e62183c14b0c03085c33b9fdc44</t>
        </is>
      </c>
      <c r="E5356" t="inlineStr">
        <is>
          <t>social</t>
        </is>
      </c>
      <c r="F5356">
        <f>IFERROR(MATCH(A5356,Deals!$A$2:$A$843,0),"")</f>
        <v/>
      </c>
      <c r="G5356">
        <f>IF(F5356="",0,1)</f>
        <v/>
      </c>
      <c r="H5356" s="29">
        <f>IF(F5356="","",INDEX(Deals!$E$2:$E$843,F5356))</f>
        <v/>
      </c>
      <c r="I5356">
        <f>IF(F5356="","",INDEX(Deals!$D$2:$D$843,F5356))</f>
        <v/>
      </c>
      <c r="J5356">
        <f>IF(F5356="","",INT(H5356)-B5356)</f>
        <v/>
      </c>
      <c r="K5356">
        <f>IF(B5356&gt;=Settings!$C$5,1,0)</f>
        <v/>
      </c>
    </row>
    <row r="5357">
      <c r="A5357" t="inlineStr">
        <is>
          <t>f410c50342ffdcfe68cc45b1c41a3d9a</t>
        </is>
      </c>
      <c r="B5357" s="29" t="n">
        <v>43112</v>
      </c>
      <c r="C5357" t="inlineStr">
        <is>
          <t>2018-01</t>
        </is>
      </c>
      <c r="D5357" t="inlineStr">
        <is>
          <t>22c29808c4f815213303f8933030604c</t>
        </is>
      </c>
      <c r="E5357" t="inlineStr">
        <is>
          <t>referral</t>
        </is>
      </c>
      <c r="F5357">
        <f>IFERROR(MATCH(A5357,Deals!$A$2:$A$843,0),"")</f>
        <v/>
      </c>
      <c r="G5357">
        <f>IF(F5357="",0,1)</f>
        <v/>
      </c>
      <c r="H5357" s="29">
        <f>IF(F5357="","",INDEX(Deals!$E$2:$E$843,F5357))</f>
        <v/>
      </c>
      <c r="I5357">
        <f>IF(F5357="","",INDEX(Deals!$D$2:$D$843,F5357))</f>
        <v/>
      </c>
      <c r="J5357">
        <f>IF(F5357="","",INT(H5357)-B5357)</f>
        <v/>
      </c>
      <c r="K5357">
        <f>IF(B5357&gt;=Settings!$C$5,1,0)</f>
        <v/>
      </c>
    </row>
    <row r="5358">
      <c r="A5358" t="inlineStr">
        <is>
          <t>b4315f87bc8e2180eb73465d8f5a5cd5</t>
        </is>
      </c>
      <c r="B5358" s="29" t="n">
        <v>43004</v>
      </c>
      <c r="C5358" t="inlineStr">
        <is>
          <t>2017-09</t>
        </is>
      </c>
      <c r="D5358" t="inlineStr">
        <is>
          <t>c79bafc4a099ff23e3bab1534797fb45</t>
        </is>
      </c>
      <c r="E5358" t="inlineStr">
        <is>
          <t>paid_search</t>
        </is>
      </c>
      <c r="F5358">
        <f>IFERROR(MATCH(A5358,Deals!$A$2:$A$843,0),"")</f>
        <v/>
      </c>
      <c r="G5358">
        <f>IF(F5358="",0,1)</f>
        <v/>
      </c>
      <c r="H5358" s="29">
        <f>IF(F5358="","",INDEX(Deals!$E$2:$E$843,F5358))</f>
        <v/>
      </c>
      <c r="I5358">
        <f>IF(F5358="","",INDEX(Deals!$D$2:$D$843,F5358))</f>
        <v/>
      </c>
      <c r="J5358">
        <f>IF(F5358="","",INT(H5358)-B5358)</f>
        <v/>
      </c>
      <c r="K5358">
        <f>IF(B5358&gt;=Settings!$C$5,1,0)</f>
        <v/>
      </c>
    </row>
    <row r="5359">
      <c r="A5359" t="inlineStr">
        <is>
          <t>972d8bb6ba69dafce218d8c9218de7dd</t>
        </is>
      </c>
      <c r="B5359" s="29" t="n">
        <v>43156</v>
      </c>
      <c r="C5359" t="inlineStr">
        <is>
          <t>2018-02</t>
        </is>
      </c>
      <c r="D5359" t="inlineStr">
        <is>
          <t>966098efaef7a4d665be6b0cb617541b</t>
        </is>
      </c>
      <c r="E5359" t="inlineStr">
        <is>
          <t>organic_search</t>
        </is>
      </c>
      <c r="F5359">
        <f>IFERROR(MATCH(A5359,Deals!$A$2:$A$843,0),"")</f>
        <v/>
      </c>
      <c r="G5359">
        <f>IF(F5359="",0,1)</f>
        <v/>
      </c>
      <c r="H5359" s="29">
        <f>IF(F5359="","",INDEX(Deals!$E$2:$E$843,F5359))</f>
        <v/>
      </c>
      <c r="I5359">
        <f>IF(F5359="","",INDEX(Deals!$D$2:$D$843,F5359))</f>
        <v/>
      </c>
      <c r="J5359">
        <f>IF(F5359="","",INT(H5359)-B5359)</f>
        <v/>
      </c>
      <c r="K5359">
        <f>IF(B5359&gt;=Settings!$C$5,1,0)</f>
        <v/>
      </c>
    </row>
    <row r="5360">
      <c r="A5360" t="inlineStr">
        <is>
          <t>70bd89abdbdba90e471cd3d0bbdbac49</t>
        </is>
      </c>
      <c r="B5360" s="29" t="n">
        <v>42902</v>
      </c>
      <c r="C5360" t="inlineStr">
        <is>
          <t>2017-06</t>
        </is>
      </c>
      <c r="D5360" t="inlineStr">
        <is>
          <t>8f08d2ef8b9aec2ec5118fbcf7f96f11</t>
        </is>
      </c>
      <c r="E5360" t="inlineStr">
        <is>
          <t>unknown</t>
        </is>
      </c>
      <c r="F5360">
        <f>IFERROR(MATCH(A5360,Deals!$A$2:$A$843,0),"")</f>
        <v/>
      </c>
      <c r="G5360">
        <f>IF(F5360="",0,1)</f>
        <v/>
      </c>
      <c r="H5360" s="29">
        <f>IF(F5360="","",INDEX(Deals!$E$2:$E$843,F5360))</f>
        <v/>
      </c>
      <c r="I5360">
        <f>IF(F5360="","",INDEX(Deals!$D$2:$D$843,F5360))</f>
        <v/>
      </c>
      <c r="J5360">
        <f>IF(F5360="","",INT(H5360)-B5360)</f>
        <v/>
      </c>
      <c r="K5360">
        <f>IF(B5360&gt;=Settings!$C$5,1,0)</f>
        <v/>
      </c>
    </row>
    <row r="5361">
      <c r="A5361" t="inlineStr">
        <is>
          <t>67a381bd43fbf14a0a122b8ae1bb271a</t>
        </is>
      </c>
      <c r="B5361" s="29" t="n">
        <v>43166</v>
      </c>
      <c r="C5361" t="inlineStr">
        <is>
          <t>2018-03</t>
        </is>
      </c>
      <c r="D5361" t="inlineStr">
        <is>
          <t>da14b7e2eb0d1eecf65abbd05a31c87d</t>
        </is>
      </c>
      <c r="E5361" t="inlineStr">
        <is>
          <t>direct_traffic</t>
        </is>
      </c>
      <c r="F5361">
        <f>IFERROR(MATCH(A5361,Deals!$A$2:$A$843,0),"")</f>
        <v/>
      </c>
      <c r="G5361">
        <f>IF(F5361="",0,1)</f>
        <v/>
      </c>
      <c r="H5361" s="29">
        <f>IF(F5361="","",INDEX(Deals!$E$2:$E$843,F5361))</f>
        <v/>
      </c>
      <c r="I5361">
        <f>IF(F5361="","",INDEX(Deals!$D$2:$D$843,F5361))</f>
        <v/>
      </c>
      <c r="J5361">
        <f>IF(F5361="","",INT(H5361)-B5361)</f>
        <v/>
      </c>
      <c r="K5361">
        <f>IF(B5361&gt;=Settings!$C$5,1,0)</f>
        <v/>
      </c>
    </row>
    <row r="5362">
      <c r="A5362" t="inlineStr">
        <is>
          <t>57c0ef6ca5eb27bf4dd7ff5bc1ba7d0d</t>
        </is>
      </c>
      <c r="B5362" s="29" t="n">
        <v>42964</v>
      </c>
      <c r="C5362" t="inlineStr">
        <is>
          <t>2017-08</t>
        </is>
      </c>
      <c r="D5362" t="inlineStr">
        <is>
          <t>128d8c3f32b8aa66b5bcbe4e26dfc78d</t>
        </is>
      </c>
      <c r="E5362" t="inlineStr">
        <is>
          <t>email</t>
        </is>
      </c>
      <c r="F5362">
        <f>IFERROR(MATCH(A5362,Deals!$A$2:$A$843,0),"")</f>
        <v/>
      </c>
      <c r="G5362">
        <f>IF(F5362="",0,1)</f>
        <v/>
      </c>
      <c r="H5362" s="29">
        <f>IF(F5362="","",INDEX(Deals!$E$2:$E$843,F5362))</f>
        <v/>
      </c>
      <c r="I5362">
        <f>IF(F5362="","",INDEX(Deals!$D$2:$D$843,F5362))</f>
        <v/>
      </c>
      <c r="J5362">
        <f>IF(F5362="","",INT(H5362)-B5362)</f>
        <v/>
      </c>
      <c r="K5362">
        <f>IF(B5362&gt;=Settings!$C$5,1,0)</f>
        <v/>
      </c>
    </row>
    <row r="5363">
      <c r="A5363" t="inlineStr">
        <is>
          <t>d63a547cfc3e2f4857616de5b10d6973</t>
        </is>
      </c>
      <c r="B5363" s="29" t="n">
        <v>43222</v>
      </c>
      <c r="C5363" t="inlineStr">
        <is>
          <t>2018-05</t>
        </is>
      </c>
      <c r="D5363" t="inlineStr">
        <is>
          <t>b76ef37428e6799c421989521c0e5077</t>
        </is>
      </c>
      <c r="E5363" t="inlineStr">
        <is>
          <t>unknown</t>
        </is>
      </c>
      <c r="F5363">
        <f>IFERROR(MATCH(A5363,Deals!$A$2:$A$843,0),"")</f>
        <v/>
      </c>
      <c r="G5363">
        <f>IF(F5363="",0,1)</f>
        <v/>
      </c>
      <c r="H5363" s="29">
        <f>IF(F5363="","",INDEX(Deals!$E$2:$E$843,F5363))</f>
        <v/>
      </c>
      <c r="I5363">
        <f>IF(F5363="","",INDEX(Deals!$D$2:$D$843,F5363))</f>
        <v/>
      </c>
      <c r="J5363">
        <f>IF(F5363="","",INT(H5363)-B5363)</f>
        <v/>
      </c>
      <c r="K5363">
        <f>IF(B5363&gt;=Settings!$C$5,1,0)</f>
        <v/>
      </c>
    </row>
    <row r="5364">
      <c r="A5364" t="inlineStr">
        <is>
          <t>15dbcea862355bc3fa8921bf3c36b1c8</t>
        </is>
      </c>
      <c r="B5364" s="29" t="n">
        <v>43171</v>
      </c>
      <c r="C5364" t="inlineStr">
        <is>
          <t>2018-03</t>
        </is>
      </c>
      <c r="D5364" t="inlineStr">
        <is>
          <t>15cf89bab2c3163b4f9d8601d108f8b2</t>
        </is>
      </c>
      <c r="E5364" t="inlineStr">
        <is>
          <t>organic_search</t>
        </is>
      </c>
      <c r="F5364">
        <f>IFERROR(MATCH(A5364,Deals!$A$2:$A$843,0),"")</f>
        <v/>
      </c>
      <c r="G5364">
        <f>IF(F5364="",0,1)</f>
        <v/>
      </c>
      <c r="H5364" s="29">
        <f>IF(F5364="","",INDEX(Deals!$E$2:$E$843,F5364))</f>
        <v/>
      </c>
      <c r="I5364">
        <f>IF(F5364="","",INDEX(Deals!$D$2:$D$843,F5364))</f>
        <v/>
      </c>
      <c r="J5364">
        <f>IF(F5364="","",INT(H5364)-B5364)</f>
        <v/>
      </c>
      <c r="K5364">
        <f>IF(B5364&gt;=Settings!$C$5,1,0)</f>
        <v/>
      </c>
    </row>
    <row r="5365">
      <c r="A5365" t="inlineStr">
        <is>
          <t>13349a1d2d1c176d5fa2124ce62d35a2</t>
        </is>
      </c>
      <c r="B5365" s="29" t="n">
        <v>43145</v>
      </c>
      <c r="C5365" t="inlineStr">
        <is>
          <t>2018-02</t>
        </is>
      </c>
      <c r="D5365" t="inlineStr">
        <is>
          <t>b76ef37428e6799c421989521c0e5077</t>
        </is>
      </c>
      <c r="E5365" t="inlineStr">
        <is>
          <t>unknown</t>
        </is>
      </c>
      <c r="F5365">
        <f>IFERROR(MATCH(A5365,Deals!$A$2:$A$843,0),"")</f>
        <v/>
      </c>
      <c r="G5365">
        <f>IF(F5365="",0,1)</f>
        <v/>
      </c>
      <c r="H5365" s="29">
        <f>IF(F5365="","",INDEX(Deals!$E$2:$E$843,F5365))</f>
        <v/>
      </c>
      <c r="I5365">
        <f>IF(F5365="","",INDEX(Deals!$D$2:$D$843,F5365))</f>
        <v/>
      </c>
      <c r="J5365">
        <f>IF(F5365="","",INT(H5365)-B5365)</f>
        <v/>
      </c>
      <c r="K5365">
        <f>IF(B5365&gt;=Settings!$C$5,1,0)</f>
        <v/>
      </c>
    </row>
    <row r="5366">
      <c r="A5366" t="inlineStr">
        <is>
          <t>a1c61921bdd6ed619ed8d854edfa535a</t>
        </is>
      </c>
      <c r="B5366" s="29" t="n">
        <v>43104</v>
      </c>
      <c r="C5366" t="inlineStr">
        <is>
          <t>2018-01</t>
        </is>
      </c>
      <c r="D5366" t="inlineStr">
        <is>
          <t>88740e65d5d6b056e0cda098e1ea6313</t>
        </is>
      </c>
      <c r="E5366" t="inlineStr">
        <is>
          <t>social</t>
        </is>
      </c>
      <c r="F5366">
        <f>IFERROR(MATCH(A5366,Deals!$A$2:$A$843,0),"")</f>
        <v/>
      </c>
      <c r="G5366">
        <f>IF(F5366="",0,1)</f>
        <v/>
      </c>
      <c r="H5366" s="29">
        <f>IF(F5366="","",INDEX(Deals!$E$2:$E$843,F5366))</f>
        <v/>
      </c>
      <c r="I5366">
        <f>IF(F5366="","",INDEX(Deals!$D$2:$D$843,F5366))</f>
        <v/>
      </c>
      <c r="J5366">
        <f>IF(F5366="","",INT(H5366)-B5366)</f>
        <v/>
      </c>
      <c r="K5366">
        <f>IF(B5366&gt;=Settings!$C$5,1,0)</f>
        <v/>
      </c>
    </row>
    <row r="5367">
      <c r="A5367" t="inlineStr">
        <is>
          <t>518a0d4fdd28c9875618b3d7833831e2</t>
        </is>
      </c>
      <c r="B5367" s="29" t="n">
        <v>42966</v>
      </c>
      <c r="C5367" t="inlineStr">
        <is>
          <t>2017-08</t>
        </is>
      </c>
      <c r="D5367" t="inlineStr">
        <is>
          <t>e492ee5eaf1697716985cc6f33f9cd9b</t>
        </is>
      </c>
      <c r="E5367" t="inlineStr">
        <is>
          <t>email</t>
        </is>
      </c>
      <c r="F5367">
        <f>IFERROR(MATCH(A5367,Deals!$A$2:$A$843,0),"")</f>
        <v/>
      </c>
      <c r="G5367">
        <f>IF(F5367="",0,1)</f>
        <v/>
      </c>
      <c r="H5367" s="29">
        <f>IF(F5367="","",INDEX(Deals!$E$2:$E$843,F5367))</f>
        <v/>
      </c>
      <c r="I5367">
        <f>IF(F5367="","",INDEX(Deals!$D$2:$D$843,F5367))</f>
        <v/>
      </c>
      <c r="J5367">
        <f>IF(F5367="","",INT(H5367)-B5367)</f>
        <v/>
      </c>
      <c r="K5367">
        <f>IF(B5367&gt;=Settings!$C$5,1,0)</f>
        <v/>
      </c>
    </row>
    <row r="5368">
      <c r="A5368" t="inlineStr">
        <is>
          <t>f6eb193f3ea3d0145fbfdd597cd5cab5</t>
        </is>
      </c>
      <c r="B5368" s="29" t="n">
        <v>43216</v>
      </c>
      <c r="C5368" t="inlineStr">
        <is>
          <t>2018-04</t>
        </is>
      </c>
      <c r="D5368" t="inlineStr">
        <is>
          <t>58326e62183c14b0c03085c33b9fdc44</t>
        </is>
      </c>
      <c r="E5368" t="inlineStr">
        <is>
          <t>social</t>
        </is>
      </c>
      <c r="F5368">
        <f>IFERROR(MATCH(A5368,Deals!$A$2:$A$843,0),"")</f>
        <v/>
      </c>
      <c r="G5368">
        <f>IF(F5368="",0,1)</f>
        <v/>
      </c>
      <c r="H5368" s="29">
        <f>IF(F5368="","",INDEX(Deals!$E$2:$E$843,F5368))</f>
        <v/>
      </c>
      <c r="I5368">
        <f>IF(F5368="","",INDEX(Deals!$D$2:$D$843,F5368))</f>
        <v/>
      </c>
      <c r="J5368">
        <f>IF(F5368="","",INT(H5368)-B5368)</f>
        <v/>
      </c>
      <c r="K5368">
        <f>IF(B5368&gt;=Settings!$C$5,1,0)</f>
        <v/>
      </c>
    </row>
    <row r="5369">
      <c r="A5369" t="inlineStr">
        <is>
          <t>6d8fa950c459e372f77ea0a54a54cc7a</t>
        </is>
      </c>
      <c r="B5369" s="29" t="n">
        <v>43235</v>
      </c>
      <c r="C5369" t="inlineStr">
        <is>
          <t>2018-05</t>
        </is>
      </c>
      <c r="D5369" t="inlineStr">
        <is>
          <t>87e8cbe800fd79c7109fb24081c1c31d</t>
        </is>
      </c>
      <c r="E5369" t="inlineStr">
        <is>
          <t>unknown</t>
        </is>
      </c>
      <c r="F5369">
        <f>IFERROR(MATCH(A5369,Deals!$A$2:$A$843,0),"")</f>
        <v/>
      </c>
      <c r="G5369">
        <f>IF(F5369="",0,1)</f>
        <v/>
      </c>
      <c r="H5369" s="29">
        <f>IF(F5369="","",INDEX(Deals!$E$2:$E$843,F5369))</f>
        <v/>
      </c>
      <c r="I5369">
        <f>IF(F5369="","",INDEX(Deals!$D$2:$D$843,F5369))</f>
        <v/>
      </c>
      <c r="J5369">
        <f>IF(F5369="","",INT(H5369)-B5369)</f>
        <v/>
      </c>
      <c r="K5369">
        <f>IF(B5369&gt;=Settings!$C$5,1,0)</f>
        <v/>
      </c>
    </row>
    <row r="5370">
      <c r="A5370" t="inlineStr">
        <is>
          <t>b485983611ae3465a283b77763a4c776</t>
        </is>
      </c>
      <c r="B5370" s="29" t="n">
        <v>43147</v>
      </c>
      <c r="C5370" t="inlineStr">
        <is>
          <t>2018-02</t>
        </is>
      </c>
      <c r="D5370" t="inlineStr">
        <is>
          <t>22c29808c4f815213303f8933030604c</t>
        </is>
      </c>
      <c r="E5370" t="inlineStr">
        <is>
          <t>direct_traffic</t>
        </is>
      </c>
      <c r="F5370">
        <f>IFERROR(MATCH(A5370,Deals!$A$2:$A$843,0),"")</f>
        <v/>
      </c>
      <c r="G5370">
        <f>IF(F5370="",0,1)</f>
        <v/>
      </c>
      <c r="H5370" s="29">
        <f>IF(F5370="","",INDEX(Deals!$E$2:$E$843,F5370))</f>
        <v/>
      </c>
      <c r="I5370">
        <f>IF(F5370="","",INDEX(Deals!$D$2:$D$843,F5370))</f>
        <v/>
      </c>
      <c r="J5370">
        <f>IF(F5370="","",INT(H5370)-B5370)</f>
        <v/>
      </c>
      <c r="K5370">
        <f>IF(B5370&gt;=Settings!$C$5,1,0)</f>
        <v/>
      </c>
    </row>
    <row r="5371">
      <c r="A5371" t="inlineStr">
        <is>
          <t>eab9f1361c92ce3589c5423826b70ee5</t>
        </is>
      </c>
      <c r="B5371" s="29" t="n">
        <v>43114</v>
      </c>
      <c r="C5371" t="inlineStr">
        <is>
          <t>2018-01</t>
        </is>
      </c>
      <c r="D5371" t="inlineStr">
        <is>
          <t>ee3c3bad6ed3eb9d5de56688d1f9c91b</t>
        </is>
      </c>
      <c r="E5371" t="inlineStr">
        <is>
          <t>organic_search</t>
        </is>
      </c>
      <c r="F5371">
        <f>IFERROR(MATCH(A5371,Deals!$A$2:$A$843,0),"")</f>
        <v/>
      </c>
      <c r="G5371">
        <f>IF(F5371="",0,1)</f>
        <v/>
      </c>
      <c r="H5371" s="29">
        <f>IF(F5371="","",INDEX(Deals!$E$2:$E$843,F5371))</f>
        <v/>
      </c>
      <c r="I5371">
        <f>IF(F5371="","",INDEX(Deals!$D$2:$D$843,F5371))</f>
        <v/>
      </c>
      <c r="J5371">
        <f>IF(F5371="","",INT(H5371)-B5371)</f>
        <v/>
      </c>
      <c r="K5371">
        <f>IF(B5371&gt;=Settings!$C$5,1,0)</f>
        <v/>
      </c>
    </row>
    <row r="5372">
      <c r="A5372" t="inlineStr">
        <is>
          <t>6fe5d47a28d687083cd32913c828629b</t>
        </is>
      </c>
      <c r="B5372" s="29" t="n">
        <v>43195</v>
      </c>
      <c r="C5372" t="inlineStr">
        <is>
          <t>2018-04</t>
        </is>
      </c>
      <c r="D5372" t="inlineStr">
        <is>
          <t>ea0650174e273c41e12002dcdd4708be</t>
        </is>
      </c>
      <c r="E5372" t="inlineStr">
        <is>
          <t>direct_traffic</t>
        </is>
      </c>
      <c r="F5372">
        <f>IFERROR(MATCH(A5372,Deals!$A$2:$A$843,0),"")</f>
        <v/>
      </c>
      <c r="G5372">
        <f>IF(F5372="",0,1)</f>
        <v/>
      </c>
      <c r="H5372" s="29">
        <f>IF(F5372="","",INDEX(Deals!$E$2:$E$843,F5372))</f>
        <v/>
      </c>
      <c r="I5372">
        <f>IF(F5372="","",INDEX(Deals!$D$2:$D$843,F5372))</f>
        <v/>
      </c>
      <c r="J5372">
        <f>IF(F5372="","",INT(H5372)-B5372)</f>
        <v/>
      </c>
      <c r="K5372">
        <f>IF(B5372&gt;=Settings!$C$5,1,0)</f>
        <v/>
      </c>
    </row>
    <row r="5373">
      <c r="A5373" t="inlineStr">
        <is>
          <t>f9639421ad8666783822bcb2e5b8eb8b</t>
        </is>
      </c>
      <c r="B5373" s="29" t="n">
        <v>43180</v>
      </c>
      <c r="C5373" t="inlineStr">
        <is>
          <t>2018-03</t>
        </is>
      </c>
      <c r="D5373" t="inlineStr">
        <is>
          <t>2b3ba77df5d7657e8c515a1c74155b99</t>
        </is>
      </c>
      <c r="E5373" t="inlineStr">
        <is>
          <t>organic_search</t>
        </is>
      </c>
      <c r="F5373">
        <f>IFERROR(MATCH(A5373,Deals!$A$2:$A$843,0),"")</f>
        <v/>
      </c>
      <c r="G5373">
        <f>IF(F5373="",0,1)</f>
        <v/>
      </c>
      <c r="H5373" s="29">
        <f>IF(F5373="","",INDEX(Deals!$E$2:$E$843,F5373))</f>
        <v/>
      </c>
      <c r="I5373">
        <f>IF(F5373="","",INDEX(Deals!$D$2:$D$843,F5373))</f>
        <v/>
      </c>
      <c r="J5373">
        <f>IF(F5373="","",INT(H5373)-B5373)</f>
        <v/>
      </c>
      <c r="K5373">
        <f>IF(B5373&gt;=Settings!$C$5,1,0)</f>
        <v/>
      </c>
    </row>
    <row r="5374">
      <c r="A5374" t="inlineStr">
        <is>
          <t>aca3eab528ac05b124ab0c7b11a3025a</t>
        </is>
      </c>
      <c r="B5374" s="29" t="n">
        <v>43230</v>
      </c>
      <c r="C5374" t="inlineStr">
        <is>
          <t>2018-05</t>
        </is>
      </c>
      <c r="D5374" t="inlineStr">
        <is>
          <t>d75a2371281f42d607be43b08bd74905</t>
        </is>
      </c>
      <c r="E5374" t="inlineStr">
        <is>
          <t>email</t>
        </is>
      </c>
      <c r="F5374">
        <f>IFERROR(MATCH(A5374,Deals!$A$2:$A$843,0),"")</f>
        <v/>
      </c>
      <c r="G5374">
        <f>IF(F5374="",0,1)</f>
        <v/>
      </c>
      <c r="H5374" s="29">
        <f>IF(F5374="","",INDEX(Deals!$E$2:$E$843,F5374))</f>
        <v/>
      </c>
      <c r="I5374">
        <f>IF(F5374="","",INDEX(Deals!$D$2:$D$843,F5374))</f>
        <v/>
      </c>
      <c r="J5374">
        <f>IF(F5374="","",INT(H5374)-B5374)</f>
        <v/>
      </c>
      <c r="K5374">
        <f>IF(B5374&gt;=Settings!$C$5,1,0)</f>
        <v/>
      </c>
    </row>
    <row r="5375">
      <c r="A5375" t="inlineStr">
        <is>
          <t>bac41b1c7076448403ae19b730a6da78</t>
        </is>
      </c>
      <c r="B5375" s="29" t="n">
        <v>43139</v>
      </c>
      <c r="C5375" t="inlineStr">
        <is>
          <t>2018-02</t>
        </is>
      </c>
      <c r="D5375" t="inlineStr">
        <is>
          <t>22c29808c4f815213303f8933030604c</t>
        </is>
      </c>
      <c r="E5375" t="inlineStr">
        <is>
          <t>paid_search</t>
        </is>
      </c>
      <c r="F5375">
        <f>IFERROR(MATCH(A5375,Deals!$A$2:$A$843,0),"")</f>
        <v/>
      </c>
      <c r="G5375">
        <f>IF(F5375="",0,1)</f>
        <v/>
      </c>
      <c r="H5375" s="29">
        <f>IF(F5375="","",INDEX(Deals!$E$2:$E$843,F5375))</f>
        <v/>
      </c>
      <c r="I5375">
        <f>IF(F5375="","",INDEX(Deals!$D$2:$D$843,F5375))</f>
        <v/>
      </c>
      <c r="J5375">
        <f>IF(F5375="","",INT(H5375)-B5375)</f>
        <v/>
      </c>
      <c r="K5375">
        <f>IF(B5375&gt;=Settings!$C$5,1,0)</f>
        <v/>
      </c>
    </row>
    <row r="5376">
      <c r="A5376" t="inlineStr">
        <is>
          <t>6b0ac5c5ab0f8939442c42704c5493b0</t>
        </is>
      </c>
      <c r="B5376" s="29" t="n">
        <v>43245</v>
      </c>
      <c r="C5376" t="inlineStr">
        <is>
          <t>2018-05</t>
        </is>
      </c>
      <c r="D5376" t="inlineStr">
        <is>
          <t>9d72960ad2cfeaa46192fa3dba4e498e</t>
        </is>
      </c>
      <c r="E5376" t="inlineStr">
        <is>
          <t>(missing)</t>
        </is>
      </c>
      <c r="F5376">
        <f>IFERROR(MATCH(A5376,Deals!$A$2:$A$843,0),"")</f>
        <v/>
      </c>
      <c r="G5376">
        <f>IF(F5376="",0,1)</f>
        <v/>
      </c>
      <c r="H5376" s="29">
        <f>IF(F5376="","",INDEX(Deals!$E$2:$E$843,F5376))</f>
        <v/>
      </c>
      <c r="I5376">
        <f>IF(F5376="","",INDEX(Deals!$D$2:$D$843,F5376))</f>
        <v/>
      </c>
      <c r="J5376">
        <f>IF(F5376="","",INT(H5376)-B5376)</f>
        <v/>
      </c>
      <c r="K5376">
        <f>IF(B5376&gt;=Settings!$C$5,1,0)</f>
        <v/>
      </c>
    </row>
    <row r="5377">
      <c r="A5377" t="inlineStr">
        <is>
          <t>4e66060c0310857bdb8e63a873d5afd7</t>
        </is>
      </c>
      <c r="B5377" s="29" t="n">
        <v>43145</v>
      </c>
      <c r="C5377" t="inlineStr">
        <is>
          <t>2018-02</t>
        </is>
      </c>
      <c r="D5377" t="inlineStr">
        <is>
          <t>65d9f9d71e562365e8b44037c2888d98</t>
        </is>
      </c>
      <c r="E5377" t="inlineStr">
        <is>
          <t>organic_search</t>
        </is>
      </c>
      <c r="F5377">
        <f>IFERROR(MATCH(A5377,Deals!$A$2:$A$843,0),"")</f>
        <v/>
      </c>
      <c r="G5377">
        <f>IF(F5377="",0,1)</f>
        <v/>
      </c>
      <c r="H5377" s="29">
        <f>IF(F5377="","",INDEX(Deals!$E$2:$E$843,F5377))</f>
        <v/>
      </c>
      <c r="I5377">
        <f>IF(F5377="","",INDEX(Deals!$D$2:$D$843,F5377))</f>
        <v/>
      </c>
      <c r="J5377">
        <f>IF(F5377="","",INT(H5377)-B5377)</f>
        <v/>
      </c>
      <c r="K5377">
        <f>IF(B5377&gt;=Settings!$C$5,1,0)</f>
        <v/>
      </c>
    </row>
    <row r="5378">
      <c r="A5378" t="inlineStr">
        <is>
          <t>50053b4f369f1912cf45702f90dc2831</t>
        </is>
      </c>
      <c r="B5378" s="29" t="n">
        <v>43147</v>
      </c>
      <c r="C5378" t="inlineStr">
        <is>
          <t>2018-02</t>
        </is>
      </c>
      <c r="D5378" t="inlineStr">
        <is>
          <t>36120633c8737035fbabf079082f4ec1</t>
        </is>
      </c>
      <c r="E5378" t="inlineStr">
        <is>
          <t>referral</t>
        </is>
      </c>
      <c r="F5378">
        <f>IFERROR(MATCH(A5378,Deals!$A$2:$A$843,0),"")</f>
        <v/>
      </c>
      <c r="G5378">
        <f>IF(F5378="",0,1)</f>
        <v/>
      </c>
      <c r="H5378" s="29">
        <f>IF(F5378="","",INDEX(Deals!$E$2:$E$843,F5378))</f>
        <v/>
      </c>
      <c r="I5378">
        <f>IF(F5378="","",INDEX(Deals!$D$2:$D$843,F5378))</f>
        <v/>
      </c>
      <c r="J5378">
        <f>IF(F5378="","",INT(H5378)-B5378)</f>
        <v/>
      </c>
      <c r="K5378">
        <f>IF(B5378&gt;=Settings!$C$5,1,0)</f>
        <v/>
      </c>
    </row>
    <row r="5379">
      <c r="A5379" t="inlineStr">
        <is>
          <t>bdf4880433deb05d33cd59e756e3ae6c</t>
        </is>
      </c>
      <c r="B5379" s="29" t="n">
        <v>42934</v>
      </c>
      <c r="C5379" t="inlineStr">
        <is>
          <t>2017-07</t>
        </is>
      </c>
      <c r="D5379" t="inlineStr">
        <is>
          <t>d1bad8bf984bd4d7ee08f814ca589897</t>
        </is>
      </c>
      <c r="E5379" t="inlineStr">
        <is>
          <t>paid_search</t>
        </is>
      </c>
      <c r="F5379">
        <f>IFERROR(MATCH(A5379,Deals!$A$2:$A$843,0),"")</f>
        <v/>
      </c>
      <c r="G5379">
        <f>IF(F5379="",0,1)</f>
        <v/>
      </c>
      <c r="H5379" s="29">
        <f>IF(F5379="","",INDEX(Deals!$E$2:$E$843,F5379))</f>
        <v/>
      </c>
      <c r="I5379">
        <f>IF(F5379="","",INDEX(Deals!$D$2:$D$843,F5379))</f>
        <v/>
      </c>
      <c r="J5379">
        <f>IF(F5379="","",INT(H5379)-B5379)</f>
        <v/>
      </c>
      <c r="K5379">
        <f>IF(B5379&gt;=Settings!$C$5,1,0)</f>
        <v/>
      </c>
    </row>
    <row r="5380">
      <c r="A5380" t="inlineStr">
        <is>
          <t>be3571b4ee12c46862b7ead25cd703c9</t>
        </is>
      </c>
      <c r="B5380" s="29" t="n">
        <v>43208</v>
      </c>
      <c r="C5380" t="inlineStr">
        <is>
          <t>2018-04</t>
        </is>
      </c>
      <c r="D5380" t="inlineStr">
        <is>
          <t>1baca9df5850e5ba75545d8b2eb8d966</t>
        </is>
      </c>
      <c r="E5380" t="inlineStr">
        <is>
          <t>paid_search</t>
        </is>
      </c>
      <c r="F5380">
        <f>IFERROR(MATCH(A5380,Deals!$A$2:$A$843,0),"")</f>
        <v/>
      </c>
      <c r="G5380">
        <f>IF(F5380="",0,1)</f>
        <v/>
      </c>
      <c r="H5380" s="29">
        <f>IF(F5380="","",INDEX(Deals!$E$2:$E$843,F5380))</f>
        <v/>
      </c>
      <c r="I5380">
        <f>IF(F5380="","",INDEX(Deals!$D$2:$D$843,F5380))</f>
        <v/>
      </c>
      <c r="J5380">
        <f>IF(F5380="","",INT(H5380)-B5380)</f>
        <v/>
      </c>
      <c r="K5380">
        <f>IF(B5380&gt;=Settings!$C$5,1,0)</f>
        <v/>
      </c>
    </row>
    <row r="5381">
      <c r="A5381" t="inlineStr">
        <is>
          <t>5cfa02f9154d8220d0a911d6ca82ddb5</t>
        </is>
      </c>
      <c r="B5381" s="29" t="n">
        <v>43091</v>
      </c>
      <c r="C5381" t="inlineStr">
        <is>
          <t>2017-12</t>
        </is>
      </c>
      <c r="D5381" t="inlineStr">
        <is>
          <t>f017be4dbf86243af5c1ebed0cff36a2</t>
        </is>
      </c>
      <c r="E5381" t="inlineStr">
        <is>
          <t>unknown</t>
        </is>
      </c>
      <c r="F5381">
        <f>IFERROR(MATCH(A5381,Deals!$A$2:$A$843,0),"")</f>
        <v/>
      </c>
      <c r="G5381">
        <f>IF(F5381="",0,1)</f>
        <v/>
      </c>
      <c r="H5381" s="29">
        <f>IF(F5381="","",INDEX(Deals!$E$2:$E$843,F5381))</f>
        <v/>
      </c>
      <c r="I5381">
        <f>IF(F5381="","",INDEX(Deals!$D$2:$D$843,F5381))</f>
        <v/>
      </c>
      <c r="J5381">
        <f>IF(F5381="","",INT(H5381)-B5381)</f>
        <v/>
      </c>
      <c r="K5381">
        <f>IF(B5381&gt;=Settings!$C$5,1,0)</f>
        <v/>
      </c>
    </row>
    <row r="5382">
      <c r="A5382" t="inlineStr">
        <is>
          <t>c00c7389d0ca5b1ebe06f7857e9cc844</t>
        </is>
      </c>
      <c r="B5382" s="29" t="n">
        <v>43103</v>
      </c>
      <c r="C5382" t="inlineStr">
        <is>
          <t>2018-01</t>
        </is>
      </c>
      <c r="D5382" t="inlineStr">
        <is>
          <t>40dec9f3d5259a3d2dbcdab2114fae47</t>
        </is>
      </c>
      <c r="E5382" t="inlineStr">
        <is>
          <t>organic_search</t>
        </is>
      </c>
      <c r="F5382">
        <f>IFERROR(MATCH(A5382,Deals!$A$2:$A$843,0),"")</f>
        <v/>
      </c>
      <c r="G5382">
        <f>IF(F5382="",0,1)</f>
        <v/>
      </c>
      <c r="H5382" s="29">
        <f>IF(F5382="","",INDEX(Deals!$E$2:$E$843,F5382))</f>
        <v/>
      </c>
      <c r="I5382">
        <f>IF(F5382="","",INDEX(Deals!$D$2:$D$843,F5382))</f>
        <v/>
      </c>
      <c r="J5382">
        <f>IF(F5382="","",INT(H5382)-B5382)</f>
        <v/>
      </c>
      <c r="K5382">
        <f>IF(B5382&gt;=Settings!$C$5,1,0)</f>
        <v/>
      </c>
    </row>
    <row r="5383">
      <c r="A5383" t="inlineStr">
        <is>
          <t>4d42b846d4cb82f316fe8ae26f311d98</t>
        </is>
      </c>
      <c r="B5383" s="29" t="n">
        <v>43137</v>
      </c>
      <c r="C5383" t="inlineStr">
        <is>
          <t>2018-02</t>
        </is>
      </c>
      <c r="D5383" t="inlineStr">
        <is>
          <t>dfc3b656bac13de62e4efca322b3f2c1</t>
        </is>
      </c>
      <c r="E5383" t="inlineStr">
        <is>
          <t>email</t>
        </is>
      </c>
      <c r="F5383">
        <f>IFERROR(MATCH(A5383,Deals!$A$2:$A$843,0),"")</f>
        <v/>
      </c>
      <c r="G5383">
        <f>IF(F5383="",0,1)</f>
        <v/>
      </c>
      <c r="H5383" s="29">
        <f>IF(F5383="","",INDEX(Deals!$E$2:$E$843,F5383))</f>
        <v/>
      </c>
      <c r="I5383">
        <f>IF(F5383="","",INDEX(Deals!$D$2:$D$843,F5383))</f>
        <v/>
      </c>
      <c r="J5383">
        <f>IF(F5383="","",INT(H5383)-B5383)</f>
        <v/>
      </c>
      <c r="K5383">
        <f>IF(B5383&gt;=Settings!$C$5,1,0)</f>
        <v/>
      </c>
    </row>
    <row r="5384">
      <c r="A5384" t="inlineStr">
        <is>
          <t>07c70f3b440791aa82c370d17910f32f</t>
        </is>
      </c>
      <c r="B5384" s="29" t="n">
        <v>43111</v>
      </c>
      <c r="C5384" t="inlineStr">
        <is>
          <t>2018-01</t>
        </is>
      </c>
      <c r="D5384" t="inlineStr">
        <is>
          <t>a7982125ff7aa3b2054c6e44f9d28522</t>
        </is>
      </c>
      <c r="E5384" t="inlineStr">
        <is>
          <t>organic_search</t>
        </is>
      </c>
      <c r="F5384">
        <f>IFERROR(MATCH(A5384,Deals!$A$2:$A$843,0),"")</f>
        <v/>
      </c>
      <c r="G5384">
        <f>IF(F5384="",0,1)</f>
        <v/>
      </c>
      <c r="H5384" s="29">
        <f>IF(F5384="","",INDEX(Deals!$E$2:$E$843,F5384))</f>
        <v/>
      </c>
      <c r="I5384">
        <f>IF(F5384="","",INDEX(Deals!$D$2:$D$843,F5384))</f>
        <v/>
      </c>
      <c r="J5384">
        <f>IF(F5384="","",INT(H5384)-B5384)</f>
        <v/>
      </c>
      <c r="K5384">
        <f>IF(B5384&gt;=Settings!$C$5,1,0)</f>
        <v/>
      </c>
    </row>
    <row r="5385">
      <c r="A5385" t="inlineStr">
        <is>
          <t>5438361912d394a4650e9d40cef63c78</t>
        </is>
      </c>
      <c r="B5385" s="29" t="n">
        <v>43173</v>
      </c>
      <c r="C5385" t="inlineStr">
        <is>
          <t>2018-03</t>
        </is>
      </c>
      <c r="D5385" t="inlineStr">
        <is>
          <t>b76ef37428e6799c421989521c0e5077</t>
        </is>
      </c>
      <c r="E5385" t="inlineStr">
        <is>
          <t>unknown</t>
        </is>
      </c>
      <c r="F5385">
        <f>IFERROR(MATCH(A5385,Deals!$A$2:$A$843,0),"")</f>
        <v/>
      </c>
      <c r="G5385">
        <f>IF(F5385="",0,1)</f>
        <v/>
      </c>
      <c r="H5385" s="29">
        <f>IF(F5385="","",INDEX(Deals!$E$2:$E$843,F5385))</f>
        <v/>
      </c>
      <c r="I5385">
        <f>IF(F5385="","",INDEX(Deals!$D$2:$D$843,F5385))</f>
        <v/>
      </c>
      <c r="J5385">
        <f>IF(F5385="","",INT(H5385)-B5385)</f>
        <v/>
      </c>
      <c r="K5385">
        <f>IF(B5385&gt;=Settings!$C$5,1,0)</f>
        <v/>
      </c>
    </row>
    <row r="5386">
      <c r="A5386" t="inlineStr">
        <is>
          <t>c4810f2ab2595ec0a00ba71be592c061</t>
        </is>
      </c>
      <c r="B5386" s="29" t="n">
        <v>43112</v>
      </c>
      <c r="C5386" t="inlineStr">
        <is>
          <t>2018-01</t>
        </is>
      </c>
      <c r="D5386" t="inlineStr">
        <is>
          <t>dcdbbb0bb43f5c9ea457a8363db87e73</t>
        </is>
      </c>
      <c r="E5386" t="inlineStr">
        <is>
          <t>email</t>
        </is>
      </c>
      <c r="F5386">
        <f>IFERROR(MATCH(A5386,Deals!$A$2:$A$843,0),"")</f>
        <v/>
      </c>
      <c r="G5386">
        <f>IF(F5386="",0,1)</f>
        <v/>
      </c>
      <c r="H5386" s="29">
        <f>IF(F5386="","",INDEX(Deals!$E$2:$E$843,F5386))</f>
        <v/>
      </c>
      <c r="I5386">
        <f>IF(F5386="","",INDEX(Deals!$D$2:$D$843,F5386))</f>
        <v/>
      </c>
      <c r="J5386">
        <f>IF(F5386="","",INT(H5386)-B5386)</f>
        <v/>
      </c>
      <c r="K5386">
        <f>IF(B5386&gt;=Settings!$C$5,1,0)</f>
        <v/>
      </c>
    </row>
    <row r="5387">
      <c r="A5387" t="inlineStr">
        <is>
          <t>bc8cfbf74da8fdd0156a05eaf7edfa82</t>
        </is>
      </c>
      <c r="B5387" s="29" t="n">
        <v>43123</v>
      </c>
      <c r="C5387" t="inlineStr">
        <is>
          <t>2018-01</t>
        </is>
      </c>
      <c r="D5387" t="inlineStr">
        <is>
          <t>d45d558f0daeecf3cccdffe3c59684aa</t>
        </is>
      </c>
      <c r="E5387" t="inlineStr">
        <is>
          <t>email</t>
        </is>
      </c>
      <c r="F5387">
        <f>IFERROR(MATCH(A5387,Deals!$A$2:$A$843,0),"")</f>
        <v/>
      </c>
      <c r="G5387">
        <f>IF(F5387="",0,1)</f>
        <v/>
      </c>
      <c r="H5387" s="29">
        <f>IF(F5387="","",INDEX(Deals!$E$2:$E$843,F5387))</f>
        <v/>
      </c>
      <c r="I5387">
        <f>IF(F5387="","",INDEX(Deals!$D$2:$D$843,F5387))</f>
        <v/>
      </c>
      <c r="J5387">
        <f>IF(F5387="","",INT(H5387)-B5387)</f>
        <v/>
      </c>
      <c r="K5387">
        <f>IF(B5387&gt;=Settings!$C$5,1,0)</f>
        <v/>
      </c>
    </row>
    <row r="5388">
      <c r="A5388" t="inlineStr">
        <is>
          <t>6336d7ded64dd1908125ab172fd5e60e</t>
        </is>
      </c>
      <c r="B5388" s="29" t="n">
        <v>43243</v>
      </c>
      <c r="C5388" t="inlineStr">
        <is>
          <t>2018-05</t>
        </is>
      </c>
      <c r="D5388" t="inlineStr">
        <is>
          <t>58326e62183c14b0c03085c33b9fdc44</t>
        </is>
      </c>
      <c r="E5388" t="inlineStr">
        <is>
          <t>social</t>
        </is>
      </c>
      <c r="F5388">
        <f>IFERROR(MATCH(A5388,Deals!$A$2:$A$843,0),"")</f>
        <v/>
      </c>
      <c r="G5388">
        <f>IF(F5388="",0,1)</f>
        <v/>
      </c>
      <c r="H5388" s="29">
        <f>IF(F5388="","",INDEX(Deals!$E$2:$E$843,F5388))</f>
        <v/>
      </c>
      <c r="I5388">
        <f>IF(F5388="","",INDEX(Deals!$D$2:$D$843,F5388))</f>
        <v/>
      </c>
      <c r="J5388">
        <f>IF(F5388="","",INT(H5388)-B5388)</f>
        <v/>
      </c>
      <c r="K5388">
        <f>IF(B5388&gt;=Settings!$C$5,1,0)</f>
        <v/>
      </c>
    </row>
    <row r="5389">
      <c r="A5389" t="inlineStr">
        <is>
          <t>ad3a45f2c9edbf1b43fbda3d97b1cf5b</t>
        </is>
      </c>
      <c r="B5389" s="29" t="n">
        <v>43193</v>
      </c>
      <c r="C5389" t="inlineStr">
        <is>
          <t>2018-04</t>
        </is>
      </c>
      <c r="D5389" t="inlineStr">
        <is>
          <t>22218292bcb562cf33f2342d57952479</t>
        </is>
      </c>
      <c r="E5389" t="inlineStr">
        <is>
          <t>unknown</t>
        </is>
      </c>
      <c r="F5389">
        <f>IFERROR(MATCH(A5389,Deals!$A$2:$A$843,0),"")</f>
        <v/>
      </c>
      <c r="G5389">
        <f>IF(F5389="",0,1)</f>
        <v/>
      </c>
      <c r="H5389" s="29">
        <f>IF(F5389="","",INDEX(Deals!$E$2:$E$843,F5389))</f>
        <v/>
      </c>
      <c r="I5389">
        <f>IF(F5389="","",INDEX(Deals!$D$2:$D$843,F5389))</f>
        <v/>
      </c>
      <c r="J5389">
        <f>IF(F5389="","",INT(H5389)-B5389)</f>
        <v/>
      </c>
      <c r="K5389">
        <f>IF(B5389&gt;=Settings!$C$5,1,0)</f>
        <v/>
      </c>
    </row>
    <row r="5390">
      <c r="A5390" t="inlineStr">
        <is>
          <t>7dd9419b1aa8fa048eac9bb1cfd98f68</t>
        </is>
      </c>
      <c r="B5390" s="29" t="n">
        <v>43030</v>
      </c>
      <c r="C5390" t="inlineStr">
        <is>
          <t>2017-10</t>
        </is>
      </c>
      <c r="D5390" t="inlineStr">
        <is>
          <t>22c29808c4f815213303f8933030604c</t>
        </is>
      </c>
      <c r="E5390" t="inlineStr">
        <is>
          <t>direct_traffic</t>
        </is>
      </c>
      <c r="F5390">
        <f>IFERROR(MATCH(A5390,Deals!$A$2:$A$843,0),"")</f>
        <v/>
      </c>
      <c r="G5390">
        <f>IF(F5390="",0,1)</f>
        <v/>
      </c>
      <c r="H5390" s="29">
        <f>IF(F5390="","",INDEX(Deals!$E$2:$E$843,F5390))</f>
        <v/>
      </c>
      <c r="I5390">
        <f>IF(F5390="","",INDEX(Deals!$D$2:$D$843,F5390))</f>
        <v/>
      </c>
      <c r="J5390">
        <f>IF(F5390="","",INT(H5390)-B5390)</f>
        <v/>
      </c>
      <c r="K5390">
        <f>IF(B5390&gt;=Settings!$C$5,1,0)</f>
        <v/>
      </c>
    </row>
    <row r="5391">
      <c r="A5391" t="inlineStr">
        <is>
          <t>bf38970e96dee81ef0b4b76c2feb1a2a</t>
        </is>
      </c>
      <c r="B5391" s="29" t="n">
        <v>43150</v>
      </c>
      <c r="C5391" t="inlineStr">
        <is>
          <t>2018-02</t>
        </is>
      </c>
      <c r="D5391" t="inlineStr">
        <is>
          <t>f017be4dbf86243af5c1ebed0cff36a2</t>
        </is>
      </c>
      <c r="E5391" t="inlineStr">
        <is>
          <t>unknown</t>
        </is>
      </c>
      <c r="F5391">
        <f>IFERROR(MATCH(A5391,Deals!$A$2:$A$843,0),"")</f>
        <v/>
      </c>
      <c r="G5391">
        <f>IF(F5391="",0,1)</f>
        <v/>
      </c>
      <c r="H5391" s="29">
        <f>IF(F5391="","",INDEX(Deals!$E$2:$E$843,F5391))</f>
        <v/>
      </c>
      <c r="I5391">
        <f>IF(F5391="","",INDEX(Deals!$D$2:$D$843,F5391))</f>
        <v/>
      </c>
      <c r="J5391">
        <f>IF(F5391="","",INT(H5391)-B5391)</f>
        <v/>
      </c>
      <c r="K5391">
        <f>IF(B5391&gt;=Settings!$C$5,1,0)</f>
        <v/>
      </c>
    </row>
    <row r="5392">
      <c r="A5392" t="inlineStr">
        <is>
          <t>bd9c29a7219e6d849af77f68e697debe</t>
        </is>
      </c>
      <c r="B5392" s="29" t="n">
        <v>43136</v>
      </c>
      <c r="C5392" t="inlineStr">
        <is>
          <t>2018-02</t>
        </is>
      </c>
      <c r="D5392" t="inlineStr">
        <is>
          <t>fbc24da54d531c6204ae2d17b1090bb1</t>
        </is>
      </c>
      <c r="E5392" t="inlineStr">
        <is>
          <t>paid_search</t>
        </is>
      </c>
      <c r="F5392">
        <f>IFERROR(MATCH(A5392,Deals!$A$2:$A$843,0),"")</f>
        <v/>
      </c>
      <c r="G5392">
        <f>IF(F5392="",0,1)</f>
        <v/>
      </c>
      <c r="H5392" s="29">
        <f>IF(F5392="","",INDEX(Deals!$E$2:$E$843,F5392))</f>
        <v/>
      </c>
      <c r="I5392">
        <f>IF(F5392="","",INDEX(Deals!$D$2:$D$843,F5392))</f>
        <v/>
      </c>
      <c r="J5392">
        <f>IF(F5392="","",INT(H5392)-B5392)</f>
        <v/>
      </c>
      <c r="K5392">
        <f>IF(B5392&gt;=Settings!$C$5,1,0)</f>
        <v/>
      </c>
    </row>
    <row r="5393">
      <c r="A5393" t="inlineStr">
        <is>
          <t>ac246594da24758e8d58c4c36b913616</t>
        </is>
      </c>
      <c r="B5393" s="29" t="n">
        <v>42992</v>
      </c>
      <c r="C5393" t="inlineStr">
        <is>
          <t>2017-09</t>
        </is>
      </c>
      <c r="D5393" t="inlineStr">
        <is>
          <t>ef0b482996664cc1107b9051efd3ca84</t>
        </is>
      </c>
      <c r="E5393" t="inlineStr">
        <is>
          <t>organic_search</t>
        </is>
      </c>
      <c r="F5393">
        <f>IFERROR(MATCH(A5393,Deals!$A$2:$A$843,0),"")</f>
        <v/>
      </c>
      <c r="G5393">
        <f>IF(F5393="",0,1)</f>
        <v/>
      </c>
      <c r="H5393" s="29">
        <f>IF(F5393="","",INDEX(Deals!$E$2:$E$843,F5393))</f>
        <v/>
      </c>
      <c r="I5393">
        <f>IF(F5393="","",INDEX(Deals!$D$2:$D$843,F5393))</f>
        <v/>
      </c>
      <c r="J5393">
        <f>IF(F5393="","",INT(H5393)-B5393)</f>
        <v/>
      </c>
      <c r="K5393">
        <f>IF(B5393&gt;=Settings!$C$5,1,0)</f>
        <v/>
      </c>
    </row>
    <row r="5394">
      <c r="A5394" t="inlineStr">
        <is>
          <t>b51d0ceea431fc2d4569650b64bd22de</t>
        </is>
      </c>
      <c r="B5394" s="29" t="n">
        <v>43241</v>
      </c>
      <c r="C5394" t="inlineStr">
        <is>
          <t>2018-05</t>
        </is>
      </c>
      <c r="D5394" t="inlineStr">
        <is>
          <t>22c29808c4f815213303f8933030604c</t>
        </is>
      </c>
      <c r="E5394" t="inlineStr">
        <is>
          <t>(missing)</t>
        </is>
      </c>
      <c r="F5394">
        <f>IFERROR(MATCH(A5394,Deals!$A$2:$A$843,0),"")</f>
        <v/>
      </c>
      <c r="G5394">
        <f>IF(F5394="",0,1)</f>
        <v/>
      </c>
      <c r="H5394" s="29">
        <f>IF(F5394="","",INDEX(Deals!$E$2:$E$843,F5394))</f>
        <v/>
      </c>
      <c r="I5394">
        <f>IF(F5394="","",INDEX(Deals!$D$2:$D$843,F5394))</f>
        <v/>
      </c>
      <c r="J5394">
        <f>IF(F5394="","",INT(H5394)-B5394)</f>
        <v/>
      </c>
      <c r="K5394">
        <f>IF(B5394&gt;=Settings!$C$5,1,0)</f>
        <v/>
      </c>
    </row>
    <row r="5395">
      <c r="A5395" t="inlineStr">
        <is>
          <t>7638ca8ac63c145195788f998393b1fa</t>
        </is>
      </c>
      <c r="B5395" s="29" t="n">
        <v>42971</v>
      </c>
      <c r="C5395" t="inlineStr">
        <is>
          <t>2017-08</t>
        </is>
      </c>
      <c r="D5395" t="inlineStr">
        <is>
          <t>8a003712c92f483cef1dcb70635ebc7a</t>
        </is>
      </c>
      <c r="E5395" t="inlineStr">
        <is>
          <t>email</t>
        </is>
      </c>
      <c r="F5395">
        <f>IFERROR(MATCH(A5395,Deals!$A$2:$A$843,0),"")</f>
        <v/>
      </c>
      <c r="G5395">
        <f>IF(F5395="",0,1)</f>
        <v/>
      </c>
      <c r="H5395" s="29">
        <f>IF(F5395="","",INDEX(Deals!$E$2:$E$843,F5395))</f>
        <v/>
      </c>
      <c r="I5395">
        <f>IF(F5395="","",INDEX(Deals!$D$2:$D$843,F5395))</f>
        <v/>
      </c>
      <c r="J5395">
        <f>IF(F5395="","",INT(H5395)-B5395)</f>
        <v/>
      </c>
      <c r="K5395">
        <f>IF(B5395&gt;=Settings!$C$5,1,0)</f>
        <v/>
      </c>
    </row>
    <row r="5396">
      <c r="A5396" t="inlineStr">
        <is>
          <t>255509891065036fb60f4db77a073988</t>
        </is>
      </c>
      <c r="B5396" s="29" t="n">
        <v>43222</v>
      </c>
      <c r="C5396" t="inlineStr">
        <is>
          <t>2018-05</t>
        </is>
      </c>
      <c r="D5396" t="inlineStr">
        <is>
          <t>f80696b73d17fb34f5c4fde157f119d8</t>
        </is>
      </c>
      <c r="E5396" t="inlineStr">
        <is>
          <t>organic_search</t>
        </is>
      </c>
      <c r="F5396">
        <f>IFERROR(MATCH(A5396,Deals!$A$2:$A$843,0),"")</f>
        <v/>
      </c>
      <c r="G5396">
        <f>IF(F5396="",0,1)</f>
        <v/>
      </c>
      <c r="H5396" s="29">
        <f>IF(F5396="","",INDEX(Deals!$E$2:$E$843,F5396))</f>
        <v/>
      </c>
      <c r="I5396">
        <f>IF(F5396="","",INDEX(Deals!$D$2:$D$843,F5396))</f>
        <v/>
      </c>
      <c r="J5396">
        <f>IF(F5396="","",INT(H5396)-B5396)</f>
        <v/>
      </c>
      <c r="K5396">
        <f>IF(B5396&gt;=Settings!$C$5,1,0)</f>
        <v/>
      </c>
    </row>
    <row r="5397">
      <c r="A5397" t="inlineStr">
        <is>
          <t>7d168049ed61786069c9849e44aa9699</t>
        </is>
      </c>
      <c r="B5397" s="29" t="n">
        <v>43216</v>
      </c>
      <c r="C5397" t="inlineStr">
        <is>
          <t>2018-04</t>
        </is>
      </c>
      <c r="D5397" t="inlineStr">
        <is>
          <t>58326e62183c14b0c03085c33b9fdc44</t>
        </is>
      </c>
      <c r="E5397" t="inlineStr">
        <is>
          <t>social</t>
        </is>
      </c>
      <c r="F5397">
        <f>IFERROR(MATCH(A5397,Deals!$A$2:$A$843,0),"")</f>
        <v/>
      </c>
      <c r="G5397">
        <f>IF(F5397="",0,1)</f>
        <v/>
      </c>
      <c r="H5397" s="29">
        <f>IF(F5397="","",INDEX(Deals!$E$2:$E$843,F5397))</f>
        <v/>
      </c>
      <c r="I5397">
        <f>IF(F5397="","",INDEX(Deals!$D$2:$D$843,F5397))</f>
        <v/>
      </c>
      <c r="J5397">
        <f>IF(F5397="","",INT(H5397)-B5397)</f>
        <v/>
      </c>
      <c r="K5397">
        <f>IF(B5397&gt;=Settings!$C$5,1,0)</f>
        <v/>
      </c>
    </row>
    <row r="5398">
      <c r="A5398" t="inlineStr">
        <is>
          <t>249e668af438f5d1be557f71e67bfd14</t>
        </is>
      </c>
      <c r="B5398" s="29" t="n">
        <v>43147</v>
      </c>
      <c r="C5398" t="inlineStr">
        <is>
          <t>2018-02</t>
        </is>
      </c>
      <c r="D5398" t="inlineStr">
        <is>
          <t>b76ef37428e6799c421989521c0e5077</t>
        </is>
      </c>
      <c r="E5398" t="inlineStr">
        <is>
          <t>organic_search</t>
        </is>
      </c>
      <c r="F5398">
        <f>IFERROR(MATCH(A5398,Deals!$A$2:$A$843,0),"")</f>
        <v/>
      </c>
      <c r="G5398">
        <f>IF(F5398="",0,1)</f>
        <v/>
      </c>
      <c r="H5398" s="29">
        <f>IF(F5398="","",INDEX(Deals!$E$2:$E$843,F5398))</f>
        <v/>
      </c>
      <c r="I5398">
        <f>IF(F5398="","",INDEX(Deals!$D$2:$D$843,F5398))</f>
        <v/>
      </c>
      <c r="J5398">
        <f>IF(F5398="","",INT(H5398)-B5398)</f>
        <v/>
      </c>
      <c r="K5398">
        <f>IF(B5398&gt;=Settings!$C$5,1,0)</f>
        <v/>
      </c>
    </row>
    <row r="5399">
      <c r="A5399" t="inlineStr">
        <is>
          <t>fdbd49ae6a4951dcef0b973ee20350d3</t>
        </is>
      </c>
      <c r="B5399" s="29" t="n">
        <v>42992</v>
      </c>
      <c r="C5399" t="inlineStr">
        <is>
          <t>2017-09</t>
        </is>
      </c>
      <c r="D5399" t="inlineStr">
        <is>
          <t>87732658ba41d8775e8577df347a64db</t>
        </is>
      </c>
      <c r="E5399" t="inlineStr">
        <is>
          <t>social</t>
        </is>
      </c>
      <c r="F5399">
        <f>IFERROR(MATCH(A5399,Deals!$A$2:$A$843,0),"")</f>
        <v/>
      </c>
      <c r="G5399">
        <f>IF(F5399="",0,1)</f>
        <v/>
      </c>
      <c r="H5399" s="29">
        <f>IF(F5399="","",INDEX(Deals!$E$2:$E$843,F5399))</f>
        <v/>
      </c>
      <c r="I5399">
        <f>IF(F5399="","",INDEX(Deals!$D$2:$D$843,F5399))</f>
        <v/>
      </c>
      <c r="J5399">
        <f>IF(F5399="","",INT(H5399)-B5399)</f>
        <v/>
      </c>
      <c r="K5399">
        <f>IF(B5399&gt;=Settings!$C$5,1,0)</f>
        <v/>
      </c>
    </row>
    <row r="5400">
      <c r="A5400" t="inlineStr">
        <is>
          <t>9b3a07fc75f89cd8eeca533e11947204</t>
        </is>
      </c>
      <c r="B5400" s="29" t="n">
        <v>43178</v>
      </c>
      <c r="C5400" t="inlineStr">
        <is>
          <t>2018-03</t>
        </is>
      </c>
      <c r="D5400" t="inlineStr">
        <is>
          <t>f017be4dbf86243af5c1ebed0cff36a2</t>
        </is>
      </c>
      <c r="E5400" t="inlineStr">
        <is>
          <t>organic_search</t>
        </is>
      </c>
      <c r="F5400">
        <f>IFERROR(MATCH(A5400,Deals!$A$2:$A$843,0),"")</f>
        <v/>
      </c>
      <c r="G5400">
        <f>IF(F5400="",0,1)</f>
        <v/>
      </c>
      <c r="H5400" s="29">
        <f>IF(F5400="","",INDEX(Deals!$E$2:$E$843,F5400))</f>
        <v/>
      </c>
      <c r="I5400">
        <f>IF(F5400="","",INDEX(Deals!$D$2:$D$843,F5400))</f>
        <v/>
      </c>
      <c r="J5400">
        <f>IF(F5400="","",INT(H5400)-B5400)</f>
        <v/>
      </c>
      <c r="K5400">
        <f>IF(B5400&gt;=Settings!$C$5,1,0)</f>
        <v/>
      </c>
    </row>
    <row r="5401">
      <c r="A5401" t="inlineStr">
        <is>
          <t>2027b3d8d3a2a87ef879af0feaad8100</t>
        </is>
      </c>
      <c r="B5401" s="29" t="n">
        <v>43019</v>
      </c>
      <c r="C5401" t="inlineStr">
        <is>
          <t>2017-10</t>
        </is>
      </c>
      <c r="D5401" t="inlineStr">
        <is>
          <t>88740e65d5d6b056e0cda098e1ea6313</t>
        </is>
      </c>
      <c r="E5401" t="inlineStr">
        <is>
          <t>other_publicities</t>
        </is>
      </c>
      <c r="F5401">
        <f>IFERROR(MATCH(A5401,Deals!$A$2:$A$843,0),"")</f>
        <v/>
      </c>
      <c r="G5401">
        <f>IF(F5401="",0,1)</f>
        <v/>
      </c>
      <c r="H5401" s="29">
        <f>IF(F5401="","",INDEX(Deals!$E$2:$E$843,F5401))</f>
        <v/>
      </c>
      <c r="I5401">
        <f>IF(F5401="","",INDEX(Deals!$D$2:$D$843,F5401))</f>
        <v/>
      </c>
      <c r="J5401">
        <f>IF(F5401="","",INT(H5401)-B5401)</f>
        <v/>
      </c>
      <c r="K5401">
        <f>IF(B5401&gt;=Settings!$C$5,1,0)</f>
        <v/>
      </c>
    </row>
    <row r="5402">
      <c r="A5402" t="inlineStr">
        <is>
          <t>c14a716bc18a0f87296c2ec10bfe8929</t>
        </is>
      </c>
      <c r="B5402" s="29" t="n">
        <v>43193</v>
      </c>
      <c r="C5402" t="inlineStr">
        <is>
          <t>2018-04</t>
        </is>
      </c>
      <c r="D5402" t="inlineStr">
        <is>
          <t>22c29808c4f815213303f8933030604c</t>
        </is>
      </c>
      <c r="E5402" t="inlineStr">
        <is>
          <t>organic_search</t>
        </is>
      </c>
      <c r="F5402">
        <f>IFERROR(MATCH(A5402,Deals!$A$2:$A$843,0),"")</f>
        <v/>
      </c>
      <c r="G5402">
        <f>IF(F5402="",0,1)</f>
        <v/>
      </c>
      <c r="H5402" s="29">
        <f>IF(F5402="","",INDEX(Deals!$E$2:$E$843,F5402))</f>
        <v/>
      </c>
      <c r="I5402">
        <f>IF(F5402="","",INDEX(Deals!$D$2:$D$843,F5402))</f>
        <v/>
      </c>
      <c r="J5402">
        <f>IF(F5402="","",INT(H5402)-B5402)</f>
        <v/>
      </c>
      <c r="K5402">
        <f>IF(B5402&gt;=Settings!$C$5,1,0)</f>
        <v/>
      </c>
    </row>
    <row r="5403">
      <c r="A5403" t="inlineStr">
        <is>
          <t>33779b45e135b6ad17d026ab8a2fe024</t>
        </is>
      </c>
      <c r="B5403" s="29" t="n">
        <v>43249</v>
      </c>
      <c r="C5403" t="inlineStr">
        <is>
          <t>2018-05</t>
        </is>
      </c>
      <c r="D5403" t="inlineStr">
        <is>
          <t>58326e62183c14b0c03085c33b9fdc44</t>
        </is>
      </c>
      <c r="E5403" t="inlineStr">
        <is>
          <t>social</t>
        </is>
      </c>
      <c r="F5403">
        <f>IFERROR(MATCH(A5403,Deals!$A$2:$A$843,0),"")</f>
        <v/>
      </c>
      <c r="G5403">
        <f>IF(F5403="",0,1)</f>
        <v/>
      </c>
      <c r="H5403" s="29">
        <f>IF(F5403="","",INDEX(Deals!$E$2:$E$843,F5403))</f>
        <v/>
      </c>
      <c r="I5403">
        <f>IF(F5403="","",INDEX(Deals!$D$2:$D$843,F5403))</f>
        <v/>
      </c>
      <c r="J5403">
        <f>IF(F5403="","",INT(H5403)-B5403)</f>
        <v/>
      </c>
      <c r="K5403">
        <f>IF(B5403&gt;=Settings!$C$5,1,0)</f>
        <v/>
      </c>
    </row>
    <row r="5404">
      <c r="A5404" t="inlineStr">
        <is>
          <t>f71d3c3105a6e1374c8abd57e8eeaa15</t>
        </is>
      </c>
      <c r="B5404" s="29" t="n">
        <v>43052</v>
      </c>
      <c r="C5404" t="inlineStr">
        <is>
          <t>2017-11</t>
        </is>
      </c>
      <c r="D5404" t="inlineStr">
        <is>
          <t>fd660f5d9a62d444c76191307b3a0514</t>
        </is>
      </c>
      <c r="E5404" t="inlineStr">
        <is>
          <t>referral</t>
        </is>
      </c>
      <c r="F5404">
        <f>IFERROR(MATCH(A5404,Deals!$A$2:$A$843,0),"")</f>
        <v/>
      </c>
      <c r="G5404">
        <f>IF(F5404="",0,1)</f>
        <v/>
      </c>
      <c r="H5404" s="29">
        <f>IF(F5404="","",INDEX(Deals!$E$2:$E$843,F5404))</f>
        <v/>
      </c>
      <c r="I5404">
        <f>IF(F5404="","",INDEX(Deals!$D$2:$D$843,F5404))</f>
        <v/>
      </c>
      <c r="J5404">
        <f>IF(F5404="","",INT(H5404)-B5404)</f>
        <v/>
      </c>
      <c r="K5404">
        <f>IF(B5404&gt;=Settings!$C$5,1,0)</f>
        <v/>
      </c>
    </row>
    <row r="5405">
      <c r="A5405" t="inlineStr">
        <is>
          <t>00acdef5b32f4a7089378d3b50b047a3</t>
        </is>
      </c>
      <c r="B5405" s="29" t="n">
        <v>43175</v>
      </c>
      <c r="C5405" t="inlineStr">
        <is>
          <t>2018-03</t>
        </is>
      </c>
      <c r="D5405" t="inlineStr">
        <is>
          <t>b76ef37428e6799c421989521c0e5077</t>
        </is>
      </c>
      <c r="E5405" t="inlineStr">
        <is>
          <t>unknown</t>
        </is>
      </c>
      <c r="F5405">
        <f>IFERROR(MATCH(A5405,Deals!$A$2:$A$843,0),"")</f>
        <v/>
      </c>
      <c r="G5405">
        <f>IF(F5405="",0,1)</f>
        <v/>
      </c>
      <c r="H5405" s="29">
        <f>IF(F5405="","",INDEX(Deals!$E$2:$E$843,F5405))</f>
        <v/>
      </c>
      <c r="I5405">
        <f>IF(F5405="","",INDEX(Deals!$D$2:$D$843,F5405))</f>
        <v/>
      </c>
      <c r="J5405">
        <f>IF(F5405="","",INT(H5405)-B5405)</f>
        <v/>
      </c>
      <c r="K5405">
        <f>IF(B5405&gt;=Settings!$C$5,1,0)</f>
        <v/>
      </c>
    </row>
    <row r="5406">
      <c r="A5406" t="inlineStr">
        <is>
          <t>86b283c5d439e7c9a64dca8e850c5ebc</t>
        </is>
      </c>
      <c r="B5406" s="29" t="n">
        <v>43185</v>
      </c>
      <c r="C5406" t="inlineStr">
        <is>
          <t>2018-03</t>
        </is>
      </c>
      <c r="D5406" t="inlineStr">
        <is>
          <t>fa5a0151e1f37d0055a3478fbb48827a</t>
        </is>
      </c>
      <c r="E5406" t="inlineStr">
        <is>
          <t>paid_search</t>
        </is>
      </c>
      <c r="F5406">
        <f>IFERROR(MATCH(A5406,Deals!$A$2:$A$843,0),"")</f>
        <v/>
      </c>
      <c r="G5406">
        <f>IF(F5406="",0,1)</f>
        <v/>
      </c>
      <c r="H5406" s="29">
        <f>IF(F5406="","",INDEX(Deals!$E$2:$E$843,F5406))</f>
        <v/>
      </c>
      <c r="I5406">
        <f>IF(F5406="","",INDEX(Deals!$D$2:$D$843,F5406))</f>
        <v/>
      </c>
      <c r="J5406">
        <f>IF(F5406="","",INT(H5406)-B5406)</f>
        <v/>
      </c>
      <c r="K5406">
        <f>IF(B5406&gt;=Settings!$C$5,1,0)</f>
        <v/>
      </c>
    </row>
    <row r="5407">
      <c r="A5407" t="inlineStr">
        <is>
          <t>ebb727e85a01c3c12e7fedd5294e24d2</t>
        </is>
      </c>
      <c r="B5407" s="29" t="n">
        <v>43161</v>
      </c>
      <c r="C5407" t="inlineStr">
        <is>
          <t>2018-03</t>
        </is>
      </c>
      <c r="D5407" t="inlineStr">
        <is>
          <t>b217afa2c1f4cb502423005639878f6d</t>
        </is>
      </c>
      <c r="E5407" t="inlineStr">
        <is>
          <t>organic_search</t>
        </is>
      </c>
      <c r="F5407">
        <f>IFERROR(MATCH(A5407,Deals!$A$2:$A$843,0),"")</f>
        <v/>
      </c>
      <c r="G5407">
        <f>IF(F5407="",0,1)</f>
        <v/>
      </c>
      <c r="H5407" s="29">
        <f>IF(F5407="","",INDEX(Deals!$E$2:$E$843,F5407))</f>
        <v/>
      </c>
      <c r="I5407">
        <f>IF(F5407="","",INDEX(Deals!$D$2:$D$843,F5407))</f>
        <v/>
      </c>
      <c r="J5407">
        <f>IF(F5407="","",INT(H5407)-B5407)</f>
        <v/>
      </c>
      <c r="K5407">
        <f>IF(B5407&gt;=Settings!$C$5,1,0)</f>
        <v/>
      </c>
    </row>
    <row r="5408">
      <c r="A5408" t="inlineStr">
        <is>
          <t>31e2835b63780da4f0632e459ec22292</t>
        </is>
      </c>
      <c r="B5408" s="29" t="n">
        <v>43182</v>
      </c>
      <c r="C5408" t="inlineStr">
        <is>
          <t>2018-03</t>
        </is>
      </c>
      <c r="D5408" t="inlineStr">
        <is>
          <t>22c29808c4f815213303f8933030604c</t>
        </is>
      </c>
      <c r="E5408" t="inlineStr">
        <is>
          <t>paid_search</t>
        </is>
      </c>
      <c r="F5408">
        <f>IFERROR(MATCH(A5408,Deals!$A$2:$A$843,0),"")</f>
        <v/>
      </c>
      <c r="G5408">
        <f>IF(F5408="",0,1)</f>
        <v/>
      </c>
      <c r="H5408" s="29">
        <f>IF(F5408="","",INDEX(Deals!$E$2:$E$843,F5408))</f>
        <v/>
      </c>
      <c r="I5408">
        <f>IF(F5408="","",INDEX(Deals!$D$2:$D$843,F5408))</f>
        <v/>
      </c>
      <c r="J5408">
        <f>IF(F5408="","",INT(H5408)-B5408)</f>
        <v/>
      </c>
      <c r="K5408">
        <f>IF(B5408&gt;=Settings!$C$5,1,0)</f>
        <v/>
      </c>
    </row>
    <row r="5409">
      <c r="A5409" t="inlineStr">
        <is>
          <t>c4760fdb6f393e3adad5f7eda06a80e5</t>
        </is>
      </c>
      <c r="B5409" s="29" t="n">
        <v>43129</v>
      </c>
      <c r="C5409" t="inlineStr">
        <is>
          <t>2018-01</t>
        </is>
      </c>
      <c r="D5409" t="inlineStr">
        <is>
          <t>ce1a65abd0973638f1c887a6efcfa82d</t>
        </is>
      </c>
      <c r="E5409" t="inlineStr">
        <is>
          <t>organic_search</t>
        </is>
      </c>
      <c r="F5409">
        <f>IFERROR(MATCH(A5409,Deals!$A$2:$A$843,0),"")</f>
        <v/>
      </c>
      <c r="G5409">
        <f>IF(F5409="",0,1)</f>
        <v/>
      </c>
      <c r="H5409" s="29">
        <f>IF(F5409="","",INDEX(Deals!$E$2:$E$843,F5409))</f>
        <v/>
      </c>
      <c r="I5409">
        <f>IF(F5409="","",INDEX(Deals!$D$2:$D$843,F5409))</f>
        <v/>
      </c>
      <c r="J5409">
        <f>IF(F5409="","",INT(H5409)-B5409)</f>
        <v/>
      </c>
      <c r="K5409">
        <f>IF(B5409&gt;=Settings!$C$5,1,0)</f>
        <v/>
      </c>
    </row>
    <row r="5410">
      <c r="A5410" t="inlineStr">
        <is>
          <t>791ce193144bb15e4bdd2c1649b8c8f3</t>
        </is>
      </c>
      <c r="B5410" s="29" t="n">
        <v>43242</v>
      </c>
      <c r="C5410" t="inlineStr">
        <is>
          <t>2018-05</t>
        </is>
      </c>
      <c r="D5410" t="inlineStr">
        <is>
          <t>330b9d44078a1ae5a221d655dcb77afa</t>
        </is>
      </c>
      <c r="E5410" t="inlineStr">
        <is>
          <t>email</t>
        </is>
      </c>
      <c r="F5410">
        <f>IFERROR(MATCH(A5410,Deals!$A$2:$A$843,0),"")</f>
        <v/>
      </c>
      <c r="G5410">
        <f>IF(F5410="",0,1)</f>
        <v/>
      </c>
      <c r="H5410" s="29">
        <f>IF(F5410="","",INDEX(Deals!$E$2:$E$843,F5410))</f>
        <v/>
      </c>
      <c r="I5410">
        <f>IF(F5410="","",INDEX(Deals!$D$2:$D$843,F5410))</f>
        <v/>
      </c>
      <c r="J5410">
        <f>IF(F5410="","",INT(H5410)-B5410)</f>
        <v/>
      </c>
      <c r="K5410">
        <f>IF(B5410&gt;=Settings!$C$5,1,0)</f>
        <v/>
      </c>
    </row>
    <row r="5411">
      <c r="A5411" t="inlineStr">
        <is>
          <t>cd882c767c8c59acb413a971a5b442f7</t>
        </is>
      </c>
      <c r="B5411" s="29" t="n">
        <v>43124</v>
      </c>
      <c r="C5411" t="inlineStr">
        <is>
          <t>2018-01</t>
        </is>
      </c>
      <c r="D5411" t="inlineStr">
        <is>
          <t>f017be4dbf86243af5c1ebed0cff36a2</t>
        </is>
      </c>
      <c r="E5411" t="inlineStr">
        <is>
          <t>referral</t>
        </is>
      </c>
      <c r="F5411">
        <f>IFERROR(MATCH(A5411,Deals!$A$2:$A$843,0),"")</f>
        <v/>
      </c>
      <c r="G5411">
        <f>IF(F5411="",0,1)</f>
        <v/>
      </c>
      <c r="H5411" s="29">
        <f>IF(F5411="","",INDEX(Deals!$E$2:$E$843,F5411))</f>
        <v/>
      </c>
      <c r="I5411">
        <f>IF(F5411="","",INDEX(Deals!$D$2:$D$843,F5411))</f>
        <v/>
      </c>
      <c r="J5411">
        <f>IF(F5411="","",INT(H5411)-B5411)</f>
        <v/>
      </c>
      <c r="K5411">
        <f>IF(B5411&gt;=Settings!$C$5,1,0)</f>
        <v/>
      </c>
    </row>
    <row r="5412">
      <c r="A5412" t="inlineStr">
        <is>
          <t>7b28169ffebdd960282bcc01252a8302</t>
        </is>
      </c>
      <c r="B5412" s="29" t="n">
        <v>43000</v>
      </c>
      <c r="C5412" t="inlineStr">
        <is>
          <t>2017-09</t>
        </is>
      </c>
      <c r="D5412" t="inlineStr">
        <is>
          <t>ce1a65abd0973638f1c887a6efcfa82d</t>
        </is>
      </c>
      <c r="E5412" t="inlineStr">
        <is>
          <t>unknown</t>
        </is>
      </c>
      <c r="F5412">
        <f>IFERROR(MATCH(A5412,Deals!$A$2:$A$843,0),"")</f>
        <v/>
      </c>
      <c r="G5412">
        <f>IF(F5412="",0,1)</f>
        <v/>
      </c>
      <c r="H5412" s="29">
        <f>IF(F5412="","",INDEX(Deals!$E$2:$E$843,F5412))</f>
        <v/>
      </c>
      <c r="I5412">
        <f>IF(F5412="","",INDEX(Deals!$D$2:$D$843,F5412))</f>
        <v/>
      </c>
      <c r="J5412">
        <f>IF(F5412="","",INT(H5412)-B5412)</f>
        <v/>
      </c>
      <c r="K5412">
        <f>IF(B5412&gt;=Settings!$C$5,1,0)</f>
        <v/>
      </c>
    </row>
    <row r="5413">
      <c r="A5413" t="inlineStr">
        <is>
          <t>89b85f944790639e8d6d5096b1909082</t>
        </is>
      </c>
      <c r="B5413" s="29" t="n">
        <v>43069</v>
      </c>
      <c r="C5413" t="inlineStr">
        <is>
          <t>2017-11</t>
        </is>
      </c>
      <c r="D5413" t="inlineStr">
        <is>
          <t>1722481ac9e5371e5099dea226b5421d</t>
        </is>
      </c>
      <c r="E5413" t="inlineStr">
        <is>
          <t>unknown</t>
        </is>
      </c>
      <c r="F5413">
        <f>IFERROR(MATCH(A5413,Deals!$A$2:$A$843,0),"")</f>
        <v/>
      </c>
      <c r="G5413">
        <f>IF(F5413="",0,1)</f>
        <v/>
      </c>
      <c r="H5413" s="29">
        <f>IF(F5413="","",INDEX(Deals!$E$2:$E$843,F5413))</f>
        <v/>
      </c>
      <c r="I5413">
        <f>IF(F5413="","",INDEX(Deals!$D$2:$D$843,F5413))</f>
        <v/>
      </c>
      <c r="J5413">
        <f>IF(F5413="","",INT(H5413)-B5413)</f>
        <v/>
      </c>
      <c r="K5413">
        <f>IF(B5413&gt;=Settings!$C$5,1,0)</f>
        <v/>
      </c>
    </row>
    <row r="5414">
      <c r="A5414" t="inlineStr">
        <is>
          <t>d6beac7184414a6487a7edade4c0f2ef</t>
        </is>
      </c>
      <c r="B5414" s="29" t="n">
        <v>43217</v>
      </c>
      <c r="C5414" t="inlineStr">
        <is>
          <t>2018-04</t>
        </is>
      </c>
      <c r="D5414" t="inlineStr">
        <is>
          <t>22c29808c4f815213303f8933030604c</t>
        </is>
      </c>
      <c r="E5414" t="inlineStr">
        <is>
          <t>paid_search</t>
        </is>
      </c>
      <c r="F5414">
        <f>IFERROR(MATCH(A5414,Deals!$A$2:$A$843,0),"")</f>
        <v/>
      </c>
      <c r="G5414">
        <f>IF(F5414="",0,1)</f>
        <v/>
      </c>
      <c r="H5414" s="29">
        <f>IF(F5414="","",INDEX(Deals!$E$2:$E$843,F5414))</f>
        <v/>
      </c>
      <c r="I5414">
        <f>IF(F5414="","",INDEX(Deals!$D$2:$D$843,F5414))</f>
        <v/>
      </c>
      <c r="J5414">
        <f>IF(F5414="","",INT(H5414)-B5414)</f>
        <v/>
      </c>
      <c r="K5414">
        <f>IF(B5414&gt;=Settings!$C$5,1,0)</f>
        <v/>
      </c>
    </row>
    <row r="5415">
      <c r="A5415" t="inlineStr">
        <is>
          <t>44a32f77814f9387e2c30e3eb94e6546</t>
        </is>
      </c>
      <c r="B5415" s="29" t="n">
        <v>43236</v>
      </c>
      <c r="C5415" t="inlineStr">
        <is>
          <t>2018-05</t>
        </is>
      </c>
      <c r="D5415" t="inlineStr">
        <is>
          <t>58326e62183c14b0c03085c33b9fdc44</t>
        </is>
      </c>
      <c r="E5415" t="inlineStr">
        <is>
          <t>social</t>
        </is>
      </c>
      <c r="F5415">
        <f>IFERROR(MATCH(A5415,Deals!$A$2:$A$843,0),"")</f>
        <v/>
      </c>
      <c r="G5415">
        <f>IF(F5415="",0,1)</f>
        <v/>
      </c>
      <c r="H5415" s="29">
        <f>IF(F5415="","",INDEX(Deals!$E$2:$E$843,F5415))</f>
        <v/>
      </c>
      <c r="I5415">
        <f>IF(F5415="","",INDEX(Deals!$D$2:$D$843,F5415))</f>
        <v/>
      </c>
      <c r="J5415">
        <f>IF(F5415="","",INT(H5415)-B5415)</f>
        <v/>
      </c>
      <c r="K5415">
        <f>IF(B5415&gt;=Settings!$C$5,1,0)</f>
        <v/>
      </c>
    </row>
    <row r="5416">
      <c r="A5416" t="inlineStr">
        <is>
          <t>b1152424d9fb3019d63552c1156b04be</t>
        </is>
      </c>
      <c r="B5416" s="29" t="n">
        <v>43068</v>
      </c>
      <c r="C5416" t="inlineStr">
        <is>
          <t>2017-11</t>
        </is>
      </c>
      <c r="D5416" t="inlineStr">
        <is>
          <t>58f8c0a253663304e348e81298bc255e</t>
        </is>
      </c>
      <c r="E5416" t="inlineStr">
        <is>
          <t>email</t>
        </is>
      </c>
      <c r="F5416">
        <f>IFERROR(MATCH(A5416,Deals!$A$2:$A$843,0),"")</f>
        <v/>
      </c>
      <c r="G5416">
        <f>IF(F5416="",0,1)</f>
        <v/>
      </c>
      <c r="H5416" s="29">
        <f>IF(F5416="","",INDEX(Deals!$E$2:$E$843,F5416))</f>
        <v/>
      </c>
      <c r="I5416">
        <f>IF(F5416="","",INDEX(Deals!$D$2:$D$843,F5416))</f>
        <v/>
      </c>
      <c r="J5416">
        <f>IF(F5416="","",INT(H5416)-B5416)</f>
        <v/>
      </c>
      <c r="K5416">
        <f>IF(B5416&gt;=Settings!$C$5,1,0)</f>
        <v/>
      </c>
    </row>
    <row r="5417">
      <c r="A5417" t="inlineStr">
        <is>
          <t>b64eccfaa3c560d142a15ca43a0ddc98</t>
        </is>
      </c>
      <c r="B5417" s="29" t="n">
        <v>43228</v>
      </c>
      <c r="C5417" t="inlineStr">
        <is>
          <t>2018-05</t>
        </is>
      </c>
      <c r="D5417" t="inlineStr">
        <is>
          <t>8ff57dffc365fcb5233232fff6e6bfd0</t>
        </is>
      </c>
      <c r="E5417" t="inlineStr">
        <is>
          <t>organic_search</t>
        </is>
      </c>
      <c r="F5417">
        <f>IFERROR(MATCH(A5417,Deals!$A$2:$A$843,0),"")</f>
        <v/>
      </c>
      <c r="G5417">
        <f>IF(F5417="",0,1)</f>
        <v/>
      </c>
      <c r="H5417" s="29">
        <f>IF(F5417="","",INDEX(Deals!$E$2:$E$843,F5417))</f>
        <v/>
      </c>
      <c r="I5417">
        <f>IF(F5417="","",INDEX(Deals!$D$2:$D$843,F5417))</f>
        <v/>
      </c>
      <c r="J5417">
        <f>IF(F5417="","",INT(H5417)-B5417)</f>
        <v/>
      </c>
      <c r="K5417">
        <f>IF(B5417&gt;=Settings!$C$5,1,0)</f>
        <v/>
      </c>
    </row>
    <row r="5418">
      <c r="A5418" t="inlineStr">
        <is>
          <t>b66b4b5b53115f28761c81347ef3d89d</t>
        </is>
      </c>
      <c r="B5418" s="29" t="n">
        <v>43181</v>
      </c>
      <c r="C5418" t="inlineStr">
        <is>
          <t>2018-03</t>
        </is>
      </c>
      <c r="D5418" t="inlineStr">
        <is>
          <t>b76ef37428e6799c421989521c0e5077</t>
        </is>
      </c>
      <c r="E5418" t="inlineStr">
        <is>
          <t>unknown</t>
        </is>
      </c>
      <c r="F5418">
        <f>IFERROR(MATCH(A5418,Deals!$A$2:$A$843,0),"")</f>
        <v/>
      </c>
      <c r="G5418">
        <f>IF(F5418="",0,1)</f>
        <v/>
      </c>
      <c r="H5418" s="29">
        <f>IF(F5418="","",INDEX(Deals!$E$2:$E$843,F5418))</f>
        <v/>
      </c>
      <c r="I5418">
        <f>IF(F5418="","",INDEX(Deals!$D$2:$D$843,F5418))</f>
        <v/>
      </c>
      <c r="J5418">
        <f>IF(F5418="","",INT(H5418)-B5418)</f>
        <v/>
      </c>
      <c r="K5418">
        <f>IF(B5418&gt;=Settings!$C$5,1,0)</f>
        <v/>
      </c>
    </row>
    <row r="5419">
      <c r="A5419" t="inlineStr">
        <is>
          <t>bc79189a81dd58572abc54d122649815</t>
        </is>
      </c>
      <c r="B5419" s="29" t="n">
        <v>43229</v>
      </c>
      <c r="C5419" t="inlineStr">
        <is>
          <t>2018-05</t>
        </is>
      </c>
      <c r="D5419" t="inlineStr">
        <is>
          <t>b76ef37428e6799c421989521c0e5077</t>
        </is>
      </c>
      <c r="E5419" t="inlineStr">
        <is>
          <t>unknown</t>
        </is>
      </c>
      <c r="F5419">
        <f>IFERROR(MATCH(A5419,Deals!$A$2:$A$843,0),"")</f>
        <v/>
      </c>
      <c r="G5419">
        <f>IF(F5419="",0,1)</f>
        <v/>
      </c>
      <c r="H5419" s="29">
        <f>IF(F5419="","",INDEX(Deals!$E$2:$E$843,F5419))</f>
        <v/>
      </c>
      <c r="I5419">
        <f>IF(F5419="","",INDEX(Deals!$D$2:$D$843,F5419))</f>
        <v/>
      </c>
      <c r="J5419">
        <f>IF(F5419="","",INT(H5419)-B5419)</f>
        <v/>
      </c>
      <c r="K5419">
        <f>IF(B5419&gt;=Settings!$C$5,1,0)</f>
        <v/>
      </c>
    </row>
    <row r="5420">
      <c r="A5420" t="inlineStr">
        <is>
          <t>eb24173df0f85c47af00187f0296ac07</t>
        </is>
      </c>
      <c r="B5420" s="29" t="n">
        <v>43110</v>
      </c>
      <c r="C5420" t="inlineStr">
        <is>
          <t>2018-01</t>
        </is>
      </c>
      <c r="D5420" t="inlineStr">
        <is>
          <t>88740e65d5d6b056e0cda098e1ea6313</t>
        </is>
      </c>
      <c r="E5420" t="inlineStr">
        <is>
          <t>social</t>
        </is>
      </c>
      <c r="F5420">
        <f>IFERROR(MATCH(A5420,Deals!$A$2:$A$843,0),"")</f>
        <v/>
      </c>
      <c r="G5420">
        <f>IF(F5420="",0,1)</f>
        <v/>
      </c>
      <c r="H5420" s="29">
        <f>IF(F5420="","",INDEX(Deals!$E$2:$E$843,F5420))</f>
        <v/>
      </c>
      <c r="I5420">
        <f>IF(F5420="","",INDEX(Deals!$D$2:$D$843,F5420))</f>
        <v/>
      </c>
      <c r="J5420">
        <f>IF(F5420="","",INT(H5420)-B5420)</f>
        <v/>
      </c>
      <c r="K5420">
        <f>IF(B5420&gt;=Settings!$C$5,1,0)</f>
        <v/>
      </c>
    </row>
    <row r="5421">
      <c r="A5421" t="inlineStr">
        <is>
          <t>b57a35f9dda9f73ab2c04e1a6963c932</t>
        </is>
      </c>
      <c r="B5421" s="29" t="n">
        <v>42981</v>
      </c>
      <c r="C5421" t="inlineStr">
        <is>
          <t>2017-09</t>
        </is>
      </c>
      <c r="D5421" t="inlineStr">
        <is>
          <t>4aab772aeb9833c170d8ea5413e02eac</t>
        </is>
      </c>
      <c r="E5421" t="inlineStr">
        <is>
          <t>paid_search</t>
        </is>
      </c>
      <c r="F5421">
        <f>IFERROR(MATCH(A5421,Deals!$A$2:$A$843,0),"")</f>
        <v/>
      </c>
      <c r="G5421">
        <f>IF(F5421="",0,1)</f>
        <v/>
      </c>
      <c r="H5421" s="29">
        <f>IF(F5421="","",INDEX(Deals!$E$2:$E$843,F5421))</f>
        <v/>
      </c>
      <c r="I5421">
        <f>IF(F5421="","",INDEX(Deals!$D$2:$D$843,F5421))</f>
        <v/>
      </c>
      <c r="J5421">
        <f>IF(F5421="","",INT(H5421)-B5421)</f>
        <v/>
      </c>
      <c r="K5421">
        <f>IF(B5421&gt;=Settings!$C$5,1,0)</f>
        <v/>
      </c>
    </row>
    <row r="5422">
      <c r="A5422" t="inlineStr">
        <is>
          <t>2cb1afd7afcbcdc1eeabcbc6f5bc41c6</t>
        </is>
      </c>
      <c r="B5422" s="29" t="n">
        <v>43138</v>
      </c>
      <c r="C5422" t="inlineStr">
        <is>
          <t>2018-02</t>
        </is>
      </c>
      <c r="D5422" t="inlineStr">
        <is>
          <t>241f79c7a8fe0270f4fb79fcbbcd17ad</t>
        </is>
      </c>
      <c r="E5422" t="inlineStr">
        <is>
          <t>paid_search</t>
        </is>
      </c>
      <c r="F5422">
        <f>IFERROR(MATCH(A5422,Deals!$A$2:$A$843,0),"")</f>
        <v/>
      </c>
      <c r="G5422">
        <f>IF(F5422="",0,1)</f>
        <v/>
      </c>
      <c r="H5422" s="29">
        <f>IF(F5422="","",INDEX(Deals!$E$2:$E$843,F5422))</f>
        <v/>
      </c>
      <c r="I5422">
        <f>IF(F5422="","",INDEX(Deals!$D$2:$D$843,F5422))</f>
        <v/>
      </c>
      <c r="J5422">
        <f>IF(F5422="","",INT(H5422)-B5422)</f>
        <v/>
      </c>
      <c r="K5422">
        <f>IF(B5422&gt;=Settings!$C$5,1,0)</f>
        <v/>
      </c>
    </row>
    <row r="5423">
      <c r="A5423" t="inlineStr">
        <is>
          <t>45fa9beaa3d9ea2ad7a09cd68b6a33ae</t>
        </is>
      </c>
      <c r="B5423" s="29" t="n">
        <v>43222</v>
      </c>
      <c r="C5423" t="inlineStr">
        <is>
          <t>2018-05</t>
        </is>
      </c>
      <c r="D5423" t="inlineStr">
        <is>
          <t>e42a14209c69c3e9cc6b042620465f12</t>
        </is>
      </c>
      <c r="E5423" t="inlineStr">
        <is>
          <t>email</t>
        </is>
      </c>
      <c r="F5423">
        <f>IFERROR(MATCH(A5423,Deals!$A$2:$A$843,0),"")</f>
        <v/>
      </c>
      <c r="G5423">
        <f>IF(F5423="",0,1)</f>
        <v/>
      </c>
      <c r="H5423" s="29">
        <f>IF(F5423="","",INDEX(Deals!$E$2:$E$843,F5423))</f>
        <v/>
      </c>
      <c r="I5423">
        <f>IF(F5423="","",INDEX(Deals!$D$2:$D$843,F5423))</f>
        <v/>
      </c>
      <c r="J5423">
        <f>IF(F5423="","",INT(H5423)-B5423)</f>
        <v/>
      </c>
      <c r="K5423">
        <f>IF(B5423&gt;=Settings!$C$5,1,0)</f>
        <v/>
      </c>
    </row>
    <row r="5424">
      <c r="A5424" t="inlineStr">
        <is>
          <t>46d55a927002038e5cd3137272fb6de7</t>
        </is>
      </c>
      <c r="B5424" s="29" t="n">
        <v>43110</v>
      </c>
      <c r="C5424" t="inlineStr">
        <is>
          <t>2018-01</t>
        </is>
      </c>
      <c r="D5424" t="inlineStr">
        <is>
          <t>f017be4dbf86243af5c1ebed0cff36a2</t>
        </is>
      </c>
      <c r="E5424" t="inlineStr">
        <is>
          <t>organic_search</t>
        </is>
      </c>
      <c r="F5424">
        <f>IFERROR(MATCH(A5424,Deals!$A$2:$A$843,0),"")</f>
        <v/>
      </c>
      <c r="G5424">
        <f>IF(F5424="",0,1)</f>
        <v/>
      </c>
      <c r="H5424" s="29">
        <f>IF(F5424="","",INDEX(Deals!$E$2:$E$843,F5424))</f>
        <v/>
      </c>
      <c r="I5424">
        <f>IF(F5424="","",INDEX(Deals!$D$2:$D$843,F5424))</f>
        <v/>
      </c>
      <c r="J5424">
        <f>IF(F5424="","",INT(H5424)-B5424)</f>
        <v/>
      </c>
      <c r="K5424">
        <f>IF(B5424&gt;=Settings!$C$5,1,0)</f>
        <v/>
      </c>
    </row>
    <row r="5425">
      <c r="A5425" t="inlineStr">
        <is>
          <t>b3387785c82211e7bebd52dc69961671</t>
        </is>
      </c>
      <c r="B5425" s="29" t="n">
        <v>43242</v>
      </c>
      <c r="C5425" t="inlineStr">
        <is>
          <t>2018-05</t>
        </is>
      </c>
      <c r="D5425" t="inlineStr">
        <is>
          <t>b76ef37428e6799c421989521c0e5077</t>
        </is>
      </c>
      <c r="E5425" t="inlineStr">
        <is>
          <t>unknown</t>
        </is>
      </c>
      <c r="F5425">
        <f>IFERROR(MATCH(A5425,Deals!$A$2:$A$843,0),"")</f>
        <v/>
      </c>
      <c r="G5425">
        <f>IF(F5425="",0,1)</f>
        <v/>
      </c>
      <c r="H5425" s="29">
        <f>IF(F5425="","",INDEX(Deals!$E$2:$E$843,F5425))</f>
        <v/>
      </c>
      <c r="I5425">
        <f>IF(F5425="","",INDEX(Deals!$D$2:$D$843,F5425))</f>
        <v/>
      </c>
      <c r="J5425">
        <f>IF(F5425="","",INT(H5425)-B5425)</f>
        <v/>
      </c>
      <c r="K5425">
        <f>IF(B5425&gt;=Settings!$C$5,1,0)</f>
        <v/>
      </c>
    </row>
    <row r="5426">
      <c r="A5426" t="inlineStr">
        <is>
          <t>8f9ce617eb3df2feafb5803cbb0e949f</t>
        </is>
      </c>
      <c r="B5426" s="29" t="n">
        <v>43157</v>
      </c>
      <c r="C5426" t="inlineStr">
        <is>
          <t>2018-02</t>
        </is>
      </c>
      <c r="D5426" t="inlineStr">
        <is>
          <t>22c29808c4f815213303f8933030604c</t>
        </is>
      </c>
      <c r="E5426" t="inlineStr">
        <is>
          <t>organic_search</t>
        </is>
      </c>
      <c r="F5426">
        <f>IFERROR(MATCH(A5426,Deals!$A$2:$A$843,0),"")</f>
        <v/>
      </c>
      <c r="G5426">
        <f>IF(F5426="",0,1)</f>
        <v/>
      </c>
      <c r="H5426" s="29">
        <f>IF(F5426="","",INDEX(Deals!$E$2:$E$843,F5426))</f>
        <v/>
      </c>
      <c r="I5426">
        <f>IF(F5426="","",INDEX(Deals!$D$2:$D$843,F5426))</f>
        <v/>
      </c>
      <c r="J5426">
        <f>IF(F5426="","",INT(H5426)-B5426)</f>
        <v/>
      </c>
      <c r="K5426">
        <f>IF(B5426&gt;=Settings!$C$5,1,0)</f>
        <v/>
      </c>
    </row>
    <row r="5427">
      <c r="A5427" t="inlineStr">
        <is>
          <t>9678fa54dc9751a0633fe25843f900b4</t>
        </is>
      </c>
      <c r="B5427" s="29" t="n">
        <v>43153</v>
      </c>
      <c r="C5427" t="inlineStr">
        <is>
          <t>2018-02</t>
        </is>
      </c>
      <c r="D5427" t="inlineStr">
        <is>
          <t>b76ef37428e6799c421989521c0e5077</t>
        </is>
      </c>
      <c r="E5427" t="inlineStr">
        <is>
          <t>organic_search</t>
        </is>
      </c>
      <c r="F5427">
        <f>IFERROR(MATCH(A5427,Deals!$A$2:$A$843,0),"")</f>
        <v/>
      </c>
      <c r="G5427">
        <f>IF(F5427="",0,1)</f>
        <v/>
      </c>
      <c r="H5427" s="29">
        <f>IF(F5427="","",INDEX(Deals!$E$2:$E$843,F5427))</f>
        <v/>
      </c>
      <c r="I5427">
        <f>IF(F5427="","",INDEX(Deals!$D$2:$D$843,F5427))</f>
        <v/>
      </c>
      <c r="J5427">
        <f>IF(F5427="","",INT(H5427)-B5427)</f>
        <v/>
      </c>
      <c r="K5427">
        <f>IF(B5427&gt;=Settings!$C$5,1,0)</f>
        <v/>
      </c>
    </row>
    <row r="5428">
      <c r="A5428" t="inlineStr">
        <is>
          <t>525a12095ee281d7f23e073acee75040</t>
        </is>
      </c>
      <c r="B5428" s="29" t="n">
        <v>43164</v>
      </c>
      <c r="C5428" t="inlineStr">
        <is>
          <t>2018-03</t>
        </is>
      </c>
      <c r="D5428" t="inlineStr">
        <is>
          <t>649b7b8b46b254497e92038d88f6ced8</t>
        </is>
      </c>
      <c r="E5428" t="inlineStr">
        <is>
          <t>social</t>
        </is>
      </c>
      <c r="F5428">
        <f>IFERROR(MATCH(A5428,Deals!$A$2:$A$843,0),"")</f>
        <v/>
      </c>
      <c r="G5428">
        <f>IF(F5428="",0,1)</f>
        <v/>
      </c>
      <c r="H5428" s="29">
        <f>IF(F5428="","",INDEX(Deals!$E$2:$E$843,F5428))</f>
        <v/>
      </c>
      <c r="I5428">
        <f>IF(F5428="","",INDEX(Deals!$D$2:$D$843,F5428))</f>
        <v/>
      </c>
      <c r="J5428">
        <f>IF(F5428="","",INT(H5428)-B5428)</f>
        <v/>
      </c>
      <c r="K5428">
        <f>IF(B5428&gt;=Settings!$C$5,1,0)</f>
        <v/>
      </c>
    </row>
    <row r="5429">
      <c r="A5429" t="inlineStr">
        <is>
          <t>e6df50e20158a9ea2c49817409f3ad38</t>
        </is>
      </c>
      <c r="B5429" s="29" t="n">
        <v>43204</v>
      </c>
      <c r="C5429" t="inlineStr">
        <is>
          <t>2018-04</t>
        </is>
      </c>
      <c r="D5429" t="inlineStr">
        <is>
          <t>649b7b8b46b254497e92038d88f6ced8</t>
        </is>
      </c>
      <c r="E5429" t="inlineStr">
        <is>
          <t>organic_search</t>
        </is>
      </c>
      <c r="F5429">
        <f>IFERROR(MATCH(A5429,Deals!$A$2:$A$843,0),"")</f>
        <v/>
      </c>
      <c r="G5429">
        <f>IF(F5429="",0,1)</f>
        <v/>
      </c>
      <c r="H5429" s="29">
        <f>IF(F5429="","",INDEX(Deals!$E$2:$E$843,F5429))</f>
        <v/>
      </c>
      <c r="I5429">
        <f>IF(F5429="","",INDEX(Deals!$D$2:$D$843,F5429))</f>
        <v/>
      </c>
      <c r="J5429">
        <f>IF(F5429="","",INT(H5429)-B5429)</f>
        <v/>
      </c>
      <c r="K5429">
        <f>IF(B5429&gt;=Settings!$C$5,1,0)</f>
        <v/>
      </c>
    </row>
    <row r="5430">
      <c r="A5430" t="inlineStr">
        <is>
          <t>9a15003757164c515ae32caef1bf2786</t>
        </is>
      </c>
      <c r="B5430" s="29" t="n">
        <v>43228</v>
      </c>
      <c r="C5430" t="inlineStr">
        <is>
          <t>2018-05</t>
        </is>
      </c>
      <c r="D5430" t="inlineStr">
        <is>
          <t>22c29808c4f815213303f8933030604c</t>
        </is>
      </c>
      <c r="E5430" t="inlineStr">
        <is>
          <t>organic_search</t>
        </is>
      </c>
      <c r="F5430">
        <f>IFERROR(MATCH(A5430,Deals!$A$2:$A$843,0),"")</f>
        <v/>
      </c>
      <c r="G5430">
        <f>IF(F5430="",0,1)</f>
        <v/>
      </c>
      <c r="H5430" s="29">
        <f>IF(F5430="","",INDEX(Deals!$E$2:$E$843,F5430))</f>
        <v/>
      </c>
      <c r="I5430">
        <f>IF(F5430="","",INDEX(Deals!$D$2:$D$843,F5430))</f>
        <v/>
      </c>
      <c r="J5430">
        <f>IF(F5430="","",INT(H5430)-B5430)</f>
        <v/>
      </c>
      <c r="K5430">
        <f>IF(B5430&gt;=Settings!$C$5,1,0)</f>
        <v/>
      </c>
    </row>
    <row r="5431">
      <c r="A5431" t="inlineStr">
        <is>
          <t>ee7905f8b65b6ea3ac9c66a7845f2737</t>
        </is>
      </c>
      <c r="B5431" s="29" t="n">
        <v>43114</v>
      </c>
      <c r="C5431" t="inlineStr">
        <is>
          <t>2018-01</t>
        </is>
      </c>
      <c r="D5431" t="inlineStr">
        <is>
          <t>22c29808c4f815213303f8933030604c</t>
        </is>
      </c>
      <c r="E5431" t="inlineStr">
        <is>
          <t>social</t>
        </is>
      </c>
      <c r="F5431">
        <f>IFERROR(MATCH(A5431,Deals!$A$2:$A$843,0),"")</f>
        <v/>
      </c>
      <c r="G5431">
        <f>IF(F5431="",0,1)</f>
        <v/>
      </c>
      <c r="H5431" s="29">
        <f>IF(F5431="","",INDEX(Deals!$E$2:$E$843,F5431))</f>
        <v/>
      </c>
      <c r="I5431">
        <f>IF(F5431="","",INDEX(Deals!$D$2:$D$843,F5431))</f>
        <v/>
      </c>
      <c r="J5431">
        <f>IF(F5431="","",INT(H5431)-B5431)</f>
        <v/>
      </c>
      <c r="K5431">
        <f>IF(B5431&gt;=Settings!$C$5,1,0)</f>
        <v/>
      </c>
    </row>
    <row r="5432">
      <c r="A5432" t="inlineStr">
        <is>
          <t>85ac6feb584b665e85664974c546cfec</t>
        </is>
      </c>
      <c r="B5432" s="29" t="n">
        <v>43111</v>
      </c>
      <c r="C5432" t="inlineStr">
        <is>
          <t>2018-01</t>
        </is>
      </c>
      <c r="D5432" t="inlineStr">
        <is>
          <t>ce1a65abd0973638f1c887a6efcfa82d</t>
        </is>
      </c>
      <c r="E5432" t="inlineStr">
        <is>
          <t>paid_search</t>
        </is>
      </c>
      <c r="F5432">
        <f>IFERROR(MATCH(A5432,Deals!$A$2:$A$843,0),"")</f>
        <v/>
      </c>
      <c r="G5432">
        <f>IF(F5432="",0,1)</f>
        <v/>
      </c>
      <c r="H5432" s="29">
        <f>IF(F5432="","",INDEX(Deals!$E$2:$E$843,F5432))</f>
        <v/>
      </c>
      <c r="I5432">
        <f>IF(F5432="","",INDEX(Deals!$D$2:$D$843,F5432))</f>
        <v/>
      </c>
      <c r="J5432">
        <f>IF(F5432="","",INT(H5432)-B5432)</f>
        <v/>
      </c>
      <c r="K5432">
        <f>IF(B5432&gt;=Settings!$C$5,1,0)</f>
        <v/>
      </c>
    </row>
    <row r="5433">
      <c r="A5433" t="inlineStr">
        <is>
          <t>0db2e6f97f1d5c564366bea52764d5c6</t>
        </is>
      </c>
      <c r="B5433" s="29" t="n">
        <v>43228</v>
      </c>
      <c r="C5433" t="inlineStr">
        <is>
          <t>2018-05</t>
        </is>
      </c>
      <c r="D5433" t="inlineStr">
        <is>
          <t>358adb2fee9a122549618e46925a00a5</t>
        </is>
      </c>
      <c r="E5433" t="inlineStr">
        <is>
          <t>organic_search</t>
        </is>
      </c>
      <c r="F5433">
        <f>IFERROR(MATCH(A5433,Deals!$A$2:$A$843,0),"")</f>
        <v/>
      </c>
      <c r="G5433">
        <f>IF(F5433="",0,1)</f>
        <v/>
      </c>
      <c r="H5433" s="29">
        <f>IF(F5433="","",INDEX(Deals!$E$2:$E$843,F5433))</f>
        <v/>
      </c>
      <c r="I5433">
        <f>IF(F5433="","",INDEX(Deals!$D$2:$D$843,F5433))</f>
        <v/>
      </c>
      <c r="J5433">
        <f>IF(F5433="","",INT(H5433)-B5433)</f>
        <v/>
      </c>
      <c r="K5433">
        <f>IF(B5433&gt;=Settings!$C$5,1,0)</f>
        <v/>
      </c>
    </row>
    <row r="5434">
      <c r="A5434" t="inlineStr">
        <is>
          <t>473544ee6fb67869a3bf78f8100b1848</t>
        </is>
      </c>
      <c r="B5434" s="29" t="n">
        <v>43226</v>
      </c>
      <c r="C5434" t="inlineStr">
        <is>
          <t>2018-05</t>
        </is>
      </c>
      <c r="D5434" t="inlineStr">
        <is>
          <t>58326e62183c14b0c03085c33b9fdc44</t>
        </is>
      </c>
      <c r="E5434" t="inlineStr">
        <is>
          <t>social</t>
        </is>
      </c>
      <c r="F5434">
        <f>IFERROR(MATCH(A5434,Deals!$A$2:$A$843,0),"")</f>
        <v/>
      </c>
      <c r="G5434">
        <f>IF(F5434="",0,1)</f>
        <v/>
      </c>
      <c r="H5434" s="29">
        <f>IF(F5434="","",INDEX(Deals!$E$2:$E$843,F5434))</f>
        <v/>
      </c>
      <c r="I5434">
        <f>IF(F5434="","",INDEX(Deals!$D$2:$D$843,F5434))</f>
        <v/>
      </c>
      <c r="J5434">
        <f>IF(F5434="","",INT(H5434)-B5434)</f>
        <v/>
      </c>
      <c r="K5434">
        <f>IF(B5434&gt;=Settings!$C$5,1,0)</f>
        <v/>
      </c>
    </row>
    <row r="5435">
      <c r="A5435" t="inlineStr">
        <is>
          <t>694830f169190daee55b64d39c7bae30</t>
        </is>
      </c>
      <c r="B5435" s="29" t="n">
        <v>43144</v>
      </c>
      <c r="C5435" t="inlineStr">
        <is>
          <t>2018-02</t>
        </is>
      </c>
      <c r="D5435" t="inlineStr">
        <is>
          <t>22c29808c4f815213303f8933030604c</t>
        </is>
      </c>
      <c r="E5435" t="inlineStr">
        <is>
          <t>organic_search</t>
        </is>
      </c>
      <c r="F5435">
        <f>IFERROR(MATCH(A5435,Deals!$A$2:$A$843,0),"")</f>
        <v/>
      </c>
      <c r="G5435">
        <f>IF(F5435="",0,1)</f>
        <v/>
      </c>
      <c r="H5435" s="29">
        <f>IF(F5435="","",INDEX(Deals!$E$2:$E$843,F5435))</f>
        <v/>
      </c>
      <c r="I5435">
        <f>IF(F5435="","",INDEX(Deals!$D$2:$D$843,F5435))</f>
        <v/>
      </c>
      <c r="J5435">
        <f>IF(F5435="","",INT(H5435)-B5435)</f>
        <v/>
      </c>
      <c r="K5435">
        <f>IF(B5435&gt;=Settings!$C$5,1,0)</f>
        <v/>
      </c>
    </row>
    <row r="5436">
      <c r="A5436" t="inlineStr">
        <is>
          <t>4feb05f06a07d18e98f1f795e4cc1f9c</t>
        </is>
      </c>
      <c r="B5436" s="29" t="n">
        <v>43146</v>
      </c>
      <c r="C5436" t="inlineStr">
        <is>
          <t>2018-02</t>
        </is>
      </c>
      <c r="D5436" t="inlineStr">
        <is>
          <t>e492ee5eaf1697716985cc6f33f9cd9b</t>
        </is>
      </c>
      <c r="E5436" t="inlineStr">
        <is>
          <t>organic_search</t>
        </is>
      </c>
      <c r="F5436">
        <f>IFERROR(MATCH(A5436,Deals!$A$2:$A$843,0),"")</f>
        <v/>
      </c>
      <c r="G5436">
        <f>IF(F5436="",0,1)</f>
        <v/>
      </c>
      <c r="H5436" s="29">
        <f>IF(F5436="","",INDEX(Deals!$E$2:$E$843,F5436))</f>
        <v/>
      </c>
      <c r="I5436">
        <f>IF(F5436="","",INDEX(Deals!$D$2:$D$843,F5436))</f>
        <v/>
      </c>
      <c r="J5436">
        <f>IF(F5436="","",INT(H5436)-B5436)</f>
        <v/>
      </c>
      <c r="K5436">
        <f>IF(B5436&gt;=Settings!$C$5,1,0)</f>
        <v/>
      </c>
    </row>
    <row r="5437">
      <c r="A5437" t="inlineStr">
        <is>
          <t>6a3046726902d0c78e1da31e247df4cc</t>
        </is>
      </c>
      <c r="B5437" s="29" t="n">
        <v>43222</v>
      </c>
      <c r="C5437" t="inlineStr">
        <is>
          <t>2018-05</t>
        </is>
      </c>
      <c r="D5437" t="inlineStr">
        <is>
          <t>e42a14209c69c3e9cc6b042620465f12</t>
        </is>
      </c>
      <c r="E5437" t="inlineStr">
        <is>
          <t>email</t>
        </is>
      </c>
      <c r="F5437">
        <f>IFERROR(MATCH(A5437,Deals!$A$2:$A$843,0),"")</f>
        <v/>
      </c>
      <c r="G5437">
        <f>IF(F5437="",0,1)</f>
        <v/>
      </c>
      <c r="H5437" s="29">
        <f>IF(F5437="","",INDEX(Deals!$E$2:$E$843,F5437))</f>
        <v/>
      </c>
      <c r="I5437">
        <f>IF(F5437="","",INDEX(Deals!$D$2:$D$843,F5437))</f>
        <v/>
      </c>
      <c r="J5437">
        <f>IF(F5437="","",INT(H5437)-B5437)</f>
        <v/>
      </c>
      <c r="K5437">
        <f>IF(B5437&gt;=Settings!$C$5,1,0)</f>
        <v/>
      </c>
    </row>
    <row r="5438">
      <c r="A5438" t="inlineStr">
        <is>
          <t>75743dbfcf177f2885a59b460017feee</t>
        </is>
      </c>
      <c r="B5438" s="29" t="n">
        <v>43135</v>
      </c>
      <c r="C5438" t="inlineStr">
        <is>
          <t>2018-02</t>
        </is>
      </c>
      <c r="D5438" t="inlineStr">
        <is>
          <t>d83b0d0e48c8447d1d5507a44027a955</t>
        </is>
      </c>
      <c r="E5438" t="inlineStr">
        <is>
          <t>paid_search</t>
        </is>
      </c>
      <c r="F5438">
        <f>IFERROR(MATCH(A5438,Deals!$A$2:$A$843,0),"")</f>
        <v/>
      </c>
      <c r="G5438">
        <f>IF(F5438="",0,1)</f>
        <v/>
      </c>
      <c r="H5438" s="29">
        <f>IF(F5438="","",INDEX(Deals!$E$2:$E$843,F5438))</f>
        <v/>
      </c>
      <c r="I5438">
        <f>IF(F5438="","",INDEX(Deals!$D$2:$D$843,F5438))</f>
        <v/>
      </c>
      <c r="J5438">
        <f>IF(F5438="","",INT(H5438)-B5438)</f>
        <v/>
      </c>
      <c r="K5438">
        <f>IF(B5438&gt;=Settings!$C$5,1,0)</f>
        <v/>
      </c>
    </row>
    <row r="5439">
      <c r="A5439" t="inlineStr">
        <is>
          <t>344f7ef63191c90344c8ab3db8200d5d</t>
        </is>
      </c>
      <c r="B5439" s="29" t="n">
        <v>43153</v>
      </c>
      <c r="C5439" t="inlineStr">
        <is>
          <t>2018-02</t>
        </is>
      </c>
      <c r="D5439" t="inlineStr">
        <is>
          <t>88740e65d5d6b056e0cda098e1ea6313</t>
        </is>
      </c>
      <c r="E5439" t="inlineStr">
        <is>
          <t>social</t>
        </is>
      </c>
      <c r="F5439">
        <f>IFERROR(MATCH(A5439,Deals!$A$2:$A$843,0),"")</f>
        <v/>
      </c>
      <c r="G5439">
        <f>IF(F5439="",0,1)</f>
        <v/>
      </c>
      <c r="H5439" s="29">
        <f>IF(F5439="","",INDEX(Deals!$E$2:$E$843,F5439))</f>
        <v/>
      </c>
      <c r="I5439">
        <f>IF(F5439="","",INDEX(Deals!$D$2:$D$843,F5439))</f>
        <v/>
      </c>
      <c r="J5439">
        <f>IF(F5439="","",INT(H5439)-B5439)</f>
        <v/>
      </c>
      <c r="K5439">
        <f>IF(B5439&gt;=Settings!$C$5,1,0)</f>
        <v/>
      </c>
    </row>
    <row r="5440">
      <c r="A5440" t="inlineStr">
        <is>
          <t>0132aa31975919090c559d6d4175bc56</t>
        </is>
      </c>
      <c r="B5440" s="29" t="n">
        <v>43028</v>
      </c>
      <c r="C5440" t="inlineStr">
        <is>
          <t>2017-10</t>
        </is>
      </c>
      <c r="D5440" t="inlineStr">
        <is>
          <t>65d9f9d71e562365e8b44037c2888d98</t>
        </is>
      </c>
      <c r="E5440" t="inlineStr">
        <is>
          <t>paid_search</t>
        </is>
      </c>
      <c r="F5440">
        <f>IFERROR(MATCH(A5440,Deals!$A$2:$A$843,0),"")</f>
        <v/>
      </c>
      <c r="G5440">
        <f>IF(F5440="",0,1)</f>
        <v/>
      </c>
      <c r="H5440" s="29">
        <f>IF(F5440="","",INDEX(Deals!$E$2:$E$843,F5440))</f>
        <v/>
      </c>
      <c r="I5440">
        <f>IF(F5440="","",INDEX(Deals!$D$2:$D$843,F5440))</f>
        <v/>
      </c>
      <c r="J5440">
        <f>IF(F5440="","",INT(H5440)-B5440)</f>
        <v/>
      </c>
      <c r="K5440">
        <f>IF(B5440&gt;=Settings!$C$5,1,0)</f>
        <v/>
      </c>
    </row>
    <row r="5441">
      <c r="A5441" t="inlineStr">
        <is>
          <t>78afc2595242c90f511a52ced9dec893</t>
        </is>
      </c>
      <c r="B5441" s="29" t="n">
        <v>43124</v>
      </c>
      <c r="C5441" t="inlineStr">
        <is>
          <t>2018-01</t>
        </is>
      </c>
      <c r="D5441" t="inlineStr">
        <is>
          <t>f017be4dbf86243af5c1ebed0cff36a2</t>
        </is>
      </c>
      <c r="E5441" t="inlineStr">
        <is>
          <t>organic_search</t>
        </is>
      </c>
      <c r="F5441">
        <f>IFERROR(MATCH(A5441,Deals!$A$2:$A$843,0),"")</f>
        <v/>
      </c>
      <c r="G5441">
        <f>IF(F5441="",0,1)</f>
        <v/>
      </c>
      <c r="H5441" s="29">
        <f>IF(F5441="","",INDEX(Deals!$E$2:$E$843,F5441))</f>
        <v/>
      </c>
      <c r="I5441">
        <f>IF(F5441="","",INDEX(Deals!$D$2:$D$843,F5441))</f>
        <v/>
      </c>
      <c r="J5441">
        <f>IF(F5441="","",INT(H5441)-B5441)</f>
        <v/>
      </c>
      <c r="K5441">
        <f>IF(B5441&gt;=Settings!$C$5,1,0)</f>
        <v/>
      </c>
    </row>
    <row r="5442">
      <c r="A5442" t="inlineStr">
        <is>
          <t>b2edc81d693b1dff6b2be80a70294a43</t>
        </is>
      </c>
      <c r="B5442" s="29" t="n">
        <v>43095</v>
      </c>
      <c r="C5442" t="inlineStr">
        <is>
          <t>2017-12</t>
        </is>
      </c>
      <c r="D5442" t="inlineStr">
        <is>
          <t>65d9f9d71e562365e8b44037c2888d98</t>
        </is>
      </c>
      <c r="E5442" t="inlineStr">
        <is>
          <t>paid_search</t>
        </is>
      </c>
      <c r="F5442">
        <f>IFERROR(MATCH(A5442,Deals!$A$2:$A$843,0),"")</f>
        <v/>
      </c>
      <c r="G5442">
        <f>IF(F5442="",0,1)</f>
        <v/>
      </c>
      <c r="H5442" s="29">
        <f>IF(F5442="","",INDEX(Deals!$E$2:$E$843,F5442))</f>
        <v/>
      </c>
      <c r="I5442">
        <f>IF(F5442="","",INDEX(Deals!$D$2:$D$843,F5442))</f>
        <v/>
      </c>
      <c r="J5442">
        <f>IF(F5442="","",INT(H5442)-B5442)</f>
        <v/>
      </c>
      <c r="K5442">
        <f>IF(B5442&gt;=Settings!$C$5,1,0)</f>
        <v/>
      </c>
    </row>
    <row r="5443">
      <c r="A5443" t="inlineStr">
        <is>
          <t>244450a5d4391583f3af2e4b23e44a09</t>
        </is>
      </c>
      <c r="B5443" s="29" t="n">
        <v>43179</v>
      </c>
      <c r="C5443" t="inlineStr">
        <is>
          <t>2018-03</t>
        </is>
      </c>
      <c r="D5443" t="inlineStr">
        <is>
          <t>b76ef37428e6799c421989521c0e5077</t>
        </is>
      </c>
      <c r="E5443" t="inlineStr">
        <is>
          <t>direct_traffic</t>
        </is>
      </c>
      <c r="F5443">
        <f>IFERROR(MATCH(A5443,Deals!$A$2:$A$843,0),"")</f>
        <v/>
      </c>
      <c r="G5443">
        <f>IF(F5443="",0,1)</f>
        <v/>
      </c>
      <c r="H5443" s="29">
        <f>IF(F5443="","",INDEX(Deals!$E$2:$E$843,F5443))</f>
        <v/>
      </c>
      <c r="I5443">
        <f>IF(F5443="","",INDEX(Deals!$D$2:$D$843,F5443))</f>
        <v/>
      </c>
      <c r="J5443">
        <f>IF(F5443="","",INT(H5443)-B5443)</f>
        <v/>
      </c>
      <c r="K5443">
        <f>IF(B5443&gt;=Settings!$C$5,1,0)</f>
        <v/>
      </c>
    </row>
    <row r="5444">
      <c r="A5444" t="inlineStr">
        <is>
          <t>69e76024ac7ba70a088659ac5d80a3af</t>
        </is>
      </c>
      <c r="B5444" s="29" t="n">
        <v>42991</v>
      </c>
      <c r="C5444" t="inlineStr">
        <is>
          <t>2017-09</t>
        </is>
      </c>
      <c r="D5444" t="inlineStr">
        <is>
          <t>298895230612f85f0742434fc434ad10</t>
        </is>
      </c>
      <c r="E5444" t="inlineStr">
        <is>
          <t>email</t>
        </is>
      </c>
      <c r="F5444">
        <f>IFERROR(MATCH(A5444,Deals!$A$2:$A$843,0),"")</f>
        <v/>
      </c>
      <c r="G5444">
        <f>IF(F5444="",0,1)</f>
        <v/>
      </c>
      <c r="H5444" s="29">
        <f>IF(F5444="","",INDEX(Deals!$E$2:$E$843,F5444))</f>
        <v/>
      </c>
      <c r="I5444">
        <f>IF(F5444="","",INDEX(Deals!$D$2:$D$843,F5444))</f>
        <v/>
      </c>
      <c r="J5444">
        <f>IF(F5444="","",INT(H5444)-B5444)</f>
        <v/>
      </c>
      <c r="K5444">
        <f>IF(B5444&gt;=Settings!$C$5,1,0)</f>
        <v/>
      </c>
    </row>
    <row r="5445">
      <c r="A5445" t="inlineStr">
        <is>
          <t>b4904a2fbacfba60cbceca4a7bf0f794</t>
        </is>
      </c>
      <c r="B5445" s="29" t="n">
        <v>43241</v>
      </c>
      <c r="C5445" t="inlineStr">
        <is>
          <t>2018-05</t>
        </is>
      </c>
      <c r="D5445" t="inlineStr">
        <is>
          <t>40dec9f3d5259a3d2dbcdab2114fae47</t>
        </is>
      </c>
      <c r="E5445" t="inlineStr">
        <is>
          <t>paid_search</t>
        </is>
      </c>
      <c r="F5445">
        <f>IFERROR(MATCH(A5445,Deals!$A$2:$A$843,0),"")</f>
        <v/>
      </c>
      <c r="G5445">
        <f>IF(F5445="",0,1)</f>
        <v/>
      </c>
      <c r="H5445" s="29">
        <f>IF(F5445="","",INDEX(Deals!$E$2:$E$843,F5445))</f>
        <v/>
      </c>
      <c r="I5445">
        <f>IF(F5445="","",INDEX(Deals!$D$2:$D$843,F5445))</f>
        <v/>
      </c>
      <c r="J5445">
        <f>IF(F5445="","",INT(H5445)-B5445)</f>
        <v/>
      </c>
      <c r="K5445">
        <f>IF(B5445&gt;=Settings!$C$5,1,0)</f>
        <v/>
      </c>
    </row>
    <row r="5446">
      <c r="A5446" t="inlineStr">
        <is>
          <t>b952172111c8ee9611f15f35632f4c6a</t>
        </is>
      </c>
      <c r="B5446" s="29" t="n">
        <v>43215</v>
      </c>
      <c r="C5446" t="inlineStr">
        <is>
          <t>2018-04</t>
        </is>
      </c>
      <c r="D5446" t="inlineStr">
        <is>
          <t>0218f6be0b76aca72ab4d00ee9e8cf10</t>
        </is>
      </c>
      <c r="E5446" t="inlineStr">
        <is>
          <t>paid_search</t>
        </is>
      </c>
      <c r="F5446">
        <f>IFERROR(MATCH(A5446,Deals!$A$2:$A$843,0),"")</f>
        <v/>
      </c>
      <c r="G5446">
        <f>IF(F5446="",0,1)</f>
        <v/>
      </c>
      <c r="H5446" s="29">
        <f>IF(F5446="","",INDEX(Deals!$E$2:$E$843,F5446))</f>
        <v/>
      </c>
      <c r="I5446">
        <f>IF(F5446="","",INDEX(Deals!$D$2:$D$843,F5446))</f>
        <v/>
      </c>
      <c r="J5446">
        <f>IF(F5446="","",INT(H5446)-B5446)</f>
        <v/>
      </c>
      <c r="K5446">
        <f>IF(B5446&gt;=Settings!$C$5,1,0)</f>
        <v/>
      </c>
    </row>
    <row r="5447">
      <c r="A5447" t="inlineStr">
        <is>
          <t>ec7198139a9c777b24d6114b54d9fd98</t>
        </is>
      </c>
      <c r="B5447" s="29" t="n">
        <v>43136</v>
      </c>
      <c r="C5447" t="inlineStr">
        <is>
          <t>2018-02</t>
        </is>
      </c>
      <c r="D5447" t="inlineStr">
        <is>
          <t>b76ef37428e6799c421989521c0e5077</t>
        </is>
      </c>
      <c r="E5447" t="inlineStr">
        <is>
          <t>other_publicities</t>
        </is>
      </c>
      <c r="F5447">
        <f>IFERROR(MATCH(A5447,Deals!$A$2:$A$843,0),"")</f>
        <v/>
      </c>
      <c r="G5447">
        <f>IF(F5447="",0,1)</f>
        <v/>
      </c>
      <c r="H5447" s="29">
        <f>IF(F5447="","",INDEX(Deals!$E$2:$E$843,F5447))</f>
        <v/>
      </c>
      <c r="I5447">
        <f>IF(F5447="","",INDEX(Deals!$D$2:$D$843,F5447))</f>
        <v/>
      </c>
      <c r="J5447">
        <f>IF(F5447="","",INT(H5447)-B5447)</f>
        <v/>
      </c>
      <c r="K5447">
        <f>IF(B5447&gt;=Settings!$C$5,1,0)</f>
        <v/>
      </c>
    </row>
    <row r="5448">
      <c r="A5448" t="inlineStr">
        <is>
          <t>8cc73dd2a42ac2d64984ddb3c72f633b</t>
        </is>
      </c>
      <c r="B5448" s="29" t="n">
        <v>43036</v>
      </c>
      <c r="C5448" t="inlineStr">
        <is>
          <t>2017-10</t>
        </is>
      </c>
      <c r="D5448" t="inlineStr">
        <is>
          <t>f017be4dbf86243af5c1ebed0cff36a2</t>
        </is>
      </c>
      <c r="E5448" t="inlineStr">
        <is>
          <t>organic_search</t>
        </is>
      </c>
      <c r="F5448">
        <f>IFERROR(MATCH(A5448,Deals!$A$2:$A$843,0),"")</f>
        <v/>
      </c>
      <c r="G5448">
        <f>IF(F5448="",0,1)</f>
        <v/>
      </c>
      <c r="H5448" s="29">
        <f>IF(F5448="","",INDEX(Deals!$E$2:$E$843,F5448))</f>
        <v/>
      </c>
      <c r="I5448">
        <f>IF(F5448="","",INDEX(Deals!$D$2:$D$843,F5448))</f>
        <v/>
      </c>
      <c r="J5448">
        <f>IF(F5448="","",INT(H5448)-B5448)</f>
        <v/>
      </c>
      <c r="K5448">
        <f>IF(B5448&gt;=Settings!$C$5,1,0)</f>
        <v/>
      </c>
    </row>
    <row r="5449">
      <c r="A5449" t="inlineStr">
        <is>
          <t>4e805f0ec4285403bb32e8ef09389277</t>
        </is>
      </c>
      <c r="B5449" s="29" t="n">
        <v>43195</v>
      </c>
      <c r="C5449" t="inlineStr">
        <is>
          <t>2018-04</t>
        </is>
      </c>
      <c r="D5449" t="inlineStr">
        <is>
          <t>b76ef37428e6799c421989521c0e5077</t>
        </is>
      </c>
      <c r="E5449" t="inlineStr">
        <is>
          <t>unknown</t>
        </is>
      </c>
      <c r="F5449">
        <f>IFERROR(MATCH(A5449,Deals!$A$2:$A$843,0),"")</f>
        <v/>
      </c>
      <c r="G5449">
        <f>IF(F5449="",0,1)</f>
        <v/>
      </c>
      <c r="H5449" s="29">
        <f>IF(F5449="","",INDEX(Deals!$E$2:$E$843,F5449))</f>
        <v/>
      </c>
      <c r="I5449">
        <f>IF(F5449="","",INDEX(Deals!$D$2:$D$843,F5449))</f>
        <v/>
      </c>
      <c r="J5449">
        <f>IF(F5449="","",INT(H5449)-B5449)</f>
        <v/>
      </c>
      <c r="K5449">
        <f>IF(B5449&gt;=Settings!$C$5,1,0)</f>
        <v/>
      </c>
    </row>
    <row r="5450">
      <c r="A5450" t="inlineStr">
        <is>
          <t>4123c19231c19717ad706a848caa2842</t>
        </is>
      </c>
      <c r="B5450" s="29" t="n">
        <v>42961</v>
      </c>
      <c r="C5450" t="inlineStr">
        <is>
          <t>2017-08</t>
        </is>
      </c>
      <c r="D5450" t="inlineStr">
        <is>
          <t>1722481ac9e5371e5099dea226b5421d</t>
        </is>
      </c>
      <c r="E5450" t="inlineStr">
        <is>
          <t>organic_search</t>
        </is>
      </c>
      <c r="F5450">
        <f>IFERROR(MATCH(A5450,Deals!$A$2:$A$843,0),"")</f>
        <v/>
      </c>
      <c r="G5450">
        <f>IF(F5450="",0,1)</f>
        <v/>
      </c>
      <c r="H5450" s="29">
        <f>IF(F5450="","",INDEX(Deals!$E$2:$E$843,F5450))</f>
        <v/>
      </c>
      <c r="I5450">
        <f>IF(F5450="","",INDEX(Deals!$D$2:$D$843,F5450))</f>
        <v/>
      </c>
      <c r="J5450">
        <f>IF(F5450="","",INT(H5450)-B5450)</f>
        <v/>
      </c>
      <c r="K5450">
        <f>IF(B5450&gt;=Settings!$C$5,1,0)</f>
        <v/>
      </c>
    </row>
    <row r="5451">
      <c r="A5451" t="inlineStr">
        <is>
          <t>157d3e34504651fec77eb83fe7f89760</t>
        </is>
      </c>
      <c r="B5451" s="29" t="n">
        <v>43180</v>
      </c>
      <c r="C5451" t="inlineStr">
        <is>
          <t>2018-03</t>
        </is>
      </c>
      <c r="D5451" t="inlineStr">
        <is>
          <t>b76ef37428e6799c421989521c0e5077</t>
        </is>
      </c>
      <c r="E5451" t="inlineStr">
        <is>
          <t>unknown</t>
        </is>
      </c>
      <c r="F5451">
        <f>IFERROR(MATCH(A5451,Deals!$A$2:$A$843,0),"")</f>
        <v/>
      </c>
      <c r="G5451">
        <f>IF(F5451="",0,1)</f>
        <v/>
      </c>
      <c r="H5451" s="29">
        <f>IF(F5451="","",INDEX(Deals!$E$2:$E$843,F5451))</f>
        <v/>
      </c>
      <c r="I5451">
        <f>IF(F5451="","",INDEX(Deals!$D$2:$D$843,F5451))</f>
        <v/>
      </c>
      <c r="J5451">
        <f>IF(F5451="","",INT(H5451)-B5451)</f>
        <v/>
      </c>
      <c r="K5451">
        <f>IF(B5451&gt;=Settings!$C$5,1,0)</f>
        <v/>
      </c>
    </row>
    <row r="5452">
      <c r="A5452" t="inlineStr">
        <is>
          <t>460066ec29274e9c86d952a27dc83f5f</t>
        </is>
      </c>
      <c r="B5452" s="29" t="n">
        <v>43248</v>
      </c>
      <c r="C5452" t="inlineStr">
        <is>
          <t>2018-05</t>
        </is>
      </c>
      <c r="D5452" t="inlineStr">
        <is>
          <t>330b9d44078a1ae5a221d655dcb77afa</t>
        </is>
      </c>
      <c r="E5452" t="inlineStr">
        <is>
          <t>email</t>
        </is>
      </c>
      <c r="F5452">
        <f>IFERROR(MATCH(A5452,Deals!$A$2:$A$843,0),"")</f>
        <v/>
      </c>
      <c r="G5452">
        <f>IF(F5452="",0,1)</f>
        <v/>
      </c>
      <c r="H5452" s="29">
        <f>IF(F5452="","",INDEX(Deals!$E$2:$E$843,F5452))</f>
        <v/>
      </c>
      <c r="I5452">
        <f>IF(F5452="","",INDEX(Deals!$D$2:$D$843,F5452))</f>
        <v/>
      </c>
      <c r="J5452">
        <f>IF(F5452="","",INT(H5452)-B5452)</f>
        <v/>
      </c>
      <c r="K5452">
        <f>IF(B5452&gt;=Settings!$C$5,1,0)</f>
        <v/>
      </c>
    </row>
    <row r="5453">
      <c r="A5453" t="inlineStr">
        <is>
          <t>49d67d53aeb86e49d4de15a9d2cfb0e5</t>
        </is>
      </c>
      <c r="B5453" s="29" t="n">
        <v>43108</v>
      </c>
      <c r="C5453" t="inlineStr">
        <is>
          <t>2018-01</t>
        </is>
      </c>
      <c r="D5453" t="inlineStr">
        <is>
          <t>88740e65d5d6b056e0cda098e1ea6313</t>
        </is>
      </c>
      <c r="E5453" t="inlineStr">
        <is>
          <t>social</t>
        </is>
      </c>
      <c r="F5453">
        <f>IFERROR(MATCH(A5453,Deals!$A$2:$A$843,0),"")</f>
        <v/>
      </c>
      <c r="G5453">
        <f>IF(F5453="",0,1)</f>
        <v/>
      </c>
      <c r="H5453" s="29">
        <f>IF(F5453="","",INDEX(Deals!$E$2:$E$843,F5453))</f>
        <v/>
      </c>
      <c r="I5453">
        <f>IF(F5453="","",INDEX(Deals!$D$2:$D$843,F5453))</f>
        <v/>
      </c>
      <c r="J5453">
        <f>IF(F5453="","",INT(H5453)-B5453)</f>
        <v/>
      </c>
      <c r="K5453">
        <f>IF(B5453&gt;=Settings!$C$5,1,0)</f>
        <v/>
      </c>
    </row>
    <row r="5454">
      <c r="A5454" t="inlineStr">
        <is>
          <t>418f995ca45e4394daa4447bd637ec4d</t>
        </is>
      </c>
      <c r="B5454" s="29" t="n">
        <v>43201</v>
      </c>
      <c r="C5454" t="inlineStr">
        <is>
          <t>2018-04</t>
        </is>
      </c>
      <c r="D5454" t="inlineStr">
        <is>
          <t>ce1a65abd0973638f1c887a6efcfa82d</t>
        </is>
      </c>
      <c r="E5454" t="inlineStr">
        <is>
          <t>organic_search</t>
        </is>
      </c>
      <c r="F5454">
        <f>IFERROR(MATCH(A5454,Deals!$A$2:$A$843,0),"")</f>
        <v/>
      </c>
      <c r="G5454">
        <f>IF(F5454="",0,1)</f>
        <v/>
      </c>
      <c r="H5454" s="29">
        <f>IF(F5454="","",INDEX(Deals!$E$2:$E$843,F5454))</f>
        <v/>
      </c>
      <c r="I5454">
        <f>IF(F5454="","",INDEX(Deals!$D$2:$D$843,F5454))</f>
        <v/>
      </c>
      <c r="J5454">
        <f>IF(F5454="","",INT(H5454)-B5454)</f>
        <v/>
      </c>
      <c r="K5454">
        <f>IF(B5454&gt;=Settings!$C$5,1,0)</f>
        <v/>
      </c>
    </row>
    <row r="5455">
      <c r="A5455" t="inlineStr">
        <is>
          <t>9058ea5aa084f1c3475cd39bf83c1c9f</t>
        </is>
      </c>
      <c r="B5455" s="29" t="n">
        <v>42982</v>
      </c>
      <c r="C5455" t="inlineStr">
        <is>
          <t>2017-09</t>
        </is>
      </c>
      <c r="D5455" t="inlineStr">
        <is>
          <t>e492ee5eaf1697716985cc6f33f9cd9b</t>
        </is>
      </c>
      <c r="E5455" t="inlineStr">
        <is>
          <t>paid_search</t>
        </is>
      </c>
      <c r="F5455">
        <f>IFERROR(MATCH(A5455,Deals!$A$2:$A$843,0),"")</f>
        <v/>
      </c>
      <c r="G5455">
        <f>IF(F5455="",0,1)</f>
        <v/>
      </c>
      <c r="H5455" s="29">
        <f>IF(F5455="","",INDEX(Deals!$E$2:$E$843,F5455))</f>
        <v/>
      </c>
      <c r="I5455">
        <f>IF(F5455="","",INDEX(Deals!$D$2:$D$843,F5455))</f>
        <v/>
      </c>
      <c r="J5455">
        <f>IF(F5455="","",INT(H5455)-B5455)</f>
        <v/>
      </c>
      <c r="K5455">
        <f>IF(B5455&gt;=Settings!$C$5,1,0)</f>
        <v/>
      </c>
    </row>
    <row r="5456">
      <c r="A5456" t="inlineStr">
        <is>
          <t>9d6e19ad9c92e6d9e0579b33d7970c5f</t>
        </is>
      </c>
      <c r="B5456" s="29" t="n">
        <v>43199</v>
      </c>
      <c r="C5456" t="inlineStr">
        <is>
          <t>2018-04</t>
        </is>
      </c>
      <c r="D5456" t="inlineStr">
        <is>
          <t>58326e62183c14b0c03085c33b9fdc44</t>
        </is>
      </c>
      <c r="E5456" t="inlineStr">
        <is>
          <t>social</t>
        </is>
      </c>
      <c r="F5456">
        <f>IFERROR(MATCH(A5456,Deals!$A$2:$A$843,0),"")</f>
        <v/>
      </c>
      <c r="G5456">
        <f>IF(F5456="",0,1)</f>
        <v/>
      </c>
      <c r="H5456" s="29">
        <f>IF(F5456="","",INDEX(Deals!$E$2:$E$843,F5456))</f>
        <v/>
      </c>
      <c r="I5456">
        <f>IF(F5456="","",INDEX(Deals!$D$2:$D$843,F5456))</f>
        <v/>
      </c>
      <c r="J5456">
        <f>IF(F5456="","",INT(H5456)-B5456)</f>
        <v/>
      </c>
      <c r="K5456">
        <f>IF(B5456&gt;=Settings!$C$5,1,0)</f>
        <v/>
      </c>
    </row>
    <row r="5457">
      <c r="A5457" t="inlineStr">
        <is>
          <t>19df7cd7b27335f2efe6133c69f7688d</t>
        </is>
      </c>
      <c r="B5457" s="29" t="n">
        <v>43171</v>
      </c>
      <c r="C5457" t="inlineStr">
        <is>
          <t>2018-03</t>
        </is>
      </c>
      <c r="D5457" t="inlineStr">
        <is>
          <t>c79bafc4a099ff23e3bab1534797fb45</t>
        </is>
      </c>
      <c r="E5457" t="inlineStr">
        <is>
          <t>organic_search</t>
        </is>
      </c>
      <c r="F5457">
        <f>IFERROR(MATCH(A5457,Deals!$A$2:$A$843,0),"")</f>
        <v/>
      </c>
      <c r="G5457">
        <f>IF(F5457="",0,1)</f>
        <v/>
      </c>
      <c r="H5457" s="29">
        <f>IF(F5457="","",INDEX(Deals!$E$2:$E$843,F5457))</f>
        <v/>
      </c>
      <c r="I5457">
        <f>IF(F5457="","",INDEX(Deals!$D$2:$D$843,F5457))</f>
        <v/>
      </c>
      <c r="J5457">
        <f>IF(F5457="","",INT(H5457)-B5457)</f>
        <v/>
      </c>
      <c r="K5457">
        <f>IF(B5457&gt;=Settings!$C$5,1,0)</f>
        <v/>
      </c>
    </row>
    <row r="5458">
      <c r="A5458" t="inlineStr">
        <is>
          <t>36ee2dcbf04db6e2321cae3b7b39c001</t>
        </is>
      </c>
      <c r="B5458" s="29" t="n">
        <v>43109</v>
      </c>
      <c r="C5458" t="inlineStr">
        <is>
          <t>2018-01</t>
        </is>
      </c>
      <c r="D5458" t="inlineStr">
        <is>
          <t>73f31a40697cc90a86c1273563ac230e</t>
        </is>
      </c>
      <c r="E5458" t="inlineStr">
        <is>
          <t>other</t>
        </is>
      </c>
      <c r="F5458">
        <f>IFERROR(MATCH(A5458,Deals!$A$2:$A$843,0),"")</f>
        <v/>
      </c>
      <c r="G5458">
        <f>IF(F5458="",0,1)</f>
        <v/>
      </c>
      <c r="H5458" s="29">
        <f>IF(F5458="","",INDEX(Deals!$E$2:$E$843,F5458))</f>
        <v/>
      </c>
      <c r="I5458">
        <f>IF(F5458="","",INDEX(Deals!$D$2:$D$843,F5458))</f>
        <v/>
      </c>
      <c r="J5458">
        <f>IF(F5458="","",INT(H5458)-B5458)</f>
        <v/>
      </c>
      <c r="K5458">
        <f>IF(B5458&gt;=Settings!$C$5,1,0)</f>
        <v/>
      </c>
    </row>
    <row r="5459">
      <c r="A5459" t="inlineStr">
        <is>
          <t>eae25100987bd583d3ff4a9dda70b4e6</t>
        </is>
      </c>
      <c r="B5459" s="29" t="n">
        <v>43220</v>
      </c>
      <c r="C5459" t="inlineStr">
        <is>
          <t>2018-04</t>
        </is>
      </c>
      <c r="D5459" t="inlineStr">
        <is>
          <t>30534107aa0013db92899c96a1017d0b</t>
        </is>
      </c>
      <c r="E5459" t="inlineStr">
        <is>
          <t>organic_search</t>
        </is>
      </c>
      <c r="F5459">
        <f>IFERROR(MATCH(A5459,Deals!$A$2:$A$843,0),"")</f>
        <v/>
      </c>
      <c r="G5459">
        <f>IF(F5459="",0,1)</f>
        <v/>
      </c>
      <c r="H5459" s="29">
        <f>IF(F5459="","",INDEX(Deals!$E$2:$E$843,F5459))</f>
        <v/>
      </c>
      <c r="I5459">
        <f>IF(F5459="","",INDEX(Deals!$D$2:$D$843,F5459))</f>
        <v/>
      </c>
      <c r="J5459">
        <f>IF(F5459="","",INT(H5459)-B5459)</f>
        <v/>
      </c>
      <c r="K5459">
        <f>IF(B5459&gt;=Settings!$C$5,1,0)</f>
        <v/>
      </c>
    </row>
    <row r="5460">
      <c r="A5460" t="inlineStr">
        <is>
          <t>4549427ab501fca3449d6450165e060a</t>
        </is>
      </c>
      <c r="B5460" s="29" t="n">
        <v>43208</v>
      </c>
      <c r="C5460" t="inlineStr">
        <is>
          <t>2018-04</t>
        </is>
      </c>
      <c r="D5460" t="inlineStr">
        <is>
          <t>e492ee5eaf1697716985cc6f33f9cd9b</t>
        </is>
      </c>
      <c r="E5460" t="inlineStr">
        <is>
          <t>other</t>
        </is>
      </c>
      <c r="F5460">
        <f>IFERROR(MATCH(A5460,Deals!$A$2:$A$843,0),"")</f>
        <v/>
      </c>
      <c r="G5460">
        <f>IF(F5460="",0,1)</f>
        <v/>
      </c>
      <c r="H5460" s="29">
        <f>IF(F5460="","",INDEX(Deals!$E$2:$E$843,F5460))</f>
        <v/>
      </c>
      <c r="I5460">
        <f>IF(F5460="","",INDEX(Deals!$D$2:$D$843,F5460))</f>
        <v/>
      </c>
      <c r="J5460">
        <f>IF(F5460="","",INT(H5460)-B5460)</f>
        <v/>
      </c>
      <c r="K5460">
        <f>IF(B5460&gt;=Settings!$C$5,1,0)</f>
        <v/>
      </c>
    </row>
    <row r="5461">
      <c r="A5461" t="inlineStr">
        <is>
          <t>a55703897794aad1d95721677a93c826</t>
        </is>
      </c>
      <c r="B5461" s="29" t="n">
        <v>43145</v>
      </c>
      <c r="C5461" t="inlineStr">
        <is>
          <t>2018-02</t>
        </is>
      </c>
      <c r="D5461" t="inlineStr">
        <is>
          <t>88740e65d5d6b056e0cda098e1ea6313</t>
        </is>
      </c>
      <c r="E5461" t="inlineStr">
        <is>
          <t>social</t>
        </is>
      </c>
      <c r="F5461">
        <f>IFERROR(MATCH(A5461,Deals!$A$2:$A$843,0),"")</f>
        <v/>
      </c>
      <c r="G5461">
        <f>IF(F5461="",0,1)</f>
        <v/>
      </c>
      <c r="H5461" s="29">
        <f>IF(F5461="","",INDEX(Deals!$E$2:$E$843,F5461))</f>
        <v/>
      </c>
      <c r="I5461">
        <f>IF(F5461="","",INDEX(Deals!$D$2:$D$843,F5461))</f>
        <v/>
      </c>
      <c r="J5461">
        <f>IF(F5461="","",INT(H5461)-B5461)</f>
        <v/>
      </c>
      <c r="K5461">
        <f>IF(B5461&gt;=Settings!$C$5,1,0)</f>
        <v/>
      </c>
    </row>
    <row r="5462">
      <c r="A5462" t="inlineStr">
        <is>
          <t>c30a870d21a9d939e49a93972b7b8c71</t>
        </is>
      </c>
      <c r="B5462" s="29" t="n">
        <v>43235</v>
      </c>
      <c r="C5462" t="inlineStr">
        <is>
          <t>2018-05</t>
        </is>
      </c>
      <c r="D5462" t="inlineStr">
        <is>
          <t>27cd3540bace1f4a4b2bc6d319b0553c</t>
        </is>
      </c>
      <c r="E5462" t="inlineStr">
        <is>
          <t>organic_search</t>
        </is>
      </c>
      <c r="F5462">
        <f>IFERROR(MATCH(A5462,Deals!$A$2:$A$843,0),"")</f>
        <v/>
      </c>
      <c r="G5462">
        <f>IF(F5462="",0,1)</f>
        <v/>
      </c>
      <c r="H5462" s="29">
        <f>IF(F5462="","",INDEX(Deals!$E$2:$E$843,F5462))</f>
        <v/>
      </c>
      <c r="I5462">
        <f>IF(F5462="","",INDEX(Deals!$D$2:$D$843,F5462))</f>
        <v/>
      </c>
      <c r="J5462">
        <f>IF(F5462="","",INT(H5462)-B5462)</f>
        <v/>
      </c>
      <c r="K5462">
        <f>IF(B5462&gt;=Settings!$C$5,1,0)</f>
        <v/>
      </c>
    </row>
    <row r="5463">
      <c r="A5463" t="inlineStr">
        <is>
          <t>44ccf45968bdf2c00e0534e49e4a03bc</t>
        </is>
      </c>
      <c r="B5463" s="29" t="n">
        <v>43153</v>
      </c>
      <c r="C5463" t="inlineStr">
        <is>
          <t>2018-02</t>
        </is>
      </c>
      <c r="D5463" t="inlineStr">
        <is>
          <t>b76ef37428e6799c421989521c0e5077</t>
        </is>
      </c>
      <c r="E5463" t="inlineStr">
        <is>
          <t>unknown</t>
        </is>
      </c>
      <c r="F5463">
        <f>IFERROR(MATCH(A5463,Deals!$A$2:$A$843,0),"")</f>
        <v/>
      </c>
      <c r="G5463">
        <f>IF(F5463="",0,1)</f>
        <v/>
      </c>
      <c r="H5463" s="29">
        <f>IF(F5463="","",INDEX(Deals!$E$2:$E$843,F5463))</f>
        <v/>
      </c>
      <c r="I5463">
        <f>IF(F5463="","",INDEX(Deals!$D$2:$D$843,F5463))</f>
        <v/>
      </c>
      <c r="J5463">
        <f>IF(F5463="","",INT(H5463)-B5463)</f>
        <v/>
      </c>
      <c r="K5463">
        <f>IF(B5463&gt;=Settings!$C$5,1,0)</f>
        <v/>
      </c>
    </row>
    <row r="5464">
      <c r="A5464" t="inlineStr">
        <is>
          <t>6be412e46a02d4bd7115c929f91a36cd</t>
        </is>
      </c>
      <c r="B5464" s="29" t="n">
        <v>42960</v>
      </c>
      <c r="C5464" t="inlineStr">
        <is>
          <t>2017-08</t>
        </is>
      </c>
      <c r="D5464" t="inlineStr">
        <is>
          <t>0d43fc5a5096c416d3b7b492564293da</t>
        </is>
      </c>
      <c r="E5464" t="inlineStr">
        <is>
          <t>organic_search</t>
        </is>
      </c>
      <c r="F5464">
        <f>IFERROR(MATCH(A5464,Deals!$A$2:$A$843,0),"")</f>
        <v/>
      </c>
      <c r="G5464">
        <f>IF(F5464="",0,1)</f>
        <v/>
      </c>
      <c r="H5464" s="29">
        <f>IF(F5464="","",INDEX(Deals!$E$2:$E$843,F5464))</f>
        <v/>
      </c>
      <c r="I5464">
        <f>IF(F5464="","",INDEX(Deals!$D$2:$D$843,F5464))</f>
        <v/>
      </c>
      <c r="J5464">
        <f>IF(F5464="","",INT(H5464)-B5464)</f>
        <v/>
      </c>
      <c r="K5464">
        <f>IF(B5464&gt;=Settings!$C$5,1,0)</f>
        <v/>
      </c>
    </row>
    <row r="5465">
      <c r="A5465" t="inlineStr">
        <is>
          <t>d56af33e24d2a02c40a53b26fde2bc4a</t>
        </is>
      </c>
      <c r="B5465" s="29" t="n">
        <v>42921</v>
      </c>
      <c r="C5465" t="inlineStr">
        <is>
          <t>2017-07</t>
        </is>
      </c>
      <c r="D5465" t="inlineStr">
        <is>
          <t>c754e5846c791d26b1c34070c41adf6e</t>
        </is>
      </c>
      <c r="E5465" t="inlineStr">
        <is>
          <t>other</t>
        </is>
      </c>
      <c r="F5465">
        <f>IFERROR(MATCH(A5465,Deals!$A$2:$A$843,0),"")</f>
        <v/>
      </c>
      <c r="G5465">
        <f>IF(F5465="",0,1)</f>
        <v/>
      </c>
      <c r="H5465" s="29">
        <f>IF(F5465="","",INDEX(Deals!$E$2:$E$843,F5465))</f>
        <v/>
      </c>
      <c r="I5465">
        <f>IF(F5465="","",INDEX(Deals!$D$2:$D$843,F5465))</f>
        <v/>
      </c>
      <c r="J5465">
        <f>IF(F5465="","",INT(H5465)-B5465)</f>
        <v/>
      </c>
      <c r="K5465">
        <f>IF(B5465&gt;=Settings!$C$5,1,0)</f>
        <v/>
      </c>
    </row>
    <row r="5466">
      <c r="A5466" t="inlineStr">
        <is>
          <t>8e5f535f48653b0a40d7f232a6d6830e</t>
        </is>
      </c>
      <c r="B5466" s="29" t="n">
        <v>43217</v>
      </c>
      <c r="C5466" t="inlineStr">
        <is>
          <t>2018-04</t>
        </is>
      </c>
      <c r="D5466" t="inlineStr">
        <is>
          <t>73f31a40697cc90a86c1273563ac230e</t>
        </is>
      </c>
      <c r="E5466" t="inlineStr">
        <is>
          <t>other</t>
        </is>
      </c>
      <c r="F5466">
        <f>IFERROR(MATCH(A5466,Deals!$A$2:$A$843,0),"")</f>
        <v/>
      </c>
      <c r="G5466">
        <f>IF(F5466="",0,1)</f>
        <v/>
      </c>
      <c r="H5466" s="29">
        <f>IF(F5466="","",INDEX(Deals!$E$2:$E$843,F5466))</f>
        <v/>
      </c>
      <c r="I5466">
        <f>IF(F5466="","",INDEX(Deals!$D$2:$D$843,F5466))</f>
        <v/>
      </c>
      <c r="J5466">
        <f>IF(F5466="","",INT(H5466)-B5466)</f>
        <v/>
      </c>
      <c r="K5466">
        <f>IF(B5466&gt;=Settings!$C$5,1,0)</f>
        <v/>
      </c>
    </row>
    <row r="5467">
      <c r="A5467" t="inlineStr">
        <is>
          <t>3c38bf04ae972211c47d7de393fcccc8</t>
        </is>
      </c>
      <c r="B5467" s="29" t="n">
        <v>43232</v>
      </c>
      <c r="C5467" t="inlineStr">
        <is>
          <t>2018-05</t>
        </is>
      </c>
      <c r="D5467" t="inlineStr">
        <is>
          <t>58326e62183c14b0c03085c33b9fdc44</t>
        </is>
      </c>
      <c r="E5467" t="inlineStr">
        <is>
          <t>social</t>
        </is>
      </c>
      <c r="F5467">
        <f>IFERROR(MATCH(A5467,Deals!$A$2:$A$843,0),"")</f>
        <v/>
      </c>
      <c r="G5467">
        <f>IF(F5467="",0,1)</f>
        <v/>
      </c>
      <c r="H5467" s="29">
        <f>IF(F5467="","",INDEX(Deals!$E$2:$E$843,F5467))</f>
        <v/>
      </c>
      <c r="I5467">
        <f>IF(F5467="","",INDEX(Deals!$D$2:$D$843,F5467))</f>
        <v/>
      </c>
      <c r="J5467">
        <f>IF(F5467="","",INT(H5467)-B5467)</f>
        <v/>
      </c>
      <c r="K5467">
        <f>IF(B5467&gt;=Settings!$C$5,1,0)</f>
        <v/>
      </c>
    </row>
    <row r="5468">
      <c r="A5468" t="inlineStr">
        <is>
          <t>e26bf5a3c736014510621a300e9e8d96</t>
        </is>
      </c>
      <c r="B5468" s="29" t="n">
        <v>43228</v>
      </c>
      <c r="C5468" t="inlineStr">
        <is>
          <t>2018-05</t>
        </is>
      </c>
      <c r="D5468" t="inlineStr">
        <is>
          <t>22c29808c4f815213303f8933030604c</t>
        </is>
      </c>
      <c r="E5468" t="inlineStr">
        <is>
          <t>organic_search</t>
        </is>
      </c>
      <c r="F5468">
        <f>IFERROR(MATCH(A5468,Deals!$A$2:$A$843,0),"")</f>
        <v/>
      </c>
      <c r="G5468">
        <f>IF(F5468="",0,1)</f>
        <v/>
      </c>
      <c r="H5468" s="29">
        <f>IF(F5468="","",INDEX(Deals!$E$2:$E$843,F5468))</f>
        <v/>
      </c>
      <c r="I5468">
        <f>IF(F5468="","",INDEX(Deals!$D$2:$D$843,F5468))</f>
        <v/>
      </c>
      <c r="J5468">
        <f>IF(F5468="","",INT(H5468)-B5468)</f>
        <v/>
      </c>
      <c r="K5468">
        <f>IF(B5468&gt;=Settings!$C$5,1,0)</f>
        <v/>
      </c>
    </row>
    <row r="5469">
      <c r="A5469" t="inlineStr">
        <is>
          <t>382eb7cfc227924eadb64ffc62bb0e58</t>
        </is>
      </c>
      <c r="B5469" s="29" t="n">
        <v>43193</v>
      </c>
      <c r="C5469" t="inlineStr">
        <is>
          <t>2018-04</t>
        </is>
      </c>
      <c r="D5469" t="inlineStr">
        <is>
          <t>e42a14209c69c3e9cc6b042620465f12</t>
        </is>
      </c>
      <c r="E5469" t="inlineStr">
        <is>
          <t>email</t>
        </is>
      </c>
      <c r="F5469">
        <f>IFERROR(MATCH(A5469,Deals!$A$2:$A$843,0),"")</f>
        <v/>
      </c>
      <c r="G5469">
        <f>IF(F5469="",0,1)</f>
        <v/>
      </c>
      <c r="H5469" s="29">
        <f>IF(F5469="","",INDEX(Deals!$E$2:$E$843,F5469))</f>
        <v/>
      </c>
      <c r="I5469">
        <f>IF(F5469="","",INDEX(Deals!$D$2:$D$843,F5469))</f>
        <v/>
      </c>
      <c r="J5469">
        <f>IF(F5469="","",INT(H5469)-B5469)</f>
        <v/>
      </c>
      <c r="K5469">
        <f>IF(B5469&gt;=Settings!$C$5,1,0)</f>
        <v/>
      </c>
    </row>
    <row r="5470">
      <c r="A5470" t="inlineStr">
        <is>
          <t>b6ad337fad5d5dcaac313e78183ebf61</t>
        </is>
      </c>
      <c r="B5470" s="29" t="n">
        <v>42950</v>
      </c>
      <c r="C5470" t="inlineStr">
        <is>
          <t>2017-08</t>
        </is>
      </c>
      <c r="D5470" t="inlineStr">
        <is>
          <t>b6cd08ac77c501fd6857f7916d2c24f3</t>
        </is>
      </c>
      <c r="E5470" t="inlineStr">
        <is>
          <t>organic_search</t>
        </is>
      </c>
      <c r="F5470">
        <f>IFERROR(MATCH(A5470,Deals!$A$2:$A$843,0),"")</f>
        <v/>
      </c>
      <c r="G5470">
        <f>IF(F5470="",0,1)</f>
        <v/>
      </c>
      <c r="H5470" s="29">
        <f>IF(F5470="","",INDEX(Deals!$E$2:$E$843,F5470))</f>
        <v/>
      </c>
      <c r="I5470">
        <f>IF(F5470="","",INDEX(Deals!$D$2:$D$843,F5470))</f>
        <v/>
      </c>
      <c r="J5470">
        <f>IF(F5470="","",INT(H5470)-B5470)</f>
        <v/>
      </c>
      <c r="K5470">
        <f>IF(B5470&gt;=Settings!$C$5,1,0)</f>
        <v/>
      </c>
    </row>
    <row r="5471">
      <c r="A5471" t="inlineStr">
        <is>
          <t>89e7d05d94977c776e5200e7f24ba989</t>
        </is>
      </c>
      <c r="B5471" s="29" t="n">
        <v>43023</v>
      </c>
      <c r="C5471" t="inlineStr">
        <is>
          <t>2017-10</t>
        </is>
      </c>
      <c r="D5471" t="inlineStr">
        <is>
          <t>1722481ac9e5371e5099dea226b5421d</t>
        </is>
      </c>
      <c r="E5471" t="inlineStr">
        <is>
          <t>organic_search</t>
        </is>
      </c>
      <c r="F5471">
        <f>IFERROR(MATCH(A5471,Deals!$A$2:$A$843,0),"")</f>
        <v/>
      </c>
      <c r="G5471">
        <f>IF(F5471="",0,1)</f>
        <v/>
      </c>
      <c r="H5471" s="29">
        <f>IF(F5471="","",INDEX(Deals!$E$2:$E$843,F5471))</f>
        <v/>
      </c>
      <c r="I5471">
        <f>IF(F5471="","",INDEX(Deals!$D$2:$D$843,F5471))</f>
        <v/>
      </c>
      <c r="J5471">
        <f>IF(F5471="","",INT(H5471)-B5471)</f>
        <v/>
      </c>
      <c r="K5471">
        <f>IF(B5471&gt;=Settings!$C$5,1,0)</f>
        <v/>
      </c>
    </row>
    <row r="5472">
      <c r="A5472" t="inlineStr">
        <is>
          <t>359e233993d8d2f9790b8265373433d6</t>
        </is>
      </c>
      <c r="B5472" s="29" t="n">
        <v>43195</v>
      </c>
      <c r="C5472" t="inlineStr">
        <is>
          <t>2018-04</t>
        </is>
      </c>
      <c r="D5472" t="inlineStr">
        <is>
          <t>7fa6214d82e911d070f51ef79381b956</t>
        </is>
      </c>
      <c r="E5472" t="inlineStr">
        <is>
          <t>paid_search</t>
        </is>
      </c>
      <c r="F5472">
        <f>IFERROR(MATCH(A5472,Deals!$A$2:$A$843,0),"")</f>
        <v/>
      </c>
      <c r="G5472">
        <f>IF(F5472="",0,1)</f>
        <v/>
      </c>
      <c r="H5472" s="29">
        <f>IF(F5472="","",INDEX(Deals!$E$2:$E$843,F5472))</f>
        <v/>
      </c>
      <c r="I5472">
        <f>IF(F5472="","",INDEX(Deals!$D$2:$D$843,F5472))</f>
        <v/>
      </c>
      <c r="J5472">
        <f>IF(F5472="","",INT(H5472)-B5472)</f>
        <v/>
      </c>
      <c r="K5472">
        <f>IF(B5472&gt;=Settings!$C$5,1,0)</f>
        <v/>
      </c>
    </row>
    <row r="5473">
      <c r="A5473" t="inlineStr">
        <is>
          <t>f13684de18647e19fc4edacf6b285920</t>
        </is>
      </c>
      <c r="B5473" s="29" t="n">
        <v>43233</v>
      </c>
      <c r="C5473" t="inlineStr">
        <is>
          <t>2018-05</t>
        </is>
      </c>
      <c r="D5473" t="inlineStr">
        <is>
          <t>a7982125ff7aa3b2054c6e44f9d28522</t>
        </is>
      </c>
      <c r="E5473" t="inlineStr">
        <is>
          <t>email</t>
        </is>
      </c>
      <c r="F5473">
        <f>IFERROR(MATCH(A5473,Deals!$A$2:$A$843,0),"")</f>
        <v/>
      </c>
      <c r="G5473">
        <f>IF(F5473="",0,1)</f>
        <v/>
      </c>
      <c r="H5473" s="29">
        <f>IF(F5473="","",INDEX(Deals!$E$2:$E$843,F5473))</f>
        <v/>
      </c>
      <c r="I5473">
        <f>IF(F5473="","",INDEX(Deals!$D$2:$D$843,F5473))</f>
        <v/>
      </c>
      <c r="J5473">
        <f>IF(F5473="","",INT(H5473)-B5473)</f>
        <v/>
      </c>
      <c r="K5473">
        <f>IF(B5473&gt;=Settings!$C$5,1,0)</f>
        <v/>
      </c>
    </row>
    <row r="5474">
      <c r="A5474" t="inlineStr">
        <is>
          <t>e2909d1b3e9fd103f2e1b26562a7f707</t>
        </is>
      </c>
      <c r="B5474" s="29" t="n">
        <v>43181</v>
      </c>
      <c r="C5474" t="inlineStr">
        <is>
          <t>2018-03</t>
        </is>
      </c>
      <c r="D5474" t="inlineStr">
        <is>
          <t>b76ef37428e6799c421989521c0e5077</t>
        </is>
      </c>
      <c r="E5474" t="inlineStr">
        <is>
          <t>unknown</t>
        </is>
      </c>
      <c r="F5474">
        <f>IFERROR(MATCH(A5474,Deals!$A$2:$A$843,0),"")</f>
        <v/>
      </c>
      <c r="G5474">
        <f>IF(F5474="",0,1)</f>
        <v/>
      </c>
      <c r="H5474" s="29">
        <f>IF(F5474="","",INDEX(Deals!$E$2:$E$843,F5474))</f>
        <v/>
      </c>
      <c r="I5474">
        <f>IF(F5474="","",INDEX(Deals!$D$2:$D$843,F5474))</f>
        <v/>
      </c>
      <c r="J5474">
        <f>IF(F5474="","",INT(H5474)-B5474)</f>
        <v/>
      </c>
      <c r="K5474">
        <f>IF(B5474&gt;=Settings!$C$5,1,0)</f>
        <v/>
      </c>
    </row>
    <row r="5475">
      <c r="A5475" t="inlineStr">
        <is>
          <t>8d6b31ed2ba3ecd5a1c7a80773f01ec2</t>
        </is>
      </c>
      <c r="B5475" s="29" t="n">
        <v>42970</v>
      </c>
      <c r="C5475" t="inlineStr">
        <is>
          <t>2017-08</t>
        </is>
      </c>
      <c r="D5475" t="inlineStr">
        <is>
          <t>007f9098284a86ee80ddeb25d53e0af8</t>
        </is>
      </c>
      <c r="E5475" t="inlineStr">
        <is>
          <t>paid_search</t>
        </is>
      </c>
      <c r="F5475">
        <f>IFERROR(MATCH(A5475,Deals!$A$2:$A$843,0),"")</f>
        <v/>
      </c>
      <c r="G5475">
        <f>IF(F5475="",0,1)</f>
        <v/>
      </c>
      <c r="H5475" s="29">
        <f>IF(F5475="","",INDEX(Deals!$E$2:$E$843,F5475))</f>
        <v/>
      </c>
      <c r="I5475">
        <f>IF(F5475="","",INDEX(Deals!$D$2:$D$843,F5475))</f>
        <v/>
      </c>
      <c r="J5475">
        <f>IF(F5475="","",INT(H5475)-B5475)</f>
        <v/>
      </c>
      <c r="K5475">
        <f>IF(B5475&gt;=Settings!$C$5,1,0)</f>
        <v/>
      </c>
    </row>
    <row r="5476">
      <c r="A5476" t="inlineStr">
        <is>
          <t>37ff30ea1566d0236fbe68c74def55bd</t>
        </is>
      </c>
      <c r="B5476" s="29" t="n">
        <v>43109</v>
      </c>
      <c r="C5476" t="inlineStr">
        <is>
          <t>2018-01</t>
        </is>
      </c>
      <c r="D5476" t="inlineStr">
        <is>
          <t>30077c17f2ec5010a82e37ad8925b95f</t>
        </is>
      </c>
      <c r="E5476" t="inlineStr">
        <is>
          <t>direct_traffic</t>
        </is>
      </c>
      <c r="F5476">
        <f>IFERROR(MATCH(A5476,Deals!$A$2:$A$843,0),"")</f>
        <v/>
      </c>
      <c r="G5476">
        <f>IF(F5476="",0,1)</f>
        <v/>
      </c>
      <c r="H5476" s="29">
        <f>IF(F5476="","",INDEX(Deals!$E$2:$E$843,F5476))</f>
        <v/>
      </c>
      <c r="I5476">
        <f>IF(F5476="","",INDEX(Deals!$D$2:$D$843,F5476))</f>
        <v/>
      </c>
      <c r="J5476">
        <f>IF(F5476="","",INT(H5476)-B5476)</f>
        <v/>
      </c>
      <c r="K5476">
        <f>IF(B5476&gt;=Settings!$C$5,1,0)</f>
        <v/>
      </c>
    </row>
    <row r="5477">
      <c r="A5477" t="inlineStr">
        <is>
          <t>7bd4fd545ca2f255550a8fd6a4722446</t>
        </is>
      </c>
      <c r="B5477" s="29" t="n">
        <v>43108</v>
      </c>
      <c r="C5477" t="inlineStr">
        <is>
          <t>2018-01</t>
        </is>
      </c>
      <c r="D5477" t="inlineStr">
        <is>
          <t>73f31a40697cc90a86c1273563ac230e</t>
        </is>
      </c>
      <c r="E5477" t="inlineStr">
        <is>
          <t>unknown</t>
        </is>
      </c>
      <c r="F5477">
        <f>IFERROR(MATCH(A5477,Deals!$A$2:$A$843,0),"")</f>
        <v/>
      </c>
      <c r="G5477">
        <f>IF(F5477="",0,1)</f>
        <v/>
      </c>
      <c r="H5477" s="29">
        <f>IF(F5477="","",INDEX(Deals!$E$2:$E$843,F5477))</f>
        <v/>
      </c>
      <c r="I5477">
        <f>IF(F5477="","",INDEX(Deals!$D$2:$D$843,F5477))</f>
        <v/>
      </c>
      <c r="J5477">
        <f>IF(F5477="","",INT(H5477)-B5477)</f>
        <v/>
      </c>
      <c r="K5477">
        <f>IF(B5477&gt;=Settings!$C$5,1,0)</f>
        <v/>
      </c>
    </row>
    <row r="5478">
      <c r="A5478" t="inlineStr">
        <is>
          <t>fc656c04b0a10fa702d1efa224cab1a8</t>
        </is>
      </c>
      <c r="B5478" s="29" t="n">
        <v>43195</v>
      </c>
      <c r="C5478" t="inlineStr">
        <is>
          <t>2018-04</t>
        </is>
      </c>
      <c r="D5478" t="inlineStr">
        <is>
          <t>22c29808c4f815213303f8933030604c</t>
        </is>
      </c>
      <c r="E5478" t="inlineStr">
        <is>
          <t>organic_search</t>
        </is>
      </c>
      <c r="F5478">
        <f>IFERROR(MATCH(A5478,Deals!$A$2:$A$843,0),"")</f>
        <v/>
      </c>
      <c r="G5478">
        <f>IF(F5478="",0,1)</f>
        <v/>
      </c>
      <c r="H5478" s="29">
        <f>IF(F5478="","",INDEX(Deals!$E$2:$E$843,F5478))</f>
        <v/>
      </c>
      <c r="I5478">
        <f>IF(F5478="","",INDEX(Deals!$D$2:$D$843,F5478))</f>
        <v/>
      </c>
      <c r="J5478">
        <f>IF(F5478="","",INT(H5478)-B5478)</f>
        <v/>
      </c>
      <c r="K5478">
        <f>IF(B5478&gt;=Settings!$C$5,1,0)</f>
        <v/>
      </c>
    </row>
    <row r="5479">
      <c r="A5479" t="inlineStr">
        <is>
          <t>b3dc4dfdd0a322b00484fc0ef22babca</t>
        </is>
      </c>
      <c r="B5479" s="29" t="n">
        <v>43229</v>
      </c>
      <c r="C5479" t="inlineStr">
        <is>
          <t>2018-05</t>
        </is>
      </c>
      <c r="D5479" t="inlineStr">
        <is>
          <t>22c29808c4f815213303f8933030604c</t>
        </is>
      </c>
      <c r="E5479" t="inlineStr">
        <is>
          <t>organic_search</t>
        </is>
      </c>
      <c r="F5479">
        <f>IFERROR(MATCH(A5479,Deals!$A$2:$A$843,0),"")</f>
        <v/>
      </c>
      <c r="G5479">
        <f>IF(F5479="",0,1)</f>
        <v/>
      </c>
      <c r="H5479" s="29">
        <f>IF(F5479="","",INDEX(Deals!$E$2:$E$843,F5479))</f>
        <v/>
      </c>
      <c r="I5479">
        <f>IF(F5479="","",INDEX(Deals!$D$2:$D$843,F5479))</f>
        <v/>
      </c>
      <c r="J5479">
        <f>IF(F5479="","",INT(H5479)-B5479)</f>
        <v/>
      </c>
      <c r="K5479">
        <f>IF(B5479&gt;=Settings!$C$5,1,0)</f>
        <v/>
      </c>
    </row>
    <row r="5480">
      <c r="A5480" t="inlineStr">
        <is>
          <t>a311b5e1b680487ee878b8a8d33e6942</t>
        </is>
      </c>
      <c r="B5480" s="29" t="n">
        <v>43228</v>
      </c>
      <c r="C5480" t="inlineStr">
        <is>
          <t>2018-05</t>
        </is>
      </c>
      <c r="D5480" t="inlineStr">
        <is>
          <t>30534107aa0013db92899c96a1017d0b</t>
        </is>
      </c>
      <c r="E5480" t="inlineStr">
        <is>
          <t>social</t>
        </is>
      </c>
      <c r="F5480">
        <f>IFERROR(MATCH(A5480,Deals!$A$2:$A$843,0),"")</f>
        <v/>
      </c>
      <c r="G5480">
        <f>IF(F5480="",0,1)</f>
        <v/>
      </c>
      <c r="H5480" s="29">
        <f>IF(F5480="","",INDEX(Deals!$E$2:$E$843,F5480))</f>
        <v/>
      </c>
      <c r="I5480">
        <f>IF(F5480="","",INDEX(Deals!$D$2:$D$843,F5480))</f>
        <v/>
      </c>
      <c r="J5480">
        <f>IF(F5480="","",INT(H5480)-B5480)</f>
        <v/>
      </c>
      <c r="K5480">
        <f>IF(B5480&gt;=Settings!$C$5,1,0)</f>
        <v/>
      </c>
    </row>
    <row r="5481">
      <c r="A5481" t="inlineStr">
        <is>
          <t>ce50eb446ef6e8ad877a576f06ddd099</t>
        </is>
      </c>
      <c r="B5481" s="29" t="n">
        <v>43154</v>
      </c>
      <c r="C5481" t="inlineStr">
        <is>
          <t>2018-02</t>
        </is>
      </c>
      <c r="D5481" t="inlineStr">
        <is>
          <t>a7982125ff7aa3b2054c6e44f9d28522</t>
        </is>
      </c>
      <c r="E5481" t="inlineStr">
        <is>
          <t>display</t>
        </is>
      </c>
      <c r="F5481">
        <f>IFERROR(MATCH(A5481,Deals!$A$2:$A$843,0),"")</f>
        <v/>
      </c>
      <c r="G5481">
        <f>IF(F5481="",0,1)</f>
        <v/>
      </c>
      <c r="H5481" s="29">
        <f>IF(F5481="","",INDEX(Deals!$E$2:$E$843,F5481))</f>
        <v/>
      </c>
      <c r="I5481">
        <f>IF(F5481="","",INDEX(Deals!$D$2:$D$843,F5481))</f>
        <v/>
      </c>
      <c r="J5481">
        <f>IF(F5481="","",INT(H5481)-B5481)</f>
        <v/>
      </c>
      <c r="K5481">
        <f>IF(B5481&gt;=Settings!$C$5,1,0)</f>
        <v/>
      </c>
    </row>
    <row r="5482">
      <c r="A5482" t="inlineStr">
        <is>
          <t>7126c3a6111f0dc9f0bc7ecd4325b63d</t>
        </is>
      </c>
      <c r="B5482" s="29" t="n">
        <v>43172</v>
      </c>
      <c r="C5482" t="inlineStr">
        <is>
          <t>2018-03</t>
        </is>
      </c>
      <c r="D5482" t="inlineStr">
        <is>
          <t>65d9f9d71e562365e8b44037c2888d98</t>
        </is>
      </c>
      <c r="E5482" t="inlineStr">
        <is>
          <t>paid_search</t>
        </is>
      </c>
      <c r="F5482">
        <f>IFERROR(MATCH(A5482,Deals!$A$2:$A$843,0),"")</f>
        <v/>
      </c>
      <c r="G5482">
        <f>IF(F5482="",0,1)</f>
        <v/>
      </c>
      <c r="H5482" s="29">
        <f>IF(F5482="","",INDEX(Deals!$E$2:$E$843,F5482))</f>
        <v/>
      </c>
      <c r="I5482">
        <f>IF(F5482="","",INDEX(Deals!$D$2:$D$843,F5482))</f>
        <v/>
      </c>
      <c r="J5482">
        <f>IF(F5482="","",INT(H5482)-B5482)</f>
        <v/>
      </c>
      <c r="K5482">
        <f>IF(B5482&gt;=Settings!$C$5,1,0)</f>
        <v/>
      </c>
    </row>
    <row r="5483">
      <c r="A5483" t="inlineStr">
        <is>
          <t>23fdc2b96c1afdf6d8ab932f150ef29a</t>
        </is>
      </c>
      <c r="B5483" s="29" t="n">
        <v>43113</v>
      </c>
      <c r="C5483" t="inlineStr">
        <is>
          <t>2018-01</t>
        </is>
      </c>
      <c r="D5483" t="inlineStr">
        <is>
          <t>ce1a65abd0973638f1c887a6efcfa82d</t>
        </is>
      </c>
      <c r="E5483" t="inlineStr">
        <is>
          <t>organic_search</t>
        </is>
      </c>
      <c r="F5483">
        <f>IFERROR(MATCH(A5483,Deals!$A$2:$A$843,0),"")</f>
        <v/>
      </c>
      <c r="G5483">
        <f>IF(F5483="",0,1)</f>
        <v/>
      </c>
      <c r="H5483" s="29">
        <f>IF(F5483="","",INDEX(Deals!$E$2:$E$843,F5483))</f>
        <v/>
      </c>
      <c r="I5483">
        <f>IF(F5483="","",INDEX(Deals!$D$2:$D$843,F5483))</f>
        <v/>
      </c>
      <c r="J5483">
        <f>IF(F5483="","",INT(H5483)-B5483)</f>
        <v/>
      </c>
      <c r="K5483">
        <f>IF(B5483&gt;=Settings!$C$5,1,0)</f>
        <v/>
      </c>
    </row>
    <row r="5484">
      <c r="A5484" t="inlineStr">
        <is>
          <t>db556693b49df827caf93e37a7beb304</t>
        </is>
      </c>
      <c r="B5484" s="29" t="n">
        <v>43047</v>
      </c>
      <c r="C5484" t="inlineStr">
        <is>
          <t>2017-11</t>
        </is>
      </c>
      <c r="D5484" t="inlineStr">
        <is>
          <t>e492ee5eaf1697716985cc6f33f9cd9b</t>
        </is>
      </c>
      <c r="E5484" t="inlineStr">
        <is>
          <t>organic_search</t>
        </is>
      </c>
      <c r="F5484">
        <f>IFERROR(MATCH(A5484,Deals!$A$2:$A$843,0),"")</f>
        <v/>
      </c>
      <c r="G5484">
        <f>IF(F5484="",0,1)</f>
        <v/>
      </c>
      <c r="H5484" s="29">
        <f>IF(F5484="","",INDEX(Deals!$E$2:$E$843,F5484))</f>
        <v/>
      </c>
      <c r="I5484">
        <f>IF(F5484="","",INDEX(Deals!$D$2:$D$843,F5484))</f>
        <v/>
      </c>
      <c r="J5484">
        <f>IF(F5484="","",INT(H5484)-B5484)</f>
        <v/>
      </c>
      <c r="K5484">
        <f>IF(B5484&gt;=Settings!$C$5,1,0)</f>
        <v/>
      </c>
    </row>
    <row r="5485">
      <c r="A5485" t="inlineStr">
        <is>
          <t>803fce03a8d1123afbbdbbbad0c4377d</t>
        </is>
      </c>
      <c r="B5485" s="29" t="n">
        <v>43161</v>
      </c>
      <c r="C5485" t="inlineStr">
        <is>
          <t>2018-03</t>
        </is>
      </c>
      <c r="D5485" t="inlineStr">
        <is>
          <t>2cae266d756f8688d24bf43c5b5d9d84</t>
        </is>
      </c>
      <c r="E5485" t="inlineStr">
        <is>
          <t>unknown</t>
        </is>
      </c>
      <c r="F5485">
        <f>IFERROR(MATCH(A5485,Deals!$A$2:$A$843,0),"")</f>
        <v/>
      </c>
      <c r="G5485">
        <f>IF(F5485="",0,1)</f>
        <v/>
      </c>
      <c r="H5485" s="29">
        <f>IF(F5485="","",INDEX(Deals!$E$2:$E$843,F5485))</f>
        <v/>
      </c>
      <c r="I5485">
        <f>IF(F5485="","",INDEX(Deals!$D$2:$D$843,F5485))</f>
        <v/>
      </c>
      <c r="J5485">
        <f>IF(F5485="","",INT(H5485)-B5485)</f>
        <v/>
      </c>
      <c r="K5485">
        <f>IF(B5485&gt;=Settings!$C$5,1,0)</f>
        <v/>
      </c>
    </row>
    <row r="5486">
      <c r="A5486" t="inlineStr">
        <is>
          <t>9bde09f29256de88f4897345646c850c</t>
        </is>
      </c>
      <c r="B5486" s="29" t="n">
        <v>43224</v>
      </c>
      <c r="C5486" t="inlineStr">
        <is>
          <t>2018-05</t>
        </is>
      </c>
      <c r="D5486" t="inlineStr">
        <is>
          <t>358adb2fee9a122549618e46925a00a5</t>
        </is>
      </c>
      <c r="E5486" t="inlineStr">
        <is>
          <t>paid_search</t>
        </is>
      </c>
      <c r="F5486">
        <f>IFERROR(MATCH(A5486,Deals!$A$2:$A$843,0),"")</f>
        <v/>
      </c>
      <c r="G5486">
        <f>IF(F5486="",0,1)</f>
        <v/>
      </c>
      <c r="H5486" s="29">
        <f>IF(F5486="","",INDEX(Deals!$E$2:$E$843,F5486))</f>
        <v/>
      </c>
      <c r="I5486">
        <f>IF(F5486="","",INDEX(Deals!$D$2:$D$843,F5486))</f>
        <v/>
      </c>
      <c r="J5486">
        <f>IF(F5486="","",INT(H5486)-B5486)</f>
        <v/>
      </c>
      <c r="K5486">
        <f>IF(B5486&gt;=Settings!$C$5,1,0)</f>
        <v/>
      </c>
    </row>
    <row r="5487">
      <c r="A5487" t="inlineStr">
        <is>
          <t>f164ba76f5fba1522bfbb098c4597aa6</t>
        </is>
      </c>
      <c r="B5487" s="29" t="n">
        <v>42956</v>
      </c>
      <c r="C5487" t="inlineStr">
        <is>
          <t>2017-08</t>
        </is>
      </c>
      <c r="D5487" t="inlineStr">
        <is>
          <t>b48ec5f3b04e9068441002a19df93c6c</t>
        </is>
      </c>
      <c r="E5487" t="inlineStr">
        <is>
          <t>paid_search</t>
        </is>
      </c>
      <c r="F5487">
        <f>IFERROR(MATCH(A5487,Deals!$A$2:$A$843,0),"")</f>
        <v/>
      </c>
      <c r="G5487">
        <f>IF(F5487="",0,1)</f>
        <v/>
      </c>
      <c r="H5487" s="29">
        <f>IF(F5487="","",INDEX(Deals!$E$2:$E$843,F5487))</f>
        <v/>
      </c>
      <c r="I5487">
        <f>IF(F5487="","",INDEX(Deals!$D$2:$D$843,F5487))</f>
        <v/>
      </c>
      <c r="J5487">
        <f>IF(F5487="","",INT(H5487)-B5487)</f>
        <v/>
      </c>
      <c r="K5487">
        <f>IF(B5487&gt;=Settings!$C$5,1,0)</f>
        <v/>
      </c>
    </row>
    <row r="5488">
      <c r="A5488" t="inlineStr">
        <is>
          <t>1d656ca6611216968c7c89914031e043</t>
        </is>
      </c>
      <c r="B5488" s="29" t="n">
        <v>43153</v>
      </c>
      <c r="C5488" t="inlineStr">
        <is>
          <t>2018-02</t>
        </is>
      </c>
      <c r="D5488" t="inlineStr">
        <is>
          <t>b76ef37428e6799c421989521c0e5077</t>
        </is>
      </c>
      <c r="E5488" t="inlineStr">
        <is>
          <t>unknown</t>
        </is>
      </c>
      <c r="F5488">
        <f>IFERROR(MATCH(A5488,Deals!$A$2:$A$843,0),"")</f>
        <v/>
      </c>
      <c r="G5488">
        <f>IF(F5488="",0,1)</f>
        <v/>
      </c>
      <c r="H5488" s="29">
        <f>IF(F5488="","",INDEX(Deals!$E$2:$E$843,F5488))</f>
        <v/>
      </c>
      <c r="I5488">
        <f>IF(F5488="","",INDEX(Deals!$D$2:$D$843,F5488))</f>
        <v/>
      </c>
      <c r="J5488">
        <f>IF(F5488="","",INT(H5488)-B5488)</f>
        <v/>
      </c>
      <c r="K5488">
        <f>IF(B5488&gt;=Settings!$C$5,1,0)</f>
        <v/>
      </c>
    </row>
    <row r="5489">
      <c r="A5489" t="inlineStr">
        <is>
          <t>1ca24fd40f486a3bc48e371b2f98a41e</t>
        </is>
      </c>
      <c r="B5489" s="29" t="n">
        <v>43175</v>
      </c>
      <c r="C5489" t="inlineStr">
        <is>
          <t>2018-03</t>
        </is>
      </c>
      <c r="D5489" t="inlineStr">
        <is>
          <t>9a26036e9f038f248693cb8a5a1f1ddc</t>
        </is>
      </c>
      <c r="E5489" t="inlineStr">
        <is>
          <t>unknown</t>
        </is>
      </c>
      <c r="F5489">
        <f>IFERROR(MATCH(A5489,Deals!$A$2:$A$843,0),"")</f>
        <v/>
      </c>
      <c r="G5489">
        <f>IF(F5489="",0,1)</f>
        <v/>
      </c>
      <c r="H5489" s="29">
        <f>IF(F5489="","",INDEX(Deals!$E$2:$E$843,F5489))</f>
        <v/>
      </c>
      <c r="I5489">
        <f>IF(F5489="","",INDEX(Deals!$D$2:$D$843,F5489))</f>
        <v/>
      </c>
      <c r="J5489">
        <f>IF(F5489="","",INT(H5489)-B5489)</f>
        <v/>
      </c>
      <c r="K5489">
        <f>IF(B5489&gt;=Settings!$C$5,1,0)</f>
        <v/>
      </c>
    </row>
    <row r="5490">
      <c r="A5490" t="inlineStr">
        <is>
          <t>4f411e2a540a4d44ee5824085e2e3c67</t>
        </is>
      </c>
      <c r="B5490" s="29" t="n">
        <v>43231</v>
      </c>
      <c r="C5490" t="inlineStr">
        <is>
          <t>2018-05</t>
        </is>
      </c>
      <c r="D5490" t="inlineStr">
        <is>
          <t>27cd3540bace1f4a4b2bc6d319b0553c</t>
        </is>
      </c>
      <c r="E5490" t="inlineStr">
        <is>
          <t>paid_search</t>
        </is>
      </c>
      <c r="F5490">
        <f>IFERROR(MATCH(A5490,Deals!$A$2:$A$843,0),"")</f>
        <v/>
      </c>
      <c r="G5490">
        <f>IF(F5490="",0,1)</f>
        <v/>
      </c>
      <c r="H5490" s="29">
        <f>IF(F5490="","",INDEX(Deals!$E$2:$E$843,F5490))</f>
        <v/>
      </c>
      <c r="I5490">
        <f>IF(F5490="","",INDEX(Deals!$D$2:$D$843,F5490))</f>
        <v/>
      </c>
      <c r="J5490">
        <f>IF(F5490="","",INT(H5490)-B5490)</f>
        <v/>
      </c>
      <c r="K5490">
        <f>IF(B5490&gt;=Settings!$C$5,1,0)</f>
        <v/>
      </c>
    </row>
    <row r="5491">
      <c r="A5491" t="inlineStr">
        <is>
          <t>5ff6f0023a5e1354b5e35a662b18b9e0</t>
        </is>
      </c>
      <c r="B5491" s="29" t="n">
        <v>43137</v>
      </c>
      <c r="C5491" t="inlineStr">
        <is>
          <t>2018-02</t>
        </is>
      </c>
      <c r="D5491" t="inlineStr">
        <is>
          <t>88740e65d5d6b056e0cda098e1ea6313</t>
        </is>
      </c>
      <c r="E5491" t="inlineStr">
        <is>
          <t>social</t>
        </is>
      </c>
      <c r="F5491">
        <f>IFERROR(MATCH(A5491,Deals!$A$2:$A$843,0),"")</f>
        <v/>
      </c>
      <c r="G5491">
        <f>IF(F5491="",0,1)</f>
        <v/>
      </c>
      <c r="H5491" s="29">
        <f>IF(F5491="","",INDEX(Deals!$E$2:$E$843,F5491))</f>
        <v/>
      </c>
      <c r="I5491">
        <f>IF(F5491="","",INDEX(Deals!$D$2:$D$843,F5491))</f>
        <v/>
      </c>
      <c r="J5491">
        <f>IF(F5491="","",INT(H5491)-B5491)</f>
        <v/>
      </c>
      <c r="K5491">
        <f>IF(B5491&gt;=Settings!$C$5,1,0)</f>
        <v/>
      </c>
    </row>
    <row r="5492">
      <c r="A5492" t="inlineStr">
        <is>
          <t>abcbe3ee8523b90b416337f0abd94a53</t>
        </is>
      </c>
      <c r="B5492" s="29" t="n">
        <v>43141</v>
      </c>
      <c r="C5492" t="inlineStr">
        <is>
          <t>2018-02</t>
        </is>
      </c>
      <c r="D5492" t="inlineStr">
        <is>
          <t>40dec9f3d5259a3d2dbcdab2114fae47</t>
        </is>
      </c>
      <c r="E5492" t="inlineStr">
        <is>
          <t>paid_search</t>
        </is>
      </c>
      <c r="F5492">
        <f>IFERROR(MATCH(A5492,Deals!$A$2:$A$843,0),"")</f>
        <v/>
      </c>
      <c r="G5492">
        <f>IF(F5492="",0,1)</f>
        <v/>
      </c>
      <c r="H5492" s="29">
        <f>IF(F5492="","",INDEX(Deals!$E$2:$E$843,F5492))</f>
        <v/>
      </c>
      <c r="I5492">
        <f>IF(F5492="","",INDEX(Deals!$D$2:$D$843,F5492))</f>
        <v/>
      </c>
      <c r="J5492">
        <f>IF(F5492="","",INT(H5492)-B5492)</f>
        <v/>
      </c>
      <c r="K5492">
        <f>IF(B5492&gt;=Settings!$C$5,1,0)</f>
        <v/>
      </c>
    </row>
    <row r="5493">
      <c r="A5493" t="inlineStr">
        <is>
          <t>e557bfa4e959dc5025f60ee6f5cb4298</t>
        </is>
      </c>
      <c r="B5493" s="29" t="n">
        <v>42986</v>
      </c>
      <c r="C5493" t="inlineStr">
        <is>
          <t>2017-09</t>
        </is>
      </c>
      <c r="D5493" t="inlineStr">
        <is>
          <t>b76ef37428e6799c421989521c0e5077</t>
        </is>
      </c>
      <c r="E5493" t="inlineStr">
        <is>
          <t>unknown</t>
        </is>
      </c>
      <c r="F5493">
        <f>IFERROR(MATCH(A5493,Deals!$A$2:$A$843,0),"")</f>
        <v/>
      </c>
      <c r="G5493">
        <f>IF(F5493="",0,1)</f>
        <v/>
      </c>
      <c r="H5493" s="29">
        <f>IF(F5493="","",INDEX(Deals!$E$2:$E$843,F5493))</f>
        <v/>
      </c>
      <c r="I5493">
        <f>IF(F5493="","",INDEX(Deals!$D$2:$D$843,F5493))</f>
        <v/>
      </c>
      <c r="J5493">
        <f>IF(F5493="","",INT(H5493)-B5493)</f>
        <v/>
      </c>
      <c r="K5493">
        <f>IF(B5493&gt;=Settings!$C$5,1,0)</f>
        <v/>
      </c>
    </row>
    <row r="5494">
      <c r="A5494" t="inlineStr">
        <is>
          <t>95b7cee06276726dffd84adf981f0c65</t>
        </is>
      </c>
      <c r="B5494" s="29" t="n">
        <v>43183</v>
      </c>
      <c r="C5494" t="inlineStr">
        <is>
          <t>2018-03</t>
        </is>
      </c>
      <c r="D5494" t="inlineStr">
        <is>
          <t>58326e62183c14b0c03085c33b9fdc44</t>
        </is>
      </c>
      <c r="E5494" t="inlineStr">
        <is>
          <t>social</t>
        </is>
      </c>
      <c r="F5494">
        <f>IFERROR(MATCH(A5494,Deals!$A$2:$A$843,0),"")</f>
        <v/>
      </c>
      <c r="G5494">
        <f>IF(F5494="",0,1)</f>
        <v/>
      </c>
      <c r="H5494" s="29">
        <f>IF(F5494="","",INDEX(Deals!$E$2:$E$843,F5494))</f>
        <v/>
      </c>
      <c r="I5494">
        <f>IF(F5494="","",INDEX(Deals!$D$2:$D$843,F5494))</f>
        <v/>
      </c>
      <c r="J5494">
        <f>IF(F5494="","",INT(H5494)-B5494)</f>
        <v/>
      </c>
      <c r="K5494">
        <f>IF(B5494&gt;=Settings!$C$5,1,0)</f>
        <v/>
      </c>
    </row>
    <row r="5495">
      <c r="A5495" t="inlineStr">
        <is>
          <t>f1c22be01f0446e1dd5290fce69e0c23</t>
        </is>
      </c>
      <c r="B5495" s="29" t="n">
        <v>43185</v>
      </c>
      <c r="C5495" t="inlineStr">
        <is>
          <t>2018-03</t>
        </is>
      </c>
      <c r="D5495" t="inlineStr">
        <is>
          <t>241f79c7a8fe0270f4fb79fcbbcd17ad</t>
        </is>
      </c>
      <c r="E5495" t="inlineStr">
        <is>
          <t>paid_search</t>
        </is>
      </c>
      <c r="F5495">
        <f>IFERROR(MATCH(A5495,Deals!$A$2:$A$843,0),"")</f>
        <v/>
      </c>
      <c r="G5495">
        <f>IF(F5495="",0,1)</f>
        <v/>
      </c>
      <c r="H5495" s="29">
        <f>IF(F5495="","",INDEX(Deals!$E$2:$E$843,F5495))</f>
        <v/>
      </c>
      <c r="I5495">
        <f>IF(F5495="","",INDEX(Deals!$D$2:$D$843,F5495))</f>
        <v/>
      </c>
      <c r="J5495">
        <f>IF(F5495="","",INT(H5495)-B5495)</f>
        <v/>
      </c>
      <c r="K5495">
        <f>IF(B5495&gt;=Settings!$C$5,1,0)</f>
        <v/>
      </c>
    </row>
    <row r="5496">
      <c r="A5496" t="inlineStr">
        <is>
          <t>32e22c26cece29777049a84adf05f465</t>
        </is>
      </c>
      <c r="B5496" s="29" t="n">
        <v>42943</v>
      </c>
      <c r="C5496" t="inlineStr">
        <is>
          <t>2017-07</t>
        </is>
      </c>
      <c r="D5496" t="inlineStr">
        <is>
          <t>65d9f9d71e562365e8b44037c2888d98</t>
        </is>
      </c>
      <c r="E5496" t="inlineStr">
        <is>
          <t>organic_search</t>
        </is>
      </c>
      <c r="F5496">
        <f>IFERROR(MATCH(A5496,Deals!$A$2:$A$843,0),"")</f>
        <v/>
      </c>
      <c r="G5496">
        <f>IF(F5496="",0,1)</f>
        <v/>
      </c>
      <c r="H5496" s="29">
        <f>IF(F5496="","",INDEX(Deals!$E$2:$E$843,F5496))</f>
        <v/>
      </c>
      <c r="I5496">
        <f>IF(F5496="","",INDEX(Deals!$D$2:$D$843,F5496))</f>
        <v/>
      </c>
      <c r="J5496">
        <f>IF(F5496="","",INT(H5496)-B5496)</f>
        <v/>
      </c>
      <c r="K5496">
        <f>IF(B5496&gt;=Settings!$C$5,1,0)</f>
        <v/>
      </c>
    </row>
    <row r="5497">
      <c r="A5497" t="inlineStr">
        <is>
          <t>746ac26956df2d6be2b2c66c26b62fda</t>
        </is>
      </c>
      <c r="B5497" s="29" t="n">
        <v>43195</v>
      </c>
      <c r="C5497" t="inlineStr">
        <is>
          <t>2018-04</t>
        </is>
      </c>
      <c r="D5497" t="inlineStr">
        <is>
          <t>7cae0e79bdcf71dfd512f1100219fdbc</t>
        </is>
      </c>
      <c r="E5497" t="inlineStr">
        <is>
          <t>unknown</t>
        </is>
      </c>
      <c r="F5497">
        <f>IFERROR(MATCH(A5497,Deals!$A$2:$A$843,0),"")</f>
        <v/>
      </c>
      <c r="G5497">
        <f>IF(F5497="",0,1)</f>
        <v/>
      </c>
      <c r="H5497" s="29">
        <f>IF(F5497="","",INDEX(Deals!$E$2:$E$843,F5497))</f>
        <v/>
      </c>
      <c r="I5497">
        <f>IF(F5497="","",INDEX(Deals!$D$2:$D$843,F5497))</f>
        <v/>
      </c>
      <c r="J5497">
        <f>IF(F5497="","",INT(H5497)-B5497)</f>
        <v/>
      </c>
      <c r="K5497">
        <f>IF(B5497&gt;=Settings!$C$5,1,0)</f>
        <v/>
      </c>
    </row>
    <row r="5498">
      <c r="A5498" t="inlineStr">
        <is>
          <t>a5442d14a3dc2f56981b84c2b48d99c8</t>
        </is>
      </c>
      <c r="B5498" s="29" t="n">
        <v>43234</v>
      </c>
      <c r="C5498" t="inlineStr">
        <is>
          <t>2018-05</t>
        </is>
      </c>
      <c r="D5498" t="inlineStr">
        <is>
          <t>b76ef37428e6799c421989521c0e5077</t>
        </is>
      </c>
      <c r="E5498" t="inlineStr">
        <is>
          <t>organic_search</t>
        </is>
      </c>
      <c r="F5498">
        <f>IFERROR(MATCH(A5498,Deals!$A$2:$A$843,0),"")</f>
        <v/>
      </c>
      <c r="G5498">
        <f>IF(F5498="",0,1)</f>
        <v/>
      </c>
      <c r="H5498" s="29">
        <f>IF(F5498="","",INDEX(Deals!$E$2:$E$843,F5498))</f>
        <v/>
      </c>
      <c r="I5498">
        <f>IF(F5498="","",INDEX(Deals!$D$2:$D$843,F5498))</f>
        <v/>
      </c>
      <c r="J5498">
        <f>IF(F5498="","",INT(H5498)-B5498)</f>
        <v/>
      </c>
      <c r="K5498">
        <f>IF(B5498&gt;=Settings!$C$5,1,0)</f>
        <v/>
      </c>
    </row>
    <row r="5499">
      <c r="A5499" t="inlineStr">
        <is>
          <t>61a56ce4cd5675d9204cdbc38f560542</t>
        </is>
      </c>
      <c r="B5499" s="29" t="n">
        <v>43121</v>
      </c>
      <c r="C5499" t="inlineStr">
        <is>
          <t>2018-01</t>
        </is>
      </c>
      <c r="D5499" t="inlineStr">
        <is>
          <t>88740e65d5d6b056e0cda098e1ea6313</t>
        </is>
      </c>
      <c r="E5499" t="inlineStr">
        <is>
          <t>social</t>
        </is>
      </c>
      <c r="F5499">
        <f>IFERROR(MATCH(A5499,Deals!$A$2:$A$843,0),"")</f>
        <v/>
      </c>
      <c r="G5499">
        <f>IF(F5499="",0,1)</f>
        <v/>
      </c>
      <c r="H5499" s="29">
        <f>IF(F5499="","",INDEX(Deals!$E$2:$E$843,F5499))</f>
        <v/>
      </c>
      <c r="I5499">
        <f>IF(F5499="","",INDEX(Deals!$D$2:$D$843,F5499))</f>
        <v/>
      </c>
      <c r="J5499">
        <f>IF(F5499="","",INT(H5499)-B5499)</f>
        <v/>
      </c>
      <c r="K5499">
        <f>IF(B5499&gt;=Settings!$C$5,1,0)</f>
        <v/>
      </c>
    </row>
    <row r="5500">
      <c r="A5500" t="inlineStr">
        <is>
          <t>a7b3c220a58d7106ebf49da50d6c280e</t>
        </is>
      </c>
      <c r="B5500" s="29" t="n">
        <v>43153</v>
      </c>
      <c r="C5500" t="inlineStr">
        <is>
          <t>2018-02</t>
        </is>
      </c>
      <c r="D5500" t="inlineStr">
        <is>
          <t>b76ef37428e6799c421989521c0e5077</t>
        </is>
      </c>
      <c r="E5500" t="inlineStr">
        <is>
          <t>unknown</t>
        </is>
      </c>
      <c r="F5500">
        <f>IFERROR(MATCH(A5500,Deals!$A$2:$A$843,0),"")</f>
        <v/>
      </c>
      <c r="G5500">
        <f>IF(F5500="",0,1)</f>
        <v/>
      </c>
      <c r="H5500" s="29">
        <f>IF(F5500="","",INDEX(Deals!$E$2:$E$843,F5500))</f>
        <v/>
      </c>
      <c r="I5500">
        <f>IF(F5500="","",INDEX(Deals!$D$2:$D$843,F5500))</f>
        <v/>
      </c>
      <c r="J5500">
        <f>IF(F5500="","",INT(H5500)-B5500)</f>
        <v/>
      </c>
      <c r="K5500">
        <f>IF(B5500&gt;=Settings!$C$5,1,0)</f>
        <v/>
      </c>
    </row>
    <row r="5501">
      <c r="A5501" t="inlineStr">
        <is>
          <t>62e44a80b946f921a9bc9712612442bd</t>
        </is>
      </c>
      <c r="B5501" s="29" t="n">
        <v>43033</v>
      </c>
      <c r="C5501" t="inlineStr">
        <is>
          <t>2017-10</t>
        </is>
      </c>
      <c r="D5501" t="inlineStr">
        <is>
          <t>872eb32141128a5320bfe7b8cf80fc14</t>
        </is>
      </c>
      <c r="E5501" t="inlineStr">
        <is>
          <t>paid_search</t>
        </is>
      </c>
      <c r="F5501">
        <f>IFERROR(MATCH(A5501,Deals!$A$2:$A$843,0),"")</f>
        <v/>
      </c>
      <c r="G5501">
        <f>IF(F5501="",0,1)</f>
        <v/>
      </c>
      <c r="H5501" s="29">
        <f>IF(F5501="","",INDEX(Deals!$E$2:$E$843,F5501))</f>
        <v/>
      </c>
      <c r="I5501">
        <f>IF(F5501="","",INDEX(Deals!$D$2:$D$843,F5501))</f>
        <v/>
      </c>
      <c r="J5501">
        <f>IF(F5501="","",INT(H5501)-B5501)</f>
        <v/>
      </c>
      <c r="K5501">
        <f>IF(B5501&gt;=Settings!$C$5,1,0)</f>
        <v/>
      </c>
    </row>
    <row r="5502">
      <c r="A5502" t="inlineStr">
        <is>
          <t>0315243c468b238bf15c230c774c9791</t>
        </is>
      </c>
      <c r="B5502" s="29" t="n">
        <v>43002</v>
      </c>
      <c r="C5502" t="inlineStr">
        <is>
          <t>2017-09</t>
        </is>
      </c>
      <c r="D5502" t="inlineStr">
        <is>
          <t>87732658ba41d8775e8577df347a64db</t>
        </is>
      </c>
      <c r="E5502" t="inlineStr">
        <is>
          <t>social</t>
        </is>
      </c>
      <c r="F5502">
        <f>IFERROR(MATCH(A5502,Deals!$A$2:$A$843,0),"")</f>
        <v/>
      </c>
      <c r="G5502">
        <f>IF(F5502="",0,1)</f>
        <v/>
      </c>
      <c r="H5502" s="29">
        <f>IF(F5502="","",INDEX(Deals!$E$2:$E$843,F5502))</f>
        <v/>
      </c>
      <c r="I5502">
        <f>IF(F5502="","",INDEX(Deals!$D$2:$D$843,F5502))</f>
        <v/>
      </c>
      <c r="J5502">
        <f>IF(F5502="","",INT(H5502)-B5502)</f>
        <v/>
      </c>
      <c r="K5502">
        <f>IF(B5502&gt;=Settings!$C$5,1,0)</f>
        <v/>
      </c>
    </row>
    <row r="5503">
      <c r="A5503" t="inlineStr">
        <is>
          <t>8b212ddebb71de5f0118e2e9f170bd04</t>
        </is>
      </c>
      <c r="B5503" s="29" t="n">
        <v>43116</v>
      </c>
      <c r="C5503" t="inlineStr">
        <is>
          <t>2018-01</t>
        </is>
      </c>
      <c r="D5503" t="inlineStr">
        <is>
          <t>88740e65d5d6b056e0cda098e1ea6313</t>
        </is>
      </c>
      <c r="E5503" t="inlineStr">
        <is>
          <t>social</t>
        </is>
      </c>
      <c r="F5503">
        <f>IFERROR(MATCH(A5503,Deals!$A$2:$A$843,0),"")</f>
        <v/>
      </c>
      <c r="G5503">
        <f>IF(F5503="",0,1)</f>
        <v/>
      </c>
      <c r="H5503" s="29">
        <f>IF(F5503="","",INDEX(Deals!$E$2:$E$843,F5503))</f>
        <v/>
      </c>
      <c r="I5503">
        <f>IF(F5503="","",INDEX(Deals!$D$2:$D$843,F5503))</f>
        <v/>
      </c>
      <c r="J5503">
        <f>IF(F5503="","",INT(H5503)-B5503)</f>
        <v/>
      </c>
      <c r="K5503">
        <f>IF(B5503&gt;=Settings!$C$5,1,0)</f>
        <v/>
      </c>
    </row>
    <row r="5504">
      <c r="A5504" t="inlineStr">
        <is>
          <t>7f6401a2da5927d2c2fe3b6b946a9f37</t>
        </is>
      </c>
      <c r="B5504" s="29" t="n">
        <v>43220</v>
      </c>
      <c r="C5504" t="inlineStr">
        <is>
          <t>2018-04</t>
        </is>
      </c>
      <c r="D5504" t="inlineStr">
        <is>
          <t>c2826f1fb1ca7c1b7c7b63c1018b8ba5</t>
        </is>
      </c>
      <c r="E5504" t="inlineStr">
        <is>
          <t>unknown</t>
        </is>
      </c>
      <c r="F5504">
        <f>IFERROR(MATCH(A5504,Deals!$A$2:$A$843,0),"")</f>
        <v/>
      </c>
      <c r="G5504">
        <f>IF(F5504="",0,1)</f>
        <v/>
      </c>
      <c r="H5504" s="29">
        <f>IF(F5504="","",INDEX(Deals!$E$2:$E$843,F5504))</f>
        <v/>
      </c>
      <c r="I5504">
        <f>IF(F5504="","",INDEX(Deals!$D$2:$D$843,F5504))</f>
        <v/>
      </c>
      <c r="J5504">
        <f>IF(F5504="","",INT(H5504)-B5504)</f>
        <v/>
      </c>
      <c r="K5504">
        <f>IF(B5504&gt;=Settings!$C$5,1,0)</f>
        <v/>
      </c>
    </row>
    <row r="5505">
      <c r="A5505" t="inlineStr">
        <is>
          <t>49bed02a95fa5d7b01855f6661ed80f3</t>
        </is>
      </c>
      <c r="B5505" s="29" t="n">
        <v>43236</v>
      </c>
      <c r="C5505" t="inlineStr">
        <is>
          <t>2018-05</t>
        </is>
      </c>
      <c r="D5505" t="inlineStr">
        <is>
          <t>7fa6214d82e911d070f51ef79381b956</t>
        </is>
      </c>
      <c r="E5505" t="inlineStr">
        <is>
          <t>paid_search</t>
        </is>
      </c>
      <c r="F5505">
        <f>IFERROR(MATCH(A5505,Deals!$A$2:$A$843,0),"")</f>
        <v/>
      </c>
      <c r="G5505">
        <f>IF(F5505="",0,1)</f>
        <v/>
      </c>
      <c r="H5505" s="29">
        <f>IF(F5505="","",INDEX(Deals!$E$2:$E$843,F5505))</f>
        <v/>
      </c>
      <c r="I5505">
        <f>IF(F5505="","",INDEX(Deals!$D$2:$D$843,F5505))</f>
        <v/>
      </c>
      <c r="J5505">
        <f>IF(F5505="","",INT(H5505)-B5505)</f>
        <v/>
      </c>
      <c r="K5505">
        <f>IF(B5505&gt;=Settings!$C$5,1,0)</f>
        <v/>
      </c>
    </row>
    <row r="5506">
      <c r="A5506" t="inlineStr">
        <is>
          <t>1282361fd91dd7d33e973c529627e0a1</t>
        </is>
      </c>
      <c r="B5506" s="29" t="n">
        <v>43065</v>
      </c>
      <c r="C5506" t="inlineStr">
        <is>
          <t>2017-11</t>
        </is>
      </c>
      <c r="D5506" t="inlineStr">
        <is>
          <t>7fa6214d82e911d070f51ef79381b956</t>
        </is>
      </c>
      <c r="E5506" t="inlineStr">
        <is>
          <t>unknown</t>
        </is>
      </c>
      <c r="F5506">
        <f>IFERROR(MATCH(A5506,Deals!$A$2:$A$843,0),"")</f>
        <v/>
      </c>
      <c r="G5506">
        <f>IF(F5506="",0,1)</f>
        <v/>
      </c>
      <c r="H5506" s="29">
        <f>IF(F5506="","",INDEX(Deals!$E$2:$E$843,F5506))</f>
        <v/>
      </c>
      <c r="I5506">
        <f>IF(F5506="","",INDEX(Deals!$D$2:$D$843,F5506))</f>
        <v/>
      </c>
      <c r="J5506">
        <f>IF(F5506="","",INT(H5506)-B5506)</f>
        <v/>
      </c>
      <c r="K5506">
        <f>IF(B5506&gt;=Settings!$C$5,1,0)</f>
        <v/>
      </c>
    </row>
    <row r="5507">
      <c r="A5507" t="inlineStr">
        <is>
          <t>d4c02b76eecba653c50dc02f4d4ef6b1</t>
        </is>
      </c>
      <c r="B5507" s="29" t="n">
        <v>43167</v>
      </c>
      <c r="C5507" t="inlineStr">
        <is>
          <t>2018-03</t>
        </is>
      </c>
      <c r="D5507" t="inlineStr">
        <is>
          <t>40dec9f3d5259a3d2dbcdab2114fae47</t>
        </is>
      </c>
      <c r="E5507" t="inlineStr">
        <is>
          <t>paid_search</t>
        </is>
      </c>
      <c r="F5507">
        <f>IFERROR(MATCH(A5507,Deals!$A$2:$A$843,0),"")</f>
        <v/>
      </c>
      <c r="G5507">
        <f>IF(F5507="",0,1)</f>
        <v/>
      </c>
      <c r="H5507" s="29">
        <f>IF(F5507="","",INDEX(Deals!$E$2:$E$843,F5507))</f>
        <v/>
      </c>
      <c r="I5507">
        <f>IF(F5507="","",INDEX(Deals!$D$2:$D$843,F5507))</f>
        <v/>
      </c>
      <c r="J5507">
        <f>IF(F5507="","",INT(H5507)-B5507)</f>
        <v/>
      </c>
      <c r="K5507">
        <f>IF(B5507&gt;=Settings!$C$5,1,0)</f>
        <v/>
      </c>
    </row>
    <row r="5508">
      <c r="A5508" t="inlineStr">
        <is>
          <t>97f75bc3276faac9d26d6c56fe597e49</t>
        </is>
      </c>
      <c r="B5508" s="29" t="n">
        <v>43152</v>
      </c>
      <c r="C5508" t="inlineStr">
        <is>
          <t>2018-02</t>
        </is>
      </c>
      <c r="D5508" t="inlineStr">
        <is>
          <t>40dec9f3d5259a3d2dbcdab2114fae47</t>
        </is>
      </c>
      <c r="E5508" t="inlineStr">
        <is>
          <t>paid_search</t>
        </is>
      </c>
      <c r="F5508">
        <f>IFERROR(MATCH(A5508,Deals!$A$2:$A$843,0),"")</f>
        <v/>
      </c>
      <c r="G5508">
        <f>IF(F5508="",0,1)</f>
        <v/>
      </c>
      <c r="H5508" s="29">
        <f>IF(F5508="","",INDEX(Deals!$E$2:$E$843,F5508))</f>
        <v/>
      </c>
      <c r="I5508">
        <f>IF(F5508="","",INDEX(Deals!$D$2:$D$843,F5508))</f>
        <v/>
      </c>
      <c r="J5508">
        <f>IF(F5508="","",INT(H5508)-B5508)</f>
        <v/>
      </c>
      <c r="K5508">
        <f>IF(B5508&gt;=Settings!$C$5,1,0)</f>
        <v/>
      </c>
    </row>
    <row r="5509">
      <c r="A5509" t="inlineStr">
        <is>
          <t>b2cbc0a549ec535998da8223cde1099e</t>
        </is>
      </c>
      <c r="B5509" s="29" t="n">
        <v>43034</v>
      </c>
      <c r="C5509" t="inlineStr">
        <is>
          <t>2017-10</t>
        </is>
      </c>
      <c r="D5509" t="inlineStr">
        <is>
          <t>c555aa36478386fdf85a2d0ca5cd0ff8</t>
        </is>
      </c>
      <c r="E5509" t="inlineStr">
        <is>
          <t>organic_search</t>
        </is>
      </c>
      <c r="F5509">
        <f>IFERROR(MATCH(A5509,Deals!$A$2:$A$843,0),"")</f>
        <v/>
      </c>
      <c r="G5509">
        <f>IF(F5509="",0,1)</f>
        <v/>
      </c>
      <c r="H5509" s="29">
        <f>IF(F5509="","",INDEX(Deals!$E$2:$E$843,F5509))</f>
        <v/>
      </c>
      <c r="I5509">
        <f>IF(F5509="","",INDEX(Deals!$D$2:$D$843,F5509))</f>
        <v/>
      </c>
      <c r="J5509">
        <f>IF(F5509="","",INT(H5509)-B5509)</f>
        <v/>
      </c>
      <c r="K5509">
        <f>IF(B5509&gt;=Settings!$C$5,1,0)</f>
        <v/>
      </c>
    </row>
    <row r="5510">
      <c r="A5510" t="inlineStr">
        <is>
          <t>6427fdbd7541416f337f075cd52b402e</t>
        </is>
      </c>
      <c r="B5510" s="29" t="n">
        <v>43062</v>
      </c>
      <c r="C5510" t="inlineStr">
        <is>
          <t>2017-11</t>
        </is>
      </c>
      <c r="D5510" t="inlineStr">
        <is>
          <t>e492ee5eaf1697716985cc6f33f9cd9b</t>
        </is>
      </c>
      <c r="E5510" t="inlineStr">
        <is>
          <t>organic_search</t>
        </is>
      </c>
      <c r="F5510">
        <f>IFERROR(MATCH(A5510,Deals!$A$2:$A$843,0),"")</f>
        <v/>
      </c>
      <c r="G5510">
        <f>IF(F5510="",0,1)</f>
        <v/>
      </c>
      <c r="H5510" s="29">
        <f>IF(F5510="","",INDEX(Deals!$E$2:$E$843,F5510))</f>
        <v/>
      </c>
      <c r="I5510">
        <f>IF(F5510="","",INDEX(Deals!$D$2:$D$843,F5510))</f>
        <v/>
      </c>
      <c r="J5510">
        <f>IF(F5510="","",INT(H5510)-B5510)</f>
        <v/>
      </c>
      <c r="K5510">
        <f>IF(B5510&gt;=Settings!$C$5,1,0)</f>
        <v/>
      </c>
    </row>
    <row r="5511">
      <c r="A5511" t="inlineStr">
        <is>
          <t>990d66413f318faa5e34e50e8df2ee63</t>
        </is>
      </c>
      <c r="B5511" s="29" t="n">
        <v>43204</v>
      </c>
      <c r="C5511" t="inlineStr">
        <is>
          <t>2018-04</t>
        </is>
      </c>
      <c r="D5511" t="inlineStr">
        <is>
          <t>649b7b8b46b254497e92038d88f6ced8</t>
        </is>
      </c>
      <c r="E5511" t="inlineStr">
        <is>
          <t>social</t>
        </is>
      </c>
      <c r="F5511">
        <f>IFERROR(MATCH(A5511,Deals!$A$2:$A$843,0),"")</f>
        <v/>
      </c>
      <c r="G5511">
        <f>IF(F5511="",0,1)</f>
        <v/>
      </c>
      <c r="H5511" s="29">
        <f>IF(F5511="","",INDEX(Deals!$E$2:$E$843,F5511))</f>
        <v/>
      </c>
      <c r="I5511">
        <f>IF(F5511="","",INDEX(Deals!$D$2:$D$843,F5511))</f>
        <v/>
      </c>
      <c r="J5511">
        <f>IF(F5511="","",INT(H5511)-B5511)</f>
        <v/>
      </c>
      <c r="K5511">
        <f>IF(B5511&gt;=Settings!$C$5,1,0)</f>
        <v/>
      </c>
    </row>
    <row r="5512">
      <c r="A5512" t="inlineStr">
        <is>
          <t>51d81424aa2d36bf4248ae8a4a3cc885</t>
        </is>
      </c>
      <c r="B5512" s="29" t="n">
        <v>43246</v>
      </c>
      <c r="C5512" t="inlineStr">
        <is>
          <t>2018-05</t>
        </is>
      </c>
      <c r="D5512" t="inlineStr">
        <is>
          <t>330b9d44078a1ae5a221d655dcb77afa</t>
        </is>
      </c>
      <c r="E5512" t="inlineStr">
        <is>
          <t>direct_traffic</t>
        </is>
      </c>
      <c r="F5512">
        <f>IFERROR(MATCH(A5512,Deals!$A$2:$A$843,0),"")</f>
        <v/>
      </c>
      <c r="G5512">
        <f>IF(F5512="",0,1)</f>
        <v/>
      </c>
      <c r="H5512" s="29">
        <f>IF(F5512="","",INDEX(Deals!$E$2:$E$843,F5512))</f>
        <v/>
      </c>
      <c r="I5512">
        <f>IF(F5512="","",INDEX(Deals!$D$2:$D$843,F5512))</f>
        <v/>
      </c>
      <c r="J5512">
        <f>IF(F5512="","",INT(H5512)-B5512)</f>
        <v/>
      </c>
      <c r="K5512">
        <f>IF(B5512&gt;=Settings!$C$5,1,0)</f>
        <v/>
      </c>
    </row>
    <row r="5513">
      <c r="A5513" t="inlineStr">
        <is>
          <t>2a5db3d6ce6a75fb53c80498ad253377</t>
        </is>
      </c>
      <c r="B5513" s="29" t="n">
        <v>43242</v>
      </c>
      <c r="C5513" t="inlineStr">
        <is>
          <t>2018-05</t>
        </is>
      </c>
      <c r="D5513" t="inlineStr">
        <is>
          <t>40dec9f3d5259a3d2dbcdab2114fae47</t>
        </is>
      </c>
      <c r="E5513" t="inlineStr">
        <is>
          <t>paid_search</t>
        </is>
      </c>
      <c r="F5513">
        <f>IFERROR(MATCH(A5513,Deals!$A$2:$A$843,0),"")</f>
        <v/>
      </c>
      <c r="G5513">
        <f>IF(F5513="",0,1)</f>
        <v/>
      </c>
      <c r="H5513" s="29">
        <f>IF(F5513="","",INDEX(Deals!$E$2:$E$843,F5513))</f>
        <v/>
      </c>
      <c r="I5513">
        <f>IF(F5513="","",INDEX(Deals!$D$2:$D$843,F5513))</f>
        <v/>
      </c>
      <c r="J5513">
        <f>IF(F5513="","",INT(H5513)-B5513)</f>
        <v/>
      </c>
      <c r="K5513">
        <f>IF(B5513&gt;=Settings!$C$5,1,0)</f>
        <v/>
      </c>
    </row>
    <row r="5514">
      <c r="A5514" t="inlineStr">
        <is>
          <t>e87b5193d3e60a52a8e3df82af428e27</t>
        </is>
      </c>
      <c r="B5514" s="29" t="n">
        <v>42939</v>
      </c>
      <c r="C5514" t="inlineStr">
        <is>
          <t>2017-07</t>
        </is>
      </c>
      <c r="D5514" t="inlineStr">
        <is>
          <t>489a340e7e59e0bcbec67b4a19c1b229</t>
        </is>
      </c>
      <c r="E5514" t="inlineStr">
        <is>
          <t>paid_search</t>
        </is>
      </c>
      <c r="F5514">
        <f>IFERROR(MATCH(A5514,Deals!$A$2:$A$843,0),"")</f>
        <v/>
      </c>
      <c r="G5514">
        <f>IF(F5514="",0,1)</f>
        <v/>
      </c>
      <c r="H5514" s="29">
        <f>IF(F5514="","",INDEX(Deals!$E$2:$E$843,F5514))</f>
        <v/>
      </c>
      <c r="I5514">
        <f>IF(F5514="","",INDEX(Deals!$D$2:$D$843,F5514))</f>
        <v/>
      </c>
      <c r="J5514">
        <f>IF(F5514="","",INT(H5514)-B5514)</f>
        <v/>
      </c>
      <c r="K5514">
        <f>IF(B5514&gt;=Settings!$C$5,1,0)</f>
        <v/>
      </c>
    </row>
    <row r="5515">
      <c r="A5515" t="inlineStr">
        <is>
          <t>65d7720bddfbf1c6f6b5b4f21b96c7ea</t>
        </is>
      </c>
      <c r="B5515" s="29" t="n">
        <v>43108</v>
      </c>
      <c r="C5515" t="inlineStr">
        <is>
          <t>2018-01</t>
        </is>
      </c>
      <c r="D5515" t="inlineStr">
        <is>
          <t>73f31a40697cc90a86c1273563ac230e</t>
        </is>
      </c>
      <c r="E5515" t="inlineStr">
        <is>
          <t>other</t>
        </is>
      </c>
      <c r="F5515">
        <f>IFERROR(MATCH(A5515,Deals!$A$2:$A$843,0),"")</f>
        <v/>
      </c>
      <c r="G5515">
        <f>IF(F5515="",0,1)</f>
        <v/>
      </c>
      <c r="H5515" s="29">
        <f>IF(F5515="","",INDEX(Deals!$E$2:$E$843,F5515))</f>
        <v/>
      </c>
      <c r="I5515">
        <f>IF(F5515="","",INDEX(Deals!$D$2:$D$843,F5515))</f>
        <v/>
      </c>
      <c r="J5515">
        <f>IF(F5515="","",INT(H5515)-B5515)</f>
        <v/>
      </c>
      <c r="K5515">
        <f>IF(B5515&gt;=Settings!$C$5,1,0)</f>
        <v/>
      </c>
    </row>
    <row r="5516">
      <c r="A5516" t="inlineStr">
        <is>
          <t>fac06a9b23f0f7b5f0b065a77d2d821f</t>
        </is>
      </c>
      <c r="B5516" s="29" t="n">
        <v>43039</v>
      </c>
      <c r="C5516" t="inlineStr">
        <is>
          <t>2017-10</t>
        </is>
      </c>
      <c r="D5516" t="inlineStr">
        <is>
          <t>82ce7345d29d3003d376f9382fc0eba0</t>
        </is>
      </c>
      <c r="E5516" t="inlineStr">
        <is>
          <t>direct_traffic</t>
        </is>
      </c>
      <c r="F5516">
        <f>IFERROR(MATCH(A5516,Deals!$A$2:$A$843,0),"")</f>
        <v/>
      </c>
      <c r="G5516">
        <f>IF(F5516="",0,1)</f>
        <v/>
      </c>
      <c r="H5516" s="29">
        <f>IF(F5516="","",INDEX(Deals!$E$2:$E$843,F5516))</f>
        <v/>
      </c>
      <c r="I5516">
        <f>IF(F5516="","",INDEX(Deals!$D$2:$D$843,F5516))</f>
        <v/>
      </c>
      <c r="J5516">
        <f>IF(F5516="","",INT(H5516)-B5516)</f>
        <v/>
      </c>
      <c r="K5516">
        <f>IF(B5516&gt;=Settings!$C$5,1,0)</f>
        <v/>
      </c>
    </row>
    <row r="5517">
      <c r="A5517" t="inlineStr">
        <is>
          <t>6172a70bcae942f431b48adcb4699db8</t>
        </is>
      </c>
      <c r="B5517" s="29" t="n">
        <v>43038</v>
      </c>
      <c r="C5517" t="inlineStr">
        <is>
          <t>2017-10</t>
        </is>
      </c>
      <c r="D5517" t="inlineStr">
        <is>
          <t>241f79c7a8fe0270f4fb79fcbbcd17ad</t>
        </is>
      </c>
      <c r="E5517" t="inlineStr">
        <is>
          <t>paid_search</t>
        </is>
      </c>
      <c r="F5517">
        <f>IFERROR(MATCH(A5517,Deals!$A$2:$A$843,0),"")</f>
        <v/>
      </c>
      <c r="G5517">
        <f>IF(F5517="",0,1)</f>
        <v/>
      </c>
      <c r="H5517" s="29">
        <f>IF(F5517="","",INDEX(Deals!$E$2:$E$843,F5517))</f>
        <v/>
      </c>
      <c r="I5517">
        <f>IF(F5517="","",INDEX(Deals!$D$2:$D$843,F5517))</f>
        <v/>
      </c>
      <c r="J5517">
        <f>IF(F5517="","",INT(H5517)-B5517)</f>
        <v/>
      </c>
      <c r="K5517">
        <f>IF(B5517&gt;=Settings!$C$5,1,0)</f>
        <v/>
      </c>
    </row>
    <row r="5518">
      <c r="A5518" t="inlineStr">
        <is>
          <t>00a7b8f6dc440f5799515d58dafdb5be</t>
        </is>
      </c>
      <c r="B5518" s="29" t="n">
        <v>43172</v>
      </c>
      <c r="C5518" t="inlineStr">
        <is>
          <t>2018-03</t>
        </is>
      </c>
      <c r="D5518" t="inlineStr">
        <is>
          <t>40dec9f3d5259a3d2dbcdab2114fae47</t>
        </is>
      </c>
      <c r="E5518" t="inlineStr">
        <is>
          <t>organic_search</t>
        </is>
      </c>
      <c r="F5518">
        <f>IFERROR(MATCH(A5518,Deals!$A$2:$A$843,0),"")</f>
        <v/>
      </c>
      <c r="G5518">
        <f>IF(F5518="",0,1)</f>
        <v/>
      </c>
      <c r="H5518" s="29">
        <f>IF(F5518="","",INDEX(Deals!$E$2:$E$843,F5518))</f>
        <v/>
      </c>
      <c r="I5518">
        <f>IF(F5518="","",INDEX(Deals!$D$2:$D$843,F5518))</f>
        <v/>
      </c>
      <c r="J5518">
        <f>IF(F5518="","",INT(H5518)-B5518)</f>
        <v/>
      </c>
      <c r="K5518">
        <f>IF(B5518&gt;=Settings!$C$5,1,0)</f>
        <v/>
      </c>
    </row>
    <row r="5519">
      <c r="A5519" t="inlineStr">
        <is>
          <t>d85f7ffd34969c63e0146c6ac8bc518f</t>
        </is>
      </c>
      <c r="B5519" s="29" t="n">
        <v>43166</v>
      </c>
      <c r="C5519" t="inlineStr">
        <is>
          <t>2018-03</t>
        </is>
      </c>
      <c r="D5519" t="inlineStr">
        <is>
          <t>b6885f18d203a61176418c1fb3764815</t>
        </is>
      </c>
      <c r="E5519" t="inlineStr">
        <is>
          <t>organic_search</t>
        </is>
      </c>
      <c r="F5519">
        <f>IFERROR(MATCH(A5519,Deals!$A$2:$A$843,0),"")</f>
        <v/>
      </c>
      <c r="G5519">
        <f>IF(F5519="",0,1)</f>
        <v/>
      </c>
      <c r="H5519" s="29">
        <f>IF(F5519="","",INDEX(Deals!$E$2:$E$843,F5519))</f>
        <v/>
      </c>
      <c r="I5519">
        <f>IF(F5519="","",INDEX(Deals!$D$2:$D$843,F5519))</f>
        <v/>
      </c>
      <c r="J5519">
        <f>IF(F5519="","",INT(H5519)-B5519)</f>
        <v/>
      </c>
      <c r="K5519">
        <f>IF(B5519&gt;=Settings!$C$5,1,0)</f>
        <v/>
      </c>
    </row>
    <row r="5520">
      <c r="A5520" t="inlineStr">
        <is>
          <t>6cb7f43fec13e471a347be105e7cbd08</t>
        </is>
      </c>
      <c r="B5520" s="29" t="n">
        <v>43088</v>
      </c>
      <c r="C5520" t="inlineStr">
        <is>
          <t>2017-12</t>
        </is>
      </c>
      <c r="D5520" t="inlineStr">
        <is>
          <t>21a104c3279681d9856b8a48723c4fee</t>
        </is>
      </c>
      <c r="E5520" t="inlineStr">
        <is>
          <t>organic_search</t>
        </is>
      </c>
      <c r="F5520">
        <f>IFERROR(MATCH(A5520,Deals!$A$2:$A$843,0),"")</f>
        <v/>
      </c>
      <c r="G5520">
        <f>IF(F5520="",0,1)</f>
        <v/>
      </c>
      <c r="H5520" s="29">
        <f>IF(F5520="","",INDEX(Deals!$E$2:$E$843,F5520))</f>
        <v/>
      </c>
      <c r="I5520">
        <f>IF(F5520="","",INDEX(Deals!$D$2:$D$843,F5520))</f>
        <v/>
      </c>
      <c r="J5520">
        <f>IF(F5520="","",INT(H5520)-B5520)</f>
        <v/>
      </c>
      <c r="K5520">
        <f>IF(B5520&gt;=Settings!$C$5,1,0)</f>
        <v/>
      </c>
    </row>
    <row r="5521">
      <c r="A5521" t="inlineStr">
        <is>
          <t>8dcf0bb99b636e860943bcb4b1104292</t>
        </is>
      </c>
      <c r="B5521" s="29" t="n">
        <v>43209</v>
      </c>
      <c r="C5521" t="inlineStr">
        <is>
          <t>2018-04</t>
        </is>
      </c>
      <c r="D5521" t="inlineStr">
        <is>
          <t>e492ee5eaf1697716985cc6f33f9cd9b</t>
        </is>
      </c>
      <c r="E5521" t="inlineStr">
        <is>
          <t>display</t>
        </is>
      </c>
      <c r="F5521">
        <f>IFERROR(MATCH(A5521,Deals!$A$2:$A$843,0),"")</f>
        <v/>
      </c>
      <c r="G5521">
        <f>IF(F5521="",0,1)</f>
        <v/>
      </c>
      <c r="H5521" s="29">
        <f>IF(F5521="","",INDEX(Deals!$E$2:$E$843,F5521))</f>
        <v/>
      </c>
      <c r="I5521">
        <f>IF(F5521="","",INDEX(Deals!$D$2:$D$843,F5521))</f>
        <v/>
      </c>
      <c r="J5521">
        <f>IF(F5521="","",INT(H5521)-B5521)</f>
        <v/>
      </c>
      <c r="K5521">
        <f>IF(B5521&gt;=Settings!$C$5,1,0)</f>
        <v/>
      </c>
    </row>
    <row r="5522">
      <c r="A5522" t="inlineStr">
        <is>
          <t>6b1d7eadb42d159909af05a7a6d88989</t>
        </is>
      </c>
      <c r="B5522" s="29" t="n">
        <v>42956</v>
      </c>
      <c r="C5522" t="inlineStr">
        <is>
          <t>2017-08</t>
        </is>
      </c>
      <c r="D5522" t="inlineStr">
        <is>
          <t>154e7506c0176dc761f19fa0cb4988c4</t>
        </is>
      </c>
      <c r="E5522" t="inlineStr">
        <is>
          <t>unknown</t>
        </is>
      </c>
      <c r="F5522">
        <f>IFERROR(MATCH(A5522,Deals!$A$2:$A$843,0),"")</f>
        <v/>
      </c>
      <c r="G5522">
        <f>IF(F5522="",0,1)</f>
        <v/>
      </c>
      <c r="H5522" s="29">
        <f>IF(F5522="","",INDEX(Deals!$E$2:$E$843,F5522))</f>
        <v/>
      </c>
      <c r="I5522">
        <f>IF(F5522="","",INDEX(Deals!$D$2:$D$843,F5522))</f>
        <v/>
      </c>
      <c r="J5522">
        <f>IF(F5522="","",INT(H5522)-B5522)</f>
        <v/>
      </c>
      <c r="K5522">
        <f>IF(B5522&gt;=Settings!$C$5,1,0)</f>
        <v/>
      </c>
    </row>
    <row r="5523">
      <c r="A5523" t="inlineStr">
        <is>
          <t>9af79ea37e92042936090355ff6ceff1</t>
        </is>
      </c>
      <c r="B5523" s="29" t="n">
        <v>43146</v>
      </c>
      <c r="C5523" t="inlineStr">
        <is>
          <t>2018-02</t>
        </is>
      </c>
      <c r="D5523" t="inlineStr">
        <is>
          <t>f017be4dbf86243af5c1ebed0cff36a2</t>
        </is>
      </c>
      <c r="E5523" t="inlineStr">
        <is>
          <t>organic_search</t>
        </is>
      </c>
      <c r="F5523">
        <f>IFERROR(MATCH(A5523,Deals!$A$2:$A$843,0),"")</f>
        <v/>
      </c>
      <c r="G5523">
        <f>IF(F5523="",0,1)</f>
        <v/>
      </c>
      <c r="H5523" s="29">
        <f>IF(F5523="","",INDEX(Deals!$E$2:$E$843,F5523))</f>
        <v/>
      </c>
      <c r="I5523">
        <f>IF(F5523="","",INDEX(Deals!$D$2:$D$843,F5523))</f>
        <v/>
      </c>
      <c r="J5523">
        <f>IF(F5523="","",INT(H5523)-B5523)</f>
        <v/>
      </c>
      <c r="K5523">
        <f>IF(B5523&gt;=Settings!$C$5,1,0)</f>
        <v/>
      </c>
    </row>
    <row r="5524">
      <c r="A5524" t="inlineStr">
        <is>
          <t>dbd9669f09ee76847d3e923b7e886aa8</t>
        </is>
      </c>
      <c r="B5524" s="29" t="n">
        <v>43198</v>
      </c>
      <c r="C5524" t="inlineStr">
        <is>
          <t>2018-04</t>
        </is>
      </c>
      <c r="D5524" t="inlineStr">
        <is>
          <t>36120633c8737035fbabf079082f4ec1</t>
        </is>
      </c>
      <c r="E5524" t="inlineStr">
        <is>
          <t>organic_search</t>
        </is>
      </c>
      <c r="F5524">
        <f>IFERROR(MATCH(A5524,Deals!$A$2:$A$843,0),"")</f>
        <v/>
      </c>
      <c r="G5524">
        <f>IF(F5524="",0,1)</f>
        <v/>
      </c>
      <c r="H5524" s="29">
        <f>IF(F5524="","",INDEX(Deals!$E$2:$E$843,F5524))</f>
        <v/>
      </c>
      <c r="I5524">
        <f>IF(F5524="","",INDEX(Deals!$D$2:$D$843,F5524))</f>
        <v/>
      </c>
      <c r="J5524">
        <f>IF(F5524="","",INT(H5524)-B5524)</f>
        <v/>
      </c>
      <c r="K5524">
        <f>IF(B5524&gt;=Settings!$C$5,1,0)</f>
        <v/>
      </c>
    </row>
    <row r="5525">
      <c r="A5525" t="inlineStr">
        <is>
          <t>813c26fc0c3bf64573a10eafb3f8e5ee</t>
        </is>
      </c>
      <c r="B5525" s="29" t="n">
        <v>42954</v>
      </c>
      <c r="C5525" t="inlineStr">
        <is>
          <t>2017-08</t>
        </is>
      </c>
      <c r="D5525" t="inlineStr">
        <is>
          <t>65d9f9d71e562365e8b44037c2888d98</t>
        </is>
      </c>
      <c r="E5525" t="inlineStr">
        <is>
          <t>organic_search</t>
        </is>
      </c>
      <c r="F5525">
        <f>IFERROR(MATCH(A5525,Deals!$A$2:$A$843,0),"")</f>
        <v/>
      </c>
      <c r="G5525">
        <f>IF(F5525="",0,1)</f>
        <v/>
      </c>
      <c r="H5525" s="29">
        <f>IF(F5525="","",INDEX(Deals!$E$2:$E$843,F5525))</f>
        <v/>
      </c>
      <c r="I5525">
        <f>IF(F5525="","",INDEX(Deals!$D$2:$D$843,F5525))</f>
        <v/>
      </c>
      <c r="J5525">
        <f>IF(F5525="","",INT(H5525)-B5525)</f>
        <v/>
      </c>
      <c r="K5525">
        <f>IF(B5525&gt;=Settings!$C$5,1,0)</f>
        <v/>
      </c>
    </row>
    <row r="5526">
      <c r="A5526" t="inlineStr">
        <is>
          <t>51b030d05fdce1d571c4f55eed93d323</t>
        </is>
      </c>
      <c r="B5526" s="29" t="n">
        <v>43069</v>
      </c>
      <c r="C5526" t="inlineStr">
        <is>
          <t>2017-11</t>
        </is>
      </c>
      <c r="D5526" t="inlineStr">
        <is>
          <t>c79bafc4a099ff23e3bab1534797fb45</t>
        </is>
      </c>
      <c r="E5526" t="inlineStr">
        <is>
          <t>paid_search</t>
        </is>
      </c>
      <c r="F5526">
        <f>IFERROR(MATCH(A5526,Deals!$A$2:$A$843,0),"")</f>
        <v/>
      </c>
      <c r="G5526">
        <f>IF(F5526="",0,1)</f>
        <v/>
      </c>
      <c r="H5526" s="29">
        <f>IF(F5526="","",INDEX(Deals!$E$2:$E$843,F5526))</f>
        <v/>
      </c>
      <c r="I5526">
        <f>IF(F5526="","",INDEX(Deals!$D$2:$D$843,F5526))</f>
        <v/>
      </c>
      <c r="J5526">
        <f>IF(F5526="","",INT(H5526)-B5526)</f>
        <v/>
      </c>
      <c r="K5526">
        <f>IF(B5526&gt;=Settings!$C$5,1,0)</f>
        <v/>
      </c>
    </row>
    <row r="5527">
      <c r="A5527" t="inlineStr">
        <is>
          <t>5b7c4bf414c0e93488e90a7ff92ee74f</t>
        </is>
      </c>
      <c r="B5527" s="29" t="n">
        <v>43185</v>
      </c>
      <c r="C5527" t="inlineStr">
        <is>
          <t>2018-03</t>
        </is>
      </c>
      <c r="D5527" t="inlineStr">
        <is>
          <t>b76ef37428e6799c421989521c0e5077</t>
        </is>
      </c>
      <c r="E5527" t="inlineStr">
        <is>
          <t>unknown</t>
        </is>
      </c>
      <c r="F5527">
        <f>IFERROR(MATCH(A5527,Deals!$A$2:$A$843,0),"")</f>
        <v/>
      </c>
      <c r="G5527">
        <f>IF(F5527="",0,1)</f>
        <v/>
      </c>
      <c r="H5527" s="29">
        <f>IF(F5527="","",INDEX(Deals!$E$2:$E$843,F5527))</f>
        <v/>
      </c>
      <c r="I5527">
        <f>IF(F5527="","",INDEX(Deals!$D$2:$D$843,F5527))</f>
        <v/>
      </c>
      <c r="J5527">
        <f>IF(F5527="","",INT(H5527)-B5527)</f>
        <v/>
      </c>
      <c r="K5527">
        <f>IF(B5527&gt;=Settings!$C$5,1,0)</f>
        <v/>
      </c>
    </row>
    <row r="5528">
      <c r="A5528" t="inlineStr">
        <is>
          <t>24fe7c0ccc301185c71eae88b71d6b65</t>
        </is>
      </c>
      <c r="B5528" s="29" t="n">
        <v>43163</v>
      </c>
      <c r="C5528" t="inlineStr">
        <is>
          <t>2018-03</t>
        </is>
      </c>
      <c r="D5528" t="inlineStr">
        <is>
          <t>241f79c7a8fe0270f4fb79fcbbcd17ad</t>
        </is>
      </c>
      <c r="E5528" t="inlineStr">
        <is>
          <t>paid_search</t>
        </is>
      </c>
      <c r="F5528">
        <f>IFERROR(MATCH(A5528,Deals!$A$2:$A$843,0),"")</f>
        <v/>
      </c>
      <c r="G5528">
        <f>IF(F5528="",0,1)</f>
        <v/>
      </c>
      <c r="H5528" s="29">
        <f>IF(F5528="","",INDEX(Deals!$E$2:$E$843,F5528))</f>
        <v/>
      </c>
      <c r="I5528">
        <f>IF(F5528="","",INDEX(Deals!$D$2:$D$843,F5528))</f>
        <v/>
      </c>
      <c r="J5528">
        <f>IF(F5528="","",INT(H5528)-B5528)</f>
        <v/>
      </c>
      <c r="K5528">
        <f>IF(B5528&gt;=Settings!$C$5,1,0)</f>
        <v/>
      </c>
    </row>
    <row r="5529">
      <c r="A5529" t="inlineStr">
        <is>
          <t>499a3f88156bb6321e00d0ff0ab55041</t>
        </is>
      </c>
      <c r="B5529" s="29" t="n">
        <v>43108</v>
      </c>
      <c r="C5529" t="inlineStr">
        <is>
          <t>2018-01</t>
        </is>
      </c>
      <c r="D5529" t="inlineStr">
        <is>
          <t>f017be4dbf86243af5c1ebed0cff36a2</t>
        </is>
      </c>
      <c r="E5529" t="inlineStr">
        <is>
          <t>direct_traffic</t>
        </is>
      </c>
      <c r="F5529">
        <f>IFERROR(MATCH(A5529,Deals!$A$2:$A$843,0),"")</f>
        <v/>
      </c>
      <c r="G5529">
        <f>IF(F5529="",0,1)</f>
        <v/>
      </c>
      <c r="H5529" s="29">
        <f>IF(F5529="","",INDEX(Deals!$E$2:$E$843,F5529))</f>
        <v/>
      </c>
      <c r="I5529">
        <f>IF(F5529="","",INDEX(Deals!$D$2:$D$843,F5529))</f>
        <v/>
      </c>
      <c r="J5529">
        <f>IF(F5529="","",INT(H5529)-B5529)</f>
        <v/>
      </c>
      <c r="K5529">
        <f>IF(B5529&gt;=Settings!$C$5,1,0)</f>
        <v/>
      </c>
    </row>
    <row r="5530">
      <c r="A5530" t="inlineStr">
        <is>
          <t>887c4f3187f222a7bddb999313f70fb1</t>
        </is>
      </c>
      <c r="B5530" s="29" t="n">
        <v>43172</v>
      </c>
      <c r="C5530" t="inlineStr">
        <is>
          <t>2018-03</t>
        </is>
      </c>
      <c r="D5530" t="inlineStr">
        <is>
          <t>daa9619c6f8ed06d059265dca0f9257f</t>
        </is>
      </c>
      <c r="E5530" t="inlineStr">
        <is>
          <t>email</t>
        </is>
      </c>
      <c r="F5530">
        <f>IFERROR(MATCH(A5530,Deals!$A$2:$A$843,0),"")</f>
        <v/>
      </c>
      <c r="G5530">
        <f>IF(F5530="",0,1)</f>
        <v/>
      </c>
      <c r="H5530" s="29">
        <f>IF(F5530="","",INDEX(Deals!$E$2:$E$843,F5530))</f>
        <v/>
      </c>
      <c r="I5530">
        <f>IF(F5530="","",INDEX(Deals!$D$2:$D$843,F5530))</f>
        <v/>
      </c>
      <c r="J5530">
        <f>IF(F5530="","",INT(H5530)-B5530)</f>
        <v/>
      </c>
      <c r="K5530">
        <f>IF(B5530&gt;=Settings!$C$5,1,0)</f>
        <v/>
      </c>
    </row>
    <row r="5531">
      <c r="A5531" t="inlineStr">
        <is>
          <t>62a081b993506561f522af260073cb18</t>
        </is>
      </c>
      <c r="B5531" s="29" t="n">
        <v>43161</v>
      </c>
      <c r="C5531" t="inlineStr">
        <is>
          <t>2018-03</t>
        </is>
      </c>
      <c r="D5531" t="inlineStr">
        <is>
          <t>4e24f6443807ad2eba56754b0dc91140</t>
        </is>
      </c>
      <c r="E5531" t="inlineStr">
        <is>
          <t>direct_traffic</t>
        </is>
      </c>
      <c r="F5531">
        <f>IFERROR(MATCH(A5531,Deals!$A$2:$A$843,0),"")</f>
        <v/>
      </c>
      <c r="G5531">
        <f>IF(F5531="",0,1)</f>
        <v/>
      </c>
      <c r="H5531" s="29">
        <f>IF(F5531="","",INDEX(Deals!$E$2:$E$843,F5531))</f>
        <v/>
      </c>
      <c r="I5531">
        <f>IF(F5531="","",INDEX(Deals!$D$2:$D$843,F5531))</f>
        <v/>
      </c>
      <c r="J5531">
        <f>IF(F5531="","",INT(H5531)-B5531)</f>
        <v/>
      </c>
      <c r="K5531">
        <f>IF(B5531&gt;=Settings!$C$5,1,0)</f>
        <v/>
      </c>
    </row>
    <row r="5532">
      <c r="A5532" t="inlineStr">
        <is>
          <t>97b9c4da938b99eb6bd4b7663661faf7</t>
        </is>
      </c>
      <c r="B5532" s="29" t="n">
        <v>43095</v>
      </c>
      <c r="C5532" t="inlineStr">
        <is>
          <t>2017-12</t>
        </is>
      </c>
      <c r="D5532" t="inlineStr">
        <is>
          <t>6fe30070097d07349fb571579ce6c14e</t>
        </is>
      </c>
      <c r="E5532" t="inlineStr">
        <is>
          <t>email</t>
        </is>
      </c>
      <c r="F5532">
        <f>IFERROR(MATCH(A5532,Deals!$A$2:$A$843,0),"")</f>
        <v/>
      </c>
      <c r="G5532">
        <f>IF(F5532="",0,1)</f>
        <v/>
      </c>
      <c r="H5532" s="29">
        <f>IF(F5532="","",INDEX(Deals!$E$2:$E$843,F5532))</f>
        <v/>
      </c>
      <c r="I5532">
        <f>IF(F5532="","",INDEX(Deals!$D$2:$D$843,F5532))</f>
        <v/>
      </c>
      <c r="J5532">
        <f>IF(F5532="","",INT(H5532)-B5532)</f>
        <v/>
      </c>
      <c r="K5532">
        <f>IF(B5532&gt;=Settings!$C$5,1,0)</f>
        <v/>
      </c>
    </row>
    <row r="5533">
      <c r="A5533" t="inlineStr">
        <is>
          <t>2b49fbedae1b24d9a8953ab9263fb782</t>
        </is>
      </c>
      <c r="B5533" s="29" t="n">
        <v>43145</v>
      </c>
      <c r="C5533" t="inlineStr">
        <is>
          <t>2018-02</t>
        </is>
      </c>
      <c r="D5533" t="inlineStr">
        <is>
          <t>30077c17f2ec5010a82e37ad8925b95f</t>
        </is>
      </c>
      <c r="E5533" t="inlineStr">
        <is>
          <t>organic_search</t>
        </is>
      </c>
      <c r="F5533">
        <f>IFERROR(MATCH(A5533,Deals!$A$2:$A$843,0),"")</f>
        <v/>
      </c>
      <c r="G5533">
        <f>IF(F5533="",0,1)</f>
        <v/>
      </c>
      <c r="H5533" s="29">
        <f>IF(F5533="","",INDEX(Deals!$E$2:$E$843,F5533))</f>
        <v/>
      </c>
      <c r="I5533">
        <f>IF(F5533="","",INDEX(Deals!$D$2:$D$843,F5533))</f>
        <v/>
      </c>
      <c r="J5533">
        <f>IF(F5533="","",INT(H5533)-B5533)</f>
        <v/>
      </c>
      <c r="K5533">
        <f>IF(B5533&gt;=Settings!$C$5,1,0)</f>
        <v/>
      </c>
    </row>
    <row r="5534">
      <c r="A5534" t="inlineStr">
        <is>
          <t>c8651789d418118b810c58696ae5ac18</t>
        </is>
      </c>
      <c r="B5534" s="29" t="n">
        <v>43063</v>
      </c>
      <c r="C5534" t="inlineStr">
        <is>
          <t>2017-11</t>
        </is>
      </c>
      <c r="D5534" t="inlineStr">
        <is>
          <t>ce1a65abd0973638f1c887a6efcfa82d</t>
        </is>
      </c>
      <c r="E5534" t="inlineStr">
        <is>
          <t>organic_search</t>
        </is>
      </c>
      <c r="F5534">
        <f>IFERROR(MATCH(A5534,Deals!$A$2:$A$843,0),"")</f>
        <v/>
      </c>
      <c r="G5534">
        <f>IF(F5534="",0,1)</f>
        <v/>
      </c>
      <c r="H5534" s="29">
        <f>IF(F5534="","",INDEX(Deals!$E$2:$E$843,F5534))</f>
        <v/>
      </c>
      <c r="I5534">
        <f>IF(F5534="","",INDEX(Deals!$D$2:$D$843,F5534))</f>
        <v/>
      </c>
      <c r="J5534">
        <f>IF(F5534="","",INT(H5534)-B5534)</f>
        <v/>
      </c>
      <c r="K5534">
        <f>IF(B5534&gt;=Settings!$C$5,1,0)</f>
        <v/>
      </c>
    </row>
    <row r="5535">
      <c r="A5535" t="inlineStr">
        <is>
          <t>6d35d6ac358e104936a500559001531f</t>
        </is>
      </c>
      <c r="B5535" s="29" t="n">
        <v>43224</v>
      </c>
      <c r="C5535" t="inlineStr">
        <is>
          <t>2018-05</t>
        </is>
      </c>
      <c r="D5535" t="inlineStr">
        <is>
          <t>ce1a65abd0973638f1c887a6efcfa82d</t>
        </is>
      </c>
      <c r="E5535" t="inlineStr">
        <is>
          <t>organic_search</t>
        </is>
      </c>
      <c r="F5535">
        <f>IFERROR(MATCH(A5535,Deals!$A$2:$A$843,0),"")</f>
        <v/>
      </c>
      <c r="G5535">
        <f>IF(F5535="",0,1)</f>
        <v/>
      </c>
      <c r="H5535" s="29">
        <f>IF(F5535="","",INDEX(Deals!$E$2:$E$843,F5535))</f>
        <v/>
      </c>
      <c r="I5535">
        <f>IF(F5535="","",INDEX(Deals!$D$2:$D$843,F5535))</f>
        <v/>
      </c>
      <c r="J5535">
        <f>IF(F5535="","",INT(H5535)-B5535)</f>
        <v/>
      </c>
      <c r="K5535">
        <f>IF(B5535&gt;=Settings!$C$5,1,0)</f>
        <v/>
      </c>
    </row>
    <row r="5536">
      <c r="A5536" t="inlineStr">
        <is>
          <t>df2782c019d0d66a88af774011e8ab29</t>
        </is>
      </c>
      <c r="B5536" s="29" t="n">
        <v>42989</v>
      </c>
      <c r="C5536" t="inlineStr">
        <is>
          <t>2017-09</t>
        </is>
      </c>
      <c r="D5536" t="inlineStr">
        <is>
          <t>22c29808c4f815213303f8933030604c</t>
        </is>
      </c>
      <c r="E5536" t="inlineStr">
        <is>
          <t>organic_search</t>
        </is>
      </c>
      <c r="F5536">
        <f>IFERROR(MATCH(A5536,Deals!$A$2:$A$843,0),"")</f>
        <v/>
      </c>
      <c r="G5536">
        <f>IF(F5536="",0,1)</f>
        <v/>
      </c>
      <c r="H5536" s="29">
        <f>IF(F5536="","",INDEX(Deals!$E$2:$E$843,F5536))</f>
        <v/>
      </c>
      <c r="I5536">
        <f>IF(F5536="","",INDEX(Deals!$D$2:$D$843,F5536))</f>
        <v/>
      </c>
      <c r="J5536">
        <f>IF(F5536="","",INT(H5536)-B5536)</f>
        <v/>
      </c>
      <c r="K5536">
        <f>IF(B5536&gt;=Settings!$C$5,1,0)</f>
        <v/>
      </c>
    </row>
    <row r="5537">
      <c r="A5537" t="inlineStr">
        <is>
          <t>bc419ad99b06b6b3e155039d714e2061</t>
        </is>
      </c>
      <c r="B5537" s="29" t="n">
        <v>43088</v>
      </c>
      <c r="C5537" t="inlineStr">
        <is>
          <t>2017-12</t>
        </is>
      </c>
      <c r="D5537" t="inlineStr">
        <is>
          <t>f55ba1da3448d20e213b0a10385eac07</t>
        </is>
      </c>
      <c r="E5537" t="inlineStr">
        <is>
          <t>unknown</t>
        </is>
      </c>
      <c r="F5537">
        <f>IFERROR(MATCH(A5537,Deals!$A$2:$A$843,0),"")</f>
        <v/>
      </c>
      <c r="G5537">
        <f>IF(F5537="",0,1)</f>
        <v/>
      </c>
      <c r="H5537" s="29">
        <f>IF(F5537="","",INDEX(Deals!$E$2:$E$843,F5537))</f>
        <v/>
      </c>
      <c r="I5537">
        <f>IF(F5537="","",INDEX(Deals!$D$2:$D$843,F5537))</f>
        <v/>
      </c>
      <c r="J5537">
        <f>IF(F5537="","",INT(H5537)-B5537)</f>
        <v/>
      </c>
      <c r="K5537">
        <f>IF(B5537&gt;=Settings!$C$5,1,0)</f>
        <v/>
      </c>
    </row>
    <row r="5538">
      <c r="A5538" t="inlineStr">
        <is>
          <t>92ad56ab29e347d1779a07879d38c67a</t>
        </is>
      </c>
      <c r="B5538" s="29" t="n">
        <v>43200</v>
      </c>
      <c r="C5538" t="inlineStr">
        <is>
          <t>2018-04</t>
        </is>
      </c>
      <c r="D5538" t="inlineStr">
        <is>
          <t>22c29808c4f815213303f8933030604c</t>
        </is>
      </c>
      <c r="E5538" t="inlineStr">
        <is>
          <t>direct_traffic</t>
        </is>
      </c>
      <c r="F5538">
        <f>IFERROR(MATCH(A5538,Deals!$A$2:$A$843,0),"")</f>
        <v/>
      </c>
      <c r="G5538">
        <f>IF(F5538="",0,1)</f>
        <v/>
      </c>
      <c r="H5538" s="29">
        <f>IF(F5538="","",INDEX(Deals!$E$2:$E$843,F5538))</f>
        <v/>
      </c>
      <c r="I5538">
        <f>IF(F5538="","",INDEX(Deals!$D$2:$D$843,F5538))</f>
        <v/>
      </c>
      <c r="J5538">
        <f>IF(F5538="","",INT(H5538)-B5538)</f>
        <v/>
      </c>
      <c r="K5538">
        <f>IF(B5538&gt;=Settings!$C$5,1,0)</f>
        <v/>
      </c>
    </row>
    <row r="5539">
      <c r="A5539" t="inlineStr">
        <is>
          <t>823fa46f140ff437178f56fa656d35d1</t>
        </is>
      </c>
      <c r="B5539" s="29" t="n">
        <v>43158</v>
      </c>
      <c r="C5539" t="inlineStr">
        <is>
          <t>2018-02</t>
        </is>
      </c>
      <c r="D5539" t="inlineStr">
        <is>
          <t>d83b0d0e48c8447d1d5507a44027a955</t>
        </is>
      </c>
      <c r="E5539" t="inlineStr">
        <is>
          <t>direct_traffic</t>
        </is>
      </c>
      <c r="F5539">
        <f>IFERROR(MATCH(A5539,Deals!$A$2:$A$843,0),"")</f>
        <v/>
      </c>
      <c r="G5539">
        <f>IF(F5539="",0,1)</f>
        <v/>
      </c>
      <c r="H5539" s="29">
        <f>IF(F5539="","",INDEX(Deals!$E$2:$E$843,F5539))</f>
        <v/>
      </c>
      <c r="I5539">
        <f>IF(F5539="","",INDEX(Deals!$D$2:$D$843,F5539))</f>
        <v/>
      </c>
      <c r="J5539">
        <f>IF(F5539="","",INT(H5539)-B5539)</f>
        <v/>
      </c>
      <c r="K5539">
        <f>IF(B5539&gt;=Settings!$C$5,1,0)</f>
        <v/>
      </c>
    </row>
    <row r="5540">
      <c r="A5540" t="inlineStr">
        <is>
          <t>dc82539834bb195ca000837a42afe79c</t>
        </is>
      </c>
      <c r="B5540" s="29" t="n">
        <v>43018</v>
      </c>
      <c r="C5540" t="inlineStr">
        <is>
          <t>2017-10</t>
        </is>
      </c>
      <c r="D5540" t="inlineStr">
        <is>
          <t>f98c2bd96ac4a5d9476734e790c91384</t>
        </is>
      </c>
      <c r="E5540" t="inlineStr">
        <is>
          <t>paid_search</t>
        </is>
      </c>
      <c r="F5540">
        <f>IFERROR(MATCH(A5540,Deals!$A$2:$A$843,0),"")</f>
        <v/>
      </c>
      <c r="G5540">
        <f>IF(F5540="",0,1)</f>
        <v/>
      </c>
      <c r="H5540" s="29">
        <f>IF(F5540="","",INDEX(Deals!$E$2:$E$843,F5540))</f>
        <v/>
      </c>
      <c r="I5540">
        <f>IF(F5540="","",INDEX(Deals!$D$2:$D$843,F5540))</f>
        <v/>
      </c>
      <c r="J5540">
        <f>IF(F5540="","",INT(H5540)-B5540)</f>
        <v/>
      </c>
      <c r="K5540">
        <f>IF(B5540&gt;=Settings!$C$5,1,0)</f>
        <v/>
      </c>
    </row>
    <row r="5541">
      <c r="A5541" t="inlineStr">
        <is>
          <t>c92c413cead7d8b67a89850ba352e1d1</t>
        </is>
      </c>
      <c r="B5541" s="29" t="n">
        <v>43185</v>
      </c>
      <c r="C5541" t="inlineStr">
        <is>
          <t>2018-03</t>
        </is>
      </c>
      <c r="D5541" t="inlineStr">
        <is>
          <t>22c29808c4f815213303f8933030604c</t>
        </is>
      </c>
      <c r="E5541" t="inlineStr">
        <is>
          <t>display</t>
        </is>
      </c>
      <c r="F5541">
        <f>IFERROR(MATCH(A5541,Deals!$A$2:$A$843,0),"")</f>
        <v/>
      </c>
      <c r="G5541">
        <f>IF(F5541="",0,1)</f>
        <v/>
      </c>
      <c r="H5541" s="29">
        <f>IF(F5541="","",INDEX(Deals!$E$2:$E$843,F5541))</f>
        <v/>
      </c>
      <c r="I5541">
        <f>IF(F5541="","",INDEX(Deals!$D$2:$D$843,F5541))</f>
        <v/>
      </c>
      <c r="J5541">
        <f>IF(F5541="","",INT(H5541)-B5541)</f>
        <v/>
      </c>
      <c r="K5541">
        <f>IF(B5541&gt;=Settings!$C$5,1,0)</f>
        <v/>
      </c>
    </row>
    <row r="5542">
      <c r="A5542" t="inlineStr">
        <is>
          <t>b36a8b7fdf47ca209ce8a08ecd8b2ff0</t>
        </is>
      </c>
      <c r="B5542" s="29" t="n">
        <v>42921</v>
      </c>
      <c r="C5542" t="inlineStr">
        <is>
          <t>2017-07</t>
        </is>
      </c>
      <c r="D5542" t="inlineStr">
        <is>
          <t>fe82aeadeaea2186478fe6353d6d5301</t>
        </is>
      </c>
      <c r="E5542" t="inlineStr">
        <is>
          <t>paid_search</t>
        </is>
      </c>
      <c r="F5542">
        <f>IFERROR(MATCH(A5542,Deals!$A$2:$A$843,0),"")</f>
        <v/>
      </c>
      <c r="G5542">
        <f>IF(F5542="",0,1)</f>
        <v/>
      </c>
      <c r="H5542" s="29">
        <f>IF(F5542="","",INDEX(Deals!$E$2:$E$843,F5542))</f>
        <v/>
      </c>
      <c r="I5542">
        <f>IF(F5542="","",INDEX(Deals!$D$2:$D$843,F5542))</f>
        <v/>
      </c>
      <c r="J5542">
        <f>IF(F5542="","",INT(H5542)-B5542)</f>
        <v/>
      </c>
      <c r="K5542">
        <f>IF(B5542&gt;=Settings!$C$5,1,0)</f>
        <v/>
      </c>
    </row>
    <row r="5543">
      <c r="A5543" t="inlineStr">
        <is>
          <t>581a4c33889fc7aeca599e03628e37d3</t>
        </is>
      </c>
      <c r="B5543" s="29" t="n">
        <v>43206</v>
      </c>
      <c r="C5543" t="inlineStr">
        <is>
          <t>2018-04</t>
        </is>
      </c>
      <c r="D5543" t="inlineStr">
        <is>
          <t>36120633c8737035fbabf079082f4ec1</t>
        </is>
      </c>
      <c r="E5543" t="inlineStr">
        <is>
          <t>referral</t>
        </is>
      </c>
      <c r="F5543">
        <f>IFERROR(MATCH(A5543,Deals!$A$2:$A$843,0),"")</f>
        <v/>
      </c>
      <c r="G5543">
        <f>IF(F5543="",0,1)</f>
        <v/>
      </c>
      <c r="H5543" s="29">
        <f>IF(F5543="","",INDEX(Deals!$E$2:$E$843,F5543))</f>
        <v/>
      </c>
      <c r="I5543">
        <f>IF(F5543="","",INDEX(Deals!$D$2:$D$843,F5543))</f>
        <v/>
      </c>
      <c r="J5543">
        <f>IF(F5543="","",INT(H5543)-B5543)</f>
        <v/>
      </c>
      <c r="K5543">
        <f>IF(B5543&gt;=Settings!$C$5,1,0)</f>
        <v/>
      </c>
    </row>
    <row r="5544">
      <c r="A5544" t="inlineStr">
        <is>
          <t>fef11c41a13f34afa7cbb2ad840d7f51</t>
        </is>
      </c>
      <c r="B5544" s="29" t="n">
        <v>43179</v>
      </c>
      <c r="C5544" t="inlineStr">
        <is>
          <t>2018-03</t>
        </is>
      </c>
      <c r="D5544" t="inlineStr">
        <is>
          <t>65d9f9d71e562365e8b44037c2888d98</t>
        </is>
      </c>
      <c r="E5544" t="inlineStr">
        <is>
          <t>paid_search</t>
        </is>
      </c>
      <c r="F5544">
        <f>IFERROR(MATCH(A5544,Deals!$A$2:$A$843,0),"")</f>
        <v/>
      </c>
      <c r="G5544">
        <f>IF(F5544="",0,1)</f>
        <v/>
      </c>
      <c r="H5544" s="29">
        <f>IF(F5544="","",INDEX(Deals!$E$2:$E$843,F5544))</f>
        <v/>
      </c>
      <c r="I5544">
        <f>IF(F5544="","",INDEX(Deals!$D$2:$D$843,F5544))</f>
        <v/>
      </c>
      <c r="J5544">
        <f>IF(F5544="","",INT(H5544)-B5544)</f>
        <v/>
      </c>
      <c r="K5544">
        <f>IF(B5544&gt;=Settings!$C$5,1,0)</f>
        <v/>
      </c>
    </row>
    <row r="5545">
      <c r="A5545" t="inlineStr">
        <is>
          <t>941d7fab55bc07a093333ca66b3de0a6</t>
        </is>
      </c>
      <c r="B5545" s="29" t="n">
        <v>43220</v>
      </c>
      <c r="C5545" t="inlineStr">
        <is>
          <t>2018-04</t>
        </is>
      </c>
      <c r="D5545" t="inlineStr">
        <is>
          <t>603522877eb261ca56f4222c9a6f1db3</t>
        </is>
      </c>
      <c r="E5545" t="inlineStr">
        <is>
          <t>direct_traffic</t>
        </is>
      </c>
      <c r="F5545">
        <f>IFERROR(MATCH(A5545,Deals!$A$2:$A$843,0),"")</f>
        <v/>
      </c>
      <c r="G5545">
        <f>IF(F5545="",0,1)</f>
        <v/>
      </c>
      <c r="H5545" s="29">
        <f>IF(F5545="","",INDEX(Deals!$E$2:$E$843,F5545))</f>
        <v/>
      </c>
      <c r="I5545">
        <f>IF(F5545="","",INDEX(Deals!$D$2:$D$843,F5545))</f>
        <v/>
      </c>
      <c r="J5545">
        <f>IF(F5545="","",INT(H5545)-B5545)</f>
        <v/>
      </c>
      <c r="K5545">
        <f>IF(B5545&gt;=Settings!$C$5,1,0)</f>
        <v/>
      </c>
    </row>
    <row r="5546">
      <c r="A5546" t="inlineStr">
        <is>
          <t>6540f6ffc2838caab9e0eba4c30ad7d8</t>
        </is>
      </c>
      <c r="B5546" s="29" t="n">
        <v>42968</v>
      </c>
      <c r="C5546" t="inlineStr">
        <is>
          <t>2017-08</t>
        </is>
      </c>
      <c r="D5546" t="inlineStr">
        <is>
          <t>ef0b482996664cc1107b9051efd3ca84</t>
        </is>
      </c>
      <c r="E5546" t="inlineStr">
        <is>
          <t>direct_traffic</t>
        </is>
      </c>
      <c r="F5546">
        <f>IFERROR(MATCH(A5546,Deals!$A$2:$A$843,0),"")</f>
        <v/>
      </c>
      <c r="G5546">
        <f>IF(F5546="",0,1)</f>
        <v/>
      </c>
      <c r="H5546" s="29">
        <f>IF(F5546="","",INDEX(Deals!$E$2:$E$843,F5546))</f>
        <v/>
      </c>
      <c r="I5546">
        <f>IF(F5546="","",INDEX(Deals!$D$2:$D$843,F5546))</f>
        <v/>
      </c>
      <c r="J5546">
        <f>IF(F5546="","",INT(H5546)-B5546)</f>
        <v/>
      </c>
      <c r="K5546">
        <f>IF(B5546&gt;=Settings!$C$5,1,0)</f>
        <v/>
      </c>
    </row>
    <row r="5547">
      <c r="A5547" t="inlineStr">
        <is>
          <t>f9018bbd4704cc171da8b3c8c7d65e00</t>
        </is>
      </c>
      <c r="B5547" s="29" t="n">
        <v>43193</v>
      </c>
      <c r="C5547" t="inlineStr">
        <is>
          <t>2018-04</t>
        </is>
      </c>
      <c r="D5547" t="inlineStr">
        <is>
          <t>1ceb590cd1e00c7ee95220971f82693d</t>
        </is>
      </c>
      <c r="E5547" t="inlineStr">
        <is>
          <t>unknown</t>
        </is>
      </c>
      <c r="F5547">
        <f>IFERROR(MATCH(A5547,Deals!$A$2:$A$843,0),"")</f>
        <v/>
      </c>
      <c r="G5547">
        <f>IF(F5547="",0,1)</f>
        <v/>
      </c>
      <c r="H5547" s="29">
        <f>IF(F5547="","",INDEX(Deals!$E$2:$E$843,F5547))</f>
        <v/>
      </c>
      <c r="I5547">
        <f>IF(F5547="","",INDEX(Deals!$D$2:$D$843,F5547))</f>
        <v/>
      </c>
      <c r="J5547">
        <f>IF(F5547="","",INT(H5547)-B5547)</f>
        <v/>
      </c>
      <c r="K5547">
        <f>IF(B5547&gt;=Settings!$C$5,1,0)</f>
        <v/>
      </c>
    </row>
    <row r="5548">
      <c r="A5548" t="inlineStr">
        <is>
          <t>67d9827f9c944051d5bf2823c94179fe</t>
        </is>
      </c>
      <c r="B5548" s="29" t="n">
        <v>43185</v>
      </c>
      <c r="C5548" t="inlineStr">
        <is>
          <t>2018-03</t>
        </is>
      </c>
      <c r="D5548" t="inlineStr">
        <is>
          <t>ce1a65abd0973638f1c887a6efcfa82d</t>
        </is>
      </c>
      <c r="E5548" t="inlineStr">
        <is>
          <t>direct_traffic</t>
        </is>
      </c>
      <c r="F5548">
        <f>IFERROR(MATCH(A5548,Deals!$A$2:$A$843,0),"")</f>
        <v/>
      </c>
      <c r="G5548">
        <f>IF(F5548="",0,1)</f>
        <v/>
      </c>
      <c r="H5548" s="29">
        <f>IF(F5548="","",INDEX(Deals!$E$2:$E$843,F5548))</f>
        <v/>
      </c>
      <c r="I5548">
        <f>IF(F5548="","",INDEX(Deals!$D$2:$D$843,F5548))</f>
        <v/>
      </c>
      <c r="J5548">
        <f>IF(F5548="","",INT(H5548)-B5548)</f>
        <v/>
      </c>
      <c r="K5548">
        <f>IF(B5548&gt;=Settings!$C$5,1,0)</f>
        <v/>
      </c>
    </row>
    <row r="5549">
      <c r="A5549" t="inlineStr">
        <is>
          <t>a8225fc412044a06c16cf142c105e33d</t>
        </is>
      </c>
      <c r="B5549" s="29" t="n">
        <v>43117</v>
      </c>
      <c r="C5549" t="inlineStr">
        <is>
          <t>2018-01</t>
        </is>
      </c>
      <c r="D5549" t="inlineStr">
        <is>
          <t>22c29808c4f815213303f8933030604c</t>
        </is>
      </c>
      <c r="E5549" t="inlineStr">
        <is>
          <t>direct_traffic</t>
        </is>
      </c>
      <c r="F5549">
        <f>IFERROR(MATCH(A5549,Deals!$A$2:$A$843,0),"")</f>
        <v/>
      </c>
      <c r="G5549">
        <f>IF(F5549="",0,1)</f>
        <v/>
      </c>
      <c r="H5549" s="29">
        <f>IF(F5549="","",INDEX(Deals!$E$2:$E$843,F5549))</f>
        <v/>
      </c>
      <c r="I5549">
        <f>IF(F5549="","",INDEX(Deals!$D$2:$D$843,F5549))</f>
        <v/>
      </c>
      <c r="J5549">
        <f>IF(F5549="","",INT(H5549)-B5549)</f>
        <v/>
      </c>
      <c r="K5549">
        <f>IF(B5549&gt;=Settings!$C$5,1,0)</f>
        <v/>
      </c>
    </row>
    <row r="5550">
      <c r="A5550" t="inlineStr">
        <is>
          <t>00dc5000951c268cc8655294daf67b1b</t>
        </is>
      </c>
      <c r="B5550" s="29" t="n">
        <v>43185</v>
      </c>
      <c r="C5550" t="inlineStr">
        <is>
          <t>2018-03</t>
        </is>
      </c>
      <c r="D5550" t="inlineStr">
        <is>
          <t>282cb66cf00adbf96a4486eb4cb2431c</t>
        </is>
      </c>
      <c r="E5550" t="inlineStr">
        <is>
          <t>paid_search</t>
        </is>
      </c>
      <c r="F5550">
        <f>IFERROR(MATCH(A5550,Deals!$A$2:$A$843,0),"")</f>
        <v/>
      </c>
      <c r="G5550">
        <f>IF(F5550="",0,1)</f>
        <v/>
      </c>
      <c r="H5550" s="29">
        <f>IF(F5550="","",INDEX(Deals!$E$2:$E$843,F5550))</f>
        <v/>
      </c>
      <c r="I5550">
        <f>IF(F5550="","",INDEX(Deals!$D$2:$D$843,F5550))</f>
        <v/>
      </c>
      <c r="J5550">
        <f>IF(F5550="","",INT(H5550)-B5550)</f>
        <v/>
      </c>
      <c r="K5550">
        <f>IF(B5550&gt;=Settings!$C$5,1,0)</f>
        <v/>
      </c>
    </row>
    <row r="5551">
      <c r="A5551" t="inlineStr">
        <is>
          <t>971b4cd5b83adf79dd26d9d518a67005</t>
        </is>
      </c>
      <c r="B5551" s="29" t="n">
        <v>43238</v>
      </c>
      <c r="C5551" t="inlineStr">
        <is>
          <t>2018-05</t>
        </is>
      </c>
      <c r="D5551" t="inlineStr">
        <is>
          <t>1ceb590cd1e00c7ee95220971f82693d</t>
        </is>
      </c>
      <c r="E5551" t="inlineStr">
        <is>
          <t>paid_search</t>
        </is>
      </c>
      <c r="F5551">
        <f>IFERROR(MATCH(A5551,Deals!$A$2:$A$843,0),"")</f>
        <v/>
      </c>
      <c r="G5551">
        <f>IF(F5551="",0,1)</f>
        <v/>
      </c>
      <c r="H5551" s="29">
        <f>IF(F5551="","",INDEX(Deals!$E$2:$E$843,F5551))</f>
        <v/>
      </c>
      <c r="I5551">
        <f>IF(F5551="","",INDEX(Deals!$D$2:$D$843,F5551))</f>
        <v/>
      </c>
      <c r="J5551">
        <f>IF(F5551="","",INT(H5551)-B5551)</f>
        <v/>
      </c>
      <c r="K5551">
        <f>IF(B5551&gt;=Settings!$C$5,1,0)</f>
        <v/>
      </c>
    </row>
    <row r="5552">
      <c r="A5552" t="inlineStr">
        <is>
          <t>44cdea3ba11527b847ff44a286958d17</t>
        </is>
      </c>
      <c r="B5552" s="29" t="n">
        <v>43105</v>
      </c>
      <c r="C5552" t="inlineStr">
        <is>
          <t>2018-01</t>
        </is>
      </c>
      <c r="D5552" t="inlineStr">
        <is>
          <t>b76ef37428e6799c421989521c0e5077</t>
        </is>
      </c>
      <c r="E5552" t="inlineStr">
        <is>
          <t>unknown</t>
        </is>
      </c>
      <c r="F5552">
        <f>IFERROR(MATCH(A5552,Deals!$A$2:$A$843,0),"")</f>
        <v/>
      </c>
      <c r="G5552">
        <f>IF(F5552="",0,1)</f>
        <v/>
      </c>
      <c r="H5552" s="29">
        <f>IF(F5552="","",INDEX(Deals!$E$2:$E$843,F5552))</f>
        <v/>
      </c>
      <c r="I5552">
        <f>IF(F5552="","",INDEX(Deals!$D$2:$D$843,F5552))</f>
        <v/>
      </c>
      <c r="J5552">
        <f>IF(F5552="","",INT(H5552)-B5552)</f>
        <v/>
      </c>
      <c r="K5552">
        <f>IF(B5552&gt;=Settings!$C$5,1,0)</f>
        <v/>
      </c>
    </row>
    <row r="5553">
      <c r="A5553" t="inlineStr">
        <is>
          <t>7b6ad2297d3beb569ddf3ee1ce22ffa8</t>
        </is>
      </c>
      <c r="B5553" s="29" t="n">
        <v>43172</v>
      </c>
      <c r="C5553" t="inlineStr">
        <is>
          <t>2018-03</t>
        </is>
      </c>
      <c r="D5553" t="inlineStr">
        <is>
          <t>22c29808c4f815213303f8933030604c</t>
        </is>
      </c>
      <c r="E5553" t="inlineStr">
        <is>
          <t>paid_search</t>
        </is>
      </c>
      <c r="F5553">
        <f>IFERROR(MATCH(A5553,Deals!$A$2:$A$843,0),"")</f>
        <v/>
      </c>
      <c r="G5553">
        <f>IF(F5553="",0,1)</f>
        <v/>
      </c>
      <c r="H5553" s="29">
        <f>IF(F5553="","",INDEX(Deals!$E$2:$E$843,F5553))</f>
        <v/>
      </c>
      <c r="I5553">
        <f>IF(F5553="","",INDEX(Deals!$D$2:$D$843,F5553))</f>
        <v/>
      </c>
      <c r="J5553">
        <f>IF(F5553="","",INT(H5553)-B5553)</f>
        <v/>
      </c>
      <c r="K5553">
        <f>IF(B5553&gt;=Settings!$C$5,1,0)</f>
        <v/>
      </c>
    </row>
    <row r="5554">
      <c r="A5554" t="inlineStr">
        <is>
          <t>8e4374a54f3a61fa403d8d70c99bca08</t>
        </is>
      </c>
      <c r="B5554" s="29" t="n">
        <v>43173</v>
      </c>
      <c r="C5554" t="inlineStr">
        <is>
          <t>2018-03</t>
        </is>
      </c>
      <c r="D5554" t="inlineStr">
        <is>
          <t>40dec9f3d5259a3d2dbcdab2114fae47</t>
        </is>
      </c>
      <c r="E5554" t="inlineStr">
        <is>
          <t>paid_search</t>
        </is>
      </c>
      <c r="F5554">
        <f>IFERROR(MATCH(A5554,Deals!$A$2:$A$843,0),"")</f>
        <v/>
      </c>
      <c r="G5554">
        <f>IF(F5554="",0,1)</f>
        <v/>
      </c>
      <c r="H5554" s="29">
        <f>IF(F5554="","",INDEX(Deals!$E$2:$E$843,F5554))</f>
        <v/>
      </c>
      <c r="I5554">
        <f>IF(F5554="","",INDEX(Deals!$D$2:$D$843,F5554))</f>
        <v/>
      </c>
      <c r="J5554">
        <f>IF(F5554="","",INT(H5554)-B5554)</f>
        <v/>
      </c>
      <c r="K5554">
        <f>IF(B5554&gt;=Settings!$C$5,1,0)</f>
        <v/>
      </c>
    </row>
    <row r="5555">
      <c r="A5555" t="inlineStr">
        <is>
          <t>1cc4307315de94f1f6652be3ae91dbe6</t>
        </is>
      </c>
      <c r="B5555" s="29" t="n">
        <v>43140</v>
      </c>
      <c r="C5555" t="inlineStr">
        <is>
          <t>2018-02</t>
        </is>
      </c>
      <c r="D5555" t="inlineStr">
        <is>
          <t>73f31a40697cc90a86c1273563ac230e</t>
        </is>
      </c>
      <c r="E5555" t="inlineStr">
        <is>
          <t>email</t>
        </is>
      </c>
      <c r="F5555">
        <f>IFERROR(MATCH(A5555,Deals!$A$2:$A$843,0),"")</f>
        <v/>
      </c>
      <c r="G5555">
        <f>IF(F5555="",0,1)</f>
        <v/>
      </c>
      <c r="H5555" s="29">
        <f>IF(F5555="","",INDEX(Deals!$E$2:$E$843,F5555))</f>
        <v/>
      </c>
      <c r="I5555">
        <f>IF(F5555="","",INDEX(Deals!$D$2:$D$843,F5555))</f>
        <v/>
      </c>
      <c r="J5555">
        <f>IF(F5555="","",INT(H5555)-B5555)</f>
        <v/>
      </c>
      <c r="K5555">
        <f>IF(B5555&gt;=Settings!$C$5,1,0)</f>
        <v/>
      </c>
    </row>
    <row r="5556">
      <c r="A5556" t="inlineStr">
        <is>
          <t>7c4049f0668f21344eb1c0de0b3bd6b0</t>
        </is>
      </c>
      <c r="B5556" s="29" t="n">
        <v>43173</v>
      </c>
      <c r="C5556" t="inlineStr">
        <is>
          <t>2018-03</t>
        </is>
      </c>
      <c r="D5556" t="inlineStr">
        <is>
          <t>83157507fbc1ecbd1a32bf69812e8a16</t>
        </is>
      </c>
      <c r="E5556" t="inlineStr">
        <is>
          <t>paid_search</t>
        </is>
      </c>
      <c r="F5556">
        <f>IFERROR(MATCH(A5556,Deals!$A$2:$A$843,0),"")</f>
        <v/>
      </c>
      <c r="G5556">
        <f>IF(F5556="",0,1)</f>
        <v/>
      </c>
      <c r="H5556" s="29">
        <f>IF(F5556="","",INDEX(Deals!$E$2:$E$843,F5556))</f>
        <v/>
      </c>
      <c r="I5556">
        <f>IF(F5556="","",INDEX(Deals!$D$2:$D$843,F5556))</f>
        <v/>
      </c>
      <c r="J5556">
        <f>IF(F5556="","",INT(H5556)-B5556)</f>
        <v/>
      </c>
      <c r="K5556">
        <f>IF(B5556&gt;=Settings!$C$5,1,0)</f>
        <v/>
      </c>
    </row>
    <row r="5557">
      <c r="A5557" t="inlineStr">
        <is>
          <t>07e3b175a6c00f310d4e7e4b17df1304</t>
        </is>
      </c>
      <c r="B5557" s="29" t="n">
        <v>43147</v>
      </c>
      <c r="C5557" t="inlineStr">
        <is>
          <t>2018-02</t>
        </is>
      </c>
      <c r="D5557" t="inlineStr">
        <is>
          <t>b48ec5f3b04e9068441002a19df93c6c</t>
        </is>
      </c>
      <c r="E5557" t="inlineStr">
        <is>
          <t>organic_search</t>
        </is>
      </c>
      <c r="F5557">
        <f>IFERROR(MATCH(A5557,Deals!$A$2:$A$843,0),"")</f>
        <v/>
      </c>
      <c r="G5557">
        <f>IF(F5557="",0,1)</f>
        <v/>
      </c>
      <c r="H5557" s="29">
        <f>IF(F5557="","",INDEX(Deals!$E$2:$E$843,F5557))</f>
        <v/>
      </c>
      <c r="I5557">
        <f>IF(F5557="","",INDEX(Deals!$D$2:$D$843,F5557))</f>
        <v/>
      </c>
      <c r="J5557">
        <f>IF(F5557="","",INT(H5557)-B5557)</f>
        <v/>
      </c>
      <c r="K5557">
        <f>IF(B5557&gt;=Settings!$C$5,1,0)</f>
        <v/>
      </c>
    </row>
    <row r="5558">
      <c r="A5558" t="inlineStr">
        <is>
          <t>58d005252cf5914e860b6dd3fe36bf48</t>
        </is>
      </c>
      <c r="B5558" s="29" t="n">
        <v>43147</v>
      </c>
      <c r="C5558" t="inlineStr">
        <is>
          <t>2018-02</t>
        </is>
      </c>
      <c r="D5558" t="inlineStr">
        <is>
          <t>a7982125ff7aa3b2054c6e44f9d28522</t>
        </is>
      </c>
      <c r="E5558" t="inlineStr">
        <is>
          <t>referral</t>
        </is>
      </c>
      <c r="F5558">
        <f>IFERROR(MATCH(A5558,Deals!$A$2:$A$843,0),"")</f>
        <v/>
      </c>
      <c r="G5558">
        <f>IF(F5558="",0,1)</f>
        <v/>
      </c>
      <c r="H5558" s="29">
        <f>IF(F5558="","",INDEX(Deals!$E$2:$E$843,F5558))</f>
        <v/>
      </c>
      <c r="I5558">
        <f>IF(F5558="","",INDEX(Deals!$D$2:$D$843,F5558))</f>
        <v/>
      </c>
      <c r="J5558">
        <f>IF(F5558="","",INT(H5558)-B5558)</f>
        <v/>
      </c>
      <c r="K5558">
        <f>IF(B5558&gt;=Settings!$C$5,1,0)</f>
        <v/>
      </c>
    </row>
    <row r="5559">
      <c r="A5559" t="inlineStr">
        <is>
          <t>358680ef4f169bc21f0eec123b85119d</t>
        </is>
      </c>
      <c r="B5559" s="29" t="n">
        <v>42989</v>
      </c>
      <c r="C5559" t="inlineStr">
        <is>
          <t>2017-09</t>
        </is>
      </c>
      <c r="D5559" t="inlineStr">
        <is>
          <t>c2f7f172d3275d27cba772ab70ac3052</t>
        </is>
      </c>
      <c r="E5559" t="inlineStr">
        <is>
          <t>social</t>
        </is>
      </c>
      <c r="F5559">
        <f>IFERROR(MATCH(A5559,Deals!$A$2:$A$843,0),"")</f>
        <v/>
      </c>
      <c r="G5559">
        <f>IF(F5559="",0,1)</f>
        <v/>
      </c>
      <c r="H5559" s="29">
        <f>IF(F5559="","",INDEX(Deals!$E$2:$E$843,F5559))</f>
        <v/>
      </c>
      <c r="I5559">
        <f>IF(F5559="","",INDEX(Deals!$D$2:$D$843,F5559))</f>
        <v/>
      </c>
      <c r="J5559">
        <f>IF(F5559="","",INT(H5559)-B5559)</f>
        <v/>
      </c>
      <c r="K5559">
        <f>IF(B5559&gt;=Settings!$C$5,1,0)</f>
        <v/>
      </c>
    </row>
    <row r="5560">
      <c r="A5560" t="inlineStr">
        <is>
          <t>64c6e872abc90f8a480908b92521e25a</t>
        </is>
      </c>
      <c r="B5560" s="29" t="n">
        <v>43187</v>
      </c>
      <c r="C5560" t="inlineStr">
        <is>
          <t>2018-03</t>
        </is>
      </c>
      <c r="D5560" t="inlineStr">
        <is>
          <t>b76ef37428e6799c421989521c0e5077</t>
        </is>
      </c>
      <c r="E5560" t="inlineStr">
        <is>
          <t>organic_search</t>
        </is>
      </c>
      <c r="F5560">
        <f>IFERROR(MATCH(A5560,Deals!$A$2:$A$843,0),"")</f>
        <v/>
      </c>
      <c r="G5560">
        <f>IF(F5560="",0,1)</f>
        <v/>
      </c>
      <c r="H5560" s="29">
        <f>IF(F5560="","",INDEX(Deals!$E$2:$E$843,F5560))</f>
        <v/>
      </c>
      <c r="I5560">
        <f>IF(F5560="","",INDEX(Deals!$D$2:$D$843,F5560))</f>
        <v/>
      </c>
      <c r="J5560">
        <f>IF(F5560="","",INT(H5560)-B5560)</f>
        <v/>
      </c>
      <c r="K5560">
        <f>IF(B5560&gt;=Settings!$C$5,1,0)</f>
        <v/>
      </c>
    </row>
    <row r="5561">
      <c r="A5561" t="inlineStr">
        <is>
          <t>bc79c67c7b22cbc0cf25abf756cd7e52</t>
        </is>
      </c>
      <c r="B5561" s="29" t="n">
        <v>43230</v>
      </c>
      <c r="C5561" t="inlineStr">
        <is>
          <t>2018-05</t>
        </is>
      </c>
      <c r="D5561" t="inlineStr">
        <is>
          <t>40dec9f3d5259a3d2dbcdab2114fae47</t>
        </is>
      </c>
      <c r="E5561" t="inlineStr">
        <is>
          <t>social</t>
        </is>
      </c>
      <c r="F5561">
        <f>IFERROR(MATCH(A5561,Deals!$A$2:$A$843,0),"")</f>
        <v/>
      </c>
      <c r="G5561">
        <f>IF(F5561="",0,1)</f>
        <v/>
      </c>
      <c r="H5561" s="29">
        <f>IF(F5561="","",INDEX(Deals!$E$2:$E$843,F5561))</f>
        <v/>
      </c>
      <c r="I5561">
        <f>IF(F5561="","",INDEX(Deals!$D$2:$D$843,F5561))</f>
        <v/>
      </c>
      <c r="J5561">
        <f>IF(F5561="","",INT(H5561)-B5561)</f>
        <v/>
      </c>
      <c r="K5561">
        <f>IF(B5561&gt;=Settings!$C$5,1,0)</f>
        <v/>
      </c>
    </row>
    <row r="5562">
      <c r="A5562" t="inlineStr">
        <is>
          <t>54abdeb653d98f31d5beceb922d6b826</t>
        </is>
      </c>
      <c r="B5562" s="29" t="n">
        <v>43140</v>
      </c>
      <c r="C5562" t="inlineStr">
        <is>
          <t>2018-02</t>
        </is>
      </c>
      <c r="D5562" t="inlineStr">
        <is>
          <t>b76ef37428e6799c421989521c0e5077</t>
        </is>
      </c>
      <c r="E5562" t="inlineStr">
        <is>
          <t>unknown</t>
        </is>
      </c>
      <c r="F5562">
        <f>IFERROR(MATCH(A5562,Deals!$A$2:$A$843,0),"")</f>
        <v/>
      </c>
      <c r="G5562">
        <f>IF(F5562="",0,1)</f>
        <v/>
      </c>
      <c r="H5562" s="29">
        <f>IF(F5562="","",INDEX(Deals!$E$2:$E$843,F5562))</f>
        <v/>
      </c>
      <c r="I5562">
        <f>IF(F5562="","",INDEX(Deals!$D$2:$D$843,F5562))</f>
        <v/>
      </c>
      <c r="J5562">
        <f>IF(F5562="","",INT(H5562)-B5562)</f>
        <v/>
      </c>
      <c r="K5562">
        <f>IF(B5562&gt;=Settings!$C$5,1,0)</f>
        <v/>
      </c>
    </row>
    <row r="5563">
      <c r="A5563" t="inlineStr">
        <is>
          <t>4e2b3264ead437e99dd16b434ca7dbaf</t>
        </is>
      </c>
      <c r="B5563" s="29" t="n">
        <v>43199</v>
      </c>
      <c r="C5563" t="inlineStr">
        <is>
          <t>2018-04</t>
        </is>
      </c>
      <c r="D5563" t="inlineStr">
        <is>
          <t>58326e62183c14b0c03085c33b9fdc44</t>
        </is>
      </c>
      <c r="E5563" t="inlineStr">
        <is>
          <t>social</t>
        </is>
      </c>
      <c r="F5563">
        <f>IFERROR(MATCH(A5563,Deals!$A$2:$A$843,0),"")</f>
        <v/>
      </c>
      <c r="G5563">
        <f>IF(F5563="",0,1)</f>
        <v/>
      </c>
      <c r="H5563" s="29">
        <f>IF(F5563="","",INDEX(Deals!$E$2:$E$843,F5563))</f>
        <v/>
      </c>
      <c r="I5563">
        <f>IF(F5563="","",INDEX(Deals!$D$2:$D$843,F5563))</f>
        <v/>
      </c>
      <c r="J5563">
        <f>IF(F5563="","",INT(H5563)-B5563)</f>
        <v/>
      </c>
      <c r="K5563">
        <f>IF(B5563&gt;=Settings!$C$5,1,0)</f>
        <v/>
      </c>
    </row>
    <row r="5564">
      <c r="A5564" t="inlineStr">
        <is>
          <t>7d785a3968e96de95f7ba5fd1d7c8acd</t>
        </is>
      </c>
      <c r="B5564" s="29" t="n">
        <v>43242</v>
      </c>
      <c r="C5564" t="inlineStr">
        <is>
          <t>2018-05</t>
        </is>
      </c>
      <c r="D5564" t="inlineStr">
        <is>
          <t>330b9d44078a1ae5a221d655dcb77afa</t>
        </is>
      </c>
      <c r="E5564" t="inlineStr">
        <is>
          <t>referral</t>
        </is>
      </c>
      <c r="F5564">
        <f>IFERROR(MATCH(A5564,Deals!$A$2:$A$843,0),"")</f>
        <v/>
      </c>
      <c r="G5564">
        <f>IF(F5564="",0,1)</f>
        <v/>
      </c>
      <c r="H5564" s="29">
        <f>IF(F5564="","",INDEX(Deals!$E$2:$E$843,F5564))</f>
        <v/>
      </c>
      <c r="I5564">
        <f>IF(F5564="","",INDEX(Deals!$D$2:$D$843,F5564))</f>
        <v/>
      </c>
      <c r="J5564">
        <f>IF(F5564="","",INT(H5564)-B5564)</f>
        <v/>
      </c>
      <c r="K5564">
        <f>IF(B5564&gt;=Settings!$C$5,1,0)</f>
        <v/>
      </c>
    </row>
    <row r="5565">
      <c r="A5565" t="inlineStr">
        <is>
          <t>a1403d186f75b3ae39bd85be804b0116</t>
        </is>
      </c>
      <c r="B5565" s="29" t="n">
        <v>43143</v>
      </c>
      <c r="C5565" t="inlineStr">
        <is>
          <t>2018-02</t>
        </is>
      </c>
      <c r="D5565" t="inlineStr">
        <is>
          <t>a7982125ff7aa3b2054c6e44f9d28522</t>
        </is>
      </c>
      <c r="E5565" t="inlineStr">
        <is>
          <t>display</t>
        </is>
      </c>
      <c r="F5565">
        <f>IFERROR(MATCH(A5565,Deals!$A$2:$A$843,0),"")</f>
        <v/>
      </c>
      <c r="G5565">
        <f>IF(F5565="",0,1)</f>
        <v/>
      </c>
      <c r="H5565" s="29">
        <f>IF(F5565="","",INDEX(Deals!$E$2:$E$843,F5565))</f>
        <v/>
      </c>
      <c r="I5565">
        <f>IF(F5565="","",INDEX(Deals!$D$2:$D$843,F5565))</f>
        <v/>
      </c>
      <c r="J5565">
        <f>IF(F5565="","",INT(H5565)-B5565)</f>
        <v/>
      </c>
      <c r="K5565">
        <f>IF(B5565&gt;=Settings!$C$5,1,0)</f>
        <v/>
      </c>
    </row>
    <row r="5566">
      <c r="A5566" t="inlineStr">
        <is>
          <t>1654f6096de3a8d08d244eeac21dee2a</t>
        </is>
      </c>
      <c r="B5566" s="29" t="n">
        <v>43145</v>
      </c>
      <c r="C5566" t="inlineStr">
        <is>
          <t>2018-02</t>
        </is>
      </c>
      <c r="D5566" t="inlineStr">
        <is>
          <t>22c29808c4f815213303f8933030604c</t>
        </is>
      </c>
      <c r="E5566" t="inlineStr">
        <is>
          <t>direct_traffic</t>
        </is>
      </c>
      <c r="F5566">
        <f>IFERROR(MATCH(A5566,Deals!$A$2:$A$843,0),"")</f>
        <v/>
      </c>
      <c r="G5566">
        <f>IF(F5566="",0,1)</f>
        <v/>
      </c>
      <c r="H5566" s="29">
        <f>IF(F5566="","",INDEX(Deals!$E$2:$E$843,F5566))</f>
        <v/>
      </c>
      <c r="I5566">
        <f>IF(F5566="","",INDEX(Deals!$D$2:$D$843,F5566))</f>
        <v/>
      </c>
      <c r="J5566">
        <f>IF(F5566="","",INT(H5566)-B5566)</f>
        <v/>
      </c>
      <c r="K5566">
        <f>IF(B5566&gt;=Settings!$C$5,1,0)</f>
        <v/>
      </c>
    </row>
    <row r="5567">
      <c r="A5567" t="inlineStr">
        <is>
          <t>d75057842b733134576d690d1d9509a2</t>
        </is>
      </c>
      <c r="B5567" s="29" t="n">
        <v>43222</v>
      </c>
      <c r="C5567" t="inlineStr">
        <is>
          <t>2018-05</t>
        </is>
      </c>
      <c r="D5567" t="inlineStr">
        <is>
          <t>b76ef37428e6799c421989521c0e5077</t>
        </is>
      </c>
      <c r="E5567" t="inlineStr">
        <is>
          <t>unknown</t>
        </is>
      </c>
      <c r="F5567">
        <f>IFERROR(MATCH(A5567,Deals!$A$2:$A$843,0),"")</f>
        <v/>
      </c>
      <c r="G5567">
        <f>IF(F5567="",0,1)</f>
        <v/>
      </c>
      <c r="H5567" s="29">
        <f>IF(F5567="","",INDEX(Deals!$E$2:$E$843,F5567))</f>
        <v/>
      </c>
      <c r="I5567">
        <f>IF(F5567="","",INDEX(Deals!$D$2:$D$843,F5567))</f>
        <v/>
      </c>
      <c r="J5567">
        <f>IF(F5567="","",INT(H5567)-B5567)</f>
        <v/>
      </c>
      <c r="K5567">
        <f>IF(B5567&gt;=Settings!$C$5,1,0)</f>
        <v/>
      </c>
    </row>
    <row r="5568">
      <c r="A5568" t="inlineStr">
        <is>
          <t>227c7ef0ccd19c939400924d9b02b2a1</t>
        </is>
      </c>
      <c r="B5568" s="29" t="n">
        <v>43122</v>
      </c>
      <c r="C5568" t="inlineStr">
        <is>
          <t>2018-01</t>
        </is>
      </c>
      <c r="D5568" t="inlineStr">
        <is>
          <t>b76ef37428e6799c421989521c0e5077</t>
        </is>
      </c>
      <c r="E5568" t="inlineStr">
        <is>
          <t>organic_search</t>
        </is>
      </c>
      <c r="F5568">
        <f>IFERROR(MATCH(A5568,Deals!$A$2:$A$843,0),"")</f>
        <v/>
      </c>
      <c r="G5568">
        <f>IF(F5568="",0,1)</f>
        <v/>
      </c>
      <c r="H5568" s="29">
        <f>IF(F5568="","",INDEX(Deals!$E$2:$E$843,F5568))</f>
        <v/>
      </c>
      <c r="I5568">
        <f>IF(F5568="","",INDEX(Deals!$D$2:$D$843,F5568))</f>
        <v/>
      </c>
      <c r="J5568">
        <f>IF(F5568="","",INT(H5568)-B5568)</f>
        <v/>
      </c>
      <c r="K5568">
        <f>IF(B5568&gt;=Settings!$C$5,1,0)</f>
        <v/>
      </c>
    </row>
    <row r="5569">
      <c r="A5569" t="inlineStr">
        <is>
          <t>73fe05cf8b7f2f65d26444d2badb9dc1</t>
        </is>
      </c>
      <c r="B5569" s="29" t="n">
        <v>43218</v>
      </c>
      <c r="C5569" t="inlineStr">
        <is>
          <t>2018-04</t>
        </is>
      </c>
      <c r="D5569" t="inlineStr">
        <is>
          <t>966098efaef7a4d665be6b0cb617541b</t>
        </is>
      </c>
      <c r="E5569" t="inlineStr">
        <is>
          <t>other</t>
        </is>
      </c>
      <c r="F5569">
        <f>IFERROR(MATCH(A5569,Deals!$A$2:$A$843,0),"")</f>
        <v/>
      </c>
      <c r="G5569">
        <f>IF(F5569="",0,1)</f>
        <v/>
      </c>
      <c r="H5569" s="29">
        <f>IF(F5569="","",INDEX(Deals!$E$2:$E$843,F5569))</f>
        <v/>
      </c>
      <c r="I5569">
        <f>IF(F5569="","",INDEX(Deals!$D$2:$D$843,F5569))</f>
        <v/>
      </c>
      <c r="J5569">
        <f>IF(F5569="","",INT(H5569)-B5569)</f>
        <v/>
      </c>
      <c r="K5569">
        <f>IF(B5569&gt;=Settings!$C$5,1,0)</f>
        <v/>
      </c>
    </row>
    <row r="5570">
      <c r="A5570" t="inlineStr">
        <is>
          <t>75e604afe33f43eb0d06373b383ec430</t>
        </is>
      </c>
      <c r="B5570" s="29" t="n">
        <v>43132</v>
      </c>
      <c r="C5570" t="inlineStr">
        <is>
          <t>2018-02</t>
        </is>
      </c>
      <c r="D5570" t="inlineStr">
        <is>
          <t>88740e65d5d6b056e0cda098e1ea6313</t>
        </is>
      </c>
      <c r="E5570" t="inlineStr">
        <is>
          <t>social</t>
        </is>
      </c>
      <c r="F5570">
        <f>IFERROR(MATCH(A5570,Deals!$A$2:$A$843,0),"")</f>
        <v/>
      </c>
      <c r="G5570">
        <f>IF(F5570="",0,1)</f>
        <v/>
      </c>
      <c r="H5570" s="29">
        <f>IF(F5570="","",INDEX(Deals!$E$2:$E$843,F5570))</f>
        <v/>
      </c>
      <c r="I5570">
        <f>IF(F5570="","",INDEX(Deals!$D$2:$D$843,F5570))</f>
        <v/>
      </c>
      <c r="J5570">
        <f>IF(F5570="","",INT(H5570)-B5570)</f>
        <v/>
      </c>
      <c r="K5570">
        <f>IF(B5570&gt;=Settings!$C$5,1,0)</f>
        <v/>
      </c>
    </row>
    <row r="5571">
      <c r="A5571" t="inlineStr">
        <is>
          <t>c6d1db3b8c9c598d7c810afee405b57c</t>
        </is>
      </c>
      <c r="B5571" s="29" t="n">
        <v>43192</v>
      </c>
      <c r="C5571" t="inlineStr">
        <is>
          <t>2018-04</t>
        </is>
      </c>
      <c r="D5571" t="inlineStr">
        <is>
          <t>73f31a40697cc90a86c1273563ac230e</t>
        </is>
      </c>
      <c r="E5571" t="inlineStr">
        <is>
          <t>other</t>
        </is>
      </c>
      <c r="F5571">
        <f>IFERROR(MATCH(A5571,Deals!$A$2:$A$843,0),"")</f>
        <v/>
      </c>
      <c r="G5571">
        <f>IF(F5571="",0,1)</f>
        <v/>
      </c>
      <c r="H5571" s="29">
        <f>IF(F5571="","",INDEX(Deals!$E$2:$E$843,F5571))</f>
        <v/>
      </c>
      <c r="I5571">
        <f>IF(F5571="","",INDEX(Deals!$D$2:$D$843,F5571))</f>
        <v/>
      </c>
      <c r="J5571">
        <f>IF(F5571="","",INT(H5571)-B5571)</f>
        <v/>
      </c>
      <c r="K5571">
        <f>IF(B5571&gt;=Settings!$C$5,1,0)</f>
        <v/>
      </c>
    </row>
    <row r="5572">
      <c r="A5572" t="inlineStr">
        <is>
          <t>33c36d2980d69643c74f3b3adade5260</t>
        </is>
      </c>
      <c r="B5572" s="29" t="n">
        <v>43136</v>
      </c>
      <c r="C5572" t="inlineStr">
        <is>
          <t>2018-02</t>
        </is>
      </c>
      <c r="D5572" t="inlineStr">
        <is>
          <t>b76ef37428e6799c421989521c0e5077</t>
        </is>
      </c>
      <c r="E5572" t="inlineStr">
        <is>
          <t>unknown</t>
        </is>
      </c>
      <c r="F5572">
        <f>IFERROR(MATCH(A5572,Deals!$A$2:$A$843,0),"")</f>
        <v/>
      </c>
      <c r="G5572">
        <f>IF(F5572="",0,1)</f>
        <v/>
      </c>
      <c r="H5572" s="29">
        <f>IF(F5572="","",INDEX(Deals!$E$2:$E$843,F5572))</f>
        <v/>
      </c>
      <c r="I5572">
        <f>IF(F5572="","",INDEX(Deals!$D$2:$D$843,F5572))</f>
        <v/>
      </c>
      <c r="J5572">
        <f>IF(F5572="","",INT(H5572)-B5572)</f>
        <v/>
      </c>
      <c r="K5572">
        <f>IF(B5572&gt;=Settings!$C$5,1,0)</f>
        <v/>
      </c>
    </row>
    <row r="5573">
      <c r="A5573" t="inlineStr">
        <is>
          <t>40203b20a6933a14a086bcc0c7c6959c</t>
        </is>
      </c>
      <c r="B5573" s="29" t="n">
        <v>43223</v>
      </c>
      <c r="C5573" t="inlineStr">
        <is>
          <t>2018-05</t>
        </is>
      </c>
      <c r="D5573" t="inlineStr">
        <is>
          <t>b48ec5f3b04e9068441002a19df93c6c</t>
        </is>
      </c>
      <c r="E5573" t="inlineStr">
        <is>
          <t>organic_search</t>
        </is>
      </c>
      <c r="F5573">
        <f>IFERROR(MATCH(A5573,Deals!$A$2:$A$843,0),"")</f>
        <v/>
      </c>
      <c r="G5573">
        <f>IF(F5573="",0,1)</f>
        <v/>
      </c>
      <c r="H5573" s="29">
        <f>IF(F5573="","",INDEX(Deals!$E$2:$E$843,F5573))</f>
        <v/>
      </c>
      <c r="I5573">
        <f>IF(F5573="","",INDEX(Deals!$D$2:$D$843,F5573))</f>
        <v/>
      </c>
      <c r="J5573">
        <f>IF(F5573="","",INT(H5573)-B5573)</f>
        <v/>
      </c>
      <c r="K5573">
        <f>IF(B5573&gt;=Settings!$C$5,1,0)</f>
        <v/>
      </c>
    </row>
    <row r="5574">
      <c r="A5574" t="inlineStr">
        <is>
          <t>1bbc1eb46ce8d3a516cc1220536fd234</t>
        </is>
      </c>
      <c r="B5574" s="29" t="n">
        <v>43057</v>
      </c>
      <c r="C5574" t="inlineStr">
        <is>
          <t>2017-11</t>
        </is>
      </c>
      <c r="D5574" t="inlineStr">
        <is>
          <t>91dbdf987124ca09b297bd87f06b5e64</t>
        </is>
      </c>
      <c r="E5574" t="inlineStr">
        <is>
          <t>referral</t>
        </is>
      </c>
      <c r="F5574">
        <f>IFERROR(MATCH(A5574,Deals!$A$2:$A$843,0),"")</f>
        <v/>
      </c>
      <c r="G5574">
        <f>IF(F5574="",0,1)</f>
        <v/>
      </c>
      <c r="H5574" s="29">
        <f>IF(F5574="","",INDEX(Deals!$E$2:$E$843,F5574))</f>
        <v/>
      </c>
      <c r="I5574">
        <f>IF(F5574="","",INDEX(Deals!$D$2:$D$843,F5574))</f>
        <v/>
      </c>
      <c r="J5574">
        <f>IF(F5574="","",INT(H5574)-B5574)</f>
        <v/>
      </c>
      <c r="K5574">
        <f>IF(B5574&gt;=Settings!$C$5,1,0)</f>
        <v/>
      </c>
    </row>
    <row r="5575">
      <c r="A5575" t="inlineStr">
        <is>
          <t>bb9a1d8ce57f597447fdd34bd1e3f7b8</t>
        </is>
      </c>
      <c r="B5575" s="29" t="n">
        <v>43189</v>
      </c>
      <c r="C5575" t="inlineStr">
        <is>
          <t>2018-03</t>
        </is>
      </c>
      <c r="D5575" t="inlineStr">
        <is>
          <t>b4b13997af4a7b7cf940ca44c88086a3</t>
        </is>
      </c>
      <c r="E5575" t="inlineStr">
        <is>
          <t>paid_search</t>
        </is>
      </c>
      <c r="F5575">
        <f>IFERROR(MATCH(A5575,Deals!$A$2:$A$843,0),"")</f>
        <v/>
      </c>
      <c r="G5575">
        <f>IF(F5575="",0,1)</f>
        <v/>
      </c>
      <c r="H5575" s="29">
        <f>IF(F5575="","",INDEX(Deals!$E$2:$E$843,F5575))</f>
        <v/>
      </c>
      <c r="I5575">
        <f>IF(F5575="","",INDEX(Deals!$D$2:$D$843,F5575))</f>
        <v/>
      </c>
      <c r="J5575">
        <f>IF(F5575="","",INT(H5575)-B5575)</f>
        <v/>
      </c>
      <c r="K5575">
        <f>IF(B5575&gt;=Settings!$C$5,1,0)</f>
        <v/>
      </c>
    </row>
    <row r="5576">
      <c r="A5576" t="inlineStr">
        <is>
          <t>af5ed76b466a037cd7b9b1cefef578ba</t>
        </is>
      </c>
      <c r="B5576" s="29" t="n">
        <v>43248</v>
      </c>
      <c r="C5576" t="inlineStr">
        <is>
          <t>2018-05</t>
        </is>
      </c>
      <c r="D5576" t="inlineStr">
        <is>
          <t>e492ee5eaf1697716985cc6f33f9cd9b</t>
        </is>
      </c>
      <c r="E5576" t="inlineStr">
        <is>
          <t>organic_search</t>
        </is>
      </c>
      <c r="F5576">
        <f>IFERROR(MATCH(A5576,Deals!$A$2:$A$843,0),"")</f>
        <v/>
      </c>
      <c r="G5576">
        <f>IF(F5576="",0,1)</f>
        <v/>
      </c>
      <c r="H5576" s="29">
        <f>IF(F5576="","",INDEX(Deals!$E$2:$E$843,F5576))</f>
        <v/>
      </c>
      <c r="I5576">
        <f>IF(F5576="","",INDEX(Deals!$D$2:$D$843,F5576))</f>
        <v/>
      </c>
      <c r="J5576">
        <f>IF(F5576="","",INT(H5576)-B5576)</f>
        <v/>
      </c>
      <c r="K5576">
        <f>IF(B5576&gt;=Settings!$C$5,1,0)</f>
        <v/>
      </c>
    </row>
    <row r="5577">
      <c r="A5577" t="inlineStr">
        <is>
          <t>3ce434b95c3392cc0562fb8ac2e6a2ee</t>
        </is>
      </c>
      <c r="B5577" s="29" t="n">
        <v>43244</v>
      </c>
      <c r="C5577" t="inlineStr">
        <is>
          <t>2018-05</t>
        </is>
      </c>
      <c r="D5577" t="inlineStr">
        <is>
          <t>58326e62183c14b0c03085c33b9fdc44</t>
        </is>
      </c>
      <c r="E5577" t="inlineStr">
        <is>
          <t>social</t>
        </is>
      </c>
      <c r="F5577">
        <f>IFERROR(MATCH(A5577,Deals!$A$2:$A$843,0),"")</f>
        <v/>
      </c>
      <c r="G5577">
        <f>IF(F5577="",0,1)</f>
        <v/>
      </c>
      <c r="H5577" s="29">
        <f>IF(F5577="","",INDEX(Deals!$E$2:$E$843,F5577))</f>
        <v/>
      </c>
      <c r="I5577">
        <f>IF(F5577="","",INDEX(Deals!$D$2:$D$843,F5577))</f>
        <v/>
      </c>
      <c r="J5577">
        <f>IF(F5577="","",INT(H5577)-B5577)</f>
        <v/>
      </c>
      <c r="K5577">
        <f>IF(B5577&gt;=Settings!$C$5,1,0)</f>
        <v/>
      </c>
    </row>
    <row r="5578">
      <c r="A5578" t="inlineStr">
        <is>
          <t>89599d85cfa823d8886146af161ea5b3</t>
        </is>
      </c>
      <c r="B5578" s="29" t="n">
        <v>43206</v>
      </c>
      <c r="C5578" t="inlineStr">
        <is>
          <t>2018-04</t>
        </is>
      </c>
      <c r="D5578" t="inlineStr">
        <is>
          <t>22c29808c4f815213303f8933030604c</t>
        </is>
      </c>
      <c r="E5578" t="inlineStr">
        <is>
          <t>organic_search</t>
        </is>
      </c>
      <c r="F5578">
        <f>IFERROR(MATCH(A5578,Deals!$A$2:$A$843,0),"")</f>
        <v/>
      </c>
      <c r="G5578">
        <f>IF(F5578="",0,1)</f>
        <v/>
      </c>
      <c r="H5578" s="29">
        <f>IF(F5578="","",INDEX(Deals!$E$2:$E$843,F5578))</f>
        <v/>
      </c>
      <c r="I5578">
        <f>IF(F5578="","",INDEX(Deals!$D$2:$D$843,F5578))</f>
        <v/>
      </c>
      <c r="J5578">
        <f>IF(F5578="","",INT(H5578)-B5578)</f>
        <v/>
      </c>
      <c r="K5578">
        <f>IF(B5578&gt;=Settings!$C$5,1,0)</f>
        <v/>
      </c>
    </row>
    <row r="5579">
      <c r="A5579" t="inlineStr">
        <is>
          <t>3e2257f7610701147435cd9da3140fc7</t>
        </is>
      </c>
      <c r="B5579" s="29" t="n">
        <v>43185</v>
      </c>
      <c r="C5579" t="inlineStr">
        <is>
          <t>2018-03</t>
        </is>
      </c>
      <c r="D5579" t="inlineStr">
        <is>
          <t>649b7b8b46b254497e92038d88f6ced8</t>
        </is>
      </c>
      <c r="E5579" t="inlineStr">
        <is>
          <t>social</t>
        </is>
      </c>
      <c r="F5579">
        <f>IFERROR(MATCH(A5579,Deals!$A$2:$A$843,0),"")</f>
        <v/>
      </c>
      <c r="G5579">
        <f>IF(F5579="",0,1)</f>
        <v/>
      </c>
      <c r="H5579" s="29">
        <f>IF(F5579="","",INDEX(Deals!$E$2:$E$843,F5579))</f>
        <v/>
      </c>
      <c r="I5579">
        <f>IF(F5579="","",INDEX(Deals!$D$2:$D$843,F5579))</f>
        <v/>
      </c>
      <c r="J5579">
        <f>IF(F5579="","",INT(H5579)-B5579)</f>
        <v/>
      </c>
      <c r="K5579">
        <f>IF(B5579&gt;=Settings!$C$5,1,0)</f>
        <v/>
      </c>
    </row>
    <row r="5580">
      <c r="A5580" t="inlineStr">
        <is>
          <t>0159da3047870d346f6999757220e95e</t>
        </is>
      </c>
      <c r="B5580" s="29" t="n">
        <v>43212</v>
      </c>
      <c r="C5580" t="inlineStr">
        <is>
          <t>2018-04</t>
        </is>
      </c>
      <c r="D5580" t="inlineStr">
        <is>
          <t>40dec9f3d5259a3d2dbcdab2114fae47</t>
        </is>
      </c>
      <c r="E5580" t="inlineStr">
        <is>
          <t>paid_search</t>
        </is>
      </c>
      <c r="F5580">
        <f>IFERROR(MATCH(A5580,Deals!$A$2:$A$843,0),"")</f>
        <v/>
      </c>
      <c r="G5580">
        <f>IF(F5580="",0,1)</f>
        <v/>
      </c>
      <c r="H5580" s="29">
        <f>IF(F5580="","",INDEX(Deals!$E$2:$E$843,F5580))</f>
        <v/>
      </c>
      <c r="I5580">
        <f>IF(F5580="","",INDEX(Deals!$D$2:$D$843,F5580))</f>
        <v/>
      </c>
      <c r="J5580">
        <f>IF(F5580="","",INT(H5580)-B5580)</f>
        <v/>
      </c>
      <c r="K5580">
        <f>IF(B5580&gt;=Settings!$C$5,1,0)</f>
        <v/>
      </c>
    </row>
    <row r="5581">
      <c r="A5581" t="inlineStr">
        <is>
          <t>9527d6c76bc79ffc65ba689bc891b5fe</t>
        </is>
      </c>
      <c r="B5581" s="29" t="n">
        <v>43188</v>
      </c>
      <c r="C5581" t="inlineStr">
        <is>
          <t>2018-03</t>
        </is>
      </c>
      <c r="D5581" t="inlineStr">
        <is>
          <t>b76ef37428e6799c421989521c0e5077</t>
        </is>
      </c>
      <c r="E5581" t="inlineStr">
        <is>
          <t>organic_search</t>
        </is>
      </c>
      <c r="F5581">
        <f>IFERROR(MATCH(A5581,Deals!$A$2:$A$843,0),"")</f>
        <v/>
      </c>
      <c r="G5581">
        <f>IF(F5581="",0,1)</f>
        <v/>
      </c>
      <c r="H5581" s="29">
        <f>IF(F5581="","",INDEX(Deals!$E$2:$E$843,F5581))</f>
        <v/>
      </c>
      <c r="I5581">
        <f>IF(F5581="","",INDEX(Deals!$D$2:$D$843,F5581))</f>
        <v/>
      </c>
      <c r="J5581">
        <f>IF(F5581="","",INT(H5581)-B5581)</f>
        <v/>
      </c>
      <c r="K5581">
        <f>IF(B5581&gt;=Settings!$C$5,1,0)</f>
        <v/>
      </c>
    </row>
    <row r="5582">
      <c r="A5582" t="inlineStr">
        <is>
          <t>659d33c1b83122ee316c7943d8b091eb</t>
        </is>
      </c>
      <c r="B5582" s="29" t="n">
        <v>43175</v>
      </c>
      <c r="C5582" t="inlineStr">
        <is>
          <t>2018-03</t>
        </is>
      </c>
      <c r="D5582" t="inlineStr">
        <is>
          <t>22c29808c4f815213303f8933030604c</t>
        </is>
      </c>
      <c r="E5582" t="inlineStr">
        <is>
          <t>paid_search</t>
        </is>
      </c>
      <c r="F5582">
        <f>IFERROR(MATCH(A5582,Deals!$A$2:$A$843,0),"")</f>
        <v/>
      </c>
      <c r="G5582">
        <f>IF(F5582="",0,1)</f>
        <v/>
      </c>
      <c r="H5582" s="29">
        <f>IF(F5582="","",INDEX(Deals!$E$2:$E$843,F5582))</f>
        <v/>
      </c>
      <c r="I5582">
        <f>IF(F5582="","",INDEX(Deals!$D$2:$D$843,F5582))</f>
        <v/>
      </c>
      <c r="J5582">
        <f>IF(F5582="","",INT(H5582)-B5582)</f>
        <v/>
      </c>
      <c r="K5582">
        <f>IF(B5582&gt;=Settings!$C$5,1,0)</f>
        <v/>
      </c>
    </row>
    <row r="5583">
      <c r="A5583" t="inlineStr">
        <is>
          <t>ca26ee32e99049046000c3903a9cf8ba</t>
        </is>
      </c>
      <c r="B5583" s="29" t="n">
        <v>43206</v>
      </c>
      <c r="C5583" t="inlineStr">
        <is>
          <t>2018-04</t>
        </is>
      </c>
      <c r="D5583" t="inlineStr">
        <is>
          <t>ce1a65abd0973638f1c887a6efcfa82d</t>
        </is>
      </c>
      <c r="E5583" t="inlineStr">
        <is>
          <t>direct_traffic</t>
        </is>
      </c>
      <c r="F5583">
        <f>IFERROR(MATCH(A5583,Deals!$A$2:$A$843,0),"")</f>
        <v/>
      </c>
      <c r="G5583">
        <f>IF(F5583="",0,1)</f>
        <v/>
      </c>
      <c r="H5583" s="29">
        <f>IF(F5583="","",INDEX(Deals!$E$2:$E$843,F5583))</f>
        <v/>
      </c>
      <c r="I5583">
        <f>IF(F5583="","",INDEX(Deals!$D$2:$D$843,F5583))</f>
        <v/>
      </c>
      <c r="J5583">
        <f>IF(F5583="","",INT(H5583)-B5583)</f>
        <v/>
      </c>
      <c r="K5583">
        <f>IF(B5583&gt;=Settings!$C$5,1,0)</f>
        <v/>
      </c>
    </row>
    <row r="5584">
      <c r="A5584" t="inlineStr">
        <is>
          <t>d6f0ffd9dd59848ed1b74ad799489755</t>
        </is>
      </c>
      <c r="B5584" s="29" t="n">
        <v>43189</v>
      </c>
      <c r="C5584" t="inlineStr">
        <is>
          <t>2018-03</t>
        </is>
      </c>
      <c r="D5584" t="inlineStr">
        <is>
          <t>b76ef37428e6799c421989521c0e5077</t>
        </is>
      </c>
      <c r="E5584" t="inlineStr">
        <is>
          <t>paid_search</t>
        </is>
      </c>
      <c r="F5584">
        <f>IFERROR(MATCH(A5584,Deals!$A$2:$A$843,0),"")</f>
        <v/>
      </c>
      <c r="G5584">
        <f>IF(F5584="",0,1)</f>
        <v/>
      </c>
      <c r="H5584" s="29">
        <f>IF(F5584="","",INDEX(Deals!$E$2:$E$843,F5584))</f>
        <v/>
      </c>
      <c r="I5584">
        <f>IF(F5584="","",INDEX(Deals!$D$2:$D$843,F5584))</f>
        <v/>
      </c>
      <c r="J5584">
        <f>IF(F5584="","",INT(H5584)-B5584)</f>
        <v/>
      </c>
      <c r="K5584">
        <f>IF(B5584&gt;=Settings!$C$5,1,0)</f>
        <v/>
      </c>
    </row>
    <row r="5585">
      <c r="A5585" t="inlineStr">
        <is>
          <t>d18bae1a26ca78b3f8b2212c7c7d101a</t>
        </is>
      </c>
      <c r="B5585" s="29" t="n">
        <v>43038</v>
      </c>
      <c r="C5585" t="inlineStr">
        <is>
          <t>2017-10</t>
        </is>
      </c>
      <c r="D5585" t="inlineStr">
        <is>
          <t>88740e65d5d6b056e0cda098e1ea6313</t>
        </is>
      </c>
      <c r="E5585" t="inlineStr">
        <is>
          <t>social</t>
        </is>
      </c>
      <c r="F5585">
        <f>IFERROR(MATCH(A5585,Deals!$A$2:$A$843,0),"")</f>
        <v/>
      </c>
      <c r="G5585">
        <f>IF(F5585="",0,1)</f>
        <v/>
      </c>
      <c r="H5585" s="29">
        <f>IF(F5585="","",INDEX(Deals!$E$2:$E$843,F5585))</f>
        <v/>
      </c>
      <c r="I5585">
        <f>IF(F5585="","",INDEX(Deals!$D$2:$D$843,F5585))</f>
        <v/>
      </c>
      <c r="J5585">
        <f>IF(F5585="","",INT(H5585)-B5585)</f>
        <v/>
      </c>
      <c r="K5585">
        <f>IF(B5585&gt;=Settings!$C$5,1,0)</f>
        <v/>
      </c>
    </row>
    <row r="5586">
      <c r="A5586" t="inlineStr">
        <is>
          <t>bb838bff2c2120b9237cac812c1019f8</t>
        </is>
      </c>
      <c r="B5586" s="29" t="n">
        <v>42992</v>
      </c>
      <c r="C5586" t="inlineStr">
        <is>
          <t>2017-09</t>
        </is>
      </c>
      <c r="D5586" t="inlineStr">
        <is>
          <t>ef0b482996664cc1107b9051efd3ca84</t>
        </is>
      </c>
      <c r="E5586" t="inlineStr">
        <is>
          <t>direct_traffic</t>
        </is>
      </c>
      <c r="F5586">
        <f>IFERROR(MATCH(A5586,Deals!$A$2:$A$843,0),"")</f>
        <v/>
      </c>
      <c r="G5586">
        <f>IF(F5586="",0,1)</f>
        <v/>
      </c>
      <c r="H5586" s="29">
        <f>IF(F5586="","",INDEX(Deals!$E$2:$E$843,F5586))</f>
        <v/>
      </c>
      <c r="I5586">
        <f>IF(F5586="","",INDEX(Deals!$D$2:$D$843,F5586))</f>
        <v/>
      </c>
      <c r="J5586">
        <f>IF(F5586="","",INT(H5586)-B5586)</f>
        <v/>
      </c>
      <c r="K5586">
        <f>IF(B5586&gt;=Settings!$C$5,1,0)</f>
        <v/>
      </c>
    </row>
    <row r="5587">
      <c r="A5587" t="inlineStr">
        <is>
          <t>39ac91f2a28396c0057f2677e2a8fda3</t>
        </is>
      </c>
      <c r="B5587" s="29" t="n">
        <v>43199</v>
      </c>
      <c r="C5587" t="inlineStr">
        <is>
          <t>2018-04</t>
        </is>
      </c>
      <c r="D5587" t="inlineStr">
        <is>
          <t>73fec6021437e723ff5adae8dff89e23</t>
        </is>
      </c>
      <c r="E5587" t="inlineStr">
        <is>
          <t>social</t>
        </is>
      </c>
      <c r="F5587">
        <f>IFERROR(MATCH(A5587,Deals!$A$2:$A$843,0),"")</f>
        <v/>
      </c>
      <c r="G5587">
        <f>IF(F5587="",0,1)</f>
        <v/>
      </c>
      <c r="H5587" s="29">
        <f>IF(F5587="","",INDEX(Deals!$E$2:$E$843,F5587))</f>
        <v/>
      </c>
      <c r="I5587">
        <f>IF(F5587="","",INDEX(Deals!$D$2:$D$843,F5587))</f>
        <v/>
      </c>
      <c r="J5587">
        <f>IF(F5587="","",INT(H5587)-B5587)</f>
        <v/>
      </c>
      <c r="K5587">
        <f>IF(B5587&gt;=Settings!$C$5,1,0)</f>
        <v/>
      </c>
    </row>
    <row r="5588">
      <c r="A5588" t="inlineStr">
        <is>
          <t>d0d7861372c4b545496c2a2b5c4a62e3</t>
        </is>
      </c>
      <c r="B5588" s="29" t="n">
        <v>43220</v>
      </c>
      <c r="C5588" t="inlineStr">
        <is>
          <t>2018-04</t>
        </is>
      </c>
      <c r="D5588" t="inlineStr">
        <is>
          <t>557cc18ae3b10b7fd35fbed2019910b1</t>
        </is>
      </c>
      <c r="E5588" t="inlineStr">
        <is>
          <t>unknown</t>
        </is>
      </c>
      <c r="F5588">
        <f>IFERROR(MATCH(A5588,Deals!$A$2:$A$843,0),"")</f>
        <v/>
      </c>
      <c r="G5588">
        <f>IF(F5588="",0,1)</f>
        <v/>
      </c>
      <c r="H5588" s="29">
        <f>IF(F5588="","",INDEX(Deals!$E$2:$E$843,F5588))</f>
        <v/>
      </c>
      <c r="I5588">
        <f>IF(F5588="","",INDEX(Deals!$D$2:$D$843,F5588))</f>
        <v/>
      </c>
      <c r="J5588">
        <f>IF(F5588="","",INT(H5588)-B5588)</f>
        <v/>
      </c>
      <c r="K5588">
        <f>IF(B5588&gt;=Settings!$C$5,1,0)</f>
        <v/>
      </c>
    </row>
    <row r="5589">
      <c r="A5589" t="inlineStr">
        <is>
          <t>576cfa55f705a769f6bfe050f89469ea</t>
        </is>
      </c>
      <c r="B5589" s="29" t="n">
        <v>43154</v>
      </c>
      <c r="C5589" t="inlineStr">
        <is>
          <t>2018-02</t>
        </is>
      </c>
      <c r="D5589" t="inlineStr">
        <is>
          <t>22c29808c4f815213303f8933030604c</t>
        </is>
      </c>
      <c r="E5589" t="inlineStr">
        <is>
          <t>direct_traffic</t>
        </is>
      </c>
      <c r="F5589">
        <f>IFERROR(MATCH(A5589,Deals!$A$2:$A$843,0),"")</f>
        <v/>
      </c>
      <c r="G5589">
        <f>IF(F5589="",0,1)</f>
        <v/>
      </c>
      <c r="H5589" s="29">
        <f>IF(F5589="","",INDEX(Deals!$E$2:$E$843,F5589))</f>
        <v/>
      </c>
      <c r="I5589">
        <f>IF(F5589="","",INDEX(Deals!$D$2:$D$843,F5589))</f>
        <v/>
      </c>
      <c r="J5589">
        <f>IF(F5589="","",INT(H5589)-B5589)</f>
        <v/>
      </c>
      <c r="K5589">
        <f>IF(B5589&gt;=Settings!$C$5,1,0)</f>
        <v/>
      </c>
    </row>
    <row r="5590">
      <c r="A5590" t="inlineStr">
        <is>
          <t>5ea1e18a88ae60182918e2fd6f5c6672</t>
        </is>
      </c>
      <c r="B5590" s="29" t="n">
        <v>42970</v>
      </c>
      <c r="C5590" t="inlineStr">
        <is>
          <t>2017-08</t>
        </is>
      </c>
      <c r="D5590" t="inlineStr">
        <is>
          <t>0f25be78376bbbaba8553051e980b83c</t>
        </is>
      </c>
      <c r="E5590" t="inlineStr">
        <is>
          <t>direct_traffic</t>
        </is>
      </c>
      <c r="F5590">
        <f>IFERROR(MATCH(A5590,Deals!$A$2:$A$843,0),"")</f>
        <v/>
      </c>
      <c r="G5590">
        <f>IF(F5590="",0,1)</f>
        <v/>
      </c>
      <c r="H5590" s="29">
        <f>IF(F5590="","",INDEX(Deals!$E$2:$E$843,F5590))</f>
        <v/>
      </c>
      <c r="I5590">
        <f>IF(F5590="","",INDEX(Deals!$D$2:$D$843,F5590))</f>
        <v/>
      </c>
      <c r="J5590">
        <f>IF(F5590="","",INT(H5590)-B5590)</f>
        <v/>
      </c>
      <c r="K5590">
        <f>IF(B5590&gt;=Settings!$C$5,1,0)</f>
        <v/>
      </c>
    </row>
    <row r="5591">
      <c r="A5591" t="inlineStr">
        <is>
          <t>a8c5835600f3286c876619330295a93d</t>
        </is>
      </c>
      <c r="B5591" s="29" t="n">
        <v>43213</v>
      </c>
      <c r="C5591" t="inlineStr">
        <is>
          <t>2018-04</t>
        </is>
      </c>
      <c r="D5591" t="inlineStr">
        <is>
          <t>5da54625ee0a9560dc9b9b9f6ccb03d0</t>
        </is>
      </c>
      <c r="E5591" t="inlineStr">
        <is>
          <t>organic_search</t>
        </is>
      </c>
      <c r="F5591">
        <f>IFERROR(MATCH(A5591,Deals!$A$2:$A$843,0),"")</f>
        <v/>
      </c>
      <c r="G5591">
        <f>IF(F5591="",0,1)</f>
        <v/>
      </c>
      <c r="H5591" s="29">
        <f>IF(F5591="","",INDEX(Deals!$E$2:$E$843,F5591))</f>
        <v/>
      </c>
      <c r="I5591">
        <f>IF(F5591="","",INDEX(Deals!$D$2:$D$843,F5591))</f>
        <v/>
      </c>
      <c r="J5591">
        <f>IF(F5591="","",INT(H5591)-B5591)</f>
        <v/>
      </c>
      <c r="K5591">
        <f>IF(B5591&gt;=Settings!$C$5,1,0)</f>
        <v/>
      </c>
    </row>
    <row r="5592">
      <c r="A5592" t="inlineStr">
        <is>
          <t>4b787bf893e1d9519259a265d9fc607c</t>
        </is>
      </c>
      <c r="B5592" s="29" t="n">
        <v>43137</v>
      </c>
      <c r="C5592" t="inlineStr">
        <is>
          <t>2018-02</t>
        </is>
      </c>
      <c r="D5592" t="inlineStr">
        <is>
          <t>d45d558f0daeecf3cccdffe3c59684aa</t>
        </is>
      </c>
      <c r="E5592" t="inlineStr">
        <is>
          <t>email</t>
        </is>
      </c>
      <c r="F5592">
        <f>IFERROR(MATCH(A5592,Deals!$A$2:$A$843,0),"")</f>
        <v/>
      </c>
      <c r="G5592">
        <f>IF(F5592="",0,1)</f>
        <v/>
      </c>
      <c r="H5592" s="29">
        <f>IF(F5592="","",INDEX(Deals!$E$2:$E$843,F5592))</f>
        <v/>
      </c>
      <c r="I5592">
        <f>IF(F5592="","",INDEX(Deals!$D$2:$D$843,F5592))</f>
        <v/>
      </c>
      <c r="J5592">
        <f>IF(F5592="","",INT(H5592)-B5592)</f>
        <v/>
      </c>
      <c r="K5592">
        <f>IF(B5592&gt;=Settings!$C$5,1,0)</f>
        <v/>
      </c>
    </row>
    <row r="5593">
      <c r="A5593" t="inlineStr">
        <is>
          <t>d17b9f24d0283dea76343dd18297f806</t>
        </is>
      </c>
      <c r="B5593" s="29" t="n">
        <v>42937</v>
      </c>
      <c r="C5593" t="inlineStr">
        <is>
          <t>2017-07</t>
        </is>
      </c>
      <c r="D5593" t="inlineStr">
        <is>
          <t>91dbdf987124ca09b297bd87f06b5e64</t>
        </is>
      </c>
      <c r="E5593" t="inlineStr">
        <is>
          <t>display</t>
        </is>
      </c>
      <c r="F5593">
        <f>IFERROR(MATCH(A5593,Deals!$A$2:$A$843,0),"")</f>
        <v/>
      </c>
      <c r="G5593">
        <f>IF(F5593="",0,1)</f>
        <v/>
      </c>
      <c r="H5593" s="29">
        <f>IF(F5593="","",INDEX(Deals!$E$2:$E$843,F5593))</f>
        <v/>
      </c>
      <c r="I5593">
        <f>IF(F5593="","",INDEX(Deals!$D$2:$D$843,F5593))</f>
        <v/>
      </c>
      <c r="J5593">
        <f>IF(F5593="","",INT(H5593)-B5593)</f>
        <v/>
      </c>
      <c r="K5593">
        <f>IF(B5593&gt;=Settings!$C$5,1,0)</f>
        <v/>
      </c>
    </row>
    <row r="5594">
      <c r="A5594" t="inlineStr">
        <is>
          <t>67a83eab0da5d5e1357e82cee4ea9907</t>
        </is>
      </c>
      <c r="B5594" s="29" t="n">
        <v>42927</v>
      </c>
      <c r="C5594" t="inlineStr">
        <is>
          <t>2017-07</t>
        </is>
      </c>
      <c r="D5594" t="inlineStr">
        <is>
          <t>c754e5846c791d26b1c34070c41adf6e</t>
        </is>
      </c>
      <c r="E5594" t="inlineStr">
        <is>
          <t>other</t>
        </is>
      </c>
      <c r="F5594">
        <f>IFERROR(MATCH(A5594,Deals!$A$2:$A$843,0),"")</f>
        <v/>
      </c>
      <c r="G5594">
        <f>IF(F5594="",0,1)</f>
        <v/>
      </c>
      <c r="H5594" s="29">
        <f>IF(F5594="","",INDEX(Deals!$E$2:$E$843,F5594))</f>
        <v/>
      </c>
      <c r="I5594">
        <f>IF(F5594="","",INDEX(Deals!$D$2:$D$843,F5594))</f>
        <v/>
      </c>
      <c r="J5594">
        <f>IF(F5594="","",INT(H5594)-B5594)</f>
        <v/>
      </c>
      <c r="K5594">
        <f>IF(B5594&gt;=Settings!$C$5,1,0)</f>
        <v/>
      </c>
    </row>
    <row r="5595">
      <c r="A5595" t="inlineStr">
        <is>
          <t>6e44a15980d1d21fcbc528c9cc30556d</t>
        </is>
      </c>
      <c r="B5595" s="29" t="n">
        <v>43243</v>
      </c>
      <c r="C5595" t="inlineStr">
        <is>
          <t>2018-05</t>
        </is>
      </c>
      <c r="D5595" t="inlineStr">
        <is>
          <t>fb58285f6f6c4e504dfa628de116cae8</t>
        </is>
      </c>
      <c r="E5595" t="inlineStr">
        <is>
          <t>email</t>
        </is>
      </c>
      <c r="F5595">
        <f>IFERROR(MATCH(A5595,Deals!$A$2:$A$843,0),"")</f>
        <v/>
      </c>
      <c r="G5595">
        <f>IF(F5595="",0,1)</f>
        <v/>
      </c>
      <c r="H5595" s="29">
        <f>IF(F5595="","",INDEX(Deals!$E$2:$E$843,F5595))</f>
        <v/>
      </c>
      <c r="I5595">
        <f>IF(F5595="","",INDEX(Deals!$D$2:$D$843,F5595))</f>
        <v/>
      </c>
      <c r="J5595">
        <f>IF(F5595="","",INT(H5595)-B5595)</f>
        <v/>
      </c>
      <c r="K5595">
        <f>IF(B5595&gt;=Settings!$C$5,1,0)</f>
        <v/>
      </c>
    </row>
    <row r="5596">
      <c r="A5596" t="inlineStr">
        <is>
          <t>7ab5b50d577a49cc38fa440f0ffba2d9</t>
        </is>
      </c>
      <c r="B5596" s="29" t="n">
        <v>43110</v>
      </c>
      <c r="C5596" t="inlineStr">
        <is>
          <t>2018-01</t>
        </is>
      </c>
      <c r="D5596" t="inlineStr">
        <is>
          <t>e492ee5eaf1697716985cc6f33f9cd9b</t>
        </is>
      </c>
      <c r="E5596" t="inlineStr">
        <is>
          <t>social</t>
        </is>
      </c>
      <c r="F5596">
        <f>IFERROR(MATCH(A5596,Deals!$A$2:$A$843,0),"")</f>
        <v/>
      </c>
      <c r="G5596">
        <f>IF(F5596="",0,1)</f>
        <v/>
      </c>
      <c r="H5596" s="29">
        <f>IF(F5596="","",INDEX(Deals!$E$2:$E$843,F5596))</f>
        <v/>
      </c>
      <c r="I5596">
        <f>IF(F5596="","",INDEX(Deals!$D$2:$D$843,F5596))</f>
        <v/>
      </c>
      <c r="J5596">
        <f>IF(F5596="","",INT(H5596)-B5596)</f>
        <v/>
      </c>
      <c r="K5596">
        <f>IF(B5596&gt;=Settings!$C$5,1,0)</f>
        <v/>
      </c>
    </row>
    <row r="5597">
      <c r="A5597" t="inlineStr">
        <is>
          <t>73ce6453f3ee02be67e4bb2282b6d545</t>
        </is>
      </c>
      <c r="B5597" s="29" t="n">
        <v>43237</v>
      </c>
      <c r="C5597" t="inlineStr">
        <is>
          <t>2018-05</t>
        </is>
      </c>
      <c r="D5597" t="inlineStr">
        <is>
          <t>36525851387908b96e770b1ce5d79a43</t>
        </is>
      </c>
      <c r="E5597" t="inlineStr">
        <is>
          <t>paid_search</t>
        </is>
      </c>
      <c r="F5597">
        <f>IFERROR(MATCH(A5597,Deals!$A$2:$A$843,0),"")</f>
        <v/>
      </c>
      <c r="G5597">
        <f>IF(F5597="",0,1)</f>
        <v/>
      </c>
      <c r="H5597" s="29">
        <f>IF(F5597="","",INDEX(Deals!$E$2:$E$843,F5597))</f>
        <v/>
      </c>
      <c r="I5597">
        <f>IF(F5597="","",INDEX(Deals!$D$2:$D$843,F5597))</f>
        <v/>
      </c>
      <c r="J5597">
        <f>IF(F5597="","",INT(H5597)-B5597)</f>
        <v/>
      </c>
      <c r="K5597">
        <f>IF(B5597&gt;=Settings!$C$5,1,0)</f>
        <v/>
      </c>
    </row>
    <row r="5598">
      <c r="A5598" t="inlineStr">
        <is>
          <t>2d355489f5efbd345ef1a178219c6ced</t>
        </is>
      </c>
      <c r="B5598" s="29" t="n">
        <v>43069</v>
      </c>
      <c r="C5598" t="inlineStr">
        <is>
          <t>2017-11</t>
        </is>
      </c>
      <c r="D5598" t="inlineStr">
        <is>
          <t>f98c2bd96ac4a5d9476734e790c91384</t>
        </is>
      </c>
      <c r="E5598" t="inlineStr">
        <is>
          <t>organic_search</t>
        </is>
      </c>
      <c r="F5598">
        <f>IFERROR(MATCH(A5598,Deals!$A$2:$A$843,0),"")</f>
        <v/>
      </c>
      <c r="G5598">
        <f>IF(F5598="",0,1)</f>
        <v/>
      </c>
      <c r="H5598" s="29">
        <f>IF(F5598="","",INDEX(Deals!$E$2:$E$843,F5598))</f>
        <v/>
      </c>
      <c r="I5598">
        <f>IF(F5598="","",INDEX(Deals!$D$2:$D$843,F5598))</f>
        <v/>
      </c>
      <c r="J5598">
        <f>IF(F5598="","",INT(H5598)-B5598)</f>
        <v/>
      </c>
      <c r="K5598">
        <f>IF(B5598&gt;=Settings!$C$5,1,0)</f>
        <v/>
      </c>
    </row>
    <row r="5599">
      <c r="A5599" t="inlineStr">
        <is>
          <t>f520f65cba281c31e29c857faa651872</t>
        </is>
      </c>
      <c r="B5599" s="29" t="n">
        <v>43139</v>
      </c>
      <c r="C5599" t="inlineStr">
        <is>
          <t>2018-02</t>
        </is>
      </c>
      <c r="D5599" t="inlineStr">
        <is>
          <t>241f79c7a8fe0270f4fb79fcbbcd17ad</t>
        </is>
      </c>
      <c r="E5599" t="inlineStr">
        <is>
          <t>paid_search</t>
        </is>
      </c>
      <c r="F5599">
        <f>IFERROR(MATCH(A5599,Deals!$A$2:$A$843,0),"")</f>
        <v/>
      </c>
      <c r="G5599">
        <f>IF(F5599="",0,1)</f>
        <v/>
      </c>
      <c r="H5599" s="29">
        <f>IF(F5599="","",INDEX(Deals!$E$2:$E$843,F5599))</f>
        <v/>
      </c>
      <c r="I5599">
        <f>IF(F5599="","",INDEX(Deals!$D$2:$D$843,F5599))</f>
        <v/>
      </c>
      <c r="J5599">
        <f>IF(F5599="","",INT(H5599)-B5599)</f>
        <v/>
      </c>
      <c r="K5599">
        <f>IF(B5599&gt;=Settings!$C$5,1,0)</f>
        <v/>
      </c>
    </row>
    <row r="5600">
      <c r="A5600" t="inlineStr">
        <is>
          <t>1fe6eda65dcd46c3a5ad1789c3bf08f5</t>
        </is>
      </c>
      <c r="B5600" s="29" t="n">
        <v>43052</v>
      </c>
      <c r="C5600" t="inlineStr">
        <is>
          <t>2017-11</t>
        </is>
      </c>
      <c r="D5600" t="inlineStr">
        <is>
          <t>b76ef37428e6799c421989521c0e5077</t>
        </is>
      </c>
      <c r="E5600" t="inlineStr">
        <is>
          <t>paid_search</t>
        </is>
      </c>
      <c r="F5600">
        <f>IFERROR(MATCH(A5600,Deals!$A$2:$A$843,0),"")</f>
        <v/>
      </c>
      <c r="G5600">
        <f>IF(F5600="",0,1)</f>
        <v/>
      </c>
      <c r="H5600" s="29">
        <f>IF(F5600="","",INDEX(Deals!$E$2:$E$843,F5600))</f>
        <v/>
      </c>
      <c r="I5600">
        <f>IF(F5600="","",INDEX(Deals!$D$2:$D$843,F5600))</f>
        <v/>
      </c>
      <c r="J5600">
        <f>IF(F5600="","",INT(H5600)-B5600)</f>
        <v/>
      </c>
      <c r="K5600">
        <f>IF(B5600&gt;=Settings!$C$5,1,0)</f>
        <v/>
      </c>
    </row>
    <row r="5601">
      <c r="A5601" t="inlineStr">
        <is>
          <t>9af787c1e7409f0866ade669dba8f697</t>
        </is>
      </c>
      <c r="B5601" s="29" t="n">
        <v>43234</v>
      </c>
      <c r="C5601" t="inlineStr">
        <is>
          <t>2018-05</t>
        </is>
      </c>
      <c r="D5601" t="inlineStr">
        <is>
          <t>22c29808c4f815213303f8933030604c</t>
        </is>
      </c>
      <c r="E5601" t="inlineStr">
        <is>
          <t>organic_search</t>
        </is>
      </c>
      <c r="F5601">
        <f>IFERROR(MATCH(A5601,Deals!$A$2:$A$843,0),"")</f>
        <v/>
      </c>
      <c r="G5601">
        <f>IF(F5601="",0,1)</f>
        <v/>
      </c>
      <c r="H5601" s="29">
        <f>IF(F5601="","",INDEX(Deals!$E$2:$E$843,F5601))</f>
        <v/>
      </c>
      <c r="I5601">
        <f>IF(F5601="","",INDEX(Deals!$D$2:$D$843,F5601))</f>
        <v/>
      </c>
      <c r="J5601">
        <f>IF(F5601="","",INT(H5601)-B5601)</f>
        <v/>
      </c>
      <c r="K5601">
        <f>IF(B5601&gt;=Settings!$C$5,1,0)</f>
        <v/>
      </c>
    </row>
    <row r="5602">
      <c r="A5602" t="inlineStr">
        <is>
          <t>6e668e75a724c96385d31729d5f7759b</t>
        </is>
      </c>
      <c r="B5602" s="29" t="n">
        <v>43249</v>
      </c>
      <c r="C5602" t="inlineStr">
        <is>
          <t>2018-05</t>
        </is>
      </c>
      <c r="D5602" t="inlineStr">
        <is>
          <t>bfd05fa9f9fe2aedee539951a84f2aaf</t>
        </is>
      </c>
      <c r="E5602" t="inlineStr">
        <is>
          <t>paid_search</t>
        </is>
      </c>
      <c r="F5602">
        <f>IFERROR(MATCH(A5602,Deals!$A$2:$A$843,0),"")</f>
        <v/>
      </c>
      <c r="G5602">
        <f>IF(F5602="",0,1)</f>
        <v/>
      </c>
      <c r="H5602" s="29">
        <f>IF(F5602="","",INDEX(Deals!$E$2:$E$843,F5602))</f>
        <v/>
      </c>
      <c r="I5602">
        <f>IF(F5602="","",INDEX(Deals!$D$2:$D$843,F5602))</f>
        <v/>
      </c>
      <c r="J5602">
        <f>IF(F5602="","",INT(H5602)-B5602)</f>
        <v/>
      </c>
      <c r="K5602">
        <f>IF(B5602&gt;=Settings!$C$5,1,0)</f>
        <v/>
      </c>
    </row>
    <row r="5603">
      <c r="A5603" t="inlineStr">
        <is>
          <t>d5f8ca8f1c429e41c73b370ad2fb45a1</t>
        </is>
      </c>
      <c r="B5603" s="29" t="n">
        <v>43192</v>
      </c>
      <c r="C5603" t="inlineStr">
        <is>
          <t>2018-04</t>
        </is>
      </c>
      <c r="D5603" t="inlineStr">
        <is>
          <t>d387e61aff60919eae0a5ef1773db0db</t>
        </is>
      </c>
      <c r="E5603" t="inlineStr">
        <is>
          <t>unknown</t>
        </is>
      </c>
      <c r="F5603">
        <f>IFERROR(MATCH(A5603,Deals!$A$2:$A$843,0),"")</f>
        <v/>
      </c>
      <c r="G5603">
        <f>IF(F5603="",0,1)</f>
        <v/>
      </c>
      <c r="H5603" s="29">
        <f>IF(F5603="","",INDEX(Deals!$E$2:$E$843,F5603))</f>
        <v/>
      </c>
      <c r="I5603">
        <f>IF(F5603="","",INDEX(Deals!$D$2:$D$843,F5603))</f>
        <v/>
      </c>
      <c r="J5603">
        <f>IF(F5603="","",INT(H5603)-B5603)</f>
        <v/>
      </c>
      <c r="K5603">
        <f>IF(B5603&gt;=Settings!$C$5,1,0)</f>
        <v/>
      </c>
    </row>
    <row r="5604">
      <c r="A5604" t="inlineStr">
        <is>
          <t>fbdada1d59af082c3bc993dfb44014e7</t>
        </is>
      </c>
      <c r="B5604" s="29" t="n">
        <v>43119</v>
      </c>
      <c r="C5604" t="inlineStr">
        <is>
          <t>2018-01</t>
        </is>
      </c>
      <c r="D5604" t="inlineStr">
        <is>
          <t>b76ef37428e6799c421989521c0e5077</t>
        </is>
      </c>
      <c r="E5604" t="inlineStr">
        <is>
          <t>paid_search</t>
        </is>
      </c>
      <c r="F5604">
        <f>IFERROR(MATCH(A5604,Deals!$A$2:$A$843,0),"")</f>
        <v/>
      </c>
      <c r="G5604">
        <f>IF(F5604="",0,1)</f>
        <v/>
      </c>
      <c r="H5604" s="29">
        <f>IF(F5604="","",INDEX(Deals!$E$2:$E$843,F5604))</f>
        <v/>
      </c>
      <c r="I5604">
        <f>IF(F5604="","",INDEX(Deals!$D$2:$D$843,F5604))</f>
        <v/>
      </c>
      <c r="J5604">
        <f>IF(F5604="","",INT(H5604)-B5604)</f>
        <v/>
      </c>
      <c r="K5604">
        <f>IF(B5604&gt;=Settings!$C$5,1,0)</f>
        <v/>
      </c>
    </row>
    <row r="5605">
      <c r="A5605" t="inlineStr">
        <is>
          <t>1e012f8cfabbcde57804cdaafca52a3f</t>
        </is>
      </c>
      <c r="B5605" s="29" t="n">
        <v>43159</v>
      </c>
      <c r="C5605" t="inlineStr">
        <is>
          <t>2018-02</t>
        </is>
      </c>
      <c r="D5605" t="inlineStr">
        <is>
          <t>b6885f18d203a61176418c1fb3764815</t>
        </is>
      </c>
      <c r="E5605" t="inlineStr">
        <is>
          <t>paid_search</t>
        </is>
      </c>
      <c r="F5605">
        <f>IFERROR(MATCH(A5605,Deals!$A$2:$A$843,0),"")</f>
        <v/>
      </c>
      <c r="G5605">
        <f>IF(F5605="",0,1)</f>
        <v/>
      </c>
      <c r="H5605" s="29">
        <f>IF(F5605="","",INDEX(Deals!$E$2:$E$843,F5605))</f>
        <v/>
      </c>
      <c r="I5605">
        <f>IF(F5605="","",INDEX(Deals!$D$2:$D$843,F5605))</f>
        <v/>
      </c>
      <c r="J5605">
        <f>IF(F5605="","",INT(H5605)-B5605)</f>
        <v/>
      </c>
      <c r="K5605">
        <f>IF(B5605&gt;=Settings!$C$5,1,0)</f>
        <v/>
      </c>
    </row>
    <row r="5606">
      <c r="A5606" t="inlineStr">
        <is>
          <t>f44829a144731e7d5518b625124e3520</t>
        </is>
      </c>
      <c r="B5606" s="29" t="n">
        <v>43219</v>
      </c>
      <c r="C5606" t="inlineStr">
        <is>
          <t>2018-04</t>
        </is>
      </c>
      <c r="D5606" t="inlineStr">
        <is>
          <t>0b9430edcbf2d9a95148c806af2b6699</t>
        </is>
      </c>
      <c r="E5606" t="inlineStr">
        <is>
          <t>paid_search</t>
        </is>
      </c>
      <c r="F5606">
        <f>IFERROR(MATCH(A5606,Deals!$A$2:$A$843,0),"")</f>
        <v/>
      </c>
      <c r="G5606">
        <f>IF(F5606="",0,1)</f>
        <v/>
      </c>
      <c r="H5606" s="29">
        <f>IF(F5606="","",INDEX(Deals!$E$2:$E$843,F5606))</f>
        <v/>
      </c>
      <c r="I5606">
        <f>IF(F5606="","",INDEX(Deals!$D$2:$D$843,F5606))</f>
        <v/>
      </c>
      <c r="J5606">
        <f>IF(F5606="","",INT(H5606)-B5606)</f>
        <v/>
      </c>
      <c r="K5606">
        <f>IF(B5606&gt;=Settings!$C$5,1,0)</f>
        <v/>
      </c>
    </row>
    <row r="5607">
      <c r="A5607" t="inlineStr">
        <is>
          <t>55e3810a2d1faff97278484b2d623d56</t>
        </is>
      </c>
      <c r="B5607" s="29" t="n">
        <v>42993</v>
      </c>
      <c r="C5607" t="inlineStr">
        <is>
          <t>2017-09</t>
        </is>
      </c>
      <c r="D5607" t="inlineStr">
        <is>
          <t>a56671a54260a44923d32c2f08fad39c</t>
        </is>
      </c>
      <c r="E5607" t="inlineStr">
        <is>
          <t>unknown</t>
        </is>
      </c>
      <c r="F5607">
        <f>IFERROR(MATCH(A5607,Deals!$A$2:$A$843,0),"")</f>
        <v/>
      </c>
      <c r="G5607">
        <f>IF(F5607="",0,1)</f>
        <v/>
      </c>
      <c r="H5607" s="29">
        <f>IF(F5607="","",INDEX(Deals!$E$2:$E$843,F5607))</f>
        <v/>
      </c>
      <c r="I5607">
        <f>IF(F5607="","",INDEX(Deals!$D$2:$D$843,F5607))</f>
        <v/>
      </c>
      <c r="J5607">
        <f>IF(F5607="","",INT(H5607)-B5607)</f>
        <v/>
      </c>
      <c r="K5607">
        <f>IF(B5607&gt;=Settings!$C$5,1,0)</f>
        <v/>
      </c>
    </row>
    <row r="5608">
      <c r="A5608" t="inlineStr">
        <is>
          <t>24fc676fd9f7bba69640c6b1fd5c52f5</t>
        </is>
      </c>
      <c r="B5608" s="29" t="n">
        <v>43095</v>
      </c>
      <c r="C5608" t="inlineStr">
        <is>
          <t>2017-12</t>
        </is>
      </c>
      <c r="D5608" t="inlineStr">
        <is>
          <t>88740e65d5d6b056e0cda098e1ea6313</t>
        </is>
      </c>
      <c r="E5608" t="inlineStr">
        <is>
          <t>social</t>
        </is>
      </c>
      <c r="F5608">
        <f>IFERROR(MATCH(A5608,Deals!$A$2:$A$843,0),"")</f>
        <v/>
      </c>
      <c r="G5608">
        <f>IF(F5608="",0,1)</f>
        <v/>
      </c>
      <c r="H5608" s="29">
        <f>IF(F5608="","",INDEX(Deals!$E$2:$E$843,F5608))</f>
        <v/>
      </c>
      <c r="I5608">
        <f>IF(F5608="","",INDEX(Deals!$D$2:$D$843,F5608))</f>
        <v/>
      </c>
      <c r="J5608">
        <f>IF(F5608="","",INT(H5608)-B5608)</f>
        <v/>
      </c>
      <c r="K5608">
        <f>IF(B5608&gt;=Settings!$C$5,1,0)</f>
        <v/>
      </c>
    </row>
    <row r="5609">
      <c r="A5609" t="inlineStr">
        <is>
          <t>d14cb406f01f8101884d7cf81981d8bb</t>
        </is>
      </c>
      <c r="B5609" s="29" t="n">
        <v>43236</v>
      </c>
      <c r="C5609" t="inlineStr">
        <is>
          <t>2018-05</t>
        </is>
      </c>
      <c r="D5609" t="inlineStr">
        <is>
          <t>58326e62183c14b0c03085c33b9fdc44</t>
        </is>
      </c>
      <c r="E5609" t="inlineStr">
        <is>
          <t>social</t>
        </is>
      </c>
      <c r="F5609">
        <f>IFERROR(MATCH(A5609,Deals!$A$2:$A$843,0),"")</f>
        <v/>
      </c>
      <c r="G5609">
        <f>IF(F5609="",0,1)</f>
        <v/>
      </c>
      <c r="H5609" s="29">
        <f>IF(F5609="","",INDEX(Deals!$E$2:$E$843,F5609))</f>
        <v/>
      </c>
      <c r="I5609">
        <f>IF(F5609="","",INDEX(Deals!$D$2:$D$843,F5609))</f>
        <v/>
      </c>
      <c r="J5609">
        <f>IF(F5609="","",INT(H5609)-B5609)</f>
        <v/>
      </c>
      <c r="K5609">
        <f>IF(B5609&gt;=Settings!$C$5,1,0)</f>
        <v/>
      </c>
    </row>
    <row r="5610">
      <c r="A5610" t="inlineStr">
        <is>
          <t>b58373020d885480d72acd5a1f2d0bd7</t>
        </is>
      </c>
      <c r="B5610" s="29" t="n">
        <v>43203</v>
      </c>
      <c r="C5610" t="inlineStr">
        <is>
          <t>2018-04</t>
        </is>
      </c>
      <c r="D5610" t="inlineStr">
        <is>
          <t>40dec9f3d5259a3d2dbcdab2114fae47</t>
        </is>
      </c>
      <c r="E5610" t="inlineStr">
        <is>
          <t>paid_search</t>
        </is>
      </c>
      <c r="F5610">
        <f>IFERROR(MATCH(A5610,Deals!$A$2:$A$843,0),"")</f>
        <v/>
      </c>
      <c r="G5610">
        <f>IF(F5610="",0,1)</f>
        <v/>
      </c>
      <c r="H5610" s="29">
        <f>IF(F5610="","",INDEX(Deals!$E$2:$E$843,F5610))</f>
        <v/>
      </c>
      <c r="I5610">
        <f>IF(F5610="","",INDEX(Deals!$D$2:$D$843,F5610))</f>
        <v/>
      </c>
      <c r="J5610">
        <f>IF(F5610="","",INT(H5610)-B5610)</f>
        <v/>
      </c>
      <c r="K5610">
        <f>IF(B5610&gt;=Settings!$C$5,1,0)</f>
        <v/>
      </c>
    </row>
    <row r="5611">
      <c r="A5611" t="inlineStr">
        <is>
          <t>e58a6112b6124519bd5144ffd354e6f3</t>
        </is>
      </c>
      <c r="B5611" s="29" t="n">
        <v>43040</v>
      </c>
      <c r="C5611" t="inlineStr">
        <is>
          <t>2017-11</t>
        </is>
      </c>
      <c r="D5611" t="inlineStr">
        <is>
          <t>b76ef37428e6799c421989521c0e5077</t>
        </is>
      </c>
      <c r="E5611" t="inlineStr">
        <is>
          <t>unknown</t>
        </is>
      </c>
      <c r="F5611">
        <f>IFERROR(MATCH(A5611,Deals!$A$2:$A$843,0),"")</f>
        <v/>
      </c>
      <c r="G5611">
        <f>IF(F5611="",0,1)</f>
        <v/>
      </c>
      <c r="H5611" s="29">
        <f>IF(F5611="","",INDEX(Deals!$E$2:$E$843,F5611))</f>
        <v/>
      </c>
      <c r="I5611">
        <f>IF(F5611="","",INDEX(Deals!$D$2:$D$843,F5611))</f>
        <v/>
      </c>
      <c r="J5611">
        <f>IF(F5611="","",INT(H5611)-B5611)</f>
        <v/>
      </c>
      <c r="K5611">
        <f>IF(B5611&gt;=Settings!$C$5,1,0)</f>
        <v/>
      </c>
    </row>
    <row r="5612">
      <c r="A5612" t="inlineStr">
        <is>
          <t>8e4e56370bcbc15a4fa145816c52f32a</t>
        </is>
      </c>
      <c r="B5612" s="29" t="n">
        <v>43035</v>
      </c>
      <c r="C5612" t="inlineStr">
        <is>
          <t>2017-10</t>
        </is>
      </c>
      <c r="D5612" t="inlineStr">
        <is>
          <t>3b86d7e8c33da2767ad2af9782f383d5</t>
        </is>
      </c>
      <c r="E5612" t="inlineStr">
        <is>
          <t>other</t>
        </is>
      </c>
      <c r="F5612">
        <f>IFERROR(MATCH(A5612,Deals!$A$2:$A$843,0),"")</f>
        <v/>
      </c>
      <c r="G5612">
        <f>IF(F5612="",0,1)</f>
        <v/>
      </c>
      <c r="H5612" s="29">
        <f>IF(F5612="","",INDEX(Deals!$E$2:$E$843,F5612))</f>
        <v/>
      </c>
      <c r="I5612">
        <f>IF(F5612="","",INDEX(Deals!$D$2:$D$843,F5612))</f>
        <v/>
      </c>
      <c r="J5612">
        <f>IF(F5612="","",INT(H5612)-B5612)</f>
        <v/>
      </c>
      <c r="K5612">
        <f>IF(B5612&gt;=Settings!$C$5,1,0)</f>
        <v/>
      </c>
    </row>
    <row r="5613">
      <c r="A5613" t="inlineStr">
        <is>
          <t>30c1778642a506dbd803a0fa5ece533e</t>
        </is>
      </c>
      <c r="B5613" s="29" t="n">
        <v>42996</v>
      </c>
      <c r="C5613" t="inlineStr">
        <is>
          <t>2017-09</t>
        </is>
      </c>
      <c r="D5613" t="inlineStr">
        <is>
          <t>22c29808c4f815213303f8933030604c</t>
        </is>
      </c>
      <c r="E5613" t="inlineStr">
        <is>
          <t>organic_search</t>
        </is>
      </c>
      <c r="F5613">
        <f>IFERROR(MATCH(A5613,Deals!$A$2:$A$843,0),"")</f>
        <v/>
      </c>
      <c r="G5613">
        <f>IF(F5613="",0,1)</f>
        <v/>
      </c>
      <c r="H5613" s="29">
        <f>IF(F5613="","",INDEX(Deals!$E$2:$E$843,F5613))</f>
        <v/>
      </c>
      <c r="I5613">
        <f>IF(F5613="","",INDEX(Deals!$D$2:$D$843,F5613))</f>
        <v/>
      </c>
      <c r="J5613">
        <f>IF(F5613="","",INT(H5613)-B5613)</f>
        <v/>
      </c>
      <c r="K5613">
        <f>IF(B5613&gt;=Settings!$C$5,1,0)</f>
        <v/>
      </c>
    </row>
    <row r="5614">
      <c r="A5614" t="inlineStr">
        <is>
          <t>95f2351eb791917e3e1cee823cf25969</t>
        </is>
      </c>
      <c r="B5614" s="29" t="n">
        <v>43208</v>
      </c>
      <c r="C5614" t="inlineStr">
        <is>
          <t>2018-04</t>
        </is>
      </c>
      <c r="D5614" t="inlineStr">
        <is>
          <t>33751088e4687d1b6b2424b9e5e67979</t>
        </is>
      </c>
      <c r="E5614" t="inlineStr">
        <is>
          <t>unknown</t>
        </is>
      </c>
      <c r="F5614">
        <f>IFERROR(MATCH(A5614,Deals!$A$2:$A$843,0),"")</f>
        <v/>
      </c>
      <c r="G5614">
        <f>IF(F5614="",0,1)</f>
        <v/>
      </c>
      <c r="H5614" s="29">
        <f>IF(F5614="","",INDEX(Deals!$E$2:$E$843,F5614))</f>
        <v/>
      </c>
      <c r="I5614">
        <f>IF(F5614="","",INDEX(Deals!$D$2:$D$843,F5614))</f>
        <v/>
      </c>
      <c r="J5614">
        <f>IF(F5614="","",INT(H5614)-B5614)</f>
        <v/>
      </c>
      <c r="K5614">
        <f>IF(B5614&gt;=Settings!$C$5,1,0)</f>
        <v/>
      </c>
    </row>
    <row r="5615">
      <c r="A5615" t="inlineStr">
        <is>
          <t>608e33c508c8e2d769272e3b0d4a3c06</t>
        </is>
      </c>
      <c r="B5615" s="29" t="n">
        <v>43201</v>
      </c>
      <c r="C5615" t="inlineStr">
        <is>
          <t>2018-04</t>
        </is>
      </c>
      <c r="D5615" t="inlineStr">
        <is>
          <t>b76ef37428e6799c421989521c0e5077</t>
        </is>
      </c>
      <c r="E5615" t="inlineStr">
        <is>
          <t>unknown</t>
        </is>
      </c>
      <c r="F5615">
        <f>IFERROR(MATCH(A5615,Deals!$A$2:$A$843,0),"")</f>
        <v/>
      </c>
      <c r="G5615">
        <f>IF(F5615="",0,1)</f>
        <v/>
      </c>
      <c r="H5615" s="29">
        <f>IF(F5615="","",INDEX(Deals!$E$2:$E$843,F5615))</f>
        <v/>
      </c>
      <c r="I5615">
        <f>IF(F5615="","",INDEX(Deals!$D$2:$D$843,F5615))</f>
        <v/>
      </c>
      <c r="J5615">
        <f>IF(F5615="","",INT(H5615)-B5615)</f>
        <v/>
      </c>
      <c r="K5615">
        <f>IF(B5615&gt;=Settings!$C$5,1,0)</f>
        <v/>
      </c>
    </row>
    <row r="5616">
      <c r="A5616" t="inlineStr">
        <is>
          <t>e5204077564bd260afdcd598f8048f45</t>
        </is>
      </c>
      <c r="B5616" s="29" t="n">
        <v>43145</v>
      </c>
      <c r="C5616" t="inlineStr">
        <is>
          <t>2018-02</t>
        </is>
      </c>
      <c r="D5616" t="inlineStr">
        <is>
          <t>e492ee5eaf1697716985cc6f33f9cd9b</t>
        </is>
      </c>
      <c r="E5616" t="inlineStr">
        <is>
          <t>referral</t>
        </is>
      </c>
      <c r="F5616">
        <f>IFERROR(MATCH(A5616,Deals!$A$2:$A$843,0),"")</f>
        <v/>
      </c>
      <c r="G5616">
        <f>IF(F5616="",0,1)</f>
        <v/>
      </c>
      <c r="H5616" s="29">
        <f>IF(F5616="","",INDEX(Deals!$E$2:$E$843,F5616))</f>
        <v/>
      </c>
      <c r="I5616">
        <f>IF(F5616="","",INDEX(Deals!$D$2:$D$843,F5616))</f>
        <v/>
      </c>
      <c r="J5616">
        <f>IF(F5616="","",INT(H5616)-B5616)</f>
        <v/>
      </c>
      <c r="K5616">
        <f>IF(B5616&gt;=Settings!$C$5,1,0)</f>
        <v/>
      </c>
    </row>
    <row r="5617">
      <c r="A5617" t="inlineStr">
        <is>
          <t>be583bd016a46688a00c319e7042dfa4</t>
        </is>
      </c>
      <c r="B5617" s="29" t="n">
        <v>43222</v>
      </c>
      <c r="C5617" t="inlineStr">
        <is>
          <t>2018-05</t>
        </is>
      </c>
      <c r="D5617" t="inlineStr">
        <is>
          <t>b76ef37428e6799c421989521c0e5077</t>
        </is>
      </c>
      <c r="E5617" t="inlineStr">
        <is>
          <t>organic_search</t>
        </is>
      </c>
      <c r="F5617">
        <f>IFERROR(MATCH(A5617,Deals!$A$2:$A$843,0),"")</f>
        <v/>
      </c>
      <c r="G5617">
        <f>IF(F5617="",0,1)</f>
        <v/>
      </c>
      <c r="H5617" s="29">
        <f>IF(F5617="","",INDEX(Deals!$E$2:$E$843,F5617))</f>
        <v/>
      </c>
      <c r="I5617">
        <f>IF(F5617="","",INDEX(Deals!$D$2:$D$843,F5617))</f>
        <v/>
      </c>
      <c r="J5617">
        <f>IF(F5617="","",INT(H5617)-B5617)</f>
        <v/>
      </c>
      <c r="K5617">
        <f>IF(B5617&gt;=Settings!$C$5,1,0)</f>
        <v/>
      </c>
    </row>
    <row r="5618">
      <c r="A5618" t="inlineStr">
        <is>
          <t>fdf37bf43895111c28b572a5ce87545f</t>
        </is>
      </c>
      <c r="B5618" s="29" t="n">
        <v>43102</v>
      </c>
      <c r="C5618" t="inlineStr">
        <is>
          <t>2018-01</t>
        </is>
      </c>
      <c r="D5618" t="inlineStr">
        <is>
          <t>241f79c7a8fe0270f4fb79fcbbcd17ad</t>
        </is>
      </c>
      <c r="E5618" t="inlineStr">
        <is>
          <t>paid_search</t>
        </is>
      </c>
      <c r="F5618">
        <f>IFERROR(MATCH(A5618,Deals!$A$2:$A$843,0),"")</f>
        <v/>
      </c>
      <c r="G5618">
        <f>IF(F5618="",0,1)</f>
        <v/>
      </c>
      <c r="H5618" s="29">
        <f>IF(F5618="","",INDEX(Deals!$E$2:$E$843,F5618))</f>
        <v/>
      </c>
      <c r="I5618">
        <f>IF(F5618="","",INDEX(Deals!$D$2:$D$843,F5618))</f>
        <v/>
      </c>
      <c r="J5618">
        <f>IF(F5618="","",INT(H5618)-B5618)</f>
        <v/>
      </c>
      <c r="K5618">
        <f>IF(B5618&gt;=Settings!$C$5,1,0)</f>
        <v/>
      </c>
    </row>
    <row r="5619">
      <c r="A5619" t="inlineStr">
        <is>
          <t>eb7dc89b44cdaf01b7128e9c939ac234</t>
        </is>
      </c>
      <c r="B5619" s="29" t="n">
        <v>42956</v>
      </c>
      <c r="C5619" t="inlineStr">
        <is>
          <t>2017-08</t>
        </is>
      </c>
      <c r="D5619" t="inlineStr">
        <is>
          <t>241f79c7a8fe0270f4fb79fcbbcd17ad</t>
        </is>
      </c>
      <c r="E5619" t="inlineStr">
        <is>
          <t>unknown</t>
        </is>
      </c>
      <c r="F5619">
        <f>IFERROR(MATCH(A5619,Deals!$A$2:$A$843,0),"")</f>
        <v/>
      </c>
      <c r="G5619">
        <f>IF(F5619="",0,1)</f>
        <v/>
      </c>
      <c r="H5619" s="29">
        <f>IF(F5619="","",INDEX(Deals!$E$2:$E$843,F5619))</f>
        <v/>
      </c>
      <c r="I5619">
        <f>IF(F5619="","",INDEX(Deals!$D$2:$D$843,F5619))</f>
        <v/>
      </c>
      <c r="J5619">
        <f>IF(F5619="","",INT(H5619)-B5619)</f>
        <v/>
      </c>
      <c r="K5619">
        <f>IF(B5619&gt;=Settings!$C$5,1,0)</f>
        <v/>
      </c>
    </row>
    <row r="5620">
      <c r="A5620" t="inlineStr">
        <is>
          <t>4388a23da67b154b780b78dd7ea4636e</t>
        </is>
      </c>
      <c r="B5620" s="29" t="n">
        <v>43162</v>
      </c>
      <c r="C5620" t="inlineStr">
        <is>
          <t>2018-03</t>
        </is>
      </c>
      <c r="D5620" t="inlineStr">
        <is>
          <t>f017be4dbf86243af5c1ebed0cff36a2</t>
        </is>
      </c>
      <c r="E5620" t="inlineStr">
        <is>
          <t>organic_search</t>
        </is>
      </c>
      <c r="F5620">
        <f>IFERROR(MATCH(A5620,Deals!$A$2:$A$843,0),"")</f>
        <v/>
      </c>
      <c r="G5620">
        <f>IF(F5620="",0,1)</f>
        <v/>
      </c>
      <c r="H5620" s="29">
        <f>IF(F5620="","",INDEX(Deals!$E$2:$E$843,F5620))</f>
        <v/>
      </c>
      <c r="I5620">
        <f>IF(F5620="","",INDEX(Deals!$D$2:$D$843,F5620))</f>
        <v/>
      </c>
      <c r="J5620">
        <f>IF(F5620="","",INT(H5620)-B5620)</f>
        <v/>
      </c>
      <c r="K5620">
        <f>IF(B5620&gt;=Settings!$C$5,1,0)</f>
        <v/>
      </c>
    </row>
    <row r="5621">
      <c r="A5621" t="inlineStr">
        <is>
          <t>47110232f53d1e4039a0c7c9e8ddad26</t>
        </is>
      </c>
      <c r="B5621" s="29" t="n">
        <v>43248</v>
      </c>
      <c r="C5621" t="inlineStr">
        <is>
          <t>2018-05</t>
        </is>
      </c>
      <c r="D5621" t="inlineStr">
        <is>
          <t>b76ef37428e6799c421989521c0e5077</t>
        </is>
      </c>
      <c r="E5621" t="inlineStr">
        <is>
          <t>unknown</t>
        </is>
      </c>
      <c r="F5621">
        <f>IFERROR(MATCH(A5621,Deals!$A$2:$A$843,0),"")</f>
        <v/>
      </c>
      <c r="G5621">
        <f>IF(F5621="",0,1)</f>
        <v/>
      </c>
      <c r="H5621" s="29">
        <f>IF(F5621="","",INDEX(Deals!$E$2:$E$843,F5621))</f>
        <v/>
      </c>
      <c r="I5621">
        <f>IF(F5621="","",INDEX(Deals!$D$2:$D$843,F5621))</f>
        <v/>
      </c>
      <c r="J5621">
        <f>IF(F5621="","",INT(H5621)-B5621)</f>
        <v/>
      </c>
      <c r="K5621">
        <f>IF(B5621&gt;=Settings!$C$5,1,0)</f>
        <v/>
      </c>
    </row>
    <row r="5622">
      <c r="A5622" t="inlineStr">
        <is>
          <t>8be3773c9891a24b804b007c6ccfe7db</t>
        </is>
      </c>
      <c r="B5622" s="29" t="n">
        <v>43063</v>
      </c>
      <c r="C5622" t="inlineStr">
        <is>
          <t>2017-11</t>
        </is>
      </c>
      <c r="D5622" t="inlineStr">
        <is>
          <t>e492ee5eaf1697716985cc6f33f9cd9b</t>
        </is>
      </c>
      <c r="E5622" t="inlineStr">
        <is>
          <t>direct_traffic</t>
        </is>
      </c>
      <c r="F5622">
        <f>IFERROR(MATCH(A5622,Deals!$A$2:$A$843,0),"")</f>
        <v/>
      </c>
      <c r="G5622">
        <f>IF(F5622="",0,1)</f>
        <v/>
      </c>
      <c r="H5622" s="29">
        <f>IF(F5622="","",INDEX(Deals!$E$2:$E$843,F5622))</f>
        <v/>
      </c>
      <c r="I5622">
        <f>IF(F5622="","",INDEX(Deals!$D$2:$D$843,F5622))</f>
        <v/>
      </c>
      <c r="J5622">
        <f>IF(F5622="","",INT(H5622)-B5622)</f>
        <v/>
      </c>
      <c r="K5622">
        <f>IF(B5622&gt;=Settings!$C$5,1,0)</f>
        <v/>
      </c>
    </row>
    <row r="5623">
      <c r="A5623" t="inlineStr">
        <is>
          <t>a356772cee0a2c1abf6c06c84ecb543a</t>
        </is>
      </c>
      <c r="B5623" s="29" t="n">
        <v>43195</v>
      </c>
      <c r="C5623" t="inlineStr">
        <is>
          <t>2018-04</t>
        </is>
      </c>
      <c r="D5623" t="inlineStr">
        <is>
          <t>22c29808c4f815213303f8933030604c</t>
        </is>
      </c>
      <c r="E5623" t="inlineStr">
        <is>
          <t>paid_search</t>
        </is>
      </c>
      <c r="F5623">
        <f>IFERROR(MATCH(A5623,Deals!$A$2:$A$843,0),"")</f>
        <v/>
      </c>
      <c r="G5623">
        <f>IF(F5623="",0,1)</f>
        <v/>
      </c>
      <c r="H5623" s="29">
        <f>IF(F5623="","",INDEX(Deals!$E$2:$E$843,F5623))</f>
        <v/>
      </c>
      <c r="I5623">
        <f>IF(F5623="","",INDEX(Deals!$D$2:$D$843,F5623))</f>
        <v/>
      </c>
      <c r="J5623">
        <f>IF(F5623="","",INT(H5623)-B5623)</f>
        <v/>
      </c>
      <c r="K5623">
        <f>IF(B5623&gt;=Settings!$C$5,1,0)</f>
        <v/>
      </c>
    </row>
    <row r="5624">
      <c r="A5624" t="inlineStr">
        <is>
          <t>242c1eebf6c9cd4523eb187d543a65b5</t>
        </is>
      </c>
      <c r="B5624" s="29" t="n">
        <v>42984</v>
      </c>
      <c r="C5624" t="inlineStr">
        <is>
          <t>2017-09</t>
        </is>
      </c>
      <c r="D5624" t="inlineStr">
        <is>
          <t>b76ef37428e6799c421989521c0e5077</t>
        </is>
      </c>
      <c r="E5624" t="inlineStr">
        <is>
          <t>unknown</t>
        </is>
      </c>
      <c r="F5624">
        <f>IFERROR(MATCH(A5624,Deals!$A$2:$A$843,0),"")</f>
        <v/>
      </c>
      <c r="G5624">
        <f>IF(F5624="",0,1)</f>
        <v/>
      </c>
      <c r="H5624" s="29">
        <f>IF(F5624="","",INDEX(Deals!$E$2:$E$843,F5624))</f>
        <v/>
      </c>
      <c r="I5624">
        <f>IF(F5624="","",INDEX(Deals!$D$2:$D$843,F5624))</f>
        <v/>
      </c>
      <c r="J5624">
        <f>IF(F5624="","",INT(H5624)-B5624)</f>
        <v/>
      </c>
      <c r="K5624">
        <f>IF(B5624&gt;=Settings!$C$5,1,0)</f>
        <v/>
      </c>
    </row>
    <row r="5625">
      <c r="A5625" t="inlineStr">
        <is>
          <t>75151da8b881b77d075fbe45c47cef39</t>
        </is>
      </c>
      <c r="B5625" s="29" t="n">
        <v>43110</v>
      </c>
      <c r="C5625" t="inlineStr">
        <is>
          <t>2018-01</t>
        </is>
      </c>
      <c r="D5625" t="inlineStr">
        <is>
          <t>b76ef37428e6799c421989521c0e5077</t>
        </is>
      </c>
      <c r="E5625" t="inlineStr">
        <is>
          <t>unknown</t>
        </is>
      </c>
      <c r="F5625">
        <f>IFERROR(MATCH(A5625,Deals!$A$2:$A$843,0),"")</f>
        <v/>
      </c>
      <c r="G5625">
        <f>IF(F5625="",0,1)</f>
        <v/>
      </c>
      <c r="H5625" s="29">
        <f>IF(F5625="","",INDEX(Deals!$E$2:$E$843,F5625))</f>
        <v/>
      </c>
      <c r="I5625">
        <f>IF(F5625="","",INDEX(Deals!$D$2:$D$843,F5625))</f>
        <v/>
      </c>
      <c r="J5625">
        <f>IF(F5625="","",INT(H5625)-B5625)</f>
        <v/>
      </c>
      <c r="K5625">
        <f>IF(B5625&gt;=Settings!$C$5,1,0)</f>
        <v/>
      </c>
    </row>
    <row r="5626">
      <c r="A5626" t="inlineStr">
        <is>
          <t>969d53a568dfbaf6bb929d69917b34fa</t>
        </is>
      </c>
      <c r="B5626" s="29" t="n">
        <v>43130</v>
      </c>
      <c r="C5626" t="inlineStr">
        <is>
          <t>2018-01</t>
        </is>
      </c>
      <c r="D5626" t="inlineStr">
        <is>
          <t>241f79c7a8fe0270f4fb79fcbbcd17ad</t>
        </is>
      </c>
      <c r="E5626" t="inlineStr">
        <is>
          <t>organic_search</t>
        </is>
      </c>
      <c r="F5626">
        <f>IFERROR(MATCH(A5626,Deals!$A$2:$A$843,0),"")</f>
        <v/>
      </c>
      <c r="G5626">
        <f>IF(F5626="",0,1)</f>
        <v/>
      </c>
      <c r="H5626" s="29">
        <f>IF(F5626="","",INDEX(Deals!$E$2:$E$843,F5626))</f>
        <v/>
      </c>
      <c r="I5626">
        <f>IF(F5626="","",INDEX(Deals!$D$2:$D$843,F5626))</f>
        <v/>
      </c>
      <c r="J5626">
        <f>IF(F5626="","",INT(H5626)-B5626)</f>
        <v/>
      </c>
      <c r="K5626">
        <f>IF(B5626&gt;=Settings!$C$5,1,0)</f>
        <v/>
      </c>
    </row>
    <row r="5627">
      <c r="A5627" t="inlineStr">
        <is>
          <t>c262b62c257bb4e97a9618c9bf4bacf5</t>
        </is>
      </c>
      <c r="B5627" s="29" t="n">
        <v>43209</v>
      </c>
      <c r="C5627" t="inlineStr">
        <is>
          <t>2018-04</t>
        </is>
      </c>
      <c r="D5627" t="inlineStr">
        <is>
          <t>d28554990d8c5273fedfde51f1f8a59d</t>
        </is>
      </c>
      <c r="E5627" t="inlineStr">
        <is>
          <t>email</t>
        </is>
      </c>
      <c r="F5627">
        <f>IFERROR(MATCH(A5627,Deals!$A$2:$A$843,0),"")</f>
        <v/>
      </c>
      <c r="G5627">
        <f>IF(F5627="",0,1)</f>
        <v/>
      </c>
      <c r="H5627" s="29">
        <f>IF(F5627="","",INDEX(Deals!$E$2:$E$843,F5627))</f>
        <v/>
      </c>
      <c r="I5627">
        <f>IF(F5627="","",INDEX(Deals!$D$2:$D$843,F5627))</f>
        <v/>
      </c>
      <c r="J5627">
        <f>IF(F5627="","",INT(H5627)-B5627)</f>
        <v/>
      </c>
      <c r="K5627">
        <f>IF(B5627&gt;=Settings!$C$5,1,0)</f>
        <v/>
      </c>
    </row>
    <row r="5628">
      <c r="A5628" t="inlineStr">
        <is>
          <t>cf7928afd766844e654110a341cb111c</t>
        </is>
      </c>
      <c r="B5628" s="29" t="n">
        <v>43147</v>
      </c>
      <c r="C5628" t="inlineStr">
        <is>
          <t>2018-02</t>
        </is>
      </c>
      <c r="D5628" t="inlineStr">
        <is>
          <t>b76ef37428e6799c421989521c0e5077</t>
        </is>
      </c>
      <c r="E5628" t="inlineStr">
        <is>
          <t>unknown</t>
        </is>
      </c>
      <c r="F5628">
        <f>IFERROR(MATCH(A5628,Deals!$A$2:$A$843,0),"")</f>
        <v/>
      </c>
      <c r="G5628">
        <f>IF(F5628="",0,1)</f>
        <v/>
      </c>
      <c r="H5628" s="29">
        <f>IF(F5628="","",INDEX(Deals!$E$2:$E$843,F5628))</f>
        <v/>
      </c>
      <c r="I5628">
        <f>IF(F5628="","",INDEX(Deals!$D$2:$D$843,F5628))</f>
        <v/>
      </c>
      <c r="J5628">
        <f>IF(F5628="","",INT(H5628)-B5628)</f>
        <v/>
      </c>
      <c r="K5628">
        <f>IF(B5628&gt;=Settings!$C$5,1,0)</f>
        <v/>
      </c>
    </row>
    <row r="5629">
      <c r="A5629" t="inlineStr">
        <is>
          <t>5d582c50afcf15d63acdfa2df2f088e6</t>
        </is>
      </c>
      <c r="B5629" s="29" t="n">
        <v>43187</v>
      </c>
      <c r="C5629" t="inlineStr">
        <is>
          <t>2018-03</t>
        </is>
      </c>
      <c r="D5629" t="inlineStr">
        <is>
          <t>22c29808c4f815213303f8933030604c</t>
        </is>
      </c>
      <c r="E5629" t="inlineStr">
        <is>
          <t>direct_traffic</t>
        </is>
      </c>
      <c r="F5629">
        <f>IFERROR(MATCH(A5629,Deals!$A$2:$A$843,0),"")</f>
        <v/>
      </c>
      <c r="G5629">
        <f>IF(F5629="",0,1)</f>
        <v/>
      </c>
      <c r="H5629" s="29">
        <f>IF(F5629="","",INDEX(Deals!$E$2:$E$843,F5629))</f>
        <v/>
      </c>
      <c r="I5629">
        <f>IF(F5629="","",INDEX(Deals!$D$2:$D$843,F5629))</f>
        <v/>
      </c>
      <c r="J5629">
        <f>IF(F5629="","",INT(H5629)-B5629)</f>
        <v/>
      </c>
      <c r="K5629">
        <f>IF(B5629&gt;=Settings!$C$5,1,0)</f>
        <v/>
      </c>
    </row>
    <row r="5630">
      <c r="A5630" t="inlineStr">
        <is>
          <t>dae5531698b0b237ea3a4d56ce1a4686</t>
        </is>
      </c>
      <c r="B5630" s="29" t="n">
        <v>43193</v>
      </c>
      <c r="C5630" t="inlineStr">
        <is>
          <t>2018-04</t>
        </is>
      </c>
      <c r="D5630" t="inlineStr">
        <is>
          <t>b76ef37428e6799c421989521c0e5077</t>
        </is>
      </c>
      <c r="E5630" t="inlineStr">
        <is>
          <t>unknown</t>
        </is>
      </c>
      <c r="F5630">
        <f>IFERROR(MATCH(A5630,Deals!$A$2:$A$843,0),"")</f>
        <v/>
      </c>
      <c r="G5630">
        <f>IF(F5630="",0,1)</f>
        <v/>
      </c>
      <c r="H5630" s="29">
        <f>IF(F5630="","",INDEX(Deals!$E$2:$E$843,F5630))</f>
        <v/>
      </c>
      <c r="I5630">
        <f>IF(F5630="","",INDEX(Deals!$D$2:$D$843,F5630))</f>
        <v/>
      </c>
      <c r="J5630">
        <f>IF(F5630="","",INT(H5630)-B5630)</f>
        <v/>
      </c>
      <c r="K5630">
        <f>IF(B5630&gt;=Settings!$C$5,1,0)</f>
        <v/>
      </c>
    </row>
    <row r="5631">
      <c r="A5631" t="inlineStr">
        <is>
          <t>09d84d6a2ab34c961430012c98a75627</t>
        </is>
      </c>
      <c r="B5631" s="29" t="n">
        <v>43192</v>
      </c>
      <c r="C5631" t="inlineStr">
        <is>
          <t>2018-04</t>
        </is>
      </c>
      <c r="D5631" t="inlineStr">
        <is>
          <t>87e8cbe800fd79c7109fb24081c1c31d</t>
        </is>
      </c>
      <c r="E5631" t="inlineStr">
        <is>
          <t>paid_search</t>
        </is>
      </c>
      <c r="F5631">
        <f>IFERROR(MATCH(A5631,Deals!$A$2:$A$843,0),"")</f>
        <v/>
      </c>
      <c r="G5631">
        <f>IF(F5631="",0,1)</f>
        <v/>
      </c>
      <c r="H5631" s="29">
        <f>IF(F5631="","",INDEX(Deals!$E$2:$E$843,F5631))</f>
        <v/>
      </c>
      <c r="I5631">
        <f>IF(F5631="","",INDEX(Deals!$D$2:$D$843,F5631))</f>
        <v/>
      </c>
      <c r="J5631">
        <f>IF(F5631="","",INT(H5631)-B5631)</f>
        <v/>
      </c>
      <c r="K5631">
        <f>IF(B5631&gt;=Settings!$C$5,1,0)</f>
        <v/>
      </c>
    </row>
    <row r="5632">
      <c r="A5632" t="inlineStr">
        <is>
          <t>75179ec48bcbbdd4fbd025a4db2dc3b8</t>
        </is>
      </c>
      <c r="B5632" s="29" t="n">
        <v>42975</v>
      </c>
      <c r="C5632" t="inlineStr">
        <is>
          <t>2017-08</t>
        </is>
      </c>
      <c r="D5632" t="inlineStr">
        <is>
          <t>f017be4dbf86243af5c1ebed0cff36a2</t>
        </is>
      </c>
      <c r="E5632" t="inlineStr">
        <is>
          <t>organic_search</t>
        </is>
      </c>
      <c r="F5632">
        <f>IFERROR(MATCH(A5632,Deals!$A$2:$A$843,0),"")</f>
        <v/>
      </c>
      <c r="G5632">
        <f>IF(F5632="",0,1)</f>
        <v/>
      </c>
      <c r="H5632" s="29">
        <f>IF(F5632="","",INDEX(Deals!$E$2:$E$843,F5632))</f>
        <v/>
      </c>
      <c r="I5632">
        <f>IF(F5632="","",INDEX(Deals!$D$2:$D$843,F5632))</f>
        <v/>
      </c>
      <c r="J5632">
        <f>IF(F5632="","",INT(H5632)-B5632)</f>
        <v/>
      </c>
      <c r="K5632">
        <f>IF(B5632&gt;=Settings!$C$5,1,0)</f>
        <v/>
      </c>
    </row>
    <row r="5633">
      <c r="A5633" t="inlineStr">
        <is>
          <t>2c442f7c8951648fc9fa4c84f479ec40</t>
        </is>
      </c>
      <c r="B5633" s="29" t="n">
        <v>42957</v>
      </c>
      <c r="C5633" t="inlineStr">
        <is>
          <t>2017-08</t>
        </is>
      </c>
      <c r="D5633" t="inlineStr">
        <is>
          <t>c555aa36478386fdf85a2d0ca5cd0ff8</t>
        </is>
      </c>
      <c r="E5633" t="inlineStr">
        <is>
          <t>unknown</t>
        </is>
      </c>
      <c r="F5633">
        <f>IFERROR(MATCH(A5633,Deals!$A$2:$A$843,0),"")</f>
        <v/>
      </c>
      <c r="G5633">
        <f>IF(F5633="",0,1)</f>
        <v/>
      </c>
      <c r="H5633" s="29">
        <f>IF(F5633="","",INDEX(Deals!$E$2:$E$843,F5633))</f>
        <v/>
      </c>
      <c r="I5633">
        <f>IF(F5633="","",INDEX(Deals!$D$2:$D$843,F5633))</f>
        <v/>
      </c>
      <c r="J5633">
        <f>IF(F5633="","",INT(H5633)-B5633)</f>
        <v/>
      </c>
      <c r="K5633">
        <f>IF(B5633&gt;=Settings!$C$5,1,0)</f>
        <v/>
      </c>
    </row>
    <row r="5634">
      <c r="A5634" t="inlineStr">
        <is>
          <t>cd57f0e0803b1de501b6a3d9b38f4173</t>
        </is>
      </c>
      <c r="B5634" s="29" t="n">
        <v>43213</v>
      </c>
      <c r="C5634" t="inlineStr">
        <is>
          <t>2018-04</t>
        </is>
      </c>
      <c r="D5634" t="inlineStr">
        <is>
          <t>58326e62183c14b0c03085c33b9fdc44</t>
        </is>
      </c>
      <c r="E5634" t="inlineStr">
        <is>
          <t>social</t>
        </is>
      </c>
      <c r="F5634">
        <f>IFERROR(MATCH(A5634,Deals!$A$2:$A$843,0),"")</f>
        <v/>
      </c>
      <c r="G5634">
        <f>IF(F5634="",0,1)</f>
        <v/>
      </c>
      <c r="H5634" s="29">
        <f>IF(F5634="","",INDEX(Deals!$E$2:$E$843,F5634))</f>
        <v/>
      </c>
      <c r="I5634">
        <f>IF(F5634="","",INDEX(Deals!$D$2:$D$843,F5634))</f>
        <v/>
      </c>
      <c r="J5634">
        <f>IF(F5634="","",INT(H5634)-B5634)</f>
        <v/>
      </c>
      <c r="K5634">
        <f>IF(B5634&gt;=Settings!$C$5,1,0)</f>
        <v/>
      </c>
    </row>
    <row r="5635">
      <c r="A5635" t="inlineStr">
        <is>
          <t>bd47dc58209bc820d555f935bf055e40</t>
        </is>
      </c>
      <c r="B5635" s="29" t="n">
        <v>43135</v>
      </c>
      <c r="C5635" t="inlineStr">
        <is>
          <t>2018-02</t>
        </is>
      </c>
      <c r="D5635" t="inlineStr">
        <is>
          <t>0218f6be0b76aca72ab4d00ee9e8cf10</t>
        </is>
      </c>
      <c r="E5635" t="inlineStr">
        <is>
          <t>paid_search</t>
        </is>
      </c>
      <c r="F5635">
        <f>IFERROR(MATCH(A5635,Deals!$A$2:$A$843,0),"")</f>
        <v/>
      </c>
      <c r="G5635">
        <f>IF(F5635="",0,1)</f>
        <v/>
      </c>
      <c r="H5635" s="29">
        <f>IF(F5635="","",INDEX(Deals!$E$2:$E$843,F5635))</f>
        <v/>
      </c>
      <c r="I5635">
        <f>IF(F5635="","",INDEX(Deals!$D$2:$D$843,F5635))</f>
        <v/>
      </c>
      <c r="J5635">
        <f>IF(F5635="","",INT(H5635)-B5635)</f>
        <v/>
      </c>
      <c r="K5635">
        <f>IF(B5635&gt;=Settings!$C$5,1,0)</f>
        <v/>
      </c>
    </row>
    <row r="5636">
      <c r="A5636" t="inlineStr">
        <is>
          <t>8257329475414b1eaf3dc731440e01a7</t>
        </is>
      </c>
      <c r="B5636" s="29" t="n">
        <v>43130</v>
      </c>
      <c r="C5636" t="inlineStr">
        <is>
          <t>2018-01</t>
        </is>
      </c>
      <c r="D5636" t="inlineStr">
        <is>
          <t>22c29808c4f815213303f8933030604c</t>
        </is>
      </c>
      <c r="E5636" t="inlineStr">
        <is>
          <t>organic_search</t>
        </is>
      </c>
      <c r="F5636">
        <f>IFERROR(MATCH(A5636,Deals!$A$2:$A$843,0),"")</f>
        <v/>
      </c>
      <c r="G5636">
        <f>IF(F5636="",0,1)</f>
        <v/>
      </c>
      <c r="H5636" s="29">
        <f>IF(F5636="","",INDEX(Deals!$E$2:$E$843,F5636))</f>
        <v/>
      </c>
      <c r="I5636">
        <f>IF(F5636="","",INDEX(Deals!$D$2:$D$843,F5636))</f>
        <v/>
      </c>
      <c r="J5636">
        <f>IF(F5636="","",INT(H5636)-B5636)</f>
        <v/>
      </c>
      <c r="K5636">
        <f>IF(B5636&gt;=Settings!$C$5,1,0)</f>
        <v/>
      </c>
    </row>
    <row r="5637">
      <c r="A5637" t="inlineStr">
        <is>
          <t>d388a37fd8f568450551b51ae4d2f124</t>
        </is>
      </c>
      <c r="B5637" s="29" t="n">
        <v>43192</v>
      </c>
      <c r="C5637" t="inlineStr">
        <is>
          <t>2018-04</t>
        </is>
      </c>
      <c r="D5637" t="inlineStr">
        <is>
          <t>40dec9f3d5259a3d2dbcdab2114fae47</t>
        </is>
      </c>
      <c r="E5637" t="inlineStr">
        <is>
          <t>organic_search</t>
        </is>
      </c>
      <c r="F5637">
        <f>IFERROR(MATCH(A5637,Deals!$A$2:$A$843,0),"")</f>
        <v/>
      </c>
      <c r="G5637">
        <f>IF(F5637="",0,1)</f>
        <v/>
      </c>
      <c r="H5637" s="29">
        <f>IF(F5637="","",INDEX(Deals!$E$2:$E$843,F5637))</f>
        <v/>
      </c>
      <c r="I5637">
        <f>IF(F5637="","",INDEX(Deals!$D$2:$D$843,F5637))</f>
        <v/>
      </c>
      <c r="J5637">
        <f>IF(F5637="","",INT(H5637)-B5637)</f>
        <v/>
      </c>
      <c r="K5637">
        <f>IF(B5637&gt;=Settings!$C$5,1,0)</f>
        <v/>
      </c>
    </row>
    <row r="5638">
      <c r="A5638" t="inlineStr">
        <is>
          <t>38320d1a1dd66d409ee7fdf1bf175ae2</t>
        </is>
      </c>
      <c r="B5638" s="29" t="n">
        <v>43210</v>
      </c>
      <c r="C5638" t="inlineStr">
        <is>
          <t>2018-04</t>
        </is>
      </c>
      <c r="D5638" t="inlineStr">
        <is>
          <t>f017be4dbf86243af5c1ebed0cff36a2</t>
        </is>
      </c>
      <c r="E5638" t="inlineStr">
        <is>
          <t>organic_search</t>
        </is>
      </c>
      <c r="F5638">
        <f>IFERROR(MATCH(A5638,Deals!$A$2:$A$843,0),"")</f>
        <v/>
      </c>
      <c r="G5638">
        <f>IF(F5638="",0,1)</f>
        <v/>
      </c>
      <c r="H5638" s="29">
        <f>IF(F5638="","",INDEX(Deals!$E$2:$E$843,F5638))</f>
        <v/>
      </c>
      <c r="I5638">
        <f>IF(F5638="","",INDEX(Deals!$D$2:$D$843,F5638))</f>
        <v/>
      </c>
      <c r="J5638">
        <f>IF(F5638="","",INT(H5638)-B5638)</f>
        <v/>
      </c>
      <c r="K5638">
        <f>IF(B5638&gt;=Settings!$C$5,1,0)</f>
        <v/>
      </c>
    </row>
    <row r="5639">
      <c r="A5639" t="inlineStr">
        <is>
          <t>72462991dba2e16e1588d4af1293ae58</t>
        </is>
      </c>
      <c r="B5639" s="29" t="n">
        <v>43160</v>
      </c>
      <c r="C5639" t="inlineStr">
        <is>
          <t>2018-03</t>
        </is>
      </c>
      <c r="D5639" t="inlineStr">
        <is>
          <t>313edefdee4adcd34e8cbec1854ba5a9</t>
        </is>
      </c>
      <c r="E5639" t="inlineStr">
        <is>
          <t>organic_search</t>
        </is>
      </c>
      <c r="F5639">
        <f>IFERROR(MATCH(A5639,Deals!$A$2:$A$843,0),"")</f>
        <v/>
      </c>
      <c r="G5639">
        <f>IF(F5639="",0,1)</f>
        <v/>
      </c>
      <c r="H5639" s="29">
        <f>IF(F5639="","",INDEX(Deals!$E$2:$E$843,F5639))</f>
        <v/>
      </c>
      <c r="I5639">
        <f>IF(F5639="","",INDEX(Deals!$D$2:$D$843,F5639))</f>
        <v/>
      </c>
      <c r="J5639">
        <f>IF(F5639="","",INT(H5639)-B5639)</f>
        <v/>
      </c>
      <c r="K5639">
        <f>IF(B5639&gt;=Settings!$C$5,1,0)</f>
        <v/>
      </c>
    </row>
    <row r="5640">
      <c r="A5640" t="inlineStr">
        <is>
          <t>8661d5d36e6ade1beb145e7154f96310</t>
        </is>
      </c>
      <c r="B5640" s="29" t="n">
        <v>43214</v>
      </c>
      <c r="C5640" t="inlineStr">
        <is>
          <t>2018-04</t>
        </is>
      </c>
      <c r="D5640" t="inlineStr">
        <is>
          <t>5dc848e7dd9418dffe183215b8ff0bc1</t>
        </is>
      </c>
      <c r="E5640" t="inlineStr">
        <is>
          <t>paid_search</t>
        </is>
      </c>
      <c r="F5640">
        <f>IFERROR(MATCH(A5640,Deals!$A$2:$A$843,0),"")</f>
        <v/>
      </c>
      <c r="G5640">
        <f>IF(F5640="",0,1)</f>
        <v/>
      </c>
      <c r="H5640" s="29">
        <f>IF(F5640="","",INDEX(Deals!$E$2:$E$843,F5640))</f>
        <v/>
      </c>
      <c r="I5640">
        <f>IF(F5640="","",INDEX(Deals!$D$2:$D$843,F5640))</f>
        <v/>
      </c>
      <c r="J5640">
        <f>IF(F5640="","",INT(H5640)-B5640)</f>
        <v/>
      </c>
      <c r="K5640">
        <f>IF(B5640&gt;=Settings!$C$5,1,0)</f>
        <v/>
      </c>
    </row>
    <row r="5641">
      <c r="A5641" t="inlineStr">
        <is>
          <t>4fcd88edc7247e6954911971421431fc</t>
        </is>
      </c>
      <c r="B5641" s="29" t="n">
        <v>43205</v>
      </c>
      <c r="C5641" t="inlineStr">
        <is>
          <t>2018-04</t>
        </is>
      </c>
      <c r="D5641" t="inlineStr">
        <is>
          <t>d0543cbdeb8df2ae60e7057a63bd5d39</t>
        </is>
      </c>
      <c r="E5641" t="inlineStr">
        <is>
          <t>social</t>
        </is>
      </c>
      <c r="F5641">
        <f>IFERROR(MATCH(A5641,Deals!$A$2:$A$843,0),"")</f>
        <v/>
      </c>
      <c r="G5641">
        <f>IF(F5641="",0,1)</f>
        <v/>
      </c>
      <c r="H5641" s="29">
        <f>IF(F5641="","",INDEX(Deals!$E$2:$E$843,F5641))</f>
        <v/>
      </c>
      <c r="I5641">
        <f>IF(F5641="","",INDEX(Deals!$D$2:$D$843,F5641))</f>
        <v/>
      </c>
      <c r="J5641">
        <f>IF(F5641="","",INT(H5641)-B5641)</f>
        <v/>
      </c>
      <c r="K5641">
        <f>IF(B5641&gt;=Settings!$C$5,1,0)</f>
        <v/>
      </c>
    </row>
    <row r="5642">
      <c r="A5642" t="inlineStr">
        <is>
          <t>d14f11f89a35630f8155adf7ac00e77d</t>
        </is>
      </c>
      <c r="B5642" s="29" t="n">
        <v>43098</v>
      </c>
      <c r="C5642" t="inlineStr">
        <is>
          <t>2017-12</t>
        </is>
      </c>
      <c r="D5642" t="inlineStr">
        <is>
          <t>73f31a40697cc90a86c1273563ac230e</t>
        </is>
      </c>
      <c r="E5642" t="inlineStr">
        <is>
          <t>other</t>
        </is>
      </c>
      <c r="F5642">
        <f>IFERROR(MATCH(A5642,Deals!$A$2:$A$843,0),"")</f>
        <v/>
      </c>
      <c r="G5642">
        <f>IF(F5642="",0,1)</f>
        <v/>
      </c>
      <c r="H5642" s="29">
        <f>IF(F5642="","",INDEX(Deals!$E$2:$E$843,F5642))</f>
        <v/>
      </c>
      <c r="I5642">
        <f>IF(F5642="","",INDEX(Deals!$D$2:$D$843,F5642))</f>
        <v/>
      </c>
      <c r="J5642">
        <f>IF(F5642="","",INT(H5642)-B5642)</f>
        <v/>
      </c>
      <c r="K5642">
        <f>IF(B5642&gt;=Settings!$C$5,1,0)</f>
        <v/>
      </c>
    </row>
    <row r="5643">
      <c r="A5643" t="inlineStr">
        <is>
          <t>b38cefb6fea247c75f5e6b9e0060a178</t>
        </is>
      </c>
      <c r="B5643" s="29" t="n">
        <v>43053</v>
      </c>
      <c r="C5643" t="inlineStr">
        <is>
          <t>2017-11</t>
        </is>
      </c>
      <c r="D5643" t="inlineStr">
        <is>
          <t>1722481ac9e5371e5099dea226b5421d</t>
        </is>
      </c>
      <c r="E5643" t="inlineStr">
        <is>
          <t>organic_search</t>
        </is>
      </c>
      <c r="F5643">
        <f>IFERROR(MATCH(A5643,Deals!$A$2:$A$843,0),"")</f>
        <v/>
      </c>
      <c r="G5643">
        <f>IF(F5643="",0,1)</f>
        <v/>
      </c>
      <c r="H5643" s="29">
        <f>IF(F5643="","",INDEX(Deals!$E$2:$E$843,F5643))</f>
        <v/>
      </c>
      <c r="I5643">
        <f>IF(F5643="","",INDEX(Deals!$D$2:$D$843,F5643))</f>
        <v/>
      </c>
      <c r="J5643">
        <f>IF(F5643="","",INT(H5643)-B5643)</f>
        <v/>
      </c>
      <c r="K5643">
        <f>IF(B5643&gt;=Settings!$C$5,1,0)</f>
        <v/>
      </c>
    </row>
    <row r="5644">
      <c r="A5644" t="inlineStr">
        <is>
          <t>8b42718d99b26b5eac54bc18260b8cd4</t>
        </is>
      </c>
      <c r="B5644" s="29" t="n">
        <v>42965</v>
      </c>
      <c r="C5644" t="inlineStr">
        <is>
          <t>2017-08</t>
        </is>
      </c>
      <c r="D5644" t="inlineStr">
        <is>
          <t>3cd2a8301d5395f21cdd3094c9eaa2f4</t>
        </is>
      </c>
      <c r="E5644" t="inlineStr">
        <is>
          <t>unknown</t>
        </is>
      </c>
      <c r="F5644">
        <f>IFERROR(MATCH(A5644,Deals!$A$2:$A$843,0),"")</f>
        <v/>
      </c>
      <c r="G5644">
        <f>IF(F5644="",0,1)</f>
        <v/>
      </c>
      <c r="H5644" s="29">
        <f>IF(F5644="","",INDEX(Deals!$E$2:$E$843,F5644))</f>
        <v/>
      </c>
      <c r="I5644">
        <f>IF(F5644="","",INDEX(Deals!$D$2:$D$843,F5644))</f>
        <v/>
      </c>
      <c r="J5644">
        <f>IF(F5644="","",INT(H5644)-B5644)</f>
        <v/>
      </c>
      <c r="K5644">
        <f>IF(B5644&gt;=Settings!$C$5,1,0)</f>
        <v/>
      </c>
    </row>
    <row r="5645">
      <c r="A5645" t="inlineStr">
        <is>
          <t>af20aa8cc361a5498fb417683dfd8488</t>
        </is>
      </c>
      <c r="B5645" s="29" t="n">
        <v>42943</v>
      </c>
      <c r="C5645" t="inlineStr">
        <is>
          <t>2017-07</t>
        </is>
      </c>
      <c r="D5645" t="inlineStr">
        <is>
          <t>22c29808c4f815213303f8933030604c</t>
        </is>
      </c>
      <c r="E5645" t="inlineStr">
        <is>
          <t>direct_traffic</t>
        </is>
      </c>
      <c r="F5645">
        <f>IFERROR(MATCH(A5645,Deals!$A$2:$A$843,0),"")</f>
        <v/>
      </c>
      <c r="G5645">
        <f>IF(F5645="",0,1)</f>
        <v/>
      </c>
      <c r="H5645" s="29">
        <f>IF(F5645="","",INDEX(Deals!$E$2:$E$843,F5645))</f>
        <v/>
      </c>
      <c r="I5645">
        <f>IF(F5645="","",INDEX(Deals!$D$2:$D$843,F5645))</f>
        <v/>
      </c>
      <c r="J5645">
        <f>IF(F5645="","",INT(H5645)-B5645)</f>
        <v/>
      </c>
      <c r="K5645">
        <f>IF(B5645&gt;=Settings!$C$5,1,0)</f>
        <v/>
      </c>
    </row>
    <row r="5646">
      <c r="A5646" t="inlineStr">
        <is>
          <t>72f5b0b36ff0b9d7fa00f22202ff79dc</t>
        </is>
      </c>
      <c r="B5646" s="29" t="n">
        <v>43178</v>
      </c>
      <c r="C5646" t="inlineStr">
        <is>
          <t>2018-03</t>
        </is>
      </c>
      <c r="D5646" t="inlineStr">
        <is>
          <t>36120633c8737035fbabf079082f4ec1</t>
        </is>
      </c>
      <c r="E5646" t="inlineStr">
        <is>
          <t>unknown</t>
        </is>
      </c>
      <c r="F5646">
        <f>IFERROR(MATCH(A5646,Deals!$A$2:$A$843,0),"")</f>
        <v/>
      </c>
      <c r="G5646">
        <f>IF(F5646="",0,1)</f>
        <v/>
      </c>
      <c r="H5646" s="29">
        <f>IF(F5646="","",INDEX(Deals!$E$2:$E$843,F5646))</f>
        <v/>
      </c>
      <c r="I5646">
        <f>IF(F5646="","",INDEX(Deals!$D$2:$D$843,F5646))</f>
        <v/>
      </c>
      <c r="J5646">
        <f>IF(F5646="","",INT(H5646)-B5646)</f>
        <v/>
      </c>
      <c r="K5646">
        <f>IF(B5646&gt;=Settings!$C$5,1,0)</f>
        <v/>
      </c>
    </row>
    <row r="5647">
      <c r="A5647" t="inlineStr">
        <is>
          <t>c7602768a214451d3d91346fed37176b</t>
        </is>
      </c>
      <c r="B5647" s="29" t="n">
        <v>42974</v>
      </c>
      <c r="C5647" t="inlineStr">
        <is>
          <t>2017-08</t>
        </is>
      </c>
      <c r="D5647" t="inlineStr">
        <is>
          <t>007f9098284a86ee80ddeb25d53e0af8</t>
        </is>
      </c>
      <c r="E5647" t="inlineStr">
        <is>
          <t>paid_search</t>
        </is>
      </c>
      <c r="F5647">
        <f>IFERROR(MATCH(A5647,Deals!$A$2:$A$843,0),"")</f>
        <v/>
      </c>
      <c r="G5647">
        <f>IF(F5647="",0,1)</f>
        <v/>
      </c>
      <c r="H5647" s="29">
        <f>IF(F5647="","",INDEX(Deals!$E$2:$E$843,F5647))</f>
        <v/>
      </c>
      <c r="I5647">
        <f>IF(F5647="","",INDEX(Deals!$D$2:$D$843,F5647))</f>
        <v/>
      </c>
      <c r="J5647">
        <f>IF(F5647="","",INT(H5647)-B5647)</f>
        <v/>
      </c>
      <c r="K5647">
        <f>IF(B5647&gt;=Settings!$C$5,1,0)</f>
        <v/>
      </c>
    </row>
    <row r="5648">
      <c r="A5648" t="inlineStr">
        <is>
          <t>4dc94b0c76d24ea9589a5a9d9281d005</t>
        </is>
      </c>
      <c r="B5648" s="29" t="n">
        <v>43194</v>
      </c>
      <c r="C5648" t="inlineStr">
        <is>
          <t>2018-04</t>
        </is>
      </c>
      <c r="D5648" t="inlineStr">
        <is>
          <t>649b7b8b46b254497e92038d88f6ced8</t>
        </is>
      </c>
      <c r="E5648" t="inlineStr">
        <is>
          <t>social</t>
        </is>
      </c>
      <c r="F5648">
        <f>IFERROR(MATCH(A5648,Deals!$A$2:$A$843,0),"")</f>
        <v/>
      </c>
      <c r="G5648">
        <f>IF(F5648="",0,1)</f>
        <v/>
      </c>
      <c r="H5648" s="29">
        <f>IF(F5648="","",INDEX(Deals!$E$2:$E$843,F5648))</f>
        <v/>
      </c>
      <c r="I5648">
        <f>IF(F5648="","",INDEX(Deals!$D$2:$D$843,F5648))</f>
        <v/>
      </c>
      <c r="J5648">
        <f>IF(F5648="","",INT(H5648)-B5648)</f>
        <v/>
      </c>
      <c r="K5648">
        <f>IF(B5648&gt;=Settings!$C$5,1,0)</f>
        <v/>
      </c>
    </row>
    <row r="5649">
      <c r="A5649" t="inlineStr">
        <is>
          <t>d94075b7e212f8e05575ba2079d4a321</t>
        </is>
      </c>
      <c r="B5649" s="29" t="n">
        <v>43026</v>
      </c>
      <c r="C5649" t="inlineStr">
        <is>
          <t>2017-10</t>
        </is>
      </c>
      <c r="D5649" t="inlineStr">
        <is>
          <t>1722481ac9e5371e5099dea226b5421d</t>
        </is>
      </c>
      <c r="E5649" t="inlineStr">
        <is>
          <t>organic_search</t>
        </is>
      </c>
      <c r="F5649">
        <f>IFERROR(MATCH(A5649,Deals!$A$2:$A$843,0),"")</f>
        <v/>
      </c>
      <c r="G5649">
        <f>IF(F5649="",0,1)</f>
        <v/>
      </c>
      <c r="H5649" s="29">
        <f>IF(F5649="","",INDEX(Deals!$E$2:$E$843,F5649))</f>
        <v/>
      </c>
      <c r="I5649">
        <f>IF(F5649="","",INDEX(Deals!$D$2:$D$843,F5649))</f>
        <v/>
      </c>
      <c r="J5649">
        <f>IF(F5649="","",INT(H5649)-B5649)</f>
        <v/>
      </c>
      <c r="K5649">
        <f>IF(B5649&gt;=Settings!$C$5,1,0)</f>
        <v/>
      </c>
    </row>
    <row r="5650">
      <c r="A5650" t="inlineStr">
        <is>
          <t>da9cc4cc759d7b03bba5968449c61340</t>
        </is>
      </c>
      <c r="B5650" s="29" t="n">
        <v>43069</v>
      </c>
      <c r="C5650" t="inlineStr">
        <is>
          <t>2017-11</t>
        </is>
      </c>
      <c r="D5650" t="inlineStr">
        <is>
          <t>88740e65d5d6b056e0cda098e1ea6313</t>
        </is>
      </c>
      <c r="E5650" t="inlineStr">
        <is>
          <t>social</t>
        </is>
      </c>
      <c r="F5650">
        <f>IFERROR(MATCH(A5650,Deals!$A$2:$A$843,0),"")</f>
        <v/>
      </c>
      <c r="G5650">
        <f>IF(F5650="",0,1)</f>
        <v/>
      </c>
      <c r="H5650" s="29">
        <f>IF(F5650="","",INDEX(Deals!$E$2:$E$843,F5650))</f>
        <v/>
      </c>
      <c r="I5650">
        <f>IF(F5650="","",INDEX(Deals!$D$2:$D$843,F5650))</f>
        <v/>
      </c>
      <c r="J5650">
        <f>IF(F5650="","",INT(H5650)-B5650)</f>
        <v/>
      </c>
      <c r="K5650">
        <f>IF(B5650&gt;=Settings!$C$5,1,0)</f>
        <v/>
      </c>
    </row>
    <row r="5651">
      <c r="A5651" t="inlineStr">
        <is>
          <t>2434bffa9a1ba2b3f857680a8fbb5b4f</t>
        </is>
      </c>
      <c r="B5651" s="29" t="n">
        <v>43146</v>
      </c>
      <c r="C5651" t="inlineStr">
        <is>
          <t>2018-02</t>
        </is>
      </c>
      <c r="D5651" t="inlineStr">
        <is>
          <t>b16779a74f2b20eb9a17a785519f63a0</t>
        </is>
      </c>
      <c r="E5651" t="inlineStr">
        <is>
          <t>email</t>
        </is>
      </c>
      <c r="F5651">
        <f>IFERROR(MATCH(A5651,Deals!$A$2:$A$843,0),"")</f>
        <v/>
      </c>
      <c r="G5651">
        <f>IF(F5651="",0,1)</f>
        <v/>
      </c>
      <c r="H5651" s="29">
        <f>IF(F5651="","",INDEX(Deals!$E$2:$E$843,F5651))</f>
        <v/>
      </c>
      <c r="I5651">
        <f>IF(F5651="","",INDEX(Deals!$D$2:$D$843,F5651))</f>
        <v/>
      </c>
      <c r="J5651">
        <f>IF(F5651="","",INT(H5651)-B5651)</f>
        <v/>
      </c>
      <c r="K5651">
        <f>IF(B5651&gt;=Settings!$C$5,1,0)</f>
        <v/>
      </c>
    </row>
    <row r="5652">
      <c r="A5652" t="inlineStr">
        <is>
          <t>52ef2da9af3b2fa07f204a9a0f2d3eff</t>
        </is>
      </c>
      <c r="B5652" s="29" t="n">
        <v>43041</v>
      </c>
      <c r="C5652" t="inlineStr">
        <is>
          <t>2017-11</t>
        </is>
      </c>
      <c r="D5652" t="inlineStr">
        <is>
          <t>c555aa36478386fdf85a2d0ca5cd0ff8</t>
        </is>
      </c>
      <c r="E5652" t="inlineStr">
        <is>
          <t>unknown</t>
        </is>
      </c>
      <c r="F5652">
        <f>IFERROR(MATCH(A5652,Deals!$A$2:$A$843,0),"")</f>
        <v/>
      </c>
      <c r="G5652">
        <f>IF(F5652="",0,1)</f>
        <v/>
      </c>
      <c r="H5652" s="29">
        <f>IF(F5652="","",INDEX(Deals!$E$2:$E$843,F5652))</f>
        <v/>
      </c>
      <c r="I5652">
        <f>IF(F5652="","",INDEX(Deals!$D$2:$D$843,F5652))</f>
        <v/>
      </c>
      <c r="J5652">
        <f>IF(F5652="","",INT(H5652)-B5652)</f>
        <v/>
      </c>
      <c r="K5652">
        <f>IF(B5652&gt;=Settings!$C$5,1,0)</f>
        <v/>
      </c>
    </row>
    <row r="5653">
      <c r="A5653" t="inlineStr">
        <is>
          <t>d0dde222e608c66b65d44776bd8b4092</t>
        </is>
      </c>
      <c r="B5653" s="29" t="n">
        <v>43175</v>
      </c>
      <c r="C5653" t="inlineStr">
        <is>
          <t>2018-03</t>
        </is>
      </c>
      <c r="D5653" t="inlineStr">
        <is>
          <t>e492ee5eaf1697716985cc6f33f9cd9b</t>
        </is>
      </c>
      <c r="E5653" t="inlineStr">
        <is>
          <t>organic_search</t>
        </is>
      </c>
      <c r="F5653">
        <f>IFERROR(MATCH(A5653,Deals!$A$2:$A$843,0),"")</f>
        <v/>
      </c>
      <c r="G5653">
        <f>IF(F5653="",0,1)</f>
        <v/>
      </c>
      <c r="H5653" s="29">
        <f>IF(F5653="","",INDEX(Deals!$E$2:$E$843,F5653))</f>
        <v/>
      </c>
      <c r="I5653">
        <f>IF(F5653="","",INDEX(Deals!$D$2:$D$843,F5653))</f>
        <v/>
      </c>
      <c r="J5653">
        <f>IF(F5653="","",INT(H5653)-B5653)</f>
        <v/>
      </c>
      <c r="K5653">
        <f>IF(B5653&gt;=Settings!$C$5,1,0)</f>
        <v/>
      </c>
    </row>
    <row r="5654">
      <c r="A5654" t="inlineStr">
        <is>
          <t>9fc497b1718cabc904e5af82c57bae53</t>
        </is>
      </c>
      <c r="B5654" s="29" t="n">
        <v>43172</v>
      </c>
      <c r="C5654" t="inlineStr">
        <is>
          <t>2018-03</t>
        </is>
      </c>
      <c r="D5654" t="inlineStr">
        <is>
          <t>daa9619c6f8ed06d059265dca0f9257f</t>
        </is>
      </c>
      <c r="E5654" t="inlineStr">
        <is>
          <t>email</t>
        </is>
      </c>
      <c r="F5654">
        <f>IFERROR(MATCH(A5654,Deals!$A$2:$A$843,0),"")</f>
        <v/>
      </c>
      <c r="G5654">
        <f>IF(F5654="",0,1)</f>
        <v/>
      </c>
      <c r="H5654" s="29">
        <f>IF(F5654="","",INDEX(Deals!$E$2:$E$843,F5654))</f>
        <v/>
      </c>
      <c r="I5654">
        <f>IF(F5654="","",INDEX(Deals!$D$2:$D$843,F5654))</f>
        <v/>
      </c>
      <c r="J5654">
        <f>IF(F5654="","",INT(H5654)-B5654)</f>
        <v/>
      </c>
      <c r="K5654">
        <f>IF(B5654&gt;=Settings!$C$5,1,0)</f>
        <v/>
      </c>
    </row>
    <row r="5655">
      <c r="A5655" t="inlineStr">
        <is>
          <t>33bedbbf5f4322acc36ecf15bd34cc57</t>
        </is>
      </c>
      <c r="B5655" s="29" t="n">
        <v>43120</v>
      </c>
      <c r="C5655" t="inlineStr">
        <is>
          <t>2018-01</t>
        </is>
      </c>
      <c r="D5655" t="inlineStr">
        <is>
          <t>ee3c3bad6ed3eb9d5de56688d1f9c91b</t>
        </is>
      </c>
      <c r="E5655" t="inlineStr">
        <is>
          <t>unknown</t>
        </is>
      </c>
      <c r="F5655">
        <f>IFERROR(MATCH(A5655,Deals!$A$2:$A$843,0),"")</f>
        <v/>
      </c>
      <c r="G5655">
        <f>IF(F5655="",0,1)</f>
        <v/>
      </c>
      <c r="H5655" s="29">
        <f>IF(F5655="","",INDEX(Deals!$E$2:$E$843,F5655))</f>
        <v/>
      </c>
      <c r="I5655">
        <f>IF(F5655="","",INDEX(Deals!$D$2:$D$843,F5655))</f>
        <v/>
      </c>
      <c r="J5655">
        <f>IF(F5655="","",INT(H5655)-B5655)</f>
        <v/>
      </c>
      <c r="K5655">
        <f>IF(B5655&gt;=Settings!$C$5,1,0)</f>
        <v/>
      </c>
    </row>
    <row r="5656">
      <c r="A5656" t="inlineStr">
        <is>
          <t>991dd9faea5cbc36496c78470abec386</t>
        </is>
      </c>
      <c r="B5656" s="29" t="n">
        <v>43011</v>
      </c>
      <c r="C5656" t="inlineStr">
        <is>
          <t>2017-10</t>
        </is>
      </c>
      <c r="D5656" t="inlineStr">
        <is>
          <t>65d9f9d71e562365e8b44037c2888d98</t>
        </is>
      </c>
      <c r="E5656" t="inlineStr">
        <is>
          <t>paid_search</t>
        </is>
      </c>
      <c r="F5656">
        <f>IFERROR(MATCH(A5656,Deals!$A$2:$A$843,0),"")</f>
        <v/>
      </c>
      <c r="G5656">
        <f>IF(F5656="",0,1)</f>
        <v/>
      </c>
      <c r="H5656" s="29">
        <f>IF(F5656="","",INDEX(Deals!$E$2:$E$843,F5656))</f>
        <v/>
      </c>
      <c r="I5656">
        <f>IF(F5656="","",INDEX(Deals!$D$2:$D$843,F5656))</f>
        <v/>
      </c>
      <c r="J5656">
        <f>IF(F5656="","",INT(H5656)-B5656)</f>
        <v/>
      </c>
      <c r="K5656">
        <f>IF(B5656&gt;=Settings!$C$5,1,0)</f>
        <v/>
      </c>
    </row>
    <row r="5657">
      <c r="A5657" t="inlineStr">
        <is>
          <t>c6bbc108763169e14489202ab2a296be</t>
        </is>
      </c>
      <c r="B5657" s="29" t="n">
        <v>43005</v>
      </c>
      <c r="C5657" t="inlineStr">
        <is>
          <t>2017-09</t>
        </is>
      </c>
      <c r="D5657" t="inlineStr">
        <is>
          <t>b76ef37428e6799c421989521c0e5077</t>
        </is>
      </c>
      <c r="E5657" t="inlineStr">
        <is>
          <t>organic_search</t>
        </is>
      </c>
      <c r="F5657">
        <f>IFERROR(MATCH(A5657,Deals!$A$2:$A$843,0),"")</f>
        <v/>
      </c>
      <c r="G5657">
        <f>IF(F5657="",0,1)</f>
        <v/>
      </c>
      <c r="H5657" s="29">
        <f>IF(F5657="","",INDEX(Deals!$E$2:$E$843,F5657))</f>
        <v/>
      </c>
      <c r="I5657">
        <f>IF(F5657="","",INDEX(Deals!$D$2:$D$843,F5657))</f>
        <v/>
      </c>
      <c r="J5657">
        <f>IF(F5657="","",INT(H5657)-B5657)</f>
        <v/>
      </c>
      <c r="K5657">
        <f>IF(B5657&gt;=Settings!$C$5,1,0)</f>
        <v/>
      </c>
    </row>
    <row r="5658">
      <c r="A5658" t="inlineStr">
        <is>
          <t>eeff478d896608af7e2bbda4f46445ca</t>
        </is>
      </c>
      <c r="B5658" s="29" t="n">
        <v>43001</v>
      </c>
      <c r="C5658" t="inlineStr">
        <is>
          <t>2017-09</t>
        </is>
      </c>
      <c r="D5658" t="inlineStr">
        <is>
          <t>22c29808c4f815213303f8933030604c</t>
        </is>
      </c>
      <c r="E5658" t="inlineStr">
        <is>
          <t>organic_search</t>
        </is>
      </c>
      <c r="F5658">
        <f>IFERROR(MATCH(A5658,Deals!$A$2:$A$843,0),"")</f>
        <v/>
      </c>
      <c r="G5658">
        <f>IF(F5658="",0,1)</f>
        <v/>
      </c>
      <c r="H5658" s="29">
        <f>IF(F5658="","",INDEX(Deals!$E$2:$E$843,F5658))</f>
        <v/>
      </c>
      <c r="I5658">
        <f>IF(F5658="","",INDEX(Deals!$D$2:$D$843,F5658))</f>
        <v/>
      </c>
      <c r="J5658">
        <f>IF(F5658="","",INT(H5658)-B5658)</f>
        <v/>
      </c>
      <c r="K5658">
        <f>IF(B5658&gt;=Settings!$C$5,1,0)</f>
        <v/>
      </c>
    </row>
    <row r="5659">
      <c r="A5659" t="inlineStr">
        <is>
          <t>f3005354c9b71255349c3ededee1dcf8</t>
        </is>
      </c>
      <c r="B5659" s="29" t="n">
        <v>43182</v>
      </c>
      <c r="C5659" t="inlineStr">
        <is>
          <t>2018-03</t>
        </is>
      </c>
      <c r="D5659" t="inlineStr">
        <is>
          <t>58326e62183c14b0c03085c33b9fdc44</t>
        </is>
      </c>
      <c r="E5659" t="inlineStr">
        <is>
          <t>social</t>
        </is>
      </c>
      <c r="F5659">
        <f>IFERROR(MATCH(A5659,Deals!$A$2:$A$843,0),"")</f>
        <v/>
      </c>
      <c r="G5659">
        <f>IF(F5659="",0,1)</f>
        <v/>
      </c>
      <c r="H5659" s="29">
        <f>IF(F5659="","",INDEX(Deals!$E$2:$E$843,F5659))</f>
        <v/>
      </c>
      <c r="I5659">
        <f>IF(F5659="","",INDEX(Deals!$D$2:$D$843,F5659))</f>
        <v/>
      </c>
      <c r="J5659">
        <f>IF(F5659="","",INT(H5659)-B5659)</f>
        <v/>
      </c>
      <c r="K5659">
        <f>IF(B5659&gt;=Settings!$C$5,1,0)</f>
        <v/>
      </c>
    </row>
    <row r="5660">
      <c r="A5660" t="inlineStr">
        <is>
          <t>312c605d05e4be4312b951c6ad73ba48</t>
        </is>
      </c>
      <c r="B5660" s="29" t="n">
        <v>43142</v>
      </c>
      <c r="C5660" t="inlineStr">
        <is>
          <t>2018-02</t>
        </is>
      </c>
      <c r="D5660" t="inlineStr">
        <is>
          <t>bdaeb752e5c3caa215ebe04c61e22325</t>
        </is>
      </c>
      <c r="E5660" t="inlineStr">
        <is>
          <t>organic_search</t>
        </is>
      </c>
      <c r="F5660">
        <f>IFERROR(MATCH(A5660,Deals!$A$2:$A$843,0),"")</f>
        <v/>
      </c>
      <c r="G5660">
        <f>IF(F5660="",0,1)</f>
        <v/>
      </c>
      <c r="H5660" s="29">
        <f>IF(F5660="","",INDEX(Deals!$E$2:$E$843,F5660))</f>
        <v/>
      </c>
      <c r="I5660">
        <f>IF(F5660="","",INDEX(Deals!$D$2:$D$843,F5660))</f>
        <v/>
      </c>
      <c r="J5660">
        <f>IF(F5660="","",INT(H5660)-B5660)</f>
        <v/>
      </c>
      <c r="K5660">
        <f>IF(B5660&gt;=Settings!$C$5,1,0)</f>
        <v/>
      </c>
    </row>
    <row r="5661">
      <c r="A5661" t="inlineStr">
        <is>
          <t>a42434c7a619630f358df0642b4dd7ff</t>
        </is>
      </c>
      <c r="B5661" s="29" t="n">
        <v>43236</v>
      </c>
      <c r="C5661" t="inlineStr">
        <is>
          <t>2018-05</t>
        </is>
      </c>
      <c r="D5661" t="inlineStr">
        <is>
          <t>9fa37f5177115156b1814ffc237402a6</t>
        </is>
      </c>
      <c r="E5661" t="inlineStr">
        <is>
          <t>paid_search</t>
        </is>
      </c>
      <c r="F5661">
        <f>IFERROR(MATCH(A5661,Deals!$A$2:$A$843,0),"")</f>
        <v/>
      </c>
      <c r="G5661">
        <f>IF(F5661="",0,1)</f>
        <v/>
      </c>
      <c r="H5661" s="29">
        <f>IF(F5661="","",INDEX(Deals!$E$2:$E$843,F5661))</f>
        <v/>
      </c>
      <c r="I5661">
        <f>IF(F5661="","",INDEX(Deals!$D$2:$D$843,F5661))</f>
        <v/>
      </c>
      <c r="J5661">
        <f>IF(F5661="","",INT(H5661)-B5661)</f>
        <v/>
      </c>
      <c r="K5661">
        <f>IF(B5661&gt;=Settings!$C$5,1,0)</f>
        <v/>
      </c>
    </row>
    <row r="5662">
      <c r="A5662" t="inlineStr">
        <is>
          <t>0542a734294f822ceab9fd720147c259</t>
        </is>
      </c>
      <c r="B5662" s="29" t="n">
        <v>43159</v>
      </c>
      <c r="C5662" t="inlineStr">
        <is>
          <t>2018-02</t>
        </is>
      </c>
      <c r="D5662" t="inlineStr">
        <is>
          <t>b76ef37428e6799c421989521c0e5077</t>
        </is>
      </c>
      <c r="E5662" t="inlineStr">
        <is>
          <t>paid_search</t>
        </is>
      </c>
      <c r="F5662">
        <f>IFERROR(MATCH(A5662,Deals!$A$2:$A$843,0),"")</f>
        <v/>
      </c>
      <c r="G5662">
        <f>IF(F5662="",0,1)</f>
        <v/>
      </c>
      <c r="H5662" s="29">
        <f>IF(F5662="","",INDEX(Deals!$E$2:$E$843,F5662))</f>
        <v/>
      </c>
      <c r="I5662">
        <f>IF(F5662="","",INDEX(Deals!$D$2:$D$843,F5662))</f>
        <v/>
      </c>
      <c r="J5662">
        <f>IF(F5662="","",INT(H5662)-B5662)</f>
        <v/>
      </c>
      <c r="K5662">
        <f>IF(B5662&gt;=Settings!$C$5,1,0)</f>
        <v/>
      </c>
    </row>
    <row r="5663">
      <c r="A5663" t="inlineStr">
        <is>
          <t>e36c1f9f67dcf2a9fb4cfc006658015e</t>
        </is>
      </c>
      <c r="B5663" s="29" t="n">
        <v>43164</v>
      </c>
      <c r="C5663" t="inlineStr">
        <is>
          <t>2018-03</t>
        </is>
      </c>
      <c r="D5663" t="inlineStr">
        <is>
          <t>e492ee5eaf1697716985cc6f33f9cd9b</t>
        </is>
      </c>
      <c r="E5663" t="inlineStr">
        <is>
          <t>referral</t>
        </is>
      </c>
      <c r="F5663">
        <f>IFERROR(MATCH(A5663,Deals!$A$2:$A$843,0),"")</f>
        <v/>
      </c>
      <c r="G5663">
        <f>IF(F5663="",0,1)</f>
        <v/>
      </c>
      <c r="H5663" s="29">
        <f>IF(F5663="","",INDEX(Deals!$E$2:$E$843,F5663))</f>
        <v/>
      </c>
      <c r="I5663">
        <f>IF(F5663="","",INDEX(Deals!$D$2:$D$843,F5663))</f>
        <v/>
      </c>
      <c r="J5663">
        <f>IF(F5663="","",INT(H5663)-B5663)</f>
        <v/>
      </c>
      <c r="K5663">
        <f>IF(B5663&gt;=Settings!$C$5,1,0)</f>
        <v/>
      </c>
    </row>
    <row r="5664">
      <c r="A5664" t="inlineStr">
        <is>
          <t>79c512312810d47d64a72e7b7a97789d</t>
        </is>
      </c>
      <c r="B5664" s="29" t="n">
        <v>42962</v>
      </c>
      <c r="C5664" t="inlineStr">
        <is>
          <t>2017-08</t>
        </is>
      </c>
      <c r="D5664" t="inlineStr">
        <is>
          <t>5fdaba20ee1cd0194652abb51479ddf9</t>
        </is>
      </c>
      <c r="E5664" t="inlineStr">
        <is>
          <t>referral</t>
        </is>
      </c>
      <c r="F5664">
        <f>IFERROR(MATCH(A5664,Deals!$A$2:$A$843,0),"")</f>
        <v/>
      </c>
      <c r="G5664">
        <f>IF(F5664="",0,1)</f>
        <v/>
      </c>
      <c r="H5664" s="29">
        <f>IF(F5664="","",INDEX(Deals!$E$2:$E$843,F5664))</f>
        <v/>
      </c>
      <c r="I5664">
        <f>IF(F5664="","",INDEX(Deals!$D$2:$D$843,F5664))</f>
        <v/>
      </c>
      <c r="J5664">
        <f>IF(F5664="","",INT(H5664)-B5664)</f>
        <v/>
      </c>
      <c r="K5664">
        <f>IF(B5664&gt;=Settings!$C$5,1,0)</f>
        <v/>
      </c>
    </row>
    <row r="5665">
      <c r="A5665" t="inlineStr">
        <is>
          <t>5c54c0e87e5883b70dc2488ffad09d9d</t>
        </is>
      </c>
      <c r="B5665" s="29" t="n">
        <v>43223</v>
      </c>
      <c r="C5665" t="inlineStr">
        <is>
          <t>2018-05</t>
        </is>
      </c>
      <c r="D5665" t="inlineStr">
        <is>
          <t>c1dbbbd410e1721a1932b550fdcef09b</t>
        </is>
      </c>
      <c r="E5665" t="inlineStr">
        <is>
          <t>organic_search</t>
        </is>
      </c>
      <c r="F5665">
        <f>IFERROR(MATCH(A5665,Deals!$A$2:$A$843,0),"")</f>
        <v/>
      </c>
      <c r="G5665">
        <f>IF(F5665="",0,1)</f>
        <v/>
      </c>
      <c r="H5665" s="29">
        <f>IF(F5665="","",INDEX(Deals!$E$2:$E$843,F5665))</f>
        <v/>
      </c>
      <c r="I5665">
        <f>IF(F5665="","",INDEX(Deals!$D$2:$D$843,F5665))</f>
        <v/>
      </c>
      <c r="J5665">
        <f>IF(F5665="","",INT(H5665)-B5665)</f>
        <v/>
      </c>
      <c r="K5665">
        <f>IF(B5665&gt;=Settings!$C$5,1,0)</f>
        <v/>
      </c>
    </row>
    <row r="5666">
      <c r="A5666" t="inlineStr">
        <is>
          <t>3d78a64bd504ee89441809126e5fa3da</t>
        </is>
      </c>
      <c r="B5666" s="29" t="n">
        <v>43245</v>
      </c>
      <c r="C5666" t="inlineStr">
        <is>
          <t>2018-05</t>
        </is>
      </c>
      <c r="D5666" t="inlineStr">
        <is>
          <t>b76ef37428e6799c421989521c0e5077</t>
        </is>
      </c>
      <c r="E5666" t="inlineStr">
        <is>
          <t>unknown</t>
        </is>
      </c>
      <c r="F5666">
        <f>IFERROR(MATCH(A5666,Deals!$A$2:$A$843,0),"")</f>
        <v/>
      </c>
      <c r="G5666">
        <f>IF(F5666="",0,1)</f>
        <v/>
      </c>
      <c r="H5666" s="29">
        <f>IF(F5666="","",INDEX(Deals!$E$2:$E$843,F5666))</f>
        <v/>
      </c>
      <c r="I5666">
        <f>IF(F5666="","",INDEX(Deals!$D$2:$D$843,F5666))</f>
        <v/>
      </c>
      <c r="J5666">
        <f>IF(F5666="","",INT(H5666)-B5666)</f>
        <v/>
      </c>
      <c r="K5666">
        <f>IF(B5666&gt;=Settings!$C$5,1,0)</f>
        <v/>
      </c>
    </row>
    <row r="5667">
      <c r="A5667" t="inlineStr">
        <is>
          <t>ba1022548d8bc253f6dda3144cd11ede</t>
        </is>
      </c>
      <c r="B5667" s="29" t="n">
        <v>43139</v>
      </c>
      <c r="C5667" t="inlineStr">
        <is>
          <t>2018-02</t>
        </is>
      </c>
      <c r="D5667" t="inlineStr">
        <is>
          <t>b76ef37428e6799c421989521c0e5077</t>
        </is>
      </c>
      <c r="E5667" t="inlineStr">
        <is>
          <t>unknown</t>
        </is>
      </c>
      <c r="F5667">
        <f>IFERROR(MATCH(A5667,Deals!$A$2:$A$843,0),"")</f>
        <v/>
      </c>
      <c r="G5667">
        <f>IF(F5667="",0,1)</f>
        <v/>
      </c>
      <c r="H5667" s="29">
        <f>IF(F5667="","",INDEX(Deals!$E$2:$E$843,F5667))</f>
        <v/>
      </c>
      <c r="I5667">
        <f>IF(F5667="","",INDEX(Deals!$D$2:$D$843,F5667))</f>
        <v/>
      </c>
      <c r="J5667">
        <f>IF(F5667="","",INT(H5667)-B5667)</f>
        <v/>
      </c>
      <c r="K5667">
        <f>IF(B5667&gt;=Settings!$C$5,1,0)</f>
        <v/>
      </c>
    </row>
    <row r="5668">
      <c r="A5668" t="inlineStr">
        <is>
          <t>9e5238f97bcf5cbfe605cdbed7f4e26d</t>
        </is>
      </c>
      <c r="B5668" s="29" t="n">
        <v>42970</v>
      </c>
      <c r="C5668" t="inlineStr">
        <is>
          <t>2017-08</t>
        </is>
      </c>
      <c r="D5668" t="inlineStr">
        <is>
          <t>87732658ba41d8775e8577df347a64db</t>
        </is>
      </c>
      <c r="E5668" t="inlineStr">
        <is>
          <t>social</t>
        </is>
      </c>
      <c r="F5668">
        <f>IFERROR(MATCH(A5668,Deals!$A$2:$A$843,0),"")</f>
        <v/>
      </c>
      <c r="G5668">
        <f>IF(F5668="",0,1)</f>
        <v/>
      </c>
      <c r="H5668" s="29">
        <f>IF(F5668="","",INDEX(Deals!$E$2:$E$843,F5668))</f>
        <v/>
      </c>
      <c r="I5668">
        <f>IF(F5668="","",INDEX(Deals!$D$2:$D$843,F5668))</f>
        <v/>
      </c>
      <c r="J5668">
        <f>IF(F5668="","",INT(H5668)-B5668)</f>
        <v/>
      </c>
      <c r="K5668">
        <f>IF(B5668&gt;=Settings!$C$5,1,0)</f>
        <v/>
      </c>
    </row>
    <row r="5669">
      <c r="A5669" t="inlineStr">
        <is>
          <t>1231d757a6a4e0b91af141a4f0d4dc32</t>
        </is>
      </c>
      <c r="B5669" s="29" t="n">
        <v>43095</v>
      </c>
      <c r="C5669" t="inlineStr">
        <is>
          <t>2017-12</t>
        </is>
      </c>
      <c r="D5669" t="inlineStr">
        <is>
          <t>ce1a65abd0973638f1c887a6efcfa82d</t>
        </is>
      </c>
      <c r="E5669" t="inlineStr">
        <is>
          <t>organic_search</t>
        </is>
      </c>
      <c r="F5669">
        <f>IFERROR(MATCH(A5669,Deals!$A$2:$A$843,0),"")</f>
        <v/>
      </c>
      <c r="G5669">
        <f>IF(F5669="",0,1)</f>
        <v/>
      </c>
      <c r="H5669" s="29">
        <f>IF(F5669="","",INDEX(Deals!$E$2:$E$843,F5669))</f>
        <v/>
      </c>
      <c r="I5669">
        <f>IF(F5669="","",INDEX(Deals!$D$2:$D$843,F5669))</f>
        <v/>
      </c>
      <c r="J5669">
        <f>IF(F5669="","",INT(H5669)-B5669)</f>
        <v/>
      </c>
      <c r="K5669">
        <f>IF(B5669&gt;=Settings!$C$5,1,0)</f>
        <v/>
      </c>
    </row>
    <row r="5670">
      <c r="A5670" t="inlineStr">
        <is>
          <t>9cb6ec6c0dfe6ca2675192257f617b26</t>
        </is>
      </c>
      <c r="B5670" s="29" t="n">
        <v>43130</v>
      </c>
      <c r="C5670" t="inlineStr">
        <is>
          <t>2018-01</t>
        </is>
      </c>
      <c r="D5670" t="inlineStr">
        <is>
          <t>f017be4dbf86243af5c1ebed0cff36a2</t>
        </is>
      </c>
      <c r="E5670" t="inlineStr">
        <is>
          <t>social</t>
        </is>
      </c>
      <c r="F5670">
        <f>IFERROR(MATCH(A5670,Deals!$A$2:$A$843,0),"")</f>
        <v/>
      </c>
      <c r="G5670">
        <f>IF(F5670="",0,1)</f>
        <v/>
      </c>
      <c r="H5670" s="29">
        <f>IF(F5670="","",INDEX(Deals!$E$2:$E$843,F5670))</f>
        <v/>
      </c>
      <c r="I5670">
        <f>IF(F5670="","",INDEX(Deals!$D$2:$D$843,F5670))</f>
        <v/>
      </c>
      <c r="J5670">
        <f>IF(F5670="","",INT(H5670)-B5670)</f>
        <v/>
      </c>
      <c r="K5670">
        <f>IF(B5670&gt;=Settings!$C$5,1,0)</f>
        <v/>
      </c>
    </row>
    <row r="5671">
      <c r="A5671" t="inlineStr">
        <is>
          <t>bae62bddc68200ea11b5c7bacbcb1682</t>
        </is>
      </c>
      <c r="B5671" s="29" t="n">
        <v>43216</v>
      </c>
      <c r="C5671" t="inlineStr">
        <is>
          <t>2018-04</t>
        </is>
      </c>
      <c r="D5671" t="inlineStr">
        <is>
          <t>f80696b73d17fb34f5c4fde157f119d8</t>
        </is>
      </c>
      <c r="E5671" t="inlineStr">
        <is>
          <t>paid_search</t>
        </is>
      </c>
      <c r="F5671">
        <f>IFERROR(MATCH(A5671,Deals!$A$2:$A$843,0),"")</f>
        <v/>
      </c>
      <c r="G5671">
        <f>IF(F5671="",0,1)</f>
        <v/>
      </c>
      <c r="H5671" s="29">
        <f>IF(F5671="","",INDEX(Deals!$E$2:$E$843,F5671))</f>
        <v/>
      </c>
      <c r="I5671">
        <f>IF(F5671="","",INDEX(Deals!$D$2:$D$843,F5671))</f>
        <v/>
      </c>
      <c r="J5671">
        <f>IF(F5671="","",INT(H5671)-B5671)</f>
        <v/>
      </c>
      <c r="K5671">
        <f>IF(B5671&gt;=Settings!$C$5,1,0)</f>
        <v/>
      </c>
    </row>
    <row r="5672">
      <c r="A5672" t="inlineStr">
        <is>
          <t>adca3fbbc686891075a97939f99eacfb</t>
        </is>
      </c>
      <c r="B5672" s="29" t="n">
        <v>43018</v>
      </c>
      <c r="C5672" t="inlineStr">
        <is>
          <t>2017-10</t>
        </is>
      </c>
      <c r="D5672" t="inlineStr">
        <is>
          <t>ce1a65abd0973638f1c887a6efcfa82d</t>
        </is>
      </c>
      <c r="E5672" t="inlineStr">
        <is>
          <t>paid_search</t>
        </is>
      </c>
      <c r="F5672">
        <f>IFERROR(MATCH(A5672,Deals!$A$2:$A$843,0),"")</f>
        <v/>
      </c>
      <c r="G5672">
        <f>IF(F5672="",0,1)</f>
        <v/>
      </c>
      <c r="H5672" s="29">
        <f>IF(F5672="","",INDEX(Deals!$E$2:$E$843,F5672))</f>
        <v/>
      </c>
      <c r="I5672">
        <f>IF(F5672="","",INDEX(Deals!$D$2:$D$843,F5672))</f>
        <v/>
      </c>
      <c r="J5672">
        <f>IF(F5672="","",INT(H5672)-B5672)</f>
        <v/>
      </c>
      <c r="K5672">
        <f>IF(B5672&gt;=Settings!$C$5,1,0)</f>
        <v/>
      </c>
    </row>
    <row r="5673">
      <c r="A5673" t="inlineStr">
        <is>
          <t>bf62e32cb3b29411cefd5d32858d815e</t>
        </is>
      </c>
      <c r="B5673" s="29" t="n">
        <v>43123</v>
      </c>
      <c r="C5673" t="inlineStr">
        <is>
          <t>2018-01</t>
        </is>
      </c>
      <c r="D5673" t="inlineStr">
        <is>
          <t>f017be4dbf86243af5c1ebed0cff36a2</t>
        </is>
      </c>
      <c r="E5673" t="inlineStr">
        <is>
          <t>organic_search</t>
        </is>
      </c>
      <c r="F5673">
        <f>IFERROR(MATCH(A5673,Deals!$A$2:$A$843,0),"")</f>
        <v/>
      </c>
      <c r="G5673">
        <f>IF(F5673="",0,1)</f>
        <v/>
      </c>
      <c r="H5673" s="29">
        <f>IF(F5673="","",INDEX(Deals!$E$2:$E$843,F5673))</f>
        <v/>
      </c>
      <c r="I5673">
        <f>IF(F5673="","",INDEX(Deals!$D$2:$D$843,F5673))</f>
        <v/>
      </c>
      <c r="J5673">
        <f>IF(F5673="","",INT(H5673)-B5673)</f>
        <v/>
      </c>
      <c r="K5673">
        <f>IF(B5673&gt;=Settings!$C$5,1,0)</f>
        <v/>
      </c>
    </row>
    <row r="5674">
      <c r="A5674" t="inlineStr">
        <is>
          <t>146e3dc9b45fd6b81c3788f0dc896dc8</t>
        </is>
      </c>
      <c r="B5674" s="29" t="n">
        <v>43242</v>
      </c>
      <c r="C5674" t="inlineStr">
        <is>
          <t>2018-05</t>
        </is>
      </c>
      <c r="D5674" t="inlineStr">
        <is>
          <t>22c29808c4f815213303f8933030604c</t>
        </is>
      </c>
      <c r="E5674" t="inlineStr">
        <is>
          <t>paid_search</t>
        </is>
      </c>
      <c r="F5674">
        <f>IFERROR(MATCH(A5674,Deals!$A$2:$A$843,0),"")</f>
        <v/>
      </c>
      <c r="G5674">
        <f>IF(F5674="",0,1)</f>
        <v/>
      </c>
      <c r="H5674" s="29">
        <f>IF(F5674="","",INDEX(Deals!$E$2:$E$843,F5674))</f>
        <v/>
      </c>
      <c r="I5674">
        <f>IF(F5674="","",INDEX(Deals!$D$2:$D$843,F5674))</f>
        <v/>
      </c>
      <c r="J5674">
        <f>IF(F5674="","",INT(H5674)-B5674)</f>
        <v/>
      </c>
      <c r="K5674">
        <f>IF(B5674&gt;=Settings!$C$5,1,0)</f>
        <v/>
      </c>
    </row>
    <row r="5675">
      <c r="A5675" t="inlineStr">
        <is>
          <t>c478e9df2470b2ed3fde4e7cabdfc697</t>
        </is>
      </c>
      <c r="B5675" s="29" t="n">
        <v>43228</v>
      </c>
      <c r="C5675" t="inlineStr">
        <is>
          <t>2018-05</t>
        </is>
      </c>
      <c r="D5675" t="inlineStr">
        <is>
          <t>7fa6590e1b6cc9f17eb5cfdcfad63d50</t>
        </is>
      </c>
      <c r="E5675" t="inlineStr">
        <is>
          <t>email</t>
        </is>
      </c>
      <c r="F5675">
        <f>IFERROR(MATCH(A5675,Deals!$A$2:$A$843,0),"")</f>
        <v/>
      </c>
      <c r="G5675">
        <f>IF(F5675="",0,1)</f>
        <v/>
      </c>
      <c r="H5675" s="29">
        <f>IF(F5675="","",INDEX(Deals!$E$2:$E$843,F5675))</f>
        <v/>
      </c>
      <c r="I5675">
        <f>IF(F5675="","",INDEX(Deals!$D$2:$D$843,F5675))</f>
        <v/>
      </c>
      <c r="J5675">
        <f>IF(F5675="","",INT(H5675)-B5675)</f>
        <v/>
      </c>
      <c r="K5675">
        <f>IF(B5675&gt;=Settings!$C$5,1,0)</f>
        <v/>
      </c>
    </row>
    <row r="5676">
      <c r="A5676" t="inlineStr">
        <is>
          <t>d8ee5549d305c9d259dbbf870d5bc712</t>
        </is>
      </c>
      <c r="B5676" s="29" t="n">
        <v>43172</v>
      </c>
      <c r="C5676" t="inlineStr">
        <is>
          <t>2018-03</t>
        </is>
      </c>
      <c r="D5676" t="inlineStr">
        <is>
          <t>1b29d3a0b89bc8da6df20e98dfac86f4</t>
        </is>
      </c>
      <c r="E5676" t="inlineStr">
        <is>
          <t>email</t>
        </is>
      </c>
      <c r="F5676">
        <f>IFERROR(MATCH(A5676,Deals!$A$2:$A$843,0),"")</f>
        <v/>
      </c>
      <c r="G5676">
        <f>IF(F5676="",0,1)</f>
        <v/>
      </c>
      <c r="H5676" s="29">
        <f>IF(F5676="","",INDEX(Deals!$E$2:$E$843,F5676))</f>
        <v/>
      </c>
      <c r="I5676">
        <f>IF(F5676="","",INDEX(Deals!$D$2:$D$843,F5676))</f>
        <v/>
      </c>
      <c r="J5676">
        <f>IF(F5676="","",INT(H5676)-B5676)</f>
        <v/>
      </c>
      <c r="K5676">
        <f>IF(B5676&gt;=Settings!$C$5,1,0)</f>
        <v/>
      </c>
    </row>
    <row r="5677">
      <c r="A5677" t="inlineStr">
        <is>
          <t>48d17f86af415775d5f01337a8f5e3e9</t>
        </is>
      </c>
      <c r="B5677" s="29" t="n">
        <v>43221</v>
      </c>
      <c r="C5677" t="inlineStr">
        <is>
          <t>2018-05</t>
        </is>
      </c>
      <c r="D5677" t="inlineStr">
        <is>
          <t>58326e62183c14b0c03085c33b9fdc44</t>
        </is>
      </c>
      <c r="E5677" t="inlineStr">
        <is>
          <t>social</t>
        </is>
      </c>
      <c r="F5677">
        <f>IFERROR(MATCH(A5677,Deals!$A$2:$A$843,0),"")</f>
        <v/>
      </c>
      <c r="G5677">
        <f>IF(F5677="",0,1)</f>
        <v/>
      </c>
      <c r="H5677" s="29">
        <f>IF(F5677="","",INDEX(Deals!$E$2:$E$843,F5677))</f>
        <v/>
      </c>
      <c r="I5677">
        <f>IF(F5677="","",INDEX(Deals!$D$2:$D$843,F5677))</f>
        <v/>
      </c>
      <c r="J5677">
        <f>IF(F5677="","",INT(H5677)-B5677)</f>
        <v/>
      </c>
      <c r="K5677">
        <f>IF(B5677&gt;=Settings!$C$5,1,0)</f>
        <v/>
      </c>
    </row>
    <row r="5678">
      <c r="A5678" t="inlineStr">
        <is>
          <t>c3d13b69cd6a2c973f265ad845bcbbaf</t>
        </is>
      </c>
      <c r="B5678" s="29" t="n">
        <v>43119</v>
      </c>
      <c r="C5678" t="inlineStr">
        <is>
          <t>2018-01</t>
        </is>
      </c>
      <c r="D5678" t="inlineStr">
        <is>
          <t>b48ec5f3b04e9068441002a19df93c6c</t>
        </is>
      </c>
      <c r="E5678" t="inlineStr">
        <is>
          <t>organic_search</t>
        </is>
      </c>
      <c r="F5678">
        <f>IFERROR(MATCH(A5678,Deals!$A$2:$A$843,0),"")</f>
        <v/>
      </c>
      <c r="G5678">
        <f>IF(F5678="",0,1)</f>
        <v/>
      </c>
      <c r="H5678" s="29">
        <f>IF(F5678="","",INDEX(Deals!$E$2:$E$843,F5678))</f>
        <v/>
      </c>
      <c r="I5678">
        <f>IF(F5678="","",INDEX(Deals!$D$2:$D$843,F5678))</f>
        <v/>
      </c>
      <c r="J5678">
        <f>IF(F5678="","",INT(H5678)-B5678)</f>
        <v/>
      </c>
      <c r="K5678">
        <f>IF(B5678&gt;=Settings!$C$5,1,0)</f>
        <v/>
      </c>
    </row>
    <row r="5679">
      <c r="A5679" t="inlineStr">
        <is>
          <t>84403a769c84d34088c8b19584a235ad</t>
        </is>
      </c>
      <c r="B5679" s="29" t="n">
        <v>42920</v>
      </c>
      <c r="C5679" t="inlineStr">
        <is>
          <t>2017-07</t>
        </is>
      </c>
      <c r="D5679" t="inlineStr">
        <is>
          <t>d1bad8bf984bd4d7ee08f814ca589897</t>
        </is>
      </c>
      <c r="E5679" t="inlineStr">
        <is>
          <t>paid_search</t>
        </is>
      </c>
      <c r="F5679">
        <f>IFERROR(MATCH(A5679,Deals!$A$2:$A$843,0),"")</f>
        <v/>
      </c>
      <c r="G5679">
        <f>IF(F5679="",0,1)</f>
        <v/>
      </c>
      <c r="H5679" s="29">
        <f>IF(F5679="","",INDEX(Deals!$E$2:$E$843,F5679))</f>
        <v/>
      </c>
      <c r="I5679">
        <f>IF(F5679="","",INDEX(Deals!$D$2:$D$843,F5679))</f>
        <v/>
      </c>
      <c r="J5679">
        <f>IF(F5679="","",INT(H5679)-B5679)</f>
        <v/>
      </c>
      <c r="K5679">
        <f>IF(B5679&gt;=Settings!$C$5,1,0)</f>
        <v/>
      </c>
    </row>
    <row r="5680">
      <c r="A5680" t="inlineStr">
        <is>
          <t>0a0750e9f4fb9e9bdc4c9ef6b75a532a</t>
        </is>
      </c>
      <c r="B5680" s="29" t="n">
        <v>43196</v>
      </c>
      <c r="C5680" t="inlineStr">
        <is>
          <t>2018-04</t>
        </is>
      </c>
      <c r="D5680" t="inlineStr">
        <is>
          <t>9fa37f5177115156b1814ffc237402a6</t>
        </is>
      </c>
      <c r="E5680" t="inlineStr">
        <is>
          <t>organic_search</t>
        </is>
      </c>
      <c r="F5680">
        <f>IFERROR(MATCH(A5680,Deals!$A$2:$A$843,0),"")</f>
        <v/>
      </c>
      <c r="G5680">
        <f>IF(F5680="",0,1)</f>
        <v/>
      </c>
      <c r="H5680" s="29">
        <f>IF(F5680="","",INDEX(Deals!$E$2:$E$843,F5680))</f>
        <v/>
      </c>
      <c r="I5680">
        <f>IF(F5680="","",INDEX(Deals!$D$2:$D$843,F5680))</f>
        <v/>
      </c>
      <c r="J5680">
        <f>IF(F5680="","",INT(H5680)-B5680)</f>
        <v/>
      </c>
      <c r="K5680">
        <f>IF(B5680&gt;=Settings!$C$5,1,0)</f>
        <v/>
      </c>
    </row>
    <row r="5681">
      <c r="A5681" t="inlineStr">
        <is>
          <t>0e2f500805985d5fc39fe76a9d08a705</t>
        </is>
      </c>
      <c r="B5681" s="29" t="n">
        <v>43214</v>
      </c>
      <c r="C5681" t="inlineStr">
        <is>
          <t>2018-04</t>
        </is>
      </c>
      <c r="D5681" t="inlineStr">
        <is>
          <t>58326e62183c14b0c03085c33b9fdc44</t>
        </is>
      </c>
      <c r="E5681" t="inlineStr">
        <is>
          <t>social</t>
        </is>
      </c>
      <c r="F5681">
        <f>IFERROR(MATCH(A5681,Deals!$A$2:$A$843,0),"")</f>
        <v/>
      </c>
      <c r="G5681">
        <f>IF(F5681="",0,1)</f>
        <v/>
      </c>
      <c r="H5681" s="29">
        <f>IF(F5681="","",INDEX(Deals!$E$2:$E$843,F5681))</f>
        <v/>
      </c>
      <c r="I5681">
        <f>IF(F5681="","",INDEX(Deals!$D$2:$D$843,F5681))</f>
        <v/>
      </c>
      <c r="J5681">
        <f>IF(F5681="","",INT(H5681)-B5681)</f>
        <v/>
      </c>
      <c r="K5681">
        <f>IF(B5681&gt;=Settings!$C$5,1,0)</f>
        <v/>
      </c>
    </row>
    <row r="5682">
      <c r="A5682" t="inlineStr">
        <is>
          <t>d6a1499555c182d0fa8919c666fa4710</t>
        </is>
      </c>
      <c r="B5682" s="29" t="n">
        <v>42933</v>
      </c>
      <c r="C5682" t="inlineStr">
        <is>
          <t>2017-07</t>
        </is>
      </c>
      <c r="D5682" t="inlineStr">
        <is>
          <t>6b1061553497d45f6ac9d3386b648a4d</t>
        </is>
      </c>
      <c r="E5682" t="inlineStr">
        <is>
          <t>email</t>
        </is>
      </c>
      <c r="F5682">
        <f>IFERROR(MATCH(A5682,Deals!$A$2:$A$843,0),"")</f>
        <v/>
      </c>
      <c r="G5682">
        <f>IF(F5682="",0,1)</f>
        <v/>
      </c>
      <c r="H5682" s="29">
        <f>IF(F5682="","",INDEX(Deals!$E$2:$E$843,F5682))</f>
        <v/>
      </c>
      <c r="I5682">
        <f>IF(F5682="","",INDEX(Deals!$D$2:$D$843,F5682))</f>
        <v/>
      </c>
      <c r="J5682">
        <f>IF(F5682="","",INT(H5682)-B5682)</f>
        <v/>
      </c>
      <c r="K5682">
        <f>IF(B5682&gt;=Settings!$C$5,1,0)</f>
        <v/>
      </c>
    </row>
    <row r="5683">
      <c r="A5683" t="inlineStr">
        <is>
          <t>fef6255b484a1dc0dac35fd87bb905ae</t>
        </is>
      </c>
      <c r="B5683" s="29" t="n">
        <v>43178</v>
      </c>
      <c r="C5683" t="inlineStr">
        <is>
          <t>2018-03</t>
        </is>
      </c>
      <c r="D5683" t="inlineStr">
        <is>
          <t>bddebc4f4d44106c427bd00695840e64</t>
        </is>
      </c>
      <c r="E5683" t="inlineStr">
        <is>
          <t>email</t>
        </is>
      </c>
      <c r="F5683">
        <f>IFERROR(MATCH(A5683,Deals!$A$2:$A$843,0),"")</f>
        <v/>
      </c>
      <c r="G5683">
        <f>IF(F5683="",0,1)</f>
        <v/>
      </c>
      <c r="H5683" s="29">
        <f>IF(F5683="","",INDEX(Deals!$E$2:$E$843,F5683))</f>
        <v/>
      </c>
      <c r="I5683">
        <f>IF(F5683="","",INDEX(Deals!$D$2:$D$843,F5683))</f>
        <v/>
      </c>
      <c r="J5683">
        <f>IF(F5683="","",INT(H5683)-B5683)</f>
        <v/>
      </c>
      <c r="K5683">
        <f>IF(B5683&gt;=Settings!$C$5,1,0)</f>
        <v/>
      </c>
    </row>
    <row r="5684">
      <c r="A5684" t="inlineStr">
        <is>
          <t>5f5084c97a1071545d4765468e7194f0</t>
        </is>
      </c>
      <c r="B5684" s="29" t="n">
        <v>43058</v>
      </c>
      <c r="C5684" t="inlineStr">
        <is>
          <t>2017-11</t>
        </is>
      </c>
      <c r="D5684" t="inlineStr">
        <is>
          <t>c79bafc4a099ff23e3bab1534797fb45</t>
        </is>
      </c>
      <c r="E5684" t="inlineStr">
        <is>
          <t>paid_search</t>
        </is>
      </c>
      <c r="F5684">
        <f>IFERROR(MATCH(A5684,Deals!$A$2:$A$843,0),"")</f>
        <v/>
      </c>
      <c r="G5684">
        <f>IF(F5684="",0,1)</f>
        <v/>
      </c>
      <c r="H5684" s="29">
        <f>IF(F5684="","",INDEX(Deals!$E$2:$E$843,F5684))</f>
        <v/>
      </c>
      <c r="I5684">
        <f>IF(F5684="","",INDEX(Deals!$D$2:$D$843,F5684))</f>
        <v/>
      </c>
      <c r="J5684">
        <f>IF(F5684="","",INT(H5684)-B5684)</f>
        <v/>
      </c>
      <c r="K5684">
        <f>IF(B5684&gt;=Settings!$C$5,1,0)</f>
        <v/>
      </c>
    </row>
    <row r="5685">
      <c r="A5685" t="inlineStr">
        <is>
          <t>4e8c6d5e6ce5a6bf3fe54101114aa0d9</t>
        </is>
      </c>
      <c r="B5685" s="29" t="n">
        <v>43202</v>
      </c>
      <c r="C5685" t="inlineStr">
        <is>
          <t>2018-04</t>
        </is>
      </c>
      <c r="D5685" t="inlineStr">
        <is>
          <t>b76ef37428e6799c421989521c0e5077</t>
        </is>
      </c>
      <c r="E5685" t="inlineStr">
        <is>
          <t>unknown</t>
        </is>
      </c>
      <c r="F5685">
        <f>IFERROR(MATCH(A5685,Deals!$A$2:$A$843,0),"")</f>
        <v/>
      </c>
      <c r="G5685">
        <f>IF(F5685="",0,1)</f>
        <v/>
      </c>
      <c r="H5685" s="29">
        <f>IF(F5685="","",INDEX(Deals!$E$2:$E$843,F5685))</f>
        <v/>
      </c>
      <c r="I5685">
        <f>IF(F5685="","",INDEX(Deals!$D$2:$D$843,F5685))</f>
        <v/>
      </c>
      <c r="J5685">
        <f>IF(F5685="","",INT(H5685)-B5685)</f>
        <v/>
      </c>
      <c r="K5685">
        <f>IF(B5685&gt;=Settings!$C$5,1,0)</f>
        <v/>
      </c>
    </row>
    <row r="5686">
      <c r="A5686" t="inlineStr">
        <is>
          <t>543d921c3afce2b0608c1de6dfa48ee2</t>
        </is>
      </c>
      <c r="B5686" s="29" t="n">
        <v>43137</v>
      </c>
      <c r="C5686" t="inlineStr">
        <is>
          <t>2018-02</t>
        </is>
      </c>
      <c r="D5686" t="inlineStr">
        <is>
          <t>dfc3b656bac13de62e4efca322b3f2c1</t>
        </is>
      </c>
      <c r="E5686" t="inlineStr">
        <is>
          <t>email</t>
        </is>
      </c>
      <c r="F5686">
        <f>IFERROR(MATCH(A5686,Deals!$A$2:$A$843,0),"")</f>
        <v/>
      </c>
      <c r="G5686">
        <f>IF(F5686="",0,1)</f>
        <v/>
      </c>
      <c r="H5686" s="29">
        <f>IF(F5686="","",INDEX(Deals!$E$2:$E$843,F5686))</f>
        <v/>
      </c>
      <c r="I5686">
        <f>IF(F5686="","",INDEX(Deals!$D$2:$D$843,F5686))</f>
        <v/>
      </c>
      <c r="J5686">
        <f>IF(F5686="","",INT(H5686)-B5686)</f>
        <v/>
      </c>
      <c r="K5686">
        <f>IF(B5686&gt;=Settings!$C$5,1,0)</f>
        <v/>
      </c>
    </row>
    <row r="5687">
      <c r="A5687" t="inlineStr">
        <is>
          <t>0a08889a1d62bbd68371b0b4980a09b7</t>
        </is>
      </c>
      <c r="B5687" s="29" t="n">
        <v>43123</v>
      </c>
      <c r="C5687" t="inlineStr">
        <is>
          <t>2018-01</t>
        </is>
      </c>
      <c r="D5687" t="inlineStr">
        <is>
          <t>241f79c7a8fe0270f4fb79fcbbcd17ad</t>
        </is>
      </c>
      <c r="E5687" t="inlineStr">
        <is>
          <t>paid_search</t>
        </is>
      </c>
      <c r="F5687">
        <f>IFERROR(MATCH(A5687,Deals!$A$2:$A$843,0),"")</f>
        <v/>
      </c>
      <c r="G5687">
        <f>IF(F5687="",0,1)</f>
        <v/>
      </c>
      <c r="H5687" s="29">
        <f>IF(F5687="","",INDEX(Deals!$E$2:$E$843,F5687))</f>
        <v/>
      </c>
      <c r="I5687">
        <f>IF(F5687="","",INDEX(Deals!$D$2:$D$843,F5687))</f>
        <v/>
      </c>
      <c r="J5687">
        <f>IF(F5687="","",INT(H5687)-B5687)</f>
        <v/>
      </c>
      <c r="K5687">
        <f>IF(B5687&gt;=Settings!$C$5,1,0)</f>
        <v/>
      </c>
    </row>
    <row r="5688">
      <c r="A5688" t="inlineStr">
        <is>
          <t>88227a1a686875aa865d7ecc55d440c4</t>
        </is>
      </c>
      <c r="B5688" s="29" t="n">
        <v>43217</v>
      </c>
      <c r="C5688" t="inlineStr">
        <is>
          <t>2018-04</t>
        </is>
      </c>
      <c r="D5688" t="inlineStr">
        <is>
          <t>22c29808c4f815213303f8933030604c</t>
        </is>
      </c>
      <c r="E5688" t="inlineStr">
        <is>
          <t>referral</t>
        </is>
      </c>
      <c r="F5688">
        <f>IFERROR(MATCH(A5688,Deals!$A$2:$A$843,0),"")</f>
        <v/>
      </c>
      <c r="G5688">
        <f>IF(F5688="",0,1)</f>
        <v/>
      </c>
      <c r="H5688" s="29">
        <f>IF(F5688="","",INDEX(Deals!$E$2:$E$843,F5688))</f>
        <v/>
      </c>
      <c r="I5688">
        <f>IF(F5688="","",INDEX(Deals!$D$2:$D$843,F5688))</f>
        <v/>
      </c>
      <c r="J5688">
        <f>IF(F5688="","",INT(H5688)-B5688)</f>
        <v/>
      </c>
      <c r="K5688">
        <f>IF(B5688&gt;=Settings!$C$5,1,0)</f>
        <v/>
      </c>
    </row>
    <row r="5689">
      <c r="A5689" t="inlineStr">
        <is>
          <t>9369ea6c02a23aea5374a5ef8af4aa8d</t>
        </is>
      </c>
      <c r="B5689" s="29" t="n">
        <v>43200</v>
      </c>
      <c r="C5689" t="inlineStr">
        <is>
          <t>2018-04</t>
        </is>
      </c>
      <c r="D5689" t="inlineStr">
        <is>
          <t>c494978688ccf66ad9fad3d6a3338c22</t>
        </is>
      </c>
      <c r="E5689" t="inlineStr">
        <is>
          <t>organic_search</t>
        </is>
      </c>
      <c r="F5689">
        <f>IFERROR(MATCH(A5689,Deals!$A$2:$A$843,0),"")</f>
        <v/>
      </c>
      <c r="G5689">
        <f>IF(F5689="",0,1)</f>
        <v/>
      </c>
      <c r="H5689" s="29">
        <f>IF(F5689="","",INDEX(Deals!$E$2:$E$843,F5689))</f>
        <v/>
      </c>
      <c r="I5689">
        <f>IF(F5689="","",INDEX(Deals!$D$2:$D$843,F5689))</f>
        <v/>
      </c>
      <c r="J5689">
        <f>IF(F5689="","",INT(H5689)-B5689)</f>
        <v/>
      </c>
      <c r="K5689">
        <f>IF(B5689&gt;=Settings!$C$5,1,0)</f>
        <v/>
      </c>
    </row>
    <row r="5690">
      <c r="A5690" t="inlineStr">
        <is>
          <t>3ffedfdaa29dbf097fb6724d2e890b00</t>
        </is>
      </c>
      <c r="B5690" s="29" t="n">
        <v>42948</v>
      </c>
      <c r="C5690" t="inlineStr">
        <is>
          <t>2017-08</t>
        </is>
      </c>
      <c r="D5690" t="inlineStr">
        <is>
          <t>ef0b482996664cc1107b9051efd3ca84</t>
        </is>
      </c>
      <c r="E5690" t="inlineStr">
        <is>
          <t>paid_search</t>
        </is>
      </c>
      <c r="F5690">
        <f>IFERROR(MATCH(A5690,Deals!$A$2:$A$843,0),"")</f>
        <v/>
      </c>
      <c r="G5690">
        <f>IF(F5690="",0,1)</f>
        <v/>
      </c>
      <c r="H5690" s="29">
        <f>IF(F5690="","",INDEX(Deals!$E$2:$E$843,F5690))</f>
        <v/>
      </c>
      <c r="I5690">
        <f>IF(F5690="","",INDEX(Deals!$D$2:$D$843,F5690))</f>
        <v/>
      </c>
      <c r="J5690">
        <f>IF(F5690="","",INT(H5690)-B5690)</f>
        <v/>
      </c>
      <c r="K5690">
        <f>IF(B5690&gt;=Settings!$C$5,1,0)</f>
        <v/>
      </c>
    </row>
    <row r="5691">
      <c r="A5691" t="inlineStr">
        <is>
          <t>739befafbab95d66b36ab14e9f04f86e</t>
        </is>
      </c>
      <c r="B5691" s="29" t="n">
        <v>43239</v>
      </c>
      <c r="C5691" t="inlineStr">
        <is>
          <t>2018-05</t>
        </is>
      </c>
      <c r="D5691" t="inlineStr">
        <is>
          <t>5dc848e7dd9418dffe183215b8ff0bc1</t>
        </is>
      </c>
      <c r="E5691" t="inlineStr">
        <is>
          <t>paid_search</t>
        </is>
      </c>
      <c r="F5691">
        <f>IFERROR(MATCH(A5691,Deals!$A$2:$A$843,0),"")</f>
        <v/>
      </c>
      <c r="G5691">
        <f>IF(F5691="",0,1)</f>
        <v/>
      </c>
      <c r="H5691" s="29">
        <f>IF(F5691="","",INDEX(Deals!$E$2:$E$843,F5691))</f>
        <v/>
      </c>
      <c r="I5691">
        <f>IF(F5691="","",INDEX(Deals!$D$2:$D$843,F5691))</f>
        <v/>
      </c>
      <c r="J5691">
        <f>IF(F5691="","",INT(H5691)-B5691)</f>
        <v/>
      </c>
      <c r="K5691">
        <f>IF(B5691&gt;=Settings!$C$5,1,0)</f>
        <v/>
      </c>
    </row>
    <row r="5692">
      <c r="A5692" t="inlineStr">
        <is>
          <t>b5257afcdc69a68eda5bbe0556674ce0</t>
        </is>
      </c>
      <c r="B5692" s="29" t="n">
        <v>43222</v>
      </c>
      <c r="C5692" t="inlineStr">
        <is>
          <t>2018-05</t>
        </is>
      </c>
      <c r="D5692" t="inlineStr">
        <is>
          <t>1ceb590cd1e00c7ee95220971f82693d</t>
        </is>
      </c>
      <c r="E5692" t="inlineStr">
        <is>
          <t>unknown</t>
        </is>
      </c>
      <c r="F5692">
        <f>IFERROR(MATCH(A5692,Deals!$A$2:$A$843,0),"")</f>
        <v/>
      </c>
      <c r="G5692">
        <f>IF(F5692="",0,1)</f>
        <v/>
      </c>
      <c r="H5692" s="29">
        <f>IF(F5692="","",INDEX(Deals!$E$2:$E$843,F5692))</f>
        <v/>
      </c>
      <c r="I5692">
        <f>IF(F5692="","",INDEX(Deals!$D$2:$D$843,F5692))</f>
        <v/>
      </c>
      <c r="J5692">
        <f>IF(F5692="","",INT(H5692)-B5692)</f>
        <v/>
      </c>
      <c r="K5692">
        <f>IF(B5692&gt;=Settings!$C$5,1,0)</f>
        <v/>
      </c>
    </row>
    <row r="5693">
      <c r="A5693" t="inlineStr">
        <is>
          <t>602a3d4a4c3542eef209745ec8d6fc5c</t>
        </is>
      </c>
      <c r="B5693" s="29" t="n">
        <v>43116</v>
      </c>
      <c r="C5693" t="inlineStr">
        <is>
          <t>2018-01</t>
        </is>
      </c>
      <c r="D5693" t="inlineStr">
        <is>
          <t>73f31a40697cc90a86c1273563ac230e</t>
        </is>
      </c>
      <c r="E5693" t="inlineStr">
        <is>
          <t>direct_traffic</t>
        </is>
      </c>
      <c r="F5693">
        <f>IFERROR(MATCH(A5693,Deals!$A$2:$A$843,0),"")</f>
        <v/>
      </c>
      <c r="G5693">
        <f>IF(F5693="",0,1)</f>
        <v/>
      </c>
      <c r="H5693" s="29">
        <f>IF(F5693="","",INDEX(Deals!$E$2:$E$843,F5693))</f>
        <v/>
      </c>
      <c r="I5693">
        <f>IF(F5693="","",INDEX(Deals!$D$2:$D$843,F5693))</f>
        <v/>
      </c>
      <c r="J5693">
        <f>IF(F5693="","",INT(H5693)-B5693)</f>
        <v/>
      </c>
      <c r="K5693">
        <f>IF(B5693&gt;=Settings!$C$5,1,0)</f>
        <v/>
      </c>
    </row>
    <row r="5694">
      <c r="A5694" t="inlineStr">
        <is>
          <t>ff2b066f6ec181675f7d1c0804587b96</t>
        </is>
      </c>
      <c r="B5694" s="29" t="n">
        <v>43250</v>
      </c>
      <c r="C5694" t="inlineStr">
        <is>
          <t>2018-05</t>
        </is>
      </c>
      <c r="D5694" t="inlineStr">
        <is>
          <t>7fa6214d82e911d070f51ef79381b956</t>
        </is>
      </c>
      <c r="E5694" t="inlineStr">
        <is>
          <t>direct_traffic</t>
        </is>
      </c>
      <c r="F5694">
        <f>IFERROR(MATCH(A5694,Deals!$A$2:$A$843,0),"")</f>
        <v/>
      </c>
      <c r="G5694">
        <f>IF(F5694="",0,1)</f>
        <v/>
      </c>
      <c r="H5694" s="29">
        <f>IF(F5694="","",INDEX(Deals!$E$2:$E$843,F5694))</f>
        <v/>
      </c>
      <c r="I5694">
        <f>IF(F5694="","",INDEX(Deals!$D$2:$D$843,F5694))</f>
        <v/>
      </c>
      <c r="J5694">
        <f>IF(F5694="","",INT(H5694)-B5694)</f>
        <v/>
      </c>
      <c r="K5694">
        <f>IF(B5694&gt;=Settings!$C$5,1,0)</f>
        <v/>
      </c>
    </row>
    <row r="5695">
      <c r="A5695" t="inlineStr">
        <is>
          <t>50a7d2b0a34ff60d996a9420699ba8b9</t>
        </is>
      </c>
      <c r="B5695" s="29" t="n">
        <v>43174</v>
      </c>
      <c r="C5695" t="inlineStr">
        <is>
          <t>2018-03</t>
        </is>
      </c>
      <c r="D5695" t="inlineStr">
        <is>
          <t>b76ef37428e6799c421989521c0e5077</t>
        </is>
      </c>
      <c r="E5695" t="inlineStr">
        <is>
          <t>paid_search</t>
        </is>
      </c>
      <c r="F5695">
        <f>IFERROR(MATCH(A5695,Deals!$A$2:$A$843,0),"")</f>
        <v/>
      </c>
      <c r="G5695">
        <f>IF(F5695="",0,1)</f>
        <v/>
      </c>
      <c r="H5695" s="29">
        <f>IF(F5695="","",INDEX(Deals!$E$2:$E$843,F5695))</f>
        <v/>
      </c>
      <c r="I5695">
        <f>IF(F5695="","",INDEX(Deals!$D$2:$D$843,F5695))</f>
        <v/>
      </c>
      <c r="J5695">
        <f>IF(F5695="","",INT(H5695)-B5695)</f>
        <v/>
      </c>
      <c r="K5695">
        <f>IF(B5695&gt;=Settings!$C$5,1,0)</f>
        <v/>
      </c>
    </row>
    <row r="5696">
      <c r="A5696" t="inlineStr">
        <is>
          <t>79f1792fceebfe579e9c2fe9152be983</t>
        </is>
      </c>
      <c r="B5696" s="29" t="n">
        <v>43119</v>
      </c>
      <c r="C5696" t="inlineStr">
        <is>
          <t>2018-01</t>
        </is>
      </c>
      <c r="D5696" t="inlineStr">
        <is>
          <t>8fd4f7a7c343f7d0d31ae5faf51e839d</t>
        </is>
      </c>
      <c r="E5696" t="inlineStr">
        <is>
          <t>paid_search</t>
        </is>
      </c>
      <c r="F5696">
        <f>IFERROR(MATCH(A5696,Deals!$A$2:$A$843,0),"")</f>
        <v/>
      </c>
      <c r="G5696">
        <f>IF(F5696="",0,1)</f>
        <v/>
      </c>
      <c r="H5696" s="29">
        <f>IF(F5696="","",INDEX(Deals!$E$2:$E$843,F5696))</f>
        <v/>
      </c>
      <c r="I5696">
        <f>IF(F5696="","",INDEX(Deals!$D$2:$D$843,F5696))</f>
        <v/>
      </c>
      <c r="J5696">
        <f>IF(F5696="","",INT(H5696)-B5696)</f>
        <v/>
      </c>
      <c r="K5696">
        <f>IF(B5696&gt;=Settings!$C$5,1,0)</f>
        <v/>
      </c>
    </row>
    <row r="5697">
      <c r="A5697" t="inlineStr">
        <is>
          <t>b1f390bfb86f9b048f4edecc71e79bb2</t>
        </is>
      </c>
      <c r="B5697" s="29" t="n">
        <v>42976</v>
      </c>
      <c r="C5697" t="inlineStr">
        <is>
          <t>2017-08</t>
        </is>
      </c>
      <c r="D5697" t="inlineStr">
        <is>
          <t>0f25be78376bbbaba8553051e980b83c</t>
        </is>
      </c>
      <c r="E5697" t="inlineStr">
        <is>
          <t>organic_search</t>
        </is>
      </c>
      <c r="F5697">
        <f>IFERROR(MATCH(A5697,Deals!$A$2:$A$843,0),"")</f>
        <v/>
      </c>
      <c r="G5697">
        <f>IF(F5697="",0,1)</f>
        <v/>
      </c>
      <c r="H5697" s="29">
        <f>IF(F5697="","",INDEX(Deals!$E$2:$E$843,F5697))</f>
        <v/>
      </c>
      <c r="I5697">
        <f>IF(F5697="","",INDEX(Deals!$D$2:$D$843,F5697))</f>
        <v/>
      </c>
      <c r="J5697">
        <f>IF(F5697="","",INT(H5697)-B5697)</f>
        <v/>
      </c>
      <c r="K5697">
        <f>IF(B5697&gt;=Settings!$C$5,1,0)</f>
        <v/>
      </c>
    </row>
    <row r="5698">
      <c r="A5698" t="inlineStr">
        <is>
          <t>f4abd0461a46858c25c67fba44827f91</t>
        </is>
      </c>
      <c r="B5698" s="29" t="n">
        <v>43214</v>
      </c>
      <c r="C5698" t="inlineStr">
        <is>
          <t>2018-04</t>
        </is>
      </c>
      <c r="D5698" t="inlineStr">
        <is>
          <t>9fa37f5177115156b1814ffc237402a6</t>
        </is>
      </c>
      <c r="E5698" t="inlineStr">
        <is>
          <t>paid_search</t>
        </is>
      </c>
      <c r="F5698">
        <f>IFERROR(MATCH(A5698,Deals!$A$2:$A$843,0),"")</f>
        <v/>
      </c>
      <c r="G5698">
        <f>IF(F5698="",0,1)</f>
        <v/>
      </c>
      <c r="H5698" s="29">
        <f>IF(F5698="","",INDEX(Deals!$E$2:$E$843,F5698))</f>
        <v/>
      </c>
      <c r="I5698">
        <f>IF(F5698="","",INDEX(Deals!$D$2:$D$843,F5698))</f>
        <v/>
      </c>
      <c r="J5698">
        <f>IF(F5698="","",INT(H5698)-B5698)</f>
        <v/>
      </c>
      <c r="K5698">
        <f>IF(B5698&gt;=Settings!$C$5,1,0)</f>
        <v/>
      </c>
    </row>
    <row r="5699">
      <c r="A5699" t="inlineStr">
        <is>
          <t>fc5814ffb34275ce8c055f0231d3477a</t>
        </is>
      </c>
      <c r="B5699" s="29" t="n">
        <v>43238</v>
      </c>
      <c r="C5699" t="inlineStr">
        <is>
          <t>2018-05</t>
        </is>
      </c>
      <c r="D5699" t="inlineStr">
        <is>
          <t>fb58285f6f6c4e504dfa628de116cae8</t>
        </is>
      </c>
      <c r="E5699" t="inlineStr">
        <is>
          <t>direct_traffic</t>
        </is>
      </c>
      <c r="F5699">
        <f>IFERROR(MATCH(A5699,Deals!$A$2:$A$843,0),"")</f>
        <v/>
      </c>
      <c r="G5699">
        <f>IF(F5699="",0,1)</f>
        <v/>
      </c>
      <c r="H5699" s="29">
        <f>IF(F5699="","",INDEX(Deals!$E$2:$E$843,F5699))</f>
        <v/>
      </c>
      <c r="I5699">
        <f>IF(F5699="","",INDEX(Deals!$D$2:$D$843,F5699))</f>
        <v/>
      </c>
      <c r="J5699">
        <f>IF(F5699="","",INT(H5699)-B5699)</f>
        <v/>
      </c>
      <c r="K5699">
        <f>IF(B5699&gt;=Settings!$C$5,1,0)</f>
        <v/>
      </c>
    </row>
    <row r="5700">
      <c r="A5700" t="inlineStr">
        <is>
          <t>5f1a8a8fddbc8a5ff4bf0f111dc69ff4</t>
        </is>
      </c>
      <c r="B5700" s="29" t="n">
        <v>43187</v>
      </c>
      <c r="C5700" t="inlineStr">
        <is>
          <t>2018-03</t>
        </is>
      </c>
      <c r="D5700" t="inlineStr">
        <is>
          <t>b76ef37428e6799c421989521c0e5077</t>
        </is>
      </c>
      <c r="E5700" t="inlineStr">
        <is>
          <t>unknown</t>
        </is>
      </c>
      <c r="F5700">
        <f>IFERROR(MATCH(A5700,Deals!$A$2:$A$843,0),"")</f>
        <v/>
      </c>
      <c r="G5700">
        <f>IF(F5700="",0,1)</f>
        <v/>
      </c>
      <c r="H5700" s="29">
        <f>IF(F5700="","",INDEX(Deals!$E$2:$E$843,F5700))</f>
        <v/>
      </c>
      <c r="I5700">
        <f>IF(F5700="","",INDEX(Deals!$D$2:$D$843,F5700))</f>
        <v/>
      </c>
      <c r="J5700">
        <f>IF(F5700="","",INT(H5700)-B5700)</f>
        <v/>
      </c>
      <c r="K5700">
        <f>IF(B5700&gt;=Settings!$C$5,1,0)</f>
        <v/>
      </c>
    </row>
    <row r="5701">
      <c r="A5701" t="inlineStr">
        <is>
          <t>3559ec2c1c4f29266d1c1eb0f1164549</t>
        </is>
      </c>
      <c r="B5701" s="29" t="n">
        <v>43199</v>
      </c>
      <c r="C5701" t="inlineStr">
        <is>
          <t>2018-04</t>
        </is>
      </c>
      <c r="D5701" t="inlineStr">
        <is>
          <t>58326e62183c14b0c03085c33b9fdc44</t>
        </is>
      </c>
      <c r="E5701" t="inlineStr">
        <is>
          <t>social</t>
        </is>
      </c>
      <c r="F5701">
        <f>IFERROR(MATCH(A5701,Deals!$A$2:$A$843,0),"")</f>
        <v/>
      </c>
      <c r="G5701">
        <f>IF(F5701="",0,1)</f>
        <v/>
      </c>
      <c r="H5701" s="29">
        <f>IF(F5701="","",INDEX(Deals!$E$2:$E$843,F5701))</f>
        <v/>
      </c>
      <c r="I5701">
        <f>IF(F5701="","",INDEX(Deals!$D$2:$D$843,F5701))</f>
        <v/>
      </c>
      <c r="J5701">
        <f>IF(F5701="","",INT(H5701)-B5701)</f>
        <v/>
      </c>
      <c r="K5701">
        <f>IF(B5701&gt;=Settings!$C$5,1,0)</f>
        <v/>
      </c>
    </row>
    <row r="5702">
      <c r="A5702" t="inlineStr">
        <is>
          <t>1b72859350810d1fce00822a42af66c2</t>
        </is>
      </c>
      <c r="B5702" s="29" t="n">
        <v>43131</v>
      </c>
      <c r="C5702" t="inlineStr">
        <is>
          <t>2018-01</t>
        </is>
      </c>
      <c r="D5702" t="inlineStr">
        <is>
          <t>ce1a65abd0973638f1c887a6efcfa82d</t>
        </is>
      </c>
      <c r="E5702" t="inlineStr">
        <is>
          <t>organic_search</t>
        </is>
      </c>
      <c r="F5702">
        <f>IFERROR(MATCH(A5702,Deals!$A$2:$A$843,0),"")</f>
        <v/>
      </c>
      <c r="G5702">
        <f>IF(F5702="",0,1)</f>
        <v/>
      </c>
      <c r="H5702" s="29">
        <f>IF(F5702="","",INDEX(Deals!$E$2:$E$843,F5702))</f>
        <v/>
      </c>
      <c r="I5702">
        <f>IF(F5702="","",INDEX(Deals!$D$2:$D$843,F5702))</f>
        <v/>
      </c>
      <c r="J5702">
        <f>IF(F5702="","",INT(H5702)-B5702)</f>
        <v/>
      </c>
      <c r="K5702">
        <f>IF(B5702&gt;=Settings!$C$5,1,0)</f>
        <v/>
      </c>
    </row>
    <row r="5703">
      <c r="A5703" t="inlineStr">
        <is>
          <t>b292c42b08d209a8baa530adc393671d</t>
        </is>
      </c>
      <c r="B5703" s="29" t="n">
        <v>43115</v>
      </c>
      <c r="C5703" t="inlineStr">
        <is>
          <t>2018-01</t>
        </is>
      </c>
      <c r="D5703" t="inlineStr">
        <is>
          <t>88740e65d5d6b056e0cda098e1ea6313</t>
        </is>
      </c>
      <c r="E5703" t="inlineStr">
        <is>
          <t>social</t>
        </is>
      </c>
      <c r="F5703">
        <f>IFERROR(MATCH(A5703,Deals!$A$2:$A$843,0),"")</f>
        <v/>
      </c>
      <c r="G5703">
        <f>IF(F5703="",0,1)</f>
        <v/>
      </c>
      <c r="H5703" s="29">
        <f>IF(F5703="","",INDEX(Deals!$E$2:$E$843,F5703))</f>
        <v/>
      </c>
      <c r="I5703">
        <f>IF(F5703="","",INDEX(Deals!$D$2:$D$843,F5703))</f>
        <v/>
      </c>
      <c r="J5703">
        <f>IF(F5703="","",INT(H5703)-B5703)</f>
        <v/>
      </c>
      <c r="K5703">
        <f>IF(B5703&gt;=Settings!$C$5,1,0)</f>
        <v/>
      </c>
    </row>
    <row r="5704">
      <c r="A5704" t="inlineStr">
        <is>
          <t>580120b43fdd69f78c8d01fa0a6853b8</t>
        </is>
      </c>
      <c r="B5704" s="29" t="n">
        <v>43212</v>
      </c>
      <c r="C5704" t="inlineStr">
        <is>
          <t>2018-04</t>
        </is>
      </c>
      <c r="D5704" t="inlineStr">
        <is>
          <t>16d718d40146b50ca7a8a045f1b06834</t>
        </is>
      </c>
      <c r="E5704" t="inlineStr">
        <is>
          <t>paid_search</t>
        </is>
      </c>
      <c r="F5704">
        <f>IFERROR(MATCH(A5704,Deals!$A$2:$A$843,0),"")</f>
        <v/>
      </c>
      <c r="G5704">
        <f>IF(F5704="",0,1)</f>
        <v/>
      </c>
      <c r="H5704" s="29">
        <f>IF(F5704="","",INDEX(Deals!$E$2:$E$843,F5704))</f>
        <v/>
      </c>
      <c r="I5704">
        <f>IF(F5704="","",INDEX(Deals!$D$2:$D$843,F5704))</f>
        <v/>
      </c>
      <c r="J5704">
        <f>IF(F5704="","",INT(H5704)-B5704)</f>
        <v/>
      </c>
      <c r="K5704">
        <f>IF(B5704&gt;=Settings!$C$5,1,0)</f>
        <v/>
      </c>
    </row>
    <row r="5705">
      <c r="A5705" t="inlineStr">
        <is>
          <t>5be6828ba1f517ca9e6e249c5db867c5</t>
        </is>
      </c>
      <c r="B5705" s="29" t="n">
        <v>43119</v>
      </c>
      <c r="C5705" t="inlineStr">
        <is>
          <t>2018-01</t>
        </is>
      </c>
      <c r="D5705" t="inlineStr">
        <is>
          <t>b76ef37428e6799c421989521c0e5077</t>
        </is>
      </c>
      <c r="E5705" t="inlineStr">
        <is>
          <t>organic_search</t>
        </is>
      </c>
      <c r="F5705">
        <f>IFERROR(MATCH(A5705,Deals!$A$2:$A$843,0),"")</f>
        <v/>
      </c>
      <c r="G5705">
        <f>IF(F5705="",0,1)</f>
        <v/>
      </c>
      <c r="H5705" s="29">
        <f>IF(F5705="","",INDEX(Deals!$E$2:$E$843,F5705))</f>
        <v/>
      </c>
      <c r="I5705">
        <f>IF(F5705="","",INDEX(Deals!$D$2:$D$843,F5705))</f>
        <v/>
      </c>
      <c r="J5705">
        <f>IF(F5705="","",INT(H5705)-B5705)</f>
        <v/>
      </c>
      <c r="K5705">
        <f>IF(B5705&gt;=Settings!$C$5,1,0)</f>
        <v/>
      </c>
    </row>
    <row r="5706">
      <c r="A5706" t="inlineStr">
        <is>
          <t>f3ff7b1a6f1b2455187c4a8b8c2c373c</t>
        </is>
      </c>
      <c r="B5706" s="29" t="n">
        <v>42974</v>
      </c>
      <c r="C5706" t="inlineStr">
        <is>
          <t>2017-08</t>
        </is>
      </c>
      <c r="D5706" t="inlineStr">
        <is>
          <t>e92a6f37ebb87a6bfbc569d439cf1635</t>
        </is>
      </c>
      <c r="E5706" t="inlineStr">
        <is>
          <t>unknown</t>
        </is>
      </c>
      <c r="F5706">
        <f>IFERROR(MATCH(A5706,Deals!$A$2:$A$843,0),"")</f>
        <v/>
      </c>
      <c r="G5706">
        <f>IF(F5706="",0,1)</f>
        <v/>
      </c>
      <c r="H5706" s="29">
        <f>IF(F5706="","",INDEX(Deals!$E$2:$E$843,F5706))</f>
        <v/>
      </c>
      <c r="I5706">
        <f>IF(F5706="","",INDEX(Deals!$D$2:$D$843,F5706))</f>
        <v/>
      </c>
      <c r="J5706">
        <f>IF(F5706="","",INT(H5706)-B5706)</f>
        <v/>
      </c>
      <c r="K5706">
        <f>IF(B5706&gt;=Settings!$C$5,1,0)</f>
        <v/>
      </c>
    </row>
    <row r="5707">
      <c r="A5707" t="inlineStr">
        <is>
          <t>0dd989c64c054921672af61a0c7a5e95</t>
        </is>
      </c>
      <c r="B5707" s="29" t="n">
        <v>43131</v>
      </c>
      <c r="C5707" t="inlineStr">
        <is>
          <t>2018-01</t>
        </is>
      </c>
      <c r="D5707" t="inlineStr">
        <is>
          <t>4e82dd1f6d00626bda0723eef0a269a6</t>
        </is>
      </c>
      <c r="E5707" t="inlineStr">
        <is>
          <t>referral</t>
        </is>
      </c>
      <c r="F5707">
        <f>IFERROR(MATCH(A5707,Deals!$A$2:$A$843,0),"")</f>
        <v/>
      </c>
      <c r="G5707">
        <f>IF(F5707="",0,1)</f>
        <v/>
      </c>
      <c r="H5707" s="29">
        <f>IF(F5707="","",INDEX(Deals!$E$2:$E$843,F5707))</f>
        <v/>
      </c>
      <c r="I5707">
        <f>IF(F5707="","",INDEX(Deals!$D$2:$D$843,F5707))</f>
        <v/>
      </c>
      <c r="J5707">
        <f>IF(F5707="","",INT(H5707)-B5707)</f>
        <v/>
      </c>
      <c r="K5707">
        <f>IF(B5707&gt;=Settings!$C$5,1,0)</f>
        <v/>
      </c>
    </row>
    <row r="5708">
      <c r="A5708" t="inlineStr">
        <is>
          <t>e38d727ecdd5bd1591bb6f8ab47d38bd</t>
        </is>
      </c>
      <c r="B5708" s="29" t="n">
        <v>43007</v>
      </c>
      <c r="C5708" t="inlineStr">
        <is>
          <t>2017-09</t>
        </is>
      </c>
      <c r="D5708" t="inlineStr">
        <is>
          <t>82ce7345d29d3003d376f9382fc0eba0</t>
        </is>
      </c>
      <c r="E5708" t="inlineStr">
        <is>
          <t>referral</t>
        </is>
      </c>
      <c r="F5708">
        <f>IFERROR(MATCH(A5708,Deals!$A$2:$A$843,0),"")</f>
        <v/>
      </c>
      <c r="G5708">
        <f>IF(F5708="",0,1)</f>
        <v/>
      </c>
      <c r="H5708" s="29">
        <f>IF(F5708="","",INDEX(Deals!$E$2:$E$843,F5708))</f>
        <v/>
      </c>
      <c r="I5708">
        <f>IF(F5708="","",INDEX(Deals!$D$2:$D$843,F5708))</f>
        <v/>
      </c>
      <c r="J5708">
        <f>IF(F5708="","",INT(H5708)-B5708)</f>
        <v/>
      </c>
      <c r="K5708">
        <f>IF(B5708&gt;=Settings!$C$5,1,0)</f>
        <v/>
      </c>
    </row>
    <row r="5709">
      <c r="A5709" t="inlineStr">
        <is>
          <t>f011770ef5d1a9b1fcb90873f83efe12</t>
        </is>
      </c>
      <c r="B5709" s="29" t="n">
        <v>43168</v>
      </c>
      <c r="C5709" t="inlineStr">
        <is>
          <t>2018-03</t>
        </is>
      </c>
      <c r="D5709" t="inlineStr">
        <is>
          <t>b76ef37428e6799c421989521c0e5077</t>
        </is>
      </c>
      <c r="E5709" t="inlineStr">
        <is>
          <t>unknown</t>
        </is>
      </c>
      <c r="F5709">
        <f>IFERROR(MATCH(A5709,Deals!$A$2:$A$843,0),"")</f>
        <v/>
      </c>
      <c r="G5709">
        <f>IF(F5709="",0,1)</f>
        <v/>
      </c>
      <c r="H5709" s="29">
        <f>IF(F5709="","",INDEX(Deals!$E$2:$E$843,F5709))</f>
        <v/>
      </c>
      <c r="I5709">
        <f>IF(F5709="","",INDEX(Deals!$D$2:$D$843,F5709))</f>
        <v/>
      </c>
      <c r="J5709">
        <f>IF(F5709="","",INT(H5709)-B5709)</f>
        <v/>
      </c>
      <c r="K5709">
        <f>IF(B5709&gt;=Settings!$C$5,1,0)</f>
        <v/>
      </c>
    </row>
    <row r="5710">
      <c r="A5710" t="inlineStr">
        <is>
          <t>6cbe87cacb0b1e5e4b873814455e606b</t>
        </is>
      </c>
      <c r="B5710" s="29" t="n">
        <v>43250</v>
      </c>
      <c r="C5710" t="inlineStr">
        <is>
          <t>2018-05</t>
        </is>
      </c>
      <c r="D5710" t="inlineStr">
        <is>
          <t>22c29808c4f815213303f8933030604c</t>
        </is>
      </c>
      <c r="E5710" t="inlineStr">
        <is>
          <t>direct_traffic</t>
        </is>
      </c>
      <c r="F5710">
        <f>IFERROR(MATCH(A5710,Deals!$A$2:$A$843,0),"")</f>
        <v/>
      </c>
      <c r="G5710">
        <f>IF(F5710="",0,1)</f>
        <v/>
      </c>
      <c r="H5710" s="29">
        <f>IF(F5710="","",INDEX(Deals!$E$2:$E$843,F5710))</f>
        <v/>
      </c>
      <c r="I5710">
        <f>IF(F5710="","",INDEX(Deals!$D$2:$D$843,F5710))</f>
        <v/>
      </c>
      <c r="J5710">
        <f>IF(F5710="","",INT(H5710)-B5710)</f>
        <v/>
      </c>
      <c r="K5710">
        <f>IF(B5710&gt;=Settings!$C$5,1,0)</f>
        <v/>
      </c>
    </row>
    <row r="5711">
      <c r="A5711" t="inlineStr">
        <is>
          <t>eee6248eb5d8e957d79ab187cf13168f</t>
        </is>
      </c>
      <c r="B5711" s="29" t="n">
        <v>43130</v>
      </c>
      <c r="C5711" t="inlineStr">
        <is>
          <t>2018-01</t>
        </is>
      </c>
      <c r="D5711" t="inlineStr">
        <is>
          <t>0218f6be0b76aca72ab4d00ee9e8cf10</t>
        </is>
      </c>
      <c r="E5711" t="inlineStr">
        <is>
          <t>organic_search</t>
        </is>
      </c>
      <c r="F5711">
        <f>IFERROR(MATCH(A5711,Deals!$A$2:$A$843,0),"")</f>
        <v/>
      </c>
      <c r="G5711">
        <f>IF(F5711="",0,1)</f>
        <v/>
      </c>
      <c r="H5711" s="29">
        <f>IF(F5711="","",INDEX(Deals!$E$2:$E$843,F5711))</f>
        <v/>
      </c>
      <c r="I5711">
        <f>IF(F5711="","",INDEX(Deals!$D$2:$D$843,F5711))</f>
        <v/>
      </c>
      <c r="J5711">
        <f>IF(F5711="","",INT(H5711)-B5711)</f>
        <v/>
      </c>
      <c r="K5711">
        <f>IF(B5711&gt;=Settings!$C$5,1,0)</f>
        <v/>
      </c>
    </row>
    <row r="5712">
      <c r="A5712" t="inlineStr">
        <is>
          <t>b9fcbc854cc45e5802618e283d3fe525</t>
        </is>
      </c>
      <c r="B5712" s="29" t="n">
        <v>43126</v>
      </c>
      <c r="C5712" t="inlineStr">
        <is>
          <t>2018-01</t>
        </is>
      </c>
      <c r="D5712" t="inlineStr">
        <is>
          <t>b76ef37428e6799c421989521c0e5077</t>
        </is>
      </c>
      <c r="E5712" t="inlineStr">
        <is>
          <t>paid_search</t>
        </is>
      </c>
      <c r="F5712">
        <f>IFERROR(MATCH(A5712,Deals!$A$2:$A$843,0),"")</f>
        <v/>
      </c>
      <c r="G5712">
        <f>IF(F5712="",0,1)</f>
        <v/>
      </c>
      <c r="H5712" s="29">
        <f>IF(F5712="","",INDEX(Deals!$E$2:$E$843,F5712))</f>
        <v/>
      </c>
      <c r="I5712">
        <f>IF(F5712="","",INDEX(Deals!$D$2:$D$843,F5712))</f>
        <v/>
      </c>
      <c r="J5712">
        <f>IF(F5712="","",INT(H5712)-B5712)</f>
        <v/>
      </c>
      <c r="K5712">
        <f>IF(B5712&gt;=Settings!$C$5,1,0)</f>
        <v/>
      </c>
    </row>
    <row r="5713">
      <c r="A5713" t="inlineStr">
        <is>
          <t>5c76231edbba6c669c21c4f98047ba04</t>
        </is>
      </c>
      <c r="B5713" s="29" t="n">
        <v>43104</v>
      </c>
      <c r="C5713" t="inlineStr">
        <is>
          <t>2018-01</t>
        </is>
      </c>
      <c r="D5713" t="inlineStr">
        <is>
          <t>b76ef37428e6799c421989521c0e5077</t>
        </is>
      </c>
      <c r="E5713" t="inlineStr">
        <is>
          <t>organic_search</t>
        </is>
      </c>
      <c r="F5713">
        <f>IFERROR(MATCH(A5713,Deals!$A$2:$A$843,0),"")</f>
        <v/>
      </c>
      <c r="G5713">
        <f>IF(F5713="",0,1)</f>
        <v/>
      </c>
      <c r="H5713" s="29">
        <f>IF(F5713="","",INDEX(Deals!$E$2:$E$843,F5713))</f>
        <v/>
      </c>
      <c r="I5713">
        <f>IF(F5713="","",INDEX(Deals!$D$2:$D$843,F5713))</f>
        <v/>
      </c>
      <c r="J5713">
        <f>IF(F5713="","",INT(H5713)-B5713)</f>
        <v/>
      </c>
      <c r="K5713">
        <f>IF(B5713&gt;=Settings!$C$5,1,0)</f>
        <v/>
      </c>
    </row>
    <row r="5714">
      <c r="A5714" t="inlineStr">
        <is>
          <t>81c83933ca039e756f2b0d69ebaa38ba</t>
        </is>
      </c>
      <c r="B5714" s="29" t="n">
        <v>42948</v>
      </c>
      <c r="C5714" t="inlineStr">
        <is>
          <t>2017-08</t>
        </is>
      </c>
      <c r="D5714" t="inlineStr">
        <is>
          <t>3b86d7e8c33da2767ad2af9782f383d5</t>
        </is>
      </c>
      <c r="E5714" t="inlineStr">
        <is>
          <t>paid_search</t>
        </is>
      </c>
      <c r="F5714">
        <f>IFERROR(MATCH(A5714,Deals!$A$2:$A$843,0),"")</f>
        <v/>
      </c>
      <c r="G5714">
        <f>IF(F5714="",0,1)</f>
        <v/>
      </c>
      <c r="H5714" s="29">
        <f>IF(F5714="","",INDEX(Deals!$E$2:$E$843,F5714))</f>
        <v/>
      </c>
      <c r="I5714">
        <f>IF(F5714="","",INDEX(Deals!$D$2:$D$843,F5714))</f>
        <v/>
      </c>
      <c r="J5714">
        <f>IF(F5714="","",INT(H5714)-B5714)</f>
        <v/>
      </c>
      <c r="K5714">
        <f>IF(B5714&gt;=Settings!$C$5,1,0)</f>
        <v/>
      </c>
    </row>
    <row r="5715">
      <c r="A5715" t="inlineStr">
        <is>
          <t>779259368ccf87da1146127db1360be8</t>
        </is>
      </c>
      <c r="B5715" s="29" t="n">
        <v>43167</v>
      </c>
      <c r="C5715" t="inlineStr">
        <is>
          <t>2018-03</t>
        </is>
      </c>
      <c r="D5715" t="inlineStr">
        <is>
          <t>4e82dd1f6d00626bda0723eef0a269a6</t>
        </is>
      </c>
      <c r="E5715" t="inlineStr">
        <is>
          <t>organic_search</t>
        </is>
      </c>
      <c r="F5715">
        <f>IFERROR(MATCH(A5715,Deals!$A$2:$A$843,0),"")</f>
        <v/>
      </c>
      <c r="G5715">
        <f>IF(F5715="",0,1)</f>
        <v/>
      </c>
      <c r="H5715" s="29">
        <f>IF(F5715="","",INDEX(Deals!$E$2:$E$843,F5715))</f>
        <v/>
      </c>
      <c r="I5715">
        <f>IF(F5715="","",INDEX(Deals!$D$2:$D$843,F5715))</f>
        <v/>
      </c>
      <c r="J5715">
        <f>IF(F5715="","",INT(H5715)-B5715)</f>
        <v/>
      </c>
      <c r="K5715">
        <f>IF(B5715&gt;=Settings!$C$5,1,0)</f>
        <v/>
      </c>
    </row>
    <row r="5716">
      <c r="A5716" t="inlineStr">
        <is>
          <t>ad4ccc76a482d6963cf3da7677453378</t>
        </is>
      </c>
      <c r="B5716" s="29" t="n">
        <v>43095</v>
      </c>
      <c r="C5716" t="inlineStr">
        <is>
          <t>2017-12</t>
        </is>
      </c>
      <c r="D5716" t="inlineStr">
        <is>
          <t>88740e65d5d6b056e0cda098e1ea6313</t>
        </is>
      </c>
      <c r="E5716" t="inlineStr">
        <is>
          <t>social</t>
        </is>
      </c>
      <c r="F5716">
        <f>IFERROR(MATCH(A5716,Deals!$A$2:$A$843,0),"")</f>
        <v/>
      </c>
      <c r="G5716">
        <f>IF(F5716="",0,1)</f>
        <v/>
      </c>
      <c r="H5716" s="29">
        <f>IF(F5716="","",INDEX(Deals!$E$2:$E$843,F5716))</f>
        <v/>
      </c>
      <c r="I5716">
        <f>IF(F5716="","",INDEX(Deals!$D$2:$D$843,F5716))</f>
        <v/>
      </c>
      <c r="J5716">
        <f>IF(F5716="","",INT(H5716)-B5716)</f>
        <v/>
      </c>
      <c r="K5716">
        <f>IF(B5716&gt;=Settings!$C$5,1,0)</f>
        <v/>
      </c>
    </row>
    <row r="5717">
      <c r="A5717" t="inlineStr">
        <is>
          <t>721a427b22b69757b37c150e2fe24caa</t>
        </is>
      </c>
      <c r="B5717" s="29" t="n">
        <v>43194</v>
      </c>
      <c r="C5717" t="inlineStr">
        <is>
          <t>2018-04</t>
        </is>
      </c>
      <c r="D5717" t="inlineStr">
        <is>
          <t>35c9b150ab36fe584c1f24fd458c453a</t>
        </is>
      </c>
      <c r="E5717" t="inlineStr">
        <is>
          <t>paid_search</t>
        </is>
      </c>
      <c r="F5717">
        <f>IFERROR(MATCH(A5717,Deals!$A$2:$A$843,0),"")</f>
        <v/>
      </c>
      <c r="G5717">
        <f>IF(F5717="",0,1)</f>
        <v/>
      </c>
      <c r="H5717" s="29">
        <f>IF(F5717="","",INDEX(Deals!$E$2:$E$843,F5717))</f>
        <v/>
      </c>
      <c r="I5717">
        <f>IF(F5717="","",INDEX(Deals!$D$2:$D$843,F5717))</f>
        <v/>
      </c>
      <c r="J5717">
        <f>IF(F5717="","",INT(H5717)-B5717)</f>
        <v/>
      </c>
      <c r="K5717">
        <f>IF(B5717&gt;=Settings!$C$5,1,0)</f>
        <v/>
      </c>
    </row>
    <row r="5718">
      <c r="A5718" t="inlineStr">
        <is>
          <t>2b4a70dc918fea2c26d42edc6dbadc46</t>
        </is>
      </c>
      <c r="B5718" s="29" t="n">
        <v>43214</v>
      </c>
      <c r="C5718" t="inlineStr">
        <is>
          <t>2018-04</t>
        </is>
      </c>
      <c r="D5718" t="inlineStr">
        <is>
          <t>e492ee5eaf1697716985cc6f33f9cd9b</t>
        </is>
      </c>
      <c r="E5718" t="inlineStr">
        <is>
          <t>email</t>
        </is>
      </c>
      <c r="F5718">
        <f>IFERROR(MATCH(A5718,Deals!$A$2:$A$843,0),"")</f>
        <v/>
      </c>
      <c r="G5718">
        <f>IF(F5718="",0,1)</f>
        <v/>
      </c>
      <c r="H5718" s="29">
        <f>IF(F5718="","",INDEX(Deals!$E$2:$E$843,F5718))</f>
        <v/>
      </c>
      <c r="I5718">
        <f>IF(F5718="","",INDEX(Deals!$D$2:$D$843,F5718))</f>
        <v/>
      </c>
      <c r="J5718">
        <f>IF(F5718="","",INT(H5718)-B5718)</f>
        <v/>
      </c>
      <c r="K5718">
        <f>IF(B5718&gt;=Settings!$C$5,1,0)</f>
        <v/>
      </c>
    </row>
    <row r="5719">
      <c r="A5719" t="inlineStr">
        <is>
          <t>efe655d620d2d3d55ab8b2b6c86a945d</t>
        </is>
      </c>
      <c r="B5719" s="29" t="n">
        <v>43150</v>
      </c>
      <c r="C5719" t="inlineStr">
        <is>
          <t>2018-02</t>
        </is>
      </c>
      <c r="D5719" t="inlineStr">
        <is>
          <t>40dec9f3d5259a3d2dbcdab2114fae47</t>
        </is>
      </c>
      <c r="E5719" t="inlineStr">
        <is>
          <t>paid_search</t>
        </is>
      </c>
      <c r="F5719">
        <f>IFERROR(MATCH(A5719,Deals!$A$2:$A$843,0),"")</f>
        <v/>
      </c>
      <c r="G5719">
        <f>IF(F5719="",0,1)</f>
        <v/>
      </c>
      <c r="H5719" s="29">
        <f>IF(F5719="","",INDEX(Deals!$E$2:$E$843,F5719))</f>
        <v/>
      </c>
      <c r="I5719">
        <f>IF(F5719="","",INDEX(Deals!$D$2:$D$843,F5719))</f>
        <v/>
      </c>
      <c r="J5719">
        <f>IF(F5719="","",INT(H5719)-B5719)</f>
        <v/>
      </c>
      <c r="K5719">
        <f>IF(B5719&gt;=Settings!$C$5,1,0)</f>
        <v/>
      </c>
    </row>
    <row r="5720">
      <c r="A5720" t="inlineStr">
        <is>
          <t>a7be1228195896ae985f9c015fbe7af8</t>
        </is>
      </c>
      <c r="B5720" s="29" t="n">
        <v>42979</v>
      </c>
      <c r="C5720" t="inlineStr">
        <is>
          <t>2017-09</t>
        </is>
      </c>
      <c r="D5720" t="inlineStr">
        <is>
          <t>65d9f9d71e562365e8b44037c2888d98</t>
        </is>
      </c>
      <c r="E5720" t="inlineStr">
        <is>
          <t>paid_search</t>
        </is>
      </c>
      <c r="F5720">
        <f>IFERROR(MATCH(A5720,Deals!$A$2:$A$843,0),"")</f>
        <v/>
      </c>
      <c r="G5720">
        <f>IF(F5720="",0,1)</f>
        <v/>
      </c>
      <c r="H5720" s="29">
        <f>IF(F5720="","",INDEX(Deals!$E$2:$E$843,F5720))</f>
        <v/>
      </c>
      <c r="I5720">
        <f>IF(F5720="","",INDEX(Deals!$D$2:$D$843,F5720))</f>
        <v/>
      </c>
      <c r="J5720">
        <f>IF(F5720="","",INT(H5720)-B5720)</f>
        <v/>
      </c>
      <c r="K5720">
        <f>IF(B5720&gt;=Settings!$C$5,1,0)</f>
        <v/>
      </c>
    </row>
    <row r="5721">
      <c r="A5721" t="inlineStr">
        <is>
          <t>95fe31d2a8872c82170cf88ca8b4f7af</t>
        </is>
      </c>
      <c r="B5721" s="29" t="n">
        <v>43183</v>
      </c>
      <c r="C5721" t="inlineStr">
        <is>
          <t>2018-03</t>
        </is>
      </c>
      <c r="D5721" t="inlineStr">
        <is>
          <t>649b7b8b46b254497e92038d88f6ced8</t>
        </is>
      </c>
      <c r="E5721" t="inlineStr">
        <is>
          <t>social</t>
        </is>
      </c>
      <c r="F5721">
        <f>IFERROR(MATCH(A5721,Deals!$A$2:$A$843,0),"")</f>
        <v/>
      </c>
      <c r="G5721">
        <f>IF(F5721="",0,1)</f>
        <v/>
      </c>
      <c r="H5721" s="29">
        <f>IF(F5721="","",INDEX(Deals!$E$2:$E$843,F5721))</f>
        <v/>
      </c>
      <c r="I5721">
        <f>IF(F5721="","",INDEX(Deals!$D$2:$D$843,F5721))</f>
        <v/>
      </c>
      <c r="J5721">
        <f>IF(F5721="","",INT(H5721)-B5721)</f>
        <v/>
      </c>
      <c r="K5721">
        <f>IF(B5721&gt;=Settings!$C$5,1,0)</f>
        <v/>
      </c>
    </row>
    <row r="5722">
      <c r="A5722" t="inlineStr">
        <is>
          <t>214db8cdf991e0ee01c25656e28a4049</t>
        </is>
      </c>
      <c r="B5722" s="29" t="n">
        <v>43178</v>
      </c>
      <c r="C5722" t="inlineStr">
        <is>
          <t>2018-03</t>
        </is>
      </c>
      <c r="D5722" t="inlineStr">
        <is>
          <t>c35447dcd1a50b2e2ee3184be602b597</t>
        </is>
      </c>
      <c r="E5722" t="inlineStr">
        <is>
          <t>social</t>
        </is>
      </c>
      <c r="F5722">
        <f>IFERROR(MATCH(A5722,Deals!$A$2:$A$843,0),"")</f>
        <v/>
      </c>
      <c r="G5722">
        <f>IF(F5722="",0,1)</f>
        <v/>
      </c>
      <c r="H5722" s="29">
        <f>IF(F5722="","",INDEX(Deals!$E$2:$E$843,F5722))</f>
        <v/>
      </c>
      <c r="I5722">
        <f>IF(F5722="","",INDEX(Deals!$D$2:$D$843,F5722))</f>
        <v/>
      </c>
      <c r="J5722">
        <f>IF(F5722="","",INT(H5722)-B5722)</f>
        <v/>
      </c>
      <c r="K5722">
        <f>IF(B5722&gt;=Settings!$C$5,1,0)</f>
        <v/>
      </c>
    </row>
    <row r="5723">
      <c r="A5723" t="inlineStr">
        <is>
          <t>65e0bce9207bd3a5a51e0d2b568a6214</t>
        </is>
      </c>
      <c r="B5723" s="29" t="n">
        <v>43014</v>
      </c>
      <c r="C5723" t="inlineStr">
        <is>
          <t>2017-10</t>
        </is>
      </c>
      <c r="D5723" t="inlineStr">
        <is>
          <t>a56671a54260a44923d32c2f08fad39c</t>
        </is>
      </c>
      <c r="E5723" t="inlineStr">
        <is>
          <t>organic_search</t>
        </is>
      </c>
      <c r="F5723">
        <f>IFERROR(MATCH(A5723,Deals!$A$2:$A$843,0),"")</f>
        <v/>
      </c>
      <c r="G5723">
        <f>IF(F5723="",0,1)</f>
        <v/>
      </c>
      <c r="H5723" s="29">
        <f>IF(F5723="","",INDEX(Deals!$E$2:$E$843,F5723))</f>
        <v/>
      </c>
      <c r="I5723">
        <f>IF(F5723="","",INDEX(Deals!$D$2:$D$843,F5723))</f>
        <v/>
      </c>
      <c r="J5723">
        <f>IF(F5723="","",INT(H5723)-B5723)</f>
        <v/>
      </c>
      <c r="K5723">
        <f>IF(B5723&gt;=Settings!$C$5,1,0)</f>
        <v/>
      </c>
    </row>
    <row r="5724">
      <c r="A5724" t="inlineStr">
        <is>
          <t>ddbfc14f2f93b8eeb75d4b11a876b7ba</t>
        </is>
      </c>
      <c r="B5724" s="29" t="n">
        <v>43217</v>
      </c>
      <c r="C5724" t="inlineStr">
        <is>
          <t>2018-04</t>
        </is>
      </c>
      <c r="D5724" t="inlineStr">
        <is>
          <t>b76ef37428e6799c421989521c0e5077</t>
        </is>
      </c>
      <c r="E5724" t="inlineStr">
        <is>
          <t>unknown</t>
        </is>
      </c>
      <c r="F5724">
        <f>IFERROR(MATCH(A5724,Deals!$A$2:$A$843,0),"")</f>
        <v/>
      </c>
      <c r="G5724">
        <f>IF(F5724="",0,1)</f>
        <v/>
      </c>
      <c r="H5724" s="29">
        <f>IF(F5724="","",INDEX(Deals!$E$2:$E$843,F5724))</f>
        <v/>
      </c>
      <c r="I5724">
        <f>IF(F5724="","",INDEX(Deals!$D$2:$D$843,F5724))</f>
        <v/>
      </c>
      <c r="J5724">
        <f>IF(F5724="","",INT(H5724)-B5724)</f>
        <v/>
      </c>
      <c r="K5724">
        <f>IF(B5724&gt;=Settings!$C$5,1,0)</f>
        <v/>
      </c>
    </row>
    <row r="5725">
      <c r="A5725" t="inlineStr">
        <is>
          <t>1d83672fb9b3ff6aa2179a20fbf8a355</t>
        </is>
      </c>
      <c r="B5725" s="29" t="n">
        <v>43171</v>
      </c>
      <c r="C5725" t="inlineStr">
        <is>
          <t>2018-03</t>
        </is>
      </c>
      <c r="D5725" t="inlineStr">
        <is>
          <t>22c29808c4f815213303f8933030604c</t>
        </is>
      </c>
      <c r="E5725" t="inlineStr">
        <is>
          <t>organic_search</t>
        </is>
      </c>
      <c r="F5725">
        <f>IFERROR(MATCH(A5725,Deals!$A$2:$A$843,0),"")</f>
        <v/>
      </c>
      <c r="G5725">
        <f>IF(F5725="",0,1)</f>
        <v/>
      </c>
      <c r="H5725" s="29">
        <f>IF(F5725="","",INDEX(Deals!$E$2:$E$843,F5725))</f>
        <v/>
      </c>
      <c r="I5725">
        <f>IF(F5725="","",INDEX(Deals!$D$2:$D$843,F5725))</f>
        <v/>
      </c>
      <c r="J5725">
        <f>IF(F5725="","",INT(H5725)-B5725)</f>
        <v/>
      </c>
      <c r="K5725">
        <f>IF(B5725&gt;=Settings!$C$5,1,0)</f>
        <v/>
      </c>
    </row>
    <row r="5726">
      <c r="A5726" t="inlineStr">
        <is>
          <t>b6b8870c2b130a562fbe89fb0bb9518a</t>
        </is>
      </c>
      <c r="B5726" s="29" t="n">
        <v>43123</v>
      </c>
      <c r="C5726" t="inlineStr">
        <is>
          <t>2018-01</t>
        </is>
      </c>
      <c r="D5726" t="inlineStr">
        <is>
          <t>40dec9f3d5259a3d2dbcdab2114fae47</t>
        </is>
      </c>
      <c r="E5726" t="inlineStr">
        <is>
          <t>paid_search</t>
        </is>
      </c>
      <c r="F5726">
        <f>IFERROR(MATCH(A5726,Deals!$A$2:$A$843,0),"")</f>
        <v/>
      </c>
      <c r="G5726">
        <f>IF(F5726="",0,1)</f>
        <v/>
      </c>
      <c r="H5726" s="29">
        <f>IF(F5726="","",INDEX(Deals!$E$2:$E$843,F5726))</f>
        <v/>
      </c>
      <c r="I5726">
        <f>IF(F5726="","",INDEX(Deals!$D$2:$D$843,F5726))</f>
        <v/>
      </c>
      <c r="J5726">
        <f>IF(F5726="","",INT(H5726)-B5726)</f>
        <v/>
      </c>
      <c r="K5726">
        <f>IF(B5726&gt;=Settings!$C$5,1,0)</f>
        <v/>
      </c>
    </row>
    <row r="5727">
      <c r="A5727" t="inlineStr">
        <is>
          <t>cfb758d1c65a3ed5614f81dc172b2adb</t>
        </is>
      </c>
      <c r="B5727" s="29" t="n">
        <v>43213</v>
      </c>
      <c r="C5727" t="inlineStr">
        <is>
          <t>2018-04</t>
        </is>
      </c>
      <c r="D5727" t="inlineStr">
        <is>
          <t>b76ef37428e6799c421989521c0e5077</t>
        </is>
      </c>
      <c r="E5727" t="inlineStr">
        <is>
          <t>unknown</t>
        </is>
      </c>
      <c r="F5727">
        <f>IFERROR(MATCH(A5727,Deals!$A$2:$A$843,0),"")</f>
        <v/>
      </c>
      <c r="G5727">
        <f>IF(F5727="",0,1)</f>
        <v/>
      </c>
      <c r="H5727" s="29">
        <f>IF(F5727="","",INDEX(Deals!$E$2:$E$843,F5727))</f>
        <v/>
      </c>
      <c r="I5727">
        <f>IF(F5727="","",INDEX(Deals!$D$2:$D$843,F5727))</f>
        <v/>
      </c>
      <c r="J5727">
        <f>IF(F5727="","",INT(H5727)-B5727)</f>
        <v/>
      </c>
      <c r="K5727">
        <f>IF(B5727&gt;=Settings!$C$5,1,0)</f>
        <v/>
      </c>
    </row>
    <row r="5728">
      <c r="A5728" t="inlineStr">
        <is>
          <t>9ff478a05056d2fe0d7d1e1dd9b35a5f</t>
        </is>
      </c>
      <c r="B5728" s="29" t="n">
        <v>43123</v>
      </c>
      <c r="C5728" t="inlineStr">
        <is>
          <t>2018-01</t>
        </is>
      </c>
      <c r="D5728" t="inlineStr">
        <is>
          <t>80d35379df4ce2f5297acefc78f60907</t>
        </is>
      </c>
      <c r="E5728" t="inlineStr">
        <is>
          <t>(missing)</t>
        </is>
      </c>
      <c r="F5728">
        <f>IFERROR(MATCH(A5728,Deals!$A$2:$A$843,0),"")</f>
        <v/>
      </c>
      <c r="G5728">
        <f>IF(F5728="",0,1)</f>
        <v/>
      </c>
      <c r="H5728" s="29">
        <f>IF(F5728="","",INDEX(Deals!$E$2:$E$843,F5728))</f>
        <v/>
      </c>
      <c r="I5728">
        <f>IF(F5728="","",INDEX(Deals!$D$2:$D$843,F5728))</f>
        <v/>
      </c>
      <c r="J5728">
        <f>IF(F5728="","",INT(H5728)-B5728)</f>
        <v/>
      </c>
      <c r="K5728">
        <f>IF(B5728&gt;=Settings!$C$5,1,0)</f>
        <v/>
      </c>
    </row>
    <row r="5729">
      <c r="A5729" t="inlineStr">
        <is>
          <t>d50e3fa729f701714472688fbfffa7fe</t>
        </is>
      </c>
      <c r="B5729" s="29" t="n">
        <v>43216</v>
      </c>
      <c r="C5729" t="inlineStr">
        <is>
          <t>2018-04</t>
        </is>
      </c>
      <c r="D5729" t="inlineStr">
        <is>
          <t>4e82dd1f6d00626bda0723eef0a269a6</t>
        </is>
      </c>
      <c r="E5729" t="inlineStr">
        <is>
          <t>organic_search</t>
        </is>
      </c>
      <c r="F5729">
        <f>IFERROR(MATCH(A5729,Deals!$A$2:$A$843,0),"")</f>
        <v/>
      </c>
      <c r="G5729">
        <f>IF(F5729="",0,1)</f>
        <v/>
      </c>
      <c r="H5729" s="29">
        <f>IF(F5729="","",INDEX(Deals!$E$2:$E$843,F5729))</f>
        <v/>
      </c>
      <c r="I5729">
        <f>IF(F5729="","",INDEX(Deals!$D$2:$D$843,F5729))</f>
        <v/>
      </c>
      <c r="J5729">
        <f>IF(F5729="","",INT(H5729)-B5729)</f>
        <v/>
      </c>
      <c r="K5729">
        <f>IF(B5729&gt;=Settings!$C$5,1,0)</f>
        <v/>
      </c>
    </row>
    <row r="5730">
      <c r="A5730" t="inlineStr">
        <is>
          <t>72aedcd54a1ac4e361ac47297c415735</t>
        </is>
      </c>
      <c r="B5730" s="29" t="n">
        <v>43123</v>
      </c>
      <c r="C5730" t="inlineStr">
        <is>
          <t>2018-01</t>
        </is>
      </c>
      <c r="D5730" t="inlineStr">
        <is>
          <t>ce1a65abd0973638f1c887a6efcfa82d</t>
        </is>
      </c>
      <c r="E5730" t="inlineStr">
        <is>
          <t>organic_search</t>
        </is>
      </c>
      <c r="F5730">
        <f>IFERROR(MATCH(A5730,Deals!$A$2:$A$843,0),"")</f>
        <v/>
      </c>
      <c r="G5730">
        <f>IF(F5730="",0,1)</f>
        <v/>
      </c>
      <c r="H5730" s="29">
        <f>IF(F5730="","",INDEX(Deals!$E$2:$E$843,F5730))</f>
        <v/>
      </c>
      <c r="I5730">
        <f>IF(F5730="","",INDEX(Deals!$D$2:$D$843,F5730))</f>
        <v/>
      </c>
      <c r="J5730">
        <f>IF(F5730="","",INT(H5730)-B5730)</f>
        <v/>
      </c>
      <c r="K5730">
        <f>IF(B5730&gt;=Settings!$C$5,1,0)</f>
        <v/>
      </c>
    </row>
    <row r="5731">
      <c r="A5731" t="inlineStr">
        <is>
          <t>59190aac88e5e714d73c276b09f1c3bb</t>
        </is>
      </c>
      <c r="B5731" s="29" t="n">
        <v>43156</v>
      </c>
      <c r="C5731" t="inlineStr">
        <is>
          <t>2018-02</t>
        </is>
      </c>
      <c r="D5731" t="inlineStr">
        <is>
          <t>83bfeb1d106df88a2cde0965999161f0</t>
        </is>
      </c>
      <c r="E5731" t="inlineStr">
        <is>
          <t>organic_search</t>
        </is>
      </c>
      <c r="F5731">
        <f>IFERROR(MATCH(A5731,Deals!$A$2:$A$843,0),"")</f>
        <v/>
      </c>
      <c r="G5731">
        <f>IF(F5731="",0,1)</f>
        <v/>
      </c>
      <c r="H5731" s="29">
        <f>IF(F5731="","",INDEX(Deals!$E$2:$E$843,F5731))</f>
        <v/>
      </c>
      <c r="I5731">
        <f>IF(F5731="","",INDEX(Deals!$D$2:$D$843,F5731))</f>
        <v/>
      </c>
      <c r="J5731">
        <f>IF(F5731="","",INT(H5731)-B5731)</f>
        <v/>
      </c>
      <c r="K5731">
        <f>IF(B5731&gt;=Settings!$C$5,1,0)</f>
        <v/>
      </c>
    </row>
    <row r="5732">
      <c r="A5732" t="inlineStr">
        <is>
          <t>1dec44d3b8974e86ab337f1755cd893e</t>
        </is>
      </c>
      <c r="B5732" s="29" t="n">
        <v>43198</v>
      </c>
      <c r="C5732" t="inlineStr">
        <is>
          <t>2018-04</t>
        </is>
      </c>
      <c r="D5732" t="inlineStr">
        <is>
          <t>ce1a65abd0973638f1c887a6efcfa82d</t>
        </is>
      </c>
      <c r="E5732" t="inlineStr">
        <is>
          <t>organic_search</t>
        </is>
      </c>
      <c r="F5732">
        <f>IFERROR(MATCH(A5732,Deals!$A$2:$A$843,0),"")</f>
        <v/>
      </c>
      <c r="G5732">
        <f>IF(F5732="",0,1)</f>
        <v/>
      </c>
      <c r="H5732" s="29">
        <f>IF(F5732="","",INDEX(Deals!$E$2:$E$843,F5732))</f>
        <v/>
      </c>
      <c r="I5732">
        <f>IF(F5732="","",INDEX(Deals!$D$2:$D$843,F5732))</f>
        <v/>
      </c>
      <c r="J5732">
        <f>IF(F5732="","",INT(H5732)-B5732)</f>
        <v/>
      </c>
      <c r="K5732">
        <f>IF(B5732&gt;=Settings!$C$5,1,0)</f>
        <v/>
      </c>
    </row>
    <row r="5733">
      <c r="A5733" t="inlineStr">
        <is>
          <t>18197405b180a434e40551201cd25c54</t>
        </is>
      </c>
      <c r="B5733" s="29" t="n">
        <v>43119</v>
      </c>
      <c r="C5733" t="inlineStr">
        <is>
          <t>2018-01</t>
        </is>
      </c>
      <c r="D5733" t="inlineStr">
        <is>
          <t>241f79c7a8fe0270f4fb79fcbbcd17ad</t>
        </is>
      </c>
      <c r="E5733" t="inlineStr">
        <is>
          <t>paid_search</t>
        </is>
      </c>
      <c r="F5733">
        <f>IFERROR(MATCH(A5733,Deals!$A$2:$A$843,0),"")</f>
        <v/>
      </c>
      <c r="G5733">
        <f>IF(F5733="",0,1)</f>
        <v/>
      </c>
      <c r="H5733" s="29">
        <f>IF(F5733="","",INDEX(Deals!$E$2:$E$843,F5733))</f>
        <v/>
      </c>
      <c r="I5733">
        <f>IF(F5733="","",INDEX(Deals!$D$2:$D$843,F5733))</f>
        <v/>
      </c>
      <c r="J5733">
        <f>IF(F5733="","",INT(H5733)-B5733)</f>
        <v/>
      </c>
      <c r="K5733">
        <f>IF(B5733&gt;=Settings!$C$5,1,0)</f>
        <v/>
      </c>
    </row>
    <row r="5734">
      <c r="A5734" t="inlineStr">
        <is>
          <t>87eb9d4eaa03cf39630cf48a920d1920</t>
        </is>
      </c>
      <c r="B5734" s="29" t="n">
        <v>43010</v>
      </c>
      <c r="C5734" t="inlineStr">
        <is>
          <t>2017-10</t>
        </is>
      </c>
      <c r="D5734" t="inlineStr">
        <is>
          <t>5c6c41289f4d77b9b32fb6a5e2106edb</t>
        </is>
      </c>
      <c r="E5734" t="inlineStr">
        <is>
          <t>organic_search</t>
        </is>
      </c>
      <c r="F5734">
        <f>IFERROR(MATCH(A5734,Deals!$A$2:$A$843,0),"")</f>
        <v/>
      </c>
      <c r="G5734">
        <f>IF(F5734="",0,1)</f>
        <v/>
      </c>
      <c r="H5734" s="29">
        <f>IF(F5734="","",INDEX(Deals!$E$2:$E$843,F5734))</f>
        <v/>
      </c>
      <c r="I5734">
        <f>IF(F5734="","",INDEX(Deals!$D$2:$D$843,F5734))</f>
        <v/>
      </c>
      <c r="J5734">
        <f>IF(F5734="","",INT(H5734)-B5734)</f>
        <v/>
      </c>
      <c r="K5734">
        <f>IF(B5734&gt;=Settings!$C$5,1,0)</f>
        <v/>
      </c>
    </row>
    <row r="5735">
      <c r="A5735" t="inlineStr">
        <is>
          <t>356222b46d95b7fb1215f652ea9fd2f3</t>
        </is>
      </c>
      <c r="B5735" s="29" t="n">
        <v>43166</v>
      </c>
      <c r="C5735" t="inlineStr">
        <is>
          <t>2018-03</t>
        </is>
      </c>
      <c r="D5735" t="inlineStr">
        <is>
          <t>da14b7e2eb0d1eecf65abbd05a31c87d</t>
        </is>
      </c>
      <c r="E5735" t="inlineStr">
        <is>
          <t>other_publicities</t>
        </is>
      </c>
      <c r="F5735">
        <f>IFERROR(MATCH(A5735,Deals!$A$2:$A$843,0),"")</f>
        <v/>
      </c>
      <c r="G5735">
        <f>IF(F5735="",0,1)</f>
        <v/>
      </c>
      <c r="H5735" s="29">
        <f>IF(F5735="","",INDEX(Deals!$E$2:$E$843,F5735))</f>
        <v/>
      </c>
      <c r="I5735">
        <f>IF(F5735="","",INDEX(Deals!$D$2:$D$843,F5735))</f>
        <v/>
      </c>
      <c r="J5735">
        <f>IF(F5735="","",INT(H5735)-B5735)</f>
        <v/>
      </c>
      <c r="K5735">
        <f>IF(B5735&gt;=Settings!$C$5,1,0)</f>
        <v/>
      </c>
    </row>
    <row r="5736">
      <c r="A5736" t="inlineStr">
        <is>
          <t>348c32d6b35abb039ee53da3c36b6a63</t>
        </is>
      </c>
      <c r="B5736" s="29" t="n">
        <v>43181</v>
      </c>
      <c r="C5736" t="inlineStr">
        <is>
          <t>2018-03</t>
        </is>
      </c>
      <c r="D5736" t="inlineStr">
        <is>
          <t>5209e2e679d32a6619feb6942702fd14</t>
        </is>
      </c>
      <c r="E5736" t="inlineStr">
        <is>
          <t>referral</t>
        </is>
      </c>
      <c r="F5736">
        <f>IFERROR(MATCH(A5736,Deals!$A$2:$A$843,0),"")</f>
        <v/>
      </c>
      <c r="G5736">
        <f>IF(F5736="",0,1)</f>
        <v/>
      </c>
      <c r="H5736" s="29">
        <f>IF(F5736="","",INDEX(Deals!$E$2:$E$843,F5736))</f>
        <v/>
      </c>
      <c r="I5736">
        <f>IF(F5736="","",INDEX(Deals!$D$2:$D$843,F5736))</f>
        <v/>
      </c>
      <c r="J5736">
        <f>IF(F5736="","",INT(H5736)-B5736)</f>
        <v/>
      </c>
      <c r="K5736">
        <f>IF(B5736&gt;=Settings!$C$5,1,0)</f>
        <v/>
      </c>
    </row>
    <row r="5737">
      <c r="A5737" t="inlineStr">
        <is>
          <t>ba085ba9ace538a0e831ccfffb1265e6</t>
        </is>
      </c>
      <c r="B5737" s="29" t="n">
        <v>42982</v>
      </c>
      <c r="C5737" t="inlineStr">
        <is>
          <t>2017-09</t>
        </is>
      </c>
      <c r="D5737" t="inlineStr">
        <is>
          <t>87732658ba41d8775e8577df347a64db</t>
        </is>
      </c>
      <c r="E5737" t="inlineStr">
        <is>
          <t>social</t>
        </is>
      </c>
      <c r="F5737">
        <f>IFERROR(MATCH(A5737,Deals!$A$2:$A$843,0),"")</f>
        <v/>
      </c>
      <c r="G5737">
        <f>IF(F5737="",0,1)</f>
        <v/>
      </c>
      <c r="H5737" s="29">
        <f>IF(F5737="","",INDEX(Deals!$E$2:$E$843,F5737))</f>
        <v/>
      </c>
      <c r="I5737">
        <f>IF(F5737="","",INDEX(Deals!$D$2:$D$843,F5737))</f>
        <v/>
      </c>
      <c r="J5737">
        <f>IF(F5737="","",INT(H5737)-B5737)</f>
        <v/>
      </c>
      <c r="K5737">
        <f>IF(B5737&gt;=Settings!$C$5,1,0)</f>
        <v/>
      </c>
    </row>
    <row r="5738">
      <c r="A5738" t="inlineStr">
        <is>
          <t>38cefcbd8fdddeba6acabcef529887d7</t>
        </is>
      </c>
      <c r="B5738" s="29" t="n">
        <v>43136</v>
      </c>
      <c r="C5738" t="inlineStr">
        <is>
          <t>2018-02</t>
        </is>
      </c>
      <c r="D5738" t="inlineStr">
        <is>
          <t>40dec9f3d5259a3d2dbcdab2114fae47</t>
        </is>
      </c>
      <c r="E5738" t="inlineStr">
        <is>
          <t>paid_search</t>
        </is>
      </c>
      <c r="F5738">
        <f>IFERROR(MATCH(A5738,Deals!$A$2:$A$843,0),"")</f>
        <v/>
      </c>
      <c r="G5738">
        <f>IF(F5738="",0,1)</f>
        <v/>
      </c>
      <c r="H5738" s="29">
        <f>IF(F5738="","",INDEX(Deals!$E$2:$E$843,F5738))</f>
        <v/>
      </c>
      <c r="I5738">
        <f>IF(F5738="","",INDEX(Deals!$D$2:$D$843,F5738))</f>
        <v/>
      </c>
      <c r="J5738">
        <f>IF(F5738="","",INT(H5738)-B5738)</f>
        <v/>
      </c>
      <c r="K5738">
        <f>IF(B5738&gt;=Settings!$C$5,1,0)</f>
        <v/>
      </c>
    </row>
    <row r="5739">
      <c r="A5739" t="inlineStr">
        <is>
          <t>76e7fa167c6a800e4907a525e8dad878</t>
        </is>
      </c>
      <c r="B5739" s="29" t="n">
        <v>43124</v>
      </c>
      <c r="C5739" t="inlineStr">
        <is>
          <t>2018-01</t>
        </is>
      </c>
      <c r="D5739" t="inlineStr">
        <is>
          <t>f017be4dbf86243af5c1ebed0cff36a2</t>
        </is>
      </c>
      <c r="E5739" t="inlineStr">
        <is>
          <t>direct_traffic</t>
        </is>
      </c>
      <c r="F5739">
        <f>IFERROR(MATCH(A5739,Deals!$A$2:$A$843,0),"")</f>
        <v/>
      </c>
      <c r="G5739">
        <f>IF(F5739="",0,1)</f>
        <v/>
      </c>
      <c r="H5739" s="29">
        <f>IF(F5739="","",INDEX(Deals!$E$2:$E$843,F5739))</f>
        <v/>
      </c>
      <c r="I5739">
        <f>IF(F5739="","",INDEX(Deals!$D$2:$D$843,F5739))</f>
        <v/>
      </c>
      <c r="J5739">
        <f>IF(F5739="","",INT(H5739)-B5739)</f>
        <v/>
      </c>
      <c r="K5739">
        <f>IF(B5739&gt;=Settings!$C$5,1,0)</f>
        <v/>
      </c>
    </row>
    <row r="5740">
      <c r="A5740" t="inlineStr">
        <is>
          <t>9f85e0d133be9efa90e245d4508f5824</t>
        </is>
      </c>
      <c r="B5740" s="29" t="n">
        <v>43178</v>
      </c>
      <c r="C5740" t="inlineStr">
        <is>
          <t>2018-03</t>
        </is>
      </c>
      <c r="D5740" t="inlineStr">
        <is>
          <t>b76ef37428e6799c421989521c0e5077</t>
        </is>
      </c>
      <c r="E5740" t="inlineStr">
        <is>
          <t>unknown</t>
        </is>
      </c>
      <c r="F5740">
        <f>IFERROR(MATCH(A5740,Deals!$A$2:$A$843,0),"")</f>
        <v/>
      </c>
      <c r="G5740">
        <f>IF(F5740="",0,1)</f>
        <v/>
      </c>
      <c r="H5740" s="29">
        <f>IF(F5740="","",INDEX(Deals!$E$2:$E$843,F5740))</f>
        <v/>
      </c>
      <c r="I5740">
        <f>IF(F5740="","",INDEX(Deals!$D$2:$D$843,F5740))</f>
        <v/>
      </c>
      <c r="J5740">
        <f>IF(F5740="","",INT(H5740)-B5740)</f>
        <v/>
      </c>
      <c r="K5740">
        <f>IF(B5740&gt;=Settings!$C$5,1,0)</f>
        <v/>
      </c>
    </row>
    <row r="5741">
      <c r="A5741" t="inlineStr">
        <is>
          <t>8fe2c63c0355f041fafdde255480a9de</t>
        </is>
      </c>
      <c r="B5741" s="29" t="n">
        <v>43196</v>
      </c>
      <c r="C5741" t="inlineStr">
        <is>
          <t>2018-04</t>
        </is>
      </c>
      <c r="D5741" t="inlineStr">
        <is>
          <t>40dec9f3d5259a3d2dbcdab2114fae47</t>
        </is>
      </c>
      <c r="E5741" t="inlineStr">
        <is>
          <t>paid_search</t>
        </is>
      </c>
      <c r="F5741">
        <f>IFERROR(MATCH(A5741,Deals!$A$2:$A$843,0),"")</f>
        <v/>
      </c>
      <c r="G5741">
        <f>IF(F5741="",0,1)</f>
        <v/>
      </c>
      <c r="H5741" s="29">
        <f>IF(F5741="","",INDEX(Deals!$E$2:$E$843,F5741))</f>
        <v/>
      </c>
      <c r="I5741">
        <f>IF(F5741="","",INDEX(Deals!$D$2:$D$843,F5741))</f>
        <v/>
      </c>
      <c r="J5741">
        <f>IF(F5741="","",INT(H5741)-B5741)</f>
        <v/>
      </c>
      <c r="K5741">
        <f>IF(B5741&gt;=Settings!$C$5,1,0)</f>
        <v/>
      </c>
    </row>
    <row r="5742">
      <c r="A5742" t="inlineStr">
        <is>
          <t>59d669b722b6fe9f492c5d7ec134f63e</t>
        </is>
      </c>
      <c r="B5742" s="29" t="n">
        <v>43061</v>
      </c>
      <c r="C5742" t="inlineStr">
        <is>
          <t>2017-11</t>
        </is>
      </c>
      <c r="D5742" t="inlineStr">
        <is>
          <t>88740e65d5d6b056e0cda098e1ea6313</t>
        </is>
      </c>
      <c r="E5742" t="inlineStr">
        <is>
          <t>social</t>
        </is>
      </c>
      <c r="F5742">
        <f>IFERROR(MATCH(A5742,Deals!$A$2:$A$843,0),"")</f>
        <v/>
      </c>
      <c r="G5742">
        <f>IF(F5742="",0,1)</f>
        <v/>
      </c>
      <c r="H5742" s="29">
        <f>IF(F5742="","",INDEX(Deals!$E$2:$E$843,F5742))</f>
        <v/>
      </c>
      <c r="I5742">
        <f>IF(F5742="","",INDEX(Deals!$D$2:$D$843,F5742))</f>
        <v/>
      </c>
      <c r="J5742">
        <f>IF(F5742="","",INT(H5742)-B5742)</f>
        <v/>
      </c>
      <c r="K5742">
        <f>IF(B5742&gt;=Settings!$C$5,1,0)</f>
        <v/>
      </c>
    </row>
    <row r="5743">
      <c r="A5743" t="inlineStr">
        <is>
          <t>b2f96bd2d5b473224a9d859ddbc663bd</t>
        </is>
      </c>
      <c r="B5743" s="29" t="n">
        <v>43221</v>
      </c>
      <c r="C5743" t="inlineStr">
        <is>
          <t>2018-05</t>
        </is>
      </c>
      <c r="D5743" t="inlineStr">
        <is>
          <t>0b9430edcbf2d9a95148c806af2b6699</t>
        </is>
      </c>
      <c r="E5743" t="inlineStr">
        <is>
          <t>organic_search</t>
        </is>
      </c>
      <c r="F5743">
        <f>IFERROR(MATCH(A5743,Deals!$A$2:$A$843,0),"")</f>
        <v/>
      </c>
      <c r="G5743">
        <f>IF(F5743="",0,1)</f>
        <v/>
      </c>
      <c r="H5743" s="29">
        <f>IF(F5743="","",INDEX(Deals!$E$2:$E$843,F5743))</f>
        <v/>
      </c>
      <c r="I5743">
        <f>IF(F5743="","",INDEX(Deals!$D$2:$D$843,F5743))</f>
        <v/>
      </c>
      <c r="J5743">
        <f>IF(F5743="","",INT(H5743)-B5743)</f>
        <v/>
      </c>
      <c r="K5743">
        <f>IF(B5743&gt;=Settings!$C$5,1,0)</f>
        <v/>
      </c>
    </row>
    <row r="5744">
      <c r="A5744" t="inlineStr">
        <is>
          <t>7c3bf8ccf90b36eb118e9b95798708b2</t>
        </is>
      </c>
      <c r="B5744" s="29" t="n">
        <v>43210</v>
      </c>
      <c r="C5744" t="inlineStr">
        <is>
          <t>2018-04</t>
        </is>
      </c>
      <c r="D5744" t="inlineStr">
        <is>
          <t>58326e62183c14b0c03085c33b9fdc44</t>
        </is>
      </c>
      <c r="E5744" t="inlineStr">
        <is>
          <t>social</t>
        </is>
      </c>
      <c r="F5744">
        <f>IFERROR(MATCH(A5744,Deals!$A$2:$A$843,0),"")</f>
        <v/>
      </c>
      <c r="G5744">
        <f>IF(F5744="",0,1)</f>
        <v/>
      </c>
      <c r="H5744" s="29">
        <f>IF(F5744="","",INDEX(Deals!$E$2:$E$843,F5744))</f>
        <v/>
      </c>
      <c r="I5744">
        <f>IF(F5744="","",INDEX(Deals!$D$2:$D$843,F5744))</f>
        <v/>
      </c>
      <c r="J5744">
        <f>IF(F5744="","",INT(H5744)-B5744)</f>
        <v/>
      </c>
      <c r="K5744">
        <f>IF(B5744&gt;=Settings!$C$5,1,0)</f>
        <v/>
      </c>
    </row>
    <row r="5745">
      <c r="A5745" t="inlineStr">
        <is>
          <t>8490dafa7d36043604baaadcbc92d821</t>
        </is>
      </c>
      <c r="B5745" s="29" t="n">
        <v>43160</v>
      </c>
      <c r="C5745" t="inlineStr">
        <is>
          <t>2018-03</t>
        </is>
      </c>
      <c r="D5745" t="inlineStr">
        <is>
          <t>e492ee5eaf1697716985cc6f33f9cd9b</t>
        </is>
      </c>
      <c r="E5745" t="inlineStr">
        <is>
          <t>organic_search</t>
        </is>
      </c>
      <c r="F5745">
        <f>IFERROR(MATCH(A5745,Deals!$A$2:$A$843,0),"")</f>
        <v/>
      </c>
      <c r="G5745">
        <f>IF(F5745="",0,1)</f>
        <v/>
      </c>
      <c r="H5745" s="29">
        <f>IF(F5745="","",INDEX(Deals!$E$2:$E$843,F5745))</f>
        <v/>
      </c>
      <c r="I5745">
        <f>IF(F5745="","",INDEX(Deals!$D$2:$D$843,F5745))</f>
        <v/>
      </c>
      <c r="J5745">
        <f>IF(F5745="","",INT(H5745)-B5745)</f>
        <v/>
      </c>
      <c r="K5745">
        <f>IF(B5745&gt;=Settings!$C$5,1,0)</f>
        <v/>
      </c>
    </row>
    <row r="5746">
      <c r="A5746" t="inlineStr">
        <is>
          <t>de217bb1ab483987c651cf5a5e868018</t>
        </is>
      </c>
      <c r="B5746" s="29" t="n">
        <v>43106</v>
      </c>
      <c r="C5746" t="inlineStr">
        <is>
          <t>2018-01</t>
        </is>
      </c>
      <c r="D5746" t="inlineStr">
        <is>
          <t>30077c17f2ec5010a82e37ad8925b95f</t>
        </is>
      </c>
      <c r="E5746" t="inlineStr">
        <is>
          <t>organic_search</t>
        </is>
      </c>
      <c r="F5746">
        <f>IFERROR(MATCH(A5746,Deals!$A$2:$A$843,0),"")</f>
        <v/>
      </c>
      <c r="G5746">
        <f>IF(F5746="",0,1)</f>
        <v/>
      </c>
      <c r="H5746" s="29">
        <f>IF(F5746="","",INDEX(Deals!$E$2:$E$843,F5746))</f>
        <v/>
      </c>
      <c r="I5746">
        <f>IF(F5746="","",INDEX(Deals!$D$2:$D$843,F5746))</f>
        <v/>
      </c>
      <c r="J5746">
        <f>IF(F5746="","",INT(H5746)-B5746)</f>
        <v/>
      </c>
      <c r="K5746">
        <f>IF(B5746&gt;=Settings!$C$5,1,0)</f>
        <v/>
      </c>
    </row>
    <row r="5747">
      <c r="A5747" t="inlineStr">
        <is>
          <t>732f9857d1f7f8f90232100a1d263a91</t>
        </is>
      </c>
      <c r="B5747" s="29" t="n">
        <v>43243</v>
      </c>
      <c r="C5747" t="inlineStr">
        <is>
          <t>2018-05</t>
        </is>
      </c>
      <c r="D5747" t="inlineStr">
        <is>
          <t>1ceb590cd1e00c7ee95220971f82693d</t>
        </is>
      </c>
      <c r="E5747" t="inlineStr">
        <is>
          <t>paid_search</t>
        </is>
      </c>
      <c r="F5747">
        <f>IFERROR(MATCH(A5747,Deals!$A$2:$A$843,0),"")</f>
        <v/>
      </c>
      <c r="G5747">
        <f>IF(F5747="",0,1)</f>
        <v/>
      </c>
      <c r="H5747" s="29">
        <f>IF(F5747="","",INDEX(Deals!$E$2:$E$843,F5747))</f>
        <v/>
      </c>
      <c r="I5747">
        <f>IF(F5747="","",INDEX(Deals!$D$2:$D$843,F5747))</f>
        <v/>
      </c>
      <c r="J5747">
        <f>IF(F5747="","",INT(H5747)-B5747)</f>
        <v/>
      </c>
      <c r="K5747">
        <f>IF(B5747&gt;=Settings!$C$5,1,0)</f>
        <v/>
      </c>
    </row>
    <row r="5748">
      <c r="A5748" t="inlineStr">
        <is>
          <t>abe26c6ace59013c7c366a84290c2aac</t>
        </is>
      </c>
      <c r="B5748" s="29" t="n">
        <v>43065</v>
      </c>
      <c r="C5748" t="inlineStr">
        <is>
          <t>2017-11</t>
        </is>
      </c>
      <c r="D5748" t="inlineStr">
        <is>
          <t>f017be4dbf86243af5c1ebed0cff36a2</t>
        </is>
      </c>
      <c r="E5748" t="inlineStr">
        <is>
          <t>referral</t>
        </is>
      </c>
      <c r="F5748">
        <f>IFERROR(MATCH(A5748,Deals!$A$2:$A$843,0),"")</f>
        <v/>
      </c>
      <c r="G5748">
        <f>IF(F5748="",0,1)</f>
        <v/>
      </c>
      <c r="H5748" s="29">
        <f>IF(F5748="","",INDEX(Deals!$E$2:$E$843,F5748))</f>
        <v/>
      </c>
      <c r="I5748">
        <f>IF(F5748="","",INDEX(Deals!$D$2:$D$843,F5748))</f>
        <v/>
      </c>
      <c r="J5748">
        <f>IF(F5748="","",INT(H5748)-B5748)</f>
        <v/>
      </c>
      <c r="K5748">
        <f>IF(B5748&gt;=Settings!$C$5,1,0)</f>
        <v/>
      </c>
    </row>
    <row r="5749">
      <c r="A5749" t="inlineStr">
        <is>
          <t>8d442c9385ba8503a95175b8099693a6</t>
        </is>
      </c>
      <c r="B5749" s="29" t="n">
        <v>43007</v>
      </c>
      <c r="C5749" t="inlineStr">
        <is>
          <t>2017-09</t>
        </is>
      </c>
      <c r="D5749" t="inlineStr">
        <is>
          <t>22c29808c4f815213303f8933030604c</t>
        </is>
      </c>
      <c r="E5749" t="inlineStr">
        <is>
          <t>organic_search</t>
        </is>
      </c>
      <c r="F5749">
        <f>IFERROR(MATCH(A5749,Deals!$A$2:$A$843,0),"")</f>
        <v/>
      </c>
      <c r="G5749">
        <f>IF(F5749="",0,1)</f>
        <v/>
      </c>
      <c r="H5749" s="29">
        <f>IF(F5749="","",INDEX(Deals!$E$2:$E$843,F5749))</f>
        <v/>
      </c>
      <c r="I5749">
        <f>IF(F5749="","",INDEX(Deals!$D$2:$D$843,F5749))</f>
        <v/>
      </c>
      <c r="J5749">
        <f>IF(F5749="","",INT(H5749)-B5749)</f>
        <v/>
      </c>
      <c r="K5749">
        <f>IF(B5749&gt;=Settings!$C$5,1,0)</f>
        <v/>
      </c>
    </row>
    <row r="5750">
      <c r="A5750" t="inlineStr">
        <is>
          <t>2c34642eacc541c55779f76180fe364c</t>
        </is>
      </c>
      <c r="B5750" s="29" t="n">
        <v>43171</v>
      </c>
      <c r="C5750" t="inlineStr">
        <is>
          <t>2018-03</t>
        </is>
      </c>
      <c r="D5750" t="inlineStr">
        <is>
          <t>ce1a65abd0973638f1c887a6efcfa82d</t>
        </is>
      </c>
      <c r="E5750" t="inlineStr">
        <is>
          <t>referral</t>
        </is>
      </c>
      <c r="F5750">
        <f>IFERROR(MATCH(A5750,Deals!$A$2:$A$843,0),"")</f>
        <v/>
      </c>
      <c r="G5750">
        <f>IF(F5750="",0,1)</f>
        <v/>
      </c>
      <c r="H5750" s="29">
        <f>IF(F5750="","",INDEX(Deals!$E$2:$E$843,F5750))</f>
        <v/>
      </c>
      <c r="I5750">
        <f>IF(F5750="","",INDEX(Deals!$D$2:$D$843,F5750))</f>
        <v/>
      </c>
      <c r="J5750">
        <f>IF(F5750="","",INT(H5750)-B5750)</f>
        <v/>
      </c>
      <c r="K5750">
        <f>IF(B5750&gt;=Settings!$C$5,1,0)</f>
        <v/>
      </c>
    </row>
    <row r="5751">
      <c r="A5751" t="inlineStr">
        <is>
          <t>19f3ca179d09e8518d25a28d8e4e443f</t>
        </is>
      </c>
      <c r="B5751" s="29" t="n">
        <v>43248</v>
      </c>
      <c r="C5751" t="inlineStr">
        <is>
          <t>2018-05</t>
        </is>
      </c>
      <c r="D5751" t="inlineStr">
        <is>
          <t>58326e62183c14b0c03085c33b9fdc44</t>
        </is>
      </c>
      <c r="E5751" t="inlineStr">
        <is>
          <t>(missing)</t>
        </is>
      </c>
      <c r="F5751">
        <f>IFERROR(MATCH(A5751,Deals!$A$2:$A$843,0),"")</f>
        <v/>
      </c>
      <c r="G5751">
        <f>IF(F5751="",0,1)</f>
        <v/>
      </c>
      <c r="H5751" s="29">
        <f>IF(F5751="","",INDEX(Deals!$E$2:$E$843,F5751))</f>
        <v/>
      </c>
      <c r="I5751">
        <f>IF(F5751="","",INDEX(Deals!$D$2:$D$843,F5751))</f>
        <v/>
      </c>
      <c r="J5751">
        <f>IF(F5751="","",INT(H5751)-B5751)</f>
        <v/>
      </c>
      <c r="K5751">
        <f>IF(B5751&gt;=Settings!$C$5,1,0)</f>
        <v/>
      </c>
    </row>
    <row r="5752">
      <c r="A5752" t="inlineStr">
        <is>
          <t>6a822518af83e64c518574a5a70570f9</t>
        </is>
      </c>
      <c r="B5752" s="29" t="n">
        <v>43242</v>
      </c>
      <c r="C5752" t="inlineStr">
        <is>
          <t>2018-05</t>
        </is>
      </c>
      <c r="D5752" t="inlineStr">
        <is>
          <t>40dec9f3d5259a3d2dbcdab2114fae47</t>
        </is>
      </c>
      <c r="E5752" t="inlineStr">
        <is>
          <t>paid_search</t>
        </is>
      </c>
      <c r="F5752">
        <f>IFERROR(MATCH(A5752,Deals!$A$2:$A$843,0),"")</f>
        <v/>
      </c>
      <c r="G5752">
        <f>IF(F5752="",0,1)</f>
        <v/>
      </c>
      <c r="H5752" s="29">
        <f>IF(F5752="","",INDEX(Deals!$E$2:$E$843,F5752))</f>
        <v/>
      </c>
      <c r="I5752">
        <f>IF(F5752="","",INDEX(Deals!$D$2:$D$843,F5752))</f>
        <v/>
      </c>
      <c r="J5752">
        <f>IF(F5752="","",INT(H5752)-B5752)</f>
        <v/>
      </c>
      <c r="K5752">
        <f>IF(B5752&gt;=Settings!$C$5,1,0)</f>
        <v/>
      </c>
    </row>
    <row r="5753">
      <c r="A5753" t="inlineStr">
        <is>
          <t>034fdbf83b74c1935a73567ed05fc351</t>
        </is>
      </c>
      <c r="B5753" s="29" t="n">
        <v>43164</v>
      </c>
      <c r="C5753" t="inlineStr">
        <is>
          <t>2018-03</t>
        </is>
      </c>
      <c r="D5753" t="inlineStr">
        <is>
          <t>b76ef37428e6799c421989521c0e5077</t>
        </is>
      </c>
      <c r="E5753" t="inlineStr">
        <is>
          <t>paid_search</t>
        </is>
      </c>
      <c r="F5753">
        <f>IFERROR(MATCH(A5753,Deals!$A$2:$A$843,0),"")</f>
        <v/>
      </c>
      <c r="G5753">
        <f>IF(F5753="",0,1)</f>
        <v/>
      </c>
      <c r="H5753" s="29">
        <f>IF(F5753="","",INDEX(Deals!$E$2:$E$843,F5753))</f>
        <v/>
      </c>
      <c r="I5753">
        <f>IF(F5753="","",INDEX(Deals!$D$2:$D$843,F5753))</f>
        <v/>
      </c>
      <c r="J5753">
        <f>IF(F5753="","",INT(H5753)-B5753)</f>
        <v/>
      </c>
      <c r="K5753">
        <f>IF(B5753&gt;=Settings!$C$5,1,0)</f>
        <v/>
      </c>
    </row>
    <row r="5754">
      <c r="A5754" t="inlineStr">
        <is>
          <t>a2816f807f2001d46e4d06248790f850</t>
        </is>
      </c>
      <c r="B5754" s="29" t="n">
        <v>43136</v>
      </c>
      <c r="C5754" t="inlineStr">
        <is>
          <t>2018-02</t>
        </is>
      </c>
      <c r="D5754" t="inlineStr">
        <is>
          <t>15cf89bab2c3163b4f9d8601d108f8b2</t>
        </is>
      </c>
      <c r="E5754" t="inlineStr">
        <is>
          <t>organic_search</t>
        </is>
      </c>
      <c r="F5754">
        <f>IFERROR(MATCH(A5754,Deals!$A$2:$A$843,0),"")</f>
        <v/>
      </c>
      <c r="G5754">
        <f>IF(F5754="",0,1)</f>
        <v/>
      </c>
      <c r="H5754" s="29">
        <f>IF(F5754="","",INDEX(Deals!$E$2:$E$843,F5754))</f>
        <v/>
      </c>
      <c r="I5754">
        <f>IF(F5754="","",INDEX(Deals!$D$2:$D$843,F5754))</f>
        <v/>
      </c>
      <c r="J5754">
        <f>IF(F5754="","",INT(H5754)-B5754)</f>
        <v/>
      </c>
      <c r="K5754">
        <f>IF(B5754&gt;=Settings!$C$5,1,0)</f>
        <v/>
      </c>
    </row>
    <row r="5755">
      <c r="A5755" t="inlineStr">
        <is>
          <t>b42ec7cfa84ce62386d46f8ae12a9b56</t>
        </is>
      </c>
      <c r="B5755" s="29" t="n">
        <v>43180</v>
      </c>
      <c r="C5755" t="inlineStr">
        <is>
          <t>2018-03</t>
        </is>
      </c>
      <c r="D5755" t="inlineStr">
        <is>
          <t>54d5e01ab35155d4bd8cf723fc6f04a0</t>
        </is>
      </c>
      <c r="E5755" t="inlineStr">
        <is>
          <t>display</t>
        </is>
      </c>
      <c r="F5755">
        <f>IFERROR(MATCH(A5755,Deals!$A$2:$A$843,0),"")</f>
        <v/>
      </c>
      <c r="G5755">
        <f>IF(F5755="",0,1)</f>
        <v/>
      </c>
      <c r="H5755" s="29">
        <f>IF(F5755="","",INDEX(Deals!$E$2:$E$843,F5755))</f>
        <v/>
      </c>
      <c r="I5755">
        <f>IF(F5755="","",INDEX(Deals!$D$2:$D$843,F5755))</f>
        <v/>
      </c>
      <c r="J5755">
        <f>IF(F5755="","",INT(H5755)-B5755)</f>
        <v/>
      </c>
      <c r="K5755">
        <f>IF(B5755&gt;=Settings!$C$5,1,0)</f>
        <v/>
      </c>
    </row>
    <row r="5756">
      <c r="A5756" t="inlineStr">
        <is>
          <t>a24c0edd2c109ffea565f01636fe4247</t>
        </is>
      </c>
      <c r="B5756" s="29" t="n">
        <v>43235</v>
      </c>
      <c r="C5756" t="inlineStr">
        <is>
          <t>2018-05</t>
        </is>
      </c>
      <c r="D5756" t="inlineStr">
        <is>
          <t>e492ee5eaf1697716985cc6f33f9cd9b</t>
        </is>
      </c>
      <c r="E5756" t="inlineStr">
        <is>
          <t>organic_search</t>
        </is>
      </c>
      <c r="F5756">
        <f>IFERROR(MATCH(A5756,Deals!$A$2:$A$843,0),"")</f>
        <v/>
      </c>
      <c r="G5756">
        <f>IF(F5756="",0,1)</f>
        <v/>
      </c>
      <c r="H5756" s="29">
        <f>IF(F5756="","",INDEX(Deals!$E$2:$E$843,F5756))</f>
        <v/>
      </c>
      <c r="I5756">
        <f>IF(F5756="","",INDEX(Deals!$D$2:$D$843,F5756))</f>
        <v/>
      </c>
      <c r="J5756">
        <f>IF(F5756="","",INT(H5756)-B5756)</f>
        <v/>
      </c>
      <c r="K5756">
        <f>IF(B5756&gt;=Settings!$C$5,1,0)</f>
        <v/>
      </c>
    </row>
    <row r="5757">
      <c r="A5757" t="inlineStr">
        <is>
          <t>1c59a3c21537275e625bc9fb5d3338d7</t>
        </is>
      </c>
      <c r="B5757" s="29" t="n">
        <v>43107</v>
      </c>
      <c r="C5757" t="inlineStr">
        <is>
          <t>2018-01</t>
        </is>
      </c>
      <c r="D5757" t="inlineStr">
        <is>
          <t>22c29808c4f815213303f8933030604c</t>
        </is>
      </c>
      <c r="E5757" t="inlineStr">
        <is>
          <t>organic_search</t>
        </is>
      </c>
      <c r="F5757">
        <f>IFERROR(MATCH(A5757,Deals!$A$2:$A$843,0),"")</f>
        <v/>
      </c>
      <c r="G5757">
        <f>IF(F5757="",0,1)</f>
        <v/>
      </c>
      <c r="H5757" s="29">
        <f>IF(F5757="","",INDEX(Deals!$E$2:$E$843,F5757))</f>
        <v/>
      </c>
      <c r="I5757">
        <f>IF(F5757="","",INDEX(Deals!$D$2:$D$843,F5757))</f>
        <v/>
      </c>
      <c r="J5757">
        <f>IF(F5757="","",INT(H5757)-B5757)</f>
        <v/>
      </c>
      <c r="K5757">
        <f>IF(B5757&gt;=Settings!$C$5,1,0)</f>
        <v/>
      </c>
    </row>
    <row r="5758">
      <c r="A5758" t="inlineStr">
        <is>
          <t>ce22af845de5311f766f19f94889131e</t>
        </is>
      </c>
      <c r="B5758" s="29" t="n">
        <v>43108</v>
      </c>
      <c r="C5758" t="inlineStr">
        <is>
          <t>2018-01</t>
        </is>
      </c>
      <c r="D5758" t="inlineStr">
        <is>
          <t>73f31a40697cc90a86c1273563ac230e</t>
        </is>
      </c>
      <c r="E5758" t="inlineStr">
        <is>
          <t>organic_search</t>
        </is>
      </c>
      <c r="F5758">
        <f>IFERROR(MATCH(A5758,Deals!$A$2:$A$843,0),"")</f>
        <v/>
      </c>
      <c r="G5758">
        <f>IF(F5758="",0,1)</f>
        <v/>
      </c>
      <c r="H5758" s="29">
        <f>IF(F5758="","",INDEX(Deals!$E$2:$E$843,F5758))</f>
        <v/>
      </c>
      <c r="I5758">
        <f>IF(F5758="","",INDEX(Deals!$D$2:$D$843,F5758))</f>
        <v/>
      </c>
      <c r="J5758">
        <f>IF(F5758="","",INT(H5758)-B5758)</f>
        <v/>
      </c>
      <c r="K5758">
        <f>IF(B5758&gt;=Settings!$C$5,1,0)</f>
        <v/>
      </c>
    </row>
    <row r="5759">
      <c r="A5759" t="inlineStr">
        <is>
          <t>aa3e602dc876a6d7dccff51c07840900</t>
        </is>
      </c>
      <c r="B5759" s="29" t="n">
        <v>43034</v>
      </c>
      <c r="C5759" t="inlineStr">
        <is>
          <t>2017-10</t>
        </is>
      </c>
      <c r="D5759" t="inlineStr">
        <is>
          <t>4513838e626b499f475f9b488d177c55</t>
        </is>
      </c>
      <c r="E5759" t="inlineStr">
        <is>
          <t>organic_search</t>
        </is>
      </c>
      <c r="F5759">
        <f>IFERROR(MATCH(A5759,Deals!$A$2:$A$843,0),"")</f>
        <v/>
      </c>
      <c r="G5759">
        <f>IF(F5759="",0,1)</f>
        <v/>
      </c>
      <c r="H5759" s="29">
        <f>IF(F5759="","",INDEX(Deals!$E$2:$E$843,F5759))</f>
        <v/>
      </c>
      <c r="I5759">
        <f>IF(F5759="","",INDEX(Deals!$D$2:$D$843,F5759))</f>
        <v/>
      </c>
      <c r="J5759">
        <f>IF(F5759="","",INT(H5759)-B5759)</f>
        <v/>
      </c>
      <c r="K5759">
        <f>IF(B5759&gt;=Settings!$C$5,1,0)</f>
        <v/>
      </c>
    </row>
    <row r="5760">
      <c r="A5760" t="inlineStr">
        <is>
          <t>907cd7a980711f95864de7e532cf1cec</t>
        </is>
      </c>
      <c r="B5760" s="29" t="n">
        <v>43224</v>
      </c>
      <c r="C5760" t="inlineStr">
        <is>
          <t>2018-05</t>
        </is>
      </c>
      <c r="D5760" t="inlineStr">
        <is>
          <t>b76ef37428e6799c421989521c0e5077</t>
        </is>
      </c>
      <c r="E5760" t="inlineStr">
        <is>
          <t>unknown</t>
        </is>
      </c>
      <c r="F5760">
        <f>IFERROR(MATCH(A5760,Deals!$A$2:$A$843,0),"")</f>
        <v/>
      </c>
      <c r="G5760">
        <f>IF(F5760="",0,1)</f>
        <v/>
      </c>
      <c r="H5760" s="29">
        <f>IF(F5760="","",INDEX(Deals!$E$2:$E$843,F5760))</f>
        <v/>
      </c>
      <c r="I5760">
        <f>IF(F5760="","",INDEX(Deals!$D$2:$D$843,F5760))</f>
        <v/>
      </c>
      <c r="J5760">
        <f>IF(F5760="","",INT(H5760)-B5760)</f>
        <v/>
      </c>
      <c r="K5760">
        <f>IF(B5760&gt;=Settings!$C$5,1,0)</f>
        <v/>
      </c>
    </row>
    <row r="5761">
      <c r="A5761" t="inlineStr">
        <is>
          <t>b39ac02ff5021fed10cb9988a23d5d02</t>
        </is>
      </c>
      <c r="B5761" s="29" t="n">
        <v>42964</v>
      </c>
      <c r="C5761" t="inlineStr">
        <is>
          <t>2017-08</t>
        </is>
      </c>
      <c r="D5761" t="inlineStr">
        <is>
          <t>1722481ac9e5371e5099dea226b5421d</t>
        </is>
      </c>
      <c r="E5761" t="inlineStr">
        <is>
          <t>social</t>
        </is>
      </c>
      <c r="F5761">
        <f>IFERROR(MATCH(A5761,Deals!$A$2:$A$843,0),"")</f>
        <v/>
      </c>
      <c r="G5761">
        <f>IF(F5761="",0,1)</f>
        <v/>
      </c>
      <c r="H5761" s="29">
        <f>IF(F5761="","",INDEX(Deals!$E$2:$E$843,F5761))</f>
        <v/>
      </c>
      <c r="I5761">
        <f>IF(F5761="","",INDEX(Deals!$D$2:$D$843,F5761))</f>
        <v/>
      </c>
      <c r="J5761">
        <f>IF(F5761="","",INT(H5761)-B5761)</f>
        <v/>
      </c>
      <c r="K5761">
        <f>IF(B5761&gt;=Settings!$C$5,1,0)</f>
        <v/>
      </c>
    </row>
    <row r="5762">
      <c r="A5762" t="inlineStr">
        <is>
          <t>7cc2794f14963ceaedb29d19875c950c</t>
        </is>
      </c>
      <c r="B5762" s="29" t="n">
        <v>43138</v>
      </c>
      <c r="C5762" t="inlineStr">
        <is>
          <t>2018-02</t>
        </is>
      </c>
      <c r="D5762" t="inlineStr">
        <is>
          <t>6323b8a5b98bfda127cb1cdfd4a40fbb</t>
        </is>
      </c>
      <c r="E5762" t="inlineStr">
        <is>
          <t>email</t>
        </is>
      </c>
      <c r="F5762">
        <f>IFERROR(MATCH(A5762,Deals!$A$2:$A$843,0),"")</f>
        <v/>
      </c>
      <c r="G5762">
        <f>IF(F5762="",0,1)</f>
        <v/>
      </c>
      <c r="H5762" s="29">
        <f>IF(F5762="","",INDEX(Deals!$E$2:$E$843,F5762))</f>
        <v/>
      </c>
      <c r="I5762">
        <f>IF(F5762="","",INDEX(Deals!$D$2:$D$843,F5762))</f>
        <v/>
      </c>
      <c r="J5762">
        <f>IF(F5762="","",INT(H5762)-B5762)</f>
        <v/>
      </c>
      <c r="K5762">
        <f>IF(B5762&gt;=Settings!$C$5,1,0)</f>
        <v/>
      </c>
    </row>
    <row r="5763">
      <c r="A5763" t="inlineStr">
        <is>
          <t>9f0e75318f99d12a92fb1f4ba3507b7b</t>
        </is>
      </c>
      <c r="B5763" s="29" t="n">
        <v>43200</v>
      </c>
      <c r="C5763" t="inlineStr">
        <is>
          <t>2018-04</t>
        </is>
      </c>
      <c r="D5763" t="inlineStr">
        <is>
          <t>73f31a40697cc90a86c1273563ac230e</t>
        </is>
      </c>
      <c r="E5763" t="inlineStr">
        <is>
          <t>unknown</t>
        </is>
      </c>
      <c r="F5763">
        <f>IFERROR(MATCH(A5763,Deals!$A$2:$A$843,0),"")</f>
        <v/>
      </c>
      <c r="G5763">
        <f>IF(F5763="",0,1)</f>
        <v/>
      </c>
      <c r="H5763" s="29">
        <f>IF(F5763="","",INDEX(Deals!$E$2:$E$843,F5763))</f>
        <v/>
      </c>
      <c r="I5763">
        <f>IF(F5763="","",INDEX(Deals!$D$2:$D$843,F5763))</f>
        <v/>
      </c>
      <c r="J5763">
        <f>IF(F5763="","",INT(H5763)-B5763)</f>
        <v/>
      </c>
      <c r="K5763">
        <f>IF(B5763&gt;=Settings!$C$5,1,0)</f>
        <v/>
      </c>
    </row>
    <row r="5764">
      <c r="A5764" t="inlineStr">
        <is>
          <t>4da4e32b324bca44aff146f14fbb40f5</t>
        </is>
      </c>
      <c r="B5764" s="29" t="n">
        <v>43171</v>
      </c>
      <c r="C5764" t="inlineStr">
        <is>
          <t>2018-03</t>
        </is>
      </c>
      <c r="D5764" t="inlineStr">
        <is>
          <t>330b9d44078a1ae5a221d655dcb77afa</t>
        </is>
      </c>
      <c r="E5764" t="inlineStr">
        <is>
          <t>unknown</t>
        </is>
      </c>
      <c r="F5764">
        <f>IFERROR(MATCH(A5764,Deals!$A$2:$A$843,0),"")</f>
        <v/>
      </c>
      <c r="G5764">
        <f>IF(F5764="",0,1)</f>
        <v/>
      </c>
      <c r="H5764" s="29">
        <f>IF(F5764="","",INDEX(Deals!$E$2:$E$843,F5764))</f>
        <v/>
      </c>
      <c r="I5764">
        <f>IF(F5764="","",INDEX(Deals!$D$2:$D$843,F5764))</f>
        <v/>
      </c>
      <c r="J5764">
        <f>IF(F5764="","",INT(H5764)-B5764)</f>
        <v/>
      </c>
      <c r="K5764">
        <f>IF(B5764&gt;=Settings!$C$5,1,0)</f>
        <v/>
      </c>
    </row>
    <row r="5765">
      <c r="A5765" t="inlineStr">
        <is>
          <t>ed543025badd2a6d5d1a58126a067bc3</t>
        </is>
      </c>
      <c r="B5765" s="29" t="n">
        <v>43048</v>
      </c>
      <c r="C5765" t="inlineStr">
        <is>
          <t>2017-11</t>
        </is>
      </c>
      <c r="D5765" t="inlineStr">
        <is>
          <t>5d85e946cb22385b94eef98af7f76cb1</t>
        </is>
      </c>
      <c r="E5765" t="inlineStr">
        <is>
          <t>email</t>
        </is>
      </c>
      <c r="F5765">
        <f>IFERROR(MATCH(A5765,Deals!$A$2:$A$843,0),"")</f>
        <v/>
      </c>
      <c r="G5765">
        <f>IF(F5765="",0,1)</f>
        <v/>
      </c>
      <c r="H5765" s="29">
        <f>IF(F5765="","",INDEX(Deals!$E$2:$E$843,F5765))</f>
        <v/>
      </c>
      <c r="I5765">
        <f>IF(F5765="","",INDEX(Deals!$D$2:$D$843,F5765))</f>
        <v/>
      </c>
      <c r="J5765">
        <f>IF(F5765="","",INT(H5765)-B5765)</f>
        <v/>
      </c>
      <c r="K5765">
        <f>IF(B5765&gt;=Settings!$C$5,1,0)</f>
        <v/>
      </c>
    </row>
    <row r="5766">
      <c r="A5766" t="inlineStr">
        <is>
          <t>bc916355c4b4bff29473d27f0a214b84</t>
        </is>
      </c>
      <c r="B5766" s="29" t="n">
        <v>43133</v>
      </c>
      <c r="C5766" t="inlineStr">
        <is>
          <t>2018-02</t>
        </is>
      </c>
      <c r="D5766" t="inlineStr">
        <is>
          <t>b76ef37428e6799c421989521c0e5077</t>
        </is>
      </c>
      <c r="E5766" t="inlineStr">
        <is>
          <t>unknown</t>
        </is>
      </c>
      <c r="F5766">
        <f>IFERROR(MATCH(A5766,Deals!$A$2:$A$843,0),"")</f>
        <v/>
      </c>
      <c r="G5766">
        <f>IF(F5766="",0,1)</f>
        <v/>
      </c>
      <c r="H5766" s="29">
        <f>IF(F5766="","",INDEX(Deals!$E$2:$E$843,F5766))</f>
        <v/>
      </c>
      <c r="I5766">
        <f>IF(F5766="","",INDEX(Deals!$D$2:$D$843,F5766))</f>
        <v/>
      </c>
      <c r="J5766">
        <f>IF(F5766="","",INT(H5766)-B5766)</f>
        <v/>
      </c>
      <c r="K5766">
        <f>IF(B5766&gt;=Settings!$C$5,1,0)</f>
        <v/>
      </c>
    </row>
    <row r="5767">
      <c r="A5767" t="inlineStr">
        <is>
          <t>1b4ea86404d0b479c4a73e55dfd8b0b7</t>
        </is>
      </c>
      <c r="B5767" s="29" t="n">
        <v>43188</v>
      </c>
      <c r="C5767" t="inlineStr">
        <is>
          <t>2018-03</t>
        </is>
      </c>
      <c r="D5767" t="inlineStr">
        <is>
          <t>e492ee5eaf1697716985cc6f33f9cd9b</t>
        </is>
      </c>
      <c r="E5767" t="inlineStr">
        <is>
          <t>email</t>
        </is>
      </c>
      <c r="F5767">
        <f>IFERROR(MATCH(A5767,Deals!$A$2:$A$843,0),"")</f>
        <v/>
      </c>
      <c r="G5767">
        <f>IF(F5767="",0,1)</f>
        <v/>
      </c>
      <c r="H5767" s="29">
        <f>IF(F5767="","",INDEX(Deals!$E$2:$E$843,F5767))</f>
        <v/>
      </c>
      <c r="I5767">
        <f>IF(F5767="","",INDEX(Deals!$D$2:$D$843,F5767))</f>
        <v/>
      </c>
      <c r="J5767">
        <f>IF(F5767="","",INT(H5767)-B5767)</f>
        <v/>
      </c>
      <c r="K5767">
        <f>IF(B5767&gt;=Settings!$C$5,1,0)</f>
        <v/>
      </c>
    </row>
    <row r="5768">
      <c r="A5768" t="inlineStr">
        <is>
          <t>bcffac7ceb2fafe3584e66bfc9c53a72</t>
        </is>
      </c>
      <c r="B5768" s="29" t="n">
        <v>43142</v>
      </c>
      <c r="C5768" t="inlineStr">
        <is>
          <t>2018-02</t>
        </is>
      </c>
      <c r="D5768" t="inlineStr">
        <is>
          <t>73fec6021437e723ff5adae8dff89e23</t>
        </is>
      </c>
      <c r="E5768" t="inlineStr">
        <is>
          <t>social</t>
        </is>
      </c>
      <c r="F5768">
        <f>IFERROR(MATCH(A5768,Deals!$A$2:$A$843,0),"")</f>
        <v/>
      </c>
      <c r="G5768">
        <f>IF(F5768="",0,1)</f>
        <v/>
      </c>
      <c r="H5768" s="29">
        <f>IF(F5768="","",INDEX(Deals!$E$2:$E$843,F5768))</f>
        <v/>
      </c>
      <c r="I5768">
        <f>IF(F5768="","",INDEX(Deals!$D$2:$D$843,F5768))</f>
        <v/>
      </c>
      <c r="J5768">
        <f>IF(F5768="","",INT(H5768)-B5768)</f>
        <v/>
      </c>
      <c r="K5768">
        <f>IF(B5768&gt;=Settings!$C$5,1,0)</f>
        <v/>
      </c>
    </row>
    <row r="5769">
      <c r="A5769" t="inlineStr">
        <is>
          <t>3958f53d13f000006c688ac027e34d2a</t>
        </is>
      </c>
      <c r="B5769" s="29" t="n">
        <v>43123</v>
      </c>
      <c r="C5769" t="inlineStr">
        <is>
          <t>2018-01</t>
        </is>
      </c>
      <c r="D5769" t="inlineStr">
        <is>
          <t>88740e65d5d6b056e0cda098e1ea6313</t>
        </is>
      </c>
      <c r="E5769" t="inlineStr">
        <is>
          <t>social</t>
        </is>
      </c>
      <c r="F5769">
        <f>IFERROR(MATCH(A5769,Deals!$A$2:$A$843,0),"")</f>
        <v/>
      </c>
      <c r="G5769">
        <f>IF(F5769="",0,1)</f>
        <v/>
      </c>
      <c r="H5769" s="29">
        <f>IF(F5769="","",INDEX(Deals!$E$2:$E$843,F5769))</f>
        <v/>
      </c>
      <c r="I5769">
        <f>IF(F5769="","",INDEX(Deals!$D$2:$D$843,F5769))</f>
        <v/>
      </c>
      <c r="J5769">
        <f>IF(F5769="","",INT(H5769)-B5769)</f>
        <v/>
      </c>
      <c r="K5769">
        <f>IF(B5769&gt;=Settings!$C$5,1,0)</f>
        <v/>
      </c>
    </row>
    <row r="5770">
      <c r="A5770" t="inlineStr">
        <is>
          <t>a0b36aa0208b361e4103380fb34694bf</t>
        </is>
      </c>
      <c r="B5770" s="29" t="n">
        <v>43238</v>
      </c>
      <c r="C5770" t="inlineStr">
        <is>
          <t>2018-05</t>
        </is>
      </c>
      <c r="D5770" t="inlineStr">
        <is>
          <t>22c29808c4f815213303f8933030604c</t>
        </is>
      </c>
      <c r="E5770" t="inlineStr">
        <is>
          <t>organic_search</t>
        </is>
      </c>
      <c r="F5770">
        <f>IFERROR(MATCH(A5770,Deals!$A$2:$A$843,0),"")</f>
        <v/>
      </c>
      <c r="G5770">
        <f>IF(F5770="",0,1)</f>
        <v/>
      </c>
      <c r="H5770" s="29">
        <f>IF(F5770="","",INDEX(Deals!$E$2:$E$843,F5770))</f>
        <v/>
      </c>
      <c r="I5770">
        <f>IF(F5770="","",INDEX(Deals!$D$2:$D$843,F5770))</f>
        <v/>
      </c>
      <c r="J5770">
        <f>IF(F5770="","",INT(H5770)-B5770)</f>
        <v/>
      </c>
      <c r="K5770">
        <f>IF(B5770&gt;=Settings!$C$5,1,0)</f>
        <v/>
      </c>
    </row>
    <row r="5771">
      <c r="A5771" t="inlineStr">
        <is>
          <t>fca7a9a39563f62e67a0018690b0d4c9</t>
        </is>
      </c>
      <c r="B5771" s="29" t="n">
        <v>43216</v>
      </c>
      <c r="C5771" t="inlineStr">
        <is>
          <t>2018-04</t>
        </is>
      </c>
      <c r="D5771" t="inlineStr">
        <is>
          <t>f80696b73d17fb34f5c4fde157f119d8</t>
        </is>
      </c>
      <c r="E5771" t="inlineStr">
        <is>
          <t>unknown</t>
        </is>
      </c>
      <c r="F5771">
        <f>IFERROR(MATCH(A5771,Deals!$A$2:$A$843,0),"")</f>
        <v/>
      </c>
      <c r="G5771">
        <f>IF(F5771="",0,1)</f>
        <v/>
      </c>
      <c r="H5771" s="29">
        <f>IF(F5771="","",INDEX(Deals!$E$2:$E$843,F5771))</f>
        <v/>
      </c>
      <c r="I5771">
        <f>IF(F5771="","",INDEX(Deals!$D$2:$D$843,F5771))</f>
        <v/>
      </c>
      <c r="J5771">
        <f>IF(F5771="","",INT(H5771)-B5771)</f>
        <v/>
      </c>
      <c r="K5771">
        <f>IF(B5771&gt;=Settings!$C$5,1,0)</f>
        <v/>
      </c>
    </row>
    <row r="5772">
      <c r="A5772" t="inlineStr">
        <is>
          <t>307e9c61450651aa146fa8da4ddd4906</t>
        </is>
      </c>
      <c r="B5772" s="29" t="n">
        <v>43098</v>
      </c>
      <c r="C5772" t="inlineStr">
        <is>
          <t>2017-12</t>
        </is>
      </c>
      <c r="D5772" t="inlineStr">
        <is>
          <t>22c29808c4f815213303f8933030604c</t>
        </is>
      </c>
      <c r="E5772" t="inlineStr">
        <is>
          <t>organic_search</t>
        </is>
      </c>
      <c r="F5772">
        <f>IFERROR(MATCH(A5772,Deals!$A$2:$A$843,0),"")</f>
        <v/>
      </c>
      <c r="G5772">
        <f>IF(F5772="",0,1)</f>
        <v/>
      </c>
      <c r="H5772" s="29">
        <f>IF(F5772="","",INDEX(Deals!$E$2:$E$843,F5772))</f>
        <v/>
      </c>
      <c r="I5772">
        <f>IF(F5772="","",INDEX(Deals!$D$2:$D$843,F5772))</f>
        <v/>
      </c>
      <c r="J5772">
        <f>IF(F5772="","",INT(H5772)-B5772)</f>
        <v/>
      </c>
      <c r="K5772">
        <f>IF(B5772&gt;=Settings!$C$5,1,0)</f>
        <v/>
      </c>
    </row>
    <row r="5773">
      <c r="A5773" t="inlineStr">
        <is>
          <t>a6b1f34393caee146261de6196119c09</t>
        </is>
      </c>
      <c r="B5773" s="29" t="n">
        <v>43148</v>
      </c>
      <c r="C5773" t="inlineStr">
        <is>
          <t>2018-02</t>
        </is>
      </c>
      <c r="D5773" t="inlineStr">
        <is>
          <t>88740e65d5d6b056e0cda098e1ea6313</t>
        </is>
      </c>
      <c r="E5773" t="inlineStr">
        <is>
          <t>social</t>
        </is>
      </c>
      <c r="F5773">
        <f>IFERROR(MATCH(A5773,Deals!$A$2:$A$843,0),"")</f>
        <v/>
      </c>
      <c r="G5773">
        <f>IF(F5773="",0,1)</f>
        <v/>
      </c>
      <c r="H5773" s="29">
        <f>IF(F5773="","",INDEX(Deals!$E$2:$E$843,F5773))</f>
        <v/>
      </c>
      <c r="I5773">
        <f>IF(F5773="","",INDEX(Deals!$D$2:$D$843,F5773))</f>
        <v/>
      </c>
      <c r="J5773">
        <f>IF(F5773="","",INT(H5773)-B5773)</f>
        <v/>
      </c>
      <c r="K5773">
        <f>IF(B5773&gt;=Settings!$C$5,1,0)</f>
        <v/>
      </c>
    </row>
    <row r="5774">
      <c r="A5774" t="inlineStr">
        <is>
          <t>2ce38c6179c7d42a47a2efd086cdd9d5</t>
        </is>
      </c>
      <c r="B5774" s="29" t="n">
        <v>43130</v>
      </c>
      <c r="C5774" t="inlineStr">
        <is>
          <t>2018-01</t>
        </is>
      </c>
      <c r="D5774" t="inlineStr">
        <is>
          <t>40dec9f3d5259a3d2dbcdab2114fae47</t>
        </is>
      </c>
      <c r="E5774" t="inlineStr">
        <is>
          <t>organic_search</t>
        </is>
      </c>
      <c r="F5774">
        <f>IFERROR(MATCH(A5774,Deals!$A$2:$A$843,0),"")</f>
        <v/>
      </c>
      <c r="G5774">
        <f>IF(F5774="",0,1)</f>
        <v/>
      </c>
      <c r="H5774" s="29">
        <f>IF(F5774="","",INDEX(Deals!$E$2:$E$843,F5774))</f>
        <v/>
      </c>
      <c r="I5774">
        <f>IF(F5774="","",INDEX(Deals!$D$2:$D$843,F5774))</f>
        <v/>
      </c>
      <c r="J5774">
        <f>IF(F5774="","",INT(H5774)-B5774)</f>
        <v/>
      </c>
      <c r="K5774">
        <f>IF(B5774&gt;=Settings!$C$5,1,0)</f>
        <v/>
      </c>
    </row>
    <row r="5775">
      <c r="A5775" t="inlineStr">
        <is>
          <t>d75f18d5cef24fc18b544ae718588d66</t>
        </is>
      </c>
      <c r="B5775" s="29" t="n">
        <v>43087</v>
      </c>
      <c r="C5775" t="inlineStr">
        <is>
          <t>2017-12</t>
        </is>
      </c>
      <c r="D5775" t="inlineStr">
        <is>
          <t>1722481ac9e5371e5099dea226b5421d</t>
        </is>
      </c>
      <c r="E5775" t="inlineStr">
        <is>
          <t>unknown</t>
        </is>
      </c>
      <c r="F5775">
        <f>IFERROR(MATCH(A5775,Deals!$A$2:$A$843,0),"")</f>
        <v/>
      </c>
      <c r="G5775">
        <f>IF(F5775="",0,1)</f>
        <v/>
      </c>
      <c r="H5775" s="29">
        <f>IF(F5775="","",INDEX(Deals!$E$2:$E$843,F5775))</f>
        <v/>
      </c>
      <c r="I5775">
        <f>IF(F5775="","",INDEX(Deals!$D$2:$D$843,F5775))</f>
        <v/>
      </c>
      <c r="J5775">
        <f>IF(F5775="","",INT(H5775)-B5775)</f>
        <v/>
      </c>
      <c r="K5775">
        <f>IF(B5775&gt;=Settings!$C$5,1,0)</f>
        <v/>
      </c>
    </row>
    <row r="5776">
      <c r="A5776" t="inlineStr">
        <is>
          <t>3cd9fd588c126cc9043850408c2c19ab</t>
        </is>
      </c>
      <c r="B5776" s="29" t="n">
        <v>43008</v>
      </c>
      <c r="C5776" t="inlineStr">
        <is>
          <t>2017-09</t>
        </is>
      </c>
      <c r="D5776" t="inlineStr">
        <is>
          <t>f017be4dbf86243af5c1ebed0cff36a2</t>
        </is>
      </c>
      <c r="E5776" t="inlineStr">
        <is>
          <t>organic_search</t>
        </is>
      </c>
      <c r="F5776">
        <f>IFERROR(MATCH(A5776,Deals!$A$2:$A$843,0),"")</f>
        <v/>
      </c>
      <c r="G5776">
        <f>IF(F5776="",0,1)</f>
        <v/>
      </c>
      <c r="H5776" s="29">
        <f>IF(F5776="","",INDEX(Deals!$E$2:$E$843,F5776))</f>
        <v/>
      </c>
      <c r="I5776">
        <f>IF(F5776="","",INDEX(Deals!$D$2:$D$843,F5776))</f>
        <v/>
      </c>
      <c r="J5776">
        <f>IF(F5776="","",INT(H5776)-B5776)</f>
        <v/>
      </c>
      <c r="K5776">
        <f>IF(B5776&gt;=Settings!$C$5,1,0)</f>
        <v/>
      </c>
    </row>
    <row r="5777">
      <c r="A5777" t="inlineStr">
        <is>
          <t>4a447fa0819e4b3e6dcbc7dad6c83670</t>
        </is>
      </c>
      <c r="B5777" s="29" t="n">
        <v>43129</v>
      </c>
      <c r="C5777" t="inlineStr">
        <is>
          <t>2018-01</t>
        </is>
      </c>
      <c r="D5777" t="inlineStr">
        <is>
          <t>88740e65d5d6b056e0cda098e1ea6313</t>
        </is>
      </c>
      <c r="E5777" t="inlineStr">
        <is>
          <t>social</t>
        </is>
      </c>
      <c r="F5777">
        <f>IFERROR(MATCH(A5777,Deals!$A$2:$A$843,0),"")</f>
        <v/>
      </c>
      <c r="G5777">
        <f>IF(F5777="",0,1)</f>
        <v/>
      </c>
      <c r="H5777" s="29">
        <f>IF(F5777="","",INDEX(Deals!$E$2:$E$843,F5777))</f>
        <v/>
      </c>
      <c r="I5777">
        <f>IF(F5777="","",INDEX(Deals!$D$2:$D$843,F5777))</f>
        <v/>
      </c>
      <c r="J5777">
        <f>IF(F5777="","",INT(H5777)-B5777)</f>
        <v/>
      </c>
      <c r="K5777">
        <f>IF(B5777&gt;=Settings!$C$5,1,0)</f>
        <v/>
      </c>
    </row>
    <row r="5778">
      <c r="A5778" t="inlineStr">
        <is>
          <t>ce50d5be7b6c6e7afb55b9db35388d43</t>
        </is>
      </c>
      <c r="B5778" s="29" t="n">
        <v>43173</v>
      </c>
      <c r="C5778" t="inlineStr">
        <is>
          <t>2018-03</t>
        </is>
      </c>
      <c r="D5778" t="inlineStr">
        <is>
          <t>0218f6be0b76aca72ab4d00ee9e8cf10</t>
        </is>
      </c>
      <c r="E5778" t="inlineStr">
        <is>
          <t>referral</t>
        </is>
      </c>
      <c r="F5778">
        <f>IFERROR(MATCH(A5778,Deals!$A$2:$A$843,0),"")</f>
        <v/>
      </c>
      <c r="G5778">
        <f>IF(F5778="",0,1)</f>
        <v/>
      </c>
      <c r="H5778" s="29">
        <f>IF(F5778="","",INDEX(Deals!$E$2:$E$843,F5778))</f>
        <v/>
      </c>
      <c r="I5778">
        <f>IF(F5778="","",INDEX(Deals!$D$2:$D$843,F5778))</f>
        <v/>
      </c>
      <c r="J5778">
        <f>IF(F5778="","",INT(H5778)-B5778)</f>
        <v/>
      </c>
      <c r="K5778">
        <f>IF(B5778&gt;=Settings!$C$5,1,0)</f>
        <v/>
      </c>
    </row>
    <row r="5779">
      <c r="A5779" t="inlineStr">
        <is>
          <t>8fc019d475d2d5220014dd496524b7d0</t>
        </is>
      </c>
      <c r="B5779" s="29" t="n">
        <v>43041</v>
      </c>
      <c r="C5779" t="inlineStr">
        <is>
          <t>2017-11</t>
        </is>
      </c>
      <c r="D5779" t="inlineStr">
        <is>
          <t>88740e65d5d6b056e0cda098e1ea6313</t>
        </is>
      </c>
      <c r="E5779" t="inlineStr">
        <is>
          <t>social</t>
        </is>
      </c>
      <c r="F5779">
        <f>IFERROR(MATCH(A5779,Deals!$A$2:$A$843,0),"")</f>
        <v/>
      </c>
      <c r="G5779">
        <f>IF(F5779="",0,1)</f>
        <v/>
      </c>
      <c r="H5779" s="29">
        <f>IF(F5779="","",INDEX(Deals!$E$2:$E$843,F5779))</f>
        <v/>
      </c>
      <c r="I5779">
        <f>IF(F5779="","",INDEX(Deals!$D$2:$D$843,F5779))</f>
        <v/>
      </c>
      <c r="J5779">
        <f>IF(F5779="","",INT(H5779)-B5779)</f>
        <v/>
      </c>
      <c r="K5779">
        <f>IF(B5779&gt;=Settings!$C$5,1,0)</f>
        <v/>
      </c>
    </row>
    <row r="5780">
      <c r="A5780" t="inlineStr">
        <is>
          <t>58366cc25c833fe7ec47bdf70c996182</t>
        </is>
      </c>
      <c r="B5780" s="29" t="n">
        <v>43250</v>
      </c>
      <c r="C5780" t="inlineStr">
        <is>
          <t>2018-05</t>
        </is>
      </c>
      <c r="D5780" t="inlineStr">
        <is>
          <t>22c29808c4f815213303f8933030604c</t>
        </is>
      </c>
      <c r="E5780" t="inlineStr">
        <is>
          <t>referral</t>
        </is>
      </c>
      <c r="F5780">
        <f>IFERROR(MATCH(A5780,Deals!$A$2:$A$843,0),"")</f>
        <v/>
      </c>
      <c r="G5780">
        <f>IF(F5780="",0,1)</f>
        <v/>
      </c>
      <c r="H5780" s="29">
        <f>IF(F5780="","",INDEX(Deals!$E$2:$E$843,F5780))</f>
        <v/>
      </c>
      <c r="I5780">
        <f>IF(F5780="","",INDEX(Deals!$D$2:$D$843,F5780))</f>
        <v/>
      </c>
      <c r="J5780">
        <f>IF(F5780="","",INT(H5780)-B5780)</f>
        <v/>
      </c>
      <c r="K5780">
        <f>IF(B5780&gt;=Settings!$C$5,1,0)</f>
        <v/>
      </c>
    </row>
    <row r="5781">
      <c r="A5781" t="inlineStr">
        <is>
          <t>a48bae986dd278e99e16e47f3b324ea8</t>
        </is>
      </c>
      <c r="B5781" s="29" t="n">
        <v>43158</v>
      </c>
      <c r="C5781" t="inlineStr">
        <is>
          <t>2018-02</t>
        </is>
      </c>
      <c r="D5781" t="inlineStr">
        <is>
          <t>22c29808c4f815213303f8933030604c</t>
        </is>
      </c>
      <c r="E5781" t="inlineStr">
        <is>
          <t>organic_search</t>
        </is>
      </c>
      <c r="F5781">
        <f>IFERROR(MATCH(A5781,Deals!$A$2:$A$843,0),"")</f>
        <v/>
      </c>
      <c r="G5781">
        <f>IF(F5781="",0,1)</f>
        <v/>
      </c>
      <c r="H5781" s="29">
        <f>IF(F5781="","",INDEX(Deals!$E$2:$E$843,F5781))</f>
        <v/>
      </c>
      <c r="I5781">
        <f>IF(F5781="","",INDEX(Deals!$D$2:$D$843,F5781))</f>
        <v/>
      </c>
      <c r="J5781">
        <f>IF(F5781="","",INT(H5781)-B5781)</f>
        <v/>
      </c>
      <c r="K5781">
        <f>IF(B5781&gt;=Settings!$C$5,1,0)</f>
        <v/>
      </c>
    </row>
    <row r="5782">
      <c r="A5782" t="inlineStr">
        <is>
          <t>0ad5d0c8747fd99d37ab4cd396ae9662</t>
        </is>
      </c>
      <c r="B5782" s="29" t="n">
        <v>43165</v>
      </c>
      <c r="C5782" t="inlineStr">
        <is>
          <t>2018-03</t>
        </is>
      </c>
      <c r="D5782" t="inlineStr">
        <is>
          <t>120ad10683075526ee1b3b00489dafec</t>
        </is>
      </c>
      <c r="E5782" t="inlineStr">
        <is>
          <t>direct_traffic</t>
        </is>
      </c>
      <c r="F5782">
        <f>IFERROR(MATCH(A5782,Deals!$A$2:$A$843,0),"")</f>
        <v/>
      </c>
      <c r="G5782">
        <f>IF(F5782="",0,1)</f>
        <v/>
      </c>
      <c r="H5782" s="29">
        <f>IF(F5782="","",INDEX(Deals!$E$2:$E$843,F5782))</f>
        <v/>
      </c>
      <c r="I5782">
        <f>IF(F5782="","",INDEX(Deals!$D$2:$D$843,F5782))</f>
        <v/>
      </c>
      <c r="J5782">
        <f>IF(F5782="","",INT(H5782)-B5782)</f>
        <v/>
      </c>
      <c r="K5782">
        <f>IF(B5782&gt;=Settings!$C$5,1,0)</f>
        <v/>
      </c>
    </row>
    <row r="5783">
      <c r="A5783" t="inlineStr">
        <is>
          <t>b3f7bb40292f61fa966cb2a8a4cd339d</t>
        </is>
      </c>
      <c r="B5783" s="29" t="n">
        <v>43115</v>
      </c>
      <c r="C5783" t="inlineStr">
        <is>
          <t>2018-01</t>
        </is>
      </c>
      <c r="D5783" t="inlineStr">
        <is>
          <t>88740e65d5d6b056e0cda098e1ea6313</t>
        </is>
      </c>
      <c r="E5783" t="inlineStr">
        <is>
          <t>social</t>
        </is>
      </c>
      <c r="F5783">
        <f>IFERROR(MATCH(A5783,Deals!$A$2:$A$843,0),"")</f>
        <v/>
      </c>
      <c r="G5783">
        <f>IF(F5783="",0,1)</f>
        <v/>
      </c>
      <c r="H5783" s="29">
        <f>IF(F5783="","",INDEX(Deals!$E$2:$E$843,F5783))</f>
        <v/>
      </c>
      <c r="I5783">
        <f>IF(F5783="","",INDEX(Deals!$D$2:$D$843,F5783))</f>
        <v/>
      </c>
      <c r="J5783">
        <f>IF(F5783="","",INT(H5783)-B5783)</f>
        <v/>
      </c>
      <c r="K5783">
        <f>IF(B5783&gt;=Settings!$C$5,1,0)</f>
        <v/>
      </c>
    </row>
    <row r="5784">
      <c r="A5784" t="inlineStr">
        <is>
          <t>19d0170c5a9f7120fdcb2c34e9373f68</t>
        </is>
      </c>
      <c r="B5784" s="29" t="n">
        <v>43222</v>
      </c>
      <c r="C5784" t="inlineStr">
        <is>
          <t>2018-05</t>
        </is>
      </c>
      <c r="D5784" t="inlineStr">
        <is>
          <t>58326e62183c14b0c03085c33b9fdc44</t>
        </is>
      </c>
      <c r="E5784" t="inlineStr">
        <is>
          <t>referral</t>
        </is>
      </c>
      <c r="F5784">
        <f>IFERROR(MATCH(A5784,Deals!$A$2:$A$843,0),"")</f>
        <v/>
      </c>
      <c r="G5784">
        <f>IF(F5784="",0,1)</f>
        <v/>
      </c>
      <c r="H5784" s="29">
        <f>IF(F5784="","",INDEX(Deals!$E$2:$E$843,F5784))</f>
        <v/>
      </c>
      <c r="I5784">
        <f>IF(F5784="","",INDEX(Deals!$D$2:$D$843,F5784))</f>
        <v/>
      </c>
      <c r="J5784">
        <f>IF(F5784="","",INT(H5784)-B5784)</f>
        <v/>
      </c>
      <c r="K5784">
        <f>IF(B5784&gt;=Settings!$C$5,1,0)</f>
        <v/>
      </c>
    </row>
    <row r="5785">
      <c r="A5785" t="inlineStr">
        <is>
          <t>1ce04284ef15be769958c668292573b8</t>
        </is>
      </c>
      <c r="B5785" s="29" t="n">
        <v>43134</v>
      </c>
      <c r="C5785" t="inlineStr">
        <is>
          <t>2018-02</t>
        </is>
      </c>
      <c r="D5785" t="inlineStr">
        <is>
          <t>b76ef37428e6799c421989521c0e5077</t>
        </is>
      </c>
      <c r="E5785" t="inlineStr">
        <is>
          <t>unknown</t>
        </is>
      </c>
      <c r="F5785">
        <f>IFERROR(MATCH(A5785,Deals!$A$2:$A$843,0),"")</f>
        <v/>
      </c>
      <c r="G5785">
        <f>IF(F5785="",0,1)</f>
        <v/>
      </c>
      <c r="H5785" s="29">
        <f>IF(F5785="","",INDEX(Deals!$E$2:$E$843,F5785))</f>
        <v/>
      </c>
      <c r="I5785">
        <f>IF(F5785="","",INDEX(Deals!$D$2:$D$843,F5785))</f>
        <v/>
      </c>
      <c r="J5785">
        <f>IF(F5785="","",INT(H5785)-B5785)</f>
        <v/>
      </c>
      <c r="K5785">
        <f>IF(B5785&gt;=Settings!$C$5,1,0)</f>
        <v/>
      </c>
    </row>
    <row r="5786">
      <c r="A5786" t="inlineStr">
        <is>
          <t>af7e75b8e0352cb68387b4ed69bba0e7</t>
        </is>
      </c>
      <c r="B5786" s="29" t="n">
        <v>43245</v>
      </c>
      <c r="C5786" t="inlineStr">
        <is>
          <t>2018-05</t>
        </is>
      </c>
      <c r="D5786" t="inlineStr">
        <is>
          <t>b76ef37428e6799c421989521c0e5077</t>
        </is>
      </c>
      <c r="E5786" t="inlineStr">
        <is>
          <t>unknown</t>
        </is>
      </c>
      <c r="F5786">
        <f>IFERROR(MATCH(A5786,Deals!$A$2:$A$843,0),"")</f>
        <v/>
      </c>
      <c r="G5786">
        <f>IF(F5786="",0,1)</f>
        <v/>
      </c>
      <c r="H5786" s="29">
        <f>IF(F5786="","",INDEX(Deals!$E$2:$E$843,F5786))</f>
        <v/>
      </c>
      <c r="I5786">
        <f>IF(F5786="","",INDEX(Deals!$D$2:$D$843,F5786))</f>
        <v/>
      </c>
      <c r="J5786">
        <f>IF(F5786="","",INT(H5786)-B5786)</f>
        <v/>
      </c>
      <c r="K5786">
        <f>IF(B5786&gt;=Settings!$C$5,1,0)</f>
        <v/>
      </c>
    </row>
    <row r="5787">
      <c r="A5787" t="inlineStr">
        <is>
          <t>29fbeda12fc84baaab209699439aba09</t>
        </is>
      </c>
      <c r="B5787" s="29" t="n">
        <v>43175</v>
      </c>
      <c r="C5787" t="inlineStr">
        <is>
          <t>2018-03</t>
        </is>
      </c>
      <c r="D5787" t="inlineStr">
        <is>
          <t>a41b8b7318c4f42dbb65c277861ca89d</t>
        </is>
      </c>
      <c r="E5787" t="inlineStr">
        <is>
          <t>unknown</t>
        </is>
      </c>
      <c r="F5787">
        <f>IFERROR(MATCH(A5787,Deals!$A$2:$A$843,0),"")</f>
        <v/>
      </c>
      <c r="G5787">
        <f>IF(F5787="",0,1)</f>
        <v/>
      </c>
      <c r="H5787" s="29">
        <f>IF(F5787="","",INDEX(Deals!$E$2:$E$843,F5787))</f>
        <v/>
      </c>
      <c r="I5787">
        <f>IF(F5787="","",INDEX(Deals!$D$2:$D$843,F5787))</f>
        <v/>
      </c>
      <c r="J5787">
        <f>IF(F5787="","",INT(H5787)-B5787)</f>
        <v/>
      </c>
      <c r="K5787">
        <f>IF(B5787&gt;=Settings!$C$5,1,0)</f>
        <v/>
      </c>
    </row>
    <row r="5788">
      <c r="A5788" t="inlineStr">
        <is>
          <t>694b9f764e03b6cf70d0ec5cca76985c</t>
        </is>
      </c>
      <c r="B5788" s="29" t="n">
        <v>43049</v>
      </c>
      <c r="C5788" t="inlineStr">
        <is>
          <t>2017-11</t>
        </is>
      </c>
      <c r="D5788" t="inlineStr">
        <is>
          <t>bddebc4f4d44106c427bd00695840e64</t>
        </is>
      </c>
      <c r="E5788" t="inlineStr">
        <is>
          <t>unknown</t>
        </is>
      </c>
      <c r="F5788">
        <f>IFERROR(MATCH(A5788,Deals!$A$2:$A$843,0),"")</f>
        <v/>
      </c>
      <c r="G5788">
        <f>IF(F5788="",0,1)</f>
        <v/>
      </c>
      <c r="H5788" s="29">
        <f>IF(F5788="","",INDEX(Deals!$E$2:$E$843,F5788))</f>
        <v/>
      </c>
      <c r="I5788">
        <f>IF(F5788="","",INDEX(Deals!$D$2:$D$843,F5788))</f>
        <v/>
      </c>
      <c r="J5788">
        <f>IF(F5788="","",INT(H5788)-B5788)</f>
        <v/>
      </c>
      <c r="K5788">
        <f>IF(B5788&gt;=Settings!$C$5,1,0)</f>
        <v/>
      </c>
    </row>
    <row r="5789">
      <c r="A5789" t="inlineStr">
        <is>
          <t>dc5cd6ec5b2df75ead63c98d5963e732</t>
        </is>
      </c>
      <c r="B5789" s="29" t="n">
        <v>43132</v>
      </c>
      <c r="C5789" t="inlineStr">
        <is>
          <t>2018-02</t>
        </is>
      </c>
      <c r="D5789" t="inlineStr">
        <is>
          <t>b48ec5f3b04e9068441002a19df93c6c</t>
        </is>
      </c>
      <c r="E5789" t="inlineStr">
        <is>
          <t>organic_search</t>
        </is>
      </c>
      <c r="F5789">
        <f>IFERROR(MATCH(A5789,Deals!$A$2:$A$843,0),"")</f>
        <v/>
      </c>
      <c r="G5789">
        <f>IF(F5789="",0,1)</f>
        <v/>
      </c>
      <c r="H5789" s="29">
        <f>IF(F5789="","",INDEX(Deals!$E$2:$E$843,F5789))</f>
        <v/>
      </c>
      <c r="I5789">
        <f>IF(F5789="","",INDEX(Deals!$D$2:$D$843,F5789))</f>
        <v/>
      </c>
      <c r="J5789">
        <f>IF(F5789="","",INT(H5789)-B5789)</f>
        <v/>
      </c>
      <c r="K5789">
        <f>IF(B5789&gt;=Settings!$C$5,1,0)</f>
        <v/>
      </c>
    </row>
    <row r="5790">
      <c r="A5790" t="inlineStr">
        <is>
          <t>750305e543ca0cb39baf8098c3a8e5ff</t>
        </is>
      </c>
      <c r="B5790" s="29" t="n">
        <v>43185</v>
      </c>
      <c r="C5790" t="inlineStr">
        <is>
          <t>2018-03</t>
        </is>
      </c>
      <c r="D5790" t="inlineStr">
        <is>
          <t>5679ae2329cbad78cdf97737d11bad06</t>
        </is>
      </c>
      <c r="E5790" t="inlineStr">
        <is>
          <t>unknown</t>
        </is>
      </c>
      <c r="F5790">
        <f>IFERROR(MATCH(A5790,Deals!$A$2:$A$843,0),"")</f>
        <v/>
      </c>
      <c r="G5790">
        <f>IF(F5790="",0,1)</f>
        <v/>
      </c>
      <c r="H5790" s="29">
        <f>IF(F5790="","",INDEX(Deals!$E$2:$E$843,F5790))</f>
        <v/>
      </c>
      <c r="I5790">
        <f>IF(F5790="","",INDEX(Deals!$D$2:$D$843,F5790))</f>
        <v/>
      </c>
      <c r="J5790">
        <f>IF(F5790="","",INT(H5790)-B5790)</f>
        <v/>
      </c>
      <c r="K5790">
        <f>IF(B5790&gt;=Settings!$C$5,1,0)</f>
        <v/>
      </c>
    </row>
    <row r="5791">
      <c r="A5791" t="inlineStr">
        <is>
          <t>d229abbb7795bca04ff7fbfe2a61497d</t>
        </is>
      </c>
      <c r="B5791" s="29" t="n">
        <v>43142</v>
      </c>
      <c r="C5791" t="inlineStr">
        <is>
          <t>2018-02</t>
        </is>
      </c>
      <c r="D5791" t="inlineStr">
        <is>
          <t>88740e65d5d6b056e0cda098e1ea6313</t>
        </is>
      </c>
      <c r="E5791" t="inlineStr">
        <is>
          <t>social</t>
        </is>
      </c>
      <c r="F5791">
        <f>IFERROR(MATCH(A5791,Deals!$A$2:$A$843,0),"")</f>
        <v/>
      </c>
      <c r="G5791">
        <f>IF(F5791="",0,1)</f>
        <v/>
      </c>
      <c r="H5791" s="29">
        <f>IF(F5791="","",INDEX(Deals!$E$2:$E$843,F5791))</f>
        <v/>
      </c>
      <c r="I5791">
        <f>IF(F5791="","",INDEX(Deals!$D$2:$D$843,F5791))</f>
        <v/>
      </c>
      <c r="J5791">
        <f>IF(F5791="","",INT(H5791)-B5791)</f>
        <v/>
      </c>
      <c r="K5791">
        <f>IF(B5791&gt;=Settings!$C$5,1,0)</f>
        <v/>
      </c>
    </row>
    <row r="5792">
      <c r="A5792" t="inlineStr">
        <is>
          <t>ca7ca7ea7912312362a50c3754c1cc2d</t>
        </is>
      </c>
      <c r="B5792" s="29" t="n">
        <v>43049</v>
      </c>
      <c r="C5792" t="inlineStr">
        <is>
          <t>2017-11</t>
        </is>
      </c>
      <c r="D5792" t="inlineStr">
        <is>
          <t>88740e65d5d6b056e0cda098e1ea6313</t>
        </is>
      </c>
      <c r="E5792" t="inlineStr">
        <is>
          <t>social</t>
        </is>
      </c>
      <c r="F5792">
        <f>IFERROR(MATCH(A5792,Deals!$A$2:$A$843,0),"")</f>
        <v/>
      </c>
      <c r="G5792">
        <f>IF(F5792="",0,1)</f>
        <v/>
      </c>
      <c r="H5792" s="29">
        <f>IF(F5792="","",INDEX(Deals!$E$2:$E$843,F5792))</f>
        <v/>
      </c>
      <c r="I5792">
        <f>IF(F5792="","",INDEX(Deals!$D$2:$D$843,F5792))</f>
        <v/>
      </c>
      <c r="J5792">
        <f>IF(F5792="","",INT(H5792)-B5792)</f>
        <v/>
      </c>
      <c r="K5792">
        <f>IF(B5792&gt;=Settings!$C$5,1,0)</f>
        <v/>
      </c>
    </row>
    <row r="5793">
      <c r="A5793" t="inlineStr">
        <is>
          <t>8e2a291cae0ef77758e70c6cac2daa45</t>
        </is>
      </c>
      <c r="B5793" s="29" t="n">
        <v>43143</v>
      </c>
      <c r="C5793" t="inlineStr">
        <is>
          <t>2018-02</t>
        </is>
      </c>
      <c r="D5793" t="inlineStr">
        <is>
          <t>22c29808c4f815213303f8933030604c</t>
        </is>
      </c>
      <c r="E5793" t="inlineStr">
        <is>
          <t>organic_search</t>
        </is>
      </c>
      <c r="F5793">
        <f>IFERROR(MATCH(A5793,Deals!$A$2:$A$843,0),"")</f>
        <v/>
      </c>
      <c r="G5793">
        <f>IF(F5793="",0,1)</f>
        <v/>
      </c>
      <c r="H5793" s="29">
        <f>IF(F5793="","",INDEX(Deals!$E$2:$E$843,F5793))</f>
        <v/>
      </c>
      <c r="I5793">
        <f>IF(F5793="","",INDEX(Deals!$D$2:$D$843,F5793))</f>
        <v/>
      </c>
      <c r="J5793">
        <f>IF(F5793="","",INT(H5793)-B5793)</f>
        <v/>
      </c>
      <c r="K5793">
        <f>IF(B5793&gt;=Settings!$C$5,1,0)</f>
        <v/>
      </c>
    </row>
    <row r="5794">
      <c r="A5794" t="inlineStr">
        <is>
          <t>2f0033672b5d798d3367020fa452b7e3</t>
        </is>
      </c>
      <c r="B5794" s="29" t="n">
        <v>43137</v>
      </c>
      <c r="C5794" t="inlineStr">
        <is>
          <t>2018-02</t>
        </is>
      </c>
      <c r="D5794" t="inlineStr">
        <is>
          <t>88740e65d5d6b056e0cda098e1ea6313</t>
        </is>
      </c>
      <c r="E5794" t="inlineStr">
        <is>
          <t>social</t>
        </is>
      </c>
      <c r="F5794">
        <f>IFERROR(MATCH(A5794,Deals!$A$2:$A$843,0),"")</f>
        <v/>
      </c>
      <c r="G5794">
        <f>IF(F5794="",0,1)</f>
        <v/>
      </c>
      <c r="H5794" s="29">
        <f>IF(F5794="","",INDEX(Deals!$E$2:$E$843,F5794))</f>
        <v/>
      </c>
      <c r="I5794">
        <f>IF(F5794="","",INDEX(Deals!$D$2:$D$843,F5794))</f>
        <v/>
      </c>
      <c r="J5794">
        <f>IF(F5794="","",INT(H5794)-B5794)</f>
        <v/>
      </c>
      <c r="K5794">
        <f>IF(B5794&gt;=Settings!$C$5,1,0)</f>
        <v/>
      </c>
    </row>
    <row r="5795">
      <c r="A5795" t="inlineStr">
        <is>
          <t>42cd6fb571e8fc67972856af57423df3</t>
        </is>
      </c>
      <c r="B5795" s="29" t="n">
        <v>43165</v>
      </c>
      <c r="C5795" t="inlineStr">
        <is>
          <t>2018-03</t>
        </is>
      </c>
      <c r="D5795" t="inlineStr">
        <is>
          <t>88740e65d5d6b056e0cda098e1ea6313</t>
        </is>
      </c>
      <c r="E5795" t="inlineStr">
        <is>
          <t>social</t>
        </is>
      </c>
      <c r="F5795">
        <f>IFERROR(MATCH(A5795,Deals!$A$2:$A$843,0),"")</f>
        <v/>
      </c>
      <c r="G5795">
        <f>IF(F5795="",0,1)</f>
        <v/>
      </c>
      <c r="H5795" s="29">
        <f>IF(F5795="","",INDEX(Deals!$E$2:$E$843,F5795))</f>
        <v/>
      </c>
      <c r="I5795">
        <f>IF(F5795="","",INDEX(Deals!$D$2:$D$843,F5795))</f>
        <v/>
      </c>
      <c r="J5795">
        <f>IF(F5795="","",INT(H5795)-B5795)</f>
        <v/>
      </c>
      <c r="K5795">
        <f>IF(B5795&gt;=Settings!$C$5,1,0)</f>
        <v/>
      </c>
    </row>
    <row r="5796">
      <c r="A5796" t="inlineStr">
        <is>
          <t>c981fdf79a3aed20f4b35e8786325056</t>
        </is>
      </c>
      <c r="B5796" s="29" t="n">
        <v>43187</v>
      </c>
      <c r="C5796" t="inlineStr">
        <is>
          <t>2018-03</t>
        </is>
      </c>
      <c r="D5796" t="inlineStr">
        <is>
          <t>330b9d44078a1ae5a221d655dcb77afa</t>
        </is>
      </c>
      <c r="E5796" t="inlineStr">
        <is>
          <t>email</t>
        </is>
      </c>
      <c r="F5796">
        <f>IFERROR(MATCH(A5796,Deals!$A$2:$A$843,0),"")</f>
        <v/>
      </c>
      <c r="G5796">
        <f>IF(F5796="",0,1)</f>
        <v/>
      </c>
      <c r="H5796" s="29">
        <f>IF(F5796="","",INDEX(Deals!$E$2:$E$843,F5796))</f>
        <v/>
      </c>
      <c r="I5796">
        <f>IF(F5796="","",INDEX(Deals!$D$2:$D$843,F5796))</f>
        <v/>
      </c>
      <c r="J5796">
        <f>IF(F5796="","",INT(H5796)-B5796)</f>
        <v/>
      </c>
      <c r="K5796">
        <f>IF(B5796&gt;=Settings!$C$5,1,0)</f>
        <v/>
      </c>
    </row>
    <row r="5797">
      <c r="A5797" t="inlineStr">
        <is>
          <t>3459a163921940d6442f5a265c49cf50</t>
        </is>
      </c>
      <c r="B5797" s="29" t="n">
        <v>43208</v>
      </c>
      <c r="C5797" t="inlineStr">
        <is>
          <t>2018-04</t>
        </is>
      </c>
      <c r="D5797" t="inlineStr">
        <is>
          <t>1baca9df5850e5ba75545d8b2eb8d966</t>
        </is>
      </c>
      <c r="E5797" t="inlineStr">
        <is>
          <t>paid_search</t>
        </is>
      </c>
      <c r="F5797">
        <f>IFERROR(MATCH(A5797,Deals!$A$2:$A$843,0),"")</f>
        <v/>
      </c>
      <c r="G5797">
        <f>IF(F5797="",0,1)</f>
        <v/>
      </c>
      <c r="H5797" s="29">
        <f>IF(F5797="","",INDEX(Deals!$E$2:$E$843,F5797))</f>
        <v/>
      </c>
      <c r="I5797">
        <f>IF(F5797="","",INDEX(Deals!$D$2:$D$843,F5797))</f>
        <v/>
      </c>
      <c r="J5797">
        <f>IF(F5797="","",INT(H5797)-B5797)</f>
        <v/>
      </c>
      <c r="K5797">
        <f>IF(B5797&gt;=Settings!$C$5,1,0)</f>
        <v/>
      </c>
    </row>
    <row r="5798">
      <c r="A5798" t="inlineStr">
        <is>
          <t>2feea6e133cd6fb9476be8b185586893</t>
        </is>
      </c>
      <c r="B5798" s="29" t="n">
        <v>43131</v>
      </c>
      <c r="C5798" t="inlineStr">
        <is>
          <t>2018-01</t>
        </is>
      </c>
      <c r="D5798" t="inlineStr">
        <is>
          <t>ce1a65abd0973638f1c887a6efcfa82d</t>
        </is>
      </c>
      <c r="E5798" t="inlineStr">
        <is>
          <t>referral</t>
        </is>
      </c>
      <c r="F5798">
        <f>IFERROR(MATCH(A5798,Deals!$A$2:$A$843,0),"")</f>
        <v/>
      </c>
      <c r="G5798">
        <f>IF(F5798="",0,1)</f>
        <v/>
      </c>
      <c r="H5798" s="29">
        <f>IF(F5798="","",INDEX(Deals!$E$2:$E$843,F5798))</f>
        <v/>
      </c>
      <c r="I5798">
        <f>IF(F5798="","",INDEX(Deals!$D$2:$D$843,F5798))</f>
        <v/>
      </c>
      <c r="J5798">
        <f>IF(F5798="","",INT(H5798)-B5798)</f>
        <v/>
      </c>
      <c r="K5798">
        <f>IF(B5798&gt;=Settings!$C$5,1,0)</f>
        <v/>
      </c>
    </row>
    <row r="5799">
      <c r="A5799" t="inlineStr">
        <is>
          <t>3067c356701b93f393f765bed1256bfd</t>
        </is>
      </c>
      <c r="B5799" s="29" t="n">
        <v>43246</v>
      </c>
      <c r="C5799" t="inlineStr">
        <is>
          <t>2018-05</t>
        </is>
      </c>
      <c r="D5799" t="inlineStr">
        <is>
          <t>330b9d44078a1ae5a221d655dcb77afa</t>
        </is>
      </c>
      <c r="E5799" t="inlineStr">
        <is>
          <t>organic_search</t>
        </is>
      </c>
      <c r="F5799">
        <f>IFERROR(MATCH(A5799,Deals!$A$2:$A$843,0),"")</f>
        <v/>
      </c>
      <c r="G5799">
        <f>IF(F5799="",0,1)</f>
        <v/>
      </c>
      <c r="H5799" s="29">
        <f>IF(F5799="","",INDEX(Deals!$E$2:$E$843,F5799))</f>
        <v/>
      </c>
      <c r="I5799">
        <f>IF(F5799="","",INDEX(Deals!$D$2:$D$843,F5799))</f>
        <v/>
      </c>
      <c r="J5799">
        <f>IF(F5799="","",INT(H5799)-B5799)</f>
        <v/>
      </c>
      <c r="K5799">
        <f>IF(B5799&gt;=Settings!$C$5,1,0)</f>
        <v/>
      </c>
    </row>
    <row r="5800">
      <c r="A5800" t="inlineStr">
        <is>
          <t>7c78b12691f2b2a94639b7674eba07e4</t>
        </is>
      </c>
      <c r="B5800" s="29" t="n">
        <v>43165</v>
      </c>
      <c r="C5800" t="inlineStr">
        <is>
          <t>2018-03</t>
        </is>
      </c>
      <c r="D5800" t="inlineStr">
        <is>
          <t>120ad10683075526ee1b3b00489dafec</t>
        </is>
      </c>
      <c r="E5800" t="inlineStr">
        <is>
          <t>email</t>
        </is>
      </c>
      <c r="F5800">
        <f>IFERROR(MATCH(A5800,Deals!$A$2:$A$843,0),"")</f>
        <v/>
      </c>
      <c r="G5800">
        <f>IF(F5800="",0,1)</f>
        <v/>
      </c>
      <c r="H5800" s="29">
        <f>IF(F5800="","",INDEX(Deals!$E$2:$E$843,F5800))</f>
        <v/>
      </c>
      <c r="I5800">
        <f>IF(F5800="","",INDEX(Deals!$D$2:$D$843,F5800))</f>
        <v/>
      </c>
      <c r="J5800">
        <f>IF(F5800="","",INT(H5800)-B5800)</f>
        <v/>
      </c>
      <c r="K5800">
        <f>IF(B5800&gt;=Settings!$C$5,1,0)</f>
        <v/>
      </c>
    </row>
    <row r="5801">
      <c r="A5801" t="inlineStr">
        <is>
          <t>9ffbf4fed04bdeefe759ecd02af8ee82</t>
        </is>
      </c>
      <c r="B5801" s="29" t="n">
        <v>42948</v>
      </c>
      <c r="C5801" t="inlineStr">
        <is>
          <t>2017-08</t>
        </is>
      </c>
      <c r="D5801" t="inlineStr">
        <is>
          <t>91dbdf987124ca09b297bd87f06b5e64</t>
        </is>
      </c>
      <c r="E5801" t="inlineStr">
        <is>
          <t>paid_search</t>
        </is>
      </c>
      <c r="F5801">
        <f>IFERROR(MATCH(A5801,Deals!$A$2:$A$843,0),"")</f>
        <v/>
      </c>
      <c r="G5801">
        <f>IF(F5801="",0,1)</f>
        <v/>
      </c>
      <c r="H5801" s="29">
        <f>IF(F5801="","",INDEX(Deals!$E$2:$E$843,F5801))</f>
        <v/>
      </c>
      <c r="I5801">
        <f>IF(F5801="","",INDEX(Deals!$D$2:$D$843,F5801))</f>
        <v/>
      </c>
      <c r="J5801">
        <f>IF(F5801="","",INT(H5801)-B5801)</f>
        <v/>
      </c>
      <c r="K5801">
        <f>IF(B5801&gt;=Settings!$C$5,1,0)</f>
        <v/>
      </c>
    </row>
    <row r="5802">
      <c r="A5802" t="inlineStr">
        <is>
          <t>c4f48c98a227f6dd2cdbd6a30dac6082</t>
        </is>
      </c>
      <c r="B5802" s="29" t="n">
        <v>42968</v>
      </c>
      <c r="C5802" t="inlineStr">
        <is>
          <t>2017-08</t>
        </is>
      </c>
      <c r="D5802" t="inlineStr">
        <is>
          <t>b48ec5f3b04e9068441002a19df93c6c</t>
        </is>
      </c>
      <c r="E5802" t="inlineStr">
        <is>
          <t>organic_search</t>
        </is>
      </c>
      <c r="F5802">
        <f>IFERROR(MATCH(A5802,Deals!$A$2:$A$843,0),"")</f>
        <v/>
      </c>
      <c r="G5802">
        <f>IF(F5802="",0,1)</f>
        <v/>
      </c>
      <c r="H5802" s="29">
        <f>IF(F5802="","",INDEX(Deals!$E$2:$E$843,F5802))</f>
        <v/>
      </c>
      <c r="I5802">
        <f>IF(F5802="","",INDEX(Deals!$D$2:$D$843,F5802))</f>
        <v/>
      </c>
      <c r="J5802">
        <f>IF(F5802="","",INT(H5802)-B5802)</f>
        <v/>
      </c>
      <c r="K5802">
        <f>IF(B5802&gt;=Settings!$C$5,1,0)</f>
        <v/>
      </c>
    </row>
    <row r="5803">
      <c r="A5803" t="inlineStr">
        <is>
          <t>137853082702b6be2d735817ca348b05</t>
        </is>
      </c>
      <c r="B5803" s="29" t="n">
        <v>43130</v>
      </c>
      <c r="C5803" t="inlineStr">
        <is>
          <t>2018-01</t>
        </is>
      </c>
      <c r="D5803" t="inlineStr">
        <is>
          <t>a7982125ff7aa3b2054c6e44f9d28522</t>
        </is>
      </c>
      <c r="E5803" t="inlineStr">
        <is>
          <t>organic_search</t>
        </is>
      </c>
      <c r="F5803">
        <f>IFERROR(MATCH(A5803,Deals!$A$2:$A$843,0),"")</f>
        <v/>
      </c>
      <c r="G5803">
        <f>IF(F5803="",0,1)</f>
        <v/>
      </c>
      <c r="H5803" s="29">
        <f>IF(F5803="","",INDEX(Deals!$E$2:$E$843,F5803))</f>
        <v/>
      </c>
      <c r="I5803">
        <f>IF(F5803="","",INDEX(Deals!$D$2:$D$843,F5803))</f>
        <v/>
      </c>
      <c r="J5803">
        <f>IF(F5803="","",INT(H5803)-B5803)</f>
        <v/>
      </c>
      <c r="K5803">
        <f>IF(B5803&gt;=Settings!$C$5,1,0)</f>
        <v/>
      </c>
    </row>
    <row r="5804">
      <c r="A5804" t="inlineStr">
        <is>
          <t>a205ed56ca1196d71b8793e0415e87ed</t>
        </is>
      </c>
      <c r="B5804" s="29" t="n">
        <v>43192</v>
      </c>
      <c r="C5804" t="inlineStr">
        <is>
          <t>2018-04</t>
        </is>
      </c>
      <c r="D5804" t="inlineStr">
        <is>
          <t>007f9098284a86ee80ddeb25d53e0af8</t>
        </is>
      </c>
      <c r="E5804" t="inlineStr">
        <is>
          <t>paid_search</t>
        </is>
      </c>
      <c r="F5804">
        <f>IFERROR(MATCH(A5804,Deals!$A$2:$A$843,0),"")</f>
        <v/>
      </c>
      <c r="G5804">
        <f>IF(F5804="",0,1)</f>
        <v/>
      </c>
      <c r="H5804" s="29">
        <f>IF(F5804="","",INDEX(Deals!$E$2:$E$843,F5804))</f>
        <v/>
      </c>
      <c r="I5804">
        <f>IF(F5804="","",INDEX(Deals!$D$2:$D$843,F5804))</f>
        <v/>
      </c>
      <c r="J5804">
        <f>IF(F5804="","",INT(H5804)-B5804)</f>
        <v/>
      </c>
      <c r="K5804">
        <f>IF(B5804&gt;=Settings!$C$5,1,0)</f>
        <v/>
      </c>
    </row>
    <row r="5805">
      <c r="A5805" t="inlineStr">
        <is>
          <t>f46657d673d95ccf8d12b1075ab7c653</t>
        </is>
      </c>
      <c r="B5805" s="29" t="n">
        <v>43118</v>
      </c>
      <c r="C5805" t="inlineStr">
        <is>
          <t>2018-01</t>
        </is>
      </c>
      <c r="D5805" t="inlineStr">
        <is>
          <t>b76ef37428e6799c421989521c0e5077</t>
        </is>
      </c>
      <c r="E5805" t="inlineStr">
        <is>
          <t>unknown</t>
        </is>
      </c>
      <c r="F5805">
        <f>IFERROR(MATCH(A5805,Deals!$A$2:$A$843,0),"")</f>
        <v/>
      </c>
      <c r="G5805">
        <f>IF(F5805="",0,1)</f>
        <v/>
      </c>
      <c r="H5805" s="29">
        <f>IF(F5805="","",INDEX(Deals!$E$2:$E$843,F5805))</f>
        <v/>
      </c>
      <c r="I5805">
        <f>IF(F5805="","",INDEX(Deals!$D$2:$D$843,F5805))</f>
        <v/>
      </c>
      <c r="J5805">
        <f>IF(F5805="","",INT(H5805)-B5805)</f>
        <v/>
      </c>
      <c r="K5805">
        <f>IF(B5805&gt;=Settings!$C$5,1,0)</f>
        <v/>
      </c>
    </row>
    <row r="5806">
      <c r="A5806" t="inlineStr">
        <is>
          <t>c3d54b1a928304d7dfd75c1c8f5ace33</t>
        </is>
      </c>
      <c r="B5806" s="29" t="n">
        <v>43118</v>
      </c>
      <c r="C5806" t="inlineStr">
        <is>
          <t>2018-01</t>
        </is>
      </c>
      <c r="D5806" t="inlineStr">
        <is>
          <t>b48ec5f3b04e9068441002a19df93c6c</t>
        </is>
      </c>
      <c r="E5806" t="inlineStr">
        <is>
          <t>organic_search</t>
        </is>
      </c>
      <c r="F5806">
        <f>IFERROR(MATCH(A5806,Deals!$A$2:$A$843,0),"")</f>
        <v/>
      </c>
      <c r="G5806">
        <f>IF(F5806="",0,1)</f>
        <v/>
      </c>
      <c r="H5806" s="29">
        <f>IF(F5806="","",INDEX(Deals!$E$2:$E$843,F5806))</f>
        <v/>
      </c>
      <c r="I5806">
        <f>IF(F5806="","",INDEX(Deals!$D$2:$D$843,F5806))</f>
        <v/>
      </c>
      <c r="J5806">
        <f>IF(F5806="","",INT(H5806)-B5806)</f>
        <v/>
      </c>
      <c r="K5806">
        <f>IF(B5806&gt;=Settings!$C$5,1,0)</f>
        <v/>
      </c>
    </row>
    <row r="5807">
      <c r="A5807" t="inlineStr">
        <is>
          <t>647b3baad511fd4c37562c87e3673421</t>
        </is>
      </c>
      <c r="B5807" s="29" t="n">
        <v>43066</v>
      </c>
      <c r="C5807" t="inlineStr">
        <is>
          <t>2017-11</t>
        </is>
      </c>
      <c r="D5807" t="inlineStr">
        <is>
          <t>88740e65d5d6b056e0cda098e1ea6313</t>
        </is>
      </c>
      <c r="E5807" t="inlineStr">
        <is>
          <t>organic_search</t>
        </is>
      </c>
      <c r="F5807">
        <f>IFERROR(MATCH(A5807,Deals!$A$2:$A$843,0),"")</f>
        <v/>
      </c>
      <c r="G5807">
        <f>IF(F5807="",0,1)</f>
        <v/>
      </c>
      <c r="H5807" s="29">
        <f>IF(F5807="","",INDEX(Deals!$E$2:$E$843,F5807))</f>
        <v/>
      </c>
      <c r="I5807">
        <f>IF(F5807="","",INDEX(Deals!$D$2:$D$843,F5807))</f>
        <v/>
      </c>
      <c r="J5807">
        <f>IF(F5807="","",INT(H5807)-B5807)</f>
        <v/>
      </c>
      <c r="K5807">
        <f>IF(B5807&gt;=Settings!$C$5,1,0)</f>
        <v/>
      </c>
    </row>
    <row r="5808">
      <c r="A5808" t="inlineStr">
        <is>
          <t>89b11213b1e5512a69ae715e1f910aef</t>
        </is>
      </c>
      <c r="B5808" s="29" t="n">
        <v>43201</v>
      </c>
      <c r="C5808" t="inlineStr">
        <is>
          <t>2018-04</t>
        </is>
      </c>
      <c r="D5808" t="inlineStr">
        <is>
          <t>58326e62183c14b0c03085c33b9fdc44</t>
        </is>
      </c>
      <c r="E5808" t="inlineStr">
        <is>
          <t>social</t>
        </is>
      </c>
      <c r="F5808">
        <f>IFERROR(MATCH(A5808,Deals!$A$2:$A$843,0),"")</f>
        <v/>
      </c>
      <c r="G5808">
        <f>IF(F5808="",0,1)</f>
        <v/>
      </c>
      <c r="H5808" s="29">
        <f>IF(F5808="","",INDEX(Deals!$E$2:$E$843,F5808))</f>
        <v/>
      </c>
      <c r="I5808">
        <f>IF(F5808="","",INDEX(Deals!$D$2:$D$843,F5808))</f>
        <v/>
      </c>
      <c r="J5808">
        <f>IF(F5808="","",INT(H5808)-B5808)</f>
        <v/>
      </c>
      <c r="K5808">
        <f>IF(B5808&gt;=Settings!$C$5,1,0)</f>
        <v/>
      </c>
    </row>
    <row r="5809">
      <c r="A5809" t="inlineStr">
        <is>
          <t>c1d2e03fe341aa237db6b5fd7598b28c</t>
        </is>
      </c>
      <c r="B5809" s="29" t="n">
        <v>43168</v>
      </c>
      <c r="C5809" t="inlineStr">
        <is>
          <t>2018-03</t>
        </is>
      </c>
      <c r="D5809" t="inlineStr">
        <is>
          <t>e022029a28bad406d6f3e74512ebebc2</t>
        </is>
      </c>
      <c r="E5809" t="inlineStr">
        <is>
          <t>organic_search</t>
        </is>
      </c>
      <c r="F5809">
        <f>IFERROR(MATCH(A5809,Deals!$A$2:$A$843,0),"")</f>
        <v/>
      </c>
      <c r="G5809">
        <f>IF(F5809="",0,1)</f>
        <v/>
      </c>
      <c r="H5809" s="29">
        <f>IF(F5809="","",INDEX(Deals!$E$2:$E$843,F5809))</f>
        <v/>
      </c>
      <c r="I5809">
        <f>IF(F5809="","",INDEX(Deals!$D$2:$D$843,F5809))</f>
        <v/>
      </c>
      <c r="J5809">
        <f>IF(F5809="","",INT(H5809)-B5809)</f>
        <v/>
      </c>
      <c r="K5809">
        <f>IF(B5809&gt;=Settings!$C$5,1,0)</f>
        <v/>
      </c>
    </row>
    <row r="5810">
      <c r="A5810" t="inlineStr">
        <is>
          <t>b67d30a5d7f70c2d80e09517d695acea</t>
        </is>
      </c>
      <c r="B5810" s="29" t="n">
        <v>43215</v>
      </c>
      <c r="C5810" t="inlineStr">
        <is>
          <t>2018-04</t>
        </is>
      </c>
      <c r="D5810" t="inlineStr">
        <is>
          <t>f80696b73d17fb34f5c4fde157f119d8</t>
        </is>
      </c>
      <c r="E5810" t="inlineStr">
        <is>
          <t>email</t>
        </is>
      </c>
      <c r="F5810">
        <f>IFERROR(MATCH(A5810,Deals!$A$2:$A$843,0),"")</f>
        <v/>
      </c>
      <c r="G5810">
        <f>IF(F5810="",0,1)</f>
        <v/>
      </c>
      <c r="H5810" s="29">
        <f>IF(F5810="","",INDEX(Deals!$E$2:$E$843,F5810))</f>
        <v/>
      </c>
      <c r="I5810">
        <f>IF(F5810="","",INDEX(Deals!$D$2:$D$843,F5810))</f>
        <v/>
      </c>
      <c r="J5810">
        <f>IF(F5810="","",INT(H5810)-B5810)</f>
        <v/>
      </c>
      <c r="K5810">
        <f>IF(B5810&gt;=Settings!$C$5,1,0)</f>
        <v/>
      </c>
    </row>
    <row r="5811">
      <c r="A5811" t="inlineStr">
        <is>
          <t>3e767120d0d3139f058bf36295fc4a18</t>
        </is>
      </c>
      <c r="B5811" s="29" t="n">
        <v>43166</v>
      </c>
      <c r="C5811" t="inlineStr">
        <is>
          <t>2018-03</t>
        </is>
      </c>
      <c r="D5811" t="inlineStr">
        <is>
          <t>da14b7e2eb0d1eecf65abbd05a31c87d</t>
        </is>
      </c>
      <c r="E5811" t="inlineStr">
        <is>
          <t>email</t>
        </is>
      </c>
      <c r="F5811">
        <f>IFERROR(MATCH(A5811,Deals!$A$2:$A$843,0),"")</f>
        <v/>
      </c>
      <c r="G5811">
        <f>IF(F5811="",0,1)</f>
        <v/>
      </c>
      <c r="H5811" s="29">
        <f>IF(F5811="","",INDEX(Deals!$E$2:$E$843,F5811))</f>
        <v/>
      </c>
      <c r="I5811">
        <f>IF(F5811="","",INDEX(Deals!$D$2:$D$843,F5811))</f>
        <v/>
      </c>
      <c r="J5811">
        <f>IF(F5811="","",INT(H5811)-B5811)</f>
        <v/>
      </c>
      <c r="K5811">
        <f>IF(B5811&gt;=Settings!$C$5,1,0)</f>
        <v/>
      </c>
    </row>
    <row r="5812">
      <c r="A5812" t="inlineStr">
        <is>
          <t>6ddc098a344870bdb384e1de45e4c8ea</t>
        </is>
      </c>
      <c r="B5812" s="29" t="n">
        <v>43213</v>
      </c>
      <c r="C5812" t="inlineStr">
        <is>
          <t>2018-04</t>
        </is>
      </c>
      <c r="D5812" t="inlineStr">
        <is>
          <t>9fa37f5177115156b1814ffc237402a6</t>
        </is>
      </c>
      <c r="E5812" t="inlineStr">
        <is>
          <t>paid_search</t>
        </is>
      </c>
      <c r="F5812">
        <f>IFERROR(MATCH(A5812,Deals!$A$2:$A$843,0),"")</f>
        <v/>
      </c>
      <c r="G5812">
        <f>IF(F5812="",0,1)</f>
        <v/>
      </c>
      <c r="H5812" s="29">
        <f>IF(F5812="","",INDEX(Deals!$E$2:$E$843,F5812))</f>
        <v/>
      </c>
      <c r="I5812">
        <f>IF(F5812="","",INDEX(Deals!$D$2:$D$843,F5812))</f>
        <v/>
      </c>
      <c r="J5812">
        <f>IF(F5812="","",INT(H5812)-B5812)</f>
        <v/>
      </c>
      <c r="K5812">
        <f>IF(B5812&gt;=Settings!$C$5,1,0)</f>
        <v/>
      </c>
    </row>
    <row r="5813">
      <c r="A5813" t="inlineStr">
        <is>
          <t>a6104a16f4c583147e53daee7fcb4550</t>
        </is>
      </c>
      <c r="B5813" s="29" t="n">
        <v>43184</v>
      </c>
      <c r="C5813" t="inlineStr">
        <is>
          <t>2018-03</t>
        </is>
      </c>
      <c r="D5813" t="inlineStr">
        <is>
          <t>22c29808c4f815213303f8933030604c</t>
        </is>
      </c>
      <c r="E5813" t="inlineStr">
        <is>
          <t>paid_search</t>
        </is>
      </c>
      <c r="F5813">
        <f>IFERROR(MATCH(A5813,Deals!$A$2:$A$843,0),"")</f>
        <v/>
      </c>
      <c r="G5813">
        <f>IF(F5813="",0,1)</f>
        <v/>
      </c>
      <c r="H5813" s="29">
        <f>IF(F5813="","",INDEX(Deals!$E$2:$E$843,F5813))</f>
        <v/>
      </c>
      <c r="I5813">
        <f>IF(F5813="","",INDEX(Deals!$D$2:$D$843,F5813))</f>
        <v/>
      </c>
      <c r="J5813">
        <f>IF(F5813="","",INT(H5813)-B5813)</f>
        <v/>
      </c>
      <c r="K5813">
        <f>IF(B5813&gt;=Settings!$C$5,1,0)</f>
        <v/>
      </c>
    </row>
    <row r="5814">
      <c r="A5814" t="inlineStr">
        <is>
          <t>2d686296ea060d41b2c67502ec3c1f39</t>
        </is>
      </c>
      <c r="B5814" s="29" t="n">
        <v>43107</v>
      </c>
      <c r="C5814" t="inlineStr">
        <is>
          <t>2018-01</t>
        </is>
      </c>
      <c r="D5814" t="inlineStr">
        <is>
          <t>73f31a40697cc90a86c1273563ac230e</t>
        </is>
      </c>
      <c r="E5814" t="inlineStr">
        <is>
          <t>other</t>
        </is>
      </c>
      <c r="F5814">
        <f>IFERROR(MATCH(A5814,Deals!$A$2:$A$843,0),"")</f>
        <v/>
      </c>
      <c r="G5814">
        <f>IF(F5814="",0,1)</f>
        <v/>
      </c>
      <c r="H5814" s="29">
        <f>IF(F5814="","",INDEX(Deals!$E$2:$E$843,F5814))</f>
        <v/>
      </c>
      <c r="I5814">
        <f>IF(F5814="","",INDEX(Deals!$D$2:$D$843,F5814))</f>
        <v/>
      </c>
      <c r="J5814">
        <f>IF(F5814="","",INT(H5814)-B5814)</f>
        <v/>
      </c>
      <c r="K5814">
        <f>IF(B5814&gt;=Settings!$C$5,1,0)</f>
        <v/>
      </c>
    </row>
    <row r="5815">
      <c r="A5815" t="inlineStr">
        <is>
          <t>62e81b7815b24e46b69fcfa197aea837</t>
        </is>
      </c>
      <c r="B5815" s="29" t="n">
        <v>43115</v>
      </c>
      <c r="C5815" t="inlineStr">
        <is>
          <t>2018-01</t>
        </is>
      </c>
      <c r="D5815" t="inlineStr">
        <is>
          <t>22c29808c4f815213303f8933030604c</t>
        </is>
      </c>
      <c r="E5815" t="inlineStr">
        <is>
          <t>organic_search</t>
        </is>
      </c>
      <c r="F5815">
        <f>IFERROR(MATCH(A5815,Deals!$A$2:$A$843,0),"")</f>
        <v/>
      </c>
      <c r="G5815">
        <f>IF(F5815="",0,1)</f>
        <v/>
      </c>
      <c r="H5815" s="29">
        <f>IF(F5815="","",INDEX(Deals!$E$2:$E$843,F5815))</f>
        <v/>
      </c>
      <c r="I5815">
        <f>IF(F5815="","",INDEX(Deals!$D$2:$D$843,F5815))</f>
        <v/>
      </c>
      <c r="J5815">
        <f>IF(F5815="","",INT(H5815)-B5815)</f>
        <v/>
      </c>
      <c r="K5815">
        <f>IF(B5815&gt;=Settings!$C$5,1,0)</f>
        <v/>
      </c>
    </row>
    <row r="5816">
      <c r="A5816" t="inlineStr">
        <is>
          <t>d867ac1eb97bfb5268f09f638bee0f84</t>
        </is>
      </c>
      <c r="B5816" s="29" t="n">
        <v>43180</v>
      </c>
      <c r="C5816" t="inlineStr">
        <is>
          <t>2018-03</t>
        </is>
      </c>
      <c r="D5816" t="inlineStr">
        <is>
          <t>40dec9f3d5259a3d2dbcdab2114fae47</t>
        </is>
      </c>
      <c r="E5816" t="inlineStr">
        <is>
          <t>paid_search</t>
        </is>
      </c>
      <c r="F5816">
        <f>IFERROR(MATCH(A5816,Deals!$A$2:$A$843,0),"")</f>
        <v/>
      </c>
      <c r="G5816">
        <f>IF(F5816="",0,1)</f>
        <v/>
      </c>
      <c r="H5816" s="29">
        <f>IF(F5816="","",INDEX(Deals!$E$2:$E$843,F5816))</f>
        <v/>
      </c>
      <c r="I5816">
        <f>IF(F5816="","",INDEX(Deals!$D$2:$D$843,F5816))</f>
        <v/>
      </c>
      <c r="J5816">
        <f>IF(F5816="","",INT(H5816)-B5816)</f>
        <v/>
      </c>
      <c r="K5816">
        <f>IF(B5816&gt;=Settings!$C$5,1,0)</f>
        <v/>
      </c>
    </row>
    <row r="5817">
      <c r="A5817" t="inlineStr">
        <is>
          <t>1bf50b1aa5574ec9c56a8f2af4039ed7</t>
        </is>
      </c>
      <c r="B5817" s="29" t="n">
        <v>43088</v>
      </c>
      <c r="C5817" t="inlineStr">
        <is>
          <t>2017-12</t>
        </is>
      </c>
      <c r="D5817" t="inlineStr">
        <is>
          <t>b76ef37428e6799c421989521c0e5077</t>
        </is>
      </c>
      <c r="E5817" t="inlineStr">
        <is>
          <t>unknown</t>
        </is>
      </c>
      <c r="F5817">
        <f>IFERROR(MATCH(A5817,Deals!$A$2:$A$843,0),"")</f>
        <v/>
      </c>
      <c r="G5817">
        <f>IF(F5817="",0,1)</f>
        <v/>
      </c>
      <c r="H5817" s="29">
        <f>IF(F5817="","",INDEX(Deals!$E$2:$E$843,F5817))</f>
        <v/>
      </c>
      <c r="I5817">
        <f>IF(F5817="","",INDEX(Deals!$D$2:$D$843,F5817))</f>
        <v/>
      </c>
      <c r="J5817">
        <f>IF(F5817="","",INT(H5817)-B5817)</f>
        <v/>
      </c>
      <c r="K5817">
        <f>IF(B5817&gt;=Settings!$C$5,1,0)</f>
        <v/>
      </c>
    </row>
    <row r="5818">
      <c r="A5818" t="inlineStr">
        <is>
          <t>7a2c5f44c553096c00bd05e62c4f3771</t>
        </is>
      </c>
      <c r="B5818" s="29" t="n">
        <v>43179</v>
      </c>
      <c r="C5818" t="inlineStr">
        <is>
          <t>2018-03</t>
        </is>
      </c>
      <c r="D5818" t="inlineStr">
        <is>
          <t>d83b0d0e48c8447d1d5507a44027a955</t>
        </is>
      </c>
      <c r="E5818" t="inlineStr">
        <is>
          <t>direct_traffic</t>
        </is>
      </c>
      <c r="F5818">
        <f>IFERROR(MATCH(A5818,Deals!$A$2:$A$843,0),"")</f>
        <v/>
      </c>
      <c r="G5818">
        <f>IF(F5818="",0,1)</f>
        <v/>
      </c>
      <c r="H5818" s="29">
        <f>IF(F5818="","",INDEX(Deals!$E$2:$E$843,F5818))</f>
        <v/>
      </c>
      <c r="I5818">
        <f>IF(F5818="","",INDEX(Deals!$D$2:$D$843,F5818))</f>
        <v/>
      </c>
      <c r="J5818">
        <f>IF(F5818="","",INT(H5818)-B5818)</f>
        <v/>
      </c>
      <c r="K5818">
        <f>IF(B5818&gt;=Settings!$C$5,1,0)</f>
        <v/>
      </c>
    </row>
    <row r="5819">
      <c r="A5819" t="inlineStr">
        <is>
          <t>5f0defdea77928719eec823841163756</t>
        </is>
      </c>
      <c r="B5819" s="29" t="n">
        <v>43133</v>
      </c>
      <c r="C5819" t="inlineStr">
        <is>
          <t>2018-02</t>
        </is>
      </c>
      <c r="D5819" t="inlineStr">
        <is>
          <t>caef563a428392ddc7807d2a529413b9</t>
        </is>
      </c>
      <c r="E5819" t="inlineStr">
        <is>
          <t>social</t>
        </is>
      </c>
      <c r="F5819">
        <f>IFERROR(MATCH(A5819,Deals!$A$2:$A$843,0),"")</f>
        <v/>
      </c>
      <c r="G5819">
        <f>IF(F5819="",0,1)</f>
        <v/>
      </c>
      <c r="H5819" s="29">
        <f>IF(F5819="","",INDEX(Deals!$E$2:$E$843,F5819))</f>
        <v/>
      </c>
      <c r="I5819">
        <f>IF(F5819="","",INDEX(Deals!$D$2:$D$843,F5819))</f>
        <v/>
      </c>
      <c r="J5819">
        <f>IF(F5819="","",INT(H5819)-B5819)</f>
        <v/>
      </c>
      <c r="K5819">
        <f>IF(B5819&gt;=Settings!$C$5,1,0)</f>
        <v/>
      </c>
    </row>
    <row r="5820">
      <c r="A5820" t="inlineStr">
        <is>
          <t>6d8baf465e25dcb5f546646ee3f9c000</t>
        </is>
      </c>
      <c r="B5820" s="29" t="n">
        <v>43207</v>
      </c>
      <c r="C5820" t="inlineStr">
        <is>
          <t>2018-04</t>
        </is>
      </c>
      <c r="D5820" t="inlineStr">
        <is>
          <t>ce1a65abd0973638f1c887a6efcfa82d</t>
        </is>
      </c>
      <c r="E5820" t="inlineStr">
        <is>
          <t>paid_search</t>
        </is>
      </c>
      <c r="F5820">
        <f>IFERROR(MATCH(A5820,Deals!$A$2:$A$843,0),"")</f>
        <v/>
      </c>
      <c r="G5820">
        <f>IF(F5820="",0,1)</f>
        <v/>
      </c>
      <c r="H5820" s="29">
        <f>IF(F5820="","",INDEX(Deals!$E$2:$E$843,F5820))</f>
        <v/>
      </c>
      <c r="I5820">
        <f>IF(F5820="","",INDEX(Deals!$D$2:$D$843,F5820))</f>
        <v/>
      </c>
      <c r="J5820">
        <f>IF(F5820="","",INT(H5820)-B5820)</f>
        <v/>
      </c>
      <c r="K5820">
        <f>IF(B5820&gt;=Settings!$C$5,1,0)</f>
        <v/>
      </c>
    </row>
    <row r="5821">
      <c r="A5821" t="inlineStr">
        <is>
          <t>6f1ee9cf8ecb6f8f9e26b778f92a9cdd</t>
        </is>
      </c>
      <c r="B5821" s="29" t="n">
        <v>42962</v>
      </c>
      <c r="C5821" t="inlineStr">
        <is>
          <t>2017-08</t>
        </is>
      </c>
      <c r="D5821" t="inlineStr">
        <is>
          <t>87732658ba41d8775e8577df347a64db</t>
        </is>
      </c>
      <c r="E5821" t="inlineStr">
        <is>
          <t>social</t>
        </is>
      </c>
      <c r="F5821">
        <f>IFERROR(MATCH(A5821,Deals!$A$2:$A$843,0),"")</f>
        <v/>
      </c>
      <c r="G5821">
        <f>IF(F5821="",0,1)</f>
        <v/>
      </c>
      <c r="H5821" s="29">
        <f>IF(F5821="","",INDEX(Deals!$E$2:$E$843,F5821))</f>
        <v/>
      </c>
      <c r="I5821">
        <f>IF(F5821="","",INDEX(Deals!$D$2:$D$843,F5821))</f>
        <v/>
      </c>
      <c r="J5821">
        <f>IF(F5821="","",INT(H5821)-B5821)</f>
        <v/>
      </c>
      <c r="K5821">
        <f>IF(B5821&gt;=Settings!$C$5,1,0)</f>
        <v/>
      </c>
    </row>
    <row r="5822">
      <c r="A5822" t="inlineStr">
        <is>
          <t>ac894bcbadb0692e692ba49e19bc219b</t>
        </is>
      </c>
      <c r="B5822" s="29" t="n">
        <v>43197</v>
      </c>
      <c r="C5822" t="inlineStr">
        <is>
          <t>2018-04</t>
        </is>
      </c>
      <c r="D5822" t="inlineStr">
        <is>
          <t>40dec9f3d5259a3d2dbcdab2114fae47</t>
        </is>
      </c>
      <c r="E5822" t="inlineStr">
        <is>
          <t>paid_search</t>
        </is>
      </c>
      <c r="F5822">
        <f>IFERROR(MATCH(A5822,Deals!$A$2:$A$843,0),"")</f>
        <v/>
      </c>
      <c r="G5822">
        <f>IF(F5822="",0,1)</f>
        <v/>
      </c>
      <c r="H5822" s="29">
        <f>IF(F5822="","",INDEX(Deals!$E$2:$E$843,F5822))</f>
        <v/>
      </c>
      <c r="I5822">
        <f>IF(F5822="","",INDEX(Deals!$D$2:$D$843,F5822))</f>
        <v/>
      </c>
      <c r="J5822">
        <f>IF(F5822="","",INT(H5822)-B5822)</f>
        <v/>
      </c>
      <c r="K5822">
        <f>IF(B5822&gt;=Settings!$C$5,1,0)</f>
        <v/>
      </c>
    </row>
    <row r="5823">
      <c r="A5823" t="inlineStr">
        <is>
          <t>0ac24513513fdd5235836d33cc4fdadd</t>
        </is>
      </c>
      <c r="B5823" s="29" t="n">
        <v>43040</v>
      </c>
      <c r="C5823" t="inlineStr">
        <is>
          <t>2017-11</t>
        </is>
      </c>
      <c r="D5823" t="inlineStr">
        <is>
          <t>b48ec5f3b04e9068441002a19df93c6c</t>
        </is>
      </c>
      <c r="E5823" t="inlineStr">
        <is>
          <t>organic_search</t>
        </is>
      </c>
      <c r="F5823">
        <f>IFERROR(MATCH(A5823,Deals!$A$2:$A$843,0),"")</f>
        <v/>
      </c>
      <c r="G5823">
        <f>IF(F5823="",0,1)</f>
        <v/>
      </c>
      <c r="H5823" s="29">
        <f>IF(F5823="","",INDEX(Deals!$E$2:$E$843,F5823))</f>
        <v/>
      </c>
      <c r="I5823">
        <f>IF(F5823="","",INDEX(Deals!$D$2:$D$843,F5823))</f>
        <v/>
      </c>
      <c r="J5823">
        <f>IF(F5823="","",INT(H5823)-B5823)</f>
        <v/>
      </c>
      <c r="K5823">
        <f>IF(B5823&gt;=Settings!$C$5,1,0)</f>
        <v/>
      </c>
    </row>
    <row r="5824">
      <c r="A5824" t="inlineStr">
        <is>
          <t>21ac90c376d8daa6ca4252a894ee1361</t>
        </is>
      </c>
      <c r="B5824" s="29" t="n">
        <v>43137</v>
      </c>
      <c r="C5824" t="inlineStr">
        <is>
          <t>2018-02</t>
        </is>
      </c>
      <c r="D5824" t="inlineStr">
        <is>
          <t>b76ef37428e6799c421989521c0e5077</t>
        </is>
      </c>
      <c r="E5824" t="inlineStr">
        <is>
          <t>unknown</t>
        </is>
      </c>
      <c r="F5824">
        <f>IFERROR(MATCH(A5824,Deals!$A$2:$A$843,0),"")</f>
        <v/>
      </c>
      <c r="G5824">
        <f>IF(F5824="",0,1)</f>
        <v/>
      </c>
      <c r="H5824" s="29">
        <f>IF(F5824="","",INDEX(Deals!$E$2:$E$843,F5824))</f>
        <v/>
      </c>
      <c r="I5824">
        <f>IF(F5824="","",INDEX(Deals!$D$2:$D$843,F5824))</f>
        <v/>
      </c>
      <c r="J5824">
        <f>IF(F5824="","",INT(H5824)-B5824)</f>
        <v/>
      </c>
      <c r="K5824">
        <f>IF(B5824&gt;=Settings!$C$5,1,0)</f>
        <v/>
      </c>
    </row>
    <row r="5825">
      <c r="A5825" t="inlineStr">
        <is>
          <t>7d7da6daaf3732a05b10cd8b625c81fd</t>
        </is>
      </c>
      <c r="B5825" s="29" t="n">
        <v>42971</v>
      </c>
      <c r="C5825" t="inlineStr">
        <is>
          <t>2017-08</t>
        </is>
      </c>
      <c r="D5825" t="inlineStr">
        <is>
          <t>1722481ac9e5371e5099dea226b5421d</t>
        </is>
      </c>
      <c r="E5825" t="inlineStr">
        <is>
          <t>paid_search</t>
        </is>
      </c>
      <c r="F5825">
        <f>IFERROR(MATCH(A5825,Deals!$A$2:$A$843,0),"")</f>
        <v/>
      </c>
      <c r="G5825">
        <f>IF(F5825="",0,1)</f>
        <v/>
      </c>
      <c r="H5825" s="29">
        <f>IF(F5825="","",INDEX(Deals!$E$2:$E$843,F5825))</f>
        <v/>
      </c>
      <c r="I5825">
        <f>IF(F5825="","",INDEX(Deals!$D$2:$D$843,F5825))</f>
        <v/>
      </c>
      <c r="J5825">
        <f>IF(F5825="","",INT(H5825)-B5825)</f>
        <v/>
      </c>
      <c r="K5825">
        <f>IF(B5825&gt;=Settings!$C$5,1,0)</f>
        <v/>
      </c>
    </row>
    <row r="5826">
      <c r="A5826" t="inlineStr">
        <is>
          <t>08eac1d7ee7ce0f8c4a4d22ba0c72f03</t>
        </is>
      </c>
      <c r="B5826" s="29" t="n">
        <v>42953</v>
      </c>
      <c r="C5826" t="inlineStr">
        <is>
          <t>2017-08</t>
        </is>
      </c>
      <c r="D5826" t="inlineStr">
        <is>
          <t>186132bda8b5f41c7dc834d063745d19</t>
        </is>
      </c>
      <c r="E5826" t="inlineStr">
        <is>
          <t>paid_search</t>
        </is>
      </c>
      <c r="F5826">
        <f>IFERROR(MATCH(A5826,Deals!$A$2:$A$843,0),"")</f>
        <v/>
      </c>
      <c r="G5826">
        <f>IF(F5826="",0,1)</f>
        <v/>
      </c>
      <c r="H5826" s="29">
        <f>IF(F5826="","",INDEX(Deals!$E$2:$E$843,F5826))</f>
        <v/>
      </c>
      <c r="I5826">
        <f>IF(F5826="","",INDEX(Deals!$D$2:$D$843,F5826))</f>
        <v/>
      </c>
      <c r="J5826">
        <f>IF(F5826="","",INT(H5826)-B5826)</f>
        <v/>
      </c>
      <c r="K5826">
        <f>IF(B5826&gt;=Settings!$C$5,1,0)</f>
        <v/>
      </c>
    </row>
    <row r="5827">
      <c r="A5827" t="inlineStr">
        <is>
          <t>85ce3745f9ab408773e5415064f206a3</t>
        </is>
      </c>
      <c r="B5827" s="29" t="n">
        <v>43150</v>
      </c>
      <c r="C5827" t="inlineStr">
        <is>
          <t>2018-02</t>
        </is>
      </c>
      <c r="D5827" t="inlineStr">
        <is>
          <t>dfc3b656bac13de62e4efca322b3f2c1</t>
        </is>
      </c>
      <c r="E5827" t="inlineStr">
        <is>
          <t>organic_search</t>
        </is>
      </c>
      <c r="F5827">
        <f>IFERROR(MATCH(A5827,Deals!$A$2:$A$843,0),"")</f>
        <v/>
      </c>
      <c r="G5827">
        <f>IF(F5827="",0,1)</f>
        <v/>
      </c>
      <c r="H5827" s="29">
        <f>IF(F5827="","",INDEX(Deals!$E$2:$E$843,F5827))</f>
        <v/>
      </c>
      <c r="I5827">
        <f>IF(F5827="","",INDEX(Deals!$D$2:$D$843,F5827))</f>
        <v/>
      </c>
      <c r="J5827">
        <f>IF(F5827="","",INT(H5827)-B5827)</f>
        <v/>
      </c>
      <c r="K5827">
        <f>IF(B5827&gt;=Settings!$C$5,1,0)</f>
        <v/>
      </c>
    </row>
    <row r="5828">
      <c r="A5828" t="inlineStr">
        <is>
          <t>391177aa48863fe2e6b43208fed07be3</t>
        </is>
      </c>
      <c r="B5828" s="29" t="n">
        <v>42938</v>
      </c>
      <c r="C5828" t="inlineStr">
        <is>
          <t>2017-07</t>
        </is>
      </c>
      <c r="D5828" t="inlineStr">
        <is>
          <t>91dbdf987124ca09b297bd87f06b5e64</t>
        </is>
      </c>
      <c r="E5828" t="inlineStr">
        <is>
          <t>unknown</t>
        </is>
      </c>
      <c r="F5828">
        <f>IFERROR(MATCH(A5828,Deals!$A$2:$A$843,0),"")</f>
        <v/>
      </c>
      <c r="G5828">
        <f>IF(F5828="",0,1)</f>
        <v/>
      </c>
      <c r="H5828" s="29">
        <f>IF(F5828="","",INDEX(Deals!$E$2:$E$843,F5828))</f>
        <v/>
      </c>
      <c r="I5828">
        <f>IF(F5828="","",INDEX(Deals!$D$2:$D$843,F5828))</f>
        <v/>
      </c>
      <c r="J5828">
        <f>IF(F5828="","",INT(H5828)-B5828)</f>
        <v/>
      </c>
      <c r="K5828">
        <f>IF(B5828&gt;=Settings!$C$5,1,0)</f>
        <v/>
      </c>
    </row>
    <row r="5829">
      <c r="A5829" t="inlineStr">
        <is>
          <t>86a3db80733a21b5d4a51c6b60f4d712</t>
        </is>
      </c>
      <c r="B5829" s="29" t="n">
        <v>43217</v>
      </c>
      <c r="C5829" t="inlineStr">
        <is>
          <t>2018-04</t>
        </is>
      </c>
      <c r="D5829" t="inlineStr">
        <is>
          <t>e492ee5eaf1697716985cc6f33f9cd9b</t>
        </is>
      </c>
      <c r="E5829" t="inlineStr">
        <is>
          <t>social</t>
        </is>
      </c>
      <c r="F5829">
        <f>IFERROR(MATCH(A5829,Deals!$A$2:$A$843,0),"")</f>
        <v/>
      </c>
      <c r="G5829">
        <f>IF(F5829="",0,1)</f>
        <v/>
      </c>
      <c r="H5829" s="29">
        <f>IF(F5829="","",INDEX(Deals!$E$2:$E$843,F5829))</f>
        <v/>
      </c>
      <c r="I5829">
        <f>IF(F5829="","",INDEX(Deals!$D$2:$D$843,F5829))</f>
        <v/>
      </c>
      <c r="J5829">
        <f>IF(F5829="","",INT(H5829)-B5829)</f>
        <v/>
      </c>
      <c r="K5829">
        <f>IF(B5829&gt;=Settings!$C$5,1,0)</f>
        <v/>
      </c>
    </row>
    <row r="5830">
      <c r="A5830" t="inlineStr">
        <is>
          <t>94d8526a5fae933806f65b8a0f49301a</t>
        </is>
      </c>
      <c r="B5830" s="29" t="n">
        <v>43111</v>
      </c>
      <c r="C5830" t="inlineStr">
        <is>
          <t>2018-01</t>
        </is>
      </c>
      <c r="D5830" t="inlineStr">
        <is>
          <t>e492ee5eaf1697716985cc6f33f9cd9b</t>
        </is>
      </c>
      <c r="E5830" t="inlineStr">
        <is>
          <t>organic_search</t>
        </is>
      </c>
      <c r="F5830">
        <f>IFERROR(MATCH(A5830,Deals!$A$2:$A$843,0),"")</f>
        <v/>
      </c>
      <c r="G5830">
        <f>IF(F5830="",0,1)</f>
        <v/>
      </c>
      <c r="H5830" s="29">
        <f>IF(F5830="","",INDEX(Deals!$E$2:$E$843,F5830))</f>
        <v/>
      </c>
      <c r="I5830">
        <f>IF(F5830="","",INDEX(Deals!$D$2:$D$843,F5830))</f>
        <v/>
      </c>
      <c r="J5830">
        <f>IF(F5830="","",INT(H5830)-B5830)</f>
        <v/>
      </c>
      <c r="K5830">
        <f>IF(B5830&gt;=Settings!$C$5,1,0)</f>
        <v/>
      </c>
    </row>
    <row r="5831">
      <c r="A5831" t="inlineStr">
        <is>
          <t>9313492d85a66aa6cfec9656fbb95629</t>
        </is>
      </c>
      <c r="B5831" s="29" t="n">
        <v>43060</v>
      </c>
      <c r="C5831" t="inlineStr">
        <is>
          <t>2017-11</t>
        </is>
      </c>
      <c r="D5831" t="inlineStr">
        <is>
          <t>f03e241af08912ba7ffb65d69b0eb4d9</t>
        </is>
      </c>
      <c r="E5831" t="inlineStr">
        <is>
          <t>referral</t>
        </is>
      </c>
      <c r="F5831">
        <f>IFERROR(MATCH(A5831,Deals!$A$2:$A$843,0),"")</f>
        <v/>
      </c>
      <c r="G5831">
        <f>IF(F5831="",0,1)</f>
        <v/>
      </c>
      <c r="H5831" s="29">
        <f>IF(F5831="","",INDEX(Deals!$E$2:$E$843,F5831))</f>
        <v/>
      </c>
      <c r="I5831">
        <f>IF(F5831="","",INDEX(Deals!$D$2:$D$843,F5831))</f>
        <v/>
      </c>
      <c r="J5831">
        <f>IF(F5831="","",INT(H5831)-B5831)</f>
        <v/>
      </c>
      <c r="K5831">
        <f>IF(B5831&gt;=Settings!$C$5,1,0)</f>
        <v/>
      </c>
    </row>
    <row r="5832">
      <c r="A5832" t="inlineStr">
        <is>
          <t>984a8710e96d3210d30c185060159555</t>
        </is>
      </c>
      <c r="B5832" s="29" t="n">
        <v>42920</v>
      </c>
      <c r="C5832" t="inlineStr">
        <is>
          <t>2017-07</t>
        </is>
      </c>
      <c r="D5832" t="inlineStr">
        <is>
          <t>e92a6f37ebb87a6bfbc569d439cf1635</t>
        </is>
      </c>
      <c r="E5832" t="inlineStr">
        <is>
          <t>organic_search</t>
        </is>
      </c>
      <c r="F5832">
        <f>IFERROR(MATCH(A5832,Deals!$A$2:$A$843,0),"")</f>
        <v/>
      </c>
      <c r="G5832">
        <f>IF(F5832="",0,1)</f>
        <v/>
      </c>
      <c r="H5832" s="29">
        <f>IF(F5832="","",INDEX(Deals!$E$2:$E$843,F5832))</f>
        <v/>
      </c>
      <c r="I5832">
        <f>IF(F5832="","",INDEX(Deals!$D$2:$D$843,F5832))</f>
        <v/>
      </c>
      <c r="J5832">
        <f>IF(F5832="","",INT(H5832)-B5832)</f>
        <v/>
      </c>
      <c r="K5832">
        <f>IF(B5832&gt;=Settings!$C$5,1,0)</f>
        <v/>
      </c>
    </row>
    <row r="5833">
      <c r="A5833" t="inlineStr">
        <is>
          <t>bdd3e22856fb3223ddb1b6b83072457b</t>
        </is>
      </c>
      <c r="B5833" s="29" t="n">
        <v>43194</v>
      </c>
      <c r="C5833" t="inlineStr">
        <is>
          <t>2018-04</t>
        </is>
      </c>
      <c r="D5833" t="inlineStr">
        <is>
          <t>58326e62183c14b0c03085c33b9fdc44</t>
        </is>
      </c>
      <c r="E5833" t="inlineStr">
        <is>
          <t>social</t>
        </is>
      </c>
      <c r="F5833">
        <f>IFERROR(MATCH(A5833,Deals!$A$2:$A$843,0),"")</f>
        <v/>
      </c>
      <c r="G5833">
        <f>IF(F5833="",0,1)</f>
        <v/>
      </c>
      <c r="H5833" s="29">
        <f>IF(F5833="","",INDEX(Deals!$E$2:$E$843,F5833))</f>
        <v/>
      </c>
      <c r="I5833">
        <f>IF(F5833="","",INDEX(Deals!$D$2:$D$843,F5833))</f>
        <v/>
      </c>
      <c r="J5833">
        <f>IF(F5833="","",INT(H5833)-B5833)</f>
        <v/>
      </c>
      <c r="K5833">
        <f>IF(B5833&gt;=Settings!$C$5,1,0)</f>
        <v/>
      </c>
    </row>
    <row r="5834">
      <c r="A5834" t="inlineStr">
        <is>
          <t>c411ef27c010d81d965f5cc179a33277</t>
        </is>
      </c>
      <c r="B5834" s="29" t="n">
        <v>43137</v>
      </c>
      <c r="C5834" t="inlineStr">
        <is>
          <t>2018-02</t>
        </is>
      </c>
      <c r="D5834" t="inlineStr">
        <is>
          <t>4aab772aeb9833c170d8ea5413e02eac</t>
        </is>
      </c>
      <c r="E5834" t="inlineStr">
        <is>
          <t>paid_search</t>
        </is>
      </c>
      <c r="F5834">
        <f>IFERROR(MATCH(A5834,Deals!$A$2:$A$843,0),"")</f>
        <v/>
      </c>
      <c r="G5834">
        <f>IF(F5834="",0,1)</f>
        <v/>
      </c>
      <c r="H5834" s="29">
        <f>IF(F5834="","",INDEX(Deals!$E$2:$E$843,F5834))</f>
        <v/>
      </c>
      <c r="I5834">
        <f>IF(F5834="","",INDEX(Deals!$D$2:$D$843,F5834))</f>
        <v/>
      </c>
      <c r="J5834">
        <f>IF(F5834="","",INT(H5834)-B5834)</f>
        <v/>
      </c>
      <c r="K5834">
        <f>IF(B5834&gt;=Settings!$C$5,1,0)</f>
        <v/>
      </c>
    </row>
    <row r="5835">
      <c r="A5835" t="inlineStr">
        <is>
          <t>a01874b1881feb4f498d3f877bd41e62</t>
        </is>
      </c>
      <c r="B5835" s="29" t="n">
        <v>42937</v>
      </c>
      <c r="C5835" t="inlineStr">
        <is>
          <t>2017-07</t>
        </is>
      </c>
      <c r="D5835" t="inlineStr">
        <is>
          <t>3cd2a8301d5395f21cdd3094c9eaa2f4</t>
        </is>
      </c>
      <c r="E5835" t="inlineStr">
        <is>
          <t>paid_search</t>
        </is>
      </c>
      <c r="F5835">
        <f>IFERROR(MATCH(A5835,Deals!$A$2:$A$843,0),"")</f>
        <v/>
      </c>
      <c r="G5835">
        <f>IF(F5835="",0,1)</f>
        <v/>
      </c>
      <c r="H5835" s="29">
        <f>IF(F5835="","",INDEX(Deals!$E$2:$E$843,F5835))</f>
        <v/>
      </c>
      <c r="I5835">
        <f>IF(F5835="","",INDEX(Deals!$D$2:$D$843,F5835))</f>
        <v/>
      </c>
      <c r="J5835">
        <f>IF(F5835="","",INT(H5835)-B5835)</f>
        <v/>
      </c>
      <c r="K5835">
        <f>IF(B5835&gt;=Settings!$C$5,1,0)</f>
        <v/>
      </c>
    </row>
    <row r="5836">
      <c r="A5836" t="inlineStr">
        <is>
          <t>0d529543941581b0373f8cf0c0dcc7f0</t>
        </is>
      </c>
      <c r="B5836" s="29" t="n">
        <v>43203</v>
      </c>
      <c r="C5836" t="inlineStr">
        <is>
          <t>2018-04</t>
        </is>
      </c>
      <c r="D5836" t="inlineStr">
        <is>
          <t>58326e62183c14b0c03085c33b9fdc44</t>
        </is>
      </c>
      <c r="E5836" t="inlineStr">
        <is>
          <t>social</t>
        </is>
      </c>
      <c r="F5836">
        <f>IFERROR(MATCH(A5836,Deals!$A$2:$A$843,0),"")</f>
        <v/>
      </c>
      <c r="G5836">
        <f>IF(F5836="",0,1)</f>
        <v/>
      </c>
      <c r="H5836" s="29">
        <f>IF(F5836="","",INDEX(Deals!$E$2:$E$843,F5836))</f>
        <v/>
      </c>
      <c r="I5836">
        <f>IF(F5836="","",INDEX(Deals!$D$2:$D$843,F5836))</f>
        <v/>
      </c>
      <c r="J5836">
        <f>IF(F5836="","",INT(H5836)-B5836)</f>
        <v/>
      </c>
      <c r="K5836">
        <f>IF(B5836&gt;=Settings!$C$5,1,0)</f>
        <v/>
      </c>
    </row>
    <row r="5837">
      <c r="A5837" t="inlineStr">
        <is>
          <t>2ffc298f0ee58536c92fc5cc8a0c22da</t>
        </is>
      </c>
      <c r="B5837" s="29" t="n">
        <v>43191</v>
      </c>
      <c r="C5837" t="inlineStr">
        <is>
          <t>2018-04</t>
        </is>
      </c>
      <c r="D5837" t="inlineStr">
        <is>
          <t>22c29808c4f815213303f8933030604c</t>
        </is>
      </c>
      <c r="E5837" t="inlineStr">
        <is>
          <t>organic_search</t>
        </is>
      </c>
      <c r="F5837">
        <f>IFERROR(MATCH(A5837,Deals!$A$2:$A$843,0),"")</f>
        <v/>
      </c>
      <c r="G5837">
        <f>IF(F5837="",0,1)</f>
        <v/>
      </c>
      <c r="H5837" s="29">
        <f>IF(F5837="","",INDEX(Deals!$E$2:$E$843,F5837))</f>
        <v/>
      </c>
      <c r="I5837">
        <f>IF(F5837="","",INDEX(Deals!$D$2:$D$843,F5837))</f>
        <v/>
      </c>
      <c r="J5837">
        <f>IF(F5837="","",INT(H5837)-B5837)</f>
        <v/>
      </c>
      <c r="K5837">
        <f>IF(B5837&gt;=Settings!$C$5,1,0)</f>
        <v/>
      </c>
    </row>
    <row r="5838">
      <c r="A5838" t="inlineStr">
        <is>
          <t>95893bf3c956973d41f5d92572ef8a93</t>
        </is>
      </c>
      <c r="B5838" s="29" t="n">
        <v>43235</v>
      </c>
      <c r="C5838" t="inlineStr">
        <is>
          <t>2018-05</t>
        </is>
      </c>
      <c r="D5838" t="inlineStr">
        <is>
          <t>b76ef37428e6799c421989521c0e5077</t>
        </is>
      </c>
      <c r="E5838" t="inlineStr">
        <is>
          <t>unknown</t>
        </is>
      </c>
      <c r="F5838">
        <f>IFERROR(MATCH(A5838,Deals!$A$2:$A$843,0),"")</f>
        <v/>
      </c>
      <c r="G5838">
        <f>IF(F5838="",0,1)</f>
        <v/>
      </c>
      <c r="H5838" s="29">
        <f>IF(F5838="","",INDEX(Deals!$E$2:$E$843,F5838))</f>
        <v/>
      </c>
      <c r="I5838">
        <f>IF(F5838="","",INDEX(Deals!$D$2:$D$843,F5838))</f>
        <v/>
      </c>
      <c r="J5838">
        <f>IF(F5838="","",INT(H5838)-B5838)</f>
        <v/>
      </c>
      <c r="K5838">
        <f>IF(B5838&gt;=Settings!$C$5,1,0)</f>
        <v/>
      </c>
    </row>
    <row r="5839">
      <c r="A5839" t="inlineStr">
        <is>
          <t>0be8394f8877c4ead942672b113f81c2</t>
        </is>
      </c>
      <c r="B5839" s="29" t="n">
        <v>43140</v>
      </c>
      <c r="C5839" t="inlineStr">
        <is>
          <t>2018-02</t>
        </is>
      </c>
      <c r="D5839" t="inlineStr">
        <is>
          <t>a7982125ff7aa3b2054c6e44f9d28522</t>
        </is>
      </c>
      <c r="E5839" t="inlineStr">
        <is>
          <t>social</t>
        </is>
      </c>
      <c r="F5839">
        <f>IFERROR(MATCH(A5839,Deals!$A$2:$A$843,0),"")</f>
        <v/>
      </c>
      <c r="G5839">
        <f>IF(F5839="",0,1)</f>
        <v/>
      </c>
      <c r="H5839" s="29">
        <f>IF(F5839="","",INDEX(Deals!$E$2:$E$843,F5839))</f>
        <v/>
      </c>
      <c r="I5839">
        <f>IF(F5839="","",INDEX(Deals!$D$2:$D$843,F5839))</f>
        <v/>
      </c>
      <c r="J5839">
        <f>IF(F5839="","",INT(H5839)-B5839)</f>
        <v/>
      </c>
      <c r="K5839">
        <f>IF(B5839&gt;=Settings!$C$5,1,0)</f>
        <v/>
      </c>
    </row>
    <row r="5840">
      <c r="A5840" t="inlineStr">
        <is>
          <t>0b09c40c6ab45f54db78f083e340fb3c</t>
        </is>
      </c>
      <c r="B5840" s="29" t="n">
        <v>43159</v>
      </c>
      <c r="C5840" t="inlineStr">
        <is>
          <t>2018-02</t>
        </is>
      </c>
      <c r="D5840" t="inlineStr">
        <is>
          <t>ce1a65abd0973638f1c887a6efcfa82d</t>
        </is>
      </c>
      <c r="E5840" t="inlineStr">
        <is>
          <t>organic_search</t>
        </is>
      </c>
      <c r="F5840">
        <f>IFERROR(MATCH(A5840,Deals!$A$2:$A$843,0),"")</f>
        <v/>
      </c>
      <c r="G5840">
        <f>IF(F5840="",0,1)</f>
        <v/>
      </c>
      <c r="H5840" s="29">
        <f>IF(F5840="","",INDEX(Deals!$E$2:$E$843,F5840))</f>
        <v/>
      </c>
      <c r="I5840">
        <f>IF(F5840="","",INDEX(Deals!$D$2:$D$843,F5840))</f>
        <v/>
      </c>
      <c r="J5840">
        <f>IF(F5840="","",INT(H5840)-B5840)</f>
        <v/>
      </c>
      <c r="K5840">
        <f>IF(B5840&gt;=Settings!$C$5,1,0)</f>
        <v/>
      </c>
    </row>
    <row r="5841">
      <c r="A5841" t="inlineStr">
        <is>
          <t>58e36f59f7e532acacf9cb6ef1ab91b9</t>
        </is>
      </c>
      <c r="B5841" s="29" t="n">
        <v>42957</v>
      </c>
      <c r="C5841" t="inlineStr">
        <is>
          <t>2017-08</t>
        </is>
      </c>
      <c r="D5841" t="inlineStr">
        <is>
          <t>3cd2a8301d5395f21cdd3094c9eaa2f4</t>
        </is>
      </c>
      <c r="E5841" t="inlineStr">
        <is>
          <t>paid_search</t>
        </is>
      </c>
      <c r="F5841">
        <f>IFERROR(MATCH(A5841,Deals!$A$2:$A$843,0),"")</f>
        <v/>
      </c>
      <c r="G5841">
        <f>IF(F5841="",0,1)</f>
        <v/>
      </c>
      <c r="H5841" s="29">
        <f>IF(F5841="","",INDEX(Deals!$E$2:$E$843,F5841))</f>
        <v/>
      </c>
      <c r="I5841">
        <f>IF(F5841="","",INDEX(Deals!$D$2:$D$843,F5841))</f>
        <v/>
      </c>
      <c r="J5841">
        <f>IF(F5841="","",INT(H5841)-B5841)</f>
        <v/>
      </c>
      <c r="K5841">
        <f>IF(B5841&gt;=Settings!$C$5,1,0)</f>
        <v/>
      </c>
    </row>
    <row r="5842">
      <c r="A5842" t="inlineStr">
        <is>
          <t>7978f92350d923dbec4daaa4f597ce86</t>
        </is>
      </c>
      <c r="B5842" s="29" t="n">
        <v>43206</v>
      </c>
      <c r="C5842" t="inlineStr">
        <is>
          <t>2018-04</t>
        </is>
      </c>
      <c r="D5842" t="inlineStr">
        <is>
          <t>e492ee5eaf1697716985cc6f33f9cd9b</t>
        </is>
      </c>
      <c r="E5842" t="inlineStr">
        <is>
          <t>unknown</t>
        </is>
      </c>
      <c r="F5842">
        <f>IFERROR(MATCH(A5842,Deals!$A$2:$A$843,0),"")</f>
        <v/>
      </c>
      <c r="G5842">
        <f>IF(F5842="",0,1)</f>
        <v/>
      </c>
      <c r="H5842" s="29">
        <f>IF(F5842="","",INDEX(Deals!$E$2:$E$843,F5842))</f>
        <v/>
      </c>
      <c r="I5842">
        <f>IF(F5842="","",INDEX(Deals!$D$2:$D$843,F5842))</f>
        <v/>
      </c>
      <c r="J5842">
        <f>IF(F5842="","",INT(H5842)-B5842)</f>
        <v/>
      </c>
      <c r="K5842">
        <f>IF(B5842&gt;=Settings!$C$5,1,0)</f>
        <v/>
      </c>
    </row>
    <row r="5843">
      <c r="A5843" t="inlineStr">
        <is>
          <t>ae845eb437371efc105ff790cfe62bb9</t>
        </is>
      </c>
      <c r="B5843" s="29" t="n">
        <v>43191</v>
      </c>
      <c r="C5843" t="inlineStr">
        <is>
          <t>2018-04</t>
        </is>
      </c>
      <c r="D5843" t="inlineStr">
        <is>
          <t>a77dcf0bf420ced5e37baae9b5daffa4</t>
        </is>
      </c>
      <c r="E5843" t="inlineStr">
        <is>
          <t>social</t>
        </is>
      </c>
      <c r="F5843">
        <f>IFERROR(MATCH(A5843,Deals!$A$2:$A$843,0),"")</f>
        <v/>
      </c>
      <c r="G5843">
        <f>IF(F5843="",0,1)</f>
        <v/>
      </c>
      <c r="H5843" s="29">
        <f>IF(F5843="","",INDEX(Deals!$E$2:$E$843,F5843))</f>
        <v/>
      </c>
      <c r="I5843">
        <f>IF(F5843="","",INDEX(Deals!$D$2:$D$843,F5843))</f>
        <v/>
      </c>
      <c r="J5843">
        <f>IF(F5843="","",INT(H5843)-B5843)</f>
        <v/>
      </c>
      <c r="K5843">
        <f>IF(B5843&gt;=Settings!$C$5,1,0)</f>
        <v/>
      </c>
    </row>
    <row r="5844">
      <c r="A5844" t="inlineStr">
        <is>
          <t>019344ffa8a23d2a8240bd4eba4a4dfc</t>
        </is>
      </c>
      <c r="B5844" s="29" t="n">
        <v>43194</v>
      </c>
      <c r="C5844" t="inlineStr">
        <is>
          <t>2018-04</t>
        </is>
      </c>
      <c r="D5844" t="inlineStr">
        <is>
          <t>a3c42430cd0c931fc07c918979d8baeb</t>
        </is>
      </c>
      <c r="E5844" t="inlineStr">
        <is>
          <t>unknown</t>
        </is>
      </c>
      <c r="F5844">
        <f>IFERROR(MATCH(A5844,Deals!$A$2:$A$843,0),"")</f>
        <v/>
      </c>
      <c r="G5844">
        <f>IF(F5844="",0,1)</f>
        <v/>
      </c>
      <c r="H5844" s="29">
        <f>IF(F5844="","",INDEX(Deals!$E$2:$E$843,F5844))</f>
        <v/>
      </c>
      <c r="I5844">
        <f>IF(F5844="","",INDEX(Deals!$D$2:$D$843,F5844))</f>
        <v/>
      </c>
      <c r="J5844">
        <f>IF(F5844="","",INT(H5844)-B5844)</f>
        <v/>
      </c>
      <c r="K5844">
        <f>IF(B5844&gt;=Settings!$C$5,1,0)</f>
        <v/>
      </c>
    </row>
    <row r="5845">
      <c r="A5845" t="inlineStr">
        <is>
          <t>a64a4266817245d41ccdc9a9475a6a17</t>
        </is>
      </c>
      <c r="B5845" s="29" t="n">
        <v>43201</v>
      </c>
      <c r="C5845" t="inlineStr">
        <is>
          <t>2018-04</t>
        </is>
      </c>
      <c r="D5845" t="inlineStr">
        <is>
          <t>f2297ae2d607584fb580e9947a1a9b75</t>
        </is>
      </c>
      <c r="E5845" t="inlineStr">
        <is>
          <t>direct_traffic</t>
        </is>
      </c>
      <c r="F5845">
        <f>IFERROR(MATCH(A5845,Deals!$A$2:$A$843,0),"")</f>
        <v/>
      </c>
      <c r="G5845">
        <f>IF(F5845="",0,1)</f>
        <v/>
      </c>
      <c r="H5845" s="29">
        <f>IF(F5845="","",INDEX(Deals!$E$2:$E$843,F5845))</f>
        <v/>
      </c>
      <c r="I5845">
        <f>IF(F5845="","",INDEX(Deals!$D$2:$D$843,F5845))</f>
        <v/>
      </c>
      <c r="J5845">
        <f>IF(F5845="","",INT(H5845)-B5845)</f>
        <v/>
      </c>
      <c r="K5845">
        <f>IF(B5845&gt;=Settings!$C$5,1,0)</f>
        <v/>
      </c>
    </row>
    <row r="5846">
      <c r="A5846" t="inlineStr">
        <is>
          <t>8047b03d52384ba8b0f9680baacddcf7</t>
        </is>
      </c>
      <c r="B5846" s="29" t="n">
        <v>43241</v>
      </c>
      <c r="C5846" t="inlineStr">
        <is>
          <t>2018-05</t>
        </is>
      </c>
      <c r="D5846" t="inlineStr">
        <is>
          <t>330b9d44078a1ae5a221d655dcb77afa</t>
        </is>
      </c>
      <c r="E5846" t="inlineStr">
        <is>
          <t>unknown</t>
        </is>
      </c>
      <c r="F5846">
        <f>IFERROR(MATCH(A5846,Deals!$A$2:$A$843,0),"")</f>
        <v/>
      </c>
      <c r="G5846">
        <f>IF(F5846="",0,1)</f>
        <v/>
      </c>
      <c r="H5846" s="29">
        <f>IF(F5846="","",INDEX(Deals!$E$2:$E$843,F5846))</f>
        <v/>
      </c>
      <c r="I5846">
        <f>IF(F5846="","",INDEX(Deals!$D$2:$D$843,F5846))</f>
        <v/>
      </c>
      <c r="J5846">
        <f>IF(F5846="","",INT(H5846)-B5846)</f>
        <v/>
      </c>
      <c r="K5846">
        <f>IF(B5846&gt;=Settings!$C$5,1,0)</f>
        <v/>
      </c>
    </row>
    <row r="5847">
      <c r="A5847" t="inlineStr">
        <is>
          <t>76987aa3e22683ec1e1fb6ba650e1daa</t>
        </is>
      </c>
      <c r="B5847" s="29" t="n">
        <v>43249</v>
      </c>
      <c r="C5847" t="inlineStr">
        <is>
          <t>2018-05</t>
        </is>
      </c>
      <c r="D5847" t="inlineStr">
        <is>
          <t>99b00c6e27db383d844d1763dbcbfe06</t>
        </is>
      </c>
      <c r="E5847" t="inlineStr">
        <is>
          <t>direct_traffic</t>
        </is>
      </c>
      <c r="F5847">
        <f>IFERROR(MATCH(A5847,Deals!$A$2:$A$843,0),"")</f>
        <v/>
      </c>
      <c r="G5847">
        <f>IF(F5847="",0,1)</f>
        <v/>
      </c>
      <c r="H5847" s="29">
        <f>IF(F5847="","",INDEX(Deals!$E$2:$E$843,F5847))</f>
        <v/>
      </c>
      <c r="I5847">
        <f>IF(F5847="","",INDEX(Deals!$D$2:$D$843,F5847))</f>
        <v/>
      </c>
      <c r="J5847">
        <f>IF(F5847="","",INT(H5847)-B5847)</f>
        <v/>
      </c>
      <c r="K5847">
        <f>IF(B5847&gt;=Settings!$C$5,1,0)</f>
        <v/>
      </c>
    </row>
    <row r="5848">
      <c r="A5848" t="inlineStr">
        <is>
          <t>00532c4adc6d5dadb6d58e9de817b59a</t>
        </is>
      </c>
      <c r="B5848" s="29" t="n">
        <v>43222</v>
      </c>
      <c r="C5848" t="inlineStr">
        <is>
          <t>2018-05</t>
        </is>
      </c>
      <c r="D5848" t="inlineStr">
        <is>
          <t>37cf94070e940a694969304de58debe1</t>
        </is>
      </c>
      <c r="E5848" t="inlineStr">
        <is>
          <t>unknown</t>
        </is>
      </c>
      <c r="F5848">
        <f>IFERROR(MATCH(A5848,Deals!$A$2:$A$843,0),"")</f>
        <v/>
      </c>
      <c r="G5848">
        <f>IF(F5848="",0,1)</f>
        <v/>
      </c>
      <c r="H5848" s="29">
        <f>IF(F5848="","",INDEX(Deals!$E$2:$E$843,F5848))</f>
        <v/>
      </c>
      <c r="I5848">
        <f>IF(F5848="","",INDEX(Deals!$D$2:$D$843,F5848))</f>
        <v/>
      </c>
      <c r="J5848">
        <f>IF(F5848="","",INT(H5848)-B5848)</f>
        <v/>
      </c>
      <c r="K5848">
        <f>IF(B5848&gt;=Settings!$C$5,1,0)</f>
        <v/>
      </c>
    </row>
    <row r="5849">
      <c r="A5849" t="inlineStr">
        <is>
          <t>92f75eaab29dd31e16b4b88cff13c6fb</t>
        </is>
      </c>
      <c r="B5849" s="29" t="n">
        <v>43187</v>
      </c>
      <c r="C5849" t="inlineStr">
        <is>
          <t>2018-03</t>
        </is>
      </c>
      <c r="D5849" t="inlineStr">
        <is>
          <t>6d3026b7dff03974a1e250d610ab8b36</t>
        </is>
      </c>
      <c r="E5849" t="inlineStr">
        <is>
          <t>organic_search</t>
        </is>
      </c>
      <c r="F5849">
        <f>IFERROR(MATCH(A5849,Deals!$A$2:$A$843,0),"")</f>
        <v/>
      </c>
      <c r="G5849">
        <f>IF(F5849="",0,1)</f>
        <v/>
      </c>
      <c r="H5849" s="29">
        <f>IF(F5849="","",INDEX(Deals!$E$2:$E$843,F5849))</f>
        <v/>
      </c>
      <c r="I5849">
        <f>IF(F5849="","",INDEX(Deals!$D$2:$D$843,F5849))</f>
        <v/>
      </c>
      <c r="J5849">
        <f>IF(F5849="","",INT(H5849)-B5849)</f>
        <v/>
      </c>
      <c r="K5849">
        <f>IF(B5849&gt;=Settings!$C$5,1,0)</f>
        <v/>
      </c>
    </row>
    <row r="5850">
      <c r="A5850" t="inlineStr">
        <is>
          <t>0f783a2a5e30eec921c2f2311da42dc5</t>
        </is>
      </c>
      <c r="B5850" s="29" t="n">
        <v>43096</v>
      </c>
      <c r="C5850" t="inlineStr">
        <is>
          <t>2017-12</t>
        </is>
      </c>
      <c r="D5850" t="inlineStr">
        <is>
          <t>58f8c0a253663304e348e81298bc255e</t>
        </is>
      </c>
      <c r="E5850" t="inlineStr">
        <is>
          <t>organic_search</t>
        </is>
      </c>
      <c r="F5850">
        <f>IFERROR(MATCH(A5850,Deals!$A$2:$A$843,0),"")</f>
        <v/>
      </c>
      <c r="G5850">
        <f>IF(F5850="",0,1)</f>
        <v/>
      </c>
      <c r="H5850" s="29">
        <f>IF(F5850="","",INDEX(Deals!$E$2:$E$843,F5850))</f>
        <v/>
      </c>
      <c r="I5850">
        <f>IF(F5850="","",INDEX(Deals!$D$2:$D$843,F5850))</f>
        <v/>
      </c>
      <c r="J5850">
        <f>IF(F5850="","",INT(H5850)-B5850)</f>
        <v/>
      </c>
      <c r="K5850">
        <f>IF(B5850&gt;=Settings!$C$5,1,0)</f>
        <v/>
      </c>
    </row>
    <row r="5851">
      <c r="A5851" t="inlineStr">
        <is>
          <t>0b0ace8b6bdf7426f3fe628939e917d1</t>
        </is>
      </c>
      <c r="B5851" s="29" t="n">
        <v>43167</v>
      </c>
      <c r="C5851" t="inlineStr">
        <is>
          <t>2018-03</t>
        </is>
      </c>
      <c r="D5851" t="inlineStr">
        <is>
          <t>65d9f9d71e562365e8b44037c2888d98</t>
        </is>
      </c>
      <c r="E5851" t="inlineStr">
        <is>
          <t>paid_search</t>
        </is>
      </c>
      <c r="F5851">
        <f>IFERROR(MATCH(A5851,Deals!$A$2:$A$843,0),"")</f>
        <v/>
      </c>
      <c r="G5851">
        <f>IF(F5851="",0,1)</f>
        <v/>
      </c>
      <c r="H5851" s="29">
        <f>IF(F5851="","",INDEX(Deals!$E$2:$E$843,F5851))</f>
        <v/>
      </c>
      <c r="I5851">
        <f>IF(F5851="","",INDEX(Deals!$D$2:$D$843,F5851))</f>
        <v/>
      </c>
      <c r="J5851">
        <f>IF(F5851="","",INT(H5851)-B5851)</f>
        <v/>
      </c>
      <c r="K5851">
        <f>IF(B5851&gt;=Settings!$C$5,1,0)</f>
        <v/>
      </c>
    </row>
    <row r="5852">
      <c r="A5852" t="inlineStr">
        <is>
          <t>d77de86dc8bd445f5227875182805a61</t>
        </is>
      </c>
      <c r="B5852" s="29" t="n">
        <v>43018</v>
      </c>
      <c r="C5852" t="inlineStr">
        <is>
          <t>2017-10</t>
        </is>
      </c>
      <c r="D5852" t="inlineStr">
        <is>
          <t>f017be4dbf86243af5c1ebed0cff36a2</t>
        </is>
      </c>
      <c r="E5852" t="inlineStr">
        <is>
          <t>organic_search</t>
        </is>
      </c>
      <c r="F5852">
        <f>IFERROR(MATCH(A5852,Deals!$A$2:$A$843,0),"")</f>
        <v/>
      </c>
      <c r="G5852">
        <f>IF(F5852="",0,1)</f>
        <v/>
      </c>
      <c r="H5852" s="29">
        <f>IF(F5852="","",INDEX(Deals!$E$2:$E$843,F5852))</f>
        <v/>
      </c>
      <c r="I5852">
        <f>IF(F5852="","",INDEX(Deals!$D$2:$D$843,F5852))</f>
        <v/>
      </c>
      <c r="J5852">
        <f>IF(F5852="","",INT(H5852)-B5852)</f>
        <v/>
      </c>
      <c r="K5852">
        <f>IF(B5852&gt;=Settings!$C$5,1,0)</f>
        <v/>
      </c>
    </row>
    <row r="5853">
      <c r="A5853" t="inlineStr">
        <is>
          <t>18d89bb02b4750fc9c61372ff4985ac5</t>
        </is>
      </c>
      <c r="B5853" s="29" t="n">
        <v>43152</v>
      </c>
      <c r="C5853" t="inlineStr">
        <is>
          <t>2018-02</t>
        </is>
      </c>
      <c r="D5853" t="inlineStr">
        <is>
          <t>22c29808c4f815213303f8933030604c</t>
        </is>
      </c>
      <c r="E5853" t="inlineStr">
        <is>
          <t>organic_search</t>
        </is>
      </c>
      <c r="F5853">
        <f>IFERROR(MATCH(A5853,Deals!$A$2:$A$843,0),"")</f>
        <v/>
      </c>
      <c r="G5853">
        <f>IF(F5853="",0,1)</f>
        <v/>
      </c>
      <c r="H5853" s="29">
        <f>IF(F5853="","",INDEX(Deals!$E$2:$E$843,F5853))</f>
        <v/>
      </c>
      <c r="I5853">
        <f>IF(F5853="","",INDEX(Deals!$D$2:$D$843,F5853))</f>
        <v/>
      </c>
      <c r="J5853">
        <f>IF(F5853="","",INT(H5853)-B5853)</f>
        <v/>
      </c>
      <c r="K5853">
        <f>IF(B5853&gt;=Settings!$C$5,1,0)</f>
        <v/>
      </c>
    </row>
    <row r="5854">
      <c r="A5854" t="inlineStr">
        <is>
          <t>2ec14612fd4f01f8865e35f4c3b87ed1</t>
        </is>
      </c>
      <c r="B5854" s="29" t="n">
        <v>42951</v>
      </c>
      <c r="C5854" t="inlineStr">
        <is>
          <t>2017-08</t>
        </is>
      </c>
      <c r="D5854" t="inlineStr">
        <is>
          <t>984c5278c0a8e3c75e41b90def1f2611</t>
        </is>
      </c>
      <c r="E5854" t="inlineStr">
        <is>
          <t>unknown</t>
        </is>
      </c>
      <c r="F5854">
        <f>IFERROR(MATCH(A5854,Deals!$A$2:$A$843,0),"")</f>
        <v/>
      </c>
      <c r="G5854">
        <f>IF(F5854="",0,1)</f>
        <v/>
      </c>
      <c r="H5854" s="29">
        <f>IF(F5854="","",INDEX(Deals!$E$2:$E$843,F5854))</f>
        <v/>
      </c>
      <c r="I5854">
        <f>IF(F5854="","",INDEX(Deals!$D$2:$D$843,F5854))</f>
        <v/>
      </c>
      <c r="J5854">
        <f>IF(F5854="","",INT(H5854)-B5854)</f>
        <v/>
      </c>
      <c r="K5854">
        <f>IF(B5854&gt;=Settings!$C$5,1,0)</f>
        <v/>
      </c>
    </row>
    <row r="5855">
      <c r="A5855" t="inlineStr">
        <is>
          <t>cd882239782e46c81f650fc5a6136d2e</t>
        </is>
      </c>
      <c r="B5855" s="29" t="n">
        <v>42942</v>
      </c>
      <c r="C5855" t="inlineStr">
        <is>
          <t>2017-07</t>
        </is>
      </c>
      <c r="D5855" t="inlineStr">
        <is>
          <t>5ce25abc7206b8285aa756867eb2c590</t>
        </is>
      </c>
      <c r="E5855" t="inlineStr">
        <is>
          <t>paid_search</t>
        </is>
      </c>
      <c r="F5855">
        <f>IFERROR(MATCH(A5855,Deals!$A$2:$A$843,0),"")</f>
        <v/>
      </c>
      <c r="G5855">
        <f>IF(F5855="",0,1)</f>
        <v/>
      </c>
      <c r="H5855" s="29">
        <f>IF(F5855="","",INDEX(Deals!$E$2:$E$843,F5855))</f>
        <v/>
      </c>
      <c r="I5855">
        <f>IF(F5855="","",INDEX(Deals!$D$2:$D$843,F5855))</f>
        <v/>
      </c>
      <c r="J5855">
        <f>IF(F5855="","",INT(H5855)-B5855)</f>
        <v/>
      </c>
      <c r="K5855">
        <f>IF(B5855&gt;=Settings!$C$5,1,0)</f>
        <v/>
      </c>
    </row>
    <row r="5856">
      <c r="A5856" t="inlineStr">
        <is>
          <t>41d89d375c748da6a894ccb1b51523a1</t>
        </is>
      </c>
      <c r="B5856" s="29" t="n">
        <v>43178</v>
      </c>
      <c r="C5856" t="inlineStr">
        <is>
          <t>2018-03</t>
        </is>
      </c>
      <c r="D5856" t="inlineStr">
        <is>
          <t>9ee0e215ccb1661015e983e9e476dd0b</t>
        </is>
      </c>
      <c r="E5856" t="inlineStr">
        <is>
          <t>paid_search</t>
        </is>
      </c>
      <c r="F5856">
        <f>IFERROR(MATCH(A5856,Deals!$A$2:$A$843,0),"")</f>
        <v/>
      </c>
      <c r="G5856">
        <f>IF(F5856="",0,1)</f>
        <v/>
      </c>
      <c r="H5856" s="29">
        <f>IF(F5856="","",INDEX(Deals!$E$2:$E$843,F5856))</f>
        <v/>
      </c>
      <c r="I5856">
        <f>IF(F5856="","",INDEX(Deals!$D$2:$D$843,F5856))</f>
        <v/>
      </c>
      <c r="J5856">
        <f>IF(F5856="","",INT(H5856)-B5856)</f>
        <v/>
      </c>
      <c r="K5856">
        <f>IF(B5856&gt;=Settings!$C$5,1,0)</f>
        <v/>
      </c>
    </row>
    <row r="5857">
      <c r="A5857" t="inlineStr">
        <is>
          <t>9e925259d9d363b290c7e47209cd2ad7</t>
        </is>
      </c>
      <c r="B5857" s="29" t="n">
        <v>42927</v>
      </c>
      <c r="C5857" t="inlineStr">
        <is>
          <t>2017-07</t>
        </is>
      </c>
      <c r="D5857" t="inlineStr">
        <is>
          <t>0d43fc5a5096c416d3b7b492564293da</t>
        </is>
      </c>
      <c r="E5857" t="inlineStr">
        <is>
          <t>organic_search</t>
        </is>
      </c>
      <c r="F5857">
        <f>IFERROR(MATCH(A5857,Deals!$A$2:$A$843,0),"")</f>
        <v/>
      </c>
      <c r="G5857">
        <f>IF(F5857="",0,1)</f>
        <v/>
      </c>
      <c r="H5857" s="29">
        <f>IF(F5857="","",INDEX(Deals!$E$2:$E$843,F5857))</f>
        <v/>
      </c>
      <c r="I5857">
        <f>IF(F5857="","",INDEX(Deals!$D$2:$D$843,F5857))</f>
        <v/>
      </c>
      <c r="J5857">
        <f>IF(F5857="","",INT(H5857)-B5857)</f>
        <v/>
      </c>
      <c r="K5857">
        <f>IF(B5857&gt;=Settings!$C$5,1,0)</f>
        <v/>
      </c>
    </row>
    <row r="5858">
      <c r="A5858" t="inlineStr">
        <is>
          <t>aae92066b9e2a57287b442383d7b88b6</t>
        </is>
      </c>
      <c r="B5858" s="29" t="n">
        <v>43186</v>
      </c>
      <c r="C5858" t="inlineStr">
        <is>
          <t>2018-03</t>
        </is>
      </c>
      <c r="D5858" t="inlineStr">
        <is>
          <t>241f79c7a8fe0270f4fb79fcbbcd17ad</t>
        </is>
      </c>
      <c r="E5858" t="inlineStr">
        <is>
          <t>paid_search</t>
        </is>
      </c>
      <c r="F5858">
        <f>IFERROR(MATCH(A5858,Deals!$A$2:$A$843,0),"")</f>
        <v/>
      </c>
      <c r="G5858">
        <f>IF(F5858="",0,1)</f>
        <v/>
      </c>
      <c r="H5858" s="29">
        <f>IF(F5858="","",INDEX(Deals!$E$2:$E$843,F5858))</f>
        <v/>
      </c>
      <c r="I5858">
        <f>IF(F5858="","",INDEX(Deals!$D$2:$D$843,F5858))</f>
        <v/>
      </c>
      <c r="J5858">
        <f>IF(F5858="","",INT(H5858)-B5858)</f>
        <v/>
      </c>
      <c r="K5858">
        <f>IF(B5858&gt;=Settings!$C$5,1,0)</f>
        <v/>
      </c>
    </row>
    <row r="5859">
      <c r="A5859" t="inlineStr">
        <is>
          <t>a8a5204dd969d34ddbd26915537bd937</t>
        </is>
      </c>
      <c r="B5859" s="29" t="n">
        <v>43181</v>
      </c>
      <c r="C5859" t="inlineStr">
        <is>
          <t>2018-03</t>
        </is>
      </c>
      <c r="D5859" t="inlineStr">
        <is>
          <t>e492ee5eaf1697716985cc6f33f9cd9b</t>
        </is>
      </c>
      <c r="E5859" t="inlineStr">
        <is>
          <t>email</t>
        </is>
      </c>
      <c r="F5859">
        <f>IFERROR(MATCH(A5859,Deals!$A$2:$A$843,0),"")</f>
        <v/>
      </c>
      <c r="G5859">
        <f>IF(F5859="",0,1)</f>
        <v/>
      </c>
      <c r="H5859" s="29">
        <f>IF(F5859="","",INDEX(Deals!$E$2:$E$843,F5859))</f>
        <v/>
      </c>
      <c r="I5859">
        <f>IF(F5859="","",INDEX(Deals!$D$2:$D$843,F5859))</f>
        <v/>
      </c>
      <c r="J5859">
        <f>IF(F5859="","",INT(H5859)-B5859)</f>
        <v/>
      </c>
      <c r="K5859">
        <f>IF(B5859&gt;=Settings!$C$5,1,0)</f>
        <v/>
      </c>
    </row>
    <row r="5860">
      <c r="A5860" t="inlineStr">
        <is>
          <t>c61ab3254a8a0d55aa901aa8649460c9</t>
        </is>
      </c>
      <c r="B5860" s="29" t="n">
        <v>43122</v>
      </c>
      <c r="C5860" t="inlineStr">
        <is>
          <t>2018-01</t>
        </is>
      </c>
      <c r="D5860" t="inlineStr">
        <is>
          <t>a7982125ff7aa3b2054c6e44f9d28522</t>
        </is>
      </c>
      <c r="E5860" t="inlineStr">
        <is>
          <t>organic_search</t>
        </is>
      </c>
      <c r="F5860">
        <f>IFERROR(MATCH(A5860,Deals!$A$2:$A$843,0),"")</f>
        <v/>
      </c>
      <c r="G5860">
        <f>IF(F5860="",0,1)</f>
        <v/>
      </c>
      <c r="H5860" s="29">
        <f>IF(F5860="","",INDEX(Deals!$E$2:$E$843,F5860))</f>
        <v/>
      </c>
      <c r="I5860">
        <f>IF(F5860="","",INDEX(Deals!$D$2:$D$843,F5860))</f>
        <v/>
      </c>
      <c r="J5860">
        <f>IF(F5860="","",INT(H5860)-B5860)</f>
        <v/>
      </c>
      <c r="K5860">
        <f>IF(B5860&gt;=Settings!$C$5,1,0)</f>
        <v/>
      </c>
    </row>
    <row r="5861">
      <c r="A5861" t="inlineStr">
        <is>
          <t>7a0c99ef914f596a9d745df32a9c84dd</t>
        </is>
      </c>
      <c r="B5861" s="29" t="n">
        <v>43157</v>
      </c>
      <c r="C5861" t="inlineStr">
        <is>
          <t>2018-02</t>
        </is>
      </c>
      <c r="D5861" t="inlineStr">
        <is>
          <t>241f79c7a8fe0270f4fb79fcbbcd17ad</t>
        </is>
      </c>
      <c r="E5861" t="inlineStr">
        <is>
          <t>paid_search</t>
        </is>
      </c>
      <c r="F5861">
        <f>IFERROR(MATCH(A5861,Deals!$A$2:$A$843,0),"")</f>
        <v/>
      </c>
      <c r="G5861">
        <f>IF(F5861="",0,1)</f>
        <v/>
      </c>
      <c r="H5861" s="29">
        <f>IF(F5861="","",INDEX(Deals!$E$2:$E$843,F5861))</f>
        <v/>
      </c>
      <c r="I5861">
        <f>IF(F5861="","",INDEX(Deals!$D$2:$D$843,F5861))</f>
        <v/>
      </c>
      <c r="J5861">
        <f>IF(F5861="","",INT(H5861)-B5861)</f>
        <v/>
      </c>
      <c r="K5861">
        <f>IF(B5861&gt;=Settings!$C$5,1,0)</f>
        <v/>
      </c>
    </row>
    <row r="5862">
      <c r="A5862" t="inlineStr">
        <is>
          <t>796e2f57fd87b9b44251e692e269f0bf</t>
        </is>
      </c>
      <c r="B5862" s="29" t="n">
        <v>43193</v>
      </c>
      <c r="C5862" t="inlineStr">
        <is>
          <t>2018-04</t>
        </is>
      </c>
      <c r="D5862" t="inlineStr">
        <is>
          <t>40dec9f3d5259a3d2dbcdab2114fae47</t>
        </is>
      </c>
      <c r="E5862" t="inlineStr">
        <is>
          <t>paid_search</t>
        </is>
      </c>
      <c r="F5862">
        <f>IFERROR(MATCH(A5862,Deals!$A$2:$A$843,0),"")</f>
        <v/>
      </c>
      <c r="G5862">
        <f>IF(F5862="",0,1)</f>
        <v/>
      </c>
      <c r="H5862" s="29">
        <f>IF(F5862="","",INDEX(Deals!$E$2:$E$843,F5862))</f>
        <v/>
      </c>
      <c r="I5862">
        <f>IF(F5862="","",INDEX(Deals!$D$2:$D$843,F5862))</f>
        <v/>
      </c>
      <c r="J5862">
        <f>IF(F5862="","",INT(H5862)-B5862)</f>
        <v/>
      </c>
      <c r="K5862">
        <f>IF(B5862&gt;=Settings!$C$5,1,0)</f>
        <v/>
      </c>
    </row>
    <row r="5863">
      <c r="A5863" t="inlineStr">
        <is>
          <t>178b99100c7594627daa57e8fa69da24</t>
        </is>
      </c>
      <c r="B5863" s="29" t="n">
        <v>43171</v>
      </c>
      <c r="C5863" t="inlineStr">
        <is>
          <t>2018-03</t>
        </is>
      </c>
      <c r="D5863" t="inlineStr">
        <is>
          <t>f017be4dbf86243af5c1ebed0cff36a2</t>
        </is>
      </c>
      <c r="E5863" t="inlineStr">
        <is>
          <t>organic_search</t>
        </is>
      </c>
      <c r="F5863">
        <f>IFERROR(MATCH(A5863,Deals!$A$2:$A$843,0),"")</f>
        <v/>
      </c>
      <c r="G5863">
        <f>IF(F5863="",0,1)</f>
        <v/>
      </c>
      <c r="H5863" s="29">
        <f>IF(F5863="","",INDEX(Deals!$E$2:$E$843,F5863))</f>
        <v/>
      </c>
      <c r="I5863">
        <f>IF(F5863="","",INDEX(Deals!$D$2:$D$843,F5863))</f>
        <v/>
      </c>
      <c r="J5863">
        <f>IF(F5863="","",INT(H5863)-B5863)</f>
        <v/>
      </c>
      <c r="K5863">
        <f>IF(B5863&gt;=Settings!$C$5,1,0)</f>
        <v/>
      </c>
    </row>
    <row r="5864">
      <c r="A5864" t="inlineStr">
        <is>
          <t>8a593516c1daa7bb54e629ebd90bb72c</t>
        </is>
      </c>
      <c r="B5864" s="29" t="n">
        <v>43173</v>
      </c>
      <c r="C5864" t="inlineStr">
        <is>
          <t>2018-03</t>
        </is>
      </c>
      <c r="D5864" t="inlineStr">
        <is>
          <t>88740e65d5d6b056e0cda098e1ea6313</t>
        </is>
      </c>
      <c r="E5864" t="inlineStr">
        <is>
          <t>social</t>
        </is>
      </c>
      <c r="F5864">
        <f>IFERROR(MATCH(A5864,Deals!$A$2:$A$843,0),"")</f>
        <v/>
      </c>
      <c r="G5864">
        <f>IF(F5864="",0,1)</f>
        <v/>
      </c>
      <c r="H5864" s="29">
        <f>IF(F5864="","",INDEX(Deals!$E$2:$E$843,F5864))</f>
        <v/>
      </c>
      <c r="I5864">
        <f>IF(F5864="","",INDEX(Deals!$D$2:$D$843,F5864))</f>
        <v/>
      </c>
      <c r="J5864">
        <f>IF(F5864="","",INT(H5864)-B5864)</f>
        <v/>
      </c>
      <c r="K5864">
        <f>IF(B5864&gt;=Settings!$C$5,1,0)</f>
        <v/>
      </c>
    </row>
    <row r="5865">
      <c r="A5865" t="inlineStr">
        <is>
          <t>0a0b8d534f5abd23a9f8d91d46b125a9</t>
        </is>
      </c>
      <c r="B5865" s="29" t="n">
        <v>43168</v>
      </c>
      <c r="C5865" t="inlineStr">
        <is>
          <t>2018-03</t>
        </is>
      </c>
      <c r="D5865" t="inlineStr">
        <is>
          <t>d1da19204d3ed40c6476ad7498fb3e8b</t>
        </is>
      </c>
      <c r="E5865" t="inlineStr">
        <is>
          <t>unknown</t>
        </is>
      </c>
      <c r="F5865">
        <f>IFERROR(MATCH(A5865,Deals!$A$2:$A$843,0),"")</f>
        <v/>
      </c>
      <c r="G5865">
        <f>IF(F5865="",0,1)</f>
        <v/>
      </c>
      <c r="H5865" s="29">
        <f>IF(F5865="","",INDEX(Deals!$E$2:$E$843,F5865))</f>
        <v/>
      </c>
      <c r="I5865">
        <f>IF(F5865="","",INDEX(Deals!$D$2:$D$843,F5865))</f>
        <v/>
      </c>
      <c r="J5865">
        <f>IF(F5865="","",INT(H5865)-B5865)</f>
        <v/>
      </c>
      <c r="K5865">
        <f>IF(B5865&gt;=Settings!$C$5,1,0)</f>
        <v/>
      </c>
    </row>
    <row r="5866">
      <c r="A5866" t="inlineStr">
        <is>
          <t>60c43e386965167ba97045a1fe957626</t>
        </is>
      </c>
      <c r="B5866" s="29" t="n">
        <v>43139</v>
      </c>
      <c r="C5866" t="inlineStr">
        <is>
          <t>2018-02</t>
        </is>
      </c>
      <c r="D5866" t="inlineStr">
        <is>
          <t>dfc3b656bac13de62e4efca322b3f2c1</t>
        </is>
      </c>
      <c r="E5866" t="inlineStr">
        <is>
          <t>display</t>
        </is>
      </c>
      <c r="F5866">
        <f>IFERROR(MATCH(A5866,Deals!$A$2:$A$843,0),"")</f>
        <v/>
      </c>
      <c r="G5866">
        <f>IF(F5866="",0,1)</f>
        <v/>
      </c>
      <c r="H5866" s="29">
        <f>IF(F5866="","",INDEX(Deals!$E$2:$E$843,F5866))</f>
        <v/>
      </c>
      <c r="I5866">
        <f>IF(F5866="","",INDEX(Deals!$D$2:$D$843,F5866))</f>
        <v/>
      </c>
      <c r="J5866">
        <f>IF(F5866="","",INT(H5866)-B5866)</f>
        <v/>
      </c>
      <c r="K5866">
        <f>IF(B5866&gt;=Settings!$C$5,1,0)</f>
        <v/>
      </c>
    </row>
    <row r="5867">
      <c r="A5867" t="inlineStr">
        <is>
          <t>53badde384b0a557a5bb5d5b9ae80553</t>
        </is>
      </c>
      <c r="B5867" s="29" t="n">
        <v>43250</v>
      </c>
      <c r="C5867" t="inlineStr">
        <is>
          <t>2018-05</t>
        </is>
      </c>
      <c r="D5867" t="inlineStr">
        <is>
          <t>58326e62183c14b0c03085c33b9fdc44</t>
        </is>
      </c>
      <c r="E5867" t="inlineStr">
        <is>
          <t>referral</t>
        </is>
      </c>
      <c r="F5867">
        <f>IFERROR(MATCH(A5867,Deals!$A$2:$A$843,0),"")</f>
        <v/>
      </c>
      <c r="G5867">
        <f>IF(F5867="",0,1)</f>
        <v/>
      </c>
      <c r="H5867" s="29">
        <f>IF(F5867="","",INDEX(Deals!$E$2:$E$843,F5867))</f>
        <v/>
      </c>
      <c r="I5867">
        <f>IF(F5867="","",INDEX(Deals!$D$2:$D$843,F5867))</f>
        <v/>
      </c>
      <c r="J5867">
        <f>IF(F5867="","",INT(H5867)-B5867)</f>
        <v/>
      </c>
      <c r="K5867">
        <f>IF(B5867&gt;=Settings!$C$5,1,0)</f>
        <v/>
      </c>
    </row>
    <row r="5868">
      <c r="A5868" t="inlineStr">
        <is>
          <t>fc5c2a607f27cfe17e9f699230418a2e</t>
        </is>
      </c>
      <c r="B5868" s="29" t="n">
        <v>43150</v>
      </c>
      <c r="C5868" t="inlineStr">
        <is>
          <t>2018-02</t>
        </is>
      </c>
      <c r="D5868" t="inlineStr">
        <is>
          <t>22c29808c4f815213303f8933030604c</t>
        </is>
      </c>
      <c r="E5868" t="inlineStr">
        <is>
          <t>paid_search</t>
        </is>
      </c>
      <c r="F5868">
        <f>IFERROR(MATCH(A5868,Deals!$A$2:$A$843,0),"")</f>
        <v/>
      </c>
      <c r="G5868">
        <f>IF(F5868="",0,1)</f>
        <v/>
      </c>
      <c r="H5868" s="29">
        <f>IF(F5868="","",INDEX(Deals!$E$2:$E$843,F5868))</f>
        <v/>
      </c>
      <c r="I5868">
        <f>IF(F5868="","",INDEX(Deals!$D$2:$D$843,F5868))</f>
        <v/>
      </c>
      <c r="J5868">
        <f>IF(F5868="","",INT(H5868)-B5868)</f>
        <v/>
      </c>
      <c r="K5868">
        <f>IF(B5868&gt;=Settings!$C$5,1,0)</f>
        <v/>
      </c>
    </row>
    <row r="5869">
      <c r="A5869" t="inlineStr">
        <is>
          <t>46e8db5f3c47012f108a81f53d640c82</t>
        </is>
      </c>
      <c r="B5869" s="29" t="n">
        <v>43204</v>
      </c>
      <c r="C5869" t="inlineStr">
        <is>
          <t>2018-04</t>
        </is>
      </c>
      <c r="D5869" t="inlineStr">
        <is>
          <t>ce1a65abd0973638f1c887a6efcfa82d</t>
        </is>
      </c>
      <c r="E5869" t="inlineStr">
        <is>
          <t>organic_search</t>
        </is>
      </c>
      <c r="F5869">
        <f>IFERROR(MATCH(A5869,Deals!$A$2:$A$843,0),"")</f>
        <v/>
      </c>
      <c r="G5869">
        <f>IF(F5869="",0,1)</f>
        <v/>
      </c>
      <c r="H5869" s="29">
        <f>IF(F5869="","",INDEX(Deals!$E$2:$E$843,F5869))</f>
        <v/>
      </c>
      <c r="I5869">
        <f>IF(F5869="","",INDEX(Deals!$D$2:$D$843,F5869))</f>
        <v/>
      </c>
      <c r="J5869">
        <f>IF(F5869="","",INT(H5869)-B5869)</f>
        <v/>
      </c>
      <c r="K5869">
        <f>IF(B5869&gt;=Settings!$C$5,1,0)</f>
        <v/>
      </c>
    </row>
    <row r="5870">
      <c r="A5870" t="inlineStr">
        <is>
          <t>b9e0ea8939615cd9008530f5f4e5e54d</t>
        </is>
      </c>
      <c r="B5870" s="29" t="n">
        <v>43118</v>
      </c>
      <c r="C5870" t="inlineStr">
        <is>
          <t>2018-01</t>
        </is>
      </c>
      <c r="D5870" t="inlineStr">
        <is>
          <t>da14b7e2eb0d1eecf65abbd05a31c87d</t>
        </is>
      </c>
      <c r="E5870" t="inlineStr">
        <is>
          <t>paid_search</t>
        </is>
      </c>
      <c r="F5870">
        <f>IFERROR(MATCH(A5870,Deals!$A$2:$A$843,0),"")</f>
        <v/>
      </c>
      <c r="G5870">
        <f>IF(F5870="",0,1)</f>
        <v/>
      </c>
      <c r="H5870" s="29">
        <f>IF(F5870="","",INDEX(Deals!$E$2:$E$843,F5870))</f>
        <v/>
      </c>
      <c r="I5870">
        <f>IF(F5870="","",INDEX(Deals!$D$2:$D$843,F5870))</f>
        <v/>
      </c>
      <c r="J5870">
        <f>IF(F5870="","",INT(H5870)-B5870)</f>
        <v/>
      </c>
      <c r="K5870">
        <f>IF(B5870&gt;=Settings!$C$5,1,0)</f>
        <v/>
      </c>
    </row>
    <row r="5871">
      <c r="A5871" t="inlineStr">
        <is>
          <t>7fbe9bcd262e88e7dcede2bc52fbae08</t>
        </is>
      </c>
      <c r="B5871" s="29" t="n">
        <v>43109</v>
      </c>
      <c r="C5871" t="inlineStr">
        <is>
          <t>2018-01</t>
        </is>
      </c>
      <c r="D5871" t="inlineStr">
        <is>
          <t>c0fa54bbdd331f215aa84b4dd86d7255</t>
        </is>
      </c>
      <c r="E5871" t="inlineStr">
        <is>
          <t>organic_search</t>
        </is>
      </c>
      <c r="F5871">
        <f>IFERROR(MATCH(A5871,Deals!$A$2:$A$843,0),"")</f>
        <v/>
      </c>
      <c r="G5871">
        <f>IF(F5871="",0,1)</f>
        <v/>
      </c>
      <c r="H5871" s="29">
        <f>IF(F5871="","",INDEX(Deals!$E$2:$E$843,F5871))</f>
        <v/>
      </c>
      <c r="I5871">
        <f>IF(F5871="","",INDEX(Deals!$D$2:$D$843,F5871))</f>
        <v/>
      </c>
      <c r="J5871">
        <f>IF(F5871="","",INT(H5871)-B5871)</f>
        <v/>
      </c>
      <c r="K5871">
        <f>IF(B5871&gt;=Settings!$C$5,1,0)</f>
        <v/>
      </c>
    </row>
    <row r="5872">
      <c r="A5872" t="inlineStr">
        <is>
          <t>46cdab6ee8d08331f2369b4b04a4a4d5</t>
        </is>
      </c>
      <c r="B5872" s="29" t="n">
        <v>43245</v>
      </c>
      <c r="C5872" t="inlineStr">
        <is>
          <t>2018-05</t>
        </is>
      </c>
      <c r="D5872" t="inlineStr">
        <is>
          <t>e492ee5eaf1697716985cc6f33f9cd9b</t>
        </is>
      </c>
      <c r="E5872" t="inlineStr">
        <is>
          <t>unknown</t>
        </is>
      </c>
      <c r="F5872">
        <f>IFERROR(MATCH(A5872,Deals!$A$2:$A$843,0),"")</f>
        <v/>
      </c>
      <c r="G5872">
        <f>IF(F5872="",0,1)</f>
        <v/>
      </c>
      <c r="H5872" s="29">
        <f>IF(F5872="","",INDEX(Deals!$E$2:$E$843,F5872))</f>
        <v/>
      </c>
      <c r="I5872">
        <f>IF(F5872="","",INDEX(Deals!$D$2:$D$843,F5872))</f>
        <v/>
      </c>
      <c r="J5872">
        <f>IF(F5872="","",INT(H5872)-B5872)</f>
        <v/>
      </c>
      <c r="K5872">
        <f>IF(B5872&gt;=Settings!$C$5,1,0)</f>
        <v/>
      </c>
    </row>
    <row r="5873">
      <c r="A5873" t="inlineStr">
        <is>
          <t>e5fea2100557ed4a239fa49305613d6b</t>
        </is>
      </c>
      <c r="B5873" s="29" t="n">
        <v>42944</v>
      </c>
      <c r="C5873" t="inlineStr">
        <is>
          <t>2017-07</t>
        </is>
      </c>
      <c r="D5873" t="inlineStr">
        <is>
          <t>bddebc4f4d44106c427bd00695840e64</t>
        </is>
      </c>
      <c r="E5873" t="inlineStr">
        <is>
          <t>display</t>
        </is>
      </c>
      <c r="F5873">
        <f>IFERROR(MATCH(A5873,Deals!$A$2:$A$843,0),"")</f>
        <v/>
      </c>
      <c r="G5873">
        <f>IF(F5873="",0,1)</f>
        <v/>
      </c>
      <c r="H5873" s="29">
        <f>IF(F5873="","",INDEX(Deals!$E$2:$E$843,F5873))</f>
        <v/>
      </c>
      <c r="I5873">
        <f>IF(F5873="","",INDEX(Deals!$D$2:$D$843,F5873))</f>
        <v/>
      </c>
      <c r="J5873">
        <f>IF(F5873="","",INT(H5873)-B5873)</f>
        <v/>
      </c>
      <c r="K5873">
        <f>IF(B5873&gt;=Settings!$C$5,1,0)</f>
        <v/>
      </c>
    </row>
    <row r="5874">
      <c r="A5874" t="inlineStr">
        <is>
          <t>12e8db288ce0fddd12e6ecf41b3225f3</t>
        </is>
      </c>
      <c r="B5874" s="29" t="n">
        <v>43205</v>
      </c>
      <c r="C5874" t="inlineStr">
        <is>
          <t>2018-04</t>
        </is>
      </c>
      <c r="D5874" t="inlineStr">
        <is>
          <t>35c9b150ab36fe584c1f24fd458c453a</t>
        </is>
      </c>
      <c r="E5874" t="inlineStr">
        <is>
          <t>paid_search</t>
        </is>
      </c>
      <c r="F5874">
        <f>IFERROR(MATCH(A5874,Deals!$A$2:$A$843,0),"")</f>
        <v/>
      </c>
      <c r="G5874">
        <f>IF(F5874="",0,1)</f>
        <v/>
      </c>
      <c r="H5874" s="29">
        <f>IF(F5874="","",INDEX(Deals!$E$2:$E$843,F5874))</f>
        <v/>
      </c>
      <c r="I5874">
        <f>IF(F5874="","",INDEX(Deals!$D$2:$D$843,F5874))</f>
        <v/>
      </c>
      <c r="J5874">
        <f>IF(F5874="","",INT(H5874)-B5874)</f>
        <v/>
      </c>
      <c r="K5874">
        <f>IF(B5874&gt;=Settings!$C$5,1,0)</f>
        <v/>
      </c>
    </row>
    <row r="5875">
      <c r="A5875" t="inlineStr">
        <is>
          <t>058c2e4e2ab88e0766629e86e4f5e2c1</t>
        </is>
      </c>
      <c r="B5875" s="29" t="n">
        <v>43036</v>
      </c>
      <c r="C5875" t="inlineStr">
        <is>
          <t>2017-10</t>
        </is>
      </c>
      <c r="D5875" t="inlineStr">
        <is>
          <t>22c29808c4f815213303f8933030604c</t>
        </is>
      </c>
      <c r="E5875" t="inlineStr">
        <is>
          <t>organic_search</t>
        </is>
      </c>
      <c r="F5875">
        <f>IFERROR(MATCH(A5875,Deals!$A$2:$A$843,0),"")</f>
        <v/>
      </c>
      <c r="G5875">
        <f>IF(F5875="",0,1)</f>
        <v/>
      </c>
      <c r="H5875" s="29">
        <f>IF(F5875="","",INDEX(Deals!$E$2:$E$843,F5875))</f>
        <v/>
      </c>
      <c r="I5875">
        <f>IF(F5875="","",INDEX(Deals!$D$2:$D$843,F5875))</f>
        <v/>
      </c>
      <c r="J5875">
        <f>IF(F5875="","",INT(H5875)-B5875)</f>
        <v/>
      </c>
      <c r="K5875">
        <f>IF(B5875&gt;=Settings!$C$5,1,0)</f>
        <v/>
      </c>
    </row>
    <row r="5876">
      <c r="A5876" t="inlineStr">
        <is>
          <t>e600ec2357e8a2196ec770c951f6d24d</t>
        </is>
      </c>
      <c r="B5876" s="29" t="n">
        <v>43164</v>
      </c>
      <c r="C5876" t="inlineStr">
        <is>
          <t>2018-03</t>
        </is>
      </c>
      <c r="D5876" t="inlineStr">
        <is>
          <t>88740e65d5d6b056e0cda098e1ea6313</t>
        </is>
      </c>
      <c r="E5876" t="inlineStr">
        <is>
          <t>social</t>
        </is>
      </c>
      <c r="F5876">
        <f>IFERROR(MATCH(A5876,Deals!$A$2:$A$843,0),"")</f>
        <v/>
      </c>
      <c r="G5876">
        <f>IF(F5876="",0,1)</f>
        <v/>
      </c>
      <c r="H5876" s="29">
        <f>IF(F5876="","",INDEX(Deals!$E$2:$E$843,F5876))</f>
        <v/>
      </c>
      <c r="I5876">
        <f>IF(F5876="","",INDEX(Deals!$D$2:$D$843,F5876))</f>
        <v/>
      </c>
      <c r="J5876">
        <f>IF(F5876="","",INT(H5876)-B5876)</f>
        <v/>
      </c>
      <c r="K5876">
        <f>IF(B5876&gt;=Settings!$C$5,1,0)</f>
        <v/>
      </c>
    </row>
    <row r="5877">
      <c r="A5877" t="inlineStr">
        <is>
          <t>3abb022895ea02a82759614e825863a9</t>
        </is>
      </c>
      <c r="B5877" s="29" t="n">
        <v>43110</v>
      </c>
      <c r="C5877" t="inlineStr">
        <is>
          <t>2018-01</t>
        </is>
      </c>
      <c r="D5877" t="inlineStr">
        <is>
          <t>99b00c6e27db383d844d1763dbcbfe06</t>
        </is>
      </c>
      <c r="E5877" t="inlineStr">
        <is>
          <t>direct_traffic</t>
        </is>
      </c>
      <c r="F5877">
        <f>IFERROR(MATCH(A5877,Deals!$A$2:$A$843,0),"")</f>
        <v/>
      </c>
      <c r="G5877">
        <f>IF(F5877="",0,1)</f>
        <v/>
      </c>
      <c r="H5877" s="29">
        <f>IF(F5877="","",INDEX(Deals!$E$2:$E$843,F5877))</f>
        <v/>
      </c>
      <c r="I5877">
        <f>IF(F5877="","",INDEX(Deals!$D$2:$D$843,F5877))</f>
        <v/>
      </c>
      <c r="J5877">
        <f>IF(F5877="","",INT(H5877)-B5877)</f>
        <v/>
      </c>
      <c r="K5877">
        <f>IF(B5877&gt;=Settings!$C$5,1,0)</f>
        <v/>
      </c>
    </row>
    <row r="5878">
      <c r="A5878" t="inlineStr">
        <is>
          <t>f5baaf0afe419681731ec3d30dafd954</t>
        </is>
      </c>
      <c r="B5878" s="29" t="n">
        <v>43220</v>
      </c>
      <c r="C5878" t="inlineStr">
        <is>
          <t>2018-04</t>
        </is>
      </c>
      <c r="D5878" t="inlineStr">
        <is>
          <t>1ec5f5ec77c51a968271b2ca9862907d</t>
        </is>
      </c>
      <c r="E5878" t="inlineStr">
        <is>
          <t>(missing)</t>
        </is>
      </c>
      <c r="F5878">
        <f>IFERROR(MATCH(A5878,Deals!$A$2:$A$843,0),"")</f>
        <v/>
      </c>
      <c r="G5878">
        <f>IF(F5878="",0,1)</f>
        <v/>
      </c>
      <c r="H5878" s="29">
        <f>IF(F5878="","",INDEX(Deals!$E$2:$E$843,F5878))</f>
        <v/>
      </c>
      <c r="I5878">
        <f>IF(F5878="","",INDEX(Deals!$D$2:$D$843,F5878))</f>
        <v/>
      </c>
      <c r="J5878">
        <f>IF(F5878="","",INT(H5878)-B5878)</f>
        <v/>
      </c>
      <c r="K5878">
        <f>IF(B5878&gt;=Settings!$C$5,1,0)</f>
        <v/>
      </c>
    </row>
    <row r="5879">
      <c r="A5879" t="inlineStr">
        <is>
          <t>15aea757696aaf9af950992f299b6789</t>
        </is>
      </c>
      <c r="B5879" s="29" t="n">
        <v>43108</v>
      </c>
      <c r="C5879" t="inlineStr">
        <is>
          <t>2018-01</t>
        </is>
      </c>
      <c r="D5879" t="inlineStr">
        <is>
          <t>73f31a40697cc90a86c1273563ac230e</t>
        </is>
      </c>
      <c r="E5879" t="inlineStr">
        <is>
          <t>organic_search</t>
        </is>
      </c>
      <c r="F5879">
        <f>IFERROR(MATCH(A5879,Deals!$A$2:$A$843,0),"")</f>
        <v/>
      </c>
      <c r="G5879">
        <f>IF(F5879="",0,1)</f>
        <v/>
      </c>
      <c r="H5879" s="29">
        <f>IF(F5879="","",INDEX(Deals!$E$2:$E$843,F5879))</f>
        <v/>
      </c>
      <c r="I5879">
        <f>IF(F5879="","",INDEX(Deals!$D$2:$D$843,F5879))</f>
        <v/>
      </c>
      <c r="J5879">
        <f>IF(F5879="","",INT(H5879)-B5879)</f>
        <v/>
      </c>
      <c r="K5879">
        <f>IF(B5879&gt;=Settings!$C$5,1,0)</f>
        <v/>
      </c>
    </row>
    <row r="5880">
      <c r="A5880" t="inlineStr">
        <is>
          <t>03cf01ab1a9e0f461e4af33fce8d71f6</t>
        </is>
      </c>
      <c r="B5880" s="29" t="n">
        <v>43165</v>
      </c>
      <c r="C5880" t="inlineStr">
        <is>
          <t>2018-03</t>
        </is>
      </c>
      <c r="D5880" t="inlineStr">
        <is>
          <t>22c29808c4f815213303f8933030604c</t>
        </is>
      </c>
      <c r="E5880" t="inlineStr">
        <is>
          <t>organic_search</t>
        </is>
      </c>
      <c r="F5880">
        <f>IFERROR(MATCH(A5880,Deals!$A$2:$A$843,0),"")</f>
        <v/>
      </c>
      <c r="G5880">
        <f>IF(F5880="",0,1)</f>
        <v/>
      </c>
      <c r="H5880" s="29">
        <f>IF(F5880="","",INDEX(Deals!$E$2:$E$843,F5880))</f>
        <v/>
      </c>
      <c r="I5880">
        <f>IF(F5880="","",INDEX(Deals!$D$2:$D$843,F5880))</f>
        <v/>
      </c>
      <c r="J5880">
        <f>IF(F5880="","",INT(H5880)-B5880)</f>
        <v/>
      </c>
      <c r="K5880">
        <f>IF(B5880&gt;=Settings!$C$5,1,0)</f>
        <v/>
      </c>
    </row>
    <row r="5881">
      <c r="A5881" t="inlineStr">
        <is>
          <t>53d57871ab3fc4405f05229e639f166c</t>
        </is>
      </c>
      <c r="B5881" s="29" t="n">
        <v>42957</v>
      </c>
      <c r="C5881" t="inlineStr">
        <is>
          <t>2017-08</t>
        </is>
      </c>
      <c r="D5881" t="inlineStr">
        <is>
          <t>1722481ac9e5371e5099dea226b5421d</t>
        </is>
      </c>
      <c r="E5881" t="inlineStr">
        <is>
          <t>unknown</t>
        </is>
      </c>
      <c r="F5881">
        <f>IFERROR(MATCH(A5881,Deals!$A$2:$A$843,0),"")</f>
        <v/>
      </c>
      <c r="G5881">
        <f>IF(F5881="",0,1)</f>
        <v/>
      </c>
      <c r="H5881" s="29">
        <f>IF(F5881="","",INDEX(Deals!$E$2:$E$843,F5881))</f>
        <v/>
      </c>
      <c r="I5881">
        <f>IF(F5881="","",INDEX(Deals!$D$2:$D$843,F5881))</f>
        <v/>
      </c>
      <c r="J5881">
        <f>IF(F5881="","",INT(H5881)-B5881)</f>
        <v/>
      </c>
      <c r="K5881">
        <f>IF(B5881&gt;=Settings!$C$5,1,0)</f>
        <v/>
      </c>
    </row>
    <row r="5882">
      <c r="A5882" t="inlineStr">
        <is>
          <t>8ba72c13888964788024b12e39aef6de</t>
        </is>
      </c>
      <c r="B5882" s="29" t="n">
        <v>43236</v>
      </c>
      <c r="C5882" t="inlineStr">
        <is>
          <t>2018-05</t>
        </is>
      </c>
      <c r="D5882" t="inlineStr">
        <is>
          <t>40dec9f3d5259a3d2dbcdab2114fae47</t>
        </is>
      </c>
      <c r="E5882" t="inlineStr">
        <is>
          <t>organic_search</t>
        </is>
      </c>
      <c r="F5882">
        <f>IFERROR(MATCH(A5882,Deals!$A$2:$A$843,0),"")</f>
        <v/>
      </c>
      <c r="G5882">
        <f>IF(F5882="",0,1)</f>
        <v/>
      </c>
      <c r="H5882" s="29">
        <f>IF(F5882="","",INDEX(Deals!$E$2:$E$843,F5882))</f>
        <v/>
      </c>
      <c r="I5882">
        <f>IF(F5882="","",INDEX(Deals!$D$2:$D$843,F5882))</f>
        <v/>
      </c>
      <c r="J5882">
        <f>IF(F5882="","",INT(H5882)-B5882)</f>
        <v/>
      </c>
      <c r="K5882">
        <f>IF(B5882&gt;=Settings!$C$5,1,0)</f>
        <v/>
      </c>
    </row>
    <row r="5883">
      <c r="A5883" t="inlineStr">
        <is>
          <t>7874884678098f0edf576029131759d8</t>
        </is>
      </c>
      <c r="B5883" s="29" t="n">
        <v>42947</v>
      </c>
      <c r="C5883" t="inlineStr">
        <is>
          <t>2017-07</t>
        </is>
      </c>
      <c r="D5883" t="inlineStr">
        <is>
          <t>3cd2a8301d5395f21cdd3094c9eaa2f4</t>
        </is>
      </c>
      <c r="E5883" t="inlineStr">
        <is>
          <t>paid_search</t>
        </is>
      </c>
      <c r="F5883">
        <f>IFERROR(MATCH(A5883,Deals!$A$2:$A$843,0),"")</f>
        <v/>
      </c>
      <c r="G5883">
        <f>IF(F5883="",0,1)</f>
        <v/>
      </c>
      <c r="H5883" s="29">
        <f>IF(F5883="","",INDEX(Deals!$E$2:$E$843,F5883))</f>
        <v/>
      </c>
      <c r="I5883">
        <f>IF(F5883="","",INDEX(Deals!$D$2:$D$843,F5883))</f>
        <v/>
      </c>
      <c r="J5883">
        <f>IF(F5883="","",INT(H5883)-B5883)</f>
        <v/>
      </c>
      <c r="K5883">
        <f>IF(B5883&gt;=Settings!$C$5,1,0)</f>
        <v/>
      </c>
    </row>
    <row r="5884">
      <c r="A5884" t="inlineStr">
        <is>
          <t>ce237f105cfd8a85689cc0481d9d7303</t>
        </is>
      </c>
      <c r="B5884" s="29" t="n">
        <v>42968</v>
      </c>
      <c r="C5884" t="inlineStr">
        <is>
          <t>2017-08</t>
        </is>
      </c>
      <c r="D5884" t="inlineStr">
        <is>
          <t>87732658ba41d8775e8577df347a64db</t>
        </is>
      </c>
      <c r="E5884" t="inlineStr">
        <is>
          <t>social</t>
        </is>
      </c>
      <c r="F5884">
        <f>IFERROR(MATCH(A5884,Deals!$A$2:$A$843,0),"")</f>
        <v/>
      </c>
      <c r="G5884">
        <f>IF(F5884="",0,1)</f>
        <v/>
      </c>
      <c r="H5884" s="29">
        <f>IF(F5884="","",INDEX(Deals!$E$2:$E$843,F5884))</f>
        <v/>
      </c>
      <c r="I5884">
        <f>IF(F5884="","",INDEX(Deals!$D$2:$D$843,F5884))</f>
        <v/>
      </c>
      <c r="J5884">
        <f>IF(F5884="","",INT(H5884)-B5884)</f>
        <v/>
      </c>
      <c r="K5884">
        <f>IF(B5884&gt;=Settings!$C$5,1,0)</f>
        <v/>
      </c>
    </row>
    <row r="5885">
      <c r="A5885" t="inlineStr">
        <is>
          <t>07aa69970a284c5948c3a34ed5e4e0b1</t>
        </is>
      </c>
      <c r="B5885" s="29" t="n">
        <v>43173</v>
      </c>
      <c r="C5885" t="inlineStr">
        <is>
          <t>2018-03</t>
        </is>
      </c>
      <c r="D5885" t="inlineStr">
        <is>
          <t>daa9619c6f8ed06d059265dca0f9257f</t>
        </is>
      </c>
      <c r="E5885" t="inlineStr">
        <is>
          <t>email</t>
        </is>
      </c>
      <c r="F5885">
        <f>IFERROR(MATCH(A5885,Deals!$A$2:$A$843,0),"")</f>
        <v/>
      </c>
      <c r="G5885">
        <f>IF(F5885="",0,1)</f>
        <v/>
      </c>
      <c r="H5885" s="29">
        <f>IF(F5885="","",INDEX(Deals!$E$2:$E$843,F5885))</f>
        <v/>
      </c>
      <c r="I5885">
        <f>IF(F5885="","",INDEX(Deals!$D$2:$D$843,F5885))</f>
        <v/>
      </c>
      <c r="J5885">
        <f>IF(F5885="","",INT(H5885)-B5885)</f>
        <v/>
      </c>
      <c r="K5885">
        <f>IF(B5885&gt;=Settings!$C$5,1,0)</f>
        <v/>
      </c>
    </row>
    <row r="5886">
      <c r="A5886" t="inlineStr">
        <is>
          <t>ee2b2692ff3e044ddf966729caefb36a</t>
        </is>
      </c>
      <c r="B5886" s="29" t="n">
        <v>43217</v>
      </c>
      <c r="C5886" t="inlineStr">
        <is>
          <t>2018-04</t>
        </is>
      </c>
      <c r="D5886" t="inlineStr">
        <is>
          <t>30534107aa0013db92899c96a1017d0b</t>
        </is>
      </c>
      <c r="E5886" t="inlineStr">
        <is>
          <t>social</t>
        </is>
      </c>
      <c r="F5886">
        <f>IFERROR(MATCH(A5886,Deals!$A$2:$A$843,0),"")</f>
        <v/>
      </c>
      <c r="G5886">
        <f>IF(F5886="",0,1)</f>
        <v/>
      </c>
      <c r="H5886" s="29">
        <f>IF(F5886="","",INDEX(Deals!$E$2:$E$843,F5886))</f>
        <v/>
      </c>
      <c r="I5886">
        <f>IF(F5886="","",INDEX(Deals!$D$2:$D$843,F5886))</f>
        <v/>
      </c>
      <c r="J5886">
        <f>IF(F5886="","",INT(H5886)-B5886)</f>
        <v/>
      </c>
      <c r="K5886">
        <f>IF(B5886&gt;=Settings!$C$5,1,0)</f>
        <v/>
      </c>
    </row>
    <row r="5887">
      <c r="A5887" t="inlineStr">
        <is>
          <t>1d9a4d458ecd81006eb78d51bd92d1fc</t>
        </is>
      </c>
      <c r="B5887" s="29" t="n">
        <v>43108</v>
      </c>
      <c r="C5887" t="inlineStr">
        <is>
          <t>2018-01</t>
        </is>
      </c>
      <c r="D5887" t="inlineStr">
        <is>
          <t>b6885f18d203a61176418c1fb3764815</t>
        </is>
      </c>
      <c r="E5887" t="inlineStr">
        <is>
          <t>paid_search</t>
        </is>
      </c>
      <c r="F5887">
        <f>IFERROR(MATCH(A5887,Deals!$A$2:$A$843,0),"")</f>
        <v/>
      </c>
      <c r="G5887">
        <f>IF(F5887="",0,1)</f>
        <v/>
      </c>
      <c r="H5887" s="29">
        <f>IF(F5887="","",INDEX(Deals!$E$2:$E$843,F5887))</f>
        <v/>
      </c>
      <c r="I5887">
        <f>IF(F5887="","",INDEX(Deals!$D$2:$D$843,F5887))</f>
        <v/>
      </c>
      <c r="J5887">
        <f>IF(F5887="","",INT(H5887)-B5887)</f>
        <v/>
      </c>
      <c r="K5887">
        <f>IF(B5887&gt;=Settings!$C$5,1,0)</f>
        <v/>
      </c>
    </row>
    <row r="5888">
      <c r="A5888" t="inlineStr">
        <is>
          <t>dd4d6182b1e45cf8b03b35ca1b100bd8</t>
        </is>
      </c>
      <c r="B5888" s="29" t="n">
        <v>43116</v>
      </c>
      <c r="C5888" t="inlineStr">
        <is>
          <t>2018-01</t>
        </is>
      </c>
      <c r="D5888" t="inlineStr">
        <is>
          <t>88740e65d5d6b056e0cda098e1ea6313</t>
        </is>
      </c>
      <c r="E5888" t="inlineStr">
        <is>
          <t>social</t>
        </is>
      </c>
      <c r="F5888">
        <f>IFERROR(MATCH(A5888,Deals!$A$2:$A$843,0),"")</f>
        <v/>
      </c>
      <c r="G5888">
        <f>IF(F5888="",0,1)</f>
        <v/>
      </c>
      <c r="H5888" s="29">
        <f>IF(F5888="","",INDEX(Deals!$E$2:$E$843,F5888))</f>
        <v/>
      </c>
      <c r="I5888">
        <f>IF(F5888="","",INDEX(Deals!$D$2:$D$843,F5888))</f>
        <v/>
      </c>
      <c r="J5888">
        <f>IF(F5888="","",INT(H5888)-B5888)</f>
        <v/>
      </c>
      <c r="K5888">
        <f>IF(B5888&gt;=Settings!$C$5,1,0)</f>
        <v/>
      </c>
    </row>
    <row r="5889">
      <c r="A5889" t="inlineStr">
        <is>
          <t>ad1a5689af4f7e62644379f09b5699c8</t>
        </is>
      </c>
      <c r="B5889" s="29" t="n">
        <v>43176</v>
      </c>
      <c r="C5889" t="inlineStr">
        <is>
          <t>2018-03</t>
        </is>
      </c>
      <c r="D5889" t="inlineStr">
        <is>
          <t>ce1a65abd0973638f1c887a6efcfa82d</t>
        </is>
      </c>
      <c r="E5889" t="inlineStr">
        <is>
          <t>organic_search</t>
        </is>
      </c>
      <c r="F5889">
        <f>IFERROR(MATCH(A5889,Deals!$A$2:$A$843,0),"")</f>
        <v/>
      </c>
      <c r="G5889">
        <f>IF(F5889="",0,1)</f>
        <v/>
      </c>
      <c r="H5889" s="29">
        <f>IF(F5889="","",INDEX(Deals!$E$2:$E$843,F5889))</f>
        <v/>
      </c>
      <c r="I5889">
        <f>IF(F5889="","",INDEX(Deals!$D$2:$D$843,F5889))</f>
        <v/>
      </c>
      <c r="J5889">
        <f>IF(F5889="","",INT(H5889)-B5889)</f>
        <v/>
      </c>
      <c r="K5889">
        <f>IF(B5889&gt;=Settings!$C$5,1,0)</f>
        <v/>
      </c>
    </row>
    <row r="5890">
      <c r="A5890" t="inlineStr">
        <is>
          <t>b9b4d4f5b575539161c184faf8e53d5f</t>
        </is>
      </c>
      <c r="B5890" s="29" t="n">
        <v>43234</v>
      </c>
      <c r="C5890" t="inlineStr">
        <is>
          <t>2018-05</t>
        </is>
      </c>
      <c r="D5890" t="inlineStr">
        <is>
          <t>b76ef37428e6799c421989521c0e5077</t>
        </is>
      </c>
      <c r="E5890" t="inlineStr">
        <is>
          <t>unknown</t>
        </is>
      </c>
      <c r="F5890">
        <f>IFERROR(MATCH(A5890,Deals!$A$2:$A$843,0),"")</f>
        <v/>
      </c>
      <c r="G5890">
        <f>IF(F5890="",0,1)</f>
        <v/>
      </c>
      <c r="H5890" s="29">
        <f>IF(F5890="","",INDEX(Deals!$E$2:$E$843,F5890))</f>
        <v/>
      </c>
      <c r="I5890">
        <f>IF(F5890="","",INDEX(Deals!$D$2:$D$843,F5890))</f>
        <v/>
      </c>
      <c r="J5890">
        <f>IF(F5890="","",INT(H5890)-B5890)</f>
        <v/>
      </c>
      <c r="K5890">
        <f>IF(B5890&gt;=Settings!$C$5,1,0)</f>
        <v/>
      </c>
    </row>
    <row r="5891">
      <c r="A5891" t="inlineStr">
        <is>
          <t>a0ded2409ac6c2c2cd77d11e3f03a357</t>
        </is>
      </c>
      <c r="B5891" s="29" t="n">
        <v>43222</v>
      </c>
      <c r="C5891" t="inlineStr">
        <is>
          <t>2018-05</t>
        </is>
      </c>
      <c r="D5891" t="inlineStr">
        <is>
          <t>330b9d44078a1ae5a221d655dcb77afa</t>
        </is>
      </c>
      <c r="E5891" t="inlineStr">
        <is>
          <t>organic_search</t>
        </is>
      </c>
      <c r="F5891">
        <f>IFERROR(MATCH(A5891,Deals!$A$2:$A$843,0),"")</f>
        <v/>
      </c>
      <c r="G5891">
        <f>IF(F5891="",0,1)</f>
        <v/>
      </c>
      <c r="H5891" s="29">
        <f>IF(F5891="","",INDEX(Deals!$E$2:$E$843,F5891))</f>
        <v/>
      </c>
      <c r="I5891">
        <f>IF(F5891="","",INDEX(Deals!$D$2:$D$843,F5891))</f>
        <v/>
      </c>
      <c r="J5891">
        <f>IF(F5891="","",INT(H5891)-B5891)</f>
        <v/>
      </c>
      <c r="K5891">
        <f>IF(B5891&gt;=Settings!$C$5,1,0)</f>
        <v/>
      </c>
    </row>
    <row r="5892">
      <c r="A5892" t="inlineStr">
        <is>
          <t>9800d02812911707fe048d72a9bef32a</t>
        </is>
      </c>
      <c r="B5892" s="29" t="n">
        <v>43062</v>
      </c>
      <c r="C5892" t="inlineStr">
        <is>
          <t>2017-11</t>
        </is>
      </c>
      <c r="D5892" t="inlineStr">
        <is>
          <t>253c51690efe34b79a8e2b516effa8cc</t>
        </is>
      </c>
      <c r="E5892" t="inlineStr">
        <is>
          <t>email</t>
        </is>
      </c>
      <c r="F5892">
        <f>IFERROR(MATCH(A5892,Deals!$A$2:$A$843,0),"")</f>
        <v/>
      </c>
      <c r="G5892">
        <f>IF(F5892="",0,1)</f>
        <v/>
      </c>
      <c r="H5892" s="29">
        <f>IF(F5892="","",INDEX(Deals!$E$2:$E$843,F5892))</f>
        <v/>
      </c>
      <c r="I5892">
        <f>IF(F5892="","",INDEX(Deals!$D$2:$D$843,F5892))</f>
        <v/>
      </c>
      <c r="J5892">
        <f>IF(F5892="","",INT(H5892)-B5892)</f>
        <v/>
      </c>
      <c r="K5892">
        <f>IF(B5892&gt;=Settings!$C$5,1,0)</f>
        <v/>
      </c>
    </row>
    <row r="5893">
      <c r="A5893" t="inlineStr">
        <is>
          <t>147daaa4d649f65f12a78c8048338128</t>
        </is>
      </c>
      <c r="B5893" s="29" t="n">
        <v>43179</v>
      </c>
      <c r="C5893" t="inlineStr">
        <is>
          <t>2018-03</t>
        </is>
      </c>
      <c r="D5893" t="inlineStr">
        <is>
          <t>dcdbbb0bb43f5c9ea457a8363db87e73</t>
        </is>
      </c>
      <c r="E5893" t="inlineStr">
        <is>
          <t>organic_search</t>
        </is>
      </c>
      <c r="F5893">
        <f>IFERROR(MATCH(A5893,Deals!$A$2:$A$843,0),"")</f>
        <v/>
      </c>
      <c r="G5893">
        <f>IF(F5893="",0,1)</f>
        <v/>
      </c>
      <c r="H5893" s="29">
        <f>IF(F5893="","",INDEX(Deals!$E$2:$E$843,F5893))</f>
        <v/>
      </c>
      <c r="I5893">
        <f>IF(F5893="","",INDEX(Deals!$D$2:$D$843,F5893))</f>
        <v/>
      </c>
      <c r="J5893">
        <f>IF(F5893="","",INT(H5893)-B5893)</f>
        <v/>
      </c>
      <c r="K5893">
        <f>IF(B5893&gt;=Settings!$C$5,1,0)</f>
        <v/>
      </c>
    </row>
    <row r="5894">
      <c r="A5894" t="inlineStr">
        <is>
          <t>772be51775b3d732ec124eb9aef562f3</t>
        </is>
      </c>
      <c r="B5894" s="29" t="n">
        <v>43230</v>
      </c>
      <c r="C5894" t="inlineStr">
        <is>
          <t>2018-05</t>
        </is>
      </c>
      <c r="D5894" t="inlineStr">
        <is>
          <t>7fa6590e1b6cc9f17eb5cfdcfad63d50</t>
        </is>
      </c>
      <c r="E5894" t="inlineStr">
        <is>
          <t>email</t>
        </is>
      </c>
      <c r="F5894">
        <f>IFERROR(MATCH(A5894,Deals!$A$2:$A$843,0),"")</f>
        <v/>
      </c>
      <c r="G5894">
        <f>IF(F5894="",0,1)</f>
        <v/>
      </c>
      <c r="H5894" s="29">
        <f>IF(F5894="","",INDEX(Deals!$E$2:$E$843,F5894))</f>
        <v/>
      </c>
      <c r="I5894">
        <f>IF(F5894="","",INDEX(Deals!$D$2:$D$843,F5894))</f>
        <v/>
      </c>
      <c r="J5894">
        <f>IF(F5894="","",INT(H5894)-B5894)</f>
        <v/>
      </c>
      <c r="K5894">
        <f>IF(B5894&gt;=Settings!$C$5,1,0)</f>
        <v/>
      </c>
    </row>
    <row r="5895">
      <c r="A5895" t="inlineStr">
        <is>
          <t>9f36cd14c6a9b227707682b12bcd6264</t>
        </is>
      </c>
      <c r="B5895" s="29" t="n">
        <v>43180</v>
      </c>
      <c r="C5895" t="inlineStr">
        <is>
          <t>2018-03</t>
        </is>
      </c>
      <c r="D5895" t="inlineStr">
        <is>
          <t>b76ef37428e6799c421989521c0e5077</t>
        </is>
      </c>
      <c r="E5895" t="inlineStr">
        <is>
          <t>paid_search</t>
        </is>
      </c>
      <c r="F5895">
        <f>IFERROR(MATCH(A5895,Deals!$A$2:$A$843,0),"")</f>
        <v/>
      </c>
      <c r="G5895">
        <f>IF(F5895="",0,1)</f>
        <v/>
      </c>
      <c r="H5895" s="29">
        <f>IF(F5895="","",INDEX(Deals!$E$2:$E$843,F5895))</f>
        <v/>
      </c>
      <c r="I5895">
        <f>IF(F5895="","",INDEX(Deals!$D$2:$D$843,F5895))</f>
        <v/>
      </c>
      <c r="J5895">
        <f>IF(F5895="","",INT(H5895)-B5895)</f>
        <v/>
      </c>
      <c r="K5895">
        <f>IF(B5895&gt;=Settings!$C$5,1,0)</f>
        <v/>
      </c>
    </row>
    <row r="5896">
      <c r="A5896" t="inlineStr">
        <is>
          <t>5b2aad03528f0d771e8332451010d045</t>
        </is>
      </c>
      <c r="B5896" s="29" t="n">
        <v>43177</v>
      </c>
      <c r="C5896" t="inlineStr">
        <is>
          <t>2018-03</t>
        </is>
      </c>
      <c r="D5896" t="inlineStr">
        <is>
          <t>c35447dcd1a50b2e2ee3184be602b597</t>
        </is>
      </c>
      <c r="E5896" t="inlineStr">
        <is>
          <t>social</t>
        </is>
      </c>
      <c r="F5896">
        <f>IFERROR(MATCH(A5896,Deals!$A$2:$A$843,0),"")</f>
        <v/>
      </c>
      <c r="G5896">
        <f>IF(F5896="",0,1)</f>
        <v/>
      </c>
      <c r="H5896" s="29">
        <f>IF(F5896="","",INDEX(Deals!$E$2:$E$843,F5896))</f>
        <v/>
      </c>
      <c r="I5896">
        <f>IF(F5896="","",INDEX(Deals!$D$2:$D$843,F5896))</f>
        <v/>
      </c>
      <c r="J5896">
        <f>IF(F5896="","",INT(H5896)-B5896)</f>
        <v/>
      </c>
      <c r="K5896">
        <f>IF(B5896&gt;=Settings!$C$5,1,0)</f>
        <v/>
      </c>
    </row>
    <row r="5897">
      <c r="A5897" t="inlineStr">
        <is>
          <t>607a43bbf5ca3581896fb1edbeb6d4ed</t>
        </is>
      </c>
      <c r="B5897" s="29" t="n">
        <v>43045</v>
      </c>
      <c r="C5897" t="inlineStr">
        <is>
          <t>2017-11</t>
        </is>
      </c>
      <c r="D5897" t="inlineStr">
        <is>
          <t>88740e65d5d6b056e0cda098e1ea6313</t>
        </is>
      </c>
      <c r="E5897" t="inlineStr">
        <is>
          <t>social</t>
        </is>
      </c>
      <c r="F5897">
        <f>IFERROR(MATCH(A5897,Deals!$A$2:$A$843,0),"")</f>
        <v/>
      </c>
      <c r="G5897">
        <f>IF(F5897="",0,1)</f>
        <v/>
      </c>
      <c r="H5897" s="29">
        <f>IF(F5897="","",INDEX(Deals!$E$2:$E$843,F5897))</f>
        <v/>
      </c>
      <c r="I5897">
        <f>IF(F5897="","",INDEX(Deals!$D$2:$D$843,F5897))</f>
        <v/>
      </c>
      <c r="J5897">
        <f>IF(F5897="","",INT(H5897)-B5897)</f>
        <v/>
      </c>
      <c r="K5897">
        <f>IF(B5897&gt;=Settings!$C$5,1,0)</f>
        <v/>
      </c>
    </row>
    <row r="5898">
      <c r="A5898" t="inlineStr">
        <is>
          <t>21b4df59ea06deb09278bb2693ee08f8</t>
        </is>
      </c>
      <c r="B5898" s="29" t="n">
        <v>43229</v>
      </c>
      <c r="C5898" t="inlineStr">
        <is>
          <t>2018-05</t>
        </is>
      </c>
      <c r="D5898" t="inlineStr">
        <is>
          <t>1ceb590cd1e00c7ee95220971f82693d</t>
        </is>
      </c>
      <c r="E5898" t="inlineStr">
        <is>
          <t>paid_search</t>
        </is>
      </c>
      <c r="F5898">
        <f>IFERROR(MATCH(A5898,Deals!$A$2:$A$843,0),"")</f>
        <v/>
      </c>
      <c r="G5898">
        <f>IF(F5898="",0,1)</f>
        <v/>
      </c>
      <c r="H5898" s="29">
        <f>IF(F5898="","",INDEX(Deals!$E$2:$E$843,F5898))</f>
        <v/>
      </c>
      <c r="I5898">
        <f>IF(F5898="","",INDEX(Deals!$D$2:$D$843,F5898))</f>
        <v/>
      </c>
      <c r="J5898">
        <f>IF(F5898="","",INT(H5898)-B5898)</f>
        <v/>
      </c>
      <c r="K5898">
        <f>IF(B5898&gt;=Settings!$C$5,1,0)</f>
        <v/>
      </c>
    </row>
    <row r="5899">
      <c r="A5899" t="inlineStr">
        <is>
          <t>bde1d613c4e7839d1baac6aea8357e7d</t>
        </is>
      </c>
      <c r="B5899" s="29" t="n">
        <v>42943</v>
      </c>
      <c r="C5899" t="inlineStr">
        <is>
          <t>2017-07</t>
        </is>
      </c>
      <c r="D5899" t="inlineStr">
        <is>
          <t>65d9f9d71e562365e8b44037c2888d98</t>
        </is>
      </c>
      <c r="E5899" t="inlineStr">
        <is>
          <t>paid_search</t>
        </is>
      </c>
      <c r="F5899">
        <f>IFERROR(MATCH(A5899,Deals!$A$2:$A$843,0),"")</f>
        <v/>
      </c>
      <c r="G5899">
        <f>IF(F5899="",0,1)</f>
        <v/>
      </c>
      <c r="H5899" s="29">
        <f>IF(F5899="","",INDEX(Deals!$E$2:$E$843,F5899))</f>
        <v/>
      </c>
      <c r="I5899">
        <f>IF(F5899="","",INDEX(Deals!$D$2:$D$843,F5899))</f>
        <v/>
      </c>
      <c r="J5899">
        <f>IF(F5899="","",INT(H5899)-B5899)</f>
        <v/>
      </c>
      <c r="K5899">
        <f>IF(B5899&gt;=Settings!$C$5,1,0)</f>
        <v/>
      </c>
    </row>
    <row r="5900">
      <c r="A5900" t="inlineStr">
        <is>
          <t>967e9762cd256961572df916205f2eaf</t>
        </is>
      </c>
      <c r="B5900" s="29" t="n">
        <v>42935</v>
      </c>
      <c r="C5900" t="inlineStr">
        <is>
          <t>2017-07</t>
        </is>
      </c>
      <c r="D5900" t="inlineStr">
        <is>
          <t>5ce25abc7206b8285aa756867eb2c590</t>
        </is>
      </c>
      <c r="E5900" t="inlineStr">
        <is>
          <t>display</t>
        </is>
      </c>
      <c r="F5900">
        <f>IFERROR(MATCH(A5900,Deals!$A$2:$A$843,0),"")</f>
        <v/>
      </c>
      <c r="G5900">
        <f>IF(F5900="",0,1)</f>
        <v/>
      </c>
      <c r="H5900" s="29">
        <f>IF(F5900="","",INDEX(Deals!$E$2:$E$843,F5900))</f>
        <v/>
      </c>
      <c r="I5900">
        <f>IF(F5900="","",INDEX(Deals!$D$2:$D$843,F5900))</f>
        <v/>
      </c>
      <c r="J5900">
        <f>IF(F5900="","",INT(H5900)-B5900)</f>
        <v/>
      </c>
      <c r="K5900">
        <f>IF(B5900&gt;=Settings!$C$5,1,0)</f>
        <v/>
      </c>
    </row>
    <row r="5901">
      <c r="A5901" t="inlineStr">
        <is>
          <t>15df288a9f4e1a1ff88b0a1ae34a4cef</t>
        </is>
      </c>
      <c r="B5901" s="29" t="n">
        <v>43044</v>
      </c>
      <c r="C5901" t="inlineStr">
        <is>
          <t>2017-11</t>
        </is>
      </c>
      <c r="D5901" t="inlineStr">
        <is>
          <t>88740e65d5d6b056e0cda098e1ea6313</t>
        </is>
      </c>
      <c r="E5901" t="inlineStr">
        <is>
          <t>social</t>
        </is>
      </c>
      <c r="F5901">
        <f>IFERROR(MATCH(A5901,Deals!$A$2:$A$843,0),"")</f>
        <v/>
      </c>
      <c r="G5901">
        <f>IF(F5901="",0,1)</f>
        <v/>
      </c>
      <c r="H5901" s="29">
        <f>IF(F5901="","",INDEX(Deals!$E$2:$E$843,F5901))</f>
        <v/>
      </c>
      <c r="I5901">
        <f>IF(F5901="","",INDEX(Deals!$D$2:$D$843,F5901))</f>
        <v/>
      </c>
      <c r="J5901">
        <f>IF(F5901="","",INT(H5901)-B5901)</f>
        <v/>
      </c>
      <c r="K5901">
        <f>IF(B5901&gt;=Settings!$C$5,1,0)</f>
        <v/>
      </c>
    </row>
    <row r="5902">
      <c r="A5902" t="inlineStr">
        <is>
          <t>aed6da3484a5fcde3290e3edcc6d1982</t>
        </is>
      </c>
      <c r="B5902" s="29" t="n">
        <v>43157</v>
      </c>
      <c r="C5902" t="inlineStr">
        <is>
          <t>2018-02</t>
        </is>
      </c>
      <c r="D5902" t="inlineStr">
        <is>
          <t>0e5a178e3cd2368607f3e72f46140476</t>
        </is>
      </c>
      <c r="E5902" t="inlineStr">
        <is>
          <t>unknown</t>
        </is>
      </c>
      <c r="F5902">
        <f>IFERROR(MATCH(A5902,Deals!$A$2:$A$843,0),"")</f>
        <v/>
      </c>
      <c r="G5902">
        <f>IF(F5902="",0,1)</f>
        <v/>
      </c>
      <c r="H5902" s="29">
        <f>IF(F5902="","",INDEX(Deals!$E$2:$E$843,F5902))</f>
        <v/>
      </c>
      <c r="I5902">
        <f>IF(F5902="","",INDEX(Deals!$D$2:$D$843,F5902))</f>
        <v/>
      </c>
      <c r="J5902">
        <f>IF(F5902="","",INT(H5902)-B5902)</f>
        <v/>
      </c>
      <c r="K5902">
        <f>IF(B5902&gt;=Settings!$C$5,1,0)</f>
        <v/>
      </c>
    </row>
    <row r="5903">
      <c r="A5903" t="inlineStr">
        <is>
          <t>83a39be795af6ab6d1ee51b1a5d0a044</t>
        </is>
      </c>
      <c r="B5903" s="29" t="n">
        <v>43025</v>
      </c>
      <c r="C5903" t="inlineStr">
        <is>
          <t>2017-10</t>
        </is>
      </c>
      <c r="D5903" t="inlineStr">
        <is>
          <t>88740e65d5d6b056e0cda098e1ea6313</t>
        </is>
      </c>
      <c r="E5903" t="inlineStr">
        <is>
          <t>social</t>
        </is>
      </c>
      <c r="F5903">
        <f>IFERROR(MATCH(A5903,Deals!$A$2:$A$843,0),"")</f>
        <v/>
      </c>
      <c r="G5903">
        <f>IF(F5903="",0,1)</f>
        <v/>
      </c>
      <c r="H5903" s="29">
        <f>IF(F5903="","",INDEX(Deals!$E$2:$E$843,F5903))</f>
        <v/>
      </c>
      <c r="I5903">
        <f>IF(F5903="","",INDEX(Deals!$D$2:$D$843,F5903))</f>
        <v/>
      </c>
      <c r="J5903">
        <f>IF(F5903="","",INT(H5903)-B5903)</f>
        <v/>
      </c>
      <c r="K5903">
        <f>IF(B5903&gt;=Settings!$C$5,1,0)</f>
        <v/>
      </c>
    </row>
    <row r="5904">
      <c r="A5904" t="inlineStr">
        <is>
          <t>cc7ae92e162840095c5bfa89acbcc478</t>
        </is>
      </c>
      <c r="B5904" s="29" t="n">
        <v>43241</v>
      </c>
      <c r="C5904" t="inlineStr">
        <is>
          <t>2018-05</t>
        </is>
      </c>
      <c r="D5904" t="inlineStr">
        <is>
          <t>22c29808c4f815213303f8933030604c</t>
        </is>
      </c>
      <c r="E5904" t="inlineStr">
        <is>
          <t>paid_search</t>
        </is>
      </c>
      <c r="F5904">
        <f>IFERROR(MATCH(A5904,Deals!$A$2:$A$843,0),"")</f>
        <v/>
      </c>
      <c r="G5904">
        <f>IF(F5904="",0,1)</f>
        <v/>
      </c>
      <c r="H5904" s="29">
        <f>IF(F5904="","",INDEX(Deals!$E$2:$E$843,F5904))</f>
        <v/>
      </c>
      <c r="I5904">
        <f>IF(F5904="","",INDEX(Deals!$D$2:$D$843,F5904))</f>
        <v/>
      </c>
      <c r="J5904">
        <f>IF(F5904="","",INT(H5904)-B5904)</f>
        <v/>
      </c>
      <c r="K5904">
        <f>IF(B5904&gt;=Settings!$C$5,1,0)</f>
        <v/>
      </c>
    </row>
    <row r="5905">
      <c r="A5905" t="inlineStr">
        <is>
          <t>fea6d3c362395ffa975ea4fd8d5d8ebb</t>
        </is>
      </c>
      <c r="B5905" s="29" t="n">
        <v>43168</v>
      </c>
      <c r="C5905" t="inlineStr">
        <is>
          <t>2018-03</t>
        </is>
      </c>
      <c r="D5905" t="inlineStr">
        <is>
          <t>f017be4dbf86243af5c1ebed0cff36a2</t>
        </is>
      </c>
      <c r="E5905" t="inlineStr">
        <is>
          <t>organic_search</t>
        </is>
      </c>
      <c r="F5905">
        <f>IFERROR(MATCH(A5905,Deals!$A$2:$A$843,0),"")</f>
        <v/>
      </c>
      <c r="G5905">
        <f>IF(F5905="",0,1)</f>
        <v/>
      </c>
      <c r="H5905" s="29">
        <f>IF(F5905="","",INDEX(Deals!$E$2:$E$843,F5905))</f>
        <v/>
      </c>
      <c r="I5905">
        <f>IF(F5905="","",INDEX(Deals!$D$2:$D$843,F5905))</f>
        <v/>
      </c>
      <c r="J5905">
        <f>IF(F5905="","",INT(H5905)-B5905)</f>
        <v/>
      </c>
      <c r="K5905">
        <f>IF(B5905&gt;=Settings!$C$5,1,0)</f>
        <v/>
      </c>
    </row>
    <row r="5906">
      <c r="A5906" t="inlineStr">
        <is>
          <t>f9ed45b93dd4614775806adf05661bfe</t>
        </is>
      </c>
      <c r="B5906" s="29" t="n">
        <v>42968</v>
      </c>
      <c r="C5906" t="inlineStr">
        <is>
          <t>2017-08</t>
        </is>
      </c>
      <c r="D5906" t="inlineStr">
        <is>
          <t>e492ee5eaf1697716985cc6f33f9cd9b</t>
        </is>
      </c>
      <c r="E5906" t="inlineStr">
        <is>
          <t>paid_search</t>
        </is>
      </c>
      <c r="F5906">
        <f>IFERROR(MATCH(A5906,Deals!$A$2:$A$843,0),"")</f>
        <v/>
      </c>
      <c r="G5906">
        <f>IF(F5906="",0,1)</f>
        <v/>
      </c>
      <c r="H5906" s="29">
        <f>IF(F5906="","",INDEX(Deals!$E$2:$E$843,F5906))</f>
        <v/>
      </c>
      <c r="I5906">
        <f>IF(F5906="","",INDEX(Deals!$D$2:$D$843,F5906))</f>
        <v/>
      </c>
      <c r="J5906">
        <f>IF(F5906="","",INT(H5906)-B5906)</f>
        <v/>
      </c>
      <c r="K5906">
        <f>IF(B5906&gt;=Settings!$C$5,1,0)</f>
        <v/>
      </c>
    </row>
    <row r="5907">
      <c r="A5907" t="inlineStr">
        <is>
          <t>01cc35f5215d76108f9789902a8881dc</t>
        </is>
      </c>
      <c r="B5907" s="29" t="n">
        <v>43178</v>
      </c>
      <c r="C5907" t="inlineStr">
        <is>
          <t>2018-03</t>
        </is>
      </c>
      <c r="D5907" t="inlineStr">
        <is>
          <t>f98c2bd96ac4a5d9476734e790c91384</t>
        </is>
      </c>
      <c r="E5907" t="inlineStr">
        <is>
          <t>organic_search</t>
        </is>
      </c>
      <c r="F5907">
        <f>IFERROR(MATCH(A5907,Deals!$A$2:$A$843,0),"")</f>
        <v/>
      </c>
      <c r="G5907">
        <f>IF(F5907="",0,1)</f>
        <v/>
      </c>
      <c r="H5907" s="29">
        <f>IF(F5907="","",INDEX(Deals!$E$2:$E$843,F5907))</f>
        <v/>
      </c>
      <c r="I5907">
        <f>IF(F5907="","",INDEX(Deals!$D$2:$D$843,F5907))</f>
        <v/>
      </c>
      <c r="J5907">
        <f>IF(F5907="","",INT(H5907)-B5907)</f>
        <v/>
      </c>
      <c r="K5907">
        <f>IF(B5907&gt;=Settings!$C$5,1,0)</f>
        <v/>
      </c>
    </row>
    <row r="5908">
      <c r="A5908" t="inlineStr">
        <is>
          <t>8c711b2a61cccea42c643ce986dc203a</t>
        </is>
      </c>
      <c r="B5908" s="29" t="n">
        <v>42969</v>
      </c>
      <c r="C5908" t="inlineStr">
        <is>
          <t>2017-08</t>
        </is>
      </c>
      <c r="D5908" t="inlineStr">
        <is>
          <t>0f25be78376bbbaba8553051e980b83c</t>
        </is>
      </c>
      <c r="E5908" t="inlineStr">
        <is>
          <t>organic_search</t>
        </is>
      </c>
      <c r="F5908">
        <f>IFERROR(MATCH(A5908,Deals!$A$2:$A$843,0),"")</f>
        <v/>
      </c>
      <c r="G5908">
        <f>IF(F5908="",0,1)</f>
        <v/>
      </c>
      <c r="H5908" s="29">
        <f>IF(F5908="","",INDEX(Deals!$E$2:$E$843,F5908))</f>
        <v/>
      </c>
      <c r="I5908">
        <f>IF(F5908="","",INDEX(Deals!$D$2:$D$843,F5908))</f>
        <v/>
      </c>
      <c r="J5908">
        <f>IF(F5908="","",INT(H5908)-B5908)</f>
        <v/>
      </c>
      <c r="K5908">
        <f>IF(B5908&gt;=Settings!$C$5,1,0)</f>
        <v/>
      </c>
    </row>
    <row r="5909">
      <c r="A5909" t="inlineStr">
        <is>
          <t>4ce2dc45f5dcc0b44e0162f8dc4ea237</t>
        </is>
      </c>
      <c r="B5909" s="29" t="n">
        <v>42929</v>
      </c>
      <c r="C5909" t="inlineStr">
        <is>
          <t>2017-07</t>
        </is>
      </c>
      <c r="D5909" t="inlineStr">
        <is>
          <t>22c29808c4f815213303f8933030604c</t>
        </is>
      </c>
      <c r="E5909" t="inlineStr">
        <is>
          <t>referral</t>
        </is>
      </c>
      <c r="F5909">
        <f>IFERROR(MATCH(A5909,Deals!$A$2:$A$843,0),"")</f>
        <v/>
      </c>
      <c r="G5909">
        <f>IF(F5909="",0,1)</f>
        <v/>
      </c>
      <c r="H5909" s="29">
        <f>IF(F5909="","",INDEX(Deals!$E$2:$E$843,F5909))</f>
        <v/>
      </c>
      <c r="I5909">
        <f>IF(F5909="","",INDEX(Deals!$D$2:$D$843,F5909))</f>
        <v/>
      </c>
      <c r="J5909">
        <f>IF(F5909="","",INT(H5909)-B5909)</f>
        <v/>
      </c>
      <c r="K5909">
        <f>IF(B5909&gt;=Settings!$C$5,1,0)</f>
        <v/>
      </c>
    </row>
    <row r="5910">
      <c r="A5910" t="inlineStr">
        <is>
          <t>e3aa5b42d2e5f63dc5161eedf573c215</t>
        </is>
      </c>
      <c r="B5910" s="29" t="n">
        <v>43180</v>
      </c>
      <c r="C5910" t="inlineStr">
        <is>
          <t>2018-03</t>
        </is>
      </c>
      <c r="D5910" t="inlineStr">
        <is>
          <t>ce1a65abd0973638f1c887a6efcfa82d</t>
        </is>
      </c>
      <c r="E5910" t="inlineStr">
        <is>
          <t>organic_search</t>
        </is>
      </c>
      <c r="F5910">
        <f>IFERROR(MATCH(A5910,Deals!$A$2:$A$843,0),"")</f>
        <v/>
      </c>
      <c r="G5910">
        <f>IF(F5910="",0,1)</f>
        <v/>
      </c>
      <c r="H5910" s="29">
        <f>IF(F5910="","",INDEX(Deals!$E$2:$E$843,F5910))</f>
        <v/>
      </c>
      <c r="I5910">
        <f>IF(F5910="","",INDEX(Deals!$D$2:$D$843,F5910))</f>
        <v/>
      </c>
      <c r="J5910">
        <f>IF(F5910="","",INT(H5910)-B5910)</f>
        <v/>
      </c>
      <c r="K5910">
        <f>IF(B5910&gt;=Settings!$C$5,1,0)</f>
        <v/>
      </c>
    </row>
    <row r="5911">
      <c r="A5911" t="inlineStr">
        <is>
          <t>3a4c4d5825421adc3762e08d2f567123</t>
        </is>
      </c>
      <c r="B5911" s="29" t="n">
        <v>43090</v>
      </c>
      <c r="C5911" t="inlineStr">
        <is>
          <t>2017-12</t>
        </is>
      </c>
      <c r="D5911" t="inlineStr">
        <is>
          <t>b76ef37428e6799c421989521c0e5077</t>
        </is>
      </c>
      <c r="E5911" t="inlineStr">
        <is>
          <t>unknown</t>
        </is>
      </c>
      <c r="F5911">
        <f>IFERROR(MATCH(A5911,Deals!$A$2:$A$843,0),"")</f>
        <v/>
      </c>
      <c r="G5911">
        <f>IF(F5911="",0,1)</f>
        <v/>
      </c>
      <c r="H5911" s="29">
        <f>IF(F5911="","",INDEX(Deals!$E$2:$E$843,F5911))</f>
        <v/>
      </c>
      <c r="I5911">
        <f>IF(F5911="","",INDEX(Deals!$D$2:$D$843,F5911))</f>
        <v/>
      </c>
      <c r="J5911">
        <f>IF(F5911="","",INT(H5911)-B5911)</f>
        <v/>
      </c>
      <c r="K5911">
        <f>IF(B5911&gt;=Settings!$C$5,1,0)</f>
        <v/>
      </c>
    </row>
    <row r="5912">
      <c r="A5912" t="inlineStr">
        <is>
          <t>6fec8c1ba9b9aa79bd26e09fc8aae3eb</t>
        </is>
      </c>
      <c r="B5912" s="29" t="n">
        <v>43148</v>
      </c>
      <c r="C5912" t="inlineStr">
        <is>
          <t>2018-02</t>
        </is>
      </c>
      <c r="D5912" t="inlineStr">
        <is>
          <t>f017be4dbf86243af5c1ebed0cff36a2</t>
        </is>
      </c>
      <c r="E5912" t="inlineStr">
        <is>
          <t>organic_search</t>
        </is>
      </c>
      <c r="F5912">
        <f>IFERROR(MATCH(A5912,Deals!$A$2:$A$843,0),"")</f>
        <v/>
      </c>
      <c r="G5912">
        <f>IF(F5912="",0,1)</f>
        <v/>
      </c>
      <c r="H5912" s="29">
        <f>IF(F5912="","",INDEX(Deals!$E$2:$E$843,F5912))</f>
        <v/>
      </c>
      <c r="I5912">
        <f>IF(F5912="","",INDEX(Deals!$D$2:$D$843,F5912))</f>
        <v/>
      </c>
      <c r="J5912">
        <f>IF(F5912="","",INT(H5912)-B5912)</f>
        <v/>
      </c>
      <c r="K5912">
        <f>IF(B5912&gt;=Settings!$C$5,1,0)</f>
        <v/>
      </c>
    </row>
    <row r="5913">
      <c r="A5913" t="inlineStr">
        <is>
          <t>91bddefc9ad9dbaf5dda35f00081a00a</t>
        </is>
      </c>
      <c r="B5913" s="29" t="n">
        <v>43235</v>
      </c>
      <c r="C5913" t="inlineStr">
        <is>
          <t>2018-05</t>
        </is>
      </c>
      <c r="D5913" t="inlineStr">
        <is>
          <t>6a110e795dd487f1cf8d7583671987af</t>
        </is>
      </c>
      <c r="E5913" t="inlineStr">
        <is>
          <t>email</t>
        </is>
      </c>
      <c r="F5913">
        <f>IFERROR(MATCH(A5913,Deals!$A$2:$A$843,0),"")</f>
        <v/>
      </c>
      <c r="G5913">
        <f>IF(F5913="",0,1)</f>
        <v/>
      </c>
      <c r="H5913" s="29">
        <f>IF(F5913="","",INDEX(Deals!$E$2:$E$843,F5913))</f>
        <v/>
      </c>
      <c r="I5913">
        <f>IF(F5913="","",INDEX(Deals!$D$2:$D$843,F5913))</f>
        <v/>
      </c>
      <c r="J5913">
        <f>IF(F5913="","",INT(H5913)-B5913)</f>
        <v/>
      </c>
      <c r="K5913">
        <f>IF(B5913&gt;=Settings!$C$5,1,0)</f>
        <v/>
      </c>
    </row>
    <row r="5914">
      <c r="A5914" t="inlineStr">
        <is>
          <t>fe21067b5bd2406e6a8f449af946d61b</t>
        </is>
      </c>
      <c r="B5914" s="29" t="n">
        <v>43024</v>
      </c>
      <c r="C5914" t="inlineStr">
        <is>
          <t>2017-10</t>
        </is>
      </c>
      <c r="D5914" t="inlineStr">
        <is>
          <t>b76ef37428e6799c421989521c0e5077</t>
        </is>
      </c>
      <c r="E5914" t="inlineStr">
        <is>
          <t>unknown</t>
        </is>
      </c>
      <c r="F5914">
        <f>IFERROR(MATCH(A5914,Deals!$A$2:$A$843,0),"")</f>
        <v/>
      </c>
      <c r="G5914">
        <f>IF(F5914="",0,1)</f>
        <v/>
      </c>
      <c r="H5914" s="29">
        <f>IF(F5914="","",INDEX(Deals!$E$2:$E$843,F5914))</f>
        <v/>
      </c>
      <c r="I5914">
        <f>IF(F5914="","",INDEX(Deals!$D$2:$D$843,F5914))</f>
        <v/>
      </c>
      <c r="J5914">
        <f>IF(F5914="","",INT(H5914)-B5914)</f>
        <v/>
      </c>
      <c r="K5914">
        <f>IF(B5914&gt;=Settings!$C$5,1,0)</f>
        <v/>
      </c>
    </row>
    <row r="5915">
      <c r="A5915" t="inlineStr">
        <is>
          <t>933b9909d5c4fcc2eb0ef8b2d9d7c02d</t>
        </is>
      </c>
      <c r="B5915" s="29" t="n">
        <v>43216</v>
      </c>
      <c r="C5915" t="inlineStr">
        <is>
          <t>2018-04</t>
        </is>
      </c>
      <c r="D5915" t="inlineStr">
        <is>
          <t>ce1a65abd0973638f1c887a6efcfa82d</t>
        </is>
      </c>
      <c r="E5915" t="inlineStr">
        <is>
          <t>paid_search</t>
        </is>
      </c>
      <c r="F5915">
        <f>IFERROR(MATCH(A5915,Deals!$A$2:$A$843,0),"")</f>
        <v/>
      </c>
      <c r="G5915">
        <f>IF(F5915="",0,1)</f>
        <v/>
      </c>
      <c r="H5915" s="29">
        <f>IF(F5915="","",INDEX(Deals!$E$2:$E$843,F5915))</f>
        <v/>
      </c>
      <c r="I5915">
        <f>IF(F5915="","",INDEX(Deals!$D$2:$D$843,F5915))</f>
        <v/>
      </c>
      <c r="J5915">
        <f>IF(F5915="","",INT(H5915)-B5915)</f>
        <v/>
      </c>
      <c r="K5915">
        <f>IF(B5915&gt;=Settings!$C$5,1,0)</f>
        <v/>
      </c>
    </row>
    <row r="5916">
      <c r="A5916" t="inlineStr">
        <is>
          <t>b5367f285ec02ef1763510f07a44427d</t>
        </is>
      </c>
      <c r="B5916" s="29" t="n">
        <v>43037</v>
      </c>
      <c r="C5916" t="inlineStr">
        <is>
          <t>2017-10</t>
        </is>
      </c>
      <c r="D5916" t="inlineStr">
        <is>
          <t>f017be4dbf86243af5c1ebed0cff36a2</t>
        </is>
      </c>
      <c r="E5916" t="inlineStr">
        <is>
          <t>paid_search</t>
        </is>
      </c>
      <c r="F5916">
        <f>IFERROR(MATCH(A5916,Deals!$A$2:$A$843,0),"")</f>
        <v/>
      </c>
      <c r="G5916">
        <f>IF(F5916="",0,1)</f>
        <v/>
      </c>
      <c r="H5916" s="29">
        <f>IF(F5916="","",INDEX(Deals!$E$2:$E$843,F5916))</f>
        <v/>
      </c>
      <c r="I5916">
        <f>IF(F5916="","",INDEX(Deals!$D$2:$D$843,F5916))</f>
        <v/>
      </c>
      <c r="J5916">
        <f>IF(F5916="","",INT(H5916)-B5916)</f>
        <v/>
      </c>
      <c r="K5916">
        <f>IF(B5916&gt;=Settings!$C$5,1,0)</f>
        <v/>
      </c>
    </row>
    <row r="5917">
      <c r="A5917" t="inlineStr">
        <is>
          <t>6840b145d767fd6d53ef6a0595784bdd</t>
        </is>
      </c>
      <c r="B5917" s="29" t="n">
        <v>43204</v>
      </c>
      <c r="C5917" t="inlineStr">
        <is>
          <t>2018-04</t>
        </is>
      </c>
      <c r="D5917" t="inlineStr">
        <is>
          <t>ce1a65abd0973638f1c887a6efcfa82d</t>
        </is>
      </c>
      <c r="E5917" t="inlineStr">
        <is>
          <t>social</t>
        </is>
      </c>
      <c r="F5917">
        <f>IFERROR(MATCH(A5917,Deals!$A$2:$A$843,0),"")</f>
        <v/>
      </c>
      <c r="G5917">
        <f>IF(F5917="",0,1)</f>
        <v/>
      </c>
      <c r="H5917" s="29">
        <f>IF(F5917="","",INDEX(Deals!$E$2:$E$843,F5917))</f>
        <v/>
      </c>
      <c r="I5917">
        <f>IF(F5917="","",INDEX(Deals!$D$2:$D$843,F5917))</f>
        <v/>
      </c>
      <c r="J5917">
        <f>IF(F5917="","",INT(H5917)-B5917)</f>
        <v/>
      </c>
      <c r="K5917">
        <f>IF(B5917&gt;=Settings!$C$5,1,0)</f>
        <v/>
      </c>
    </row>
    <row r="5918">
      <c r="A5918" t="inlineStr">
        <is>
          <t>306b4e2ef164453da7db7abf44ad0b16</t>
        </is>
      </c>
      <c r="B5918" s="29" t="n">
        <v>43235</v>
      </c>
      <c r="C5918" t="inlineStr">
        <is>
          <t>2018-05</t>
        </is>
      </c>
      <c r="D5918" t="inlineStr">
        <is>
          <t>330b9d44078a1ae5a221d655dcb77afa</t>
        </is>
      </c>
      <c r="E5918" t="inlineStr">
        <is>
          <t>other</t>
        </is>
      </c>
      <c r="F5918">
        <f>IFERROR(MATCH(A5918,Deals!$A$2:$A$843,0),"")</f>
        <v/>
      </c>
      <c r="G5918">
        <f>IF(F5918="",0,1)</f>
        <v/>
      </c>
      <c r="H5918" s="29">
        <f>IF(F5918="","",INDEX(Deals!$E$2:$E$843,F5918))</f>
        <v/>
      </c>
      <c r="I5918">
        <f>IF(F5918="","",INDEX(Deals!$D$2:$D$843,F5918))</f>
        <v/>
      </c>
      <c r="J5918">
        <f>IF(F5918="","",INT(H5918)-B5918)</f>
        <v/>
      </c>
      <c r="K5918">
        <f>IF(B5918&gt;=Settings!$C$5,1,0)</f>
        <v/>
      </c>
    </row>
    <row r="5919">
      <c r="A5919" t="inlineStr">
        <is>
          <t>877e78cf1d978ce22dbddfc3d34810a4</t>
        </is>
      </c>
      <c r="B5919" s="29" t="n">
        <v>43173</v>
      </c>
      <c r="C5919" t="inlineStr">
        <is>
          <t>2018-03</t>
        </is>
      </c>
      <c r="D5919" t="inlineStr">
        <is>
          <t>73f31a40697cc90a86c1273563ac230e</t>
        </is>
      </c>
      <c r="E5919" t="inlineStr">
        <is>
          <t>other</t>
        </is>
      </c>
      <c r="F5919">
        <f>IFERROR(MATCH(A5919,Deals!$A$2:$A$843,0),"")</f>
        <v/>
      </c>
      <c r="G5919">
        <f>IF(F5919="",0,1)</f>
        <v/>
      </c>
      <c r="H5919" s="29">
        <f>IF(F5919="","",INDEX(Deals!$E$2:$E$843,F5919))</f>
        <v/>
      </c>
      <c r="I5919">
        <f>IF(F5919="","",INDEX(Deals!$D$2:$D$843,F5919))</f>
        <v/>
      </c>
      <c r="J5919">
        <f>IF(F5919="","",INT(H5919)-B5919)</f>
        <v/>
      </c>
      <c r="K5919">
        <f>IF(B5919&gt;=Settings!$C$5,1,0)</f>
        <v/>
      </c>
    </row>
    <row r="5920">
      <c r="A5920" t="inlineStr">
        <is>
          <t>60d179bc263ce0fe8e342c2ea1e67fe6</t>
        </is>
      </c>
      <c r="B5920" s="29" t="n">
        <v>43131</v>
      </c>
      <c r="C5920" t="inlineStr">
        <is>
          <t>2018-01</t>
        </is>
      </c>
      <c r="D5920" t="inlineStr">
        <is>
          <t>b76ef37428e6799c421989521c0e5077</t>
        </is>
      </c>
      <c r="E5920" t="inlineStr">
        <is>
          <t>organic_search</t>
        </is>
      </c>
      <c r="F5920">
        <f>IFERROR(MATCH(A5920,Deals!$A$2:$A$843,0),"")</f>
        <v/>
      </c>
      <c r="G5920">
        <f>IF(F5920="",0,1)</f>
        <v/>
      </c>
      <c r="H5920" s="29">
        <f>IF(F5920="","",INDEX(Deals!$E$2:$E$843,F5920))</f>
        <v/>
      </c>
      <c r="I5920">
        <f>IF(F5920="","",INDEX(Deals!$D$2:$D$843,F5920))</f>
        <v/>
      </c>
      <c r="J5920">
        <f>IF(F5920="","",INT(H5920)-B5920)</f>
        <v/>
      </c>
      <c r="K5920">
        <f>IF(B5920&gt;=Settings!$C$5,1,0)</f>
        <v/>
      </c>
    </row>
    <row r="5921">
      <c r="A5921" t="inlineStr">
        <is>
          <t>64b3034d706029dcb6d09e117e6656e9</t>
        </is>
      </c>
      <c r="B5921" s="29" t="n">
        <v>43067</v>
      </c>
      <c r="C5921" t="inlineStr">
        <is>
          <t>2017-11</t>
        </is>
      </c>
      <c r="D5921" t="inlineStr">
        <is>
          <t>b76ef37428e6799c421989521c0e5077</t>
        </is>
      </c>
      <c r="E5921" t="inlineStr">
        <is>
          <t>unknown</t>
        </is>
      </c>
      <c r="F5921">
        <f>IFERROR(MATCH(A5921,Deals!$A$2:$A$843,0),"")</f>
        <v/>
      </c>
      <c r="G5921">
        <f>IF(F5921="",0,1)</f>
        <v/>
      </c>
      <c r="H5921" s="29">
        <f>IF(F5921="","",INDEX(Deals!$E$2:$E$843,F5921))</f>
        <v/>
      </c>
      <c r="I5921">
        <f>IF(F5921="","",INDEX(Deals!$D$2:$D$843,F5921))</f>
        <v/>
      </c>
      <c r="J5921">
        <f>IF(F5921="","",INT(H5921)-B5921)</f>
        <v/>
      </c>
      <c r="K5921">
        <f>IF(B5921&gt;=Settings!$C$5,1,0)</f>
        <v/>
      </c>
    </row>
    <row r="5922">
      <c r="A5922" t="inlineStr">
        <is>
          <t>62e6ef4289415fbd34d46391682f84a7</t>
        </is>
      </c>
      <c r="B5922" s="29" t="n">
        <v>43244</v>
      </c>
      <c r="C5922" t="inlineStr">
        <is>
          <t>2018-05</t>
        </is>
      </c>
      <c r="D5922" t="inlineStr">
        <is>
          <t>ef8fd2bd651e9bede81dfb6e45480793</t>
        </is>
      </c>
      <c r="E5922" t="inlineStr">
        <is>
          <t>email</t>
        </is>
      </c>
      <c r="F5922">
        <f>IFERROR(MATCH(A5922,Deals!$A$2:$A$843,0),"")</f>
        <v/>
      </c>
      <c r="G5922">
        <f>IF(F5922="",0,1)</f>
        <v/>
      </c>
      <c r="H5922" s="29">
        <f>IF(F5922="","",INDEX(Deals!$E$2:$E$843,F5922))</f>
        <v/>
      </c>
      <c r="I5922">
        <f>IF(F5922="","",INDEX(Deals!$D$2:$D$843,F5922))</f>
        <v/>
      </c>
      <c r="J5922">
        <f>IF(F5922="","",INT(H5922)-B5922)</f>
        <v/>
      </c>
      <c r="K5922">
        <f>IF(B5922&gt;=Settings!$C$5,1,0)</f>
        <v/>
      </c>
    </row>
    <row r="5923">
      <c r="A5923" t="inlineStr">
        <is>
          <t>f20ad2475827b60cbfd9efe5e98d78ae</t>
        </is>
      </c>
      <c r="B5923" s="29" t="n">
        <v>43125</v>
      </c>
      <c r="C5923" t="inlineStr">
        <is>
          <t>2018-01</t>
        </is>
      </c>
      <c r="D5923" t="inlineStr">
        <is>
          <t>88740e65d5d6b056e0cda098e1ea6313</t>
        </is>
      </c>
      <c r="E5923" t="inlineStr">
        <is>
          <t>social</t>
        </is>
      </c>
      <c r="F5923">
        <f>IFERROR(MATCH(A5923,Deals!$A$2:$A$843,0),"")</f>
        <v/>
      </c>
      <c r="G5923">
        <f>IF(F5923="",0,1)</f>
        <v/>
      </c>
      <c r="H5923" s="29">
        <f>IF(F5923="","",INDEX(Deals!$E$2:$E$843,F5923))</f>
        <v/>
      </c>
      <c r="I5923">
        <f>IF(F5923="","",INDEX(Deals!$D$2:$D$843,F5923))</f>
        <v/>
      </c>
      <c r="J5923">
        <f>IF(F5923="","",INT(H5923)-B5923)</f>
        <v/>
      </c>
      <c r="K5923">
        <f>IF(B5923&gt;=Settings!$C$5,1,0)</f>
        <v/>
      </c>
    </row>
    <row r="5924">
      <c r="A5924" t="inlineStr">
        <is>
          <t>97e69b76f0956017e04ad3c9d74ce5e3</t>
        </is>
      </c>
      <c r="B5924" s="29" t="n">
        <v>43168</v>
      </c>
      <c r="C5924" t="inlineStr">
        <is>
          <t>2018-03</t>
        </is>
      </c>
      <c r="D5924" t="inlineStr">
        <is>
          <t>88740e65d5d6b056e0cda098e1ea6313</t>
        </is>
      </c>
      <c r="E5924" t="inlineStr">
        <is>
          <t>social</t>
        </is>
      </c>
      <c r="F5924">
        <f>IFERROR(MATCH(A5924,Deals!$A$2:$A$843,0),"")</f>
        <v/>
      </c>
      <c r="G5924">
        <f>IF(F5924="",0,1)</f>
        <v/>
      </c>
      <c r="H5924" s="29">
        <f>IF(F5924="","",INDEX(Deals!$E$2:$E$843,F5924))</f>
        <v/>
      </c>
      <c r="I5924">
        <f>IF(F5924="","",INDEX(Deals!$D$2:$D$843,F5924))</f>
        <v/>
      </c>
      <c r="J5924">
        <f>IF(F5924="","",INT(H5924)-B5924)</f>
        <v/>
      </c>
      <c r="K5924">
        <f>IF(B5924&gt;=Settings!$C$5,1,0)</f>
        <v/>
      </c>
    </row>
    <row r="5925">
      <c r="A5925" t="inlineStr">
        <is>
          <t>e0342f1c96b82b40663e25b388d3e1d9</t>
        </is>
      </c>
      <c r="B5925" s="29" t="n">
        <v>43145</v>
      </c>
      <c r="C5925" t="inlineStr">
        <is>
          <t>2018-02</t>
        </is>
      </c>
      <c r="D5925" t="inlineStr">
        <is>
          <t>7b8106a8b4d2982573b70980cbb01e9d</t>
        </is>
      </c>
      <c r="E5925" t="inlineStr">
        <is>
          <t>organic_search</t>
        </is>
      </c>
      <c r="F5925">
        <f>IFERROR(MATCH(A5925,Deals!$A$2:$A$843,0),"")</f>
        <v/>
      </c>
      <c r="G5925">
        <f>IF(F5925="",0,1)</f>
        <v/>
      </c>
      <c r="H5925" s="29">
        <f>IF(F5925="","",INDEX(Deals!$E$2:$E$843,F5925))</f>
        <v/>
      </c>
      <c r="I5925">
        <f>IF(F5925="","",INDEX(Deals!$D$2:$D$843,F5925))</f>
        <v/>
      </c>
      <c r="J5925">
        <f>IF(F5925="","",INT(H5925)-B5925)</f>
        <v/>
      </c>
      <c r="K5925">
        <f>IF(B5925&gt;=Settings!$C$5,1,0)</f>
        <v/>
      </c>
    </row>
    <row r="5926">
      <c r="A5926" t="inlineStr">
        <is>
          <t>2ace49d4e72215e330d67d5f45db12e5</t>
        </is>
      </c>
      <c r="B5926" s="29" t="n">
        <v>43223</v>
      </c>
      <c r="C5926" t="inlineStr">
        <is>
          <t>2018-05</t>
        </is>
      </c>
      <c r="D5926" t="inlineStr">
        <is>
          <t>5c517d06e51b50ae51785450e0b806d5</t>
        </is>
      </c>
      <c r="E5926" t="inlineStr">
        <is>
          <t>direct_traffic</t>
        </is>
      </c>
      <c r="F5926">
        <f>IFERROR(MATCH(A5926,Deals!$A$2:$A$843,0),"")</f>
        <v/>
      </c>
      <c r="G5926">
        <f>IF(F5926="",0,1)</f>
        <v/>
      </c>
      <c r="H5926" s="29">
        <f>IF(F5926="","",INDEX(Deals!$E$2:$E$843,F5926))</f>
        <v/>
      </c>
      <c r="I5926">
        <f>IF(F5926="","",INDEX(Deals!$D$2:$D$843,F5926))</f>
        <v/>
      </c>
      <c r="J5926">
        <f>IF(F5926="","",INT(H5926)-B5926)</f>
        <v/>
      </c>
      <c r="K5926">
        <f>IF(B5926&gt;=Settings!$C$5,1,0)</f>
        <v/>
      </c>
    </row>
    <row r="5927">
      <c r="A5927" t="inlineStr">
        <is>
          <t>13816ba0dd3a36209cbc3cfef265dc7c</t>
        </is>
      </c>
      <c r="B5927" s="29" t="n">
        <v>43206</v>
      </c>
      <c r="C5927" t="inlineStr">
        <is>
          <t>2018-04</t>
        </is>
      </c>
      <c r="D5927" t="inlineStr">
        <is>
          <t>e492ee5eaf1697716985cc6f33f9cd9b</t>
        </is>
      </c>
      <c r="E5927" t="inlineStr">
        <is>
          <t>organic_search</t>
        </is>
      </c>
      <c r="F5927">
        <f>IFERROR(MATCH(A5927,Deals!$A$2:$A$843,0),"")</f>
        <v/>
      </c>
      <c r="G5927">
        <f>IF(F5927="",0,1)</f>
        <v/>
      </c>
      <c r="H5927" s="29">
        <f>IF(F5927="","",INDEX(Deals!$E$2:$E$843,F5927))</f>
        <v/>
      </c>
      <c r="I5927">
        <f>IF(F5927="","",INDEX(Deals!$D$2:$D$843,F5927))</f>
        <v/>
      </c>
      <c r="J5927">
        <f>IF(F5927="","",INT(H5927)-B5927)</f>
        <v/>
      </c>
      <c r="K5927">
        <f>IF(B5927&gt;=Settings!$C$5,1,0)</f>
        <v/>
      </c>
    </row>
    <row r="5928">
      <c r="A5928" t="inlineStr">
        <is>
          <t>e07eba70c6ddb8256e6fb638570f0c80</t>
        </is>
      </c>
      <c r="B5928" s="29" t="n">
        <v>43219</v>
      </c>
      <c r="C5928" t="inlineStr">
        <is>
          <t>2018-04</t>
        </is>
      </c>
      <c r="D5928" t="inlineStr">
        <is>
          <t>a7982125ff7aa3b2054c6e44f9d28522</t>
        </is>
      </c>
      <c r="E5928" t="inlineStr">
        <is>
          <t>email</t>
        </is>
      </c>
      <c r="F5928">
        <f>IFERROR(MATCH(A5928,Deals!$A$2:$A$843,0),"")</f>
        <v/>
      </c>
      <c r="G5928">
        <f>IF(F5928="",0,1)</f>
        <v/>
      </c>
      <c r="H5928" s="29">
        <f>IF(F5928="","",INDEX(Deals!$E$2:$E$843,F5928))</f>
        <v/>
      </c>
      <c r="I5928">
        <f>IF(F5928="","",INDEX(Deals!$D$2:$D$843,F5928))</f>
        <v/>
      </c>
      <c r="J5928">
        <f>IF(F5928="","",INT(H5928)-B5928)</f>
        <v/>
      </c>
      <c r="K5928">
        <f>IF(B5928&gt;=Settings!$C$5,1,0)</f>
        <v/>
      </c>
    </row>
    <row r="5929">
      <c r="A5929" t="inlineStr">
        <is>
          <t>f24d3891deca9c62c05caeb4918a772c</t>
        </is>
      </c>
      <c r="B5929" s="29" t="n">
        <v>43130</v>
      </c>
      <c r="C5929" t="inlineStr">
        <is>
          <t>2018-01</t>
        </is>
      </c>
      <c r="D5929" t="inlineStr">
        <is>
          <t>15cf89bab2c3163b4f9d8601d108f8b2</t>
        </is>
      </c>
      <c r="E5929" t="inlineStr">
        <is>
          <t>direct_traffic</t>
        </is>
      </c>
      <c r="F5929">
        <f>IFERROR(MATCH(A5929,Deals!$A$2:$A$843,0),"")</f>
        <v/>
      </c>
      <c r="G5929">
        <f>IF(F5929="",0,1)</f>
        <v/>
      </c>
      <c r="H5929" s="29">
        <f>IF(F5929="","",INDEX(Deals!$E$2:$E$843,F5929))</f>
        <v/>
      </c>
      <c r="I5929">
        <f>IF(F5929="","",INDEX(Deals!$D$2:$D$843,F5929))</f>
        <v/>
      </c>
      <c r="J5929">
        <f>IF(F5929="","",INT(H5929)-B5929)</f>
        <v/>
      </c>
      <c r="K5929">
        <f>IF(B5929&gt;=Settings!$C$5,1,0)</f>
        <v/>
      </c>
    </row>
    <row r="5930">
      <c r="A5930" t="inlineStr">
        <is>
          <t>dcba1d5501221f3f36e1c123974f7ca7</t>
        </is>
      </c>
      <c r="B5930" s="29" t="n">
        <v>43005</v>
      </c>
      <c r="C5930" t="inlineStr">
        <is>
          <t>2017-09</t>
        </is>
      </c>
      <c r="D5930" t="inlineStr">
        <is>
          <t>dd6f55db3947b0aeaadb65a610334799</t>
        </is>
      </c>
      <c r="E5930" t="inlineStr">
        <is>
          <t>direct_traffic</t>
        </is>
      </c>
      <c r="F5930">
        <f>IFERROR(MATCH(A5930,Deals!$A$2:$A$843,0),"")</f>
        <v/>
      </c>
      <c r="G5930">
        <f>IF(F5930="",0,1)</f>
        <v/>
      </c>
      <c r="H5930" s="29">
        <f>IF(F5930="","",INDEX(Deals!$E$2:$E$843,F5930))</f>
        <v/>
      </c>
      <c r="I5930">
        <f>IF(F5930="","",INDEX(Deals!$D$2:$D$843,F5930))</f>
        <v/>
      </c>
      <c r="J5930">
        <f>IF(F5930="","",INT(H5930)-B5930)</f>
        <v/>
      </c>
      <c r="K5930">
        <f>IF(B5930&gt;=Settings!$C$5,1,0)</f>
        <v/>
      </c>
    </row>
    <row r="5931">
      <c r="A5931" t="inlineStr">
        <is>
          <t>bc9d42fcee61388f6d4634deb12d5b48</t>
        </is>
      </c>
      <c r="B5931" s="29" t="n">
        <v>42941</v>
      </c>
      <c r="C5931" t="inlineStr">
        <is>
          <t>2017-07</t>
        </is>
      </c>
      <c r="D5931" t="inlineStr">
        <is>
          <t>186132bda8b5f41c7dc834d063745d19</t>
        </is>
      </c>
      <c r="E5931" t="inlineStr">
        <is>
          <t>paid_search</t>
        </is>
      </c>
      <c r="F5931">
        <f>IFERROR(MATCH(A5931,Deals!$A$2:$A$843,0),"")</f>
        <v/>
      </c>
      <c r="G5931">
        <f>IF(F5931="",0,1)</f>
        <v/>
      </c>
      <c r="H5931" s="29">
        <f>IF(F5931="","",INDEX(Deals!$E$2:$E$843,F5931))</f>
        <v/>
      </c>
      <c r="I5931">
        <f>IF(F5931="","",INDEX(Deals!$D$2:$D$843,F5931))</f>
        <v/>
      </c>
      <c r="J5931">
        <f>IF(F5931="","",INT(H5931)-B5931)</f>
        <v/>
      </c>
      <c r="K5931">
        <f>IF(B5931&gt;=Settings!$C$5,1,0)</f>
        <v/>
      </c>
    </row>
    <row r="5932">
      <c r="A5932" t="inlineStr">
        <is>
          <t>1a54ed0d8ca0bdb0cf54794977feb05a</t>
        </is>
      </c>
      <c r="B5932" s="29" t="n">
        <v>43248</v>
      </c>
      <c r="C5932" t="inlineStr">
        <is>
          <t>2018-05</t>
        </is>
      </c>
      <c r="D5932" t="inlineStr">
        <is>
          <t>73fec6021437e723ff5adae8dff89e23</t>
        </is>
      </c>
      <c r="E5932" t="inlineStr">
        <is>
          <t>organic_search</t>
        </is>
      </c>
      <c r="F5932">
        <f>IFERROR(MATCH(A5932,Deals!$A$2:$A$843,0),"")</f>
        <v/>
      </c>
      <c r="G5932">
        <f>IF(F5932="",0,1)</f>
        <v/>
      </c>
      <c r="H5932" s="29">
        <f>IF(F5932="","",INDEX(Deals!$E$2:$E$843,F5932))</f>
        <v/>
      </c>
      <c r="I5932">
        <f>IF(F5932="","",INDEX(Deals!$D$2:$D$843,F5932))</f>
        <v/>
      </c>
      <c r="J5932">
        <f>IF(F5932="","",INT(H5932)-B5932)</f>
        <v/>
      </c>
      <c r="K5932">
        <f>IF(B5932&gt;=Settings!$C$5,1,0)</f>
        <v/>
      </c>
    </row>
    <row r="5933">
      <c r="A5933" t="inlineStr">
        <is>
          <t>f4812a8b0f238b290cb25f11a975edf3</t>
        </is>
      </c>
      <c r="B5933" s="29" t="n">
        <v>43154</v>
      </c>
      <c r="C5933" t="inlineStr">
        <is>
          <t>2018-02</t>
        </is>
      </c>
      <c r="D5933" t="inlineStr">
        <is>
          <t>40dec9f3d5259a3d2dbcdab2114fae47</t>
        </is>
      </c>
      <c r="E5933" t="inlineStr">
        <is>
          <t>paid_search</t>
        </is>
      </c>
      <c r="F5933">
        <f>IFERROR(MATCH(A5933,Deals!$A$2:$A$843,0),"")</f>
        <v/>
      </c>
      <c r="G5933">
        <f>IF(F5933="",0,1)</f>
        <v/>
      </c>
      <c r="H5933" s="29">
        <f>IF(F5933="","",INDEX(Deals!$E$2:$E$843,F5933))</f>
        <v/>
      </c>
      <c r="I5933">
        <f>IF(F5933="","",INDEX(Deals!$D$2:$D$843,F5933))</f>
        <v/>
      </c>
      <c r="J5933">
        <f>IF(F5933="","",INT(H5933)-B5933)</f>
        <v/>
      </c>
      <c r="K5933">
        <f>IF(B5933&gt;=Settings!$C$5,1,0)</f>
        <v/>
      </c>
    </row>
    <row r="5934">
      <c r="A5934" t="inlineStr">
        <is>
          <t>34aba6f934aa1a8de795d088a6875d28</t>
        </is>
      </c>
      <c r="B5934" s="29" t="n">
        <v>43200</v>
      </c>
      <c r="C5934" t="inlineStr">
        <is>
          <t>2018-04</t>
        </is>
      </c>
      <c r="D5934" t="inlineStr">
        <is>
          <t>40dec9f3d5259a3d2dbcdab2114fae47</t>
        </is>
      </c>
      <c r="E5934" t="inlineStr">
        <is>
          <t>paid_search</t>
        </is>
      </c>
      <c r="F5934">
        <f>IFERROR(MATCH(A5934,Deals!$A$2:$A$843,0),"")</f>
        <v/>
      </c>
      <c r="G5934">
        <f>IF(F5934="",0,1)</f>
        <v/>
      </c>
      <c r="H5934" s="29">
        <f>IF(F5934="","",INDEX(Deals!$E$2:$E$843,F5934))</f>
        <v/>
      </c>
      <c r="I5934">
        <f>IF(F5934="","",INDEX(Deals!$D$2:$D$843,F5934))</f>
        <v/>
      </c>
      <c r="J5934">
        <f>IF(F5934="","",INT(H5934)-B5934)</f>
        <v/>
      </c>
      <c r="K5934">
        <f>IF(B5934&gt;=Settings!$C$5,1,0)</f>
        <v/>
      </c>
    </row>
    <row r="5935">
      <c r="A5935" t="inlineStr">
        <is>
          <t>46a5a92c481d5d4e0478d68bad240fc6</t>
        </is>
      </c>
      <c r="B5935" s="29" t="n">
        <v>43143</v>
      </c>
      <c r="C5935" t="inlineStr">
        <is>
          <t>2018-02</t>
        </is>
      </c>
      <c r="D5935" t="inlineStr">
        <is>
          <t>afff7cfc8b8e50b09fa8840a9cecd5dc</t>
        </is>
      </c>
      <c r="E5935" t="inlineStr">
        <is>
          <t>(missing)</t>
        </is>
      </c>
      <c r="F5935">
        <f>IFERROR(MATCH(A5935,Deals!$A$2:$A$843,0),"")</f>
        <v/>
      </c>
      <c r="G5935">
        <f>IF(F5935="",0,1)</f>
        <v/>
      </c>
      <c r="H5935" s="29">
        <f>IF(F5935="","",INDEX(Deals!$E$2:$E$843,F5935))</f>
        <v/>
      </c>
      <c r="I5935">
        <f>IF(F5935="","",INDEX(Deals!$D$2:$D$843,F5935))</f>
        <v/>
      </c>
      <c r="J5935">
        <f>IF(F5935="","",INT(H5935)-B5935)</f>
        <v/>
      </c>
      <c r="K5935">
        <f>IF(B5935&gt;=Settings!$C$5,1,0)</f>
        <v/>
      </c>
    </row>
    <row r="5936">
      <c r="A5936" t="inlineStr">
        <is>
          <t>deb345324aad1d7652eabe05d0c3e1bb</t>
        </is>
      </c>
      <c r="B5936" s="29" t="n">
        <v>43156</v>
      </c>
      <c r="C5936" t="inlineStr">
        <is>
          <t>2018-02</t>
        </is>
      </c>
      <c r="D5936" t="inlineStr">
        <is>
          <t>88740e65d5d6b056e0cda098e1ea6313</t>
        </is>
      </c>
      <c r="E5936" t="inlineStr">
        <is>
          <t>other</t>
        </is>
      </c>
      <c r="F5936">
        <f>IFERROR(MATCH(A5936,Deals!$A$2:$A$843,0),"")</f>
        <v/>
      </c>
      <c r="G5936">
        <f>IF(F5936="",0,1)</f>
        <v/>
      </c>
      <c r="H5936" s="29">
        <f>IF(F5936="","",INDEX(Deals!$E$2:$E$843,F5936))</f>
        <v/>
      </c>
      <c r="I5936">
        <f>IF(F5936="","",INDEX(Deals!$D$2:$D$843,F5936))</f>
        <v/>
      </c>
      <c r="J5936">
        <f>IF(F5936="","",INT(H5936)-B5936)</f>
        <v/>
      </c>
      <c r="K5936">
        <f>IF(B5936&gt;=Settings!$C$5,1,0)</f>
        <v/>
      </c>
    </row>
    <row r="5937">
      <c r="A5937" t="inlineStr">
        <is>
          <t>70f0e6d5970254940a7de06dc63e4ed3</t>
        </is>
      </c>
      <c r="B5937" s="29" t="n">
        <v>42947</v>
      </c>
      <c r="C5937" t="inlineStr">
        <is>
          <t>2017-07</t>
        </is>
      </c>
      <c r="D5937" t="inlineStr">
        <is>
          <t>3b86d7e8c33da2767ad2af9782f383d5</t>
        </is>
      </c>
      <c r="E5937" t="inlineStr">
        <is>
          <t>direct_traffic</t>
        </is>
      </c>
      <c r="F5937">
        <f>IFERROR(MATCH(A5937,Deals!$A$2:$A$843,0),"")</f>
        <v/>
      </c>
      <c r="G5937">
        <f>IF(F5937="",0,1)</f>
        <v/>
      </c>
      <c r="H5937" s="29">
        <f>IF(F5937="","",INDEX(Deals!$E$2:$E$843,F5937))</f>
        <v/>
      </c>
      <c r="I5937">
        <f>IF(F5937="","",INDEX(Deals!$D$2:$D$843,F5937))</f>
        <v/>
      </c>
      <c r="J5937">
        <f>IF(F5937="","",INT(H5937)-B5937)</f>
        <v/>
      </c>
      <c r="K5937">
        <f>IF(B5937&gt;=Settings!$C$5,1,0)</f>
        <v/>
      </c>
    </row>
    <row r="5938">
      <c r="A5938" t="inlineStr">
        <is>
          <t>26f17e8dbf8c2c06485d08cb0bd067e3</t>
        </is>
      </c>
      <c r="B5938" s="29" t="n">
        <v>43243</v>
      </c>
      <c r="C5938" t="inlineStr">
        <is>
          <t>2018-05</t>
        </is>
      </c>
      <c r="D5938" t="inlineStr">
        <is>
          <t>22c29808c4f815213303f8933030604c</t>
        </is>
      </c>
      <c r="E5938" t="inlineStr">
        <is>
          <t>referral</t>
        </is>
      </c>
      <c r="F5938">
        <f>IFERROR(MATCH(A5938,Deals!$A$2:$A$843,0),"")</f>
        <v/>
      </c>
      <c r="G5938">
        <f>IF(F5938="",0,1)</f>
        <v/>
      </c>
      <c r="H5938" s="29">
        <f>IF(F5938="","",INDEX(Deals!$E$2:$E$843,F5938))</f>
        <v/>
      </c>
      <c r="I5938">
        <f>IF(F5938="","",INDEX(Deals!$D$2:$D$843,F5938))</f>
        <v/>
      </c>
      <c r="J5938">
        <f>IF(F5938="","",INT(H5938)-B5938)</f>
        <v/>
      </c>
      <c r="K5938">
        <f>IF(B5938&gt;=Settings!$C$5,1,0)</f>
        <v/>
      </c>
    </row>
    <row r="5939">
      <c r="A5939" t="inlineStr">
        <is>
          <t>ff276aba80ec3e26adc022017e3b8b21</t>
        </is>
      </c>
      <c r="B5939" s="29" t="n">
        <v>43175</v>
      </c>
      <c r="C5939" t="inlineStr">
        <is>
          <t>2018-03</t>
        </is>
      </c>
      <c r="D5939" t="inlineStr">
        <is>
          <t>f017be4dbf86243af5c1ebed0cff36a2</t>
        </is>
      </c>
      <c r="E5939" t="inlineStr">
        <is>
          <t>organic_search</t>
        </is>
      </c>
      <c r="F5939">
        <f>IFERROR(MATCH(A5939,Deals!$A$2:$A$843,0),"")</f>
        <v/>
      </c>
      <c r="G5939">
        <f>IF(F5939="",0,1)</f>
        <v/>
      </c>
      <c r="H5939" s="29">
        <f>IF(F5939="","",INDEX(Deals!$E$2:$E$843,F5939))</f>
        <v/>
      </c>
      <c r="I5939">
        <f>IF(F5939="","",INDEX(Deals!$D$2:$D$843,F5939))</f>
        <v/>
      </c>
      <c r="J5939">
        <f>IF(F5939="","",INT(H5939)-B5939)</f>
        <v/>
      </c>
      <c r="K5939">
        <f>IF(B5939&gt;=Settings!$C$5,1,0)</f>
        <v/>
      </c>
    </row>
    <row r="5940">
      <c r="A5940" t="inlineStr">
        <is>
          <t>f4693942620b18fb077b314ab3b8f369</t>
        </is>
      </c>
      <c r="B5940" s="29" t="n">
        <v>43240</v>
      </c>
      <c r="C5940" t="inlineStr">
        <is>
          <t>2018-05</t>
        </is>
      </c>
      <c r="D5940" t="inlineStr">
        <is>
          <t>58326e62183c14b0c03085c33b9fdc44</t>
        </is>
      </c>
      <c r="E5940" t="inlineStr">
        <is>
          <t>social</t>
        </is>
      </c>
      <c r="F5940">
        <f>IFERROR(MATCH(A5940,Deals!$A$2:$A$843,0),"")</f>
        <v/>
      </c>
      <c r="G5940">
        <f>IF(F5940="",0,1)</f>
        <v/>
      </c>
      <c r="H5940" s="29">
        <f>IF(F5940="","",INDEX(Deals!$E$2:$E$843,F5940))</f>
        <v/>
      </c>
      <c r="I5940">
        <f>IF(F5940="","",INDEX(Deals!$D$2:$D$843,F5940))</f>
        <v/>
      </c>
      <c r="J5940">
        <f>IF(F5940="","",INT(H5940)-B5940)</f>
        <v/>
      </c>
      <c r="K5940">
        <f>IF(B5940&gt;=Settings!$C$5,1,0)</f>
        <v/>
      </c>
    </row>
    <row r="5941">
      <c r="A5941" t="inlineStr">
        <is>
          <t>5dd6e129b5884dc2ecc98e8e24aa5b6a</t>
        </is>
      </c>
      <c r="B5941" s="29" t="n">
        <v>43241</v>
      </c>
      <c r="C5941" t="inlineStr">
        <is>
          <t>2018-05</t>
        </is>
      </c>
      <c r="D5941" t="inlineStr">
        <is>
          <t>f08397f6bf693eef76648ea83ed2ece8</t>
        </is>
      </c>
      <c r="E5941" t="inlineStr">
        <is>
          <t>paid_search</t>
        </is>
      </c>
      <c r="F5941">
        <f>IFERROR(MATCH(A5941,Deals!$A$2:$A$843,0),"")</f>
        <v/>
      </c>
      <c r="G5941">
        <f>IF(F5941="",0,1)</f>
        <v/>
      </c>
      <c r="H5941" s="29">
        <f>IF(F5941="","",INDEX(Deals!$E$2:$E$843,F5941))</f>
        <v/>
      </c>
      <c r="I5941">
        <f>IF(F5941="","",INDEX(Deals!$D$2:$D$843,F5941))</f>
        <v/>
      </c>
      <c r="J5941">
        <f>IF(F5941="","",INT(H5941)-B5941)</f>
        <v/>
      </c>
      <c r="K5941">
        <f>IF(B5941&gt;=Settings!$C$5,1,0)</f>
        <v/>
      </c>
    </row>
    <row r="5942">
      <c r="A5942" t="inlineStr">
        <is>
          <t>fe8ab690a0f00da2b22bdd59bfb31a27</t>
        </is>
      </c>
      <c r="B5942" s="29" t="n">
        <v>43166</v>
      </c>
      <c r="C5942" t="inlineStr">
        <is>
          <t>2018-03</t>
        </is>
      </c>
      <c r="D5942" t="inlineStr">
        <is>
          <t>22c29808c4f815213303f8933030604c</t>
        </is>
      </c>
      <c r="E5942" t="inlineStr">
        <is>
          <t>paid_search</t>
        </is>
      </c>
      <c r="F5942">
        <f>IFERROR(MATCH(A5942,Deals!$A$2:$A$843,0),"")</f>
        <v/>
      </c>
      <c r="G5942">
        <f>IF(F5942="",0,1)</f>
        <v/>
      </c>
      <c r="H5942" s="29">
        <f>IF(F5942="","",INDEX(Deals!$E$2:$E$843,F5942))</f>
        <v/>
      </c>
      <c r="I5942">
        <f>IF(F5942="","",INDEX(Deals!$D$2:$D$843,F5942))</f>
        <v/>
      </c>
      <c r="J5942">
        <f>IF(F5942="","",INT(H5942)-B5942)</f>
        <v/>
      </c>
      <c r="K5942">
        <f>IF(B5942&gt;=Settings!$C$5,1,0)</f>
        <v/>
      </c>
    </row>
    <row r="5943">
      <c r="A5943" t="inlineStr">
        <is>
          <t>dbf3005b46d0a2f32b8fd89ba4043946</t>
        </is>
      </c>
      <c r="B5943" s="29" t="n">
        <v>43125</v>
      </c>
      <c r="C5943" t="inlineStr">
        <is>
          <t>2018-01</t>
        </is>
      </c>
      <c r="D5943" t="inlineStr">
        <is>
          <t>b76ef37428e6799c421989521c0e5077</t>
        </is>
      </c>
      <c r="E5943" t="inlineStr">
        <is>
          <t>unknown</t>
        </is>
      </c>
      <c r="F5943">
        <f>IFERROR(MATCH(A5943,Deals!$A$2:$A$843,0),"")</f>
        <v/>
      </c>
      <c r="G5943">
        <f>IF(F5943="",0,1)</f>
        <v/>
      </c>
      <c r="H5943" s="29">
        <f>IF(F5943="","",INDEX(Deals!$E$2:$E$843,F5943))</f>
        <v/>
      </c>
      <c r="I5943">
        <f>IF(F5943="","",INDEX(Deals!$D$2:$D$843,F5943))</f>
        <v/>
      </c>
      <c r="J5943">
        <f>IF(F5943="","",INT(H5943)-B5943)</f>
        <v/>
      </c>
      <c r="K5943">
        <f>IF(B5943&gt;=Settings!$C$5,1,0)</f>
        <v/>
      </c>
    </row>
    <row r="5944">
      <c r="A5944" t="inlineStr">
        <is>
          <t>4db7ccb92989c6ca0e98dadb5c784ba7</t>
        </is>
      </c>
      <c r="B5944" s="29" t="n">
        <v>43224</v>
      </c>
      <c r="C5944" t="inlineStr">
        <is>
          <t>2018-05</t>
        </is>
      </c>
      <c r="D5944" t="inlineStr">
        <is>
          <t>50f87b85a731cec08d8380b08c573ed3</t>
        </is>
      </c>
      <c r="E5944" t="inlineStr">
        <is>
          <t>direct_traffic</t>
        </is>
      </c>
      <c r="F5944">
        <f>IFERROR(MATCH(A5944,Deals!$A$2:$A$843,0),"")</f>
        <v/>
      </c>
      <c r="G5944">
        <f>IF(F5944="",0,1)</f>
        <v/>
      </c>
      <c r="H5944" s="29">
        <f>IF(F5944="","",INDEX(Deals!$E$2:$E$843,F5944))</f>
        <v/>
      </c>
      <c r="I5944">
        <f>IF(F5944="","",INDEX(Deals!$D$2:$D$843,F5944))</f>
        <v/>
      </c>
      <c r="J5944">
        <f>IF(F5944="","",INT(H5944)-B5944)</f>
        <v/>
      </c>
      <c r="K5944">
        <f>IF(B5944&gt;=Settings!$C$5,1,0)</f>
        <v/>
      </c>
    </row>
    <row r="5945">
      <c r="A5945" t="inlineStr">
        <is>
          <t>d79c868179307f1cf78d0a12c56e2bf9</t>
        </is>
      </c>
      <c r="B5945" s="29" t="n">
        <v>43001</v>
      </c>
      <c r="C5945" t="inlineStr">
        <is>
          <t>2017-09</t>
        </is>
      </c>
      <c r="D5945" t="inlineStr">
        <is>
          <t>22c29808c4f815213303f8933030604c</t>
        </is>
      </c>
      <c r="E5945" t="inlineStr">
        <is>
          <t>organic_search</t>
        </is>
      </c>
      <c r="F5945">
        <f>IFERROR(MATCH(A5945,Deals!$A$2:$A$843,0),"")</f>
        <v/>
      </c>
      <c r="G5945">
        <f>IF(F5945="",0,1)</f>
        <v/>
      </c>
      <c r="H5945" s="29">
        <f>IF(F5945="","",INDEX(Deals!$E$2:$E$843,F5945))</f>
        <v/>
      </c>
      <c r="I5945">
        <f>IF(F5945="","",INDEX(Deals!$D$2:$D$843,F5945))</f>
        <v/>
      </c>
      <c r="J5945">
        <f>IF(F5945="","",INT(H5945)-B5945)</f>
        <v/>
      </c>
      <c r="K5945">
        <f>IF(B5945&gt;=Settings!$C$5,1,0)</f>
        <v/>
      </c>
    </row>
    <row r="5946">
      <c r="A5946" t="inlineStr">
        <is>
          <t>768b2f133c3ea3ca2db797f5aa593417</t>
        </is>
      </c>
      <c r="B5946" s="29" t="n">
        <v>42957</v>
      </c>
      <c r="C5946" t="inlineStr">
        <is>
          <t>2017-08</t>
        </is>
      </c>
      <c r="D5946" t="inlineStr">
        <is>
          <t>e492ee5eaf1697716985cc6f33f9cd9b</t>
        </is>
      </c>
      <c r="E5946" t="inlineStr">
        <is>
          <t>paid_search</t>
        </is>
      </c>
      <c r="F5946">
        <f>IFERROR(MATCH(A5946,Deals!$A$2:$A$843,0),"")</f>
        <v/>
      </c>
      <c r="G5946">
        <f>IF(F5946="",0,1)</f>
        <v/>
      </c>
      <c r="H5946" s="29">
        <f>IF(F5946="","",INDEX(Deals!$E$2:$E$843,F5946))</f>
        <v/>
      </c>
      <c r="I5946">
        <f>IF(F5946="","",INDEX(Deals!$D$2:$D$843,F5946))</f>
        <v/>
      </c>
      <c r="J5946">
        <f>IF(F5946="","",INT(H5946)-B5946)</f>
        <v/>
      </c>
      <c r="K5946">
        <f>IF(B5946&gt;=Settings!$C$5,1,0)</f>
        <v/>
      </c>
    </row>
    <row r="5947">
      <c r="A5947" t="inlineStr">
        <is>
          <t>1edd33b030fca4ea748c10bae11a7946</t>
        </is>
      </c>
      <c r="B5947" s="29" t="n">
        <v>42948</v>
      </c>
      <c r="C5947" t="inlineStr">
        <is>
          <t>2017-08</t>
        </is>
      </c>
      <c r="D5947" t="inlineStr">
        <is>
          <t>3b86d7e8c33da2767ad2af9782f383d5</t>
        </is>
      </c>
      <c r="E5947" t="inlineStr">
        <is>
          <t>organic_search</t>
        </is>
      </c>
      <c r="F5947">
        <f>IFERROR(MATCH(A5947,Deals!$A$2:$A$843,0),"")</f>
        <v/>
      </c>
      <c r="G5947">
        <f>IF(F5947="",0,1)</f>
        <v/>
      </c>
      <c r="H5947" s="29">
        <f>IF(F5947="","",INDEX(Deals!$E$2:$E$843,F5947))</f>
        <v/>
      </c>
      <c r="I5947">
        <f>IF(F5947="","",INDEX(Deals!$D$2:$D$843,F5947))</f>
        <v/>
      </c>
      <c r="J5947">
        <f>IF(F5947="","",INT(H5947)-B5947)</f>
        <v/>
      </c>
      <c r="K5947">
        <f>IF(B5947&gt;=Settings!$C$5,1,0)</f>
        <v/>
      </c>
    </row>
    <row r="5948">
      <c r="A5948" t="inlineStr">
        <is>
          <t>ee90b45cf1106fef95ee81de63d7a322</t>
        </is>
      </c>
      <c r="B5948" s="29" t="n">
        <v>42990</v>
      </c>
      <c r="C5948" t="inlineStr">
        <is>
          <t>2017-09</t>
        </is>
      </c>
      <c r="D5948" t="inlineStr">
        <is>
          <t>f017be4dbf86243af5c1ebed0cff36a2</t>
        </is>
      </c>
      <c r="E5948" t="inlineStr">
        <is>
          <t>unknown</t>
        </is>
      </c>
      <c r="F5948">
        <f>IFERROR(MATCH(A5948,Deals!$A$2:$A$843,0),"")</f>
        <v/>
      </c>
      <c r="G5948">
        <f>IF(F5948="",0,1)</f>
        <v/>
      </c>
      <c r="H5948" s="29">
        <f>IF(F5948="","",INDEX(Deals!$E$2:$E$843,F5948))</f>
        <v/>
      </c>
      <c r="I5948">
        <f>IF(F5948="","",INDEX(Deals!$D$2:$D$843,F5948))</f>
        <v/>
      </c>
      <c r="J5948">
        <f>IF(F5948="","",INT(H5948)-B5948)</f>
        <v/>
      </c>
      <c r="K5948">
        <f>IF(B5948&gt;=Settings!$C$5,1,0)</f>
        <v/>
      </c>
    </row>
    <row r="5949">
      <c r="A5949" t="inlineStr">
        <is>
          <t>b82cb0dd23dd23b2412b2f2604f2a9cf</t>
        </is>
      </c>
      <c r="B5949" s="29" t="n">
        <v>43223</v>
      </c>
      <c r="C5949" t="inlineStr">
        <is>
          <t>2018-05</t>
        </is>
      </c>
      <c r="D5949" t="inlineStr">
        <is>
          <t>22c29808c4f815213303f8933030604c</t>
        </is>
      </c>
      <c r="E5949" t="inlineStr">
        <is>
          <t>paid_search</t>
        </is>
      </c>
      <c r="F5949">
        <f>IFERROR(MATCH(A5949,Deals!$A$2:$A$843,0),"")</f>
        <v/>
      </c>
      <c r="G5949">
        <f>IF(F5949="",0,1)</f>
        <v/>
      </c>
      <c r="H5949" s="29">
        <f>IF(F5949="","",INDEX(Deals!$E$2:$E$843,F5949))</f>
        <v/>
      </c>
      <c r="I5949">
        <f>IF(F5949="","",INDEX(Deals!$D$2:$D$843,F5949))</f>
        <v/>
      </c>
      <c r="J5949">
        <f>IF(F5949="","",INT(H5949)-B5949)</f>
        <v/>
      </c>
      <c r="K5949">
        <f>IF(B5949&gt;=Settings!$C$5,1,0)</f>
        <v/>
      </c>
    </row>
    <row r="5950">
      <c r="A5950" t="inlineStr">
        <is>
          <t>712c8121a80ee679a08243f86dbd64ae</t>
        </is>
      </c>
      <c r="B5950" s="29" t="n">
        <v>43218</v>
      </c>
      <c r="C5950" t="inlineStr">
        <is>
          <t>2018-04</t>
        </is>
      </c>
      <c r="D5950" t="inlineStr">
        <is>
          <t>40dec9f3d5259a3d2dbcdab2114fae47</t>
        </is>
      </c>
      <c r="E5950" t="inlineStr">
        <is>
          <t>paid_search</t>
        </is>
      </c>
      <c r="F5950">
        <f>IFERROR(MATCH(A5950,Deals!$A$2:$A$843,0),"")</f>
        <v/>
      </c>
      <c r="G5950">
        <f>IF(F5950="",0,1)</f>
        <v/>
      </c>
      <c r="H5950" s="29">
        <f>IF(F5950="","",INDEX(Deals!$E$2:$E$843,F5950))</f>
        <v/>
      </c>
      <c r="I5950">
        <f>IF(F5950="","",INDEX(Deals!$D$2:$D$843,F5950))</f>
        <v/>
      </c>
      <c r="J5950">
        <f>IF(F5950="","",INT(H5950)-B5950)</f>
        <v/>
      </c>
      <c r="K5950">
        <f>IF(B5950&gt;=Settings!$C$5,1,0)</f>
        <v/>
      </c>
    </row>
    <row r="5951">
      <c r="A5951" t="inlineStr">
        <is>
          <t>fb68f525a19d89290c6979ed51af3110</t>
        </is>
      </c>
      <c r="B5951" s="29" t="n">
        <v>43122</v>
      </c>
      <c r="C5951" t="inlineStr">
        <is>
          <t>2018-01</t>
        </is>
      </c>
      <c r="D5951" t="inlineStr">
        <is>
          <t>d45d558f0daeecf3cccdffe3c59684aa</t>
        </is>
      </c>
      <c r="E5951" t="inlineStr">
        <is>
          <t>other</t>
        </is>
      </c>
      <c r="F5951">
        <f>IFERROR(MATCH(A5951,Deals!$A$2:$A$843,0),"")</f>
        <v/>
      </c>
      <c r="G5951">
        <f>IF(F5951="",0,1)</f>
        <v/>
      </c>
      <c r="H5951" s="29">
        <f>IF(F5951="","",INDEX(Deals!$E$2:$E$843,F5951))</f>
        <v/>
      </c>
      <c r="I5951">
        <f>IF(F5951="","",INDEX(Deals!$D$2:$D$843,F5951))</f>
        <v/>
      </c>
      <c r="J5951">
        <f>IF(F5951="","",INT(H5951)-B5951)</f>
        <v/>
      </c>
      <c r="K5951">
        <f>IF(B5951&gt;=Settings!$C$5,1,0)</f>
        <v/>
      </c>
    </row>
    <row r="5952">
      <c r="A5952" t="inlineStr">
        <is>
          <t>21e7b6bc0412d4aaaf4158fdacb1d1ad</t>
        </is>
      </c>
      <c r="B5952" s="29" t="n">
        <v>43119</v>
      </c>
      <c r="C5952" t="inlineStr">
        <is>
          <t>2018-01</t>
        </is>
      </c>
      <c r="D5952" t="inlineStr">
        <is>
          <t>733adfe409c752b5c200bf23fa2f22d0</t>
        </is>
      </c>
      <c r="E5952" t="inlineStr">
        <is>
          <t>organic_search</t>
        </is>
      </c>
      <c r="F5952">
        <f>IFERROR(MATCH(A5952,Deals!$A$2:$A$843,0),"")</f>
        <v/>
      </c>
      <c r="G5952">
        <f>IF(F5952="",0,1)</f>
        <v/>
      </c>
      <c r="H5952" s="29">
        <f>IF(F5952="","",INDEX(Deals!$E$2:$E$843,F5952))</f>
        <v/>
      </c>
      <c r="I5952">
        <f>IF(F5952="","",INDEX(Deals!$D$2:$D$843,F5952))</f>
        <v/>
      </c>
      <c r="J5952">
        <f>IF(F5952="","",INT(H5952)-B5952)</f>
        <v/>
      </c>
      <c r="K5952">
        <f>IF(B5952&gt;=Settings!$C$5,1,0)</f>
        <v/>
      </c>
    </row>
    <row r="5953">
      <c r="A5953" t="inlineStr">
        <is>
          <t>f59a4f58bec755df35457a90a0e65ed4</t>
        </is>
      </c>
      <c r="B5953" s="29" t="n">
        <v>43149</v>
      </c>
      <c r="C5953" t="inlineStr">
        <is>
          <t>2018-02</t>
        </is>
      </c>
      <c r="D5953" t="inlineStr">
        <is>
          <t>22c29808c4f815213303f8933030604c</t>
        </is>
      </c>
      <c r="E5953" t="inlineStr">
        <is>
          <t>organic_search</t>
        </is>
      </c>
      <c r="F5953">
        <f>IFERROR(MATCH(A5953,Deals!$A$2:$A$843,0),"")</f>
        <v/>
      </c>
      <c r="G5953">
        <f>IF(F5953="",0,1)</f>
        <v/>
      </c>
      <c r="H5953" s="29">
        <f>IF(F5953="","",INDEX(Deals!$E$2:$E$843,F5953))</f>
        <v/>
      </c>
      <c r="I5953">
        <f>IF(F5953="","",INDEX(Deals!$D$2:$D$843,F5953))</f>
        <v/>
      </c>
      <c r="J5953">
        <f>IF(F5953="","",INT(H5953)-B5953)</f>
        <v/>
      </c>
      <c r="K5953">
        <f>IF(B5953&gt;=Settings!$C$5,1,0)</f>
        <v/>
      </c>
    </row>
    <row r="5954">
      <c r="A5954" t="inlineStr">
        <is>
          <t>bcc13206fd8338d229f0ac74adab7f26</t>
        </is>
      </c>
      <c r="B5954" s="29" t="n">
        <v>43203</v>
      </c>
      <c r="C5954" t="inlineStr">
        <is>
          <t>2018-04</t>
        </is>
      </c>
      <c r="D5954" t="inlineStr">
        <is>
          <t>649b7b8b46b254497e92038d88f6ced8</t>
        </is>
      </c>
      <c r="E5954" t="inlineStr">
        <is>
          <t>social</t>
        </is>
      </c>
      <c r="F5954">
        <f>IFERROR(MATCH(A5954,Deals!$A$2:$A$843,0),"")</f>
        <v/>
      </c>
      <c r="G5954">
        <f>IF(F5954="",0,1)</f>
        <v/>
      </c>
      <c r="H5954" s="29">
        <f>IF(F5954="","",INDEX(Deals!$E$2:$E$843,F5954))</f>
        <v/>
      </c>
      <c r="I5954">
        <f>IF(F5954="","",INDEX(Deals!$D$2:$D$843,F5954))</f>
        <v/>
      </c>
      <c r="J5954">
        <f>IF(F5954="","",INT(H5954)-B5954)</f>
        <v/>
      </c>
      <c r="K5954">
        <f>IF(B5954&gt;=Settings!$C$5,1,0)</f>
        <v/>
      </c>
    </row>
    <row r="5955">
      <c r="A5955" t="inlineStr">
        <is>
          <t>c2642e781e07a51e779c62ee00bab576</t>
        </is>
      </c>
      <c r="B5955" s="29" t="n">
        <v>43164</v>
      </c>
      <c r="C5955" t="inlineStr">
        <is>
          <t>2018-03</t>
        </is>
      </c>
      <c r="D5955" t="inlineStr">
        <is>
          <t>88740e65d5d6b056e0cda098e1ea6313</t>
        </is>
      </c>
      <c r="E5955" t="inlineStr">
        <is>
          <t>social</t>
        </is>
      </c>
      <c r="F5955">
        <f>IFERROR(MATCH(A5955,Deals!$A$2:$A$843,0),"")</f>
        <v/>
      </c>
      <c r="G5955">
        <f>IF(F5955="",0,1)</f>
        <v/>
      </c>
      <c r="H5955" s="29">
        <f>IF(F5955="","",INDEX(Deals!$E$2:$E$843,F5955))</f>
        <v/>
      </c>
      <c r="I5955">
        <f>IF(F5955="","",INDEX(Deals!$D$2:$D$843,F5955))</f>
        <v/>
      </c>
      <c r="J5955">
        <f>IF(F5955="","",INT(H5955)-B5955)</f>
        <v/>
      </c>
      <c r="K5955">
        <f>IF(B5955&gt;=Settings!$C$5,1,0)</f>
        <v/>
      </c>
    </row>
    <row r="5956">
      <c r="A5956" t="inlineStr">
        <is>
          <t>4d76bdef0d4780075906b69acd169cb7</t>
        </is>
      </c>
      <c r="B5956" s="29" t="n">
        <v>43123</v>
      </c>
      <c r="C5956" t="inlineStr">
        <is>
          <t>2018-01</t>
        </is>
      </c>
      <c r="D5956" t="inlineStr">
        <is>
          <t>40dec9f3d5259a3d2dbcdab2114fae47</t>
        </is>
      </c>
      <c r="E5956" t="inlineStr">
        <is>
          <t>email</t>
        </is>
      </c>
      <c r="F5956">
        <f>IFERROR(MATCH(A5956,Deals!$A$2:$A$843,0),"")</f>
        <v/>
      </c>
      <c r="G5956">
        <f>IF(F5956="",0,1)</f>
        <v/>
      </c>
      <c r="H5956" s="29">
        <f>IF(F5956="","",INDEX(Deals!$E$2:$E$843,F5956))</f>
        <v/>
      </c>
      <c r="I5956">
        <f>IF(F5956="","",INDEX(Deals!$D$2:$D$843,F5956))</f>
        <v/>
      </c>
      <c r="J5956">
        <f>IF(F5956="","",INT(H5956)-B5956)</f>
        <v/>
      </c>
      <c r="K5956">
        <f>IF(B5956&gt;=Settings!$C$5,1,0)</f>
        <v/>
      </c>
    </row>
    <row r="5957">
      <c r="A5957" t="inlineStr">
        <is>
          <t>2c9aabda8931c46b74753eb6dd9136dd</t>
        </is>
      </c>
      <c r="B5957" s="29" t="n">
        <v>42953</v>
      </c>
      <c r="C5957" t="inlineStr">
        <is>
          <t>2017-08</t>
        </is>
      </c>
      <c r="D5957" t="inlineStr">
        <is>
          <t>e022029a28bad406d6f3e74512ebebc2</t>
        </is>
      </c>
      <c r="E5957" t="inlineStr">
        <is>
          <t>organic_search</t>
        </is>
      </c>
      <c r="F5957">
        <f>IFERROR(MATCH(A5957,Deals!$A$2:$A$843,0),"")</f>
        <v/>
      </c>
      <c r="G5957">
        <f>IF(F5957="",0,1)</f>
        <v/>
      </c>
      <c r="H5957" s="29">
        <f>IF(F5957="","",INDEX(Deals!$E$2:$E$843,F5957))</f>
        <v/>
      </c>
      <c r="I5957">
        <f>IF(F5957="","",INDEX(Deals!$D$2:$D$843,F5957))</f>
        <v/>
      </c>
      <c r="J5957">
        <f>IF(F5957="","",INT(H5957)-B5957)</f>
        <v/>
      </c>
      <c r="K5957">
        <f>IF(B5957&gt;=Settings!$C$5,1,0)</f>
        <v/>
      </c>
    </row>
    <row r="5958">
      <c r="A5958" t="inlineStr">
        <is>
          <t>b47b84be1e32ada197b34168a7c88052</t>
        </is>
      </c>
      <c r="B5958" s="29" t="n">
        <v>43062</v>
      </c>
      <c r="C5958" t="inlineStr">
        <is>
          <t>2017-11</t>
        </is>
      </c>
      <c r="D5958" t="inlineStr">
        <is>
          <t>40dec9f3d5259a3d2dbcdab2114fae47</t>
        </is>
      </c>
      <c r="E5958" t="inlineStr">
        <is>
          <t>paid_search</t>
        </is>
      </c>
      <c r="F5958">
        <f>IFERROR(MATCH(A5958,Deals!$A$2:$A$843,0),"")</f>
        <v/>
      </c>
      <c r="G5958">
        <f>IF(F5958="",0,1)</f>
        <v/>
      </c>
      <c r="H5958" s="29">
        <f>IF(F5958="","",INDEX(Deals!$E$2:$E$843,F5958))</f>
        <v/>
      </c>
      <c r="I5958">
        <f>IF(F5958="","",INDEX(Deals!$D$2:$D$843,F5958))</f>
        <v/>
      </c>
      <c r="J5958">
        <f>IF(F5958="","",INT(H5958)-B5958)</f>
        <v/>
      </c>
      <c r="K5958">
        <f>IF(B5958&gt;=Settings!$C$5,1,0)</f>
        <v/>
      </c>
    </row>
    <row r="5959">
      <c r="A5959" t="inlineStr">
        <is>
          <t>188ad36eb0cb68d694a6e7913c565240</t>
        </is>
      </c>
      <c r="B5959" s="29" t="n">
        <v>43128</v>
      </c>
      <c r="C5959" t="inlineStr">
        <is>
          <t>2018-01</t>
        </is>
      </c>
      <c r="D5959" t="inlineStr">
        <is>
          <t>76d33b7836dd4396f9dd310392f570f8</t>
        </is>
      </c>
      <c r="E5959" t="inlineStr">
        <is>
          <t>organic_search</t>
        </is>
      </c>
      <c r="F5959">
        <f>IFERROR(MATCH(A5959,Deals!$A$2:$A$843,0),"")</f>
        <v/>
      </c>
      <c r="G5959">
        <f>IF(F5959="",0,1)</f>
        <v/>
      </c>
      <c r="H5959" s="29">
        <f>IF(F5959="","",INDEX(Deals!$E$2:$E$843,F5959))</f>
        <v/>
      </c>
      <c r="I5959">
        <f>IF(F5959="","",INDEX(Deals!$D$2:$D$843,F5959))</f>
        <v/>
      </c>
      <c r="J5959">
        <f>IF(F5959="","",INT(H5959)-B5959)</f>
        <v/>
      </c>
      <c r="K5959">
        <f>IF(B5959&gt;=Settings!$C$5,1,0)</f>
        <v/>
      </c>
    </row>
    <row r="5960">
      <c r="A5960" t="inlineStr">
        <is>
          <t>bb36fd8f142e7fea7041c49f61f75f37</t>
        </is>
      </c>
      <c r="B5960" s="29" t="n">
        <v>43173</v>
      </c>
      <c r="C5960" t="inlineStr">
        <is>
          <t>2018-03</t>
        </is>
      </c>
      <c r="D5960" t="inlineStr">
        <is>
          <t>330b9d44078a1ae5a221d655dcb77afa</t>
        </is>
      </c>
      <c r="E5960" t="inlineStr">
        <is>
          <t>organic_search</t>
        </is>
      </c>
      <c r="F5960">
        <f>IFERROR(MATCH(A5960,Deals!$A$2:$A$843,0),"")</f>
        <v/>
      </c>
      <c r="G5960">
        <f>IF(F5960="",0,1)</f>
        <v/>
      </c>
      <c r="H5960" s="29">
        <f>IF(F5960="","",INDEX(Deals!$E$2:$E$843,F5960))</f>
        <v/>
      </c>
      <c r="I5960">
        <f>IF(F5960="","",INDEX(Deals!$D$2:$D$843,F5960))</f>
        <v/>
      </c>
      <c r="J5960">
        <f>IF(F5960="","",INT(H5960)-B5960)</f>
        <v/>
      </c>
      <c r="K5960">
        <f>IF(B5960&gt;=Settings!$C$5,1,0)</f>
        <v/>
      </c>
    </row>
    <row r="5961">
      <c r="A5961" t="inlineStr">
        <is>
          <t>e9db2508797f0fd542868299c00e8091</t>
        </is>
      </c>
      <c r="B5961" s="29" t="n">
        <v>43132</v>
      </c>
      <c r="C5961" t="inlineStr">
        <is>
          <t>2018-02</t>
        </is>
      </c>
      <c r="D5961" t="inlineStr">
        <is>
          <t>616767b0bfb0a97510747d8bbcc40290</t>
        </is>
      </c>
      <c r="E5961" t="inlineStr">
        <is>
          <t>paid_search</t>
        </is>
      </c>
      <c r="F5961">
        <f>IFERROR(MATCH(A5961,Deals!$A$2:$A$843,0),"")</f>
        <v/>
      </c>
      <c r="G5961">
        <f>IF(F5961="",0,1)</f>
        <v/>
      </c>
      <c r="H5961" s="29">
        <f>IF(F5961="","",INDEX(Deals!$E$2:$E$843,F5961))</f>
        <v/>
      </c>
      <c r="I5961">
        <f>IF(F5961="","",INDEX(Deals!$D$2:$D$843,F5961))</f>
        <v/>
      </c>
      <c r="J5961">
        <f>IF(F5961="","",INT(H5961)-B5961)</f>
        <v/>
      </c>
      <c r="K5961">
        <f>IF(B5961&gt;=Settings!$C$5,1,0)</f>
        <v/>
      </c>
    </row>
    <row r="5962">
      <c r="A5962" t="inlineStr">
        <is>
          <t>a2de60ae969948c62475144651c21281</t>
        </is>
      </c>
      <c r="B5962" s="29" t="n">
        <v>43188</v>
      </c>
      <c r="C5962" t="inlineStr">
        <is>
          <t>2018-03</t>
        </is>
      </c>
      <c r="D5962" t="inlineStr">
        <is>
          <t>22c29808c4f815213303f8933030604c</t>
        </is>
      </c>
      <c r="E5962" t="inlineStr">
        <is>
          <t>paid_search</t>
        </is>
      </c>
      <c r="F5962">
        <f>IFERROR(MATCH(A5962,Deals!$A$2:$A$843,0),"")</f>
        <v/>
      </c>
      <c r="G5962">
        <f>IF(F5962="",0,1)</f>
        <v/>
      </c>
      <c r="H5962" s="29">
        <f>IF(F5962="","",INDEX(Deals!$E$2:$E$843,F5962))</f>
        <v/>
      </c>
      <c r="I5962">
        <f>IF(F5962="","",INDEX(Deals!$D$2:$D$843,F5962))</f>
        <v/>
      </c>
      <c r="J5962">
        <f>IF(F5962="","",INT(H5962)-B5962)</f>
        <v/>
      </c>
      <c r="K5962">
        <f>IF(B5962&gt;=Settings!$C$5,1,0)</f>
        <v/>
      </c>
    </row>
    <row r="5963">
      <c r="A5963" t="inlineStr">
        <is>
          <t>287d6438aae8f21fcda18b911c9c23ef</t>
        </is>
      </c>
      <c r="B5963" s="29" t="n">
        <v>43058</v>
      </c>
      <c r="C5963" t="inlineStr">
        <is>
          <t>2017-11</t>
        </is>
      </c>
      <c r="D5963" t="inlineStr">
        <is>
          <t>88740e65d5d6b056e0cda098e1ea6313</t>
        </is>
      </c>
      <c r="E5963" t="inlineStr">
        <is>
          <t>social</t>
        </is>
      </c>
      <c r="F5963">
        <f>IFERROR(MATCH(A5963,Deals!$A$2:$A$843,0),"")</f>
        <v/>
      </c>
      <c r="G5963">
        <f>IF(F5963="",0,1)</f>
        <v/>
      </c>
      <c r="H5963" s="29">
        <f>IF(F5963="","",INDEX(Deals!$E$2:$E$843,F5963))</f>
        <v/>
      </c>
      <c r="I5963">
        <f>IF(F5963="","",INDEX(Deals!$D$2:$D$843,F5963))</f>
        <v/>
      </c>
      <c r="J5963">
        <f>IF(F5963="","",INT(H5963)-B5963)</f>
        <v/>
      </c>
      <c r="K5963">
        <f>IF(B5963&gt;=Settings!$C$5,1,0)</f>
        <v/>
      </c>
    </row>
    <row r="5964">
      <c r="A5964" t="inlineStr">
        <is>
          <t>6521867f37daced2a8ba3b973450bf6a</t>
        </is>
      </c>
      <c r="B5964" s="29" t="n">
        <v>43179</v>
      </c>
      <c r="C5964" t="inlineStr">
        <is>
          <t>2018-03</t>
        </is>
      </c>
      <c r="D5964" t="inlineStr">
        <is>
          <t>241f79c7a8fe0270f4fb79fcbbcd17ad</t>
        </is>
      </c>
      <c r="E5964" t="inlineStr">
        <is>
          <t>paid_search</t>
        </is>
      </c>
      <c r="F5964">
        <f>IFERROR(MATCH(A5964,Deals!$A$2:$A$843,0),"")</f>
        <v/>
      </c>
      <c r="G5964">
        <f>IF(F5964="",0,1)</f>
        <v/>
      </c>
      <c r="H5964" s="29">
        <f>IF(F5964="","",INDEX(Deals!$E$2:$E$843,F5964))</f>
        <v/>
      </c>
      <c r="I5964">
        <f>IF(F5964="","",INDEX(Deals!$D$2:$D$843,F5964))</f>
        <v/>
      </c>
      <c r="J5964">
        <f>IF(F5964="","",INT(H5964)-B5964)</f>
        <v/>
      </c>
      <c r="K5964">
        <f>IF(B5964&gt;=Settings!$C$5,1,0)</f>
        <v/>
      </c>
    </row>
    <row r="5965">
      <c r="A5965" t="inlineStr">
        <is>
          <t>f2e5f6f0caaa54cb5161d5cd753cf57f</t>
        </is>
      </c>
      <c r="B5965" s="29" t="n">
        <v>43156</v>
      </c>
      <c r="C5965" t="inlineStr">
        <is>
          <t>2018-02</t>
        </is>
      </c>
      <c r="D5965" t="inlineStr">
        <is>
          <t>22c29808c4f815213303f8933030604c</t>
        </is>
      </c>
      <c r="E5965" t="inlineStr">
        <is>
          <t>direct_traffic</t>
        </is>
      </c>
      <c r="F5965">
        <f>IFERROR(MATCH(A5965,Deals!$A$2:$A$843,0),"")</f>
        <v/>
      </c>
      <c r="G5965">
        <f>IF(F5965="",0,1)</f>
        <v/>
      </c>
      <c r="H5965" s="29">
        <f>IF(F5965="","",INDEX(Deals!$E$2:$E$843,F5965))</f>
        <v/>
      </c>
      <c r="I5965">
        <f>IF(F5965="","",INDEX(Deals!$D$2:$D$843,F5965))</f>
        <v/>
      </c>
      <c r="J5965">
        <f>IF(F5965="","",INT(H5965)-B5965)</f>
        <v/>
      </c>
      <c r="K5965">
        <f>IF(B5965&gt;=Settings!$C$5,1,0)</f>
        <v/>
      </c>
    </row>
    <row r="5966">
      <c r="A5966" t="inlineStr">
        <is>
          <t>1e22c83cb2934dd73c22c293f4befe83</t>
        </is>
      </c>
      <c r="B5966" s="29" t="n">
        <v>43035</v>
      </c>
      <c r="C5966" t="inlineStr">
        <is>
          <t>2017-10</t>
        </is>
      </c>
      <c r="D5966" t="inlineStr">
        <is>
          <t>b76ef37428e6799c421989521c0e5077</t>
        </is>
      </c>
      <c r="E5966" t="inlineStr">
        <is>
          <t>paid_search</t>
        </is>
      </c>
      <c r="F5966">
        <f>IFERROR(MATCH(A5966,Deals!$A$2:$A$843,0),"")</f>
        <v/>
      </c>
      <c r="G5966">
        <f>IF(F5966="",0,1)</f>
        <v/>
      </c>
      <c r="H5966" s="29">
        <f>IF(F5966="","",INDEX(Deals!$E$2:$E$843,F5966))</f>
        <v/>
      </c>
      <c r="I5966">
        <f>IF(F5966="","",INDEX(Deals!$D$2:$D$843,F5966))</f>
        <v/>
      </c>
      <c r="J5966">
        <f>IF(F5966="","",INT(H5966)-B5966)</f>
        <v/>
      </c>
      <c r="K5966">
        <f>IF(B5966&gt;=Settings!$C$5,1,0)</f>
        <v/>
      </c>
    </row>
    <row r="5967">
      <c r="A5967" t="inlineStr">
        <is>
          <t>deb6b191ee8801b9c491c4c101dea707</t>
        </is>
      </c>
      <c r="B5967" s="29" t="n">
        <v>43248</v>
      </c>
      <c r="C5967" t="inlineStr">
        <is>
          <t>2018-05</t>
        </is>
      </c>
      <c r="D5967" t="inlineStr">
        <is>
          <t>58326e62183c14b0c03085c33b9fdc44</t>
        </is>
      </c>
      <c r="E5967" t="inlineStr">
        <is>
          <t>organic_search</t>
        </is>
      </c>
      <c r="F5967">
        <f>IFERROR(MATCH(A5967,Deals!$A$2:$A$843,0),"")</f>
        <v/>
      </c>
      <c r="G5967">
        <f>IF(F5967="",0,1)</f>
        <v/>
      </c>
      <c r="H5967" s="29">
        <f>IF(F5967="","",INDEX(Deals!$E$2:$E$843,F5967))</f>
        <v/>
      </c>
      <c r="I5967">
        <f>IF(F5967="","",INDEX(Deals!$D$2:$D$843,F5967))</f>
        <v/>
      </c>
      <c r="J5967">
        <f>IF(F5967="","",INT(H5967)-B5967)</f>
        <v/>
      </c>
      <c r="K5967">
        <f>IF(B5967&gt;=Settings!$C$5,1,0)</f>
        <v/>
      </c>
    </row>
    <row r="5968">
      <c r="A5968" t="inlineStr">
        <is>
          <t>add1461cdb43048c4135bb5e8d2d67c1</t>
        </is>
      </c>
      <c r="B5968" s="29" t="n">
        <v>43084</v>
      </c>
      <c r="C5968" t="inlineStr">
        <is>
          <t>2017-12</t>
        </is>
      </c>
      <c r="D5968" t="inlineStr">
        <is>
          <t>a0fbc0263cb98bdb0d72b9f9f283a172</t>
        </is>
      </c>
      <c r="E5968" t="inlineStr">
        <is>
          <t>paid_search</t>
        </is>
      </c>
      <c r="F5968">
        <f>IFERROR(MATCH(A5968,Deals!$A$2:$A$843,0),"")</f>
        <v/>
      </c>
      <c r="G5968">
        <f>IF(F5968="",0,1)</f>
        <v/>
      </c>
      <c r="H5968" s="29">
        <f>IF(F5968="","",INDEX(Deals!$E$2:$E$843,F5968))</f>
        <v/>
      </c>
      <c r="I5968">
        <f>IF(F5968="","",INDEX(Deals!$D$2:$D$843,F5968))</f>
        <v/>
      </c>
      <c r="J5968">
        <f>IF(F5968="","",INT(H5968)-B5968)</f>
        <v/>
      </c>
      <c r="K5968">
        <f>IF(B5968&gt;=Settings!$C$5,1,0)</f>
        <v/>
      </c>
    </row>
    <row r="5969">
      <c r="A5969" t="inlineStr">
        <is>
          <t>6dca24bf7909350ba0bf21465371ade7</t>
        </is>
      </c>
      <c r="B5969" s="29" t="n">
        <v>43049</v>
      </c>
      <c r="C5969" t="inlineStr">
        <is>
          <t>2017-11</t>
        </is>
      </c>
      <c r="D5969" t="inlineStr">
        <is>
          <t>ee3c3bad6ed3eb9d5de56688d1f9c91b</t>
        </is>
      </c>
      <c r="E5969" t="inlineStr">
        <is>
          <t>email</t>
        </is>
      </c>
      <c r="F5969">
        <f>IFERROR(MATCH(A5969,Deals!$A$2:$A$843,0),"")</f>
        <v/>
      </c>
      <c r="G5969">
        <f>IF(F5969="",0,1)</f>
        <v/>
      </c>
      <c r="H5969" s="29">
        <f>IF(F5969="","",INDEX(Deals!$E$2:$E$843,F5969))</f>
        <v/>
      </c>
      <c r="I5969">
        <f>IF(F5969="","",INDEX(Deals!$D$2:$D$843,F5969))</f>
        <v/>
      </c>
      <c r="J5969">
        <f>IF(F5969="","",INT(H5969)-B5969)</f>
        <v/>
      </c>
      <c r="K5969">
        <f>IF(B5969&gt;=Settings!$C$5,1,0)</f>
        <v/>
      </c>
    </row>
    <row r="5970">
      <c r="A5970" t="inlineStr">
        <is>
          <t>2d425507027fe5ccf5e23dc6bf98af4b</t>
        </is>
      </c>
      <c r="B5970" s="29" t="n">
        <v>43023</v>
      </c>
      <c r="C5970" t="inlineStr">
        <is>
          <t>2017-10</t>
        </is>
      </c>
      <c r="D5970" t="inlineStr">
        <is>
          <t>88740e65d5d6b056e0cda098e1ea6313</t>
        </is>
      </c>
      <c r="E5970" t="inlineStr">
        <is>
          <t>social</t>
        </is>
      </c>
      <c r="F5970">
        <f>IFERROR(MATCH(A5970,Deals!$A$2:$A$843,0),"")</f>
        <v/>
      </c>
      <c r="G5970">
        <f>IF(F5970="",0,1)</f>
        <v/>
      </c>
      <c r="H5970" s="29">
        <f>IF(F5970="","",INDEX(Deals!$E$2:$E$843,F5970))</f>
        <v/>
      </c>
      <c r="I5970">
        <f>IF(F5970="","",INDEX(Deals!$D$2:$D$843,F5970))</f>
        <v/>
      </c>
      <c r="J5970">
        <f>IF(F5970="","",INT(H5970)-B5970)</f>
        <v/>
      </c>
      <c r="K5970">
        <f>IF(B5970&gt;=Settings!$C$5,1,0)</f>
        <v/>
      </c>
    </row>
    <row r="5971">
      <c r="A5971" t="inlineStr">
        <is>
          <t>b44724074d7242865399e596ce97728b</t>
        </is>
      </c>
      <c r="B5971" s="29" t="n">
        <v>43055</v>
      </c>
      <c r="C5971" t="inlineStr">
        <is>
          <t>2017-11</t>
        </is>
      </c>
      <c r="D5971" t="inlineStr">
        <is>
          <t>40dec9f3d5259a3d2dbcdab2114fae47</t>
        </is>
      </c>
      <c r="E5971" t="inlineStr">
        <is>
          <t>paid_search</t>
        </is>
      </c>
      <c r="F5971">
        <f>IFERROR(MATCH(A5971,Deals!$A$2:$A$843,0),"")</f>
        <v/>
      </c>
      <c r="G5971">
        <f>IF(F5971="",0,1)</f>
        <v/>
      </c>
      <c r="H5971" s="29">
        <f>IF(F5971="","",INDEX(Deals!$E$2:$E$843,F5971))</f>
        <v/>
      </c>
      <c r="I5971">
        <f>IF(F5971="","",INDEX(Deals!$D$2:$D$843,F5971))</f>
        <v/>
      </c>
      <c r="J5971">
        <f>IF(F5971="","",INT(H5971)-B5971)</f>
        <v/>
      </c>
      <c r="K5971">
        <f>IF(B5971&gt;=Settings!$C$5,1,0)</f>
        <v/>
      </c>
    </row>
    <row r="5972">
      <c r="A5972" t="inlineStr">
        <is>
          <t>36de309602983818b4c2b9b606ef4ff4</t>
        </is>
      </c>
      <c r="B5972" s="29" t="n">
        <v>43124</v>
      </c>
      <c r="C5972" t="inlineStr">
        <is>
          <t>2018-01</t>
        </is>
      </c>
      <c r="D5972" t="inlineStr">
        <is>
          <t>733adfe409c752b5c200bf23fa2f22d0</t>
        </is>
      </c>
      <c r="E5972" t="inlineStr">
        <is>
          <t>paid_search</t>
        </is>
      </c>
      <c r="F5972">
        <f>IFERROR(MATCH(A5972,Deals!$A$2:$A$843,0),"")</f>
        <v/>
      </c>
      <c r="G5972">
        <f>IF(F5972="",0,1)</f>
        <v/>
      </c>
      <c r="H5972" s="29">
        <f>IF(F5972="","",INDEX(Deals!$E$2:$E$843,F5972))</f>
        <v/>
      </c>
      <c r="I5972">
        <f>IF(F5972="","",INDEX(Deals!$D$2:$D$843,F5972))</f>
        <v/>
      </c>
      <c r="J5972">
        <f>IF(F5972="","",INT(H5972)-B5972)</f>
        <v/>
      </c>
      <c r="K5972">
        <f>IF(B5972&gt;=Settings!$C$5,1,0)</f>
        <v/>
      </c>
    </row>
    <row r="5973">
      <c r="A5973" t="inlineStr">
        <is>
          <t>488be271582755444ab15d06f5d49c12</t>
        </is>
      </c>
      <c r="B5973" s="29" t="n">
        <v>43201</v>
      </c>
      <c r="C5973" t="inlineStr">
        <is>
          <t>2018-04</t>
        </is>
      </c>
      <c r="D5973" t="inlineStr">
        <is>
          <t>65c9e96d17d8d12bc0ad3b2cde0bb8b7</t>
        </is>
      </c>
      <c r="E5973" t="inlineStr">
        <is>
          <t>social</t>
        </is>
      </c>
      <c r="F5973">
        <f>IFERROR(MATCH(A5973,Deals!$A$2:$A$843,0),"")</f>
        <v/>
      </c>
      <c r="G5973">
        <f>IF(F5973="",0,1)</f>
        <v/>
      </c>
      <c r="H5973" s="29">
        <f>IF(F5973="","",INDEX(Deals!$E$2:$E$843,F5973))</f>
        <v/>
      </c>
      <c r="I5973">
        <f>IF(F5973="","",INDEX(Deals!$D$2:$D$843,F5973))</f>
        <v/>
      </c>
      <c r="J5973">
        <f>IF(F5973="","",INT(H5973)-B5973)</f>
        <v/>
      </c>
      <c r="K5973">
        <f>IF(B5973&gt;=Settings!$C$5,1,0)</f>
        <v/>
      </c>
    </row>
    <row r="5974">
      <c r="A5974" t="inlineStr">
        <is>
          <t>9af7ea3259a69623a41b6e8bf98a52b4</t>
        </is>
      </c>
      <c r="B5974" s="29" t="n">
        <v>43241</v>
      </c>
      <c r="C5974" t="inlineStr">
        <is>
          <t>2018-05</t>
        </is>
      </c>
      <c r="D5974" t="inlineStr">
        <is>
          <t>22c29808c4f815213303f8933030604c</t>
        </is>
      </c>
      <c r="E5974" t="inlineStr">
        <is>
          <t>direct_traffic</t>
        </is>
      </c>
      <c r="F5974">
        <f>IFERROR(MATCH(A5974,Deals!$A$2:$A$843,0),"")</f>
        <v/>
      </c>
      <c r="G5974">
        <f>IF(F5974="",0,1)</f>
        <v/>
      </c>
      <c r="H5974" s="29">
        <f>IF(F5974="","",INDEX(Deals!$E$2:$E$843,F5974))</f>
        <v/>
      </c>
      <c r="I5974">
        <f>IF(F5974="","",INDEX(Deals!$D$2:$D$843,F5974))</f>
        <v/>
      </c>
      <c r="J5974">
        <f>IF(F5974="","",INT(H5974)-B5974)</f>
        <v/>
      </c>
      <c r="K5974">
        <f>IF(B5974&gt;=Settings!$C$5,1,0)</f>
        <v/>
      </c>
    </row>
    <row r="5975">
      <c r="A5975" t="inlineStr">
        <is>
          <t>75198558c1ed763f12e6f946a46f8b2f</t>
        </is>
      </c>
      <c r="B5975" s="29" t="n">
        <v>43207</v>
      </c>
      <c r="C5975" t="inlineStr">
        <is>
          <t>2018-04</t>
        </is>
      </c>
      <c r="D5975" t="inlineStr">
        <is>
          <t>ce1a65abd0973638f1c887a6efcfa82d</t>
        </is>
      </c>
      <c r="E5975" t="inlineStr">
        <is>
          <t>direct_traffic</t>
        </is>
      </c>
      <c r="F5975">
        <f>IFERROR(MATCH(A5975,Deals!$A$2:$A$843,0),"")</f>
        <v/>
      </c>
      <c r="G5975">
        <f>IF(F5975="",0,1)</f>
        <v/>
      </c>
      <c r="H5975" s="29">
        <f>IF(F5975="","",INDEX(Deals!$E$2:$E$843,F5975))</f>
        <v/>
      </c>
      <c r="I5975">
        <f>IF(F5975="","",INDEX(Deals!$D$2:$D$843,F5975))</f>
        <v/>
      </c>
      <c r="J5975">
        <f>IF(F5975="","",INT(H5975)-B5975)</f>
        <v/>
      </c>
      <c r="K5975">
        <f>IF(B5975&gt;=Settings!$C$5,1,0)</f>
        <v/>
      </c>
    </row>
    <row r="5976">
      <c r="A5976" t="inlineStr">
        <is>
          <t>269dce383b169909785f4fda1ed47913</t>
        </is>
      </c>
      <c r="B5976" s="29" t="n">
        <v>43243</v>
      </c>
      <c r="C5976" t="inlineStr">
        <is>
          <t>2018-05</t>
        </is>
      </c>
      <c r="D5976" t="inlineStr">
        <is>
          <t>58326e62183c14b0c03085c33b9fdc44</t>
        </is>
      </c>
      <c r="E5976" t="inlineStr">
        <is>
          <t>social</t>
        </is>
      </c>
      <c r="F5976">
        <f>IFERROR(MATCH(A5976,Deals!$A$2:$A$843,0),"")</f>
        <v/>
      </c>
      <c r="G5976">
        <f>IF(F5976="",0,1)</f>
        <v/>
      </c>
      <c r="H5976" s="29">
        <f>IF(F5976="","",INDEX(Deals!$E$2:$E$843,F5976))</f>
        <v/>
      </c>
      <c r="I5976">
        <f>IF(F5976="","",INDEX(Deals!$D$2:$D$843,F5976))</f>
        <v/>
      </c>
      <c r="J5976">
        <f>IF(F5976="","",INT(H5976)-B5976)</f>
        <v/>
      </c>
      <c r="K5976">
        <f>IF(B5976&gt;=Settings!$C$5,1,0)</f>
        <v/>
      </c>
    </row>
    <row r="5977">
      <c r="A5977" t="inlineStr">
        <is>
          <t>2bf720f77d3874e07949cfcd1f75e91e</t>
        </is>
      </c>
      <c r="B5977" s="29" t="n">
        <v>43008</v>
      </c>
      <c r="C5977" t="inlineStr">
        <is>
          <t>2017-09</t>
        </is>
      </c>
      <c r="D5977" t="inlineStr">
        <is>
          <t>f017be4dbf86243af5c1ebed0cff36a2</t>
        </is>
      </c>
      <c r="E5977" t="inlineStr">
        <is>
          <t>organic_search</t>
        </is>
      </c>
      <c r="F5977">
        <f>IFERROR(MATCH(A5977,Deals!$A$2:$A$843,0),"")</f>
        <v/>
      </c>
      <c r="G5977">
        <f>IF(F5977="",0,1)</f>
        <v/>
      </c>
      <c r="H5977" s="29">
        <f>IF(F5977="","",INDEX(Deals!$E$2:$E$843,F5977))</f>
        <v/>
      </c>
      <c r="I5977">
        <f>IF(F5977="","",INDEX(Deals!$D$2:$D$843,F5977))</f>
        <v/>
      </c>
      <c r="J5977">
        <f>IF(F5977="","",INT(H5977)-B5977)</f>
        <v/>
      </c>
      <c r="K5977">
        <f>IF(B5977&gt;=Settings!$C$5,1,0)</f>
        <v/>
      </c>
    </row>
    <row r="5978">
      <c r="A5978" t="inlineStr">
        <is>
          <t>4b97422dd3861c217c68285a92cd89bc</t>
        </is>
      </c>
      <c r="B5978" s="29" t="n">
        <v>43174</v>
      </c>
      <c r="C5978" t="inlineStr">
        <is>
          <t>2018-03</t>
        </is>
      </c>
      <c r="D5978" t="inlineStr">
        <is>
          <t>3b9715bd3b57ba1727acec71ed308568</t>
        </is>
      </c>
      <c r="E5978" t="inlineStr">
        <is>
          <t>unknown</t>
        </is>
      </c>
      <c r="F5978">
        <f>IFERROR(MATCH(A5978,Deals!$A$2:$A$843,0),"")</f>
        <v/>
      </c>
      <c r="G5978">
        <f>IF(F5978="",0,1)</f>
        <v/>
      </c>
      <c r="H5978" s="29">
        <f>IF(F5978="","",INDEX(Deals!$E$2:$E$843,F5978))</f>
        <v/>
      </c>
      <c r="I5978">
        <f>IF(F5978="","",INDEX(Deals!$D$2:$D$843,F5978))</f>
        <v/>
      </c>
      <c r="J5978">
        <f>IF(F5978="","",INT(H5978)-B5978)</f>
        <v/>
      </c>
      <c r="K5978">
        <f>IF(B5978&gt;=Settings!$C$5,1,0)</f>
        <v/>
      </c>
    </row>
    <row r="5979">
      <c r="A5979" t="inlineStr">
        <is>
          <t>15637ed71e3e1c7523d8f4f2160a71d6</t>
        </is>
      </c>
      <c r="B5979" s="29" t="n">
        <v>43215</v>
      </c>
      <c r="C5979" t="inlineStr">
        <is>
          <t>2018-04</t>
        </is>
      </c>
      <c r="D5979" t="inlineStr">
        <is>
          <t>22c29808c4f815213303f8933030604c</t>
        </is>
      </c>
      <c r="E5979" t="inlineStr">
        <is>
          <t>unknown</t>
        </is>
      </c>
      <c r="F5979">
        <f>IFERROR(MATCH(A5979,Deals!$A$2:$A$843,0),"")</f>
        <v/>
      </c>
      <c r="G5979">
        <f>IF(F5979="",0,1)</f>
        <v/>
      </c>
      <c r="H5979" s="29">
        <f>IF(F5979="","",INDEX(Deals!$E$2:$E$843,F5979))</f>
        <v/>
      </c>
      <c r="I5979">
        <f>IF(F5979="","",INDEX(Deals!$D$2:$D$843,F5979))</f>
        <v/>
      </c>
      <c r="J5979">
        <f>IF(F5979="","",INT(H5979)-B5979)</f>
        <v/>
      </c>
      <c r="K5979">
        <f>IF(B5979&gt;=Settings!$C$5,1,0)</f>
        <v/>
      </c>
    </row>
    <row r="5980">
      <c r="A5980" t="inlineStr">
        <is>
          <t>3208ff3ee150fa0918cd46d2c0dddc1c</t>
        </is>
      </c>
      <c r="B5980" s="29" t="n">
        <v>43238</v>
      </c>
      <c r="C5980" t="inlineStr">
        <is>
          <t>2018-05</t>
        </is>
      </c>
      <c r="D5980" t="inlineStr">
        <is>
          <t>f017be4dbf86243af5c1ebed0cff36a2</t>
        </is>
      </c>
      <c r="E5980" t="inlineStr">
        <is>
          <t>organic_search</t>
        </is>
      </c>
      <c r="F5980">
        <f>IFERROR(MATCH(A5980,Deals!$A$2:$A$843,0),"")</f>
        <v/>
      </c>
      <c r="G5980">
        <f>IF(F5980="",0,1)</f>
        <v/>
      </c>
      <c r="H5980" s="29">
        <f>IF(F5980="","",INDEX(Deals!$E$2:$E$843,F5980))</f>
        <v/>
      </c>
      <c r="I5980">
        <f>IF(F5980="","",INDEX(Deals!$D$2:$D$843,F5980))</f>
        <v/>
      </c>
      <c r="J5980">
        <f>IF(F5980="","",INT(H5980)-B5980)</f>
        <v/>
      </c>
      <c r="K5980">
        <f>IF(B5980&gt;=Settings!$C$5,1,0)</f>
        <v/>
      </c>
    </row>
    <row r="5981">
      <c r="A5981" t="inlineStr">
        <is>
          <t>43829cbde6a6862b0f13133736da5c0c</t>
        </is>
      </c>
      <c r="B5981" s="29" t="n">
        <v>43220</v>
      </c>
      <c r="C5981" t="inlineStr">
        <is>
          <t>2018-04</t>
        </is>
      </c>
      <c r="D5981" t="inlineStr">
        <is>
          <t>f017be4dbf86243af5c1ebed0cff36a2</t>
        </is>
      </c>
      <c r="E5981" t="inlineStr">
        <is>
          <t>unknown</t>
        </is>
      </c>
      <c r="F5981">
        <f>IFERROR(MATCH(A5981,Deals!$A$2:$A$843,0),"")</f>
        <v/>
      </c>
      <c r="G5981">
        <f>IF(F5981="",0,1)</f>
        <v/>
      </c>
      <c r="H5981" s="29">
        <f>IF(F5981="","",INDEX(Deals!$E$2:$E$843,F5981))</f>
        <v/>
      </c>
      <c r="I5981">
        <f>IF(F5981="","",INDEX(Deals!$D$2:$D$843,F5981))</f>
        <v/>
      </c>
      <c r="J5981">
        <f>IF(F5981="","",INT(H5981)-B5981)</f>
        <v/>
      </c>
      <c r="K5981">
        <f>IF(B5981&gt;=Settings!$C$5,1,0)</f>
        <v/>
      </c>
    </row>
    <row r="5982">
      <c r="A5982" t="inlineStr">
        <is>
          <t>ba5b50daea4103b79a4736176b3b4868</t>
        </is>
      </c>
      <c r="B5982" s="29" t="n">
        <v>43172</v>
      </c>
      <c r="C5982" t="inlineStr">
        <is>
          <t>2018-03</t>
        </is>
      </c>
      <c r="D5982" t="inlineStr">
        <is>
          <t>daa9619c6f8ed06d059265dca0f9257f</t>
        </is>
      </c>
      <c r="E5982" t="inlineStr">
        <is>
          <t>paid_search</t>
        </is>
      </c>
      <c r="F5982">
        <f>IFERROR(MATCH(A5982,Deals!$A$2:$A$843,0),"")</f>
        <v/>
      </c>
      <c r="G5982">
        <f>IF(F5982="",0,1)</f>
        <v/>
      </c>
      <c r="H5982" s="29">
        <f>IF(F5982="","",INDEX(Deals!$E$2:$E$843,F5982))</f>
        <v/>
      </c>
      <c r="I5982">
        <f>IF(F5982="","",INDEX(Deals!$D$2:$D$843,F5982))</f>
        <v/>
      </c>
      <c r="J5982">
        <f>IF(F5982="","",INT(H5982)-B5982)</f>
        <v/>
      </c>
      <c r="K5982">
        <f>IF(B5982&gt;=Settings!$C$5,1,0)</f>
        <v/>
      </c>
    </row>
    <row r="5983">
      <c r="A5983" t="inlineStr">
        <is>
          <t>7c229eb911f585be823686b4cfccb35f</t>
        </is>
      </c>
      <c r="B5983" s="29" t="n">
        <v>43245</v>
      </c>
      <c r="C5983" t="inlineStr">
        <is>
          <t>2018-05</t>
        </is>
      </c>
      <c r="D5983" t="inlineStr">
        <is>
          <t>1ceb590cd1e00c7ee95220971f82693d</t>
        </is>
      </c>
      <c r="E5983" t="inlineStr">
        <is>
          <t>paid_search</t>
        </is>
      </c>
      <c r="F5983">
        <f>IFERROR(MATCH(A5983,Deals!$A$2:$A$843,0),"")</f>
        <v/>
      </c>
      <c r="G5983">
        <f>IF(F5983="",0,1)</f>
        <v/>
      </c>
      <c r="H5983" s="29">
        <f>IF(F5983="","",INDEX(Deals!$E$2:$E$843,F5983))</f>
        <v/>
      </c>
      <c r="I5983">
        <f>IF(F5983="","",INDEX(Deals!$D$2:$D$843,F5983))</f>
        <v/>
      </c>
      <c r="J5983">
        <f>IF(F5983="","",INT(H5983)-B5983)</f>
        <v/>
      </c>
      <c r="K5983">
        <f>IF(B5983&gt;=Settings!$C$5,1,0)</f>
        <v/>
      </c>
    </row>
    <row r="5984">
      <c r="A5984" t="inlineStr">
        <is>
          <t>5143b1a03753e9634ad9395eb18e0417</t>
        </is>
      </c>
      <c r="B5984" s="29" t="n">
        <v>43005</v>
      </c>
      <c r="C5984" t="inlineStr">
        <is>
          <t>2017-09</t>
        </is>
      </c>
      <c r="D5984" t="inlineStr">
        <is>
          <t>007f9098284a86ee80ddeb25d53e0af8</t>
        </is>
      </c>
      <c r="E5984" t="inlineStr">
        <is>
          <t>paid_search</t>
        </is>
      </c>
      <c r="F5984">
        <f>IFERROR(MATCH(A5984,Deals!$A$2:$A$843,0),"")</f>
        <v/>
      </c>
      <c r="G5984">
        <f>IF(F5984="",0,1)</f>
        <v/>
      </c>
      <c r="H5984" s="29">
        <f>IF(F5984="","",INDEX(Deals!$E$2:$E$843,F5984))</f>
        <v/>
      </c>
      <c r="I5984">
        <f>IF(F5984="","",INDEX(Deals!$D$2:$D$843,F5984))</f>
        <v/>
      </c>
      <c r="J5984">
        <f>IF(F5984="","",INT(H5984)-B5984)</f>
        <v/>
      </c>
      <c r="K5984">
        <f>IF(B5984&gt;=Settings!$C$5,1,0)</f>
        <v/>
      </c>
    </row>
    <row r="5985">
      <c r="A5985" t="inlineStr">
        <is>
          <t>9e4bbab2f64d76c5ec1acefe6d433b66</t>
        </is>
      </c>
      <c r="B5985" s="29" t="n">
        <v>43176</v>
      </c>
      <c r="C5985" t="inlineStr">
        <is>
          <t>2018-03</t>
        </is>
      </c>
      <c r="D5985" t="inlineStr">
        <is>
          <t>241f79c7a8fe0270f4fb79fcbbcd17ad</t>
        </is>
      </c>
      <c r="E5985" t="inlineStr">
        <is>
          <t>paid_search</t>
        </is>
      </c>
      <c r="F5985">
        <f>IFERROR(MATCH(A5985,Deals!$A$2:$A$843,0),"")</f>
        <v/>
      </c>
      <c r="G5985">
        <f>IF(F5985="",0,1)</f>
        <v/>
      </c>
      <c r="H5985" s="29">
        <f>IF(F5985="","",INDEX(Deals!$E$2:$E$843,F5985))</f>
        <v/>
      </c>
      <c r="I5985">
        <f>IF(F5985="","",INDEX(Deals!$D$2:$D$843,F5985))</f>
        <v/>
      </c>
      <c r="J5985">
        <f>IF(F5985="","",INT(H5985)-B5985)</f>
        <v/>
      </c>
      <c r="K5985">
        <f>IF(B5985&gt;=Settings!$C$5,1,0)</f>
        <v/>
      </c>
    </row>
    <row r="5986">
      <c r="A5986" t="inlineStr">
        <is>
          <t>01f11b1dc7251b4dad589e664e28aaf6</t>
        </is>
      </c>
      <c r="B5986" s="29" t="n">
        <v>43013</v>
      </c>
      <c r="C5986" t="inlineStr">
        <is>
          <t>2017-10</t>
        </is>
      </c>
      <c r="D5986" t="inlineStr">
        <is>
          <t>ce1a65abd0973638f1c887a6efcfa82d</t>
        </is>
      </c>
      <c r="E5986" t="inlineStr">
        <is>
          <t>organic_search</t>
        </is>
      </c>
      <c r="F5986">
        <f>IFERROR(MATCH(A5986,Deals!$A$2:$A$843,0),"")</f>
        <v/>
      </c>
      <c r="G5986">
        <f>IF(F5986="",0,1)</f>
        <v/>
      </c>
      <c r="H5986" s="29">
        <f>IF(F5986="","",INDEX(Deals!$E$2:$E$843,F5986))</f>
        <v/>
      </c>
      <c r="I5986">
        <f>IF(F5986="","",INDEX(Deals!$D$2:$D$843,F5986))</f>
        <v/>
      </c>
      <c r="J5986">
        <f>IF(F5986="","",INT(H5986)-B5986)</f>
        <v/>
      </c>
      <c r="K5986">
        <f>IF(B5986&gt;=Settings!$C$5,1,0)</f>
        <v/>
      </c>
    </row>
    <row r="5987">
      <c r="A5987" t="inlineStr">
        <is>
          <t>4979a7b20a42638a04977d3615767bfd</t>
        </is>
      </c>
      <c r="B5987" s="29" t="n">
        <v>43176</v>
      </c>
      <c r="C5987" t="inlineStr">
        <is>
          <t>2018-03</t>
        </is>
      </c>
      <c r="D5987" t="inlineStr">
        <is>
          <t>b6885f18d203a61176418c1fb3764815</t>
        </is>
      </c>
      <c r="E5987" t="inlineStr">
        <is>
          <t>paid_search</t>
        </is>
      </c>
      <c r="F5987">
        <f>IFERROR(MATCH(A5987,Deals!$A$2:$A$843,0),"")</f>
        <v/>
      </c>
      <c r="G5987">
        <f>IF(F5987="",0,1)</f>
        <v/>
      </c>
      <c r="H5987" s="29">
        <f>IF(F5987="","",INDEX(Deals!$E$2:$E$843,F5987))</f>
        <v/>
      </c>
      <c r="I5987">
        <f>IF(F5987="","",INDEX(Deals!$D$2:$D$843,F5987))</f>
        <v/>
      </c>
      <c r="J5987">
        <f>IF(F5987="","",INT(H5987)-B5987)</f>
        <v/>
      </c>
      <c r="K5987">
        <f>IF(B5987&gt;=Settings!$C$5,1,0)</f>
        <v/>
      </c>
    </row>
    <row r="5988">
      <c r="A5988" t="inlineStr">
        <is>
          <t>12a98e78c5d94963b040e18c8758b3cc</t>
        </is>
      </c>
      <c r="B5988" s="29" t="n">
        <v>43195</v>
      </c>
      <c r="C5988" t="inlineStr">
        <is>
          <t>2018-04</t>
        </is>
      </c>
      <c r="D5988" t="inlineStr">
        <is>
          <t>a0fbc0263cb98bdb0d72b9f9f283a172</t>
        </is>
      </c>
      <c r="E5988" t="inlineStr">
        <is>
          <t>paid_search</t>
        </is>
      </c>
      <c r="F5988">
        <f>IFERROR(MATCH(A5988,Deals!$A$2:$A$843,0),"")</f>
        <v/>
      </c>
      <c r="G5988">
        <f>IF(F5988="",0,1)</f>
        <v/>
      </c>
      <c r="H5988" s="29">
        <f>IF(F5988="","",INDEX(Deals!$E$2:$E$843,F5988))</f>
        <v/>
      </c>
      <c r="I5988">
        <f>IF(F5988="","",INDEX(Deals!$D$2:$D$843,F5988))</f>
        <v/>
      </c>
      <c r="J5988">
        <f>IF(F5988="","",INT(H5988)-B5988)</f>
        <v/>
      </c>
      <c r="K5988">
        <f>IF(B5988&gt;=Settings!$C$5,1,0)</f>
        <v/>
      </c>
    </row>
    <row r="5989">
      <c r="A5989" t="inlineStr">
        <is>
          <t>9340ebc648b62d55fb18ab88aaa8fecd</t>
        </is>
      </c>
      <c r="B5989" s="29" t="n">
        <v>43196</v>
      </c>
      <c r="C5989" t="inlineStr">
        <is>
          <t>2018-04</t>
        </is>
      </c>
      <c r="D5989" t="inlineStr">
        <is>
          <t>7773bf6b17a2c98e2604b3a402f3c050</t>
        </is>
      </c>
      <c r="E5989" t="inlineStr">
        <is>
          <t>paid_search</t>
        </is>
      </c>
      <c r="F5989">
        <f>IFERROR(MATCH(A5989,Deals!$A$2:$A$843,0),"")</f>
        <v/>
      </c>
      <c r="G5989">
        <f>IF(F5989="",0,1)</f>
        <v/>
      </c>
      <c r="H5989" s="29">
        <f>IF(F5989="","",INDEX(Deals!$E$2:$E$843,F5989))</f>
        <v/>
      </c>
      <c r="I5989">
        <f>IF(F5989="","",INDEX(Deals!$D$2:$D$843,F5989))</f>
        <v/>
      </c>
      <c r="J5989">
        <f>IF(F5989="","",INT(H5989)-B5989)</f>
        <v/>
      </c>
      <c r="K5989">
        <f>IF(B5989&gt;=Settings!$C$5,1,0)</f>
        <v/>
      </c>
    </row>
    <row r="5990">
      <c r="A5990" t="inlineStr">
        <is>
          <t>f902f09c48aac5fdbdc389271d704daa</t>
        </is>
      </c>
      <c r="B5990" s="29" t="n">
        <v>42929</v>
      </c>
      <c r="C5990" t="inlineStr">
        <is>
          <t>2017-07</t>
        </is>
      </c>
      <c r="D5990" t="inlineStr">
        <is>
          <t>ee3c3bad6ed3eb9d5de56688d1f9c91b</t>
        </is>
      </c>
      <c r="E5990" t="inlineStr">
        <is>
          <t>organic_search</t>
        </is>
      </c>
      <c r="F5990">
        <f>IFERROR(MATCH(A5990,Deals!$A$2:$A$843,0),"")</f>
        <v/>
      </c>
      <c r="G5990">
        <f>IF(F5990="",0,1)</f>
        <v/>
      </c>
      <c r="H5990" s="29">
        <f>IF(F5990="","",INDEX(Deals!$E$2:$E$843,F5990))</f>
        <v/>
      </c>
      <c r="I5990">
        <f>IF(F5990="","",INDEX(Deals!$D$2:$D$843,F5990))</f>
        <v/>
      </c>
      <c r="J5990">
        <f>IF(F5990="","",INT(H5990)-B5990)</f>
        <v/>
      </c>
      <c r="K5990">
        <f>IF(B5990&gt;=Settings!$C$5,1,0)</f>
        <v/>
      </c>
    </row>
    <row r="5991">
      <c r="A5991" t="inlineStr">
        <is>
          <t>4a378e98899ec97647c6553589f7b55e</t>
        </is>
      </c>
      <c r="B5991" s="29" t="n">
        <v>43046</v>
      </c>
      <c r="C5991" t="inlineStr">
        <is>
          <t>2017-11</t>
        </is>
      </c>
      <c r="D5991" t="inlineStr">
        <is>
          <t>b76ef37428e6799c421989521c0e5077</t>
        </is>
      </c>
      <c r="E5991" t="inlineStr">
        <is>
          <t>direct_traffic</t>
        </is>
      </c>
      <c r="F5991">
        <f>IFERROR(MATCH(A5991,Deals!$A$2:$A$843,0),"")</f>
        <v/>
      </c>
      <c r="G5991">
        <f>IF(F5991="",0,1)</f>
        <v/>
      </c>
      <c r="H5991" s="29">
        <f>IF(F5991="","",INDEX(Deals!$E$2:$E$843,F5991))</f>
        <v/>
      </c>
      <c r="I5991">
        <f>IF(F5991="","",INDEX(Deals!$D$2:$D$843,F5991))</f>
        <v/>
      </c>
      <c r="J5991">
        <f>IF(F5991="","",INT(H5991)-B5991)</f>
        <v/>
      </c>
      <c r="K5991">
        <f>IF(B5991&gt;=Settings!$C$5,1,0)</f>
        <v/>
      </c>
    </row>
    <row r="5992">
      <c r="A5992" t="inlineStr">
        <is>
          <t>18074a65b9a1273408c6d5a00e1da59e</t>
        </is>
      </c>
      <c r="B5992" s="29" t="n">
        <v>43195</v>
      </c>
      <c r="C5992" t="inlineStr">
        <is>
          <t>2018-04</t>
        </is>
      </c>
      <c r="D5992" t="inlineStr">
        <is>
          <t>a7982125ff7aa3b2054c6e44f9d28522</t>
        </is>
      </c>
      <c r="E5992" t="inlineStr">
        <is>
          <t>display</t>
        </is>
      </c>
      <c r="F5992">
        <f>IFERROR(MATCH(A5992,Deals!$A$2:$A$843,0),"")</f>
        <v/>
      </c>
      <c r="G5992">
        <f>IF(F5992="",0,1)</f>
        <v/>
      </c>
      <c r="H5992" s="29">
        <f>IF(F5992="","",INDEX(Deals!$E$2:$E$843,F5992))</f>
        <v/>
      </c>
      <c r="I5992">
        <f>IF(F5992="","",INDEX(Deals!$D$2:$D$843,F5992))</f>
        <v/>
      </c>
      <c r="J5992">
        <f>IF(F5992="","",INT(H5992)-B5992)</f>
        <v/>
      </c>
      <c r="K5992">
        <f>IF(B5992&gt;=Settings!$C$5,1,0)</f>
        <v/>
      </c>
    </row>
    <row r="5993">
      <c r="A5993" t="inlineStr">
        <is>
          <t>8a44192374dd613240bf74f1f2498cfc</t>
        </is>
      </c>
      <c r="B5993" s="29" t="n">
        <v>43236</v>
      </c>
      <c r="C5993" t="inlineStr">
        <is>
          <t>2018-05</t>
        </is>
      </c>
      <c r="D5993" t="inlineStr">
        <is>
          <t>6a110e795dd487f1cf8d7583671987af</t>
        </is>
      </c>
      <c r="E5993" t="inlineStr">
        <is>
          <t>organic_search</t>
        </is>
      </c>
      <c r="F5993">
        <f>IFERROR(MATCH(A5993,Deals!$A$2:$A$843,0),"")</f>
        <v/>
      </c>
      <c r="G5993">
        <f>IF(F5993="",0,1)</f>
        <v/>
      </c>
      <c r="H5993" s="29">
        <f>IF(F5993="","",INDEX(Deals!$E$2:$E$843,F5993))</f>
        <v/>
      </c>
      <c r="I5993">
        <f>IF(F5993="","",INDEX(Deals!$D$2:$D$843,F5993))</f>
        <v/>
      </c>
      <c r="J5993">
        <f>IF(F5993="","",INT(H5993)-B5993)</f>
        <v/>
      </c>
      <c r="K5993">
        <f>IF(B5993&gt;=Settings!$C$5,1,0)</f>
        <v/>
      </c>
    </row>
    <row r="5994">
      <c r="A5994" t="inlineStr">
        <is>
          <t>b46b855b9bcfd8b80b24ca033b10519e</t>
        </is>
      </c>
      <c r="B5994" s="29" t="n">
        <v>43192</v>
      </c>
      <c r="C5994" t="inlineStr">
        <is>
          <t>2018-04</t>
        </is>
      </c>
      <c r="D5994" t="inlineStr">
        <is>
          <t>b76ef37428e6799c421989521c0e5077</t>
        </is>
      </c>
      <c r="E5994" t="inlineStr">
        <is>
          <t>unknown</t>
        </is>
      </c>
      <c r="F5994">
        <f>IFERROR(MATCH(A5994,Deals!$A$2:$A$843,0),"")</f>
        <v/>
      </c>
      <c r="G5994">
        <f>IF(F5994="",0,1)</f>
        <v/>
      </c>
      <c r="H5994" s="29">
        <f>IF(F5994="","",INDEX(Deals!$E$2:$E$843,F5994))</f>
        <v/>
      </c>
      <c r="I5994">
        <f>IF(F5994="","",INDEX(Deals!$D$2:$D$843,F5994))</f>
        <v/>
      </c>
      <c r="J5994">
        <f>IF(F5994="","",INT(H5994)-B5994)</f>
        <v/>
      </c>
      <c r="K5994">
        <f>IF(B5994&gt;=Settings!$C$5,1,0)</f>
        <v/>
      </c>
    </row>
    <row r="5995">
      <c r="A5995" t="inlineStr">
        <is>
          <t>67e91755751b124a5e752c5fdcaa3a48</t>
        </is>
      </c>
      <c r="B5995" s="29" t="n">
        <v>43041</v>
      </c>
      <c r="C5995" t="inlineStr">
        <is>
          <t>2017-11</t>
        </is>
      </c>
      <c r="D5995" t="inlineStr">
        <is>
          <t>15cf89bab2c3163b4f9d8601d108f8b2</t>
        </is>
      </c>
      <c r="E5995" t="inlineStr">
        <is>
          <t>organic_search</t>
        </is>
      </c>
      <c r="F5995">
        <f>IFERROR(MATCH(A5995,Deals!$A$2:$A$843,0),"")</f>
        <v/>
      </c>
      <c r="G5995">
        <f>IF(F5995="",0,1)</f>
        <v/>
      </c>
      <c r="H5995" s="29">
        <f>IF(F5995="","",INDEX(Deals!$E$2:$E$843,F5995))</f>
        <v/>
      </c>
      <c r="I5995">
        <f>IF(F5995="","",INDEX(Deals!$D$2:$D$843,F5995))</f>
        <v/>
      </c>
      <c r="J5995">
        <f>IF(F5995="","",INT(H5995)-B5995)</f>
        <v/>
      </c>
      <c r="K5995">
        <f>IF(B5995&gt;=Settings!$C$5,1,0)</f>
        <v/>
      </c>
    </row>
    <row r="5996">
      <c r="A5996" t="inlineStr">
        <is>
          <t>d384b897f79347648744fc818cea2128</t>
        </is>
      </c>
      <c r="B5996" s="29" t="n">
        <v>43235</v>
      </c>
      <c r="C5996" t="inlineStr">
        <is>
          <t>2018-05</t>
        </is>
      </c>
      <c r="D5996" t="inlineStr">
        <is>
          <t>b76ef37428e6799c421989521c0e5077</t>
        </is>
      </c>
      <c r="E5996" t="inlineStr">
        <is>
          <t>unknown</t>
        </is>
      </c>
      <c r="F5996">
        <f>IFERROR(MATCH(A5996,Deals!$A$2:$A$843,0),"")</f>
        <v/>
      </c>
      <c r="G5996">
        <f>IF(F5996="",0,1)</f>
        <v/>
      </c>
      <c r="H5996" s="29">
        <f>IF(F5996="","",INDEX(Deals!$E$2:$E$843,F5996))</f>
        <v/>
      </c>
      <c r="I5996">
        <f>IF(F5996="","",INDEX(Deals!$D$2:$D$843,F5996))</f>
        <v/>
      </c>
      <c r="J5996">
        <f>IF(F5996="","",INT(H5996)-B5996)</f>
        <v/>
      </c>
      <c r="K5996">
        <f>IF(B5996&gt;=Settings!$C$5,1,0)</f>
        <v/>
      </c>
    </row>
    <row r="5997">
      <c r="A5997" t="inlineStr">
        <is>
          <t>b6308edceb1fe8479c698490d100a7a8</t>
        </is>
      </c>
      <c r="B5997" s="29" t="n">
        <v>42948</v>
      </c>
      <c r="C5997" t="inlineStr">
        <is>
          <t>2017-08</t>
        </is>
      </c>
      <c r="D5997" t="inlineStr">
        <is>
          <t>3cd2a8301d5395f21cdd3094c9eaa2f4</t>
        </is>
      </c>
      <c r="E5997" t="inlineStr">
        <is>
          <t>unknown</t>
        </is>
      </c>
      <c r="F5997">
        <f>IFERROR(MATCH(A5997,Deals!$A$2:$A$843,0),"")</f>
        <v/>
      </c>
      <c r="G5997">
        <f>IF(F5997="",0,1)</f>
        <v/>
      </c>
      <c r="H5997" s="29">
        <f>IF(F5997="","",INDEX(Deals!$E$2:$E$843,F5997))</f>
        <v/>
      </c>
      <c r="I5997">
        <f>IF(F5997="","",INDEX(Deals!$D$2:$D$843,F5997))</f>
        <v/>
      </c>
      <c r="J5997">
        <f>IF(F5997="","",INT(H5997)-B5997)</f>
        <v/>
      </c>
      <c r="K5997">
        <f>IF(B5997&gt;=Settings!$C$5,1,0)</f>
        <v/>
      </c>
    </row>
    <row r="5998">
      <c r="A5998" t="inlineStr">
        <is>
          <t>374c67709beb1e30efea927f6666f732</t>
        </is>
      </c>
      <c r="B5998" s="29" t="n">
        <v>43243</v>
      </c>
      <c r="C5998" t="inlineStr">
        <is>
          <t>2018-05</t>
        </is>
      </c>
      <c r="D5998" t="inlineStr">
        <is>
          <t>ef8fd2bd651e9bede81dfb6e45480793</t>
        </is>
      </c>
      <c r="E5998" t="inlineStr">
        <is>
          <t>email</t>
        </is>
      </c>
      <c r="F5998">
        <f>IFERROR(MATCH(A5998,Deals!$A$2:$A$843,0),"")</f>
        <v/>
      </c>
      <c r="G5998">
        <f>IF(F5998="",0,1)</f>
        <v/>
      </c>
      <c r="H5998" s="29">
        <f>IF(F5998="","",INDEX(Deals!$E$2:$E$843,F5998))</f>
        <v/>
      </c>
      <c r="I5998">
        <f>IF(F5998="","",INDEX(Deals!$D$2:$D$843,F5998))</f>
        <v/>
      </c>
      <c r="J5998">
        <f>IF(F5998="","",INT(H5998)-B5998)</f>
        <v/>
      </c>
      <c r="K5998">
        <f>IF(B5998&gt;=Settings!$C$5,1,0)</f>
        <v/>
      </c>
    </row>
    <row r="5999">
      <c r="A5999" t="inlineStr">
        <is>
          <t>6e465bf376c95a9f4a5f56bd005455f6</t>
        </is>
      </c>
      <c r="B5999" s="29" t="n">
        <v>43183</v>
      </c>
      <c r="C5999" t="inlineStr">
        <is>
          <t>2018-03</t>
        </is>
      </c>
      <c r="D5999" t="inlineStr">
        <is>
          <t>649b7b8b46b254497e92038d88f6ced8</t>
        </is>
      </c>
      <c r="E5999" t="inlineStr">
        <is>
          <t>social</t>
        </is>
      </c>
      <c r="F5999">
        <f>IFERROR(MATCH(A5999,Deals!$A$2:$A$843,0),"")</f>
        <v/>
      </c>
      <c r="G5999">
        <f>IF(F5999="",0,1)</f>
        <v/>
      </c>
      <c r="H5999" s="29">
        <f>IF(F5999="","",INDEX(Deals!$E$2:$E$843,F5999))</f>
        <v/>
      </c>
      <c r="I5999">
        <f>IF(F5999="","",INDEX(Deals!$D$2:$D$843,F5999))</f>
        <v/>
      </c>
      <c r="J5999">
        <f>IF(F5999="","",INT(H5999)-B5999)</f>
        <v/>
      </c>
      <c r="K5999">
        <f>IF(B5999&gt;=Settings!$C$5,1,0)</f>
        <v/>
      </c>
    </row>
    <row r="6000">
      <c r="A6000" t="inlineStr">
        <is>
          <t>9b29958002fdcce5a0e04baa94987423</t>
        </is>
      </c>
      <c r="B6000" s="29" t="n">
        <v>43192</v>
      </c>
      <c r="C6000" t="inlineStr">
        <is>
          <t>2018-04</t>
        </is>
      </c>
      <c r="D6000" t="inlineStr">
        <is>
          <t>0b353d6bc27566f1d238313c33d95f56</t>
        </is>
      </c>
      <c r="E6000" t="inlineStr">
        <is>
          <t>paid_search</t>
        </is>
      </c>
      <c r="F6000">
        <f>IFERROR(MATCH(A6000,Deals!$A$2:$A$843,0),"")</f>
        <v/>
      </c>
      <c r="G6000">
        <f>IF(F6000="",0,1)</f>
        <v/>
      </c>
      <c r="H6000" s="29">
        <f>IF(F6000="","",INDEX(Deals!$E$2:$E$843,F6000))</f>
        <v/>
      </c>
      <c r="I6000">
        <f>IF(F6000="","",INDEX(Deals!$D$2:$D$843,F6000))</f>
        <v/>
      </c>
      <c r="J6000">
        <f>IF(F6000="","",INT(H6000)-B6000)</f>
        <v/>
      </c>
      <c r="K6000">
        <f>IF(B6000&gt;=Settings!$C$5,1,0)</f>
        <v/>
      </c>
    </row>
    <row r="6001">
      <c r="A6001" t="inlineStr">
        <is>
          <t>c0a94cff7a1e60bd1c87bc2f4d0d14c4</t>
        </is>
      </c>
      <c r="B6001" s="29" t="n">
        <v>43202</v>
      </c>
      <c r="C6001" t="inlineStr">
        <is>
          <t>2018-04</t>
        </is>
      </c>
      <c r="D6001" t="inlineStr">
        <is>
          <t>f017be4dbf86243af5c1ebed0cff36a2</t>
        </is>
      </c>
      <c r="E6001" t="inlineStr">
        <is>
          <t>organic_search</t>
        </is>
      </c>
      <c r="F6001">
        <f>IFERROR(MATCH(A6001,Deals!$A$2:$A$843,0),"")</f>
        <v/>
      </c>
      <c r="G6001">
        <f>IF(F6001="",0,1)</f>
        <v/>
      </c>
      <c r="H6001" s="29">
        <f>IF(F6001="","",INDEX(Deals!$E$2:$E$843,F6001))</f>
        <v/>
      </c>
      <c r="I6001">
        <f>IF(F6001="","",INDEX(Deals!$D$2:$D$843,F6001))</f>
        <v/>
      </c>
      <c r="J6001">
        <f>IF(F6001="","",INT(H6001)-B6001)</f>
        <v/>
      </c>
      <c r="K6001">
        <f>IF(B6001&gt;=Settings!$C$5,1,0)</f>
        <v/>
      </c>
    </row>
    <row r="6002">
      <c r="A6002" t="inlineStr">
        <is>
          <t>bf90bc151725ec2111a693c0d7eb0858</t>
        </is>
      </c>
      <c r="B6002" s="29" t="n">
        <v>43055</v>
      </c>
      <c r="C6002" t="inlineStr">
        <is>
          <t>2017-11</t>
        </is>
      </c>
      <c r="D6002" t="inlineStr">
        <is>
          <t>88740e65d5d6b056e0cda098e1ea6313</t>
        </is>
      </c>
      <c r="E6002" t="inlineStr">
        <is>
          <t>social</t>
        </is>
      </c>
      <c r="F6002">
        <f>IFERROR(MATCH(A6002,Deals!$A$2:$A$843,0),"")</f>
        <v/>
      </c>
      <c r="G6002">
        <f>IF(F6002="",0,1)</f>
        <v/>
      </c>
      <c r="H6002" s="29">
        <f>IF(F6002="","",INDEX(Deals!$E$2:$E$843,F6002))</f>
        <v/>
      </c>
      <c r="I6002">
        <f>IF(F6002="","",INDEX(Deals!$D$2:$D$843,F6002))</f>
        <v/>
      </c>
      <c r="J6002">
        <f>IF(F6002="","",INT(H6002)-B6002)</f>
        <v/>
      </c>
      <c r="K6002">
        <f>IF(B6002&gt;=Settings!$C$5,1,0)</f>
        <v/>
      </c>
    </row>
    <row r="6003">
      <c r="A6003" t="inlineStr">
        <is>
          <t>da2c3fbac23ba11ec8a1a36e31578620</t>
        </is>
      </c>
      <c r="B6003" s="29" t="n">
        <v>43122</v>
      </c>
      <c r="C6003" t="inlineStr">
        <is>
          <t>2018-01</t>
        </is>
      </c>
      <c r="D6003" t="inlineStr">
        <is>
          <t>c77d415d635d56706858140ae4354e45</t>
        </is>
      </c>
      <c r="E6003" t="inlineStr">
        <is>
          <t>organic_search</t>
        </is>
      </c>
      <c r="F6003">
        <f>IFERROR(MATCH(A6003,Deals!$A$2:$A$843,0),"")</f>
        <v/>
      </c>
      <c r="G6003">
        <f>IF(F6003="",0,1)</f>
        <v/>
      </c>
      <c r="H6003" s="29">
        <f>IF(F6003="","",INDEX(Deals!$E$2:$E$843,F6003))</f>
        <v/>
      </c>
      <c r="I6003">
        <f>IF(F6003="","",INDEX(Deals!$D$2:$D$843,F6003))</f>
        <v/>
      </c>
      <c r="J6003">
        <f>IF(F6003="","",INT(H6003)-B6003)</f>
        <v/>
      </c>
      <c r="K6003">
        <f>IF(B6003&gt;=Settings!$C$5,1,0)</f>
        <v/>
      </c>
    </row>
    <row r="6004">
      <c r="A6004" t="inlineStr">
        <is>
          <t>d1647f2613d1290aaddc5a88a73138c7</t>
        </is>
      </c>
      <c r="B6004" s="29" t="n">
        <v>43153</v>
      </c>
      <c r="C6004" t="inlineStr">
        <is>
          <t>2018-02</t>
        </is>
      </c>
      <c r="D6004" t="inlineStr">
        <is>
          <t>f017be4dbf86243af5c1ebed0cff36a2</t>
        </is>
      </c>
      <c r="E6004" t="inlineStr">
        <is>
          <t>organic_search</t>
        </is>
      </c>
      <c r="F6004">
        <f>IFERROR(MATCH(A6004,Deals!$A$2:$A$843,0),"")</f>
        <v/>
      </c>
      <c r="G6004">
        <f>IF(F6004="",0,1)</f>
        <v/>
      </c>
      <c r="H6004" s="29">
        <f>IF(F6004="","",INDEX(Deals!$E$2:$E$843,F6004))</f>
        <v/>
      </c>
      <c r="I6004">
        <f>IF(F6004="","",INDEX(Deals!$D$2:$D$843,F6004))</f>
        <v/>
      </c>
      <c r="J6004">
        <f>IF(F6004="","",INT(H6004)-B6004)</f>
        <v/>
      </c>
      <c r="K6004">
        <f>IF(B6004&gt;=Settings!$C$5,1,0)</f>
        <v/>
      </c>
    </row>
    <row r="6005">
      <c r="A6005" t="inlineStr">
        <is>
          <t>62f0face795f84de82297b4dac2b3359</t>
        </is>
      </c>
      <c r="B6005" s="29" t="n">
        <v>43036</v>
      </c>
      <c r="C6005" t="inlineStr">
        <is>
          <t>2017-10</t>
        </is>
      </c>
      <c r="D6005" t="inlineStr">
        <is>
          <t>88740e65d5d6b056e0cda098e1ea6313</t>
        </is>
      </c>
      <c r="E6005" t="inlineStr">
        <is>
          <t>social</t>
        </is>
      </c>
      <c r="F6005">
        <f>IFERROR(MATCH(A6005,Deals!$A$2:$A$843,0),"")</f>
        <v/>
      </c>
      <c r="G6005">
        <f>IF(F6005="",0,1)</f>
        <v/>
      </c>
      <c r="H6005" s="29">
        <f>IF(F6005="","",INDEX(Deals!$E$2:$E$843,F6005))</f>
        <v/>
      </c>
      <c r="I6005">
        <f>IF(F6005="","",INDEX(Deals!$D$2:$D$843,F6005))</f>
        <v/>
      </c>
      <c r="J6005">
        <f>IF(F6005="","",INT(H6005)-B6005)</f>
        <v/>
      </c>
      <c r="K6005">
        <f>IF(B6005&gt;=Settings!$C$5,1,0)</f>
        <v/>
      </c>
    </row>
    <row r="6006">
      <c r="A6006" t="inlineStr">
        <is>
          <t>eec278b875a784c7646e2a27648819d5</t>
        </is>
      </c>
      <c r="B6006" s="29" t="n">
        <v>43033</v>
      </c>
      <c r="C6006" t="inlineStr">
        <is>
          <t>2017-10</t>
        </is>
      </c>
      <c r="D6006" t="inlineStr">
        <is>
          <t>63355b003224fe06badbd9de99644792</t>
        </is>
      </c>
      <c r="E6006" t="inlineStr">
        <is>
          <t>email</t>
        </is>
      </c>
      <c r="F6006">
        <f>IFERROR(MATCH(A6006,Deals!$A$2:$A$843,0),"")</f>
        <v/>
      </c>
      <c r="G6006">
        <f>IF(F6006="",0,1)</f>
        <v/>
      </c>
      <c r="H6006" s="29">
        <f>IF(F6006="","",INDEX(Deals!$E$2:$E$843,F6006))</f>
        <v/>
      </c>
      <c r="I6006">
        <f>IF(F6006="","",INDEX(Deals!$D$2:$D$843,F6006))</f>
        <v/>
      </c>
      <c r="J6006">
        <f>IF(F6006="","",INT(H6006)-B6006)</f>
        <v/>
      </c>
      <c r="K6006">
        <f>IF(B6006&gt;=Settings!$C$5,1,0)</f>
        <v/>
      </c>
    </row>
    <row r="6007">
      <c r="A6007" t="inlineStr">
        <is>
          <t>b87d091b59c00691ef8fdee0f0472b5b</t>
        </is>
      </c>
      <c r="B6007" s="29" t="n">
        <v>43179</v>
      </c>
      <c r="C6007" t="inlineStr">
        <is>
          <t>2018-03</t>
        </is>
      </c>
      <c r="D6007" t="inlineStr">
        <is>
          <t>b76ef37428e6799c421989521c0e5077</t>
        </is>
      </c>
      <c r="E6007" t="inlineStr">
        <is>
          <t>unknown</t>
        </is>
      </c>
      <c r="F6007">
        <f>IFERROR(MATCH(A6007,Deals!$A$2:$A$843,0),"")</f>
        <v/>
      </c>
      <c r="G6007">
        <f>IF(F6007="",0,1)</f>
        <v/>
      </c>
      <c r="H6007" s="29">
        <f>IF(F6007="","",INDEX(Deals!$E$2:$E$843,F6007))</f>
        <v/>
      </c>
      <c r="I6007">
        <f>IF(F6007="","",INDEX(Deals!$D$2:$D$843,F6007))</f>
        <v/>
      </c>
      <c r="J6007">
        <f>IF(F6007="","",INT(H6007)-B6007)</f>
        <v/>
      </c>
      <c r="K6007">
        <f>IF(B6007&gt;=Settings!$C$5,1,0)</f>
        <v/>
      </c>
    </row>
    <row r="6008">
      <c r="A6008" t="inlineStr">
        <is>
          <t>dacd384dc05b1e124d70e1ef0853e413</t>
        </is>
      </c>
      <c r="B6008" s="29" t="n">
        <v>43168</v>
      </c>
      <c r="C6008" t="inlineStr">
        <is>
          <t>2018-03</t>
        </is>
      </c>
      <c r="D6008" t="inlineStr">
        <is>
          <t>22c29808c4f815213303f8933030604c</t>
        </is>
      </c>
      <c r="E6008" t="inlineStr">
        <is>
          <t>unknown</t>
        </is>
      </c>
      <c r="F6008">
        <f>IFERROR(MATCH(A6008,Deals!$A$2:$A$843,0),"")</f>
        <v/>
      </c>
      <c r="G6008">
        <f>IF(F6008="",0,1)</f>
        <v/>
      </c>
      <c r="H6008" s="29">
        <f>IF(F6008="","",INDEX(Deals!$E$2:$E$843,F6008))</f>
        <v/>
      </c>
      <c r="I6008">
        <f>IF(F6008="","",INDEX(Deals!$D$2:$D$843,F6008))</f>
        <v/>
      </c>
      <c r="J6008">
        <f>IF(F6008="","",INT(H6008)-B6008)</f>
        <v/>
      </c>
      <c r="K6008">
        <f>IF(B6008&gt;=Settings!$C$5,1,0)</f>
        <v/>
      </c>
    </row>
    <row r="6009">
      <c r="A6009" t="inlineStr">
        <is>
          <t>d7aa1c786d6e945204d4278cc64b5b35</t>
        </is>
      </c>
      <c r="B6009" s="29" t="n">
        <v>43161</v>
      </c>
      <c r="C6009" t="inlineStr">
        <is>
          <t>2018-03</t>
        </is>
      </c>
      <c r="D6009" t="inlineStr">
        <is>
          <t>b48ec5f3b04e9068441002a19df93c6c</t>
        </is>
      </c>
      <c r="E6009" t="inlineStr">
        <is>
          <t>organic_search</t>
        </is>
      </c>
      <c r="F6009">
        <f>IFERROR(MATCH(A6009,Deals!$A$2:$A$843,0),"")</f>
        <v/>
      </c>
      <c r="G6009">
        <f>IF(F6009="",0,1)</f>
        <v/>
      </c>
      <c r="H6009" s="29">
        <f>IF(F6009="","",INDEX(Deals!$E$2:$E$843,F6009))</f>
        <v/>
      </c>
      <c r="I6009">
        <f>IF(F6009="","",INDEX(Deals!$D$2:$D$843,F6009))</f>
        <v/>
      </c>
      <c r="J6009">
        <f>IF(F6009="","",INT(H6009)-B6009)</f>
        <v/>
      </c>
      <c r="K6009">
        <f>IF(B6009&gt;=Settings!$C$5,1,0)</f>
        <v/>
      </c>
    </row>
    <row r="6010">
      <c r="A6010" t="inlineStr">
        <is>
          <t>4125b4e94852e1a68b609205afc1f5f7</t>
        </is>
      </c>
      <c r="B6010" s="29" t="n">
        <v>43118</v>
      </c>
      <c r="C6010" t="inlineStr">
        <is>
          <t>2018-01</t>
        </is>
      </c>
      <c r="D6010" t="inlineStr">
        <is>
          <t>b76ef37428e6799c421989521c0e5077</t>
        </is>
      </c>
      <c r="E6010" t="inlineStr">
        <is>
          <t>unknown</t>
        </is>
      </c>
      <c r="F6010">
        <f>IFERROR(MATCH(A6010,Deals!$A$2:$A$843,0),"")</f>
        <v/>
      </c>
      <c r="G6010">
        <f>IF(F6010="",0,1)</f>
        <v/>
      </c>
      <c r="H6010" s="29">
        <f>IF(F6010="","",INDEX(Deals!$E$2:$E$843,F6010))</f>
        <v/>
      </c>
      <c r="I6010">
        <f>IF(F6010="","",INDEX(Deals!$D$2:$D$843,F6010))</f>
        <v/>
      </c>
      <c r="J6010">
        <f>IF(F6010="","",INT(H6010)-B6010)</f>
        <v/>
      </c>
      <c r="K6010">
        <f>IF(B6010&gt;=Settings!$C$5,1,0)</f>
        <v/>
      </c>
    </row>
    <row r="6011">
      <c r="A6011" t="inlineStr">
        <is>
          <t>ca8e71a31d3dbcd229b5d20e16c84450</t>
        </is>
      </c>
      <c r="B6011" s="29" t="n">
        <v>43201</v>
      </c>
      <c r="C6011" t="inlineStr">
        <is>
          <t>2018-04</t>
        </is>
      </c>
      <c r="D6011" t="inlineStr">
        <is>
          <t>b76ef37428e6799c421989521c0e5077</t>
        </is>
      </c>
      <c r="E6011" t="inlineStr">
        <is>
          <t>unknown</t>
        </is>
      </c>
      <c r="F6011">
        <f>IFERROR(MATCH(A6011,Deals!$A$2:$A$843,0),"")</f>
        <v/>
      </c>
      <c r="G6011">
        <f>IF(F6011="",0,1)</f>
        <v/>
      </c>
      <c r="H6011" s="29">
        <f>IF(F6011="","",INDEX(Deals!$E$2:$E$843,F6011))</f>
        <v/>
      </c>
      <c r="I6011">
        <f>IF(F6011="","",INDEX(Deals!$D$2:$D$843,F6011))</f>
        <v/>
      </c>
      <c r="J6011">
        <f>IF(F6011="","",INT(H6011)-B6011)</f>
        <v/>
      </c>
      <c r="K6011">
        <f>IF(B6011&gt;=Settings!$C$5,1,0)</f>
        <v/>
      </c>
    </row>
    <row r="6012">
      <c r="A6012" t="inlineStr">
        <is>
          <t>2f94d22f5e9da5bd2cf285436cfc3bac</t>
        </is>
      </c>
      <c r="B6012" s="29" t="n">
        <v>43075</v>
      </c>
      <c r="C6012" t="inlineStr">
        <is>
          <t>2017-12</t>
        </is>
      </c>
      <c r="D6012" t="inlineStr">
        <is>
          <t>22c29808c4f815213303f8933030604c</t>
        </is>
      </c>
      <c r="E6012" t="inlineStr">
        <is>
          <t>unknown</t>
        </is>
      </c>
      <c r="F6012">
        <f>IFERROR(MATCH(A6012,Deals!$A$2:$A$843,0),"")</f>
        <v/>
      </c>
      <c r="G6012">
        <f>IF(F6012="",0,1)</f>
        <v/>
      </c>
      <c r="H6012" s="29">
        <f>IF(F6012="","",INDEX(Deals!$E$2:$E$843,F6012))</f>
        <v/>
      </c>
      <c r="I6012">
        <f>IF(F6012="","",INDEX(Deals!$D$2:$D$843,F6012))</f>
        <v/>
      </c>
      <c r="J6012">
        <f>IF(F6012="","",INT(H6012)-B6012)</f>
        <v/>
      </c>
      <c r="K6012">
        <f>IF(B6012&gt;=Settings!$C$5,1,0)</f>
        <v/>
      </c>
    </row>
    <row r="6013">
      <c r="A6013" t="inlineStr">
        <is>
          <t>03e3ae4dc11a6abfcd5683caea151a40</t>
        </is>
      </c>
      <c r="B6013" s="29" t="n">
        <v>43034</v>
      </c>
      <c r="C6013" t="inlineStr">
        <is>
          <t>2017-10</t>
        </is>
      </c>
      <c r="D6013" t="inlineStr">
        <is>
          <t>8a003712c92f483cef1dcb70635ebc7a</t>
        </is>
      </c>
      <c r="E6013" t="inlineStr">
        <is>
          <t>paid_search</t>
        </is>
      </c>
      <c r="F6013">
        <f>IFERROR(MATCH(A6013,Deals!$A$2:$A$843,0),"")</f>
        <v/>
      </c>
      <c r="G6013">
        <f>IF(F6013="",0,1)</f>
        <v/>
      </c>
      <c r="H6013" s="29">
        <f>IF(F6013="","",INDEX(Deals!$E$2:$E$843,F6013))</f>
        <v/>
      </c>
      <c r="I6013">
        <f>IF(F6013="","",INDEX(Deals!$D$2:$D$843,F6013))</f>
        <v/>
      </c>
      <c r="J6013">
        <f>IF(F6013="","",INT(H6013)-B6013)</f>
        <v/>
      </c>
      <c r="K6013">
        <f>IF(B6013&gt;=Settings!$C$5,1,0)</f>
        <v/>
      </c>
    </row>
    <row r="6014">
      <c r="A6014" t="inlineStr">
        <is>
          <t>e94973dff35019bfc7ecb83adec7be44</t>
        </is>
      </c>
      <c r="B6014" s="29" t="n">
        <v>43241</v>
      </c>
      <c r="C6014" t="inlineStr">
        <is>
          <t>2018-05</t>
        </is>
      </c>
      <c r="D6014" t="inlineStr">
        <is>
          <t>5dc848e7dd9418dffe183215b8ff0bc1</t>
        </is>
      </c>
      <c r="E6014" t="inlineStr">
        <is>
          <t>paid_search</t>
        </is>
      </c>
      <c r="F6014">
        <f>IFERROR(MATCH(A6014,Deals!$A$2:$A$843,0),"")</f>
        <v/>
      </c>
      <c r="G6014">
        <f>IF(F6014="",0,1)</f>
        <v/>
      </c>
      <c r="H6014" s="29">
        <f>IF(F6014="","",INDEX(Deals!$E$2:$E$843,F6014))</f>
        <v/>
      </c>
      <c r="I6014">
        <f>IF(F6014="","",INDEX(Deals!$D$2:$D$843,F6014))</f>
        <v/>
      </c>
      <c r="J6014">
        <f>IF(F6014="","",INT(H6014)-B6014)</f>
        <v/>
      </c>
      <c r="K6014">
        <f>IF(B6014&gt;=Settings!$C$5,1,0)</f>
        <v/>
      </c>
    </row>
    <row r="6015">
      <c r="A6015" t="inlineStr">
        <is>
          <t>1bb11fd8dc9eb96a64a3254ca7b50d86</t>
        </is>
      </c>
      <c r="B6015" s="29" t="n">
        <v>43216</v>
      </c>
      <c r="C6015" t="inlineStr">
        <is>
          <t>2018-04</t>
        </is>
      </c>
      <c r="D6015" t="inlineStr">
        <is>
          <t>f80696b73d17fb34f5c4fde157f119d8</t>
        </is>
      </c>
      <c r="E6015" t="inlineStr">
        <is>
          <t>organic_search</t>
        </is>
      </c>
      <c r="F6015">
        <f>IFERROR(MATCH(A6015,Deals!$A$2:$A$843,0),"")</f>
        <v/>
      </c>
      <c r="G6015">
        <f>IF(F6015="",0,1)</f>
        <v/>
      </c>
      <c r="H6015" s="29">
        <f>IF(F6015="","",INDEX(Deals!$E$2:$E$843,F6015))</f>
        <v/>
      </c>
      <c r="I6015">
        <f>IF(F6015="","",INDEX(Deals!$D$2:$D$843,F6015))</f>
        <v/>
      </c>
      <c r="J6015">
        <f>IF(F6015="","",INT(H6015)-B6015)</f>
        <v/>
      </c>
      <c r="K6015">
        <f>IF(B6015&gt;=Settings!$C$5,1,0)</f>
        <v/>
      </c>
    </row>
    <row r="6016">
      <c r="A6016" t="inlineStr">
        <is>
          <t>0abf24c14ad561abf404253403336457</t>
        </is>
      </c>
      <c r="B6016" s="29" t="n">
        <v>43181</v>
      </c>
      <c r="C6016" t="inlineStr">
        <is>
          <t>2018-03</t>
        </is>
      </c>
      <c r="D6016" t="inlineStr">
        <is>
          <t>649b7b8b46b254497e92038d88f6ced8</t>
        </is>
      </c>
      <c r="E6016" t="inlineStr">
        <is>
          <t>social</t>
        </is>
      </c>
      <c r="F6016">
        <f>IFERROR(MATCH(A6016,Deals!$A$2:$A$843,0),"")</f>
        <v/>
      </c>
      <c r="G6016">
        <f>IF(F6016="",0,1)</f>
        <v/>
      </c>
      <c r="H6016" s="29">
        <f>IF(F6016="","",INDEX(Deals!$E$2:$E$843,F6016))</f>
        <v/>
      </c>
      <c r="I6016">
        <f>IF(F6016="","",INDEX(Deals!$D$2:$D$843,F6016))</f>
        <v/>
      </c>
      <c r="J6016">
        <f>IF(F6016="","",INT(H6016)-B6016)</f>
        <v/>
      </c>
      <c r="K6016">
        <f>IF(B6016&gt;=Settings!$C$5,1,0)</f>
        <v/>
      </c>
    </row>
    <row r="6017">
      <c r="A6017" t="inlineStr">
        <is>
          <t>45f4ec2f92cda096fc01052b9f53dd89</t>
        </is>
      </c>
      <c r="B6017" s="29" t="n">
        <v>43203</v>
      </c>
      <c r="C6017" t="inlineStr">
        <is>
          <t>2018-04</t>
        </is>
      </c>
      <c r="D6017" t="inlineStr">
        <is>
          <t>b76ef37428e6799c421989521c0e5077</t>
        </is>
      </c>
      <c r="E6017" t="inlineStr">
        <is>
          <t>organic_search</t>
        </is>
      </c>
      <c r="F6017">
        <f>IFERROR(MATCH(A6017,Deals!$A$2:$A$843,0),"")</f>
        <v/>
      </c>
      <c r="G6017">
        <f>IF(F6017="",0,1)</f>
        <v/>
      </c>
      <c r="H6017" s="29">
        <f>IF(F6017="","",INDEX(Deals!$E$2:$E$843,F6017))</f>
        <v/>
      </c>
      <c r="I6017">
        <f>IF(F6017="","",INDEX(Deals!$D$2:$D$843,F6017))</f>
        <v/>
      </c>
      <c r="J6017">
        <f>IF(F6017="","",INT(H6017)-B6017)</f>
        <v/>
      </c>
      <c r="K6017">
        <f>IF(B6017&gt;=Settings!$C$5,1,0)</f>
        <v/>
      </c>
    </row>
    <row r="6018">
      <c r="A6018" t="inlineStr">
        <is>
          <t>87948c8b4e338f2a7518a1575b6af9d1</t>
        </is>
      </c>
      <c r="B6018" s="29" t="n">
        <v>43236</v>
      </c>
      <c r="C6018" t="inlineStr">
        <is>
          <t>2018-05</t>
        </is>
      </c>
      <c r="D6018" t="inlineStr">
        <is>
          <t>8ff57dffc365fcb5233232fff6e6bfd0</t>
        </is>
      </c>
      <c r="E6018" t="inlineStr">
        <is>
          <t>referral</t>
        </is>
      </c>
      <c r="F6018">
        <f>IFERROR(MATCH(A6018,Deals!$A$2:$A$843,0),"")</f>
        <v/>
      </c>
      <c r="G6018">
        <f>IF(F6018="",0,1)</f>
        <v/>
      </c>
      <c r="H6018" s="29">
        <f>IF(F6018="","",INDEX(Deals!$E$2:$E$843,F6018))</f>
        <v/>
      </c>
      <c r="I6018">
        <f>IF(F6018="","",INDEX(Deals!$D$2:$D$843,F6018))</f>
        <v/>
      </c>
      <c r="J6018">
        <f>IF(F6018="","",INT(H6018)-B6018)</f>
        <v/>
      </c>
      <c r="K6018">
        <f>IF(B6018&gt;=Settings!$C$5,1,0)</f>
        <v/>
      </c>
    </row>
    <row r="6019">
      <c r="A6019" t="inlineStr">
        <is>
          <t>0b921d8fd554dbac8df556dffc3828a6</t>
        </is>
      </c>
      <c r="B6019" s="29" t="n">
        <v>43158</v>
      </c>
      <c r="C6019" t="inlineStr">
        <is>
          <t>2018-02</t>
        </is>
      </c>
      <c r="D6019" t="inlineStr">
        <is>
          <t>57d5edb1844a746128fd1274524b94c7</t>
        </is>
      </c>
      <c r="E6019" t="inlineStr">
        <is>
          <t>unknown</t>
        </is>
      </c>
      <c r="F6019">
        <f>IFERROR(MATCH(A6019,Deals!$A$2:$A$843,0),"")</f>
        <v/>
      </c>
      <c r="G6019">
        <f>IF(F6019="",0,1)</f>
        <v/>
      </c>
      <c r="H6019" s="29">
        <f>IF(F6019="","",INDEX(Deals!$E$2:$E$843,F6019))</f>
        <v/>
      </c>
      <c r="I6019">
        <f>IF(F6019="","",INDEX(Deals!$D$2:$D$843,F6019))</f>
        <v/>
      </c>
      <c r="J6019">
        <f>IF(F6019="","",INT(H6019)-B6019)</f>
        <v/>
      </c>
      <c r="K6019">
        <f>IF(B6019&gt;=Settings!$C$5,1,0)</f>
        <v/>
      </c>
    </row>
    <row r="6020">
      <c r="A6020" t="inlineStr">
        <is>
          <t>46ab5450fe949e0ee25a2f9530b71e24</t>
        </is>
      </c>
      <c r="B6020" s="29" t="n">
        <v>43166</v>
      </c>
      <c r="C6020" t="inlineStr">
        <is>
          <t>2018-03</t>
        </is>
      </c>
      <c r="D6020" t="inlineStr">
        <is>
          <t>d83b0d0e48c8447d1d5507a44027a955</t>
        </is>
      </c>
      <c r="E6020" t="inlineStr">
        <is>
          <t>display</t>
        </is>
      </c>
      <c r="F6020">
        <f>IFERROR(MATCH(A6020,Deals!$A$2:$A$843,0),"")</f>
        <v/>
      </c>
      <c r="G6020">
        <f>IF(F6020="",0,1)</f>
        <v/>
      </c>
      <c r="H6020" s="29">
        <f>IF(F6020="","",INDEX(Deals!$E$2:$E$843,F6020))</f>
        <v/>
      </c>
      <c r="I6020">
        <f>IF(F6020="","",INDEX(Deals!$D$2:$D$843,F6020))</f>
        <v/>
      </c>
      <c r="J6020">
        <f>IF(F6020="","",INT(H6020)-B6020)</f>
        <v/>
      </c>
      <c r="K6020">
        <f>IF(B6020&gt;=Settings!$C$5,1,0)</f>
        <v/>
      </c>
    </row>
    <row r="6021">
      <c r="A6021" t="inlineStr">
        <is>
          <t>51d7eab534fbc97552ecb39280168cc5</t>
        </is>
      </c>
      <c r="B6021" s="29" t="n">
        <v>42966</v>
      </c>
      <c r="C6021" t="inlineStr">
        <is>
          <t>2017-08</t>
        </is>
      </c>
      <c r="D6021" t="inlineStr">
        <is>
          <t>87732658ba41d8775e8577df347a64db</t>
        </is>
      </c>
      <c r="E6021" t="inlineStr">
        <is>
          <t>social</t>
        </is>
      </c>
      <c r="F6021">
        <f>IFERROR(MATCH(A6021,Deals!$A$2:$A$843,0),"")</f>
        <v/>
      </c>
      <c r="G6021">
        <f>IF(F6021="",0,1)</f>
        <v/>
      </c>
      <c r="H6021" s="29">
        <f>IF(F6021="","",INDEX(Deals!$E$2:$E$843,F6021))</f>
        <v/>
      </c>
      <c r="I6021">
        <f>IF(F6021="","",INDEX(Deals!$D$2:$D$843,F6021))</f>
        <v/>
      </c>
      <c r="J6021">
        <f>IF(F6021="","",INT(H6021)-B6021)</f>
        <v/>
      </c>
      <c r="K6021">
        <f>IF(B6021&gt;=Settings!$C$5,1,0)</f>
        <v/>
      </c>
    </row>
    <row r="6022">
      <c r="A6022" t="inlineStr">
        <is>
          <t>3bcad4e7af821b33b29f7078b90ab75a</t>
        </is>
      </c>
      <c r="B6022" s="29" t="n">
        <v>43193</v>
      </c>
      <c r="C6022" t="inlineStr">
        <is>
          <t>2018-04</t>
        </is>
      </c>
      <c r="D6022" t="inlineStr">
        <is>
          <t>e492ee5eaf1697716985cc6f33f9cd9b</t>
        </is>
      </c>
      <c r="E6022" t="inlineStr">
        <is>
          <t>organic_search</t>
        </is>
      </c>
      <c r="F6022">
        <f>IFERROR(MATCH(A6022,Deals!$A$2:$A$843,0),"")</f>
        <v/>
      </c>
      <c r="G6022">
        <f>IF(F6022="",0,1)</f>
        <v/>
      </c>
      <c r="H6022" s="29">
        <f>IF(F6022="","",INDEX(Deals!$E$2:$E$843,F6022))</f>
        <v/>
      </c>
      <c r="I6022">
        <f>IF(F6022="","",INDEX(Deals!$D$2:$D$843,F6022))</f>
        <v/>
      </c>
      <c r="J6022">
        <f>IF(F6022="","",INT(H6022)-B6022)</f>
        <v/>
      </c>
      <c r="K6022">
        <f>IF(B6022&gt;=Settings!$C$5,1,0)</f>
        <v/>
      </c>
    </row>
    <row r="6023">
      <c r="A6023" t="inlineStr">
        <is>
          <t>b3b8a37feeb568ab00924c4aab1bb404</t>
        </is>
      </c>
      <c r="B6023" s="29" t="n">
        <v>43250</v>
      </c>
      <c r="C6023" t="inlineStr">
        <is>
          <t>2018-05</t>
        </is>
      </c>
      <c r="D6023" t="inlineStr">
        <is>
          <t>d823616cbcb84fff516db22f366caaa5</t>
        </is>
      </c>
      <c r="E6023" t="inlineStr">
        <is>
          <t>paid_search</t>
        </is>
      </c>
      <c r="F6023">
        <f>IFERROR(MATCH(A6023,Deals!$A$2:$A$843,0),"")</f>
        <v/>
      </c>
      <c r="G6023">
        <f>IF(F6023="",0,1)</f>
        <v/>
      </c>
      <c r="H6023" s="29">
        <f>IF(F6023="","",INDEX(Deals!$E$2:$E$843,F6023))</f>
        <v/>
      </c>
      <c r="I6023">
        <f>IF(F6023="","",INDEX(Deals!$D$2:$D$843,F6023))</f>
        <v/>
      </c>
      <c r="J6023">
        <f>IF(F6023="","",INT(H6023)-B6023)</f>
        <v/>
      </c>
      <c r="K6023">
        <f>IF(B6023&gt;=Settings!$C$5,1,0)</f>
        <v/>
      </c>
    </row>
    <row r="6024">
      <c r="A6024" t="inlineStr">
        <is>
          <t>bee5b758330f25c58d519d04485388b0</t>
        </is>
      </c>
      <c r="B6024" s="29" t="n">
        <v>43172</v>
      </c>
      <c r="C6024" t="inlineStr">
        <is>
          <t>2018-03</t>
        </is>
      </c>
      <c r="D6024" t="inlineStr">
        <is>
          <t>daa9619c6f8ed06d059265dca0f9257f</t>
        </is>
      </c>
      <c r="E6024" t="inlineStr">
        <is>
          <t>social</t>
        </is>
      </c>
      <c r="F6024">
        <f>IFERROR(MATCH(A6024,Deals!$A$2:$A$843,0),"")</f>
        <v/>
      </c>
      <c r="G6024">
        <f>IF(F6024="",0,1)</f>
        <v/>
      </c>
      <c r="H6024" s="29">
        <f>IF(F6024="","",INDEX(Deals!$E$2:$E$843,F6024))</f>
        <v/>
      </c>
      <c r="I6024">
        <f>IF(F6024="","",INDEX(Deals!$D$2:$D$843,F6024))</f>
        <v/>
      </c>
      <c r="J6024">
        <f>IF(F6024="","",INT(H6024)-B6024)</f>
        <v/>
      </c>
      <c r="K6024">
        <f>IF(B6024&gt;=Settings!$C$5,1,0)</f>
        <v/>
      </c>
    </row>
    <row r="6025">
      <c r="A6025" t="inlineStr">
        <is>
          <t>3a28dcc6580b3c654621295e81a0f41a</t>
        </is>
      </c>
      <c r="B6025" s="29" t="n">
        <v>43220</v>
      </c>
      <c r="C6025" t="inlineStr">
        <is>
          <t>2018-04</t>
        </is>
      </c>
      <c r="D6025" t="inlineStr">
        <is>
          <t>68f817c510c978e3a3a7474ad2aeb75c</t>
        </is>
      </c>
      <c r="E6025" t="inlineStr">
        <is>
          <t>paid_search</t>
        </is>
      </c>
      <c r="F6025">
        <f>IFERROR(MATCH(A6025,Deals!$A$2:$A$843,0),"")</f>
        <v/>
      </c>
      <c r="G6025">
        <f>IF(F6025="",0,1)</f>
        <v/>
      </c>
      <c r="H6025" s="29">
        <f>IF(F6025="","",INDEX(Deals!$E$2:$E$843,F6025))</f>
        <v/>
      </c>
      <c r="I6025">
        <f>IF(F6025="","",INDEX(Deals!$D$2:$D$843,F6025))</f>
        <v/>
      </c>
      <c r="J6025">
        <f>IF(F6025="","",INT(H6025)-B6025)</f>
        <v/>
      </c>
      <c r="K6025">
        <f>IF(B6025&gt;=Settings!$C$5,1,0)</f>
        <v/>
      </c>
    </row>
    <row r="6026">
      <c r="A6026" t="inlineStr">
        <is>
          <t>88a7d45c0b4b7c6d948ffff9e0be1de4</t>
        </is>
      </c>
      <c r="B6026" s="29" t="n">
        <v>43108</v>
      </c>
      <c r="C6026" t="inlineStr">
        <is>
          <t>2018-01</t>
        </is>
      </c>
      <c r="D6026" t="inlineStr">
        <is>
          <t>22c29808c4f815213303f8933030604c</t>
        </is>
      </c>
      <c r="E6026" t="inlineStr">
        <is>
          <t>organic_search</t>
        </is>
      </c>
      <c r="F6026">
        <f>IFERROR(MATCH(A6026,Deals!$A$2:$A$843,0),"")</f>
        <v/>
      </c>
      <c r="G6026">
        <f>IF(F6026="",0,1)</f>
        <v/>
      </c>
      <c r="H6026" s="29">
        <f>IF(F6026="","",INDEX(Deals!$E$2:$E$843,F6026))</f>
        <v/>
      </c>
      <c r="I6026">
        <f>IF(F6026="","",INDEX(Deals!$D$2:$D$843,F6026))</f>
        <v/>
      </c>
      <c r="J6026">
        <f>IF(F6026="","",INT(H6026)-B6026)</f>
        <v/>
      </c>
      <c r="K6026">
        <f>IF(B6026&gt;=Settings!$C$5,1,0)</f>
        <v/>
      </c>
    </row>
    <row r="6027">
      <c r="A6027" t="inlineStr">
        <is>
          <t>24e55cac9cc9e1404b6b557666901797</t>
        </is>
      </c>
      <c r="B6027" s="29" t="n">
        <v>43055</v>
      </c>
      <c r="C6027" t="inlineStr">
        <is>
          <t>2017-11</t>
        </is>
      </c>
      <c r="D6027" t="inlineStr">
        <is>
          <t>b76ef37428e6799c421989521c0e5077</t>
        </is>
      </c>
      <c r="E6027" t="inlineStr">
        <is>
          <t>organic_search</t>
        </is>
      </c>
      <c r="F6027">
        <f>IFERROR(MATCH(A6027,Deals!$A$2:$A$843,0),"")</f>
        <v/>
      </c>
      <c r="G6027">
        <f>IF(F6027="",0,1)</f>
        <v/>
      </c>
      <c r="H6027" s="29">
        <f>IF(F6027="","",INDEX(Deals!$E$2:$E$843,F6027))</f>
        <v/>
      </c>
      <c r="I6027">
        <f>IF(F6027="","",INDEX(Deals!$D$2:$D$843,F6027))</f>
        <v/>
      </c>
      <c r="J6027">
        <f>IF(F6027="","",INT(H6027)-B6027)</f>
        <v/>
      </c>
      <c r="K6027">
        <f>IF(B6027&gt;=Settings!$C$5,1,0)</f>
        <v/>
      </c>
    </row>
    <row r="6028">
      <c r="A6028" t="inlineStr">
        <is>
          <t>26b54d75fad5660ca6471905fe1793cf</t>
        </is>
      </c>
      <c r="B6028" s="29" t="n">
        <v>43125</v>
      </c>
      <c r="C6028" t="inlineStr">
        <is>
          <t>2018-01</t>
        </is>
      </c>
      <c r="D6028" t="inlineStr">
        <is>
          <t>40dec9f3d5259a3d2dbcdab2114fae47</t>
        </is>
      </c>
      <c r="E6028" t="inlineStr">
        <is>
          <t>unknown</t>
        </is>
      </c>
      <c r="F6028">
        <f>IFERROR(MATCH(A6028,Deals!$A$2:$A$843,0),"")</f>
        <v/>
      </c>
      <c r="G6028">
        <f>IF(F6028="",0,1)</f>
        <v/>
      </c>
      <c r="H6028" s="29">
        <f>IF(F6028="","",INDEX(Deals!$E$2:$E$843,F6028))</f>
        <v/>
      </c>
      <c r="I6028">
        <f>IF(F6028="","",INDEX(Deals!$D$2:$D$843,F6028))</f>
        <v/>
      </c>
      <c r="J6028">
        <f>IF(F6028="","",INT(H6028)-B6028)</f>
        <v/>
      </c>
      <c r="K6028">
        <f>IF(B6028&gt;=Settings!$C$5,1,0)</f>
        <v/>
      </c>
    </row>
    <row r="6029">
      <c r="A6029" t="inlineStr">
        <is>
          <t>0113c64ca9d9475255c5d0d83e6d2367</t>
        </is>
      </c>
      <c r="B6029" s="29" t="n">
        <v>43121</v>
      </c>
      <c r="C6029" t="inlineStr">
        <is>
          <t>2018-01</t>
        </is>
      </c>
      <c r="D6029" t="inlineStr">
        <is>
          <t>ce1a65abd0973638f1c887a6efcfa82d</t>
        </is>
      </c>
      <c r="E6029" t="inlineStr">
        <is>
          <t>organic_search</t>
        </is>
      </c>
      <c r="F6029">
        <f>IFERROR(MATCH(A6029,Deals!$A$2:$A$843,0),"")</f>
        <v/>
      </c>
      <c r="G6029">
        <f>IF(F6029="",0,1)</f>
        <v/>
      </c>
      <c r="H6029" s="29">
        <f>IF(F6029="","",INDEX(Deals!$E$2:$E$843,F6029))</f>
        <v/>
      </c>
      <c r="I6029">
        <f>IF(F6029="","",INDEX(Deals!$D$2:$D$843,F6029))</f>
        <v/>
      </c>
      <c r="J6029">
        <f>IF(F6029="","",INT(H6029)-B6029)</f>
        <v/>
      </c>
      <c r="K6029">
        <f>IF(B6029&gt;=Settings!$C$5,1,0)</f>
        <v/>
      </c>
    </row>
    <row r="6030">
      <c r="A6030" t="inlineStr">
        <is>
          <t>8e8336b19eec4f492acff4a97a5a4bf4</t>
        </is>
      </c>
      <c r="B6030" s="29" t="n">
        <v>43248</v>
      </c>
      <c r="C6030" t="inlineStr">
        <is>
          <t>2018-05</t>
        </is>
      </c>
      <c r="D6030" t="inlineStr">
        <is>
          <t>40dec9f3d5259a3d2dbcdab2114fae47</t>
        </is>
      </c>
      <c r="E6030" t="inlineStr">
        <is>
          <t>paid_search</t>
        </is>
      </c>
      <c r="F6030">
        <f>IFERROR(MATCH(A6030,Deals!$A$2:$A$843,0),"")</f>
        <v/>
      </c>
      <c r="G6030">
        <f>IF(F6030="",0,1)</f>
        <v/>
      </c>
      <c r="H6030" s="29">
        <f>IF(F6030="","",INDEX(Deals!$E$2:$E$843,F6030))</f>
        <v/>
      </c>
      <c r="I6030">
        <f>IF(F6030="","",INDEX(Deals!$D$2:$D$843,F6030))</f>
        <v/>
      </c>
      <c r="J6030">
        <f>IF(F6030="","",INT(H6030)-B6030)</f>
        <v/>
      </c>
      <c r="K6030">
        <f>IF(B6030&gt;=Settings!$C$5,1,0)</f>
        <v/>
      </c>
    </row>
    <row r="6031">
      <c r="A6031" t="inlineStr">
        <is>
          <t>de680b2a19ca196c0b15309896e895fe</t>
        </is>
      </c>
      <c r="B6031" s="29" t="n">
        <v>43206</v>
      </c>
      <c r="C6031" t="inlineStr">
        <is>
          <t>2018-04</t>
        </is>
      </c>
      <c r="D6031" t="inlineStr">
        <is>
          <t>b48ec5f3b04e9068441002a19df93c6c</t>
        </is>
      </c>
      <c r="E6031" t="inlineStr">
        <is>
          <t>organic_search</t>
        </is>
      </c>
      <c r="F6031">
        <f>IFERROR(MATCH(A6031,Deals!$A$2:$A$843,0),"")</f>
        <v/>
      </c>
      <c r="G6031">
        <f>IF(F6031="",0,1)</f>
        <v/>
      </c>
      <c r="H6031" s="29">
        <f>IF(F6031="","",INDEX(Deals!$E$2:$E$843,F6031))</f>
        <v/>
      </c>
      <c r="I6031">
        <f>IF(F6031="","",INDEX(Deals!$D$2:$D$843,F6031))</f>
        <v/>
      </c>
      <c r="J6031">
        <f>IF(F6031="","",INT(H6031)-B6031)</f>
        <v/>
      </c>
      <c r="K6031">
        <f>IF(B6031&gt;=Settings!$C$5,1,0)</f>
        <v/>
      </c>
    </row>
    <row r="6032">
      <c r="A6032" t="inlineStr">
        <is>
          <t>2b35567523c67c1a9c32ef101ae7bc73</t>
        </is>
      </c>
      <c r="B6032" s="29" t="n">
        <v>43173</v>
      </c>
      <c r="C6032" t="inlineStr">
        <is>
          <t>2018-03</t>
        </is>
      </c>
      <c r="D6032" t="inlineStr">
        <is>
          <t>2635743d5842a4475730345cf894efce</t>
        </is>
      </c>
      <c r="E6032" t="inlineStr">
        <is>
          <t>(missing)</t>
        </is>
      </c>
      <c r="F6032">
        <f>IFERROR(MATCH(A6032,Deals!$A$2:$A$843,0),"")</f>
        <v/>
      </c>
      <c r="G6032">
        <f>IF(F6032="",0,1)</f>
        <v/>
      </c>
      <c r="H6032" s="29">
        <f>IF(F6032="","",INDEX(Deals!$E$2:$E$843,F6032))</f>
        <v/>
      </c>
      <c r="I6032">
        <f>IF(F6032="","",INDEX(Deals!$D$2:$D$843,F6032))</f>
        <v/>
      </c>
      <c r="J6032">
        <f>IF(F6032="","",INT(H6032)-B6032)</f>
        <v/>
      </c>
      <c r="K6032">
        <f>IF(B6032&gt;=Settings!$C$5,1,0)</f>
        <v/>
      </c>
    </row>
    <row r="6033">
      <c r="A6033" t="inlineStr">
        <is>
          <t>bce8cad7949fc4fbc98789c5303a7a3c</t>
        </is>
      </c>
      <c r="B6033" s="29" t="n">
        <v>42989</v>
      </c>
      <c r="C6033" t="inlineStr">
        <is>
          <t>2017-09</t>
        </is>
      </c>
      <c r="D6033" t="inlineStr">
        <is>
          <t>65d9f9d71e562365e8b44037c2888d98</t>
        </is>
      </c>
      <c r="E6033" t="inlineStr">
        <is>
          <t>paid_search</t>
        </is>
      </c>
      <c r="F6033">
        <f>IFERROR(MATCH(A6033,Deals!$A$2:$A$843,0),"")</f>
        <v/>
      </c>
      <c r="G6033">
        <f>IF(F6033="",0,1)</f>
        <v/>
      </c>
      <c r="H6033" s="29">
        <f>IF(F6033="","",INDEX(Deals!$E$2:$E$843,F6033))</f>
        <v/>
      </c>
      <c r="I6033">
        <f>IF(F6033="","",INDEX(Deals!$D$2:$D$843,F6033))</f>
        <v/>
      </c>
      <c r="J6033">
        <f>IF(F6033="","",INT(H6033)-B6033)</f>
        <v/>
      </c>
      <c r="K6033">
        <f>IF(B6033&gt;=Settings!$C$5,1,0)</f>
        <v/>
      </c>
    </row>
    <row r="6034">
      <c r="A6034" t="inlineStr">
        <is>
          <t>17742c3d43166d898221d20c95db7b1f</t>
        </is>
      </c>
      <c r="B6034" s="29" t="n">
        <v>43146</v>
      </c>
      <c r="C6034" t="inlineStr">
        <is>
          <t>2018-02</t>
        </is>
      </c>
      <c r="D6034" t="inlineStr">
        <is>
          <t>73f31a40697cc90a86c1273563ac230e</t>
        </is>
      </c>
      <c r="E6034" t="inlineStr">
        <is>
          <t>organic_search</t>
        </is>
      </c>
      <c r="F6034">
        <f>IFERROR(MATCH(A6034,Deals!$A$2:$A$843,0),"")</f>
        <v/>
      </c>
      <c r="G6034">
        <f>IF(F6034="",0,1)</f>
        <v/>
      </c>
      <c r="H6034" s="29">
        <f>IF(F6034="","",INDEX(Deals!$E$2:$E$843,F6034))</f>
        <v/>
      </c>
      <c r="I6034">
        <f>IF(F6034="","",INDEX(Deals!$D$2:$D$843,F6034))</f>
        <v/>
      </c>
      <c r="J6034">
        <f>IF(F6034="","",INT(H6034)-B6034)</f>
        <v/>
      </c>
      <c r="K6034">
        <f>IF(B6034&gt;=Settings!$C$5,1,0)</f>
        <v/>
      </c>
    </row>
    <row r="6035">
      <c r="A6035" t="inlineStr">
        <is>
          <t>40be5e4d343432ae4ae2145b6bb3139f</t>
        </is>
      </c>
      <c r="B6035" s="29" t="n">
        <v>43201</v>
      </c>
      <c r="C6035" t="inlineStr">
        <is>
          <t>2018-04</t>
        </is>
      </c>
      <c r="D6035" t="inlineStr">
        <is>
          <t>ce1a65abd0973638f1c887a6efcfa82d</t>
        </is>
      </c>
      <c r="E6035" t="inlineStr">
        <is>
          <t>organic_search</t>
        </is>
      </c>
      <c r="F6035">
        <f>IFERROR(MATCH(A6035,Deals!$A$2:$A$843,0),"")</f>
        <v/>
      </c>
      <c r="G6035">
        <f>IF(F6035="",0,1)</f>
        <v/>
      </c>
      <c r="H6035" s="29">
        <f>IF(F6035="","",INDEX(Deals!$E$2:$E$843,F6035))</f>
        <v/>
      </c>
      <c r="I6035">
        <f>IF(F6035="","",INDEX(Deals!$D$2:$D$843,F6035))</f>
        <v/>
      </c>
      <c r="J6035">
        <f>IF(F6035="","",INT(H6035)-B6035)</f>
        <v/>
      </c>
      <c r="K6035">
        <f>IF(B6035&gt;=Settings!$C$5,1,0)</f>
        <v/>
      </c>
    </row>
    <row r="6036">
      <c r="A6036" t="inlineStr">
        <is>
          <t>9d1c3eae963a3752665ccb69cd7ac781</t>
        </is>
      </c>
      <c r="B6036" s="29" t="n">
        <v>43244</v>
      </c>
      <c r="C6036" t="inlineStr">
        <is>
          <t>2018-05</t>
        </is>
      </c>
      <c r="D6036" t="inlineStr">
        <is>
          <t>58326e62183c14b0c03085c33b9fdc44</t>
        </is>
      </c>
      <c r="E6036" t="inlineStr">
        <is>
          <t>social</t>
        </is>
      </c>
      <c r="F6036">
        <f>IFERROR(MATCH(A6036,Deals!$A$2:$A$843,0),"")</f>
        <v/>
      </c>
      <c r="G6036">
        <f>IF(F6036="",0,1)</f>
        <v/>
      </c>
      <c r="H6036" s="29">
        <f>IF(F6036="","",INDEX(Deals!$E$2:$E$843,F6036))</f>
        <v/>
      </c>
      <c r="I6036">
        <f>IF(F6036="","",INDEX(Deals!$D$2:$D$843,F6036))</f>
        <v/>
      </c>
      <c r="J6036">
        <f>IF(F6036="","",INT(H6036)-B6036)</f>
        <v/>
      </c>
      <c r="K6036">
        <f>IF(B6036&gt;=Settings!$C$5,1,0)</f>
        <v/>
      </c>
    </row>
    <row r="6037">
      <c r="A6037" t="inlineStr">
        <is>
          <t>17619ffd8ea725e27cd249494576175a</t>
        </is>
      </c>
      <c r="B6037" s="29" t="n">
        <v>43180</v>
      </c>
      <c r="C6037" t="inlineStr">
        <is>
          <t>2018-03</t>
        </is>
      </c>
      <c r="D6037" t="inlineStr">
        <is>
          <t>b76ef37428e6799c421989521c0e5077</t>
        </is>
      </c>
      <c r="E6037" t="inlineStr">
        <is>
          <t>unknown</t>
        </is>
      </c>
      <c r="F6037">
        <f>IFERROR(MATCH(A6037,Deals!$A$2:$A$843,0),"")</f>
        <v/>
      </c>
      <c r="G6037">
        <f>IF(F6037="",0,1)</f>
        <v/>
      </c>
      <c r="H6037" s="29">
        <f>IF(F6037="","",INDEX(Deals!$E$2:$E$843,F6037))</f>
        <v/>
      </c>
      <c r="I6037">
        <f>IF(F6037="","",INDEX(Deals!$D$2:$D$843,F6037))</f>
        <v/>
      </c>
      <c r="J6037">
        <f>IF(F6037="","",INT(H6037)-B6037)</f>
        <v/>
      </c>
      <c r="K6037">
        <f>IF(B6037&gt;=Settings!$C$5,1,0)</f>
        <v/>
      </c>
    </row>
    <row r="6038">
      <c r="A6038" t="inlineStr">
        <is>
          <t>6dcb35fd55d25d92c4a08f67ec636059</t>
        </is>
      </c>
      <c r="B6038" s="29" t="n">
        <v>43166</v>
      </c>
      <c r="C6038" t="inlineStr">
        <is>
          <t>2018-03</t>
        </is>
      </c>
      <c r="D6038" t="inlineStr">
        <is>
          <t>88740e65d5d6b056e0cda098e1ea6313</t>
        </is>
      </c>
      <c r="E6038" t="inlineStr">
        <is>
          <t>social</t>
        </is>
      </c>
      <c r="F6038">
        <f>IFERROR(MATCH(A6038,Deals!$A$2:$A$843,0),"")</f>
        <v/>
      </c>
      <c r="G6038">
        <f>IF(F6038="",0,1)</f>
        <v/>
      </c>
      <c r="H6038" s="29">
        <f>IF(F6038="","",INDEX(Deals!$E$2:$E$843,F6038))</f>
        <v/>
      </c>
      <c r="I6038">
        <f>IF(F6038="","",INDEX(Deals!$D$2:$D$843,F6038))</f>
        <v/>
      </c>
      <c r="J6038">
        <f>IF(F6038="","",INT(H6038)-B6038)</f>
        <v/>
      </c>
      <c r="K6038">
        <f>IF(B6038&gt;=Settings!$C$5,1,0)</f>
        <v/>
      </c>
    </row>
    <row r="6039">
      <c r="A6039" t="inlineStr">
        <is>
          <t>9615ea4b6f188dd196b6eea0965f539e</t>
        </is>
      </c>
      <c r="B6039" s="29" t="n">
        <v>43201</v>
      </c>
      <c r="C6039" t="inlineStr">
        <is>
          <t>2018-04</t>
        </is>
      </c>
      <c r="D6039" t="inlineStr">
        <is>
          <t>ce1a65abd0973638f1c887a6efcfa82d</t>
        </is>
      </c>
      <c r="E6039" t="inlineStr">
        <is>
          <t>organic_search</t>
        </is>
      </c>
      <c r="F6039">
        <f>IFERROR(MATCH(A6039,Deals!$A$2:$A$843,0),"")</f>
        <v/>
      </c>
      <c r="G6039">
        <f>IF(F6039="",0,1)</f>
        <v/>
      </c>
      <c r="H6039" s="29">
        <f>IF(F6039="","",INDEX(Deals!$E$2:$E$843,F6039))</f>
        <v/>
      </c>
      <c r="I6039">
        <f>IF(F6039="","",INDEX(Deals!$D$2:$D$843,F6039))</f>
        <v/>
      </c>
      <c r="J6039">
        <f>IF(F6039="","",INT(H6039)-B6039)</f>
        <v/>
      </c>
      <c r="K6039">
        <f>IF(B6039&gt;=Settings!$C$5,1,0)</f>
        <v/>
      </c>
    </row>
    <row r="6040">
      <c r="A6040" t="inlineStr">
        <is>
          <t>3941f8c06948efb0e9103601c92034ac</t>
        </is>
      </c>
      <c r="B6040" s="29" t="n">
        <v>43221</v>
      </c>
      <c r="C6040" t="inlineStr">
        <is>
          <t>2018-05</t>
        </is>
      </c>
      <c r="D6040" t="inlineStr">
        <is>
          <t>fa5a0151e1f37d0055a3478fbb48827a</t>
        </is>
      </c>
      <c r="E6040" t="inlineStr">
        <is>
          <t>paid_search</t>
        </is>
      </c>
      <c r="F6040">
        <f>IFERROR(MATCH(A6040,Deals!$A$2:$A$843,0),"")</f>
        <v/>
      </c>
      <c r="G6040">
        <f>IF(F6040="",0,1)</f>
        <v/>
      </c>
      <c r="H6040" s="29">
        <f>IF(F6040="","",INDEX(Deals!$E$2:$E$843,F6040))</f>
        <v/>
      </c>
      <c r="I6040">
        <f>IF(F6040="","",INDEX(Deals!$D$2:$D$843,F6040))</f>
        <v/>
      </c>
      <c r="J6040">
        <f>IF(F6040="","",INT(H6040)-B6040)</f>
        <v/>
      </c>
      <c r="K6040">
        <f>IF(B6040&gt;=Settings!$C$5,1,0)</f>
        <v/>
      </c>
    </row>
    <row r="6041">
      <c r="A6041" t="inlineStr">
        <is>
          <t>acc51fbcbcb7e218430df58a98d4a181</t>
        </is>
      </c>
      <c r="B6041" s="29" t="n">
        <v>43157</v>
      </c>
      <c r="C6041" t="inlineStr">
        <is>
          <t>2018-02</t>
        </is>
      </c>
      <c r="D6041" t="inlineStr">
        <is>
          <t>0e5a178e3cd2368607f3e72f46140476</t>
        </is>
      </c>
      <c r="E6041" t="inlineStr">
        <is>
          <t>email</t>
        </is>
      </c>
      <c r="F6041">
        <f>IFERROR(MATCH(A6041,Deals!$A$2:$A$843,0),"")</f>
        <v/>
      </c>
      <c r="G6041">
        <f>IF(F6041="",0,1)</f>
        <v/>
      </c>
      <c r="H6041" s="29">
        <f>IF(F6041="","",INDEX(Deals!$E$2:$E$843,F6041))</f>
        <v/>
      </c>
      <c r="I6041">
        <f>IF(F6041="","",INDEX(Deals!$D$2:$D$843,F6041))</f>
        <v/>
      </c>
      <c r="J6041">
        <f>IF(F6041="","",INT(H6041)-B6041)</f>
        <v/>
      </c>
      <c r="K6041">
        <f>IF(B6041&gt;=Settings!$C$5,1,0)</f>
        <v/>
      </c>
    </row>
    <row r="6042">
      <c r="A6042" t="inlineStr">
        <is>
          <t>307c35d496ae3dffcfc3fa7eb02c692e</t>
        </is>
      </c>
      <c r="B6042" s="29" t="n">
        <v>43025</v>
      </c>
      <c r="C6042" t="inlineStr">
        <is>
          <t>2017-10</t>
        </is>
      </c>
      <c r="D6042" t="inlineStr">
        <is>
          <t>c05f0fd41e79d7811221253e0d4eadc8</t>
        </is>
      </c>
      <c r="E6042" t="inlineStr">
        <is>
          <t>unknown</t>
        </is>
      </c>
      <c r="F6042">
        <f>IFERROR(MATCH(A6042,Deals!$A$2:$A$843,0),"")</f>
        <v/>
      </c>
      <c r="G6042">
        <f>IF(F6042="",0,1)</f>
        <v/>
      </c>
      <c r="H6042" s="29">
        <f>IF(F6042="","",INDEX(Deals!$E$2:$E$843,F6042))</f>
        <v/>
      </c>
      <c r="I6042">
        <f>IF(F6042="","",INDEX(Deals!$D$2:$D$843,F6042))</f>
        <v/>
      </c>
      <c r="J6042">
        <f>IF(F6042="","",INT(H6042)-B6042)</f>
        <v/>
      </c>
      <c r="K6042">
        <f>IF(B6042&gt;=Settings!$C$5,1,0)</f>
        <v/>
      </c>
    </row>
    <row r="6043">
      <c r="A6043" t="inlineStr">
        <is>
          <t>6591c2bacb2f38c5a1da173a284be004</t>
        </is>
      </c>
      <c r="B6043" s="29" t="n">
        <v>43042</v>
      </c>
      <c r="C6043" t="inlineStr">
        <is>
          <t>2017-11</t>
        </is>
      </c>
      <c r="D6043" t="inlineStr">
        <is>
          <t>88740e65d5d6b056e0cda098e1ea6313</t>
        </is>
      </c>
      <c r="E6043" t="inlineStr">
        <is>
          <t>social</t>
        </is>
      </c>
      <c r="F6043">
        <f>IFERROR(MATCH(A6043,Deals!$A$2:$A$843,0),"")</f>
        <v/>
      </c>
      <c r="G6043">
        <f>IF(F6043="",0,1)</f>
        <v/>
      </c>
      <c r="H6043" s="29">
        <f>IF(F6043="","",INDEX(Deals!$E$2:$E$843,F6043))</f>
        <v/>
      </c>
      <c r="I6043">
        <f>IF(F6043="","",INDEX(Deals!$D$2:$D$843,F6043))</f>
        <v/>
      </c>
      <c r="J6043">
        <f>IF(F6043="","",INT(H6043)-B6043)</f>
        <v/>
      </c>
      <c r="K6043">
        <f>IF(B6043&gt;=Settings!$C$5,1,0)</f>
        <v/>
      </c>
    </row>
    <row r="6044">
      <c r="A6044" t="inlineStr">
        <is>
          <t>b7444aa33236c190c7e81510bedfc9f4</t>
        </is>
      </c>
      <c r="B6044" s="29" t="n">
        <v>43118</v>
      </c>
      <c r="C6044" t="inlineStr">
        <is>
          <t>2018-01</t>
        </is>
      </c>
      <c r="D6044" t="inlineStr">
        <is>
          <t>f017be4dbf86243af5c1ebed0cff36a2</t>
        </is>
      </c>
      <c r="E6044" t="inlineStr">
        <is>
          <t>unknown</t>
        </is>
      </c>
      <c r="F6044">
        <f>IFERROR(MATCH(A6044,Deals!$A$2:$A$843,0),"")</f>
        <v/>
      </c>
      <c r="G6044">
        <f>IF(F6044="",0,1)</f>
        <v/>
      </c>
      <c r="H6044" s="29">
        <f>IF(F6044="","",INDEX(Deals!$E$2:$E$843,F6044))</f>
        <v/>
      </c>
      <c r="I6044">
        <f>IF(F6044="","",INDEX(Deals!$D$2:$D$843,F6044))</f>
        <v/>
      </c>
      <c r="J6044">
        <f>IF(F6044="","",INT(H6044)-B6044)</f>
        <v/>
      </c>
      <c r="K6044">
        <f>IF(B6044&gt;=Settings!$C$5,1,0)</f>
        <v/>
      </c>
    </row>
    <row r="6045">
      <c r="A6045" t="inlineStr">
        <is>
          <t>2329c2ed32352097d6b22e06b9e954ee</t>
        </is>
      </c>
      <c r="B6045" s="29" t="n">
        <v>43211</v>
      </c>
      <c r="C6045" t="inlineStr">
        <is>
          <t>2018-04</t>
        </is>
      </c>
      <c r="D6045" t="inlineStr">
        <is>
          <t>22c29808c4f815213303f8933030604c</t>
        </is>
      </c>
      <c r="E6045" t="inlineStr">
        <is>
          <t>direct_traffic</t>
        </is>
      </c>
      <c r="F6045">
        <f>IFERROR(MATCH(A6045,Deals!$A$2:$A$843,0),"")</f>
        <v/>
      </c>
      <c r="G6045">
        <f>IF(F6045="",0,1)</f>
        <v/>
      </c>
      <c r="H6045" s="29">
        <f>IF(F6045="","",INDEX(Deals!$E$2:$E$843,F6045))</f>
        <v/>
      </c>
      <c r="I6045">
        <f>IF(F6045="","",INDEX(Deals!$D$2:$D$843,F6045))</f>
        <v/>
      </c>
      <c r="J6045">
        <f>IF(F6045="","",INT(H6045)-B6045)</f>
        <v/>
      </c>
      <c r="K6045">
        <f>IF(B6045&gt;=Settings!$C$5,1,0)</f>
        <v/>
      </c>
    </row>
    <row r="6046">
      <c r="A6046" t="inlineStr">
        <is>
          <t>8abd9143c60963e01449abdf2f36328b</t>
        </is>
      </c>
      <c r="B6046" s="29" t="n">
        <v>43216</v>
      </c>
      <c r="C6046" t="inlineStr">
        <is>
          <t>2018-04</t>
        </is>
      </c>
      <c r="D6046" t="inlineStr">
        <is>
          <t>1ceb590cd1e00c7ee95220971f82693d</t>
        </is>
      </c>
      <c r="E6046" t="inlineStr">
        <is>
          <t>paid_search</t>
        </is>
      </c>
      <c r="F6046">
        <f>IFERROR(MATCH(A6046,Deals!$A$2:$A$843,0),"")</f>
        <v/>
      </c>
      <c r="G6046">
        <f>IF(F6046="",0,1)</f>
        <v/>
      </c>
      <c r="H6046" s="29">
        <f>IF(F6046="","",INDEX(Deals!$E$2:$E$843,F6046))</f>
        <v/>
      </c>
      <c r="I6046">
        <f>IF(F6046="","",INDEX(Deals!$D$2:$D$843,F6046))</f>
        <v/>
      </c>
      <c r="J6046">
        <f>IF(F6046="","",INT(H6046)-B6046)</f>
        <v/>
      </c>
      <c r="K6046">
        <f>IF(B6046&gt;=Settings!$C$5,1,0)</f>
        <v/>
      </c>
    </row>
    <row r="6047">
      <c r="A6047" t="inlineStr">
        <is>
          <t>05cd9795646d1077a743ada13fbc2c62</t>
        </is>
      </c>
      <c r="B6047" s="29" t="n">
        <v>43118</v>
      </c>
      <c r="C6047" t="inlineStr">
        <is>
          <t>2018-01</t>
        </is>
      </c>
      <c r="D6047" t="inlineStr">
        <is>
          <t>40dec9f3d5259a3d2dbcdab2114fae47</t>
        </is>
      </c>
      <c r="E6047" t="inlineStr">
        <is>
          <t>paid_search</t>
        </is>
      </c>
      <c r="F6047">
        <f>IFERROR(MATCH(A6047,Deals!$A$2:$A$843,0),"")</f>
        <v/>
      </c>
      <c r="G6047">
        <f>IF(F6047="",0,1)</f>
        <v/>
      </c>
      <c r="H6047" s="29">
        <f>IF(F6047="","",INDEX(Deals!$E$2:$E$843,F6047))</f>
        <v/>
      </c>
      <c r="I6047">
        <f>IF(F6047="","",INDEX(Deals!$D$2:$D$843,F6047))</f>
        <v/>
      </c>
      <c r="J6047">
        <f>IF(F6047="","",INT(H6047)-B6047)</f>
        <v/>
      </c>
      <c r="K6047">
        <f>IF(B6047&gt;=Settings!$C$5,1,0)</f>
        <v/>
      </c>
    </row>
    <row r="6048">
      <c r="A6048" t="inlineStr">
        <is>
          <t>a22756dc4eff1df12a9996c7752df09e</t>
        </is>
      </c>
      <c r="B6048" s="29" t="n">
        <v>43154</v>
      </c>
      <c r="C6048" t="inlineStr">
        <is>
          <t>2018-02</t>
        </is>
      </c>
      <c r="D6048" t="inlineStr">
        <is>
          <t>40dec9f3d5259a3d2dbcdab2114fae47</t>
        </is>
      </c>
      <c r="E6048" t="inlineStr">
        <is>
          <t>paid_search</t>
        </is>
      </c>
      <c r="F6048">
        <f>IFERROR(MATCH(A6048,Deals!$A$2:$A$843,0),"")</f>
        <v/>
      </c>
      <c r="G6048">
        <f>IF(F6048="",0,1)</f>
        <v/>
      </c>
      <c r="H6048" s="29">
        <f>IF(F6048="","",INDEX(Deals!$E$2:$E$843,F6048))</f>
        <v/>
      </c>
      <c r="I6048">
        <f>IF(F6048="","",INDEX(Deals!$D$2:$D$843,F6048))</f>
        <v/>
      </c>
      <c r="J6048">
        <f>IF(F6048="","",INT(H6048)-B6048)</f>
        <v/>
      </c>
      <c r="K6048">
        <f>IF(B6048&gt;=Settings!$C$5,1,0)</f>
        <v/>
      </c>
    </row>
    <row r="6049">
      <c r="A6049" t="inlineStr">
        <is>
          <t>6e27be9c3876f321e484dd39f98151c5</t>
        </is>
      </c>
      <c r="B6049" s="29" t="n">
        <v>43115</v>
      </c>
      <c r="C6049" t="inlineStr">
        <is>
          <t>2018-01</t>
        </is>
      </c>
      <c r="D6049" t="inlineStr">
        <is>
          <t>22c29808c4f815213303f8933030604c</t>
        </is>
      </c>
      <c r="E6049" t="inlineStr">
        <is>
          <t>organic_search</t>
        </is>
      </c>
      <c r="F6049">
        <f>IFERROR(MATCH(A6049,Deals!$A$2:$A$843,0),"")</f>
        <v/>
      </c>
      <c r="G6049">
        <f>IF(F6049="",0,1)</f>
        <v/>
      </c>
      <c r="H6049" s="29">
        <f>IF(F6049="","",INDEX(Deals!$E$2:$E$843,F6049))</f>
        <v/>
      </c>
      <c r="I6049">
        <f>IF(F6049="","",INDEX(Deals!$D$2:$D$843,F6049))</f>
        <v/>
      </c>
      <c r="J6049">
        <f>IF(F6049="","",INT(H6049)-B6049)</f>
        <v/>
      </c>
      <c r="K6049">
        <f>IF(B6049&gt;=Settings!$C$5,1,0)</f>
        <v/>
      </c>
    </row>
    <row r="6050">
      <c r="A6050" t="inlineStr">
        <is>
          <t>748fab8b7e42bd2467a07cbd200034b2</t>
        </is>
      </c>
      <c r="B6050" s="29" t="n">
        <v>43235</v>
      </c>
      <c r="C6050" t="inlineStr">
        <is>
          <t>2018-05</t>
        </is>
      </c>
      <c r="D6050" t="inlineStr">
        <is>
          <t>1ceb590cd1e00c7ee95220971f82693d</t>
        </is>
      </c>
      <c r="E6050" t="inlineStr">
        <is>
          <t>paid_search</t>
        </is>
      </c>
      <c r="F6050">
        <f>IFERROR(MATCH(A6050,Deals!$A$2:$A$843,0),"")</f>
        <v/>
      </c>
      <c r="G6050">
        <f>IF(F6050="",0,1)</f>
        <v/>
      </c>
      <c r="H6050" s="29">
        <f>IF(F6050="","",INDEX(Deals!$E$2:$E$843,F6050))</f>
        <v/>
      </c>
      <c r="I6050">
        <f>IF(F6050="","",INDEX(Deals!$D$2:$D$843,F6050))</f>
        <v/>
      </c>
      <c r="J6050">
        <f>IF(F6050="","",INT(H6050)-B6050)</f>
        <v/>
      </c>
      <c r="K6050">
        <f>IF(B6050&gt;=Settings!$C$5,1,0)</f>
        <v/>
      </c>
    </row>
    <row r="6051">
      <c r="A6051" t="inlineStr">
        <is>
          <t>963172122a0c8dad5d8a9cf46f21f5e2</t>
        </is>
      </c>
      <c r="B6051" s="29" t="n">
        <v>43194</v>
      </c>
      <c r="C6051" t="inlineStr">
        <is>
          <t>2018-04</t>
        </is>
      </c>
      <c r="D6051" t="inlineStr">
        <is>
          <t>58326e62183c14b0c03085c33b9fdc44</t>
        </is>
      </c>
      <c r="E6051" t="inlineStr">
        <is>
          <t>social</t>
        </is>
      </c>
      <c r="F6051">
        <f>IFERROR(MATCH(A6051,Deals!$A$2:$A$843,0),"")</f>
        <v/>
      </c>
      <c r="G6051">
        <f>IF(F6051="",0,1)</f>
        <v/>
      </c>
      <c r="H6051" s="29">
        <f>IF(F6051="","",INDEX(Deals!$E$2:$E$843,F6051))</f>
        <v/>
      </c>
      <c r="I6051">
        <f>IF(F6051="","",INDEX(Deals!$D$2:$D$843,F6051))</f>
        <v/>
      </c>
      <c r="J6051">
        <f>IF(F6051="","",INT(H6051)-B6051)</f>
        <v/>
      </c>
      <c r="K6051">
        <f>IF(B6051&gt;=Settings!$C$5,1,0)</f>
        <v/>
      </c>
    </row>
    <row r="6052">
      <c r="A6052" t="inlineStr">
        <is>
          <t>5ce2c548b89181fc2a9b18df3882603e</t>
        </is>
      </c>
      <c r="B6052" s="29" t="n">
        <v>43179</v>
      </c>
      <c r="C6052" t="inlineStr">
        <is>
          <t>2018-03</t>
        </is>
      </c>
      <c r="D6052" t="inlineStr">
        <is>
          <t>40dec9f3d5259a3d2dbcdab2114fae47</t>
        </is>
      </c>
      <c r="E6052" t="inlineStr">
        <is>
          <t>unknown</t>
        </is>
      </c>
      <c r="F6052">
        <f>IFERROR(MATCH(A6052,Deals!$A$2:$A$843,0),"")</f>
        <v/>
      </c>
      <c r="G6052">
        <f>IF(F6052="",0,1)</f>
        <v/>
      </c>
      <c r="H6052" s="29">
        <f>IF(F6052="","",INDEX(Deals!$E$2:$E$843,F6052))</f>
        <v/>
      </c>
      <c r="I6052">
        <f>IF(F6052="","",INDEX(Deals!$D$2:$D$843,F6052))</f>
        <v/>
      </c>
      <c r="J6052">
        <f>IF(F6052="","",INT(H6052)-B6052)</f>
        <v/>
      </c>
      <c r="K6052">
        <f>IF(B6052&gt;=Settings!$C$5,1,0)</f>
        <v/>
      </c>
    </row>
    <row r="6053">
      <c r="A6053" t="inlineStr">
        <is>
          <t>f846ad08fcff1ed09797b16e11fdc5df</t>
        </is>
      </c>
      <c r="B6053" s="29" t="n">
        <v>43250</v>
      </c>
      <c r="C6053" t="inlineStr">
        <is>
          <t>2018-05</t>
        </is>
      </c>
      <c r="D6053" t="inlineStr">
        <is>
          <t>40dec9f3d5259a3d2dbcdab2114fae47</t>
        </is>
      </c>
      <c r="E6053" t="inlineStr">
        <is>
          <t>paid_search</t>
        </is>
      </c>
      <c r="F6053">
        <f>IFERROR(MATCH(A6053,Deals!$A$2:$A$843,0),"")</f>
        <v/>
      </c>
      <c r="G6053">
        <f>IF(F6053="",0,1)</f>
        <v/>
      </c>
      <c r="H6053" s="29">
        <f>IF(F6053="","",INDEX(Deals!$E$2:$E$843,F6053))</f>
        <v/>
      </c>
      <c r="I6053">
        <f>IF(F6053="","",INDEX(Deals!$D$2:$D$843,F6053))</f>
        <v/>
      </c>
      <c r="J6053">
        <f>IF(F6053="","",INT(H6053)-B6053)</f>
        <v/>
      </c>
      <c r="K6053">
        <f>IF(B6053&gt;=Settings!$C$5,1,0)</f>
        <v/>
      </c>
    </row>
    <row r="6054">
      <c r="A6054" t="inlineStr">
        <is>
          <t>e14122cd6a12903e0fed829048b1769e</t>
        </is>
      </c>
      <c r="B6054" s="29" t="n">
        <v>43208</v>
      </c>
      <c r="C6054" t="inlineStr">
        <is>
          <t>2018-04</t>
        </is>
      </c>
      <c r="D6054" t="inlineStr">
        <is>
          <t>e534a08b23c682d94859d0ab860bd57a</t>
        </is>
      </c>
      <c r="E6054" t="inlineStr">
        <is>
          <t>unknown</t>
        </is>
      </c>
      <c r="F6054">
        <f>IFERROR(MATCH(A6054,Deals!$A$2:$A$843,0),"")</f>
        <v/>
      </c>
      <c r="G6054">
        <f>IF(F6054="",0,1)</f>
        <v/>
      </c>
      <c r="H6054" s="29">
        <f>IF(F6054="","",INDEX(Deals!$E$2:$E$843,F6054))</f>
        <v/>
      </c>
      <c r="I6054">
        <f>IF(F6054="","",INDEX(Deals!$D$2:$D$843,F6054))</f>
        <v/>
      </c>
      <c r="J6054">
        <f>IF(F6054="","",INT(H6054)-B6054)</f>
        <v/>
      </c>
      <c r="K6054">
        <f>IF(B6054&gt;=Settings!$C$5,1,0)</f>
        <v/>
      </c>
    </row>
    <row r="6055">
      <c r="A6055" t="inlineStr">
        <is>
          <t>b53e7dc2bf929b9f76ab8117eb16cdb2</t>
        </is>
      </c>
      <c r="B6055" s="29" t="n">
        <v>43024</v>
      </c>
      <c r="C6055" t="inlineStr">
        <is>
          <t>2017-10</t>
        </is>
      </c>
      <c r="D6055" t="inlineStr">
        <is>
          <t>f98c2bd96ac4a5d9476734e790c91384</t>
        </is>
      </c>
      <c r="E6055" t="inlineStr">
        <is>
          <t>paid_search</t>
        </is>
      </c>
      <c r="F6055">
        <f>IFERROR(MATCH(A6055,Deals!$A$2:$A$843,0),"")</f>
        <v/>
      </c>
      <c r="G6055">
        <f>IF(F6055="",0,1)</f>
        <v/>
      </c>
      <c r="H6055" s="29">
        <f>IF(F6055="","",INDEX(Deals!$E$2:$E$843,F6055))</f>
        <v/>
      </c>
      <c r="I6055">
        <f>IF(F6055="","",INDEX(Deals!$D$2:$D$843,F6055))</f>
        <v/>
      </c>
      <c r="J6055">
        <f>IF(F6055="","",INT(H6055)-B6055)</f>
        <v/>
      </c>
      <c r="K6055">
        <f>IF(B6055&gt;=Settings!$C$5,1,0)</f>
        <v/>
      </c>
    </row>
    <row r="6056">
      <c r="A6056" t="inlineStr">
        <is>
          <t>b8e4e4a2f63a80248fbe27cf57a24b34</t>
        </is>
      </c>
      <c r="B6056" s="29" t="n">
        <v>43238</v>
      </c>
      <c r="C6056" t="inlineStr">
        <is>
          <t>2018-05</t>
        </is>
      </c>
      <c r="D6056" t="inlineStr">
        <is>
          <t>37cf94070e940a694969304de58debe1</t>
        </is>
      </c>
      <c r="E6056" t="inlineStr">
        <is>
          <t>referral</t>
        </is>
      </c>
      <c r="F6056">
        <f>IFERROR(MATCH(A6056,Deals!$A$2:$A$843,0),"")</f>
        <v/>
      </c>
      <c r="G6056">
        <f>IF(F6056="",0,1)</f>
        <v/>
      </c>
      <c r="H6056" s="29">
        <f>IF(F6056="","",INDEX(Deals!$E$2:$E$843,F6056))</f>
        <v/>
      </c>
      <c r="I6056">
        <f>IF(F6056="","",INDEX(Deals!$D$2:$D$843,F6056))</f>
        <v/>
      </c>
      <c r="J6056">
        <f>IF(F6056="","",INT(H6056)-B6056)</f>
        <v/>
      </c>
      <c r="K6056">
        <f>IF(B6056&gt;=Settings!$C$5,1,0)</f>
        <v/>
      </c>
    </row>
    <row r="6057">
      <c r="A6057" t="inlineStr">
        <is>
          <t>5d12d5a76a9683536eb23a6a1c9767cc</t>
        </is>
      </c>
      <c r="B6057" s="29" t="n">
        <v>43129</v>
      </c>
      <c r="C6057" t="inlineStr">
        <is>
          <t>2018-01</t>
        </is>
      </c>
      <c r="D6057" t="inlineStr">
        <is>
          <t>a7982125ff7aa3b2054c6e44f9d28522</t>
        </is>
      </c>
      <c r="E6057" t="inlineStr">
        <is>
          <t>organic_search</t>
        </is>
      </c>
      <c r="F6057">
        <f>IFERROR(MATCH(A6057,Deals!$A$2:$A$843,0),"")</f>
        <v/>
      </c>
      <c r="G6057">
        <f>IF(F6057="",0,1)</f>
        <v/>
      </c>
      <c r="H6057" s="29">
        <f>IF(F6057="","",INDEX(Deals!$E$2:$E$843,F6057))</f>
        <v/>
      </c>
      <c r="I6057">
        <f>IF(F6057="","",INDEX(Deals!$D$2:$D$843,F6057))</f>
        <v/>
      </c>
      <c r="J6057">
        <f>IF(F6057="","",INT(H6057)-B6057)</f>
        <v/>
      </c>
      <c r="K6057">
        <f>IF(B6057&gt;=Settings!$C$5,1,0)</f>
        <v/>
      </c>
    </row>
    <row r="6058">
      <c r="A6058" t="inlineStr">
        <is>
          <t>f9195e75b0784070189f10f3aa96e026</t>
        </is>
      </c>
      <c r="B6058" s="29" t="n">
        <v>43153</v>
      </c>
      <c r="C6058" t="inlineStr">
        <is>
          <t>2018-02</t>
        </is>
      </c>
      <c r="D6058" t="inlineStr">
        <is>
          <t>22c29808c4f815213303f8933030604c</t>
        </is>
      </c>
      <c r="E6058" t="inlineStr">
        <is>
          <t>organic_search</t>
        </is>
      </c>
      <c r="F6058">
        <f>IFERROR(MATCH(A6058,Deals!$A$2:$A$843,0),"")</f>
        <v/>
      </c>
      <c r="G6058">
        <f>IF(F6058="",0,1)</f>
        <v/>
      </c>
      <c r="H6058" s="29">
        <f>IF(F6058="","",INDEX(Deals!$E$2:$E$843,F6058))</f>
        <v/>
      </c>
      <c r="I6058">
        <f>IF(F6058="","",INDEX(Deals!$D$2:$D$843,F6058))</f>
        <v/>
      </c>
      <c r="J6058">
        <f>IF(F6058="","",INT(H6058)-B6058)</f>
        <v/>
      </c>
      <c r="K6058">
        <f>IF(B6058&gt;=Settings!$C$5,1,0)</f>
        <v/>
      </c>
    </row>
    <row r="6059">
      <c r="A6059" t="inlineStr">
        <is>
          <t>282b71a86a960e117b12b24d88aff20e</t>
        </is>
      </c>
      <c r="B6059" s="29" t="n">
        <v>42945</v>
      </c>
      <c r="C6059" t="inlineStr">
        <is>
          <t>2017-07</t>
        </is>
      </c>
      <c r="D6059" t="inlineStr">
        <is>
          <t>7eb40e4e44fef8bff604b621119446c7</t>
        </is>
      </c>
      <c r="E6059" t="inlineStr">
        <is>
          <t>social</t>
        </is>
      </c>
      <c r="F6059">
        <f>IFERROR(MATCH(A6059,Deals!$A$2:$A$843,0),"")</f>
        <v/>
      </c>
      <c r="G6059">
        <f>IF(F6059="",0,1)</f>
        <v/>
      </c>
      <c r="H6059" s="29">
        <f>IF(F6059="","",INDEX(Deals!$E$2:$E$843,F6059))</f>
        <v/>
      </c>
      <c r="I6059">
        <f>IF(F6059="","",INDEX(Deals!$D$2:$D$843,F6059))</f>
        <v/>
      </c>
      <c r="J6059">
        <f>IF(F6059="","",INT(H6059)-B6059)</f>
        <v/>
      </c>
      <c r="K6059">
        <f>IF(B6059&gt;=Settings!$C$5,1,0)</f>
        <v/>
      </c>
    </row>
    <row r="6060">
      <c r="A6060" t="inlineStr">
        <is>
          <t>d45659b1add6fd3c69381a78db010c05</t>
        </is>
      </c>
      <c r="B6060" s="29" t="n">
        <v>43229</v>
      </c>
      <c r="C6060" t="inlineStr">
        <is>
          <t>2018-05</t>
        </is>
      </c>
      <c r="D6060" t="inlineStr">
        <is>
          <t>6d3026b7dff03974a1e250d610ab8b36</t>
        </is>
      </c>
      <c r="E6060" t="inlineStr">
        <is>
          <t>organic_search</t>
        </is>
      </c>
      <c r="F6060">
        <f>IFERROR(MATCH(A6060,Deals!$A$2:$A$843,0),"")</f>
        <v/>
      </c>
      <c r="G6060">
        <f>IF(F6060="",0,1)</f>
        <v/>
      </c>
      <c r="H6060" s="29">
        <f>IF(F6060="","",INDEX(Deals!$E$2:$E$843,F6060))</f>
        <v/>
      </c>
      <c r="I6060">
        <f>IF(F6060="","",INDEX(Deals!$D$2:$D$843,F6060))</f>
        <v/>
      </c>
      <c r="J6060">
        <f>IF(F6060="","",INT(H6060)-B6060)</f>
        <v/>
      </c>
      <c r="K6060">
        <f>IF(B6060&gt;=Settings!$C$5,1,0)</f>
        <v/>
      </c>
    </row>
    <row r="6061">
      <c r="A6061" t="inlineStr">
        <is>
          <t>4ef352d82c0b3506a0df2ed486d44b17</t>
        </is>
      </c>
      <c r="B6061" s="29" t="n">
        <v>43104</v>
      </c>
      <c r="C6061" t="inlineStr">
        <is>
          <t>2018-01</t>
        </is>
      </c>
      <c r="D6061" t="inlineStr">
        <is>
          <t>b76ef37428e6799c421989521c0e5077</t>
        </is>
      </c>
      <c r="E6061" t="inlineStr">
        <is>
          <t>unknown</t>
        </is>
      </c>
      <c r="F6061">
        <f>IFERROR(MATCH(A6061,Deals!$A$2:$A$843,0),"")</f>
        <v/>
      </c>
      <c r="G6061">
        <f>IF(F6061="",0,1)</f>
        <v/>
      </c>
      <c r="H6061" s="29">
        <f>IF(F6061="","",INDEX(Deals!$E$2:$E$843,F6061))</f>
        <v/>
      </c>
      <c r="I6061">
        <f>IF(F6061="","",INDEX(Deals!$D$2:$D$843,F6061))</f>
        <v/>
      </c>
      <c r="J6061">
        <f>IF(F6061="","",INT(H6061)-B6061)</f>
        <v/>
      </c>
      <c r="K6061">
        <f>IF(B6061&gt;=Settings!$C$5,1,0)</f>
        <v/>
      </c>
    </row>
    <row r="6062">
      <c r="A6062" t="inlineStr">
        <is>
          <t>c9be6fa4a4d011709bfa79908b2a1238</t>
        </is>
      </c>
      <c r="B6062" s="29" t="n">
        <v>43172</v>
      </c>
      <c r="C6062" t="inlineStr">
        <is>
          <t>2018-03</t>
        </is>
      </c>
      <c r="D6062" t="inlineStr">
        <is>
          <t>b76ef37428e6799c421989521c0e5077</t>
        </is>
      </c>
      <c r="E6062" t="inlineStr">
        <is>
          <t>unknown</t>
        </is>
      </c>
      <c r="F6062">
        <f>IFERROR(MATCH(A6062,Deals!$A$2:$A$843,0),"")</f>
        <v/>
      </c>
      <c r="G6062">
        <f>IF(F6062="",0,1)</f>
        <v/>
      </c>
      <c r="H6062" s="29">
        <f>IF(F6062="","",INDEX(Deals!$E$2:$E$843,F6062))</f>
        <v/>
      </c>
      <c r="I6062">
        <f>IF(F6062="","",INDEX(Deals!$D$2:$D$843,F6062))</f>
        <v/>
      </c>
      <c r="J6062">
        <f>IF(F6062="","",INT(H6062)-B6062)</f>
        <v/>
      </c>
      <c r="K6062">
        <f>IF(B6062&gt;=Settings!$C$5,1,0)</f>
        <v/>
      </c>
    </row>
    <row r="6063">
      <c r="A6063" t="inlineStr">
        <is>
          <t>0e1267381db9da80a1c73f6e3673bf76</t>
        </is>
      </c>
      <c r="B6063" s="29" t="n">
        <v>43047</v>
      </c>
      <c r="C6063" t="inlineStr">
        <is>
          <t>2017-11</t>
        </is>
      </c>
      <c r="D6063" t="inlineStr">
        <is>
          <t>88740e65d5d6b056e0cda098e1ea6313</t>
        </is>
      </c>
      <c r="E6063" t="inlineStr">
        <is>
          <t>social</t>
        </is>
      </c>
      <c r="F6063">
        <f>IFERROR(MATCH(A6063,Deals!$A$2:$A$843,0),"")</f>
        <v/>
      </c>
      <c r="G6063">
        <f>IF(F6063="",0,1)</f>
        <v/>
      </c>
      <c r="H6063" s="29">
        <f>IF(F6063="","",INDEX(Deals!$E$2:$E$843,F6063))</f>
        <v/>
      </c>
      <c r="I6063">
        <f>IF(F6063="","",INDEX(Deals!$D$2:$D$843,F6063))</f>
        <v/>
      </c>
      <c r="J6063">
        <f>IF(F6063="","",INT(H6063)-B6063)</f>
        <v/>
      </c>
      <c r="K6063">
        <f>IF(B6063&gt;=Settings!$C$5,1,0)</f>
        <v/>
      </c>
    </row>
    <row r="6064">
      <c r="A6064" t="inlineStr">
        <is>
          <t>49707cf9a38a9b8ee27e0de996121283</t>
        </is>
      </c>
      <c r="B6064" s="29" t="n">
        <v>43244</v>
      </c>
      <c r="C6064" t="inlineStr">
        <is>
          <t>2018-05</t>
        </is>
      </c>
      <c r="D6064" t="inlineStr">
        <is>
          <t>9fa37f5177115156b1814ffc237402a6</t>
        </is>
      </c>
      <c r="E6064" t="inlineStr">
        <is>
          <t>paid_search</t>
        </is>
      </c>
      <c r="F6064">
        <f>IFERROR(MATCH(A6064,Deals!$A$2:$A$843,0),"")</f>
        <v/>
      </c>
      <c r="G6064">
        <f>IF(F6064="",0,1)</f>
        <v/>
      </c>
      <c r="H6064" s="29">
        <f>IF(F6064="","",INDEX(Deals!$E$2:$E$843,F6064))</f>
        <v/>
      </c>
      <c r="I6064">
        <f>IF(F6064="","",INDEX(Deals!$D$2:$D$843,F6064))</f>
        <v/>
      </c>
      <c r="J6064">
        <f>IF(F6064="","",INT(H6064)-B6064)</f>
        <v/>
      </c>
      <c r="K6064">
        <f>IF(B6064&gt;=Settings!$C$5,1,0)</f>
        <v/>
      </c>
    </row>
    <row r="6065">
      <c r="A6065" t="inlineStr">
        <is>
          <t>e4656174f0a5436efd535a9a9d050e09</t>
        </is>
      </c>
      <c r="B6065" s="29" t="n">
        <v>43192</v>
      </c>
      <c r="C6065" t="inlineStr">
        <is>
          <t>2018-04</t>
        </is>
      </c>
      <c r="D6065" t="inlineStr">
        <is>
          <t>22c29808c4f815213303f8933030604c</t>
        </is>
      </c>
      <c r="E6065" t="inlineStr">
        <is>
          <t>paid_search</t>
        </is>
      </c>
      <c r="F6065">
        <f>IFERROR(MATCH(A6065,Deals!$A$2:$A$843,0),"")</f>
        <v/>
      </c>
      <c r="G6065">
        <f>IF(F6065="",0,1)</f>
        <v/>
      </c>
      <c r="H6065" s="29">
        <f>IF(F6065="","",INDEX(Deals!$E$2:$E$843,F6065))</f>
        <v/>
      </c>
      <c r="I6065">
        <f>IF(F6065="","",INDEX(Deals!$D$2:$D$843,F6065))</f>
        <v/>
      </c>
      <c r="J6065">
        <f>IF(F6065="","",INT(H6065)-B6065)</f>
        <v/>
      </c>
      <c r="K6065">
        <f>IF(B6065&gt;=Settings!$C$5,1,0)</f>
        <v/>
      </c>
    </row>
    <row r="6066">
      <c r="A6066" t="inlineStr">
        <is>
          <t>d6b940b9220d02a4fe5072a08dd2f490</t>
        </is>
      </c>
      <c r="B6066" s="29" t="n">
        <v>43195</v>
      </c>
      <c r="C6066" t="inlineStr">
        <is>
          <t>2018-04</t>
        </is>
      </c>
      <c r="D6066" t="inlineStr">
        <is>
          <t>b221554b9ec12f7efb490488a053e8dc</t>
        </is>
      </c>
      <c r="E6066" t="inlineStr">
        <is>
          <t>unknown</t>
        </is>
      </c>
      <c r="F6066">
        <f>IFERROR(MATCH(A6066,Deals!$A$2:$A$843,0),"")</f>
        <v/>
      </c>
      <c r="G6066">
        <f>IF(F6066="",0,1)</f>
        <v/>
      </c>
      <c r="H6066" s="29">
        <f>IF(F6066="","",INDEX(Deals!$E$2:$E$843,F6066))</f>
        <v/>
      </c>
      <c r="I6066">
        <f>IF(F6066="","",INDEX(Deals!$D$2:$D$843,F6066))</f>
        <v/>
      </c>
      <c r="J6066">
        <f>IF(F6066="","",INT(H6066)-B6066)</f>
        <v/>
      </c>
      <c r="K6066">
        <f>IF(B6066&gt;=Settings!$C$5,1,0)</f>
        <v/>
      </c>
    </row>
    <row r="6067">
      <c r="A6067" t="inlineStr">
        <is>
          <t>6644da5af8cbc1c19a5c4ffbb088773c</t>
        </is>
      </c>
      <c r="B6067" s="29" t="n">
        <v>43068</v>
      </c>
      <c r="C6067" t="inlineStr">
        <is>
          <t>2017-11</t>
        </is>
      </c>
      <c r="D6067" t="inlineStr">
        <is>
          <t>65d9f9d71e562365e8b44037c2888d98</t>
        </is>
      </c>
      <c r="E6067" t="inlineStr">
        <is>
          <t>paid_search</t>
        </is>
      </c>
      <c r="F6067">
        <f>IFERROR(MATCH(A6067,Deals!$A$2:$A$843,0),"")</f>
        <v/>
      </c>
      <c r="G6067">
        <f>IF(F6067="",0,1)</f>
        <v/>
      </c>
      <c r="H6067" s="29">
        <f>IF(F6067="","",INDEX(Deals!$E$2:$E$843,F6067))</f>
        <v/>
      </c>
      <c r="I6067">
        <f>IF(F6067="","",INDEX(Deals!$D$2:$D$843,F6067))</f>
        <v/>
      </c>
      <c r="J6067">
        <f>IF(F6067="","",INT(H6067)-B6067)</f>
        <v/>
      </c>
      <c r="K6067">
        <f>IF(B6067&gt;=Settings!$C$5,1,0)</f>
        <v/>
      </c>
    </row>
    <row r="6068">
      <c r="A6068" t="inlineStr">
        <is>
          <t>e66292f43e32d3b92d2c00229a6afe55</t>
        </is>
      </c>
      <c r="B6068" s="29" t="n">
        <v>43194</v>
      </c>
      <c r="C6068" t="inlineStr">
        <is>
          <t>2018-04</t>
        </is>
      </c>
      <c r="D6068" t="inlineStr">
        <is>
          <t>a7982125ff7aa3b2054c6e44f9d28522</t>
        </is>
      </c>
      <c r="E6068" t="inlineStr">
        <is>
          <t>organic_search</t>
        </is>
      </c>
      <c r="F6068">
        <f>IFERROR(MATCH(A6068,Deals!$A$2:$A$843,0),"")</f>
        <v/>
      </c>
      <c r="G6068">
        <f>IF(F6068="",0,1)</f>
        <v/>
      </c>
      <c r="H6068" s="29">
        <f>IF(F6068="","",INDEX(Deals!$E$2:$E$843,F6068))</f>
        <v/>
      </c>
      <c r="I6068">
        <f>IF(F6068="","",INDEX(Deals!$D$2:$D$843,F6068))</f>
        <v/>
      </c>
      <c r="J6068">
        <f>IF(F6068="","",INT(H6068)-B6068)</f>
        <v/>
      </c>
      <c r="K6068">
        <f>IF(B6068&gt;=Settings!$C$5,1,0)</f>
        <v/>
      </c>
    </row>
    <row r="6069">
      <c r="A6069" t="inlineStr">
        <is>
          <t>e0078b2675c0261aae3eed3eabfdada5</t>
        </is>
      </c>
      <c r="B6069" s="29" t="n">
        <v>43203</v>
      </c>
      <c r="C6069" t="inlineStr">
        <is>
          <t>2018-04</t>
        </is>
      </c>
      <c r="D6069" t="inlineStr">
        <is>
          <t>58326e62183c14b0c03085c33b9fdc44</t>
        </is>
      </c>
      <c r="E6069" t="inlineStr">
        <is>
          <t>social</t>
        </is>
      </c>
      <c r="F6069">
        <f>IFERROR(MATCH(A6069,Deals!$A$2:$A$843,0),"")</f>
        <v/>
      </c>
      <c r="G6069">
        <f>IF(F6069="",0,1)</f>
        <v/>
      </c>
      <c r="H6069" s="29">
        <f>IF(F6069="","",INDEX(Deals!$E$2:$E$843,F6069))</f>
        <v/>
      </c>
      <c r="I6069">
        <f>IF(F6069="","",INDEX(Deals!$D$2:$D$843,F6069))</f>
        <v/>
      </c>
      <c r="J6069">
        <f>IF(F6069="","",INT(H6069)-B6069)</f>
        <v/>
      </c>
      <c r="K6069">
        <f>IF(B6069&gt;=Settings!$C$5,1,0)</f>
        <v/>
      </c>
    </row>
    <row r="6070">
      <c r="A6070" t="inlineStr">
        <is>
          <t>3ca2b8b0c23b708334ab580a299f1ef6</t>
        </is>
      </c>
      <c r="B6070" s="29" t="n">
        <v>43140</v>
      </c>
      <c r="C6070" t="inlineStr">
        <is>
          <t>2018-02</t>
        </is>
      </c>
      <c r="D6070" t="inlineStr">
        <is>
          <t>b6cd08ac77c501fd6857f7916d2c24f3</t>
        </is>
      </c>
      <c r="E6070" t="inlineStr">
        <is>
          <t>referral</t>
        </is>
      </c>
      <c r="F6070">
        <f>IFERROR(MATCH(A6070,Deals!$A$2:$A$843,0),"")</f>
        <v/>
      </c>
      <c r="G6070">
        <f>IF(F6070="",0,1)</f>
        <v/>
      </c>
      <c r="H6070" s="29">
        <f>IF(F6070="","",INDEX(Deals!$E$2:$E$843,F6070))</f>
        <v/>
      </c>
      <c r="I6070">
        <f>IF(F6070="","",INDEX(Deals!$D$2:$D$843,F6070))</f>
        <v/>
      </c>
      <c r="J6070">
        <f>IF(F6070="","",INT(H6070)-B6070)</f>
        <v/>
      </c>
      <c r="K6070">
        <f>IF(B6070&gt;=Settings!$C$5,1,0)</f>
        <v/>
      </c>
    </row>
    <row r="6071">
      <c r="A6071" t="inlineStr">
        <is>
          <t>c746c52c4c3f89696680731b2f46e563</t>
        </is>
      </c>
      <c r="B6071" s="29" t="n">
        <v>43006</v>
      </c>
      <c r="C6071" t="inlineStr">
        <is>
          <t>2017-09</t>
        </is>
      </c>
      <c r="D6071" t="inlineStr">
        <is>
          <t>241f79c7a8fe0270f4fb79fcbbcd17ad</t>
        </is>
      </c>
      <c r="E6071" t="inlineStr">
        <is>
          <t>paid_search</t>
        </is>
      </c>
      <c r="F6071">
        <f>IFERROR(MATCH(A6071,Deals!$A$2:$A$843,0),"")</f>
        <v/>
      </c>
      <c r="G6071">
        <f>IF(F6071="",0,1)</f>
        <v/>
      </c>
      <c r="H6071" s="29">
        <f>IF(F6071="","",INDEX(Deals!$E$2:$E$843,F6071))</f>
        <v/>
      </c>
      <c r="I6071">
        <f>IF(F6071="","",INDEX(Deals!$D$2:$D$843,F6071))</f>
        <v/>
      </c>
      <c r="J6071">
        <f>IF(F6071="","",INT(H6071)-B6071)</f>
        <v/>
      </c>
      <c r="K6071">
        <f>IF(B6071&gt;=Settings!$C$5,1,0)</f>
        <v/>
      </c>
    </row>
    <row r="6072">
      <c r="A6072" t="inlineStr">
        <is>
          <t>5ce6a16b6c27341101979537c08ba0a3</t>
        </is>
      </c>
      <c r="B6072" s="29" t="n">
        <v>43168</v>
      </c>
      <c r="C6072" t="inlineStr">
        <is>
          <t>2018-03</t>
        </is>
      </c>
      <c r="D6072" t="inlineStr">
        <is>
          <t>b48ec5f3b04e9068441002a19df93c6c</t>
        </is>
      </c>
      <c r="E6072" t="inlineStr">
        <is>
          <t>organic_search</t>
        </is>
      </c>
      <c r="F6072">
        <f>IFERROR(MATCH(A6072,Deals!$A$2:$A$843,0),"")</f>
        <v/>
      </c>
      <c r="G6072">
        <f>IF(F6072="",0,1)</f>
        <v/>
      </c>
      <c r="H6072" s="29">
        <f>IF(F6072="","",INDEX(Deals!$E$2:$E$843,F6072))</f>
        <v/>
      </c>
      <c r="I6072">
        <f>IF(F6072="","",INDEX(Deals!$D$2:$D$843,F6072))</f>
        <v/>
      </c>
      <c r="J6072">
        <f>IF(F6072="","",INT(H6072)-B6072)</f>
        <v/>
      </c>
      <c r="K6072">
        <f>IF(B6072&gt;=Settings!$C$5,1,0)</f>
        <v/>
      </c>
    </row>
    <row r="6073">
      <c r="A6073" t="inlineStr">
        <is>
          <t>9d37d082ca6a765927ac1fe71fd53e07</t>
        </is>
      </c>
      <c r="B6073" s="29" t="n">
        <v>43161</v>
      </c>
      <c r="C6073" t="inlineStr">
        <is>
          <t>2018-03</t>
        </is>
      </c>
      <c r="D6073" t="inlineStr">
        <is>
          <t>22c29808c4f815213303f8933030604c</t>
        </is>
      </c>
      <c r="E6073" t="inlineStr">
        <is>
          <t>organic_search</t>
        </is>
      </c>
      <c r="F6073">
        <f>IFERROR(MATCH(A6073,Deals!$A$2:$A$843,0),"")</f>
        <v/>
      </c>
      <c r="G6073">
        <f>IF(F6073="",0,1)</f>
        <v/>
      </c>
      <c r="H6073" s="29">
        <f>IF(F6073="","",INDEX(Deals!$E$2:$E$843,F6073))</f>
        <v/>
      </c>
      <c r="I6073">
        <f>IF(F6073="","",INDEX(Deals!$D$2:$D$843,F6073))</f>
        <v/>
      </c>
      <c r="J6073">
        <f>IF(F6073="","",INT(H6073)-B6073)</f>
        <v/>
      </c>
      <c r="K6073">
        <f>IF(B6073&gt;=Settings!$C$5,1,0)</f>
        <v/>
      </c>
    </row>
    <row r="6074">
      <c r="A6074" t="inlineStr">
        <is>
          <t>06f9e96bd9cfa3a22ca321a53dece2f8</t>
        </is>
      </c>
      <c r="B6074" s="29" t="n">
        <v>43242</v>
      </c>
      <c r="C6074" t="inlineStr">
        <is>
          <t>2018-05</t>
        </is>
      </c>
      <c r="D6074" t="inlineStr">
        <is>
          <t>1ceb590cd1e00c7ee95220971f82693d</t>
        </is>
      </c>
      <c r="E6074" t="inlineStr">
        <is>
          <t>paid_search</t>
        </is>
      </c>
      <c r="F6074">
        <f>IFERROR(MATCH(A6074,Deals!$A$2:$A$843,0),"")</f>
        <v/>
      </c>
      <c r="G6074">
        <f>IF(F6074="",0,1)</f>
        <v/>
      </c>
      <c r="H6074" s="29">
        <f>IF(F6074="","",INDEX(Deals!$E$2:$E$843,F6074))</f>
        <v/>
      </c>
      <c r="I6074">
        <f>IF(F6074="","",INDEX(Deals!$D$2:$D$843,F6074))</f>
        <v/>
      </c>
      <c r="J6074">
        <f>IF(F6074="","",INT(H6074)-B6074)</f>
        <v/>
      </c>
      <c r="K6074">
        <f>IF(B6074&gt;=Settings!$C$5,1,0)</f>
        <v/>
      </c>
    </row>
    <row r="6075">
      <c r="A6075" t="inlineStr">
        <is>
          <t>7b87b249b79fe3604cfa138d155eba82</t>
        </is>
      </c>
      <c r="B6075" s="29" t="n">
        <v>43178</v>
      </c>
      <c r="C6075" t="inlineStr">
        <is>
          <t>2018-03</t>
        </is>
      </c>
      <c r="D6075" t="inlineStr">
        <is>
          <t>ce1a65abd0973638f1c887a6efcfa82d</t>
        </is>
      </c>
      <c r="E6075" t="inlineStr">
        <is>
          <t>direct_traffic</t>
        </is>
      </c>
      <c r="F6075">
        <f>IFERROR(MATCH(A6075,Deals!$A$2:$A$843,0),"")</f>
        <v/>
      </c>
      <c r="G6075">
        <f>IF(F6075="",0,1)</f>
        <v/>
      </c>
      <c r="H6075" s="29">
        <f>IF(F6075="","",INDEX(Deals!$E$2:$E$843,F6075))</f>
        <v/>
      </c>
      <c r="I6075">
        <f>IF(F6075="","",INDEX(Deals!$D$2:$D$843,F6075))</f>
        <v/>
      </c>
      <c r="J6075">
        <f>IF(F6075="","",INT(H6075)-B6075)</f>
        <v/>
      </c>
      <c r="K6075">
        <f>IF(B6075&gt;=Settings!$C$5,1,0)</f>
        <v/>
      </c>
    </row>
    <row r="6076">
      <c r="A6076" t="inlineStr">
        <is>
          <t>9c9b74ef3f74c104388a1b4f1e09183a</t>
        </is>
      </c>
      <c r="B6076" s="29" t="n">
        <v>43110</v>
      </c>
      <c r="C6076" t="inlineStr">
        <is>
          <t>2018-01</t>
        </is>
      </c>
      <c r="D6076" t="inlineStr">
        <is>
          <t>22c29808c4f815213303f8933030604c</t>
        </is>
      </c>
      <c r="E6076" t="inlineStr">
        <is>
          <t>organic_search</t>
        </is>
      </c>
      <c r="F6076">
        <f>IFERROR(MATCH(A6076,Deals!$A$2:$A$843,0),"")</f>
        <v/>
      </c>
      <c r="G6076">
        <f>IF(F6076="",0,1)</f>
        <v/>
      </c>
      <c r="H6076" s="29">
        <f>IF(F6076="","",INDEX(Deals!$E$2:$E$843,F6076))</f>
        <v/>
      </c>
      <c r="I6076">
        <f>IF(F6076="","",INDEX(Deals!$D$2:$D$843,F6076))</f>
        <v/>
      </c>
      <c r="J6076">
        <f>IF(F6076="","",INT(H6076)-B6076)</f>
        <v/>
      </c>
      <c r="K6076">
        <f>IF(B6076&gt;=Settings!$C$5,1,0)</f>
        <v/>
      </c>
    </row>
    <row r="6077">
      <c r="A6077" t="inlineStr">
        <is>
          <t>92c9627a1529f28cb04691b9fe1f6ec8</t>
        </is>
      </c>
      <c r="B6077" s="29" t="n">
        <v>43103</v>
      </c>
      <c r="C6077" t="inlineStr">
        <is>
          <t>2018-01</t>
        </is>
      </c>
      <c r="D6077" t="inlineStr">
        <is>
          <t>b76ef37428e6799c421989521c0e5077</t>
        </is>
      </c>
      <c r="E6077" t="inlineStr">
        <is>
          <t>organic_search</t>
        </is>
      </c>
      <c r="F6077">
        <f>IFERROR(MATCH(A6077,Deals!$A$2:$A$843,0),"")</f>
        <v/>
      </c>
      <c r="G6077">
        <f>IF(F6077="",0,1)</f>
        <v/>
      </c>
      <c r="H6077" s="29">
        <f>IF(F6077="","",INDEX(Deals!$E$2:$E$843,F6077))</f>
        <v/>
      </c>
      <c r="I6077">
        <f>IF(F6077="","",INDEX(Deals!$D$2:$D$843,F6077))</f>
        <v/>
      </c>
      <c r="J6077">
        <f>IF(F6077="","",INT(H6077)-B6077)</f>
        <v/>
      </c>
      <c r="K6077">
        <f>IF(B6077&gt;=Settings!$C$5,1,0)</f>
        <v/>
      </c>
    </row>
    <row r="6078">
      <c r="A6078" t="inlineStr">
        <is>
          <t>27ef335b59e029e025c27ad12964d048</t>
        </is>
      </c>
      <c r="B6078" s="29" t="n">
        <v>43159</v>
      </c>
      <c r="C6078" t="inlineStr">
        <is>
          <t>2018-02</t>
        </is>
      </c>
      <c r="D6078" t="inlineStr">
        <is>
          <t>b76ef37428e6799c421989521c0e5077</t>
        </is>
      </c>
      <c r="E6078" t="inlineStr">
        <is>
          <t>unknown</t>
        </is>
      </c>
      <c r="F6078">
        <f>IFERROR(MATCH(A6078,Deals!$A$2:$A$843,0),"")</f>
        <v/>
      </c>
      <c r="G6078">
        <f>IF(F6078="",0,1)</f>
        <v/>
      </c>
      <c r="H6078" s="29">
        <f>IF(F6078="","",INDEX(Deals!$E$2:$E$843,F6078))</f>
        <v/>
      </c>
      <c r="I6078">
        <f>IF(F6078="","",INDEX(Deals!$D$2:$D$843,F6078))</f>
        <v/>
      </c>
      <c r="J6078">
        <f>IF(F6078="","",INT(H6078)-B6078)</f>
        <v/>
      </c>
      <c r="K6078">
        <f>IF(B6078&gt;=Settings!$C$5,1,0)</f>
        <v/>
      </c>
    </row>
    <row r="6079">
      <c r="A6079" t="inlineStr">
        <is>
          <t>44c115ec4cfd1287a92e824ff941aa3e</t>
        </is>
      </c>
      <c r="B6079" s="29" t="n">
        <v>43172</v>
      </c>
      <c r="C6079" t="inlineStr">
        <is>
          <t>2018-03</t>
        </is>
      </c>
      <c r="D6079" t="inlineStr">
        <is>
          <t>b76ef37428e6799c421989521c0e5077</t>
        </is>
      </c>
      <c r="E6079" t="inlineStr">
        <is>
          <t>unknown</t>
        </is>
      </c>
      <c r="F6079">
        <f>IFERROR(MATCH(A6079,Deals!$A$2:$A$843,0),"")</f>
        <v/>
      </c>
      <c r="G6079">
        <f>IF(F6079="",0,1)</f>
        <v/>
      </c>
      <c r="H6079" s="29">
        <f>IF(F6079="","",INDEX(Deals!$E$2:$E$843,F6079))</f>
        <v/>
      </c>
      <c r="I6079">
        <f>IF(F6079="","",INDEX(Deals!$D$2:$D$843,F6079))</f>
        <v/>
      </c>
      <c r="J6079">
        <f>IF(F6079="","",INT(H6079)-B6079)</f>
        <v/>
      </c>
      <c r="K6079">
        <f>IF(B6079&gt;=Settings!$C$5,1,0)</f>
        <v/>
      </c>
    </row>
    <row r="6080">
      <c r="A6080" t="inlineStr">
        <is>
          <t>793bd079516813905ca79e1937c9a050</t>
        </is>
      </c>
      <c r="B6080" s="29" t="n">
        <v>43061</v>
      </c>
      <c r="C6080" t="inlineStr">
        <is>
          <t>2017-11</t>
        </is>
      </c>
      <c r="D6080" t="inlineStr">
        <is>
          <t>88740e65d5d6b056e0cda098e1ea6313</t>
        </is>
      </c>
      <c r="E6080" t="inlineStr">
        <is>
          <t>social</t>
        </is>
      </c>
      <c r="F6080">
        <f>IFERROR(MATCH(A6080,Deals!$A$2:$A$843,0),"")</f>
        <v/>
      </c>
      <c r="G6080">
        <f>IF(F6080="",0,1)</f>
        <v/>
      </c>
      <c r="H6080" s="29">
        <f>IF(F6080="","",INDEX(Deals!$E$2:$E$843,F6080))</f>
        <v/>
      </c>
      <c r="I6080">
        <f>IF(F6080="","",INDEX(Deals!$D$2:$D$843,F6080))</f>
        <v/>
      </c>
      <c r="J6080">
        <f>IF(F6080="","",INT(H6080)-B6080)</f>
        <v/>
      </c>
      <c r="K6080">
        <f>IF(B6080&gt;=Settings!$C$5,1,0)</f>
        <v/>
      </c>
    </row>
    <row r="6081">
      <c r="A6081" t="inlineStr">
        <is>
          <t>66a18289224fcaca68694426ede468a0</t>
        </is>
      </c>
      <c r="B6081" s="29" t="n">
        <v>43216</v>
      </c>
      <c r="C6081" t="inlineStr">
        <is>
          <t>2018-04</t>
        </is>
      </c>
      <c r="D6081" t="inlineStr">
        <is>
          <t>22c29808c4f815213303f8933030604c</t>
        </is>
      </c>
      <c r="E6081" t="inlineStr">
        <is>
          <t>paid_search</t>
        </is>
      </c>
      <c r="F6081">
        <f>IFERROR(MATCH(A6081,Deals!$A$2:$A$843,0),"")</f>
        <v/>
      </c>
      <c r="G6081">
        <f>IF(F6081="",0,1)</f>
        <v/>
      </c>
      <c r="H6081" s="29">
        <f>IF(F6081="","",INDEX(Deals!$E$2:$E$843,F6081))</f>
        <v/>
      </c>
      <c r="I6081">
        <f>IF(F6081="","",INDEX(Deals!$D$2:$D$843,F6081))</f>
        <v/>
      </c>
      <c r="J6081">
        <f>IF(F6081="","",INT(H6081)-B6081)</f>
        <v/>
      </c>
      <c r="K6081">
        <f>IF(B6081&gt;=Settings!$C$5,1,0)</f>
        <v/>
      </c>
    </row>
    <row r="6082">
      <c r="A6082" t="inlineStr">
        <is>
          <t>d5d77039097a7e43942a979b91aed1db</t>
        </is>
      </c>
      <c r="B6082" s="29" t="n">
        <v>43194</v>
      </c>
      <c r="C6082" t="inlineStr">
        <is>
          <t>2018-04</t>
        </is>
      </c>
      <c r="D6082" t="inlineStr">
        <is>
          <t>aafc43d934a043b451b1dc5a61943a6b</t>
        </is>
      </c>
      <c r="E6082" t="inlineStr">
        <is>
          <t>organic_search</t>
        </is>
      </c>
      <c r="F6082">
        <f>IFERROR(MATCH(A6082,Deals!$A$2:$A$843,0),"")</f>
        <v/>
      </c>
      <c r="G6082">
        <f>IF(F6082="",0,1)</f>
        <v/>
      </c>
      <c r="H6082" s="29">
        <f>IF(F6082="","",INDEX(Deals!$E$2:$E$843,F6082))</f>
        <v/>
      </c>
      <c r="I6082">
        <f>IF(F6082="","",INDEX(Deals!$D$2:$D$843,F6082))</f>
        <v/>
      </c>
      <c r="J6082">
        <f>IF(F6082="","",INT(H6082)-B6082)</f>
        <v/>
      </c>
      <c r="K6082">
        <f>IF(B6082&gt;=Settings!$C$5,1,0)</f>
        <v/>
      </c>
    </row>
    <row r="6083">
      <c r="A6083" t="inlineStr">
        <is>
          <t>1f539e92146eac32306bcb0f8ba374ec</t>
        </is>
      </c>
      <c r="B6083" s="29" t="n">
        <v>43112</v>
      </c>
      <c r="C6083" t="inlineStr">
        <is>
          <t>2018-01</t>
        </is>
      </c>
      <c r="D6083" t="inlineStr">
        <is>
          <t>b76ef37428e6799c421989521c0e5077</t>
        </is>
      </c>
      <c r="E6083" t="inlineStr">
        <is>
          <t>unknown</t>
        </is>
      </c>
      <c r="F6083">
        <f>IFERROR(MATCH(A6083,Deals!$A$2:$A$843,0),"")</f>
        <v/>
      </c>
      <c r="G6083">
        <f>IF(F6083="",0,1)</f>
        <v/>
      </c>
      <c r="H6083" s="29">
        <f>IF(F6083="","",INDEX(Deals!$E$2:$E$843,F6083))</f>
        <v/>
      </c>
      <c r="I6083">
        <f>IF(F6083="","",INDEX(Deals!$D$2:$D$843,F6083))</f>
        <v/>
      </c>
      <c r="J6083">
        <f>IF(F6083="","",INT(H6083)-B6083)</f>
        <v/>
      </c>
      <c r="K6083">
        <f>IF(B6083&gt;=Settings!$C$5,1,0)</f>
        <v/>
      </c>
    </row>
    <row r="6084">
      <c r="A6084" t="inlineStr">
        <is>
          <t>8f066a7bbf127f4e81f4809769daeb0a</t>
        </is>
      </c>
      <c r="B6084" s="29" t="n">
        <v>43245</v>
      </c>
      <c r="C6084" t="inlineStr">
        <is>
          <t>2018-05</t>
        </is>
      </c>
      <c r="D6084" t="inlineStr">
        <is>
          <t>22c29808c4f815213303f8933030604c</t>
        </is>
      </c>
      <c r="E6084" t="inlineStr">
        <is>
          <t>direct_traffic</t>
        </is>
      </c>
      <c r="F6084">
        <f>IFERROR(MATCH(A6084,Deals!$A$2:$A$843,0),"")</f>
        <v/>
      </c>
      <c r="G6084">
        <f>IF(F6084="",0,1)</f>
        <v/>
      </c>
      <c r="H6084" s="29">
        <f>IF(F6084="","",INDEX(Deals!$E$2:$E$843,F6084))</f>
        <v/>
      </c>
      <c r="I6084">
        <f>IF(F6084="","",INDEX(Deals!$D$2:$D$843,F6084))</f>
        <v/>
      </c>
      <c r="J6084">
        <f>IF(F6084="","",INT(H6084)-B6084)</f>
        <v/>
      </c>
      <c r="K6084">
        <f>IF(B6084&gt;=Settings!$C$5,1,0)</f>
        <v/>
      </c>
    </row>
    <row r="6085">
      <c r="A6085" t="inlineStr">
        <is>
          <t>78c793baf5212093953257d855dc2203</t>
        </is>
      </c>
      <c r="B6085" s="29" t="n">
        <v>43245</v>
      </c>
      <c r="C6085" t="inlineStr">
        <is>
          <t>2018-05</t>
        </is>
      </c>
      <c r="D6085" t="inlineStr">
        <is>
          <t>22c29808c4f815213303f8933030604c</t>
        </is>
      </c>
      <c r="E6085" t="inlineStr">
        <is>
          <t>paid_search</t>
        </is>
      </c>
      <c r="F6085">
        <f>IFERROR(MATCH(A6085,Deals!$A$2:$A$843,0),"")</f>
        <v/>
      </c>
      <c r="G6085">
        <f>IF(F6085="",0,1)</f>
        <v/>
      </c>
      <c r="H6085" s="29">
        <f>IF(F6085="","",INDEX(Deals!$E$2:$E$843,F6085))</f>
        <v/>
      </c>
      <c r="I6085">
        <f>IF(F6085="","",INDEX(Deals!$D$2:$D$843,F6085))</f>
        <v/>
      </c>
      <c r="J6085">
        <f>IF(F6085="","",INT(H6085)-B6085)</f>
        <v/>
      </c>
      <c r="K6085">
        <f>IF(B6085&gt;=Settings!$C$5,1,0)</f>
        <v/>
      </c>
    </row>
    <row r="6086">
      <c r="A6086" t="inlineStr">
        <is>
          <t>78c7f727f7802d1f600079cc24cb29e6</t>
        </is>
      </c>
      <c r="B6086" s="29" t="n">
        <v>43190</v>
      </c>
      <c r="C6086" t="inlineStr">
        <is>
          <t>2018-03</t>
        </is>
      </c>
      <c r="D6086" t="inlineStr">
        <is>
          <t>ce1a65abd0973638f1c887a6efcfa82d</t>
        </is>
      </c>
      <c r="E6086" t="inlineStr">
        <is>
          <t>paid_search</t>
        </is>
      </c>
      <c r="F6086">
        <f>IFERROR(MATCH(A6086,Deals!$A$2:$A$843,0),"")</f>
        <v/>
      </c>
      <c r="G6086">
        <f>IF(F6086="",0,1)</f>
        <v/>
      </c>
      <c r="H6086" s="29">
        <f>IF(F6086="","",INDEX(Deals!$E$2:$E$843,F6086))</f>
        <v/>
      </c>
      <c r="I6086">
        <f>IF(F6086="","",INDEX(Deals!$D$2:$D$843,F6086))</f>
        <v/>
      </c>
      <c r="J6086">
        <f>IF(F6086="","",INT(H6086)-B6086)</f>
        <v/>
      </c>
      <c r="K6086">
        <f>IF(B6086&gt;=Settings!$C$5,1,0)</f>
        <v/>
      </c>
    </row>
    <row r="6087">
      <c r="A6087" t="inlineStr">
        <is>
          <t>f2d8cce98c79b34deecc466b1ee6f788</t>
        </is>
      </c>
      <c r="B6087" s="29" t="n">
        <v>43222</v>
      </c>
      <c r="C6087" t="inlineStr">
        <is>
          <t>2018-05</t>
        </is>
      </c>
      <c r="D6087" t="inlineStr">
        <is>
          <t>fb58285f6f6c4e504dfa628de116cae8</t>
        </is>
      </c>
      <c r="E6087" t="inlineStr">
        <is>
          <t>paid_search</t>
        </is>
      </c>
      <c r="F6087">
        <f>IFERROR(MATCH(A6087,Deals!$A$2:$A$843,0),"")</f>
        <v/>
      </c>
      <c r="G6087">
        <f>IF(F6087="",0,1)</f>
        <v/>
      </c>
      <c r="H6087" s="29">
        <f>IF(F6087="","",INDEX(Deals!$E$2:$E$843,F6087))</f>
        <v/>
      </c>
      <c r="I6087">
        <f>IF(F6087="","",INDEX(Deals!$D$2:$D$843,F6087))</f>
        <v/>
      </c>
      <c r="J6087">
        <f>IF(F6087="","",INT(H6087)-B6087)</f>
        <v/>
      </c>
      <c r="K6087">
        <f>IF(B6087&gt;=Settings!$C$5,1,0)</f>
        <v/>
      </c>
    </row>
    <row r="6088">
      <c r="A6088" t="inlineStr">
        <is>
          <t>e758533feded97683d573154714a195b</t>
        </is>
      </c>
      <c r="B6088" s="29" t="n">
        <v>43208</v>
      </c>
      <c r="C6088" t="inlineStr">
        <is>
          <t>2018-04</t>
        </is>
      </c>
      <c r="D6088" t="inlineStr">
        <is>
          <t>22c29808c4f815213303f8933030604c</t>
        </is>
      </c>
      <c r="E6088" t="inlineStr">
        <is>
          <t>referral</t>
        </is>
      </c>
      <c r="F6088">
        <f>IFERROR(MATCH(A6088,Deals!$A$2:$A$843,0),"")</f>
        <v/>
      </c>
      <c r="G6088">
        <f>IF(F6088="",0,1)</f>
        <v/>
      </c>
      <c r="H6088" s="29">
        <f>IF(F6088="","",INDEX(Deals!$E$2:$E$843,F6088))</f>
        <v/>
      </c>
      <c r="I6088">
        <f>IF(F6088="","",INDEX(Deals!$D$2:$D$843,F6088))</f>
        <v/>
      </c>
      <c r="J6088">
        <f>IF(F6088="","",INT(H6088)-B6088)</f>
        <v/>
      </c>
      <c r="K6088">
        <f>IF(B6088&gt;=Settings!$C$5,1,0)</f>
        <v/>
      </c>
    </row>
    <row r="6089">
      <c r="A6089" t="inlineStr">
        <is>
          <t>ab37c92112681522ef22c20cdb519a05</t>
        </is>
      </c>
      <c r="B6089" s="29" t="n">
        <v>43097</v>
      </c>
      <c r="C6089" t="inlineStr">
        <is>
          <t>2017-12</t>
        </is>
      </c>
      <c r="D6089" t="inlineStr">
        <is>
          <t>b76ef37428e6799c421989521c0e5077</t>
        </is>
      </c>
      <c r="E6089" t="inlineStr">
        <is>
          <t>unknown</t>
        </is>
      </c>
      <c r="F6089">
        <f>IFERROR(MATCH(A6089,Deals!$A$2:$A$843,0),"")</f>
        <v/>
      </c>
      <c r="G6089">
        <f>IF(F6089="",0,1)</f>
        <v/>
      </c>
      <c r="H6089" s="29">
        <f>IF(F6089="","",INDEX(Deals!$E$2:$E$843,F6089))</f>
        <v/>
      </c>
      <c r="I6089">
        <f>IF(F6089="","",INDEX(Deals!$D$2:$D$843,F6089))</f>
        <v/>
      </c>
      <c r="J6089">
        <f>IF(F6089="","",INT(H6089)-B6089)</f>
        <v/>
      </c>
      <c r="K6089">
        <f>IF(B6089&gt;=Settings!$C$5,1,0)</f>
        <v/>
      </c>
    </row>
    <row r="6090">
      <c r="A6090" t="inlineStr">
        <is>
          <t>6286bfc662a7bbd771e9531b3bc72b39</t>
        </is>
      </c>
      <c r="B6090" s="29" t="n">
        <v>43249</v>
      </c>
      <c r="C6090" t="inlineStr">
        <is>
          <t>2018-05</t>
        </is>
      </c>
      <c r="D6090" t="inlineStr">
        <is>
          <t>5dc848e7dd9418dffe183215b8ff0bc1</t>
        </is>
      </c>
      <c r="E6090" t="inlineStr">
        <is>
          <t>organic_search</t>
        </is>
      </c>
      <c r="F6090">
        <f>IFERROR(MATCH(A6090,Deals!$A$2:$A$843,0),"")</f>
        <v/>
      </c>
      <c r="G6090">
        <f>IF(F6090="",0,1)</f>
        <v/>
      </c>
      <c r="H6090" s="29">
        <f>IF(F6090="","",INDEX(Deals!$E$2:$E$843,F6090))</f>
        <v/>
      </c>
      <c r="I6090">
        <f>IF(F6090="","",INDEX(Deals!$D$2:$D$843,F6090))</f>
        <v/>
      </c>
      <c r="J6090">
        <f>IF(F6090="","",INT(H6090)-B6090)</f>
        <v/>
      </c>
      <c r="K6090">
        <f>IF(B6090&gt;=Settings!$C$5,1,0)</f>
        <v/>
      </c>
    </row>
    <row r="6091">
      <c r="A6091" t="inlineStr">
        <is>
          <t>3a7c99a3533327252cbd93ad6be0b1fb</t>
        </is>
      </c>
      <c r="B6091" s="29" t="n">
        <v>42943</v>
      </c>
      <c r="C6091" t="inlineStr">
        <is>
          <t>2017-07</t>
        </is>
      </c>
      <c r="D6091" t="inlineStr">
        <is>
          <t>b76ef37428e6799c421989521c0e5077</t>
        </is>
      </c>
      <c r="E6091" t="inlineStr">
        <is>
          <t>unknown</t>
        </is>
      </c>
      <c r="F6091">
        <f>IFERROR(MATCH(A6091,Deals!$A$2:$A$843,0),"")</f>
        <v/>
      </c>
      <c r="G6091">
        <f>IF(F6091="",0,1)</f>
        <v/>
      </c>
      <c r="H6091" s="29">
        <f>IF(F6091="","",INDEX(Deals!$E$2:$E$843,F6091))</f>
        <v/>
      </c>
      <c r="I6091">
        <f>IF(F6091="","",INDEX(Deals!$D$2:$D$843,F6091))</f>
        <v/>
      </c>
      <c r="J6091">
        <f>IF(F6091="","",INT(H6091)-B6091)</f>
        <v/>
      </c>
      <c r="K6091">
        <f>IF(B6091&gt;=Settings!$C$5,1,0)</f>
        <v/>
      </c>
    </row>
    <row r="6092">
      <c r="A6092" t="inlineStr">
        <is>
          <t>f02960e7904985af88da8437958f4c10</t>
        </is>
      </c>
      <c r="B6092" s="29" t="n">
        <v>43192</v>
      </c>
      <c r="C6092" t="inlineStr">
        <is>
          <t>2018-04</t>
        </is>
      </c>
      <c r="D6092" t="inlineStr">
        <is>
          <t>58326e62183c14b0c03085c33b9fdc44</t>
        </is>
      </c>
      <c r="E6092" t="inlineStr">
        <is>
          <t>social</t>
        </is>
      </c>
      <c r="F6092">
        <f>IFERROR(MATCH(A6092,Deals!$A$2:$A$843,0),"")</f>
        <v/>
      </c>
      <c r="G6092">
        <f>IF(F6092="",0,1)</f>
        <v/>
      </c>
      <c r="H6092" s="29">
        <f>IF(F6092="","",INDEX(Deals!$E$2:$E$843,F6092))</f>
        <v/>
      </c>
      <c r="I6092">
        <f>IF(F6092="","",INDEX(Deals!$D$2:$D$843,F6092))</f>
        <v/>
      </c>
      <c r="J6092">
        <f>IF(F6092="","",INT(H6092)-B6092)</f>
        <v/>
      </c>
      <c r="K6092">
        <f>IF(B6092&gt;=Settings!$C$5,1,0)</f>
        <v/>
      </c>
    </row>
    <row r="6093">
      <c r="A6093" t="inlineStr">
        <is>
          <t>8f4de6d2564ae131229797ddb7e27e6a</t>
        </is>
      </c>
      <c r="B6093" s="29" t="n">
        <v>43122</v>
      </c>
      <c r="C6093" t="inlineStr">
        <is>
          <t>2018-01</t>
        </is>
      </c>
      <c r="D6093" t="inlineStr">
        <is>
          <t>d45d558f0daeecf3cccdffe3c59684aa</t>
        </is>
      </c>
      <c r="E6093" t="inlineStr">
        <is>
          <t>referral</t>
        </is>
      </c>
      <c r="F6093">
        <f>IFERROR(MATCH(A6093,Deals!$A$2:$A$843,0),"")</f>
        <v/>
      </c>
      <c r="G6093">
        <f>IF(F6093="",0,1)</f>
        <v/>
      </c>
      <c r="H6093" s="29">
        <f>IF(F6093="","",INDEX(Deals!$E$2:$E$843,F6093))</f>
        <v/>
      </c>
      <c r="I6093">
        <f>IF(F6093="","",INDEX(Deals!$D$2:$D$843,F6093))</f>
        <v/>
      </c>
      <c r="J6093">
        <f>IF(F6093="","",INT(H6093)-B6093)</f>
        <v/>
      </c>
      <c r="K6093">
        <f>IF(B6093&gt;=Settings!$C$5,1,0)</f>
        <v/>
      </c>
    </row>
    <row r="6094">
      <c r="A6094" t="inlineStr">
        <is>
          <t>d5b6b70d699632863dc8f80e1648dcff</t>
        </is>
      </c>
      <c r="B6094" s="29" t="n">
        <v>43062</v>
      </c>
      <c r="C6094" t="inlineStr">
        <is>
          <t>2017-11</t>
        </is>
      </c>
      <c r="D6094" t="inlineStr">
        <is>
          <t>22c29808c4f815213303f8933030604c</t>
        </is>
      </c>
      <c r="E6094" t="inlineStr">
        <is>
          <t>organic_search</t>
        </is>
      </c>
      <c r="F6094">
        <f>IFERROR(MATCH(A6094,Deals!$A$2:$A$843,0),"")</f>
        <v/>
      </c>
      <c r="G6094">
        <f>IF(F6094="",0,1)</f>
        <v/>
      </c>
      <c r="H6094" s="29">
        <f>IF(F6094="","",INDEX(Deals!$E$2:$E$843,F6094))</f>
        <v/>
      </c>
      <c r="I6094">
        <f>IF(F6094="","",INDEX(Deals!$D$2:$D$843,F6094))</f>
        <v/>
      </c>
      <c r="J6094">
        <f>IF(F6094="","",INT(H6094)-B6094)</f>
        <v/>
      </c>
      <c r="K6094">
        <f>IF(B6094&gt;=Settings!$C$5,1,0)</f>
        <v/>
      </c>
    </row>
    <row r="6095">
      <c r="A6095" t="inlineStr">
        <is>
          <t>935a281a70ae21d54479c9c468145f7e</t>
        </is>
      </c>
      <c r="B6095" s="29" t="n">
        <v>43206</v>
      </c>
      <c r="C6095" t="inlineStr">
        <is>
          <t>2018-04</t>
        </is>
      </c>
      <c r="D6095" t="inlineStr">
        <is>
          <t>330b9d44078a1ae5a221d655dcb77afa</t>
        </is>
      </c>
      <c r="E6095" t="inlineStr">
        <is>
          <t>organic_search</t>
        </is>
      </c>
      <c r="F6095">
        <f>IFERROR(MATCH(A6095,Deals!$A$2:$A$843,0),"")</f>
        <v/>
      </c>
      <c r="G6095">
        <f>IF(F6095="",0,1)</f>
        <v/>
      </c>
      <c r="H6095" s="29">
        <f>IF(F6095="","",INDEX(Deals!$E$2:$E$843,F6095))</f>
        <v/>
      </c>
      <c r="I6095">
        <f>IF(F6095="","",INDEX(Deals!$D$2:$D$843,F6095))</f>
        <v/>
      </c>
      <c r="J6095">
        <f>IF(F6095="","",INT(H6095)-B6095)</f>
        <v/>
      </c>
      <c r="K6095">
        <f>IF(B6095&gt;=Settings!$C$5,1,0)</f>
        <v/>
      </c>
    </row>
    <row r="6096">
      <c r="A6096" t="inlineStr">
        <is>
          <t>f3d5e3e0f15a5a5efc9037c79dacca53</t>
        </is>
      </c>
      <c r="B6096" s="29" t="n">
        <v>43054</v>
      </c>
      <c r="C6096" t="inlineStr">
        <is>
          <t>2017-11</t>
        </is>
      </c>
      <c r="D6096" t="inlineStr">
        <is>
          <t>b217afa2c1f4cb502423005639878f6d</t>
        </is>
      </c>
      <c r="E6096" t="inlineStr">
        <is>
          <t>paid_search</t>
        </is>
      </c>
      <c r="F6096">
        <f>IFERROR(MATCH(A6096,Deals!$A$2:$A$843,0),"")</f>
        <v/>
      </c>
      <c r="G6096">
        <f>IF(F6096="",0,1)</f>
        <v/>
      </c>
      <c r="H6096" s="29">
        <f>IF(F6096="","",INDEX(Deals!$E$2:$E$843,F6096))</f>
        <v/>
      </c>
      <c r="I6096">
        <f>IF(F6096="","",INDEX(Deals!$D$2:$D$843,F6096))</f>
        <v/>
      </c>
      <c r="J6096">
        <f>IF(F6096="","",INT(H6096)-B6096)</f>
        <v/>
      </c>
      <c r="K6096">
        <f>IF(B6096&gt;=Settings!$C$5,1,0)</f>
        <v/>
      </c>
    </row>
    <row r="6097">
      <c r="A6097" t="inlineStr">
        <is>
          <t>b831f1542ffea17ccdf5d39900c663a1</t>
        </is>
      </c>
      <c r="B6097" s="29" t="n">
        <v>43196</v>
      </c>
      <c r="C6097" t="inlineStr">
        <is>
          <t>2018-04</t>
        </is>
      </c>
      <c r="D6097" t="inlineStr">
        <is>
          <t>b76ef37428e6799c421989521c0e5077</t>
        </is>
      </c>
      <c r="E6097" t="inlineStr">
        <is>
          <t>unknown</t>
        </is>
      </c>
      <c r="F6097">
        <f>IFERROR(MATCH(A6097,Deals!$A$2:$A$843,0),"")</f>
        <v/>
      </c>
      <c r="G6097">
        <f>IF(F6097="",0,1)</f>
        <v/>
      </c>
      <c r="H6097" s="29">
        <f>IF(F6097="","",INDEX(Deals!$E$2:$E$843,F6097))</f>
        <v/>
      </c>
      <c r="I6097">
        <f>IF(F6097="","",INDEX(Deals!$D$2:$D$843,F6097))</f>
        <v/>
      </c>
      <c r="J6097">
        <f>IF(F6097="","",INT(H6097)-B6097)</f>
        <v/>
      </c>
      <c r="K6097">
        <f>IF(B6097&gt;=Settings!$C$5,1,0)</f>
        <v/>
      </c>
    </row>
    <row r="6098">
      <c r="A6098" t="inlineStr">
        <is>
          <t>9ed9b6174ec2dd7a7dd3f54bab3da3a2</t>
        </is>
      </c>
      <c r="B6098" s="29" t="n">
        <v>43224</v>
      </c>
      <c r="C6098" t="inlineStr">
        <is>
          <t>2018-05</t>
        </is>
      </c>
      <c r="D6098" t="inlineStr">
        <is>
          <t>872eb32141128a5320bfe7b8cf80fc14</t>
        </is>
      </c>
      <c r="E6098" t="inlineStr">
        <is>
          <t>paid_search</t>
        </is>
      </c>
      <c r="F6098">
        <f>IFERROR(MATCH(A6098,Deals!$A$2:$A$843,0),"")</f>
        <v/>
      </c>
      <c r="G6098">
        <f>IF(F6098="",0,1)</f>
        <v/>
      </c>
      <c r="H6098" s="29">
        <f>IF(F6098="","",INDEX(Deals!$E$2:$E$843,F6098))</f>
        <v/>
      </c>
      <c r="I6098">
        <f>IF(F6098="","",INDEX(Deals!$D$2:$D$843,F6098))</f>
        <v/>
      </c>
      <c r="J6098">
        <f>IF(F6098="","",INT(H6098)-B6098)</f>
        <v/>
      </c>
      <c r="K6098">
        <f>IF(B6098&gt;=Settings!$C$5,1,0)</f>
        <v/>
      </c>
    </row>
    <row r="6099">
      <c r="A6099" t="inlineStr">
        <is>
          <t>dea535178c7cc66cd64a57946b006ef2</t>
        </is>
      </c>
      <c r="B6099" s="29" t="n">
        <v>43061</v>
      </c>
      <c r="C6099" t="inlineStr">
        <is>
          <t>2017-11</t>
        </is>
      </c>
      <c r="D6099" t="inlineStr">
        <is>
          <t>22c29808c4f815213303f8933030604c</t>
        </is>
      </c>
      <c r="E6099" t="inlineStr">
        <is>
          <t>organic_search</t>
        </is>
      </c>
      <c r="F6099">
        <f>IFERROR(MATCH(A6099,Deals!$A$2:$A$843,0),"")</f>
        <v/>
      </c>
      <c r="G6099">
        <f>IF(F6099="",0,1)</f>
        <v/>
      </c>
      <c r="H6099" s="29">
        <f>IF(F6099="","",INDEX(Deals!$E$2:$E$843,F6099))</f>
        <v/>
      </c>
      <c r="I6099">
        <f>IF(F6099="","",INDEX(Deals!$D$2:$D$843,F6099))</f>
        <v/>
      </c>
      <c r="J6099">
        <f>IF(F6099="","",INT(H6099)-B6099)</f>
        <v/>
      </c>
      <c r="K6099">
        <f>IF(B6099&gt;=Settings!$C$5,1,0)</f>
        <v/>
      </c>
    </row>
    <row r="6100">
      <c r="A6100" t="inlineStr">
        <is>
          <t>6456e5e81dd87446f811df77548e6a6b</t>
        </is>
      </c>
      <c r="B6100" s="29" t="n">
        <v>43232</v>
      </c>
      <c r="C6100" t="inlineStr">
        <is>
          <t>2018-05</t>
        </is>
      </c>
      <c r="D6100" t="inlineStr">
        <is>
          <t>ce1a65abd0973638f1c887a6efcfa82d</t>
        </is>
      </c>
      <c r="E6100" t="inlineStr">
        <is>
          <t>organic_search</t>
        </is>
      </c>
      <c r="F6100">
        <f>IFERROR(MATCH(A6100,Deals!$A$2:$A$843,0),"")</f>
        <v/>
      </c>
      <c r="G6100">
        <f>IF(F6100="",0,1)</f>
        <v/>
      </c>
      <c r="H6100" s="29">
        <f>IF(F6100="","",INDEX(Deals!$E$2:$E$843,F6100))</f>
        <v/>
      </c>
      <c r="I6100">
        <f>IF(F6100="","",INDEX(Deals!$D$2:$D$843,F6100))</f>
        <v/>
      </c>
      <c r="J6100">
        <f>IF(F6100="","",INT(H6100)-B6100)</f>
        <v/>
      </c>
      <c r="K6100">
        <f>IF(B6100&gt;=Settings!$C$5,1,0)</f>
        <v/>
      </c>
    </row>
    <row r="6101">
      <c r="A6101" t="inlineStr">
        <is>
          <t>f6257eec25c897969941e5ea2475006c</t>
        </is>
      </c>
      <c r="B6101" s="29" t="n">
        <v>43070</v>
      </c>
      <c r="C6101" t="inlineStr">
        <is>
          <t>2017-12</t>
        </is>
      </c>
      <c r="D6101" t="inlineStr">
        <is>
          <t>58f8c0a253663304e348e81298bc255e</t>
        </is>
      </c>
      <c r="E6101" t="inlineStr">
        <is>
          <t>paid_search</t>
        </is>
      </c>
      <c r="F6101">
        <f>IFERROR(MATCH(A6101,Deals!$A$2:$A$843,0),"")</f>
        <v/>
      </c>
      <c r="G6101">
        <f>IF(F6101="",0,1)</f>
        <v/>
      </c>
      <c r="H6101" s="29">
        <f>IF(F6101="","",INDEX(Deals!$E$2:$E$843,F6101))</f>
        <v/>
      </c>
      <c r="I6101">
        <f>IF(F6101="","",INDEX(Deals!$D$2:$D$843,F6101))</f>
        <v/>
      </c>
      <c r="J6101">
        <f>IF(F6101="","",INT(H6101)-B6101)</f>
        <v/>
      </c>
      <c r="K6101">
        <f>IF(B6101&gt;=Settings!$C$5,1,0)</f>
        <v/>
      </c>
    </row>
    <row r="6102">
      <c r="A6102" t="inlineStr">
        <is>
          <t>da35a24fb3674802565f8bd5243a94d4</t>
        </is>
      </c>
      <c r="B6102" s="29" t="n">
        <v>43113</v>
      </c>
      <c r="C6102" t="inlineStr">
        <is>
          <t>2018-01</t>
        </is>
      </c>
      <c r="D6102" t="inlineStr">
        <is>
          <t>22c29808c4f815213303f8933030604c</t>
        </is>
      </c>
      <c r="E6102" t="inlineStr">
        <is>
          <t>social</t>
        </is>
      </c>
      <c r="F6102">
        <f>IFERROR(MATCH(A6102,Deals!$A$2:$A$843,0),"")</f>
        <v/>
      </c>
      <c r="G6102">
        <f>IF(F6102="",0,1)</f>
        <v/>
      </c>
      <c r="H6102" s="29">
        <f>IF(F6102="","",INDEX(Deals!$E$2:$E$843,F6102))</f>
        <v/>
      </c>
      <c r="I6102">
        <f>IF(F6102="","",INDEX(Deals!$D$2:$D$843,F6102))</f>
        <v/>
      </c>
      <c r="J6102">
        <f>IF(F6102="","",INT(H6102)-B6102)</f>
        <v/>
      </c>
      <c r="K6102">
        <f>IF(B6102&gt;=Settings!$C$5,1,0)</f>
        <v/>
      </c>
    </row>
    <row r="6103">
      <c r="A6103" t="inlineStr">
        <is>
          <t>0b66b6f73bf8eb3226f29fe2bb6e01e3</t>
        </is>
      </c>
      <c r="B6103" s="29" t="n">
        <v>43241</v>
      </c>
      <c r="C6103" t="inlineStr">
        <is>
          <t>2018-05</t>
        </is>
      </c>
      <c r="D6103" t="inlineStr">
        <is>
          <t>22c29808c4f815213303f8933030604c</t>
        </is>
      </c>
      <c r="E6103" t="inlineStr">
        <is>
          <t>organic_search</t>
        </is>
      </c>
      <c r="F6103">
        <f>IFERROR(MATCH(A6103,Deals!$A$2:$A$843,0),"")</f>
        <v/>
      </c>
      <c r="G6103">
        <f>IF(F6103="",0,1)</f>
        <v/>
      </c>
      <c r="H6103" s="29">
        <f>IF(F6103="","",INDEX(Deals!$E$2:$E$843,F6103))</f>
        <v/>
      </c>
      <c r="I6103">
        <f>IF(F6103="","",INDEX(Deals!$D$2:$D$843,F6103))</f>
        <v/>
      </c>
      <c r="J6103">
        <f>IF(F6103="","",INT(H6103)-B6103)</f>
        <v/>
      </c>
      <c r="K6103">
        <f>IF(B6103&gt;=Settings!$C$5,1,0)</f>
        <v/>
      </c>
    </row>
    <row r="6104">
      <c r="A6104" t="inlineStr">
        <is>
          <t>506291472dfc8663ac5a00ce16a1ab2c</t>
        </is>
      </c>
      <c r="B6104" s="29" t="n">
        <v>43208</v>
      </c>
      <c r="C6104" t="inlineStr">
        <is>
          <t>2018-04</t>
        </is>
      </c>
      <c r="D6104" t="inlineStr">
        <is>
          <t>58326e62183c14b0c03085c33b9fdc44</t>
        </is>
      </c>
      <c r="E6104" t="inlineStr">
        <is>
          <t>social</t>
        </is>
      </c>
      <c r="F6104">
        <f>IFERROR(MATCH(A6104,Deals!$A$2:$A$843,0),"")</f>
        <v/>
      </c>
      <c r="G6104">
        <f>IF(F6104="",0,1)</f>
        <v/>
      </c>
      <c r="H6104" s="29">
        <f>IF(F6104="","",INDEX(Deals!$E$2:$E$843,F6104))</f>
        <v/>
      </c>
      <c r="I6104">
        <f>IF(F6104="","",INDEX(Deals!$D$2:$D$843,F6104))</f>
        <v/>
      </c>
      <c r="J6104">
        <f>IF(F6104="","",INT(H6104)-B6104)</f>
        <v/>
      </c>
      <c r="K6104">
        <f>IF(B6104&gt;=Settings!$C$5,1,0)</f>
        <v/>
      </c>
    </row>
    <row r="6105">
      <c r="A6105" t="inlineStr">
        <is>
          <t>b2d2cf77d3f2786ea457f6631a67dd04</t>
        </is>
      </c>
      <c r="B6105" s="29" t="n">
        <v>43143</v>
      </c>
      <c r="C6105" t="inlineStr">
        <is>
          <t>2018-02</t>
        </is>
      </c>
      <c r="D6105" t="inlineStr">
        <is>
          <t>88740e65d5d6b056e0cda098e1ea6313</t>
        </is>
      </c>
      <c r="E6105" t="inlineStr">
        <is>
          <t>social</t>
        </is>
      </c>
      <c r="F6105">
        <f>IFERROR(MATCH(A6105,Deals!$A$2:$A$843,0),"")</f>
        <v/>
      </c>
      <c r="G6105">
        <f>IF(F6105="",0,1)</f>
        <v/>
      </c>
      <c r="H6105" s="29">
        <f>IF(F6105="","",INDEX(Deals!$E$2:$E$843,F6105))</f>
        <v/>
      </c>
      <c r="I6105">
        <f>IF(F6105="","",INDEX(Deals!$D$2:$D$843,F6105))</f>
        <v/>
      </c>
      <c r="J6105">
        <f>IF(F6105="","",INT(H6105)-B6105)</f>
        <v/>
      </c>
      <c r="K6105">
        <f>IF(B6105&gt;=Settings!$C$5,1,0)</f>
        <v/>
      </c>
    </row>
    <row r="6106">
      <c r="A6106" t="inlineStr">
        <is>
          <t>0f73cec4e9f890d78002e10615c2d7f9</t>
        </is>
      </c>
      <c r="B6106" s="29" t="n">
        <v>43241</v>
      </c>
      <c r="C6106" t="inlineStr">
        <is>
          <t>2018-05</t>
        </is>
      </c>
      <c r="D6106" t="inlineStr">
        <is>
          <t>22c29808c4f815213303f8933030604c</t>
        </is>
      </c>
      <c r="E6106" t="inlineStr">
        <is>
          <t>organic_search</t>
        </is>
      </c>
      <c r="F6106">
        <f>IFERROR(MATCH(A6106,Deals!$A$2:$A$843,0),"")</f>
        <v/>
      </c>
      <c r="G6106">
        <f>IF(F6106="",0,1)</f>
        <v/>
      </c>
      <c r="H6106" s="29">
        <f>IF(F6106="","",INDEX(Deals!$E$2:$E$843,F6106))</f>
        <v/>
      </c>
      <c r="I6106">
        <f>IF(F6106="","",INDEX(Deals!$D$2:$D$843,F6106))</f>
        <v/>
      </c>
      <c r="J6106">
        <f>IF(F6106="","",INT(H6106)-B6106)</f>
        <v/>
      </c>
      <c r="K6106">
        <f>IF(B6106&gt;=Settings!$C$5,1,0)</f>
        <v/>
      </c>
    </row>
    <row r="6107">
      <c r="A6107" t="inlineStr">
        <is>
          <t>484009fad1b995595009010b57815e2b</t>
        </is>
      </c>
      <c r="B6107" s="29" t="n">
        <v>43202</v>
      </c>
      <c r="C6107" t="inlineStr">
        <is>
          <t>2018-04</t>
        </is>
      </c>
      <c r="D6107" t="inlineStr">
        <is>
          <t>58326e62183c14b0c03085c33b9fdc44</t>
        </is>
      </c>
      <c r="E6107" t="inlineStr">
        <is>
          <t>social</t>
        </is>
      </c>
      <c r="F6107">
        <f>IFERROR(MATCH(A6107,Deals!$A$2:$A$843,0),"")</f>
        <v/>
      </c>
      <c r="G6107">
        <f>IF(F6107="",0,1)</f>
        <v/>
      </c>
      <c r="H6107" s="29">
        <f>IF(F6107="","",INDEX(Deals!$E$2:$E$843,F6107))</f>
        <v/>
      </c>
      <c r="I6107">
        <f>IF(F6107="","",INDEX(Deals!$D$2:$D$843,F6107))</f>
        <v/>
      </c>
      <c r="J6107">
        <f>IF(F6107="","",INT(H6107)-B6107)</f>
        <v/>
      </c>
      <c r="K6107">
        <f>IF(B6107&gt;=Settings!$C$5,1,0)</f>
        <v/>
      </c>
    </row>
    <row r="6108">
      <c r="A6108" t="inlineStr">
        <is>
          <t>be6a8bd950af30b17829a1d5c58d148f</t>
        </is>
      </c>
      <c r="B6108" s="29" t="n">
        <v>43187</v>
      </c>
      <c r="C6108" t="inlineStr">
        <is>
          <t>2018-03</t>
        </is>
      </c>
      <c r="D6108" t="inlineStr">
        <is>
          <t>b76ef37428e6799c421989521c0e5077</t>
        </is>
      </c>
      <c r="E6108" t="inlineStr">
        <is>
          <t>unknown</t>
        </is>
      </c>
      <c r="F6108">
        <f>IFERROR(MATCH(A6108,Deals!$A$2:$A$843,0),"")</f>
        <v/>
      </c>
      <c r="G6108">
        <f>IF(F6108="",0,1)</f>
        <v/>
      </c>
      <c r="H6108" s="29">
        <f>IF(F6108="","",INDEX(Deals!$E$2:$E$843,F6108))</f>
        <v/>
      </c>
      <c r="I6108">
        <f>IF(F6108="","",INDEX(Deals!$D$2:$D$843,F6108))</f>
        <v/>
      </c>
      <c r="J6108">
        <f>IF(F6108="","",INT(H6108)-B6108)</f>
        <v/>
      </c>
      <c r="K6108">
        <f>IF(B6108&gt;=Settings!$C$5,1,0)</f>
        <v/>
      </c>
    </row>
    <row r="6109">
      <c r="A6109" t="inlineStr">
        <is>
          <t>88f4ee270f7b74877a1fd3ef65df2192</t>
        </is>
      </c>
      <c r="B6109" s="29" t="n">
        <v>43067</v>
      </c>
      <c r="C6109" t="inlineStr">
        <is>
          <t>2017-11</t>
        </is>
      </c>
      <c r="D6109" t="inlineStr">
        <is>
          <t>b76ef37428e6799c421989521c0e5077</t>
        </is>
      </c>
      <c r="E6109" t="inlineStr">
        <is>
          <t>paid_search</t>
        </is>
      </c>
      <c r="F6109">
        <f>IFERROR(MATCH(A6109,Deals!$A$2:$A$843,0),"")</f>
        <v/>
      </c>
      <c r="G6109">
        <f>IF(F6109="",0,1)</f>
        <v/>
      </c>
      <c r="H6109" s="29">
        <f>IF(F6109="","",INDEX(Deals!$E$2:$E$843,F6109))</f>
        <v/>
      </c>
      <c r="I6109">
        <f>IF(F6109="","",INDEX(Deals!$D$2:$D$843,F6109))</f>
        <v/>
      </c>
      <c r="J6109">
        <f>IF(F6109="","",INT(H6109)-B6109)</f>
        <v/>
      </c>
      <c r="K6109">
        <f>IF(B6109&gt;=Settings!$C$5,1,0)</f>
        <v/>
      </c>
    </row>
    <row r="6110">
      <c r="A6110" t="inlineStr">
        <is>
          <t>ae1a83fe550530355c270367859ea866</t>
        </is>
      </c>
      <c r="B6110" s="29" t="n">
        <v>43172</v>
      </c>
      <c r="C6110" t="inlineStr">
        <is>
          <t>2018-03</t>
        </is>
      </c>
      <c r="D6110" t="inlineStr">
        <is>
          <t>88740e65d5d6b056e0cda098e1ea6313</t>
        </is>
      </c>
      <c r="E6110" t="inlineStr">
        <is>
          <t>unknown</t>
        </is>
      </c>
      <c r="F6110">
        <f>IFERROR(MATCH(A6110,Deals!$A$2:$A$843,0),"")</f>
        <v/>
      </c>
      <c r="G6110">
        <f>IF(F6110="",0,1)</f>
        <v/>
      </c>
      <c r="H6110" s="29">
        <f>IF(F6110="","",INDEX(Deals!$E$2:$E$843,F6110))</f>
        <v/>
      </c>
      <c r="I6110">
        <f>IF(F6110="","",INDEX(Deals!$D$2:$D$843,F6110))</f>
        <v/>
      </c>
      <c r="J6110">
        <f>IF(F6110="","",INT(H6110)-B6110)</f>
        <v/>
      </c>
      <c r="K6110">
        <f>IF(B6110&gt;=Settings!$C$5,1,0)</f>
        <v/>
      </c>
    </row>
    <row r="6111">
      <c r="A6111" t="inlineStr">
        <is>
          <t>424a86714113e18879e2ddd853473aa8</t>
        </is>
      </c>
      <c r="B6111" s="29" t="n">
        <v>43164</v>
      </c>
      <c r="C6111" t="inlineStr">
        <is>
          <t>2018-03</t>
        </is>
      </c>
      <c r="D6111" t="inlineStr">
        <is>
          <t>a7982125ff7aa3b2054c6e44f9d28522</t>
        </is>
      </c>
      <c r="E6111" t="inlineStr">
        <is>
          <t>organic_search</t>
        </is>
      </c>
      <c r="F6111">
        <f>IFERROR(MATCH(A6111,Deals!$A$2:$A$843,0),"")</f>
        <v/>
      </c>
      <c r="G6111">
        <f>IF(F6111="",0,1)</f>
        <v/>
      </c>
      <c r="H6111" s="29">
        <f>IF(F6111="","",INDEX(Deals!$E$2:$E$843,F6111))</f>
        <v/>
      </c>
      <c r="I6111">
        <f>IF(F6111="","",INDEX(Deals!$D$2:$D$843,F6111))</f>
        <v/>
      </c>
      <c r="J6111">
        <f>IF(F6111="","",INT(H6111)-B6111)</f>
        <v/>
      </c>
      <c r="K6111">
        <f>IF(B6111&gt;=Settings!$C$5,1,0)</f>
        <v/>
      </c>
    </row>
    <row r="6112">
      <c r="A6112" t="inlineStr">
        <is>
          <t>f9fb7c79045fc492a18b051150c2b269</t>
        </is>
      </c>
      <c r="B6112" s="29" t="n">
        <v>43208</v>
      </c>
      <c r="C6112" t="inlineStr">
        <is>
          <t>2018-04</t>
        </is>
      </c>
      <c r="D6112" t="inlineStr">
        <is>
          <t>58326e62183c14b0c03085c33b9fdc44</t>
        </is>
      </c>
      <c r="E6112" t="inlineStr">
        <is>
          <t>social</t>
        </is>
      </c>
      <c r="F6112">
        <f>IFERROR(MATCH(A6112,Deals!$A$2:$A$843,0),"")</f>
        <v/>
      </c>
      <c r="G6112">
        <f>IF(F6112="",0,1)</f>
        <v/>
      </c>
      <c r="H6112" s="29">
        <f>IF(F6112="","",INDEX(Deals!$E$2:$E$843,F6112))</f>
        <v/>
      </c>
      <c r="I6112">
        <f>IF(F6112="","",INDEX(Deals!$D$2:$D$843,F6112))</f>
        <v/>
      </c>
      <c r="J6112">
        <f>IF(F6112="","",INT(H6112)-B6112)</f>
        <v/>
      </c>
      <c r="K6112">
        <f>IF(B6112&gt;=Settings!$C$5,1,0)</f>
        <v/>
      </c>
    </row>
    <row r="6113">
      <c r="A6113" t="inlineStr">
        <is>
          <t>e52917b6014799a313777d99a977c518</t>
        </is>
      </c>
      <c r="B6113" s="29" t="n">
        <v>42969</v>
      </c>
      <c r="C6113" t="inlineStr">
        <is>
          <t>2017-08</t>
        </is>
      </c>
      <c r="D6113" t="inlineStr">
        <is>
          <t>1722481ac9e5371e5099dea226b5421d</t>
        </is>
      </c>
      <c r="E6113" t="inlineStr">
        <is>
          <t>social</t>
        </is>
      </c>
      <c r="F6113">
        <f>IFERROR(MATCH(A6113,Deals!$A$2:$A$843,0),"")</f>
        <v/>
      </c>
      <c r="G6113">
        <f>IF(F6113="",0,1)</f>
        <v/>
      </c>
      <c r="H6113" s="29">
        <f>IF(F6113="","",INDEX(Deals!$E$2:$E$843,F6113))</f>
        <v/>
      </c>
      <c r="I6113">
        <f>IF(F6113="","",INDEX(Deals!$D$2:$D$843,F6113))</f>
        <v/>
      </c>
      <c r="J6113">
        <f>IF(F6113="","",INT(H6113)-B6113)</f>
        <v/>
      </c>
      <c r="K6113">
        <f>IF(B6113&gt;=Settings!$C$5,1,0)</f>
        <v/>
      </c>
    </row>
    <row r="6114">
      <c r="A6114" t="inlineStr">
        <is>
          <t>e8caf5068d097fe43a132fbc1152bdd8</t>
        </is>
      </c>
      <c r="B6114" s="29" t="n">
        <v>43199</v>
      </c>
      <c r="C6114" t="inlineStr">
        <is>
          <t>2018-04</t>
        </is>
      </c>
      <c r="D6114" t="inlineStr">
        <is>
          <t>908dad5b22342480f5cc055b8dd55e7e</t>
        </is>
      </c>
      <c r="E6114" t="inlineStr">
        <is>
          <t>email</t>
        </is>
      </c>
      <c r="F6114">
        <f>IFERROR(MATCH(A6114,Deals!$A$2:$A$843,0),"")</f>
        <v/>
      </c>
      <c r="G6114">
        <f>IF(F6114="",0,1)</f>
        <v/>
      </c>
      <c r="H6114" s="29">
        <f>IF(F6114="","",INDEX(Deals!$E$2:$E$843,F6114))</f>
        <v/>
      </c>
      <c r="I6114">
        <f>IF(F6114="","",INDEX(Deals!$D$2:$D$843,F6114))</f>
        <v/>
      </c>
      <c r="J6114">
        <f>IF(F6114="","",INT(H6114)-B6114)</f>
        <v/>
      </c>
      <c r="K6114">
        <f>IF(B6114&gt;=Settings!$C$5,1,0)</f>
        <v/>
      </c>
    </row>
    <row r="6115">
      <c r="A6115" t="inlineStr">
        <is>
          <t>044a076e47968415693e0a6e13ec1737</t>
        </is>
      </c>
      <c r="B6115" s="29" t="n">
        <v>43195</v>
      </c>
      <c r="C6115" t="inlineStr">
        <is>
          <t>2018-04</t>
        </is>
      </c>
      <c r="D6115" t="inlineStr">
        <is>
          <t>330b9d44078a1ae5a221d655dcb77afa</t>
        </is>
      </c>
      <c r="E6115" t="inlineStr">
        <is>
          <t>paid_search</t>
        </is>
      </c>
      <c r="F6115">
        <f>IFERROR(MATCH(A6115,Deals!$A$2:$A$843,0),"")</f>
        <v/>
      </c>
      <c r="G6115">
        <f>IF(F6115="",0,1)</f>
        <v/>
      </c>
      <c r="H6115" s="29">
        <f>IF(F6115="","",INDEX(Deals!$E$2:$E$843,F6115))</f>
        <v/>
      </c>
      <c r="I6115">
        <f>IF(F6115="","",INDEX(Deals!$D$2:$D$843,F6115))</f>
        <v/>
      </c>
      <c r="J6115">
        <f>IF(F6115="","",INT(H6115)-B6115)</f>
        <v/>
      </c>
      <c r="K6115">
        <f>IF(B6115&gt;=Settings!$C$5,1,0)</f>
        <v/>
      </c>
    </row>
    <row r="6116">
      <c r="A6116" t="inlineStr">
        <is>
          <t>38c6bc5cf8aad6cd719ffae73bd4190a</t>
        </is>
      </c>
      <c r="B6116" s="29" t="n">
        <v>43138</v>
      </c>
      <c r="C6116" t="inlineStr">
        <is>
          <t>2018-02</t>
        </is>
      </c>
      <c r="D6116" t="inlineStr">
        <is>
          <t>241f79c7a8fe0270f4fb79fcbbcd17ad</t>
        </is>
      </c>
      <c r="E6116" t="inlineStr">
        <is>
          <t>paid_search</t>
        </is>
      </c>
      <c r="F6116">
        <f>IFERROR(MATCH(A6116,Deals!$A$2:$A$843,0),"")</f>
        <v/>
      </c>
      <c r="G6116">
        <f>IF(F6116="",0,1)</f>
        <v/>
      </c>
      <c r="H6116" s="29">
        <f>IF(F6116="","",INDEX(Deals!$E$2:$E$843,F6116))</f>
        <v/>
      </c>
      <c r="I6116">
        <f>IF(F6116="","",INDEX(Deals!$D$2:$D$843,F6116))</f>
        <v/>
      </c>
      <c r="J6116">
        <f>IF(F6116="","",INT(H6116)-B6116)</f>
        <v/>
      </c>
      <c r="K6116">
        <f>IF(B6116&gt;=Settings!$C$5,1,0)</f>
        <v/>
      </c>
    </row>
    <row r="6117">
      <c r="A6117" t="inlineStr">
        <is>
          <t>3f7de138c8acede31e9a949fe5d6f9e8</t>
        </is>
      </c>
      <c r="B6117" s="29" t="n">
        <v>43235</v>
      </c>
      <c r="C6117" t="inlineStr">
        <is>
          <t>2018-05</t>
        </is>
      </c>
      <c r="D6117" t="inlineStr">
        <is>
          <t>6a110e795dd487f1cf8d7583671987af</t>
        </is>
      </c>
      <c r="E6117" t="inlineStr">
        <is>
          <t>email</t>
        </is>
      </c>
      <c r="F6117">
        <f>IFERROR(MATCH(A6117,Deals!$A$2:$A$843,0),"")</f>
        <v/>
      </c>
      <c r="G6117">
        <f>IF(F6117="",0,1)</f>
        <v/>
      </c>
      <c r="H6117" s="29">
        <f>IF(F6117="","",INDEX(Deals!$E$2:$E$843,F6117))</f>
        <v/>
      </c>
      <c r="I6117">
        <f>IF(F6117="","",INDEX(Deals!$D$2:$D$843,F6117))</f>
        <v/>
      </c>
      <c r="J6117">
        <f>IF(F6117="","",INT(H6117)-B6117)</f>
        <v/>
      </c>
      <c r="K6117">
        <f>IF(B6117&gt;=Settings!$C$5,1,0)</f>
        <v/>
      </c>
    </row>
    <row r="6118">
      <c r="A6118" t="inlineStr">
        <is>
          <t>7268b745404a24f8c0d3c833be3ec546</t>
        </is>
      </c>
      <c r="B6118" s="29" t="n">
        <v>43117</v>
      </c>
      <c r="C6118" t="inlineStr">
        <is>
          <t>2018-01</t>
        </is>
      </c>
      <c r="D6118" t="inlineStr">
        <is>
          <t>33d93d27f43d86b4a7e89186936d8c6c</t>
        </is>
      </c>
      <c r="E6118" t="inlineStr">
        <is>
          <t>email</t>
        </is>
      </c>
      <c r="F6118">
        <f>IFERROR(MATCH(A6118,Deals!$A$2:$A$843,0),"")</f>
        <v/>
      </c>
      <c r="G6118">
        <f>IF(F6118="",0,1)</f>
        <v/>
      </c>
      <c r="H6118" s="29">
        <f>IF(F6118="","",INDEX(Deals!$E$2:$E$843,F6118))</f>
        <v/>
      </c>
      <c r="I6118">
        <f>IF(F6118="","",INDEX(Deals!$D$2:$D$843,F6118))</f>
        <v/>
      </c>
      <c r="J6118">
        <f>IF(F6118="","",INT(H6118)-B6118)</f>
        <v/>
      </c>
      <c r="K6118">
        <f>IF(B6118&gt;=Settings!$C$5,1,0)</f>
        <v/>
      </c>
    </row>
    <row r="6119">
      <c r="A6119" t="inlineStr">
        <is>
          <t>d1c0346fd48738633f88daca7a7f59b6</t>
        </is>
      </c>
      <c r="B6119" s="29" t="n">
        <v>43146</v>
      </c>
      <c r="C6119" t="inlineStr">
        <is>
          <t>2018-02</t>
        </is>
      </c>
      <c r="D6119" t="inlineStr">
        <is>
          <t>88740e65d5d6b056e0cda098e1ea6313</t>
        </is>
      </c>
      <c r="E6119" t="inlineStr">
        <is>
          <t>social</t>
        </is>
      </c>
      <c r="F6119">
        <f>IFERROR(MATCH(A6119,Deals!$A$2:$A$843,0),"")</f>
        <v/>
      </c>
      <c r="G6119">
        <f>IF(F6119="",0,1)</f>
        <v/>
      </c>
      <c r="H6119" s="29">
        <f>IF(F6119="","",INDEX(Deals!$E$2:$E$843,F6119))</f>
        <v/>
      </c>
      <c r="I6119">
        <f>IF(F6119="","",INDEX(Deals!$D$2:$D$843,F6119))</f>
        <v/>
      </c>
      <c r="J6119">
        <f>IF(F6119="","",INT(H6119)-B6119)</f>
        <v/>
      </c>
      <c r="K6119">
        <f>IF(B6119&gt;=Settings!$C$5,1,0)</f>
        <v/>
      </c>
    </row>
    <row r="6120">
      <c r="A6120" t="inlineStr">
        <is>
          <t>07a498d2be79102ce2ca947bae2c53eb</t>
        </is>
      </c>
      <c r="B6120" s="29" t="n">
        <v>43203</v>
      </c>
      <c r="C6120" t="inlineStr">
        <is>
          <t>2018-04</t>
        </is>
      </c>
      <c r="D6120" t="inlineStr">
        <is>
          <t>1ceb590cd1e00c7ee95220971f82693d</t>
        </is>
      </c>
      <c r="E6120" t="inlineStr">
        <is>
          <t>paid_search</t>
        </is>
      </c>
      <c r="F6120">
        <f>IFERROR(MATCH(A6120,Deals!$A$2:$A$843,0),"")</f>
        <v/>
      </c>
      <c r="G6120">
        <f>IF(F6120="",0,1)</f>
        <v/>
      </c>
      <c r="H6120" s="29">
        <f>IF(F6120="","",INDEX(Deals!$E$2:$E$843,F6120))</f>
        <v/>
      </c>
      <c r="I6120">
        <f>IF(F6120="","",INDEX(Deals!$D$2:$D$843,F6120))</f>
        <v/>
      </c>
      <c r="J6120">
        <f>IF(F6120="","",INT(H6120)-B6120)</f>
        <v/>
      </c>
      <c r="K6120">
        <f>IF(B6120&gt;=Settings!$C$5,1,0)</f>
        <v/>
      </c>
    </row>
    <row r="6121">
      <c r="A6121" t="inlineStr">
        <is>
          <t>c5204334289d6a51e794d56aea6ebdf4</t>
        </is>
      </c>
      <c r="B6121" s="29" t="n">
        <v>43117</v>
      </c>
      <c r="C6121" t="inlineStr">
        <is>
          <t>2018-01</t>
        </is>
      </c>
      <c r="D6121" t="inlineStr">
        <is>
          <t>e492ee5eaf1697716985cc6f33f9cd9b</t>
        </is>
      </c>
      <c r="E6121" t="inlineStr">
        <is>
          <t>email</t>
        </is>
      </c>
      <c r="F6121">
        <f>IFERROR(MATCH(A6121,Deals!$A$2:$A$843,0),"")</f>
        <v/>
      </c>
      <c r="G6121">
        <f>IF(F6121="",0,1)</f>
        <v/>
      </c>
      <c r="H6121" s="29">
        <f>IF(F6121="","",INDEX(Deals!$E$2:$E$843,F6121))</f>
        <v/>
      </c>
      <c r="I6121">
        <f>IF(F6121="","",INDEX(Deals!$D$2:$D$843,F6121))</f>
        <v/>
      </c>
      <c r="J6121">
        <f>IF(F6121="","",INT(H6121)-B6121)</f>
        <v/>
      </c>
      <c r="K6121">
        <f>IF(B6121&gt;=Settings!$C$5,1,0)</f>
        <v/>
      </c>
    </row>
    <row r="6122">
      <c r="A6122" t="inlineStr">
        <is>
          <t>12c39d8d04046a8099182c4d83191291</t>
        </is>
      </c>
      <c r="B6122" s="29" t="n">
        <v>42999</v>
      </c>
      <c r="C6122" t="inlineStr">
        <is>
          <t>2017-09</t>
        </is>
      </c>
      <c r="D6122" t="inlineStr">
        <is>
          <t>87d670b00a8db612286ba8419cf82e83</t>
        </is>
      </c>
      <c r="E6122" t="inlineStr">
        <is>
          <t>paid_search</t>
        </is>
      </c>
      <c r="F6122">
        <f>IFERROR(MATCH(A6122,Deals!$A$2:$A$843,0),"")</f>
        <v/>
      </c>
      <c r="G6122">
        <f>IF(F6122="",0,1)</f>
        <v/>
      </c>
      <c r="H6122" s="29">
        <f>IF(F6122="","",INDEX(Deals!$E$2:$E$843,F6122))</f>
        <v/>
      </c>
      <c r="I6122">
        <f>IF(F6122="","",INDEX(Deals!$D$2:$D$843,F6122))</f>
        <v/>
      </c>
      <c r="J6122">
        <f>IF(F6122="","",INT(H6122)-B6122)</f>
        <v/>
      </c>
      <c r="K6122">
        <f>IF(B6122&gt;=Settings!$C$5,1,0)</f>
        <v/>
      </c>
    </row>
    <row r="6123">
      <c r="A6123" t="inlineStr">
        <is>
          <t>d093b4a150384ffc0b1bb5d5042c0df4</t>
        </is>
      </c>
      <c r="B6123" s="29" t="n">
        <v>43040</v>
      </c>
      <c r="C6123" t="inlineStr">
        <is>
          <t>2017-11</t>
        </is>
      </c>
      <c r="D6123" t="inlineStr">
        <is>
          <t>1722481ac9e5371e5099dea226b5421d</t>
        </is>
      </c>
      <c r="E6123" t="inlineStr">
        <is>
          <t>organic_search</t>
        </is>
      </c>
      <c r="F6123">
        <f>IFERROR(MATCH(A6123,Deals!$A$2:$A$843,0),"")</f>
        <v/>
      </c>
      <c r="G6123">
        <f>IF(F6123="",0,1)</f>
        <v/>
      </c>
      <c r="H6123" s="29">
        <f>IF(F6123="","",INDEX(Deals!$E$2:$E$843,F6123))</f>
        <v/>
      </c>
      <c r="I6123">
        <f>IF(F6123="","",INDEX(Deals!$D$2:$D$843,F6123))</f>
        <v/>
      </c>
      <c r="J6123">
        <f>IF(F6123="","",INT(H6123)-B6123)</f>
        <v/>
      </c>
      <c r="K6123">
        <f>IF(B6123&gt;=Settings!$C$5,1,0)</f>
        <v/>
      </c>
    </row>
    <row r="6124">
      <c r="A6124" t="inlineStr">
        <is>
          <t>e06a3d7d02b402490a194d884f6c8f8d</t>
        </is>
      </c>
      <c r="B6124" s="29" t="n">
        <v>43217</v>
      </c>
      <c r="C6124" t="inlineStr">
        <is>
          <t>2018-04</t>
        </is>
      </c>
      <c r="D6124" t="inlineStr">
        <is>
          <t>f80696b73d17fb34f5c4fde157f119d8</t>
        </is>
      </c>
      <c r="E6124" t="inlineStr">
        <is>
          <t>organic_search</t>
        </is>
      </c>
      <c r="F6124">
        <f>IFERROR(MATCH(A6124,Deals!$A$2:$A$843,0),"")</f>
        <v/>
      </c>
      <c r="G6124">
        <f>IF(F6124="",0,1)</f>
        <v/>
      </c>
      <c r="H6124" s="29">
        <f>IF(F6124="","",INDEX(Deals!$E$2:$E$843,F6124))</f>
        <v/>
      </c>
      <c r="I6124">
        <f>IF(F6124="","",INDEX(Deals!$D$2:$D$843,F6124))</f>
        <v/>
      </c>
      <c r="J6124">
        <f>IF(F6124="","",INT(H6124)-B6124)</f>
        <v/>
      </c>
      <c r="K6124">
        <f>IF(B6124&gt;=Settings!$C$5,1,0)</f>
        <v/>
      </c>
    </row>
    <row r="6125">
      <c r="A6125" t="inlineStr">
        <is>
          <t>0b12990ae1d82e9573abb9a6df74ae00</t>
        </is>
      </c>
      <c r="B6125" s="29" t="n">
        <v>43248</v>
      </c>
      <c r="C6125" t="inlineStr">
        <is>
          <t>2018-05</t>
        </is>
      </c>
      <c r="D6125" t="inlineStr">
        <is>
          <t>22c29808c4f815213303f8933030604c</t>
        </is>
      </c>
      <c r="E6125" t="inlineStr">
        <is>
          <t>organic_search</t>
        </is>
      </c>
      <c r="F6125">
        <f>IFERROR(MATCH(A6125,Deals!$A$2:$A$843,0),"")</f>
        <v/>
      </c>
      <c r="G6125">
        <f>IF(F6125="",0,1)</f>
        <v/>
      </c>
      <c r="H6125" s="29">
        <f>IF(F6125="","",INDEX(Deals!$E$2:$E$843,F6125))</f>
        <v/>
      </c>
      <c r="I6125">
        <f>IF(F6125="","",INDEX(Deals!$D$2:$D$843,F6125))</f>
        <v/>
      </c>
      <c r="J6125">
        <f>IF(F6125="","",INT(H6125)-B6125)</f>
        <v/>
      </c>
      <c r="K6125">
        <f>IF(B6125&gt;=Settings!$C$5,1,0)</f>
        <v/>
      </c>
    </row>
    <row r="6126">
      <c r="A6126" t="inlineStr">
        <is>
          <t>9ea89671c9ac8a9c53062381b303f4d4</t>
        </is>
      </c>
      <c r="B6126" s="29" t="n">
        <v>43199</v>
      </c>
      <c r="C6126" t="inlineStr">
        <is>
          <t>2018-04</t>
        </is>
      </c>
      <c r="D6126" t="inlineStr">
        <is>
          <t>2f08471dfb83baef522f952438a36f6e</t>
        </is>
      </c>
      <c r="E6126" t="inlineStr">
        <is>
          <t>direct_traffic</t>
        </is>
      </c>
      <c r="F6126">
        <f>IFERROR(MATCH(A6126,Deals!$A$2:$A$843,0),"")</f>
        <v/>
      </c>
      <c r="G6126">
        <f>IF(F6126="",0,1)</f>
        <v/>
      </c>
      <c r="H6126" s="29">
        <f>IF(F6126="","",INDEX(Deals!$E$2:$E$843,F6126))</f>
        <v/>
      </c>
      <c r="I6126">
        <f>IF(F6126="","",INDEX(Deals!$D$2:$D$843,F6126))</f>
        <v/>
      </c>
      <c r="J6126">
        <f>IF(F6126="","",INT(H6126)-B6126)</f>
        <v/>
      </c>
      <c r="K6126">
        <f>IF(B6126&gt;=Settings!$C$5,1,0)</f>
        <v/>
      </c>
    </row>
    <row r="6127">
      <c r="A6127" t="inlineStr">
        <is>
          <t>5d23750fc8ccf6284ca2ef9063c7b395</t>
        </is>
      </c>
      <c r="B6127" s="29" t="n">
        <v>43152</v>
      </c>
      <c r="C6127" t="inlineStr">
        <is>
          <t>2018-02</t>
        </is>
      </c>
      <c r="D6127" t="inlineStr">
        <is>
          <t>22c29808c4f815213303f8933030604c</t>
        </is>
      </c>
      <c r="E6127" t="inlineStr">
        <is>
          <t>referral</t>
        </is>
      </c>
      <c r="F6127">
        <f>IFERROR(MATCH(A6127,Deals!$A$2:$A$843,0),"")</f>
        <v/>
      </c>
      <c r="G6127">
        <f>IF(F6127="",0,1)</f>
        <v/>
      </c>
      <c r="H6127" s="29">
        <f>IF(F6127="","",INDEX(Deals!$E$2:$E$843,F6127))</f>
        <v/>
      </c>
      <c r="I6127">
        <f>IF(F6127="","",INDEX(Deals!$D$2:$D$843,F6127))</f>
        <v/>
      </c>
      <c r="J6127">
        <f>IF(F6127="","",INT(H6127)-B6127)</f>
        <v/>
      </c>
      <c r="K6127">
        <f>IF(B6127&gt;=Settings!$C$5,1,0)</f>
        <v/>
      </c>
    </row>
    <row r="6128">
      <c r="A6128" t="inlineStr">
        <is>
          <t>a00f98e6b5b44ce95b3489a3992ef26c</t>
        </is>
      </c>
      <c r="B6128" s="29" t="n">
        <v>43201</v>
      </c>
      <c r="C6128" t="inlineStr">
        <is>
          <t>2018-04</t>
        </is>
      </c>
      <c r="D6128" t="inlineStr">
        <is>
          <t>58326e62183c14b0c03085c33b9fdc44</t>
        </is>
      </c>
      <c r="E6128" t="inlineStr">
        <is>
          <t>social</t>
        </is>
      </c>
      <c r="F6128">
        <f>IFERROR(MATCH(A6128,Deals!$A$2:$A$843,0),"")</f>
        <v/>
      </c>
      <c r="G6128">
        <f>IF(F6128="",0,1)</f>
        <v/>
      </c>
      <c r="H6128" s="29">
        <f>IF(F6128="","",INDEX(Deals!$E$2:$E$843,F6128))</f>
        <v/>
      </c>
      <c r="I6128">
        <f>IF(F6128="","",INDEX(Deals!$D$2:$D$843,F6128))</f>
        <v/>
      </c>
      <c r="J6128">
        <f>IF(F6128="","",INT(H6128)-B6128)</f>
        <v/>
      </c>
      <c r="K6128">
        <f>IF(B6128&gt;=Settings!$C$5,1,0)</f>
        <v/>
      </c>
    </row>
    <row r="6129">
      <c r="A6129" t="inlineStr">
        <is>
          <t>244a2a16c9d3a2e517a188c9596676fe</t>
        </is>
      </c>
      <c r="B6129" s="29" t="n">
        <v>43118</v>
      </c>
      <c r="C6129" t="inlineStr">
        <is>
          <t>2018-01</t>
        </is>
      </c>
      <c r="D6129" t="inlineStr">
        <is>
          <t>22c29808c4f815213303f8933030604c</t>
        </is>
      </c>
      <c r="E6129" t="inlineStr">
        <is>
          <t>referral</t>
        </is>
      </c>
      <c r="F6129">
        <f>IFERROR(MATCH(A6129,Deals!$A$2:$A$843,0),"")</f>
        <v/>
      </c>
      <c r="G6129">
        <f>IF(F6129="",0,1)</f>
        <v/>
      </c>
      <c r="H6129" s="29">
        <f>IF(F6129="","",INDEX(Deals!$E$2:$E$843,F6129))</f>
        <v/>
      </c>
      <c r="I6129">
        <f>IF(F6129="","",INDEX(Deals!$D$2:$D$843,F6129))</f>
        <v/>
      </c>
      <c r="J6129">
        <f>IF(F6129="","",INT(H6129)-B6129)</f>
        <v/>
      </c>
      <c r="K6129">
        <f>IF(B6129&gt;=Settings!$C$5,1,0)</f>
        <v/>
      </c>
    </row>
    <row r="6130">
      <c r="A6130" t="inlineStr">
        <is>
          <t>4502ce1cc7b543fc8c62d1f72a6e1d4c</t>
        </is>
      </c>
      <c r="B6130" s="29" t="n">
        <v>43220</v>
      </c>
      <c r="C6130" t="inlineStr">
        <is>
          <t>2018-04</t>
        </is>
      </c>
      <c r="D6130" t="inlineStr">
        <is>
          <t>5ecb50153794666e90bc04c0076b7834</t>
        </is>
      </c>
      <c r="E6130" t="inlineStr">
        <is>
          <t>paid_search</t>
        </is>
      </c>
      <c r="F6130">
        <f>IFERROR(MATCH(A6130,Deals!$A$2:$A$843,0),"")</f>
        <v/>
      </c>
      <c r="G6130">
        <f>IF(F6130="",0,1)</f>
        <v/>
      </c>
      <c r="H6130" s="29">
        <f>IF(F6130="","",INDEX(Deals!$E$2:$E$843,F6130))</f>
        <v/>
      </c>
      <c r="I6130">
        <f>IF(F6130="","",INDEX(Deals!$D$2:$D$843,F6130))</f>
        <v/>
      </c>
      <c r="J6130">
        <f>IF(F6130="","",INT(H6130)-B6130)</f>
        <v/>
      </c>
      <c r="K6130">
        <f>IF(B6130&gt;=Settings!$C$5,1,0)</f>
        <v/>
      </c>
    </row>
    <row r="6131">
      <c r="A6131" t="inlineStr">
        <is>
          <t>0b2197e2d0e22854d80d72d110c22e5f</t>
        </is>
      </c>
      <c r="B6131" s="29" t="n">
        <v>43220</v>
      </c>
      <c r="C6131" t="inlineStr">
        <is>
          <t>2018-04</t>
        </is>
      </c>
      <c r="D6131" t="inlineStr">
        <is>
          <t>f80696b73d17fb34f5c4fde157f119d8</t>
        </is>
      </c>
      <c r="E6131" t="inlineStr">
        <is>
          <t>email</t>
        </is>
      </c>
      <c r="F6131">
        <f>IFERROR(MATCH(A6131,Deals!$A$2:$A$843,0),"")</f>
        <v/>
      </c>
      <c r="G6131">
        <f>IF(F6131="",0,1)</f>
        <v/>
      </c>
      <c r="H6131" s="29">
        <f>IF(F6131="","",INDEX(Deals!$E$2:$E$843,F6131))</f>
        <v/>
      </c>
      <c r="I6131">
        <f>IF(F6131="","",INDEX(Deals!$D$2:$D$843,F6131))</f>
        <v/>
      </c>
      <c r="J6131">
        <f>IF(F6131="","",INT(H6131)-B6131)</f>
        <v/>
      </c>
      <c r="K6131">
        <f>IF(B6131&gt;=Settings!$C$5,1,0)</f>
        <v/>
      </c>
    </row>
    <row r="6132">
      <c r="A6132" t="inlineStr">
        <is>
          <t>058172f0764ed2bfad2c7aa7cb9ae15f</t>
        </is>
      </c>
      <c r="B6132" s="29" t="n">
        <v>43238</v>
      </c>
      <c r="C6132" t="inlineStr">
        <is>
          <t>2018-05</t>
        </is>
      </c>
      <c r="D6132" t="inlineStr">
        <is>
          <t>ce1a65abd0973638f1c887a6efcfa82d</t>
        </is>
      </c>
      <c r="E6132" t="inlineStr">
        <is>
          <t>organic_search</t>
        </is>
      </c>
      <c r="F6132">
        <f>IFERROR(MATCH(A6132,Deals!$A$2:$A$843,0),"")</f>
        <v/>
      </c>
      <c r="G6132">
        <f>IF(F6132="",0,1)</f>
        <v/>
      </c>
      <c r="H6132" s="29">
        <f>IF(F6132="","",INDEX(Deals!$E$2:$E$843,F6132))</f>
        <v/>
      </c>
      <c r="I6132">
        <f>IF(F6132="","",INDEX(Deals!$D$2:$D$843,F6132))</f>
        <v/>
      </c>
      <c r="J6132">
        <f>IF(F6132="","",INT(H6132)-B6132)</f>
        <v/>
      </c>
      <c r="K6132">
        <f>IF(B6132&gt;=Settings!$C$5,1,0)</f>
        <v/>
      </c>
    </row>
    <row r="6133">
      <c r="A6133" t="inlineStr">
        <is>
          <t>3138f2d16a2894a0b029ac115da88f8f</t>
        </is>
      </c>
      <c r="B6133" s="29" t="n">
        <v>43180</v>
      </c>
      <c r="C6133" t="inlineStr">
        <is>
          <t>2018-03</t>
        </is>
      </c>
      <c r="D6133" t="inlineStr">
        <is>
          <t>22c29808c4f815213303f8933030604c</t>
        </is>
      </c>
      <c r="E6133" t="inlineStr">
        <is>
          <t>organic_search</t>
        </is>
      </c>
      <c r="F6133">
        <f>IFERROR(MATCH(A6133,Deals!$A$2:$A$843,0),"")</f>
        <v/>
      </c>
      <c r="G6133">
        <f>IF(F6133="",0,1)</f>
        <v/>
      </c>
      <c r="H6133" s="29">
        <f>IF(F6133="","",INDEX(Deals!$E$2:$E$843,F6133))</f>
        <v/>
      </c>
      <c r="I6133">
        <f>IF(F6133="","",INDEX(Deals!$D$2:$D$843,F6133))</f>
        <v/>
      </c>
      <c r="J6133">
        <f>IF(F6133="","",INT(H6133)-B6133)</f>
        <v/>
      </c>
      <c r="K6133">
        <f>IF(B6133&gt;=Settings!$C$5,1,0)</f>
        <v/>
      </c>
    </row>
    <row r="6134">
      <c r="A6134" t="inlineStr">
        <is>
          <t>9908b7e0ab13119aa8daccbb7f425e10</t>
        </is>
      </c>
      <c r="B6134" s="29" t="n">
        <v>43244</v>
      </c>
      <c r="C6134" t="inlineStr">
        <is>
          <t>2018-05</t>
        </is>
      </c>
      <c r="D6134" t="inlineStr">
        <is>
          <t>58326e62183c14b0c03085c33b9fdc44</t>
        </is>
      </c>
      <c r="E6134" t="inlineStr">
        <is>
          <t>social</t>
        </is>
      </c>
      <c r="F6134">
        <f>IFERROR(MATCH(A6134,Deals!$A$2:$A$843,0),"")</f>
        <v/>
      </c>
      <c r="G6134">
        <f>IF(F6134="",0,1)</f>
        <v/>
      </c>
      <c r="H6134" s="29">
        <f>IF(F6134="","",INDEX(Deals!$E$2:$E$843,F6134))</f>
        <v/>
      </c>
      <c r="I6134">
        <f>IF(F6134="","",INDEX(Deals!$D$2:$D$843,F6134))</f>
        <v/>
      </c>
      <c r="J6134">
        <f>IF(F6134="","",INT(H6134)-B6134)</f>
        <v/>
      </c>
      <c r="K6134">
        <f>IF(B6134&gt;=Settings!$C$5,1,0)</f>
        <v/>
      </c>
    </row>
    <row r="6135">
      <c r="A6135" t="inlineStr">
        <is>
          <t>d05fc9c6881853e4a1574022b934666c</t>
        </is>
      </c>
      <c r="B6135" s="29" t="n">
        <v>43159</v>
      </c>
      <c r="C6135" t="inlineStr">
        <is>
          <t>2018-02</t>
        </is>
      </c>
      <c r="D6135" t="inlineStr">
        <is>
          <t>22c29808c4f815213303f8933030604c</t>
        </is>
      </c>
      <c r="E6135" t="inlineStr">
        <is>
          <t>unknown</t>
        </is>
      </c>
      <c r="F6135">
        <f>IFERROR(MATCH(A6135,Deals!$A$2:$A$843,0),"")</f>
        <v/>
      </c>
      <c r="G6135">
        <f>IF(F6135="",0,1)</f>
        <v/>
      </c>
      <c r="H6135" s="29">
        <f>IF(F6135="","",INDEX(Deals!$E$2:$E$843,F6135))</f>
        <v/>
      </c>
      <c r="I6135">
        <f>IF(F6135="","",INDEX(Deals!$D$2:$D$843,F6135))</f>
        <v/>
      </c>
      <c r="J6135">
        <f>IF(F6135="","",INT(H6135)-B6135)</f>
        <v/>
      </c>
      <c r="K6135">
        <f>IF(B6135&gt;=Settings!$C$5,1,0)</f>
        <v/>
      </c>
    </row>
    <row r="6136">
      <c r="A6136" t="inlineStr">
        <is>
          <t>042705c9448ec412a9f6ac0ac15d7000</t>
        </is>
      </c>
      <c r="B6136" s="29" t="n">
        <v>43235</v>
      </c>
      <c r="C6136" t="inlineStr">
        <is>
          <t>2018-05</t>
        </is>
      </c>
      <c r="D6136" t="inlineStr">
        <is>
          <t>58326e62183c14b0c03085c33b9fdc44</t>
        </is>
      </c>
      <c r="E6136" t="inlineStr">
        <is>
          <t>social</t>
        </is>
      </c>
      <c r="F6136">
        <f>IFERROR(MATCH(A6136,Deals!$A$2:$A$843,0),"")</f>
        <v/>
      </c>
      <c r="G6136">
        <f>IF(F6136="",0,1)</f>
        <v/>
      </c>
      <c r="H6136" s="29">
        <f>IF(F6136="","",INDEX(Deals!$E$2:$E$843,F6136))</f>
        <v/>
      </c>
      <c r="I6136">
        <f>IF(F6136="","",INDEX(Deals!$D$2:$D$843,F6136))</f>
        <v/>
      </c>
      <c r="J6136">
        <f>IF(F6136="","",INT(H6136)-B6136)</f>
        <v/>
      </c>
      <c r="K6136">
        <f>IF(B6136&gt;=Settings!$C$5,1,0)</f>
        <v/>
      </c>
    </row>
    <row r="6137">
      <c r="A6137" t="inlineStr">
        <is>
          <t>d396b4b665a89fe161dd89d58f9dd437</t>
        </is>
      </c>
      <c r="B6137" s="29" t="n">
        <v>43152</v>
      </c>
      <c r="C6137" t="inlineStr">
        <is>
          <t>2018-02</t>
        </is>
      </c>
      <c r="D6137" t="inlineStr">
        <is>
          <t>b76ef37428e6799c421989521c0e5077</t>
        </is>
      </c>
      <c r="E6137" t="inlineStr">
        <is>
          <t>unknown</t>
        </is>
      </c>
      <c r="F6137">
        <f>IFERROR(MATCH(A6137,Deals!$A$2:$A$843,0),"")</f>
        <v/>
      </c>
      <c r="G6137">
        <f>IF(F6137="",0,1)</f>
        <v/>
      </c>
      <c r="H6137" s="29">
        <f>IF(F6137="","",INDEX(Deals!$E$2:$E$843,F6137))</f>
        <v/>
      </c>
      <c r="I6137">
        <f>IF(F6137="","",INDEX(Deals!$D$2:$D$843,F6137))</f>
        <v/>
      </c>
      <c r="J6137">
        <f>IF(F6137="","",INT(H6137)-B6137)</f>
        <v/>
      </c>
      <c r="K6137">
        <f>IF(B6137&gt;=Settings!$C$5,1,0)</f>
        <v/>
      </c>
    </row>
    <row r="6138">
      <c r="A6138" t="inlineStr">
        <is>
          <t>63e9274c3a8aeec2906f656bcd9919bb</t>
        </is>
      </c>
      <c r="B6138" s="29" t="n">
        <v>43151</v>
      </c>
      <c r="C6138" t="inlineStr">
        <is>
          <t>2018-02</t>
        </is>
      </c>
      <c r="D6138" t="inlineStr">
        <is>
          <t>67f163b6f2baf0f12300d9efa4589e79</t>
        </is>
      </c>
      <c r="E6138" t="inlineStr">
        <is>
          <t>unknown</t>
        </is>
      </c>
      <c r="F6138">
        <f>IFERROR(MATCH(A6138,Deals!$A$2:$A$843,0),"")</f>
        <v/>
      </c>
      <c r="G6138">
        <f>IF(F6138="",0,1)</f>
        <v/>
      </c>
      <c r="H6138" s="29">
        <f>IF(F6138="","",INDEX(Deals!$E$2:$E$843,F6138))</f>
        <v/>
      </c>
      <c r="I6138">
        <f>IF(F6138="","",INDEX(Deals!$D$2:$D$843,F6138))</f>
        <v/>
      </c>
      <c r="J6138">
        <f>IF(F6138="","",INT(H6138)-B6138)</f>
        <v/>
      </c>
      <c r="K6138">
        <f>IF(B6138&gt;=Settings!$C$5,1,0)</f>
        <v/>
      </c>
    </row>
    <row r="6139">
      <c r="A6139" t="inlineStr">
        <is>
          <t>b4994d8000b83caf4875f9cf28664194</t>
        </is>
      </c>
      <c r="B6139" s="29" t="n">
        <v>43186</v>
      </c>
      <c r="C6139" t="inlineStr">
        <is>
          <t>2018-03</t>
        </is>
      </c>
      <c r="D6139" t="inlineStr">
        <is>
          <t>ce1a65abd0973638f1c887a6efcfa82d</t>
        </is>
      </c>
      <c r="E6139" t="inlineStr">
        <is>
          <t>organic_search</t>
        </is>
      </c>
      <c r="F6139">
        <f>IFERROR(MATCH(A6139,Deals!$A$2:$A$843,0),"")</f>
        <v/>
      </c>
      <c r="G6139">
        <f>IF(F6139="",0,1)</f>
        <v/>
      </c>
      <c r="H6139" s="29">
        <f>IF(F6139="","",INDEX(Deals!$E$2:$E$843,F6139))</f>
        <v/>
      </c>
      <c r="I6139">
        <f>IF(F6139="","",INDEX(Deals!$D$2:$D$843,F6139))</f>
        <v/>
      </c>
      <c r="J6139">
        <f>IF(F6139="","",INT(H6139)-B6139)</f>
        <v/>
      </c>
      <c r="K6139">
        <f>IF(B6139&gt;=Settings!$C$5,1,0)</f>
        <v/>
      </c>
    </row>
    <row r="6140">
      <c r="A6140" t="inlineStr">
        <is>
          <t>95f8fbf9e0653a1c0fee3572b5a25042</t>
        </is>
      </c>
      <c r="B6140" s="29" t="n">
        <v>43177</v>
      </c>
      <c r="C6140" t="inlineStr">
        <is>
          <t>2018-03</t>
        </is>
      </c>
      <c r="D6140" t="inlineStr">
        <is>
          <t>f017be4dbf86243af5c1ebed0cff36a2</t>
        </is>
      </c>
      <c r="E6140" t="inlineStr">
        <is>
          <t>organic_search</t>
        </is>
      </c>
      <c r="F6140">
        <f>IFERROR(MATCH(A6140,Deals!$A$2:$A$843,0),"")</f>
        <v/>
      </c>
      <c r="G6140">
        <f>IF(F6140="",0,1)</f>
        <v/>
      </c>
      <c r="H6140" s="29">
        <f>IF(F6140="","",INDEX(Deals!$E$2:$E$843,F6140))</f>
        <v/>
      </c>
      <c r="I6140">
        <f>IF(F6140="","",INDEX(Deals!$D$2:$D$843,F6140))</f>
        <v/>
      </c>
      <c r="J6140">
        <f>IF(F6140="","",INT(H6140)-B6140)</f>
        <v/>
      </c>
      <c r="K6140">
        <f>IF(B6140&gt;=Settings!$C$5,1,0)</f>
        <v/>
      </c>
    </row>
    <row r="6141">
      <c r="A6141" t="inlineStr">
        <is>
          <t>0dacbbb65aed5d4ee2c067a456e7c0f2</t>
        </is>
      </c>
      <c r="B6141" s="29" t="n">
        <v>43199</v>
      </c>
      <c r="C6141" t="inlineStr">
        <is>
          <t>2018-04</t>
        </is>
      </c>
      <c r="D6141" t="inlineStr">
        <is>
          <t>649b7b8b46b254497e92038d88f6ced8</t>
        </is>
      </c>
      <c r="E6141" t="inlineStr">
        <is>
          <t>social</t>
        </is>
      </c>
      <c r="F6141">
        <f>IFERROR(MATCH(A6141,Deals!$A$2:$A$843,0),"")</f>
        <v/>
      </c>
      <c r="G6141">
        <f>IF(F6141="",0,1)</f>
        <v/>
      </c>
      <c r="H6141" s="29">
        <f>IF(F6141="","",INDEX(Deals!$E$2:$E$843,F6141))</f>
        <v/>
      </c>
      <c r="I6141">
        <f>IF(F6141="","",INDEX(Deals!$D$2:$D$843,F6141))</f>
        <v/>
      </c>
      <c r="J6141">
        <f>IF(F6141="","",INT(H6141)-B6141)</f>
        <v/>
      </c>
      <c r="K6141">
        <f>IF(B6141&gt;=Settings!$C$5,1,0)</f>
        <v/>
      </c>
    </row>
    <row r="6142">
      <c r="A6142" t="inlineStr">
        <is>
          <t>01623048e7d81ab613de0f5d03e95fcc</t>
        </is>
      </c>
      <c r="B6142" s="29" t="n">
        <v>43105</v>
      </c>
      <c r="C6142" t="inlineStr">
        <is>
          <t>2018-01</t>
        </is>
      </c>
      <c r="D6142" t="inlineStr">
        <is>
          <t>ce1a65abd0973638f1c887a6efcfa82d</t>
        </is>
      </c>
      <c r="E6142" t="inlineStr">
        <is>
          <t>organic_search</t>
        </is>
      </c>
      <c r="F6142">
        <f>IFERROR(MATCH(A6142,Deals!$A$2:$A$843,0),"")</f>
        <v/>
      </c>
      <c r="G6142">
        <f>IF(F6142="",0,1)</f>
        <v/>
      </c>
      <c r="H6142" s="29">
        <f>IF(F6142="","",INDEX(Deals!$E$2:$E$843,F6142))</f>
        <v/>
      </c>
      <c r="I6142">
        <f>IF(F6142="","",INDEX(Deals!$D$2:$D$843,F6142))</f>
        <v/>
      </c>
      <c r="J6142">
        <f>IF(F6142="","",INT(H6142)-B6142)</f>
        <v/>
      </c>
      <c r="K6142">
        <f>IF(B6142&gt;=Settings!$C$5,1,0)</f>
        <v/>
      </c>
    </row>
    <row r="6143">
      <c r="A6143" t="inlineStr">
        <is>
          <t>d54d63fb8fc496a8fe130011a4c46ed8</t>
        </is>
      </c>
      <c r="B6143" s="29" t="n">
        <v>43248</v>
      </c>
      <c r="C6143" t="inlineStr">
        <is>
          <t>2018-05</t>
        </is>
      </c>
      <c r="D6143" t="inlineStr">
        <is>
          <t>22c29808c4f815213303f8933030604c</t>
        </is>
      </c>
      <c r="E6143" t="inlineStr">
        <is>
          <t>referral</t>
        </is>
      </c>
      <c r="F6143">
        <f>IFERROR(MATCH(A6143,Deals!$A$2:$A$843,0),"")</f>
        <v/>
      </c>
      <c r="G6143">
        <f>IF(F6143="",0,1)</f>
        <v/>
      </c>
      <c r="H6143" s="29">
        <f>IF(F6143="","",INDEX(Deals!$E$2:$E$843,F6143))</f>
        <v/>
      </c>
      <c r="I6143">
        <f>IF(F6143="","",INDEX(Deals!$D$2:$D$843,F6143))</f>
        <v/>
      </c>
      <c r="J6143">
        <f>IF(F6143="","",INT(H6143)-B6143)</f>
        <v/>
      </c>
      <c r="K6143">
        <f>IF(B6143&gt;=Settings!$C$5,1,0)</f>
        <v/>
      </c>
    </row>
    <row r="6144">
      <c r="A6144" t="inlineStr">
        <is>
          <t>7bab2dffdde2dc0280f291194aec45b1</t>
        </is>
      </c>
      <c r="B6144" s="29" t="n">
        <v>43163</v>
      </c>
      <c r="C6144" t="inlineStr">
        <is>
          <t>2018-03</t>
        </is>
      </c>
      <c r="D6144" t="inlineStr">
        <is>
          <t>88740e65d5d6b056e0cda098e1ea6313</t>
        </is>
      </c>
      <c r="E6144" t="inlineStr">
        <is>
          <t>social</t>
        </is>
      </c>
      <c r="F6144">
        <f>IFERROR(MATCH(A6144,Deals!$A$2:$A$843,0),"")</f>
        <v/>
      </c>
      <c r="G6144">
        <f>IF(F6144="",0,1)</f>
        <v/>
      </c>
      <c r="H6144" s="29">
        <f>IF(F6144="","",INDEX(Deals!$E$2:$E$843,F6144))</f>
        <v/>
      </c>
      <c r="I6144">
        <f>IF(F6144="","",INDEX(Deals!$D$2:$D$843,F6144))</f>
        <v/>
      </c>
      <c r="J6144">
        <f>IF(F6144="","",INT(H6144)-B6144)</f>
        <v/>
      </c>
      <c r="K6144">
        <f>IF(B6144&gt;=Settings!$C$5,1,0)</f>
        <v/>
      </c>
    </row>
    <row r="6145">
      <c r="A6145" t="inlineStr">
        <is>
          <t>3293d98701b94267cd995ecf50009b29</t>
        </is>
      </c>
      <c r="B6145" s="29" t="n">
        <v>42940</v>
      </c>
      <c r="C6145" t="inlineStr">
        <is>
          <t>2017-07</t>
        </is>
      </c>
      <c r="D6145" t="inlineStr">
        <is>
          <t>b76ef37428e6799c421989521c0e5077</t>
        </is>
      </c>
      <c r="E6145" t="inlineStr">
        <is>
          <t>unknown</t>
        </is>
      </c>
      <c r="F6145">
        <f>IFERROR(MATCH(A6145,Deals!$A$2:$A$843,0),"")</f>
        <v/>
      </c>
      <c r="G6145">
        <f>IF(F6145="",0,1)</f>
        <v/>
      </c>
      <c r="H6145" s="29">
        <f>IF(F6145="","",INDEX(Deals!$E$2:$E$843,F6145))</f>
        <v/>
      </c>
      <c r="I6145">
        <f>IF(F6145="","",INDEX(Deals!$D$2:$D$843,F6145))</f>
        <v/>
      </c>
      <c r="J6145">
        <f>IF(F6145="","",INT(H6145)-B6145)</f>
        <v/>
      </c>
      <c r="K6145">
        <f>IF(B6145&gt;=Settings!$C$5,1,0)</f>
        <v/>
      </c>
    </row>
    <row r="6146">
      <c r="A6146" t="inlineStr">
        <is>
          <t>d8f8b5cc467c7a3c7f815a8d90271f9d</t>
        </is>
      </c>
      <c r="B6146" s="29" t="n">
        <v>43157</v>
      </c>
      <c r="C6146" t="inlineStr">
        <is>
          <t>2018-02</t>
        </is>
      </c>
      <c r="D6146" t="inlineStr">
        <is>
          <t>27cd3540bace1f4a4b2bc6d319b0553c</t>
        </is>
      </c>
      <c r="E6146" t="inlineStr">
        <is>
          <t>organic_search</t>
        </is>
      </c>
      <c r="F6146">
        <f>IFERROR(MATCH(A6146,Deals!$A$2:$A$843,0),"")</f>
        <v/>
      </c>
      <c r="G6146">
        <f>IF(F6146="",0,1)</f>
        <v/>
      </c>
      <c r="H6146" s="29">
        <f>IF(F6146="","",INDEX(Deals!$E$2:$E$843,F6146))</f>
        <v/>
      </c>
      <c r="I6146">
        <f>IF(F6146="","",INDEX(Deals!$D$2:$D$843,F6146))</f>
        <v/>
      </c>
      <c r="J6146">
        <f>IF(F6146="","",INT(H6146)-B6146)</f>
        <v/>
      </c>
      <c r="K6146">
        <f>IF(B6146&gt;=Settings!$C$5,1,0)</f>
        <v/>
      </c>
    </row>
    <row r="6147">
      <c r="A6147" t="inlineStr">
        <is>
          <t>c05335c6fe386e872a058f0aab51f79c</t>
        </is>
      </c>
      <c r="B6147" s="29" t="n">
        <v>43142</v>
      </c>
      <c r="C6147" t="inlineStr">
        <is>
          <t>2018-02</t>
        </is>
      </c>
      <c r="D6147" t="inlineStr">
        <is>
          <t>88740e65d5d6b056e0cda098e1ea6313</t>
        </is>
      </c>
      <c r="E6147" t="inlineStr">
        <is>
          <t>social</t>
        </is>
      </c>
      <c r="F6147">
        <f>IFERROR(MATCH(A6147,Deals!$A$2:$A$843,0),"")</f>
        <v/>
      </c>
      <c r="G6147">
        <f>IF(F6147="",0,1)</f>
        <v/>
      </c>
      <c r="H6147" s="29">
        <f>IF(F6147="","",INDEX(Deals!$E$2:$E$843,F6147))</f>
        <v/>
      </c>
      <c r="I6147">
        <f>IF(F6147="","",INDEX(Deals!$D$2:$D$843,F6147))</f>
        <v/>
      </c>
      <c r="J6147">
        <f>IF(F6147="","",INT(H6147)-B6147)</f>
        <v/>
      </c>
      <c r="K6147">
        <f>IF(B6147&gt;=Settings!$C$5,1,0)</f>
        <v/>
      </c>
    </row>
    <row r="6148">
      <c r="A6148" t="inlineStr">
        <is>
          <t>acc0e9c96173c579c90c05de205a2b63</t>
        </is>
      </c>
      <c r="B6148" s="29" t="n">
        <v>43145</v>
      </c>
      <c r="C6148" t="inlineStr">
        <is>
          <t>2018-02</t>
        </is>
      </c>
      <c r="D6148" t="inlineStr">
        <is>
          <t>b76ef37428e6799c421989521c0e5077</t>
        </is>
      </c>
      <c r="E6148" t="inlineStr">
        <is>
          <t>unknown</t>
        </is>
      </c>
      <c r="F6148">
        <f>IFERROR(MATCH(A6148,Deals!$A$2:$A$843,0),"")</f>
        <v/>
      </c>
      <c r="G6148">
        <f>IF(F6148="",0,1)</f>
        <v/>
      </c>
      <c r="H6148" s="29">
        <f>IF(F6148="","",INDEX(Deals!$E$2:$E$843,F6148))</f>
        <v/>
      </c>
      <c r="I6148">
        <f>IF(F6148="","",INDEX(Deals!$D$2:$D$843,F6148))</f>
        <v/>
      </c>
      <c r="J6148">
        <f>IF(F6148="","",INT(H6148)-B6148)</f>
        <v/>
      </c>
      <c r="K6148">
        <f>IF(B6148&gt;=Settings!$C$5,1,0)</f>
        <v/>
      </c>
    </row>
    <row r="6149">
      <c r="A6149" t="inlineStr">
        <is>
          <t>ce7fb789d312196518f2a053adc75382</t>
        </is>
      </c>
      <c r="B6149" s="29" t="n">
        <v>43204</v>
      </c>
      <c r="C6149" t="inlineStr">
        <is>
          <t>2018-04</t>
        </is>
      </c>
      <c r="D6149" t="inlineStr">
        <is>
          <t>d83b0d0e48c8447d1d5507a44027a955</t>
        </is>
      </c>
      <c r="E6149" t="inlineStr">
        <is>
          <t>organic_search</t>
        </is>
      </c>
      <c r="F6149">
        <f>IFERROR(MATCH(A6149,Deals!$A$2:$A$843,0),"")</f>
        <v/>
      </c>
      <c r="G6149">
        <f>IF(F6149="",0,1)</f>
        <v/>
      </c>
      <c r="H6149" s="29">
        <f>IF(F6149="","",INDEX(Deals!$E$2:$E$843,F6149))</f>
        <v/>
      </c>
      <c r="I6149">
        <f>IF(F6149="","",INDEX(Deals!$D$2:$D$843,F6149))</f>
        <v/>
      </c>
      <c r="J6149">
        <f>IF(F6149="","",INT(H6149)-B6149)</f>
        <v/>
      </c>
      <c r="K6149">
        <f>IF(B6149&gt;=Settings!$C$5,1,0)</f>
        <v/>
      </c>
    </row>
    <row r="6150">
      <c r="A6150" t="inlineStr">
        <is>
          <t>cf584308159f57263266dabb14d6bc5f</t>
        </is>
      </c>
      <c r="B6150" s="29" t="n">
        <v>43214</v>
      </c>
      <c r="C6150" t="inlineStr">
        <is>
          <t>2018-04</t>
        </is>
      </c>
      <c r="D6150" t="inlineStr">
        <is>
          <t>ce1a65abd0973638f1c887a6efcfa82d</t>
        </is>
      </c>
      <c r="E6150" t="inlineStr">
        <is>
          <t>organic_search</t>
        </is>
      </c>
      <c r="F6150">
        <f>IFERROR(MATCH(A6150,Deals!$A$2:$A$843,0),"")</f>
        <v/>
      </c>
      <c r="G6150">
        <f>IF(F6150="",0,1)</f>
        <v/>
      </c>
      <c r="H6150" s="29">
        <f>IF(F6150="","",INDEX(Deals!$E$2:$E$843,F6150))</f>
        <v/>
      </c>
      <c r="I6150">
        <f>IF(F6150="","",INDEX(Deals!$D$2:$D$843,F6150))</f>
        <v/>
      </c>
      <c r="J6150">
        <f>IF(F6150="","",INT(H6150)-B6150)</f>
        <v/>
      </c>
      <c r="K6150">
        <f>IF(B6150&gt;=Settings!$C$5,1,0)</f>
        <v/>
      </c>
    </row>
    <row r="6151">
      <c r="A6151" t="inlineStr">
        <is>
          <t>86c26c7eb678214b9749fe1c5364cff2</t>
        </is>
      </c>
      <c r="B6151" s="29" t="n">
        <v>42928</v>
      </c>
      <c r="C6151" t="inlineStr">
        <is>
          <t>2017-07</t>
        </is>
      </c>
      <c r="D6151" t="inlineStr">
        <is>
          <t>d1bad8bf984bd4d7ee08f814ca589897</t>
        </is>
      </c>
      <c r="E6151" t="inlineStr">
        <is>
          <t>paid_search</t>
        </is>
      </c>
      <c r="F6151">
        <f>IFERROR(MATCH(A6151,Deals!$A$2:$A$843,0),"")</f>
        <v/>
      </c>
      <c r="G6151">
        <f>IF(F6151="",0,1)</f>
        <v/>
      </c>
      <c r="H6151" s="29">
        <f>IF(F6151="","",INDEX(Deals!$E$2:$E$843,F6151))</f>
        <v/>
      </c>
      <c r="I6151">
        <f>IF(F6151="","",INDEX(Deals!$D$2:$D$843,F6151))</f>
        <v/>
      </c>
      <c r="J6151">
        <f>IF(F6151="","",INT(H6151)-B6151)</f>
        <v/>
      </c>
      <c r="K6151">
        <f>IF(B6151&gt;=Settings!$C$5,1,0)</f>
        <v/>
      </c>
    </row>
    <row r="6152">
      <c r="A6152" t="inlineStr">
        <is>
          <t>e2c9342d0e670ec1cb3997d3c4427d83</t>
        </is>
      </c>
      <c r="B6152" s="29" t="n">
        <v>43108</v>
      </c>
      <c r="C6152" t="inlineStr">
        <is>
          <t>2018-01</t>
        </is>
      </c>
      <c r="D6152" t="inlineStr">
        <is>
          <t>909e333f8f23574f93115bd3d402e202</t>
        </is>
      </c>
      <c r="E6152" t="inlineStr">
        <is>
          <t>organic_search</t>
        </is>
      </c>
      <c r="F6152">
        <f>IFERROR(MATCH(A6152,Deals!$A$2:$A$843,0),"")</f>
        <v/>
      </c>
      <c r="G6152">
        <f>IF(F6152="",0,1)</f>
        <v/>
      </c>
      <c r="H6152" s="29">
        <f>IF(F6152="","",INDEX(Deals!$E$2:$E$843,F6152))</f>
        <v/>
      </c>
      <c r="I6152">
        <f>IF(F6152="","",INDEX(Deals!$D$2:$D$843,F6152))</f>
        <v/>
      </c>
      <c r="J6152">
        <f>IF(F6152="","",INT(H6152)-B6152)</f>
        <v/>
      </c>
      <c r="K6152">
        <f>IF(B6152&gt;=Settings!$C$5,1,0)</f>
        <v/>
      </c>
    </row>
    <row r="6153">
      <c r="A6153" t="inlineStr">
        <is>
          <t>3b6991cd9fad54dc97df4e068f4c0555</t>
        </is>
      </c>
      <c r="B6153" s="29" t="n">
        <v>43244</v>
      </c>
      <c r="C6153" t="inlineStr">
        <is>
          <t>2018-05</t>
        </is>
      </c>
      <c r="D6153" t="inlineStr">
        <is>
          <t>58326e62183c14b0c03085c33b9fdc44</t>
        </is>
      </c>
      <c r="E6153" t="inlineStr">
        <is>
          <t>social</t>
        </is>
      </c>
      <c r="F6153">
        <f>IFERROR(MATCH(A6153,Deals!$A$2:$A$843,0),"")</f>
        <v/>
      </c>
      <c r="G6153">
        <f>IF(F6153="",0,1)</f>
        <v/>
      </c>
      <c r="H6153" s="29">
        <f>IF(F6153="","",INDEX(Deals!$E$2:$E$843,F6153))</f>
        <v/>
      </c>
      <c r="I6153">
        <f>IF(F6153="","",INDEX(Deals!$D$2:$D$843,F6153))</f>
        <v/>
      </c>
      <c r="J6153">
        <f>IF(F6153="","",INT(H6153)-B6153)</f>
        <v/>
      </c>
      <c r="K6153">
        <f>IF(B6153&gt;=Settings!$C$5,1,0)</f>
        <v/>
      </c>
    </row>
    <row r="6154">
      <c r="A6154" t="inlineStr">
        <is>
          <t>721fcc3b7c8f54566385655d104ade16</t>
        </is>
      </c>
      <c r="B6154" s="29" t="n">
        <v>43156</v>
      </c>
      <c r="C6154" t="inlineStr">
        <is>
          <t>2018-02</t>
        </is>
      </c>
      <c r="D6154" t="inlineStr">
        <is>
          <t>649b7b8b46b254497e92038d88f6ced8</t>
        </is>
      </c>
      <c r="E6154" t="inlineStr">
        <is>
          <t>social</t>
        </is>
      </c>
      <c r="F6154">
        <f>IFERROR(MATCH(A6154,Deals!$A$2:$A$843,0),"")</f>
        <v/>
      </c>
      <c r="G6154">
        <f>IF(F6154="",0,1)</f>
        <v/>
      </c>
      <c r="H6154" s="29">
        <f>IF(F6154="","",INDEX(Deals!$E$2:$E$843,F6154))</f>
        <v/>
      </c>
      <c r="I6154">
        <f>IF(F6154="","",INDEX(Deals!$D$2:$D$843,F6154))</f>
        <v/>
      </c>
      <c r="J6154">
        <f>IF(F6154="","",INT(H6154)-B6154)</f>
        <v/>
      </c>
      <c r="K6154">
        <f>IF(B6154&gt;=Settings!$C$5,1,0)</f>
        <v/>
      </c>
    </row>
    <row r="6155">
      <c r="A6155" t="inlineStr">
        <is>
          <t>58afaf854f7536735ca81d981300eb12</t>
        </is>
      </c>
      <c r="B6155" s="29" t="n">
        <v>43089</v>
      </c>
      <c r="C6155" t="inlineStr">
        <is>
          <t>2017-12</t>
        </is>
      </c>
      <c r="D6155" t="inlineStr">
        <is>
          <t>40dec9f3d5259a3d2dbcdab2114fae47</t>
        </is>
      </c>
      <c r="E6155" t="inlineStr">
        <is>
          <t>paid_search</t>
        </is>
      </c>
      <c r="F6155">
        <f>IFERROR(MATCH(A6155,Deals!$A$2:$A$843,0),"")</f>
        <v/>
      </c>
      <c r="G6155">
        <f>IF(F6155="",0,1)</f>
        <v/>
      </c>
      <c r="H6155" s="29">
        <f>IF(F6155="","",INDEX(Deals!$E$2:$E$843,F6155))</f>
        <v/>
      </c>
      <c r="I6155">
        <f>IF(F6155="","",INDEX(Deals!$D$2:$D$843,F6155))</f>
        <v/>
      </c>
      <c r="J6155">
        <f>IF(F6155="","",INT(H6155)-B6155)</f>
        <v/>
      </c>
      <c r="K6155">
        <f>IF(B6155&gt;=Settings!$C$5,1,0)</f>
        <v/>
      </c>
    </row>
    <row r="6156">
      <c r="A6156" t="inlineStr">
        <is>
          <t>e25f42d74afdf8c6ca6a3b7ece3af051</t>
        </is>
      </c>
      <c r="B6156" s="29" t="n">
        <v>42981</v>
      </c>
      <c r="C6156" t="inlineStr">
        <is>
          <t>2017-09</t>
        </is>
      </c>
      <c r="D6156" t="inlineStr">
        <is>
          <t>3b86d7e8c33da2767ad2af9782f383d5</t>
        </is>
      </c>
      <c r="E6156" t="inlineStr">
        <is>
          <t>organic_search</t>
        </is>
      </c>
      <c r="F6156">
        <f>IFERROR(MATCH(A6156,Deals!$A$2:$A$843,0),"")</f>
        <v/>
      </c>
      <c r="G6156">
        <f>IF(F6156="",0,1)</f>
        <v/>
      </c>
      <c r="H6156" s="29">
        <f>IF(F6156="","",INDEX(Deals!$E$2:$E$843,F6156))</f>
        <v/>
      </c>
      <c r="I6156">
        <f>IF(F6156="","",INDEX(Deals!$D$2:$D$843,F6156))</f>
        <v/>
      </c>
      <c r="J6156">
        <f>IF(F6156="","",INT(H6156)-B6156)</f>
        <v/>
      </c>
      <c r="K6156">
        <f>IF(B6156&gt;=Settings!$C$5,1,0)</f>
        <v/>
      </c>
    </row>
    <row r="6157">
      <c r="A6157" t="inlineStr">
        <is>
          <t>d1c63ba3bc4fb3539d63cc48feae519a</t>
        </is>
      </c>
      <c r="B6157" s="29" t="n">
        <v>43110</v>
      </c>
      <c r="C6157" t="inlineStr">
        <is>
          <t>2018-01</t>
        </is>
      </c>
      <c r="D6157" t="inlineStr">
        <is>
          <t>b76ef37428e6799c421989521c0e5077</t>
        </is>
      </c>
      <c r="E6157" t="inlineStr">
        <is>
          <t>organic_search</t>
        </is>
      </c>
      <c r="F6157">
        <f>IFERROR(MATCH(A6157,Deals!$A$2:$A$843,0),"")</f>
        <v/>
      </c>
      <c r="G6157">
        <f>IF(F6157="",0,1)</f>
        <v/>
      </c>
      <c r="H6157" s="29">
        <f>IF(F6157="","",INDEX(Deals!$E$2:$E$843,F6157))</f>
        <v/>
      </c>
      <c r="I6157">
        <f>IF(F6157="","",INDEX(Deals!$D$2:$D$843,F6157))</f>
        <v/>
      </c>
      <c r="J6157">
        <f>IF(F6157="","",INT(H6157)-B6157)</f>
        <v/>
      </c>
      <c r="K6157">
        <f>IF(B6157&gt;=Settings!$C$5,1,0)</f>
        <v/>
      </c>
    </row>
    <row r="6158">
      <c r="A6158" t="inlineStr">
        <is>
          <t>457c753860099e09373e202e39292de9</t>
        </is>
      </c>
      <c r="B6158" s="29" t="n">
        <v>42947</v>
      </c>
      <c r="C6158" t="inlineStr">
        <is>
          <t>2017-07</t>
        </is>
      </c>
      <c r="D6158" t="inlineStr">
        <is>
          <t>3b86d7e8c33da2767ad2af9782f383d5</t>
        </is>
      </c>
      <c r="E6158" t="inlineStr">
        <is>
          <t>email</t>
        </is>
      </c>
      <c r="F6158">
        <f>IFERROR(MATCH(A6158,Deals!$A$2:$A$843,0),"")</f>
        <v/>
      </c>
      <c r="G6158">
        <f>IF(F6158="",0,1)</f>
        <v/>
      </c>
      <c r="H6158" s="29">
        <f>IF(F6158="","",INDEX(Deals!$E$2:$E$843,F6158))</f>
        <v/>
      </c>
      <c r="I6158">
        <f>IF(F6158="","",INDEX(Deals!$D$2:$D$843,F6158))</f>
        <v/>
      </c>
      <c r="J6158">
        <f>IF(F6158="","",INT(H6158)-B6158)</f>
        <v/>
      </c>
      <c r="K6158">
        <f>IF(B6158&gt;=Settings!$C$5,1,0)</f>
        <v/>
      </c>
    </row>
    <row r="6159">
      <c r="A6159" t="inlineStr">
        <is>
          <t>e60af3c102de8282382170efa4972471</t>
        </is>
      </c>
      <c r="B6159" s="29" t="n">
        <v>43049</v>
      </c>
      <c r="C6159" t="inlineStr">
        <is>
          <t>2017-11</t>
        </is>
      </c>
      <c r="D6159" t="inlineStr">
        <is>
          <t>1722481ac9e5371e5099dea226b5421d</t>
        </is>
      </c>
      <c r="E6159" t="inlineStr">
        <is>
          <t>referral</t>
        </is>
      </c>
      <c r="F6159">
        <f>IFERROR(MATCH(A6159,Deals!$A$2:$A$843,0),"")</f>
        <v/>
      </c>
      <c r="G6159">
        <f>IF(F6159="",0,1)</f>
        <v/>
      </c>
      <c r="H6159" s="29">
        <f>IF(F6159="","",INDEX(Deals!$E$2:$E$843,F6159))</f>
        <v/>
      </c>
      <c r="I6159">
        <f>IF(F6159="","",INDEX(Deals!$D$2:$D$843,F6159))</f>
        <v/>
      </c>
      <c r="J6159">
        <f>IF(F6159="","",INT(H6159)-B6159)</f>
        <v/>
      </c>
      <c r="K6159">
        <f>IF(B6159&gt;=Settings!$C$5,1,0)</f>
        <v/>
      </c>
    </row>
    <row r="6160">
      <c r="A6160" t="inlineStr">
        <is>
          <t>0ef4d5ae8ae4dcf531c4257754d5dde6</t>
        </is>
      </c>
      <c r="B6160" s="29" t="n">
        <v>43040</v>
      </c>
      <c r="C6160" t="inlineStr">
        <is>
          <t>2017-11</t>
        </is>
      </c>
      <c r="D6160" t="inlineStr">
        <is>
          <t>b76ef37428e6799c421989521c0e5077</t>
        </is>
      </c>
      <c r="E6160" t="inlineStr">
        <is>
          <t>unknown</t>
        </is>
      </c>
      <c r="F6160">
        <f>IFERROR(MATCH(A6160,Deals!$A$2:$A$843,0),"")</f>
        <v/>
      </c>
      <c r="G6160">
        <f>IF(F6160="",0,1)</f>
        <v/>
      </c>
      <c r="H6160" s="29">
        <f>IF(F6160="","",INDEX(Deals!$E$2:$E$843,F6160))</f>
        <v/>
      </c>
      <c r="I6160">
        <f>IF(F6160="","",INDEX(Deals!$D$2:$D$843,F6160))</f>
        <v/>
      </c>
      <c r="J6160">
        <f>IF(F6160="","",INT(H6160)-B6160)</f>
        <v/>
      </c>
      <c r="K6160">
        <f>IF(B6160&gt;=Settings!$C$5,1,0)</f>
        <v/>
      </c>
    </row>
    <row r="6161">
      <c r="A6161" t="inlineStr">
        <is>
          <t>20ea88ff2d4986dc61c779051ca98a10</t>
        </is>
      </c>
      <c r="B6161" s="29" t="n">
        <v>43098</v>
      </c>
      <c r="C6161" t="inlineStr">
        <is>
          <t>2017-12</t>
        </is>
      </c>
      <c r="D6161" t="inlineStr">
        <is>
          <t>97338d2165e7d6d9bc1348573a405642</t>
        </is>
      </c>
      <c r="E6161" t="inlineStr">
        <is>
          <t>organic_search</t>
        </is>
      </c>
      <c r="F6161">
        <f>IFERROR(MATCH(A6161,Deals!$A$2:$A$843,0),"")</f>
        <v/>
      </c>
      <c r="G6161">
        <f>IF(F6161="",0,1)</f>
        <v/>
      </c>
      <c r="H6161" s="29">
        <f>IF(F6161="","",INDEX(Deals!$E$2:$E$843,F6161))</f>
        <v/>
      </c>
      <c r="I6161">
        <f>IF(F6161="","",INDEX(Deals!$D$2:$D$843,F6161))</f>
        <v/>
      </c>
      <c r="J6161">
        <f>IF(F6161="","",INT(H6161)-B6161)</f>
        <v/>
      </c>
      <c r="K6161">
        <f>IF(B6161&gt;=Settings!$C$5,1,0)</f>
        <v/>
      </c>
    </row>
    <row r="6162">
      <c r="A6162" t="inlineStr">
        <is>
          <t>df5f39b59210605db5d0afb2ddac38a6</t>
        </is>
      </c>
      <c r="B6162" s="29" t="n">
        <v>43167</v>
      </c>
      <c r="C6162" t="inlineStr">
        <is>
          <t>2018-03</t>
        </is>
      </c>
      <c r="D6162" t="inlineStr">
        <is>
          <t>40dec9f3d5259a3d2dbcdab2114fae47</t>
        </is>
      </c>
      <c r="E6162" t="inlineStr">
        <is>
          <t>paid_search</t>
        </is>
      </c>
      <c r="F6162">
        <f>IFERROR(MATCH(A6162,Deals!$A$2:$A$843,0),"")</f>
        <v/>
      </c>
      <c r="G6162">
        <f>IF(F6162="",0,1)</f>
        <v/>
      </c>
      <c r="H6162" s="29">
        <f>IF(F6162="","",INDEX(Deals!$E$2:$E$843,F6162))</f>
        <v/>
      </c>
      <c r="I6162">
        <f>IF(F6162="","",INDEX(Deals!$D$2:$D$843,F6162))</f>
        <v/>
      </c>
      <c r="J6162">
        <f>IF(F6162="","",INT(H6162)-B6162)</f>
        <v/>
      </c>
      <c r="K6162">
        <f>IF(B6162&gt;=Settings!$C$5,1,0)</f>
        <v/>
      </c>
    </row>
    <row r="6163">
      <c r="A6163" t="inlineStr">
        <is>
          <t>1e328ebc91246864ceb1ce61586b3f18</t>
        </is>
      </c>
      <c r="B6163" s="29" t="n">
        <v>43175</v>
      </c>
      <c r="C6163" t="inlineStr">
        <is>
          <t>2018-03</t>
        </is>
      </c>
      <c r="D6163" t="inlineStr">
        <is>
          <t>b76ef37428e6799c421989521c0e5077</t>
        </is>
      </c>
      <c r="E6163" t="inlineStr">
        <is>
          <t>unknown</t>
        </is>
      </c>
      <c r="F6163">
        <f>IFERROR(MATCH(A6163,Deals!$A$2:$A$843,0),"")</f>
        <v/>
      </c>
      <c r="G6163">
        <f>IF(F6163="",0,1)</f>
        <v/>
      </c>
      <c r="H6163" s="29">
        <f>IF(F6163="","",INDEX(Deals!$E$2:$E$843,F6163))</f>
        <v/>
      </c>
      <c r="I6163">
        <f>IF(F6163="","",INDEX(Deals!$D$2:$D$843,F6163))</f>
        <v/>
      </c>
      <c r="J6163">
        <f>IF(F6163="","",INT(H6163)-B6163)</f>
        <v/>
      </c>
      <c r="K6163">
        <f>IF(B6163&gt;=Settings!$C$5,1,0)</f>
        <v/>
      </c>
    </row>
    <row r="6164">
      <c r="A6164" t="inlineStr">
        <is>
          <t>371493bfd0120420acbe02aaf98c2f9b</t>
        </is>
      </c>
      <c r="B6164" s="29" t="n">
        <v>43185</v>
      </c>
      <c r="C6164" t="inlineStr">
        <is>
          <t>2018-03</t>
        </is>
      </c>
      <c r="D6164" t="inlineStr">
        <is>
          <t>22c29808c4f815213303f8933030604c</t>
        </is>
      </c>
      <c r="E6164" t="inlineStr">
        <is>
          <t>organic_search</t>
        </is>
      </c>
      <c r="F6164">
        <f>IFERROR(MATCH(A6164,Deals!$A$2:$A$843,0),"")</f>
        <v/>
      </c>
      <c r="G6164">
        <f>IF(F6164="",0,1)</f>
        <v/>
      </c>
      <c r="H6164" s="29">
        <f>IF(F6164="","",INDEX(Deals!$E$2:$E$843,F6164))</f>
        <v/>
      </c>
      <c r="I6164">
        <f>IF(F6164="","",INDEX(Deals!$D$2:$D$843,F6164))</f>
        <v/>
      </c>
      <c r="J6164">
        <f>IF(F6164="","",INT(H6164)-B6164)</f>
        <v/>
      </c>
      <c r="K6164">
        <f>IF(B6164&gt;=Settings!$C$5,1,0)</f>
        <v/>
      </c>
    </row>
    <row r="6165">
      <c r="A6165" t="inlineStr">
        <is>
          <t>5346b5c4f02edb816860d9ade175e863</t>
        </is>
      </c>
      <c r="B6165" s="29" t="n">
        <v>43232</v>
      </c>
      <c r="C6165" t="inlineStr">
        <is>
          <t>2018-05</t>
        </is>
      </c>
      <c r="D6165" t="inlineStr">
        <is>
          <t>58326e62183c14b0c03085c33b9fdc44</t>
        </is>
      </c>
      <c r="E6165" t="inlineStr">
        <is>
          <t>social</t>
        </is>
      </c>
      <c r="F6165">
        <f>IFERROR(MATCH(A6165,Deals!$A$2:$A$843,0),"")</f>
        <v/>
      </c>
      <c r="G6165">
        <f>IF(F6165="",0,1)</f>
        <v/>
      </c>
      <c r="H6165" s="29">
        <f>IF(F6165="","",INDEX(Deals!$E$2:$E$843,F6165))</f>
        <v/>
      </c>
      <c r="I6165">
        <f>IF(F6165="","",INDEX(Deals!$D$2:$D$843,F6165))</f>
        <v/>
      </c>
      <c r="J6165">
        <f>IF(F6165="","",INT(H6165)-B6165)</f>
        <v/>
      </c>
      <c r="K6165">
        <f>IF(B6165&gt;=Settings!$C$5,1,0)</f>
        <v/>
      </c>
    </row>
    <row r="6166">
      <c r="A6166" t="inlineStr">
        <is>
          <t>06f2ae7068ee80cf19e8083bf7f3091e</t>
        </is>
      </c>
      <c r="B6166" s="29" t="n">
        <v>43120</v>
      </c>
      <c r="C6166" t="inlineStr">
        <is>
          <t>2018-01</t>
        </is>
      </c>
      <c r="D6166" t="inlineStr">
        <is>
          <t>40dec9f3d5259a3d2dbcdab2114fae47</t>
        </is>
      </c>
      <c r="E6166" t="inlineStr">
        <is>
          <t>paid_search</t>
        </is>
      </c>
      <c r="F6166">
        <f>IFERROR(MATCH(A6166,Deals!$A$2:$A$843,0),"")</f>
        <v/>
      </c>
      <c r="G6166">
        <f>IF(F6166="",0,1)</f>
        <v/>
      </c>
      <c r="H6166" s="29">
        <f>IF(F6166="","",INDEX(Deals!$E$2:$E$843,F6166))</f>
        <v/>
      </c>
      <c r="I6166">
        <f>IF(F6166="","",INDEX(Deals!$D$2:$D$843,F6166))</f>
        <v/>
      </c>
      <c r="J6166">
        <f>IF(F6166="","",INT(H6166)-B6166)</f>
        <v/>
      </c>
      <c r="K6166">
        <f>IF(B6166&gt;=Settings!$C$5,1,0)</f>
        <v/>
      </c>
    </row>
    <row r="6167">
      <c r="A6167" t="inlineStr">
        <is>
          <t>089dd30eda093ec9415c24ce6da94b33</t>
        </is>
      </c>
      <c r="B6167" s="29" t="n">
        <v>43157</v>
      </c>
      <c r="C6167" t="inlineStr">
        <is>
          <t>2018-02</t>
        </is>
      </c>
      <c r="D6167" t="inlineStr">
        <is>
          <t>645b2f3e4380afe5121a2a90ca732c74</t>
        </is>
      </c>
      <c r="E6167" t="inlineStr">
        <is>
          <t>display</t>
        </is>
      </c>
      <c r="F6167">
        <f>IFERROR(MATCH(A6167,Deals!$A$2:$A$843,0),"")</f>
        <v/>
      </c>
      <c r="G6167">
        <f>IF(F6167="",0,1)</f>
        <v/>
      </c>
      <c r="H6167" s="29">
        <f>IF(F6167="","",INDEX(Deals!$E$2:$E$843,F6167))</f>
        <v/>
      </c>
      <c r="I6167">
        <f>IF(F6167="","",INDEX(Deals!$D$2:$D$843,F6167))</f>
        <v/>
      </c>
      <c r="J6167">
        <f>IF(F6167="","",INT(H6167)-B6167)</f>
        <v/>
      </c>
      <c r="K6167">
        <f>IF(B6167&gt;=Settings!$C$5,1,0)</f>
        <v/>
      </c>
    </row>
    <row r="6168">
      <c r="A6168" t="inlineStr">
        <is>
          <t>430a7e19cd27b66c8a4a756b85dbfd85</t>
        </is>
      </c>
      <c r="B6168" s="29" t="n">
        <v>43156</v>
      </c>
      <c r="C6168" t="inlineStr">
        <is>
          <t>2018-02</t>
        </is>
      </c>
      <c r="D6168" t="inlineStr">
        <is>
          <t>f017be4dbf86243af5c1ebed0cff36a2</t>
        </is>
      </c>
      <c r="E6168" t="inlineStr">
        <is>
          <t>organic_search</t>
        </is>
      </c>
      <c r="F6168">
        <f>IFERROR(MATCH(A6168,Deals!$A$2:$A$843,0),"")</f>
        <v/>
      </c>
      <c r="G6168">
        <f>IF(F6168="",0,1)</f>
        <v/>
      </c>
      <c r="H6168" s="29">
        <f>IF(F6168="","",INDEX(Deals!$E$2:$E$843,F6168))</f>
        <v/>
      </c>
      <c r="I6168">
        <f>IF(F6168="","",INDEX(Deals!$D$2:$D$843,F6168))</f>
        <v/>
      </c>
      <c r="J6168">
        <f>IF(F6168="","",INT(H6168)-B6168)</f>
        <v/>
      </c>
      <c r="K6168">
        <f>IF(B6168&gt;=Settings!$C$5,1,0)</f>
        <v/>
      </c>
    </row>
    <row r="6169">
      <c r="A6169" t="inlineStr">
        <is>
          <t>146872de864d8019276493ea5c0e7389</t>
        </is>
      </c>
      <c r="B6169" s="29" t="n">
        <v>43230</v>
      </c>
      <c r="C6169" t="inlineStr">
        <is>
          <t>2018-05</t>
        </is>
      </c>
      <c r="D6169" t="inlineStr">
        <is>
          <t>c0fb5b3c854a4b30334892c71faa13c2</t>
        </is>
      </c>
      <c r="E6169" t="inlineStr">
        <is>
          <t>paid_search</t>
        </is>
      </c>
      <c r="F6169">
        <f>IFERROR(MATCH(A6169,Deals!$A$2:$A$843,0),"")</f>
        <v/>
      </c>
      <c r="G6169">
        <f>IF(F6169="",0,1)</f>
        <v/>
      </c>
      <c r="H6169" s="29">
        <f>IF(F6169="","",INDEX(Deals!$E$2:$E$843,F6169))</f>
        <v/>
      </c>
      <c r="I6169">
        <f>IF(F6169="","",INDEX(Deals!$D$2:$D$843,F6169))</f>
        <v/>
      </c>
      <c r="J6169">
        <f>IF(F6169="","",INT(H6169)-B6169)</f>
        <v/>
      </c>
      <c r="K6169">
        <f>IF(B6169&gt;=Settings!$C$5,1,0)</f>
        <v/>
      </c>
    </row>
    <row r="6170">
      <c r="A6170" t="inlineStr">
        <is>
          <t>797a1e5473c21f6ded58930097451edf</t>
        </is>
      </c>
      <c r="B6170" s="29" t="n">
        <v>43200</v>
      </c>
      <c r="C6170" t="inlineStr">
        <is>
          <t>2018-04</t>
        </is>
      </c>
      <c r="D6170" t="inlineStr">
        <is>
          <t>dabf7461e7b9fbcb03eb28449632f0c6</t>
        </is>
      </c>
      <c r="E6170" t="inlineStr">
        <is>
          <t>unknown</t>
        </is>
      </c>
      <c r="F6170">
        <f>IFERROR(MATCH(A6170,Deals!$A$2:$A$843,0),"")</f>
        <v/>
      </c>
      <c r="G6170">
        <f>IF(F6170="",0,1)</f>
        <v/>
      </c>
      <c r="H6170" s="29">
        <f>IF(F6170="","",INDEX(Deals!$E$2:$E$843,F6170))</f>
        <v/>
      </c>
      <c r="I6170">
        <f>IF(F6170="","",INDEX(Deals!$D$2:$D$843,F6170))</f>
        <v/>
      </c>
      <c r="J6170">
        <f>IF(F6170="","",INT(H6170)-B6170)</f>
        <v/>
      </c>
      <c r="K6170">
        <f>IF(B6170&gt;=Settings!$C$5,1,0)</f>
        <v/>
      </c>
    </row>
    <row r="6171">
      <c r="A6171" t="inlineStr">
        <is>
          <t>02e6120e4959b0e4f86d16e2ef8f921d</t>
        </is>
      </c>
      <c r="B6171" s="29" t="n">
        <v>43033</v>
      </c>
      <c r="C6171" t="inlineStr">
        <is>
          <t>2017-10</t>
        </is>
      </c>
      <c r="D6171" t="inlineStr">
        <is>
          <t>c555aa36478386fdf85a2d0ca5cd0ff8</t>
        </is>
      </c>
      <c r="E6171" t="inlineStr">
        <is>
          <t>unknown</t>
        </is>
      </c>
      <c r="F6171">
        <f>IFERROR(MATCH(A6171,Deals!$A$2:$A$843,0),"")</f>
        <v/>
      </c>
      <c r="G6171">
        <f>IF(F6171="",0,1)</f>
        <v/>
      </c>
      <c r="H6171" s="29">
        <f>IF(F6171="","",INDEX(Deals!$E$2:$E$843,F6171))</f>
        <v/>
      </c>
      <c r="I6171">
        <f>IF(F6171="","",INDEX(Deals!$D$2:$D$843,F6171))</f>
        <v/>
      </c>
      <c r="J6171">
        <f>IF(F6171="","",INT(H6171)-B6171)</f>
        <v/>
      </c>
      <c r="K6171">
        <f>IF(B6171&gt;=Settings!$C$5,1,0)</f>
        <v/>
      </c>
    </row>
    <row r="6172">
      <c r="A6172" t="inlineStr">
        <is>
          <t>66f68f5bf67a47ff636f782f4172d690</t>
        </is>
      </c>
      <c r="B6172" s="29" t="n">
        <v>43192</v>
      </c>
      <c r="C6172" t="inlineStr">
        <is>
          <t>2018-04</t>
        </is>
      </c>
      <c r="D6172" t="inlineStr">
        <is>
          <t>330b9d44078a1ae5a221d655dcb77afa</t>
        </is>
      </c>
      <c r="E6172" t="inlineStr">
        <is>
          <t>display</t>
        </is>
      </c>
      <c r="F6172">
        <f>IFERROR(MATCH(A6172,Deals!$A$2:$A$843,0),"")</f>
        <v/>
      </c>
      <c r="G6172">
        <f>IF(F6172="",0,1)</f>
        <v/>
      </c>
      <c r="H6172" s="29">
        <f>IF(F6172="","",INDEX(Deals!$E$2:$E$843,F6172))</f>
        <v/>
      </c>
      <c r="I6172">
        <f>IF(F6172="","",INDEX(Deals!$D$2:$D$843,F6172))</f>
        <v/>
      </c>
      <c r="J6172">
        <f>IF(F6172="","",INT(H6172)-B6172)</f>
        <v/>
      </c>
      <c r="K6172">
        <f>IF(B6172&gt;=Settings!$C$5,1,0)</f>
        <v/>
      </c>
    </row>
    <row r="6173">
      <c r="A6173" t="inlineStr">
        <is>
          <t>b3e6fdc36d0f16ef605f73a6ad7f89fb</t>
        </is>
      </c>
      <c r="B6173" s="29" t="n">
        <v>43182</v>
      </c>
      <c r="C6173" t="inlineStr">
        <is>
          <t>2018-03</t>
        </is>
      </c>
      <c r="D6173" t="inlineStr">
        <is>
          <t>b76ef37428e6799c421989521c0e5077</t>
        </is>
      </c>
      <c r="E6173" t="inlineStr">
        <is>
          <t>unknown</t>
        </is>
      </c>
      <c r="F6173">
        <f>IFERROR(MATCH(A6173,Deals!$A$2:$A$843,0),"")</f>
        <v/>
      </c>
      <c r="G6173">
        <f>IF(F6173="",0,1)</f>
        <v/>
      </c>
      <c r="H6173" s="29">
        <f>IF(F6173="","",INDEX(Deals!$E$2:$E$843,F6173))</f>
        <v/>
      </c>
      <c r="I6173">
        <f>IF(F6173="","",INDEX(Deals!$D$2:$D$843,F6173))</f>
        <v/>
      </c>
      <c r="J6173">
        <f>IF(F6173="","",INT(H6173)-B6173)</f>
        <v/>
      </c>
      <c r="K6173">
        <f>IF(B6173&gt;=Settings!$C$5,1,0)</f>
        <v/>
      </c>
    </row>
    <row r="6174">
      <c r="A6174" t="inlineStr">
        <is>
          <t>fc45efdc2a351a5eeee3268204677741</t>
        </is>
      </c>
      <c r="B6174" s="29" t="n">
        <v>43154</v>
      </c>
      <c r="C6174" t="inlineStr">
        <is>
          <t>2018-02</t>
        </is>
      </c>
      <c r="D6174" t="inlineStr">
        <is>
          <t>c70eb6fb5bd6e939b0d5ef32f21f61e8</t>
        </is>
      </c>
      <c r="E6174" t="inlineStr">
        <is>
          <t>referral</t>
        </is>
      </c>
      <c r="F6174">
        <f>IFERROR(MATCH(A6174,Deals!$A$2:$A$843,0),"")</f>
        <v/>
      </c>
      <c r="G6174">
        <f>IF(F6174="",0,1)</f>
        <v/>
      </c>
      <c r="H6174" s="29">
        <f>IF(F6174="","",INDEX(Deals!$E$2:$E$843,F6174))</f>
        <v/>
      </c>
      <c r="I6174">
        <f>IF(F6174="","",INDEX(Deals!$D$2:$D$843,F6174))</f>
        <v/>
      </c>
      <c r="J6174">
        <f>IF(F6174="","",INT(H6174)-B6174)</f>
        <v/>
      </c>
      <c r="K6174">
        <f>IF(B6174&gt;=Settings!$C$5,1,0)</f>
        <v/>
      </c>
    </row>
    <row r="6175">
      <c r="A6175" t="inlineStr">
        <is>
          <t>23378c6c78359857cebc81724ca90516</t>
        </is>
      </c>
      <c r="B6175" s="29" t="n">
        <v>43138</v>
      </c>
      <c r="C6175" t="inlineStr">
        <is>
          <t>2018-02</t>
        </is>
      </c>
      <c r="D6175" t="inlineStr">
        <is>
          <t>fbc24da54d531c6204ae2d17b1090bb1</t>
        </is>
      </c>
      <c r="E6175" t="inlineStr">
        <is>
          <t>paid_search</t>
        </is>
      </c>
      <c r="F6175">
        <f>IFERROR(MATCH(A6175,Deals!$A$2:$A$843,0),"")</f>
        <v/>
      </c>
      <c r="G6175">
        <f>IF(F6175="",0,1)</f>
        <v/>
      </c>
      <c r="H6175" s="29">
        <f>IF(F6175="","",INDEX(Deals!$E$2:$E$843,F6175))</f>
        <v/>
      </c>
      <c r="I6175">
        <f>IF(F6175="","",INDEX(Deals!$D$2:$D$843,F6175))</f>
        <v/>
      </c>
      <c r="J6175">
        <f>IF(F6175="","",INT(H6175)-B6175)</f>
        <v/>
      </c>
      <c r="K6175">
        <f>IF(B6175&gt;=Settings!$C$5,1,0)</f>
        <v/>
      </c>
    </row>
    <row r="6176">
      <c r="A6176" t="inlineStr">
        <is>
          <t>e8644ee27d873e0bb207499b0279b8e8</t>
        </is>
      </c>
      <c r="B6176" s="29" t="n">
        <v>43067</v>
      </c>
      <c r="C6176" t="inlineStr">
        <is>
          <t>2017-11</t>
        </is>
      </c>
      <c r="D6176" t="inlineStr">
        <is>
          <t>f98c2bd96ac4a5d9476734e790c91384</t>
        </is>
      </c>
      <c r="E6176" t="inlineStr">
        <is>
          <t>organic_search</t>
        </is>
      </c>
      <c r="F6176">
        <f>IFERROR(MATCH(A6176,Deals!$A$2:$A$843,0),"")</f>
        <v/>
      </c>
      <c r="G6176">
        <f>IF(F6176="",0,1)</f>
        <v/>
      </c>
      <c r="H6176" s="29">
        <f>IF(F6176="","",INDEX(Deals!$E$2:$E$843,F6176))</f>
        <v/>
      </c>
      <c r="I6176">
        <f>IF(F6176="","",INDEX(Deals!$D$2:$D$843,F6176))</f>
        <v/>
      </c>
      <c r="J6176">
        <f>IF(F6176="","",INT(H6176)-B6176)</f>
        <v/>
      </c>
      <c r="K6176">
        <f>IF(B6176&gt;=Settings!$C$5,1,0)</f>
        <v/>
      </c>
    </row>
    <row r="6177">
      <c r="A6177" t="inlineStr">
        <is>
          <t>366d097cd45a78d0c5840e1539d06c5f</t>
        </is>
      </c>
      <c r="B6177" s="29" t="n">
        <v>43061</v>
      </c>
      <c r="C6177" t="inlineStr">
        <is>
          <t>2017-11</t>
        </is>
      </c>
      <c r="D6177" t="inlineStr">
        <is>
          <t>88740e65d5d6b056e0cda098e1ea6313</t>
        </is>
      </c>
      <c r="E6177" t="inlineStr">
        <is>
          <t>social</t>
        </is>
      </c>
      <c r="F6177">
        <f>IFERROR(MATCH(A6177,Deals!$A$2:$A$843,0),"")</f>
        <v/>
      </c>
      <c r="G6177">
        <f>IF(F6177="",0,1)</f>
        <v/>
      </c>
      <c r="H6177" s="29">
        <f>IF(F6177="","",INDEX(Deals!$E$2:$E$843,F6177))</f>
        <v/>
      </c>
      <c r="I6177">
        <f>IF(F6177="","",INDEX(Deals!$D$2:$D$843,F6177))</f>
        <v/>
      </c>
      <c r="J6177">
        <f>IF(F6177="","",INT(H6177)-B6177)</f>
        <v/>
      </c>
      <c r="K6177">
        <f>IF(B6177&gt;=Settings!$C$5,1,0)</f>
        <v/>
      </c>
    </row>
    <row r="6178">
      <c r="A6178" t="inlineStr">
        <is>
          <t>c2a905eb852f356108eaa8082531b993</t>
        </is>
      </c>
      <c r="B6178" s="29" t="n">
        <v>43040</v>
      </c>
      <c r="C6178" t="inlineStr">
        <is>
          <t>2017-11</t>
        </is>
      </c>
      <c r="D6178" t="inlineStr">
        <is>
          <t>c555aa36478386fdf85a2d0ca5cd0ff8</t>
        </is>
      </c>
      <c r="E6178" t="inlineStr">
        <is>
          <t>email</t>
        </is>
      </c>
      <c r="F6178">
        <f>IFERROR(MATCH(A6178,Deals!$A$2:$A$843,0),"")</f>
        <v/>
      </c>
      <c r="G6178">
        <f>IF(F6178="",0,1)</f>
        <v/>
      </c>
      <c r="H6178" s="29">
        <f>IF(F6178="","",INDEX(Deals!$E$2:$E$843,F6178))</f>
        <v/>
      </c>
      <c r="I6178">
        <f>IF(F6178="","",INDEX(Deals!$D$2:$D$843,F6178))</f>
        <v/>
      </c>
      <c r="J6178">
        <f>IF(F6178="","",INT(H6178)-B6178)</f>
        <v/>
      </c>
      <c r="K6178">
        <f>IF(B6178&gt;=Settings!$C$5,1,0)</f>
        <v/>
      </c>
    </row>
    <row r="6179">
      <c r="A6179" t="inlineStr">
        <is>
          <t>1852e1d1aba3354f8ceef1b48261bf5e</t>
        </is>
      </c>
      <c r="B6179" s="29" t="n">
        <v>43215</v>
      </c>
      <c r="C6179" t="inlineStr">
        <is>
          <t>2018-04</t>
        </is>
      </c>
      <c r="D6179" t="inlineStr">
        <is>
          <t>b76ef37428e6799c421989521c0e5077</t>
        </is>
      </c>
      <c r="E6179" t="inlineStr">
        <is>
          <t>unknown</t>
        </is>
      </c>
      <c r="F6179">
        <f>IFERROR(MATCH(A6179,Deals!$A$2:$A$843,0),"")</f>
        <v/>
      </c>
      <c r="G6179">
        <f>IF(F6179="",0,1)</f>
        <v/>
      </c>
      <c r="H6179" s="29">
        <f>IF(F6179="","",INDEX(Deals!$E$2:$E$843,F6179))</f>
        <v/>
      </c>
      <c r="I6179">
        <f>IF(F6179="","",INDEX(Deals!$D$2:$D$843,F6179))</f>
        <v/>
      </c>
      <c r="J6179">
        <f>IF(F6179="","",INT(H6179)-B6179)</f>
        <v/>
      </c>
      <c r="K6179">
        <f>IF(B6179&gt;=Settings!$C$5,1,0)</f>
        <v/>
      </c>
    </row>
    <row r="6180">
      <c r="A6180" t="inlineStr">
        <is>
          <t>9efed2e1502ab658bc39ff6d4b4f0571</t>
        </is>
      </c>
      <c r="B6180" s="29" t="n">
        <v>43108</v>
      </c>
      <c r="C6180" t="inlineStr">
        <is>
          <t>2018-01</t>
        </is>
      </c>
      <c r="D6180" t="inlineStr">
        <is>
          <t>22c29808c4f815213303f8933030604c</t>
        </is>
      </c>
      <c r="E6180" t="inlineStr">
        <is>
          <t>other</t>
        </is>
      </c>
      <c r="F6180">
        <f>IFERROR(MATCH(A6180,Deals!$A$2:$A$843,0),"")</f>
        <v/>
      </c>
      <c r="G6180">
        <f>IF(F6180="",0,1)</f>
        <v/>
      </c>
      <c r="H6180" s="29">
        <f>IF(F6180="","",INDEX(Deals!$E$2:$E$843,F6180))</f>
        <v/>
      </c>
      <c r="I6180">
        <f>IF(F6180="","",INDEX(Deals!$D$2:$D$843,F6180))</f>
        <v/>
      </c>
      <c r="J6180">
        <f>IF(F6180="","",INT(H6180)-B6180)</f>
        <v/>
      </c>
      <c r="K6180">
        <f>IF(B6180&gt;=Settings!$C$5,1,0)</f>
        <v/>
      </c>
    </row>
    <row r="6181">
      <c r="A6181" t="inlineStr">
        <is>
          <t>72bb4d11628992977789564852118f0a</t>
        </is>
      </c>
      <c r="B6181" s="29" t="n">
        <v>43193</v>
      </c>
      <c r="C6181" t="inlineStr">
        <is>
          <t>2018-04</t>
        </is>
      </c>
      <c r="D6181" t="inlineStr">
        <is>
          <t>22c29808c4f815213303f8933030604c</t>
        </is>
      </c>
      <c r="E6181" t="inlineStr">
        <is>
          <t>paid_search</t>
        </is>
      </c>
      <c r="F6181">
        <f>IFERROR(MATCH(A6181,Deals!$A$2:$A$843,0),"")</f>
        <v/>
      </c>
      <c r="G6181">
        <f>IF(F6181="",0,1)</f>
        <v/>
      </c>
      <c r="H6181" s="29">
        <f>IF(F6181="","",INDEX(Deals!$E$2:$E$843,F6181))</f>
        <v/>
      </c>
      <c r="I6181">
        <f>IF(F6181="","",INDEX(Deals!$D$2:$D$843,F6181))</f>
        <v/>
      </c>
      <c r="J6181">
        <f>IF(F6181="","",INT(H6181)-B6181)</f>
        <v/>
      </c>
      <c r="K6181">
        <f>IF(B6181&gt;=Settings!$C$5,1,0)</f>
        <v/>
      </c>
    </row>
    <row r="6182">
      <c r="A6182" t="inlineStr">
        <is>
          <t>80b34c84a6e5ed25df112c11de676adc</t>
        </is>
      </c>
      <c r="B6182" s="29" t="n">
        <v>43200</v>
      </c>
      <c r="C6182" t="inlineStr">
        <is>
          <t>2018-04</t>
        </is>
      </c>
      <c r="D6182" t="inlineStr">
        <is>
          <t>f017be4dbf86243af5c1ebed0cff36a2</t>
        </is>
      </c>
      <c r="E6182" t="inlineStr">
        <is>
          <t>paid_search</t>
        </is>
      </c>
      <c r="F6182">
        <f>IFERROR(MATCH(A6182,Deals!$A$2:$A$843,0),"")</f>
        <v/>
      </c>
      <c r="G6182">
        <f>IF(F6182="",0,1)</f>
        <v/>
      </c>
      <c r="H6182" s="29">
        <f>IF(F6182="","",INDEX(Deals!$E$2:$E$843,F6182))</f>
        <v/>
      </c>
      <c r="I6182">
        <f>IF(F6182="","",INDEX(Deals!$D$2:$D$843,F6182))</f>
        <v/>
      </c>
      <c r="J6182">
        <f>IF(F6182="","",INT(H6182)-B6182)</f>
        <v/>
      </c>
      <c r="K6182">
        <f>IF(B6182&gt;=Settings!$C$5,1,0)</f>
        <v/>
      </c>
    </row>
    <row r="6183">
      <c r="A6183" t="inlineStr">
        <is>
          <t>55f16320eb523947f12d2e94d9630c6e</t>
        </is>
      </c>
      <c r="B6183" s="29" t="n">
        <v>42936</v>
      </c>
      <c r="C6183" t="inlineStr">
        <is>
          <t>2017-07</t>
        </is>
      </c>
      <c r="D6183" t="inlineStr">
        <is>
          <t>ce7bafe02f8fb1a3f15f52a9c239d0ef</t>
        </is>
      </c>
      <c r="E6183" t="inlineStr">
        <is>
          <t>email</t>
        </is>
      </c>
      <c r="F6183">
        <f>IFERROR(MATCH(A6183,Deals!$A$2:$A$843,0),"")</f>
        <v/>
      </c>
      <c r="G6183">
        <f>IF(F6183="",0,1)</f>
        <v/>
      </c>
      <c r="H6183" s="29">
        <f>IF(F6183="","",INDEX(Deals!$E$2:$E$843,F6183))</f>
        <v/>
      </c>
      <c r="I6183">
        <f>IF(F6183="","",INDEX(Deals!$D$2:$D$843,F6183))</f>
        <v/>
      </c>
      <c r="J6183">
        <f>IF(F6183="","",INT(H6183)-B6183)</f>
        <v/>
      </c>
      <c r="K6183">
        <f>IF(B6183&gt;=Settings!$C$5,1,0)</f>
        <v/>
      </c>
    </row>
    <row r="6184">
      <c r="A6184" t="inlineStr">
        <is>
          <t>4c1d160c669f361c1e48dac11891ff84</t>
        </is>
      </c>
      <c r="B6184" s="29" t="n">
        <v>42928</v>
      </c>
      <c r="C6184" t="inlineStr">
        <is>
          <t>2017-07</t>
        </is>
      </c>
      <c r="D6184" t="inlineStr">
        <is>
          <t>489a340e7e59e0bcbec67b4a19c1b229</t>
        </is>
      </c>
      <c r="E6184" t="inlineStr">
        <is>
          <t>direct_traffic</t>
        </is>
      </c>
      <c r="F6184">
        <f>IFERROR(MATCH(A6184,Deals!$A$2:$A$843,0),"")</f>
        <v/>
      </c>
      <c r="G6184">
        <f>IF(F6184="",0,1)</f>
        <v/>
      </c>
      <c r="H6184" s="29">
        <f>IF(F6184="","",INDEX(Deals!$E$2:$E$843,F6184))</f>
        <v/>
      </c>
      <c r="I6184">
        <f>IF(F6184="","",INDEX(Deals!$D$2:$D$843,F6184))</f>
        <v/>
      </c>
      <c r="J6184">
        <f>IF(F6184="","",INT(H6184)-B6184)</f>
        <v/>
      </c>
      <c r="K6184">
        <f>IF(B6184&gt;=Settings!$C$5,1,0)</f>
        <v/>
      </c>
    </row>
    <row r="6185">
      <c r="A6185" t="inlineStr">
        <is>
          <t>3d6e8cdf62c3b687501808cc1203704d</t>
        </is>
      </c>
      <c r="B6185" s="29" t="n">
        <v>43217</v>
      </c>
      <c r="C6185" t="inlineStr">
        <is>
          <t>2018-04</t>
        </is>
      </c>
      <c r="D6185" t="inlineStr">
        <is>
          <t>966098efaef7a4d665be6b0cb617541b</t>
        </is>
      </c>
      <c r="E6185" t="inlineStr">
        <is>
          <t>display</t>
        </is>
      </c>
      <c r="F6185">
        <f>IFERROR(MATCH(A6185,Deals!$A$2:$A$843,0),"")</f>
        <v/>
      </c>
      <c r="G6185">
        <f>IF(F6185="",0,1)</f>
        <v/>
      </c>
      <c r="H6185" s="29">
        <f>IF(F6185="","",INDEX(Deals!$E$2:$E$843,F6185))</f>
        <v/>
      </c>
      <c r="I6185">
        <f>IF(F6185="","",INDEX(Deals!$D$2:$D$843,F6185))</f>
        <v/>
      </c>
      <c r="J6185">
        <f>IF(F6185="","",INT(H6185)-B6185)</f>
        <v/>
      </c>
      <c r="K6185">
        <f>IF(B6185&gt;=Settings!$C$5,1,0)</f>
        <v/>
      </c>
    </row>
    <row r="6186">
      <c r="A6186" t="inlineStr">
        <is>
          <t>e4b976d55a102a5b6ff224fef96b74d1</t>
        </is>
      </c>
      <c r="B6186" s="29" t="n">
        <v>42975</v>
      </c>
      <c r="C6186" t="inlineStr">
        <is>
          <t>2017-08</t>
        </is>
      </c>
      <c r="D6186" t="inlineStr">
        <is>
          <t>65d9f9d71e562365e8b44037c2888d98</t>
        </is>
      </c>
      <c r="E6186" t="inlineStr">
        <is>
          <t>paid_search</t>
        </is>
      </c>
      <c r="F6186">
        <f>IFERROR(MATCH(A6186,Deals!$A$2:$A$843,0),"")</f>
        <v/>
      </c>
      <c r="G6186">
        <f>IF(F6186="",0,1)</f>
        <v/>
      </c>
      <c r="H6186" s="29">
        <f>IF(F6186="","",INDEX(Deals!$E$2:$E$843,F6186))</f>
        <v/>
      </c>
      <c r="I6186">
        <f>IF(F6186="","",INDEX(Deals!$D$2:$D$843,F6186))</f>
        <v/>
      </c>
      <c r="J6186">
        <f>IF(F6186="","",INT(H6186)-B6186)</f>
        <v/>
      </c>
      <c r="K6186">
        <f>IF(B6186&gt;=Settings!$C$5,1,0)</f>
        <v/>
      </c>
    </row>
    <row r="6187">
      <c r="A6187" t="inlineStr">
        <is>
          <t>a0c6cd885e0a0bd2ebfb8710f10c6bc8</t>
        </is>
      </c>
      <c r="B6187" s="29" t="n">
        <v>43169</v>
      </c>
      <c r="C6187" t="inlineStr">
        <is>
          <t>2018-03</t>
        </is>
      </c>
      <c r="D6187" t="inlineStr">
        <is>
          <t>330b9d44078a1ae5a221d655dcb77afa</t>
        </is>
      </c>
      <c r="E6187" t="inlineStr">
        <is>
          <t>direct_traffic</t>
        </is>
      </c>
      <c r="F6187">
        <f>IFERROR(MATCH(A6187,Deals!$A$2:$A$843,0),"")</f>
        <v/>
      </c>
      <c r="G6187">
        <f>IF(F6187="",0,1)</f>
        <v/>
      </c>
      <c r="H6187" s="29">
        <f>IF(F6187="","",INDEX(Deals!$E$2:$E$843,F6187))</f>
        <v/>
      </c>
      <c r="I6187">
        <f>IF(F6187="","",INDEX(Deals!$D$2:$D$843,F6187))</f>
        <v/>
      </c>
      <c r="J6187">
        <f>IF(F6187="","",INT(H6187)-B6187)</f>
        <v/>
      </c>
      <c r="K6187">
        <f>IF(B6187&gt;=Settings!$C$5,1,0)</f>
        <v/>
      </c>
    </row>
    <row r="6188">
      <c r="A6188" t="inlineStr">
        <is>
          <t>5033fd9ca925f86dbd50b35dcdd85206</t>
        </is>
      </c>
      <c r="B6188" s="29" t="n">
        <v>43200</v>
      </c>
      <c r="C6188" t="inlineStr">
        <is>
          <t>2018-04</t>
        </is>
      </c>
      <c r="D6188" t="inlineStr">
        <is>
          <t>b76ef37428e6799c421989521c0e5077</t>
        </is>
      </c>
      <c r="E6188" t="inlineStr">
        <is>
          <t>unknown</t>
        </is>
      </c>
      <c r="F6188">
        <f>IFERROR(MATCH(A6188,Deals!$A$2:$A$843,0),"")</f>
        <v/>
      </c>
      <c r="G6188">
        <f>IF(F6188="",0,1)</f>
        <v/>
      </c>
      <c r="H6188" s="29">
        <f>IF(F6188="","",INDEX(Deals!$E$2:$E$843,F6188))</f>
        <v/>
      </c>
      <c r="I6188">
        <f>IF(F6188="","",INDEX(Deals!$D$2:$D$843,F6188))</f>
        <v/>
      </c>
      <c r="J6188">
        <f>IF(F6188="","",INT(H6188)-B6188)</f>
        <v/>
      </c>
      <c r="K6188">
        <f>IF(B6188&gt;=Settings!$C$5,1,0)</f>
        <v/>
      </c>
    </row>
    <row r="6189">
      <c r="A6189" t="inlineStr">
        <is>
          <t>131efc3e9dc6088e07ffe4a4c0b2997d</t>
        </is>
      </c>
      <c r="B6189" s="29" t="n">
        <v>43052</v>
      </c>
      <c r="C6189" t="inlineStr">
        <is>
          <t>2017-11</t>
        </is>
      </c>
      <c r="D6189" t="inlineStr">
        <is>
          <t>fd660f5d9a62d444c76191307b3a0514</t>
        </is>
      </c>
      <c r="E6189" t="inlineStr">
        <is>
          <t>email</t>
        </is>
      </c>
      <c r="F6189">
        <f>IFERROR(MATCH(A6189,Deals!$A$2:$A$843,0),"")</f>
        <v/>
      </c>
      <c r="G6189">
        <f>IF(F6189="",0,1)</f>
        <v/>
      </c>
      <c r="H6189" s="29">
        <f>IF(F6189="","",INDEX(Deals!$E$2:$E$843,F6189))</f>
        <v/>
      </c>
      <c r="I6189">
        <f>IF(F6189="","",INDEX(Deals!$D$2:$D$843,F6189))</f>
        <v/>
      </c>
      <c r="J6189">
        <f>IF(F6189="","",INT(H6189)-B6189)</f>
        <v/>
      </c>
      <c r="K6189">
        <f>IF(B6189&gt;=Settings!$C$5,1,0)</f>
        <v/>
      </c>
    </row>
    <row r="6190">
      <c r="A6190" t="inlineStr">
        <is>
          <t>fe13849d9b9437c5a61a1760ada2a5a6</t>
        </is>
      </c>
      <c r="B6190" s="29" t="n">
        <v>43207</v>
      </c>
      <c r="C6190" t="inlineStr">
        <is>
          <t>2018-04</t>
        </is>
      </c>
      <c r="D6190" t="inlineStr">
        <is>
          <t>35c9b150ab36fe584c1f24fd458c453a</t>
        </is>
      </c>
      <c r="E6190" t="inlineStr">
        <is>
          <t>paid_search</t>
        </is>
      </c>
      <c r="F6190">
        <f>IFERROR(MATCH(A6190,Deals!$A$2:$A$843,0),"")</f>
        <v/>
      </c>
      <c r="G6190">
        <f>IF(F6190="",0,1)</f>
        <v/>
      </c>
      <c r="H6190" s="29">
        <f>IF(F6190="","",INDEX(Deals!$E$2:$E$843,F6190))</f>
        <v/>
      </c>
      <c r="I6190">
        <f>IF(F6190="","",INDEX(Deals!$D$2:$D$843,F6190))</f>
        <v/>
      </c>
      <c r="J6190">
        <f>IF(F6190="","",INT(H6190)-B6190)</f>
        <v/>
      </c>
      <c r="K6190">
        <f>IF(B6190&gt;=Settings!$C$5,1,0)</f>
        <v/>
      </c>
    </row>
    <row r="6191">
      <c r="A6191" t="inlineStr">
        <is>
          <t>5567092517e0ed42d94cf318195e0737</t>
        </is>
      </c>
      <c r="B6191" s="29" t="n">
        <v>43234</v>
      </c>
      <c r="C6191" t="inlineStr">
        <is>
          <t>2018-05</t>
        </is>
      </c>
      <c r="D6191" t="inlineStr">
        <is>
          <t>40dec9f3d5259a3d2dbcdab2114fae47</t>
        </is>
      </c>
      <c r="E6191" t="inlineStr">
        <is>
          <t>organic_search</t>
        </is>
      </c>
      <c r="F6191">
        <f>IFERROR(MATCH(A6191,Deals!$A$2:$A$843,0),"")</f>
        <v/>
      </c>
      <c r="G6191">
        <f>IF(F6191="",0,1)</f>
        <v/>
      </c>
      <c r="H6191" s="29">
        <f>IF(F6191="","",INDEX(Deals!$E$2:$E$843,F6191))</f>
        <v/>
      </c>
      <c r="I6191">
        <f>IF(F6191="","",INDEX(Deals!$D$2:$D$843,F6191))</f>
        <v/>
      </c>
      <c r="J6191">
        <f>IF(F6191="","",INT(H6191)-B6191)</f>
        <v/>
      </c>
      <c r="K6191">
        <f>IF(B6191&gt;=Settings!$C$5,1,0)</f>
        <v/>
      </c>
    </row>
    <row r="6192">
      <c r="A6192" t="inlineStr">
        <is>
          <t>2f41e7aed7a2bbd8650634585c71f49a</t>
        </is>
      </c>
      <c r="B6192" s="29" t="n">
        <v>43123</v>
      </c>
      <c r="C6192" t="inlineStr">
        <is>
          <t>2018-01</t>
        </is>
      </c>
      <c r="D6192" t="inlineStr">
        <is>
          <t>ce1a65abd0973638f1c887a6efcfa82d</t>
        </is>
      </c>
      <c r="E6192" t="inlineStr">
        <is>
          <t>social</t>
        </is>
      </c>
      <c r="F6192">
        <f>IFERROR(MATCH(A6192,Deals!$A$2:$A$843,0),"")</f>
        <v/>
      </c>
      <c r="G6192">
        <f>IF(F6192="",0,1)</f>
        <v/>
      </c>
      <c r="H6192" s="29">
        <f>IF(F6192="","",INDEX(Deals!$E$2:$E$843,F6192))</f>
        <v/>
      </c>
      <c r="I6192">
        <f>IF(F6192="","",INDEX(Deals!$D$2:$D$843,F6192))</f>
        <v/>
      </c>
      <c r="J6192">
        <f>IF(F6192="","",INT(H6192)-B6192)</f>
        <v/>
      </c>
      <c r="K6192">
        <f>IF(B6192&gt;=Settings!$C$5,1,0)</f>
        <v/>
      </c>
    </row>
    <row r="6193">
      <c r="A6193" t="inlineStr">
        <is>
          <t>b34157d44b5503bf9ef416fec0912265</t>
        </is>
      </c>
      <c r="B6193" s="29" t="n">
        <v>43194</v>
      </c>
      <c r="C6193" t="inlineStr">
        <is>
          <t>2018-04</t>
        </is>
      </c>
      <c r="D6193" t="inlineStr">
        <is>
          <t>649b7b8b46b254497e92038d88f6ced8</t>
        </is>
      </c>
      <c r="E6193" t="inlineStr">
        <is>
          <t>social</t>
        </is>
      </c>
      <c r="F6193">
        <f>IFERROR(MATCH(A6193,Deals!$A$2:$A$843,0),"")</f>
        <v/>
      </c>
      <c r="G6193">
        <f>IF(F6193="",0,1)</f>
        <v/>
      </c>
      <c r="H6193" s="29">
        <f>IF(F6193="","",INDEX(Deals!$E$2:$E$843,F6193))</f>
        <v/>
      </c>
      <c r="I6193">
        <f>IF(F6193="","",INDEX(Deals!$D$2:$D$843,F6193))</f>
        <v/>
      </c>
      <c r="J6193">
        <f>IF(F6193="","",INT(H6193)-B6193)</f>
        <v/>
      </c>
      <c r="K6193">
        <f>IF(B6193&gt;=Settings!$C$5,1,0)</f>
        <v/>
      </c>
    </row>
    <row r="6194">
      <c r="A6194" t="inlineStr">
        <is>
          <t>d8c6b8a52c837b407a6c7ab08ccb1c25</t>
        </is>
      </c>
      <c r="B6194" s="29" t="n">
        <v>43243</v>
      </c>
      <c r="C6194" t="inlineStr">
        <is>
          <t>2018-05</t>
        </is>
      </c>
      <c r="D6194" t="inlineStr">
        <is>
          <t>1ceb590cd1e00c7ee95220971f82693d</t>
        </is>
      </c>
      <c r="E6194" t="inlineStr">
        <is>
          <t>organic_search</t>
        </is>
      </c>
      <c r="F6194">
        <f>IFERROR(MATCH(A6194,Deals!$A$2:$A$843,0),"")</f>
        <v/>
      </c>
      <c r="G6194">
        <f>IF(F6194="",0,1)</f>
        <v/>
      </c>
      <c r="H6194" s="29">
        <f>IF(F6194="","",INDEX(Deals!$E$2:$E$843,F6194))</f>
        <v/>
      </c>
      <c r="I6194">
        <f>IF(F6194="","",INDEX(Deals!$D$2:$D$843,F6194))</f>
        <v/>
      </c>
      <c r="J6194">
        <f>IF(F6194="","",INT(H6194)-B6194)</f>
        <v/>
      </c>
      <c r="K6194">
        <f>IF(B6194&gt;=Settings!$C$5,1,0)</f>
        <v/>
      </c>
    </row>
    <row r="6195">
      <c r="A6195" t="inlineStr">
        <is>
          <t>0bdfd2a67deb53a40acbc39554d5a40c</t>
        </is>
      </c>
      <c r="B6195" s="29" t="n">
        <v>43234</v>
      </c>
      <c r="C6195" t="inlineStr">
        <is>
          <t>2018-05</t>
        </is>
      </c>
      <c r="D6195" t="inlineStr">
        <is>
          <t>ce1a65abd0973638f1c887a6efcfa82d</t>
        </is>
      </c>
      <c r="E6195" t="inlineStr">
        <is>
          <t>organic_search</t>
        </is>
      </c>
      <c r="F6195">
        <f>IFERROR(MATCH(A6195,Deals!$A$2:$A$843,0),"")</f>
        <v/>
      </c>
      <c r="G6195">
        <f>IF(F6195="",0,1)</f>
        <v/>
      </c>
      <c r="H6195" s="29">
        <f>IF(F6195="","",INDEX(Deals!$E$2:$E$843,F6195))</f>
        <v/>
      </c>
      <c r="I6195">
        <f>IF(F6195="","",INDEX(Deals!$D$2:$D$843,F6195))</f>
        <v/>
      </c>
      <c r="J6195">
        <f>IF(F6195="","",INT(H6195)-B6195)</f>
        <v/>
      </c>
      <c r="K6195">
        <f>IF(B6195&gt;=Settings!$C$5,1,0)</f>
        <v/>
      </c>
    </row>
    <row r="6196">
      <c r="A6196" t="inlineStr">
        <is>
          <t>ee50567c32d7c2e693df4a6206c71b00</t>
        </is>
      </c>
      <c r="B6196" s="29" t="n">
        <v>42997</v>
      </c>
      <c r="C6196" t="inlineStr">
        <is>
          <t>2017-09</t>
        </is>
      </c>
      <c r="D6196" t="inlineStr">
        <is>
          <t>22c29808c4f815213303f8933030604c</t>
        </is>
      </c>
      <c r="E6196" t="inlineStr">
        <is>
          <t>organic_search</t>
        </is>
      </c>
      <c r="F6196">
        <f>IFERROR(MATCH(A6196,Deals!$A$2:$A$843,0),"")</f>
        <v/>
      </c>
      <c r="G6196">
        <f>IF(F6196="",0,1)</f>
        <v/>
      </c>
      <c r="H6196" s="29">
        <f>IF(F6196="","",INDEX(Deals!$E$2:$E$843,F6196))</f>
        <v/>
      </c>
      <c r="I6196">
        <f>IF(F6196="","",INDEX(Deals!$D$2:$D$843,F6196))</f>
        <v/>
      </c>
      <c r="J6196">
        <f>IF(F6196="","",INT(H6196)-B6196)</f>
        <v/>
      </c>
      <c r="K6196">
        <f>IF(B6196&gt;=Settings!$C$5,1,0)</f>
        <v/>
      </c>
    </row>
    <row r="6197">
      <c r="A6197" t="inlineStr">
        <is>
          <t>0b24b170565b7135fe2969a3034a4d80</t>
        </is>
      </c>
      <c r="B6197" s="29" t="n">
        <v>43139</v>
      </c>
      <c r="C6197" t="inlineStr">
        <is>
          <t>2018-02</t>
        </is>
      </c>
      <c r="D6197" t="inlineStr">
        <is>
          <t>b76ef37428e6799c421989521c0e5077</t>
        </is>
      </c>
      <c r="E6197" t="inlineStr">
        <is>
          <t>unknown</t>
        </is>
      </c>
      <c r="F6197">
        <f>IFERROR(MATCH(A6197,Deals!$A$2:$A$843,0),"")</f>
        <v/>
      </c>
      <c r="G6197">
        <f>IF(F6197="",0,1)</f>
        <v/>
      </c>
      <c r="H6197" s="29">
        <f>IF(F6197="","",INDEX(Deals!$E$2:$E$843,F6197))</f>
        <v/>
      </c>
      <c r="I6197">
        <f>IF(F6197="","",INDEX(Deals!$D$2:$D$843,F6197))</f>
        <v/>
      </c>
      <c r="J6197">
        <f>IF(F6197="","",INT(H6197)-B6197)</f>
        <v/>
      </c>
      <c r="K6197">
        <f>IF(B6197&gt;=Settings!$C$5,1,0)</f>
        <v/>
      </c>
    </row>
    <row r="6198">
      <c r="A6198" t="inlineStr">
        <is>
          <t>6623f60e12e3d40244a0a59f4f765695</t>
        </is>
      </c>
      <c r="B6198" s="29" t="n">
        <v>42988</v>
      </c>
      <c r="C6198" t="inlineStr">
        <is>
          <t>2017-09</t>
        </is>
      </c>
      <c r="D6198" t="inlineStr">
        <is>
          <t>87732658ba41d8775e8577df347a64db</t>
        </is>
      </c>
      <c r="E6198" t="inlineStr">
        <is>
          <t>social</t>
        </is>
      </c>
      <c r="F6198">
        <f>IFERROR(MATCH(A6198,Deals!$A$2:$A$843,0),"")</f>
        <v/>
      </c>
      <c r="G6198">
        <f>IF(F6198="",0,1)</f>
        <v/>
      </c>
      <c r="H6198" s="29">
        <f>IF(F6198="","",INDEX(Deals!$E$2:$E$843,F6198))</f>
        <v/>
      </c>
      <c r="I6198">
        <f>IF(F6198="","",INDEX(Deals!$D$2:$D$843,F6198))</f>
        <v/>
      </c>
      <c r="J6198">
        <f>IF(F6198="","",INT(H6198)-B6198)</f>
        <v/>
      </c>
      <c r="K6198">
        <f>IF(B6198&gt;=Settings!$C$5,1,0)</f>
        <v/>
      </c>
    </row>
    <row r="6199">
      <c r="A6199" t="inlineStr">
        <is>
          <t>75aab46f2247643e6b53799b70f140c5</t>
        </is>
      </c>
      <c r="B6199" s="29" t="n">
        <v>43215</v>
      </c>
      <c r="C6199" t="inlineStr">
        <is>
          <t>2018-04</t>
        </is>
      </c>
      <c r="D6199" t="inlineStr">
        <is>
          <t>b76ef37428e6799c421989521c0e5077</t>
        </is>
      </c>
      <c r="E6199" t="inlineStr">
        <is>
          <t>unknown</t>
        </is>
      </c>
      <c r="F6199">
        <f>IFERROR(MATCH(A6199,Deals!$A$2:$A$843,0),"")</f>
        <v/>
      </c>
      <c r="G6199">
        <f>IF(F6199="",0,1)</f>
        <v/>
      </c>
      <c r="H6199" s="29">
        <f>IF(F6199="","",INDEX(Deals!$E$2:$E$843,F6199))</f>
        <v/>
      </c>
      <c r="I6199">
        <f>IF(F6199="","",INDEX(Deals!$D$2:$D$843,F6199))</f>
        <v/>
      </c>
      <c r="J6199">
        <f>IF(F6199="","",INT(H6199)-B6199)</f>
        <v/>
      </c>
      <c r="K6199">
        <f>IF(B6199&gt;=Settings!$C$5,1,0)</f>
        <v/>
      </c>
    </row>
    <row r="6200">
      <c r="A6200" t="inlineStr">
        <is>
          <t>87fc1fd2316e69d5c46396b47ed63b0a</t>
        </is>
      </c>
      <c r="B6200" s="29" t="n">
        <v>42948</v>
      </c>
      <c r="C6200" t="inlineStr">
        <is>
          <t>2017-08</t>
        </is>
      </c>
      <c r="D6200" t="inlineStr">
        <is>
          <t>3b86d7e8c33da2767ad2af9782f383d5</t>
        </is>
      </c>
      <c r="E6200" t="inlineStr">
        <is>
          <t>direct_traffic</t>
        </is>
      </c>
      <c r="F6200">
        <f>IFERROR(MATCH(A6200,Deals!$A$2:$A$843,0),"")</f>
        <v/>
      </c>
      <c r="G6200">
        <f>IF(F6200="",0,1)</f>
        <v/>
      </c>
      <c r="H6200" s="29">
        <f>IF(F6200="","",INDEX(Deals!$E$2:$E$843,F6200))</f>
        <v/>
      </c>
      <c r="I6200">
        <f>IF(F6200="","",INDEX(Deals!$D$2:$D$843,F6200))</f>
        <v/>
      </c>
      <c r="J6200">
        <f>IF(F6200="","",INT(H6200)-B6200)</f>
        <v/>
      </c>
      <c r="K6200">
        <f>IF(B6200&gt;=Settings!$C$5,1,0)</f>
        <v/>
      </c>
    </row>
    <row r="6201">
      <c r="A6201" t="inlineStr">
        <is>
          <t>925d278231dfd856648289a948676aab</t>
        </is>
      </c>
      <c r="B6201" s="29" t="n">
        <v>43103</v>
      </c>
      <c r="C6201" t="inlineStr">
        <is>
          <t>2018-01</t>
        </is>
      </c>
      <c r="D6201" t="inlineStr">
        <is>
          <t>88740e65d5d6b056e0cda098e1ea6313</t>
        </is>
      </c>
      <c r="E6201" t="inlineStr">
        <is>
          <t>social</t>
        </is>
      </c>
      <c r="F6201">
        <f>IFERROR(MATCH(A6201,Deals!$A$2:$A$843,0),"")</f>
        <v/>
      </c>
      <c r="G6201">
        <f>IF(F6201="",0,1)</f>
        <v/>
      </c>
      <c r="H6201" s="29">
        <f>IF(F6201="","",INDEX(Deals!$E$2:$E$843,F6201))</f>
        <v/>
      </c>
      <c r="I6201">
        <f>IF(F6201="","",INDEX(Deals!$D$2:$D$843,F6201))</f>
        <v/>
      </c>
      <c r="J6201">
        <f>IF(F6201="","",INT(H6201)-B6201)</f>
        <v/>
      </c>
      <c r="K6201">
        <f>IF(B6201&gt;=Settings!$C$5,1,0)</f>
        <v/>
      </c>
    </row>
    <row r="6202">
      <c r="A6202" t="inlineStr">
        <is>
          <t>2ca3d98d9a3e1a889ab612286310f272</t>
        </is>
      </c>
      <c r="B6202" s="29" t="n">
        <v>43037</v>
      </c>
      <c r="C6202" t="inlineStr">
        <is>
          <t>2017-10</t>
        </is>
      </c>
      <c r="D6202" t="inlineStr">
        <is>
          <t>a5f7caba65f90d45005f62cb85bced39</t>
        </is>
      </c>
      <c r="E6202" t="inlineStr">
        <is>
          <t>other</t>
        </is>
      </c>
      <c r="F6202">
        <f>IFERROR(MATCH(A6202,Deals!$A$2:$A$843,0),"")</f>
        <v/>
      </c>
      <c r="G6202">
        <f>IF(F6202="",0,1)</f>
        <v/>
      </c>
      <c r="H6202" s="29">
        <f>IF(F6202="","",INDEX(Deals!$E$2:$E$843,F6202))</f>
        <v/>
      </c>
      <c r="I6202">
        <f>IF(F6202="","",INDEX(Deals!$D$2:$D$843,F6202))</f>
        <v/>
      </c>
      <c r="J6202">
        <f>IF(F6202="","",INT(H6202)-B6202)</f>
        <v/>
      </c>
      <c r="K6202">
        <f>IF(B6202&gt;=Settings!$C$5,1,0)</f>
        <v/>
      </c>
    </row>
    <row r="6203">
      <c r="A6203" t="inlineStr">
        <is>
          <t>cd7353ce107dc4dd111bb68c0f211638</t>
        </is>
      </c>
      <c r="B6203" s="29" t="n">
        <v>43137</v>
      </c>
      <c r="C6203" t="inlineStr">
        <is>
          <t>2018-02</t>
        </is>
      </c>
      <c r="D6203" t="inlineStr">
        <is>
          <t>b76ef37428e6799c421989521c0e5077</t>
        </is>
      </c>
      <c r="E6203" t="inlineStr">
        <is>
          <t>unknown</t>
        </is>
      </c>
      <c r="F6203">
        <f>IFERROR(MATCH(A6203,Deals!$A$2:$A$843,0),"")</f>
        <v/>
      </c>
      <c r="G6203">
        <f>IF(F6203="",0,1)</f>
        <v/>
      </c>
      <c r="H6203" s="29">
        <f>IF(F6203="","",INDEX(Deals!$E$2:$E$843,F6203))</f>
        <v/>
      </c>
      <c r="I6203">
        <f>IF(F6203="","",INDEX(Deals!$D$2:$D$843,F6203))</f>
        <v/>
      </c>
      <c r="J6203">
        <f>IF(F6203="","",INT(H6203)-B6203)</f>
        <v/>
      </c>
      <c r="K6203">
        <f>IF(B6203&gt;=Settings!$C$5,1,0)</f>
        <v/>
      </c>
    </row>
    <row r="6204">
      <c r="A6204" t="inlineStr">
        <is>
          <t>fb15e71ebe80aa93e4a63eeb755645d3</t>
        </is>
      </c>
      <c r="B6204" s="29" t="n">
        <v>43014</v>
      </c>
      <c r="C6204" t="inlineStr">
        <is>
          <t>2017-10</t>
        </is>
      </c>
      <c r="D6204" t="inlineStr">
        <is>
          <t>f017be4dbf86243af5c1ebed0cff36a2</t>
        </is>
      </c>
      <c r="E6204" t="inlineStr">
        <is>
          <t>organic_search</t>
        </is>
      </c>
      <c r="F6204">
        <f>IFERROR(MATCH(A6204,Deals!$A$2:$A$843,0),"")</f>
        <v/>
      </c>
      <c r="G6204">
        <f>IF(F6204="",0,1)</f>
        <v/>
      </c>
      <c r="H6204" s="29">
        <f>IF(F6204="","",INDEX(Deals!$E$2:$E$843,F6204))</f>
        <v/>
      </c>
      <c r="I6204">
        <f>IF(F6204="","",INDEX(Deals!$D$2:$D$843,F6204))</f>
        <v/>
      </c>
      <c r="J6204">
        <f>IF(F6204="","",INT(H6204)-B6204)</f>
        <v/>
      </c>
      <c r="K6204">
        <f>IF(B6204&gt;=Settings!$C$5,1,0)</f>
        <v/>
      </c>
    </row>
    <row r="6205">
      <c r="A6205" t="inlineStr">
        <is>
          <t>0b2dc5b52bfadc656ccc226aac89c006</t>
        </is>
      </c>
      <c r="B6205" s="29" t="n">
        <v>43238</v>
      </c>
      <c r="C6205" t="inlineStr">
        <is>
          <t>2018-05</t>
        </is>
      </c>
      <c r="D6205" t="inlineStr">
        <is>
          <t>1ceb590cd1e00c7ee95220971f82693d</t>
        </is>
      </c>
      <c r="E6205" t="inlineStr">
        <is>
          <t>organic_search</t>
        </is>
      </c>
      <c r="F6205">
        <f>IFERROR(MATCH(A6205,Deals!$A$2:$A$843,0),"")</f>
        <v/>
      </c>
      <c r="G6205">
        <f>IF(F6205="",0,1)</f>
        <v/>
      </c>
      <c r="H6205" s="29">
        <f>IF(F6205="","",INDEX(Deals!$E$2:$E$843,F6205))</f>
        <v/>
      </c>
      <c r="I6205">
        <f>IF(F6205="","",INDEX(Deals!$D$2:$D$843,F6205))</f>
        <v/>
      </c>
      <c r="J6205">
        <f>IF(F6205="","",INT(H6205)-B6205)</f>
        <v/>
      </c>
      <c r="K6205">
        <f>IF(B6205&gt;=Settings!$C$5,1,0)</f>
        <v/>
      </c>
    </row>
    <row r="6206">
      <c r="A6206" t="inlineStr">
        <is>
          <t>ac40e06a05077ea6f2d8390c675d6134</t>
        </is>
      </c>
      <c r="B6206" s="29" t="n">
        <v>43049</v>
      </c>
      <c r="C6206" t="inlineStr">
        <is>
          <t>2017-11</t>
        </is>
      </c>
      <c r="D6206" t="inlineStr">
        <is>
          <t>88740e65d5d6b056e0cda098e1ea6313</t>
        </is>
      </c>
      <c r="E6206" t="inlineStr">
        <is>
          <t>social</t>
        </is>
      </c>
      <c r="F6206">
        <f>IFERROR(MATCH(A6206,Deals!$A$2:$A$843,0),"")</f>
        <v/>
      </c>
      <c r="G6206">
        <f>IF(F6206="",0,1)</f>
        <v/>
      </c>
      <c r="H6206" s="29">
        <f>IF(F6206="","",INDEX(Deals!$E$2:$E$843,F6206))</f>
        <v/>
      </c>
      <c r="I6206">
        <f>IF(F6206="","",INDEX(Deals!$D$2:$D$843,F6206))</f>
        <v/>
      </c>
      <c r="J6206">
        <f>IF(F6206="","",INT(H6206)-B6206)</f>
        <v/>
      </c>
      <c r="K6206">
        <f>IF(B6206&gt;=Settings!$C$5,1,0)</f>
        <v/>
      </c>
    </row>
    <row r="6207">
      <c r="A6207" t="inlineStr">
        <is>
          <t>f9347d86498a6073bb60abcf63aaa82d</t>
        </is>
      </c>
      <c r="B6207" s="29" t="n">
        <v>43248</v>
      </c>
      <c r="C6207" t="inlineStr">
        <is>
          <t>2018-05</t>
        </is>
      </c>
      <c r="D6207" t="inlineStr">
        <is>
          <t>c555aa36478386fdf85a2d0ca5cd0ff8</t>
        </is>
      </c>
      <c r="E6207" t="inlineStr">
        <is>
          <t>organic_search</t>
        </is>
      </c>
      <c r="F6207">
        <f>IFERROR(MATCH(A6207,Deals!$A$2:$A$843,0),"")</f>
        <v/>
      </c>
      <c r="G6207">
        <f>IF(F6207="",0,1)</f>
        <v/>
      </c>
      <c r="H6207" s="29">
        <f>IF(F6207="","",INDEX(Deals!$E$2:$E$843,F6207))</f>
        <v/>
      </c>
      <c r="I6207">
        <f>IF(F6207="","",INDEX(Deals!$D$2:$D$843,F6207))</f>
        <v/>
      </c>
      <c r="J6207">
        <f>IF(F6207="","",INT(H6207)-B6207)</f>
        <v/>
      </c>
      <c r="K6207">
        <f>IF(B6207&gt;=Settings!$C$5,1,0)</f>
        <v/>
      </c>
    </row>
    <row r="6208">
      <c r="A6208" t="inlineStr">
        <is>
          <t>391c5f953a77f6ddf639b5e62bb75c3e</t>
        </is>
      </c>
      <c r="B6208" s="29" t="n">
        <v>42943</v>
      </c>
      <c r="C6208" t="inlineStr">
        <is>
          <t>2017-07</t>
        </is>
      </c>
      <c r="D6208" t="inlineStr">
        <is>
          <t>e42a14209c69c3e9cc6b042620465f12</t>
        </is>
      </c>
      <c r="E6208" t="inlineStr">
        <is>
          <t>email</t>
        </is>
      </c>
      <c r="F6208">
        <f>IFERROR(MATCH(A6208,Deals!$A$2:$A$843,0),"")</f>
        <v/>
      </c>
      <c r="G6208">
        <f>IF(F6208="",0,1)</f>
        <v/>
      </c>
      <c r="H6208" s="29">
        <f>IF(F6208="","",INDEX(Deals!$E$2:$E$843,F6208))</f>
        <v/>
      </c>
      <c r="I6208">
        <f>IF(F6208="","",INDEX(Deals!$D$2:$D$843,F6208))</f>
        <v/>
      </c>
      <c r="J6208">
        <f>IF(F6208="","",INT(H6208)-B6208)</f>
        <v/>
      </c>
      <c r="K6208">
        <f>IF(B6208&gt;=Settings!$C$5,1,0)</f>
        <v/>
      </c>
    </row>
    <row r="6209">
      <c r="A6209" t="inlineStr">
        <is>
          <t>29c5bc899fe290c1dcdab537dea8354d</t>
        </is>
      </c>
      <c r="B6209" s="29" t="n">
        <v>43204</v>
      </c>
      <c r="C6209" t="inlineStr">
        <is>
          <t>2018-04</t>
        </is>
      </c>
      <c r="D6209" t="inlineStr">
        <is>
          <t>ce1a65abd0973638f1c887a6efcfa82d</t>
        </is>
      </c>
      <c r="E6209" t="inlineStr">
        <is>
          <t>organic_search</t>
        </is>
      </c>
      <c r="F6209">
        <f>IFERROR(MATCH(A6209,Deals!$A$2:$A$843,0),"")</f>
        <v/>
      </c>
      <c r="G6209">
        <f>IF(F6209="",0,1)</f>
        <v/>
      </c>
      <c r="H6209" s="29">
        <f>IF(F6209="","",INDEX(Deals!$E$2:$E$843,F6209))</f>
        <v/>
      </c>
      <c r="I6209">
        <f>IF(F6209="","",INDEX(Deals!$D$2:$D$843,F6209))</f>
        <v/>
      </c>
      <c r="J6209">
        <f>IF(F6209="","",INT(H6209)-B6209)</f>
        <v/>
      </c>
      <c r="K6209">
        <f>IF(B6209&gt;=Settings!$C$5,1,0)</f>
        <v/>
      </c>
    </row>
    <row r="6210">
      <c r="A6210" t="inlineStr">
        <is>
          <t>327dfff1faa4cfe667239273e6a957f3</t>
        </is>
      </c>
      <c r="B6210" s="29" t="n">
        <v>43192</v>
      </c>
      <c r="C6210" t="inlineStr">
        <is>
          <t>2018-04</t>
        </is>
      </c>
      <c r="D6210" t="inlineStr">
        <is>
          <t>b76ef37428e6799c421989521c0e5077</t>
        </is>
      </c>
      <c r="E6210" t="inlineStr">
        <is>
          <t>unknown</t>
        </is>
      </c>
      <c r="F6210">
        <f>IFERROR(MATCH(A6210,Deals!$A$2:$A$843,0),"")</f>
        <v/>
      </c>
      <c r="G6210">
        <f>IF(F6210="",0,1)</f>
        <v/>
      </c>
      <c r="H6210" s="29">
        <f>IF(F6210="","",INDEX(Deals!$E$2:$E$843,F6210))</f>
        <v/>
      </c>
      <c r="I6210">
        <f>IF(F6210="","",INDEX(Deals!$D$2:$D$843,F6210))</f>
        <v/>
      </c>
      <c r="J6210">
        <f>IF(F6210="","",INT(H6210)-B6210)</f>
        <v/>
      </c>
      <c r="K6210">
        <f>IF(B6210&gt;=Settings!$C$5,1,0)</f>
        <v/>
      </c>
    </row>
    <row r="6211">
      <c r="A6211" t="inlineStr">
        <is>
          <t>7cbb793c46d7cad3981035cf922bd3f1</t>
        </is>
      </c>
      <c r="B6211" s="29" t="n">
        <v>43113</v>
      </c>
      <c r="C6211" t="inlineStr">
        <is>
          <t>2018-01</t>
        </is>
      </c>
      <c r="D6211" t="inlineStr">
        <is>
          <t>ce1a65abd0973638f1c887a6efcfa82d</t>
        </is>
      </c>
      <c r="E6211" t="inlineStr">
        <is>
          <t>organic_search</t>
        </is>
      </c>
      <c r="F6211">
        <f>IFERROR(MATCH(A6211,Deals!$A$2:$A$843,0),"")</f>
        <v/>
      </c>
      <c r="G6211">
        <f>IF(F6211="",0,1)</f>
        <v/>
      </c>
      <c r="H6211" s="29">
        <f>IF(F6211="","",INDEX(Deals!$E$2:$E$843,F6211))</f>
        <v/>
      </c>
      <c r="I6211">
        <f>IF(F6211="","",INDEX(Deals!$D$2:$D$843,F6211))</f>
        <v/>
      </c>
      <c r="J6211">
        <f>IF(F6211="","",INT(H6211)-B6211)</f>
        <v/>
      </c>
      <c r="K6211">
        <f>IF(B6211&gt;=Settings!$C$5,1,0)</f>
        <v/>
      </c>
    </row>
    <row r="6212">
      <c r="A6212" t="inlineStr">
        <is>
          <t>07238496476853bbaf3d939a7aaaa468</t>
        </is>
      </c>
      <c r="B6212" s="29" t="n">
        <v>43108</v>
      </c>
      <c r="C6212" t="inlineStr">
        <is>
          <t>2018-01</t>
        </is>
      </c>
      <c r="D6212" t="inlineStr">
        <is>
          <t>88740e65d5d6b056e0cda098e1ea6313</t>
        </is>
      </c>
      <c r="E6212" t="inlineStr">
        <is>
          <t>social</t>
        </is>
      </c>
      <c r="F6212">
        <f>IFERROR(MATCH(A6212,Deals!$A$2:$A$843,0),"")</f>
        <v/>
      </c>
      <c r="G6212">
        <f>IF(F6212="",0,1)</f>
        <v/>
      </c>
      <c r="H6212" s="29">
        <f>IF(F6212="","",INDEX(Deals!$E$2:$E$843,F6212))</f>
        <v/>
      </c>
      <c r="I6212">
        <f>IF(F6212="","",INDEX(Deals!$D$2:$D$843,F6212))</f>
        <v/>
      </c>
      <c r="J6212">
        <f>IF(F6212="","",INT(H6212)-B6212)</f>
        <v/>
      </c>
      <c r="K6212">
        <f>IF(B6212&gt;=Settings!$C$5,1,0)</f>
        <v/>
      </c>
    </row>
    <row r="6213">
      <c r="A6213" t="inlineStr">
        <is>
          <t>ae8e0b4d73ca94fcfbceee69c857a979</t>
        </is>
      </c>
      <c r="B6213" s="29" t="n">
        <v>43209</v>
      </c>
      <c r="C6213" t="inlineStr">
        <is>
          <t>2018-04</t>
        </is>
      </c>
      <c r="D6213" t="inlineStr">
        <is>
          <t>58326e62183c14b0c03085c33b9fdc44</t>
        </is>
      </c>
      <c r="E6213" t="inlineStr">
        <is>
          <t>social</t>
        </is>
      </c>
      <c r="F6213">
        <f>IFERROR(MATCH(A6213,Deals!$A$2:$A$843,0),"")</f>
        <v/>
      </c>
      <c r="G6213">
        <f>IF(F6213="",0,1)</f>
        <v/>
      </c>
      <c r="H6213" s="29">
        <f>IF(F6213="","",INDEX(Deals!$E$2:$E$843,F6213))</f>
        <v/>
      </c>
      <c r="I6213">
        <f>IF(F6213="","",INDEX(Deals!$D$2:$D$843,F6213))</f>
        <v/>
      </c>
      <c r="J6213">
        <f>IF(F6213="","",INT(H6213)-B6213)</f>
        <v/>
      </c>
      <c r="K6213">
        <f>IF(B6213&gt;=Settings!$C$5,1,0)</f>
        <v/>
      </c>
    </row>
    <row r="6214">
      <c r="A6214" t="inlineStr">
        <is>
          <t>3e60378a5dd096f82f27912f135834bb</t>
        </is>
      </c>
      <c r="B6214" s="29" t="n">
        <v>43197</v>
      </c>
      <c r="C6214" t="inlineStr">
        <is>
          <t>2018-04</t>
        </is>
      </c>
      <c r="D6214" t="inlineStr">
        <is>
          <t>58326e62183c14b0c03085c33b9fdc44</t>
        </is>
      </c>
      <c r="E6214" t="inlineStr">
        <is>
          <t>social</t>
        </is>
      </c>
      <c r="F6214">
        <f>IFERROR(MATCH(A6214,Deals!$A$2:$A$843,0),"")</f>
        <v/>
      </c>
      <c r="G6214">
        <f>IF(F6214="",0,1)</f>
        <v/>
      </c>
      <c r="H6214" s="29">
        <f>IF(F6214="","",INDEX(Deals!$E$2:$E$843,F6214))</f>
        <v/>
      </c>
      <c r="I6214">
        <f>IF(F6214="","",INDEX(Deals!$D$2:$D$843,F6214))</f>
        <v/>
      </c>
      <c r="J6214">
        <f>IF(F6214="","",INT(H6214)-B6214)</f>
        <v/>
      </c>
      <c r="K6214">
        <f>IF(B6214&gt;=Settings!$C$5,1,0)</f>
        <v/>
      </c>
    </row>
    <row r="6215">
      <c r="A6215" t="inlineStr">
        <is>
          <t>84e06f3c71f657723173b3ddfe08fd8c</t>
        </is>
      </c>
      <c r="B6215" s="29" t="n">
        <v>43215</v>
      </c>
      <c r="C6215" t="inlineStr">
        <is>
          <t>2018-04</t>
        </is>
      </c>
      <c r="D6215" t="inlineStr">
        <is>
          <t>a0fbc0263cb98bdb0d72b9f9f283a172</t>
        </is>
      </c>
      <c r="E6215" t="inlineStr">
        <is>
          <t>unknown</t>
        </is>
      </c>
      <c r="F6215">
        <f>IFERROR(MATCH(A6215,Deals!$A$2:$A$843,0),"")</f>
        <v/>
      </c>
      <c r="G6215">
        <f>IF(F6215="",0,1)</f>
        <v/>
      </c>
      <c r="H6215" s="29">
        <f>IF(F6215="","",INDEX(Deals!$E$2:$E$843,F6215))</f>
        <v/>
      </c>
      <c r="I6215">
        <f>IF(F6215="","",INDEX(Deals!$D$2:$D$843,F6215))</f>
        <v/>
      </c>
      <c r="J6215">
        <f>IF(F6215="","",INT(H6215)-B6215)</f>
        <v/>
      </c>
      <c r="K6215">
        <f>IF(B6215&gt;=Settings!$C$5,1,0)</f>
        <v/>
      </c>
    </row>
    <row r="6216">
      <c r="A6216" t="inlineStr">
        <is>
          <t>d73e1b0064831ecbe5d9d9b80b93e05d</t>
        </is>
      </c>
      <c r="B6216" s="29" t="n">
        <v>42975</v>
      </c>
      <c r="C6216" t="inlineStr">
        <is>
          <t>2017-08</t>
        </is>
      </c>
      <c r="D6216" t="inlineStr">
        <is>
          <t>ef0b482996664cc1107b9051efd3ca84</t>
        </is>
      </c>
      <c r="E6216" t="inlineStr">
        <is>
          <t>organic_search</t>
        </is>
      </c>
      <c r="F6216">
        <f>IFERROR(MATCH(A6216,Deals!$A$2:$A$843,0),"")</f>
        <v/>
      </c>
      <c r="G6216">
        <f>IF(F6216="",0,1)</f>
        <v/>
      </c>
      <c r="H6216" s="29">
        <f>IF(F6216="","",INDEX(Deals!$E$2:$E$843,F6216))</f>
        <v/>
      </c>
      <c r="I6216">
        <f>IF(F6216="","",INDEX(Deals!$D$2:$D$843,F6216))</f>
        <v/>
      </c>
      <c r="J6216">
        <f>IF(F6216="","",INT(H6216)-B6216)</f>
        <v/>
      </c>
      <c r="K6216">
        <f>IF(B6216&gt;=Settings!$C$5,1,0)</f>
        <v/>
      </c>
    </row>
    <row r="6217">
      <c r="A6217" t="inlineStr">
        <is>
          <t>77264695a901fc9441dd2ee7b7b51b8d</t>
        </is>
      </c>
      <c r="B6217" s="29" t="n">
        <v>43021</v>
      </c>
      <c r="C6217" t="inlineStr">
        <is>
          <t>2017-10</t>
        </is>
      </c>
      <c r="D6217" t="inlineStr">
        <is>
          <t>22c29808c4f815213303f8933030604c</t>
        </is>
      </c>
      <c r="E6217" t="inlineStr">
        <is>
          <t>organic_search</t>
        </is>
      </c>
      <c r="F6217">
        <f>IFERROR(MATCH(A6217,Deals!$A$2:$A$843,0),"")</f>
        <v/>
      </c>
      <c r="G6217">
        <f>IF(F6217="",0,1)</f>
        <v/>
      </c>
      <c r="H6217" s="29">
        <f>IF(F6217="","",INDEX(Deals!$E$2:$E$843,F6217))</f>
        <v/>
      </c>
      <c r="I6217">
        <f>IF(F6217="","",INDEX(Deals!$D$2:$D$843,F6217))</f>
        <v/>
      </c>
      <c r="J6217">
        <f>IF(F6217="","",INT(H6217)-B6217)</f>
        <v/>
      </c>
      <c r="K6217">
        <f>IF(B6217&gt;=Settings!$C$5,1,0)</f>
        <v/>
      </c>
    </row>
    <row r="6218">
      <c r="A6218" t="inlineStr">
        <is>
          <t>24fd82394ab5c4074297d17f7847b17a</t>
        </is>
      </c>
      <c r="B6218" s="29" t="n">
        <v>42969</v>
      </c>
      <c r="C6218" t="inlineStr">
        <is>
          <t>2017-08</t>
        </is>
      </c>
      <c r="D6218" t="inlineStr">
        <is>
          <t>1694e838dffa97f640fcfa35e86e438e</t>
        </is>
      </c>
      <c r="E6218" t="inlineStr">
        <is>
          <t>organic_search</t>
        </is>
      </c>
      <c r="F6218">
        <f>IFERROR(MATCH(A6218,Deals!$A$2:$A$843,0),"")</f>
        <v/>
      </c>
      <c r="G6218">
        <f>IF(F6218="",0,1)</f>
        <v/>
      </c>
      <c r="H6218" s="29">
        <f>IF(F6218="","",INDEX(Deals!$E$2:$E$843,F6218))</f>
        <v/>
      </c>
      <c r="I6218">
        <f>IF(F6218="","",INDEX(Deals!$D$2:$D$843,F6218))</f>
        <v/>
      </c>
      <c r="J6218">
        <f>IF(F6218="","",INT(H6218)-B6218)</f>
        <v/>
      </c>
      <c r="K6218">
        <f>IF(B6218&gt;=Settings!$C$5,1,0)</f>
        <v/>
      </c>
    </row>
    <row r="6219">
      <c r="A6219" t="inlineStr">
        <is>
          <t>b10f57569fe466913232452fac15d629</t>
        </is>
      </c>
      <c r="B6219" s="29" t="n">
        <v>42956</v>
      </c>
      <c r="C6219" t="inlineStr">
        <is>
          <t>2017-08</t>
        </is>
      </c>
      <c r="D6219" t="inlineStr">
        <is>
          <t>c555aa36478386fdf85a2d0ca5cd0ff8</t>
        </is>
      </c>
      <c r="E6219" t="inlineStr">
        <is>
          <t>unknown</t>
        </is>
      </c>
      <c r="F6219">
        <f>IFERROR(MATCH(A6219,Deals!$A$2:$A$843,0),"")</f>
        <v/>
      </c>
      <c r="G6219">
        <f>IF(F6219="",0,1)</f>
        <v/>
      </c>
      <c r="H6219" s="29">
        <f>IF(F6219="","",INDEX(Deals!$E$2:$E$843,F6219))</f>
        <v/>
      </c>
      <c r="I6219">
        <f>IF(F6219="","",INDEX(Deals!$D$2:$D$843,F6219))</f>
        <v/>
      </c>
      <c r="J6219">
        <f>IF(F6219="","",INT(H6219)-B6219)</f>
        <v/>
      </c>
      <c r="K6219">
        <f>IF(B6219&gt;=Settings!$C$5,1,0)</f>
        <v/>
      </c>
    </row>
    <row r="6220">
      <c r="A6220" t="inlineStr">
        <is>
          <t>3c81b085f42fee9992a2391b4aaee470</t>
        </is>
      </c>
      <c r="B6220" s="29" t="n">
        <v>43171</v>
      </c>
      <c r="C6220" t="inlineStr">
        <is>
          <t>2018-03</t>
        </is>
      </c>
      <c r="D6220" t="inlineStr">
        <is>
          <t>4b0974ddecd83fd34439a7312a609824</t>
        </is>
      </c>
      <c r="E6220" t="inlineStr">
        <is>
          <t>paid_search</t>
        </is>
      </c>
      <c r="F6220">
        <f>IFERROR(MATCH(A6220,Deals!$A$2:$A$843,0),"")</f>
        <v/>
      </c>
      <c r="G6220">
        <f>IF(F6220="",0,1)</f>
        <v/>
      </c>
      <c r="H6220" s="29">
        <f>IF(F6220="","",INDEX(Deals!$E$2:$E$843,F6220))</f>
        <v/>
      </c>
      <c r="I6220">
        <f>IF(F6220="","",INDEX(Deals!$D$2:$D$843,F6220))</f>
        <v/>
      </c>
      <c r="J6220">
        <f>IF(F6220="","",INT(H6220)-B6220)</f>
        <v/>
      </c>
      <c r="K6220">
        <f>IF(B6220&gt;=Settings!$C$5,1,0)</f>
        <v/>
      </c>
    </row>
    <row r="6221">
      <c r="A6221" t="inlineStr">
        <is>
          <t>7b4bdc3a82282ed018028c06f93de168</t>
        </is>
      </c>
      <c r="B6221" s="29" t="n">
        <v>43181</v>
      </c>
      <c r="C6221" t="inlineStr">
        <is>
          <t>2018-03</t>
        </is>
      </c>
      <c r="D6221" t="inlineStr">
        <is>
          <t>0a252e869424c89cf3608e07399b61f6</t>
        </is>
      </c>
      <c r="E6221" t="inlineStr">
        <is>
          <t>unknown</t>
        </is>
      </c>
      <c r="F6221">
        <f>IFERROR(MATCH(A6221,Deals!$A$2:$A$843,0),"")</f>
        <v/>
      </c>
      <c r="G6221">
        <f>IF(F6221="",0,1)</f>
        <v/>
      </c>
      <c r="H6221" s="29">
        <f>IF(F6221="","",INDEX(Deals!$E$2:$E$843,F6221))</f>
        <v/>
      </c>
      <c r="I6221">
        <f>IF(F6221="","",INDEX(Deals!$D$2:$D$843,F6221))</f>
        <v/>
      </c>
      <c r="J6221">
        <f>IF(F6221="","",INT(H6221)-B6221)</f>
        <v/>
      </c>
      <c r="K6221">
        <f>IF(B6221&gt;=Settings!$C$5,1,0)</f>
        <v/>
      </c>
    </row>
    <row r="6222">
      <c r="A6222" t="inlineStr">
        <is>
          <t>3855b2c59fa297321e09f9fb84704114</t>
        </is>
      </c>
      <c r="B6222" s="29" t="n">
        <v>43185</v>
      </c>
      <c r="C6222" t="inlineStr">
        <is>
          <t>2018-03</t>
        </is>
      </c>
      <c r="D6222" t="inlineStr">
        <is>
          <t>58326e62183c14b0c03085c33b9fdc44</t>
        </is>
      </c>
      <c r="E6222" t="inlineStr">
        <is>
          <t>social</t>
        </is>
      </c>
      <c r="F6222">
        <f>IFERROR(MATCH(A6222,Deals!$A$2:$A$843,0),"")</f>
        <v/>
      </c>
      <c r="G6222">
        <f>IF(F6222="",0,1)</f>
        <v/>
      </c>
      <c r="H6222" s="29">
        <f>IF(F6222="","",INDEX(Deals!$E$2:$E$843,F6222))</f>
        <v/>
      </c>
      <c r="I6222">
        <f>IF(F6222="","",INDEX(Deals!$D$2:$D$843,F6222))</f>
        <v/>
      </c>
      <c r="J6222">
        <f>IF(F6222="","",INT(H6222)-B6222)</f>
        <v/>
      </c>
      <c r="K6222">
        <f>IF(B6222&gt;=Settings!$C$5,1,0)</f>
        <v/>
      </c>
    </row>
    <row r="6223">
      <c r="A6223" t="inlineStr">
        <is>
          <t>ab002bd7abf55a71372511eeb199ecb6</t>
        </is>
      </c>
      <c r="B6223" s="29" t="n">
        <v>43194</v>
      </c>
      <c r="C6223" t="inlineStr">
        <is>
          <t>2018-04</t>
        </is>
      </c>
      <c r="D6223" t="inlineStr">
        <is>
          <t>b48ec5f3b04e9068441002a19df93c6c</t>
        </is>
      </c>
      <c r="E6223" t="inlineStr">
        <is>
          <t>organic_search</t>
        </is>
      </c>
      <c r="F6223">
        <f>IFERROR(MATCH(A6223,Deals!$A$2:$A$843,0),"")</f>
        <v/>
      </c>
      <c r="G6223">
        <f>IF(F6223="",0,1)</f>
        <v/>
      </c>
      <c r="H6223" s="29">
        <f>IF(F6223="","",INDEX(Deals!$E$2:$E$843,F6223))</f>
        <v/>
      </c>
      <c r="I6223">
        <f>IF(F6223="","",INDEX(Deals!$D$2:$D$843,F6223))</f>
        <v/>
      </c>
      <c r="J6223">
        <f>IF(F6223="","",INT(H6223)-B6223)</f>
        <v/>
      </c>
      <c r="K6223">
        <f>IF(B6223&gt;=Settings!$C$5,1,0)</f>
        <v/>
      </c>
    </row>
    <row r="6224">
      <c r="A6224" t="inlineStr">
        <is>
          <t>274717a0a7b3e03bd51ea93f16ba9ff0</t>
        </is>
      </c>
      <c r="B6224" s="29" t="n">
        <v>43095</v>
      </c>
      <c r="C6224" t="inlineStr">
        <is>
          <t>2017-12</t>
        </is>
      </c>
      <c r="D6224" t="inlineStr">
        <is>
          <t>40dec9f3d5259a3d2dbcdab2114fae47</t>
        </is>
      </c>
      <c r="E6224" t="inlineStr">
        <is>
          <t>paid_search</t>
        </is>
      </c>
      <c r="F6224">
        <f>IFERROR(MATCH(A6224,Deals!$A$2:$A$843,0),"")</f>
        <v/>
      </c>
      <c r="G6224">
        <f>IF(F6224="",0,1)</f>
        <v/>
      </c>
      <c r="H6224" s="29">
        <f>IF(F6224="","",INDEX(Deals!$E$2:$E$843,F6224))</f>
        <v/>
      </c>
      <c r="I6224">
        <f>IF(F6224="","",INDEX(Deals!$D$2:$D$843,F6224))</f>
        <v/>
      </c>
      <c r="J6224">
        <f>IF(F6224="","",INT(H6224)-B6224)</f>
        <v/>
      </c>
      <c r="K6224">
        <f>IF(B6224&gt;=Settings!$C$5,1,0)</f>
        <v/>
      </c>
    </row>
    <row r="6225">
      <c r="A6225" t="inlineStr">
        <is>
          <t>7486581e59125cd5f9359ed626dc21cd</t>
        </is>
      </c>
      <c r="B6225" s="29" t="n">
        <v>43039</v>
      </c>
      <c r="C6225" t="inlineStr">
        <is>
          <t>2017-10</t>
        </is>
      </c>
      <c r="D6225" t="inlineStr">
        <is>
          <t>c70eb6fb5bd6e939b0d5ef32f21f61e8</t>
        </is>
      </c>
      <c r="E6225" t="inlineStr">
        <is>
          <t>direct_traffic</t>
        </is>
      </c>
      <c r="F6225">
        <f>IFERROR(MATCH(A6225,Deals!$A$2:$A$843,0),"")</f>
        <v/>
      </c>
      <c r="G6225">
        <f>IF(F6225="",0,1)</f>
        <v/>
      </c>
      <c r="H6225" s="29">
        <f>IF(F6225="","",INDEX(Deals!$E$2:$E$843,F6225))</f>
        <v/>
      </c>
      <c r="I6225">
        <f>IF(F6225="","",INDEX(Deals!$D$2:$D$843,F6225))</f>
        <v/>
      </c>
      <c r="J6225">
        <f>IF(F6225="","",INT(H6225)-B6225)</f>
        <v/>
      </c>
      <c r="K6225">
        <f>IF(B6225&gt;=Settings!$C$5,1,0)</f>
        <v/>
      </c>
    </row>
    <row r="6226">
      <c r="A6226" t="inlineStr">
        <is>
          <t>5ae63033da972dabecced97e212f498b</t>
        </is>
      </c>
      <c r="B6226" s="29" t="n">
        <v>43096</v>
      </c>
      <c r="C6226" t="inlineStr">
        <is>
          <t>2017-12</t>
        </is>
      </c>
      <c r="D6226" t="inlineStr">
        <is>
          <t>e492ee5eaf1697716985cc6f33f9cd9b</t>
        </is>
      </c>
      <c r="E6226" t="inlineStr">
        <is>
          <t>email</t>
        </is>
      </c>
      <c r="F6226">
        <f>IFERROR(MATCH(A6226,Deals!$A$2:$A$843,0),"")</f>
        <v/>
      </c>
      <c r="G6226">
        <f>IF(F6226="",0,1)</f>
        <v/>
      </c>
      <c r="H6226" s="29">
        <f>IF(F6226="","",INDEX(Deals!$E$2:$E$843,F6226))</f>
        <v/>
      </c>
      <c r="I6226">
        <f>IF(F6226="","",INDEX(Deals!$D$2:$D$843,F6226))</f>
        <v/>
      </c>
      <c r="J6226">
        <f>IF(F6226="","",INT(H6226)-B6226)</f>
        <v/>
      </c>
      <c r="K6226">
        <f>IF(B6226&gt;=Settings!$C$5,1,0)</f>
        <v/>
      </c>
    </row>
    <row r="6227">
      <c r="A6227" t="inlineStr">
        <is>
          <t>31c702f51d04d3663c3c14d943fb0dc5</t>
        </is>
      </c>
      <c r="B6227" s="29" t="n">
        <v>43214</v>
      </c>
      <c r="C6227" t="inlineStr">
        <is>
          <t>2018-04</t>
        </is>
      </c>
      <c r="D6227" t="inlineStr">
        <is>
          <t>58326e62183c14b0c03085c33b9fdc44</t>
        </is>
      </c>
      <c r="E6227" t="inlineStr">
        <is>
          <t>social</t>
        </is>
      </c>
      <c r="F6227">
        <f>IFERROR(MATCH(A6227,Deals!$A$2:$A$843,0),"")</f>
        <v/>
      </c>
      <c r="G6227">
        <f>IF(F6227="",0,1)</f>
        <v/>
      </c>
      <c r="H6227" s="29">
        <f>IF(F6227="","",INDEX(Deals!$E$2:$E$843,F6227))</f>
        <v/>
      </c>
      <c r="I6227">
        <f>IF(F6227="","",INDEX(Deals!$D$2:$D$843,F6227))</f>
        <v/>
      </c>
      <c r="J6227">
        <f>IF(F6227="","",INT(H6227)-B6227)</f>
        <v/>
      </c>
      <c r="K6227">
        <f>IF(B6227&gt;=Settings!$C$5,1,0)</f>
        <v/>
      </c>
    </row>
    <row r="6228">
      <c r="A6228" t="inlineStr">
        <is>
          <t>ce625c9ab179898b1a9b3736df9bff79</t>
        </is>
      </c>
      <c r="B6228" s="29" t="n">
        <v>43145</v>
      </c>
      <c r="C6228" t="inlineStr">
        <is>
          <t>2018-02</t>
        </is>
      </c>
      <c r="D6228" t="inlineStr">
        <is>
          <t>40dec9f3d5259a3d2dbcdab2114fae47</t>
        </is>
      </c>
      <c r="E6228" t="inlineStr">
        <is>
          <t>paid_search</t>
        </is>
      </c>
      <c r="F6228">
        <f>IFERROR(MATCH(A6228,Deals!$A$2:$A$843,0),"")</f>
        <v/>
      </c>
      <c r="G6228">
        <f>IF(F6228="",0,1)</f>
        <v/>
      </c>
      <c r="H6228" s="29">
        <f>IF(F6228="","",INDEX(Deals!$E$2:$E$843,F6228))</f>
        <v/>
      </c>
      <c r="I6228">
        <f>IF(F6228="","",INDEX(Deals!$D$2:$D$843,F6228))</f>
        <v/>
      </c>
      <c r="J6228">
        <f>IF(F6228="","",INT(H6228)-B6228)</f>
        <v/>
      </c>
      <c r="K6228">
        <f>IF(B6228&gt;=Settings!$C$5,1,0)</f>
        <v/>
      </c>
    </row>
    <row r="6229">
      <c r="A6229" t="inlineStr">
        <is>
          <t>6af924ebe7eec2218f8d11d3dd582d04</t>
        </is>
      </c>
      <c r="B6229" s="29" t="n">
        <v>43216</v>
      </c>
      <c r="C6229" t="inlineStr">
        <is>
          <t>2018-04</t>
        </is>
      </c>
      <c r="D6229" t="inlineStr">
        <is>
          <t>d28554990d8c5273fedfde51f1f8a59d</t>
        </is>
      </c>
      <c r="E6229" t="inlineStr">
        <is>
          <t>paid_search</t>
        </is>
      </c>
      <c r="F6229">
        <f>IFERROR(MATCH(A6229,Deals!$A$2:$A$843,0),"")</f>
        <v/>
      </c>
      <c r="G6229">
        <f>IF(F6229="",0,1)</f>
        <v/>
      </c>
      <c r="H6229" s="29">
        <f>IF(F6229="","",INDEX(Deals!$E$2:$E$843,F6229))</f>
        <v/>
      </c>
      <c r="I6229">
        <f>IF(F6229="","",INDEX(Deals!$D$2:$D$843,F6229))</f>
        <v/>
      </c>
      <c r="J6229">
        <f>IF(F6229="","",INT(H6229)-B6229)</f>
        <v/>
      </c>
      <c r="K6229">
        <f>IF(B6229&gt;=Settings!$C$5,1,0)</f>
        <v/>
      </c>
    </row>
    <row r="6230">
      <c r="A6230" t="inlineStr">
        <is>
          <t>e4c60bf7a076969fc058178b44f2f054</t>
        </is>
      </c>
      <c r="B6230" s="29" t="n">
        <v>42937</v>
      </c>
      <c r="C6230" t="inlineStr">
        <is>
          <t>2017-07</t>
        </is>
      </c>
      <c r="D6230" t="inlineStr">
        <is>
          <t>5ce25abc7206b8285aa756867eb2c590</t>
        </is>
      </c>
      <c r="E6230" t="inlineStr">
        <is>
          <t>display</t>
        </is>
      </c>
      <c r="F6230">
        <f>IFERROR(MATCH(A6230,Deals!$A$2:$A$843,0),"")</f>
        <v/>
      </c>
      <c r="G6230">
        <f>IF(F6230="",0,1)</f>
        <v/>
      </c>
      <c r="H6230" s="29">
        <f>IF(F6230="","",INDEX(Deals!$E$2:$E$843,F6230))</f>
        <v/>
      </c>
      <c r="I6230">
        <f>IF(F6230="","",INDEX(Deals!$D$2:$D$843,F6230))</f>
        <v/>
      </c>
      <c r="J6230">
        <f>IF(F6230="","",INT(H6230)-B6230)</f>
        <v/>
      </c>
      <c r="K6230">
        <f>IF(B6230&gt;=Settings!$C$5,1,0)</f>
        <v/>
      </c>
    </row>
    <row r="6231">
      <c r="A6231" t="inlineStr">
        <is>
          <t>ab226bf7dc4eccb159825803a6726f3a</t>
        </is>
      </c>
      <c r="B6231" s="29" t="n">
        <v>43229</v>
      </c>
      <c r="C6231" t="inlineStr">
        <is>
          <t>2018-05</t>
        </is>
      </c>
      <c r="D6231" t="inlineStr">
        <is>
          <t>35c9b150ab36fe584c1f24fd458c453a</t>
        </is>
      </c>
      <c r="E6231" t="inlineStr">
        <is>
          <t>paid_search</t>
        </is>
      </c>
      <c r="F6231">
        <f>IFERROR(MATCH(A6231,Deals!$A$2:$A$843,0),"")</f>
        <v/>
      </c>
      <c r="G6231">
        <f>IF(F6231="",0,1)</f>
        <v/>
      </c>
      <c r="H6231" s="29">
        <f>IF(F6231="","",INDEX(Deals!$E$2:$E$843,F6231))</f>
        <v/>
      </c>
      <c r="I6231">
        <f>IF(F6231="","",INDEX(Deals!$D$2:$D$843,F6231))</f>
        <v/>
      </c>
      <c r="J6231">
        <f>IF(F6231="","",INT(H6231)-B6231)</f>
        <v/>
      </c>
      <c r="K6231">
        <f>IF(B6231&gt;=Settings!$C$5,1,0)</f>
        <v/>
      </c>
    </row>
    <row r="6232">
      <c r="A6232" t="inlineStr">
        <is>
          <t>d3cc657a4d53c20a3915b2ab9899ff53</t>
        </is>
      </c>
      <c r="B6232" s="29" t="n">
        <v>43192</v>
      </c>
      <c r="C6232" t="inlineStr">
        <is>
          <t>2018-04</t>
        </is>
      </c>
      <c r="D6232" t="inlineStr">
        <is>
          <t>649b7b8b46b254497e92038d88f6ced8</t>
        </is>
      </c>
      <c r="E6232" t="inlineStr">
        <is>
          <t>social</t>
        </is>
      </c>
      <c r="F6232">
        <f>IFERROR(MATCH(A6232,Deals!$A$2:$A$843,0),"")</f>
        <v/>
      </c>
      <c r="G6232">
        <f>IF(F6232="",0,1)</f>
        <v/>
      </c>
      <c r="H6232" s="29">
        <f>IF(F6232="","",INDEX(Deals!$E$2:$E$843,F6232))</f>
        <v/>
      </c>
      <c r="I6232">
        <f>IF(F6232="","",INDEX(Deals!$D$2:$D$843,F6232))</f>
        <v/>
      </c>
      <c r="J6232">
        <f>IF(F6232="","",INT(H6232)-B6232)</f>
        <v/>
      </c>
      <c r="K6232">
        <f>IF(B6232&gt;=Settings!$C$5,1,0)</f>
        <v/>
      </c>
    </row>
    <row r="6233">
      <c r="A6233" t="inlineStr">
        <is>
          <t>2e19155dc6fe707f02d4d3dc88508930</t>
        </is>
      </c>
      <c r="B6233" s="29" t="n">
        <v>43126</v>
      </c>
      <c r="C6233" t="inlineStr">
        <is>
          <t>2018-01</t>
        </is>
      </c>
      <c r="D6233" t="inlineStr">
        <is>
          <t>88740e65d5d6b056e0cda098e1ea6313</t>
        </is>
      </c>
      <c r="E6233" t="inlineStr">
        <is>
          <t>social</t>
        </is>
      </c>
      <c r="F6233">
        <f>IFERROR(MATCH(A6233,Deals!$A$2:$A$843,0),"")</f>
        <v/>
      </c>
      <c r="G6233">
        <f>IF(F6233="",0,1)</f>
        <v/>
      </c>
      <c r="H6233" s="29">
        <f>IF(F6233="","",INDEX(Deals!$E$2:$E$843,F6233))</f>
        <v/>
      </c>
      <c r="I6233">
        <f>IF(F6233="","",INDEX(Deals!$D$2:$D$843,F6233))</f>
        <v/>
      </c>
      <c r="J6233">
        <f>IF(F6233="","",INT(H6233)-B6233)</f>
        <v/>
      </c>
      <c r="K6233">
        <f>IF(B6233&gt;=Settings!$C$5,1,0)</f>
        <v/>
      </c>
    </row>
    <row r="6234">
      <c r="A6234" t="inlineStr">
        <is>
          <t>6b7dd1eef93a9c8a69c524492bc0cf56</t>
        </is>
      </c>
      <c r="B6234" s="29" t="n">
        <v>43175</v>
      </c>
      <c r="C6234" t="inlineStr">
        <is>
          <t>2018-03</t>
        </is>
      </c>
      <c r="D6234" t="inlineStr">
        <is>
          <t>0218f6be0b76aca72ab4d00ee9e8cf10</t>
        </is>
      </c>
      <c r="E6234" t="inlineStr">
        <is>
          <t>paid_search</t>
        </is>
      </c>
      <c r="F6234">
        <f>IFERROR(MATCH(A6234,Deals!$A$2:$A$843,0),"")</f>
        <v/>
      </c>
      <c r="G6234">
        <f>IF(F6234="",0,1)</f>
        <v/>
      </c>
      <c r="H6234" s="29">
        <f>IF(F6234="","",INDEX(Deals!$E$2:$E$843,F6234))</f>
        <v/>
      </c>
      <c r="I6234">
        <f>IF(F6234="","",INDEX(Deals!$D$2:$D$843,F6234))</f>
        <v/>
      </c>
      <c r="J6234">
        <f>IF(F6234="","",INT(H6234)-B6234)</f>
        <v/>
      </c>
      <c r="K6234">
        <f>IF(B6234&gt;=Settings!$C$5,1,0)</f>
        <v/>
      </c>
    </row>
    <row r="6235">
      <c r="A6235" t="inlineStr">
        <is>
          <t>3e79c62a8c156c71bc7d1ff24609d223</t>
        </is>
      </c>
      <c r="B6235" s="29" t="n">
        <v>43166</v>
      </c>
      <c r="C6235" t="inlineStr">
        <is>
          <t>2018-03</t>
        </is>
      </c>
      <c r="D6235" t="inlineStr">
        <is>
          <t>241f79c7a8fe0270f4fb79fcbbcd17ad</t>
        </is>
      </c>
      <c r="E6235" t="inlineStr">
        <is>
          <t>organic_search</t>
        </is>
      </c>
      <c r="F6235">
        <f>IFERROR(MATCH(A6235,Deals!$A$2:$A$843,0),"")</f>
        <v/>
      </c>
      <c r="G6235">
        <f>IF(F6235="",0,1)</f>
        <v/>
      </c>
      <c r="H6235" s="29">
        <f>IF(F6235="","",INDEX(Deals!$E$2:$E$843,F6235))</f>
        <v/>
      </c>
      <c r="I6235">
        <f>IF(F6235="","",INDEX(Deals!$D$2:$D$843,F6235))</f>
        <v/>
      </c>
      <c r="J6235">
        <f>IF(F6235="","",INT(H6235)-B6235)</f>
        <v/>
      </c>
      <c r="K6235">
        <f>IF(B6235&gt;=Settings!$C$5,1,0)</f>
        <v/>
      </c>
    </row>
    <row r="6236">
      <c r="A6236" t="inlineStr">
        <is>
          <t>53c5a211f3c872c044a40db449c13006</t>
        </is>
      </c>
      <c r="B6236" s="29" t="n">
        <v>43234</v>
      </c>
      <c r="C6236" t="inlineStr">
        <is>
          <t>2018-05</t>
        </is>
      </c>
      <c r="D6236" t="inlineStr">
        <is>
          <t>b76ef37428e6799c421989521c0e5077</t>
        </is>
      </c>
      <c r="E6236" t="inlineStr">
        <is>
          <t>unknown</t>
        </is>
      </c>
      <c r="F6236">
        <f>IFERROR(MATCH(A6236,Deals!$A$2:$A$843,0),"")</f>
        <v/>
      </c>
      <c r="G6236">
        <f>IF(F6236="",0,1)</f>
        <v/>
      </c>
      <c r="H6236" s="29">
        <f>IF(F6236="","",INDEX(Deals!$E$2:$E$843,F6236))</f>
        <v/>
      </c>
      <c r="I6236">
        <f>IF(F6236="","",INDEX(Deals!$D$2:$D$843,F6236))</f>
        <v/>
      </c>
      <c r="J6236">
        <f>IF(F6236="","",INT(H6236)-B6236)</f>
        <v/>
      </c>
      <c r="K6236">
        <f>IF(B6236&gt;=Settings!$C$5,1,0)</f>
        <v/>
      </c>
    </row>
    <row r="6237">
      <c r="A6237" t="inlineStr">
        <is>
          <t>6c808494fdd77fd448444c34a941957f</t>
        </is>
      </c>
      <c r="B6237" s="29" t="n">
        <v>43119</v>
      </c>
      <c r="C6237" t="inlineStr">
        <is>
          <t>2018-01</t>
        </is>
      </c>
      <c r="D6237" t="inlineStr">
        <is>
          <t>22c29808c4f815213303f8933030604c</t>
        </is>
      </c>
      <c r="E6237" t="inlineStr">
        <is>
          <t>paid_search</t>
        </is>
      </c>
      <c r="F6237">
        <f>IFERROR(MATCH(A6237,Deals!$A$2:$A$843,0),"")</f>
        <v/>
      </c>
      <c r="G6237">
        <f>IF(F6237="",0,1)</f>
        <v/>
      </c>
      <c r="H6237" s="29">
        <f>IF(F6237="","",INDEX(Deals!$E$2:$E$843,F6237))</f>
        <v/>
      </c>
      <c r="I6237">
        <f>IF(F6237="","",INDEX(Deals!$D$2:$D$843,F6237))</f>
        <v/>
      </c>
      <c r="J6237">
        <f>IF(F6237="","",INT(H6237)-B6237)</f>
        <v/>
      </c>
      <c r="K6237">
        <f>IF(B6237&gt;=Settings!$C$5,1,0)</f>
        <v/>
      </c>
    </row>
    <row r="6238">
      <c r="A6238" t="inlineStr">
        <is>
          <t>b5a223831a6480f68ee075531fe18d91</t>
        </is>
      </c>
      <c r="B6238" s="29" t="n">
        <v>43138</v>
      </c>
      <c r="C6238" t="inlineStr">
        <is>
          <t>2018-02</t>
        </is>
      </c>
      <c r="D6238" t="inlineStr">
        <is>
          <t>fbc24da54d531c6204ae2d17b1090bb1</t>
        </is>
      </c>
      <c r="E6238" t="inlineStr">
        <is>
          <t>paid_search</t>
        </is>
      </c>
      <c r="F6238">
        <f>IFERROR(MATCH(A6238,Deals!$A$2:$A$843,0),"")</f>
        <v/>
      </c>
      <c r="G6238">
        <f>IF(F6238="",0,1)</f>
        <v/>
      </c>
      <c r="H6238" s="29">
        <f>IF(F6238="","",INDEX(Deals!$E$2:$E$843,F6238))</f>
        <v/>
      </c>
      <c r="I6238">
        <f>IF(F6238="","",INDEX(Deals!$D$2:$D$843,F6238))</f>
        <v/>
      </c>
      <c r="J6238">
        <f>IF(F6238="","",INT(H6238)-B6238)</f>
        <v/>
      </c>
      <c r="K6238">
        <f>IF(B6238&gt;=Settings!$C$5,1,0)</f>
        <v/>
      </c>
    </row>
    <row r="6239">
      <c r="A6239" t="inlineStr">
        <is>
          <t>d61d1b751765ab7039a9c40cea1bd6de</t>
        </is>
      </c>
      <c r="B6239" s="29" t="n">
        <v>43009</v>
      </c>
      <c r="C6239" t="inlineStr">
        <is>
          <t>2017-10</t>
        </is>
      </c>
      <c r="D6239" t="inlineStr">
        <is>
          <t>22c29808c4f815213303f8933030604c</t>
        </is>
      </c>
      <c r="E6239" t="inlineStr">
        <is>
          <t>organic_search</t>
        </is>
      </c>
      <c r="F6239">
        <f>IFERROR(MATCH(A6239,Deals!$A$2:$A$843,0),"")</f>
        <v/>
      </c>
      <c r="G6239">
        <f>IF(F6239="",0,1)</f>
        <v/>
      </c>
      <c r="H6239" s="29">
        <f>IF(F6239="","",INDEX(Deals!$E$2:$E$843,F6239))</f>
        <v/>
      </c>
      <c r="I6239">
        <f>IF(F6239="","",INDEX(Deals!$D$2:$D$843,F6239))</f>
        <v/>
      </c>
      <c r="J6239">
        <f>IF(F6239="","",INT(H6239)-B6239)</f>
        <v/>
      </c>
      <c r="K6239">
        <f>IF(B6239&gt;=Settings!$C$5,1,0)</f>
        <v/>
      </c>
    </row>
    <row r="6240">
      <c r="A6240" t="inlineStr">
        <is>
          <t>f615f73c15958c1b072e4dafcac7c38b</t>
        </is>
      </c>
      <c r="B6240" s="29" t="n">
        <v>43194</v>
      </c>
      <c r="C6240" t="inlineStr">
        <is>
          <t>2018-04</t>
        </is>
      </c>
      <c r="D6240" t="inlineStr">
        <is>
          <t>6d3026b7dff03974a1e250d610ab8b36</t>
        </is>
      </c>
      <c r="E6240" t="inlineStr">
        <is>
          <t>organic_search</t>
        </is>
      </c>
      <c r="F6240">
        <f>IFERROR(MATCH(A6240,Deals!$A$2:$A$843,0),"")</f>
        <v/>
      </c>
      <c r="G6240">
        <f>IF(F6240="",0,1)</f>
        <v/>
      </c>
      <c r="H6240" s="29">
        <f>IF(F6240="","",INDEX(Deals!$E$2:$E$843,F6240))</f>
        <v/>
      </c>
      <c r="I6240">
        <f>IF(F6240="","",INDEX(Deals!$D$2:$D$843,F6240))</f>
        <v/>
      </c>
      <c r="J6240">
        <f>IF(F6240="","",INT(H6240)-B6240)</f>
        <v/>
      </c>
      <c r="K6240">
        <f>IF(B6240&gt;=Settings!$C$5,1,0)</f>
        <v/>
      </c>
    </row>
    <row r="6241">
      <c r="A6241" t="inlineStr">
        <is>
          <t>b66db79f2f2507f17b72e103e6e02beb</t>
        </is>
      </c>
      <c r="B6241" s="29" t="n">
        <v>43026</v>
      </c>
      <c r="C6241" t="inlineStr">
        <is>
          <t>2017-10</t>
        </is>
      </c>
      <c r="D6241" t="inlineStr">
        <is>
          <t>22c29808c4f815213303f8933030604c</t>
        </is>
      </c>
      <c r="E6241" t="inlineStr">
        <is>
          <t>social</t>
        </is>
      </c>
      <c r="F6241">
        <f>IFERROR(MATCH(A6241,Deals!$A$2:$A$843,0),"")</f>
        <v/>
      </c>
      <c r="G6241">
        <f>IF(F6241="",0,1)</f>
        <v/>
      </c>
      <c r="H6241" s="29">
        <f>IF(F6241="","",INDEX(Deals!$E$2:$E$843,F6241))</f>
        <v/>
      </c>
      <c r="I6241">
        <f>IF(F6241="","",INDEX(Deals!$D$2:$D$843,F6241))</f>
        <v/>
      </c>
      <c r="J6241">
        <f>IF(F6241="","",INT(H6241)-B6241)</f>
        <v/>
      </c>
      <c r="K6241">
        <f>IF(B6241&gt;=Settings!$C$5,1,0)</f>
        <v/>
      </c>
    </row>
    <row r="6242">
      <c r="A6242" t="inlineStr">
        <is>
          <t>e3c216d521607da146fa23d65cfcc6b6</t>
        </is>
      </c>
      <c r="B6242" s="29" t="n">
        <v>43181</v>
      </c>
      <c r="C6242" t="inlineStr">
        <is>
          <t>2018-03</t>
        </is>
      </c>
      <c r="D6242" t="inlineStr">
        <is>
          <t>27cd3540bace1f4a4b2bc6d319b0553c</t>
        </is>
      </c>
      <c r="E6242" t="inlineStr">
        <is>
          <t>paid_search</t>
        </is>
      </c>
      <c r="F6242">
        <f>IFERROR(MATCH(A6242,Deals!$A$2:$A$843,0),"")</f>
        <v/>
      </c>
      <c r="G6242">
        <f>IF(F6242="",0,1)</f>
        <v/>
      </c>
      <c r="H6242" s="29">
        <f>IF(F6242="","",INDEX(Deals!$E$2:$E$843,F6242))</f>
        <v/>
      </c>
      <c r="I6242">
        <f>IF(F6242="","",INDEX(Deals!$D$2:$D$843,F6242))</f>
        <v/>
      </c>
      <c r="J6242">
        <f>IF(F6242="","",INT(H6242)-B6242)</f>
        <v/>
      </c>
      <c r="K6242">
        <f>IF(B6242&gt;=Settings!$C$5,1,0)</f>
        <v/>
      </c>
    </row>
    <row r="6243">
      <c r="A6243" t="inlineStr">
        <is>
          <t>5ed6cee74a45ce283c9520c578979754</t>
        </is>
      </c>
      <c r="B6243" s="29" t="n">
        <v>43105</v>
      </c>
      <c r="C6243" t="inlineStr">
        <is>
          <t>2018-01</t>
        </is>
      </c>
      <c r="D6243" t="inlineStr">
        <is>
          <t>dcb589befb0d245279c49c137d0afbb9</t>
        </is>
      </c>
      <c r="E6243" t="inlineStr">
        <is>
          <t>organic_search</t>
        </is>
      </c>
      <c r="F6243">
        <f>IFERROR(MATCH(A6243,Deals!$A$2:$A$843,0),"")</f>
        <v/>
      </c>
      <c r="G6243">
        <f>IF(F6243="",0,1)</f>
        <v/>
      </c>
      <c r="H6243" s="29">
        <f>IF(F6243="","",INDEX(Deals!$E$2:$E$843,F6243))</f>
        <v/>
      </c>
      <c r="I6243">
        <f>IF(F6243="","",INDEX(Deals!$D$2:$D$843,F6243))</f>
        <v/>
      </c>
      <c r="J6243">
        <f>IF(F6243="","",INT(H6243)-B6243)</f>
        <v/>
      </c>
      <c r="K6243">
        <f>IF(B6243&gt;=Settings!$C$5,1,0)</f>
        <v/>
      </c>
    </row>
    <row r="6244">
      <c r="A6244" t="inlineStr">
        <is>
          <t>af8f57de2e5181debd1b2fcc14790719</t>
        </is>
      </c>
      <c r="B6244" s="29" t="n">
        <v>43138</v>
      </c>
      <c r="C6244" t="inlineStr">
        <is>
          <t>2018-02</t>
        </is>
      </c>
      <c r="D6244" t="inlineStr">
        <is>
          <t>dfc3b656bac13de62e4efca322b3f2c1</t>
        </is>
      </c>
      <c r="E6244" t="inlineStr">
        <is>
          <t>email</t>
        </is>
      </c>
      <c r="F6244">
        <f>IFERROR(MATCH(A6244,Deals!$A$2:$A$843,0),"")</f>
        <v/>
      </c>
      <c r="G6244">
        <f>IF(F6244="",0,1)</f>
        <v/>
      </c>
      <c r="H6244" s="29">
        <f>IF(F6244="","",INDEX(Deals!$E$2:$E$843,F6244))</f>
        <v/>
      </c>
      <c r="I6244">
        <f>IF(F6244="","",INDEX(Deals!$D$2:$D$843,F6244))</f>
        <v/>
      </c>
      <c r="J6244">
        <f>IF(F6244="","",INT(H6244)-B6244)</f>
        <v/>
      </c>
      <c r="K6244">
        <f>IF(B6244&gt;=Settings!$C$5,1,0)</f>
        <v/>
      </c>
    </row>
    <row r="6245">
      <c r="A6245" t="inlineStr">
        <is>
          <t>fb34f2e3ddb6d7356239266f0280a021</t>
        </is>
      </c>
      <c r="B6245" s="29" t="n">
        <v>43224</v>
      </c>
      <c r="C6245" t="inlineStr">
        <is>
          <t>2018-05</t>
        </is>
      </c>
      <c r="D6245" t="inlineStr">
        <is>
          <t>30534107aa0013db92899c96a1017d0b</t>
        </is>
      </c>
      <c r="E6245" t="inlineStr">
        <is>
          <t>social</t>
        </is>
      </c>
      <c r="F6245">
        <f>IFERROR(MATCH(A6245,Deals!$A$2:$A$843,0),"")</f>
        <v/>
      </c>
      <c r="G6245">
        <f>IF(F6245="",0,1)</f>
        <v/>
      </c>
      <c r="H6245" s="29">
        <f>IF(F6245="","",INDEX(Deals!$E$2:$E$843,F6245))</f>
        <v/>
      </c>
      <c r="I6245">
        <f>IF(F6245="","",INDEX(Deals!$D$2:$D$843,F6245))</f>
        <v/>
      </c>
      <c r="J6245">
        <f>IF(F6245="","",INT(H6245)-B6245)</f>
        <v/>
      </c>
      <c r="K6245">
        <f>IF(B6245&gt;=Settings!$C$5,1,0)</f>
        <v/>
      </c>
    </row>
    <row r="6246">
      <c r="A6246" t="inlineStr">
        <is>
          <t>0870efc24a9c3073a12ba0e9b94624f8</t>
        </is>
      </c>
      <c r="B6246" s="29" t="n">
        <v>43136</v>
      </c>
      <c r="C6246" t="inlineStr">
        <is>
          <t>2018-02</t>
        </is>
      </c>
      <c r="D6246" t="inlineStr">
        <is>
          <t>dfc3b656bac13de62e4efca322b3f2c1</t>
        </is>
      </c>
      <c r="E6246" t="inlineStr">
        <is>
          <t>display</t>
        </is>
      </c>
      <c r="F6246">
        <f>IFERROR(MATCH(A6246,Deals!$A$2:$A$843,0),"")</f>
        <v/>
      </c>
      <c r="G6246">
        <f>IF(F6246="",0,1)</f>
        <v/>
      </c>
      <c r="H6246" s="29">
        <f>IF(F6246="","",INDEX(Deals!$E$2:$E$843,F6246))</f>
        <v/>
      </c>
      <c r="I6246">
        <f>IF(F6246="","",INDEX(Deals!$D$2:$D$843,F6246))</f>
        <v/>
      </c>
      <c r="J6246">
        <f>IF(F6246="","",INT(H6246)-B6246)</f>
        <v/>
      </c>
      <c r="K6246">
        <f>IF(B6246&gt;=Settings!$C$5,1,0)</f>
        <v/>
      </c>
    </row>
    <row r="6247">
      <c r="A6247" t="inlineStr">
        <is>
          <t>1088cfbd540321e61be04e54d0502a70</t>
        </is>
      </c>
      <c r="B6247" s="29" t="n">
        <v>43178</v>
      </c>
      <c r="C6247" t="inlineStr">
        <is>
          <t>2018-03</t>
        </is>
      </c>
      <c r="D6247" t="inlineStr">
        <is>
          <t>b6885f18d203a61176418c1fb3764815</t>
        </is>
      </c>
      <c r="E6247" t="inlineStr">
        <is>
          <t>paid_search</t>
        </is>
      </c>
      <c r="F6247">
        <f>IFERROR(MATCH(A6247,Deals!$A$2:$A$843,0),"")</f>
        <v/>
      </c>
      <c r="G6247">
        <f>IF(F6247="",0,1)</f>
        <v/>
      </c>
      <c r="H6247" s="29">
        <f>IF(F6247="","",INDEX(Deals!$E$2:$E$843,F6247))</f>
        <v/>
      </c>
      <c r="I6247">
        <f>IF(F6247="","",INDEX(Deals!$D$2:$D$843,F6247))</f>
        <v/>
      </c>
      <c r="J6247">
        <f>IF(F6247="","",INT(H6247)-B6247)</f>
        <v/>
      </c>
      <c r="K6247">
        <f>IF(B6247&gt;=Settings!$C$5,1,0)</f>
        <v/>
      </c>
    </row>
    <row r="6248">
      <c r="A6248" t="inlineStr">
        <is>
          <t>d78e4f87a5a597a1c8f2663af303e65b</t>
        </is>
      </c>
      <c r="B6248" s="29" t="n">
        <v>43248</v>
      </c>
      <c r="C6248" t="inlineStr">
        <is>
          <t>2018-05</t>
        </is>
      </c>
      <c r="D6248" t="inlineStr">
        <is>
          <t>b76ef37428e6799c421989521c0e5077</t>
        </is>
      </c>
      <c r="E6248" t="inlineStr">
        <is>
          <t>unknown</t>
        </is>
      </c>
      <c r="F6248">
        <f>IFERROR(MATCH(A6248,Deals!$A$2:$A$843,0),"")</f>
        <v/>
      </c>
      <c r="G6248">
        <f>IF(F6248="",0,1)</f>
        <v/>
      </c>
      <c r="H6248" s="29">
        <f>IF(F6248="","",INDEX(Deals!$E$2:$E$843,F6248))</f>
        <v/>
      </c>
      <c r="I6248">
        <f>IF(F6248="","",INDEX(Deals!$D$2:$D$843,F6248))</f>
        <v/>
      </c>
      <c r="J6248">
        <f>IF(F6248="","",INT(H6248)-B6248)</f>
        <v/>
      </c>
      <c r="K6248">
        <f>IF(B6248&gt;=Settings!$C$5,1,0)</f>
        <v/>
      </c>
    </row>
    <row r="6249">
      <c r="A6249" t="inlineStr">
        <is>
          <t>40ead786a8ec589d3d7b15a8552199ad</t>
        </is>
      </c>
      <c r="B6249" s="29" t="n">
        <v>43157</v>
      </c>
      <c r="C6249" t="inlineStr">
        <is>
          <t>2018-02</t>
        </is>
      </c>
      <c r="D6249" t="inlineStr">
        <is>
          <t>27cd3540bace1f4a4b2bc6d319b0553c</t>
        </is>
      </c>
      <c r="E6249" t="inlineStr">
        <is>
          <t>organic_search</t>
        </is>
      </c>
      <c r="F6249">
        <f>IFERROR(MATCH(A6249,Deals!$A$2:$A$843,0),"")</f>
        <v/>
      </c>
      <c r="G6249">
        <f>IF(F6249="",0,1)</f>
        <v/>
      </c>
      <c r="H6249" s="29">
        <f>IF(F6249="","",INDEX(Deals!$E$2:$E$843,F6249))</f>
        <v/>
      </c>
      <c r="I6249">
        <f>IF(F6249="","",INDEX(Deals!$D$2:$D$843,F6249))</f>
        <v/>
      </c>
      <c r="J6249">
        <f>IF(F6249="","",INT(H6249)-B6249)</f>
        <v/>
      </c>
      <c r="K6249">
        <f>IF(B6249&gt;=Settings!$C$5,1,0)</f>
        <v/>
      </c>
    </row>
    <row r="6250">
      <c r="A6250" t="inlineStr">
        <is>
          <t>f487c050e3c1f3c31f85b9f818ccc0c2</t>
        </is>
      </c>
      <c r="B6250" s="29" t="n">
        <v>43188</v>
      </c>
      <c r="C6250" t="inlineStr">
        <is>
          <t>2018-03</t>
        </is>
      </c>
      <c r="D6250" t="inlineStr">
        <is>
          <t>73fec6021437e723ff5adae8dff89e23</t>
        </is>
      </c>
      <c r="E6250" t="inlineStr">
        <is>
          <t>social</t>
        </is>
      </c>
      <c r="F6250">
        <f>IFERROR(MATCH(A6250,Deals!$A$2:$A$843,0),"")</f>
        <v/>
      </c>
      <c r="G6250">
        <f>IF(F6250="",0,1)</f>
        <v/>
      </c>
      <c r="H6250" s="29">
        <f>IF(F6250="","",INDEX(Deals!$E$2:$E$843,F6250))</f>
        <v/>
      </c>
      <c r="I6250">
        <f>IF(F6250="","",INDEX(Deals!$D$2:$D$843,F6250))</f>
        <v/>
      </c>
      <c r="J6250">
        <f>IF(F6250="","",INT(H6250)-B6250)</f>
        <v/>
      </c>
      <c r="K6250">
        <f>IF(B6250&gt;=Settings!$C$5,1,0)</f>
        <v/>
      </c>
    </row>
    <row r="6251">
      <c r="A6251" t="inlineStr">
        <is>
          <t>50a039e881bb157121e9ea9afea996c5</t>
        </is>
      </c>
      <c r="B6251" s="29" t="n">
        <v>43129</v>
      </c>
      <c r="C6251" t="inlineStr">
        <is>
          <t>2018-01</t>
        </is>
      </c>
      <c r="D6251" t="inlineStr">
        <is>
          <t>bddebc4f4d44106c427bd00695840e64</t>
        </is>
      </c>
      <c r="E6251" t="inlineStr">
        <is>
          <t>paid_search</t>
        </is>
      </c>
      <c r="F6251">
        <f>IFERROR(MATCH(A6251,Deals!$A$2:$A$843,0),"")</f>
        <v/>
      </c>
      <c r="G6251">
        <f>IF(F6251="",0,1)</f>
        <v/>
      </c>
      <c r="H6251" s="29">
        <f>IF(F6251="","",INDEX(Deals!$E$2:$E$843,F6251))</f>
        <v/>
      </c>
      <c r="I6251">
        <f>IF(F6251="","",INDEX(Deals!$D$2:$D$843,F6251))</f>
        <v/>
      </c>
      <c r="J6251">
        <f>IF(F6251="","",INT(H6251)-B6251)</f>
        <v/>
      </c>
      <c r="K6251">
        <f>IF(B6251&gt;=Settings!$C$5,1,0)</f>
        <v/>
      </c>
    </row>
    <row r="6252">
      <c r="A6252" t="inlineStr">
        <is>
          <t>ab7bb75d487697611bc69184adcc2e79</t>
        </is>
      </c>
      <c r="B6252" s="29" t="n">
        <v>43179</v>
      </c>
      <c r="C6252" t="inlineStr">
        <is>
          <t>2018-03</t>
        </is>
      </c>
      <c r="D6252" t="inlineStr">
        <is>
          <t>dcdbbb0bb43f5c9ea457a8363db87e73</t>
        </is>
      </c>
      <c r="E6252" t="inlineStr">
        <is>
          <t>email</t>
        </is>
      </c>
      <c r="F6252">
        <f>IFERROR(MATCH(A6252,Deals!$A$2:$A$843,0),"")</f>
        <v/>
      </c>
      <c r="G6252">
        <f>IF(F6252="",0,1)</f>
        <v/>
      </c>
      <c r="H6252" s="29">
        <f>IF(F6252="","",INDEX(Deals!$E$2:$E$843,F6252))</f>
        <v/>
      </c>
      <c r="I6252">
        <f>IF(F6252="","",INDEX(Deals!$D$2:$D$843,F6252))</f>
        <v/>
      </c>
      <c r="J6252">
        <f>IF(F6252="","",INT(H6252)-B6252)</f>
        <v/>
      </c>
      <c r="K6252">
        <f>IF(B6252&gt;=Settings!$C$5,1,0)</f>
        <v/>
      </c>
    </row>
    <row r="6253">
      <c r="A6253" t="inlineStr">
        <is>
          <t>6a539b31d65a801da9851d71f286d69a</t>
        </is>
      </c>
      <c r="B6253" s="29" t="n">
        <v>43040</v>
      </c>
      <c r="C6253" t="inlineStr">
        <is>
          <t>2017-11</t>
        </is>
      </c>
      <c r="D6253" t="inlineStr">
        <is>
          <t>1722481ac9e5371e5099dea226b5421d</t>
        </is>
      </c>
      <c r="E6253" t="inlineStr">
        <is>
          <t>paid_search</t>
        </is>
      </c>
      <c r="F6253">
        <f>IFERROR(MATCH(A6253,Deals!$A$2:$A$843,0),"")</f>
        <v/>
      </c>
      <c r="G6253">
        <f>IF(F6253="",0,1)</f>
        <v/>
      </c>
      <c r="H6253" s="29">
        <f>IF(F6253="","",INDEX(Deals!$E$2:$E$843,F6253))</f>
        <v/>
      </c>
      <c r="I6253">
        <f>IF(F6253="","",INDEX(Deals!$D$2:$D$843,F6253))</f>
        <v/>
      </c>
      <c r="J6253">
        <f>IF(F6253="","",INT(H6253)-B6253)</f>
        <v/>
      </c>
      <c r="K6253">
        <f>IF(B6253&gt;=Settings!$C$5,1,0)</f>
        <v/>
      </c>
    </row>
    <row r="6254">
      <c r="A6254" t="inlineStr">
        <is>
          <t>b79850c1310417e3ce582e3d303dad98</t>
        </is>
      </c>
      <c r="B6254" s="29" t="n">
        <v>43240</v>
      </c>
      <c r="C6254" t="inlineStr">
        <is>
          <t>2018-05</t>
        </is>
      </c>
      <c r="D6254" t="inlineStr">
        <is>
          <t>f017be4dbf86243af5c1ebed0cff36a2</t>
        </is>
      </c>
      <c r="E6254" t="inlineStr">
        <is>
          <t>social</t>
        </is>
      </c>
      <c r="F6254">
        <f>IFERROR(MATCH(A6254,Deals!$A$2:$A$843,0),"")</f>
        <v/>
      </c>
      <c r="G6254">
        <f>IF(F6254="",0,1)</f>
        <v/>
      </c>
      <c r="H6254" s="29">
        <f>IF(F6254="","",INDEX(Deals!$E$2:$E$843,F6254))</f>
        <v/>
      </c>
      <c r="I6254">
        <f>IF(F6254="","",INDEX(Deals!$D$2:$D$843,F6254))</f>
        <v/>
      </c>
      <c r="J6254">
        <f>IF(F6254="","",INT(H6254)-B6254)</f>
        <v/>
      </c>
      <c r="K6254">
        <f>IF(B6254&gt;=Settings!$C$5,1,0)</f>
        <v/>
      </c>
    </row>
    <row r="6255">
      <c r="A6255" t="inlineStr">
        <is>
          <t>ff3e7e5ca2f0e0d94bff1aabf7ed6ff3</t>
        </is>
      </c>
      <c r="B6255" s="29" t="n">
        <v>43173</v>
      </c>
      <c r="C6255" t="inlineStr">
        <is>
          <t>2018-03</t>
        </is>
      </c>
      <c r="D6255" t="inlineStr">
        <is>
          <t>e9e396caabf546e0ff4f747b47538192</t>
        </is>
      </c>
      <c r="E6255" t="inlineStr">
        <is>
          <t>unknown</t>
        </is>
      </c>
      <c r="F6255">
        <f>IFERROR(MATCH(A6255,Deals!$A$2:$A$843,0),"")</f>
        <v/>
      </c>
      <c r="G6255">
        <f>IF(F6255="",0,1)</f>
        <v/>
      </c>
      <c r="H6255" s="29">
        <f>IF(F6255="","",INDEX(Deals!$E$2:$E$843,F6255))</f>
        <v/>
      </c>
      <c r="I6255">
        <f>IF(F6255="","",INDEX(Deals!$D$2:$D$843,F6255))</f>
        <v/>
      </c>
      <c r="J6255">
        <f>IF(F6255="","",INT(H6255)-B6255)</f>
        <v/>
      </c>
      <c r="K6255">
        <f>IF(B6255&gt;=Settings!$C$5,1,0)</f>
        <v/>
      </c>
    </row>
    <row r="6256">
      <c r="A6256" t="inlineStr">
        <is>
          <t>2da3df196ff25fa5183cddba80a6df9b</t>
        </is>
      </c>
      <c r="B6256" s="29" t="n">
        <v>43242</v>
      </c>
      <c r="C6256" t="inlineStr">
        <is>
          <t>2018-05</t>
        </is>
      </c>
      <c r="D6256" t="inlineStr">
        <is>
          <t>58326e62183c14b0c03085c33b9fdc44</t>
        </is>
      </c>
      <c r="E6256" t="inlineStr">
        <is>
          <t>social</t>
        </is>
      </c>
      <c r="F6256">
        <f>IFERROR(MATCH(A6256,Deals!$A$2:$A$843,0),"")</f>
        <v/>
      </c>
      <c r="G6256">
        <f>IF(F6256="",0,1)</f>
        <v/>
      </c>
      <c r="H6256" s="29">
        <f>IF(F6256="","",INDEX(Deals!$E$2:$E$843,F6256))</f>
        <v/>
      </c>
      <c r="I6256">
        <f>IF(F6256="","",INDEX(Deals!$D$2:$D$843,F6256))</f>
        <v/>
      </c>
      <c r="J6256">
        <f>IF(F6256="","",INT(H6256)-B6256)</f>
        <v/>
      </c>
      <c r="K6256">
        <f>IF(B6256&gt;=Settings!$C$5,1,0)</f>
        <v/>
      </c>
    </row>
    <row r="6257">
      <c r="A6257" t="inlineStr">
        <is>
          <t>6a16ba9f18f8c2a7daa2b4af4c814979</t>
        </is>
      </c>
      <c r="B6257" s="29" t="n">
        <v>43176</v>
      </c>
      <c r="C6257" t="inlineStr">
        <is>
          <t>2018-03</t>
        </is>
      </c>
      <c r="D6257" t="inlineStr">
        <is>
          <t>d83b0d0e48c8447d1d5507a44027a955</t>
        </is>
      </c>
      <c r="E6257" t="inlineStr">
        <is>
          <t>organic_search</t>
        </is>
      </c>
      <c r="F6257">
        <f>IFERROR(MATCH(A6257,Deals!$A$2:$A$843,0),"")</f>
        <v/>
      </c>
      <c r="G6257">
        <f>IF(F6257="",0,1)</f>
        <v/>
      </c>
      <c r="H6257" s="29">
        <f>IF(F6257="","",INDEX(Deals!$E$2:$E$843,F6257))</f>
        <v/>
      </c>
      <c r="I6257">
        <f>IF(F6257="","",INDEX(Deals!$D$2:$D$843,F6257))</f>
        <v/>
      </c>
      <c r="J6257">
        <f>IF(F6257="","",INT(H6257)-B6257)</f>
        <v/>
      </c>
      <c r="K6257">
        <f>IF(B6257&gt;=Settings!$C$5,1,0)</f>
        <v/>
      </c>
    </row>
    <row r="6258">
      <c r="A6258" t="inlineStr">
        <is>
          <t>73061a40eff11e675791547fb8d719bb</t>
        </is>
      </c>
      <c r="B6258" s="29" t="n">
        <v>43168</v>
      </c>
      <c r="C6258" t="inlineStr">
        <is>
          <t>2018-03</t>
        </is>
      </c>
      <c r="D6258" t="inlineStr">
        <is>
          <t>9c19bf493fb017f18387b466e26d6c5d</t>
        </is>
      </c>
      <c r="E6258" t="inlineStr">
        <is>
          <t>unknown</t>
        </is>
      </c>
      <c r="F6258">
        <f>IFERROR(MATCH(A6258,Deals!$A$2:$A$843,0),"")</f>
        <v/>
      </c>
      <c r="G6258">
        <f>IF(F6258="",0,1)</f>
        <v/>
      </c>
      <c r="H6258" s="29">
        <f>IF(F6258="","",INDEX(Deals!$E$2:$E$843,F6258))</f>
        <v/>
      </c>
      <c r="I6258">
        <f>IF(F6258="","",INDEX(Deals!$D$2:$D$843,F6258))</f>
        <v/>
      </c>
      <c r="J6258">
        <f>IF(F6258="","",INT(H6258)-B6258)</f>
        <v/>
      </c>
      <c r="K6258">
        <f>IF(B6258&gt;=Settings!$C$5,1,0)</f>
        <v/>
      </c>
    </row>
    <row r="6259">
      <c r="A6259" t="inlineStr">
        <is>
          <t>b8eadb229854b2add23d0371cc31b937</t>
        </is>
      </c>
      <c r="B6259" s="29" t="n">
        <v>43177</v>
      </c>
      <c r="C6259" t="inlineStr">
        <is>
          <t>2018-03</t>
        </is>
      </c>
      <c r="D6259" t="inlineStr">
        <is>
          <t>330b9d44078a1ae5a221d655dcb77afa</t>
        </is>
      </c>
      <c r="E6259" t="inlineStr">
        <is>
          <t>paid_search</t>
        </is>
      </c>
      <c r="F6259">
        <f>IFERROR(MATCH(A6259,Deals!$A$2:$A$843,0),"")</f>
        <v/>
      </c>
      <c r="G6259">
        <f>IF(F6259="",0,1)</f>
        <v/>
      </c>
      <c r="H6259" s="29">
        <f>IF(F6259="","",INDEX(Deals!$E$2:$E$843,F6259))</f>
        <v/>
      </c>
      <c r="I6259">
        <f>IF(F6259="","",INDEX(Deals!$D$2:$D$843,F6259))</f>
        <v/>
      </c>
      <c r="J6259">
        <f>IF(F6259="","",INT(H6259)-B6259)</f>
        <v/>
      </c>
      <c r="K6259">
        <f>IF(B6259&gt;=Settings!$C$5,1,0)</f>
        <v/>
      </c>
    </row>
    <row r="6260">
      <c r="A6260" t="inlineStr">
        <is>
          <t>82f4ec0886a346b2e2b220e1e805b22f</t>
        </is>
      </c>
      <c r="B6260" s="29" t="n">
        <v>43210</v>
      </c>
      <c r="C6260" t="inlineStr">
        <is>
          <t>2018-04</t>
        </is>
      </c>
      <c r="D6260" t="inlineStr">
        <is>
          <t>b76ef37428e6799c421989521c0e5077</t>
        </is>
      </c>
      <c r="E6260" t="inlineStr">
        <is>
          <t>paid_search</t>
        </is>
      </c>
      <c r="F6260">
        <f>IFERROR(MATCH(A6260,Deals!$A$2:$A$843,0),"")</f>
        <v/>
      </c>
      <c r="G6260">
        <f>IF(F6260="",0,1)</f>
        <v/>
      </c>
      <c r="H6260" s="29">
        <f>IF(F6260="","",INDEX(Deals!$E$2:$E$843,F6260))</f>
        <v/>
      </c>
      <c r="I6260">
        <f>IF(F6260="","",INDEX(Deals!$D$2:$D$843,F6260))</f>
        <v/>
      </c>
      <c r="J6260">
        <f>IF(F6260="","",INT(H6260)-B6260)</f>
        <v/>
      </c>
      <c r="K6260">
        <f>IF(B6260&gt;=Settings!$C$5,1,0)</f>
        <v/>
      </c>
    </row>
    <row r="6261">
      <c r="A6261" t="inlineStr">
        <is>
          <t>0566a85f6665677610d6af3482ea8dc4</t>
        </is>
      </c>
      <c r="B6261" s="29" t="n">
        <v>43204</v>
      </c>
      <c r="C6261" t="inlineStr">
        <is>
          <t>2018-04</t>
        </is>
      </c>
      <c r="D6261" t="inlineStr">
        <is>
          <t>58326e62183c14b0c03085c33b9fdc44</t>
        </is>
      </c>
      <c r="E6261" t="inlineStr">
        <is>
          <t>social</t>
        </is>
      </c>
      <c r="F6261">
        <f>IFERROR(MATCH(A6261,Deals!$A$2:$A$843,0),"")</f>
        <v/>
      </c>
      <c r="G6261">
        <f>IF(F6261="",0,1)</f>
        <v/>
      </c>
      <c r="H6261" s="29">
        <f>IF(F6261="","",INDEX(Deals!$E$2:$E$843,F6261))</f>
        <v/>
      </c>
      <c r="I6261">
        <f>IF(F6261="","",INDEX(Deals!$D$2:$D$843,F6261))</f>
        <v/>
      </c>
      <c r="J6261">
        <f>IF(F6261="","",INT(H6261)-B6261)</f>
        <v/>
      </c>
      <c r="K6261">
        <f>IF(B6261&gt;=Settings!$C$5,1,0)</f>
        <v/>
      </c>
    </row>
    <row r="6262">
      <c r="A6262" t="inlineStr">
        <is>
          <t>b6ddc699659f7367c8ef5843c08a854a</t>
        </is>
      </c>
      <c r="B6262" s="29" t="n">
        <v>43172</v>
      </c>
      <c r="C6262" t="inlineStr">
        <is>
          <t>2018-03</t>
        </is>
      </c>
      <c r="D6262" t="inlineStr">
        <is>
          <t>fbc24da54d531c6204ae2d17b1090bb1</t>
        </is>
      </c>
      <c r="E6262" t="inlineStr">
        <is>
          <t>paid_search</t>
        </is>
      </c>
      <c r="F6262">
        <f>IFERROR(MATCH(A6262,Deals!$A$2:$A$843,0),"")</f>
        <v/>
      </c>
      <c r="G6262">
        <f>IF(F6262="",0,1)</f>
        <v/>
      </c>
      <c r="H6262" s="29">
        <f>IF(F6262="","",INDEX(Deals!$E$2:$E$843,F6262))</f>
        <v/>
      </c>
      <c r="I6262">
        <f>IF(F6262="","",INDEX(Deals!$D$2:$D$843,F6262))</f>
        <v/>
      </c>
      <c r="J6262">
        <f>IF(F6262="","",INT(H6262)-B6262)</f>
        <v/>
      </c>
      <c r="K6262">
        <f>IF(B6262&gt;=Settings!$C$5,1,0)</f>
        <v/>
      </c>
    </row>
    <row r="6263">
      <c r="A6263" t="inlineStr">
        <is>
          <t>ec2f34a30d5b87ed1d3e9de2741ddabc</t>
        </is>
      </c>
      <c r="B6263" s="29" t="n">
        <v>43230</v>
      </c>
      <c r="C6263" t="inlineStr">
        <is>
          <t>2018-05</t>
        </is>
      </c>
      <c r="D6263" t="inlineStr">
        <is>
          <t>b76ef37428e6799c421989521c0e5077</t>
        </is>
      </c>
      <c r="E6263" t="inlineStr">
        <is>
          <t>unknown</t>
        </is>
      </c>
      <c r="F6263">
        <f>IFERROR(MATCH(A6263,Deals!$A$2:$A$843,0),"")</f>
        <v/>
      </c>
      <c r="G6263">
        <f>IF(F6263="",0,1)</f>
        <v/>
      </c>
      <c r="H6263" s="29">
        <f>IF(F6263="","",INDEX(Deals!$E$2:$E$843,F6263))</f>
        <v/>
      </c>
      <c r="I6263">
        <f>IF(F6263="","",INDEX(Deals!$D$2:$D$843,F6263))</f>
        <v/>
      </c>
      <c r="J6263">
        <f>IF(F6263="","",INT(H6263)-B6263)</f>
        <v/>
      </c>
      <c r="K6263">
        <f>IF(B6263&gt;=Settings!$C$5,1,0)</f>
        <v/>
      </c>
    </row>
    <row r="6264">
      <c r="A6264" t="inlineStr">
        <is>
          <t>9d4614272961eadb8e650a04429aa880</t>
        </is>
      </c>
      <c r="B6264" s="29" t="n">
        <v>43209</v>
      </c>
      <c r="C6264" t="inlineStr">
        <is>
          <t>2018-04</t>
        </is>
      </c>
      <c r="D6264" t="inlineStr">
        <is>
          <t>73f31a40697cc90a86c1273563ac230e</t>
        </is>
      </c>
      <c r="E6264" t="inlineStr">
        <is>
          <t>direct_traffic</t>
        </is>
      </c>
      <c r="F6264">
        <f>IFERROR(MATCH(A6264,Deals!$A$2:$A$843,0),"")</f>
        <v/>
      </c>
      <c r="G6264">
        <f>IF(F6264="",0,1)</f>
        <v/>
      </c>
      <c r="H6264" s="29">
        <f>IF(F6264="","",INDEX(Deals!$E$2:$E$843,F6264))</f>
        <v/>
      </c>
      <c r="I6264">
        <f>IF(F6264="","",INDEX(Deals!$D$2:$D$843,F6264))</f>
        <v/>
      </c>
      <c r="J6264">
        <f>IF(F6264="","",INT(H6264)-B6264)</f>
        <v/>
      </c>
      <c r="K6264">
        <f>IF(B6264&gt;=Settings!$C$5,1,0)</f>
        <v/>
      </c>
    </row>
    <row r="6265">
      <c r="A6265" t="inlineStr">
        <is>
          <t>6eaeb92aa84721ed6e66f4c77ccfa308</t>
        </is>
      </c>
      <c r="B6265" s="29" t="n">
        <v>43212</v>
      </c>
      <c r="C6265" t="inlineStr">
        <is>
          <t>2018-04</t>
        </is>
      </c>
      <c r="D6265" t="inlineStr">
        <is>
          <t>58326e62183c14b0c03085c33b9fdc44</t>
        </is>
      </c>
      <c r="E6265" t="inlineStr">
        <is>
          <t>social</t>
        </is>
      </c>
      <c r="F6265">
        <f>IFERROR(MATCH(A6265,Deals!$A$2:$A$843,0),"")</f>
        <v/>
      </c>
      <c r="G6265">
        <f>IF(F6265="",0,1)</f>
        <v/>
      </c>
      <c r="H6265" s="29">
        <f>IF(F6265="","",INDEX(Deals!$E$2:$E$843,F6265))</f>
        <v/>
      </c>
      <c r="I6265">
        <f>IF(F6265="","",INDEX(Deals!$D$2:$D$843,F6265))</f>
        <v/>
      </c>
      <c r="J6265">
        <f>IF(F6265="","",INT(H6265)-B6265)</f>
        <v/>
      </c>
      <c r="K6265">
        <f>IF(B6265&gt;=Settings!$C$5,1,0)</f>
        <v/>
      </c>
    </row>
    <row r="6266">
      <c r="A6266" t="inlineStr">
        <is>
          <t>aea4b641ed399a8eeebbe438b7380975</t>
        </is>
      </c>
      <c r="B6266" s="29" t="n">
        <v>43116</v>
      </c>
      <c r="C6266" t="inlineStr">
        <is>
          <t>2018-01</t>
        </is>
      </c>
      <c r="D6266" t="inlineStr">
        <is>
          <t>b76ef37428e6799c421989521c0e5077</t>
        </is>
      </c>
      <c r="E6266" t="inlineStr">
        <is>
          <t>direct_traffic</t>
        </is>
      </c>
      <c r="F6266">
        <f>IFERROR(MATCH(A6266,Deals!$A$2:$A$843,0),"")</f>
        <v/>
      </c>
      <c r="G6266">
        <f>IF(F6266="",0,1)</f>
        <v/>
      </c>
      <c r="H6266" s="29">
        <f>IF(F6266="","",INDEX(Deals!$E$2:$E$843,F6266))</f>
        <v/>
      </c>
      <c r="I6266">
        <f>IF(F6266="","",INDEX(Deals!$D$2:$D$843,F6266))</f>
        <v/>
      </c>
      <c r="J6266">
        <f>IF(F6266="","",INT(H6266)-B6266)</f>
        <v/>
      </c>
      <c r="K6266">
        <f>IF(B6266&gt;=Settings!$C$5,1,0)</f>
        <v/>
      </c>
    </row>
    <row r="6267">
      <c r="A6267" t="inlineStr">
        <is>
          <t>a620fe2c33c9580566adb1e9b61ffdbc</t>
        </is>
      </c>
      <c r="B6267" s="29" t="n">
        <v>43246</v>
      </c>
      <c r="C6267" t="inlineStr">
        <is>
          <t>2018-05</t>
        </is>
      </c>
      <c r="D6267" t="inlineStr">
        <is>
          <t>22c29808c4f815213303f8933030604c</t>
        </is>
      </c>
      <c r="E6267" t="inlineStr">
        <is>
          <t>organic_search</t>
        </is>
      </c>
      <c r="F6267">
        <f>IFERROR(MATCH(A6267,Deals!$A$2:$A$843,0),"")</f>
        <v/>
      </c>
      <c r="G6267">
        <f>IF(F6267="",0,1)</f>
        <v/>
      </c>
      <c r="H6267" s="29">
        <f>IF(F6267="","",INDEX(Deals!$E$2:$E$843,F6267))</f>
        <v/>
      </c>
      <c r="I6267">
        <f>IF(F6267="","",INDEX(Deals!$D$2:$D$843,F6267))</f>
        <v/>
      </c>
      <c r="J6267">
        <f>IF(F6267="","",INT(H6267)-B6267)</f>
        <v/>
      </c>
      <c r="K6267">
        <f>IF(B6267&gt;=Settings!$C$5,1,0)</f>
        <v/>
      </c>
    </row>
    <row r="6268">
      <c r="A6268" t="inlineStr">
        <is>
          <t>a8d270c32b2b86a79ae2bddaf14f02ee</t>
        </is>
      </c>
      <c r="B6268" s="29" t="n">
        <v>43105</v>
      </c>
      <c r="C6268" t="inlineStr">
        <is>
          <t>2018-01</t>
        </is>
      </c>
      <c r="D6268" t="inlineStr">
        <is>
          <t>b48ec5f3b04e9068441002a19df93c6c</t>
        </is>
      </c>
      <c r="E6268" t="inlineStr">
        <is>
          <t>organic_search</t>
        </is>
      </c>
      <c r="F6268">
        <f>IFERROR(MATCH(A6268,Deals!$A$2:$A$843,0),"")</f>
        <v/>
      </c>
      <c r="G6268">
        <f>IF(F6268="",0,1)</f>
        <v/>
      </c>
      <c r="H6268" s="29">
        <f>IF(F6268="","",INDEX(Deals!$E$2:$E$843,F6268))</f>
        <v/>
      </c>
      <c r="I6268">
        <f>IF(F6268="","",INDEX(Deals!$D$2:$D$843,F6268))</f>
        <v/>
      </c>
      <c r="J6268">
        <f>IF(F6268="","",INT(H6268)-B6268)</f>
        <v/>
      </c>
      <c r="K6268">
        <f>IF(B6268&gt;=Settings!$C$5,1,0)</f>
        <v/>
      </c>
    </row>
    <row r="6269">
      <c r="A6269" t="inlineStr">
        <is>
          <t>4087e9b879a660c898f68c467aea19f5</t>
        </is>
      </c>
      <c r="B6269" s="29" t="n">
        <v>43248</v>
      </c>
      <c r="C6269" t="inlineStr">
        <is>
          <t>2018-05</t>
        </is>
      </c>
      <c r="D6269" t="inlineStr">
        <is>
          <t>40dec9f3d5259a3d2dbcdab2114fae47</t>
        </is>
      </c>
      <c r="E6269" t="inlineStr">
        <is>
          <t>paid_search</t>
        </is>
      </c>
      <c r="F6269">
        <f>IFERROR(MATCH(A6269,Deals!$A$2:$A$843,0),"")</f>
        <v/>
      </c>
      <c r="G6269">
        <f>IF(F6269="",0,1)</f>
        <v/>
      </c>
      <c r="H6269" s="29">
        <f>IF(F6269="","",INDEX(Deals!$E$2:$E$843,F6269))</f>
        <v/>
      </c>
      <c r="I6269">
        <f>IF(F6269="","",INDEX(Deals!$D$2:$D$843,F6269))</f>
        <v/>
      </c>
      <c r="J6269">
        <f>IF(F6269="","",INT(H6269)-B6269)</f>
        <v/>
      </c>
      <c r="K6269">
        <f>IF(B6269&gt;=Settings!$C$5,1,0)</f>
        <v/>
      </c>
    </row>
    <row r="6270">
      <c r="A6270" t="inlineStr">
        <is>
          <t>c4b96e147d004941235298b2e5fb678f</t>
        </is>
      </c>
      <c r="B6270" s="29" t="n">
        <v>42993</v>
      </c>
      <c r="C6270" t="inlineStr">
        <is>
          <t>2017-09</t>
        </is>
      </c>
      <c r="D6270" t="inlineStr">
        <is>
          <t>bddebc4f4d44106c427bd00695840e64</t>
        </is>
      </c>
      <c r="E6270" t="inlineStr">
        <is>
          <t>other_publicities</t>
        </is>
      </c>
      <c r="F6270">
        <f>IFERROR(MATCH(A6270,Deals!$A$2:$A$843,0),"")</f>
        <v/>
      </c>
      <c r="G6270">
        <f>IF(F6270="",0,1)</f>
        <v/>
      </c>
      <c r="H6270" s="29">
        <f>IF(F6270="","",INDEX(Deals!$E$2:$E$843,F6270))</f>
        <v/>
      </c>
      <c r="I6270">
        <f>IF(F6270="","",INDEX(Deals!$D$2:$D$843,F6270))</f>
        <v/>
      </c>
      <c r="J6270">
        <f>IF(F6270="","",INT(H6270)-B6270)</f>
        <v/>
      </c>
      <c r="K6270">
        <f>IF(B6270&gt;=Settings!$C$5,1,0)</f>
        <v/>
      </c>
    </row>
    <row r="6271">
      <c r="A6271" t="inlineStr">
        <is>
          <t>07a2470081a8add64439de078c6a974b</t>
        </is>
      </c>
      <c r="B6271" s="29" t="n">
        <v>43164</v>
      </c>
      <c r="C6271" t="inlineStr">
        <is>
          <t>2018-03</t>
        </is>
      </c>
      <c r="D6271" t="inlineStr">
        <is>
          <t>22c29808c4f815213303f8933030604c</t>
        </is>
      </c>
      <c r="E6271" t="inlineStr">
        <is>
          <t>organic_search</t>
        </is>
      </c>
      <c r="F6271">
        <f>IFERROR(MATCH(A6271,Deals!$A$2:$A$843,0),"")</f>
        <v/>
      </c>
      <c r="G6271">
        <f>IF(F6271="",0,1)</f>
        <v/>
      </c>
      <c r="H6271" s="29">
        <f>IF(F6271="","",INDEX(Deals!$E$2:$E$843,F6271))</f>
        <v/>
      </c>
      <c r="I6271">
        <f>IF(F6271="","",INDEX(Deals!$D$2:$D$843,F6271))</f>
        <v/>
      </c>
      <c r="J6271">
        <f>IF(F6271="","",INT(H6271)-B6271)</f>
        <v/>
      </c>
      <c r="K6271">
        <f>IF(B6271&gt;=Settings!$C$5,1,0)</f>
        <v/>
      </c>
    </row>
    <row r="6272">
      <c r="A6272" t="inlineStr">
        <is>
          <t>291d04502a4b1aed67913f0bcc7c29eb</t>
        </is>
      </c>
      <c r="B6272" s="29" t="n">
        <v>43175</v>
      </c>
      <c r="C6272" t="inlineStr">
        <is>
          <t>2018-03</t>
        </is>
      </c>
      <c r="D6272" t="inlineStr">
        <is>
          <t>330b9d44078a1ae5a221d655dcb77afa</t>
        </is>
      </c>
      <c r="E6272" t="inlineStr">
        <is>
          <t>paid_search</t>
        </is>
      </c>
      <c r="F6272">
        <f>IFERROR(MATCH(A6272,Deals!$A$2:$A$843,0),"")</f>
        <v/>
      </c>
      <c r="G6272">
        <f>IF(F6272="",0,1)</f>
        <v/>
      </c>
      <c r="H6272" s="29">
        <f>IF(F6272="","",INDEX(Deals!$E$2:$E$843,F6272))</f>
        <v/>
      </c>
      <c r="I6272">
        <f>IF(F6272="","",INDEX(Deals!$D$2:$D$843,F6272))</f>
        <v/>
      </c>
      <c r="J6272">
        <f>IF(F6272="","",INT(H6272)-B6272)</f>
        <v/>
      </c>
      <c r="K6272">
        <f>IF(B6272&gt;=Settings!$C$5,1,0)</f>
        <v/>
      </c>
    </row>
    <row r="6273">
      <c r="A6273" t="inlineStr">
        <is>
          <t>dedd5db8f760f36dd41fba0d5e94308b</t>
        </is>
      </c>
      <c r="B6273" s="29" t="n">
        <v>43060</v>
      </c>
      <c r="C6273" t="inlineStr">
        <is>
          <t>2017-11</t>
        </is>
      </c>
      <c r="D6273" t="inlineStr">
        <is>
          <t>40dec9f3d5259a3d2dbcdab2114fae47</t>
        </is>
      </c>
      <c r="E6273" t="inlineStr">
        <is>
          <t>paid_search</t>
        </is>
      </c>
      <c r="F6273">
        <f>IFERROR(MATCH(A6273,Deals!$A$2:$A$843,0),"")</f>
        <v/>
      </c>
      <c r="G6273">
        <f>IF(F6273="",0,1)</f>
        <v/>
      </c>
      <c r="H6273" s="29">
        <f>IF(F6273="","",INDEX(Deals!$E$2:$E$843,F6273))</f>
        <v/>
      </c>
      <c r="I6273">
        <f>IF(F6273="","",INDEX(Deals!$D$2:$D$843,F6273))</f>
        <v/>
      </c>
      <c r="J6273">
        <f>IF(F6273="","",INT(H6273)-B6273)</f>
        <v/>
      </c>
      <c r="K6273">
        <f>IF(B6273&gt;=Settings!$C$5,1,0)</f>
        <v/>
      </c>
    </row>
    <row r="6274">
      <c r="A6274" t="inlineStr">
        <is>
          <t>7de6a7c019420e05a7f57005114ef113</t>
        </is>
      </c>
      <c r="B6274" s="29" t="n">
        <v>43192</v>
      </c>
      <c r="C6274" t="inlineStr">
        <is>
          <t>2018-04</t>
        </is>
      </c>
      <c r="D6274" t="inlineStr">
        <is>
          <t>b76ef37428e6799c421989521c0e5077</t>
        </is>
      </c>
      <c r="E6274" t="inlineStr">
        <is>
          <t>unknown</t>
        </is>
      </c>
      <c r="F6274">
        <f>IFERROR(MATCH(A6274,Deals!$A$2:$A$843,0),"")</f>
        <v/>
      </c>
      <c r="G6274">
        <f>IF(F6274="",0,1)</f>
        <v/>
      </c>
      <c r="H6274" s="29">
        <f>IF(F6274="","",INDEX(Deals!$E$2:$E$843,F6274))</f>
        <v/>
      </c>
      <c r="I6274">
        <f>IF(F6274="","",INDEX(Deals!$D$2:$D$843,F6274))</f>
        <v/>
      </c>
      <c r="J6274">
        <f>IF(F6274="","",INT(H6274)-B6274)</f>
        <v/>
      </c>
      <c r="K6274">
        <f>IF(B6274&gt;=Settings!$C$5,1,0)</f>
        <v/>
      </c>
    </row>
    <row r="6275">
      <c r="A6275" t="inlineStr">
        <is>
          <t>1b45b0f97ceab36bd24ee1e318824f4e</t>
        </is>
      </c>
      <c r="B6275" s="29" t="n">
        <v>43166</v>
      </c>
      <c r="C6275" t="inlineStr">
        <is>
          <t>2018-03</t>
        </is>
      </c>
      <c r="D6275" t="inlineStr">
        <is>
          <t>73f31a40697cc90a86c1273563ac230e</t>
        </is>
      </c>
      <c r="E6275" t="inlineStr">
        <is>
          <t>other</t>
        </is>
      </c>
      <c r="F6275">
        <f>IFERROR(MATCH(A6275,Deals!$A$2:$A$843,0),"")</f>
        <v/>
      </c>
      <c r="G6275">
        <f>IF(F6275="",0,1)</f>
        <v/>
      </c>
      <c r="H6275" s="29">
        <f>IF(F6275="","",INDEX(Deals!$E$2:$E$843,F6275))</f>
        <v/>
      </c>
      <c r="I6275">
        <f>IF(F6275="","",INDEX(Deals!$D$2:$D$843,F6275))</f>
        <v/>
      </c>
      <c r="J6275">
        <f>IF(F6275="","",INT(H6275)-B6275)</f>
        <v/>
      </c>
      <c r="K6275">
        <f>IF(B6275&gt;=Settings!$C$5,1,0)</f>
        <v/>
      </c>
    </row>
    <row r="6276">
      <c r="A6276" t="inlineStr">
        <is>
          <t>a7f0f550578261d8a0507e6972d5925c</t>
        </is>
      </c>
      <c r="B6276" s="29" t="n">
        <v>43180</v>
      </c>
      <c r="C6276" t="inlineStr">
        <is>
          <t>2018-03</t>
        </is>
      </c>
      <c r="D6276" t="inlineStr">
        <is>
          <t>0b37d43dbde6452cdd94c17bf61a88e4</t>
        </is>
      </c>
      <c r="E6276" t="inlineStr">
        <is>
          <t>organic_search</t>
        </is>
      </c>
      <c r="F6276">
        <f>IFERROR(MATCH(A6276,Deals!$A$2:$A$843,0),"")</f>
        <v/>
      </c>
      <c r="G6276">
        <f>IF(F6276="",0,1)</f>
        <v/>
      </c>
      <c r="H6276" s="29">
        <f>IF(F6276="","",INDEX(Deals!$E$2:$E$843,F6276))</f>
        <v/>
      </c>
      <c r="I6276">
        <f>IF(F6276="","",INDEX(Deals!$D$2:$D$843,F6276))</f>
        <v/>
      </c>
      <c r="J6276">
        <f>IF(F6276="","",INT(H6276)-B6276)</f>
        <v/>
      </c>
      <c r="K6276">
        <f>IF(B6276&gt;=Settings!$C$5,1,0)</f>
        <v/>
      </c>
    </row>
    <row r="6277">
      <c r="A6277" t="inlineStr">
        <is>
          <t>c5e72242931c10ddd2b0ceb628df444c</t>
        </is>
      </c>
      <c r="B6277" s="29" t="n">
        <v>43175</v>
      </c>
      <c r="C6277" t="inlineStr">
        <is>
          <t>2018-03</t>
        </is>
      </c>
      <c r="D6277" t="inlineStr">
        <is>
          <t>22c29808c4f815213303f8933030604c</t>
        </is>
      </c>
      <c r="E6277" t="inlineStr">
        <is>
          <t>paid_search</t>
        </is>
      </c>
      <c r="F6277">
        <f>IFERROR(MATCH(A6277,Deals!$A$2:$A$843,0),"")</f>
        <v/>
      </c>
      <c r="G6277">
        <f>IF(F6277="",0,1)</f>
        <v/>
      </c>
      <c r="H6277" s="29">
        <f>IF(F6277="","",INDEX(Deals!$E$2:$E$843,F6277))</f>
        <v/>
      </c>
      <c r="I6277">
        <f>IF(F6277="","",INDEX(Deals!$D$2:$D$843,F6277))</f>
        <v/>
      </c>
      <c r="J6277">
        <f>IF(F6277="","",INT(H6277)-B6277)</f>
        <v/>
      </c>
      <c r="K6277">
        <f>IF(B6277&gt;=Settings!$C$5,1,0)</f>
        <v/>
      </c>
    </row>
    <row r="6278">
      <c r="A6278" t="inlineStr">
        <is>
          <t>4fec58181bb416f09f8ef0f69433584f</t>
        </is>
      </c>
      <c r="B6278" s="29" t="n">
        <v>43209</v>
      </c>
      <c r="C6278" t="inlineStr">
        <is>
          <t>2018-04</t>
        </is>
      </c>
      <c r="D6278" t="inlineStr">
        <is>
          <t>b76ef37428e6799c421989521c0e5077</t>
        </is>
      </c>
      <c r="E6278" t="inlineStr">
        <is>
          <t>organic_search</t>
        </is>
      </c>
      <c r="F6278">
        <f>IFERROR(MATCH(A6278,Deals!$A$2:$A$843,0),"")</f>
        <v/>
      </c>
      <c r="G6278">
        <f>IF(F6278="",0,1)</f>
        <v/>
      </c>
      <c r="H6278" s="29">
        <f>IF(F6278="","",INDEX(Deals!$E$2:$E$843,F6278))</f>
        <v/>
      </c>
      <c r="I6278">
        <f>IF(F6278="","",INDEX(Deals!$D$2:$D$843,F6278))</f>
        <v/>
      </c>
      <c r="J6278">
        <f>IF(F6278="","",INT(H6278)-B6278)</f>
        <v/>
      </c>
      <c r="K6278">
        <f>IF(B6278&gt;=Settings!$C$5,1,0)</f>
        <v/>
      </c>
    </row>
    <row r="6279">
      <c r="A6279" t="inlineStr">
        <is>
          <t>b836950dbe8b92c95f2f3c5c7eea553f</t>
        </is>
      </c>
      <c r="B6279" s="29" t="n">
        <v>43209</v>
      </c>
      <c r="C6279" t="inlineStr">
        <is>
          <t>2018-04</t>
        </is>
      </c>
      <c r="D6279" t="inlineStr">
        <is>
          <t>1ceb590cd1e00c7ee95220971f82693d</t>
        </is>
      </c>
      <c r="E6279" t="inlineStr">
        <is>
          <t>paid_search</t>
        </is>
      </c>
      <c r="F6279">
        <f>IFERROR(MATCH(A6279,Deals!$A$2:$A$843,0),"")</f>
        <v/>
      </c>
      <c r="G6279">
        <f>IF(F6279="",0,1)</f>
        <v/>
      </c>
      <c r="H6279" s="29">
        <f>IF(F6279="","",INDEX(Deals!$E$2:$E$843,F6279))</f>
        <v/>
      </c>
      <c r="I6279">
        <f>IF(F6279="","",INDEX(Deals!$D$2:$D$843,F6279))</f>
        <v/>
      </c>
      <c r="J6279">
        <f>IF(F6279="","",INT(H6279)-B6279)</f>
        <v/>
      </c>
      <c r="K6279">
        <f>IF(B6279&gt;=Settings!$C$5,1,0)</f>
        <v/>
      </c>
    </row>
    <row r="6280">
      <c r="A6280" t="inlineStr">
        <is>
          <t>6179c371b2b9c0705516308bf05fb5c3</t>
        </is>
      </c>
      <c r="B6280" s="29" t="n">
        <v>43215</v>
      </c>
      <c r="C6280" t="inlineStr">
        <is>
          <t>2018-04</t>
        </is>
      </c>
      <c r="D6280" t="inlineStr">
        <is>
          <t>b76ef37428e6799c421989521c0e5077</t>
        </is>
      </c>
      <c r="E6280" t="inlineStr">
        <is>
          <t>unknown</t>
        </is>
      </c>
      <c r="F6280">
        <f>IFERROR(MATCH(A6280,Deals!$A$2:$A$843,0),"")</f>
        <v/>
      </c>
      <c r="G6280">
        <f>IF(F6280="",0,1)</f>
        <v/>
      </c>
      <c r="H6280" s="29">
        <f>IF(F6280="","",INDEX(Deals!$E$2:$E$843,F6280))</f>
        <v/>
      </c>
      <c r="I6280">
        <f>IF(F6280="","",INDEX(Deals!$D$2:$D$843,F6280))</f>
        <v/>
      </c>
      <c r="J6280">
        <f>IF(F6280="","",INT(H6280)-B6280)</f>
        <v/>
      </c>
      <c r="K6280">
        <f>IF(B6280&gt;=Settings!$C$5,1,0)</f>
        <v/>
      </c>
    </row>
    <row r="6281">
      <c r="A6281" t="inlineStr">
        <is>
          <t>854b67fd351bcb21641cf961fc331588</t>
        </is>
      </c>
      <c r="B6281" s="29" t="n">
        <v>43124</v>
      </c>
      <c r="C6281" t="inlineStr">
        <is>
          <t>2018-01</t>
        </is>
      </c>
      <c r="D6281" t="inlineStr">
        <is>
          <t>d45d558f0daeecf3cccdffe3c59684aa</t>
        </is>
      </c>
      <c r="E6281" t="inlineStr">
        <is>
          <t>referral</t>
        </is>
      </c>
      <c r="F6281">
        <f>IFERROR(MATCH(A6281,Deals!$A$2:$A$843,0),"")</f>
        <v/>
      </c>
      <c r="G6281">
        <f>IF(F6281="",0,1)</f>
        <v/>
      </c>
      <c r="H6281" s="29">
        <f>IF(F6281="","",INDEX(Deals!$E$2:$E$843,F6281))</f>
        <v/>
      </c>
      <c r="I6281">
        <f>IF(F6281="","",INDEX(Deals!$D$2:$D$843,F6281))</f>
        <v/>
      </c>
      <c r="J6281">
        <f>IF(F6281="","",INT(H6281)-B6281)</f>
        <v/>
      </c>
      <c r="K6281">
        <f>IF(B6281&gt;=Settings!$C$5,1,0)</f>
        <v/>
      </c>
    </row>
    <row r="6282">
      <c r="A6282" t="inlineStr">
        <is>
          <t>7ccacc3131595affe7e7c19638e4b1d9</t>
        </is>
      </c>
      <c r="B6282" s="29" t="n">
        <v>42978</v>
      </c>
      <c r="C6282" t="inlineStr">
        <is>
          <t>2017-08</t>
        </is>
      </c>
      <c r="D6282" t="inlineStr">
        <is>
          <t>4e82dd1f6d00626bda0723eef0a269a6</t>
        </is>
      </c>
      <c r="E6282" t="inlineStr">
        <is>
          <t>organic_search</t>
        </is>
      </c>
      <c r="F6282">
        <f>IFERROR(MATCH(A6282,Deals!$A$2:$A$843,0),"")</f>
        <v/>
      </c>
      <c r="G6282">
        <f>IF(F6282="",0,1)</f>
        <v/>
      </c>
      <c r="H6282" s="29">
        <f>IF(F6282="","",INDEX(Deals!$E$2:$E$843,F6282))</f>
        <v/>
      </c>
      <c r="I6282">
        <f>IF(F6282="","",INDEX(Deals!$D$2:$D$843,F6282))</f>
        <v/>
      </c>
      <c r="J6282">
        <f>IF(F6282="","",INT(H6282)-B6282)</f>
        <v/>
      </c>
      <c r="K6282">
        <f>IF(B6282&gt;=Settings!$C$5,1,0)</f>
        <v/>
      </c>
    </row>
    <row r="6283">
      <c r="A6283" t="inlineStr">
        <is>
          <t>40c96aecfca4955b9c192e6dcea235ac</t>
        </is>
      </c>
      <c r="B6283" s="29" t="n">
        <v>43209</v>
      </c>
      <c r="C6283" t="inlineStr">
        <is>
          <t>2018-04</t>
        </is>
      </c>
      <c r="D6283" t="inlineStr">
        <is>
          <t>58326e62183c14b0c03085c33b9fdc44</t>
        </is>
      </c>
      <c r="E6283" t="inlineStr">
        <is>
          <t>social</t>
        </is>
      </c>
      <c r="F6283">
        <f>IFERROR(MATCH(A6283,Deals!$A$2:$A$843,0),"")</f>
        <v/>
      </c>
      <c r="G6283">
        <f>IF(F6283="",0,1)</f>
        <v/>
      </c>
      <c r="H6283" s="29">
        <f>IF(F6283="","",INDEX(Deals!$E$2:$E$843,F6283))</f>
        <v/>
      </c>
      <c r="I6283">
        <f>IF(F6283="","",INDEX(Deals!$D$2:$D$843,F6283))</f>
        <v/>
      </c>
      <c r="J6283">
        <f>IF(F6283="","",INT(H6283)-B6283)</f>
        <v/>
      </c>
      <c r="K6283">
        <f>IF(B6283&gt;=Settings!$C$5,1,0)</f>
        <v/>
      </c>
    </row>
    <row r="6284">
      <c r="A6284" t="inlineStr">
        <is>
          <t>0a634763cc1a09532dd8cbf0e74e3d48</t>
        </is>
      </c>
      <c r="B6284" s="29" t="n">
        <v>43210</v>
      </c>
      <c r="C6284" t="inlineStr">
        <is>
          <t>2018-04</t>
        </is>
      </c>
      <c r="D6284" t="inlineStr">
        <is>
          <t>58326e62183c14b0c03085c33b9fdc44</t>
        </is>
      </c>
      <c r="E6284" t="inlineStr">
        <is>
          <t>social</t>
        </is>
      </c>
      <c r="F6284">
        <f>IFERROR(MATCH(A6284,Deals!$A$2:$A$843,0),"")</f>
        <v/>
      </c>
      <c r="G6284">
        <f>IF(F6284="",0,1)</f>
        <v/>
      </c>
      <c r="H6284" s="29">
        <f>IF(F6284="","",INDEX(Deals!$E$2:$E$843,F6284))</f>
        <v/>
      </c>
      <c r="I6284">
        <f>IF(F6284="","",INDEX(Deals!$D$2:$D$843,F6284))</f>
        <v/>
      </c>
      <c r="J6284">
        <f>IF(F6284="","",INT(H6284)-B6284)</f>
        <v/>
      </c>
      <c r="K6284">
        <f>IF(B6284&gt;=Settings!$C$5,1,0)</f>
        <v/>
      </c>
    </row>
    <row r="6285">
      <c r="A6285" t="inlineStr">
        <is>
          <t>7532e11ff40e244cedde99f723f5e882</t>
        </is>
      </c>
      <c r="B6285" s="29" t="n">
        <v>43200</v>
      </c>
      <c r="C6285" t="inlineStr">
        <is>
          <t>2018-04</t>
        </is>
      </c>
      <c r="D6285" t="inlineStr">
        <is>
          <t>fa5a0151e1f37d0055a3478fbb48827a</t>
        </is>
      </c>
      <c r="E6285" t="inlineStr">
        <is>
          <t>paid_search</t>
        </is>
      </c>
      <c r="F6285">
        <f>IFERROR(MATCH(A6285,Deals!$A$2:$A$843,0),"")</f>
        <v/>
      </c>
      <c r="G6285">
        <f>IF(F6285="",0,1)</f>
        <v/>
      </c>
      <c r="H6285" s="29">
        <f>IF(F6285="","",INDEX(Deals!$E$2:$E$843,F6285))</f>
        <v/>
      </c>
      <c r="I6285">
        <f>IF(F6285="","",INDEX(Deals!$D$2:$D$843,F6285))</f>
        <v/>
      </c>
      <c r="J6285">
        <f>IF(F6285="","",INT(H6285)-B6285)</f>
        <v/>
      </c>
      <c r="K6285">
        <f>IF(B6285&gt;=Settings!$C$5,1,0)</f>
        <v/>
      </c>
    </row>
    <row r="6286">
      <c r="A6286" t="inlineStr">
        <is>
          <t>7ac6d80c42fdb4020030b1cb9ed708f5</t>
        </is>
      </c>
      <c r="B6286" s="29" t="n">
        <v>43109</v>
      </c>
      <c r="C6286" t="inlineStr">
        <is>
          <t>2018-01</t>
        </is>
      </c>
      <c r="D6286" t="inlineStr">
        <is>
          <t>b76ef37428e6799c421989521c0e5077</t>
        </is>
      </c>
      <c r="E6286" t="inlineStr">
        <is>
          <t>unknown</t>
        </is>
      </c>
      <c r="F6286">
        <f>IFERROR(MATCH(A6286,Deals!$A$2:$A$843,0),"")</f>
        <v/>
      </c>
      <c r="G6286">
        <f>IF(F6286="",0,1)</f>
        <v/>
      </c>
      <c r="H6286" s="29">
        <f>IF(F6286="","",INDEX(Deals!$E$2:$E$843,F6286))</f>
        <v/>
      </c>
      <c r="I6286">
        <f>IF(F6286="","",INDEX(Deals!$D$2:$D$843,F6286))</f>
        <v/>
      </c>
      <c r="J6286">
        <f>IF(F6286="","",INT(H6286)-B6286)</f>
        <v/>
      </c>
      <c r="K6286">
        <f>IF(B6286&gt;=Settings!$C$5,1,0)</f>
        <v/>
      </c>
    </row>
    <row r="6287">
      <c r="A6287" t="inlineStr">
        <is>
          <t>aa37bf5616786370647d18bc7c0a7fb8</t>
        </is>
      </c>
      <c r="B6287" s="29" t="n">
        <v>43125</v>
      </c>
      <c r="C6287" t="inlineStr">
        <is>
          <t>2018-01</t>
        </is>
      </c>
      <c r="D6287" t="inlineStr">
        <is>
          <t>b76ef37428e6799c421989521c0e5077</t>
        </is>
      </c>
      <c r="E6287" t="inlineStr">
        <is>
          <t>display</t>
        </is>
      </c>
      <c r="F6287">
        <f>IFERROR(MATCH(A6287,Deals!$A$2:$A$843,0),"")</f>
        <v/>
      </c>
      <c r="G6287">
        <f>IF(F6287="",0,1)</f>
        <v/>
      </c>
      <c r="H6287" s="29">
        <f>IF(F6287="","",INDEX(Deals!$E$2:$E$843,F6287))</f>
        <v/>
      </c>
      <c r="I6287">
        <f>IF(F6287="","",INDEX(Deals!$D$2:$D$843,F6287))</f>
        <v/>
      </c>
      <c r="J6287">
        <f>IF(F6287="","",INT(H6287)-B6287)</f>
        <v/>
      </c>
      <c r="K6287">
        <f>IF(B6287&gt;=Settings!$C$5,1,0)</f>
        <v/>
      </c>
    </row>
    <row r="6288">
      <c r="A6288" t="inlineStr">
        <is>
          <t>52b4d18da1e03d00a2563b3165e730f3</t>
        </is>
      </c>
      <c r="B6288" s="29" t="n">
        <v>43144</v>
      </c>
      <c r="C6288" t="inlineStr">
        <is>
          <t>2018-02</t>
        </is>
      </c>
      <c r="D6288" t="inlineStr">
        <is>
          <t>dfc3b656bac13de62e4efca322b3f2c1</t>
        </is>
      </c>
      <c r="E6288" t="inlineStr">
        <is>
          <t>display</t>
        </is>
      </c>
      <c r="F6288">
        <f>IFERROR(MATCH(A6288,Deals!$A$2:$A$843,0),"")</f>
        <v/>
      </c>
      <c r="G6288">
        <f>IF(F6288="",0,1)</f>
        <v/>
      </c>
      <c r="H6288" s="29">
        <f>IF(F6288="","",INDEX(Deals!$E$2:$E$843,F6288))</f>
        <v/>
      </c>
      <c r="I6288">
        <f>IF(F6288="","",INDEX(Deals!$D$2:$D$843,F6288))</f>
        <v/>
      </c>
      <c r="J6288">
        <f>IF(F6288="","",INT(H6288)-B6288)</f>
        <v/>
      </c>
      <c r="K6288">
        <f>IF(B6288&gt;=Settings!$C$5,1,0)</f>
        <v/>
      </c>
    </row>
    <row r="6289">
      <c r="A6289" t="inlineStr">
        <is>
          <t>bb7272eafe90d1ea3a8dd6db76688ad1</t>
        </is>
      </c>
      <c r="B6289" s="29" t="n">
        <v>43214</v>
      </c>
      <c r="C6289" t="inlineStr">
        <is>
          <t>2018-04</t>
        </is>
      </c>
      <c r="D6289" t="inlineStr">
        <is>
          <t>58326e62183c14b0c03085c33b9fdc44</t>
        </is>
      </c>
      <c r="E6289" t="inlineStr">
        <is>
          <t>social</t>
        </is>
      </c>
      <c r="F6289">
        <f>IFERROR(MATCH(A6289,Deals!$A$2:$A$843,0),"")</f>
        <v/>
      </c>
      <c r="G6289">
        <f>IF(F6289="",0,1)</f>
        <v/>
      </c>
      <c r="H6289" s="29">
        <f>IF(F6289="","",INDEX(Deals!$E$2:$E$843,F6289))</f>
        <v/>
      </c>
      <c r="I6289">
        <f>IF(F6289="","",INDEX(Deals!$D$2:$D$843,F6289))</f>
        <v/>
      </c>
      <c r="J6289">
        <f>IF(F6289="","",INT(H6289)-B6289)</f>
        <v/>
      </c>
      <c r="K6289">
        <f>IF(B6289&gt;=Settings!$C$5,1,0)</f>
        <v/>
      </c>
    </row>
    <row r="6290">
      <c r="A6290" t="inlineStr">
        <is>
          <t>dbc4d971889417b0f4cb0434de170a51</t>
        </is>
      </c>
      <c r="B6290" s="29" t="n">
        <v>42983</v>
      </c>
      <c r="C6290" t="inlineStr">
        <is>
          <t>2017-09</t>
        </is>
      </c>
      <c r="D6290" t="inlineStr">
        <is>
          <t>4aab772aeb9833c170d8ea5413e02eac</t>
        </is>
      </c>
      <c r="E6290" t="inlineStr">
        <is>
          <t>paid_search</t>
        </is>
      </c>
      <c r="F6290">
        <f>IFERROR(MATCH(A6290,Deals!$A$2:$A$843,0),"")</f>
        <v/>
      </c>
      <c r="G6290">
        <f>IF(F6290="",0,1)</f>
        <v/>
      </c>
      <c r="H6290" s="29">
        <f>IF(F6290="","",INDEX(Deals!$E$2:$E$843,F6290))</f>
        <v/>
      </c>
      <c r="I6290">
        <f>IF(F6290="","",INDEX(Deals!$D$2:$D$843,F6290))</f>
        <v/>
      </c>
      <c r="J6290">
        <f>IF(F6290="","",INT(H6290)-B6290)</f>
        <v/>
      </c>
      <c r="K6290">
        <f>IF(B6290&gt;=Settings!$C$5,1,0)</f>
        <v/>
      </c>
    </row>
    <row r="6291">
      <c r="A6291" t="inlineStr">
        <is>
          <t>d62e62abe24dcaa94f9e1b3678477b51</t>
        </is>
      </c>
      <c r="B6291" s="29" t="n">
        <v>43174</v>
      </c>
      <c r="C6291" t="inlineStr">
        <is>
          <t>2018-03</t>
        </is>
      </c>
      <c r="D6291" t="inlineStr">
        <is>
          <t>da14b7e2eb0d1eecf65abbd05a31c87d</t>
        </is>
      </c>
      <c r="E6291" t="inlineStr">
        <is>
          <t>(missing)</t>
        </is>
      </c>
      <c r="F6291">
        <f>IFERROR(MATCH(A6291,Deals!$A$2:$A$843,0),"")</f>
        <v/>
      </c>
      <c r="G6291">
        <f>IF(F6291="",0,1)</f>
        <v/>
      </c>
      <c r="H6291" s="29">
        <f>IF(F6291="","",INDEX(Deals!$E$2:$E$843,F6291))</f>
        <v/>
      </c>
      <c r="I6291">
        <f>IF(F6291="","",INDEX(Deals!$D$2:$D$843,F6291))</f>
        <v/>
      </c>
      <c r="J6291">
        <f>IF(F6291="","",INT(H6291)-B6291)</f>
        <v/>
      </c>
      <c r="K6291">
        <f>IF(B6291&gt;=Settings!$C$5,1,0)</f>
        <v/>
      </c>
    </row>
    <row r="6292">
      <c r="A6292" t="inlineStr">
        <is>
          <t>4e110d30a032a48c5d477667d799deaf</t>
        </is>
      </c>
      <c r="B6292" s="29" t="n">
        <v>43153</v>
      </c>
      <c r="C6292" t="inlineStr">
        <is>
          <t>2018-02</t>
        </is>
      </c>
      <c r="D6292" t="inlineStr">
        <is>
          <t>22c29808c4f815213303f8933030604c</t>
        </is>
      </c>
      <c r="E6292" t="inlineStr">
        <is>
          <t>organic_search</t>
        </is>
      </c>
      <c r="F6292">
        <f>IFERROR(MATCH(A6292,Deals!$A$2:$A$843,0),"")</f>
        <v/>
      </c>
      <c r="G6292">
        <f>IF(F6292="",0,1)</f>
        <v/>
      </c>
      <c r="H6292" s="29">
        <f>IF(F6292="","",INDEX(Deals!$E$2:$E$843,F6292))</f>
        <v/>
      </c>
      <c r="I6292">
        <f>IF(F6292="","",INDEX(Deals!$D$2:$D$843,F6292))</f>
        <v/>
      </c>
      <c r="J6292">
        <f>IF(F6292="","",INT(H6292)-B6292)</f>
        <v/>
      </c>
      <c r="K6292">
        <f>IF(B6292&gt;=Settings!$C$5,1,0)</f>
        <v/>
      </c>
    </row>
    <row r="6293">
      <c r="A6293" t="inlineStr">
        <is>
          <t>b97dc9b1917a076d96da7c0ae4e2ed72</t>
        </is>
      </c>
      <c r="B6293" s="29" t="n">
        <v>43231</v>
      </c>
      <c r="C6293" t="inlineStr">
        <is>
          <t>2018-05</t>
        </is>
      </c>
      <c r="D6293" t="inlineStr">
        <is>
          <t>22c29808c4f815213303f8933030604c</t>
        </is>
      </c>
      <c r="E6293" t="inlineStr">
        <is>
          <t>organic_search</t>
        </is>
      </c>
      <c r="F6293">
        <f>IFERROR(MATCH(A6293,Deals!$A$2:$A$843,0),"")</f>
        <v/>
      </c>
      <c r="G6293">
        <f>IF(F6293="",0,1)</f>
        <v/>
      </c>
      <c r="H6293" s="29">
        <f>IF(F6293="","",INDEX(Deals!$E$2:$E$843,F6293))</f>
        <v/>
      </c>
      <c r="I6293">
        <f>IF(F6293="","",INDEX(Deals!$D$2:$D$843,F6293))</f>
        <v/>
      </c>
      <c r="J6293">
        <f>IF(F6293="","",INT(H6293)-B6293)</f>
        <v/>
      </c>
      <c r="K6293">
        <f>IF(B6293&gt;=Settings!$C$5,1,0)</f>
        <v/>
      </c>
    </row>
    <row r="6294">
      <c r="A6294" t="inlineStr">
        <is>
          <t>c828b4e93bd75e8f7307dbddedea6480</t>
        </is>
      </c>
      <c r="B6294" s="29" t="n">
        <v>43152</v>
      </c>
      <c r="C6294" t="inlineStr">
        <is>
          <t>2018-02</t>
        </is>
      </c>
      <c r="D6294" t="inlineStr">
        <is>
          <t>54d5e01ab35155d4bd8cf723fc6f04a0</t>
        </is>
      </c>
      <c r="E6294" t="inlineStr">
        <is>
          <t>email</t>
        </is>
      </c>
      <c r="F6294">
        <f>IFERROR(MATCH(A6294,Deals!$A$2:$A$843,0),"")</f>
        <v/>
      </c>
      <c r="G6294">
        <f>IF(F6294="",0,1)</f>
        <v/>
      </c>
      <c r="H6294" s="29">
        <f>IF(F6294="","",INDEX(Deals!$E$2:$E$843,F6294))</f>
        <v/>
      </c>
      <c r="I6294">
        <f>IF(F6294="","",INDEX(Deals!$D$2:$D$843,F6294))</f>
        <v/>
      </c>
      <c r="J6294">
        <f>IF(F6294="","",INT(H6294)-B6294)</f>
        <v/>
      </c>
      <c r="K6294">
        <f>IF(B6294&gt;=Settings!$C$5,1,0)</f>
        <v/>
      </c>
    </row>
    <row r="6295">
      <c r="A6295" t="inlineStr">
        <is>
          <t>7f95cccd5ccfb40b086d93e209d08ebf</t>
        </is>
      </c>
      <c r="B6295" s="29" t="n">
        <v>43173</v>
      </c>
      <c r="C6295" t="inlineStr">
        <is>
          <t>2018-03</t>
        </is>
      </c>
      <c r="D6295" t="inlineStr">
        <is>
          <t>a0fbc0263cb98bdb0d72b9f9f283a172</t>
        </is>
      </c>
      <c r="E6295" t="inlineStr">
        <is>
          <t>paid_search</t>
        </is>
      </c>
      <c r="F6295">
        <f>IFERROR(MATCH(A6295,Deals!$A$2:$A$843,0),"")</f>
        <v/>
      </c>
      <c r="G6295">
        <f>IF(F6295="",0,1)</f>
        <v/>
      </c>
      <c r="H6295" s="29">
        <f>IF(F6295="","",INDEX(Deals!$E$2:$E$843,F6295))</f>
        <v/>
      </c>
      <c r="I6295">
        <f>IF(F6295="","",INDEX(Deals!$D$2:$D$843,F6295))</f>
        <v/>
      </c>
      <c r="J6295">
        <f>IF(F6295="","",INT(H6295)-B6295)</f>
        <v/>
      </c>
      <c r="K6295">
        <f>IF(B6295&gt;=Settings!$C$5,1,0)</f>
        <v/>
      </c>
    </row>
    <row r="6296">
      <c r="A6296" t="inlineStr">
        <is>
          <t>b426d5a2b451d679c6ed6dab4b3c5935</t>
        </is>
      </c>
      <c r="B6296" s="29" t="n">
        <v>43202</v>
      </c>
      <c r="C6296" t="inlineStr">
        <is>
          <t>2018-04</t>
        </is>
      </c>
      <c r="D6296" t="inlineStr">
        <is>
          <t>a95c02568fa55326e1cd3c09207ec4d1</t>
        </is>
      </c>
      <c r="E6296" t="inlineStr">
        <is>
          <t>paid_search</t>
        </is>
      </c>
      <c r="F6296">
        <f>IFERROR(MATCH(A6296,Deals!$A$2:$A$843,0),"")</f>
        <v/>
      </c>
      <c r="G6296">
        <f>IF(F6296="",0,1)</f>
        <v/>
      </c>
      <c r="H6296" s="29">
        <f>IF(F6296="","",INDEX(Deals!$E$2:$E$843,F6296))</f>
        <v/>
      </c>
      <c r="I6296">
        <f>IF(F6296="","",INDEX(Deals!$D$2:$D$843,F6296))</f>
        <v/>
      </c>
      <c r="J6296">
        <f>IF(F6296="","",INT(H6296)-B6296)</f>
        <v/>
      </c>
      <c r="K6296">
        <f>IF(B6296&gt;=Settings!$C$5,1,0)</f>
        <v/>
      </c>
    </row>
    <row r="6297">
      <c r="A6297" t="inlineStr">
        <is>
          <t>7c365ebfc34003c40033cc47f6116dd1</t>
        </is>
      </c>
      <c r="B6297" s="29" t="n">
        <v>42951</v>
      </c>
      <c r="C6297" t="inlineStr">
        <is>
          <t>2017-08</t>
        </is>
      </c>
      <c r="D6297" t="inlineStr">
        <is>
          <t>1694e838dffa97f640fcfa35e86e438e</t>
        </is>
      </c>
      <c r="E6297" t="inlineStr">
        <is>
          <t>organic_search</t>
        </is>
      </c>
      <c r="F6297">
        <f>IFERROR(MATCH(A6297,Deals!$A$2:$A$843,0),"")</f>
        <v/>
      </c>
      <c r="G6297">
        <f>IF(F6297="",0,1)</f>
        <v/>
      </c>
      <c r="H6297" s="29">
        <f>IF(F6297="","",INDEX(Deals!$E$2:$E$843,F6297))</f>
        <v/>
      </c>
      <c r="I6297">
        <f>IF(F6297="","",INDEX(Deals!$D$2:$D$843,F6297))</f>
        <v/>
      </c>
      <c r="J6297">
        <f>IF(F6297="","",INT(H6297)-B6297)</f>
        <v/>
      </c>
      <c r="K6297">
        <f>IF(B6297&gt;=Settings!$C$5,1,0)</f>
        <v/>
      </c>
    </row>
    <row r="6298">
      <c r="A6298" t="inlineStr">
        <is>
          <t>feb78ee29377237a3bfa93e3b61c1655</t>
        </is>
      </c>
      <c r="B6298" s="29" t="n">
        <v>43161</v>
      </c>
      <c r="C6298" t="inlineStr">
        <is>
          <t>2018-03</t>
        </is>
      </c>
      <c r="D6298" t="inlineStr">
        <is>
          <t>e492ee5eaf1697716985cc6f33f9cd9b</t>
        </is>
      </c>
      <c r="E6298" t="inlineStr">
        <is>
          <t>direct_traffic</t>
        </is>
      </c>
      <c r="F6298">
        <f>IFERROR(MATCH(A6298,Deals!$A$2:$A$843,0),"")</f>
        <v/>
      </c>
      <c r="G6298">
        <f>IF(F6298="",0,1)</f>
        <v/>
      </c>
      <c r="H6298" s="29">
        <f>IF(F6298="","",INDEX(Deals!$E$2:$E$843,F6298))</f>
        <v/>
      </c>
      <c r="I6298">
        <f>IF(F6298="","",INDEX(Deals!$D$2:$D$843,F6298))</f>
        <v/>
      </c>
      <c r="J6298">
        <f>IF(F6298="","",INT(H6298)-B6298)</f>
        <v/>
      </c>
      <c r="K6298">
        <f>IF(B6298&gt;=Settings!$C$5,1,0)</f>
        <v/>
      </c>
    </row>
    <row r="6299">
      <c r="A6299" t="inlineStr">
        <is>
          <t>9cdb4000a2c0e308cd60aaa1cc1255e8</t>
        </is>
      </c>
      <c r="B6299" s="29" t="n">
        <v>43091</v>
      </c>
      <c r="C6299" t="inlineStr">
        <is>
          <t>2017-12</t>
        </is>
      </c>
      <c r="D6299" t="inlineStr">
        <is>
          <t>88740e65d5d6b056e0cda098e1ea6313</t>
        </is>
      </c>
      <c r="E6299" t="inlineStr">
        <is>
          <t>social</t>
        </is>
      </c>
      <c r="F6299">
        <f>IFERROR(MATCH(A6299,Deals!$A$2:$A$843,0),"")</f>
        <v/>
      </c>
      <c r="G6299">
        <f>IF(F6299="",0,1)</f>
        <v/>
      </c>
      <c r="H6299" s="29">
        <f>IF(F6299="","",INDEX(Deals!$E$2:$E$843,F6299))</f>
        <v/>
      </c>
      <c r="I6299">
        <f>IF(F6299="","",INDEX(Deals!$D$2:$D$843,F6299))</f>
        <v/>
      </c>
      <c r="J6299">
        <f>IF(F6299="","",INT(H6299)-B6299)</f>
        <v/>
      </c>
      <c r="K6299">
        <f>IF(B6299&gt;=Settings!$C$5,1,0)</f>
        <v/>
      </c>
    </row>
    <row r="6300">
      <c r="A6300" t="inlineStr">
        <is>
          <t>ca8e7293f583c27697759e87b2c8939e</t>
        </is>
      </c>
      <c r="B6300" s="29" t="n">
        <v>43142</v>
      </c>
      <c r="C6300" t="inlineStr">
        <is>
          <t>2018-02</t>
        </is>
      </c>
      <c r="D6300" t="inlineStr">
        <is>
          <t>88740e65d5d6b056e0cda098e1ea6313</t>
        </is>
      </c>
      <c r="E6300" t="inlineStr">
        <is>
          <t>social</t>
        </is>
      </c>
      <c r="F6300">
        <f>IFERROR(MATCH(A6300,Deals!$A$2:$A$843,0),"")</f>
        <v/>
      </c>
      <c r="G6300">
        <f>IF(F6300="",0,1)</f>
        <v/>
      </c>
      <c r="H6300" s="29">
        <f>IF(F6300="","",INDEX(Deals!$E$2:$E$843,F6300))</f>
        <v/>
      </c>
      <c r="I6300">
        <f>IF(F6300="","",INDEX(Deals!$D$2:$D$843,F6300))</f>
        <v/>
      </c>
      <c r="J6300">
        <f>IF(F6300="","",INT(H6300)-B6300)</f>
        <v/>
      </c>
      <c r="K6300">
        <f>IF(B6300&gt;=Settings!$C$5,1,0)</f>
        <v/>
      </c>
    </row>
    <row r="6301">
      <c r="A6301" t="inlineStr">
        <is>
          <t>d7051cd5577152e670abbf27b534b704</t>
        </is>
      </c>
      <c r="B6301" s="29" t="n">
        <v>43029</v>
      </c>
      <c r="C6301" t="inlineStr">
        <is>
          <t>2017-10</t>
        </is>
      </c>
      <c r="D6301" t="inlineStr">
        <is>
          <t>22c29808c4f815213303f8933030604c</t>
        </is>
      </c>
      <c r="E6301" t="inlineStr">
        <is>
          <t>referral</t>
        </is>
      </c>
      <c r="F6301">
        <f>IFERROR(MATCH(A6301,Deals!$A$2:$A$843,0),"")</f>
        <v/>
      </c>
      <c r="G6301">
        <f>IF(F6301="",0,1)</f>
        <v/>
      </c>
      <c r="H6301" s="29">
        <f>IF(F6301="","",INDEX(Deals!$E$2:$E$843,F6301))</f>
        <v/>
      </c>
      <c r="I6301">
        <f>IF(F6301="","",INDEX(Deals!$D$2:$D$843,F6301))</f>
        <v/>
      </c>
      <c r="J6301">
        <f>IF(F6301="","",INT(H6301)-B6301)</f>
        <v/>
      </c>
      <c r="K6301">
        <f>IF(B6301&gt;=Settings!$C$5,1,0)</f>
        <v/>
      </c>
    </row>
    <row r="6302">
      <c r="A6302" t="inlineStr">
        <is>
          <t>59d49e1ef1cc5496dfde1a1cc0c74004</t>
        </is>
      </c>
      <c r="B6302" s="29" t="n">
        <v>43180</v>
      </c>
      <c r="C6302" t="inlineStr">
        <is>
          <t>2018-03</t>
        </is>
      </c>
      <c r="D6302" t="inlineStr">
        <is>
          <t>b76ef37428e6799c421989521c0e5077</t>
        </is>
      </c>
      <c r="E6302" t="inlineStr">
        <is>
          <t>unknown</t>
        </is>
      </c>
      <c r="F6302">
        <f>IFERROR(MATCH(A6302,Deals!$A$2:$A$843,0),"")</f>
        <v/>
      </c>
      <c r="G6302">
        <f>IF(F6302="",0,1)</f>
        <v/>
      </c>
      <c r="H6302" s="29">
        <f>IF(F6302="","",INDEX(Deals!$E$2:$E$843,F6302))</f>
        <v/>
      </c>
      <c r="I6302">
        <f>IF(F6302="","",INDEX(Deals!$D$2:$D$843,F6302))</f>
        <v/>
      </c>
      <c r="J6302">
        <f>IF(F6302="","",INT(H6302)-B6302)</f>
        <v/>
      </c>
      <c r="K6302">
        <f>IF(B6302&gt;=Settings!$C$5,1,0)</f>
        <v/>
      </c>
    </row>
    <row r="6303">
      <c r="A6303" t="inlineStr">
        <is>
          <t>ad026dff540c995d19c383521dbb1c3b</t>
        </is>
      </c>
      <c r="B6303" s="29" t="n">
        <v>43167</v>
      </c>
      <c r="C6303" t="inlineStr">
        <is>
          <t>2018-03</t>
        </is>
      </c>
      <c r="D6303" t="inlineStr">
        <is>
          <t>a0fbc0263cb98bdb0d72b9f9f283a172</t>
        </is>
      </c>
      <c r="E6303" t="inlineStr">
        <is>
          <t>paid_search</t>
        </is>
      </c>
      <c r="F6303">
        <f>IFERROR(MATCH(A6303,Deals!$A$2:$A$843,0),"")</f>
        <v/>
      </c>
      <c r="G6303">
        <f>IF(F6303="",0,1)</f>
        <v/>
      </c>
      <c r="H6303" s="29">
        <f>IF(F6303="","",INDEX(Deals!$E$2:$E$843,F6303))</f>
        <v/>
      </c>
      <c r="I6303">
        <f>IF(F6303="","",INDEX(Deals!$D$2:$D$843,F6303))</f>
        <v/>
      </c>
      <c r="J6303">
        <f>IF(F6303="","",INT(H6303)-B6303)</f>
        <v/>
      </c>
      <c r="K6303">
        <f>IF(B6303&gt;=Settings!$C$5,1,0)</f>
        <v/>
      </c>
    </row>
    <row r="6304">
      <c r="A6304" t="inlineStr">
        <is>
          <t>195e177726dca8a0914e3720f7445285</t>
        </is>
      </c>
      <c r="B6304" s="29" t="n">
        <v>43158</v>
      </c>
      <c r="C6304" t="inlineStr">
        <is>
          <t>2018-02</t>
        </is>
      </c>
      <c r="D6304" t="inlineStr">
        <is>
          <t>bddebc4f4d44106c427bd00695840e64</t>
        </is>
      </c>
      <c r="E6304" t="inlineStr">
        <is>
          <t>email</t>
        </is>
      </c>
      <c r="F6304">
        <f>IFERROR(MATCH(A6304,Deals!$A$2:$A$843,0),"")</f>
        <v/>
      </c>
      <c r="G6304">
        <f>IF(F6304="",0,1)</f>
        <v/>
      </c>
      <c r="H6304" s="29">
        <f>IF(F6304="","",INDEX(Deals!$E$2:$E$843,F6304))</f>
        <v/>
      </c>
      <c r="I6304">
        <f>IF(F6304="","",INDEX(Deals!$D$2:$D$843,F6304))</f>
        <v/>
      </c>
      <c r="J6304">
        <f>IF(F6304="","",INT(H6304)-B6304)</f>
        <v/>
      </c>
      <c r="K6304">
        <f>IF(B6304&gt;=Settings!$C$5,1,0)</f>
        <v/>
      </c>
    </row>
    <row r="6305">
      <c r="A6305" t="inlineStr">
        <is>
          <t>963804be09622f182e4dde9d9e0568fa</t>
        </is>
      </c>
      <c r="B6305" s="29" t="n">
        <v>43128</v>
      </c>
      <c r="C6305" t="inlineStr">
        <is>
          <t>2018-01</t>
        </is>
      </c>
      <c r="D6305" t="inlineStr">
        <is>
          <t>88740e65d5d6b056e0cda098e1ea6313</t>
        </is>
      </c>
      <c r="E6305" t="inlineStr">
        <is>
          <t>social</t>
        </is>
      </c>
      <c r="F6305">
        <f>IFERROR(MATCH(A6305,Deals!$A$2:$A$843,0),"")</f>
        <v/>
      </c>
      <c r="G6305">
        <f>IF(F6305="",0,1)</f>
        <v/>
      </c>
      <c r="H6305" s="29">
        <f>IF(F6305="","",INDEX(Deals!$E$2:$E$843,F6305))</f>
        <v/>
      </c>
      <c r="I6305">
        <f>IF(F6305="","",INDEX(Deals!$D$2:$D$843,F6305))</f>
        <v/>
      </c>
      <c r="J6305">
        <f>IF(F6305="","",INT(H6305)-B6305)</f>
        <v/>
      </c>
      <c r="K6305">
        <f>IF(B6305&gt;=Settings!$C$5,1,0)</f>
        <v/>
      </c>
    </row>
    <row r="6306">
      <c r="A6306" t="inlineStr">
        <is>
          <t>c8aac3305163e4e8146ec929d36cf85c</t>
        </is>
      </c>
      <c r="B6306" s="29" t="n">
        <v>43073</v>
      </c>
      <c r="C6306" t="inlineStr">
        <is>
          <t>2017-12</t>
        </is>
      </c>
      <c r="D6306" t="inlineStr">
        <is>
          <t>87780f7c05ecd79791bde76af663db15</t>
        </is>
      </c>
      <c r="E6306" t="inlineStr">
        <is>
          <t>social</t>
        </is>
      </c>
      <c r="F6306">
        <f>IFERROR(MATCH(A6306,Deals!$A$2:$A$843,0),"")</f>
        <v/>
      </c>
      <c r="G6306">
        <f>IF(F6306="",0,1)</f>
        <v/>
      </c>
      <c r="H6306" s="29">
        <f>IF(F6306="","",INDEX(Deals!$E$2:$E$843,F6306))</f>
        <v/>
      </c>
      <c r="I6306">
        <f>IF(F6306="","",INDEX(Deals!$D$2:$D$843,F6306))</f>
        <v/>
      </c>
      <c r="J6306">
        <f>IF(F6306="","",INT(H6306)-B6306)</f>
        <v/>
      </c>
      <c r="K6306">
        <f>IF(B6306&gt;=Settings!$C$5,1,0)</f>
        <v/>
      </c>
    </row>
    <row r="6307">
      <c r="A6307" t="inlineStr">
        <is>
          <t>fb414e2a21907d9aeb4e7d9715a92a00</t>
        </is>
      </c>
      <c r="B6307" s="29" t="n">
        <v>43210</v>
      </c>
      <c r="C6307" t="inlineStr">
        <is>
          <t>2018-04</t>
        </is>
      </c>
      <c r="D6307" t="inlineStr">
        <is>
          <t>58326e62183c14b0c03085c33b9fdc44</t>
        </is>
      </c>
      <c r="E6307" t="inlineStr">
        <is>
          <t>social</t>
        </is>
      </c>
      <c r="F6307">
        <f>IFERROR(MATCH(A6307,Deals!$A$2:$A$843,0),"")</f>
        <v/>
      </c>
      <c r="G6307">
        <f>IF(F6307="",0,1)</f>
        <v/>
      </c>
      <c r="H6307" s="29">
        <f>IF(F6307="","",INDEX(Deals!$E$2:$E$843,F6307))</f>
        <v/>
      </c>
      <c r="I6307">
        <f>IF(F6307="","",INDEX(Deals!$D$2:$D$843,F6307))</f>
        <v/>
      </c>
      <c r="J6307">
        <f>IF(F6307="","",INT(H6307)-B6307)</f>
        <v/>
      </c>
      <c r="K6307">
        <f>IF(B6307&gt;=Settings!$C$5,1,0)</f>
        <v/>
      </c>
    </row>
    <row r="6308">
      <c r="A6308" t="inlineStr">
        <is>
          <t>fa80153c38c0265b4dbaaaabc54f7485</t>
        </is>
      </c>
      <c r="B6308" s="29" t="n">
        <v>43168</v>
      </c>
      <c r="C6308" t="inlineStr">
        <is>
          <t>2018-03</t>
        </is>
      </c>
      <c r="D6308" t="inlineStr">
        <is>
          <t>b76ef37428e6799c421989521c0e5077</t>
        </is>
      </c>
      <c r="E6308" t="inlineStr">
        <is>
          <t>unknown</t>
        </is>
      </c>
      <c r="F6308">
        <f>IFERROR(MATCH(A6308,Deals!$A$2:$A$843,0),"")</f>
        <v/>
      </c>
      <c r="G6308">
        <f>IF(F6308="",0,1)</f>
        <v/>
      </c>
      <c r="H6308" s="29">
        <f>IF(F6308="","",INDEX(Deals!$E$2:$E$843,F6308))</f>
        <v/>
      </c>
      <c r="I6308">
        <f>IF(F6308="","",INDEX(Deals!$D$2:$D$843,F6308))</f>
        <v/>
      </c>
      <c r="J6308">
        <f>IF(F6308="","",INT(H6308)-B6308)</f>
        <v/>
      </c>
      <c r="K6308">
        <f>IF(B6308&gt;=Settings!$C$5,1,0)</f>
        <v/>
      </c>
    </row>
    <row r="6309">
      <c r="A6309" t="inlineStr">
        <is>
          <t>001d3439223b7bb23ed89b9c8890d096</t>
        </is>
      </c>
      <c r="B6309" s="29" t="n">
        <v>43204</v>
      </c>
      <c r="C6309" t="inlineStr">
        <is>
          <t>2018-04</t>
        </is>
      </c>
      <c r="D6309" t="inlineStr">
        <is>
          <t>35c9b150ab36fe584c1f24fd458c453a</t>
        </is>
      </c>
      <c r="E6309" t="inlineStr">
        <is>
          <t>paid_search</t>
        </is>
      </c>
      <c r="F6309">
        <f>IFERROR(MATCH(A6309,Deals!$A$2:$A$843,0),"")</f>
        <v/>
      </c>
      <c r="G6309">
        <f>IF(F6309="",0,1)</f>
        <v/>
      </c>
      <c r="H6309" s="29">
        <f>IF(F6309="","",INDEX(Deals!$E$2:$E$843,F6309))</f>
        <v/>
      </c>
      <c r="I6309">
        <f>IF(F6309="","",INDEX(Deals!$D$2:$D$843,F6309))</f>
        <v/>
      </c>
      <c r="J6309">
        <f>IF(F6309="","",INT(H6309)-B6309)</f>
        <v/>
      </c>
      <c r="K6309">
        <f>IF(B6309&gt;=Settings!$C$5,1,0)</f>
        <v/>
      </c>
    </row>
    <row r="6310">
      <c r="A6310" t="inlineStr">
        <is>
          <t>21775204c891c30a8bdbce38be61b422</t>
        </is>
      </c>
      <c r="B6310" s="29" t="n">
        <v>42971</v>
      </c>
      <c r="C6310" t="inlineStr">
        <is>
          <t>2017-08</t>
        </is>
      </c>
      <c r="D6310" t="inlineStr">
        <is>
          <t>0f25be78376bbbaba8553051e980b83c</t>
        </is>
      </c>
      <c r="E6310" t="inlineStr">
        <is>
          <t>paid_search</t>
        </is>
      </c>
      <c r="F6310">
        <f>IFERROR(MATCH(A6310,Deals!$A$2:$A$843,0),"")</f>
        <v/>
      </c>
      <c r="G6310">
        <f>IF(F6310="",0,1)</f>
        <v/>
      </c>
      <c r="H6310" s="29">
        <f>IF(F6310="","",INDEX(Deals!$E$2:$E$843,F6310))</f>
        <v/>
      </c>
      <c r="I6310">
        <f>IF(F6310="","",INDEX(Deals!$D$2:$D$843,F6310))</f>
        <v/>
      </c>
      <c r="J6310">
        <f>IF(F6310="","",INT(H6310)-B6310)</f>
        <v/>
      </c>
      <c r="K6310">
        <f>IF(B6310&gt;=Settings!$C$5,1,0)</f>
        <v/>
      </c>
    </row>
    <row r="6311">
      <c r="A6311" t="inlineStr">
        <is>
          <t>87786131694e11c1ba38107de8ffae8e</t>
        </is>
      </c>
      <c r="B6311" s="29" t="n">
        <v>43233</v>
      </c>
      <c r="C6311" t="inlineStr">
        <is>
          <t>2018-05</t>
        </is>
      </c>
      <c r="D6311" t="inlineStr">
        <is>
          <t>58326e62183c14b0c03085c33b9fdc44</t>
        </is>
      </c>
      <c r="E6311" t="inlineStr">
        <is>
          <t>social</t>
        </is>
      </c>
      <c r="F6311">
        <f>IFERROR(MATCH(A6311,Deals!$A$2:$A$843,0),"")</f>
        <v/>
      </c>
      <c r="G6311">
        <f>IF(F6311="",0,1)</f>
        <v/>
      </c>
      <c r="H6311" s="29">
        <f>IF(F6311="","",INDEX(Deals!$E$2:$E$843,F6311))</f>
        <v/>
      </c>
      <c r="I6311">
        <f>IF(F6311="","",INDEX(Deals!$D$2:$D$843,F6311))</f>
        <v/>
      </c>
      <c r="J6311">
        <f>IF(F6311="","",INT(H6311)-B6311)</f>
        <v/>
      </c>
      <c r="K6311">
        <f>IF(B6311&gt;=Settings!$C$5,1,0)</f>
        <v/>
      </c>
    </row>
    <row r="6312">
      <c r="A6312" t="inlineStr">
        <is>
          <t>5baaf1929e42802a02e0093561aa2ea2</t>
        </is>
      </c>
      <c r="B6312" s="29" t="n">
        <v>43139</v>
      </c>
      <c r="C6312" t="inlineStr">
        <is>
          <t>2018-02</t>
        </is>
      </c>
      <c r="D6312" t="inlineStr">
        <is>
          <t>40dec9f3d5259a3d2dbcdab2114fae47</t>
        </is>
      </c>
      <c r="E6312" t="inlineStr">
        <is>
          <t>paid_search</t>
        </is>
      </c>
      <c r="F6312">
        <f>IFERROR(MATCH(A6312,Deals!$A$2:$A$843,0),"")</f>
        <v/>
      </c>
      <c r="G6312">
        <f>IF(F6312="",0,1)</f>
        <v/>
      </c>
      <c r="H6312" s="29">
        <f>IF(F6312="","",INDEX(Deals!$E$2:$E$843,F6312))</f>
        <v/>
      </c>
      <c r="I6312">
        <f>IF(F6312="","",INDEX(Deals!$D$2:$D$843,F6312))</f>
        <v/>
      </c>
      <c r="J6312">
        <f>IF(F6312="","",INT(H6312)-B6312)</f>
        <v/>
      </c>
      <c r="K6312">
        <f>IF(B6312&gt;=Settings!$C$5,1,0)</f>
        <v/>
      </c>
    </row>
    <row r="6313">
      <c r="A6313" t="inlineStr">
        <is>
          <t>ca772cc23c0069d24e8d7e6dd0b7b40c</t>
        </is>
      </c>
      <c r="B6313" s="29" t="n">
        <v>43181</v>
      </c>
      <c r="C6313" t="inlineStr">
        <is>
          <t>2018-03</t>
        </is>
      </c>
      <c r="D6313" t="inlineStr">
        <is>
          <t>40dec9f3d5259a3d2dbcdab2114fae47</t>
        </is>
      </c>
      <c r="E6313" t="inlineStr">
        <is>
          <t>paid_search</t>
        </is>
      </c>
      <c r="F6313">
        <f>IFERROR(MATCH(A6313,Deals!$A$2:$A$843,0),"")</f>
        <v/>
      </c>
      <c r="G6313">
        <f>IF(F6313="",0,1)</f>
        <v/>
      </c>
      <c r="H6313" s="29">
        <f>IF(F6313="","",INDEX(Deals!$E$2:$E$843,F6313))</f>
        <v/>
      </c>
      <c r="I6313">
        <f>IF(F6313="","",INDEX(Deals!$D$2:$D$843,F6313))</f>
        <v/>
      </c>
      <c r="J6313">
        <f>IF(F6313="","",INT(H6313)-B6313)</f>
        <v/>
      </c>
      <c r="K6313">
        <f>IF(B6313&gt;=Settings!$C$5,1,0)</f>
        <v/>
      </c>
    </row>
    <row r="6314">
      <c r="A6314" t="inlineStr">
        <is>
          <t>40d1e4a3f1f801fa779a5f648031300c</t>
        </is>
      </c>
      <c r="B6314" s="29" t="n">
        <v>43183</v>
      </c>
      <c r="C6314" t="inlineStr">
        <is>
          <t>2018-03</t>
        </is>
      </c>
      <c r="D6314" t="inlineStr">
        <is>
          <t>489a340e7e59e0bcbec67b4a19c1b229</t>
        </is>
      </c>
      <c r="E6314" t="inlineStr">
        <is>
          <t>organic_search</t>
        </is>
      </c>
      <c r="F6314">
        <f>IFERROR(MATCH(A6314,Deals!$A$2:$A$843,0),"")</f>
        <v/>
      </c>
      <c r="G6314">
        <f>IF(F6314="",0,1)</f>
        <v/>
      </c>
      <c r="H6314" s="29">
        <f>IF(F6314="","",INDEX(Deals!$E$2:$E$843,F6314))</f>
        <v/>
      </c>
      <c r="I6314">
        <f>IF(F6314="","",INDEX(Deals!$D$2:$D$843,F6314))</f>
        <v/>
      </c>
      <c r="J6314">
        <f>IF(F6314="","",INT(H6314)-B6314)</f>
        <v/>
      </c>
      <c r="K6314">
        <f>IF(B6314&gt;=Settings!$C$5,1,0)</f>
        <v/>
      </c>
    </row>
    <row r="6315">
      <c r="A6315" t="inlineStr">
        <is>
          <t>19b919b394e6637fb5decaa848a20d1c</t>
        </is>
      </c>
      <c r="B6315" s="29" t="n">
        <v>43144</v>
      </c>
      <c r="C6315" t="inlineStr">
        <is>
          <t>2018-02</t>
        </is>
      </c>
      <c r="D6315" t="inlineStr">
        <is>
          <t>241f79c7a8fe0270f4fb79fcbbcd17ad</t>
        </is>
      </c>
      <c r="E6315" t="inlineStr">
        <is>
          <t>organic_search</t>
        </is>
      </c>
      <c r="F6315">
        <f>IFERROR(MATCH(A6315,Deals!$A$2:$A$843,0),"")</f>
        <v/>
      </c>
      <c r="G6315">
        <f>IF(F6315="",0,1)</f>
        <v/>
      </c>
      <c r="H6315" s="29">
        <f>IF(F6315="","",INDEX(Deals!$E$2:$E$843,F6315))</f>
        <v/>
      </c>
      <c r="I6315">
        <f>IF(F6315="","",INDEX(Deals!$D$2:$D$843,F6315))</f>
        <v/>
      </c>
      <c r="J6315">
        <f>IF(F6315="","",INT(H6315)-B6315)</f>
        <v/>
      </c>
      <c r="K6315">
        <f>IF(B6315&gt;=Settings!$C$5,1,0)</f>
        <v/>
      </c>
    </row>
    <row r="6316">
      <c r="A6316" t="inlineStr">
        <is>
          <t>5f65779385b869a20f71cc0bc77311cd</t>
        </is>
      </c>
      <c r="B6316" s="29" t="n">
        <v>43055</v>
      </c>
      <c r="C6316" t="inlineStr">
        <is>
          <t>2017-11</t>
        </is>
      </c>
      <c r="D6316" t="inlineStr">
        <is>
          <t>e492ee5eaf1697716985cc6f33f9cd9b</t>
        </is>
      </c>
      <c r="E6316" t="inlineStr">
        <is>
          <t>organic_search</t>
        </is>
      </c>
      <c r="F6316">
        <f>IFERROR(MATCH(A6316,Deals!$A$2:$A$843,0),"")</f>
        <v/>
      </c>
      <c r="G6316">
        <f>IF(F6316="",0,1)</f>
        <v/>
      </c>
      <c r="H6316" s="29">
        <f>IF(F6316="","",INDEX(Deals!$E$2:$E$843,F6316))</f>
        <v/>
      </c>
      <c r="I6316">
        <f>IF(F6316="","",INDEX(Deals!$D$2:$D$843,F6316))</f>
        <v/>
      </c>
      <c r="J6316">
        <f>IF(F6316="","",INT(H6316)-B6316)</f>
        <v/>
      </c>
      <c r="K6316">
        <f>IF(B6316&gt;=Settings!$C$5,1,0)</f>
        <v/>
      </c>
    </row>
    <row r="6317">
      <c r="A6317" t="inlineStr">
        <is>
          <t>4f2f8ee0331d05de182065745dac1ad3</t>
        </is>
      </c>
      <c r="B6317" s="29" t="n">
        <v>43171</v>
      </c>
      <c r="C6317" t="inlineStr">
        <is>
          <t>2018-03</t>
        </is>
      </c>
      <c r="D6317" t="inlineStr">
        <is>
          <t>241f79c7a8fe0270f4fb79fcbbcd17ad</t>
        </is>
      </c>
      <c r="E6317" t="inlineStr">
        <is>
          <t>paid_search</t>
        </is>
      </c>
      <c r="F6317">
        <f>IFERROR(MATCH(A6317,Deals!$A$2:$A$843,0),"")</f>
        <v/>
      </c>
      <c r="G6317">
        <f>IF(F6317="",0,1)</f>
        <v/>
      </c>
      <c r="H6317" s="29">
        <f>IF(F6317="","",INDEX(Deals!$E$2:$E$843,F6317))</f>
        <v/>
      </c>
      <c r="I6317">
        <f>IF(F6317="","",INDEX(Deals!$D$2:$D$843,F6317))</f>
        <v/>
      </c>
      <c r="J6317">
        <f>IF(F6317="","",INT(H6317)-B6317)</f>
        <v/>
      </c>
      <c r="K6317">
        <f>IF(B6317&gt;=Settings!$C$5,1,0)</f>
        <v/>
      </c>
    </row>
    <row r="6318">
      <c r="A6318" t="inlineStr">
        <is>
          <t>e94378d015c20a82b0585c1011f97d7e</t>
        </is>
      </c>
      <c r="B6318" s="29" t="n">
        <v>42993</v>
      </c>
      <c r="C6318" t="inlineStr">
        <is>
          <t>2017-09</t>
        </is>
      </c>
      <c r="D6318" t="inlineStr">
        <is>
          <t>22c29808c4f815213303f8933030604c</t>
        </is>
      </c>
      <c r="E6318" t="inlineStr">
        <is>
          <t>organic_search</t>
        </is>
      </c>
      <c r="F6318">
        <f>IFERROR(MATCH(A6318,Deals!$A$2:$A$843,0),"")</f>
        <v/>
      </c>
      <c r="G6318">
        <f>IF(F6318="",0,1)</f>
        <v/>
      </c>
      <c r="H6318" s="29">
        <f>IF(F6318="","",INDEX(Deals!$E$2:$E$843,F6318))</f>
        <v/>
      </c>
      <c r="I6318">
        <f>IF(F6318="","",INDEX(Deals!$D$2:$D$843,F6318))</f>
        <v/>
      </c>
      <c r="J6318">
        <f>IF(F6318="","",INT(H6318)-B6318)</f>
        <v/>
      </c>
      <c r="K6318">
        <f>IF(B6318&gt;=Settings!$C$5,1,0)</f>
        <v/>
      </c>
    </row>
    <row r="6319">
      <c r="A6319" t="inlineStr">
        <is>
          <t>5246c96db29909e5fc9432e1db33c2b5</t>
        </is>
      </c>
      <c r="B6319" s="29" t="n">
        <v>43123</v>
      </c>
      <c r="C6319" t="inlineStr">
        <is>
          <t>2018-01</t>
        </is>
      </c>
      <c r="D6319" t="inlineStr">
        <is>
          <t>f017be4dbf86243af5c1ebed0cff36a2</t>
        </is>
      </c>
      <c r="E6319" t="inlineStr">
        <is>
          <t>organic_search</t>
        </is>
      </c>
      <c r="F6319">
        <f>IFERROR(MATCH(A6319,Deals!$A$2:$A$843,0),"")</f>
        <v/>
      </c>
      <c r="G6319">
        <f>IF(F6319="",0,1)</f>
        <v/>
      </c>
      <c r="H6319" s="29">
        <f>IF(F6319="","",INDEX(Deals!$E$2:$E$843,F6319))</f>
        <v/>
      </c>
      <c r="I6319">
        <f>IF(F6319="","",INDEX(Deals!$D$2:$D$843,F6319))</f>
        <v/>
      </c>
      <c r="J6319">
        <f>IF(F6319="","",INT(H6319)-B6319)</f>
        <v/>
      </c>
      <c r="K6319">
        <f>IF(B6319&gt;=Settings!$C$5,1,0)</f>
        <v/>
      </c>
    </row>
    <row r="6320">
      <c r="A6320" t="inlineStr">
        <is>
          <t>b98004311446c60521a8831075423c20</t>
        </is>
      </c>
      <c r="B6320" s="29" t="n">
        <v>43237</v>
      </c>
      <c r="C6320" t="inlineStr">
        <is>
          <t>2018-05</t>
        </is>
      </c>
      <c r="D6320" t="inlineStr">
        <is>
          <t>21a104c3279681d9856b8a48723c4fee</t>
        </is>
      </c>
      <c r="E6320" t="inlineStr">
        <is>
          <t>organic_search</t>
        </is>
      </c>
      <c r="F6320">
        <f>IFERROR(MATCH(A6320,Deals!$A$2:$A$843,0),"")</f>
        <v/>
      </c>
      <c r="G6320">
        <f>IF(F6320="",0,1)</f>
        <v/>
      </c>
      <c r="H6320" s="29">
        <f>IF(F6320="","",INDEX(Deals!$E$2:$E$843,F6320))</f>
        <v/>
      </c>
      <c r="I6320">
        <f>IF(F6320="","",INDEX(Deals!$D$2:$D$843,F6320))</f>
        <v/>
      </c>
      <c r="J6320">
        <f>IF(F6320="","",INT(H6320)-B6320)</f>
        <v/>
      </c>
      <c r="K6320">
        <f>IF(B6320&gt;=Settings!$C$5,1,0)</f>
        <v/>
      </c>
    </row>
    <row r="6321">
      <c r="A6321" t="inlineStr">
        <is>
          <t>59dde4945f938af0224dc8f323348f35</t>
        </is>
      </c>
      <c r="B6321" s="29" t="n">
        <v>43046</v>
      </c>
      <c r="C6321" t="inlineStr">
        <is>
          <t>2017-11</t>
        </is>
      </c>
      <c r="D6321" t="inlineStr">
        <is>
          <t>65d9f9d71e562365e8b44037c2888d98</t>
        </is>
      </c>
      <c r="E6321" t="inlineStr">
        <is>
          <t>paid_search</t>
        </is>
      </c>
      <c r="F6321">
        <f>IFERROR(MATCH(A6321,Deals!$A$2:$A$843,0),"")</f>
        <v/>
      </c>
      <c r="G6321">
        <f>IF(F6321="",0,1)</f>
        <v/>
      </c>
      <c r="H6321" s="29">
        <f>IF(F6321="","",INDEX(Deals!$E$2:$E$843,F6321))</f>
        <v/>
      </c>
      <c r="I6321">
        <f>IF(F6321="","",INDEX(Deals!$D$2:$D$843,F6321))</f>
        <v/>
      </c>
      <c r="J6321">
        <f>IF(F6321="","",INT(H6321)-B6321)</f>
        <v/>
      </c>
      <c r="K6321">
        <f>IF(B6321&gt;=Settings!$C$5,1,0)</f>
        <v/>
      </c>
    </row>
    <row r="6322">
      <c r="A6322" t="inlineStr">
        <is>
          <t>dfbc43ed522050e969e8fca978cbdcb3</t>
        </is>
      </c>
      <c r="B6322" s="29" t="n">
        <v>43207</v>
      </c>
      <c r="C6322" t="inlineStr">
        <is>
          <t>2018-04</t>
        </is>
      </c>
      <c r="D6322" t="inlineStr">
        <is>
          <t>58326e62183c14b0c03085c33b9fdc44</t>
        </is>
      </c>
      <c r="E6322" t="inlineStr">
        <is>
          <t>social</t>
        </is>
      </c>
      <c r="F6322">
        <f>IFERROR(MATCH(A6322,Deals!$A$2:$A$843,0),"")</f>
        <v/>
      </c>
      <c r="G6322">
        <f>IF(F6322="",0,1)</f>
        <v/>
      </c>
      <c r="H6322" s="29">
        <f>IF(F6322="","",INDEX(Deals!$E$2:$E$843,F6322))</f>
        <v/>
      </c>
      <c r="I6322">
        <f>IF(F6322="","",INDEX(Deals!$D$2:$D$843,F6322))</f>
        <v/>
      </c>
      <c r="J6322">
        <f>IF(F6322="","",INT(H6322)-B6322)</f>
        <v/>
      </c>
      <c r="K6322">
        <f>IF(B6322&gt;=Settings!$C$5,1,0)</f>
        <v/>
      </c>
    </row>
    <row r="6323">
      <c r="A6323" t="inlineStr">
        <is>
          <t>dbf25bb9667ad45905359f401d0ffb60</t>
        </is>
      </c>
      <c r="B6323" s="29" t="n">
        <v>43206</v>
      </c>
      <c r="C6323" t="inlineStr">
        <is>
          <t>2018-04</t>
        </is>
      </c>
      <c r="D6323" t="inlineStr">
        <is>
          <t>22c29808c4f815213303f8933030604c</t>
        </is>
      </c>
      <c r="E6323" t="inlineStr">
        <is>
          <t>paid_search</t>
        </is>
      </c>
      <c r="F6323">
        <f>IFERROR(MATCH(A6323,Deals!$A$2:$A$843,0),"")</f>
        <v/>
      </c>
      <c r="G6323">
        <f>IF(F6323="",0,1)</f>
        <v/>
      </c>
      <c r="H6323" s="29">
        <f>IF(F6323="","",INDEX(Deals!$E$2:$E$843,F6323))</f>
        <v/>
      </c>
      <c r="I6323">
        <f>IF(F6323="","",INDEX(Deals!$D$2:$D$843,F6323))</f>
        <v/>
      </c>
      <c r="J6323">
        <f>IF(F6323="","",INT(H6323)-B6323)</f>
        <v/>
      </c>
      <c r="K6323">
        <f>IF(B6323&gt;=Settings!$C$5,1,0)</f>
        <v/>
      </c>
    </row>
    <row r="6324">
      <c r="A6324" t="inlineStr">
        <is>
          <t>994b6ab829b64d07357dbbb654025d5c</t>
        </is>
      </c>
      <c r="B6324" s="29" t="n">
        <v>43090</v>
      </c>
      <c r="C6324" t="inlineStr">
        <is>
          <t>2017-12</t>
        </is>
      </c>
      <c r="D6324" t="inlineStr">
        <is>
          <t>88740e65d5d6b056e0cda098e1ea6313</t>
        </is>
      </c>
      <c r="E6324" t="inlineStr">
        <is>
          <t>social</t>
        </is>
      </c>
      <c r="F6324">
        <f>IFERROR(MATCH(A6324,Deals!$A$2:$A$843,0),"")</f>
        <v/>
      </c>
      <c r="G6324">
        <f>IF(F6324="",0,1)</f>
        <v/>
      </c>
      <c r="H6324" s="29">
        <f>IF(F6324="","",INDEX(Deals!$E$2:$E$843,F6324))</f>
        <v/>
      </c>
      <c r="I6324">
        <f>IF(F6324="","",INDEX(Deals!$D$2:$D$843,F6324))</f>
        <v/>
      </c>
      <c r="J6324">
        <f>IF(F6324="","",INT(H6324)-B6324)</f>
        <v/>
      </c>
      <c r="K6324">
        <f>IF(B6324&gt;=Settings!$C$5,1,0)</f>
        <v/>
      </c>
    </row>
    <row r="6325">
      <c r="A6325" t="inlineStr">
        <is>
          <t>60ac4f31ab5b2ee3e0372030eb2a19de</t>
        </is>
      </c>
      <c r="B6325" s="29" t="n">
        <v>43102</v>
      </c>
      <c r="C6325" t="inlineStr">
        <is>
          <t>2018-01</t>
        </is>
      </c>
      <c r="D6325" t="inlineStr">
        <is>
          <t>b6885f18d203a61176418c1fb3764815</t>
        </is>
      </c>
      <c r="E6325" t="inlineStr">
        <is>
          <t>paid_search</t>
        </is>
      </c>
      <c r="F6325">
        <f>IFERROR(MATCH(A6325,Deals!$A$2:$A$843,0),"")</f>
        <v/>
      </c>
      <c r="G6325">
        <f>IF(F6325="",0,1)</f>
        <v/>
      </c>
      <c r="H6325" s="29">
        <f>IF(F6325="","",INDEX(Deals!$E$2:$E$843,F6325))</f>
        <v/>
      </c>
      <c r="I6325">
        <f>IF(F6325="","",INDEX(Deals!$D$2:$D$843,F6325))</f>
        <v/>
      </c>
      <c r="J6325">
        <f>IF(F6325="","",INT(H6325)-B6325)</f>
        <v/>
      </c>
      <c r="K6325">
        <f>IF(B6325&gt;=Settings!$C$5,1,0)</f>
        <v/>
      </c>
    </row>
    <row r="6326">
      <c r="A6326" t="inlineStr">
        <is>
          <t>0c051e687e5a624f4543dd6adca7508b</t>
        </is>
      </c>
      <c r="B6326" s="29" t="n">
        <v>43248</v>
      </c>
      <c r="C6326" t="inlineStr">
        <is>
          <t>2018-05</t>
        </is>
      </c>
      <c r="D6326" t="inlineStr">
        <is>
          <t>35c9b150ab36fe584c1f24fd458c453a</t>
        </is>
      </c>
      <c r="E6326" t="inlineStr">
        <is>
          <t>paid_search</t>
        </is>
      </c>
      <c r="F6326">
        <f>IFERROR(MATCH(A6326,Deals!$A$2:$A$843,0),"")</f>
        <v/>
      </c>
      <c r="G6326">
        <f>IF(F6326="",0,1)</f>
        <v/>
      </c>
      <c r="H6326" s="29">
        <f>IF(F6326="","",INDEX(Deals!$E$2:$E$843,F6326))</f>
        <v/>
      </c>
      <c r="I6326">
        <f>IF(F6326="","",INDEX(Deals!$D$2:$D$843,F6326))</f>
        <v/>
      </c>
      <c r="J6326">
        <f>IF(F6326="","",INT(H6326)-B6326)</f>
        <v/>
      </c>
      <c r="K6326">
        <f>IF(B6326&gt;=Settings!$C$5,1,0)</f>
        <v/>
      </c>
    </row>
    <row r="6327">
      <c r="A6327" t="inlineStr">
        <is>
          <t>51ae8ee238cd187751ea16ccd5b42ff9</t>
        </is>
      </c>
      <c r="B6327" s="29" t="n">
        <v>43244</v>
      </c>
      <c r="C6327" t="inlineStr">
        <is>
          <t>2018-05</t>
        </is>
      </c>
      <c r="D6327" t="inlineStr">
        <is>
          <t>58326e62183c14b0c03085c33b9fdc44</t>
        </is>
      </c>
      <c r="E6327" t="inlineStr">
        <is>
          <t>social</t>
        </is>
      </c>
      <c r="F6327">
        <f>IFERROR(MATCH(A6327,Deals!$A$2:$A$843,0),"")</f>
        <v/>
      </c>
      <c r="G6327">
        <f>IF(F6327="",0,1)</f>
        <v/>
      </c>
      <c r="H6327" s="29">
        <f>IF(F6327="","",INDEX(Deals!$E$2:$E$843,F6327))</f>
        <v/>
      </c>
      <c r="I6327">
        <f>IF(F6327="","",INDEX(Deals!$D$2:$D$843,F6327))</f>
        <v/>
      </c>
      <c r="J6327">
        <f>IF(F6327="","",INT(H6327)-B6327)</f>
        <v/>
      </c>
      <c r="K6327">
        <f>IF(B6327&gt;=Settings!$C$5,1,0)</f>
        <v/>
      </c>
    </row>
    <row r="6328">
      <c r="A6328" t="inlineStr">
        <is>
          <t>98ff5000b5b118e27d8a4d8ea171d6dd</t>
        </is>
      </c>
      <c r="B6328" s="29" t="n">
        <v>43160</v>
      </c>
      <c r="C6328" t="inlineStr">
        <is>
          <t>2018-03</t>
        </is>
      </c>
      <c r="D6328" t="inlineStr">
        <is>
          <t>f017be4dbf86243af5c1ebed0cff36a2</t>
        </is>
      </c>
      <c r="E6328" t="inlineStr">
        <is>
          <t>organic_search</t>
        </is>
      </c>
      <c r="F6328">
        <f>IFERROR(MATCH(A6328,Deals!$A$2:$A$843,0),"")</f>
        <v/>
      </c>
      <c r="G6328">
        <f>IF(F6328="",0,1)</f>
        <v/>
      </c>
      <c r="H6328" s="29">
        <f>IF(F6328="","",INDEX(Deals!$E$2:$E$843,F6328))</f>
        <v/>
      </c>
      <c r="I6328">
        <f>IF(F6328="","",INDEX(Deals!$D$2:$D$843,F6328))</f>
        <v/>
      </c>
      <c r="J6328">
        <f>IF(F6328="","",INT(H6328)-B6328)</f>
        <v/>
      </c>
      <c r="K6328">
        <f>IF(B6328&gt;=Settings!$C$5,1,0)</f>
        <v/>
      </c>
    </row>
    <row r="6329">
      <c r="A6329" t="inlineStr">
        <is>
          <t>017e3cdfbb52cd9828ec3136354c54b2</t>
        </is>
      </c>
      <c r="B6329" s="29" t="n">
        <v>43246</v>
      </c>
      <c r="C6329" t="inlineStr">
        <is>
          <t>2018-05</t>
        </is>
      </c>
      <c r="D6329" t="inlineStr">
        <is>
          <t>22c29808c4f815213303f8933030604c</t>
        </is>
      </c>
      <c r="E6329" t="inlineStr">
        <is>
          <t>organic_search</t>
        </is>
      </c>
      <c r="F6329">
        <f>IFERROR(MATCH(A6329,Deals!$A$2:$A$843,0),"")</f>
        <v/>
      </c>
      <c r="G6329">
        <f>IF(F6329="",0,1)</f>
        <v/>
      </c>
      <c r="H6329" s="29">
        <f>IF(F6329="","",INDEX(Deals!$E$2:$E$843,F6329))</f>
        <v/>
      </c>
      <c r="I6329">
        <f>IF(F6329="","",INDEX(Deals!$D$2:$D$843,F6329))</f>
        <v/>
      </c>
      <c r="J6329">
        <f>IF(F6329="","",INT(H6329)-B6329)</f>
        <v/>
      </c>
      <c r="K6329">
        <f>IF(B6329&gt;=Settings!$C$5,1,0)</f>
        <v/>
      </c>
    </row>
    <row r="6330">
      <c r="A6330" t="inlineStr">
        <is>
          <t>69dd3adb0041b1f8f96fdeb353d418a5</t>
        </is>
      </c>
      <c r="B6330" s="29" t="n">
        <v>43228</v>
      </c>
      <c r="C6330" t="inlineStr">
        <is>
          <t>2018-05</t>
        </is>
      </c>
      <c r="D6330" t="inlineStr">
        <is>
          <t>f80696b73d17fb34f5c4fde157f119d8</t>
        </is>
      </c>
      <c r="E6330" t="inlineStr">
        <is>
          <t>organic_search</t>
        </is>
      </c>
      <c r="F6330">
        <f>IFERROR(MATCH(A6330,Deals!$A$2:$A$843,0),"")</f>
        <v/>
      </c>
      <c r="G6330">
        <f>IF(F6330="",0,1)</f>
        <v/>
      </c>
      <c r="H6330" s="29">
        <f>IF(F6330="","",INDEX(Deals!$E$2:$E$843,F6330))</f>
        <v/>
      </c>
      <c r="I6330">
        <f>IF(F6330="","",INDEX(Deals!$D$2:$D$843,F6330))</f>
        <v/>
      </c>
      <c r="J6330">
        <f>IF(F6330="","",INT(H6330)-B6330)</f>
        <v/>
      </c>
      <c r="K6330">
        <f>IF(B6330&gt;=Settings!$C$5,1,0)</f>
        <v/>
      </c>
    </row>
    <row r="6331">
      <c r="A6331" t="inlineStr">
        <is>
          <t>ff8ee6aac61c11f16443646cdf467146</t>
        </is>
      </c>
      <c r="B6331" s="29" t="n">
        <v>43196</v>
      </c>
      <c r="C6331" t="inlineStr">
        <is>
          <t>2018-04</t>
        </is>
      </c>
      <c r="D6331" t="inlineStr">
        <is>
          <t>22c29808c4f815213303f8933030604c</t>
        </is>
      </c>
      <c r="E6331" t="inlineStr">
        <is>
          <t>direct_traffic</t>
        </is>
      </c>
      <c r="F6331">
        <f>IFERROR(MATCH(A6331,Deals!$A$2:$A$843,0),"")</f>
        <v/>
      </c>
      <c r="G6331">
        <f>IF(F6331="",0,1)</f>
        <v/>
      </c>
      <c r="H6331" s="29">
        <f>IF(F6331="","",INDEX(Deals!$E$2:$E$843,F6331))</f>
        <v/>
      </c>
      <c r="I6331">
        <f>IF(F6331="","",INDEX(Deals!$D$2:$D$843,F6331))</f>
        <v/>
      </c>
      <c r="J6331">
        <f>IF(F6331="","",INT(H6331)-B6331)</f>
        <v/>
      </c>
      <c r="K6331">
        <f>IF(B6331&gt;=Settings!$C$5,1,0)</f>
        <v/>
      </c>
    </row>
    <row r="6332">
      <c r="A6332" t="inlineStr">
        <is>
          <t>61b360a12f161b4fc2ddd1c891284e39</t>
        </is>
      </c>
      <c r="B6332" s="29" t="n">
        <v>43222</v>
      </c>
      <c r="C6332" t="inlineStr">
        <is>
          <t>2018-05</t>
        </is>
      </c>
      <c r="D6332" t="inlineStr">
        <is>
          <t>fb58285f6f6c4e504dfa628de116cae8</t>
        </is>
      </c>
      <c r="E6332" t="inlineStr">
        <is>
          <t>email</t>
        </is>
      </c>
      <c r="F6332">
        <f>IFERROR(MATCH(A6332,Deals!$A$2:$A$843,0),"")</f>
        <v/>
      </c>
      <c r="G6332">
        <f>IF(F6332="",0,1)</f>
        <v/>
      </c>
      <c r="H6332" s="29">
        <f>IF(F6332="","",INDEX(Deals!$E$2:$E$843,F6332))</f>
        <v/>
      </c>
      <c r="I6332">
        <f>IF(F6332="","",INDEX(Deals!$D$2:$D$843,F6332))</f>
        <v/>
      </c>
      <c r="J6332">
        <f>IF(F6332="","",INT(H6332)-B6332)</f>
        <v/>
      </c>
      <c r="K6332">
        <f>IF(B6332&gt;=Settings!$C$5,1,0)</f>
        <v/>
      </c>
    </row>
    <row r="6333">
      <c r="A6333" t="inlineStr">
        <is>
          <t>4a7292e7394b1e8f0a5b99b233065859</t>
        </is>
      </c>
      <c r="B6333" s="29" t="n">
        <v>43132</v>
      </c>
      <c r="C6333" t="inlineStr">
        <is>
          <t>2018-02</t>
        </is>
      </c>
      <c r="D6333" t="inlineStr">
        <is>
          <t>b76ef37428e6799c421989521c0e5077</t>
        </is>
      </c>
      <c r="E6333" t="inlineStr">
        <is>
          <t>unknown</t>
        </is>
      </c>
      <c r="F6333">
        <f>IFERROR(MATCH(A6333,Deals!$A$2:$A$843,0),"")</f>
        <v/>
      </c>
      <c r="G6333">
        <f>IF(F6333="",0,1)</f>
        <v/>
      </c>
      <c r="H6333" s="29">
        <f>IF(F6333="","",INDEX(Deals!$E$2:$E$843,F6333))</f>
        <v/>
      </c>
      <c r="I6333">
        <f>IF(F6333="","",INDEX(Deals!$D$2:$D$843,F6333))</f>
        <v/>
      </c>
      <c r="J6333">
        <f>IF(F6333="","",INT(H6333)-B6333)</f>
        <v/>
      </c>
      <c r="K6333">
        <f>IF(B6333&gt;=Settings!$C$5,1,0)</f>
        <v/>
      </c>
    </row>
    <row r="6334">
      <c r="A6334" t="inlineStr">
        <is>
          <t>596f8ff563daa92917b1ca6544055638</t>
        </is>
      </c>
      <c r="B6334" s="29" t="n">
        <v>43011</v>
      </c>
      <c r="C6334" t="inlineStr">
        <is>
          <t>2017-10</t>
        </is>
      </c>
      <c r="D6334" t="inlineStr">
        <is>
          <t>7fa6214d82e911d070f51ef79381b956</t>
        </is>
      </c>
      <c r="E6334" t="inlineStr">
        <is>
          <t>organic_search</t>
        </is>
      </c>
      <c r="F6334">
        <f>IFERROR(MATCH(A6334,Deals!$A$2:$A$843,0),"")</f>
        <v/>
      </c>
      <c r="G6334">
        <f>IF(F6334="",0,1)</f>
        <v/>
      </c>
      <c r="H6334" s="29">
        <f>IF(F6334="","",INDEX(Deals!$E$2:$E$843,F6334))</f>
        <v/>
      </c>
      <c r="I6334">
        <f>IF(F6334="","",INDEX(Deals!$D$2:$D$843,F6334))</f>
        <v/>
      </c>
      <c r="J6334">
        <f>IF(F6334="","",INT(H6334)-B6334)</f>
        <v/>
      </c>
      <c r="K6334">
        <f>IF(B6334&gt;=Settings!$C$5,1,0)</f>
        <v/>
      </c>
    </row>
    <row r="6335">
      <c r="A6335" t="inlineStr">
        <is>
          <t>4c3419c75074a0734e4d1851aa66eb8b</t>
        </is>
      </c>
      <c r="B6335" s="29" t="n">
        <v>43130</v>
      </c>
      <c r="C6335" t="inlineStr">
        <is>
          <t>2018-01</t>
        </is>
      </c>
      <c r="D6335" t="inlineStr">
        <is>
          <t>ce1a65abd0973638f1c887a6efcfa82d</t>
        </is>
      </c>
      <c r="E6335" t="inlineStr">
        <is>
          <t>organic_search</t>
        </is>
      </c>
      <c r="F6335">
        <f>IFERROR(MATCH(A6335,Deals!$A$2:$A$843,0),"")</f>
        <v/>
      </c>
      <c r="G6335">
        <f>IF(F6335="",0,1)</f>
        <v/>
      </c>
      <c r="H6335" s="29">
        <f>IF(F6335="","",INDEX(Deals!$E$2:$E$843,F6335))</f>
        <v/>
      </c>
      <c r="I6335">
        <f>IF(F6335="","",INDEX(Deals!$D$2:$D$843,F6335))</f>
        <v/>
      </c>
      <c r="J6335">
        <f>IF(F6335="","",INT(H6335)-B6335)</f>
        <v/>
      </c>
      <c r="K6335">
        <f>IF(B6335&gt;=Settings!$C$5,1,0)</f>
        <v/>
      </c>
    </row>
    <row r="6336">
      <c r="A6336" t="inlineStr">
        <is>
          <t>2dfbe1c802c78a8b1f75ef13b70c1124</t>
        </is>
      </c>
      <c r="B6336" s="29" t="n">
        <v>43181</v>
      </c>
      <c r="C6336" t="inlineStr">
        <is>
          <t>2018-03</t>
        </is>
      </c>
      <c r="D6336" t="inlineStr">
        <is>
          <t>22c29808c4f815213303f8933030604c</t>
        </is>
      </c>
      <c r="E6336" t="inlineStr">
        <is>
          <t>organic_search</t>
        </is>
      </c>
      <c r="F6336">
        <f>IFERROR(MATCH(A6336,Deals!$A$2:$A$843,0),"")</f>
        <v/>
      </c>
      <c r="G6336">
        <f>IF(F6336="",0,1)</f>
        <v/>
      </c>
      <c r="H6336" s="29">
        <f>IF(F6336="","",INDEX(Deals!$E$2:$E$843,F6336))</f>
        <v/>
      </c>
      <c r="I6336">
        <f>IF(F6336="","",INDEX(Deals!$D$2:$D$843,F6336))</f>
        <v/>
      </c>
      <c r="J6336">
        <f>IF(F6336="","",INT(H6336)-B6336)</f>
        <v/>
      </c>
      <c r="K6336">
        <f>IF(B6336&gt;=Settings!$C$5,1,0)</f>
        <v/>
      </c>
    </row>
    <row r="6337">
      <c r="A6337" t="inlineStr">
        <is>
          <t>16e289983cce14eda9b2ade90076c44d</t>
        </is>
      </c>
      <c r="B6337" s="29" t="n">
        <v>42975</v>
      </c>
      <c r="C6337" t="inlineStr">
        <is>
          <t>2017-08</t>
        </is>
      </c>
      <c r="D6337" t="inlineStr">
        <is>
          <t>b76ef37428e6799c421989521c0e5077</t>
        </is>
      </c>
      <c r="E6337" t="inlineStr">
        <is>
          <t>organic_search</t>
        </is>
      </c>
      <c r="F6337">
        <f>IFERROR(MATCH(A6337,Deals!$A$2:$A$843,0),"")</f>
        <v/>
      </c>
      <c r="G6337">
        <f>IF(F6337="",0,1)</f>
        <v/>
      </c>
      <c r="H6337" s="29">
        <f>IF(F6337="","",INDEX(Deals!$E$2:$E$843,F6337))</f>
        <v/>
      </c>
      <c r="I6337">
        <f>IF(F6337="","",INDEX(Deals!$D$2:$D$843,F6337))</f>
        <v/>
      </c>
      <c r="J6337">
        <f>IF(F6337="","",INT(H6337)-B6337)</f>
        <v/>
      </c>
      <c r="K6337">
        <f>IF(B6337&gt;=Settings!$C$5,1,0)</f>
        <v/>
      </c>
    </row>
    <row r="6338">
      <c r="A6338" t="inlineStr">
        <is>
          <t>23ad20eef871a6b764607326cbb28062</t>
        </is>
      </c>
      <c r="B6338" s="29" t="n">
        <v>43045</v>
      </c>
      <c r="C6338" t="inlineStr">
        <is>
          <t>2017-11</t>
        </is>
      </c>
      <c r="D6338" t="inlineStr">
        <is>
          <t>87780f7c05ecd79791bde76af663db15</t>
        </is>
      </c>
      <c r="E6338" t="inlineStr">
        <is>
          <t>social</t>
        </is>
      </c>
      <c r="F6338">
        <f>IFERROR(MATCH(A6338,Deals!$A$2:$A$843,0),"")</f>
        <v/>
      </c>
      <c r="G6338">
        <f>IF(F6338="",0,1)</f>
        <v/>
      </c>
      <c r="H6338" s="29">
        <f>IF(F6338="","",INDEX(Deals!$E$2:$E$843,F6338))</f>
        <v/>
      </c>
      <c r="I6338">
        <f>IF(F6338="","",INDEX(Deals!$D$2:$D$843,F6338))</f>
        <v/>
      </c>
      <c r="J6338">
        <f>IF(F6338="","",INT(H6338)-B6338)</f>
        <v/>
      </c>
      <c r="K6338">
        <f>IF(B6338&gt;=Settings!$C$5,1,0)</f>
        <v/>
      </c>
    </row>
    <row r="6339">
      <c r="A6339" t="inlineStr">
        <is>
          <t>1781517e135bc756f7f16c1f07c7e7f6</t>
        </is>
      </c>
      <c r="B6339" s="29" t="n">
        <v>43242</v>
      </c>
      <c r="C6339" t="inlineStr">
        <is>
          <t>2018-05</t>
        </is>
      </c>
      <c r="D6339" t="inlineStr">
        <is>
          <t>a7982125ff7aa3b2054c6e44f9d28522</t>
        </is>
      </c>
      <c r="E6339" t="inlineStr">
        <is>
          <t>unknown</t>
        </is>
      </c>
      <c r="F6339">
        <f>IFERROR(MATCH(A6339,Deals!$A$2:$A$843,0),"")</f>
        <v/>
      </c>
      <c r="G6339">
        <f>IF(F6339="",0,1)</f>
        <v/>
      </c>
      <c r="H6339" s="29">
        <f>IF(F6339="","",INDEX(Deals!$E$2:$E$843,F6339))</f>
        <v/>
      </c>
      <c r="I6339">
        <f>IF(F6339="","",INDEX(Deals!$D$2:$D$843,F6339))</f>
        <v/>
      </c>
      <c r="J6339">
        <f>IF(F6339="","",INT(H6339)-B6339)</f>
        <v/>
      </c>
      <c r="K6339">
        <f>IF(B6339&gt;=Settings!$C$5,1,0)</f>
        <v/>
      </c>
    </row>
    <row r="6340">
      <c r="A6340" t="inlineStr">
        <is>
          <t>2ec8adb60182b3c41a31333baecd332a</t>
        </is>
      </c>
      <c r="B6340" s="29" t="n">
        <v>43030</v>
      </c>
      <c r="C6340" t="inlineStr">
        <is>
          <t>2017-10</t>
        </is>
      </c>
      <c r="D6340" t="inlineStr">
        <is>
          <t>007f9098284a86ee80ddeb25d53e0af8</t>
        </is>
      </c>
      <c r="E6340" t="inlineStr">
        <is>
          <t>paid_search</t>
        </is>
      </c>
      <c r="F6340">
        <f>IFERROR(MATCH(A6340,Deals!$A$2:$A$843,0),"")</f>
        <v/>
      </c>
      <c r="G6340">
        <f>IF(F6340="",0,1)</f>
        <v/>
      </c>
      <c r="H6340" s="29">
        <f>IF(F6340="","",INDEX(Deals!$E$2:$E$843,F6340))</f>
        <v/>
      </c>
      <c r="I6340">
        <f>IF(F6340="","",INDEX(Deals!$D$2:$D$843,F6340))</f>
        <v/>
      </c>
      <c r="J6340">
        <f>IF(F6340="","",INT(H6340)-B6340)</f>
        <v/>
      </c>
      <c r="K6340">
        <f>IF(B6340&gt;=Settings!$C$5,1,0)</f>
        <v/>
      </c>
    </row>
    <row r="6341">
      <c r="A6341" t="inlineStr">
        <is>
          <t>648cbc29675eff7e6f337ffc66c907de</t>
        </is>
      </c>
      <c r="B6341" s="29" t="n">
        <v>43187</v>
      </c>
      <c r="C6341" t="inlineStr">
        <is>
          <t>2018-03</t>
        </is>
      </c>
      <c r="D6341" t="inlineStr">
        <is>
          <t>ce1a65abd0973638f1c887a6efcfa82d</t>
        </is>
      </c>
      <c r="E6341" t="inlineStr">
        <is>
          <t>organic_search</t>
        </is>
      </c>
      <c r="F6341">
        <f>IFERROR(MATCH(A6341,Deals!$A$2:$A$843,0),"")</f>
        <v/>
      </c>
      <c r="G6341">
        <f>IF(F6341="",0,1)</f>
        <v/>
      </c>
      <c r="H6341" s="29">
        <f>IF(F6341="","",INDEX(Deals!$E$2:$E$843,F6341))</f>
        <v/>
      </c>
      <c r="I6341">
        <f>IF(F6341="","",INDEX(Deals!$D$2:$D$843,F6341))</f>
        <v/>
      </c>
      <c r="J6341">
        <f>IF(F6341="","",INT(H6341)-B6341)</f>
        <v/>
      </c>
      <c r="K6341">
        <f>IF(B6341&gt;=Settings!$C$5,1,0)</f>
        <v/>
      </c>
    </row>
    <row r="6342">
      <c r="A6342" t="inlineStr">
        <is>
          <t>5db98ad3d38184a2f9db88f5bb1c62c1</t>
        </is>
      </c>
      <c r="B6342" s="29" t="n">
        <v>43175</v>
      </c>
      <c r="C6342" t="inlineStr">
        <is>
          <t>2018-03</t>
        </is>
      </c>
      <c r="D6342" t="inlineStr">
        <is>
          <t>b76ef37428e6799c421989521c0e5077</t>
        </is>
      </c>
      <c r="E6342" t="inlineStr">
        <is>
          <t>paid_search</t>
        </is>
      </c>
      <c r="F6342">
        <f>IFERROR(MATCH(A6342,Deals!$A$2:$A$843,0),"")</f>
        <v/>
      </c>
      <c r="G6342">
        <f>IF(F6342="",0,1)</f>
        <v/>
      </c>
      <c r="H6342" s="29">
        <f>IF(F6342="","",INDEX(Deals!$E$2:$E$843,F6342))</f>
        <v/>
      </c>
      <c r="I6342">
        <f>IF(F6342="","",INDEX(Deals!$D$2:$D$843,F6342))</f>
        <v/>
      </c>
      <c r="J6342">
        <f>IF(F6342="","",INT(H6342)-B6342)</f>
        <v/>
      </c>
      <c r="K6342">
        <f>IF(B6342&gt;=Settings!$C$5,1,0)</f>
        <v/>
      </c>
    </row>
    <row r="6343">
      <c r="A6343" t="inlineStr">
        <is>
          <t>1b4f2f6f94b053e3a32726e62b85db9c</t>
        </is>
      </c>
      <c r="B6343" s="29" t="n">
        <v>43116</v>
      </c>
      <c r="C6343" t="inlineStr">
        <is>
          <t>2018-01</t>
        </is>
      </c>
      <c r="D6343" t="inlineStr">
        <is>
          <t>73f31a40697cc90a86c1273563ac230e</t>
        </is>
      </c>
      <c r="E6343" t="inlineStr">
        <is>
          <t>other</t>
        </is>
      </c>
      <c r="F6343">
        <f>IFERROR(MATCH(A6343,Deals!$A$2:$A$843,0),"")</f>
        <v/>
      </c>
      <c r="G6343">
        <f>IF(F6343="",0,1)</f>
        <v/>
      </c>
      <c r="H6343" s="29">
        <f>IF(F6343="","",INDEX(Deals!$E$2:$E$843,F6343))</f>
        <v/>
      </c>
      <c r="I6343">
        <f>IF(F6343="","",INDEX(Deals!$D$2:$D$843,F6343))</f>
        <v/>
      </c>
      <c r="J6343">
        <f>IF(F6343="","",INT(H6343)-B6343)</f>
        <v/>
      </c>
      <c r="K6343">
        <f>IF(B6343&gt;=Settings!$C$5,1,0)</f>
        <v/>
      </c>
    </row>
    <row r="6344">
      <c r="A6344" t="inlineStr">
        <is>
          <t>a86c4aec1bcf14eb30646ed8df2d2401</t>
        </is>
      </c>
      <c r="B6344" s="29" t="n">
        <v>43131</v>
      </c>
      <c r="C6344" t="inlineStr">
        <is>
          <t>2018-01</t>
        </is>
      </c>
      <c r="D6344" t="inlineStr">
        <is>
          <t>88740e65d5d6b056e0cda098e1ea6313</t>
        </is>
      </c>
      <c r="E6344" t="inlineStr">
        <is>
          <t>social</t>
        </is>
      </c>
      <c r="F6344">
        <f>IFERROR(MATCH(A6344,Deals!$A$2:$A$843,0),"")</f>
        <v/>
      </c>
      <c r="G6344">
        <f>IF(F6344="",0,1)</f>
        <v/>
      </c>
      <c r="H6344" s="29">
        <f>IF(F6344="","",INDEX(Deals!$E$2:$E$843,F6344))</f>
        <v/>
      </c>
      <c r="I6344">
        <f>IF(F6344="","",INDEX(Deals!$D$2:$D$843,F6344))</f>
        <v/>
      </c>
      <c r="J6344">
        <f>IF(F6344="","",INT(H6344)-B6344)</f>
        <v/>
      </c>
      <c r="K6344">
        <f>IF(B6344&gt;=Settings!$C$5,1,0)</f>
        <v/>
      </c>
    </row>
    <row r="6345">
      <c r="A6345" t="inlineStr">
        <is>
          <t>882f51857b62621eafb2988625a16b2e</t>
        </is>
      </c>
      <c r="B6345" s="29" t="n">
        <v>43037</v>
      </c>
      <c r="C6345" t="inlineStr">
        <is>
          <t>2017-10</t>
        </is>
      </c>
      <c r="D6345" t="inlineStr">
        <is>
          <t>88740e65d5d6b056e0cda098e1ea6313</t>
        </is>
      </c>
      <c r="E6345" t="inlineStr">
        <is>
          <t>social</t>
        </is>
      </c>
      <c r="F6345">
        <f>IFERROR(MATCH(A6345,Deals!$A$2:$A$843,0),"")</f>
        <v/>
      </c>
      <c r="G6345">
        <f>IF(F6345="",0,1)</f>
        <v/>
      </c>
      <c r="H6345" s="29">
        <f>IF(F6345="","",INDEX(Deals!$E$2:$E$843,F6345))</f>
        <v/>
      </c>
      <c r="I6345">
        <f>IF(F6345="","",INDEX(Deals!$D$2:$D$843,F6345))</f>
        <v/>
      </c>
      <c r="J6345">
        <f>IF(F6345="","",INT(H6345)-B6345)</f>
        <v/>
      </c>
      <c r="K6345">
        <f>IF(B6345&gt;=Settings!$C$5,1,0)</f>
        <v/>
      </c>
    </row>
    <row r="6346">
      <c r="A6346" t="inlineStr">
        <is>
          <t>c1b951c33c83e75b4102e4396b29633f</t>
        </is>
      </c>
      <c r="B6346" s="29" t="n">
        <v>43215</v>
      </c>
      <c r="C6346" t="inlineStr">
        <is>
          <t>2018-04</t>
        </is>
      </c>
      <c r="D6346" t="inlineStr">
        <is>
          <t>22c29808c4f815213303f8933030604c</t>
        </is>
      </c>
      <c r="E6346" t="inlineStr">
        <is>
          <t>email</t>
        </is>
      </c>
      <c r="F6346">
        <f>IFERROR(MATCH(A6346,Deals!$A$2:$A$843,0),"")</f>
        <v/>
      </c>
      <c r="G6346">
        <f>IF(F6346="",0,1)</f>
        <v/>
      </c>
      <c r="H6346" s="29">
        <f>IF(F6346="","",INDEX(Deals!$E$2:$E$843,F6346))</f>
        <v/>
      </c>
      <c r="I6346">
        <f>IF(F6346="","",INDEX(Deals!$D$2:$D$843,F6346))</f>
        <v/>
      </c>
      <c r="J6346">
        <f>IF(F6346="","",INT(H6346)-B6346)</f>
        <v/>
      </c>
      <c r="K6346">
        <f>IF(B6346&gt;=Settings!$C$5,1,0)</f>
        <v/>
      </c>
    </row>
    <row r="6347">
      <c r="A6347" t="inlineStr">
        <is>
          <t>fe1d29cf02c128bc7f714c4fab1fe7dd</t>
        </is>
      </c>
      <c r="B6347" s="29" t="n">
        <v>43123</v>
      </c>
      <c r="C6347" t="inlineStr">
        <is>
          <t>2018-01</t>
        </is>
      </c>
      <c r="D6347" t="inlineStr">
        <is>
          <t>e6f5a53f93c11dc9f418531040987730</t>
        </is>
      </c>
      <c r="E6347" t="inlineStr">
        <is>
          <t>organic_search</t>
        </is>
      </c>
      <c r="F6347">
        <f>IFERROR(MATCH(A6347,Deals!$A$2:$A$843,0),"")</f>
        <v/>
      </c>
      <c r="G6347">
        <f>IF(F6347="",0,1)</f>
        <v/>
      </c>
      <c r="H6347" s="29">
        <f>IF(F6347="","",INDEX(Deals!$E$2:$E$843,F6347))</f>
        <v/>
      </c>
      <c r="I6347">
        <f>IF(F6347="","",INDEX(Deals!$D$2:$D$843,F6347))</f>
        <v/>
      </c>
      <c r="J6347">
        <f>IF(F6347="","",INT(H6347)-B6347)</f>
        <v/>
      </c>
      <c r="K6347">
        <f>IF(B6347&gt;=Settings!$C$5,1,0)</f>
        <v/>
      </c>
    </row>
    <row r="6348">
      <c r="A6348" t="inlineStr">
        <is>
          <t>311cf1b7f713e0e2233801f82486b33f</t>
        </is>
      </c>
      <c r="B6348" s="29" t="n">
        <v>43187</v>
      </c>
      <c r="C6348" t="inlineStr">
        <is>
          <t>2018-03</t>
        </is>
      </c>
      <c r="D6348" t="inlineStr">
        <is>
          <t>fa5a0151e1f37d0055a3478fbb48827a</t>
        </is>
      </c>
      <c r="E6348" t="inlineStr">
        <is>
          <t>organic_search</t>
        </is>
      </c>
      <c r="F6348">
        <f>IFERROR(MATCH(A6348,Deals!$A$2:$A$843,0),"")</f>
        <v/>
      </c>
      <c r="G6348">
        <f>IF(F6348="",0,1)</f>
        <v/>
      </c>
      <c r="H6348" s="29">
        <f>IF(F6348="","",INDEX(Deals!$E$2:$E$843,F6348))</f>
        <v/>
      </c>
      <c r="I6348">
        <f>IF(F6348="","",INDEX(Deals!$D$2:$D$843,F6348))</f>
        <v/>
      </c>
      <c r="J6348">
        <f>IF(F6348="","",INT(H6348)-B6348)</f>
        <v/>
      </c>
      <c r="K6348">
        <f>IF(B6348&gt;=Settings!$C$5,1,0)</f>
        <v/>
      </c>
    </row>
    <row r="6349">
      <c r="A6349" t="inlineStr">
        <is>
          <t>8053519398a89e3d928132298251e0ec</t>
        </is>
      </c>
      <c r="B6349" s="29" t="n">
        <v>43088</v>
      </c>
      <c r="C6349" t="inlineStr">
        <is>
          <t>2017-12</t>
        </is>
      </c>
      <c r="D6349" t="inlineStr">
        <is>
          <t>88740e65d5d6b056e0cda098e1ea6313</t>
        </is>
      </c>
      <c r="E6349" t="inlineStr">
        <is>
          <t>social</t>
        </is>
      </c>
      <c r="F6349">
        <f>IFERROR(MATCH(A6349,Deals!$A$2:$A$843,0),"")</f>
        <v/>
      </c>
      <c r="G6349">
        <f>IF(F6349="",0,1)</f>
        <v/>
      </c>
      <c r="H6349" s="29">
        <f>IF(F6349="","",INDEX(Deals!$E$2:$E$843,F6349))</f>
        <v/>
      </c>
      <c r="I6349">
        <f>IF(F6349="","",INDEX(Deals!$D$2:$D$843,F6349))</f>
        <v/>
      </c>
      <c r="J6349">
        <f>IF(F6349="","",INT(H6349)-B6349)</f>
        <v/>
      </c>
      <c r="K6349">
        <f>IF(B6349&gt;=Settings!$C$5,1,0)</f>
        <v/>
      </c>
    </row>
    <row r="6350">
      <c r="A6350" t="inlineStr">
        <is>
          <t>ececf8310d5c47ae7dbdf1cda6163c72</t>
        </is>
      </c>
      <c r="B6350" s="29" t="n">
        <v>42926</v>
      </c>
      <c r="C6350" t="inlineStr">
        <is>
          <t>2017-07</t>
        </is>
      </c>
      <c r="D6350" t="inlineStr">
        <is>
          <t>ee3c3bad6ed3eb9d5de56688d1f9c91b</t>
        </is>
      </c>
      <c r="E6350" t="inlineStr">
        <is>
          <t>organic_search</t>
        </is>
      </c>
      <c r="F6350">
        <f>IFERROR(MATCH(A6350,Deals!$A$2:$A$843,0),"")</f>
        <v/>
      </c>
      <c r="G6350">
        <f>IF(F6350="",0,1)</f>
        <v/>
      </c>
      <c r="H6350" s="29">
        <f>IF(F6350="","",INDEX(Deals!$E$2:$E$843,F6350))</f>
        <v/>
      </c>
      <c r="I6350">
        <f>IF(F6350="","",INDEX(Deals!$D$2:$D$843,F6350))</f>
        <v/>
      </c>
      <c r="J6350">
        <f>IF(F6350="","",INT(H6350)-B6350)</f>
        <v/>
      </c>
      <c r="K6350">
        <f>IF(B6350&gt;=Settings!$C$5,1,0)</f>
        <v/>
      </c>
    </row>
    <row r="6351">
      <c r="A6351" t="inlineStr">
        <is>
          <t>7d362ec0c2c1a826ffdd988a8da27bbc</t>
        </is>
      </c>
      <c r="B6351" s="29" t="n">
        <v>43248</v>
      </c>
      <c r="C6351" t="inlineStr">
        <is>
          <t>2018-05</t>
        </is>
      </c>
      <c r="D6351" t="inlineStr">
        <is>
          <t>ce1a65abd0973638f1c887a6efcfa82d</t>
        </is>
      </c>
      <c r="E6351" t="inlineStr">
        <is>
          <t>direct_traffic</t>
        </is>
      </c>
      <c r="F6351">
        <f>IFERROR(MATCH(A6351,Deals!$A$2:$A$843,0),"")</f>
        <v/>
      </c>
      <c r="G6351">
        <f>IF(F6351="",0,1)</f>
        <v/>
      </c>
      <c r="H6351" s="29">
        <f>IF(F6351="","",INDEX(Deals!$E$2:$E$843,F6351))</f>
        <v/>
      </c>
      <c r="I6351">
        <f>IF(F6351="","",INDEX(Deals!$D$2:$D$843,F6351))</f>
        <v/>
      </c>
      <c r="J6351">
        <f>IF(F6351="","",INT(H6351)-B6351)</f>
        <v/>
      </c>
      <c r="K6351">
        <f>IF(B6351&gt;=Settings!$C$5,1,0)</f>
        <v/>
      </c>
    </row>
    <row r="6352">
      <c r="A6352" t="inlineStr">
        <is>
          <t>31b7dbebefaf552b556cb54e164f94c5</t>
        </is>
      </c>
      <c r="B6352" s="29" t="n">
        <v>43248</v>
      </c>
      <c r="C6352" t="inlineStr">
        <is>
          <t>2018-05</t>
        </is>
      </c>
      <c r="D6352" t="inlineStr">
        <is>
          <t>5dc848e7dd9418dffe183215b8ff0bc1</t>
        </is>
      </c>
      <c r="E6352" t="inlineStr">
        <is>
          <t>unknown</t>
        </is>
      </c>
      <c r="F6352">
        <f>IFERROR(MATCH(A6352,Deals!$A$2:$A$843,0),"")</f>
        <v/>
      </c>
      <c r="G6352">
        <f>IF(F6352="",0,1)</f>
        <v/>
      </c>
      <c r="H6352" s="29">
        <f>IF(F6352="","",INDEX(Deals!$E$2:$E$843,F6352))</f>
        <v/>
      </c>
      <c r="I6352">
        <f>IF(F6352="","",INDEX(Deals!$D$2:$D$843,F6352))</f>
        <v/>
      </c>
      <c r="J6352">
        <f>IF(F6352="","",INT(H6352)-B6352)</f>
        <v/>
      </c>
      <c r="K6352">
        <f>IF(B6352&gt;=Settings!$C$5,1,0)</f>
        <v/>
      </c>
    </row>
    <row r="6353">
      <c r="A6353" t="inlineStr">
        <is>
          <t>25b3a3d4f23eec4263e495f5181e207f</t>
        </is>
      </c>
      <c r="B6353" s="29" t="n">
        <v>42934</v>
      </c>
      <c r="C6353" t="inlineStr">
        <is>
          <t>2017-07</t>
        </is>
      </c>
      <c r="D6353" t="inlineStr">
        <is>
          <t>d1bad8bf984bd4d7ee08f814ca589897</t>
        </is>
      </c>
      <c r="E6353" t="inlineStr">
        <is>
          <t>paid_search</t>
        </is>
      </c>
      <c r="F6353">
        <f>IFERROR(MATCH(A6353,Deals!$A$2:$A$843,0),"")</f>
        <v/>
      </c>
      <c r="G6353">
        <f>IF(F6353="",0,1)</f>
        <v/>
      </c>
      <c r="H6353" s="29">
        <f>IF(F6353="","",INDEX(Deals!$E$2:$E$843,F6353))</f>
        <v/>
      </c>
      <c r="I6353">
        <f>IF(F6353="","",INDEX(Deals!$D$2:$D$843,F6353))</f>
        <v/>
      </c>
      <c r="J6353">
        <f>IF(F6353="","",INT(H6353)-B6353)</f>
        <v/>
      </c>
      <c r="K6353">
        <f>IF(B6353&gt;=Settings!$C$5,1,0)</f>
        <v/>
      </c>
    </row>
    <row r="6354">
      <c r="A6354" t="inlineStr">
        <is>
          <t>2c81a094d632c8b510c6c676eec4c358</t>
        </is>
      </c>
      <c r="B6354" s="29" t="n">
        <v>43241</v>
      </c>
      <c r="C6354" t="inlineStr">
        <is>
          <t>2018-05</t>
        </is>
      </c>
      <c r="D6354" t="inlineStr">
        <is>
          <t>35c9b150ab36fe584c1f24fd458c453a</t>
        </is>
      </c>
      <c r="E6354" t="inlineStr">
        <is>
          <t>paid_search</t>
        </is>
      </c>
      <c r="F6354">
        <f>IFERROR(MATCH(A6354,Deals!$A$2:$A$843,0),"")</f>
        <v/>
      </c>
      <c r="G6354">
        <f>IF(F6354="",0,1)</f>
        <v/>
      </c>
      <c r="H6354" s="29">
        <f>IF(F6354="","",INDEX(Deals!$E$2:$E$843,F6354))</f>
        <v/>
      </c>
      <c r="I6354">
        <f>IF(F6354="","",INDEX(Deals!$D$2:$D$843,F6354))</f>
        <v/>
      </c>
      <c r="J6354">
        <f>IF(F6354="","",INT(H6354)-B6354)</f>
        <v/>
      </c>
      <c r="K6354">
        <f>IF(B6354&gt;=Settings!$C$5,1,0)</f>
        <v/>
      </c>
    </row>
    <row r="6355">
      <c r="A6355" t="inlineStr">
        <is>
          <t>a00ba776735f6e27e0619d46a07be9d3</t>
        </is>
      </c>
      <c r="B6355" s="29" t="n">
        <v>42954</v>
      </c>
      <c r="C6355" t="inlineStr">
        <is>
          <t>2017-08</t>
        </is>
      </c>
      <c r="D6355" t="inlineStr">
        <is>
          <t>b76ef37428e6799c421989521c0e5077</t>
        </is>
      </c>
      <c r="E6355" t="inlineStr">
        <is>
          <t>unknown</t>
        </is>
      </c>
      <c r="F6355">
        <f>IFERROR(MATCH(A6355,Deals!$A$2:$A$843,0),"")</f>
        <v/>
      </c>
      <c r="G6355">
        <f>IF(F6355="",0,1)</f>
        <v/>
      </c>
      <c r="H6355" s="29">
        <f>IF(F6355="","",INDEX(Deals!$E$2:$E$843,F6355))</f>
        <v/>
      </c>
      <c r="I6355">
        <f>IF(F6355="","",INDEX(Deals!$D$2:$D$843,F6355))</f>
        <v/>
      </c>
      <c r="J6355">
        <f>IF(F6355="","",INT(H6355)-B6355)</f>
        <v/>
      </c>
      <c r="K6355">
        <f>IF(B6355&gt;=Settings!$C$5,1,0)</f>
        <v/>
      </c>
    </row>
    <row r="6356">
      <c r="A6356" t="inlineStr">
        <is>
          <t>49c5e16157922ea55efd28991c653dc0</t>
        </is>
      </c>
      <c r="B6356" s="29" t="n">
        <v>43150</v>
      </c>
      <c r="C6356" t="inlineStr">
        <is>
          <t>2018-02</t>
        </is>
      </c>
      <c r="D6356" t="inlineStr">
        <is>
          <t>b6885f18d203a61176418c1fb3764815</t>
        </is>
      </c>
      <c r="E6356" t="inlineStr">
        <is>
          <t>paid_search</t>
        </is>
      </c>
      <c r="F6356">
        <f>IFERROR(MATCH(A6356,Deals!$A$2:$A$843,0),"")</f>
        <v/>
      </c>
      <c r="G6356">
        <f>IF(F6356="",0,1)</f>
        <v/>
      </c>
      <c r="H6356" s="29">
        <f>IF(F6356="","",INDEX(Deals!$E$2:$E$843,F6356))</f>
        <v/>
      </c>
      <c r="I6356">
        <f>IF(F6356="","",INDEX(Deals!$D$2:$D$843,F6356))</f>
        <v/>
      </c>
      <c r="J6356">
        <f>IF(F6356="","",INT(H6356)-B6356)</f>
        <v/>
      </c>
      <c r="K6356">
        <f>IF(B6356&gt;=Settings!$C$5,1,0)</f>
        <v/>
      </c>
    </row>
    <row r="6357">
      <c r="A6357" t="inlineStr">
        <is>
          <t>e29b0e21fb5035674413d42d83931ca9</t>
        </is>
      </c>
      <c r="B6357" s="29" t="n">
        <v>42955</v>
      </c>
      <c r="C6357" t="inlineStr">
        <is>
          <t>2017-08</t>
        </is>
      </c>
      <c r="D6357" t="inlineStr">
        <is>
          <t>ce7bafe02f8fb1a3f15f52a9c239d0ef</t>
        </is>
      </c>
      <c r="E6357" t="inlineStr">
        <is>
          <t>organic_search</t>
        </is>
      </c>
      <c r="F6357">
        <f>IFERROR(MATCH(A6357,Deals!$A$2:$A$843,0),"")</f>
        <v/>
      </c>
      <c r="G6357">
        <f>IF(F6357="",0,1)</f>
        <v/>
      </c>
      <c r="H6357" s="29">
        <f>IF(F6357="","",INDEX(Deals!$E$2:$E$843,F6357))</f>
        <v/>
      </c>
      <c r="I6357">
        <f>IF(F6357="","",INDEX(Deals!$D$2:$D$843,F6357))</f>
        <v/>
      </c>
      <c r="J6357">
        <f>IF(F6357="","",INT(H6357)-B6357)</f>
        <v/>
      </c>
      <c r="K6357">
        <f>IF(B6357&gt;=Settings!$C$5,1,0)</f>
        <v/>
      </c>
    </row>
    <row r="6358">
      <c r="A6358" t="inlineStr">
        <is>
          <t>9ed1f55ac4f3b402b1d08b26870c34a6</t>
        </is>
      </c>
      <c r="B6358" s="29" t="n">
        <v>43198</v>
      </c>
      <c r="C6358" t="inlineStr">
        <is>
          <t>2018-04</t>
        </is>
      </c>
      <c r="D6358" t="inlineStr">
        <is>
          <t>6a005efe7039a488ef82720efba1d28e</t>
        </is>
      </c>
      <c r="E6358" t="inlineStr">
        <is>
          <t>social</t>
        </is>
      </c>
      <c r="F6358">
        <f>IFERROR(MATCH(A6358,Deals!$A$2:$A$843,0),"")</f>
        <v/>
      </c>
      <c r="G6358">
        <f>IF(F6358="",0,1)</f>
        <v/>
      </c>
      <c r="H6358" s="29">
        <f>IF(F6358="","",INDEX(Deals!$E$2:$E$843,F6358))</f>
        <v/>
      </c>
      <c r="I6358">
        <f>IF(F6358="","",INDEX(Deals!$D$2:$D$843,F6358))</f>
        <v/>
      </c>
      <c r="J6358">
        <f>IF(F6358="","",INT(H6358)-B6358)</f>
        <v/>
      </c>
      <c r="K6358">
        <f>IF(B6358&gt;=Settings!$C$5,1,0)</f>
        <v/>
      </c>
    </row>
    <row r="6359">
      <c r="A6359" t="inlineStr">
        <is>
          <t>b91cf8812365f50ff4bda4bcd6206b05</t>
        </is>
      </c>
      <c r="B6359" s="29" t="n">
        <v>43167</v>
      </c>
      <c r="C6359" t="inlineStr">
        <is>
          <t>2018-03</t>
        </is>
      </c>
      <c r="D6359" t="inlineStr">
        <is>
          <t>4aab772aeb9833c170d8ea5413e02eac</t>
        </is>
      </c>
      <c r="E6359" t="inlineStr">
        <is>
          <t>organic_search</t>
        </is>
      </c>
      <c r="F6359">
        <f>IFERROR(MATCH(A6359,Deals!$A$2:$A$843,0),"")</f>
        <v/>
      </c>
      <c r="G6359">
        <f>IF(F6359="",0,1)</f>
        <v/>
      </c>
      <c r="H6359" s="29">
        <f>IF(F6359="","",INDEX(Deals!$E$2:$E$843,F6359))</f>
        <v/>
      </c>
      <c r="I6359">
        <f>IF(F6359="","",INDEX(Deals!$D$2:$D$843,F6359))</f>
        <v/>
      </c>
      <c r="J6359">
        <f>IF(F6359="","",INT(H6359)-B6359)</f>
        <v/>
      </c>
      <c r="K6359">
        <f>IF(B6359&gt;=Settings!$C$5,1,0)</f>
        <v/>
      </c>
    </row>
    <row r="6360">
      <c r="A6360" t="inlineStr">
        <is>
          <t>6ddd8f436b40ded89a268f4b38a30b35</t>
        </is>
      </c>
      <c r="B6360" s="29" t="n">
        <v>43165</v>
      </c>
      <c r="C6360" t="inlineStr">
        <is>
          <t>2018-03</t>
        </is>
      </c>
      <c r="D6360" t="inlineStr">
        <is>
          <t>37cf94070e940a694969304de58debe1</t>
        </is>
      </c>
      <c r="E6360" t="inlineStr">
        <is>
          <t>unknown</t>
        </is>
      </c>
      <c r="F6360">
        <f>IFERROR(MATCH(A6360,Deals!$A$2:$A$843,0),"")</f>
        <v/>
      </c>
      <c r="G6360">
        <f>IF(F6360="",0,1)</f>
        <v/>
      </c>
      <c r="H6360" s="29">
        <f>IF(F6360="","",INDEX(Deals!$E$2:$E$843,F6360))</f>
        <v/>
      </c>
      <c r="I6360">
        <f>IF(F6360="","",INDEX(Deals!$D$2:$D$843,F6360))</f>
        <v/>
      </c>
      <c r="J6360">
        <f>IF(F6360="","",INT(H6360)-B6360)</f>
        <v/>
      </c>
      <c r="K6360">
        <f>IF(B6360&gt;=Settings!$C$5,1,0)</f>
        <v/>
      </c>
    </row>
    <row r="6361">
      <c r="A6361" t="inlineStr">
        <is>
          <t>e4c72549fee9063d8aa8f9b6c0b621af</t>
        </is>
      </c>
      <c r="B6361" s="29" t="n">
        <v>43140</v>
      </c>
      <c r="C6361" t="inlineStr">
        <is>
          <t>2018-02</t>
        </is>
      </c>
      <c r="D6361" t="inlineStr">
        <is>
          <t>22c29808c4f815213303f8933030604c</t>
        </is>
      </c>
      <c r="E6361" t="inlineStr">
        <is>
          <t>organic_search</t>
        </is>
      </c>
      <c r="F6361">
        <f>IFERROR(MATCH(A6361,Deals!$A$2:$A$843,0),"")</f>
        <v/>
      </c>
      <c r="G6361">
        <f>IF(F6361="",0,1)</f>
        <v/>
      </c>
      <c r="H6361" s="29">
        <f>IF(F6361="","",INDEX(Deals!$E$2:$E$843,F6361))</f>
        <v/>
      </c>
      <c r="I6361">
        <f>IF(F6361="","",INDEX(Deals!$D$2:$D$843,F6361))</f>
        <v/>
      </c>
      <c r="J6361">
        <f>IF(F6361="","",INT(H6361)-B6361)</f>
        <v/>
      </c>
      <c r="K6361">
        <f>IF(B6361&gt;=Settings!$C$5,1,0)</f>
        <v/>
      </c>
    </row>
    <row r="6362">
      <c r="A6362" t="inlineStr">
        <is>
          <t>a5b1612c586470dd5dc023c28474e101</t>
        </is>
      </c>
      <c r="B6362" s="29" t="n">
        <v>43249</v>
      </c>
      <c r="C6362" t="inlineStr">
        <is>
          <t>2018-05</t>
        </is>
      </c>
      <c r="D6362" t="inlineStr">
        <is>
          <t>1ceb590cd1e00c7ee95220971f82693d</t>
        </is>
      </c>
      <c r="E6362" t="inlineStr">
        <is>
          <t>organic_search</t>
        </is>
      </c>
      <c r="F6362">
        <f>IFERROR(MATCH(A6362,Deals!$A$2:$A$843,0),"")</f>
        <v/>
      </c>
      <c r="G6362">
        <f>IF(F6362="",0,1)</f>
        <v/>
      </c>
      <c r="H6362" s="29">
        <f>IF(F6362="","",INDEX(Deals!$E$2:$E$843,F6362))</f>
        <v/>
      </c>
      <c r="I6362">
        <f>IF(F6362="","",INDEX(Deals!$D$2:$D$843,F6362))</f>
        <v/>
      </c>
      <c r="J6362">
        <f>IF(F6362="","",INT(H6362)-B6362)</f>
        <v/>
      </c>
      <c r="K6362">
        <f>IF(B6362&gt;=Settings!$C$5,1,0)</f>
        <v/>
      </c>
    </row>
    <row r="6363">
      <c r="A6363" t="inlineStr">
        <is>
          <t>71d8c7b32b506beb1d6469832a153576</t>
        </is>
      </c>
      <c r="B6363" s="29" t="n">
        <v>43171</v>
      </c>
      <c r="C6363" t="inlineStr">
        <is>
          <t>2018-03</t>
        </is>
      </c>
      <c r="D6363" t="inlineStr">
        <is>
          <t>40dec9f3d5259a3d2dbcdab2114fae47</t>
        </is>
      </c>
      <c r="E6363" t="inlineStr">
        <is>
          <t>paid_search</t>
        </is>
      </c>
      <c r="F6363">
        <f>IFERROR(MATCH(A6363,Deals!$A$2:$A$843,0),"")</f>
        <v/>
      </c>
      <c r="G6363">
        <f>IF(F6363="",0,1)</f>
        <v/>
      </c>
      <c r="H6363" s="29">
        <f>IF(F6363="","",INDEX(Deals!$E$2:$E$843,F6363))</f>
        <v/>
      </c>
      <c r="I6363">
        <f>IF(F6363="","",INDEX(Deals!$D$2:$D$843,F6363))</f>
        <v/>
      </c>
      <c r="J6363">
        <f>IF(F6363="","",INT(H6363)-B6363)</f>
        <v/>
      </c>
      <c r="K6363">
        <f>IF(B6363&gt;=Settings!$C$5,1,0)</f>
        <v/>
      </c>
    </row>
    <row r="6364">
      <c r="A6364" t="inlineStr">
        <is>
          <t>b231775cd526337853019cef1eab2b3c</t>
        </is>
      </c>
      <c r="B6364" s="29" t="n">
        <v>43150</v>
      </c>
      <c r="C6364" t="inlineStr">
        <is>
          <t>2018-02</t>
        </is>
      </c>
      <c r="D6364" t="inlineStr">
        <is>
          <t>b76ef37428e6799c421989521c0e5077</t>
        </is>
      </c>
      <c r="E6364" t="inlineStr">
        <is>
          <t>unknown</t>
        </is>
      </c>
      <c r="F6364">
        <f>IFERROR(MATCH(A6364,Deals!$A$2:$A$843,0),"")</f>
        <v/>
      </c>
      <c r="G6364">
        <f>IF(F6364="",0,1)</f>
        <v/>
      </c>
      <c r="H6364" s="29">
        <f>IF(F6364="","",INDEX(Deals!$E$2:$E$843,F6364))</f>
        <v/>
      </c>
      <c r="I6364">
        <f>IF(F6364="","",INDEX(Deals!$D$2:$D$843,F6364))</f>
        <v/>
      </c>
      <c r="J6364">
        <f>IF(F6364="","",INT(H6364)-B6364)</f>
        <v/>
      </c>
      <c r="K6364">
        <f>IF(B6364&gt;=Settings!$C$5,1,0)</f>
        <v/>
      </c>
    </row>
    <row r="6365">
      <c r="A6365" t="inlineStr">
        <is>
          <t>3d2c7bb8be9ea80c1477b6778fbd2cf6</t>
        </is>
      </c>
      <c r="B6365" s="29" t="n">
        <v>43232</v>
      </c>
      <c r="C6365" t="inlineStr">
        <is>
          <t>2018-05</t>
        </is>
      </c>
      <c r="D6365" t="inlineStr">
        <is>
          <t>1ceb590cd1e00c7ee95220971f82693d</t>
        </is>
      </c>
      <c r="E6365" t="inlineStr">
        <is>
          <t>paid_search</t>
        </is>
      </c>
      <c r="F6365">
        <f>IFERROR(MATCH(A6365,Deals!$A$2:$A$843,0),"")</f>
        <v/>
      </c>
      <c r="G6365">
        <f>IF(F6365="",0,1)</f>
        <v/>
      </c>
      <c r="H6365" s="29">
        <f>IF(F6365="","",INDEX(Deals!$E$2:$E$843,F6365))</f>
        <v/>
      </c>
      <c r="I6365">
        <f>IF(F6365="","",INDEX(Deals!$D$2:$D$843,F6365))</f>
        <v/>
      </c>
      <c r="J6365">
        <f>IF(F6365="","",INT(H6365)-B6365)</f>
        <v/>
      </c>
      <c r="K6365">
        <f>IF(B6365&gt;=Settings!$C$5,1,0)</f>
        <v/>
      </c>
    </row>
    <row r="6366">
      <c r="A6366" t="inlineStr">
        <is>
          <t>af2584b5bb7fffb22c8f27c5b9657ccf</t>
        </is>
      </c>
      <c r="B6366" s="29" t="n">
        <v>43167</v>
      </c>
      <c r="C6366" t="inlineStr">
        <is>
          <t>2018-03</t>
        </is>
      </c>
      <c r="D6366" t="inlineStr">
        <is>
          <t>22c29808c4f815213303f8933030604c</t>
        </is>
      </c>
      <c r="E6366" t="inlineStr">
        <is>
          <t>social</t>
        </is>
      </c>
      <c r="F6366">
        <f>IFERROR(MATCH(A6366,Deals!$A$2:$A$843,0),"")</f>
        <v/>
      </c>
      <c r="G6366">
        <f>IF(F6366="",0,1)</f>
        <v/>
      </c>
      <c r="H6366" s="29">
        <f>IF(F6366="","",INDEX(Deals!$E$2:$E$843,F6366))</f>
        <v/>
      </c>
      <c r="I6366">
        <f>IF(F6366="","",INDEX(Deals!$D$2:$D$843,F6366))</f>
        <v/>
      </c>
      <c r="J6366">
        <f>IF(F6366="","",INT(H6366)-B6366)</f>
        <v/>
      </c>
      <c r="K6366">
        <f>IF(B6366&gt;=Settings!$C$5,1,0)</f>
        <v/>
      </c>
    </row>
    <row r="6367">
      <c r="A6367" t="inlineStr">
        <is>
          <t>eff2afaf73d134f6ea9eb98ff373426c</t>
        </is>
      </c>
      <c r="B6367" s="29" t="n">
        <v>43222</v>
      </c>
      <c r="C6367" t="inlineStr">
        <is>
          <t>2018-05</t>
        </is>
      </c>
      <c r="D6367" t="inlineStr">
        <is>
          <t>f80696b73d17fb34f5c4fde157f119d8</t>
        </is>
      </c>
      <c r="E6367" t="inlineStr">
        <is>
          <t>(missing)</t>
        </is>
      </c>
      <c r="F6367">
        <f>IFERROR(MATCH(A6367,Deals!$A$2:$A$843,0),"")</f>
        <v/>
      </c>
      <c r="G6367">
        <f>IF(F6367="",0,1)</f>
        <v/>
      </c>
      <c r="H6367" s="29">
        <f>IF(F6367="","",INDEX(Deals!$E$2:$E$843,F6367))</f>
        <v/>
      </c>
      <c r="I6367">
        <f>IF(F6367="","",INDEX(Deals!$D$2:$D$843,F6367))</f>
        <v/>
      </c>
      <c r="J6367">
        <f>IF(F6367="","",INT(H6367)-B6367)</f>
        <v/>
      </c>
      <c r="K6367">
        <f>IF(B6367&gt;=Settings!$C$5,1,0)</f>
        <v/>
      </c>
    </row>
    <row r="6368">
      <c r="A6368" t="inlineStr">
        <is>
          <t>e72aceb00e6097c55a790d4e7ae23a9c</t>
        </is>
      </c>
      <c r="B6368" s="29" t="n">
        <v>42969</v>
      </c>
      <c r="C6368" t="inlineStr">
        <is>
          <t>2017-08</t>
        </is>
      </c>
      <c r="D6368" t="inlineStr">
        <is>
          <t>8a003712c92f483cef1dcb70635ebc7a</t>
        </is>
      </c>
      <c r="E6368" t="inlineStr">
        <is>
          <t>email</t>
        </is>
      </c>
      <c r="F6368">
        <f>IFERROR(MATCH(A6368,Deals!$A$2:$A$843,0),"")</f>
        <v/>
      </c>
      <c r="G6368">
        <f>IF(F6368="",0,1)</f>
        <v/>
      </c>
      <c r="H6368" s="29">
        <f>IF(F6368="","",INDEX(Deals!$E$2:$E$843,F6368))</f>
        <v/>
      </c>
      <c r="I6368">
        <f>IF(F6368="","",INDEX(Deals!$D$2:$D$843,F6368))</f>
        <v/>
      </c>
      <c r="J6368">
        <f>IF(F6368="","",INT(H6368)-B6368)</f>
        <v/>
      </c>
      <c r="K6368">
        <f>IF(B6368&gt;=Settings!$C$5,1,0)</f>
        <v/>
      </c>
    </row>
    <row r="6369">
      <c r="A6369" t="inlineStr">
        <is>
          <t>992293aa502a94d9d76d1d0313c00873</t>
        </is>
      </c>
      <c r="B6369" s="29" t="n">
        <v>42937</v>
      </c>
      <c r="C6369" t="inlineStr">
        <is>
          <t>2017-07</t>
        </is>
      </c>
      <c r="D6369" t="inlineStr">
        <is>
          <t>3cd2a8301d5395f21cdd3094c9eaa2f4</t>
        </is>
      </c>
      <c r="E6369" t="inlineStr">
        <is>
          <t>paid_search</t>
        </is>
      </c>
      <c r="F6369">
        <f>IFERROR(MATCH(A6369,Deals!$A$2:$A$843,0),"")</f>
        <v/>
      </c>
      <c r="G6369">
        <f>IF(F6369="",0,1)</f>
        <v/>
      </c>
      <c r="H6369" s="29">
        <f>IF(F6369="","",INDEX(Deals!$E$2:$E$843,F6369))</f>
        <v/>
      </c>
      <c r="I6369">
        <f>IF(F6369="","",INDEX(Deals!$D$2:$D$843,F6369))</f>
        <v/>
      </c>
      <c r="J6369">
        <f>IF(F6369="","",INT(H6369)-B6369)</f>
        <v/>
      </c>
      <c r="K6369">
        <f>IF(B6369&gt;=Settings!$C$5,1,0)</f>
        <v/>
      </c>
    </row>
    <row r="6370">
      <c r="A6370" t="inlineStr">
        <is>
          <t>ebae6bc5deeca109d899c4ec7d9d30c0</t>
        </is>
      </c>
      <c r="B6370" s="29" t="n">
        <v>43007</v>
      </c>
      <c r="C6370" t="inlineStr">
        <is>
          <t>2017-09</t>
        </is>
      </c>
      <c r="D6370" t="inlineStr">
        <is>
          <t>87732658ba41d8775e8577df347a64db</t>
        </is>
      </c>
      <c r="E6370" t="inlineStr">
        <is>
          <t>social</t>
        </is>
      </c>
      <c r="F6370">
        <f>IFERROR(MATCH(A6370,Deals!$A$2:$A$843,0),"")</f>
        <v/>
      </c>
      <c r="G6370">
        <f>IF(F6370="",0,1)</f>
        <v/>
      </c>
      <c r="H6370" s="29">
        <f>IF(F6370="","",INDEX(Deals!$E$2:$E$843,F6370))</f>
        <v/>
      </c>
      <c r="I6370">
        <f>IF(F6370="","",INDEX(Deals!$D$2:$D$843,F6370))</f>
        <v/>
      </c>
      <c r="J6370">
        <f>IF(F6370="","",INT(H6370)-B6370)</f>
        <v/>
      </c>
      <c r="K6370">
        <f>IF(B6370&gt;=Settings!$C$5,1,0)</f>
        <v/>
      </c>
    </row>
    <row r="6371">
      <c r="A6371" t="inlineStr">
        <is>
          <t>d9ee56d47bdcadd39f2ec0d61f571cf3</t>
        </is>
      </c>
      <c r="B6371" s="29" t="n">
        <v>43123</v>
      </c>
      <c r="C6371" t="inlineStr">
        <is>
          <t>2018-01</t>
        </is>
      </c>
      <c r="D6371" t="inlineStr">
        <is>
          <t>b76ef37428e6799c421989521c0e5077</t>
        </is>
      </c>
      <c r="E6371" t="inlineStr">
        <is>
          <t>organic_search</t>
        </is>
      </c>
      <c r="F6371">
        <f>IFERROR(MATCH(A6371,Deals!$A$2:$A$843,0),"")</f>
        <v/>
      </c>
      <c r="G6371">
        <f>IF(F6371="",0,1)</f>
        <v/>
      </c>
      <c r="H6371" s="29">
        <f>IF(F6371="","",INDEX(Deals!$E$2:$E$843,F6371))</f>
        <v/>
      </c>
      <c r="I6371">
        <f>IF(F6371="","",INDEX(Deals!$D$2:$D$843,F6371))</f>
        <v/>
      </c>
      <c r="J6371">
        <f>IF(F6371="","",INT(H6371)-B6371)</f>
        <v/>
      </c>
      <c r="K6371">
        <f>IF(B6371&gt;=Settings!$C$5,1,0)</f>
        <v/>
      </c>
    </row>
    <row r="6372">
      <c r="A6372" t="inlineStr">
        <is>
          <t>e19ad74a5332238bfeb6be4a61daf6e7</t>
        </is>
      </c>
      <c r="B6372" s="29" t="n">
        <v>43239</v>
      </c>
      <c r="C6372" t="inlineStr">
        <is>
          <t>2018-05</t>
        </is>
      </c>
      <c r="D6372" t="inlineStr">
        <is>
          <t>58326e62183c14b0c03085c33b9fdc44</t>
        </is>
      </c>
      <c r="E6372" t="inlineStr">
        <is>
          <t>social</t>
        </is>
      </c>
      <c r="F6372">
        <f>IFERROR(MATCH(A6372,Deals!$A$2:$A$843,0),"")</f>
        <v/>
      </c>
      <c r="G6372">
        <f>IF(F6372="",0,1)</f>
        <v/>
      </c>
      <c r="H6372" s="29">
        <f>IF(F6372="","",INDEX(Deals!$E$2:$E$843,F6372))</f>
        <v/>
      </c>
      <c r="I6372">
        <f>IF(F6372="","",INDEX(Deals!$D$2:$D$843,F6372))</f>
        <v/>
      </c>
      <c r="J6372">
        <f>IF(F6372="","",INT(H6372)-B6372)</f>
        <v/>
      </c>
      <c r="K6372">
        <f>IF(B6372&gt;=Settings!$C$5,1,0)</f>
        <v/>
      </c>
    </row>
    <row r="6373">
      <c r="A6373" t="inlineStr">
        <is>
          <t>955eae3d90fefc75fd6ecfd4ba804b11</t>
        </is>
      </c>
      <c r="B6373" s="29" t="n">
        <v>43090</v>
      </c>
      <c r="C6373" t="inlineStr">
        <is>
          <t>2017-12</t>
        </is>
      </c>
      <c r="D6373" t="inlineStr">
        <is>
          <t>88740e65d5d6b056e0cda098e1ea6313</t>
        </is>
      </c>
      <c r="E6373" t="inlineStr">
        <is>
          <t>social</t>
        </is>
      </c>
      <c r="F6373">
        <f>IFERROR(MATCH(A6373,Deals!$A$2:$A$843,0),"")</f>
        <v/>
      </c>
      <c r="G6373">
        <f>IF(F6373="",0,1)</f>
        <v/>
      </c>
      <c r="H6373" s="29">
        <f>IF(F6373="","",INDEX(Deals!$E$2:$E$843,F6373))</f>
        <v/>
      </c>
      <c r="I6373">
        <f>IF(F6373="","",INDEX(Deals!$D$2:$D$843,F6373))</f>
        <v/>
      </c>
      <c r="J6373">
        <f>IF(F6373="","",INT(H6373)-B6373)</f>
        <v/>
      </c>
      <c r="K6373">
        <f>IF(B6373&gt;=Settings!$C$5,1,0)</f>
        <v/>
      </c>
    </row>
    <row r="6374">
      <c r="A6374" t="inlineStr">
        <is>
          <t>567e98ff27e67b99ca683e7cdf92e63e</t>
        </is>
      </c>
      <c r="B6374" s="29" t="n">
        <v>43222</v>
      </c>
      <c r="C6374" t="inlineStr">
        <is>
          <t>2018-05</t>
        </is>
      </c>
      <c r="D6374" t="inlineStr">
        <is>
          <t>f80696b73d17fb34f5c4fde157f119d8</t>
        </is>
      </c>
      <c r="E6374" t="inlineStr">
        <is>
          <t>email</t>
        </is>
      </c>
      <c r="F6374">
        <f>IFERROR(MATCH(A6374,Deals!$A$2:$A$843,0),"")</f>
        <v/>
      </c>
      <c r="G6374">
        <f>IF(F6374="",0,1)</f>
        <v/>
      </c>
      <c r="H6374" s="29">
        <f>IF(F6374="","",INDEX(Deals!$E$2:$E$843,F6374))</f>
        <v/>
      </c>
      <c r="I6374">
        <f>IF(F6374="","",INDEX(Deals!$D$2:$D$843,F6374))</f>
        <v/>
      </c>
      <c r="J6374">
        <f>IF(F6374="","",INT(H6374)-B6374)</f>
        <v/>
      </c>
      <c r="K6374">
        <f>IF(B6374&gt;=Settings!$C$5,1,0)</f>
        <v/>
      </c>
    </row>
    <row r="6375">
      <c r="A6375" t="inlineStr">
        <is>
          <t>9e5523333afdebe2911f20c3e5b452df</t>
        </is>
      </c>
      <c r="B6375" s="29" t="n">
        <v>43173</v>
      </c>
      <c r="C6375" t="inlineStr">
        <is>
          <t>2018-03</t>
        </is>
      </c>
      <c r="D6375" t="inlineStr">
        <is>
          <t>40dec9f3d5259a3d2dbcdab2114fae47</t>
        </is>
      </c>
      <c r="E6375" t="inlineStr">
        <is>
          <t>paid_search</t>
        </is>
      </c>
      <c r="F6375">
        <f>IFERROR(MATCH(A6375,Deals!$A$2:$A$843,0),"")</f>
        <v/>
      </c>
      <c r="G6375">
        <f>IF(F6375="",0,1)</f>
        <v/>
      </c>
      <c r="H6375" s="29">
        <f>IF(F6375="","",INDEX(Deals!$E$2:$E$843,F6375))</f>
        <v/>
      </c>
      <c r="I6375">
        <f>IF(F6375="","",INDEX(Deals!$D$2:$D$843,F6375))</f>
        <v/>
      </c>
      <c r="J6375">
        <f>IF(F6375="","",INT(H6375)-B6375)</f>
        <v/>
      </c>
      <c r="K6375">
        <f>IF(B6375&gt;=Settings!$C$5,1,0)</f>
        <v/>
      </c>
    </row>
    <row r="6376">
      <c r="A6376" t="inlineStr">
        <is>
          <t>f1031e5f06c70abc713119143e888b33</t>
        </is>
      </c>
      <c r="B6376" s="29" t="n">
        <v>43163</v>
      </c>
      <c r="C6376" t="inlineStr">
        <is>
          <t>2018-03</t>
        </is>
      </c>
      <c r="D6376" t="inlineStr">
        <is>
          <t>22c29808c4f815213303f8933030604c</t>
        </is>
      </c>
      <c r="E6376" t="inlineStr">
        <is>
          <t>organic_search</t>
        </is>
      </c>
      <c r="F6376">
        <f>IFERROR(MATCH(A6376,Deals!$A$2:$A$843,0),"")</f>
        <v/>
      </c>
      <c r="G6376">
        <f>IF(F6376="",0,1)</f>
        <v/>
      </c>
      <c r="H6376" s="29">
        <f>IF(F6376="","",INDEX(Deals!$E$2:$E$843,F6376))</f>
        <v/>
      </c>
      <c r="I6376">
        <f>IF(F6376="","",INDEX(Deals!$D$2:$D$843,F6376))</f>
        <v/>
      </c>
      <c r="J6376">
        <f>IF(F6376="","",INT(H6376)-B6376)</f>
        <v/>
      </c>
      <c r="K6376">
        <f>IF(B6376&gt;=Settings!$C$5,1,0)</f>
        <v/>
      </c>
    </row>
    <row r="6377">
      <c r="A6377" t="inlineStr">
        <is>
          <t>c07be9421fc64b8e8ca2ebc12fcbd59d</t>
        </is>
      </c>
      <c r="B6377" s="29" t="n">
        <v>43006</v>
      </c>
      <c r="C6377" t="inlineStr">
        <is>
          <t>2017-09</t>
        </is>
      </c>
      <c r="D6377" t="inlineStr">
        <is>
          <t>87732658ba41d8775e8577df347a64db</t>
        </is>
      </c>
      <c r="E6377" t="inlineStr">
        <is>
          <t>social</t>
        </is>
      </c>
      <c r="F6377">
        <f>IFERROR(MATCH(A6377,Deals!$A$2:$A$843,0),"")</f>
        <v/>
      </c>
      <c r="G6377">
        <f>IF(F6377="",0,1)</f>
        <v/>
      </c>
      <c r="H6377" s="29">
        <f>IF(F6377="","",INDEX(Deals!$E$2:$E$843,F6377))</f>
        <v/>
      </c>
      <c r="I6377">
        <f>IF(F6377="","",INDEX(Deals!$D$2:$D$843,F6377))</f>
        <v/>
      </c>
      <c r="J6377">
        <f>IF(F6377="","",INT(H6377)-B6377)</f>
        <v/>
      </c>
      <c r="K6377">
        <f>IF(B6377&gt;=Settings!$C$5,1,0)</f>
        <v/>
      </c>
    </row>
    <row r="6378">
      <c r="A6378" t="inlineStr">
        <is>
          <t>5b7b29577c93096ec507f2257eaaaa83</t>
        </is>
      </c>
      <c r="B6378" s="29" t="n">
        <v>43250</v>
      </c>
      <c r="C6378" t="inlineStr">
        <is>
          <t>2018-05</t>
        </is>
      </c>
      <c r="D6378" t="inlineStr">
        <is>
          <t>ef8fd2bd651e9bede81dfb6e45480793</t>
        </is>
      </c>
      <c r="E6378" t="inlineStr">
        <is>
          <t>organic_search</t>
        </is>
      </c>
      <c r="F6378">
        <f>IFERROR(MATCH(A6378,Deals!$A$2:$A$843,0),"")</f>
        <v/>
      </c>
      <c r="G6378">
        <f>IF(F6378="",0,1)</f>
        <v/>
      </c>
      <c r="H6378" s="29">
        <f>IF(F6378="","",INDEX(Deals!$E$2:$E$843,F6378))</f>
        <v/>
      </c>
      <c r="I6378">
        <f>IF(F6378="","",INDEX(Deals!$D$2:$D$843,F6378))</f>
        <v/>
      </c>
      <c r="J6378">
        <f>IF(F6378="","",INT(H6378)-B6378)</f>
        <v/>
      </c>
      <c r="K6378">
        <f>IF(B6378&gt;=Settings!$C$5,1,0)</f>
        <v/>
      </c>
    </row>
    <row r="6379">
      <c r="A6379" t="inlineStr">
        <is>
          <t>8164aef00b1608446b1770236e5e6032</t>
        </is>
      </c>
      <c r="B6379" s="29" t="n">
        <v>43175</v>
      </c>
      <c r="C6379" t="inlineStr">
        <is>
          <t>2018-03</t>
        </is>
      </c>
      <c r="D6379" t="inlineStr">
        <is>
          <t>22c29808c4f815213303f8933030604c</t>
        </is>
      </c>
      <c r="E6379" t="inlineStr">
        <is>
          <t>paid_search</t>
        </is>
      </c>
      <c r="F6379">
        <f>IFERROR(MATCH(A6379,Deals!$A$2:$A$843,0),"")</f>
        <v/>
      </c>
      <c r="G6379">
        <f>IF(F6379="",0,1)</f>
        <v/>
      </c>
      <c r="H6379" s="29">
        <f>IF(F6379="","",INDEX(Deals!$E$2:$E$843,F6379))</f>
        <v/>
      </c>
      <c r="I6379">
        <f>IF(F6379="","",INDEX(Deals!$D$2:$D$843,F6379))</f>
        <v/>
      </c>
      <c r="J6379">
        <f>IF(F6379="","",INT(H6379)-B6379)</f>
        <v/>
      </c>
      <c r="K6379">
        <f>IF(B6379&gt;=Settings!$C$5,1,0)</f>
        <v/>
      </c>
    </row>
    <row r="6380">
      <c r="A6380" t="inlineStr">
        <is>
          <t>d8c3fc67def99b7b61593abe7920f3c0</t>
        </is>
      </c>
      <c r="B6380" s="29" t="n">
        <v>43171</v>
      </c>
      <c r="C6380" t="inlineStr">
        <is>
          <t>2018-03</t>
        </is>
      </c>
      <c r="D6380" t="inlineStr">
        <is>
          <t>22c29808c4f815213303f8933030604c</t>
        </is>
      </c>
      <c r="E6380" t="inlineStr">
        <is>
          <t>organic_search</t>
        </is>
      </c>
      <c r="F6380">
        <f>IFERROR(MATCH(A6380,Deals!$A$2:$A$843,0),"")</f>
        <v/>
      </c>
      <c r="G6380">
        <f>IF(F6380="",0,1)</f>
        <v/>
      </c>
      <c r="H6380" s="29">
        <f>IF(F6380="","",INDEX(Deals!$E$2:$E$843,F6380))</f>
        <v/>
      </c>
      <c r="I6380">
        <f>IF(F6380="","",INDEX(Deals!$D$2:$D$843,F6380))</f>
        <v/>
      </c>
      <c r="J6380">
        <f>IF(F6380="","",INT(H6380)-B6380)</f>
        <v/>
      </c>
      <c r="K6380">
        <f>IF(B6380&gt;=Settings!$C$5,1,0)</f>
        <v/>
      </c>
    </row>
    <row r="6381">
      <c r="A6381" t="inlineStr">
        <is>
          <t>c7bf6d5cc46eabd157d7bb7e037b3e00</t>
        </is>
      </c>
      <c r="B6381" s="29" t="n">
        <v>43097</v>
      </c>
      <c r="C6381" t="inlineStr">
        <is>
          <t>2017-12</t>
        </is>
      </c>
      <c r="D6381" t="inlineStr">
        <is>
          <t>88740e65d5d6b056e0cda098e1ea6313</t>
        </is>
      </c>
      <c r="E6381" t="inlineStr">
        <is>
          <t>social</t>
        </is>
      </c>
      <c r="F6381">
        <f>IFERROR(MATCH(A6381,Deals!$A$2:$A$843,0),"")</f>
        <v/>
      </c>
      <c r="G6381">
        <f>IF(F6381="",0,1)</f>
        <v/>
      </c>
      <c r="H6381" s="29">
        <f>IF(F6381="","",INDEX(Deals!$E$2:$E$843,F6381))</f>
        <v/>
      </c>
      <c r="I6381">
        <f>IF(F6381="","",INDEX(Deals!$D$2:$D$843,F6381))</f>
        <v/>
      </c>
      <c r="J6381">
        <f>IF(F6381="","",INT(H6381)-B6381)</f>
        <v/>
      </c>
      <c r="K6381">
        <f>IF(B6381&gt;=Settings!$C$5,1,0)</f>
        <v/>
      </c>
    </row>
    <row r="6382">
      <c r="A6382" t="inlineStr">
        <is>
          <t>dbfff4b26f72f011fa23bfef71dbb28a</t>
        </is>
      </c>
      <c r="B6382" s="29" t="n">
        <v>42962</v>
      </c>
      <c r="C6382" t="inlineStr">
        <is>
          <t>2017-08</t>
        </is>
      </c>
      <c r="D6382" t="inlineStr">
        <is>
          <t>b76ef37428e6799c421989521c0e5077</t>
        </is>
      </c>
      <c r="E6382" t="inlineStr">
        <is>
          <t>unknown</t>
        </is>
      </c>
      <c r="F6382">
        <f>IFERROR(MATCH(A6382,Deals!$A$2:$A$843,0),"")</f>
        <v/>
      </c>
      <c r="G6382">
        <f>IF(F6382="",0,1)</f>
        <v/>
      </c>
      <c r="H6382" s="29">
        <f>IF(F6382="","",INDEX(Deals!$E$2:$E$843,F6382))</f>
        <v/>
      </c>
      <c r="I6382">
        <f>IF(F6382="","",INDEX(Deals!$D$2:$D$843,F6382))</f>
        <v/>
      </c>
      <c r="J6382">
        <f>IF(F6382="","",INT(H6382)-B6382)</f>
        <v/>
      </c>
      <c r="K6382">
        <f>IF(B6382&gt;=Settings!$C$5,1,0)</f>
        <v/>
      </c>
    </row>
    <row r="6383">
      <c r="A6383" t="inlineStr">
        <is>
          <t>0237e3fc730282fd48eb4345a4269308</t>
        </is>
      </c>
      <c r="B6383" s="29" t="n">
        <v>43179</v>
      </c>
      <c r="C6383" t="inlineStr">
        <is>
          <t>2018-03</t>
        </is>
      </c>
      <c r="D6383" t="inlineStr">
        <is>
          <t>30077c17f2ec5010a82e37ad8925b95f</t>
        </is>
      </c>
      <c r="E6383" t="inlineStr">
        <is>
          <t>direct_traffic</t>
        </is>
      </c>
      <c r="F6383">
        <f>IFERROR(MATCH(A6383,Deals!$A$2:$A$843,0),"")</f>
        <v/>
      </c>
      <c r="G6383">
        <f>IF(F6383="",0,1)</f>
        <v/>
      </c>
      <c r="H6383" s="29">
        <f>IF(F6383="","",INDEX(Deals!$E$2:$E$843,F6383))</f>
        <v/>
      </c>
      <c r="I6383">
        <f>IF(F6383="","",INDEX(Deals!$D$2:$D$843,F6383))</f>
        <v/>
      </c>
      <c r="J6383">
        <f>IF(F6383="","",INT(H6383)-B6383)</f>
        <v/>
      </c>
      <c r="K6383">
        <f>IF(B6383&gt;=Settings!$C$5,1,0)</f>
        <v/>
      </c>
    </row>
    <row r="6384">
      <c r="A6384" t="inlineStr">
        <is>
          <t>3acba2462aedc96a84aa63c995f13572</t>
        </is>
      </c>
      <c r="B6384" s="29" t="n">
        <v>43227</v>
      </c>
      <c r="C6384" t="inlineStr">
        <is>
          <t>2018-05</t>
        </is>
      </c>
      <c r="D6384" t="inlineStr">
        <is>
          <t>35c9b150ab36fe584c1f24fd458c453a</t>
        </is>
      </c>
      <c r="E6384" t="inlineStr">
        <is>
          <t>paid_search</t>
        </is>
      </c>
      <c r="F6384">
        <f>IFERROR(MATCH(A6384,Deals!$A$2:$A$843,0),"")</f>
        <v/>
      </c>
      <c r="G6384">
        <f>IF(F6384="",0,1)</f>
        <v/>
      </c>
      <c r="H6384" s="29">
        <f>IF(F6384="","",INDEX(Deals!$E$2:$E$843,F6384))</f>
        <v/>
      </c>
      <c r="I6384">
        <f>IF(F6384="","",INDEX(Deals!$D$2:$D$843,F6384))</f>
        <v/>
      </c>
      <c r="J6384">
        <f>IF(F6384="","",INT(H6384)-B6384)</f>
        <v/>
      </c>
      <c r="K6384">
        <f>IF(B6384&gt;=Settings!$C$5,1,0)</f>
        <v/>
      </c>
    </row>
    <row r="6385">
      <c r="A6385" t="inlineStr">
        <is>
          <t>7a2831d578da49e38936bc3fa5ce5ca6</t>
        </is>
      </c>
      <c r="B6385" s="29" t="n">
        <v>43245</v>
      </c>
      <c r="C6385" t="inlineStr">
        <is>
          <t>2018-05</t>
        </is>
      </c>
      <c r="D6385" t="inlineStr">
        <is>
          <t>35c9b150ab36fe584c1f24fd458c453a</t>
        </is>
      </c>
      <c r="E6385" t="inlineStr">
        <is>
          <t>organic_search</t>
        </is>
      </c>
      <c r="F6385">
        <f>IFERROR(MATCH(A6385,Deals!$A$2:$A$843,0),"")</f>
        <v/>
      </c>
      <c r="G6385">
        <f>IF(F6385="",0,1)</f>
        <v/>
      </c>
      <c r="H6385" s="29">
        <f>IF(F6385="","",INDEX(Deals!$E$2:$E$843,F6385))</f>
        <v/>
      </c>
      <c r="I6385">
        <f>IF(F6385="","",INDEX(Deals!$D$2:$D$843,F6385))</f>
        <v/>
      </c>
      <c r="J6385">
        <f>IF(F6385="","",INT(H6385)-B6385)</f>
        <v/>
      </c>
      <c r="K6385">
        <f>IF(B6385&gt;=Settings!$C$5,1,0)</f>
        <v/>
      </c>
    </row>
    <row r="6386">
      <c r="A6386" t="inlineStr">
        <is>
          <t>e22ea1e7242e8f9094af1539c4154566</t>
        </is>
      </c>
      <c r="B6386" s="29" t="n">
        <v>43229</v>
      </c>
      <c r="C6386" t="inlineStr">
        <is>
          <t>2018-05</t>
        </is>
      </c>
      <c r="D6386" t="inlineStr">
        <is>
          <t>22c29808c4f815213303f8933030604c</t>
        </is>
      </c>
      <c r="E6386" t="inlineStr">
        <is>
          <t>organic_search</t>
        </is>
      </c>
      <c r="F6386">
        <f>IFERROR(MATCH(A6386,Deals!$A$2:$A$843,0),"")</f>
        <v/>
      </c>
      <c r="G6386">
        <f>IF(F6386="",0,1)</f>
        <v/>
      </c>
      <c r="H6386" s="29">
        <f>IF(F6386="","",INDEX(Deals!$E$2:$E$843,F6386))</f>
        <v/>
      </c>
      <c r="I6386">
        <f>IF(F6386="","",INDEX(Deals!$D$2:$D$843,F6386))</f>
        <v/>
      </c>
      <c r="J6386">
        <f>IF(F6386="","",INT(H6386)-B6386)</f>
        <v/>
      </c>
      <c r="K6386">
        <f>IF(B6386&gt;=Settings!$C$5,1,0)</f>
        <v/>
      </c>
    </row>
    <row r="6387">
      <c r="A6387" t="inlineStr">
        <is>
          <t>82717311c998510059faacba4518f33d</t>
        </is>
      </c>
      <c r="B6387" s="29" t="n">
        <v>43166</v>
      </c>
      <c r="C6387" t="inlineStr">
        <is>
          <t>2018-03</t>
        </is>
      </c>
      <c r="D6387" t="inlineStr">
        <is>
          <t>52a08c56d3b13cb6c8ce804776423e6b</t>
        </is>
      </c>
      <c r="E6387" t="inlineStr">
        <is>
          <t>unknown</t>
        </is>
      </c>
      <c r="F6387">
        <f>IFERROR(MATCH(A6387,Deals!$A$2:$A$843,0),"")</f>
        <v/>
      </c>
      <c r="G6387">
        <f>IF(F6387="",0,1)</f>
        <v/>
      </c>
      <c r="H6387" s="29">
        <f>IF(F6387="","",INDEX(Deals!$E$2:$E$843,F6387))</f>
        <v/>
      </c>
      <c r="I6387">
        <f>IF(F6387="","",INDEX(Deals!$D$2:$D$843,F6387))</f>
        <v/>
      </c>
      <c r="J6387">
        <f>IF(F6387="","",INT(H6387)-B6387)</f>
        <v/>
      </c>
      <c r="K6387">
        <f>IF(B6387&gt;=Settings!$C$5,1,0)</f>
        <v/>
      </c>
    </row>
    <row r="6388">
      <c r="A6388" t="inlineStr">
        <is>
          <t>db97422a6c4b71ad4dd3f520f58efbc2</t>
        </is>
      </c>
      <c r="B6388" s="29" t="n">
        <v>43215</v>
      </c>
      <c r="C6388" t="inlineStr">
        <is>
          <t>2018-04</t>
        </is>
      </c>
      <c r="D6388" t="inlineStr">
        <is>
          <t>b76ef37428e6799c421989521c0e5077</t>
        </is>
      </c>
      <c r="E6388" t="inlineStr">
        <is>
          <t>organic_search</t>
        </is>
      </c>
      <c r="F6388">
        <f>IFERROR(MATCH(A6388,Deals!$A$2:$A$843,0),"")</f>
        <v/>
      </c>
      <c r="G6388">
        <f>IF(F6388="",0,1)</f>
        <v/>
      </c>
      <c r="H6388" s="29">
        <f>IF(F6388="","",INDEX(Deals!$E$2:$E$843,F6388))</f>
        <v/>
      </c>
      <c r="I6388">
        <f>IF(F6388="","",INDEX(Deals!$D$2:$D$843,F6388))</f>
        <v/>
      </c>
      <c r="J6388">
        <f>IF(F6388="","",INT(H6388)-B6388)</f>
        <v/>
      </c>
      <c r="K6388">
        <f>IF(B6388&gt;=Settings!$C$5,1,0)</f>
        <v/>
      </c>
    </row>
    <row r="6389">
      <c r="A6389" t="inlineStr">
        <is>
          <t>ddb7775a4804e74eb1c80b5a36f3ffcb</t>
        </is>
      </c>
      <c r="B6389" s="29" t="n">
        <v>43193</v>
      </c>
      <c r="C6389" t="inlineStr">
        <is>
          <t>2018-04</t>
        </is>
      </c>
      <c r="D6389" t="inlineStr">
        <is>
          <t>58326e62183c14b0c03085c33b9fdc44</t>
        </is>
      </c>
      <c r="E6389" t="inlineStr">
        <is>
          <t>social</t>
        </is>
      </c>
      <c r="F6389">
        <f>IFERROR(MATCH(A6389,Deals!$A$2:$A$843,0),"")</f>
        <v/>
      </c>
      <c r="G6389">
        <f>IF(F6389="",0,1)</f>
        <v/>
      </c>
      <c r="H6389" s="29">
        <f>IF(F6389="","",INDEX(Deals!$E$2:$E$843,F6389))</f>
        <v/>
      </c>
      <c r="I6389">
        <f>IF(F6389="","",INDEX(Deals!$D$2:$D$843,F6389))</f>
        <v/>
      </c>
      <c r="J6389">
        <f>IF(F6389="","",INT(H6389)-B6389)</f>
        <v/>
      </c>
      <c r="K6389">
        <f>IF(B6389&gt;=Settings!$C$5,1,0)</f>
        <v/>
      </c>
    </row>
    <row r="6390">
      <c r="A6390" t="inlineStr">
        <is>
          <t>9a5d1781b5a5cb66c99703c5dee81a1a</t>
        </is>
      </c>
      <c r="B6390" s="29" t="n">
        <v>43133</v>
      </c>
      <c r="C6390" t="inlineStr">
        <is>
          <t>2018-02</t>
        </is>
      </c>
      <c r="D6390" t="inlineStr">
        <is>
          <t>f017be4dbf86243af5c1ebed0cff36a2</t>
        </is>
      </c>
      <c r="E6390" t="inlineStr">
        <is>
          <t>organic_search</t>
        </is>
      </c>
      <c r="F6390">
        <f>IFERROR(MATCH(A6390,Deals!$A$2:$A$843,0),"")</f>
        <v/>
      </c>
      <c r="G6390">
        <f>IF(F6390="",0,1)</f>
        <v/>
      </c>
      <c r="H6390" s="29">
        <f>IF(F6390="","",INDEX(Deals!$E$2:$E$843,F6390))</f>
        <v/>
      </c>
      <c r="I6390">
        <f>IF(F6390="","",INDEX(Deals!$D$2:$D$843,F6390))</f>
        <v/>
      </c>
      <c r="J6390">
        <f>IF(F6390="","",INT(H6390)-B6390)</f>
        <v/>
      </c>
      <c r="K6390">
        <f>IF(B6390&gt;=Settings!$C$5,1,0)</f>
        <v/>
      </c>
    </row>
    <row r="6391">
      <c r="A6391" t="inlineStr">
        <is>
          <t>e74fdb91855052441b7e5a9e7bf5fc0a</t>
        </is>
      </c>
      <c r="B6391" s="29" t="n">
        <v>42973</v>
      </c>
      <c r="C6391" t="inlineStr">
        <is>
          <t>2017-08</t>
        </is>
      </c>
      <c r="D6391" t="inlineStr">
        <is>
          <t>e92a6f37ebb87a6bfbc569d439cf1635</t>
        </is>
      </c>
      <c r="E6391" t="inlineStr">
        <is>
          <t>unknown</t>
        </is>
      </c>
      <c r="F6391">
        <f>IFERROR(MATCH(A6391,Deals!$A$2:$A$843,0),"")</f>
        <v/>
      </c>
      <c r="G6391">
        <f>IF(F6391="",0,1)</f>
        <v/>
      </c>
      <c r="H6391" s="29">
        <f>IF(F6391="","",INDEX(Deals!$E$2:$E$843,F6391))</f>
        <v/>
      </c>
      <c r="I6391">
        <f>IF(F6391="","",INDEX(Deals!$D$2:$D$843,F6391))</f>
        <v/>
      </c>
      <c r="J6391">
        <f>IF(F6391="","",INT(H6391)-B6391)</f>
        <v/>
      </c>
      <c r="K6391">
        <f>IF(B6391&gt;=Settings!$C$5,1,0)</f>
        <v/>
      </c>
    </row>
    <row r="6392">
      <c r="A6392" t="inlineStr">
        <is>
          <t>f37ef71e570a8c693cac4cfca7654f8e</t>
        </is>
      </c>
      <c r="B6392" s="29" t="n">
        <v>43067</v>
      </c>
      <c r="C6392" t="inlineStr">
        <is>
          <t>2017-11</t>
        </is>
      </c>
      <c r="D6392" t="inlineStr">
        <is>
          <t>ce1a65abd0973638f1c887a6efcfa82d</t>
        </is>
      </c>
      <c r="E6392" t="inlineStr">
        <is>
          <t>social</t>
        </is>
      </c>
      <c r="F6392">
        <f>IFERROR(MATCH(A6392,Deals!$A$2:$A$843,0),"")</f>
        <v/>
      </c>
      <c r="G6392">
        <f>IF(F6392="",0,1)</f>
        <v/>
      </c>
      <c r="H6392" s="29">
        <f>IF(F6392="","",INDEX(Deals!$E$2:$E$843,F6392))</f>
        <v/>
      </c>
      <c r="I6392">
        <f>IF(F6392="","",INDEX(Deals!$D$2:$D$843,F6392))</f>
        <v/>
      </c>
      <c r="J6392">
        <f>IF(F6392="","",INT(H6392)-B6392)</f>
        <v/>
      </c>
      <c r="K6392">
        <f>IF(B6392&gt;=Settings!$C$5,1,0)</f>
        <v/>
      </c>
    </row>
    <row r="6393">
      <c r="A6393" t="inlineStr">
        <is>
          <t>7ffd8ebf0f316956c827375501307e10</t>
        </is>
      </c>
      <c r="B6393" s="29" t="n">
        <v>42963</v>
      </c>
      <c r="C6393" t="inlineStr">
        <is>
          <t>2017-08</t>
        </is>
      </c>
      <c r="D6393" t="inlineStr">
        <is>
          <t>ef0b482996664cc1107b9051efd3ca84</t>
        </is>
      </c>
      <c r="E6393" t="inlineStr">
        <is>
          <t>organic_search</t>
        </is>
      </c>
      <c r="F6393">
        <f>IFERROR(MATCH(A6393,Deals!$A$2:$A$843,0),"")</f>
        <v/>
      </c>
      <c r="G6393">
        <f>IF(F6393="",0,1)</f>
        <v/>
      </c>
      <c r="H6393" s="29">
        <f>IF(F6393="","",INDEX(Deals!$E$2:$E$843,F6393))</f>
        <v/>
      </c>
      <c r="I6393">
        <f>IF(F6393="","",INDEX(Deals!$D$2:$D$843,F6393))</f>
        <v/>
      </c>
      <c r="J6393">
        <f>IF(F6393="","",INT(H6393)-B6393)</f>
        <v/>
      </c>
      <c r="K6393">
        <f>IF(B6393&gt;=Settings!$C$5,1,0)</f>
        <v/>
      </c>
    </row>
    <row r="6394">
      <c r="A6394" t="inlineStr">
        <is>
          <t>d18a6195ef9a4d256b2cfad6aa68e3f7</t>
        </is>
      </c>
      <c r="B6394" s="29" t="n">
        <v>43188</v>
      </c>
      <c r="C6394" t="inlineStr">
        <is>
          <t>2018-03</t>
        </is>
      </c>
      <c r="D6394" t="inlineStr">
        <is>
          <t>58326e62183c14b0c03085c33b9fdc44</t>
        </is>
      </c>
      <c r="E6394" t="inlineStr">
        <is>
          <t>social</t>
        </is>
      </c>
      <c r="F6394">
        <f>IFERROR(MATCH(A6394,Deals!$A$2:$A$843,0),"")</f>
        <v/>
      </c>
      <c r="G6394">
        <f>IF(F6394="",0,1)</f>
        <v/>
      </c>
      <c r="H6394" s="29">
        <f>IF(F6394="","",INDEX(Deals!$E$2:$E$843,F6394))</f>
        <v/>
      </c>
      <c r="I6394">
        <f>IF(F6394="","",INDEX(Deals!$D$2:$D$843,F6394))</f>
        <v/>
      </c>
      <c r="J6394">
        <f>IF(F6394="","",INT(H6394)-B6394)</f>
        <v/>
      </c>
      <c r="K6394">
        <f>IF(B6394&gt;=Settings!$C$5,1,0)</f>
        <v/>
      </c>
    </row>
    <row r="6395">
      <c r="A6395" t="inlineStr">
        <is>
          <t>86cd44d9fbd46fa7d4e40bc4dd5974a2</t>
        </is>
      </c>
      <c r="B6395" s="29" t="n">
        <v>42970</v>
      </c>
      <c r="C6395" t="inlineStr">
        <is>
          <t>2017-08</t>
        </is>
      </c>
      <c r="D6395" t="inlineStr">
        <is>
          <t>83ccc33d426eab8a3db70bd15aba46b8</t>
        </is>
      </c>
      <c r="E6395" t="inlineStr">
        <is>
          <t>direct_traffic</t>
        </is>
      </c>
      <c r="F6395">
        <f>IFERROR(MATCH(A6395,Deals!$A$2:$A$843,0),"")</f>
        <v/>
      </c>
      <c r="G6395">
        <f>IF(F6395="",0,1)</f>
        <v/>
      </c>
      <c r="H6395" s="29">
        <f>IF(F6395="","",INDEX(Deals!$E$2:$E$843,F6395))</f>
        <v/>
      </c>
      <c r="I6395">
        <f>IF(F6395="","",INDEX(Deals!$D$2:$D$843,F6395))</f>
        <v/>
      </c>
      <c r="J6395">
        <f>IF(F6395="","",INT(H6395)-B6395)</f>
        <v/>
      </c>
      <c r="K6395">
        <f>IF(B6395&gt;=Settings!$C$5,1,0)</f>
        <v/>
      </c>
    </row>
    <row r="6396">
      <c r="A6396" t="inlineStr">
        <is>
          <t>c0ca5d6a5e9d01d0a3090342be8d5751</t>
        </is>
      </c>
      <c r="B6396" s="29" t="n">
        <v>43193</v>
      </c>
      <c r="C6396" t="inlineStr">
        <is>
          <t>2018-04</t>
        </is>
      </c>
      <c r="D6396" t="inlineStr">
        <is>
          <t>87e8cbe800fd79c7109fb24081c1c31d</t>
        </is>
      </c>
      <c r="E6396" t="inlineStr">
        <is>
          <t>direct_traffic</t>
        </is>
      </c>
      <c r="F6396">
        <f>IFERROR(MATCH(A6396,Deals!$A$2:$A$843,0),"")</f>
        <v/>
      </c>
      <c r="G6396">
        <f>IF(F6396="",0,1)</f>
        <v/>
      </c>
      <c r="H6396" s="29">
        <f>IF(F6396="","",INDEX(Deals!$E$2:$E$843,F6396))</f>
        <v/>
      </c>
      <c r="I6396">
        <f>IF(F6396="","",INDEX(Deals!$D$2:$D$843,F6396))</f>
        <v/>
      </c>
      <c r="J6396">
        <f>IF(F6396="","",INT(H6396)-B6396)</f>
        <v/>
      </c>
      <c r="K6396">
        <f>IF(B6396&gt;=Settings!$C$5,1,0)</f>
        <v/>
      </c>
    </row>
    <row r="6397">
      <c r="A6397" t="inlineStr">
        <is>
          <t>1bbd8746b185f6d539461fc40141577a</t>
        </is>
      </c>
      <c r="B6397" s="29" t="n">
        <v>42957</v>
      </c>
      <c r="C6397" t="inlineStr">
        <is>
          <t>2017-08</t>
        </is>
      </c>
      <c r="D6397" t="inlineStr">
        <is>
          <t>e492ee5eaf1697716985cc6f33f9cd9b</t>
        </is>
      </c>
      <c r="E6397" t="inlineStr">
        <is>
          <t>unknown</t>
        </is>
      </c>
      <c r="F6397">
        <f>IFERROR(MATCH(A6397,Deals!$A$2:$A$843,0),"")</f>
        <v/>
      </c>
      <c r="G6397">
        <f>IF(F6397="",0,1)</f>
        <v/>
      </c>
      <c r="H6397" s="29">
        <f>IF(F6397="","",INDEX(Deals!$E$2:$E$843,F6397))</f>
        <v/>
      </c>
      <c r="I6397">
        <f>IF(F6397="","",INDEX(Deals!$D$2:$D$843,F6397))</f>
        <v/>
      </c>
      <c r="J6397">
        <f>IF(F6397="","",INT(H6397)-B6397)</f>
        <v/>
      </c>
      <c r="K6397">
        <f>IF(B6397&gt;=Settings!$C$5,1,0)</f>
        <v/>
      </c>
    </row>
    <row r="6398">
      <c r="A6398" t="inlineStr">
        <is>
          <t>44a1a9f5907b7f74666d766251addcdb</t>
        </is>
      </c>
      <c r="B6398" s="29" t="n">
        <v>43208</v>
      </c>
      <c r="C6398" t="inlineStr">
        <is>
          <t>2018-04</t>
        </is>
      </c>
      <c r="D6398" t="inlineStr">
        <is>
          <t>e492ee5eaf1697716985cc6f33f9cd9b</t>
        </is>
      </c>
      <c r="E6398" t="inlineStr">
        <is>
          <t>organic_search</t>
        </is>
      </c>
      <c r="F6398">
        <f>IFERROR(MATCH(A6398,Deals!$A$2:$A$843,0),"")</f>
        <v/>
      </c>
      <c r="G6398">
        <f>IF(F6398="",0,1)</f>
        <v/>
      </c>
      <c r="H6398" s="29">
        <f>IF(F6398="","",INDEX(Deals!$E$2:$E$843,F6398))</f>
        <v/>
      </c>
      <c r="I6398">
        <f>IF(F6398="","",INDEX(Deals!$D$2:$D$843,F6398))</f>
        <v/>
      </c>
      <c r="J6398">
        <f>IF(F6398="","",INT(H6398)-B6398)</f>
        <v/>
      </c>
      <c r="K6398">
        <f>IF(B6398&gt;=Settings!$C$5,1,0)</f>
        <v/>
      </c>
    </row>
    <row r="6399">
      <c r="A6399" t="inlineStr">
        <is>
          <t>b0e7534770a01a688aff0634fe3dd8cb</t>
        </is>
      </c>
      <c r="B6399" s="29" t="n">
        <v>43214</v>
      </c>
      <c r="C6399" t="inlineStr">
        <is>
          <t>2018-04</t>
        </is>
      </c>
      <c r="D6399" t="inlineStr">
        <is>
          <t>22c29808c4f815213303f8933030604c</t>
        </is>
      </c>
      <c r="E6399" t="inlineStr">
        <is>
          <t>paid_search</t>
        </is>
      </c>
      <c r="F6399">
        <f>IFERROR(MATCH(A6399,Deals!$A$2:$A$843,0),"")</f>
        <v/>
      </c>
      <c r="G6399">
        <f>IF(F6399="",0,1)</f>
        <v/>
      </c>
      <c r="H6399" s="29">
        <f>IF(F6399="","",INDEX(Deals!$E$2:$E$843,F6399))</f>
        <v/>
      </c>
      <c r="I6399">
        <f>IF(F6399="","",INDEX(Deals!$D$2:$D$843,F6399))</f>
        <v/>
      </c>
      <c r="J6399">
        <f>IF(F6399="","",INT(H6399)-B6399)</f>
        <v/>
      </c>
      <c r="K6399">
        <f>IF(B6399&gt;=Settings!$C$5,1,0)</f>
        <v/>
      </c>
    </row>
    <row r="6400">
      <c r="A6400" t="inlineStr">
        <is>
          <t>1a7674b238ffaaec2e45018a46f98fe1</t>
        </is>
      </c>
      <c r="B6400" s="29" t="n">
        <v>43244</v>
      </c>
      <c r="C6400" t="inlineStr">
        <is>
          <t>2018-05</t>
        </is>
      </c>
      <c r="D6400" t="inlineStr">
        <is>
          <t>15cf89bab2c3163b4f9d8601d108f8b2</t>
        </is>
      </c>
      <c r="E6400" t="inlineStr">
        <is>
          <t>organic_search</t>
        </is>
      </c>
      <c r="F6400">
        <f>IFERROR(MATCH(A6400,Deals!$A$2:$A$843,0),"")</f>
        <v/>
      </c>
      <c r="G6400">
        <f>IF(F6400="",0,1)</f>
        <v/>
      </c>
      <c r="H6400" s="29">
        <f>IF(F6400="","",INDEX(Deals!$E$2:$E$843,F6400))</f>
        <v/>
      </c>
      <c r="I6400">
        <f>IF(F6400="","",INDEX(Deals!$D$2:$D$843,F6400))</f>
        <v/>
      </c>
      <c r="J6400">
        <f>IF(F6400="","",INT(H6400)-B6400)</f>
        <v/>
      </c>
      <c r="K6400">
        <f>IF(B6400&gt;=Settings!$C$5,1,0)</f>
        <v/>
      </c>
    </row>
    <row r="6401">
      <c r="A6401" t="inlineStr">
        <is>
          <t>e9b960bce9db4860098e82117b16779d</t>
        </is>
      </c>
      <c r="B6401" s="29" t="n">
        <v>43232</v>
      </c>
      <c r="C6401" t="inlineStr">
        <is>
          <t>2018-05</t>
        </is>
      </c>
      <c r="D6401" t="inlineStr">
        <is>
          <t>58326e62183c14b0c03085c33b9fdc44</t>
        </is>
      </c>
      <c r="E6401" t="inlineStr">
        <is>
          <t>social</t>
        </is>
      </c>
      <c r="F6401">
        <f>IFERROR(MATCH(A6401,Deals!$A$2:$A$843,0),"")</f>
        <v/>
      </c>
      <c r="G6401">
        <f>IF(F6401="",0,1)</f>
        <v/>
      </c>
      <c r="H6401" s="29">
        <f>IF(F6401="","",INDEX(Deals!$E$2:$E$843,F6401))</f>
        <v/>
      </c>
      <c r="I6401">
        <f>IF(F6401="","",INDEX(Deals!$D$2:$D$843,F6401))</f>
        <v/>
      </c>
      <c r="J6401">
        <f>IF(F6401="","",INT(H6401)-B6401)</f>
        <v/>
      </c>
      <c r="K6401">
        <f>IF(B6401&gt;=Settings!$C$5,1,0)</f>
        <v/>
      </c>
    </row>
    <row r="6402">
      <c r="A6402" t="inlineStr">
        <is>
          <t>6365eae9b4deb122bd2b3bd6558a02e7</t>
        </is>
      </c>
      <c r="B6402" s="29" t="n">
        <v>43219</v>
      </c>
      <c r="C6402" t="inlineStr">
        <is>
          <t>2018-04</t>
        </is>
      </c>
      <c r="D6402" t="inlineStr">
        <is>
          <t>aafc43d934a043b451b1dc5a61943a6b</t>
        </is>
      </c>
      <c r="E6402" t="inlineStr">
        <is>
          <t>email</t>
        </is>
      </c>
      <c r="F6402">
        <f>IFERROR(MATCH(A6402,Deals!$A$2:$A$843,0),"")</f>
        <v/>
      </c>
      <c r="G6402">
        <f>IF(F6402="",0,1)</f>
        <v/>
      </c>
      <c r="H6402" s="29">
        <f>IF(F6402="","",INDEX(Deals!$E$2:$E$843,F6402))</f>
        <v/>
      </c>
      <c r="I6402">
        <f>IF(F6402="","",INDEX(Deals!$D$2:$D$843,F6402))</f>
        <v/>
      </c>
      <c r="J6402">
        <f>IF(F6402="","",INT(H6402)-B6402)</f>
        <v/>
      </c>
      <c r="K6402">
        <f>IF(B6402&gt;=Settings!$C$5,1,0)</f>
        <v/>
      </c>
    </row>
    <row r="6403">
      <c r="A6403" t="inlineStr">
        <is>
          <t>14749bb109fb4d289fd6969319dbce5b</t>
        </is>
      </c>
      <c r="B6403" s="29" t="n">
        <v>43200</v>
      </c>
      <c r="C6403" t="inlineStr">
        <is>
          <t>2018-04</t>
        </is>
      </c>
      <c r="D6403" t="inlineStr">
        <is>
          <t>58326e62183c14b0c03085c33b9fdc44</t>
        </is>
      </c>
      <c r="E6403" t="inlineStr">
        <is>
          <t>social</t>
        </is>
      </c>
      <c r="F6403">
        <f>IFERROR(MATCH(A6403,Deals!$A$2:$A$843,0),"")</f>
        <v/>
      </c>
      <c r="G6403">
        <f>IF(F6403="",0,1)</f>
        <v/>
      </c>
      <c r="H6403" s="29">
        <f>IF(F6403="","",INDEX(Deals!$E$2:$E$843,F6403))</f>
        <v/>
      </c>
      <c r="I6403">
        <f>IF(F6403="","",INDEX(Deals!$D$2:$D$843,F6403))</f>
        <v/>
      </c>
      <c r="J6403">
        <f>IF(F6403="","",INT(H6403)-B6403)</f>
        <v/>
      </c>
      <c r="K6403">
        <f>IF(B6403&gt;=Settings!$C$5,1,0)</f>
        <v/>
      </c>
    </row>
    <row r="6404">
      <c r="A6404" t="inlineStr">
        <is>
          <t>2a1d34135c9e8ef1c6f8d5078c51712a</t>
        </is>
      </c>
      <c r="B6404" s="29" t="n">
        <v>42950</v>
      </c>
      <c r="C6404" t="inlineStr">
        <is>
          <t>2017-08</t>
        </is>
      </c>
      <c r="D6404" t="inlineStr">
        <is>
          <t>3cd2a8301d5395f21cdd3094c9eaa2f4</t>
        </is>
      </c>
      <c r="E6404" t="inlineStr">
        <is>
          <t>paid_search</t>
        </is>
      </c>
      <c r="F6404">
        <f>IFERROR(MATCH(A6404,Deals!$A$2:$A$843,0),"")</f>
        <v/>
      </c>
      <c r="G6404">
        <f>IF(F6404="",0,1)</f>
        <v/>
      </c>
      <c r="H6404" s="29">
        <f>IF(F6404="","",INDEX(Deals!$E$2:$E$843,F6404))</f>
        <v/>
      </c>
      <c r="I6404">
        <f>IF(F6404="","",INDEX(Deals!$D$2:$D$843,F6404))</f>
        <v/>
      </c>
      <c r="J6404">
        <f>IF(F6404="","",INT(H6404)-B6404)</f>
        <v/>
      </c>
      <c r="K6404">
        <f>IF(B6404&gt;=Settings!$C$5,1,0)</f>
        <v/>
      </c>
    </row>
    <row r="6405">
      <c r="A6405" t="inlineStr">
        <is>
          <t>1db37ae750650dfac3ff2a7a911cf8a3</t>
        </is>
      </c>
      <c r="B6405" s="29" t="n">
        <v>43167</v>
      </c>
      <c r="C6405" t="inlineStr">
        <is>
          <t>2018-03</t>
        </is>
      </c>
      <c r="D6405" t="inlineStr">
        <is>
          <t>73f31a40697cc90a86c1273563ac230e</t>
        </is>
      </c>
      <c r="E6405" t="inlineStr">
        <is>
          <t>other</t>
        </is>
      </c>
      <c r="F6405">
        <f>IFERROR(MATCH(A6405,Deals!$A$2:$A$843,0),"")</f>
        <v/>
      </c>
      <c r="G6405">
        <f>IF(F6405="",0,1)</f>
        <v/>
      </c>
      <c r="H6405" s="29">
        <f>IF(F6405="","",INDEX(Deals!$E$2:$E$843,F6405))</f>
        <v/>
      </c>
      <c r="I6405">
        <f>IF(F6405="","",INDEX(Deals!$D$2:$D$843,F6405))</f>
        <v/>
      </c>
      <c r="J6405">
        <f>IF(F6405="","",INT(H6405)-B6405)</f>
        <v/>
      </c>
      <c r="K6405">
        <f>IF(B6405&gt;=Settings!$C$5,1,0)</f>
        <v/>
      </c>
    </row>
    <row r="6406">
      <c r="A6406" t="inlineStr">
        <is>
          <t>14b9130e6dbe8185cb68fa211921a335</t>
        </is>
      </c>
      <c r="B6406" s="29" t="n">
        <v>42954</v>
      </c>
      <c r="C6406" t="inlineStr">
        <is>
          <t>2017-08</t>
        </is>
      </c>
      <c r="D6406" t="inlineStr">
        <is>
          <t>b76ef37428e6799c421989521c0e5077</t>
        </is>
      </c>
      <c r="E6406" t="inlineStr">
        <is>
          <t>unknown</t>
        </is>
      </c>
      <c r="F6406">
        <f>IFERROR(MATCH(A6406,Deals!$A$2:$A$843,0),"")</f>
        <v/>
      </c>
      <c r="G6406">
        <f>IF(F6406="",0,1)</f>
        <v/>
      </c>
      <c r="H6406" s="29">
        <f>IF(F6406="","",INDEX(Deals!$E$2:$E$843,F6406))</f>
        <v/>
      </c>
      <c r="I6406">
        <f>IF(F6406="","",INDEX(Deals!$D$2:$D$843,F6406))</f>
        <v/>
      </c>
      <c r="J6406">
        <f>IF(F6406="","",INT(H6406)-B6406)</f>
        <v/>
      </c>
      <c r="K6406">
        <f>IF(B6406&gt;=Settings!$C$5,1,0)</f>
        <v/>
      </c>
    </row>
    <row r="6407">
      <c r="A6407" t="inlineStr">
        <is>
          <t>9e4903ea29841bc16eab71500292e9b0</t>
        </is>
      </c>
      <c r="B6407" s="29" t="n">
        <v>43241</v>
      </c>
      <c r="C6407" t="inlineStr">
        <is>
          <t>2018-05</t>
        </is>
      </c>
      <c r="D6407" t="inlineStr">
        <is>
          <t>0c83f57c786a0b4a39efab23731c7ebc</t>
        </is>
      </c>
      <c r="E6407" t="inlineStr">
        <is>
          <t>(missing)</t>
        </is>
      </c>
      <c r="F6407">
        <f>IFERROR(MATCH(A6407,Deals!$A$2:$A$843,0),"")</f>
        <v/>
      </c>
      <c r="G6407">
        <f>IF(F6407="",0,1)</f>
        <v/>
      </c>
      <c r="H6407" s="29">
        <f>IF(F6407="","",INDEX(Deals!$E$2:$E$843,F6407))</f>
        <v/>
      </c>
      <c r="I6407">
        <f>IF(F6407="","",INDEX(Deals!$D$2:$D$843,F6407))</f>
        <v/>
      </c>
      <c r="J6407">
        <f>IF(F6407="","",INT(H6407)-B6407)</f>
        <v/>
      </c>
      <c r="K6407">
        <f>IF(B6407&gt;=Settings!$C$5,1,0)</f>
        <v/>
      </c>
    </row>
    <row r="6408">
      <c r="A6408" t="inlineStr">
        <is>
          <t>afd2cd234908613bcd2de4dfc1f06ce0</t>
        </is>
      </c>
      <c r="B6408" s="29" t="n">
        <v>42966</v>
      </c>
      <c r="C6408" t="inlineStr">
        <is>
          <t>2017-08</t>
        </is>
      </c>
      <c r="D6408" t="inlineStr">
        <is>
          <t>87732658ba41d8775e8577df347a64db</t>
        </is>
      </c>
      <c r="E6408" t="inlineStr">
        <is>
          <t>social</t>
        </is>
      </c>
      <c r="F6408">
        <f>IFERROR(MATCH(A6408,Deals!$A$2:$A$843,0),"")</f>
        <v/>
      </c>
      <c r="G6408">
        <f>IF(F6408="",0,1)</f>
        <v/>
      </c>
      <c r="H6408" s="29">
        <f>IF(F6408="","",INDEX(Deals!$E$2:$E$843,F6408))</f>
        <v/>
      </c>
      <c r="I6408">
        <f>IF(F6408="","",INDEX(Deals!$D$2:$D$843,F6408))</f>
        <v/>
      </c>
      <c r="J6408">
        <f>IF(F6408="","",INT(H6408)-B6408)</f>
        <v/>
      </c>
      <c r="K6408">
        <f>IF(B6408&gt;=Settings!$C$5,1,0)</f>
        <v/>
      </c>
    </row>
    <row r="6409">
      <c r="A6409" t="inlineStr">
        <is>
          <t>9d9eccffd54263a549444e51c074a503</t>
        </is>
      </c>
      <c r="B6409" s="29" t="n">
        <v>43144</v>
      </c>
      <c r="C6409" t="inlineStr">
        <is>
          <t>2018-02</t>
        </is>
      </c>
      <c r="D6409" t="inlineStr">
        <is>
          <t>f017be4dbf86243af5c1ebed0cff36a2</t>
        </is>
      </c>
      <c r="E6409" t="inlineStr">
        <is>
          <t>organic_search</t>
        </is>
      </c>
      <c r="F6409">
        <f>IFERROR(MATCH(A6409,Deals!$A$2:$A$843,0),"")</f>
        <v/>
      </c>
      <c r="G6409">
        <f>IF(F6409="",0,1)</f>
        <v/>
      </c>
      <c r="H6409" s="29">
        <f>IF(F6409="","",INDEX(Deals!$E$2:$E$843,F6409))</f>
        <v/>
      </c>
      <c r="I6409">
        <f>IF(F6409="","",INDEX(Deals!$D$2:$D$843,F6409))</f>
        <v/>
      </c>
      <c r="J6409">
        <f>IF(F6409="","",INT(H6409)-B6409)</f>
        <v/>
      </c>
      <c r="K6409">
        <f>IF(B6409&gt;=Settings!$C$5,1,0)</f>
        <v/>
      </c>
    </row>
    <row r="6410">
      <c r="A6410" t="inlineStr">
        <is>
          <t>034c10ab1b11b364665ebd9d26a19a49</t>
        </is>
      </c>
      <c r="B6410" s="29" t="n">
        <v>43032</v>
      </c>
      <c r="C6410" t="inlineStr">
        <is>
          <t>2017-10</t>
        </is>
      </c>
      <c r="D6410" t="inlineStr">
        <is>
          <t>aa8af3ebe14831a7cd1b6d1383a03755</t>
        </is>
      </c>
      <c r="E6410" t="inlineStr">
        <is>
          <t>social</t>
        </is>
      </c>
      <c r="F6410">
        <f>IFERROR(MATCH(A6410,Deals!$A$2:$A$843,0),"")</f>
        <v/>
      </c>
      <c r="G6410">
        <f>IF(F6410="",0,1)</f>
        <v/>
      </c>
      <c r="H6410" s="29">
        <f>IF(F6410="","",INDEX(Deals!$E$2:$E$843,F6410))</f>
        <v/>
      </c>
      <c r="I6410">
        <f>IF(F6410="","",INDEX(Deals!$D$2:$D$843,F6410))</f>
        <v/>
      </c>
      <c r="J6410">
        <f>IF(F6410="","",INT(H6410)-B6410)</f>
        <v/>
      </c>
      <c r="K6410">
        <f>IF(B6410&gt;=Settings!$C$5,1,0)</f>
        <v/>
      </c>
    </row>
    <row r="6411">
      <c r="A6411" t="inlineStr">
        <is>
          <t>605aef0bfcf4c561ad415e03c319f568</t>
        </is>
      </c>
      <c r="B6411" s="29" t="n">
        <v>43238</v>
      </c>
      <c r="C6411" t="inlineStr">
        <is>
          <t>2018-05</t>
        </is>
      </c>
      <c r="D6411" t="inlineStr">
        <is>
          <t>ce1a65abd0973638f1c887a6efcfa82d</t>
        </is>
      </c>
      <c r="E6411" t="inlineStr">
        <is>
          <t>direct_traffic</t>
        </is>
      </c>
      <c r="F6411">
        <f>IFERROR(MATCH(A6411,Deals!$A$2:$A$843,0),"")</f>
        <v/>
      </c>
      <c r="G6411">
        <f>IF(F6411="",0,1)</f>
        <v/>
      </c>
      <c r="H6411" s="29">
        <f>IF(F6411="","",INDEX(Deals!$E$2:$E$843,F6411))</f>
        <v/>
      </c>
      <c r="I6411">
        <f>IF(F6411="","",INDEX(Deals!$D$2:$D$843,F6411))</f>
        <v/>
      </c>
      <c r="J6411">
        <f>IF(F6411="","",INT(H6411)-B6411)</f>
        <v/>
      </c>
      <c r="K6411">
        <f>IF(B6411&gt;=Settings!$C$5,1,0)</f>
        <v/>
      </c>
    </row>
    <row r="6412">
      <c r="A6412" t="inlineStr">
        <is>
          <t>2fe8c763d38d70e7d3e00b95f22a48be</t>
        </is>
      </c>
      <c r="B6412" s="29" t="n">
        <v>43147</v>
      </c>
      <c r="C6412" t="inlineStr">
        <is>
          <t>2018-02</t>
        </is>
      </c>
      <c r="D6412" t="inlineStr">
        <is>
          <t>e492ee5eaf1697716985cc6f33f9cd9b</t>
        </is>
      </c>
      <c r="E6412" t="inlineStr">
        <is>
          <t>other</t>
        </is>
      </c>
      <c r="F6412">
        <f>IFERROR(MATCH(A6412,Deals!$A$2:$A$843,0),"")</f>
        <v/>
      </c>
      <c r="G6412">
        <f>IF(F6412="",0,1)</f>
        <v/>
      </c>
      <c r="H6412" s="29">
        <f>IF(F6412="","",INDEX(Deals!$E$2:$E$843,F6412))</f>
        <v/>
      </c>
      <c r="I6412">
        <f>IF(F6412="","",INDEX(Deals!$D$2:$D$843,F6412))</f>
        <v/>
      </c>
      <c r="J6412">
        <f>IF(F6412="","",INT(H6412)-B6412)</f>
        <v/>
      </c>
      <c r="K6412">
        <f>IF(B6412&gt;=Settings!$C$5,1,0)</f>
        <v/>
      </c>
    </row>
    <row r="6413">
      <c r="A6413" t="inlineStr">
        <is>
          <t>f47e65e203e26f9f640a3c1d52f45a9c</t>
        </is>
      </c>
      <c r="B6413" s="29" t="n">
        <v>43048</v>
      </c>
      <c r="C6413" t="inlineStr">
        <is>
          <t>2017-11</t>
        </is>
      </c>
      <c r="D6413" t="inlineStr">
        <is>
          <t>111313f5b9ceedf17ab5af7317a9f9bc</t>
        </is>
      </c>
      <c r="E6413" t="inlineStr">
        <is>
          <t>organic_search</t>
        </is>
      </c>
      <c r="F6413">
        <f>IFERROR(MATCH(A6413,Deals!$A$2:$A$843,0),"")</f>
        <v/>
      </c>
      <c r="G6413">
        <f>IF(F6413="",0,1)</f>
        <v/>
      </c>
      <c r="H6413" s="29">
        <f>IF(F6413="","",INDEX(Deals!$E$2:$E$843,F6413))</f>
        <v/>
      </c>
      <c r="I6413">
        <f>IF(F6413="","",INDEX(Deals!$D$2:$D$843,F6413))</f>
        <v/>
      </c>
      <c r="J6413">
        <f>IF(F6413="","",INT(H6413)-B6413)</f>
        <v/>
      </c>
      <c r="K6413">
        <f>IF(B6413&gt;=Settings!$C$5,1,0)</f>
        <v/>
      </c>
    </row>
    <row r="6414">
      <c r="A6414" t="inlineStr">
        <is>
          <t>bfd92313d9585fd77902c66b505b30b2</t>
        </is>
      </c>
      <c r="B6414" s="29" t="n">
        <v>43122</v>
      </c>
      <c r="C6414" t="inlineStr">
        <is>
          <t>2018-01</t>
        </is>
      </c>
      <c r="D6414" t="inlineStr">
        <is>
          <t>22c29808c4f815213303f8933030604c</t>
        </is>
      </c>
      <c r="E6414" t="inlineStr">
        <is>
          <t>organic_search</t>
        </is>
      </c>
      <c r="F6414">
        <f>IFERROR(MATCH(A6414,Deals!$A$2:$A$843,0),"")</f>
        <v/>
      </c>
      <c r="G6414">
        <f>IF(F6414="",0,1)</f>
        <v/>
      </c>
      <c r="H6414" s="29">
        <f>IF(F6414="","",INDEX(Deals!$E$2:$E$843,F6414))</f>
        <v/>
      </c>
      <c r="I6414">
        <f>IF(F6414="","",INDEX(Deals!$D$2:$D$843,F6414))</f>
        <v/>
      </c>
      <c r="J6414">
        <f>IF(F6414="","",INT(H6414)-B6414)</f>
        <v/>
      </c>
      <c r="K6414">
        <f>IF(B6414&gt;=Settings!$C$5,1,0)</f>
        <v/>
      </c>
    </row>
    <row r="6415">
      <c r="A6415" t="inlineStr">
        <is>
          <t>742ac6b5dc0109b50c1506eee8c8c895</t>
        </is>
      </c>
      <c r="B6415" s="29" t="n">
        <v>43187</v>
      </c>
      <c r="C6415" t="inlineStr">
        <is>
          <t>2018-03</t>
        </is>
      </c>
      <c r="D6415" t="inlineStr">
        <is>
          <t>42a2a1be58277f162c18bad69bcc544f</t>
        </is>
      </c>
      <c r="E6415" t="inlineStr">
        <is>
          <t>display</t>
        </is>
      </c>
      <c r="F6415">
        <f>IFERROR(MATCH(A6415,Deals!$A$2:$A$843,0),"")</f>
        <v/>
      </c>
      <c r="G6415">
        <f>IF(F6415="",0,1)</f>
        <v/>
      </c>
      <c r="H6415" s="29">
        <f>IF(F6415="","",INDEX(Deals!$E$2:$E$843,F6415))</f>
        <v/>
      </c>
      <c r="I6415">
        <f>IF(F6415="","",INDEX(Deals!$D$2:$D$843,F6415))</f>
        <v/>
      </c>
      <c r="J6415">
        <f>IF(F6415="","",INT(H6415)-B6415)</f>
        <v/>
      </c>
      <c r="K6415">
        <f>IF(B6415&gt;=Settings!$C$5,1,0)</f>
        <v/>
      </c>
    </row>
    <row r="6416">
      <c r="A6416" t="inlineStr">
        <is>
          <t>daa178b0fd24b633634b00b9e8781fe2</t>
        </is>
      </c>
      <c r="B6416" s="29" t="n">
        <v>43228</v>
      </c>
      <c r="C6416" t="inlineStr">
        <is>
          <t>2018-05</t>
        </is>
      </c>
      <c r="D6416" t="inlineStr">
        <is>
          <t>b76ef37428e6799c421989521c0e5077</t>
        </is>
      </c>
      <c r="E6416" t="inlineStr">
        <is>
          <t>organic_search</t>
        </is>
      </c>
      <c r="F6416">
        <f>IFERROR(MATCH(A6416,Deals!$A$2:$A$843,0),"")</f>
        <v/>
      </c>
      <c r="G6416">
        <f>IF(F6416="",0,1)</f>
        <v/>
      </c>
      <c r="H6416" s="29">
        <f>IF(F6416="","",INDEX(Deals!$E$2:$E$843,F6416))</f>
        <v/>
      </c>
      <c r="I6416">
        <f>IF(F6416="","",INDEX(Deals!$D$2:$D$843,F6416))</f>
        <v/>
      </c>
      <c r="J6416">
        <f>IF(F6416="","",INT(H6416)-B6416)</f>
        <v/>
      </c>
      <c r="K6416">
        <f>IF(B6416&gt;=Settings!$C$5,1,0)</f>
        <v/>
      </c>
    </row>
    <row r="6417">
      <c r="A6417" t="inlineStr">
        <is>
          <t>304678bd2a45713cc7bfcb1a9e19c8e4</t>
        </is>
      </c>
      <c r="B6417" s="29" t="n">
        <v>43241</v>
      </c>
      <c r="C6417" t="inlineStr">
        <is>
          <t>2018-05</t>
        </is>
      </c>
      <c r="D6417" t="inlineStr">
        <is>
          <t>22c29808c4f815213303f8933030604c</t>
        </is>
      </c>
      <c r="E6417" t="inlineStr">
        <is>
          <t>organic_search</t>
        </is>
      </c>
      <c r="F6417">
        <f>IFERROR(MATCH(A6417,Deals!$A$2:$A$843,0),"")</f>
        <v/>
      </c>
      <c r="G6417">
        <f>IF(F6417="",0,1)</f>
        <v/>
      </c>
      <c r="H6417" s="29">
        <f>IF(F6417="","",INDEX(Deals!$E$2:$E$843,F6417))</f>
        <v/>
      </c>
      <c r="I6417">
        <f>IF(F6417="","",INDEX(Deals!$D$2:$D$843,F6417))</f>
        <v/>
      </c>
      <c r="J6417">
        <f>IF(F6417="","",INT(H6417)-B6417)</f>
        <v/>
      </c>
      <c r="K6417">
        <f>IF(B6417&gt;=Settings!$C$5,1,0)</f>
        <v/>
      </c>
    </row>
    <row r="6418">
      <c r="A6418" t="inlineStr">
        <is>
          <t>a08b8a9e3da653c1147cabd415627a4e</t>
        </is>
      </c>
      <c r="B6418" s="29" t="n">
        <v>43025</v>
      </c>
      <c r="C6418" t="inlineStr">
        <is>
          <t>2017-10</t>
        </is>
      </c>
      <c r="D6418" t="inlineStr">
        <is>
          <t>b76ef37428e6799c421989521c0e5077</t>
        </is>
      </c>
      <c r="E6418" t="inlineStr">
        <is>
          <t>unknown</t>
        </is>
      </c>
      <c r="F6418">
        <f>IFERROR(MATCH(A6418,Deals!$A$2:$A$843,0),"")</f>
        <v/>
      </c>
      <c r="G6418">
        <f>IF(F6418="",0,1)</f>
        <v/>
      </c>
      <c r="H6418" s="29">
        <f>IF(F6418="","",INDEX(Deals!$E$2:$E$843,F6418))</f>
        <v/>
      </c>
      <c r="I6418">
        <f>IF(F6418="","",INDEX(Deals!$D$2:$D$843,F6418))</f>
        <v/>
      </c>
      <c r="J6418">
        <f>IF(F6418="","",INT(H6418)-B6418)</f>
        <v/>
      </c>
      <c r="K6418">
        <f>IF(B6418&gt;=Settings!$C$5,1,0)</f>
        <v/>
      </c>
    </row>
    <row r="6419">
      <c r="A6419" t="inlineStr">
        <is>
          <t>7e41e95e74a87beb8917ceff867828e3</t>
        </is>
      </c>
      <c r="B6419" s="29" t="n">
        <v>43214</v>
      </c>
      <c r="C6419" t="inlineStr">
        <is>
          <t>2018-04</t>
        </is>
      </c>
      <c r="D6419" t="inlineStr">
        <is>
          <t>35c9b150ab36fe584c1f24fd458c453a</t>
        </is>
      </c>
      <c r="E6419" t="inlineStr">
        <is>
          <t>paid_search</t>
        </is>
      </c>
      <c r="F6419">
        <f>IFERROR(MATCH(A6419,Deals!$A$2:$A$843,0),"")</f>
        <v/>
      </c>
      <c r="G6419">
        <f>IF(F6419="",0,1)</f>
        <v/>
      </c>
      <c r="H6419" s="29">
        <f>IF(F6419="","",INDEX(Deals!$E$2:$E$843,F6419))</f>
        <v/>
      </c>
      <c r="I6419">
        <f>IF(F6419="","",INDEX(Deals!$D$2:$D$843,F6419))</f>
        <v/>
      </c>
      <c r="J6419">
        <f>IF(F6419="","",INT(H6419)-B6419)</f>
        <v/>
      </c>
      <c r="K6419">
        <f>IF(B6419&gt;=Settings!$C$5,1,0)</f>
        <v/>
      </c>
    </row>
    <row r="6420">
      <c r="A6420" t="inlineStr">
        <is>
          <t>c8113305c0428b74ed3f1b6051520039</t>
        </is>
      </c>
      <c r="B6420" s="29" t="n">
        <v>43073</v>
      </c>
      <c r="C6420" t="inlineStr">
        <is>
          <t>2017-12</t>
        </is>
      </c>
      <c r="D6420" t="inlineStr">
        <is>
          <t>ee3c3bad6ed3eb9d5de56688d1f9c91b</t>
        </is>
      </c>
      <c r="E6420" t="inlineStr">
        <is>
          <t>email</t>
        </is>
      </c>
      <c r="F6420">
        <f>IFERROR(MATCH(A6420,Deals!$A$2:$A$843,0),"")</f>
        <v/>
      </c>
      <c r="G6420">
        <f>IF(F6420="",0,1)</f>
        <v/>
      </c>
      <c r="H6420" s="29">
        <f>IF(F6420="","",INDEX(Deals!$E$2:$E$843,F6420))</f>
        <v/>
      </c>
      <c r="I6420">
        <f>IF(F6420="","",INDEX(Deals!$D$2:$D$843,F6420))</f>
        <v/>
      </c>
      <c r="J6420">
        <f>IF(F6420="","",INT(H6420)-B6420)</f>
        <v/>
      </c>
      <c r="K6420">
        <f>IF(B6420&gt;=Settings!$C$5,1,0)</f>
        <v/>
      </c>
    </row>
    <row r="6421">
      <c r="A6421" t="inlineStr">
        <is>
          <t>4c32ad344b09ff872f942b6d2196e720</t>
        </is>
      </c>
      <c r="B6421" s="29" t="n">
        <v>43103</v>
      </c>
      <c r="C6421" t="inlineStr">
        <is>
          <t>2018-01</t>
        </is>
      </c>
      <c r="D6421" t="inlineStr">
        <is>
          <t>88740e65d5d6b056e0cda098e1ea6313</t>
        </is>
      </c>
      <c r="E6421" t="inlineStr">
        <is>
          <t>social</t>
        </is>
      </c>
      <c r="F6421">
        <f>IFERROR(MATCH(A6421,Deals!$A$2:$A$843,0),"")</f>
        <v/>
      </c>
      <c r="G6421">
        <f>IF(F6421="",0,1)</f>
        <v/>
      </c>
      <c r="H6421" s="29">
        <f>IF(F6421="","",INDEX(Deals!$E$2:$E$843,F6421))</f>
        <v/>
      </c>
      <c r="I6421">
        <f>IF(F6421="","",INDEX(Deals!$D$2:$D$843,F6421))</f>
        <v/>
      </c>
      <c r="J6421">
        <f>IF(F6421="","",INT(H6421)-B6421)</f>
        <v/>
      </c>
      <c r="K6421">
        <f>IF(B6421&gt;=Settings!$C$5,1,0)</f>
        <v/>
      </c>
    </row>
    <row r="6422">
      <c r="A6422" t="inlineStr">
        <is>
          <t>8290207904a74d28e7c0afdd6a974745</t>
        </is>
      </c>
      <c r="B6422" s="29" t="n">
        <v>43179</v>
      </c>
      <c r="C6422" t="inlineStr">
        <is>
          <t>2018-03</t>
        </is>
      </c>
      <c r="D6422" t="inlineStr">
        <is>
          <t>73f31a40697cc90a86c1273563ac230e</t>
        </is>
      </c>
      <c r="E6422" t="inlineStr">
        <is>
          <t>other</t>
        </is>
      </c>
      <c r="F6422">
        <f>IFERROR(MATCH(A6422,Deals!$A$2:$A$843,0),"")</f>
        <v/>
      </c>
      <c r="G6422">
        <f>IF(F6422="",0,1)</f>
        <v/>
      </c>
      <c r="H6422" s="29">
        <f>IF(F6422="","",INDEX(Deals!$E$2:$E$843,F6422))</f>
        <v/>
      </c>
      <c r="I6422">
        <f>IF(F6422="","",INDEX(Deals!$D$2:$D$843,F6422))</f>
        <v/>
      </c>
      <c r="J6422">
        <f>IF(F6422="","",INT(H6422)-B6422)</f>
        <v/>
      </c>
      <c r="K6422">
        <f>IF(B6422&gt;=Settings!$C$5,1,0)</f>
        <v/>
      </c>
    </row>
    <row r="6423">
      <c r="A6423" t="inlineStr">
        <is>
          <t>214bf5f943f8aa073d06965c1dd2fa86</t>
        </is>
      </c>
      <c r="B6423" s="29" t="n">
        <v>43038</v>
      </c>
      <c r="C6423" t="inlineStr">
        <is>
          <t>2017-10</t>
        </is>
      </c>
      <c r="D6423" t="inlineStr">
        <is>
          <t>241f79c7a8fe0270f4fb79fcbbcd17ad</t>
        </is>
      </c>
      <c r="E6423" t="inlineStr">
        <is>
          <t>organic_search</t>
        </is>
      </c>
      <c r="F6423">
        <f>IFERROR(MATCH(A6423,Deals!$A$2:$A$843,0),"")</f>
        <v/>
      </c>
      <c r="G6423">
        <f>IF(F6423="",0,1)</f>
        <v/>
      </c>
      <c r="H6423" s="29">
        <f>IF(F6423="","",INDEX(Deals!$E$2:$E$843,F6423))</f>
        <v/>
      </c>
      <c r="I6423">
        <f>IF(F6423="","",INDEX(Deals!$D$2:$D$843,F6423))</f>
        <v/>
      </c>
      <c r="J6423">
        <f>IF(F6423="","",INT(H6423)-B6423)</f>
        <v/>
      </c>
      <c r="K6423">
        <f>IF(B6423&gt;=Settings!$C$5,1,0)</f>
        <v/>
      </c>
    </row>
    <row r="6424">
      <c r="A6424" t="inlineStr">
        <is>
          <t>0388e3b48172f10f9ce58d86b3c86f74</t>
        </is>
      </c>
      <c r="B6424" s="29" t="n">
        <v>43202</v>
      </c>
      <c r="C6424" t="inlineStr">
        <is>
          <t>2018-04</t>
        </is>
      </c>
      <c r="D6424" t="inlineStr">
        <is>
          <t>ce1a65abd0973638f1c887a6efcfa82d</t>
        </is>
      </c>
      <c r="E6424" t="inlineStr">
        <is>
          <t>direct_traffic</t>
        </is>
      </c>
      <c r="F6424">
        <f>IFERROR(MATCH(A6424,Deals!$A$2:$A$843,0),"")</f>
        <v/>
      </c>
      <c r="G6424">
        <f>IF(F6424="",0,1)</f>
        <v/>
      </c>
      <c r="H6424" s="29">
        <f>IF(F6424="","",INDEX(Deals!$E$2:$E$843,F6424))</f>
        <v/>
      </c>
      <c r="I6424">
        <f>IF(F6424="","",INDEX(Deals!$D$2:$D$843,F6424))</f>
        <v/>
      </c>
      <c r="J6424">
        <f>IF(F6424="","",INT(H6424)-B6424)</f>
        <v/>
      </c>
      <c r="K6424">
        <f>IF(B6424&gt;=Settings!$C$5,1,0)</f>
        <v/>
      </c>
    </row>
    <row r="6425">
      <c r="A6425" t="inlineStr">
        <is>
          <t>faddccf025526f14b9443502d796a57c</t>
        </is>
      </c>
      <c r="B6425" s="29" t="n">
        <v>43107</v>
      </c>
      <c r="C6425" t="inlineStr">
        <is>
          <t>2018-01</t>
        </is>
      </c>
      <c r="D6425" t="inlineStr">
        <is>
          <t>22c29808c4f815213303f8933030604c</t>
        </is>
      </c>
      <c r="E6425" t="inlineStr">
        <is>
          <t>organic_search</t>
        </is>
      </c>
      <c r="F6425">
        <f>IFERROR(MATCH(A6425,Deals!$A$2:$A$843,0),"")</f>
        <v/>
      </c>
      <c r="G6425">
        <f>IF(F6425="",0,1)</f>
        <v/>
      </c>
      <c r="H6425" s="29">
        <f>IF(F6425="","",INDEX(Deals!$E$2:$E$843,F6425))</f>
        <v/>
      </c>
      <c r="I6425">
        <f>IF(F6425="","",INDEX(Deals!$D$2:$D$843,F6425))</f>
        <v/>
      </c>
      <c r="J6425">
        <f>IF(F6425="","",INT(H6425)-B6425)</f>
        <v/>
      </c>
      <c r="K6425">
        <f>IF(B6425&gt;=Settings!$C$5,1,0)</f>
        <v/>
      </c>
    </row>
    <row r="6426">
      <c r="A6426" t="inlineStr">
        <is>
          <t>9a1bd630a47dabafa6f4cab7338d01df</t>
        </is>
      </c>
      <c r="B6426" s="29" t="n">
        <v>43217</v>
      </c>
      <c r="C6426" t="inlineStr">
        <is>
          <t>2018-04</t>
        </is>
      </c>
      <c r="D6426" t="inlineStr">
        <is>
          <t>73f31a40697cc90a86c1273563ac230e</t>
        </is>
      </c>
      <c r="E6426" t="inlineStr">
        <is>
          <t>unknown</t>
        </is>
      </c>
      <c r="F6426">
        <f>IFERROR(MATCH(A6426,Deals!$A$2:$A$843,0),"")</f>
        <v/>
      </c>
      <c r="G6426">
        <f>IF(F6426="",0,1)</f>
        <v/>
      </c>
      <c r="H6426" s="29">
        <f>IF(F6426="","",INDEX(Deals!$E$2:$E$843,F6426))</f>
        <v/>
      </c>
      <c r="I6426">
        <f>IF(F6426="","",INDEX(Deals!$D$2:$D$843,F6426))</f>
        <v/>
      </c>
      <c r="J6426">
        <f>IF(F6426="","",INT(H6426)-B6426)</f>
        <v/>
      </c>
      <c r="K6426">
        <f>IF(B6426&gt;=Settings!$C$5,1,0)</f>
        <v/>
      </c>
    </row>
    <row r="6427">
      <c r="A6427" t="inlineStr">
        <is>
          <t>585f0bc49103ac4d59049fa6eeed7086</t>
        </is>
      </c>
      <c r="B6427" s="29" t="n">
        <v>43031</v>
      </c>
      <c r="C6427" t="inlineStr">
        <is>
          <t>2017-10</t>
        </is>
      </c>
      <c r="D6427" t="inlineStr">
        <is>
          <t>ff3416719616ad4921acb8c74e21d6f0</t>
        </is>
      </c>
      <c r="E6427" t="inlineStr">
        <is>
          <t>referral</t>
        </is>
      </c>
      <c r="F6427">
        <f>IFERROR(MATCH(A6427,Deals!$A$2:$A$843,0),"")</f>
        <v/>
      </c>
      <c r="G6427">
        <f>IF(F6427="",0,1)</f>
        <v/>
      </c>
      <c r="H6427" s="29">
        <f>IF(F6427="","",INDEX(Deals!$E$2:$E$843,F6427))</f>
        <v/>
      </c>
      <c r="I6427">
        <f>IF(F6427="","",INDEX(Deals!$D$2:$D$843,F6427))</f>
        <v/>
      </c>
      <c r="J6427">
        <f>IF(F6427="","",INT(H6427)-B6427)</f>
        <v/>
      </c>
      <c r="K6427">
        <f>IF(B6427&gt;=Settings!$C$5,1,0)</f>
        <v/>
      </c>
    </row>
    <row r="6428">
      <c r="A6428" t="inlineStr">
        <is>
          <t>45aea7db0f03fecc77f969bd296cdc62</t>
        </is>
      </c>
      <c r="B6428" s="29" t="n">
        <v>43055</v>
      </c>
      <c r="C6428" t="inlineStr">
        <is>
          <t>2017-11</t>
        </is>
      </c>
      <c r="D6428" t="inlineStr">
        <is>
          <t>87780f7c05ecd79791bde76af663db15</t>
        </is>
      </c>
      <c r="E6428" t="inlineStr">
        <is>
          <t>social</t>
        </is>
      </c>
      <c r="F6428">
        <f>IFERROR(MATCH(A6428,Deals!$A$2:$A$843,0),"")</f>
        <v/>
      </c>
      <c r="G6428">
        <f>IF(F6428="",0,1)</f>
        <v/>
      </c>
      <c r="H6428" s="29">
        <f>IF(F6428="","",INDEX(Deals!$E$2:$E$843,F6428))</f>
        <v/>
      </c>
      <c r="I6428">
        <f>IF(F6428="","",INDEX(Deals!$D$2:$D$843,F6428))</f>
        <v/>
      </c>
      <c r="J6428">
        <f>IF(F6428="","",INT(H6428)-B6428)</f>
        <v/>
      </c>
      <c r="K6428">
        <f>IF(B6428&gt;=Settings!$C$5,1,0)</f>
        <v/>
      </c>
    </row>
    <row r="6429">
      <c r="A6429" t="inlineStr">
        <is>
          <t>40025295e30fc6de2015af73793e583b</t>
        </is>
      </c>
      <c r="B6429" s="29" t="n">
        <v>43240</v>
      </c>
      <c r="C6429" t="inlineStr">
        <is>
          <t>2018-05</t>
        </is>
      </c>
      <c r="D6429" t="inlineStr">
        <is>
          <t>5dc848e7dd9418dffe183215b8ff0bc1</t>
        </is>
      </c>
      <c r="E6429" t="inlineStr">
        <is>
          <t>paid_search</t>
        </is>
      </c>
      <c r="F6429">
        <f>IFERROR(MATCH(A6429,Deals!$A$2:$A$843,0),"")</f>
        <v/>
      </c>
      <c r="G6429">
        <f>IF(F6429="",0,1)</f>
        <v/>
      </c>
      <c r="H6429" s="29">
        <f>IF(F6429="","",INDEX(Deals!$E$2:$E$843,F6429))</f>
        <v/>
      </c>
      <c r="I6429">
        <f>IF(F6429="","",INDEX(Deals!$D$2:$D$843,F6429))</f>
        <v/>
      </c>
      <c r="J6429">
        <f>IF(F6429="","",INT(H6429)-B6429)</f>
        <v/>
      </c>
      <c r="K6429">
        <f>IF(B6429&gt;=Settings!$C$5,1,0)</f>
        <v/>
      </c>
    </row>
    <row r="6430">
      <c r="A6430" t="inlineStr">
        <is>
          <t>d54be8a176d25fedda751546f6276fb6</t>
        </is>
      </c>
      <c r="B6430" s="29" t="n">
        <v>43159</v>
      </c>
      <c r="C6430" t="inlineStr">
        <is>
          <t>2018-02</t>
        </is>
      </c>
      <c r="D6430" t="inlineStr">
        <is>
          <t>65d9f9d71e562365e8b44037c2888d98</t>
        </is>
      </c>
      <c r="E6430" t="inlineStr">
        <is>
          <t>paid_search</t>
        </is>
      </c>
      <c r="F6430">
        <f>IFERROR(MATCH(A6430,Deals!$A$2:$A$843,0),"")</f>
        <v/>
      </c>
      <c r="G6430">
        <f>IF(F6430="",0,1)</f>
        <v/>
      </c>
      <c r="H6430" s="29">
        <f>IF(F6430="","",INDEX(Deals!$E$2:$E$843,F6430))</f>
        <v/>
      </c>
      <c r="I6430">
        <f>IF(F6430="","",INDEX(Deals!$D$2:$D$843,F6430))</f>
        <v/>
      </c>
      <c r="J6430">
        <f>IF(F6430="","",INT(H6430)-B6430)</f>
        <v/>
      </c>
      <c r="K6430">
        <f>IF(B6430&gt;=Settings!$C$5,1,0)</f>
        <v/>
      </c>
    </row>
    <row r="6431">
      <c r="A6431" t="inlineStr">
        <is>
          <t>73ea78729d717e6a435948b8912a67cf</t>
        </is>
      </c>
      <c r="B6431" s="29" t="n">
        <v>43009</v>
      </c>
      <c r="C6431" t="inlineStr">
        <is>
          <t>2017-10</t>
        </is>
      </c>
      <c r="D6431" t="inlineStr">
        <is>
          <t>b217afa2c1f4cb502423005639878f6d</t>
        </is>
      </c>
      <c r="E6431" t="inlineStr">
        <is>
          <t>paid_search</t>
        </is>
      </c>
      <c r="F6431">
        <f>IFERROR(MATCH(A6431,Deals!$A$2:$A$843,0),"")</f>
        <v/>
      </c>
      <c r="G6431">
        <f>IF(F6431="",0,1)</f>
        <v/>
      </c>
      <c r="H6431" s="29">
        <f>IF(F6431="","",INDEX(Deals!$E$2:$E$843,F6431))</f>
        <v/>
      </c>
      <c r="I6431">
        <f>IF(F6431="","",INDEX(Deals!$D$2:$D$843,F6431))</f>
        <v/>
      </c>
      <c r="J6431">
        <f>IF(F6431="","",INT(H6431)-B6431)</f>
        <v/>
      </c>
      <c r="K6431">
        <f>IF(B6431&gt;=Settings!$C$5,1,0)</f>
        <v/>
      </c>
    </row>
    <row r="6432">
      <c r="A6432" t="inlineStr">
        <is>
          <t>91648658a3e987ddb81913b06dbdc57a</t>
        </is>
      </c>
      <c r="B6432" s="29" t="n">
        <v>43178</v>
      </c>
      <c r="C6432" t="inlineStr">
        <is>
          <t>2018-03</t>
        </is>
      </c>
      <c r="D6432" t="inlineStr">
        <is>
          <t>40dec9f3d5259a3d2dbcdab2114fae47</t>
        </is>
      </c>
      <c r="E6432" t="inlineStr">
        <is>
          <t>paid_search</t>
        </is>
      </c>
      <c r="F6432">
        <f>IFERROR(MATCH(A6432,Deals!$A$2:$A$843,0),"")</f>
        <v/>
      </c>
      <c r="G6432">
        <f>IF(F6432="",0,1)</f>
        <v/>
      </c>
      <c r="H6432" s="29">
        <f>IF(F6432="","",INDEX(Deals!$E$2:$E$843,F6432))</f>
        <v/>
      </c>
      <c r="I6432">
        <f>IF(F6432="","",INDEX(Deals!$D$2:$D$843,F6432))</f>
        <v/>
      </c>
      <c r="J6432">
        <f>IF(F6432="","",INT(H6432)-B6432)</f>
        <v/>
      </c>
      <c r="K6432">
        <f>IF(B6432&gt;=Settings!$C$5,1,0)</f>
        <v/>
      </c>
    </row>
    <row r="6433">
      <c r="A6433" t="inlineStr">
        <is>
          <t>b3e1842e0ce3687d21d6a2292b4ad7cd</t>
        </is>
      </c>
      <c r="B6433" s="29" t="n">
        <v>43060</v>
      </c>
      <c r="C6433" t="inlineStr">
        <is>
          <t>2017-11</t>
        </is>
      </c>
      <c r="D6433" t="inlineStr">
        <is>
          <t>f03e241af08912ba7ffb65d69b0eb4d9</t>
        </is>
      </c>
      <c r="E6433" t="inlineStr">
        <is>
          <t>organic_search</t>
        </is>
      </c>
      <c r="F6433">
        <f>IFERROR(MATCH(A6433,Deals!$A$2:$A$843,0),"")</f>
        <v/>
      </c>
      <c r="G6433">
        <f>IF(F6433="",0,1)</f>
        <v/>
      </c>
      <c r="H6433" s="29">
        <f>IF(F6433="","",INDEX(Deals!$E$2:$E$843,F6433))</f>
        <v/>
      </c>
      <c r="I6433">
        <f>IF(F6433="","",INDEX(Deals!$D$2:$D$843,F6433))</f>
        <v/>
      </c>
      <c r="J6433">
        <f>IF(F6433="","",INT(H6433)-B6433)</f>
        <v/>
      </c>
      <c r="K6433">
        <f>IF(B6433&gt;=Settings!$C$5,1,0)</f>
        <v/>
      </c>
    </row>
    <row r="6434">
      <c r="A6434" t="inlineStr">
        <is>
          <t>f65c867a3d43ba449324297c18e7b28d</t>
        </is>
      </c>
      <c r="B6434" s="29" t="n">
        <v>43242</v>
      </c>
      <c r="C6434" t="inlineStr">
        <is>
          <t>2018-05</t>
        </is>
      </c>
      <c r="D6434" t="inlineStr">
        <is>
          <t>b76ef37428e6799c421989521c0e5077</t>
        </is>
      </c>
      <c r="E6434" t="inlineStr">
        <is>
          <t>organic_search</t>
        </is>
      </c>
      <c r="F6434">
        <f>IFERROR(MATCH(A6434,Deals!$A$2:$A$843,0),"")</f>
        <v/>
      </c>
      <c r="G6434">
        <f>IF(F6434="",0,1)</f>
        <v/>
      </c>
      <c r="H6434" s="29">
        <f>IF(F6434="","",INDEX(Deals!$E$2:$E$843,F6434))</f>
        <v/>
      </c>
      <c r="I6434">
        <f>IF(F6434="","",INDEX(Deals!$D$2:$D$843,F6434))</f>
        <v/>
      </c>
      <c r="J6434">
        <f>IF(F6434="","",INT(H6434)-B6434)</f>
        <v/>
      </c>
      <c r="K6434">
        <f>IF(B6434&gt;=Settings!$C$5,1,0)</f>
        <v/>
      </c>
    </row>
    <row r="6435">
      <c r="A6435" t="inlineStr">
        <is>
          <t>69f6ffd71cf2dc9146e752ec559a9b06</t>
        </is>
      </c>
      <c r="B6435" s="29" t="n">
        <v>43138</v>
      </c>
      <c r="C6435" t="inlineStr">
        <is>
          <t>2018-02</t>
        </is>
      </c>
      <c r="D6435" t="inlineStr">
        <is>
          <t>22c29808c4f815213303f8933030604c</t>
        </is>
      </c>
      <c r="E6435" t="inlineStr">
        <is>
          <t>unknown</t>
        </is>
      </c>
      <c r="F6435">
        <f>IFERROR(MATCH(A6435,Deals!$A$2:$A$843,0),"")</f>
        <v/>
      </c>
      <c r="G6435">
        <f>IF(F6435="",0,1)</f>
        <v/>
      </c>
      <c r="H6435" s="29">
        <f>IF(F6435="","",INDEX(Deals!$E$2:$E$843,F6435))</f>
        <v/>
      </c>
      <c r="I6435">
        <f>IF(F6435="","",INDEX(Deals!$D$2:$D$843,F6435))</f>
        <v/>
      </c>
      <c r="J6435">
        <f>IF(F6435="","",INT(H6435)-B6435)</f>
        <v/>
      </c>
      <c r="K6435">
        <f>IF(B6435&gt;=Settings!$C$5,1,0)</f>
        <v/>
      </c>
    </row>
    <row r="6436">
      <c r="A6436" t="inlineStr">
        <is>
          <t>9311ad2e1bb25d128e110548679cb4a7</t>
        </is>
      </c>
      <c r="B6436" s="29" t="n">
        <v>43147</v>
      </c>
      <c r="C6436" t="inlineStr">
        <is>
          <t>2018-02</t>
        </is>
      </c>
      <c r="D6436" t="inlineStr">
        <is>
          <t>22c29808c4f815213303f8933030604c</t>
        </is>
      </c>
      <c r="E6436" t="inlineStr">
        <is>
          <t>direct_traffic</t>
        </is>
      </c>
      <c r="F6436">
        <f>IFERROR(MATCH(A6436,Deals!$A$2:$A$843,0),"")</f>
        <v/>
      </c>
      <c r="G6436">
        <f>IF(F6436="",0,1)</f>
        <v/>
      </c>
      <c r="H6436" s="29">
        <f>IF(F6436="","",INDEX(Deals!$E$2:$E$843,F6436))</f>
        <v/>
      </c>
      <c r="I6436">
        <f>IF(F6436="","",INDEX(Deals!$D$2:$D$843,F6436))</f>
        <v/>
      </c>
      <c r="J6436">
        <f>IF(F6436="","",INT(H6436)-B6436)</f>
        <v/>
      </c>
      <c r="K6436">
        <f>IF(B6436&gt;=Settings!$C$5,1,0)</f>
        <v/>
      </c>
    </row>
    <row r="6437">
      <c r="A6437" t="inlineStr">
        <is>
          <t>1fa3b85e26b3058ead1ef2eec9be060e</t>
        </is>
      </c>
      <c r="B6437" s="29" t="n">
        <v>43143</v>
      </c>
      <c r="C6437" t="inlineStr">
        <is>
          <t>2018-02</t>
        </is>
      </c>
      <c r="D6437" t="inlineStr">
        <is>
          <t>88740e65d5d6b056e0cda098e1ea6313</t>
        </is>
      </c>
      <c r="E6437" t="inlineStr">
        <is>
          <t>social</t>
        </is>
      </c>
      <c r="F6437">
        <f>IFERROR(MATCH(A6437,Deals!$A$2:$A$843,0),"")</f>
        <v/>
      </c>
      <c r="G6437">
        <f>IF(F6437="",0,1)</f>
        <v/>
      </c>
      <c r="H6437" s="29">
        <f>IF(F6437="","",INDEX(Deals!$E$2:$E$843,F6437))</f>
        <v/>
      </c>
      <c r="I6437">
        <f>IF(F6437="","",INDEX(Deals!$D$2:$D$843,F6437))</f>
        <v/>
      </c>
      <c r="J6437">
        <f>IF(F6437="","",INT(H6437)-B6437)</f>
        <v/>
      </c>
      <c r="K6437">
        <f>IF(B6437&gt;=Settings!$C$5,1,0)</f>
        <v/>
      </c>
    </row>
    <row r="6438">
      <c r="A6438" t="inlineStr">
        <is>
          <t>5ac743bb07d7ade910de883559891e70</t>
        </is>
      </c>
      <c r="B6438" s="29" t="n">
        <v>43207</v>
      </c>
      <c r="C6438" t="inlineStr">
        <is>
          <t>2018-04</t>
        </is>
      </c>
      <c r="D6438" t="inlineStr">
        <is>
          <t>f017be4dbf86243af5c1ebed0cff36a2</t>
        </is>
      </c>
      <c r="E6438" t="inlineStr">
        <is>
          <t>organic_search</t>
        </is>
      </c>
      <c r="F6438">
        <f>IFERROR(MATCH(A6438,Deals!$A$2:$A$843,0),"")</f>
        <v/>
      </c>
      <c r="G6438">
        <f>IF(F6438="",0,1)</f>
        <v/>
      </c>
      <c r="H6438" s="29">
        <f>IF(F6438="","",INDEX(Deals!$E$2:$E$843,F6438))</f>
        <v/>
      </c>
      <c r="I6438">
        <f>IF(F6438="","",INDEX(Deals!$D$2:$D$843,F6438))</f>
        <v/>
      </c>
      <c r="J6438">
        <f>IF(F6438="","",INT(H6438)-B6438)</f>
        <v/>
      </c>
      <c r="K6438">
        <f>IF(B6438&gt;=Settings!$C$5,1,0)</f>
        <v/>
      </c>
    </row>
    <row r="6439">
      <c r="A6439" t="inlineStr">
        <is>
          <t>9ea617ae92116e11f89772bdfacfd259</t>
        </is>
      </c>
      <c r="B6439" s="29" t="n">
        <v>43192</v>
      </c>
      <c r="C6439" t="inlineStr">
        <is>
          <t>2018-04</t>
        </is>
      </c>
      <c r="D6439" t="inlineStr">
        <is>
          <t>58326e62183c14b0c03085c33b9fdc44</t>
        </is>
      </c>
      <c r="E6439" t="inlineStr">
        <is>
          <t>social</t>
        </is>
      </c>
      <c r="F6439">
        <f>IFERROR(MATCH(A6439,Deals!$A$2:$A$843,0),"")</f>
        <v/>
      </c>
      <c r="G6439">
        <f>IF(F6439="",0,1)</f>
        <v/>
      </c>
      <c r="H6439" s="29">
        <f>IF(F6439="","",INDEX(Deals!$E$2:$E$843,F6439))</f>
        <v/>
      </c>
      <c r="I6439">
        <f>IF(F6439="","",INDEX(Deals!$D$2:$D$843,F6439))</f>
        <v/>
      </c>
      <c r="J6439">
        <f>IF(F6439="","",INT(H6439)-B6439)</f>
        <v/>
      </c>
      <c r="K6439">
        <f>IF(B6439&gt;=Settings!$C$5,1,0)</f>
        <v/>
      </c>
    </row>
    <row r="6440">
      <c r="A6440" t="inlineStr">
        <is>
          <t>937304cff44c617ca508c6b84ffec3af</t>
        </is>
      </c>
      <c r="B6440" s="29" t="n">
        <v>43178</v>
      </c>
      <c r="C6440" t="inlineStr">
        <is>
          <t>2018-03</t>
        </is>
      </c>
      <c r="D6440" t="inlineStr">
        <is>
          <t>721e54f5ec9978339e69dd3601713456</t>
        </is>
      </c>
      <c r="E6440" t="inlineStr">
        <is>
          <t>organic_search</t>
        </is>
      </c>
      <c r="F6440">
        <f>IFERROR(MATCH(A6440,Deals!$A$2:$A$843,0),"")</f>
        <v/>
      </c>
      <c r="G6440">
        <f>IF(F6440="",0,1)</f>
        <v/>
      </c>
      <c r="H6440" s="29">
        <f>IF(F6440="","",INDEX(Deals!$E$2:$E$843,F6440))</f>
        <v/>
      </c>
      <c r="I6440">
        <f>IF(F6440="","",INDEX(Deals!$D$2:$D$843,F6440))</f>
        <v/>
      </c>
      <c r="J6440">
        <f>IF(F6440="","",INT(H6440)-B6440)</f>
        <v/>
      </c>
      <c r="K6440">
        <f>IF(B6440&gt;=Settings!$C$5,1,0)</f>
        <v/>
      </c>
    </row>
    <row r="6441">
      <c r="A6441" t="inlineStr">
        <is>
          <t>4653dc197e56d94547c86d7a3af40833</t>
        </is>
      </c>
      <c r="B6441" s="29" t="n">
        <v>43161</v>
      </c>
      <c r="C6441" t="inlineStr">
        <is>
          <t>2018-03</t>
        </is>
      </c>
      <c r="D6441" t="inlineStr">
        <is>
          <t>b76ef37428e6799c421989521c0e5077</t>
        </is>
      </c>
      <c r="E6441" t="inlineStr">
        <is>
          <t>organic_search</t>
        </is>
      </c>
      <c r="F6441">
        <f>IFERROR(MATCH(A6441,Deals!$A$2:$A$843,0),"")</f>
        <v/>
      </c>
      <c r="G6441">
        <f>IF(F6441="",0,1)</f>
        <v/>
      </c>
      <c r="H6441" s="29">
        <f>IF(F6441="","",INDEX(Deals!$E$2:$E$843,F6441))</f>
        <v/>
      </c>
      <c r="I6441">
        <f>IF(F6441="","",INDEX(Deals!$D$2:$D$843,F6441))</f>
        <v/>
      </c>
      <c r="J6441">
        <f>IF(F6441="","",INT(H6441)-B6441)</f>
        <v/>
      </c>
      <c r="K6441">
        <f>IF(B6441&gt;=Settings!$C$5,1,0)</f>
        <v/>
      </c>
    </row>
    <row r="6442">
      <c r="A6442" t="inlineStr">
        <is>
          <t>cfa24dfc286adcb9975766587623be62</t>
        </is>
      </c>
      <c r="B6442" s="29" t="n">
        <v>43238</v>
      </c>
      <c r="C6442" t="inlineStr">
        <is>
          <t>2018-05</t>
        </is>
      </c>
      <c r="D6442" t="inlineStr">
        <is>
          <t>22c29808c4f815213303f8933030604c</t>
        </is>
      </c>
      <c r="E6442" t="inlineStr">
        <is>
          <t>referral</t>
        </is>
      </c>
      <c r="F6442">
        <f>IFERROR(MATCH(A6442,Deals!$A$2:$A$843,0),"")</f>
        <v/>
      </c>
      <c r="G6442">
        <f>IF(F6442="",0,1)</f>
        <v/>
      </c>
      <c r="H6442" s="29">
        <f>IF(F6442="","",INDEX(Deals!$E$2:$E$843,F6442))</f>
        <v/>
      </c>
      <c r="I6442">
        <f>IF(F6442="","",INDEX(Deals!$D$2:$D$843,F6442))</f>
        <v/>
      </c>
      <c r="J6442">
        <f>IF(F6442="","",INT(H6442)-B6442)</f>
        <v/>
      </c>
      <c r="K6442">
        <f>IF(B6442&gt;=Settings!$C$5,1,0)</f>
        <v/>
      </c>
    </row>
    <row r="6443">
      <c r="A6443" t="inlineStr">
        <is>
          <t>cb0dfa84f66dc1d66825f5aa726cbf55</t>
        </is>
      </c>
      <c r="B6443" s="29" t="n">
        <v>43173</v>
      </c>
      <c r="C6443" t="inlineStr">
        <is>
          <t>2018-03</t>
        </is>
      </c>
      <c r="D6443" t="inlineStr">
        <is>
          <t>330b9d44078a1ae5a221d655dcb77afa</t>
        </is>
      </c>
      <c r="E6443" t="inlineStr">
        <is>
          <t>organic_search</t>
        </is>
      </c>
      <c r="F6443">
        <f>IFERROR(MATCH(A6443,Deals!$A$2:$A$843,0),"")</f>
        <v/>
      </c>
      <c r="G6443">
        <f>IF(F6443="",0,1)</f>
        <v/>
      </c>
      <c r="H6443" s="29">
        <f>IF(F6443="","",INDEX(Deals!$E$2:$E$843,F6443))</f>
        <v/>
      </c>
      <c r="I6443">
        <f>IF(F6443="","",INDEX(Deals!$D$2:$D$843,F6443))</f>
        <v/>
      </c>
      <c r="J6443">
        <f>IF(F6443="","",INT(H6443)-B6443)</f>
        <v/>
      </c>
      <c r="K6443">
        <f>IF(B6443&gt;=Settings!$C$5,1,0)</f>
        <v/>
      </c>
    </row>
    <row r="6444">
      <c r="A6444" t="inlineStr">
        <is>
          <t>52e554cdb04f5149a995245284f2c62e</t>
        </is>
      </c>
      <c r="B6444" s="29" t="n">
        <v>42995</v>
      </c>
      <c r="C6444" t="inlineStr">
        <is>
          <t>2017-09</t>
        </is>
      </c>
      <c r="D6444" t="inlineStr">
        <is>
          <t>87732658ba41d8775e8577df347a64db</t>
        </is>
      </c>
      <c r="E6444" t="inlineStr">
        <is>
          <t>social</t>
        </is>
      </c>
      <c r="F6444">
        <f>IFERROR(MATCH(A6444,Deals!$A$2:$A$843,0),"")</f>
        <v/>
      </c>
      <c r="G6444">
        <f>IF(F6444="",0,1)</f>
        <v/>
      </c>
      <c r="H6444" s="29">
        <f>IF(F6444="","",INDEX(Deals!$E$2:$E$843,F6444))</f>
        <v/>
      </c>
      <c r="I6444">
        <f>IF(F6444="","",INDEX(Deals!$D$2:$D$843,F6444))</f>
        <v/>
      </c>
      <c r="J6444">
        <f>IF(F6444="","",INT(H6444)-B6444)</f>
        <v/>
      </c>
      <c r="K6444">
        <f>IF(B6444&gt;=Settings!$C$5,1,0)</f>
        <v/>
      </c>
    </row>
    <row r="6445">
      <c r="A6445" t="inlineStr">
        <is>
          <t>122fb7b4ed45d1a1489232864c606b4d</t>
        </is>
      </c>
      <c r="B6445" s="29" t="n">
        <v>42956</v>
      </c>
      <c r="C6445" t="inlineStr">
        <is>
          <t>2017-08</t>
        </is>
      </c>
      <c r="D6445" t="inlineStr">
        <is>
          <t>007f9098284a86ee80ddeb25d53e0af8</t>
        </is>
      </c>
      <c r="E6445" t="inlineStr">
        <is>
          <t>direct_traffic</t>
        </is>
      </c>
      <c r="F6445">
        <f>IFERROR(MATCH(A6445,Deals!$A$2:$A$843,0),"")</f>
        <v/>
      </c>
      <c r="G6445">
        <f>IF(F6445="",0,1)</f>
        <v/>
      </c>
      <c r="H6445" s="29">
        <f>IF(F6445="","",INDEX(Deals!$E$2:$E$843,F6445))</f>
        <v/>
      </c>
      <c r="I6445">
        <f>IF(F6445="","",INDEX(Deals!$D$2:$D$843,F6445))</f>
        <v/>
      </c>
      <c r="J6445">
        <f>IF(F6445="","",INT(H6445)-B6445)</f>
        <v/>
      </c>
      <c r="K6445">
        <f>IF(B6445&gt;=Settings!$C$5,1,0)</f>
        <v/>
      </c>
    </row>
    <row r="6446">
      <c r="A6446" t="inlineStr">
        <is>
          <t>38fd577719a20b566bec71465f6433c7</t>
        </is>
      </c>
      <c r="B6446" s="29" t="n">
        <v>43124</v>
      </c>
      <c r="C6446" t="inlineStr">
        <is>
          <t>2018-01</t>
        </is>
      </c>
      <c r="D6446" t="inlineStr">
        <is>
          <t>da14b7e2eb0d1eecf65abbd05a31c87d</t>
        </is>
      </c>
      <c r="E6446" t="inlineStr">
        <is>
          <t>direct_traffic</t>
        </is>
      </c>
      <c r="F6446">
        <f>IFERROR(MATCH(A6446,Deals!$A$2:$A$843,0),"")</f>
        <v/>
      </c>
      <c r="G6446">
        <f>IF(F6446="",0,1)</f>
        <v/>
      </c>
      <c r="H6446" s="29">
        <f>IF(F6446="","",INDEX(Deals!$E$2:$E$843,F6446))</f>
        <v/>
      </c>
      <c r="I6446">
        <f>IF(F6446="","",INDEX(Deals!$D$2:$D$843,F6446))</f>
        <v/>
      </c>
      <c r="J6446">
        <f>IF(F6446="","",INT(H6446)-B6446)</f>
        <v/>
      </c>
      <c r="K6446">
        <f>IF(B6446&gt;=Settings!$C$5,1,0)</f>
        <v/>
      </c>
    </row>
    <row r="6447">
      <c r="A6447" t="inlineStr">
        <is>
          <t>d2a83dc418ee9d6209d8356fca703f13</t>
        </is>
      </c>
      <c r="B6447" s="29" t="n">
        <v>42930</v>
      </c>
      <c r="C6447" t="inlineStr">
        <is>
          <t>2017-07</t>
        </is>
      </c>
      <c r="D6447" t="inlineStr">
        <is>
          <t>5ce25abc7206b8285aa756867eb2c590</t>
        </is>
      </c>
      <c r="E6447" t="inlineStr">
        <is>
          <t>paid_search</t>
        </is>
      </c>
      <c r="F6447">
        <f>IFERROR(MATCH(A6447,Deals!$A$2:$A$843,0),"")</f>
        <v/>
      </c>
      <c r="G6447">
        <f>IF(F6447="",0,1)</f>
        <v/>
      </c>
      <c r="H6447" s="29">
        <f>IF(F6447="","",INDEX(Deals!$E$2:$E$843,F6447))</f>
        <v/>
      </c>
      <c r="I6447">
        <f>IF(F6447="","",INDEX(Deals!$D$2:$D$843,F6447))</f>
        <v/>
      </c>
      <c r="J6447">
        <f>IF(F6447="","",INT(H6447)-B6447)</f>
        <v/>
      </c>
      <c r="K6447">
        <f>IF(B6447&gt;=Settings!$C$5,1,0)</f>
        <v/>
      </c>
    </row>
    <row r="6448">
      <c r="A6448" t="inlineStr">
        <is>
          <t>7a5e445620cfafd23f47b6b098552680</t>
        </is>
      </c>
      <c r="B6448" s="29" t="n">
        <v>43111</v>
      </c>
      <c r="C6448" t="inlineStr">
        <is>
          <t>2018-01</t>
        </is>
      </c>
      <c r="D6448" t="inlineStr">
        <is>
          <t>88740e65d5d6b056e0cda098e1ea6313</t>
        </is>
      </c>
      <c r="E6448" t="inlineStr">
        <is>
          <t>social</t>
        </is>
      </c>
      <c r="F6448">
        <f>IFERROR(MATCH(A6448,Deals!$A$2:$A$843,0),"")</f>
        <v/>
      </c>
      <c r="G6448">
        <f>IF(F6448="",0,1)</f>
        <v/>
      </c>
      <c r="H6448" s="29">
        <f>IF(F6448="","",INDEX(Deals!$E$2:$E$843,F6448))</f>
        <v/>
      </c>
      <c r="I6448">
        <f>IF(F6448="","",INDEX(Deals!$D$2:$D$843,F6448))</f>
        <v/>
      </c>
      <c r="J6448">
        <f>IF(F6448="","",INT(H6448)-B6448)</f>
        <v/>
      </c>
      <c r="K6448">
        <f>IF(B6448&gt;=Settings!$C$5,1,0)</f>
        <v/>
      </c>
    </row>
    <row r="6449">
      <c r="A6449" t="inlineStr">
        <is>
          <t>0002ac0d783338cfeab0b2bdbd872cda</t>
        </is>
      </c>
      <c r="B6449" s="29" t="n">
        <v>43053</v>
      </c>
      <c r="C6449" t="inlineStr">
        <is>
          <t>2017-11</t>
        </is>
      </c>
      <c r="D6449" t="inlineStr">
        <is>
          <t>b76ef37428e6799c421989521c0e5077</t>
        </is>
      </c>
      <c r="E6449" t="inlineStr">
        <is>
          <t>unknown</t>
        </is>
      </c>
      <c r="F6449">
        <f>IFERROR(MATCH(A6449,Deals!$A$2:$A$843,0),"")</f>
        <v/>
      </c>
      <c r="G6449">
        <f>IF(F6449="",0,1)</f>
        <v/>
      </c>
      <c r="H6449" s="29">
        <f>IF(F6449="","",INDEX(Deals!$E$2:$E$843,F6449))</f>
        <v/>
      </c>
      <c r="I6449">
        <f>IF(F6449="","",INDEX(Deals!$D$2:$D$843,F6449))</f>
        <v/>
      </c>
      <c r="J6449">
        <f>IF(F6449="","",INT(H6449)-B6449)</f>
        <v/>
      </c>
      <c r="K6449">
        <f>IF(B6449&gt;=Settings!$C$5,1,0)</f>
        <v/>
      </c>
    </row>
    <row r="6450">
      <c r="A6450" t="inlineStr">
        <is>
          <t>5b2afc07f58d13c0203bc1df693d7017</t>
        </is>
      </c>
      <c r="B6450" s="29" t="n">
        <v>43062</v>
      </c>
      <c r="C6450" t="inlineStr">
        <is>
          <t>2017-11</t>
        </is>
      </c>
      <c r="D6450" t="inlineStr">
        <is>
          <t>1722481ac9e5371e5099dea226b5421d</t>
        </is>
      </c>
      <c r="E6450" t="inlineStr">
        <is>
          <t>paid_search</t>
        </is>
      </c>
      <c r="F6450">
        <f>IFERROR(MATCH(A6450,Deals!$A$2:$A$843,0),"")</f>
        <v/>
      </c>
      <c r="G6450">
        <f>IF(F6450="",0,1)</f>
        <v/>
      </c>
      <c r="H6450" s="29">
        <f>IF(F6450="","",INDEX(Deals!$E$2:$E$843,F6450))</f>
        <v/>
      </c>
      <c r="I6450">
        <f>IF(F6450="","",INDEX(Deals!$D$2:$D$843,F6450))</f>
        <v/>
      </c>
      <c r="J6450">
        <f>IF(F6450="","",INT(H6450)-B6450)</f>
        <v/>
      </c>
      <c r="K6450">
        <f>IF(B6450&gt;=Settings!$C$5,1,0)</f>
        <v/>
      </c>
    </row>
    <row r="6451">
      <c r="A6451" t="inlineStr">
        <is>
          <t>c18961bb80e7f3191e559a807c285346</t>
        </is>
      </c>
      <c r="B6451" s="29" t="n">
        <v>43237</v>
      </c>
      <c r="C6451" t="inlineStr">
        <is>
          <t>2018-05</t>
        </is>
      </c>
      <c r="D6451" t="inlineStr">
        <is>
          <t>22c29808c4f815213303f8933030604c</t>
        </is>
      </c>
      <c r="E6451" t="inlineStr">
        <is>
          <t>social</t>
        </is>
      </c>
      <c r="F6451">
        <f>IFERROR(MATCH(A6451,Deals!$A$2:$A$843,0),"")</f>
        <v/>
      </c>
      <c r="G6451">
        <f>IF(F6451="",0,1)</f>
        <v/>
      </c>
      <c r="H6451" s="29">
        <f>IF(F6451="","",INDEX(Deals!$E$2:$E$843,F6451))</f>
        <v/>
      </c>
      <c r="I6451">
        <f>IF(F6451="","",INDEX(Deals!$D$2:$D$843,F6451))</f>
        <v/>
      </c>
      <c r="J6451">
        <f>IF(F6451="","",INT(H6451)-B6451)</f>
        <v/>
      </c>
      <c r="K6451">
        <f>IF(B6451&gt;=Settings!$C$5,1,0)</f>
        <v/>
      </c>
    </row>
    <row r="6452">
      <c r="A6452" t="inlineStr">
        <is>
          <t>c9f5c37976afa879c834b505e6ef3fbf</t>
        </is>
      </c>
      <c r="B6452" s="29" t="n">
        <v>43104</v>
      </c>
      <c r="C6452" t="inlineStr">
        <is>
          <t>2018-01</t>
        </is>
      </c>
      <c r="D6452" t="inlineStr">
        <is>
          <t>58f8c0a253663304e348e81298bc255e</t>
        </is>
      </c>
      <c r="E6452" t="inlineStr">
        <is>
          <t>unknown</t>
        </is>
      </c>
      <c r="F6452">
        <f>IFERROR(MATCH(A6452,Deals!$A$2:$A$843,0),"")</f>
        <v/>
      </c>
      <c r="G6452">
        <f>IF(F6452="",0,1)</f>
        <v/>
      </c>
      <c r="H6452" s="29">
        <f>IF(F6452="","",INDEX(Deals!$E$2:$E$843,F6452))</f>
        <v/>
      </c>
      <c r="I6452">
        <f>IF(F6452="","",INDEX(Deals!$D$2:$D$843,F6452))</f>
        <v/>
      </c>
      <c r="J6452">
        <f>IF(F6452="","",INT(H6452)-B6452)</f>
        <v/>
      </c>
      <c r="K6452">
        <f>IF(B6452&gt;=Settings!$C$5,1,0)</f>
        <v/>
      </c>
    </row>
    <row r="6453">
      <c r="A6453" t="inlineStr">
        <is>
          <t>de3a8280fcdb3da95e3b4626cead3986</t>
        </is>
      </c>
      <c r="B6453" s="29" t="n">
        <v>43102</v>
      </c>
      <c r="C6453" t="inlineStr">
        <is>
          <t>2018-01</t>
        </is>
      </c>
      <c r="D6453" t="inlineStr">
        <is>
          <t>88740e65d5d6b056e0cda098e1ea6313</t>
        </is>
      </c>
      <c r="E6453" t="inlineStr">
        <is>
          <t>social</t>
        </is>
      </c>
      <c r="F6453">
        <f>IFERROR(MATCH(A6453,Deals!$A$2:$A$843,0),"")</f>
        <v/>
      </c>
      <c r="G6453">
        <f>IF(F6453="",0,1)</f>
        <v/>
      </c>
      <c r="H6453" s="29">
        <f>IF(F6453="","",INDEX(Deals!$E$2:$E$843,F6453))</f>
        <v/>
      </c>
      <c r="I6453">
        <f>IF(F6453="","",INDEX(Deals!$D$2:$D$843,F6453))</f>
        <v/>
      </c>
      <c r="J6453">
        <f>IF(F6453="","",INT(H6453)-B6453)</f>
        <v/>
      </c>
      <c r="K6453">
        <f>IF(B6453&gt;=Settings!$C$5,1,0)</f>
        <v/>
      </c>
    </row>
    <row r="6454">
      <c r="A6454" t="inlineStr">
        <is>
          <t>115b478f61c168971e1104d57ee864d3</t>
        </is>
      </c>
      <c r="B6454" s="29" t="n">
        <v>43037</v>
      </c>
      <c r="C6454" t="inlineStr">
        <is>
          <t>2017-10</t>
        </is>
      </c>
      <c r="D6454" t="inlineStr">
        <is>
          <t>30077c17f2ec5010a82e37ad8925b95f</t>
        </is>
      </c>
      <c r="E6454" t="inlineStr">
        <is>
          <t>organic_search</t>
        </is>
      </c>
      <c r="F6454">
        <f>IFERROR(MATCH(A6454,Deals!$A$2:$A$843,0),"")</f>
        <v/>
      </c>
      <c r="G6454">
        <f>IF(F6454="",0,1)</f>
        <v/>
      </c>
      <c r="H6454" s="29">
        <f>IF(F6454="","",INDEX(Deals!$E$2:$E$843,F6454))</f>
        <v/>
      </c>
      <c r="I6454">
        <f>IF(F6454="","",INDEX(Deals!$D$2:$D$843,F6454))</f>
        <v/>
      </c>
      <c r="J6454">
        <f>IF(F6454="","",INT(H6454)-B6454)</f>
        <v/>
      </c>
      <c r="K6454">
        <f>IF(B6454&gt;=Settings!$C$5,1,0)</f>
        <v/>
      </c>
    </row>
    <row r="6455">
      <c r="A6455" t="inlineStr">
        <is>
          <t>8ac5c69653a6ec0c8a96f304c13fb1d6</t>
        </is>
      </c>
      <c r="B6455" s="29" t="n">
        <v>43111</v>
      </c>
      <c r="C6455" t="inlineStr">
        <is>
          <t>2018-01</t>
        </is>
      </c>
      <c r="D6455" t="inlineStr">
        <is>
          <t>22c29808c4f815213303f8933030604c</t>
        </is>
      </c>
      <c r="E6455" t="inlineStr">
        <is>
          <t>organic_search</t>
        </is>
      </c>
      <c r="F6455">
        <f>IFERROR(MATCH(A6455,Deals!$A$2:$A$843,0),"")</f>
        <v/>
      </c>
      <c r="G6455">
        <f>IF(F6455="",0,1)</f>
        <v/>
      </c>
      <c r="H6455" s="29">
        <f>IF(F6455="","",INDEX(Deals!$E$2:$E$843,F6455))</f>
        <v/>
      </c>
      <c r="I6455">
        <f>IF(F6455="","",INDEX(Deals!$D$2:$D$843,F6455))</f>
        <v/>
      </c>
      <c r="J6455">
        <f>IF(F6455="","",INT(H6455)-B6455)</f>
        <v/>
      </c>
      <c r="K6455">
        <f>IF(B6455&gt;=Settings!$C$5,1,0)</f>
        <v/>
      </c>
    </row>
    <row r="6456">
      <c r="A6456" t="inlineStr">
        <is>
          <t>1b9b3786eae526755467c2593d194005</t>
        </is>
      </c>
      <c r="B6456" s="29" t="n">
        <v>43152</v>
      </c>
      <c r="C6456" t="inlineStr">
        <is>
          <t>2018-02</t>
        </is>
      </c>
      <c r="D6456" t="inlineStr">
        <is>
          <t>22c29808c4f815213303f8933030604c</t>
        </is>
      </c>
      <c r="E6456" t="inlineStr">
        <is>
          <t>paid_search</t>
        </is>
      </c>
      <c r="F6456">
        <f>IFERROR(MATCH(A6456,Deals!$A$2:$A$843,0),"")</f>
        <v/>
      </c>
      <c r="G6456">
        <f>IF(F6456="",0,1)</f>
        <v/>
      </c>
      <c r="H6456" s="29">
        <f>IF(F6456="","",INDEX(Deals!$E$2:$E$843,F6456))</f>
        <v/>
      </c>
      <c r="I6456">
        <f>IF(F6456="","",INDEX(Deals!$D$2:$D$843,F6456))</f>
        <v/>
      </c>
      <c r="J6456">
        <f>IF(F6456="","",INT(H6456)-B6456)</f>
        <v/>
      </c>
      <c r="K6456">
        <f>IF(B6456&gt;=Settings!$C$5,1,0)</f>
        <v/>
      </c>
    </row>
    <row r="6457">
      <c r="A6457" t="inlineStr">
        <is>
          <t>f6f0655687b41bca41c7cb54c5d407ba</t>
        </is>
      </c>
      <c r="B6457" s="29" t="n">
        <v>43206</v>
      </c>
      <c r="C6457" t="inlineStr">
        <is>
          <t>2018-04</t>
        </is>
      </c>
      <c r="D6457" t="inlineStr">
        <is>
          <t>1ceb590cd1e00c7ee95220971f82693d</t>
        </is>
      </c>
      <c r="E6457" t="inlineStr">
        <is>
          <t>paid_search</t>
        </is>
      </c>
      <c r="F6457">
        <f>IFERROR(MATCH(A6457,Deals!$A$2:$A$843,0),"")</f>
        <v/>
      </c>
      <c r="G6457">
        <f>IF(F6457="",0,1)</f>
        <v/>
      </c>
      <c r="H6457" s="29">
        <f>IF(F6457="","",INDEX(Deals!$E$2:$E$843,F6457))</f>
        <v/>
      </c>
      <c r="I6457">
        <f>IF(F6457="","",INDEX(Deals!$D$2:$D$843,F6457))</f>
        <v/>
      </c>
      <c r="J6457">
        <f>IF(F6457="","",INT(H6457)-B6457)</f>
        <v/>
      </c>
      <c r="K6457">
        <f>IF(B6457&gt;=Settings!$C$5,1,0)</f>
        <v/>
      </c>
    </row>
    <row r="6458">
      <c r="A6458" t="inlineStr">
        <is>
          <t>b02c6bdb3693e65bd8e9b75df65fe2c4</t>
        </is>
      </c>
      <c r="B6458" s="29" t="n">
        <v>43221</v>
      </c>
      <c r="C6458" t="inlineStr">
        <is>
          <t>2018-05</t>
        </is>
      </c>
      <c r="D6458" t="inlineStr">
        <is>
          <t>35c9b150ab36fe584c1f24fd458c453a</t>
        </is>
      </c>
      <c r="E6458" t="inlineStr">
        <is>
          <t>paid_search</t>
        </is>
      </c>
      <c r="F6458">
        <f>IFERROR(MATCH(A6458,Deals!$A$2:$A$843,0),"")</f>
        <v/>
      </c>
      <c r="G6458">
        <f>IF(F6458="",0,1)</f>
        <v/>
      </c>
      <c r="H6458" s="29">
        <f>IF(F6458="","",INDEX(Deals!$E$2:$E$843,F6458))</f>
        <v/>
      </c>
      <c r="I6458">
        <f>IF(F6458="","",INDEX(Deals!$D$2:$D$843,F6458))</f>
        <v/>
      </c>
      <c r="J6458">
        <f>IF(F6458="","",INT(H6458)-B6458)</f>
        <v/>
      </c>
      <c r="K6458">
        <f>IF(B6458&gt;=Settings!$C$5,1,0)</f>
        <v/>
      </c>
    </row>
    <row r="6459">
      <c r="A6459" t="inlineStr">
        <is>
          <t>94df92c67698963892f60d2555502330</t>
        </is>
      </c>
      <c r="B6459" s="29" t="n">
        <v>43245</v>
      </c>
      <c r="C6459" t="inlineStr">
        <is>
          <t>2018-05</t>
        </is>
      </c>
      <c r="D6459" t="inlineStr">
        <is>
          <t>5dc848e7dd9418dffe183215b8ff0bc1</t>
        </is>
      </c>
      <c r="E6459" t="inlineStr">
        <is>
          <t>paid_search</t>
        </is>
      </c>
      <c r="F6459">
        <f>IFERROR(MATCH(A6459,Deals!$A$2:$A$843,0),"")</f>
        <v/>
      </c>
      <c r="G6459">
        <f>IF(F6459="",0,1)</f>
        <v/>
      </c>
      <c r="H6459" s="29">
        <f>IF(F6459="","",INDEX(Deals!$E$2:$E$843,F6459))</f>
        <v/>
      </c>
      <c r="I6459">
        <f>IF(F6459="","",INDEX(Deals!$D$2:$D$843,F6459))</f>
        <v/>
      </c>
      <c r="J6459">
        <f>IF(F6459="","",INT(H6459)-B6459)</f>
        <v/>
      </c>
      <c r="K6459">
        <f>IF(B6459&gt;=Settings!$C$5,1,0)</f>
        <v/>
      </c>
    </row>
    <row r="6460">
      <c r="A6460" t="inlineStr">
        <is>
          <t>423b036257e9b247694318b327fdef68</t>
        </is>
      </c>
      <c r="B6460" s="29" t="n">
        <v>43076</v>
      </c>
      <c r="C6460" t="inlineStr">
        <is>
          <t>2017-12</t>
        </is>
      </c>
      <c r="D6460" t="inlineStr">
        <is>
          <t>241f79c7a8fe0270f4fb79fcbbcd17ad</t>
        </is>
      </c>
      <c r="E6460" t="inlineStr">
        <is>
          <t>paid_search</t>
        </is>
      </c>
      <c r="F6460">
        <f>IFERROR(MATCH(A6460,Deals!$A$2:$A$843,0),"")</f>
        <v/>
      </c>
      <c r="G6460">
        <f>IF(F6460="",0,1)</f>
        <v/>
      </c>
      <c r="H6460" s="29">
        <f>IF(F6460="","",INDEX(Deals!$E$2:$E$843,F6460))</f>
        <v/>
      </c>
      <c r="I6460">
        <f>IF(F6460="","",INDEX(Deals!$D$2:$D$843,F6460))</f>
        <v/>
      </c>
      <c r="J6460">
        <f>IF(F6460="","",INT(H6460)-B6460)</f>
        <v/>
      </c>
      <c r="K6460">
        <f>IF(B6460&gt;=Settings!$C$5,1,0)</f>
        <v/>
      </c>
    </row>
    <row r="6461">
      <c r="A6461" t="inlineStr">
        <is>
          <t>ac029f072468dd8c97c15f0a9fa96f00</t>
        </is>
      </c>
      <c r="B6461" s="29" t="n">
        <v>43200</v>
      </c>
      <c r="C6461" t="inlineStr">
        <is>
          <t>2018-04</t>
        </is>
      </c>
      <c r="D6461" t="inlineStr">
        <is>
          <t>1baca9df5850e5ba75545d8b2eb8d966</t>
        </is>
      </c>
      <c r="E6461" t="inlineStr">
        <is>
          <t>paid_search</t>
        </is>
      </c>
      <c r="F6461">
        <f>IFERROR(MATCH(A6461,Deals!$A$2:$A$843,0),"")</f>
        <v/>
      </c>
      <c r="G6461">
        <f>IF(F6461="",0,1)</f>
        <v/>
      </c>
      <c r="H6461" s="29">
        <f>IF(F6461="","",INDEX(Deals!$E$2:$E$843,F6461))</f>
        <v/>
      </c>
      <c r="I6461">
        <f>IF(F6461="","",INDEX(Deals!$D$2:$D$843,F6461))</f>
        <v/>
      </c>
      <c r="J6461">
        <f>IF(F6461="","",INT(H6461)-B6461)</f>
        <v/>
      </c>
      <c r="K6461">
        <f>IF(B6461&gt;=Settings!$C$5,1,0)</f>
        <v/>
      </c>
    </row>
    <row r="6462">
      <c r="A6462" t="inlineStr">
        <is>
          <t>691efa333ffa8b324ea55ee0b7c18e06</t>
        </is>
      </c>
      <c r="B6462" s="29" t="n">
        <v>43212</v>
      </c>
      <c r="C6462" t="inlineStr">
        <is>
          <t>2018-04</t>
        </is>
      </c>
      <c r="D6462" t="inlineStr">
        <is>
          <t>5dc848e7dd9418dffe183215b8ff0bc1</t>
        </is>
      </c>
      <c r="E6462" t="inlineStr">
        <is>
          <t>paid_search</t>
        </is>
      </c>
      <c r="F6462">
        <f>IFERROR(MATCH(A6462,Deals!$A$2:$A$843,0),"")</f>
        <v/>
      </c>
      <c r="G6462">
        <f>IF(F6462="",0,1)</f>
        <v/>
      </c>
      <c r="H6462" s="29">
        <f>IF(F6462="","",INDEX(Deals!$E$2:$E$843,F6462))</f>
        <v/>
      </c>
      <c r="I6462">
        <f>IF(F6462="","",INDEX(Deals!$D$2:$D$843,F6462))</f>
        <v/>
      </c>
      <c r="J6462">
        <f>IF(F6462="","",INT(H6462)-B6462)</f>
        <v/>
      </c>
      <c r="K6462">
        <f>IF(B6462&gt;=Settings!$C$5,1,0)</f>
        <v/>
      </c>
    </row>
    <row r="6463">
      <c r="A6463" t="inlineStr">
        <is>
          <t>599430bd25e315dd79020a112a1593da</t>
        </is>
      </c>
      <c r="B6463" s="29" t="n">
        <v>43024</v>
      </c>
      <c r="C6463" t="inlineStr">
        <is>
          <t>2017-10</t>
        </is>
      </c>
      <c r="D6463" t="inlineStr">
        <is>
          <t>c05f0fd41e79d7811221253e0d4eadc8</t>
        </is>
      </c>
      <c r="E6463" t="inlineStr">
        <is>
          <t>unknown</t>
        </is>
      </c>
      <c r="F6463">
        <f>IFERROR(MATCH(A6463,Deals!$A$2:$A$843,0),"")</f>
        <v/>
      </c>
      <c r="G6463">
        <f>IF(F6463="",0,1)</f>
        <v/>
      </c>
      <c r="H6463" s="29">
        <f>IF(F6463="","",INDEX(Deals!$E$2:$E$843,F6463))</f>
        <v/>
      </c>
      <c r="I6463">
        <f>IF(F6463="","",INDEX(Deals!$D$2:$D$843,F6463))</f>
        <v/>
      </c>
      <c r="J6463">
        <f>IF(F6463="","",INT(H6463)-B6463)</f>
        <v/>
      </c>
      <c r="K6463">
        <f>IF(B6463&gt;=Settings!$C$5,1,0)</f>
        <v/>
      </c>
    </row>
    <row r="6464">
      <c r="A6464" t="inlineStr">
        <is>
          <t>49c6013040690fa5a2a112d8deed3ed2</t>
        </is>
      </c>
      <c r="B6464" s="29" t="n">
        <v>43201</v>
      </c>
      <c r="C6464" t="inlineStr">
        <is>
          <t>2018-04</t>
        </is>
      </c>
      <c r="D6464" t="inlineStr">
        <is>
          <t>35c9b150ab36fe584c1f24fd458c453a</t>
        </is>
      </c>
      <c r="E6464" t="inlineStr">
        <is>
          <t>paid_search</t>
        </is>
      </c>
      <c r="F6464">
        <f>IFERROR(MATCH(A6464,Deals!$A$2:$A$843,0),"")</f>
        <v/>
      </c>
      <c r="G6464">
        <f>IF(F6464="",0,1)</f>
        <v/>
      </c>
      <c r="H6464" s="29">
        <f>IF(F6464="","",INDEX(Deals!$E$2:$E$843,F6464))</f>
        <v/>
      </c>
      <c r="I6464">
        <f>IF(F6464="","",INDEX(Deals!$D$2:$D$843,F6464))</f>
        <v/>
      </c>
      <c r="J6464">
        <f>IF(F6464="","",INT(H6464)-B6464)</f>
        <v/>
      </c>
      <c r="K6464">
        <f>IF(B6464&gt;=Settings!$C$5,1,0)</f>
        <v/>
      </c>
    </row>
    <row r="6465">
      <c r="A6465" t="inlineStr">
        <is>
          <t>a3518523747eac6db7b48a08e17fbdda</t>
        </is>
      </c>
      <c r="B6465" s="29" t="n">
        <v>43185</v>
      </c>
      <c r="C6465" t="inlineStr">
        <is>
          <t>2018-03</t>
        </is>
      </c>
      <c r="D6465" t="inlineStr">
        <is>
          <t>f017be4dbf86243af5c1ebed0cff36a2</t>
        </is>
      </c>
      <c r="E6465" t="inlineStr">
        <is>
          <t>organic_search</t>
        </is>
      </c>
      <c r="F6465">
        <f>IFERROR(MATCH(A6465,Deals!$A$2:$A$843,0),"")</f>
        <v/>
      </c>
      <c r="G6465">
        <f>IF(F6465="",0,1)</f>
        <v/>
      </c>
      <c r="H6465" s="29">
        <f>IF(F6465="","",INDEX(Deals!$E$2:$E$843,F6465))</f>
        <v/>
      </c>
      <c r="I6465">
        <f>IF(F6465="","",INDEX(Deals!$D$2:$D$843,F6465))</f>
        <v/>
      </c>
      <c r="J6465">
        <f>IF(F6465="","",INT(H6465)-B6465)</f>
        <v/>
      </c>
      <c r="K6465">
        <f>IF(B6465&gt;=Settings!$C$5,1,0)</f>
        <v/>
      </c>
    </row>
    <row r="6466">
      <c r="A6466" t="inlineStr">
        <is>
          <t>0b84d107cba64fb8838526eada92266f</t>
        </is>
      </c>
      <c r="B6466" s="29" t="n">
        <v>43243</v>
      </c>
      <c r="C6466" t="inlineStr">
        <is>
          <t>2018-05</t>
        </is>
      </c>
      <c r="D6466" t="inlineStr">
        <is>
          <t>f80696b73d17fb34f5c4fde157f119d8</t>
        </is>
      </c>
      <c r="E6466" t="inlineStr">
        <is>
          <t>social</t>
        </is>
      </c>
      <c r="F6466">
        <f>IFERROR(MATCH(A6466,Deals!$A$2:$A$843,0),"")</f>
        <v/>
      </c>
      <c r="G6466">
        <f>IF(F6466="",0,1)</f>
        <v/>
      </c>
      <c r="H6466" s="29">
        <f>IF(F6466="","",INDEX(Deals!$E$2:$E$843,F6466))</f>
        <v/>
      </c>
      <c r="I6466">
        <f>IF(F6466="","",INDEX(Deals!$D$2:$D$843,F6466))</f>
        <v/>
      </c>
      <c r="J6466">
        <f>IF(F6466="","",INT(H6466)-B6466)</f>
        <v/>
      </c>
      <c r="K6466">
        <f>IF(B6466&gt;=Settings!$C$5,1,0)</f>
        <v/>
      </c>
    </row>
    <row r="6467">
      <c r="A6467" t="inlineStr">
        <is>
          <t>7b1aeb59bfb3361ebb4d7ccc9d19ccc3</t>
        </is>
      </c>
      <c r="B6467" s="29" t="n">
        <v>43210</v>
      </c>
      <c r="C6467" t="inlineStr">
        <is>
          <t>2018-04</t>
        </is>
      </c>
      <c r="D6467" t="inlineStr">
        <is>
          <t>b76ef37428e6799c421989521c0e5077</t>
        </is>
      </c>
      <c r="E6467" t="inlineStr">
        <is>
          <t>unknown</t>
        </is>
      </c>
      <c r="F6467">
        <f>IFERROR(MATCH(A6467,Deals!$A$2:$A$843,0),"")</f>
        <v/>
      </c>
      <c r="G6467">
        <f>IF(F6467="",0,1)</f>
        <v/>
      </c>
      <c r="H6467" s="29">
        <f>IF(F6467="","",INDEX(Deals!$E$2:$E$843,F6467))</f>
        <v/>
      </c>
      <c r="I6467">
        <f>IF(F6467="","",INDEX(Deals!$D$2:$D$843,F6467))</f>
        <v/>
      </c>
      <c r="J6467">
        <f>IF(F6467="","",INT(H6467)-B6467)</f>
        <v/>
      </c>
      <c r="K6467">
        <f>IF(B6467&gt;=Settings!$C$5,1,0)</f>
        <v/>
      </c>
    </row>
    <row r="6468">
      <c r="A6468" t="inlineStr">
        <is>
          <t>d7a57d0c4b7110dfcb07f4e3a480abe1</t>
        </is>
      </c>
      <c r="B6468" s="29" t="n">
        <v>43244</v>
      </c>
      <c r="C6468" t="inlineStr">
        <is>
          <t>2018-05</t>
        </is>
      </c>
      <c r="D6468" t="inlineStr">
        <is>
          <t>ce1a65abd0973638f1c887a6efcfa82d</t>
        </is>
      </c>
      <c r="E6468" t="inlineStr">
        <is>
          <t>organic_search</t>
        </is>
      </c>
      <c r="F6468">
        <f>IFERROR(MATCH(A6468,Deals!$A$2:$A$843,0),"")</f>
        <v/>
      </c>
      <c r="G6468">
        <f>IF(F6468="",0,1)</f>
        <v/>
      </c>
      <c r="H6468" s="29">
        <f>IF(F6468="","",INDEX(Deals!$E$2:$E$843,F6468))</f>
        <v/>
      </c>
      <c r="I6468">
        <f>IF(F6468="","",INDEX(Deals!$D$2:$D$843,F6468))</f>
        <v/>
      </c>
      <c r="J6468">
        <f>IF(F6468="","",INT(H6468)-B6468)</f>
        <v/>
      </c>
      <c r="K6468">
        <f>IF(B6468&gt;=Settings!$C$5,1,0)</f>
        <v/>
      </c>
    </row>
    <row r="6469">
      <c r="A6469" t="inlineStr">
        <is>
          <t>3c538ad6a469be29e6d278928930e8a0</t>
        </is>
      </c>
      <c r="B6469" s="29" t="n">
        <v>43228</v>
      </c>
      <c r="C6469" t="inlineStr">
        <is>
          <t>2018-05</t>
        </is>
      </c>
      <c r="D6469" t="inlineStr">
        <is>
          <t>58326e62183c14b0c03085c33b9fdc44</t>
        </is>
      </c>
      <c r="E6469" t="inlineStr">
        <is>
          <t>social</t>
        </is>
      </c>
      <c r="F6469">
        <f>IFERROR(MATCH(A6469,Deals!$A$2:$A$843,0),"")</f>
        <v/>
      </c>
      <c r="G6469">
        <f>IF(F6469="",0,1)</f>
        <v/>
      </c>
      <c r="H6469" s="29">
        <f>IF(F6469="","",INDEX(Deals!$E$2:$E$843,F6469))</f>
        <v/>
      </c>
      <c r="I6469">
        <f>IF(F6469="","",INDEX(Deals!$D$2:$D$843,F6469))</f>
        <v/>
      </c>
      <c r="J6469">
        <f>IF(F6469="","",INT(H6469)-B6469)</f>
        <v/>
      </c>
      <c r="K6469">
        <f>IF(B6469&gt;=Settings!$C$5,1,0)</f>
        <v/>
      </c>
    </row>
    <row r="6470">
      <c r="A6470" t="inlineStr">
        <is>
          <t>a00d4e8d2c0e9f0a8bb202f951fb4204</t>
        </is>
      </c>
      <c r="B6470" s="29" t="n">
        <v>43030</v>
      </c>
      <c r="C6470" t="inlineStr">
        <is>
          <t>2017-10</t>
        </is>
      </c>
      <c r="D6470" t="inlineStr">
        <is>
          <t>e492ee5eaf1697716985cc6f33f9cd9b</t>
        </is>
      </c>
      <c r="E6470" t="inlineStr">
        <is>
          <t>paid_search</t>
        </is>
      </c>
      <c r="F6470">
        <f>IFERROR(MATCH(A6470,Deals!$A$2:$A$843,0),"")</f>
        <v/>
      </c>
      <c r="G6470">
        <f>IF(F6470="",0,1)</f>
        <v/>
      </c>
      <c r="H6470" s="29">
        <f>IF(F6470="","",INDEX(Deals!$E$2:$E$843,F6470))</f>
        <v/>
      </c>
      <c r="I6470">
        <f>IF(F6470="","",INDEX(Deals!$D$2:$D$843,F6470))</f>
        <v/>
      </c>
      <c r="J6470">
        <f>IF(F6470="","",INT(H6470)-B6470)</f>
        <v/>
      </c>
      <c r="K6470">
        <f>IF(B6470&gt;=Settings!$C$5,1,0)</f>
        <v/>
      </c>
    </row>
    <row r="6471">
      <c r="A6471" t="inlineStr">
        <is>
          <t>41a4d058f1a2dbe5beba9055b3bd6127</t>
        </is>
      </c>
      <c r="B6471" s="29" t="n">
        <v>43206</v>
      </c>
      <c r="C6471" t="inlineStr">
        <is>
          <t>2018-04</t>
        </is>
      </c>
      <c r="D6471" t="inlineStr">
        <is>
          <t>22c29808c4f815213303f8933030604c</t>
        </is>
      </c>
      <c r="E6471" t="inlineStr">
        <is>
          <t>organic_search</t>
        </is>
      </c>
      <c r="F6471">
        <f>IFERROR(MATCH(A6471,Deals!$A$2:$A$843,0),"")</f>
        <v/>
      </c>
      <c r="G6471">
        <f>IF(F6471="",0,1)</f>
        <v/>
      </c>
      <c r="H6471" s="29">
        <f>IF(F6471="","",INDEX(Deals!$E$2:$E$843,F6471))</f>
        <v/>
      </c>
      <c r="I6471">
        <f>IF(F6471="","",INDEX(Deals!$D$2:$D$843,F6471))</f>
        <v/>
      </c>
      <c r="J6471">
        <f>IF(F6471="","",INT(H6471)-B6471)</f>
        <v/>
      </c>
      <c r="K6471">
        <f>IF(B6471&gt;=Settings!$C$5,1,0)</f>
        <v/>
      </c>
    </row>
    <row r="6472">
      <c r="A6472" t="inlineStr">
        <is>
          <t>ab116216adca62a33056c6907bc35e82</t>
        </is>
      </c>
      <c r="B6472" s="29" t="n">
        <v>43156</v>
      </c>
      <c r="C6472" t="inlineStr">
        <is>
          <t>2018-02</t>
        </is>
      </c>
      <c r="D6472" t="inlineStr">
        <is>
          <t>88740e65d5d6b056e0cda098e1ea6313</t>
        </is>
      </c>
      <c r="E6472" t="inlineStr">
        <is>
          <t>social</t>
        </is>
      </c>
      <c r="F6472">
        <f>IFERROR(MATCH(A6472,Deals!$A$2:$A$843,0),"")</f>
        <v/>
      </c>
      <c r="G6472">
        <f>IF(F6472="",0,1)</f>
        <v/>
      </c>
      <c r="H6472" s="29">
        <f>IF(F6472="","",INDEX(Deals!$E$2:$E$843,F6472))</f>
        <v/>
      </c>
      <c r="I6472">
        <f>IF(F6472="","",INDEX(Deals!$D$2:$D$843,F6472))</f>
        <v/>
      </c>
      <c r="J6472">
        <f>IF(F6472="","",INT(H6472)-B6472)</f>
        <v/>
      </c>
      <c r="K6472">
        <f>IF(B6472&gt;=Settings!$C$5,1,0)</f>
        <v/>
      </c>
    </row>
    <row r="6473">
      <c r="A6473" t="inlineStr">
        <is>
          <t>5c75765a72526e13a1a511b39cc7691c</t>
        </is>
      </c>
      <c r="B6473" s="29" t="n">
        <v>43235</v>
      </c>
      <c r="C6473" t="inlineStr">
        <is>
          <t>2018-05</t>
        </is>
      </c>
      <c r="D6473" t="inlineStr">
        <is>
          <t>b76ef37428e6799c421989521c0e5077</t>
        </is>
      </c>
      <c r="E6473" t="inlineStr">
        <is>
          <t>unknown</t>
        </is>
      </c>
      <c r="F6473">
        <f>IFERROR(MATCH(A6473,Deals!$A$2:$A$843,0),"")</f>
        <v/>
      </c>
      <c r="G6473">
        <f>IF(F6473="",0,1)</f>
        <v/>
      </c>
      <c r="H6473" s="29">
        <f>IF(F6473="","",INDEX(Deals!$E$2:$E$843,F6473))</f>
        <v/>
      </c>
      <c r="I6473">
        <f>IF(F6473="","",INDEX(Deals!$D$2:$D$843,F6473))</f>
        <v/>
      </c>
      <c r="J6473">
        <f>IF(F6473="","",INT(H6473)-B6473)</f>
        <v/>
      </c>
      <c r="K6473">
        <f>IF(B6473&gt;=Settings!$C$5,1,0)</f>
        <v/>
      </c>
    </row>
    <row r="6474">
      <c r="A6474" t="inlineStr">
        <is>
          <t>52918b958baa373d64050a74f8029329</t>
        </is>
      </c>
      <c r="B6474" s="29" t="n">
        <v>43126</v>
      </c>
      <c r="C6474" t="inlineStr">
        <is>
          <t>2018-01</t>
        </is>
      </c>
      <c r="D6474" t="inlineStr">
        <is>
          <t>88740e65d5d6b056e0cda098e1ea6313</t>
        </is>
      </c>
      <c r="E6474" t="inlineStr">
        <is>
          <t>social</t>
        </is>
      </c>
      <c r="F6474">
        <f>IFERROR(MATCH(A6474,Deals!$A$2:$A$843,0),"")</f>
        <v/>
      </c>
      <c r="G6474">
        <f>IF(F6474="",0,1)</f>
        <v/>
      </c>
      <c r="H6474" s="29">
        <f>IF(F6474="","",INDEX(Deals!$E$2:$E$843,F6474))</f>
        <v/>
      </c>
      <c r="I6474">
        <f>IF(F6474="","",INDEX(Deals!$D$2:$D$843,F6474))</f>
        <v/>
      </c>
      <c r="J6474">
        <f>IF(F6474="","",INT(H6474)-B6474)</f>
        <v/>
      </c>
      <c r="K6474">
        <f>IF(B6474&gt;=Settings!$C$5,1,0)</f>
        <v/>
      </c>
    </row>
    <row r="6475">
      <c r="A6475" t="inlineStr">
        <is>
          <t>e5c0e8436f7cfb3effbf1fdf355a1917</t>
        </is>
      </c>
      <c r="B6475" s="29" t="n">
        <v>43177</v>
      </c>
      <c r="C6475" t="inlineStr">
        <is>
          <t>2018-03</t>
        </is>
      </c>
      <c r="D6475" t="inlineStr">
        <is>
          <t>c35447dcd1a50b2e2ee3184be602b597</t>
        </is>
      </c>
      <c r="E6475" t="inlineStr">
        <is>
          <t>social</t>
        </is>
      </c>
      <c r="F6475">
        <f>IFERROR(MATCH(A6475,Deals!$A$2:$A$843,0),"")</f>
        <v/>
      </c>
      <c r="G6475">
        <f>IF(F6475="",0,1)</f>
        <v/>
      </c>
      <c r="H6475" s="29">
        <f>IF(F6475="","",INDEX(Deals!$E$2:$E$843,F6475))</f>
        <v/>
      </c>
      <c r="I6475">
        <f>IF(F6475="","",INDEX(Deals!$D$2:$D$843,F6475))</f>
        <v/>
      </c>
      <c r="J6475">
        <f>IF(F6475="","",INT(H6475)-B6475)</f>
        <v/>
      </c>
      <c r="K6475">
        <f>IF(B6475&gt;=Settings!$C$5,1,0)</f>
        <v/>
      </c>
    </row>
    <row r="6476">
      <c r="A6476" t="inlineStr">
        <is>
          <t>6a0e49df08b17bf0678c26b399429fe3</t>
        </is>
      </c>
      <c r="B6476" s="29" t="n">
        <v>43165</v>
      </c>
      <c r="C6476" t="inlineStr">
        <is>
          <t>2018-03</t>
        </is>
      </c>
      <c r="D6476" t="inlineStr">
        <is>
          <t>7fdee983c737fb9d29dbd5c094136a97</t>
        </is>
      </c>
      <c r="E6476" t="inlineStr">
        <is>
          <t>unknown</t>
        </is>
      </c>
      <c r="F6476">
        <f>IFERROR(MATCH(A6476,Deals!$A$2:$A$843,0),"")</f>
        <v/>
      </c>
      <c r="G6476">
        <f>IF(F6476="",0,1)</f>
        <v/>
      </c>
      <c r="H6476" s="29">
        <f>IF(F6476="","",INDEX(Deals!$E$2:$E$843,F6476))</f>
        <v/>
      </c>
      <c r="I6476">
        <f>IF(F6476="","",INDEX(Deals!$D$2:$D$843,F6476))</f>
        <v/>
      </c>
      <c r="J6476">
        <f>IF(F6476="","",INT(H6476)-B6476)</f>
        <v/>
      </c>
      <c r="K6476">
        <f>IF(B6476&gt;=Settings!$C$5,1,0)</f>
        <v/>
      </c>
    </row>
    <row r="6477">
      <c r="A6477" t="inlineStr">
        <is>
          <t>37db35cc291fceddcf807acffb973a7e</t>
        </is>
      </c>
      <c r="B6477" s="29" t="n">
        <v>42986</v>
      </c>
      <c r="C6477" t="inlineStr">
        <is>
          <t>2017-09</t>
        </is>
      </c>
      <c r="D6477" t="inlineStr">
        <is>
          <t>c555aa36478386fdf85a2d0ca5cd0ff8</t>
        </is>
      </c>
      <c r="E6477" t="inlineStr">
        <is>
          <t>unknown</t>
        </is>
      </c>
      <c r="F6477">
        <f>IFERROR(MATCH(A6477,Deals!$A$2:$A$843,0),"")</f>
        <v/>
      </c>
      <c r="G6477">
        <f>IF(F6477="",0,1)</f>
        <v/>
      </c>
      <c r="H6477" s="29">
        <f>IF(F6477="","",INDEX(Deals!$E$2:$E$843,F6477))</f>
        <v/>
      </c>
      <c r="I6477">
        <f>IF(F6477="","",INDEX(Deals!$D$2:$D$843,F6477))</f>
        <v/>
      </c>
      <c r="J6477">
        <f>IF(F6477="","",INT(H6477)-B6477)</f>
        <v/>
      </c>
      <c r="K6477">
        <f>IF(B6477&gt;=Settings!$C$5,1,0)</f>
        <v/>
      </c>
    </row>
    <row r="6478">
      <c r="A6478" t="inlineStr">
        <is>
          <t>27cef5e32aec7ca8ff6af886e6dbb7e9</t>
        </is>
      </c>
      <c r="B6478" s="29" t="n">
        <v>43119</v>
      </c>
      <c r="C6478" t="inlineStr">
        <is>
          <t>2018-01</t>
        </is>
      </c>
      <c r="D6478" t="inlineStr">
        <is>
          <t>59d346b461701840a8ff44a94710704c</t>
        </is>
      </c>
      <c r="E6478" t="inlineStr">
        <is>
          <t>organic_search</t>
        </is>
      </c>
      <c r="F6478">
        <f>IFERROR(MATCH(A6478,Deals!$A$2:$A$843,0),"")</f>
        <v/>
      </c>
      <c r="G6478">
        <f>IF(F6478="",0,1)</f>
        <v/>
      </c>
      <c r="H6478" s="29">
        <f>IF(F6478="","",INDEX(Deals!$E$2:$E$843,F6478))</f>
        <v/>
      </c>
      <c r="I6478">
        <f>IF(F6478="","",INDEX(Deals!$D$2:$D$843,F6478))</f>
        <v/>
      </c>
      <c r="J6478">
        <f>IF(F6478="","",INT(H6478)-B6478)</f>
        <v/>
      </c>
      <c r="K6478">
        <f>IF(B6478&gt;=Settings!$C$5,1,0)</f>
        <v/>
      </c>
    </row>
    <row r="6479">
      <c r="A6479" t="inlineStr">
        <is>
          <t>0528dea9bbc7d49632849e66267cefd4</t>
        </is>
      </c>
      <c r="B6479" s="29" t="n">
        <v>43024</v>
      </c>
      <c r="C6479" t="inlineStr">
        <is>
          <t>2017-10</t>
        </is>
      </c>
      <c r="D6479" t="inlineStr">
        <is>
          <t>7fa6214d82e911d070f51ef79381b956</t>
        </is>
      </c>
      <c r="E6479" t="inlineStr">
        <is>
          <t>direct_traffic</t>
        </is>
      </c>
      <c r="F6479">
        <f>IFERROR(MATCH(A6479,Deals!$A$2:$A$843,0),"")</f>
        <v/>
      </c>
      <c r="G6479">
        <f>IF(F6479="",0,1)</f>
        <v/>
      </c>
      <c r="H6479" s="29">
        <f>IF(F6479="","",INDEX(Deals!$E$2:$E$843,F6479))</f>
        <v/>
      </c>
      <c r="I6479">
        <f>IF(F6479="","",INDEX(Deals!$D$2:$D$843,F6479))</f>
        <v/>
      </c>
      <c r="J6479">
        <f>IF(F6479="","",INT(H6479)-B6479)</f>
        <v/>
      </c>
      <c r="K6479">
        <f>IF(B6479&gt;=Settings!$C$5,1,0)</f>
        <v/>
      </c>
    </row>
    <row r="6480">
      <c r="A6480" t="inlineStr">
        <is>
          <t>669d91a3e39f8631b18144616889fd7d</t>
        </is>
      </c>
      <c r="B6480" s="29" t="n">
        <v>43038</v>
      </c>
      <c r="C6480" t="inlineStr">
        <is>
          <t>2017-10</t>
        </is>
      </c>
      <c r="D6480" t="inlineStr">
        <is>
          <t>cff78f40e6cdb80bb902d9a978eb4a76</t>
        </is>
      </c>
      <c r="E6480" t="inlineStr">
        <is>
          <t>paid_search</t>
        </is>
      </c>
      <c r="F6480">
        <f>IFERROR(MATCH(A6480,Deals!$A$2:$A$843,0),"")</f>
        <v/>
      </c>
      <c r="G6480">
        <f>IF(F6480="",0,1)</f>
        <v/>
      </c>
      <c r="H6480" s="29">
        <f>IF(F6480="","",INDEX(Deals!$E$2:$E$843,F6480))</f>
        <v/>
      </c>
      <c r="I6480">
        <f>IF(F6480="","",INDEX(Deals!$D$2:$D$843,F6480))</f>
        <v/>
      </c>
      <c r="J6480">
        <f>IF(F6480="","",INT(H6480)-B6480)</f>
        <v/>
      </c>
      <c r="K6480">
        <f>IF(B6480&gt;=Settings!$C$5,1,0)</f>
        <v/>
      </c>
    </row>
    <row r="6481">
      <c r="A6481" t="inlineStr">
        <is>
          <t>af5b84f03fc2467351129eced8f32909</t>
        </is>
      </c>
      <c r="B6481" s="29" t="n">
        <v>43205</v>
      </c>
      <c r="C6481" t="inlineStr">
        <is>
          <t>2018-04</t>
        </is>
      </c>
      <c r="D6481" t="inlineStr">
        <is>
          <t>c494978688ccf66ad9fad3d6a3338c22</t>
        </is>
      </c>
      <c r="E6481" t="inlineStr">
        <is>
          <t>social</t>
        </is>
      </c>
      <c r="F6481">
        <f>IFERROR(MATCH(A6481,Deals!$A$2:$A$843,0),"")</f>
        <v/>
      </c>
      <c r="G6481">
        <f>IF(F6481="",0,1)</f>
        <v/>
      </c>
      <c r="H6481" s="29">
        <f>IF(F6481="","",INDEX(Deals!$E$2:$E$843,F6481))</f>
        <v/>
      </c>
      <c r="I6481">
        <f>IF(F6481="","",INDEX(Deals!$D$2:$D$843,F6481))</f>
        <v/>
      </c>
      <c r="J6481">
        <f>IF(F6481="","",INT(H6481)-B6481)</f>
        <v/>
      </c>
      <c r="K6481">
        <f>IF(B6481&gt;=Settings!$C$5,1,0)</f>
        <v/>
      </c>
    </row>
    <row r="6482">
      <c r="A6482" t="inlineStr">
        <is>
          <t>9554b1e815bd9412c45cf4cc459288bc</t>
        </is>
      </c>
      <c r="B6482" s="29" t="n">
        <v>42965</v>
      </c>
      <c r="C6482" t="inlineStr">
        <is>
          <t>2017-08</t>
        </is>
      </c>
      <c r="D6482" t="inlineStr">
        <is>
          <t>a0fbc0263cb98bdb0d72b9f9f283a172</t>
        </is>
      </c>
      <c r="E6482" t="inlineStr">
        <is>
          <t>organic_search</t>
        </is>
      </c>
      <c r="F6482">
        <f>IFERROR(MATCH(A6482,Deals!$A$2:$A$843,0),"")</f>
        <v/>
      </c>
      <c r="G6482">
        <f>IF(F6482="",0,1)</f>
        <v/>
      </c>
      <c r="H6482" s="29">
        <f>IF(F6482="","",INDEX(Deals!$E$2:$E$843,F6482))</f>
        <v/>
      </c>
      <c r="I6482">
        <f>IF(F6482="","",INDEX(Deals!$D$2:$D$843,F6482))</f>
        <v/>
      </c>
      <c r="J6482">
        <f>IF(F6482="","",INT(H6482)-B6482)</f>
        <v/>
      </c>
      <c r="K6482">
        <f>IF(B6482&gt;=Settings!$C$5,1,0)</f>
        <v/>
      </c>
    </row>
    <row r="6483">
      <c r="A6483" t="inlineStr">
        <is>
          <t>748129f3c8c47e317738dc6ffc11cdd1</t>
        </is>
      </c>
      <c r="B6483" s="29" t="n">
        <v>43154</v>
      </c>
      <c r="C6483" t="inlineStr">
        <is>
          <t>2018-02</t>
        </is>
      </c>
      <c r="D6483" t="inlineStr">
        <is>
          <t>88740e65d5d6b056e0cda098e1ea6313</t>
        </is>
      </c>
      <c r="E6483" t="inlineStr">
        <is>
          <t>social</t>
        </is>
      </c>
      <c r="F6483">
        <f>IFERROR(MATCH(A6483,Deals!$A$2:$A$843,0),"")</f>
        <v/>
      </c>
      <c r="G6483">
        <f>IF(F6483="",0,1)</f>
        <v/>
      </c>
      <c r="H6483" s="29">
        <f>IF(F6483="","",INDEX(Deals!$E$2:$E$843,F6483))</f>
        <v/>
      </c>
      <c r="I6483">
        <f>IF(F6483="","",INDEX(Deals!$D$2:$D$843,F6483))</f>
        <v/>
      </c>
      <c r="J6483">
        <f>IF(F6483="","",INT(H6483)-B6483)</f>
        <v/>
      </c>
      <c r="K6483">
        <f>IF(B6483&gt;=Settings!$C$5,1,0)</f>
        <v/>
      </c>
    </row>
    <row r="6484">
      <c r="A6484" t="inlineStr">
        <is>
          <t>868329656ab8bac9417b7536c7a65916</t>
        </is>
      </c>
      <c r="B6484" s="29" t="n">
        <v>43025</v>
      </c>
      <c r="C6484" t="inlineStr">
        <is>
          <t>2017-10</t>
        </is>
      </c>
      <c r="D6484" t="inlineStr">
        <is>
          <t>a5f7caba65f90d45005f62cb85bced39</t>
        </is>
      </c>
      <c r="E6484" t="inlineStr">
        <is>
          <t>email</t>
        </is>
      </c>
      <c r="F6484">
        <f>IFERROR(MATCH(A6484,Deals!$A$2:$A$843,0),"")</f>
        <v/>
      </c>
      <c r="G6484">
        <f>IF(F6484="",0,1)</f>
        <v/>
      </c>
      <c r="H6484" s="29">
        <f>IF(F6484="","",INDEX(Deals!$E$2:$E$843,F6484))</f>
        <v/>
      </c>
      <c r="I6484">
        <f>IF(F6484="","",INDEX(Deals!$D$2:$D$843,F6484))</f>
        <v/>
      </c>
      <c r="J6484">
        <f>IF(F6484="","",INT(H6484)-B6484)</f>
        <v/>
      </c>
      <c r="K6484">
        <f>IF(B6484&gt;=Settings!$C$5,1,0)</f>
        <v/>
      </c>
    </row>
    <row r="6485">
      <c r="A6485" t="inlineStr">
        <is>
          <t>0c6daff5aaefbe33461eebd8510d62fc</t>
        </is>
      </c>
      <c r="B6485" s="29" t="n">
        <v>43230</v>
      </c>
      <c r="C6485" t="inlineStr">
        <is>
          <t>2018-05</t>
        </is>
      </c>
      <c r="D6485" t="inlineStr">
        <is>
          <t>58326e62183c14b0c03085c33b9fdc44</t>
        </is>
      </c>
      <c r="E6485" t="inlineStr">
        <is>
          <t>social</t>
        </is>
      </c>
      <c r="F6485">
        <f>IFERROR(MATCH(A6485,Deals!$A$2:$A$843,0),"")</f>
        <v/>
      </c>
      <c r="G6485">
        <f>IF(F6485="",0,1)</f>
        <v/>
      </c>
      <c r="H6485" s="29">
        <f>IF(F6485="","",INDEX(Deals!$E$2:$E$843,F6485))</f>
        <v/>
      </c>
      <c r="I6485">
        <f>IF(F6485="","",INDEX(Deals!$D$2:$D$843,F6485))</f>
        <v/>
      </c>
      <c r="J6485">
        <f>IF(F6485="","",INT(H6485)-B6485)</f>
        <v/>
      </c>
      <c r="K6485">
        <f>IF(B6485&gt;=Settings!$C$5,1,0)</f>
        <v/>
      </c>
    </row>
    <row r="6486">
      <c r="A6486" t="inlineStr">
        <is>
          <t>f9eb559a923f2ec46c474acd132f5063</t>
        </is>
      </c>
      <c r="B6486" s="29" t="n">
        <v>43126</v>
      </c>
      <c r="C6486" t="inlineStr">
        <is>
          <t>2018-01</t>
        </is>
      </c>
      <c r="D6486" t="inlineStr">
        <is>
          <t>f98c2bd96ac4a5d9476734e790c91384</t>
        </is>
      </c>
      <c r="E6486" t="inlineStr">
        <is>
          <t>direct_traffic</t>
        </is>
      </c>
      <c r="F6486">
        <f>IFERROR(MATCH(A6486,Deals!$A$2:$A$843,0),"")</f>
        <v/>
      </c>
      <c r="G6486">
        <f>IF(F6486="",0,1)</f>
        <v/>
      </c>
      <c r="H6486" s="29">
        <f>IF(F6486="","",INDEX(Deals!$E$2:$E$843,F6486))</f>
        <v/>
      </c>
      <c r="I6486">
        <f>IF(F6486="","",INDEX(Deals!$D$2:$D$843,F6486))</f>
        <v/>
      </c>
      <c r="J6486">
        <f>IF(F6486="","",INT(H6486)-B6486)</f>
        <v/>
      </c>
      <c r="K6486">
        <f>IF(B6486&gt;=Settings!$C$5,1,0)</f>
        <v/>
      </c>
    </row>
    <row r="6487">
      <c r="A6487" t="inlineStr">
        <is>
          <t>c0fd33132cf60f26b36f3e719c407beb</t>
        </is>
      </c>
      <c r="B6487" s="29" t="n">
        <v>43084</v>
      </c>
      <c r="C6487" t="inlineStr">
        <is>
          <t>2017-12</t>
        </is>
      </c>
      <c r="D6487" t="inlineStr">
        <is>
          <t>88740e65d5d6b056e0cda098e1ea6313</t>
        </is>
      </c>
      <c r="E6487" t="inlineStr">
        <is>
          <t>unknown</t>
        </is>
      </c>
      <c r="F6487">
        <f>IFERROR(MATCH(A6487,Deals!$A$2:$A$843,0),"")</f>
        <v/>
      </c>
      <c r="G6487">
        <f>IF(F6487="",0,1)</f>
        <v/>
      </c>
      <c r="H6487" s="29">
        <f>IF(F6487="","",INDEX(Deals!$E$2:$E$843,F6487))</f>
        <v/>
      </c>
      <c r="I6487">
        <f>IF(F6487="","",INDEX(Deals!$D$2:$D$843,F6487))</f>
        <v/>
      </c>
      <c r="J6487">
        <f>IF(F6487="","",INT(H6487)-B6487)</f>
        <v/>
      </c>
      <c r="K6487">
        <f>IF(B6487&gt;=Settings!$C$5,1,0)</f>
        <v/>
      </c>
    </row>
    <row r="6488">
      <c r="A6488" t="inlineStr">
        <is>
          <t>c40de21f3a2cbf872822c2621b715908</t>
        </is>
      </c>
      <c r="B6488" s="29" t="n">
        <v>42928</v>
      </c>
      <c r="C6488" t="inlineStr">
        <is>
          <t>2017-07</t>
        </is>
      </c>
      <c r="D6488" t="inlineStr">
        <is>
          <t>a56671a54260a44923d32c2f08fad39c</t>
        </is>
      </c>
      <c r="E6488" t="inlineStr">
        <is>
          <t>paid_search</t>
        </is>
      </c>
      <c r="F6488">
        <f>IFERROR(MATCH(A6488,Deals!$A$2:$A$843,0),"")</f>
        <v/>
      </c>
      <c r="G6488">
        <f>IF(F6488="",0,1)</f>
        <v/>
      </c>
      <c r="H6488" s="29">
        <f>IF(F6488="","",INDEX(Deals!$E$2:$E$843,F6488))</f>
        <v/>
      </c>
      <c r="I6488">
        <f>IF(F6488="","",INDEX(Deals!$D$2:$D$843,F6488))</f>
        <v/>
      </c>
      <c r="J6488">
        <f>IF(F6488="","",INT(H6488)-B6488)</f>
        <v/>
      </c>
      <c r="K6488">
        <f>IF(B6488&gt;=Settings!$C$5,1,0)</f>
        <v/>
      </c>
    </row>
    <row r="6489">
      <c r="A6489" t="inlineStr">
        <is>
          <t>96a65578dd725718afb62869c9c1c3b3</t>
        </is>
      </c>
      <c r="B6489" s="29" t="n">
        <v>43090</v>
      </c>
      <c r="C6489" t="inlineStr">
        <is>
          <t>2017-12</t>
        </is>
      </c>
      <c r="D6489" t="inlineStr">
        <is>
          <t>b76ef37428e6799c421989521c0e5077</t>
        </is>
      </c>
      <c r="E6489" t="inlineStr">
        <is>
          <t>unknown</t>
        </is>
      </c>
      <c r="F6489">
        <f>IFERROR(MATCH(A6489,Deals!$A$2:$A$843,0),"")</f>
        <v/>
      </c>
      <c r="G6489">
        <f>IF(F6489="",0,1)</f>
        <v/>
      </c>
      <c r="H6489" s="29">
        <f>IF(F6489="","",INDEX(Deals!$E$2:$E$843,F6489))</f>
        <v/>
      </c>
      <c r="I6489">
        <f>IF(F6489="","",INDEX(Deals!$D$2:$D$843,F6489))</f>
        <v/>
      </c>
      <c r="J6489">
        <f>IF(F6489="","",INT(H6489)-B6489)</f>
        <v/>
      </c>
      <c r="K6489">
        <f>IF(B6489&gt;=Settings!$C$5,1,0)</f>
        <v/>
      </c>
    </row>
    <row r="6490">
      <c r="A6490" t="inlineStr">
        <is>
          <t>e77cae9fcdb3fd588d797921ac663823</t>
        </is>
      </c>
      <c r="B6490" s="29" t="n">
        <v>43214</v>
      </c>
      <c r="C6490" t="inlineStr">
        <is>
          <t>2018-04</t>
        </is>
      </c>
      <c r="D6490" t="inlineStr">
        <is>
          <t>58326e62183c14b0c03085c33b9fdc44</t>
        </is>
      </c>
      <c r="E6490" t="inlineStr">
        <is>
          <t>social</t>
        </is>
      </c>
      <c r="F6490">
        <f>IFERROR(MATCH(A6490,Deals!$A$2:$A$843,0),"")</f>
        <v/>
      </c>
      <c r="G6490">
        <f>IF(F6490="",0,1)</f>
        <v/>
      </c>
      <c r="H6490" s="29">
        <f>IF(F6490="","",INDEX(Deals!$E$2:$E$843,F6490))</f>
        <v/>
      </c>
      <c r="I6490">
        <f>IF(F6490="","",INDEX(Deals!$D$2:$D$843,F6490))</f>
        <v/>
      </c>
      <c r="J6490">
        <f>IF(F6490="","",INT(H6490)-B6490)</f>
        <v/>
      </c>
      <c r="K6490">
        <f>IF(B6490&gt;=Settings!$C$5,1,0)</f>
        <v/>
      </c>
    </row>
    <row r="6491">
      <c r="A6491" t="inlineStr">
        <is>
          <t>64d8893148a469697146699d112348ae</t>
        </is>
      </c>
      <c r="B6491" s="29" t="n">
        <v>43239</v>
      </c>
      <c r="C6491" t="inlineStr">
        <is>
          <t>2018-05</t>
        </is>
      </c>
      <c r="D6491" t="inlineStr">
        <is>
          <t>4e82dd1f6d00626bda0723eef0a269a6</t>
        </is>
      </c>
      <c r="E6491" t="inlineStr">
        <is>
          <t>direct_traffic</t>
        </is>
      </c>
      <c r="F6491">
        <f>IFERROR(MATCH(A6491,Deals!$A$2:$A$843,0),"")</f>
        <v/>
      </c>
      <c r="G6491">
        <f>IF(F6491="",0,1)</f>
        <v/>
      </c>
      <c r="H6491" s="29">
        <f>IF(F6491="","",INDEX(Deals!$E$2:$E$843,F6491))</f>
        <v/>
      </c>
      <c r="I6491">
        <f>IF(F6491="","",INDEX(Deals!$D$2:$D$843,F6491))</f>
        <v/>
      </c>
      <c r="J6491">
        <f>IF(F6491="","",INT(H6491)-B6491)</f>
        <v/>
      </c>
      <c r="K6491">
        <f>IF(B6491&gt;=Settings!$C$5,1,0)</f>
        <v/>
      </c>
    </row>
    <row r="6492">
      <c r="A6492" t="inlineStr">
        <is>
          <t>b43d1b7bc56415513f6bd4feced8d9c4</t>
        </is>
      </c>
      <c r="B6492" s="29" t="n">
        <v>43222</v>
      </c>
      <c r="C6492" t="inlineStr">
        <is>
          <t>2018-05</t>
        </is>
      </c>
      <c r="D6492" t="inlineStr">
        <is>
          <t>e492ee5eaf1697716985cc6f33f9cd9b</t>
        </is>
      </c>
      <c r="E6492" t="inlineStr">
        <is>
          <t>referral</t>
        </is>
      </c>
      <c r="F6492">
        <f>IFERROR(MATCH(A6492,Deals!$A$2:$A$843,0),"")</f>
        <v/>
      </c>
      <c r="G6492">
        <f>IF(F6492="",0,1)</f>
        <v/>
      </c>
      <c r="H6492" s="29">
        <f>IF(F6492="","",INDEX(Deals!$E$2:$E$843,F6492))</f>
        <v/>
      </c>
      <c r="I6492">
        <f>IF(F6492="","",INDEX(Deals!$D$2:$D$843,F6492))</f>
        <v/>
      </c>
      <c r="J6492">
        <f>IF(F6492="","",INT(H6492)-B6492)</f>
        <v/>
      </c>
      <c r="K6492">
        <f>IF(B6492&gt;=Settings!$C$5,1,0)</f>
        <v/>
      </c>
    </row>
    <row r="6493">
      <c r="A6493" t="inlineStr">
        <is>
          <t>2cd90f863d7d8fa6dfa5f8a676951785</t>
        </is>
      </c>
      <c r="B6493" s="29" t="n">
        <v>43225</v>
      </c>
      <c r="C6493" t="inlineStr">
        <is>
          <t>2018-05</t>
        </is>
      </c>
      <c r="D6493" t="inlineStr">
        <is>
          <t>58326e62183c14b0c03085c33b9fdc44</t>
        </is>
      </c>
      <c r="E6493" t="inlineStr">
        <is>
          <t>social</t>
        </is>
      </c>
      <c r="F6493">
        <f>IFERROR(MATCH(A6493,Deals!$A$2:$A$843,0),"")</f>
        <v/>
      </c>
      <c r="G6493">
        <f>IF(F6493="",0,1)</f>
        <v/>
      </c>
      <c r="H6493" s="29">
        <f>IF(F6493="","",INDEX(Deals!$E$2:$E$843,F6493))</f>
        <v/>
      </c>
      <c r="I6493">
        <f>IF(F6493="","",INDEX(Deals!$D$2:$D$843,F6493))</f>
        <v/>
      </c>
      <c r="J6493">
        <f>IF(F6493="","",INT(H6493)-B6493)</f>
        <v/>
      </c>
      <c r="K6493">
        <f>IF(B6493&gt;=Settings!$C$5,1,0)</f>
        <v/>
      </c>
    </row>
    <row r="6494">
      <c r="A6494" t="inlineStr">
        <is>
          <t>8d4af10effffa338cc97d3ef4b2507dd</t>
        </is>
      </c>
      <c r="B6494" s="29" t="n">
        <v>43187</v>
      </c>
      <c r="C6494" t="inlineStr">
        <is>
          <t>2018-03</t>
        </is>
      </c>
      <c r="D6494" t="inlineStr">
        <is>
          <t>13fa6688e41e863dcbfdb4c6112c4c86</t>
        </is>
      </c>
      <c r="E6494" t="inlineStr">
        <is>
          <t>unknown</t>
        </is>
      </c>
      <c r="F6494">
        <f>IFERROR(MATCH(A6494,Deals!$A$2:$A$843,0),"")</f>
        <v/>
      </c>
      <c r="G6494">
        <f>IF(F6494="",0,1)</f>
        <v/>
      </c>
      <c r="H6494" s="29">
        <f>IF(F6494="","",INDEX(Deals!$E$2:$E$843,F6494))</f>
        <v/>
      </c>
      <c r="I6494">
        <f>IF(F6494="","",INDEX(Deals!$D$2:$D$843,F6494))</f>
        <v/>
      </c>
      <c r="J6494">
        <f>IF(F6494="","",INT(H6494)-B6494)</f>
        <v/>
      </c>
      <c r="K6494">
        <f>IF(B6494&gt;=Settings!$C$5,1,0)</f>
        <v/>
      </c>
    </row>
    <row r="6495">
      <c r="A6495" t="inlineStr">
        <is>
          <t>6d3a5f2d64040a89905d2c1e99ee9bd9</t>
        </is>
      </c>
      <c r="B6495" s="29" t="n">
        <v>43179</v>
      </c>
      <c r="C6495" t="inlineStr">
        <is>
          <t>2018-03</t>
        </is>
      </c>
      <c r="D6495" t="inlineStr">
        <is>
          <t>65d9f9d71e562365e8b44037c2888d98</t>
        </is>
      </c>
      <c r="E6495" t="inlineStr">
        <is>
          <t>organic_search</t>
        </is>
      </c>
      <c r="F6495">
        <f>IFERROR(MATCH(A6495,Deals!$A$2:$A$843,0),"")</f>
        <v/>
      </c>
      <c r="G6495">
        <f>IF(F6495="",0,1)</f>
        <v/>
      </c>
      <c r="H6495" s="29">
        <f>IF(F6495="","",INDEX(Deals!$E$2:$E$843,F6495))</f>
        <v/>
      </c>
      <c r="I6495">
        <f>IF(F6495="","",INDEX(Deals!$D$2:$D$843,F6495))</f>
        <v/>
      </c>
      <c r="J6495">
        <f>IF(F6495="","",INT(H6495)-B6495)</f>
        <v/>
      </c>
      <c r="K6495">
        <f>IF(B6495&gt;=Settings!$C$5,1,0)</f>
        <v/>
      </c>
    </row>
    <row r="6496">
      <c r="A6496" t="inlineStr">
        <is>
          <t>bcfaf6aa2ba8e45ff2d75a8071f0d8da</t>
        </is>
      </c>
      <c r="B6496" s="29" t="n">
        <v>43208</v>
      </c>
      <c r="C6496" t="inlineStr">
        <is>
          <t>2018-04</t>
        </is>
      </c>
      <c r="D6496" t="inlineStr">
        <is>
          <t>1baca9df5850e5ba75545d8b2eb8d966</t>
        </is>
      </c>
      <c r="E6496" t="inlineStr">
        <is>
          <t>paid_search</t>
        </is>
      </c>
      <c r="F6496">
        <f>IFERROR(MATCH(A6496,Deals!$A$2:$A$843,0),"")</f>
        <v/>
      </c>
      <c r="G6496">
        <f>IF(F6496="",0,1)</f>
        <v/>
      </c>
      <c r="H6496" s="29">
        <f>IF(F6496="","",INDEX(Deals!$E$2:$E$843,F6496))</f>
        <v/>
      </c>
      <c r="I6496">
        <f>IF(F6496="","",INDEX(Deals!$D$2:$D$843,F6496))</f>
        <v/>
      </c>
      <c r="J6496">
        <f>IF(F6496="","",INT(H6496)-B6496)</f>
        <v/>
      </c>
      <c r="K6496">
        <f>IF(B6496&gt;=Settings!$C$5,1,0)</f>
        <v/>
      </c>
    </row>
    <row r="6497">
      <c r="A6497" t="inlineStr">
        <is>
          <t>261474eb96c1fdc6456d2abef7019e45</t>
        </is>
      </c>
      <c r="B6497" s="29" t="n">
        <v>43168</v>
      </c>
      <c r="C6497" t="inlineStr">
        <is>
          <t>2018-03</t>
        </is>
      </c>
      <c r="D6497" t="inlineStr">
        <is>
          <t>22c29808c4f815213303f8933030604c</t>
        </is>
      </c>
      <c r="E6497" t="inlineStr">
        <is>
          <t>direct_traffic</t>
        </is>
      </c>
      <c r="F6497">
        <f>IFERROR(MATCH(A6497,Deals!$A$2:$A$843,0),"")</f>
        <v/>
      </c>
      <c r="G6497">
        <f>IF(F6497="",0,1)</f>
        <v/>
      </c>
      <c r="H6497" s="29">
        <f>IF(F6497="","",INDEX(Deals!$E$2:$E$843,F6497))</f>
        <v/>
      </c>
      <c r="I6497">
        <f>IF(F6497="","",INDEX(Deals!$D$2:$D$843,F6497))</f>
        <v/>
      </c>
      <c r="J6497">
        <f>IF(F6497="","",INT(H6497)-B6497)</f>
        <v/>
      </c>
      <c r="K6497">
        <f>IF(B6497&gt;=Settings!$C$5,1,0)</f>
        <v/>
      </c>
    </row>
    <row r="6498">
      <c r="A6498" t="inlineStr">
        <is>
          <t>4e714dc795dc50b932e2a837e3efc472</t>
        </is>
      </c>
      <c r="B6498" s="29" t="n">
        <v>43175</v>
      </c>
      <c r="C6498" t="inlineStr">
        <is>
          <t>2018-03</t>
        </is>
      </c>
      <c r="D6498" t="inlineStr">
        <is>
          <t>4e82dd1f6d00626bda0723eef0a269a6</t>
        </is>
      </c>
      <c r="E6498" t="inlineStr">
        <is>
          <t>unknown</t>
        </is>
      </c>
      <c r="F6498">
        <f>IFERROR(MATCH(A6498,Deals!$A$2:$A$843,0),"")</f>
        <v/>
      </c>
      <c r="G6498">
        <f>IF(F6498="",0,1)</f>
        <v/>
      </c>
      <c r="H6498" s="29">
        <f>IF(F6498="","",INDEX(Deals!$E$2:$E$843,F6498))</f>
        <v/>
      </c>
      <c r="I6498">
        <f>IF(F6498="","",INDEX(Deals!$D$2:$D$843,F6498))</f>
        <v/>
      </c>
      <c r="J6498">
        <f>IF(F6498="","",INT(H6498)-B6498)</f>
        <v/>
      </c>
      <c r="K6498">
        <f>IF(B6498&gt;=Settings!$C$5,1,0)</f>
        <v/>
      </c>
    </row>
    <row r="6499">
      <c r="A6499" t="inlineStr">
        <is>
          <t>8c6dfa6b68fce0253f547f8dc6646714</t>
        </is>
      </c>
      <c r="B6499" s="29" t="n">
        <v>43133</v>
      </c>
      <c r="C6499" t="inlineStr">
        <is>
          <t>2018-02</t>
        </is>
      </c>
      <c r="D6499" t="inlineStr">
        <is>
          <t>ce1a65abd0973638f1c887a6efcfa82d</t>
        </is>
      </c>
      <c r="E6499" t="inlineStr">
        <is>
          <t>organic_search</t>
        </is>
      </c>
      <c r="F6499">
        <f>IFERROR(MATCH(A6499,Deals!$A$2:$A$843,0),"")</f>
        <v/>
      </c>
      <c r="G6499">
        <f>IF(F6499="",0,1)</f>
        <v/>
      </c>
      <c r="H6499" s="29">
        <f>IF(F6499="","",INDEX(Deals!$E$2:$E$843,F6499))</f>
        <v/>
      </c>
      <c r="I6499">
        <f>IF(F6499="","",INDEX(Deals!$D$2:$D$843,F6499))</f>
        <v/>
      </c>
      <c r="J6499">
        <f>IF(F6499="","",INT(H6499)-B6499)</f>
        <v/>
      </c>
      <c r="K6499">
        <f>IF(B6499&gt;=Settings!$C$5,1,0)</f>
        <v/>
      </c>
    </row>
    <row r="6500">
      <c r="A6500" t="inlineStr">
        <is>
          <t>0614246be779f487561864068a5bc93f</t>
        </is>
      </c>
      <c r="B6500" s="29" t="n">
        <v>43193</v>
      </c>
      <c r="C6500" t="inlineStr">
        <is>
          <t>2018-04</t>
        </is>
      </c>
      <c r="D6500" t="inlineStr">
        <is>
          <t>a77dcf0bf420ced5e37baae9b5daffa4</t>
        </is>
      </c>
      <c r="E6500" t="inlineStr">
        <is>
          <t>social</t>
        </is>
      </c>
      <c r="F6500">
        <f>IFERROR(MATCH(A6500,Deals!$A$2:$A$843,0),"")</f>
        <v/>
      </c>
      <c r="G6500">
        <f>IF(F6500="",0,1)</f>
        <v/>
      </c>
      <c r="H6500" s="29">
        <f>IF(F6500="","",INDEX(Deals!$E$2:$E$843,F6500))</f>
        <v/>
      </c>
      <c r="I6500">
        <f>IF(F6500="","",INDEX(Deals!$D$2:$D$843,F6500))</f>
        <v/>
      </c>
      <c r="J6500">
        <f>IF(F6500="","",INT(H6500)-B6500)</f>
        <v/>
      </c>
      <c r="K6500">
        <f>IF(B6500&gt;=Settings!$C$5,1,0)</f>
        <v/>
      </c>
    </row>
    <row r="6501">
      <c r="A6501" t="inlineStr">
        <is>
          <t>c0033b86241ab2270d5b6913fe466d1c</t>
        </is>
      </c>
      <c r="B6501" s="29" t="n">
        <v>42976</v>
      </c>
      <c r="C6501" t="inlineStr">
        <is>
          <t>2017-08</t>
        </is>
      </c>
      <c r="D6501" t="inlineStr">
        <is>
          <t>b76ef37428e6799c421989521c0e5077</t>
        </is>
      </c>
      <c r="E6501" t="inlineStr">
        <is>
          <t>unknown</t>
        </is>
      </c>
      <c r="F6501">
        <f>IFERROR(MATCH(A6501,Deals!$A$2:$A$843,0),"")</f>
        <v/>
      </c>
      <c r="G6501">
        <f>IF(F6501="",0,1)</f>
        <v/>
      </c>
      <c r="H6501" s="29">
        <f>IF(F6501="","",INDEX(Deals!$E$2:$E$843,F6501))</f>
        <v/>
      </c>
      <c r="I6501">
        <f>IF(F6501="","",INDEX(Deals!$D$2:$D$843,F6501))</f>
        <v/>
      </c>
      <c r="J6501">
        <f>IF(F6501="","",INT(H6501)-B6501)</f>
        <v/>
      </c>
      <c r="K6501">
        <f>IF(B6501&gt;=Settings!$C$5,1,0)</f>
        <v/>
      </c>
    </row>
    <row r="6502">
      <c r="A6502" t="inlineStr">
        <is>
          <t>849c1698afcec69d2ccf6ca24203c838</t>
        </is>
      </c>
      <c r="B6502" s="29" t="n">
        <v>43208</v>
      </c>
      <c r="C6502" t="inlineStr">
        <is>
          <t>2018-04</t>
        </is>
      </c>
      <c r="D6502" t="inlineStr">
        <is>
          <t>e534a08b23c682d94859d0ab860bd57a</t>
        </is>
      </c>
      <c r="E6502" t="inlineStr">
        <is>
          <t>email</t>
        </is>
      </c>
      <c r="F6502">
        <f>IFERROR(MATCH(A6502,Deals!$A$2:$A$843,0),"")</f>
        <v/>
      </c>
      <c r="G6502">
        <f>IF(F6502="",0,1)</f>
        <v/>
      </c>
      <c r="H6502" s="29">
        <f>IF(F6502="","",INDEX(Deals!$E$2:$E$843,F6502))</f>
        <v/>
      </c>
      <c r="I6502">
        <f>IF(F6502="","",INDEX(Deals!$D$2:$D$843,F6502))</f>
        <v/>
      </c>
      <c r="J6502">
        <f>IF(F6502="","",INT(H6502)-B6502)</f>
        <v/>
      </c>
      <c r="K6502">
        <f>IF(B6502&gt;=Settings!$C$5,1,0)</f>
        <v/>
      </c>
    </row>
    <row r="6503">
      <c r="A6503" t="inlineStr">
        <is>
          <t>01409f7f7f2bd5ec0c1755b362e9db6e</t>
        </is>
      </c>
      <c r="B6503" s="29" t="n">
        <v>43130</v>
      </c>
      <c r="C6503" t="inlineStr">
        <is>
          <t>2018-01</t>
        </is>
      </c>
      <c r="D6503" t="inlineStr">
        <is>
          <t>21a104c3279681d9856b8a48723c4fee</t>
        </is>
      </c>
      <c r="E6503" t="inlineStr">
        <is>
          <t>other_publicities</t>
        </is>
      </c>
      <c r="F6503">
        <f>IFERROR(MATCH(A6503,Deals!$A$2:$A$843,0),"")</f>
        <v/>
      </c>
      <c r="G6503">
        <f>IF(F6503="",0,1)</f>
        <v/>
      </c>
      <c r="H6503" s="29">
        <f>IF(F6503="","",INDEX(Deals!$E$2:$E$843,F6503))</f>
        <v/>
      </c>
      <c r="I6503">
        <f>IF(F6503="","",INDEX(Deals!$D$2:$D$843,F6503))</f>
        <v/>
      </c>
      <c r="J6503">
        <f>IF(F6503="","",INT(H6503)-B6503)</f>
        <v/>
      </c>
      <c r="K6503">
        <f>IF(B6503&gt;=Settings!$C$5,1,0)</f>
        <v/>
      </c>
    </row>
    <row r="6504">
      <c r="A6504" t="inlineStr">
        <is>
          <t>df1fac063a914249e52931b13073ade1</t>
        </is>
      </c>
      <c r="B6504" s="29" t="n">
        <v>43029</v>
      </c>
      <c r="C6504" t="inlineStr">
        <is>
          <t>2017-10</t>
        </is>
      </c>
      <c r="D6504" t="inlineStr">
        <is>
          <t>ce1a65abd0973638f1c887a6efcfa82d</t>
        </is>
      </c>
      <c r="E6504" t="inlineStr">
        <is>
          <t>organic_search</t>
        </is>
      </c>
      <c r="F6504">
        <f>IFERROR(MATCH(A6504,Deals!$A$2:$A$843,0),"")</f>
        <v/>
      </c>
      <c r="G6504">
        <f>IF(F6504="",0,1)</f>
        <v/>
      </c>
      <c r="H6504" s="29">
        <f>IF(F6504="","",INDEX(Deals!$E$2:$E$843,F6504))</f>
        <v/>
      </c>
      <c r="I6504">
        <f>IF(F6504="","",INDEX(Deals!$D$2:$D$843,F6504))</f>
        <v/>
      </c>
      <c r="J6504">
        <f>IF(F6504="","",INT(H6504)-B6504)</f>
        <v/>
      </c>
      <c r="K6504">
        <f>IF(B6504&gt;=Settings!$C$5,1,0)</f>
        <v/>
      </c>
    </row>
    <row r="6505">
      <c r="A6505" t="inlineStr">
        <is>
          <t>7c3a966d88a80726a95c2e16e56c3997</t>
        </is>
      </c>
      <c r="B6505" s="29" t="n">
        <v>42920</v>
      </c>
      <c r="C6505" t="inlineStr">
        <is>
          <t>2017-07</t>
        </is>
      </c>
      <c r="D6505" t="inlineStr">
        <is>
          <t>e492ee5eaf1697716985cc6f33f9cd9b</t>
        </is>
      </c>
      <c r="E6505" t="inlineStr">
        <is>
          <t>other_publicities</t>
        </is>
      </c>
      <c r="F6505">
        <f>IFERROR(MATCH(A6505,Deals!$A$2:$A$843,0),"")</f>
        <v/>
      </c>
      <c r="G6505">
        <f>IF(F6505="",0,1)</f>
        <v/>
      </c>
      <c r="H6505" s="29">
        <f>IF(F6505="","",INDEX(Deals!$E$2:$E$843,F6505))</f>
        <v/>
      </c>
      <c r="I6505">
        <f>IF(F6505="","",INDEX(Deals!$D$2:$D$843,F6505))</f>
        <v/>
      </c>
      <c r="J6505">
        <f>IF(F6505="","",INT(H6505)-B6505)</f>
        <v/>
      </c>
      <c r="K6505">
        <f>IF(B6505&gt;=Settings!$C$5,1,0)</f>
        <v/>
      </c>
    </row>
    <row r="6506">
      <c r="A6506" t="inlineStr">
        <is>
          <t>5aae68270b448da2adfa823502b512a8</t>
        </is>
      </c>
      <c r="B6506" s="29" t="n">
        <v>43028</v>
      </c>
      <c r="C6506" t="inlineStr">
        <is>
          <t>2017-10</t>
        </is>
      </c>
      <c r="D6506" t="inlineStr">
        <is>
          <t>64078d75b35c1df83ebde92c7babe9d4</t>
        </is>
      </c>
      <c r="E6506" t="inlineStr">
        <is>
          <t>display</t>
        </is>
      </c>
      <c r="F6506">
        <f>IFERROR(MATCH(A6506,Deals!$A$2:$A$843,0),"")</f>
        <v/>
      </c>
      <c r="G6506">
        <f>IF(F6506="",0,1)</f>
        <v/>
      </c>
      <c r="H6506" s="29">
        <f>IF(F6506="","",INDEX(Deals!$E$2:$E$843,F6506))</f>
        <v/>
      </c>
      <c r="I6506">
        <f>IF(F6506="","",INDEX(Deals!$D$2:$D$843,F6506))</f>
        <v/>
      </c>
      <c r="J6506">
        <f>IF(F6506="","",INT(H6506)-B6506)</f>
        <v/>
      </c>
      <c r="K6506">
        <f>IF(B6506&gt;=Settings!$C$5,1,0)</f>
        <v/>
      </c>
    </row>
    <row r="6507">
      <c r="A6507" t="inlineStr">
        <is>
          <t>44d5a62d31a467c4504308fb09c6c0cf</t>
        </is>
      </c>
      <c r="B6507" s="29" t="n">
        <v>43178</v>
      </c>
      <c r="C6507" t="inlineStr">
        <is>
          <t>2018-03</t>
        </is>
      </c>
      <c r="D6507" t="inlineStr">
        <is>
          <t>b76ef37428e6799c421989521c0e5077</t>
        </is>
      </c>
      <c r="E6507" t="inlineStr">
        <is>
          <t>unknown</t>
        </is>
      </c>
      <c r="F6507">
        <f>IFERROR(MATCH(A6507,Deals!$A$2:$A$843,0),"")</f>
        <v/>
      </c>
      <c r="G6507">
        <f>IF(F6507="",0,1)</f>
        <v/>
      </c>
      <c r="H6507" s="29">
        <f>IF(F6507="","",INDEX(Deals!$E$2:$E$843,F6507))</f>
        <v/>
      </c>
      <c r="I6507">
        <f>IF(F6507="","",INDEX(Deals!$D$2:$D$843,F6507))</f>
        <v/>
      </c>
      <c r="J6507">
        <f>IF(F6507="","",INT(H6507)-B6507)</f>
        <v/>
      </c>
      <c r="K6507">
        <f>IF(B6507&gt;=Settings!$C$5,1,0)</f>
        <v/>
      </c>
    </row>
    <row r="6508">
      <c r="A6508" t="inlineStr">
        <is>
          <t>48388b43175c3c7bc2c83a6225387a1a</t>
        </is>
      </c>
      <c r="B6508" s="29" t="n">
        <v>43248</v>
      </c>
      <c r="C6508" t="inlineStr">
        <is>
          <t>2018-05</t>
        </is>
      </c>
      <c r="D6508" t="inlineStr">
        <is>
          <t>b76ef37428e6799c421989521c0e5077</t>
        </is>
      </c>
      <c r="E6508" t="inlineStr">
        <is>
          <t>paid_search</t>
        </is>
      </c>
      <c r="F6508">
        <f>IFERROR(MATCH(A6508,Deals!$A$2:$A$843,0),"")</f>
        <v/>
      </c>
      <c r="G6508">
        <f>IF(F6508="",0,1)</f>
        <v/>
      </c>
      <c r="H6508" s="29">
        <f>IF(F6508="","",INDEX(Deals!$E$2:$E$843,F6508))</f>
        <v/>
      </c>
      <c r="I6508">
        <f>IF(F6508="","",INDEX(Deals!$D$2:$D$843,F6508))</f>
        <v/>
      </c>
      <c r="J6508">
        <f>IF(F6508="","",INT(H6508)-B6508)</f>
        <v/>
      </c>
      <c r="K6508">
        <f>IF(B6508&gt;=Settings!$C$5,1,0)</f>
        <v/>
      </c>
    </row>
    <row r="6509">
      <c r="A6509" t="inlineStr">
        <is>
          <t>afbc32e57e872cc3ecfa37b1bbae5ceb</t>
        </is>
      </c>
      <c r="B6509" s="29" t="n">
        <v>43229</v>
      </c>
      <c r="C6509" t="inlineStr">
        <is>
          <t>2018-05</t>
        </is>
      </c>
      <c r="D6509" t="inlineStr">
        <is>
          <t>2f08471dfb83baef522f952438a36f6e</t>
        </is>
      </c>
      <c r="E6509" t="inlineStr">
        <is>
          <t>direct_traffic</t>
        </is>
      </c>
      <c r="F6509">
        <f>IFERROR(MATCH(A6509,Deals!$A$2:$A$843,0),"")</f>
        <v/>
      </c>
      <c r="G6509">
        <f>IF(F6509="",0,1)</f>
        <v/>
      </c>
      <c r="H6509" s="29">
        <f>IF(F6509="","",INDEX(Deals!$E$2:$E$843,F6509))</f>
        <v/>
      </c>
      <c r="I6509">
        <f>IF(F6509="","",INDEX(Deals!$D$2:$D$843,F6509))</f>
        <v/>
      </c>
      <c r="J6509">
        <f>IF(F6509="","",INT(H6509)-B6509)</f>
        <v/>
      </c>
      <c r="K6509">
        <f>IF(B6509&gt;=Settings!$C$5,1,0)</f>
        <v/>
      </c>
    </row>
    <row r="6510">
      <c r="A6510" t="inlineStr">
        <is>
          <t>20818537cc5cb1fe3dd50baf7c362808</t>
        </is>
      </c>
      <c r="B6510" s="29" t="n">
        <v>42965</v>
      </c>
      <c r="C6510" t="inlineStr">
        <is>
          <t>2017-08</t>
        </is>
      </c>
      <c r="D6510" t="inlineStr">
        <is>
          <t>f017be4dbf86243af5c1ebed0cff36a2</t>
        </is>
      </c>
      <c r="E6510" t="inlineStr">
        <is>
          <t>organic_search</t>
        </is>
      </c>
      <c r="F6510">
        <f>IFERROR(MATCH(A6510,Deals!$A$2:$A$843,0),"")</f>
        <v/>
      </c>
      <c r="G6510">
        <f>IF(F6510="",0,1)</f>
        <v/>
      </c>
      <c r="H6510" s="29">
        <f>IF(F6510="","",INDEX(Deals!$E$2:$E$843,F6510))</f>
        <v/>
      </c>
      <c r="I6510">
        <f>IF(F6510="","",INDEX(Deals!$D$2:$D$843,F6510))</f>
        <v/>
      </c>
      <c r="J6510">
        <f>IF(F6510="","",INT(H6510)-B6510)</f>
        <v/>
      </c>
      <c r="K6510">
        <f>IF(B6510&gt;=Settings!$C$5,1,0)</f>
        <v/>
      </c>
    </row>
    <row r="6511">
      <c r="A6511" t="inlineStr">
        <is>
          <t>245149b06f14727ef0eb8c159cc246d6</t>
        </is>
      </c>
      <c r="B6511" s="29" t="n">
        <v>42952</v>
      </c>
      <c r="C6511" t="inlineStr">
        <is>
          <t>2017-08</t>
        </is>
      </c>
      <c r="D6511" t="inlineStr">
        <is>
          <t>e492ee5eaf1697716985cc6f33f9cd9b</t>
        </is>
      </c>
      <c r="E6511" t="inlineStr">
        <is>
          <t>organic_search</t>
        </is>
      </c>
      <c r="F6511">
        <f>IFERROR(MATCH(A6511,Deals!$A$2:$A$843,0),"")</f>
        <v/>
      </c>
      <c r="G6511">
        <f>IF(F6511="",0,1)</f>
        <v/>
      </c>
      <c r="H6511" s="29">
        <f>IF(F6511="","",INDEX(Deals!$E$2:$E$843,F6511))</f>
        <v/>
      </c>
      <c r="I6511">
        <f>IF(F6511="","",INDEX(Deals!$D$2:$D$843,F6511))</f>
        <v/>
      </c>
      <c r="J6511">
        <f>IF(F6511="","",INT(H6511)-B6511)</f>
        <v/>
      </c>
      <c r="K6511">
        <f>IF(B6511&gt;=Settings!$C$5,1,0)</f>
        <v/>
      </c>
    </row>
    <row r="6512">
      <c r="A6512" t="inlineStr">
        <is>
          <t>214ace4c93ff3e251c239e9d47d1517b</t>
        </is>
      </c>
      <c r="B6512" s="29" t="n">
        <v>43203</v>
      </c>
      <c r="C6512" t="inlineStr">
        <is>
          <t>2018-04</t>
        </is>
      </c>
      <c r="D6512" t="inlineStr">
        <is>
          <t>58326e62183c14b0c03085c33b9fdc44</t>
        </is>
      </c>
      <c r="E6512" t="inlineStr">
        <is>
          <t>organic_search</t>
        </is>
      </c>
      <c r="F6512">
        <f>IFERROR(MATCH(A6512,Deals!$A$2:$A$843,0),"")</f>
        <v/>
      </c>
      <c r="G6512">
        <f>IF(F6512="",0,1)</f>
        <v/>
      </c>
      <c r="H6512" s="29">
        <f>IF(F6512="","",INDEX(Deals!$E$2:$E$843,F6512))</f>
        <v/>
      </c>
      <c r="I6512">
        <f>IF(F6512="","",INDEX(Deals!$D$2:$D$843,F6512))</f>
        <v/>
      </c>
      <c r="J6512">
        <f>IF(F6512="","",INT(H6512)-B6512)</f>
        <v/>
      </c>
      <c r="K6512">
        <f>IF(B6512&gt;=Settings!$C$5,1,0)</f>
        <v/>
      </c>
    </row>
    <row r="6513">
      <c r="A6513" t="inlineStr">
        <is>
          <t>527806cc6db515fde95713ea4fb49329</t>
        </is>
      </c>
      <c r="B6513" s="29" t="n">
        <v>43212</v>
      </c>
      <c r="C6513" t="inlineStr">
        <is>
          <t>2018-04</t>
        </is>
      </c>
      <c r="D6513" t="inlineStr">
        <is>
          <t>a7982125ff7aa3b2054c6e44f9d28522</t>
        </is>
      </c>
      <c r="E6513" t="inlineStr">
        <is>
          <t>display</t>
        </is>
      </c>
      <c r="F6513">
        <f>IFERROR(MATCH(A6513,Deals!$A$2:$A$843,0),"")</f>
        <v/>
      </c>
      <c r="G6513">
        <f>IF(F6513="",0,1)</f>
        <v/>
      </c>
      <c r="H6513" s="29">
        <f>IF(F6513="","",INDEX(Deals!$E$2:$E$843,F6513))</f>
        <v/>
      </c>
      <c r="I6513">
        <f>IF(F6513="","",INDEX(Deals!$D$2:$D$843,F6513))</f>
        <v/>
      </c>
      <c r="J6513">
        <f>IF(F6513="","",INT(H6513)-B6513)</f>
        <v/>
      </c>
      <c r="K6513">
        <f>IF(B6513&gt;=Settings!$C$5,1,0)</f>
        <v/>
      </c>
    </row>
    <row r="6514">
      <c r="A6514" t="inlineStr">
        <is>
          <t>ae91b05cf9c865b54cf57adf35831853</t>
        </is>
      </c>
      <c r="B6514" s="29" t="n">
        <v>42987</v>
      </c>
      <c r="C6514" t="inlineStr">
        <is>
          <t>2017-09</t>
        </is>
      </c>
      <c r="D6514" t="inlineStr">
        <is>
          <t>87732658ba41d8775e8577df347a64db</t>
        </is>
      </c>
      <c r="E6514" t="inlineStr">
        <is>
          <t>social</t>
        </is>
      </c>
      <c r="F6514">
        <f>IFERROR(MATCH(A6514,Deals!$A$2:$A$843,0),"")</f>
        <v/>
      </c>
      <c r="G6514">
        <f>IF(F6514="",0,1)</f>
        <v/>
      </c>
      <c r="H6514" s="29">
        <f>IF(F6514="","",INDEX(Deals!$E$2:$E$843,F6514))</f>
        <v/>
      </c>
      <c r="I6514">
        <f>IF(F6514="","",INDEX(Deals!$D$2:$D$843,F6514))</f>
        <v/>
      </c>
      <c r="J6514">
        <f>IF(F6514="","",INT(H6514)-B6514)</f>
        <v/>
      </c>
      <c r="K6514">
        <f>IF(B6514&gt;=Settings!$C$5,1,0)</f>
        <v/>
      </c>
    </row>
    <row r="6515">
      <c r="A6515" t="inlineStr">
        <is>
          <t>0e55ef5f7354c3851d022f15f418c8b1</t>
        </is>
      </c>
      <c r="B6515" s="29" t="n">
        <v>43229</v>
      </c>
      <c r="C6515" t="inlineStr">
        <is>
          <t>2018-05</t>
        </is>
      </c>
      <c r="D6515" t="inlineStr">
        <is>
          <t>58326e62183c14b0c03085c33b9fdc44</t>
        </is>
      </c>
      <c r="E6515" t="inlineStr">
        <is>
          <t>social</t>
        </is>
      </c>
      <c r="F6515">
        <f>IFERROR(MATCH(A6515,Deals!$A$2:$A$843,0),"")</f>
        <v/>
      </c>
      <c r="G6515">
        <f>IF(F6515="",0,1)</f>
        <v/>
      </c>
      <c r="H6515" s="29">
        <f>IF(F6515="","",INDEX(Deals!$E$2:$E$843,F6515))</f>
        <v/>
      </c>
      <c r="I6515">
        <f>IF(F6515="","",INDEX(Deals!$D$2:$D$843,F6515))</f>
        <v/>
      </c>
      <c r="J6515">
        <f>IF(F6515="","",INT(H6515)-B6515)</f>
        <v/>
      </c>
      <c r="K6515">
        <f>IF(B6515&gt;=Settings!$C$5,1,0)</f>
        <v/>
      </c>
    </row>
    <row r="6516">
      <c r="A6516" t="inlineStr">
        <is>
          <t>127417dfbda8ba627d66c0dae4aef409</t>
        </is>
      </c>
      <c r="B6516" s="29" t="n">
        <v>43198</v>
      </c>
      <c r="C6516" t="inlineStr">
        <is>
          <t>2018-04</t>
        </is>
      </c>
      <c r="D6516" t="inlineStr">
        <is>
          <t>22c29808c4f815213303f8933030604c</t>
        </is>
      </c>
      <c r="E6516" t="inlineStr">
        <is>
          <t>paid_search</t>
        </is>
      </c>
      <c r="F6516">
        <f>IFERROR(MATCH(A6516,Deals!$A$2:$A$843,0),"")</f>
        <v/>
      </c>
      <c r="G6516">
        <f>IF(F6516="",0,1)</f>
        <v/>
      </c>
      <c r="H6516" s="29">
        <f>IF(F6516="","",INDEX(Deals!$E$2:$E$843,F6516))</f>
        <v/>
      </c>
      <c r="I6516">
        <f>IF(F6516="","",INDEX(Deals!$D$2:$D$843,F6516))</f>
        <v/>
      </c>
      <c r="J6516">
        <f>IF(F6516="","",INT(H6516)-B6516)</f>
        <v/>
      </c>
      <c r="K6516">
        <f>IF(B6516&gt;=Settings!$C$5,1,0)</f>
        <v/>
      </c>
    </row>
    <row r="6517">
      <c r="A6517" t="inlineStr">
        <is>
          <t>73a7827edfe1091a9a3033e4431899b7</t>
        </is>
      </c>
      <c r="B6517" s="29" t="n">
        <v>43176</v>
      </c>
      <c r="C6517" t="inlineStr">
        <is>
          <t>2018-03</t>
        </is>
      </c>
      <c r="D6517" t="inlineStr">
        <is>
          <t>fe82aeadeaea2186478fe6353d6d5301</t>
        </is>
      </c>
      <c r="E6517" t="inlineStr">
        <is>
          <t>paid_search</t>
        </is>
      </c>
      <c r="F6517">
        <f>IFERROR(MATCH(A6517,Deals!$A$2:$A$843,0),"")</f>
        <v/>
      </c>
      <c r="G6517">
        <f>IF(F6517="",0,1)</f>
        <v/>
      </c>
      <c r="H6517" s="29">
        <f>IF(F6517="","",INDEX(Deals!$E$2:$E$843,F6517))</f>
        <v/>
      </c>
      <c r="I6517">
        <f>IF(F6517="","",INDEX(Deals!$D$2:$D$843,F6517))</f>
        <v/>
      </c>
      <c r="J6517">
        <f>IF(F6517="","",INT(H6517)-B6517)</f>
        <v/>
      </c>
      <c r="K6517">
        <f>IF(B6517&gt;=Settings!$C$5,1,0)</f>
        <v/>
      </c>
    </row>
    <row r="6518">
      <c r="A6518" t="inlineStr">
        <is>
          <t>e9c8c72816ffd1b23e14c4e8885bccca</t>
        </is>
      </c>
      <c r="B6518" s="29" t="n">
        <v>43066</v>
      </c>
      <c r="C6518" t="inlineStr">
        <is>
          <t>2017-11</t>
        </is>
      </c>
      <c r="D6518" t="inlineStr">
        <is>
          <t>40dec9f3d5259a3d2dbcdab2114fae47</t>
        </is>
      </c>
      <c r="E6518" t="inlineStr">
        <is>
          <t>paid_search</t>
        </is>
      </c>
      <c r="F6518">
        <f>IFERROR(MATCH(A6518,Deals!$A$2:$A$843,0),"")</f>
        <v/>
      </c>
      <c r="G6518">
        <f>IF(F6518="",0,1)</f>
        <v/>
      </c>
      <c r="H6518" s="29">
        <f>IF(F6518="","",INDEX(Deals!$E$2:$E$843,F6518))</f>
        <v/>
      </c>
      <c r="I6518">
        <f>IF(F6518="","",INDEX(Deals!$D$2:$D$843,F6518))</f>
        <v/>
      </c>
      <c r="J6518">
        <f>IF(F6518="","",INT(H6518)-B6518)</f>
        <v/>
      </c>
      <c r="K6518">
        <f>IF(B6518&gt;=Settings!$C$5,1,0)</f>
        <v/>
      </c>
    </row>
    <row r="6519">
      <c r="A6519" t="inlineStr">
        <is>
          <t>2b7230937a3c73d9e0edc3a581ef17b0</t>
        </is>
      </c>
      <c r="B6519" s="29" t="n">
        <v>43150</v>
      </c>
      <c r="C6519" t="inlineStr">
        <is>
          <t>2018-02</t>
        </is>
      </c>
      <c r="D6519" t="inlineStr">
        <is>
          <t>ce1a65abd0973638f1c887a6efcfa82d</t>
        </is>
      </c>
      <c r="E6519" t="inlineStr">
        <is>
          <t>organic_search</t>
        </is>
      </c>
      <c r="F6519">
        <f>IFERROR(MATCH(A6519,Deals!$A$2:$A$843,0),"")</f>
        <v/>
      </c>
      <c r="G6519">
        <f>IF(F6519="",0,1)</f>
        <v/>
      </c>
      <c r="H6519" s="29">
        <f>IF(F6519="","",INDEX(Deals!$E$2:$E$843,F6519))</f>
        <v/>
      </c>
      <c r="I6519">
        <f>IF(F6519="","",INDEX(Deals!$D$2:$D$843,F6519))</f>
        <v/>
      </c>
      <c r="J6519">
        <f>IF(F6519="","",INT(H6519)-B6519)</f>
        <v/>
      </c>
      <c r="K6519">
        <f>IF(B6519&gt;=Settings!$C$5,1,0)</f>
        <v/>
      </c>
    </row>
    <row r="6520">
      <c r="A6520" t="inlineStr">
        <is>
          <t>b193a18acdf9844ca47c4fed6b46438d</t>
        </is>
      </c>
      <c r="B6520" s="29" t="n">
        <v>43233</v>
      </c>
      <c r="C6520" t="inlineStr">
        <is>
          <t>2018-05</t>
        </is>
      </c>
      <c r="D6520" t="inlineStr">
        <is>
          <t>5f8ff9510f85e3e9dcb1d74965bf8d48</t>
        </is>
      </c>
      <c r="E6520" t="inlineStr">
        <is>
          <t>referral</t>
        </is>
      </c>
      <c r="F6520">
        <f>IFERROR(MATCH(A6520,Deals!$A$2:$A$843,0),"")</f>
        <v/>
      </c>
      <c r="G6520">
        <f>IF(F6520="",0,1)</f>
        <v/>
      </c>
      <c r="H6520" s="29">
        <f>IF(F6520="","",INDEX(Deals!$E$2:$E$843,F6520))</f>
        <v/>
      </c>
      <c r="I6520">
        <f>IF(F6520="","",INDEX(Deals!$D$2:$D$843,F6520))</f>
        <v/>
      </c>
      <c r="J6520">
        <f>IF(F6520="","",INT(H6520)-B6520)</f>
        <v/>
      </c>
      <c r="K6520">
        <f>IF(B6520&gt;=Settings!$C$5,1,0)</f>
        <v/>
      </c>
    </row>
    <row r="6521">
      <c r="A6521" t="inlineStr">
        <is>
          <t>d6d7babb957cc1fe1222012574e5d62d</t>
        </is>
      </c>
      <c r="B6521" s="29" t="n">
        <v>43160</v>
      </c>
      <c r="C6521" t="inlineStr">
        <is>
          <t>2018-03</t>
        </is>
      </c>
      <c r="D6521" t="inlineStr">
        <is>
          <t>22c29808c4f815213303f8933030604c</t>
        </is>
      </c>
      <c r="E6521" t="inlineStr">
        <is>
          <t>organic_search</t>
        </is>
      </c>
      <c r="F6521">
        <f>IFERROR(MATCH(A6521,Deals!$A$2:$A$843,0),"")</f>
        <v/>
      </c>
      <c r="G6521">
        <f>IF(F6521="",0,1)</f>
        <v/>
      </c>
      <c r="H6521" s="29">
        <f>IF(F6521="","",INDEX(Deals!$E$2:$E$843,F6521))</f>
        <v/>
      </c>
      <c r="I6521">
        <f>IF(F6521="","",INDEX(Deals!$D$2:$D$843,F6521))</f>
        <v/>
      </c>
      <c r="J6521">
        <f>IF(F6521="","",INT(H6521)-B6521)</f>
        <v/>
      </c>
      <c r="K6521">
        <f>IF(B6521&gt;=Settings!$C$5,1,0)</f>
        <v/>
      </c>
    </row>
    <row r="6522">
      <c r="A6522" t="inlineStr">
        <is>
          <t>3e9702e1570af46ccd4551b7f4909f6f</t>
        </is>
      </c>
      <c r="B6522" s="29" t="n">
        <v>43173</v>
      </c>
      <c r="C6522" t="inlineStr">
        <is>
          <t>2018-03</t>
        </is>
      </c>
      <c r="D6522" t="inlineStr">
        <is>
          <t>65d9f9d71e562365e8b44037c2888d98</t>
        </is>
      </c>
      <c r="E6522" t="inlineStr">
        <is>
          <t>paid_search</t>
        </is>
      </c>
      <c r="F6522">
        <f>IFERROR(MATCH(A6522,Deals!$A$2:$A$843,0),"")</f>
        <v/>
      </c>
      <c r="G6522">
        <f>IF(F6522="",0,1)</f>
        <v/>
      </c>
      <c r="H6522" s="29">
        <f>IF(F6522="","",INDEX(Deals!$E$2:$E$843,F6522))</f>
        <v/>
      </c>
      <c r="I6522">
        <f>IF(F6522="","",INDEX(Deals!$D$2:$D$843,F6522))</f>
        <v/>
      </c>
      <c r="J6522">
        <f>IF(F6522="","",INT(H6522)-B6522)</f>
        <v/>
      </c>
      <c r="K6522">
        <f>IF(B6522&gt;=Settings!$C$5,1,0)</f>
        <v/>
      </c>
    </row>
    <row r="6523">
      <c r="A6523" t="inlineStr">
        <is>
          <t>6f53f6d0c952a949b75444785c3a1399</t>
        </is>
      </c>
      <c r="B6523" s="29" t="n">
        <v>43130</v>
      </c>
      <c r="C6523" t="inlineStr">
        <is>
          <t>2018-01</t>
        </is>
      </c>
      <c r="D6523" t="inlineStr">
        <is>
          <t>65d9f9d71e562365e8b44037c2888d98</t>
        </is>
      </c>
      <c r="E6523" t="inlineStr">
        <is>
          <t>organic_search</t>
        </is>
      </c>
      <c r="F6523">
        <f>IFERROR(MATCH(A6523,Deals!$A$2:$A$843,0),"")</f>
        <v/>
      </c>
      <c r="G6523">
        <f>IF(F6523="",0,1)</f>
        <v/>
      </c>
      <c r="H6523" s="29">
        <f>IF(F6523="","",INDEX(Deals!$E$2:$E$843,F6523))</f>
        <v/>
      </c>
      <c r="I6523">
        <f>IF(F6523="","",INDEX(Deals!$D$2:$D$843,F6523))</f>
        <v/>
      </c>
      <c r="J6523">
        <f>IF(F6523="","",INT(H6523)-B6523)</f>
        <v/>
      </c>
      <c r="K6523">
        <f>IF(B6523&gt;=Settings!$C$5,1,0)</f>
        <v/>
      </c>
    </row>
    <row r="6524">
      <c r="A6524" t="inlineStr">
        <is>
          <t>e606763b01171afd48e13b91a9cd1307</t>
        </is>
      </c>
      <c r="B6524" s="29" t="n">
        <v>42999</v>
      </c>
      <c r="C6524" t="inlineStr">
        <is>
          <t>2017-09</t>
        </is>
      </c>
      <c r="D6524" t="inlineStr">
        <is>
          <t>15cf89bab2c3163b4f9d8601d108f8b2</t>
        </is>
      </c>
      <c r="E6524" t="inlineStr">
        <is>
          <t>organic_search</t>
        </is>
      </c>
      <c r="F6524">
        <f>IFERROR(MATCH(A6524,Deals!$A$2:$A$843,0),"")</f>
        <v/>
      </c>
      <c r="G6524">
        <f>IF(F6524="",0,1)</f>
        <v/>
      </c>
      <c r="H6524" s="29">
        <f>IF(F6524="","",INDEX(Deals!$E$2:$E$843,F6524))</f>
        <v/>
      </c>
      <c r="I6524">
        <f>IF(F6524="","",INDEX(Deals!$D$2:$D$843,F6524))</f>
        <v/>
      </c>
      <c r="J6524">
        <f>IF(F6524="","",INT(H6524)-B6524)</f>
        <v/>
      </c>
      <c r="K6524">
        <f>IF(B6524&gt;=Settings!$C$5,1,0)</f>
        <v/>
      </c>
    </row>
    <row r="6525">
      <c r="A6525" t="inlineStr">
        <is>
          <t>2d8ce57ba47edc5772f64ea6b2bdf80d</t>
        </is>
      </c>
      <c r="B6525" s="29" t="n">
        <v>43108</v>
      </c>
      <c r="C6525" t="inlineStr">
        <is>
          <t>2018-01</t>
        </is>
      </c>
      <c r="D6525" t="inlineStr">
        <is>
          <t>b76ef37428e6799c421989521c0e5077</t>
        </is>
      </c>
      <c r="E6525" t="inlineStr">
        <is>
          <t>unknown</t>
        </is>
      </c>
      <c r="F6525">
        <f>IFERROR(MATCH(A6525,Deals!$A$2:$A$843,0),"")</f>
        <v/>
      </c>
      <c r="G6525">
        <f>IF(F6525="",0,1)</f>
        <v/>
      </c>
      <c r="H6525" s="29">
        <f>IF(F6525="","",INDEX(Deals!$E$2:$E$843,F6525))</f>
        <v/>
      </c>
      <c r="I6525">
        <f>IF(F6525="","",INDEX(Deals!$D$2:$D$843,F6525))</f>
        <v/>
      </c>
      <c r="J6525">
        <f>IF(F6525="","",INT(H6525)-B6525)</f>
        <v/>
      </c>
      <c r="K6525">
        <f>IF(B6525&gt;=Settings!$C$5,1,0)</f>
        <v/>
      </c>
    </row>
    <row r="6526">
      <c r="A6526" t="inlineStr">
        <is>
          <t>e23689354edeb3c7a1444b1f3ae34657</t>
        </is>
      </c>
      <c r="B6526" s="29" t="n">
        <v>43053</v>
      </c>
      <c r="C6526" t="inlineStr">
        <is>
          <t>2017-11</t>
        </is>
      </c>
      <c r="D6526" t="inlineStr">
        <is>
          <t>b76ef37428e6799c421989521c0e5077</t>
        </is>
      </c>
      <c r="E6526" t="inlineStr">
        <is>
          <t>unknown</t>
        </is>
      </c>
      <c r="F6526">
        <f>IFERROR(MATCH(A6526,Deals!$A$2:$A$843,0),"")</f>
        <v/>
      </c>
      <c r="G6526">
        <f>IF(F6526="",0,1)</f>
        <v/>
      </c>
      <c r="H6526" s="29">
        <f>IF(F6526="","",INDEX(Deals!$E$2:$E$843,F6526))</f>
        <v/>
      </c>
      <c r="I6526">
        <f>IF(F6526="","",INDEX(Deals!$D$2:$D$843,F6526))</f>
        <v/>
      </c>
      <c r="J6526">
        <f>IF(F6526="","",INT(H6526)-B6526)</f>
        <v/>
      </c>
      <c r="K6526">
        <f>IF(B6526&gt;=Settings!$C$5,1,0)</f>
        <v/>
      </c>
    </row>
    <row r="6527">
      <c r="A6527" t="inlineStr">
        <is>
          <t>182a5f6ae249ac1aaa84efbb5ed3d843</t>
        </is>
      </c>
      <c r="B6527" s="29" t="n">
        <v>43229</v>
      </c>
      <c r="C6527" t="inlineStr">
        <is>
          <t>2018-05</t>
        </is>
      </c>
      <c r="D6527" t="inlineStr">
        <is>
          <t>30534107aa0013db92899c96a1017d0b</t>
        </is>
      </c>
      <c r="E6527" t="inlineStr">
        <is>
          <t>social</t>
        </is>
      </c>
      <c r="F6527">
        <f>IFERROR(MATCH(A6527,Deals!$A$2:$A$843,0),"")</f>
        <v/>
      </c>
      <c r="G6527">
        <f>IF(F6527="",0,1)</f>
        <v/>
      </c>
      <c r="H6527" s="29">
        <f>IF(F6527="","",INDEX(Deals!$E$2:$E$843,F6527))</f>
        <v/>
      </c>
      <c r="I6527">
        <f>IF(F6527="","",INDEX(Deals!$D$2:$D$843,F6527))</f>
        <v/>
      </c>
      <c r="J6527">
        <f>IF(F6527="","",INT(H6527)-B6527)</f>
        <v/>
      </c>
      <c r="K6527">
        <f>IF(B6527&gt;=Settings!$C$5,1,0)</f>
        <v/>
      </c>
    </row>
    <row r="6528">
      <c r="A6528" t="inlineStr">
        <is>
          <t>d532683c8b6d6c616449cc6bc2c325f6</t>
        </is>
      </c>
      <c r="B6528" s="29" t="n">
        <v>43213</v>
      </c>
      <c r="C6528" t="inlineStr">
        <is>
          <t>2018-04</t>
        </is>
      </c>
      <c r="D6528" t="inlineStr">
        <is>
          <t>1ceb590cd1e00c7ee95220971f82693d</t>
        </is>
      </c>
      <c r="E6528" t="inlineStr">
        <is>
          <t>paid_search</t>
        </is>
      </c>
      <c r="F6528">
        <f>IFERROR(MATCH(A6528,Deals!$A$2:$A$843,0),"")</f>
        <v/>
      </c>
      <c r="G6528">
        <f>IF(F6528="",0,1)</f>
        <v/>
      </c>
      <c r="H6528" s="29">
        <f>IF(F6528="","",INDEX(Deals!$E$2:$E$843,F6528))</f>
        <v/>
      </c>
      <c r="I6528">
        <f>IF(F6528="","",INDEX(Deals!$D$2:$D$843,F6528))</f>
        <v/>
      </c>
      <c r="J6528">
        <f>IF(F6528="","",INT(H6528)-B6528)</f>
        <v/>
      </c>
      <c r="K6528">
        <f>IF(B6528&gt;=Settings!$C$5,1,0)</f>
        <v/>
      </c>
    </row>
    <row r="6529">
      <c r="A6529" t="inlineStr">
        <is>
          <t>f63c50ba409100be3ff7fa4b4cde9de7</t>
        </is>
      </c>
      <c r="B6529" s="29" t="n">
        <v>43228</v>
      </c>
      <c r="C6529" t="inlineStr">
        <is>
          <t>2018-05</t>
        </is>
      </c>
      <c r="D6529" t="inlineStr">
        <is>
          <t>1ceb590cd1e00c7ee95220971f82693d</t>
        </is>
      </c>
      <c r="E6529" t="inlineStr">
        <is>
          <t>organic_search</t>
        </is>
      </c>
      <c r="F6529">
        <f>IFERROR(MATCH(A6529,Deals!$A$2:$A$843,0),"")</f>
        <v/>
      </c>
      <c r="G6529">
        <f>IF(F6529="",0,1)</f>
        <v/>
      </c>
      <c r="H6529" s="29">
        <f>IF(F6529="","",INDEX(Deals!$E$2:$E$843,F6529))</f>
        <v/>
      </c>
      <c r="I6529">
        <f>IF(F6529="","",INDEX(Deals!$D$2:$D$843,F6529))</f>
        <v/>
      </c>
      <c r="J6529">
        <f>IF(F6529="","",INT(H6529)-B6529)</f>
        <v/>
      </c>
      <c r="K6529">
        <f>IF(B6529&gt;=Settings!$C$5,1,0)</f>
        <v/>
      </c>
    </row>
    <row r="6530">
      <c r="A6530" t="inlineStr">
        <is>
          <t>4f13230465cb8df938e896c598b30727</t>
        </is>
      </c>
      <c r="B6530" s="29" t="n">
        <v>42940</v>
      </c>
      <c r="C6530" t="inlineStr">
        <is>
          <t>2017-07</t>
        </is>
      </c>
      <c r="D6530" t="inlineStr">
        <is>
          <t>b76ef37428e6799c421989521c0e5077</t>
        </is>
      </c>
      <c r="E6530" t="inlineStr">
        <is>
          <t>unknown</t>
        </is>
      </c>
      <c r="F6530">
        <f>IFERROR(MATCH(A6530,Deals!$A$2:$A$843,0),"")</f>
        <v/>
      </c>
      <c r="G6530">
        <f>IF(F6530="",0,1)</f>
        <v/>
      </c>
      <c r="H6530" s="29">
        <f>IF(F6530="","",INDEX(Deals!$E$2:$E$843,F6530))</f>
        <v/>
      </c>
      <c r="I6530">
        <f>IF(F6530="","",INDEX(Deals!$D$2:$D$843,F6530))</f>
        <v/>
      </c>
      <c r="J6530">
        <f>IF(F6530="","",INT(H6530)-B6530)</f>
        <v/>
      </c>
      <c r="K6530">
        <f>IF(B6530&gt;=Settings!$C$5,1,0)</f>
        <v/>
      </c>
    </row>
    <row r="6531">
      <c r="A6531" t="inlineStr">
        <is>
          <t>eaef73772fcb49f558324ad51e5c4d2f</t>
        </is>
      </c>
      <c r="B6531" s="29" t="n">
        <v>43180</v>
      </c>
      <c r="C6531" t="inlineStr">
        <is>
          <t>2018-03</t>
        </is>
      </c>
      <c r="D6531" t="inlineStr">
        <is>
          <t>fbc24da54d531c6204ae2d17b1090bb1</t>
        </is>
      </c>
      <c r="E6531" t="inlineStr">
        <is>
          <t>organic_search</t>
        </is>
      </c>
      <c r="F6531">
        <f>IFERROR(MATCH(A6531,Deals!$A$2:$A$843,0),"")</f>
        <v/>
      </c>
      <c r="G6531">
        <f>IF(F6531="",0,1)</f>
        <v/>
      </c>
      <c r="H6531" s="29">
        <f>IF(F6531="","",INDEX(Deals!$E$2:$E$843,F6531))</f>
        <v/>
      </c>
      <c r="I6531">
        <f>IF(F6531="","",INDEX(Deals!$D$2:$D$843,F6531))</f>
        <v/>
      </c>
      <c r="J6531">
        <f>IF(F6531="","",INT(H6531)-B6531)</f>
        <v/>
      </c>
      <c r="K6531">
        <f>IF(B6531&gt;=Settings!$C$5,1,0)</f>
        <v/>
      </c>
    </row>
    <row r="6532">
      <c r="A6532" t="inlineStr">
        <is>
          <t>9dde4d7713ae64986ab6f5c9f9cf94d3</t>
        </is>
      </c>
      <c r="B6532" s="29" t="n">
        <v>43218</v>
      </c>
      <c r="C6532" t="inlineStr">
        <is>
          <t>2018-04</t>
        </is>
      </c>
      <c r="D6532" t="inlineStr">
        <is>
          <t>22c29808c4f815213303f8933030604c</t>
        </is>
      </c>
      <c r="E6532" t="inlineStr">
        <is>
          <t>organic_search</t>
        </is>
      </c>
      <c r="F6532">
        <f>IFERROR(MATCH(A6532,Deals!$A$2:$A$843,0),"")</f>
        <v/>
      </c>
      <c r="G6532">
        <f>IF(F6532="",0,1)</f>
        <v/>
      </c>
      <c r="H6532" s="29">
        <f>IF(F6532="","",INDEX(Deals!$E$2:$E$843,F6532))</f>
        <v/>
      </c>
      <c r="I6532">
        <f>IF(F6532="","",INDEX(Deals!$D$2:$D$843,F6532))</f>
        <v/>
      </c>
      <c r="J6532">
        <f>IF(F6532="","",INT(H6532)-B6532)</f>
        <v/>
      </c>
      <c r="K6532">
        <f>IF(B6532&gt;=Settings!$C$5,1,0)</f>
        <v/>
      </c>
    </row>
    <row r="6533">
      <c r="A6533" t="inlineStr">
        <is>
          <t>07da1921cbc124b15d105b3e13d67eb5</t>
        </is>
      </c>
      <c r="B6533" s="29" t="n">
        <v>43147</v>
      </c>
      <c r="C6533" t="inlineStr">
        <is>
          <t>2018-02</t>
        </is>
      </c>
      <c r="D6533" t="inlineStr">
        <is>
          <t>b76ef37428e6799c421989521c0e5077</t>
        </is>
      </c>
      <c r="E6533" t="inlineStr">
        <is>
          <t>unknown</t>
        </is>
      </c>
      <c r="F6533">
        <f>IFERROR(MATCH(A6533,Deals!$A$2:$A$843,0),"")</f>
        <v/>
      </c>
      <c r="G6533">
        <f>IF(F6533="",0,1)</f>
        <v/>
      </c>
      <c r="H6533" s="29">
        <f>IF(F6533="","",INDEX(Deals!$E$2:$E$843,F6533))</f>
        <v/>
      </c>
      <c r="I6533">
        <f>IF(F6533="","",INDEX(Deals!$D$2:$D$843,F6533))</f>
        <v/>
      </c>
      <c r="J6533">
        <f>IF(F6533="","",INT(H6533)-B6533)</f>
        <v/>
      </c>
      <c r="K6533">
        <f>IF(B6533&gt;=Settings!$C$5,1,0)</f>
        <v/>
      </c>
    </row>
    <row r="6534">
      <c r="A6534" t="inlineStr">
        <is>
          <t>b241600bbbbc8cfbba760be3f23083bc</t>
        </is>
      </c>
      <c r="B6534" s="29" t="n">
        <v>43136</v>
      </c>
      <c r="C6534" t="inlineStr">
        <is>
          <t>2018-02</t>
        </is>
      </c>
      <c r="D6534" t="inlineStr">
        <is>
          <t>b76ef37428e6799c421989521c0e5077</t>
        </is>
      </c>
      <c r="E6534" t="inlineStr">
        <is>
          <t>paid_search</t>
        </is>
      </c>
      <c r="F6534">
        <f>IFERROR(MATCH(A6534,Deals!$A$2:$A$843,0),"")</f>
        <v/>
      </c>
      <c r="G6534">
        <f>IF(F6534="",0,1)</f>
        <v/>
      </c>
      <c r="H6534" s="29">
        <f>IF(F6534="","",INDEX(Deals!$E$2:$E$843,F6534))</f>
        <v/>
      </c>
      <c r="I6534">
        <f>IF(F6534="","",INDEX(Deals!$D$2:$D$843,F6534))</f>
        <v/>
      </c>
      <c r="J6534">
        <f>IF(F6534="","",INT(H6534)-B6534)</f>
        <v/>
      </c>
      <c r="K6534">
        <f>IF(B6534&gt;=Settings!$C$5,1,0)</f>
        <v/>
      </c>
    </row>
    <row r="6535">
      <c r="A6535" t="inlineStr">
        <is>
          <t>b17d646e36f5fb120b2ea74c14d39f5c</t>
        </is>
      </c>
      <c r="B6535" s="29" t="n">
        <v>43129</v>
      </c>
      <c r="C6535" t="inlineStr">
        <is>
          <t>2018-01</t>
        </is>
      </c>
      <c r="D6535" t="inlineStr">
        <is>
          <t>9cc4d8fda1533429ac126a2ddf4ebf11</t>
        </is>
      </c>
      <c r="E6535" t="inlineStr">
        <is>
          <t>referral</t>
        </is>
      </c>
      <c r="F6535">
        <f>IFERROR(MATCH(A6535,Deals!$A$2:$A$843,0),"")</f>
        <v/>
      </c>
      <c r="G6535">
        <f>IF(F6535="",0,1)</f>
        <v/>
      </c>
      <c r="H6535" s="29">
        <f>IF(F6535="","",INDEX(Deals!$E$2:$E$843,F6535))</f>
        <v/>
      </c>
      <c r="I6535">
        <f>IF(F6535="","",INDEX(Deals!$D$2:$D$843,F6535))</f>
        <v/>
      </c>
      <c r="J6535">
        <f>IF(F6535="","",INT(H6535)-B6535)</f>
        <v/>
      </c>
      <c r="K6535">
        <f>IF(B6535&gt;=Settings!$C$5,1,0)</f>
        <v/>
      </c>
    </row>
    <row r="6536">
      <c r="A6536" t="inlineStr">
        <is>
          <t>ad3a14270fa2d83b1fec766852384865</t>
        </is>
      </c>
      <c r="B6536" s="29" t="n">
        <v>43143</v>
      </c>
      <c r="C6536" t="inlineStr">
        <is>
          <t>2018-02</t>
        </is>
      </c>
      <c r="D6536" t="inlineStr">
        <is>
          <t>1e884e3078d9978e216a027ecd57fb34</t>
        </is>
      </c>
      <c r="E6536" t="inlineStr">
        <is>
          <t>(missing)</t>
        </is>
      </c>
      <c r="F6536">
        <f>IFERROR(MATCH(A6536,Deals!$A$2:$A$843,0),"")</f>
        <v/>
      </c>
      <c r="G6536">
        <f>IF(F6536="",0,1)</f>
        <v/>
      </c>
      <c r="H6536" s="29">
        <f>IF(F6536="","",INDEX(Deals!$E$2:$E$843,F6536))</f>
        <v/>
      </c>
      <c r="I6536">
        <f>IF(F6536="","",INDEX(Deals!$D$2:$D$843,F6536))</f>
        <v/>
      </c>
      <c r="J6536">
        <f>IF(F6536="","",INT(H6536)-B6536)</f>
        <v/>
      </c>
      <c r="K6536">
        <f>IF(B6536&gt;=Settings!$C$5,1,0)</f>
        <v/>
      </c>
    </row>
    <row r="6537">
      <c r="A6537" t="inlineStr">
        <is>
          <t>c6ebbf2d911fff534ae3b0b18d7e90a8</t>
        </is>
      </c>
      <c r="B6537" s="29" t="n">
        <v>43200</v>
      </c>
      <c r="C6537" t="inlineStr">
        <is>
          <t>2018-04</t>
        </is>
      </c>
      <c r="D6537" t="inlineStr">
        <is>
          <t>ce1a65abd0973638f1c887a6efcfa82d</t>
        </is>
      </c>
      <c r="E6537" t="inlineStr">
        <is>
          <t>organic_search</t>
        </is>
      </c>
      <c r="F6537">
        <f>IFERROR(MATCH(A6537,Deals!$A$2:$A$843,0),"")</f>
        <v/>
      </c>
      <c r="G6537">
        <f>IF(F6537="",0,1)</f>
        <v/>
      </c>
      <c r="H6537" s="29">
        <f>IF(F6537="","",INDEX(Deals!$E$2:$E$843,F6537))</f>
        <v/>
      </c>
      <c r="I6537">
        <f>IF(F6537="","",INDEX(Deals!$D$2:$D$843,F6537))</f>
        <v/>
      </c>
      <c r="J6537">
        <f>IF(F6537="","",INT(H6537)-B6537)</f>
        <v/>
      </c>
      <c r="K6537">
        <f>IF(B6537&gt;=Settings!$C$5,1,0)</f>
        <v/>
      </c>
    </row>
    <row r="6538">
      <c r="A6538" t="inlineStr">
        <is>
          <t>155882bd2be6bbd7f2e84ef47700b81a</t>
        </is>
      </c>
      <c r="B6538" s="29" t="n">
        <v>43082</v>
      </c>
      <c r="C6538" t="inlineStr">
        <is>
          <t>2017-12</t>
        </is>
      </c>
      <c r="D6538" t="inlineStr">
        <is>
          <t>9df372c20395ad99d9cb43dfd84e305f</t>
        </is>
      </c>
      <c r="E6538" t="inlineStr">
        <is>
          <t>referral</t>
        </is>
      </c>
      <c r="F6538">
        <f>IFERROR(MATCH(A6538,Deals!$A$2:$A$843,0),"")</f>
        <v/>
      </c>
      <c r="G6538">
        <f>IF(F6538="",0,1)</f>
        <v/>
      </c>
      <c r="H6538" s="29">
        <f>IF(F6538="","",INDEX(Deals!$E$2:$E$843,F6538))</f>
        <v/>
      </c>
      <c r="I6538">
        <f>IF(F6538="","",INDEX(Deals!$D$2:$D$843,F6538))</f>
        <v/>
      </c>
      <c r="J6538">
        <f>IF(F6538="","",INT(H6538)-B6538)</f>
        <v/>
      </c>
      <c r="K6538">
        <f>IF(B6538&gt;=Settings!$C$5,1,0)</f>
        <v/>
      </c>
    </row>
    <row r="6539">
      <c r="A6539" t="inlineStr">
        <is>
          <t>2c0b63ee34715edf629f6c3e41c8a6b2</t>
        </is>
      </c>
      <c r="B6539" s="29" t="n">
        <v>43243</v>
      </c>
      <c r="C6539" t="inlineStr">
        <is>
          <t>2018-05</t>
        </is>
      </c>
      <c r="D6539" t="inlineStr">
        <is>
          <t>58326e62183c14b0c03085c33b9fdc44</t>
        </is>
      </c>
      <c r="E6539" t="inlineStr">
        <is>
          <t>social</t>
        </is>
      </c>
      <c r="F6539">
        <f>IFERROR(MATCH(A6539,Deals!$A$2:$A$843,0),"")</f>
        <v/>
      </c>
      <c r="G6539">
        <f>IF(F6539="",0,1)</f>
        <v/>
      </c>
      <c r="H6539" s="29">
        <f>IF(F6539="","",INDEX(Deals!$E$2:$E$843,F6539))</f>
        <v/>
      </c>
      <c r="I6539">
        <f>IF(F6539="","",INDEX(Deals!$D$2:$D$843,F6539))</f>
        <v/>
      </c>
      <c r="J6539">
        <f>IF(F6539="","",INT(H6539)-B6539)</f>
        <v/>
      </c>
      <c r="K6539">
        <f>IF(B6539&gt;=Settings!$C$5,1,0)</f>
        <v/>
      </c>
    </row>
    <row r="6540">
      <c r="A6540" t="inlineStr">
        <is>
          <t>88759fc0e73600b1a941d8defae4d6b8</t>
        </is>
      </c>
      <c r="B6540" s="29" t="n">
        <v>43183</v>
      </c>
      <c r="C6540" t="inlineStr">
        <is>
          <t>2018-03</t>
        </is>
      </c>
      <c r="D6540" t="inlineStr">
        <is>
          <t>58f8c0a253663304e348e81298bc255e</t>
        </is>
      </c>
      <c r="E6540" t="inlineStr">
        <is>
          <t>email</t>
        </is>
      </c>
      <c r="F6540">
        <f>IFERROR(MATCH(A6540,Deals!$A$2:$A$843,0),"")</f>
        <v/>
      </c>
      <c r="G6540">
        <f>IF(F6540="",0,1)</f>
        <v/>
      </c>
      <c r="H6540" s="29">
        <f>IF(F6540="","",INDEX(Deals!$E$2:$E$843,F6540))</f>
        <v/>
      </c>
      <c r="I6540">
        <f>IF(F6540="","",INDEX(Deals!$D$2:$D$843,F6540))</f>
        <v/>
      </c>
      <c r="J6540">
        <f>IF(F6540="","",INT(H6540)-B6540)</f>
        <v/>
      </c>
      <c r="K6540">
        <f>IF(B6540&gt;=Settings!$C$5,1,0)</f>
        <v/>
      </c>
    </row>
    <row r="6541">
      <c r="A6541" t="inlineStr">
        <is>
          <t>62bd738b34b531c688288d719e54d5f8</t>
        </is>
      </c>
      <c r="B6541" s="29" t="n">
        <v>43235</v>
      </c>
      <c r="C6541" t="inlineStr">
        <is>
          <t>2018-05</t>
        </is>
      </c>
      <c r="D6541" t="inlineStr">
        <is>
          <t>6a110e795dd487f1cf8d7583671987af</t>
        </is>
      </c>
      <c r="E6541" t="inlineStr">
        <is>
          <t>unknown</t>
        </is>
      </c>
      <c r="F6541">
        <f>IFERROR(MATCH(A6541,Deals!$A$2:$A$843,0),"")</f>
        <v/>
      </c>
      <c r="G6541">
        <f>IF(F6541="",0,1)</f>
        <v/>
      </c>
      <c r="H6541" s="29">
        <f>IF(F6541="","",INDEX(Deals!$E$2:$E$843,F6541))</f>
        <v/>
      </c>
      <c r="I6541">
        <f>IF(F6541="","",INDEX(Deals!$D$2:$D$843,F6541))</f>
        <v/>
      </c>
      <c r="J6541">
        <f>IF(F6541="","",INT(H6541)-B6541)</f>
        <v/>
      </c>
      <c r="K6541">
        <f>IF(B6541&gt;=Settings!$C$5,1,0)</f>
        <v/>
      </c>
    </row>
    <row r="6542">
      <c r="A6542" t="inlineStr">
        <is>
          <t>84553c65c2ee604b13e9bb8c8f9e6357</t>
        </is>
      </c>
      <c r="B6542" s="29" t="n">
        <v>43171</v>
      </c>
      <c r="C6542" t="inlineStr">
        <is>
          <t>2018-03</t>
        </is>
      </c>
      <c r="D6542" t="inlineStr">
        <is>
          <t>88740e65d5d6b056e0cda098e1ea6313</t>
        </is>
      </c>
      <c r="E6542" t="inlineStr">
        <is>
          <t>social</t>
        </is>
      </c>
      <c r="F6542">
        <f>IFERROR(MATCH(A6542,Deals!$A$2:$A$843,0),"")</f>
        <v/>
      </c>
      <c r="G6542">
        <f>IF(F6542="",0,1)</f>
        <v/>
      </c>
      <c r="H6542" s="29">
        <f>IF(F6542="","",INDEX(Deals!$E$2:$E$843,F6542))</f>
        <v/>
      </c>
      <c r="I6542">
        <f>IF(F6542="","",INDEX(Deals!$D$2:$D$843,F6542))</f>
        <v/>
      </c>
      <c r="J6542">
        <f>IF(F6542="","",INT(H6542)-B6542)</f>
        <v/>
      </c>
      <c r="K6542">
        <f>IF(B6542&gt;=Settings!$C$5,1,0)</f>
        <v/>
      </c>
    </row>
    <row r="6543">
      <c r="A6543" t="inlineStr">
        <is>
          <t>bd50bebec256c500722bd95b6922f31f</t>
        </is>
      </c>
      <c r="B6543" s="29" t="n">
        <v>43124</v>
      </c>
      <c r="C6543" t="inlineStr">
        <is>
          <t>2018-01</t>
        </is>
      </c>
      <c r="D6543" t="inlineStr">
        <is>
          <t>40dec9f3d5259a3d2dbcdab2114fae47</t>
        </is>
      </c>
      <c r="E6543" t="inlineStr">
        <is>
          <t>referral</t>
        </is>
      </c>
      <c r="F6543">
        <f>IFERROR(MATCH(A6543,Deals!$A$2:$A$843,0),"")</f>
        <v/>
      </c>
      <c r="G6543">
        <f>IF(F6543="",0,1)</f>
        <v/>
      </c>
      <c r="H6543" s="29">
        <f>IF(F6543="","",INDEX(Deals!$E$2:$E$843,F6543))</f>
        <v/>
      </c>
      <c r="I6543">
        <f>IF(F6543="","",INDEX(Deals!$D$2:$D$843,F6543))</f>
        <v/>
      </c>
      <c r="J6543">
        <f>IF(F6543="","",INT(H6543)-B6543)</f>
        <v/>
      </c>
      <c r="K6543">
        <f>IF(B6543&gt;=Settings!$C$5,1,0)</f>
        <v/>
      </c>
    </row>
    <row r="6544">
      <c r="A6544" t="inlineStr">
        <is>
          <t>28f82072a5a18e86fd5a4dce4fce5aa5</t>
        </is>
      </c>
      <c r="B6544" s="29" t="n">
        <v>43185</v>
      </c>
      <c r="C6544" t="inlineStr">
        <is>
          <t>2018-03</t>
        </is>
      </c>
      <c r="D6544" t="inlineStr">
        <is>
          <t>ce1a65abd0973638f1c887a6efcfa82d</t>
        </is>
      </c>
      <c r="E6544" t="inlineStr">
        <is>
          <t>organic_search</t>
        </is>
      </c>
      <c r="F6544">
        <f>IFERROR(MATCH(A6544,Deals!$A$2:$A$843,0),"")</f>
        <v/>
      </c>
      <c r="G6544">
        <f>IF(F6544="",0,1)</f>
        <v/>
      </c>
      <c r="H6544" s="29">
        <f>IF(F6544="","",INDEX(Deals!$E$2:$E$843,F6544))</f>
        <v/>
      </c>
      <c r="I6544">
        <f>IF(F6544="","",INDEX(Deals!$D$2:$D$843,F6544))</f>
        <v/>
      </c>
      <c r="J6544">
        <f>IF(F6544="","",INT(H6544)-B6544)</f>
        <v/>
      </c>
      <c r="K6544">
        <f>IF(B6544&gt;=Settings!$C$5,1,0)</f>
        <v/>
      </c>
    </row>
    <row r="6545">
      <c r="A6545" t="inlineStr">
        <is>
          <t>a3f0bf3bab7b197f173b2fc81a275eae</t>
        </is>
      </c>
      <c r="B6545" s="29" t="n">
        <v>43245</v>
      </c>
      <c r="C6545" t="inlineStr">
        <is>
          <t>2018-05</t>
        </is>
      </c>
      <c r="D6545" t="inlineStr">
        <is>
          <t>f017be4dbf86243af5c1ebed0cff36a2</t>
        </is>
      </c>
      <c r="E6545" t="inlineStr">
        <is>
          <t>organic_search</t>
        </is>
      </c>
      <c r="F6545">
        <f>IFERROR(MATCH(A6545,Deals!$A$2:$A$843,0),"")</f>
        <v/>
      </c>
      <c r="G6545">
        <f>IF(F6545="",0,1)</f>
        <v/>
      </c>
      <c r="H6545" s="29">
        <f>IF(F6545="","",INDEX(Deals!$E$2:$E$843,F6545))</f>
        <v/>
      </c>
      <c r="I6545">
        <f>IF(F6545="","",INDEX(Deals!$D$2:$D$843,F6545))</f>
        <v/>
      </c>
      <c r="J6545">
        <f>IF(F6545="","",INT(H6545)-B6545)</f>
        <v/>
      </c>
      <c r="K6545">
        <f>IF(B6545&gt;=Settings!$C$5,1,0)</f>
        <v/>
      </c>
    </row>
    <row r="6546">
      <c r="A6546" t="inlineStr">
        <is>
          <t>18491156799c51080e55a1cc72ac93fd</t>
        </is>
      </c>
      <c r="B6546" s="29" t="n">
        <v>43066</v>
      </c>
      <c r="C6546" t="inlineStr">
        <is>
          <t>2017-11</t>
        </is>
      </c>
      <c r="D6546" t="inlineStr">
        <is>
          <t>58f8c0a253663304e348e81298bc255e</t>
        </is>
      </c>
      <c r="E6546" t="inlineStr">
        <is>
          <t>unknown</t>
        </is>
      </c>
      <c r="F6546">
        <f>IFERROR(MATCH(A6546,Deals!$A$2:$A$843,0),"")</f>
        <v/>
      </c>
      <c r="G6546">
        <f>IF(F6546="",0,1)</f>
        <v/>
      </c>
      <c r="H6546" s="29">
        <f>IF(F6546="","",INDEX(Deals!$E$2:$E$843,F6546))</f>
        <v/>
      </c>
      <c r="I6546">
        <f>IF(F6546="","",INDEX(Deals!$D$2:$D$843,F6546))</f>
        <v/>
      </c>
      <c r="J6546">
        <f>IF(F6546="","",INT(H6546)-B6546)</f>
        <v/>
      </c>
      <c r="K6546">
        <f>IF(B6546&gt;=Settings!$C$5,1,0)</f>
        <v/>
      </c>
    </row>
    <row r="6547">
      <c r="A6547" t="inlineStr">
        <is>
          <t>e2c212e45ba2d460f3bd1cfac305003a</t>
        </is>
      </c>
      <c r="B6547" s="29" t="n">
        <v>43216</v>
      </c>
      <c r="C6547" t="inlineStr">
        <is>
          <t>2018-04</t>
        </is>
      </c>
      <c r="D6547" t="inlineStr">
        <is>
          <t>d28554990d8c5273fedfde51f1f8a59d</t>
        </is>
      </c>
      <c r="E6547" t="inlineStr">
        <is>
          <t>unknown</t>
        </is>
      </c>
      <c r="F6547">
        <f>IFERROR(MATCH(A6547,Deals!$A$2:$A$843,0),"")</f>
        <v/>
      </c>
      <c r="G6547">
        <f>IF(F6547="",0,1)</f>
        <v/>
      </c>
      <c r="H6547" s="29">
        <f>IF(F6547="","",INDEX(Deals!$E$2:$E$843,F6547))</f>
        <v/>
      </c>
      <c r="I6547">
        <f>IF(F6547="","",INDEX(Deals!$D$2:$D$843,F6547))</f>
        <v/>
      </c>
      <c r="J6547">
        <f>IF(F6547="","",INT(H6547)-B6547)</f>
        <v/>
      </c>
      <c r="K6547">
        <f>IF(B6547&gt;=Settings!$C$5,1,0)</f>
        <v/>
      </c>
    </row>
    <row r="6548">
      <c r="A6548" t="inlineStr">
        <is>
          <t>d957c740b68c99460027ce006a09d2ba</t>
        </is>
      </c>
      <c r="B6548" s="29" t="n">
        <v>43010</v>
      </c>
      <c r="C6548" t="inlineStr">
        <is>
          <t>2017-10</t>
        </is>
      </c>
      <c r="D6548" t="inlineStr">
        <is>
          <t>ff3416719616ad4921acb8c74e21d6f0</t>
        </is>
      </c>
      <c r="E6548" t="inlineStr">
        <is>
          <t>email</t>
        </is>
      </c>
      <c r="F6548">
        <f>IFERROR(MATCH(A6548,Deals!$A$2:$A$843,0),"")</f>
        <v/>
      </c>
      <c r="G6548">
        <f>IF(F6548="",0,1)</f>
        <v/>
      </c>
      <c r="H6548" s="29">
        <f>IF(F6548="","",INDEX(Deals!$E$2:$E$843,F6548))</f>
        <v/>
      </c>
      <c r="I6548">
        <f>IF(F6548="","",INDEX(Deals!$D$2:$D$843,F6548))</f>
        <v/>
      </c>
      <c r="J6548">
        <f>IF(F6548="","",INT(H6548)-B6548)</f>
        <v/>
      </c>
      <c r="K6548">
        <f>IF(B6548&gt;=Settings!$C$5,1,0)</f>
        <v/>
      </c>
    </row>
    <row r="6549">
      <c r="A6549" t="inlineStr">
        <is>
          <t>990cc4542b939a4b022248666a124fc1</t>
        </is>
      </c>
      <c r="B6549" s="29" t="n">
        <v>43138</v>
      </c>
      <c r="C6549" t="inlineStr">
        <is>
          <t>2018-02</t>
        </is>
      </c>
      <c r="D6549" t="inlineStr">
        <is>
          <t>30077c17f2ec5010a82e37ad8925b95f</t>
        </is>
      </c>
      <c r="E6549" t="inlineStr">
        <is>
          <t>organic_search</t>
        </is>
      </c>
      <c r="F6549">
        <f>IFERROR(MATCH(A6549,Deals!$A$2:$A$843,0),"")</f>
        <v/>
      </c>
      <c r="G6549">
        <f>IF(F6549="",0,1)</f>
        <v/>
      </c>
      <c r="H6549" s="29">
        <f>IF(F6549="","",INDEX(Deals!$E$2:$E$843,F6549))</f>
        <v/>
      </c>
      <c r="I6549">
        <f>IF(F6549="","",INDEX(Deals!$D$2:$D$843,F6549))</f>
        <v/>
      </c>
      <c r="J6549">
        <f>IF(F6549="","",INT(H6549)-B6549)</f>
        <v/>
      </c>
      <c r="K6549">
        <f>IF(B6549&gt;=Settings!$C$5,1,0)</f>
        <v/>
      </c>
    </row>
    <row r="6550">
      <c r="A6550" t="inlineStr">
        <is>
          <t>1f58b5ce3e6444b0f94cdccab62090a2</t>
        </is>
      </c>
      <c r="B6550" s="29" t="n">
        <v>43075</v>
      </c>
      <c r="C6550" t="inlineStr">
        <is>
          <t>2017-12</t>
        </is>
      </c>
      <c r="D6550" t="inlineStr">
        <is>
          <t>4c683c64df361d9d0ca0257aa0d80f49</t>
        </is>
      </c>
      <c r="E6550" t="inlineStr">
        <is>
          <t>email</t>
        </is>
      </c>
      <c r="F6550">
        <f>IFERROR(MATCH(A6550,Deals!$A$2:$A$843,0),"")</f>
        <v/>
      </c>
      <c r="G6550">
        <f>IF(F6550="",0,1)</f>
        <v/>
      </c>
      <c r="H6550" s="29">
        <f>IF(F6550="","",INDEX(Deals!$E$2:$E$843,F6550))</f>
        <v/>
      </c>
      <c r="I6550">
        <f>IF(F6550="","",INDEX(Deals!$D$2:$D$843,F6550))</f>
        <v/>
      </c>
      <c r="J6550">
        <f>IF(F6550="","",INT(H6550)-B6550)</f>
        <v/>
      </c>
      <c r="K6550">
        <f>IF(B6550&gt;=Settings!$C$5,1,0)</f>
        <v/>
      </c>
    </row>
    <row r="6551">
      <c r="A6551" t="inlineStr">
        <is>
          <t>7fe059987fe6e9d0cb6a7c2e98874d4c</t>
        </is>
      </c>
      <c r="B6551" s="29" t="n">
        <v>43130</v>
      </c>
      <c r="C6551" t="inlineStr">
        <is>
          <t>2018-01</t>
        </is>
      </c>
      <c r="D6551" t="inlineStr">
        <is>
          <t>4e82dd1f6d00626bda0723eef0a269a6</t>
        </is>
      </c>
      <c r="E6551" t="inlineStr">
        <is>
          <t>organic_search</t>
        </is>
      </c>
      <c r="F6551">
        <f>IFERROR(MATCH(A6551,Deals!$A$2:$A$843,0),"")</f>
        <v/>
      </c>
      <c r="G6551">
        <f>IF(F6551="",0,1)</f>
        <v/>
      </c>
      <c r="H6551" s="29">
        <f>IF(F6551="","",INDEX(Deals!$E$2:$E$843,F6551))</f>
        <v/>
      </c>
      <c r="I6551">
        <f>IF(F6551="","",INDEX(Deals!$D$2:$D$843,F6551))</f>
        <v/>
      </c>
      <c r="J6551">
        <f>IF(F6551="","",INT(H6551)-B6551)</f>
        <v/>
      </c>
      <c r="K6551">
        <f>IF(B6551&gt;=Settings!$C$5,1,0)</f>
        <v/>
      </c>
    </row>
    <row r="6552">
      <c r="A6552" t="inlineStr">
        <is>
          <t>9498ed9da593442dddeb83b6e0535e61</t>
        </is>
      </c>
      <c r="B6552" s="29" t="n">
        <v>43137</v>
      </c>
      <c r="C6552" t="inlineStr">
        <is>
          <t>2018-02</t>
        </is>
      </c>
      <c r="D6552" t="inlineStr">
        <is>
          <t>dfc3b656bac13de62e4efca322b3f2c1</t>
        </is>
      </c>
      <c r="E6552" t="inlineStr">
        <is>
          <t>email</t>
        </is>
      </c>
      <c r="F6552">
        <f>IFERROR(MATCH(A6552,Deals!$A$2:$A$843,0),"")</f>
        <v/>
      </c>
      <c r="G6552">
        <f>IF(F6552="",0,1)</f>
        <v/>
      </c>
      <c r="H6552" s="29">
        <f>IF(F6552="","",INDEX(Deals!$E$2:$E$843,F6552))</f>
        <v/>
      </c>
      <c r="I6552">
        <f>IF(F6552="","",INDEX(Deals!$D$2:$D$843,F6552))</f>
        <v/>
      </c>
      <c r="J6552">
        <f>IF(F6552="","",INT(H6552)-B6552)</f>
        <v/>
      </c>
      <c r="K6552">
        <f>IF(B6552&gt;=Settings!$C$5,1,0)</f>
        <v/>
      </c>
    </row>
    <row r="6553">
      <c r="A6553" t="inlineStr">
        <is>
          <t>321490c58d4ea3d4c09d27b3cb7adefa</t>
        </is>
      </c>
      <c r="B6553" s="29" t="n">
        <v>43115</v>
      </c>
      <c r="C6553" t="inlineStr">
        <is>
          <t>2018-01</t>
        </is>
      </c>
      <c r="D6553" t="inlineStr">
        <is>
          <t>a7982125ff7aa3b2054c6e44f9d28522</t>
        </is>
      </c>
      <c r="E6553" t="inlineStr">
        <is>
          <t>organic_search</t>
        </is>
      </c>
      <c r="F6553">
        <f>IFERROR(MATCH(A6553,Deals!$A$2:$A$843,0),"")</f>
        <v/>
      </c>
      <c r="G6553">
        <f>IF(F6553="",0,1)</f>
        <v/>
      </c>
      <c r="H6553" s="29">
        <f>IF(F6553="","",INDEX(Deals!$E$2:$E$843,F6553))</f>
        <v/>
      </c>
      <c r="I6553">
        <f>IF(F6553="","",INDEX(Deals!$D$2:$D$843,F6553))</f>
        <v/>
      </c>
      <c r="J6553">
        <f>IF(F6553="","",INT(H6553)-B6553)</f>
        <v/>
      </c>
      <c r="K6553">
        <f>IF(B6553&gt;=Settings!$C$5,1,0)</f>
        <v/>
      </c>
    </row>
    <row r="6554">
      <c r="A6554" t="inlineStr">
        <is>
          <t>dbe5b26b5ed29d8c0e1daa96f2a92370</t>
        </is>
      </c>
      <c r="B6554" s="29" t="n">
        <v>43241</v>
      </c>
      <c r="C6554" t="inlineStr">
        <is>
          <t>2018-05</t>
        </is>
      </c>
      <c r="D6554" t="inlineStr">
        <is>
          <t>330b9d44078a1ae5a221d655dcb77afa</t>
        </is>
      </c>
      <c r="E6554" t="inlineStr">
        <is>
          <t>email</t>
        </is>
      </c>
      <c r="F6554">
        <f>IFERROR(MATCH(A6554,Deals!$A$2:$A$843,0),"")</f>
        <v/>
      </c>
      <c r="G6554">
        <f>IF(F6554="",0,1)</f>
        <v/>
      </c>
      <c r="H6554" s="29">
        <f>IF(F6554="","",INDEX(Deals!$E$2:$E$843,F6554))</f>
        <v/>
      </c>
      <c r="I6554">
        <f>IF(F6554="","",INDEX(Deals!$D$2:$D$843,F6554))</f>
        <v/>
      </c>
      <c r="J6554">
        <f>IF(F6554="","",INT(H6554)-B6554)</f>
        <v/>
      </c>
      <c r="K6554">
        <f>IF(B6554&gt;=Settings!$C$5,1,0)</f>
        <v/>
      </c>
    </row>
    <row r="6555">
      <c r="A6555" t="inlineStr">
        <is>
          <t>02344d723e060b8889a93deb829d701c</t>
        </is>
      </c>
      <c r="B6555" s="29" t="n">
        <v>43247</v>
      </c>
      <c r="C6555" t="inlineStr">
        <is>
          <t>2018-05</t>
        </is>
      </c>
      <c r="D6555" t="inlineStr">
        <is>
          <t>22c29808c4f815213303f8933030604c</t>
        </is>
      </c>
      <c r="E6555" t="inlineStr">
        <is>
          <t>organic_search</t>
        </is>
      </c>
      <c r="F6555">
        <f>IFERROR(MATCH(A6555,Deals!$A$2:$A$843,0),"")</f>
        <v/>
      </c>
      <c r="G6555">
        <f>IF(F6555="",0,1)</f>
        <v/>
      </c>
      <c r="H6555" s="29">
        <f>IF(F6555="","",INDEX(Deals!$E$2:$E$843,F6555))</f>
        <v/>
      </c>
      <c r="I6555">
        <f>IF(F6555="","",INDEX(Deals!$D$2:$D$843,F6555))</f>
        <v/>
      </c>
      <c r="J6555">
        <f>IF(F6555="","",INT(H6555)-B6555)</f>
        <v/>
      </c>
      <c r="K6555">
        <f>IF(B6555&gt;=Settings!$C$5,1,0)</f>
        <v/>
      </c>
    </row>
    <row r="6556">
      <c r="A6556" t="inlineStr">
        <is>
          <t>1df134a4343e125344de1e920a01ff80</t>
        </is>
      </c>
      <c r="B6556" s="29" t="n">
        <v>43033</v>
      </c>
      <c r="C6556" t="inlineStr">
        <is>
          <t>2017-10</t>
        </is>
      </c>
      <c r="D6556" t="inlineStr">
        <is>
          <t>b34c567bf9cfa6ddc40b5b0d2d9c5bc7</t>
        </is>
      </c>
      <c r="E6556" t="inlineStr">
        <is>
          <t>unknown</t>
        </is>
      </c>
      <c r="F6556">
        <f>IFERROR(MATCH(A6556,Deals!$A$2:$A$843,0),"")</f>
        <v/>
      </c>
      <c r="G6556">
        <f>IF(F6556="",0,1)</f>
        <v/>
      </c>
      <c r="H6556" s="29">
        <f>IF(F6556="","",INDEX(Deals!$E$2:$E$843,F6556))</f>
        <v/>
      </c>
      <c r="I6556">
        <f>IF(F6556="","",INDEX(Deals!$D$2:$D$843,F6556))</f>
        <v/>
      </c>
      <c r="J6556">
        <f>IF(F6556="","",INT(H6556)-B6556)</f>
        <v/>
      </c>
      <c r="K6556">
        <f>IF(B6556&gt;=Settings!$C$5,1,0)</f>
        <v/>
      </c>
    </row>
    <row r="6557">
      <c r="A6557" t="inlineStr">
        <is>
          <t>bb5e2c8c1c4b94480182b27de9e59821</t>
        </is>
      </c>
      <c r="B6557" s="29" t="n">
        <v>43137</v>
      </c>
      <c r="C6557" t="inlineStr">
        <is>
          <t>2018-02</t>
        </is>
      </c>
      <c r="D6557" t="inlineStr">
        <is>
          <t>40dec9f3d5259a3d2dbcdab2114fae47</t>
        </is>
      </c>
      <c r="E6557" t="inlineStr">
        <is>
          <t>paid_search</t>
        </is>
      </c>
      <c r="F6557">
        <f>IFERROR(MATCH(A6557,Deals!$A$2:$A$843,0),"")</f>
        <v/>
      </c>
      <c r="G6557">
        <f>IF(F6557="",0,1)</f>
        <v/>
      </c>
      <c r="H6557" s="29">
        <f>IF(F6557="","",INDEX(Deals!$E$2:$E$843,F6557))</f>
        <v/>
      </c>
      <c r="I6557">
        <f>IF(F6557="","",INDEX(Deals!$D$2:$D$843,F6557))</f>
        <v/>
      </c>
      <c r="J6557">
        <f>IF(F6557="","",INT(H6557)-B6557)</f>
        <v/>
      </c>
      <c r="K6557">
        <f>IF(B6557&gt;=Settings!$C$5,1,0)</f>
        <v/>
      </c>
    </row>
    <row r="6558">
      <c r="A6558" t="inlineStr">
        <is>
          <t>b4a52d5e8d7a56355abf7597fe5b2bbd</t>
        </is>
      </c>
      <c r="B6558" s="29" t="n">
        <v>43192</v>
      </c>
      <c r="C6558" t="inlineStr">
        <is>
          <t>2018-04</t>
        </is>
      </c>
      <c r="D6558" t="inlineStr">
        <is>
          <t>36120633c8737035fbabf079082f4ec1</t>
        </is>
      </c>
      <c r="E6558" t="inlineStr">
        <is>
          <t>organic_search</t>
        </is>
      </c>
      <c r="F6558">
        <f>IFERROR(MATCH(A6558,Deals!$A$2:$A$843,0),"")</f>
        <v/>
      </c>
      <c r="G6558">
        <f>IF(F6558="",0,1)</f>
        <v/>
      </c>
      <c r="H6558" s="29">
        <f>IF(F6558="","",INDEX(Deals!$E$2:$E$843,F6558))</f>
        <v/>
      </c>
      <c r="I6558">
        <f>IF(F6558="","",INDEX(Deals!$D$2:$D$843,F6558))</f>
        <v/>
      </c>
      <c r="J6558">
        <f>IF(F6558="","",INT(H6558)-B6558)</f>
        <v/>
      </c>
      <c r="K6558">
        <f>IF(B6558&gt;=Settings!$C$5,1,0)</f>
        <v/>
      </c>
    </row>
    <row r="6559">
      <c r="A6559" t="inlineStr">
        <is>
          <t>fbdc4c9cf46e2ec05a0918c7ac9a0c69</t>
        </is>
      </c>
      <c r="B6559" s="29" t="n">
        <v>43157</v>
      </c>
      <c r="C6559" t="inlineStr">
        <is>
          <t>2018-02</t>
        </is>
      </c>
      <c r="D6559" t="inlineStr">
        <is>
          <t>0e5a178e3cd2368607f3e72f46140476</t>
        </is>
      </c>
      <c r="E6559" t="inlineStr">
        <is>
          <t>email</t>
        </is>
      </c>
      <c r="F6559">
        <f>IFERROR(MATCH(A6559,Deals!$A$2:$A$843,0),"")</f>
        <v/>
      </c>
      <c r="G6559">
        <f>IF(F6559="",0,1)</f>
        <v/>
      </c>
      <c r="H6559" s="29">
        <f>IF(F6559="","",INDEX(Deals!$E$2:$E$843,F6559))</f>
        <v/>
      </c>
      <c r="I6559">
        <f>IF(F6559="","",INDEX(Deals!$D$2:$D$843,F6559))</f>
        <v/>
      </c>
      <c r="J6559">
        <f>IF(F6559="","",INT(H6559)-B6559)</f>
        <v/>
      </c>
      <c r="K6559">
        <f>IF(B6559&gt;=Settings!$C$5,1,0)</f>
        <v/>
      </c>
    </row>
    <row r="6560">
      <c r="A6560" t="inlineStr">
        <is>
          <t>984da878ed3cbfe513b2dc947a15f7a7</t>
        </is>
      </c>
      <c r="B6560" s="29" t="n">
        <v>43193</v>
      </c>
      <c r="C6560" t="inlineStr">
        <is>
          <t>2018-04</t>
        </is>
      </c>
      <c r="D6560" t="inlineStr">
        <is>
          <t>58326e62183c14b0c03085c33b9fdc44</t>
        </is>
      </c>
      <c r="E6560" t="inlineStr">
        <is>
          <t>social</t>
        </is>
      </c>
      <c r="F6560">
        <f>IFERROR(MATCH(A6560,Deals!$A$2:$A$843,0),"")</f>
        <v/>
      </c>
      <c r="G6560">
        <f>IF(F6560="",0,1)</f>
        <v/>
      </c>
      <c r="H6560" s="29">
        <f>IF(F6560="","",INDEX(Deals!$E$2:$E$843,F6560))</f>
        <v/>
      </c>
      <c r="I6560">
        <f>IF(F6560="","",INDEX(Deals!$D$2:$D$843,F6560))</f>
        <v/>
      </c>
      <c r="J6560">
        <f>IF(F6560="","",INT(H6560)-B6560)</f>
        <v/>
      </c>
      <c r="K6560">
        <f>IF(B6560&gt;=Settings!$C$5,1,0)</f>
        <v/>
      </c>
    </row>
    <row r="6561">
      <c r="A6561" t="inlineStr">
        <is>
          <t>bf1d6630399b41762101974ce48e426f</t>
        </is>
      </c>
      <c r="B6561" s="29" t="n">
        <v>43136</v>
      </c>
      <c r="C6561" t="inlineStr">
        <is>
          <t>2018-02</t>
        </is>
      </c>
      <c r="D6561" t="inlineStr">
        <is>
          <t>40dec9f3d5259a3d2dbcdab2114fae47</t>
        </is>
      </c>
      <c r="E6561" t="inlineStr">
        <is>
          <t>paid_search</t>
        </is>
      </c>
      <c r="F6561">
        <f>IFERROR(MATCH(A6561,Deals!$A$2:$A$843,0),"")</f>
        <v/>
      </c>
      <c r="G6561">
        <f>IF(F6561="",0,1)</f>
        <v/>
      </c>
      <c r="H6561" s="29">
        <f>IF(F6561="","",INDEX(Deals!$E$2:$E$843,F6561))</f>
        <v/>
      </c>
      <c r="I6561">
        <f>IF(F6561="","",INDEX(Deals!$D$2:$D$843,F6561))</f>
        <v/>
      </c>
      <c r="J6561">
        <f>IF(F6561="","",INT(H6561)-B6561)</f>
        <v/>
      </c>
      <c r="K6561">
        <f>IF(B6561&gt;=Settings!$C$5,1,0)</f>
        <v/>
      </c>
    </row>
    <row r="6562">
      <c r="A6562" t="inlineStr">
        <is>
          <t>7a0c35c6874df37d89972c5ec84856e3</t>
        </is>
      </c>
      <c r="B6562" s="29" t="n">
        <v>43154</v>
      </c>
      <c r="C6562" t="inlineStr">
        <is>
          <t>2018-02</t>
        </is>
      </c>
      <c r="D6562" t="inlineStr">
        <is>
          <t>5325ad032ef3e3d5e7dc9e1ec565fa23</t>
        </is>
      </c>
      <c r="E6562" t="inlineStr">
        <is>
          <t>paid_search</t>
        </is>
      </c>
      <c r="F6562">
        <f>IFERROR(MATCH(A6562,Deals!$A$2:$A$843,0),"")</f>
        <v/>
      </c>
      <c r="G6562">
        <f>IF(F6562="",0,1)</f>
        <v/>
      </c>
      <c r="H6562" s="29">
        <f>IF(F6562="","",INDEX(Deals!$E$2:$E$843,F6562))</f>
        <v/>
      </c>
      <c r="I6562">
        <f>IF(F6562="","",INDEX(Deals!$D$2:$D$843,F6562))</f>
        <v/>
      </c>
      <c r="J6562">
        <f>IF(F6562="","",INT(H6562)-B6562)</f>
        <v/>
      </c>
      <c r="K6562">
        <f>IF(B6562&gt;=Settings!$C$5,1,0)</f>
        <v/>
      </c>
    </row>
    <row r="6563">
      <c r="A6563" t="inlineStr">
        <is>
          <t>1f2733934120eee94d6f3a7df9ed85b1</t>
        </is>
      </c>
      <c r="B6563" s="29" t="n">
        <v>42936</v>
      </c>
      <c r="C6563" t="inlineStr">
        <is>
          <t>2017-07</t>
        </is>
      </c>
      <c r="D6563" t="inlineStr">
        <is>
          <t>b76ef37428e6799c421989521c0e5077</t>
        </is>
      </c>
      <c r="E6563" t="inlineStr">
        <is>
          <t>unknown</t>
        </is>
      </c>
      <c r="F6563">
        <f>IFERROR(MATCH(A6563,Deals!$A$2:$A$843,0),"")</f>
        <v/>
      </c>
      <c r="G6563">
        <f>IF(F6563="",0,1)</f>
        <v/>
      </c>
      <c r="H6563" s="29">
        <f>IF(F6563="","",INDEX(Deals!$E$2:$E$843,F6563))</f>
        <v/>
      </c>
      <c r="I6563">
        <f>IF(F6563="","",INDEX(Deals!$D$2:$D$843,F6563))</f>
        <v/>
      </c>
      <c r="J6563">
        <f>IF(F6563="","",INT(H6563)-B6563)</f>
        <v/>
      </c>
      <c r="K6563">
        <f>IF(B6563&gt;=Settings!$C$5,1,0)</f>
        <v/>
      </c>
    </row>
    <row r="6564">
      <c r="A6564" t="inlineStr">
        <is>
          <t>dfbbd56dd734236492ffc79f2c16b106</t>
        </is>
      </c>
      <c r="B6564" s="29" t="n">
        <v>43208</v>
      </c>
      <c r="C6564" t="inlineStr">
        <is>
          <t>2018-04</t>
        </is>
      </c>
      <c r="D6564" t="inlineStr">
        <is>
          <t>58326e62183c14b0c03085c33b9fdc44</t>
        </is>
      </c>
      <c r="E6564" t="inlineStr">
        <is>
          <t>social</t>
        </is>
      </c>
      <c r="F6564">
        <f>IFERROR(MATCH(A6564,Deals!$A$2:$A$843,0),"")</f>
        <v/>
      </c>
      <c r="G6564">
        <f>IF(F6564="",0,1)</f>
        <v/>
      </c>
      <c r="H6564" s="29">
        <f>IF(F6564="","",INDEX(Deals!$E$2:$E$843,F6564))</f>
        <v/>
      </c>
      <c r="I6564">
        <f>IF(F6564="","",INDEX(Deals!$D$2:$D$843,F6564))</f>
        <v/>
      </c>
      <c r="J6564">
        <f>IF(F6564="","",INT(H6564)-B6564)</f>
        <v/>
      </c>
      <c r="K6564">
        <f>IF(B6564&gt;=Settings!$C$5,1,0)</f>
        <v/>
      </c>
    </row>
    <row r="6565">
      <c r="A6565" t="inlineStr">
        <is>
          <t>cd8b6b3c5d37cd78b6de2c4b5e80b15d</t>
        </is>
      </c>
      <c r="B6565" s="29" t="n">
        <v>43118</v>
      </c>
      <c r="C6565" t="inlineStr">
        <is>
          <t>2018-01</t>
        </is>
      </c>
      <c r="D6565" t="inlineStr">
        <is>
          <t>a7982125ff7aa3b2054c6e44f9d28522</t>
        </is>
      </c>
      <c r="E6565" t="inlineStr">
        <is>
          <t>organic_search</t>
        </is>
      </c>
      <c r="F6565">
        <f>IFERROR(MATCH(A6565,Deals!$A$2:$A$843,0),"")</f>
        <v/>
      </c>
      <c r="G6565">
        <f>IF(F6565="",0,1)</f>
        <v/>
      </c>
      <c r="H6565" s="29">
        <f>IF(F6565="","",INDEX(Deals!$E$2:$E$843,F6565))</f>
        <v/>
      </c>
      <c r="I6565">
        <f>IF(F6565="","",INDEX(Deals!$D$2:$D$843,F6565))</f>
        <v/>
      </c>
      <c r="J6565">
        <f>IF(F6565="","",INT(H6565)-B6565)</f>
        <v/>
      </c>
      <c r="K6565">
        <f>IF(B6565&gt;=Settings!$C$5,1,0)</f>
        <v/>
      </c>
    </row>
    <row r="6566">
      <c r="A6566" t="inlineStr">
        <is>
          <t>988351ce43f13c91eff27470890c8376</t>
        </is>
      </c>
      <c r="B6566" s="29" t="n">
        <v>43063</v>
      </c>
      <c r="C6566" t="inlineStr">
        <is>
          <t>2017-11</t>
        </is>
      </c>
      <c r="D6566" t="inlineStr">
        <is>
          <t>4e82dd1f6d00626bda0723eef0a269a6</t>
        </is>
      </c>
      <c r="E6566" t="inlineStr">
        <is>
          <t>organic_search</t>
        </is>
      </c>
      <c r="F6566">
        <f>IFERROR(MATCH(A6566,Deals!$A$2:$A$843,0),"")</f>
        <v/>
      </c>
      <c r="G6566">
        <f>IF(F6566="",0,1)</f>
        <v/>
      </c>
      <c r="H6566" s="29">
        <f>IF(F6566="","",INDEX(Deals!$E$2:$E$843,F6566))</f>
        <v/>
      </c>
      <c r="I6566">
        <f>IF(F6566="","",INDEX(Deals!$D$2:$D$843,F6566))</f>
        <v/>
      </c>
      <c r="J6566">
        <f>IF(F6566="","",INT(H6566)-B6566)</f>
        <v/>
      </c>
      <c r="K6566">
        <f>IF(B6566&gt;=Settings!$C$5,1,0)</f>
        <v/>
      </c>
    </row>
    <row r="6567">
      <c r="A6567" t="inlineStr">
        <is>
          <t>61681a30d47dc8b1ec5180ccdec26ba5</t>
        </is>
      </c>
      <c r="B6567" s="29" t="n">
        <v>43124</v>
      </c>
      <c r="C6567" t="inlineStr">
        <is>
          <t>2018-01</t>
        </is>
      </c>
      <c r="D6567" t="inlineStr">
        <is>
          <t>30077c17f2ec5010a82e37ad8925b95f</t>
        </is>
      </c>
      <c r="E6567" t="inlineStr">
        <is>
          <t>(missing)</t>
        </is>
      </c>
      <c r="F6567">
        <f>IFERROR(MATCH(A6567,Deals!$A$2:$A$843,0),"")</f>
        <v/>
      </c>
      <c r="G6567">
        <f>IF(F6567="",0,1)</f>
        <v/>
      </c>
      <c r="H6567" s="29">
        <f>IF(F6567="","",INDEX(Deals!$E$2:$E$843,F6567))</f>
        <v/>
      </c>
      <c r="I6567">
        <f>IF(F6567="","",INDEX(Deals!$D$2:$D$843,F6567))</f>
        <v/>
      </c>
      <c r="J6567">
        <f>IF(F6567="","",INT(H6567)-B6567)</f>
        <v/>
      </c>
      <c r="K6567">
        <f>IF(B6567&gt;=Settings!$C$5,1,0)</f>
        <v/>
      </c>
    </row>
    <row r="6568">
      <c r="A6568" t="inlineStr">
        <is>
          <t>b71a60c8bdb4d9e8cfe4790de7d18c40</t>
        </is>
      </c>
      <c r="B6568" s="29" t="n">
        <v>43207</v>
      </c>
      <c r="C6568" t="inlineStr">
        <is>
          <t>2018-04</t>
        </is>
      </c>
      <c r="D6568" t="inlineStr">
        <is>
          <t>68f817c510c978e3a3a7474ad2aeb75c</t>
        </is>
      </c>
      <c r="E6568" t="inlineStr">
        <is>
          <t>paid_search</t>
        </is>
      </c>
      <c r="F6568">
        <f>IFERROR(MATCH(A6568,Deals!$A$2:$A$843,0),"")</f>
        <v/>
      </c>
      <c r="G6568">
        <f>IF(F6568="",0,1)</f>
        <v/>
      </c>
      <c r="H6568" s="29">
        <f>IF(F6568="","",INDEX(Deals!$E$2:$E$843,F6568))</f>
        <v/>
      </c>
      <c r="I6568">
        <f>IF(F6568="","",INDEX(Deals!$D$2:$D$843,F6568))</f>
        <v/>
      </c>
      <c r="J6568">
        <f>IF(F6568="","",INT(H6568)-B6568)</f>
        <v/>
      </c>
      <c r="K6568">
        <f>IF(B6568&gt;=Settings!$C$5,1,0)</f>
        <v/>
      </c>
    </row>
    <row r="6569">
      <c r="A6569" t="inlineStr">
        <is>
          <t>6e716527a676bd6a5db9d633797df5c4</t>
        </is>
      </c>
      <c r="B6569" s="29" t="n">
        <v>43181</v>
      </c>
      <c r="C6569" t="inlineStr">
        <is>
          <t>2018-03</t>
        </is>
      </c>
      <c r="D6569" t="inlineStr">
        <is>
          <t>e492ee5eaf1697716985cc6f33f9cd9b</t>
        </is>
      </c>
      <c r="E6569" t="inlineStr">
        <is>
          <t>paid_search</t>
        </is>
      </c>
      <c r="F6569">
        <f>IFERROR(MATCH(A6569,Deals!$A$2:$A$843,0),"")</f>
        <v/>
      </c>
      <c r="G6569">
        <f>IF(F6569="",0,1)</f>
        <v/>
      </c>
      <c r="H6569" s="29">
        <f>IF(F6569="","",INDEX(Deals!$E$2:$E$843,F6569))</f>
        <v/>
      </c>
      <c r="I6569">
        <f>IF(F6569="","",INDEX(Deals!$D$2:$D$843,F6569))</f>
        <v/>
      </c>
      <c r="J6569">
        <f>IF(F6569="","",INT(H6569)-B6569)</f>
        <v/>
      </c>
      <c r="K6569">
        <f>IF(B6569&gt;=Settings!$C$5,1,0)</f>
        <v/>
      </c>
    </row>
    <row r="6570">
      <c r="A6570" t="inlineStr">
        <is>
          <t>27ce438e6e1f602971ea0443f5d4428e</t>
        </is>
      </c>
      <c r="B6570" s="29" t="n">
        <v>43187</v>
      </c>
      <c r="C6570" t="inlineStr">
        <is>
          <t>2018-03</t>
        </is>
      </c>
      <c r="D6570" t="inlineStr">
        <is>
          <t>ce1a65abd0973638f1c887a6efcfa82d</t>
        </is>
      </c>
      <c r="E6570" t="inlineStr">
        <is>
          <t>organic_search</t>
        </is>
      </c>
      <c r="F6570">
        <f>IFERROR(MATCH(A6570,Deals!$A$2:$A$843,0),"")</f>
        <v/>
      </c>
      <c r="G6570">
        <f>IF(F6570="",0,1)</f>
        <v/>
      </c>
      <c r="H6570" s="29">
        <f>IF(F6570="","",INDEX(Deals!$E$2:$E$843,F6570))</f>
        <v/>
      </c>
      <c r="I6570">
        <f>IF(F6570="","",INDEX(Deals!$D$2:$D$843,F6570))</f>
        <v/>
      </c>
      <c r="J6570">
        <f>IF(F6570="","",INT(H6570)-B6570)</f>
        <v/>
      </c>
      <c r="K6570">
        <f>IF(B6570&gt;=Settings!$C$5,1,0)</f>
        <v/>
      </c>
    </row>
    <row r="6571">
      <c r="A6571" t="inlineStr">
        <is>
          <t>e143deaaa05532392f9ab5ca2af8fd2c</t>
        </is>
      </c>
      <c r="B6571" s="29" t="n">
        <v>42991</v>
      </c>
      <c r="C6571" t="inlineStr">
        <is>
          <t>2017-09</t>
        </is>
      </c>
      <c r="D6571" t="inlineStr">
        <is>
          <t>298895230612f85f0742434fc434ad10</t>
        </is>
      </c>
      <c r="E6571" t="inlineStr">
        <is>
          <t>email</t>
        </is>
      </c>
      <c r="F6571">
        <f>IFERROR(MATCH(A6571,Deals!$A$2:$A$843,0),"")</f>
        <v/>
      </c>
      <c r="G6571">
        <f>IF(F6571="",0,1)</f>
        <v/>
      </c>
      <c r="H6571" s="29">
        <f>IF(F6571="","",INDEX(Deals!$E$2:$E$843,F6571))</f>
        <v/>
      </c>
      <c r="I6571">
        <f>IF(F6571="","",INDEX(Deals!$D$2:$D$843,F6571))</f>
        <v/>
      </c>
      <c r="J6571">
        <f>IF(F6571="","",INT(H6571)-B6571)</f>
        <v/>
      </c>
      <c r="K6571">
        <f>IF(B6571&gt;=Settings!$C$5,1,0)</f>
        <v/>
      </c>
    </row>
    <row r="6572">
      <c r="A6572" t="inlineStr">
        <is>
          <t>f9d6b4b6c27bc520071ac934b5845e50</t>
        </is>
      </c>
      <c r="B6572" s="29" t="n">
        <v>42956</v>
      </c>
      <c r="C6572" t="inlineStr">
        <is>
          <t>2017-08</t>
        </is>
      </c>
      <c r="D6572" t="inlineStr">
        <is>
          <t>3cd2a8301d5395f21cdd3094c9eaa2f4</t>
        </is>
      </c>
      <c r="E6572" t="inlineStr">
        <is>
          <t>direct_traffic</t>
        </is>
      </c>
      <c r="F6572">
        <f>IFERROR(MATCH(A6572,Deals!$A$2:$A$843,0),"")</f>
        <v/>
      </c>
      <c r="G6572">
        <f>IF(F6572="",0,1)</f>
        <v/>
      </c>
      <c r="H6572" s="29">
        <f>IF(F6572="","",INDEX(Deals!$E$2:$E$843,F6572))</f>
        <v/>
      </c>
      <c r="I6572">
        <f>IF(F6572="","",INDEX(Deals!$D$2:$D$843,F6572))</f>
        <v/>
      </c>
      <c r="J6572">
        <f>IF(F6572="","",INT(H6572)-B6572)</f>
        <v/>
      </c>
      <c r="K6572">
        <f>IF(B6572&gt;=Settings!$C$5,1,0)</f>
        <v/>
      </c>
    </row>
    <row r="6573">
      <c r="A6573" t="inlineStr">
        <is>
          <t>0f1fc687aa65dc3bfee3c053472ce62a</t>
        </is>
      </c>
      <c r="B6573" s="29" t="n">
        <v>43045</v>
      </c>
      <c r="C6573" t="inlineStr">
        <is>
          <t>2017-11</t>
        </is>
      </c>
      <c r="D6573" t="inlineStr">
        <is>
          <t>21a104c3279681d9856b8a48723c4fee</t>
        </is>
      </c>
      <c r="E6573" t="inlineStr">
        <is>
          <t>email</t>
        </is>
      </c>
      <c r="F6573">
        <f>IFERROR(MATCH(A6573,Deals!$A$2:$A$843,0),"")</f>
        <v/>
      </c>
      <c r="G6573">
        <f>IF(F6573="",0,1)</f>
        <v/>
      </c>
      <c r="H6573" s="29">
        <f>IF(F6573="","",INDEX(Deals!$E$2:$E$843,F6573))</f>
        <v/>
      </c>
      <c r="I6573">
        <f>IF(F6573="","",INDEX(Deals!$D$2:$D$843,F6573))</f>
        <v/>
      </c>
      <c r="J6573">
        <f>IF(F6573="","",INT(H6573)-B6573)</f>
        <v/>
      </c>
      <c r="K6573">
        <f>IF(B6573&gt;=Settings!$C$5,1,0)</f>
        <v/>
      </c>
    </row>
    <row r="6574">
      <c r="A6574" t="inlineStr">
        <is>
          <t>5c737c9054455690570a9f7eac5dc198</t>
        </is>
      </c>
      <c r="B6574" s="29" t="n">
        <v>42940</v>
      </c>
      <c r="C6574" t="inlineStr">
        <is>
          <t>2017-07</t>
        </is>
      </c>
      <c r="D6574" t="inlineStr">
        <is>
          <t>e92a6f37ebb87a6bfbc569d439cf1635</t>
        </is>
      </c>
      <c r="E6574" t="inlineStr">
        <is>
          <t>unknown</t>
        </is>
      </c>
      <c r="F6574">
        <f>IFERROR(MATCH(A6574,Deals!$A$2:$A$843,0),"")</f>
        <v/>
      </c>
      <c r="G6574">
        <f>IF(F6574="",0,1)</f>
        <v/>
      </c>
      <c r="H6574" s="29">
        <f>IF(F6574="","",INDEX(Deals!$E$2:$E$843,F6574))</f>
        <v/>
      </c>
      <c r="I6574">
        <f>IF(F6574="","",INDEX(Deals!$D$2:$D$843,F6574))</f>
        <v/>
      </c>
      <c r="J6574">
        <f>IF(F6574="","",INT(H6574)-B6574)</f>
        <v/>
      </c>
      <c r="K6574">
        <f>IF(B6574&gt;=Settings!$C$5,1,0)</f>
        <v/>
      </c>
    </row>
    <row r="6575">
      <c r="A6575" t="inlineStr">
        <is>
          <t>550a339e477f57d149a2dc62ea703bea</t>
        </is>
      </c>
      <c r="B6575" s="29" t="n">
        <v>43062</v>
      </c>
      <c r="C6575" t="inlineStr">
        <is>
          <t>2017-11</t>
        </is>
      </c>
      <c r="D6575" t="inlineStr">
        <is>
          <t>ff3416719616ad4921acb8c74e21d6f0</t>
        </is>
      </c>
      <c r="E6575" t="inlineStr">
        <is>
          <t>referral</t>
        </is>
      </c>
      <c r="F6575">
        <f>IFERROR(MATCH(A6575,Deals!$A$2:$A$843,0),"")</f>
        <v/>
      </c>
      <c r="G6575">
        <f>IF(F6575="",0,1)</f>
        <v/>
      </c>
      <c r="H6575" s="29">
        <f>IF(F6575="","",INDEX(Deals!$E$2:$E$843,F6575))</f>
        <v/>
      </c>
      <c r="I6575">
        <f>IF(F6575="","",INDEX(Deals!$D$2:$D$843,F6575))</f>
        <v/>
      </c>
      <c r="J6575">
        <f>IF(F6575="","",INT(H6575)-B6575)</f>
        <v/>
      </c>
      <c r="K6575">
        <f>IF(B6575&gt;=Settings!$C$5,1,0)</f>
        <v/>
      </c>
    </row>
    <row r="6576">
      <c r="A6576" t="inlineStr">
        <is>
          <t>4a893a88d15d3770375c5410eca302f3</t>
        </is>
      </c>
      <c r="B6576" s="29" t="n">
        <v>43235</v>
      </c>
      <c r="C6576" t="inlineStr">
        <is>
          <t>2018-05</t>
        </is>
      </c>
      <c r="D6576" t="inlineStr">
        <is>
          <t>ce1a65abd0973638f1c887a6efcfa82d</t>
        </is>
      </c>
      <c r="E6576" t="inlineStr">
        <is>
          <t>display</t>
        </is>
      </c>
      <c r="F6576">
        <f>IFERROR(MATCH(A6576,Deals!$A$2:$A$843,0),"")</f>
        <v/>
      </c>
      <c r="G6576">
        <f>IF(F6576="",0,1)</f>
        <v/>
      </c>
      <c r="H6576" s="29">
        <f>IF(F6576="","",INDEX(Deals!$E$2:$E$843,F6576))</f>
        <v/>
      </c>
      <c r="I6576">
        <f>IF(F6576="","",INDEX(Deals!$D$2:$D$843,F6576))</f>
        <v/>
      </c>
      <c r="J6576">
        <f>IF(F6576="","",INT(H6576)-B6576)</f>
        <v/>
      </c>
      <c r="K6576">
        <f>IF(B6576&gt;=Settings!$C$5,1,0)</f>
        <v/>
      </c>
    </row>
    <row r="6577">
      <c r="A6577" t="inlineStr">
        <is>
          <t>8befb4efe8ce6cdf0e1a84974d452a9f</t>
        </is>
      </c>
      <c r="B6577" s="29" t="n">
        <v>42954</v>
      </c>
      <c r="C6577" t="inlineStr">
        <is>
          <t>2017-08</t>
        </is>
      </c>
      <c r="D6577" t="inlineStr">
        <is>
          <t>3cd2a8301d5395f21cdd3094c9eaa2f4</t>
        </is>
      </c>
      <c r="E6577" t="inlineStr">
        <is>
          <t>paid_search</t>
        </is>
      </c>
      <c r="F6577">
        <f>IFERROR(MATCH(A6577,Deals!$A$2:$A$843,0),"")</f>
        <v/>
      </c>
      <c r="G6577">
        <f>IF(F6577="",0,1)</f>
        <v/>
      </c>
      <c r="H6577" s="29">
        <f>IF(F6577="","",INDEX(Deals!$E$2:$E$843,F6577))</f>
        <v/>
      </c>
      <c r="I6577">
        <f>IF(F6577="","",INDEX(Deals!$D$2:$D$843,F6577))</f>
        <v/>
      </c>
      <c r="J6577">
        <f>IF(F6577="","",INT(H6577)-B6577)</f>
        <v/>
      </c>
      <c r="K6577">
        <f>IF(B6577&gt;=Settings!$C$5,1,0)</f>
        <v/>
      </c>
    </row>
    <row r="6578">
      <c r="A6578" t="inlineStr">
        <is>
          <t>f39bb0a3d8e34946b3ad3ce1f9d0f885</t>
        </is>
      </c>
      <c r="B6578" s="29" t="n">
        <v>43234</v>
      </c>
      <c r="C6578" t="inlineStr">
        <is>
          <t>2018-05</t>
        </is>
      </c>
      <c r="D6578" t="inlineStr">
        <is>
          <t>22c29808c4f815213303f8933030604c</t>
        </is>
      </c>
      <c r="E6578" t="inlineStr">
        <is>
          <t>paid_search</t>
        </is>
      </c>
      <c r="F6578">
        <f>IFERROR(MATCH(A6578,Deals!$A$2:$A$843,0),"")</f>
        <v/>
      </c>
      <c r="G6578">
        <f>IF(F6578="",0,1)</f>
        <v/>
      </c>
      <c r="H6578" s="29">
        <f>IF(F6578="","",INDEX(Deals!$E$2:$E$843,F6578))</f>
        <v/>
      </c>
      <c r="I6578">
        <f>IF(F6578="","",INDEX(Deals!$D$2:$D$843,F6578))</f>
        <v/>
      </c>
      <c r="J6578">
        <f>IF(F6578="","",INT(H6578)-B6578)</f>
        <v/>
      </c>
      <c r="K6578">
        <f>IF(B6578&gt;=Settings!$C$5,1,0)</f>
        <v/>
      </c>
    </row>
    <row r="6579">
      <c r="A6579" t="inlineStr">
        <is>
          <t>b48c62590e6d0cda7b99d3c4053a412b</t>
        </is>
      </c>
      <c r="B6579" s="29" t="n">
        <v>43188</v>
      </c>
      <c r="C6579" t="inlineStr">
        <is>
          <t>2018-03</t>
        </is>
      </c>
      <c r="D6579" t="inlineStr">
        <is>
          <t>b76ef37428e6799c421989521c0e5077</t>
        </is>
      </c>
      <c r="E6579" t="inlineStr">
        <is>
          <t>unknown</t>
        </is>
      </c>
      <c r="F6579">
        <f>IFERROR(MATCH(A6579,Deals!$A$2:$A$843,0),"")</f>
        <v/>
      </c>
      <c r="G6579">
        <f>IF(F6579="",0,1)</f>
        <v/>
      </c>
      <c r="H6579" s="29">
        <f>IF(F6579="","",INDEX(Deals!$E$2:$E$843,F6579))</f>
        <v/>
      </c>
      <c r="I6579">
        <f>IF(F6579="","",INDEX(Deals!$D$2:$D$843,F6579))</f>
        <v/>
      </c>
      <c r="J6579">
        <f>IF(F6579="","",INT(H6579)-B6579)</f>
        <v/>
      </c>
      <c r="K6579">
        <f>IF(B6579&gt;=Settings!$C$5,1,0)</f>
        <v/>
      </c>
    </row>
    <row r="6580">
      <c r="A6580" t="inlineStr">
        <is>
          <t>def71e2a9748f1ffcfd9f1a2df52557b</t>
        </is>
      </c>
      <c r="B6580" s="29" t="n">
        <v>43042</v>
      </c>
      <c r="C6580" t="inlineStr">
        <is>
          <t>2017-11</t>
        </is>
      </c>
      <c r="D6580" t="inlineStr">
        <is>
          <t>e492ee5eaf1697716985cc6f33f9cd9b</t>
        </is>
      </c>
      <c r="E6580" t="inlineStr">
        <is>
          <t>other</t>
        </is>
      </c>
      <c r="F6580">
        <f>IFERROR(MATCH(A6580,Deals!$A$2:$A$843,0),"")</f>
        <v/>
      </c>
      <c r="G6580">
        <f>IF(F6580="",0,1)</f>
        <v/>
      </c>
      <c r="H6580" s="29">
        <f>IF(F6580="","",INDEX(Deals!$E$2:$E$843,F6580))</f>
        <v/>
      </c>
      <c r="I6580">
        <f>IF(F6580="","",INDEX(Deals!$D$2:$D$843,F6580))</f>
        <v/>
      </c>
      <c r="J6580">
        <f>IF(F6580="","",INT(H6580)-B6580)</f>
        <v/>
      </c>
      <c r="K6580">
        <f>IF(B6580&gt;=Settings!$C$5,1,0)</f>
        <v/>
      </c>
    </row>
    <row r="6581">
      <c r="A6581" t="inlineStr">
        <is>
          <t>49de010bfd34f149fc319dd839707a36</t>
        </is>
      </c>
      <c r="B6581" s="29" t="n">
        <v>42947</v>
      </c>
      <c r="C6581" t="inlineStr">
        <is>
          <t>2017-07</t>
        </is>
      </c>
      <c r="D6581" t="inlineStr">
        <is>
          <t>b6885f18d203a61176418c1fb3764815</t>
        </is>
      </c>
      <c r="E6581" t="inlineStr">
        <is>
          <t>other_publicities</t>
        </is>
      </c>
      <c r="F6581">
        <f>IFERROR(MATCH(A6581,Deals!$A$2:$A$843,0),"")</f>
        <v/>
      </c>
      <c r="G6581">
        <f>IF(F6581="",0,1)</f>
        <v/>
      </c>
      <c r="H6581" s="29">
        <f>IF(F6581="","",INDEX(Deals!$E$2:$E$843,F6581))</f>
        <v/>
      </c>
      <c r="I6581">
        <f>IF(F6581="","",INDEX(Deals!$D$2:$D$843,F6581))</f>
        <v/>
      </c>
      <c r="J6581">
        <f>IF(F6581="","",INT(H6581)-B6581)</f>
        <v/>
      </c>
      <c r="K6581">
        <f>IF(B6581&gt;=Settings!$C$5,1,0)</f>
        <v/>
      </c>
    </row>
    <row r="6582">
      <c r="A6582" t="inlineStr">
        <is>
          <t>0898a9ff5906583d224aa6a77228257b</t>
        </is>
      </c>
      <c r="B6582" s="29" t="n">
        <v>43167</v>
      </c>
      <c r="C6582" t="inlineStr">
        <is>
          <t>2018-03</t>
        </is>
      </c>
      <c r="D6582" t="inlineStr">
        <is>
          <t>b76ef37428e6799c421989521c0e5077</t>
        </is>
      </c>
      <c r="E6582" t="inlineStr">
        <is>
          <t>unknown</t>
        </is>
      </c>
      <c r="F6582">
        <f>IFERROR(MATCH(A6582,Deals!$A$2:$A$843,0),"")</f>
        <v/>
      </c>
      <c r="G6582">
        <f>IF(F6582="",0,1)</f>
        <v/>
      </c>
      <c r="H6582" s="29">
        <f>IF(F6582="","",INDEX(Deals!$E$2:$E$843,F6582))</f>
        <v/>
      </c>
      <c r="I6582">
        <f>IF(F6582="","",INDEX(Deals!$D$2:$D$843,F6582))</f>
        <v/>
      </c>
      <c r="J6582">
        <f>IF(F6582="","",INT(H6582)-B6582)</f>
        <v/>
      </c>
      <c r="K6582">
        <f>IF(B6582&gt;=Settings!$C$5,1,0)</f>
        <v/>
      </c>
    </row>
    <row r="6583">
      <c r="A6583" t="inlineStr">
        <is>
          <t>de5d8722acb069c17055849b7aca5047</t>
        </is>
      </c>
      <c r="B6583" s="29" t="n">
        <v>43105</v>
      </c>
      <c r="C6583" t="inlineStr">
        <is>
          <t>2018-01</t>
        </is>
      </c>
      <c r="D6583" t="inlineStr">
        <is>
          <t>ce1a65abd0973638f1c887a6efcfa82d</t>
        </is>
      </c>
      <c r="E6583" t="inlineStr">
        <is>
          <t>organic_search</t>
        </is>
      </c>
      <c r="F6583">
        <f>IFERROR(MATCH(A6583,Deals!$A$2:$A$843,0),"")</f>
        <v/>
      </c>
      <c r="G6583">
        <f>IF(F6583="",0,1)</f>
        <v/>
      </c>
      <c r="H6583" s="29">
        <f>IF(F6583="","",INDEX(Deals!$E$2:$E$843,F6583))</f>
        <v/>
      </c>
      <c r="I6583">
        <f>IF(F6583="","",INDEX(Deals!$D$2:$D$843,F6583))</f>
        <v/>
      </c>
      <c r="J6583">
        <f>IF(F6583="","",INT(H6583)-B6583)</f>
        <v/>
      </c>
      <c r="K6583">
        <f>IF(B6583&gt;=Settings!$C$5,1,0)</f>
        <v/>
      </c>
    </row>
    <row r="6584">
      <c r="A6584" t="inlineStr">
        <is>
          <t>712f265e741ea218390f38c6e2a319fa</t>
        </is>
      </c>
      <c r="B6584" s="29" t="n">
        <v>43174</v>
      </c>
      <c r="C6584" t="inlineStr">
        <is>
          <t>2018-03</t>
        </is>
      </c>
      <c r="D6584" t="inlineStr">
        <is>
          <t>ce1a65abd0973638f1c887a6efcfa82d</t>
        </is>
      </c>
      <c r="E6584" t="inlineStr">
        <is>
          <t>social</t>
        </is>
      </c>
      <c r="F6584">
        <f>IFERROR(MATCH(A6584,Deals!$A$2:$A$843,0),"")</f>
        <v/>
      </c>
      <c r="G6584">
        <f>IF(F6584="",0,1)</f>
        <v/>
      </c>
      <c r="H6584" s="29">
        <f>IF(F6584="","",INDEX(Deals!$E$2:$E$843,F6584))</f>
        <v/>
      </c>
      <c r="I6584">
        <f>IF(F6584="","",INDEX(Deals!$D$2:$D$843,F6584))</f>
        <v/>
      </c>
      <c r="J6584">
        <f>IF(F6584="","",INT(H6584)-B6584)</f>
        <v/>
      </c>
      <c r="K6584">
        <f>IF(B6584&gt;=Settings!$C$5,1,0)</f>
        <v/>
      </c>
    </row>
    <row r="6585">
      <c r="A6585" t="inlineStr">
        <is>
          <t>49e73b20508969922d6a0cf43b1e3379</t>
        </is>
      </c>
      <c r="B6585" s="29" t="n">
        <v>43126</v>
      </c>
      <c r="C6585" t="inlineStr">
        <is>
          <t>2018-01</t>
        </is>
      </c>
      <c r="D6585" t="inlineStr">
        <is>
          <t>d45d558f0daeecf3cccdffe3c59684aa</t>
        </is>
      </c>
      <c r="E6585" t="inlineStr">
        <is>
          <t>email</t>
        </is>
      </c>
      <c r="F6585">
        <f>IFERROR(MATCH(A6585,Deals!$A$2:$A$843,0),"")</f>
        <v/>
      </c>
      <c r="G6585">
        <f>IF(F6585="",0,1)</f>
        <v/>
      </c>
      <c r="H6585" s="29">
        <f>IF(F6585="","",INDEX(Deals!$E$2:$E$843,F6585))</f>
        <v/>
      </c>
      <c r="I6585">
        <f>IF(F6585="","",INDEX(Deals!$D$2:$D$843,F6585))</f>
        <v/>
      </c>
      <c r="J6585">
        <f>IF(F6585="","",INT(H6585)-B6585)</f>
        <v/>
      </c>
      <c r="K6585">
        <f>IF(B6585&gt;=Settings!$C$5,1,0)</f>
        <v/>
      </c>
    </row>
    <row r="6586">
      <c r="A6586" t="inlineStr">
        <is>
          <t>355eb7f0334516be742fe1aa0db5ddf2</t>
        </is>
      </c>
      <c r="B6586" s="29" t="n">
        <v>43107</v>
      </c>
      <c r="C6586" t="inlineStr">
        <is>
          <t>2018-01</t>
        </is>
      </c>
      <c r="D6586" t="inlineStr">
        <is>
          <t>40dec9f3d5259a3d2dbcdab2114fae47</t>
        </is>
      </c>
      <c r="E6586" t="inlineStr">
        <is>
          <t>paid_search</t>
        </is>
      </c>
      <c r="F6586">
        <f>IFERROR(MATCH(A6586,Deals!$A$2:$A$843,0),"")</f>
        <v/>
      </c>
      <c r="G6586">
        <f>IF(F6586="",0,1)</f>
        <v/>
      </c>
      <c r="H6586" s="29">
        <f>IF(F6586="","",INDEX(Deals!$E$2:$E$843,F6586))</f>
        <v/>
      </c>
      <c r="I6586">
        <f>IF(F6586="","",INDEX(Deals!$D$2:$D$843,F6586))</f>
        <v/>
      </c>
      <c r="J6586">
        <f>IF(F6586="","",INT(H6586)-B6586)</f>
        <v/>
      </c>
      <c r="K6586">
        <f>IF(B6586&gt;=Settings!$C$5,1,0)</f>
        <v/>
      </c>
    </row>
    <row r="6587">
      <c r="A6587" t="inlineStr">
        <is>
          <t>adb1abf71f4083ec0550d6cd6a33ea68</t>
        </is>
      </c>
      <c r="B6587" s="29" t="n">
        <v>43241</v>
      </c>
      <c r="C6587" t="inlineStr">
        <is>
          <t>2018-05</t>
        </is>
      </c>
      <c r="D6587" t="inlineStr">
        <is>
          <t>58326e62183c14b0c03085c33b9fdc44</t>
        </is>
      </c>
      <c r="E6587" t="inlineStr">
        <is>
          <t>social</t>
        </is>
      </c>
      <c r="F6587">
        <f>IFERROR(MATCH(A6587,Deals!$A$2:$A$843,0),"")</f>
        <v/>
      </c>
      <c r="G6587">
        <f>IF(F6587="",0,1)</f>
        <v/>
      </c>
      <c r="H6587" s="29">
        <f>IF(F6587="","",INDEX(Deals!$E$2:$E$843,F6587))</f>
        <v/>
      </c>
      <c r="I6587">
        <f>IF(F6587="","",INDEX(Deals!$D$2:$D$843,F6587))</f>
        <v/>
      </c>
      <c r="J6587">
        <f>IF(F6587="","",INT(H6587)-B6587)</f>
        <v/>
      </c>
      <c r="K6587">
        <f>IF(B6587&gt;=Settings!$C$5,1,0)</f>
        <v/>
      </c>
    </row>
    <row r="6588">
      <c r="A6588" t="inlineStr">
        <is>
          <t>8d3d7e8ca2dc7c98b0effe01f0b1fccb</t>
        </is>
      </c>
      <c r="B6588" s="29" t="n">
        <v>42993</v>
      </c>
      <c r="C6588" t="inlineStr">
        <is>
          <t>2017-09</t>
        </is>
      </c>
      <c r="D6588" t="inlineStr">
        <is>
          <t>3cc38c43666a7f2faedf74d0d718ba94</t>
        </is>
      </c>
      <c r="E6588" t="inlineStr">
        <is>
          <t>unknown</t>
        </is>
      </c>
      <c r="F6588">
        <f>IFERROR(MATCH(A6588,Deals!$A$2:$A$843,0),"")</f>
        <v/>
      </c>
      <c r="G6588">
        <f>IF(F6588="",0,1)</f>
        <v/>
      </c>
      <c r="H6588" s="29">
        <f>IF(F6588="","",INDEX(Deals!$E$2:$E$843,F6588))</f>
        <v/>
      </c>
      <c r="I6588">
        <f>IF(F6588="","",INDEX(Deals!$D$2:$D$843,F6588))</f>
        <v/>
      </c>
      <c r="J6588">
        <f>IF(F6588="","",INT(H6588)-B6588)</f>
        <v/>
      </c>
      <c r="K6588">
        <f>IF(B6588&gt;=Settings!$C$5,1,0)</f>
        <v/>
      </c>
    </row>
    <row r="6589">
      <c r="A6589" t="inlineStr">
        <is>
          <t>d9a4ab452be9aa656d10718c459c9cd5</t>
        </is>
      </c>
      <c r="B6589" s="29" t="n">
        <v>43166</v>
      </c>
      <c r="C6589" t="inlineStr">
        <is>
          <t>2018-03</t>
        </is>
      </c>
      <c r="D6589" t="inlineStr">
        <is>
          <t>22c29808c4f815213303f8933030604c</t>
        </is>
      </c>
      <c r="E6589" t="inlineStr">
        <is>
          <t>paid_search</t>
        </is>
      </c>
      <c r="F6589">
        <f>IFERROR(MATCH(A6589,Deals!$A$2:$A$843,0),"")</f>
        <v/>
      </c>
      <c r="G6589">
        <f>IF(F6589="",0,1)</f>
        <v/>
      </c>
      <c r="H6589" s="29">
        <f>IF(F6589="","",INDEX(Deals!$E$2:$E$843,F6589))</f>
        <v/>
      </c>
      <c r="I6589">
        <f>IF(F6589="","",INDEX(Deals!$D$2:$D$843,F6589))</f>
        <v/>
      </c>
      <c r="J6589">
        <f>IF(F6589="","",INT(H6589)-B6589)</f>
        <v/>
      </c>
      <c r="K6589">
        <f>IF(B6589&gt;=Settings!$C$5,1,0)</f>
        <v/>
      </c>
    </row>
    <row r="6590">
      <c r="A6590" t="inlineStr">
        <is>
          <t>80a86f20a8ae1c080b2d5ae20608af13</t>
        </is>
      </c>
      <c r="B6590" s="29" t="n">
        <v>43242</v>
      </c>
      <c r="C6590" t="inlineStr">
        <is>
          <t>2018-05</t>
        </is>
      </c>
      <c r="D6590" t="inlineStr">
        <is>
          <t>b76ef37428e6799c421989521c0e5077</t>
        </is>
      </c>
      <c r="E6590" t="inlineStr">
        <is>
          <t>unknown</t>
        </is>
      </c>
      <c r="F6590">
        <f>IFERROR(MATCH(A6590,Deals!$A$2:$A$843,0),"")</f>
        <v/>
      </c>
      <c r="G6590">
        <f>IF(F6590="",0,1)</f>
        <v/>
      </c>
      <c r="H6590" s="29">
        <f>IF(F6590="","",INDEX(Deals!$E$2:$E$843,F6590))</f>
        <v/>
      </c>
      <c r="I6590">
        <f>IF(F6590="","",INDEX(Deals!$D$2:$D$843,F6590))</f>
        <v/>
      </c>
      <c r="J6590">
        <f>IF(F6590="","",INT(H6590)-B6590)</f>
        <v/>
      </c>
      <c r="K6590">
        <f>IF(B6590&gt;=Settings!$C$5,1,0)</f>
        <v/>
      </c>
    </row>
    <row r="6591">
      <c r="A6591" t="inlineStr">
        <is>
          <t>83606b4a6a0750fab695d8338a14844b</t>
        </is>
      </c>
      <c r="B6591" s="29" t="n">
        <v>42977</v>
      </c>
      <c r="C6591" t="inlineStr">
        <is>
          <t>2017-08</t>
        </is>
      </c>
      <c r="D6591" t="inlineStr">
        <is>
          <t>186132bda8b5f41c7dc834d063745d19</t>
        </is>
      </c>
      <c r="E6591" t="inlineStr">
        <is>
          <t>paid_search</t>
        </is>
      </c>
      <c r="F6591">
        <f>IFERROR(MATCH(A6591,Deals!$A$2:$A$843,0),"")</f>
        <v/>
      </c>
      <c r="G6591">
        <f>IF(F6591="",0,1)</f>
        <v/>
      </c>
      <c r="H6591" s="29">
        <f>IF(F6591="","",INDEX(Deals!$E$2:$E$843,F6591))</f>
        <v/>
      </c>
      <c r="I6591">
        <f>IF(F6591="","",INDEX(Deals!$D$2:$D$843,F6591))</f>
        <v/>
      </c>
      <c r="J6591">
        <f>IF(F6591="","",INT(H6591)-B6591)</f>
        <v/>
      </c>
      <c r="K6591">
        <f>IF(B6591&gt;=Settings!$C$5,1,0)</f>
        <v/>
      </c>
    </row>
    <row r="6592">
      <c r="A6592" t="inlineStr">
        <is>
          <t>7bf1f5c2051159d32a588de7a73c8edf</t>
        </is>
      </c>
      <c r="B6592" s="29" t="n">
        <v>43199</v>
      </c>
      <c r="C6592" t="inlineStr">
        <is>
          <t>2018-04</t>
        </is>
      </c>
      <c r="D6592" t="inlineStr">
        <is>
          <t>b76ef37428e6799c421989521c0e5077</t>
        </is>
      </c>
      <c r="E6592" t="inlineStr">
        <is>
          <t>unknown</t>
        </is>
      </c>
      <c r="F6592">
        <f>IFERROR(MATCH(A6592,Deals!$A$2:$A$843,0),"")</f>
        <v/>
      </c>
      <c r="G6592">
        <f>IF(F6592="",0,1)</f>
        <v/>
      </c>
      <c r="H6592" s="29">
        <f>IF(F6592="","",INDEX(Deals!$E$2:$E$843,F6592))</f>
        <v/>
      </c>
      <c r="I6592">
        <f>IF(F6592="","",INDEX(Deals!$D$2:$D$843,F6592))</f>
        <v/>
      </c>
      <c r="J6592">
        <f>IF(F6592="","",INT(H6592)-B6592)</f>
        <v/>
      </c>
      <c r="K6592">
        <f>IF(B6592&gt;=Settings!$C$5,1,0)</f>
        <v/>
      </c>
    </row>
    <row r="6593">
      <c r="A6593" t="inlineStr">
        <is>
          <t>4f2a5cee950dff883ba2d52715c97bb3</t>
        </is>
      </c>
      <c r="B6593" s="29" t="n">
        <v>43193</v>
      </c>
      <c r="C6593" t="inlineStr">
        <is>
          <t>2018-04</t>
        </is>
      </c>
      <c r="D6593" t="inlineStr">
        <is>
          <t>c70eb6fb5bd6e939b0d5ef32f21f61e8</t>
        </is>
      </c>
      <c r="E6593" t="inlineStr">
        <is>
          <t>direct_traffic</t>
        </is>
      </c>
      <c r="F6593">
        <f>IFERROR(MATCH(A6593,Deals!$A$2:$A$843,0),"")</f>
        <v/>
      </c>
      <c r="G6593">
        <f>IF(F6593="",0,1)</f>
        <v/>
      </c>
      <c r="H6593" s="29">
        <f>IF(F6593="","",INDEX(Deals!$E$2:$E$843,F6593))</f>
        <v/>
      </c>
      <c r="I6593">
        <f>IF(F6593="","",INDEX(Deals!$D$2:$D$843,F6593))</f>
        <v/>
      </c>
      <c r="J6593">
        <f>IF(F6593="","",INT(H6593)-B6593)</f>
        <v/>
      </c>
      <c r="K6593">
        <f>IF(B6593&gt;=Settings!$C$5,1,0)</f>
        <v/>
      </c>
    </row>
    <row r="6594">
      <c r="A6594" t="inlineStr">
        <is>
          <t>2f68c2e0cd8964d59dbbcfa48196b499</t>
        </is>
      </c>
      <c r="B6594" s="29" t="n">
        <v>43164</v>
      </c>
      <c r="C6594" t="inlineStr">
        <is>
          <t>2018-03</t>
        </is>
      </c>
      <c r="D6594" t="inlineStr">
        <is>
          <t>88740e65d5d6b056e0cda098e1ea6313</t>
        </is>
      </c>
      <c r="E6594" t="inlineStr">
        <is>
          <t>social</t>
        </is>
      </c>
      <c r="F6594">
        <f>IFERROR(MATCH(A6594,Deals!$A$2:$A$843,0),"")</f>
        <v/>
      </c>
      <c r="G6594">
        <f>IF(F6594="",0,1)</f>
        <v/>
      </c>
      <c r="H6594" s="29">
        <f>IF(F6594="","",INDEX(Deals!$E$2:$E$843,F6594))</f>
        <v/>
      </c>
      <c r="I6594">
        <f>IF(F6594="","",INDEX(Deals!$D$2:$D$843,F6594))</f>
        <v/>
      </c>
      <c r="J6594">
        <f>IF(F6594="","",INT(H6594)-B6594)</f>
        <v/>
      </c>
      <c r="K6594">
        <f>IF(B6594&gt;=Settings!$C$5,1,0)</f>
        <v/>
      </c>
    </row>
    <row r="6595">
      <c r="A6595" t="inlineStr">
        <is>
          <t>83de89957f167ec84dc58d7de6e69757</t>
        </is>
      </c>
      <c r="B6595" s="29" t="n">
        <v>43153</v>
      </c>
      <c r="C6595" t="inlineStr">
        <is>
          <t>2018-02</t>
        </is>
      </c>
      <c r="D6595" t="inlineStr">
        <is>
          <t>2228a43ac0bc372e25f9569e69fc9015</t>
        </is>
      </c>
      <c r="E6595" t="inlineStr">
        <is>
          <t>paid_search</t>
        </is>
      </c>
      <c r="F6595">
        <f>IFERROR(MATCH(A6595,Deals!$A$2:$A$843,0),"")</f>
        <v/>
      </c>
      <c r="G6595">
        <f>IF(F6595="",0,1)</f>
        <v/>
      </c>
      <c r="H6595" s="29">
        <f>IF(F6595="","",INDEX(Deals!$E$2:$E$843,F6595))</f>
        <v/>
      </c>
      <c r="I6595">
        <f>IF(F6595="","",INDEX(Deals!$D$2:$D$843,F6595))</f>
        <v/>
      </c>
      <c r="J6595">
        <f>IF(F6595="","",INT(H6595)-B6595)</f>
        <v/>
      </c>
      <c r="K6595">
        <f>IF(B6595&gt;=Settings!$C$5,1,0)</f>
        <v/>
      </c>
    </row>
    <row r="6596">
      <c r="A6596" t="inlineStr">
        <is>
          <t>0582a842e557634c641d6117fa862e24</t>
        </is>
      </c>
      <c r="B6596" s="29" t="n">
        <v>43240</v>
      </c>
      <c r="C6596" t="inlineStr">
        <is>
          <t>2018-05</t>
        </is>
      </c>
      <c r="D6596" t="inlineStr">
        <is>
          <t>22c29808c4f815213303f8933030604c</t>
        </is>
      </c>
      <c r="E6596" t="inlineStr">
        <is>
          <t>referral</t>
        </is>
      </c>
      <c r="F6596">
        <f>IFERROR(MATCH(A6596,Deals!$A$2:$A$843,0),"")</f>
        <v/>
      </c>
      <c r="G6596">
        <f>IF(F6596="",0,1)</f>
        <v/>
      </c>
      <c r="H6596" s="29">
        <f>IF(F6596="","",INDEX(Deals!$E$2:$E$843,F6596))</f>
        <v/>
      </c>
      <c r="I6596">
        <f>IF(F6596="","",INDEX(Deals!$D$2:$D$843,F6596))</f>
        <v/>
      </c>
      <c r="J6596">
        <f>IF(F6596="","",INT(H6596)-B6596)</f>
        <v/>
      </c>
      <c r="K6596">
        <f>IF(B6596&gt;=Settings!$C$5,1,0)</f>
        <v/>
      </c>
    </row>
    <row r="6597">
      <c r="A6597" t="inlineStr">
        <is>
          <t>8e354b1788d500aed84ab133c1c05a9b</t>
        </is>
      </c>
      <c r="B6597" s="29" t="n">
        <v>43211</v>
      </c>
      <c r="C6597" t="inlineStr">
        <is>
          <t>2018-04</t>
        </is>
      </c>
      <c r="D6597" t="inlineStr">
        <is>
          <t>73fec6021437e723ff5adae8dff89e23</t>
        </is>
      </c>
      <c r="E6597" t="inlineStr">
        <is>
          <t>paid_search</t>
        </is>
      </c>
      <c r="F6597">
        <f>IFERROR(MATCH(A6597,Deals!$A$2:$A$843,0),"")</f>
        <v/>
      </c>
      <c r="G6597">
        <f>IF(F6597="",0,1)</f>
        <v/>
      </c>
      <c r="H6597" s="29">
        <f>IF(F6597="","",INDEX(Deals!$E$2:$E$843,F6597))</f>
        <v/>
      </c>
      <c r="I6597">
        <f>IF(F6597="","",INDEX(Deals!$D$2:$D$843,F6597))</f>
        <v/>
      </c>
      <c r="J6597">
        <f>IF(F6597="","",INT(H6597)-B6597)</f>
        <v/>
      </c>
      <c r="K6597">
        <f>IF(B6597&gt;=Settings!$C$5,1,0)</f>
        <v/>
      </c>
    </row>
    <row r="6598">
      <c r="A6598" t="inlineStr">
        <is>
          <t>185579414f75374765553e6113a4b9ee</t>
        </is>
      </c>
      <c r="B6598" s="29" t="n">
        <v>43165</v>
      </c>
      <c r="C6598" t="inlineStr">
        <is>
          <t>2018-03</t>
        </is>
      </c>
      <c r="D6598" t="inlineStr">
        <is>
          <t>b76ef37428e6799c421989521c0e5077</t>
        </is>
      </c>
      <c r="E6598" t="inlineStr">
        <is>
          <t>unknown</t>
        </is>
      </c>
      <c r="F6598">
        <f>IFERROR(MATCH(A6598,Deals!$A$2:$A$843,0),"")</f>
        <v/>
      </c>
      <c r="G6598">
        <f>IF(F6598="",0,1)</f>
        <v/>
      </c>
      <c r="H6598" s="29">
        <f>IF(F6598="","",INDEX(Deals!$E$2:$E$843,F6598))</f>
        <v/>
      </c>
      <c r="I6598">
        <f>IF(F6598="","",INDEX(Deals!$D$2:$D$843,F6598))</f>
        <v/>
      </c>
      <c r="J6598">
        <f>IF(F6598="","",INT(H6598)-B6598)</f>
        <v/>
      </c>
      <c r="K6598">
        <f>IF(B6598&gt;=Settings!$C$5,1,0)</f>
        <v/>
      </c>
    </row>
    <row r="6599">
      <c r="A6599" t="inlineStr">
        <is>
          <t>a5809d44e52cb31bfb7a221bf9986ded</t>
        </is>
      </c>
      <c r="B6599" s="29" t="n">
        <v>43035</v>
      </c>
      <c r="C6599" t="inlineStr">
        <is>
          <t>2017-10</t>
        </is>
      </c>
      <c r="D6599" t="inlineStr">
        <is>
          <t>f017be4dbf86243af5c1ebed0cff36a2</t>
        </is>
      </c>
      <c r="E6599" t="inlineStr">
        <is>
          <t>organic_search</t>
        </is>
      </c>
      <c r="F6599">
        <f>IFERROR(MATCH(A6599,Deals!$A$2:$A$843,0),"")</f>
        <v/>
      </c>
      <c r="G6599">
        <f>IF(F6599="",0,1)</f>
        <v/>
      </c>
      <c r="H6599" s="29">
        <f>IF(F6599="","",INDEX(Deals!$E$2:$E$843,F6599))</f>
        <v/>
      </c>
      <c r="I6599">
        <f>IF(F6599="","",INDEX(Deals!$D$2:$D$843,F6599))</f>
        <v/>
      </c>
      <c r="J6599">
        <f>IF(F6599="","",INT(H6599)-B6599)</f>
        <v/>
      </c>
      <c r="K6599">
        <f>IF(B6599&gt;=Settings!$C$5,1,0)</f>
        <v/>
      </c>
    </row>
    <row r="6600">
      <c r="A6600" t="inlineStr">
        <is>
          <t>6ff169c8d96bc9b776c14c0e65af28df</t>
        </is>
      </c>
      <c r="B6600" s="29" t="n">
        <v>43207</v>
      </c>
      <c r="C6600" t="inlineStr">
        <is>
          <t>2018-04</t>
        </is>
      </c>
      <c r="D6600" t="inlineStr">
        <is>
          <t>22c29808c4f815213303f8933030604c</t>
        </is>
      </c>
      <c r="E6600" t="inlineStr">
        <is>
          <t>organic_search</t>
        </is>
      </c>
      <c r="F6600">
        <f>IFERROR(MATCH(A6600,Deals!$A$2:$A$843,0),"")</f>
        <v/>
      </c>
      <c r="G6600">
        <f>IF(F6600="",0,1)</f>
        <v/>
      </c>
      <c r="H6600" s="29">
        <f>IF(F6600="","",INDEX(Deals!$E$2:$E$843,F6600))</f>
        <v/>
      </c>
      <c r="I6600">
        <f>IF(F6600="","",INDEX(Deals!$D$2:$D$843,F6600))</f>
        <v/>
      </c>
      <c r="J6600">
        <f>IF(F6600="","",INT(H6600)-B6600)</f>
        <v/>
      </c>
      <c r="K6600">
        <f>IF(B6600&gt;=Settings!$C$5,1,0)</f>
        <v/>
      </c>
    </row>
    <row r="6601">
      <c r="A6601" t="inlineStr">
        <is>
          <t>a7ad2cab998ae504104b31b75758440e</t>
        </is>
      </c>
      <c r="B6601" s="29" t="n">
        <v>43126</v>
      </c>
      <c r="C6601" t="inlineStr">
        <is>
          <t>2018-01</t>
        </is>
      </c>
      <c r="D6601" t="inlineStr">
        <is>
          <t>da14b7e2eb0d1eecf65abbd05a31c87d</t>
        </is>
      </c>
      <c r="E6601" t="inlineStr">
        <is>
          <t>organic_search</t>
        </is>
      </c>
      <c r="F6601">
        <f>IFERROR(MATCH(A6601,Deals!$A$2:$A$843,0),"")</f>
        <v/>
      </c>
      <c r="G6601">
        <f>IF(F6601="",0,1)</f>
        <v/>
      </c>
      <c r="H6601" s="29">
        <f>IF(F6601="","",INDEX(Deals!$E$2:$E$843,F6601))</f>
        <v/>
      </c>
      <c r="I6601">
        <f>IF(F6601="","",INDEX(Deals!$D$2:$D$843,F6601))</f>
        <v/>
      </c>
      <c r="J6601">
        <f>IF(F6601="","",INT(H6601)-B6601)</f>
        <v/>
      </c>
      <c r="K6601">
        <f>IF(B6601&gt;=Settings!$C$5,1,0)</f>
        <v/>
      </c>
    </row>
    <row r="6602">
      <c r="A6602" t="inlineStr">
        <is>
          <t>15d000a7bcd6e773b955d9dfbd2ac556</t>
        </is>
      </c>
      <c r="B6602" s="29" t="n">
        <v>43022</v>
      </c>
      <c r="C6602" t="inlineStr">
        <is>
          <t>2017-10</t>
        </is>
      </c>
      <c r="D6602" t="inlineStr">
        <is>
          <t>ce1a65abd0973638f1c887a6efcfa82d</t>
        </is>
      </c>
      <c r="E6602" t="inlineStr">
        <is>
          <t>organic_search</t>
        </is>
      </c>
      <c r="F6602">
        <f>IFERROR(MATCH(A6602,Deals!$A$2:$A$843,0),"")</f>
        <v/>
      </c>
      <c r="G6602">
        <f>IF(F6602="",0,1)</f>
        <v/>
      </c>
      <c r="H6602" s="29">
        <f>IF(F6602="","",INDEX(Deals!$E$2:$E$843,F6602))</f>
        <v/>
      </c>
      <c r="I6602">
        <f>IF(F6602="","",INDEX(Deals!$D$2:$D$843,F6602))</f>
        <v/>
      </c>
      <c r="J6602">
        <f>IF(F6602="","",INT(H6602)-B6602)</f>
        <v/>
      </c>
      <c r="K6602">
        <f>IF(B6602&gt;=Settings!$C$5,1,0)</f>
        <v/>
      </c>
    </row>
    <row r="6603">
      <c r="A6603" t="inlineStr">
        <is>
          <t>13c5dfa246046c0beea97e100f32a1a9</t>
        </is>
      </c>
      <c r="B6603" s="29" t="n">
        <v>43113</v>
      </c>
      <c r="C6603" t="inlineStr">
        <is>
          <t>2018-01</t>
        </is>
      </c>
      <c r="D6603" t="inlineStr">
        <is>
          <t>ce1a65abd0973638f1c887a6efcfa82d</t>
        </is>
      </c>
      <c r="E6603" t="inlineStr">
        <is>
          <t>referral</t>
        </is>
      </c>
      <c r="F6603">
        <f>IFERROR(MATCH(A6603,Deals!$A$2:$A$843,0),"")</f>
        <v/>
      </c>
      <c r="G6603">
        <f>IF(F6603="",0,1)</f>
        <v/>
      </c>
      <c r="H6603" s="29">
        <f>IF(F6603="","",INDEX(Deals!$E$2:$E$843,F6603))</f>
        <v/>
      </c>
      <c r="I6603">
        <f>IF(F6603="","",INDEX(Deals!$D$2:$D$843,F6603))</f>
        <v/>
      </c>
      <c r="J6603">
        <f>IF(F6603="","",INT(H6603)-B6603)</f>
        <v/>
      </c>
      <c r="K6603">
        <f>IF(B6603&gt;=Settings!$C$5,1,0)</f>
        <v/>
      </c>
    </row>
    <row r="6604">
      <c r="A6604" t="inlineStr">
        <is>
          <t>0c2da1c3364eb2e4d2b9d340c246eb96</t>
        </is>
      </c>
      <c r="B6604" s="29" t="n">
        <v>43193</v>
      </c>
      <c r="C6604" t="inlineStr">
        <is>
          <t>2018-04</t>
        </is>
      </c>
      <c r="D6604" t="inlineStr">
        <is>
          <t>b76ef37428e6799c421989521c0e5077</t>
        </is>
      </c>
      <c r="E6604" t="inlineStr">
        <is>
          <t>organic_search</t>
        </is>
      </c>
      <c r="F6604">
        <f>IFERROR(MATCH(A6604,Deals!$A$2:$A$843,0),"")</f>
        <v/>
      </c>
      <c r="G6604">
        <f>IF(F6604="",0,1)</f>
        <v/>
      </c>
      <c r="H6604" s="29">
        <f>IF(F6604="","",INDEX(Deals!$E$2:$E$843,F6604))</f>
        <v/>
      </c>
      <c r="I6604">
        <f>IF(F6604="","",INDEX(Deals!$D$2:$D$843,F6604))</f>
        <v/>
      </c>
      <c r="J6604">
        <f>IF(F6604="","",INT(H6604)-B6604)</f>
        <v/>
      </c>
      <c r="K6604">
        <f>IF(B6604&gt;=Settings!$C$5,1,0)</f>
        <v/>
      </c>
    </row>
    <row r="6605">
      <c r="A6605" t="inlineStr">
        <is>
          <t>786bb5e43995b615a831bdb225bc15fb</t>
        </is>
      </c>
      <c r="B6605" s="29" t="n">
        <v>43007</v>
      </c>
      <c r="C6605" t="inlineStr">
        <is>
          <t>2017-09</t>
        </is>
      </c>
      <c r="D6605" t="inlineStr">
        <is>
          <t>e964a0b7ce20d152c6ecc57c706d6291</t>
        </is>
      </c>
      <c r="E6605" t="inlineStr">
        <is>
          <t>paid_search</t>
        </is>
      </c>
      <c r="F6605">
        <f>IFERROR(MATCH(A6605,Deals!$A$2:$A$843,0),"")</f>
        <v/>
      </c>
      <c r="G6605">
        <f>IF(F6605="",0,1)</f>
        <v/>
      </c>
      <c r="H6605" s="29">
        <f>IF(F6605="","",INDEX(Deals!$E$2:$E$843,F6605))</f>
        <v/>
      </c>
      <c r="I6605">
        <f>IF(F6605="","",INDEX(Deals!$D$2:$D$843,F6605))</f>
        <v/>
      </c>
      <c r="J6605">
        <f>IF(F6605="","",INT(H6605)-B6605)</f>
        <v/>
      </c>
      <c r="K6605">
        <f>IF(B6605&gt;=Settings!$C$5,1,0)</f>
        <v/>
      </c>
    </row>
    <row r="6606">
      <c r="A6606" t="inlineStr">
        <is>
          <t>db68c24a33cac9d591bcf63e60c4cc8f</t>
        </is>
      </c>
      <c r="B6606" s="29" t="n">
        <v>43032</v>
      </c>
      <c r="C6606" t="inlineStr">
        <is>
          <t>2017-10</t>
        </is>
      </c>
      <c r="D6606" t="inlineStr">
        <is>
          <t>007f9098284a86ee80ddeb25d53e0af8</t>
        </is>
      </c>
      <c r="E6606" t="inlineStr">
        <is>
          <t>organic_search</t>
        </is>
      </c>
      <c r="F6606">
        <f>IFERROR(MATCH(A6606,Deals!$A$2:$A$843,0),"")</f>
        <v/>
      </c>
      <c r="G6606">
        <f>IF(F6606="",0,1)</f>
        <v/>
      </c>
      <c r="H6606" s="29">
        <f>IF(F6606="","",INDEX(Deals!$E$2:$E$843,F6606))</f>
        <v/>
      </c>
      <c r="I6606">
        <f>IF(F6606="","",INDEX(Deals!$D$2:$D$843,F6606))</f>
        <v/>
      </c>
      <c r="J6606">
        <f>IF(F6606="","",INT(H6606)-B6606)</f>
        <v/>
      </c>
      <c r="K6606">
        <f>IF(B6606&gt;=Settings!$C$5,1,0)</f>
        <v/>
      </c>
    </row>
    <row r="6607">
      <c r="A6607" t="inlineStr">
        <is>
          <t>0a55079ea003674ae2145b02f03ff27d</t>
        </is>
      </c>
      <c r="B6607" s="29" t="n">
        <v>43184</v>
      </c>
      <c r="C6607" t="inlineStr">
        <is>
          <t>2018-03</t>
        </is>
      </c>
      <c r="D6607" t="inlineStr">
        <is>
          <t>fe82aeadeaea2186478fe6353d6d5301</t>
        </is>
      </c>
      <c r="E6607" t="inlineStr">
        <is>
          <t>paid_search</t>
        </is>
      </c>
      <c r="F6607">
        <f>IFERROR(MATCH(A6607,Deals!$A$2:$A$843,0),"")</f>
        <v/>
      </c>
      <c r="G6607">
        <f>IF(F6607="",0,1)</f>
        <v/>
      </c>
      <c r="H6607" s="29">
        <f>IF(F6607="","",INDEX(Deals!$E$2:$E$843,F6607))</f>
        <v/>
      </c>
      <c r="I6607">
        <f>IF(F6607="","",INDEX(Deals!$D$2:$D$843,F6607))</f>
        <v/>
      </c>
      <c r="J6607">
        <f>IF(F6607="","",INT(H6607)-B6607)</f>
        <v/>
      </c>
      <c r="K6607">
        <f>IF(B6607&gt;=Settings!$C$5,1,0)</f>
        <v/>
      </c>
    </row>
    <row r="6608">
      <c r="A6608" t="inlineStr">
        <is>
          <t>8ed420bdc5a06207eecefd77318cebf9</t>
        </is>
      </c>
      <c r="B6608" s="29" t="n">
        <v>43165</v>
      </c>
      <c r="C6608" t="inlineStr">
        <is>
          <t>2018-03</t>
        </is>
      </c>
      <c r="D6608" t="inlineStr">
        <is>
          <t>22c29808c4f815213303f8933030604c</t>
        </is>
      </c>
      <c r="E6608" t="inlineStr">
        <is>
          <t>referral</t>
        </is>
      </c>
      <c r="F6608">
        <f>IFERROR(MATCH(A6608,Deals!$A$2:$A$843,0),"")</f>
        <v/>
      </c>
      <c r="G6608">
        <f>IF(F6608="",0,1)</f>
        <v/>
      </c>
      <c r="H6608" s="29">
        <f>IF(F6608="","",INDEX(Deals!$E$2:$E$843,F6608))</f>
        <v/>
      </c>
      <c r="I6608">
        <f>IF(F6608="","",INDEX(Deals!$D$2:$D$843,F6608))</f>
        <v/>
      </c>
      <c r="J6608">
        <f>IF(F6608="","",INT(H6608)-B6608)</f>
        <v/>
      </c>
      <c r="K6608">
        <f>IF(B6608&gt;=Settings!$C$5,1,0)</f>
        <v/>
      </c>
    </row>
    <row r="6609">
      <c r="A6609" t="inlineStr">
        <is>
          <t>f15f63c20752f53718ca375b02b47153</t>
        </is>
      </c>
      <c r="B6609" s="29" t="n">
        <v>43210</v>
      </c>
      <c r="C6609" t="inlineStr">
        <is>
          <t>2018-04</t>
        </is>
      </c>
      <c r="D6609" t="inlineStr">
        <is>
          <t>22c29808c4f815213303f8933030604c</t>
        </is>
      </c>
      <c r="E6609" t="inlineStr">
        <is>
          <t>organic_search</t>
        </is>
      </c>
      <c r="F6609">
        <f>IFERROR(MATCH(A6609,Deals!$A$2:$A$843,0),"")</f>
        <v/>
      </c>
      <c r="G6609">
        <f>IF(F6609="",0,1)</f>
        <v/>
      </c>
      <c r="H6609" s="29">
        <f>IF(F6609="","",INDEX(Deals!$E$2:$E$843,F6609))</f>
        <v/>
      </c>
      <c r="I6609">
        <f>IF(F6609="","",INDEX(Deals!$D$2:$D$843,F6609))</f>
        <v/>
      </c>
      <c r="J6609">
        <f>IF(F6609="","",INT(H6609)-B6609)</f>
        <v/>
      </c>
      <c r="K6609">
        <f>IF(B6609&gt;=Settings!$C$5,1,0)</f>
        <v/>
      </c>
    </row>
    <row r="6610">
      <c r="A6610" t="inlineStr">
        <is>
          <t>af727f4749d4bccd52b0d84bcd241a28</t>
        </is>
      </c>
      <c r="B6610" s="29" t="n">
        <v>43187</v>
      </c>
      <c r="C6610" t="inlineStr">
        <is>
          <t>2018-03</t>
        </is>
      </c>
      <c r="D6610" t="inlineStr">
        <is>
          <t>2f08471dfb83baef522f952438a36f6e</t>
        </is>
      </c>
      <c r="E6610" t="inlineStr">
        <is>
          <t>paid_search</t>
        </is>
      </c>
      <c r="F6610">
        <f>IFERROR(MATCH(A6610,Deals!$A$2:$A$843,0),"")</f>
        <v/>
      </c>
      <c r="G6610">
        <f>IF(F6610="",0,1)</f>
        <v/>
      </c>
      <c r="H6610" s="29">
        <f>IF(F6610="","",INDEX(Deals!$E$2:$E$843,F6610))</f>
        <v/>
      </c>
      <c r="I6610">
        <f>IF(F6610="","",INDEX(Deals!$D$2:$D$843,F6610))</f>
        <v/>
      </c>
      <c r="J6610">
        <f>IF(F6610="","",INT(H6610)-B6610)</f>
        <v/>
      </c>
      <c r="K6610">
        <f>IF(B6610&gt;=Settings!$C$5,1,0)</f>
        <v/>
      </c>
    </row>
    <row r="6611">
      <c r="A6611" t="inlineStr">
        <is>
          <t>9799b6b22f21d84883c0514f307b54b5</t>
        </is>
      </c>
      <c r="B6611" s="29" t="n">
        <v>43151</v>
      </c>
      <c r="C6611" t="inlineStr">
        <is>
          <t>2018-02</t>
        </is>
      </c>
      <c r="D6611" t="inlineStr">
        <is>
          <t>54d5e01ab35155d4bd8cf723fc6f04a0</t>
        </is>
      </c>
      <c r="E6611" t="inlineStr">
        <is>
          <t>email</t>
        </is>
      </c>
      <c r="F6611">
        <f>IFERROR(MATCH(A6611,Deals!$A$2:$A$843,0),"")</f>
        <v/>
      </c>
      <c r="G6611">
        <f>IF(F6611="",0,1)</f>
        <v/>
      </c>
      <c r="H6611" s="29">
        <f>IF(F6611="","",INDEX(Deals!$E$2:$E$843,F6611))</f>
        <v/>
      </c>
      <c r="I6611">
        <f>IF(F6611="","",INDEX(Deals!$D$2:$D$843,F6611))</f>
        <v/>
      </c>
      <c r="J6611">
        <f>IF(F6611="","",INT(H6611)-B6611)</f>
        <v/>
      </c>
      <c r="K6611">
        <f>IF(B6611&gt;=Settings!$C$5,1,0)</f>
        <v/>
      </c>
    </row>
    <row r="6612">
      <c r="A6612" t="inlineStr">
        <is>
          <t>b2385ae6de2a909f2ad7b45f9922af69</t>
        </is>
      </c>
      <c r="B6612" s="29" t="n">
        <v>43236</v>
      </c>
      <c r="C6612" t="inlineStr">
        <is>
          <t>2018-05</t>
        </is>
      </c>
      <c r="D6612" t="inlineStr">
        <is>
          <t>ce1a65abd0973638f1c887a6efcfa82d</t>
        </is>
      </c>
      <c r="E6612" t="inlineStr">
        <is>
          <t>organic_search</t>
        </is>
      </c>
      <c r="F6612">
        <f>IFERROR(MATCH(A6612,Deals!$A$2:$A$843,0),"")</f>
        <v/>
      </c>
      <c r="G6612">
        <f>IF(F6612="",0,1)</f>
        <v/>
      </c>
      <c r="H6612" s="29">
        <f>IF(F6612="","",INDEX(Deals!$E$2:$E$843,F6612))</f>
        <v/>
      </c>
      <c r="I6612">
        <f>IF(F6612="","",INDEX(Deals!$D$2:$D$843,F6612))</f>
        <v/>
      </c>
      <c r="J6612">
        <f>IF(F6612="","",INT(H6612)-B6612)</f>
        <v/>
      </c>
      <c r="K6612">
        <f>IF(B6612&gt;=Settings!$C$5,1,0)</f>
        <v/>
      </c>
    </row>
    <row r="6613">
      <c r="A6613" t="inlineStr">
        <is>
          <t>9bf347db69956789724519857d126a22</t>
        </is>
      </c>
      <c r="B6613" s="29" t="n">
        <v>43105</v>
      </c>
      <c r="C6613" t="inlineStr">
        <is>
          <t>2018-01</t>
        </is>
      </c>
      <c r="D6613" t="inlineStr">
        <is>
          <t>b76ef37428e6799c421989521c0e5077</t>
        </is>
      </c>
      <c r="E6613" t="inlineStr">
        <is>
          <t>paid_search</t>
        </is>
      </c>
      <c r="F6613">
        <f>IFERROR(MATCH(A6613,Deals!$A$2:$A$843,0),"")</f>
        <v/>
      </c>
      <c r="G6613">
        <f>IF(F6613="",0,1)</f>
        <v/>
      </c>
      <c r="H6613" s="29">
        <f>IF(F6613="","",INDEX(Deals!$E$2:$E$843,F6613))</f>
        <v/>
      </c>
      <c r="I6613">
        <f>IF(F6613="","",INDEX(Deals!$D$2:$D$843,F6613))</f>
        <v/>
      </c>
      <c r="J6613">
        <f>IF(F6613="","",INT(H6613)-B6613)</f>
        <v/>
      </c>
      <c r="K6613">
        <f>IF(B6613&gt;=Settings!$C$5,1,0)</f>
        <v/>
      </c>
    </row>
    <row r="6614">
      <c r="A6614" t="inlineStr">
        <is>
          <t>3ba98bd182c55aa76eab7a0b83046aba</t>
        </is>
      </c>
      <c r="B6614" s="29" t="n">
        <v>43061</v>
      </c>
      <c r="C6614" t="inlineStr">
        <is>
          <t>2017-11</t>
        </is>
      </c>
      <c r="D6614" t="inlineStr">
        <is>
          <t>ce1a65abd0973638f1c887a6efcfa82d</t>
        </is>
      </c>
      <c r="E6614" t="inlineStr">
        <is>
          <t>organic_search</t>
        </is>
      </c>
      <c r="F6614">
        <f>IFERROR(MATCH(A6614,Deals!$A$2:$A$843,0),"")</f>
        <v/>
      </c>
      <c r="G6614">
        <f>IF(F6614="",0,1)</f>
        <v/>
      </c>
      <c r="H6614" s="29">
        <f>IF(F6614="","",INDEX(Deals!$E$2:$E$843,F6614))</f>
        <v/>
      </c>
      <c r="I6614">
        <f>IF(F6614="","",INDEX(Deals!$D$2:$D$843,F6614))</f>
        <v/>
      </c>
      <c r="J6614">
        <f>IF(F6614="","",INT(H6614)-B6614)</f>
        <v/>
      </c>
      <c r="K6614">
        <f>IF(B6614&gt;=Settings!$C$5,1,0)</f>
        <v/>
      </c>
    </row>
    <row r="6615">
      <c r="A6615" t="inlineStr">
        <is>
          <t>a2b4d8fee5c06984ec6a9610196140dd</t>
        </is>
      </c>
      <c r="B6615" s="29" t="n">
        <v>43159</v>
      </c>
      <c r="C6615" t="inlineStr">
        <is>
          <t>2018-02</t>
        </is>
      </c>
      <c r="D6615" t="inlineStr">
        <is>
          <t>c70eb6fb5bd6e939b0d5ef32f21f61e8</t>
        </is>
      </c>
      <c r="E6615" t="inlineStr">
        <is>
          <t>direct_traffic</t>
        </is>
      </c>
      <c r="F6615">
        <f>IFERROR(MATCH(A6615,Deals!$A$2:$A$843,0),"")</f>
        <v/>
      </c>
      <c r="G6615">
        <f>IF(F6615="",0,1)</f>
        <v/>
      </c>
      <c r="H6615" s="29">
        <f>IF(F6615="","",INDEX(Deals!$E$2:$E$843,F6615))</f>
        <v/>
      </c>
      <c r="I6615">
        <f>IF(F6615="","",INDEX(Deals!$D$2:$D$843,F6615))</f>
        <v/>
      </c>
      <c r="J6615">
        <f>IF(F6615="","",INT(H6615)-B6615)</f>
        <v/>
      </c>
      <c r="K6615">
        <f>IF(B6615&gt;=Settings!$C$5,1,0)</f>
        <v/>
      </c>
    </row>
    <row r="6616">
      <c r="A6616" t="inlineStr">
        <is>
          <t>07f39c7a8ed35cf0a867db25788f30c1</t>
        </is>
      </c>
      <c r="B6616" s="29" t="n">
        <v>43161</v>
      </c>
      <c r="C6616" t="inlineStr">
        <is>
          <t>2018-03</t>
        </is>
      </c>
      <c r="D6616" t="inlineStr">
        <is>
          <t>a7982125ff7aa3b2054c6e44f9d28522</t>
        </is>
      </c>
      <c r="E6616" t="inlineStr">
        <is>
          <t>organic_search</t>
        </is>
      </c>
      <c r="F6616">
        <f>IFERROR(MATCH(A6616,Deals!$A$2:$A$843,0),"")</f>
        <v/>
      </c>
      <c r="G6616">
        <f>IF(F6616="",0,1)</f>
        <v/>
      </c>
      <c r="H6616" s="29">
        <f>IF(F6616="","",INDEX(Deals!$E$2:$E$843,F6616))</f>
        <v/>
      </c>
      <c r="I6616">
        <f>IF(F6616="","",INDEX(Deals!$D$2:$D$843,F6616))</f>
        <v/>
      </c>
      <c r="J6616">
        <f>IF(F6616="","",INT(H6616)-B6616)</f>
        <v/>
      </c>
      <c r="K6616">
        <f>IF(B6616&gt;=Settings!$C$5,1,0)</f>
        <v/>
      </c>
    </row>
    <row r="6617">
      <c r="A6617" t="inlineStr">
        <is>
          <t>ea4a114f0b354f8bc1a634fe4df21363</t>
        </is>
      </c>
      <c r="B6617" s="29" t="n">
        <v>43131</v>
      </c>
      <c r="C6617" t="inlineStr">
        <is>
          <t>2018-01</t>
        </is>
      </c>
      <c r="D6617" t="inlineStr">
        <is>
          <t>22c29808c4f815213303f8933030604c</t>
        </is>
      </c>
      <c r="E6617" t="inlineStr">
        <is>
          <t>organic_search</t>
        </is>
      </c>
      <c r="F6617">
        <f>IFERROR(MATCH(A6617,Deals!$A$2:$A$843,0),"")</f>
        <v/>
      </c>
      <c r="G6617">
        <f>IF(F6617="",0,1)</f>
        <v/>
      </c>
      <c r="H6617" s="29">
        <f>IF(F6617="","",INDEX(Deals!$E$2:$E$843,F6617))</f>
        <v/>
      </c>
      <c r="I6617">
        <f>IF(F6617="","",INDEX(Deals!$D$2:$D$843,F6617))</f>
        <v/>
      </c>
      <c r="J6617">
        <f>IF(F6617="","",INT(H6617)-B6617)</f>
        <v/>
      </c>
      <c r="K6617">
        <f>IF(B6617&gt;=Settings!$C$5,1,0)</f>
        <v/>
      </c>
    </row>
    <row r="6618">
      <c r="A6618" t="inlineStr">
        <is>
          <t>208989a43d7a1d1614e9ff303dce9d20</t>
        </is>
      </c>
      <c r="B6618" s="29" t="n">
        <v>43173</v>
      </c>
      <c r="C6618" t="inlineStr">
        <is>
          <t>2018-03</t>
        </is>
      </c>
      <c r="D6618" t="inlineStr">
        <is>
          <t>241f79c7a8fe0270f4fb79fcbbcd17ad</t>
        </is>
      </c>
      <c r="E6618" t="inlineStr">
        <is>
          <t>paid_search</t>
        </is>
      </c>
      <c r="F6618">
        <f>IFERROR(MATCH(A6618,Deals!$A$2:$A$843,0),"")</f>
        <v/>
      </c>
      <c r="G6618">
        <f>IF(F6618="",0,1)</f>
        <v/>
      </c>
      <c r="H6618" s="29">
        <f>IF(F6618="","",INDEX(Deals!$E$2:$E$843,F6618))</f>
        <v/>
      </c>
      <c r="I6618">
        <f>IF(F6618="","",INDEX(Deals!$D$2:$D$843,F6618))</f>
        <v/>
      </c>
      <c r="J6618">
        <f>IF(F6618="","",INT(H6618)-B6618)</f>
        <v/>
      </c>
      <c r="K6618">
        <f>IF(B6618&gt;=Settings!$C$5,1,0)</f>
        <v/>
      </c>
    </row>
    <row r="6619">
      <c r="A6619" t="inlineStr">
        <is>
          <t>8b2e2d4d84f88b773325a13afcf63c5e</t>
        </is>
      </c>
      <c r="B6619" s="29" t="n">
        <v>43161</v>
      </c>
      <c r="C6619" t="inlineStr">
        <is>
          <t>2018-03</t>
        </is>
      </c>
      <c r="D6619" t="inlineStr">
        <is>
          <t>c9d51cd2248b6329851dea905f8f1fac</t>
        </is>
      </c>
      <c r="E6619" t="inlineStr">
        <is>
          <t>organic_search</t>
        </is>
      </c>
      <c r="F6619">
        <f>IFERROR(MATCH(A6619,Deals!$A$2:$A$843,0),"")</f>
        <v/>
      </c>
      <c r="G6619">
        <f>IF(F6619="",0,1)</f>
        <v/>
      </c>
      <c r="H6619" s="29">
        <f>IF(F6619="","",INDEX(Deals!$E$2:$E$843,F6619))</f>
        <v/>
      </c>
      <c r="I6619">
        <f>IF(F6619="","",INDEX(Deals!$D$2:$D$843,F6619))</f>
        <v/>
      </c>
      <c r="J6619">
        <f>IF(F6619="","",INT(H6619)-B6619)</f>
        <v/>
      </c>
      <c r="K6619">
        <f>IF(B6619&gt;=Settings!$C$5,1,0)</f>
        <v/>
      </c>
    </row>
    <row r="6620">
      <c r="A6620" t="inlineStr">
        <is>
          <t>816826c162e44db293e93d2d4c390ae3</t>
        </is>
      </c>
      <c r="B6620" s="29" t="n">
        <v>43117</v>
      </c>
      <c r="C6620" t="inlineStr">
        <is>
          <t>2018-01</t>
        </is>
      </c>
      <c r="D6620" t="inlineStr">
        <is>
          <t>88740e65d5d6b056e0cda098e1ea6313</t>
        </is>
      </c>
      <c r="E6620" t="inlineStr">
        <is>
          <t>social</t>
        </is>
      </c>
      <c r="F6620">
        <f>IFERROR(MATCH(A6620,Deals!$A$2:$A$843,0),"")</f>
        <v/>
      </c>
      <c r="G6620">
        <f>IF(F6620="",0,1)</f>
        <v/>
      </c>
      <c r="H6620" s="29">
        <f>IF(F6620="","",INDEX(Deals!$E$2:$E$843,F6620))</f>
        <v/>
      </c>
      <c r="I6620">
        <f>IF(F6620="","",INDEX(Deals!$D$2:$D$843,F6620))</f>
        <v/>
      </c>
      <c r="J6620">
        <f>IF(F6620="","",INT(H6620)-B6620)</f>
        <v/>
      </c>
      <c r="K6620">
        <f>IF(B6620&gt;=Settings!$C$5,1,0)</f>
        <v/>
      </c>
    </row>
    <row r="6621">
      <c r="A6621" t="inlineStr">
        <is>
          <t>61fca29656b3299a2fa308f26075704d</t>
        </is>
      </c>
      <c r="B6621" s="29" t="n">
        <v>43249</v>
      </c>
      <c r="C6621" t="inlineStr">
        <is>
          <t>2018-05</t>
        </is>
      </c>
      <c r="D6621" t="inlineStr">
        <is>
          <t>b76ef37428e6799c421989521c0e5077</t>
        </is>
      </c>
      <c r="E6621" t="inlineStr">
        <is>
          <t>paid_search</t>
        </is>
      </c>
      <c r="F6621">
        <f>IFERROR(MATCH(A6621,Deals!$A$2:$A$843,0),"")</f>
        <v/>
      </c>
      <c r="G6621">
        <f>IF(F6621="",0,1)</f>
        <v/>
      </c>
      <c r="H6621" s="29">
        <f>IF(F6621="","",INDEX(Deals!$E$2:$E$843,F6621))</f>
        <v/>
      </c>
      <c r="I6621">
        <f>IF(F6621="","",INDEX(Deals!$D$2:$D$843,F6621))</f>
        <v/>
      </c>
      <c r="J6621">
        <f>IF(F6621="","",INT(H6621)-B6621)</f>
        <v/>
      </c>
      <c r="K6621">
        <f>IF(B6621&gt;=Settings!$C$5,1,0)</f>
        <v/>
      </c>
    </row>
    <row r="6622">
      <c r="A6622" t="inlineStr">
        <is>
          <t>0dd3985fed53410ffc15c2da8b6383c2</t>
        </is>
      </c>
      <c r="B6622" s="29" t="n">
        <v>43120</v>
      </c>
      <c r="C6622" t="inlineStr">
        <is>
          <t>2018-01</t>
        </is>
      </c>
      <c r="D6622" t="inlineStr">
        <is>
          <t>f017be4dbf86243af5c1ebed0cff36a2</t>
        </is>
      </c>
      <c r="E6622" t="inlineStr">
        <is>
          <t>organic_search</t>
        </is>
      </c>
      <c r="F6622">
        <f>IFERROR(MATCH(A6622,Deals!$A$2:$A$843,0),"")</f>
        <v/>
      </c>
      <c r="G6622">
        <f>IF(F6622="",0,1)</f>
        <v/>
      </c>
      <c r="H6622" s="29">
        <f>IF(F6622="","",INDEX(Deals!$E$2:$E$843,F6622))</f>
        <v/>
      </c>
      <c r="I6622">
        <f>IF(F6622="","",INDEX(Deals!$D$2:$D$843,F6622))</f>
        <v/>
      </c>
      <c r="J6622">
        <f>IF(F6622="","",INT(H6622)-B6622)</f>
        <v/>
      </c>
      <c r="K6622">
        <f>IF(B6622&gt;=Settings!$C$5,1,0)</f>
        <v/>
      </c>
    </row>
    <row r="6623">
      <c r="A6623" t="inlineStr">
        <is>
          <t>0acedbe660712601203336d1bcc3de49</t>
        </is>
      </c>
      <c r="B6623" s="29" t="n">
        <v>43208</v>
      </c>
      <c r="C6623" t="inlineStr">
        <is>
          <t>2018-04</t>
        </is>
      </c>
      <c r="D6623" t="inlineStr">
        <is>
          <t>e534a08b23c682d94859d0ab860bd57a</t>
        </is>
      </c>
      <c r="E6623" t="inlineStr">
        <is>
          <t>organic_search</t>
        </is>
      </c>
      <c r="F6623">
        <f>IFERROR(MATCH(A6623,Deals!$A$2:$A$843,0),"")</f>
        <v/>
      </c>
      <c r="G6623">
        <f>IF(F6623="",0,1)</f>
        <v/>
      </c>
      <c r="H6623" s="29">
        <f>IF(F6623="","",INDEX(Deals!$E$2:$E$843,F6623))</f>
        <v/>
      </c>
      <c r="I6623">
        <f>IF(F6623="","",INDEX(Deals!$D$2:$D$843,F6623))</f>
        <v/>
      </c>
      <c r="J6623">
        <f>IF(F6623="","",INT(H6623)-B6623)</f>
        <v/>
      </c>
      <c r="K6623">
        <f>IF(B6623&gt;=Settings!$C$5,1,0)</f>
        <v/>
      </c>
    </row>
    <row r="6624">
      <c r="A6624" t="inlineStr">
        <is>
          <t>918b71f2ac42210cfae2f82b777c1f27</t>
        </is>
      </c>
      <c r="B6624" s="29" t="n">
        <v>42963</v>
      </c>
      <c r="C6624" t="inlineStr">
        <is>
          <t>2017-08</t>
        </is>
      </c>
      <c r="D6624" t="inlineStr">
        <is>
          <t>f017be4dbf86243af5c1ebed0cff36a2</t>
        </is>
      </c>
      <c r="E6624" t="inlineStr">
        <is>
          <t>organic_search</t>
        </is>
      </c>
      <c r="F6624">
        <f>IFERROR(MATCH(A6624,Deals!$A$2:$A$843,0),"")</f>
        <v/>
      </c>
      <c r="G6624">
        <f>IF(F6624="",0,1)</f>
        <v/>
      </c>
      <c r="H6624" s="29">
        <f>IF(F6624="","",INDEX(Deals!$E$2:$E$843,F6624))</f>
        <v/>
      </c>
      <c r="I6624">
        <f>IF(F6624="","",INDEX(Deals!$D$2:$D$843,F6624))</f>
        <v/>
      </c>
      <c r="J6624">
        <f>IF(F6624="","",INT(H6624)-B6624)</f>
        <v/>
      </c>
      <c r="K6624">
        <f>IF(B6624&gt;=Settings!$C$5,1,0)</f>
        <v/>
      </c>
    </row>
    <row r="6625">
      <c r="A6625" t="inlineStr">
        <is>
          <t>09fc3fd7cf26523393428b92114831cb</t>
        </is>
      </c>
      <c r="B6625" s="29" t="n">
        <v>43228</v>
      </c>
      <c r="C6625" t="inlineStr">
        <is>
          <t>2018-05</t>
        </is>
      </c>
      <c r="D6625" t="inlineStr">
        <is>
          <t>358adb2fee9a122549618e46925a00a5</t>
        </is>
      </c>
      <c r="E6625" t="inlineStr">
        <is>
          <t>other_publicities</t>
        </is>
      </c>
      <c r="F6625">
        <f>IFERROR(MATCH(A6625,Deals!$A$2:$A$843,0),"")</f>
        <v/>
      </c>
      <c r="G6625">
        <f>IF(F6625="",0,1)</f>
        <v/>
      </c>
      <c r="H6625" s="29">
        <f>IF(F6625="","",INDEX(Deals!$E$2:$E$843,F6625))</f>
        <v/>
      </c>
      <c r="I6625">
        <f>IF(F6625="","",INDEX(Deals!$D$2:$D$843,F6625))</f>
        <v/>
      </c>
      <c r="J6625">
        <f>IF(F6625="","",INT(H6625)-B6625)</f>
        <v/>
      </c>
      <c r="K6625">
        <f>IF(B6625&gt;=Settings!$C$5,1,0)</f>
        <v/>
      </c>
    </row>
    <row r="6626">
      <c r="A6626" t="inlineStr">
        <is>
          <t>7c23287c6dd3acd5f4fae4175be75c7e</t>
        </is>
      </c>
      <c r="B6626" s="29" t="n">
        <v>43123</v>
      </c>
      <c r="C6626" t="inlineStr">
        <is>
          <t>2018-01</t>
        </is>
      </c>
      <c r="D6626" t="inlineStr">
        <is>
          <t>22c29808c4f815213303f8933030604c</t>
        </is>
      </c>
      <c r="E6626" t="inlineStr">
        <is>
          <t>organic_search</t>
        </is>
      </c>
      <c r="F6626">
        <f>IFERROR(MATCH(A6626,Deals!$A$2:$A$843,0),"")</f>
        <v/>
      </c>
      <c r="G6626">
        <f>IF(F6626="",0,1)</f>
        <v/>
      </c>
      <c r="H6626" s="29">
        <f>IF(F6626="","",INDEX(Deals!$E$2:$E$843,F6626))</f>
        <v/>
      </c>
      <c r="I6626">
        <f>IF(F6626="","",INDEX(Deals!$D$2:$D$843,F6626))</f>
        <v/>
      </c>
      <c r="J6626">
        <f>IF(F6626="","",INT(H6626)-B6626)</f>
        <v/>
      </c>
      <c r="K6626">
        <f>IF(B6626&gt;=Settings!$C$5,1,0)</f>
        <v/>
      </c>
    </row>
    <row r="6627">
      <c r="A6627" t="inlineStr">
        <is>
          <t>2c705d5bfa31ed6e0e9e4e8e4856e7ae</t>
        </is>
      </c>
      <c r="B6627" s="29" t="n">
        <v>43115</v>
      </c>
      <c r="C6627" t="inlineStr">
        <is>
          <t>2018-01</t>
        </is>
      </c>
      <c r="D6627" t="inlineStr">
        <is>
          <t>b76ef37428e6799c421989521c0e5077</t>
        </is>
      </c>
      <c r="E6627" t="inlineStr">
        <is>
          <t>paid_search</t>
        </is>
      </c>
      <c r="F6627">
        <f>IFERROR(MATCH(A6627,Deals!$A$2:$A$843,0),"")</f>
        <v/>
      </c>
      <c r="G6627">
        <f>IF(F6627="",0,1)</f>
        <v/>
      </c>
      <c r="H6627" s="29">
        <f>IF(F6627="","",INDEX(Deals!$E$2:$E$843,F6627))</f>
        <v/>
      </c>
      <c r="I6627">
        <f>IF(F6627="","",INDEX(Deals!$D$2:$D$843,F6627))</f>
        <v/>
      </c>
      <c r="J6627">
        <f>IF(F6627="","",INT(H6627)-B6627)</f>
        <v/>
      </c>
      <c r="K6627">
        <f>IF(B6627&gt;=Settings!$C$5,1,0)</f>
        <v/>
      </c>
    </row>
    <row r="6628">
      <c r="A6628" t="inlineStr">
        <is>
          <t>ee36402d691586429aac32bef03fc45c</t>
        </is>
      </c>
      <c r="B6628" s="29" t="n">
        <v>43120</v>
      </c>
      <c r="C6628" t="inlineStr">
        <is>
          <t>2018-01</t>
        </is>
      </c>
      <c r="D6628" t="inlineStr">
        <is>
          <t>f017be4dbf86243af5c1ebed0cff36a2</t>
        </is>
      </c>
      <c r="E6628" t="inlineStr">
        <is>
          <t>other_publicities</t>
        </is>
      </c>
      <c r="F6628">
        <f>IFERROR(MATCH(A6628,Deals!$A$2:$A$843,0),"")</f>
        <v/>
      </c>
      <c r="G6628">
        <f>IF(F6628="",0,1)</f>
        <v/>
      </c>
      <c r="H6628" s="29">
        <f>IF(F6628="","",INDEX(Deals!$E$2:$E$843,F6628))</f>
        <v/>
      </c>
      <c r="I6628">
        <f>IF(F6628="","",INDEX(Deals!$D$2:$D$843,F6628))</f>
        <v/>
      </c>
      <c r="J6628">
        <f>IF(F6628="","",INT(H6628)-B6628)</f>
        <v/>
      </c>
      <c r="K6628">
        <f>IF(B6628&gt;=Settings!$C$5,1,0)</f>
        <v/>
      </c>
    </row>
    <row r="6629">
      <c r="A6629" t="inlineStr">
        <is>
          <t>c90068e708766cac5d3717688d130cf7</t>
        </is>
      </c>
      <c r="B6629" s="29" t="n">
        <v>43199</v>
      </c>
      <c r="C6629" t="inlineStr">
        <is>
          <t>2018-04</t>
        </is>
      </c>
      <c r="D6629" t="inlineStr">
        <is>
          <t>0218f6be0b76aca72ab4d00ee9e8cf10</t>
        </is>
      </c>
      <c r="E6629" t="inlineStr">
        <is>
          <t>organic_search</t>
        </is>
      </c>
      <c r="F6629">
        <f>IFERROR(MATCH(A6629,Deals!$A$2:$A$843,0),"")</f>
        <v/>
      </c>
      <c r="G6629">
        <f>IF(F6629="",0,1)</f>
        <v/>
      </c>
      <c r="H6629" s="29">
        <f>IF(F6629="","",INDEX(Deals!$E$2:$E$843,F6629))</f>
        <v/>
      </c>
      <c r="I6629">
        <f>IF(F6629="","",INDEX(Deals!$D$2:$D$843,F6629))</f>
        <v/>
      </c>
      <c r="J6629">
        <f>IF(F6629="","",INT(H6629)-B6629)</f>
        <v/>
      </c>
      <c r="K6629">
        <f>IF(B6629&gt;=Settings!$C$5,1,0)</f>
        <v/>
      </c>
    </row>
    <row r="6630">
      <c r="A6630" t="inlineStr">
        <is>
          <t>0b99bbe436f28d115e4438efd42eeeea</t>
        </is>
      </c>
      <c r="B6630" s="29" t="n">
        <v>43243</v>
      </c>
      <c r="C6630" t="inlineStr">
        <is>
          <t>2018-05</t>
        </is>
      </c>
      <c r="D6630" t="inlineStr">
        <is>
          <t>22c29808c4f815213303f8933030604c</t>
        </is>
      </c>
      <c r="E6630" t="inlineStr">
        <is>
          <t>referral</t>
        </is>
      </c>
      <c r="F6630">
        <f>IFERROR(MATCH(A6630,Deals!$A$2:$A$843,0),"")</f>
        <v/>
      </c>
      <c r="G6630">
        <f>IF(F6630="",0,1)</f>
        <v/>
      </c>
      <c r="H6630" s="29">
        <f>IF(F6630="","",INDEX(Deals!$E$2:$E$843,F6630))</f>
        <v/>
      </c>
      <c r="I6630">
        <f>IF(F6630="","",INDEX(Deals!$D$2:$D$843,F6630))</f>
        <v/>
      </c>
      <c r="J6630">
        <f>IF(F6630="","",INT(H6630)-B6630)</f>
        <v/>
      </c>
      <c r="K6630">
        <f>IF(B6630&gt;=Settings!$C$5,1,0)</f>
        <v/>
      </c>
    </row>
    <row r="6631">
      <c r="A6631" t="inlineStr">
        <is>
          <t>6815c9384724ce2c0fdef2dea3a2279f</t>
        </is>
      </c>
      <c r="B6631" s="29" t="n">
        <v>43139</v>
      </c>
      <c r="C6631" t="inlineStr">
        <is>
          <t>2018-02</t>
        </is>
      </c>
      <c r="D6631" t="inlineStr">
        <is>
          <t>241f79c7a8fe0270f4fb79fcbbcd17ad</t>
        </is>
      </c>
      <c r="E6631" t="inlineStr">
        <is>
          <t>email</t>
        </is>
      </c>
      <c r="F6631">
        <f>IFERROR(MATCH(A6631,Deals!$A$2:$A$843,0),"")</f>
        <v/>
      </c>
      <c r="G6631">
        <f>IF(F6631="",0,1)</f>
        <v/>
      </c>
      <c r="H6631" s="29">
        <f>IF(F6631="","",INDEX(Deals!$E$2:$E$843,F6631))</f>
        <v/>
      </c>
      <c r="I6631">
        <f>IF(F6631="","",INDEX(Deals!$D$2:$D$843,F6631))</f>
        <v/>
      </c>
      <c r="J6631">
        <f>IF(F6631="","",INT(H6631)-B6631)</f>
        <v/>
      </c>
      <c r="K6631">
        <f>IF(B6631&gt;=Settings!$C$5,1,0)</f>
        <v/>
      </c>
    </row>
    <row r="6632">
      <c r="A6632" t="inlineStr">
        <is>
          <t>3f314e3cb0692a85f98cd745090b2e7e</t>
        </is>
      </c>
      <c r="B6632" s="29" t="n">
        <v>43218</v>
      </c>
      <c r="C6632" t="inlineStr">
        <is>
          <t>2018-04</t>
        </is>
      </c>
      <c r="D6632" t="inlineStr">
        <is>
          <t>30534107aa0013db92899c96a1017d0b</t>
        </is>
      </c>
      <c r="E6632" t="inlineStr">
        <is>
          <t>social</t>
        </is>
      </c>
      <c r="F6632">
        <f>IFERROR(MATCH(A6632,Deals!$A$2:$A$843,0),"")</f>
        <v/>
      </c>
      <c r="G6632">
        <f>IF(F6632="",0,1)</f>
        <v/>
      </c>
      <c r="H6632" s="29">
        <f>IF(F6632="","",INDEX(Deals!$E$2:$E$843,F6632))</f>
        <v/>
      </c>
      <c r="I6632">
        <f>IF(F6632="","",INDEX(Deals!$D$2:$D$843,F6632))</f>
        <v/>
      </c>
      <c r="J6632">
        <f>IF(F6632="","",INT(H6632)-B6632)</f>
        <v/>
      </c>
      <c r="K6632">
        <f>IF(B6632&gt;=Settings!$C$5,1,0)</f>
        <v/>
      </c>
    </row>
    <row r="6633">
      <c r="A6633" t="inlineStr">
        <is>
          <t>5797dcaf85fe08080252681a26d7d0bf</t>
        </is>
      </c>
      <c r="B6633" s="29" t="n">
        <v>43137</v>
      </c>
      <c r="C6633" t="inlineStr">
        <is>
          <t>2018-02</t>
        </is>
      </c>
      <c r="D6633" t="inlineStr">
        <is>
          <t>88740e65d5d6b056e0cda098e1ea6313</t>
        </is>
      </c>
      <c r="E6633" t="inlineStr">
        <is>
          <t>social</t>
        </is>
      </c>
      <c r="F6633">
        <f>IFERROR(MATCH(A6633,Deals!$A$2:$A$843,0),"")</f>
        <v/>
      </c>
      <c r="G6633">
        <f>IF(F6633="",0,1)</f>
        <v/>
      </c>
      <c r="H6633" s="29">
        <f>IF(F6633="","",INDEX(Deals!$E$2:$E$843,F6633))</f>
        <v/>
      </c>
      <c r="I6633">
        <f>IF(F6633="","",INDEX(Deals!$D$2:$D$843,F6633))</f>
        <v/>
      </c>
      <c r="J6633">
        <f>IF(F6633="","",INT(H6633)-B6633)</f>
        <v/>
      </c>
      <c r="K6633">
        <f>IF(B6633&gt;=Settings!$C$5,1,0)</f>
        <v/>
      </c>
    </row>
    <row r="6634">
      <c r="A6634" t="inlineStr">
        <is>
          <t>eb7cd84a106d9862149ce49358dccf98</t>
        </is>
      </c>
      <c r="B6634" s="29" t="n">
        <v>43102</v>
      </c>
      <c r="C6634" t="inlineStr">
        <is>
          <t>2018-01</t>
        </is>
      </c>
      <c r="D6634" t="inlineStr">
        <is>
          <t>22c29808c4f815213303f8933030604c</t>
        </is>
      </c>
      <c r="E6634" t="inlineStr">
        <is>
          <t>organic_search</t>
        </is>
      </c>
      <c r="F6634">
        <f>IFERROR(MATCH(A6634,Deals!$A$2:$A$843,0),"")</f>
        <v/>
      </c>
      <c r="G6634">
        <f>IF(F6634="",0,1)</f>
        <v/>
      </c>
      <c r="H6634" s="29">
        <f>IF(F6634="","",INDEX(Deals!$E$2:$E$843,F6634))</f>
        <v/>
      </c>
      <c r="I6634">
        <f>IF(F6634="","",INDEX(Deals!$D$2:$D$843,F6634))</f>
        <v/>
      </c>
      <c r="J6634">
        <f>IF(F6634="","",INT(H6634)-B6634)</f>
        <v/>
      </c>
      <c r="K6634">
        <f>IF(B6634&gt;=Settings!$C$5,1,0)</f>
        <v/>
      </c>
    </row>
    <row r="6635">
      <c r="A6635" t="inlineStr">
        <is>
          <t>2685e06135430bf8e58da9c94f8e89bb</t>
        </is>
      </c>
      <c r="B6635" s="29" t="n">
        <v>43249</v>
      </c>
      <c r="C6635" t="inlineStr">
        <is>
          <t>2018-05</t>
        </is>
      </c>
      <c r="D6635" t="inlineStr">
        <is>
          <t>b76ef37428e6799c421989521c0e5077</t>
        </is>
      </c>
      <c r="E6635" t="inlineStr">
        <is>
          <t>unknown</t>
        </is>
      </c>
      <c r="F6635">
        <f>IFERROR(MATCH(A6635,Deals!$A$2:$A$843,0),"")</f>
        <v/>
      </c>
      <c r="G6635">
        <f>IF(F6635="",0,1)</f>
        <v/>
      </c>
      <c r="H6635" s="29">
        <f>IF(F6635="","",INDEX(Deals!$E$2:$E$843,F6635))</f>
        <v/>
      </c>
      <c r="I6635">
        <f>IF(F6635="","",INDEX(Deals!$D$2:$D$843,F6635))</f>
        <v/>
      </c>
      <c r="J6635">
        <f>IF(F6635="","",INT(H6635)-B6635)</f>
        <v/>
      </c>
      <c r="K6635">
        <f>IF(B6635&gt;=Settings!$C$5,1,0)</f>
        <v/>
      </c>
    </row>
    <row r="6636">
      <c r="A6636" t="inlineStr">
        <is>
          <t>c4df13cad905bbff4cfd811606745cd8</t>
        </is>
      </c>
      <c r="B6636" s="29" t="n">
        <v>42987</v>
      </c>
      <c r="C6636" t="inlineStr">
        <is>
          <t>2017-09</t>
        </is>
      </c>
      <c r="D6636" t="inlineStr">
        <is>
          <t>87732658ba41d8775e8577df347a64db</t>
        </is>
      </c>
      <c r="E6636" t="inlineStr">
        <is>
          <t>social</t>
        </is>
      </c>
      <c r="F6636">
        <f>IFERROR(MATCH(A6636,Deals!$A$2:$A$843,0),"")</f>
        <v/>
      </c>
      <c r="G6636">
        <f>IF(F6636="",0,1)</f>
        <v/>
      </c>
      <c r="H6636" s="29">
        <f>IF(F6636="","",INDEX(Deals!$E$2:$E$843,F6636))</f>
        <v/>
      </c>
      <c r="I6636">
        <f>IF(F6636="","",INDEX(Deals!$D$2:$D$843,F6636))</f>
        <v/>
      </c>
      <c r="J6636">
        <f>IF(F6636="","",INT(H6636)-B6636)</f>
        <v/>
      </c>
      <c r="K6636">
        <f>IF(B6636&gt;=Settings!$C$5,1,0)</f>
        <v/>
      </c>
    </row>
    <row r="6637">
      <c r="A6637" t="inlineStr">
        <is>
          <t>894518b12e9073cc763965a852f65788</t>
        </is>
      </c>
      <c r="B6637" s="29" t="n">
        <v>43086</v>
      </c>
      <c r="C6637" t="inlineStr">
        <is>
          <t>2017-12</t>
        </is>
      </c>
      <c r="D6637" t="inlineStr">
        <is>
          <t>aafc43d934a043b451b1dc5a61943a6b</t>
        </is>
      </c>
      <c r="E6637" t="inlineStr">
        <is>
          <t>organic_search</t>
        </is>
      </c>
      <c r="F6637">
        <f>IFERROR(MATCH(A6637,Deals!$A$2:$A$843,0),"")</f>
        <v/>
      </c>
      <c r="G6637">
        <f>IF(F6637="",0,1)</f>
        <v/>
      </c>
      <c r="H6637" s="29">
        <f>IF(F6637="","",INDEX(Deals!$E$2:$E$843,F6637))</f>
        <v/>
      </c>
      <c r="I6637">
        <f>IF(F6637="","",INDEX(Deals!$D$2:$D$843,F6637))</f>
        <v/>
      </c>
      <c r="J6637">
        <f>IF(F6637="","",INT(H6637)-B6637)</f>
        <v/>
      </c>
      <c r="K6637">
        <f>IF(B6637&gt;=Settings!$C$5,1,0)</f>
        <v/>
      </c>
    </row>
    <row r="6638">
      <c r="A6638" t="inlineStr">
        <is>
          <t>8bb604aef2c0b402c5006bba0e536e3e</t>
        </is>
      </c>
      <c r="B6638" s="29" t="n">
        <v>43133</v>
      </c>
      <c r="C6638" t="inlineStr">
        <is>
          <t>2018-02</t>
        </is>
      </c>
      <c r="D6638" t="inlineStr">
        <is>
          <t>88740e65d5d6b056e0cda098e1ea6313</t>
        </is>
      </c>
      <c r="E6638" t="inlineStr">
        <is>
          <t>social</t>
        </is>
      </c>
      <c r="F6638">
        <f>IFERROR(MATCH(A6638,Deals!$A$2:$A$843,0),"")</f>
        <v/>
      </c>
      <c r="G6638">
        <f>IF(F6638="",0,1)</f>
        <v/>
      </c>
      <c r="H6638" s="29">
        <f>IF(F6638="","",INDEX(Deals!$E$2:$E$843,F6638))</f>
        <v/>
      </c>
      <c r="I6638">
        <f>IF(F6638="","",INDEX(Deals!$D$2:$D$843,F6638))</f>
        <v/>
      </c>
      <c r="J6638">
        <f>IF(F6638="","",INT(H6638)-B6638)</f>
        <v/>
      </c>
      <c r="K6638">
        <f>IF(B6638&gt;=Settings!$C$5,1,0)</f>
        <v/>
      </c>
    </row>
    <row r="6639">
      <c r="A6639" t="inlineStr">
        <is>
          <t>5c2d8be7b4d5836ebf6e70455ba735df</t>
        </is>
      </c>
      <c r="B6639" s="29" t="n">
        <v>43115</v>
      </c>
      <c r="C6639" t="inlineStr">
        <is>
          <t>2018-01</t>
        </is>
      </c>
      <c r="D6639" t="inlineStr">
        <is>
          <t>a7982125ff7aa3b2054c6e44f9d28522</t>
        </is>
      </c>
      <c r="E6639" t="inlineStr">
        <is>
          <t>organic_search</t>
        </is>
      </c>
      <c r="F6639">
        <f>IFERROR(MATCH(A6639,Deals!$A$2:$A$843,0),"")</f>
        <v/>
      </c>
      <c r="G6639">
        <f>IF(F6639="",0,1)</f>
        <v/>
      </c>
      <c r="H6639" s="29">
        <f>IF(F6639="","",INDEX(Deals!$E$2:$E$843,F6639))</f>
        <v/>
      </c>
      <c r="I6639">
        <f>IF(F6639="","",INDEX(Deals!$D$2:$D$843,F6639))</f>
        <v/>
      </c>
      <c r="J6639">
        <f>IF(F6639="","",INT(H6639)-B6639)</f>
        <v/>
      </c>
      <c r="K6639">
        <f>IF(B6639&gt;=Settings!$C$5,1,0)</f>
        <v/>
      </c>
    </row>
    <row r="6640">
      <c r="A6640" t="inlineStr">
        <is>
          <t>8f6285e2aea781df25a077fff1b14e31</t>
        </is>
      </c>
      <c r="B6640" s="29" t="n">
        <v>43227</v>
      </c>
      <c r="C6640" t="inlineStr">
        <is>
          <t>2018-05</t>
        </is>
      </c>
      <c r="D6640" t="inlineStr">
        <is>
          <t>a7982125ff7aa3b2054c6e44f9d28522</t>
        </is>
      </c>
      <c r="E6640" t="inlineStr">
        <is>
          <t>organic_search</t>
        </is>
      </c>
      <c r="F6640">
        <f>IFERROR(MATCH(A6640,Deals!$A$2:$A$843,0),"")</f>
        <v/>
      </c>
      <c r="G6640">
        <f>IF(F6640="",0,1)</f>
        <v/>
      </c>
      <c r="H6640" s="29">
        <f>IF(F6640="","",INDEX(Deals!$E$2:$E$843,F6640))</f>
        <v/>
      </c>
      <c r="I6640">
        <f>IF(F6640="","",INDEX(Deals!$D$2:$D$843,F6640))</f>
        <v/>
      </c>
      <c r="J6640">
        <f>IF(F6640="","",INT(H6640)-B6640)</f>
        <v/>
      </c>
      <c r="K6640">
        <f>IF(B6640&gt;=Settings!$C$5,1,0)</f>
        <v/>
      </c>
    </row>
    <row r="6641">
      <c r="A6641" t="inlineStr">
        <is>
          <t>caac56cffdc38b4ce41d5d75b96f9323</t>
        </is>
      </c>
      <c r="B6641" s="29" t="n">
        <v>43209</v>
      </c>
      <c r="C6641" t="inlineStr">
        <is>
          <t>2018-04</t>
        </is>
      </c>
      <c r="D6641" t="inlineStr">
        <is>
          <t>b76ef37428e6799c421989521c0e5077</t>
        </is>
      </c>
      <c r="E6641" t="inlineStr">
        <is>
          <t>unknown</t>
        </is>
      </c>
      <c r="F6641">
        <f>IFERROR(MATCH(A6641,Deals!$A$2:$A$843,0),"")</f>
        <v/>
      </c>
      <c r="G6641">
        <f>IF(F6641="",0,1)</f>
        <v/>
      </c>
      <c r="H6641" s="29">
        <f>IF(F6641="","",INDEX(Deals!$E$2:$E$843,F6641))</f>
        <v/>
      </c>
      <c r="I6641">
        <f>IF(F6641="","",INDEX(Deals!$D$2:$D$843,F6641))</f>
        <v/>
      </c>
      <c r="J6641">
        <f>IF(F6641="","",INT(H6641)-B6641)</f>
        <v/>
      </c>
      <c r="K6641">
        <f>IF(B6641&gt;=Settings!$C$5,1,0)</f>
        <v/>
      </c>
    </row>
    <row r="6642">
      <c r="A6642" t="inlineStr">
        <is>
          <t>3cf05261987750d4bc066c5026dc7437</t>
        </is>
      </c>
      <c r="B6642" s="29" t="n">
        <v>43004</v>
      </c>
      <c r="C6642" t="inlineStr">
        <is>
          <t>2017-09</t>
        </is>
      </c>
      <c r="D6642" t="inlineStr">
        <is>
          <t>f017be4dbf86243af5c1ebed0cff36a2</t>
        </is>
      </c>
      <c r="E6642" t="inlineStr">
        <is>
          <t>organic_search</t>
        </is>
      </c>
      <c r="F6642">
        <f>IFERROR(MATCH(A6642,Deals!$A$2:$A$843,0),"")</f>
        <v/>
      </c>
      <c r="G6642">
        <f>IF(F6642="",0,1)</f>
        <v/>
      </c>
      <c r="H6642" s="29">
        <f>IF(F6642="","",INDEX(Deals!$E$2:$E$843,F6642))</f>
        <v/>
      </c>
      <c r="I6642">
        <f>IF(F6642="","",INDEX(Deals!$D$2:$D$843,F6642))</f>
        <v/>
      </c>
      <c r="J6642">
        <f>IF(F6642="","",INT(H6642)-B6642)</f>
        <v/>
      </c>
      <c r="K6642">
        <f>IF(B6642&gt;=Settings!$C$5,1,0)</f>
        <v/>
      </c>
    </row>
    <row r="6643">
      <c r="A6643" t="inlineStr">
        <is>
          <t>33ce1e734d9d50629fa2c36769285d53</t>
        </is>
      </c>
      <c r="B6643" s="29" t="n">
        <v>42927</v>
      </c>
      <c r="C6643" t="inlineStr">
        <is>
          <t>2017-07</t>
        </is>
      </c>
      <c r="D6643" t="inlineStr">
        <is>
          <t>d41d8cd98f00b204e9800998ecf8427e</t>
        </is>
      </c>
      <c r="E6643" t="inlineStr">
        <is>
          <t>(missing)</t>
        </is>
      </c>
      <c r="F6643">
        <f>IFERROR(MATCH(A6643,Deals!$A$2:$A$843,0),"")</f>
        <v/>
      </c>
      <c r="G6643">
        <f>IF(F6643="",0,1)</f>
        <v/>
      </c>
      <c r="H6643" s="29">
        <f>IF(F6643="","",INDEX(Deals!$E$2:$E$843,F6643))</f>
        <v/>
      </c>
      <c r="I6643">
        <f>IF(F6643="","",INDEX(Deals!$D$2:$D$843,F6643))</f>
        <v/>
      </c>
      <c r="J6643">
        <f>IF(F6643="","",INT(H6643)-B6643)</f>
        <v/>
      </c>
      <c r="K6643">
        <f>IF(B6643&gt;=Settings!$C$5,1,0)</f>
        <v/>
      </c>
    </row>
    <row r="6644">
      <c r="A6644" t="inlineStr">
        <is>
          <t>a38a9af287823928c8b66b29dde21c29</t>
        </is>
      </c>
      <c r="B6644" s="29" t="n">
        <v>43129</v>
      </c>
      <c r="C6644" t="inlineStr">
        <is>
          <t>2018-01</t>
        </is>
      </c>
      <c r="D6644" t="inlineStr">
        <is>
          <t>b76ef37428e6799c421989521c0e5077</t>
        </is>
      </c>
      <c r="E6644" t="inlineStr">
        <is>
          <t>organic_search</t>
        </is>
      </c>
      <c r="F6644">
        <f>IFERROR(MATCH(A6644,Deals!$A$2:$A$843,0),"")</f>
        <v/>
      </c>
      <c r="G6644">
        <f>IF(F6644="",0,1)</f>
        <v/>
      </c>
      <c r="H6644" s="29">
        <f>IF(F6644="","",INDEX(Deals!$E$2:$E$843,F6644))</f>
        <v/>
      </c>
      <c r="I6644">
        <f>IF(F6644="","",INDEX(Deals!$D$2:$D$843,F6644))</f>
        <v/>
      </c>
      <c r="J6644">
        <f>IF(F6644="","",INT(H6644)-B6644)</f>
        <v/>
      </c>
      <c r="K6644">
        <f>IF(B6644&gt;=Settings!$C$5,1,0)</f>
        <v/>
      </c>
    </row>
    <row r="6645">
      <c r="A6645" t="inlineStr">
        <is>
          <t>f321d1828715ef2d889efb20b8c706b0</t>
        </is>
      </c>
      <c r="B6645" s="29" t="n">
        <v>42994</v>
      </c>
      <c r="C6645" t="inlineStr">
        <is>
          <t>2017-09</t>
        </is>
      </c>
      <c r="D6645" t="inlineStr">
        <is>
          <t>92bd5f77d493a36dac9bddb66d1b9dbf</t>
        </is>
      </c>
      <c r="E6645" t="inlineStr">
        <is>
          <t>direct_traffic</t>
        </is>
      </c>
      <c r="F6645">
        <f>IFERROR(MATCH(A6645,Deals!$A$2:$A$843,0),"")</f>
        <v/>
      </c>
      <c r="G6645">
        <f>IF(F6645="",0,1)</f>
        <v/>
      </c>
      <c r="H6645" s="29">
        <f>IF(F6645="","",INDEX(Deals!$E$2:$E$843,F6645))</f>
        <v/>
      </c>
      <c r="I6645">
        <f>IF(F6645="","",INDEX(Deals!$D$2:$D$843,F6645))</f>
        <v/>
      </c>
      <c r="J6645">
        <f>IF(F6645="","",INT(H6645)-B6645)</f>
        <v/>
      </c>
      <c r="K6645">
        <f>IF(B6645&gt;=Settings!$C$5,1,0)</f>
        <v/>
      </c>
    </row>
    <row r="6646">
      <c r="A6646" t="inlineStr">
        <is>
          <t>8d31e1ca580336797fc5c552cc86b96b</t>
        </is>
      </c>
      <c r="B6646" s="29" t="n">
        <v>43012</v>
      </c>
      <c r="C6646" t="inlineStr">
        <is>
          <t>2017-10</t>
        </is>
      </c>
      <c r="D6646" t="inlineStr">
        <is>
          <t>10f5ac17ed7d6ee9a7d737ac1d2fcb32</t>
        </is>
      </c>
      <c r="E6646" t="inlineStr">
        <is>
          <t>email</t>
        </is>
      </c>
      <c r="F6646">
        <f>IFERROR(MATCH(A6646,Deals!$A$2:$A$843,0),"")</f>
        <v/>
      </c>
      <c r="G6646">
        <f>IF(F6646="",0,1)</f>
        <v/>
      </c>
      <c r="H6646" s="29">
        <f>IF(F6646="","",INDEX(Deals!$E$2:$E$843,F6646))</f>
        <v/>
      </c>
      <c r="I6646">
        <f>IF(F6646="","",INDEX(Deals!$D$2:$D$843,F6646))</f>
        <v/>
      </c>
      <c r="J6646">
        <f>IF(F6646="","",INT(H6646)-B6646)</f>
        <v/>
      </c>
      <c r="K6646">
        <f>IF(B6646&gt;=Settings!$C$5,1,0)</f>
        <v/>
      </c>
    </row>
    <row r="6647">
      <c r="A6647" t="inlineStr">
        <is>
          <t>b47fe896f07e0e8fdf6956ce0669e16e</t>
        </is>
      </c>
      <c r="B6647" s="29" t="n">
        <v>43210</v>
      </c>
      <c r="C6647" t="inlineStr">
        <is>
          <t>2018-04</t>
        </is>
      </c>
      <c r="D6647" t="inlineStr">
        <is>
          <t>b76ef37428e6799c421989521c0e5077</t>
        </is>
      </c>
      <c r="E6647" t="inlineStr">
        <is>
          <t>unknown</t>
        </is>
      </c>
      <c r="F6647">
        <f>IFERROR(MATCH(A6647,Deals!$A$2:$A$843,0),"")</f>
        <v/>
      </c>
      <c r="G6647">
        <f>IF(F6647="",0,1)</f>
        <v/>
      </c>
      <c r="H6647" s="29">
        <f>IF(F6647="","",INDEX(Deals!$E$2:$E$843,F6647))</f>
        <v/>
      </c>
      <c r="I6647">
        <f>IF(F6647="","",INDEX(Deals!$D$2:$D$843,F6647))</f>
        <v/>
      </c>
      <c r="J6647">
        <f>IF(F6647="","",INT(H6647)-B6647)</f>
        <v/>
      </c>
      <c r="K6647">
        <f>IF(B6647&gt;=Settings!$C$5,1,0)</f>
        <v/>
      </c>
    </row>
    <row r="6648">
      <c r="A6648" t="inlineStr">
        <is>
          <t>bedfbb70a637d0bfc3fa0a39eefc036f</t>
        </is>
      </c>
      <c r="B6648" s="29" t="n">
        <v>43200</v>
      </c>
      <c r="C6648" t="inlineStr">
        <is>
          <t>2018-04</t>
        </is>
      </c>
      <c r="D6648" t="inlineStr">
        <is>
          <t>891b03aa737ba5655affab01b01435c2</t>
        </is>
      </c>
      <c r="E6648" t="inlineStr">
        <is>
          <t>paid_search</t>
        </is>
      </c>
      <c r="F6648">
        <f>IFERROR(MATCH(A6648,Deals!$A$2:$A$843,0),"")</f>
        <v/>
      </c>
      <c r="G6648">
        <f>IF(F6648="",0,1)</f>
        <v/>
      </c>
      <c r="H6648" s="29">
        <f>IF(F6648="","",INDEX(Deals!$E$2:$E$843,F6648))</f>
        <v/>
      </c>
      <c r="I6648">
        <f>IF(F6648="","",INDEX(Deals!$D$2:$D$843,F6648))</f>
        <v/>
      </c>
      <c r="J6648">
        <f>IF(F6648="","",INT(H6648)-B6648)</f>
        <v/>
      </c>
      <c r="K6648">
        <f>IF(B6648&gt;=Settings!$C$5,1,0)</f>
        <v/>
      </c>
    </row>
    <row r="6649">
      <c r="A6649" t="inlineStr">
        <is>
          <t>0401ed6796f1f9b637d18a4ba337e1d6</t>
        </is>
      </c>
      <c r="B6649" s="29" t="n">
        <v>43009</v>
      </c>
      <c r="C6649" t="inlineStr">
        <is>
          <t>2017-10</t>
        </is>
      </c>
      <c r="D6649" t="inlineStr">
        <is>
          <t>e92a6f37ebb87a6bfbc569d439cf1635</t>
        </is>
      </c>
      <c r="E6649" t="inlineStr">
        <is>
          <t>social</t>
        </is>
      </c>
      <c r="F6649">
        <f>IFERROR(MATCH(A6649,Deals!$A$2:$A$843,0),"")</f>
        <v/>
      </c>
      <c r="G6649">
        <f>IF(F6649="",0,1)</f>
        <v/>
      </c>
      <c r="H6649" s="29">
        <f>IF(F6649="","",INDEX(Deals!$E$2:$E$843,F6649))</f>
        <v/>
      </c>
      <c r="I6649">
        <f>IF(F6649="","",INDEX(Deals!$D$2:$D$843,F6649))</f>
        <v/>
      </c>
      <c r="J6649">
        <f>IF(F6649="","",INT(H6649)-B6649)</f>
        <v/>
      </c>
      <c r="K6649">
        <f>IF(B6649&gt;=Settings!$C$5,1,0)</f>
        <v/>
      </c>
    </row>
    <row r="6650">
      <c r="A6650" t="inlineStr">
        <is>
          <t>cbeb7c97ec2f127b9ee1488844409153</t>
        </is>
      </c>
      <c r="B6650" s="29" t="n">
        <v>43026</v>
      </c>
      <c r="C6650" t="inlineStr">
        <is>
          <t>2017-10</t>
        </is>
      </c>
      <c r="D6650" t="inlineStr">
        <is>
          <t>aa8af3ebe14831a7cd1b6d1383a03755</t>
        </is>
      </c>
      <c r="E6650" t="inlineStr">
        <is>
          <t>unknown</t>
        </is>
      </c>
      <c r="F6650">
        <f>IFERROR(MATCH(A6650,Deals!$A$2:$A$843,0),"")</f>
        <v/>
      </c>
      <c r="G6650">
        <f>IF(F6650="",0,1)</f>
        <v/>
      </c>
      <c r="H6650" s="29">
        <f>IF(F6650="","",INDEX(Deals!$E$2:$E$843,F6650))</f>
        <v/>
      </c>
      <c r="I6650">
        <f>IF(F6650="","",INDEX(Deals!$D$2:$D$843,F6650))</f>
        <v/>
      </c>
      <c r="J6650">
        <f>IF(F6650="","",INT(H6650)-B6650)</f>
        <v/>
      </c>
      <c r="K6650">
        <f>IF(B6650&gt;=Settings!$C$5,1,0)</f>
        <v/>
      </c>
    </row>
    <row r="6651">
      <c r="A6651" t="inlineStr">
        <is>
          <t>a39720e043f27ef3b0b9256b63f9de98</t>
        </is>
      </c>
      <c r="B6651" s="29" t="n">
        <v>43098</v>
      </c>
      <c r="C6651" t="inlineStr">
        <is>
          <t>2017-12</t>
        </is>
      </c>
      <c r="D6651" t="inlineStr">
        <is>
          <t>b76ef37428e6799c421989521c0e5077</t>
        </is>
      </c>
      <c r="E6651" t="inlineStr">
        <is>
          <t>unknown</t>
        </is>
      </c>
      <c r="F6651">
        <f>IFERROR(MATCH(A6651,Deals!$A$2:$A$843,0),"")</f>
        <v/>
      </c>
      <c r="G6651">
        <f>IF(F6651="",0,1)</f>
        <v/>
      </c>
      <c r="H6651" s="29">
        <f>IF(F6651="","",INDEX(Deals!$E$2:$E$843,F6651))</f>
        <v/>
      </c>
      <c r="I6651">
        <f>IF(F6651="","",INDEX(Deals!$D$2:$D$843,F6651))</f>
        <v/>
      </c>
      <c r="J6651">
        <f>IF(F6651="","",INT(H6651)-B6651)</f>
        <v/>
      </c>
      <c r="K6651">
        <f>IF(B6651&gt;=Settings!$C$5,1,0)</f>
        <v/>
      </c>
    </row>
    <row r="6652">
      <c r="A6652" t="inlineStr">
        <is>
          <t>fdd819170d9d26376ed478b493c864ab</t>
        </is>
      </c>
      <c r="B6652" s="29" t="n">
        <v>43173</v>
      </c>
      <c r="C6652" t="inlineStr">
        <is>
          <t>2018-03</t>
        </is>
      </c>
      <c r="D6652" t="inlineStr">
        <is>
          <t>daa9619c6f8ed06d059265dca0f9257f</t>
        </is>
      </c>
      <c r="E6652" t="inlineStr">
        <is>
          <t>email</t>
        </is>
      </c>
      <c r="F6652">
        <f>IFERROR(MATCH(A6652,Deals!$A$2:$A$843,0),"")</f>
        <v/>
      </c>
      <c r="G6652">
        <f>IF(F6652="",0,1)</f>
        <v/>
      </c>
      <c r="H6652" s="29">
        <f>IF(F6652="","",INDEX(Deals!$E$2:$E$843,F6652))</f>
        <v/>
      </c>
      <c r="I6652">
        <f>IF(F6652="","",INDEX(Deals!$D$2:$D$843,F6652))</f>
        <v/>
      </c>
      <c r="J6652">
        <f>IF(F6652="","",INT(H6652)-B6652)</f>
        <v/>
      </c>
      <c r="K6652">
        <f>IF(B6652&gt;=Settings!$C$5,1,0)</f>
        <v/>
      </c>
    </row>
    <row r="6653">
      <c r="A6653" t="inlineStr">
        <is>
          <t>57ecd7316c52ffcbdea03690ea7db2b8</t>
        </is>
      </c>
      <c r="B6653" s="29" t="n">
        <v>43146</v>
      </c>
      <c r="C6653" t="inlineStr">
        <is>
          <t>2018-02</t>
        </is>
      </c>
      <c r="D6653" t="inlineStr">
        <is>
          <t>22c29808c4f815213303f8933030604c</t>
        </is>
      </c>
      <c r="E6653" t="inlineStr">
        <is>
          <t>direct_traffic</t>
        </is>
      </c>
      <c r="F6653">
        <f>IFERROR(MATCH(A6653,Deals!$A$2:$A$843,0),"")</f>
        <v/>
      </c>
      <c r="G6653">
        <f>IF(F6653="",0,1)</f>
        <v/>
      </c>
      <c r="H6653" s="29">
        <f>IF(F6653="","",INDEX(Deals!$E$2:$E$843,F6653))</f>
        <v/>
      </c>
      <c r="I6653">
        <f>IF(F6653="","",INDEX(Deals!$D$2:$D$843,F6653))</f>
        <v/>
      </c>
      <c r="J6653">
        <f>IF(F6653="","",INT(H6653)-B6653)</f>
        <v/>
      </c>
      <c r="K6653">
        <f>IF(B6653&gt;=Settings!$C$5,1,0)</f>
        <v/>
      </c>
    </row>
    <row r="6654">
      <c r="A6654" t="inlineStr">
        <is>
          <t>ffb51c2a27a66718f1ba1515c250c722</t>
        </is>
      </c>
      <c r="B6654" s="29" t="n">
        <v>43012</v>
      </c>
      <c r="C6654" t="inlineStr">
        <is>
          <t>2017-10</t>
        </is>
      </c>
      <c r="D6654" t="inlineStr">
        <is>
          <t>e492ee5eaf1697716985cc6f33f9cd9b</t>
        </is>
      </c>
      <c r="E6654" t="inlineStr">
        <is>
          <t>organic_search</t>
        </is>
      </c>
      <c r="F6654">
        <f>IFERROR(MATCH(A6654,Deals!$A$2:$A$843,0),"")</f>
        <v/>
      </c>
      <c r="G6654">
        <f>IF(F6654="",0,1)</f>
        <v/>
      </c>
      <c r="H6654" s="29">
        <f>IF(F6654="","",INDEX(Deals!$E$2:$E$843,F6654))</f>
        <v/>
      </c>
      <c r="I6654">
        <f>IF(F6654="","",INDEX(Deals!$D$2:$D$843,F6654))</f>
        <v/>
      </c>
      <c r="J6654">
        <f>IF(F6654="","",INT(H6654)-B6654)</f>
        <v/>
      </c>
      <c r="K6654">
        <f>IF(B6654&gt;=Settings!$C$5,1,0)</f>
        <v/>
      </c>
    </row>
    <row r="6655">
      <c r="A6655" t="inlineStr">
        <is>
          <t>206116d9f79049ae26fe3c8d62f135ff</t>
        </is>
      </c>
      <c r="B6655" s="29" t="n">
        <v>43220</v>
      </c>
      <c r="C6655" t="inlineStr">
        <is>
          <t>2018-04</t>
        </is>
      </c>
      <c r="D6655" t="inlineStr">
        <is>
          <t>a7982125ff7aa3b2054c6e44f9d28522</t>
        </is>
      </c>
      <c r="E6655" t="inlineStr">
        <is>
          <t>organic_search</t>
        </is>
      </c>
      <c r="F6655">
        <f>IFERROR(MATCH(A6655,Deals!$A$2:$A$843,0),"")</f>
        <v/>
      </c>
      <c r="G6655">
        <f>IF(F6655="",0,1)</f>
        <v/>
      </c>
      <c r="H6655" s="29">
        <f>IF(F6655="","",INDEX(Deals!$E$2:$E$843,F6655))</f>
        <v/>
      </c>
      <c r="I6655">
        <f>IF(F6655="","",INDEX(Deals!$D$2:$D$843,F6655))</f>
        <v/>
      </c>
      <c r="J6655">
        <f>IF(F6655="","",INT(H6655)-B6655)</f>
        <v/>
      </c>
      <c r="K6655">
        <f>IF(B6655&gt;=Settings!$C$5,1,0)</f>
        <v/>
      </c>
    </row>
    <row r="6656">
      <c r="A6656" t="inlineStr">
        <is>
          <t>f1f6d9f111dd1f5a4498fa1d38be78c8</t>
        </is>
      </c>
      <c r="B6656" s="29" t="n">
        <v>43184</v>
      </c>
      <c r="C6656" t="inlineStr">
        <is>
          <t>2018-03</t>
        </is>
      </c>
      <c r="D6656" t="inlineStr">
        <is>
          <t>649b7b8b46b254497e92038d88f6ced8</t>
        </is>
      </c>
      <c r="E6656" t="inlineStr">
        <is>
          <t>social</t>
        </is>
      </c>
      <c r="F6656">
        <f>IFERROR(MATCH(A6656,Deals!$A$2:$A$843,0),"")</f>
        <v/>
      </c>
      <c r="G6656">
        <f>IF(F6656="",0,1)</f>
        <v/>
      </c>
      <c r="H6656" s="29">
        <f>IF(F6656="","",INDEX(Deals!$E$2:$E$843,F6656))</f>
        <v/>
      </c>
      <c r="I6656">
        <f>IF(F6656="","",INDEX(Deals!$D$2:$D$843,F6656))</f>
        <v/>
      </c>
      <c r="J6656">
        <f>IF(F6656="","",INT(H6656)-B6656)</f>
        <v/>
      </c>
      <c r="K6656">
        <f>IF(B6656&gt;=Settings!$C$5,1,0)</f>
        <v/>
      </c>
    </row>
    <row r="6657">
      <c r="A6657" t="inlineStr">
        <is>
          <t>09209177cb567dae63ade4fea6c65957</t>
        </is>
      </c>
      <c r="B6657" s="29" t="n">
        <v>43185</v>
      </c>
      <c r="C6657" t="inlineStr">
        <is>
          <t>2018-03</t>
        </is>
      </c>
      <c r="D6657" t="inlineStr">
        <is>
          <t>2f08471dfb83baef522f952438a36f6e</t>
        </is>
      </c>
      <c r="E6657" t="inlineStr">
        <is>
          <t>organic_search</t>
        </is>
      </c>
      <c r="F6657">
        <f>IFERROR(MATCH(A6657,Deals!$A$2:$A$843,0),"")</f>
        <v/>
      </c>
      <c r="G6657">
        <f>IF(F6657="",0,1)</f>
        <v/>
      </c>
      <c r="H6657" s="29">
        <f>IF(F6657="","",INDEX(Deals!$E$2:$E$843,F6657))</f>
        <v/>
      </c>
      <c r="I6657">
        <f>IF(F6657="","",INDEX(Deals!$D$2:$D$843,F6657))</f>
        <v/>
      </c>
      <c r="J6657">
        <f>IF(F6657="","",INT(H6657)-B6657)</f>
        <v/>
      </c>
      <c r="K6657">
        <f>IF(B6657&gt;=Settings!$C$5,1,0)</f>
        <v/>
      </c>
    </row>
    <row r="6658">
      <c r="A6658" t="inlineStr">
        <is>
          <t>6e1604e352983caba20b3a3c15a6245b</t>
        </is>
      </c>
      <c r="B6658" s="29" t="n">
        <v>43189</v>
      </c>
      <c r="C6658" t="inlineStr">
        <is>
          <t>2018-03</t>
        </is>
      </c>
      <c r="D6658" t="inlineStr">
        <is>
          <t>99b00c6e27db383d844d1763dbcbfe06</t>
        </is>
      </c>
      <c r="E6658" t="inlineStr">
        <is>
          <t>paid_search</t>
        </is>
      </c>
      <c r="F6658">
        <f>IFERROR(MATCH(A6658,Deals!$A$2:$A$843,0),"")</f>
        <v/>
      </c>
      <c r="G6658">
        <f>IF(F6658="",0,1)</f>
        <v/>
      </c>
      <c r="H6658" s="29">
        <f>IF(F6658="","",INDEX(Deals!$E$2:$E$843,F6658))</f>
        <v/>
      </c>
      <c r="I6658">
        <f>IF(F6658="","",INDEX(Deals!$D$2:$D$843,F6658))</f>
        <v/>
      </c>
      <c r="J6658">
        <f>IF(F6658="","",INT(H6658)-B6658)</f>
        <v/>
      </c>
      <c r="K6658">
        <f>IF(B6658&gt;=Settings!$C$5,1,0)</f>
        <v/>
      </c>
    </row>
    <row r="6659">
      <c r="A6659" t="inlineStr">
        <is>
          <t>bc5cbed16977e921c857898f3754ca5c</t>
        </is>
      </c>
      <c r="B6659" s="29" t="n">
        <v>43245</v>
      </c>
      <c r="C6659" t="inlineStr">
        <is>
          <t>2018-05</t>
        </is>
      </c>
      <c r="D6659" t="inlineStr">
        <is>
          <t>b51b5a040fd76d72567c599481147956</t>
        </is>
      </c>
      <c r="E6659" t="inlineStr">
        <is>
          <t>paid_search</t>
        </is>
      </c>
      <c r="F6659">
        <f>IFERROR(MATCH(A6659,Deals!$A$2:$A$843,0),"")</f>
        <v/>
      </c>
      <c r="G6659">
        <f>IF(F6659="",0,1)</f>
        <v/>
      </c>
      <c r="H6659" s="29">
        <f>IF(F6659="","",INDEX(Deals!$E$2:$E$843,F6659))</f>
        <v/>
      </c>
      <c r="I6659">
        <f>IF(F6659="","",INDEX(Deals!$D$2:$D$843,F6659))</f>
        <v/>
      </c>
      <c r="J6659">
        <f>IF(F6659="","",INT(H6659)-B6659)</f>
        <v/>
      </c>
      <c r="K6659">
        <f>IF(B6659&gt;=Settings!$C$5,1,0)</f>
        <v/>
      </c>
    </row>
    <row r="6660">
      <c r="A6660" t="inlineStr">
        <is>
          <t>7f06e90b62b8a276308c2756f5afd601</t>
        </is>
      </c>
      <c r="B6660" s="29" t="n">
        <v>43139</v>
      </c>
      <c r="C6660" t="inlineStr">
        <is>
          <t>2018-02</t>
        </is>
      </c>
      <c r="D6660" t="inlineStr">
        <is>
          <t>ce1a65abd0973638f1c887a6efcfa82d</t>
        </is>
      </c>
      <c r="E6660" t="inlineStr">
        <is>
          <t>direct_traffic</t>
        </is>
      </c>
      <c r="F6660">
        <f>IFERROR(MATCH(A6660,Deals!$A$2:$A$843,0),"")</f>
        <v/>
      </c>
      <c r="G6660">
        <f>IF(F6660="",0,1)</f>
        <v/>
      </c>
      <c r="H6660" s="29">
        <f>IF(F6660="","",INDEX(Deals!$E$2:$E$843,F6660))</f>
        <v/>
      </c>
      <c r="I6660">
        <f>IF(F6660="","",INDEX(Deals!$D$2:$D$843,F6660))</f>
        <v/>
      </c>
      <c r="J6660">
        <f>IF(F6660="","",INT(H6660)-B6660)</f>
        <v/>
      </c>
      <c r="K6660">
        <f>IF(B6660&gt;=Settings!$C$5,1,0)</f>
        <v/>
      </c>
    </row>
    <row r="6661">
      <c r="A6661" t="inlineStr">
        <is>
          <t>533935c873a30369bd440f9137ba5a5f</t>
        </is>
      </c>
      <c r="B6661" s="29" t="n">
        <v>43194</v>
      </c>
      <c r="C6661" t="inlineStr">
        <is>
          <t>2018-04</t>
        </is>
      </c>
      <c r="D6661" t="inlineStr">
        <is>
          <t>5071a8a3ad132bdea8de85e0c90effd1</t>
        </is>
      </c>
      <c r="E6661" t="inlineStr">
        <is>
          <t>organic_search</t>
        </is>
      </c>
      <c r="F6661">
        <f>IFERROR(MATCH(A6661,Deals!$A$2:$A$843,0),"")</f>
        <v/>
      </c>
      <c r="G6661">
        <f>IF(F6661="",0,1)</f>
        <v/>
      </c>
      <c r="H6661" s="29">
        <f>IF(F6661="","",INDEX(Deals!$E$2:$E$843,F6661))</f>
        <v/>
      </c>
      <c r="I6661">
        <f>IF(F6661="","",INDEX(Deals!$D$2:$D$843,F6661))</f>
        <v/>
      </c>
      <c r="J6661">
        <f>IF(F6661="","",INT(H6661)-B6661)</f>
        <v/>
      </c>
      <c r="K6661">
        <f>IF(B6661&gt;=Settings!$C$5,1,0)</f>
        <v/>
      </c>
    </row>
    <row r="6662">
      <c r="A6662" t="inlineStr">
        <is>
          <t>5db1ffc14c272d8375d1581be36583dc</t>
        </is>
      </c>
      <c r="B6662" s="29" t="n">
        <v>43106</v>
      </c>
      <c r="C6662" t="inlineStr">
        <is>
          <t>2018-01</t>
        </is>
      </c>
      <c r="D6662" t="inlineStr">
        <is>
          <t>0218f6be0b76aca72ab4d00ee9e8cf10</t>
        </is>
      </c>
      <c r="E6662" t="inlineStr">
        <is>
          <t>unknown</t>
        </is>
      </c>
      <c r="F6662">
        <f>IFERROR(MATCH(A6662,Deals!$A$2:$A$843,0),"")</f>
        <v/>
      </c>
      <c r="G6662">
        <f>IF(F6662="",0,1)</f>
        <v/>
      </c>
      <c r="H6662" s="29">
        <f>IF(F6662="","",INDEX(Deals!$E$2:$E$843,F6662))</f>
        <v/>
      </c>
      <c r="I6662">
        <f>IF(F6662="","",INDEX(Deals!$D$2:$D$843,F6662))</f>
        <v/>
      </c>
      <c r="J6662">
        <f>IF(F6662="","",INT(H6662)-B6662)</f>
        <v/>
      </c>
      <c r="K6662">
        <f>IF(B6662&gt;=Settings!$C$5,1,0)</f>
        <v/>
      </c>
    </row>
    <row r="6663">
      <c r="A6663" t="inlineStr">
        <is>
          <t>b9f6e8d19e9022d10baf026c4b5e9648</t>
        </is>
      </c>
      <c r="B6663" s="29" t="n">
        <v>43138</v>
      </c>
      <c r="C6663" t="inlineStr">
        <is>
          <t>2018-02</t>
        </is>
      </c>
      <c r="D6663" t="inlineStr">
        <is>
          <t>88740e65d5d6b056e0cda098e1ea6313</t>
        </is>
      </c>
      <c r="E6663" t="inlineStr">
        <is>
          <t>social</t>
        </is>
      </c>
      <c r="F6663">
        <f>IFERROR(MATCH(A6663,Deals!$A$2:$A$843,0),"")</f>
        <v/>
      </c>
      <c r="G6663">
        <f>IF(F6663="",0,1)</f>
        <v/>
      </c>
      <c r="H6663" s="29">
        <f>IF(F6663="","",INDEX(Deals!$E$2:$E$843,F6663))</f>
        <v/>
      </c>
      <c r="I6663">
        <f>IF(F6663="","",INDEX(Deals!$D$2:$D$843,F6663))</f>
        <v/>
      </c>
      <c r="J6663">
        <f>IF(F6663="","",INT(H6663)-B6663)</f>
        <v/>
      </c>
      <c r="K6663">
        <f>IF(B6663&gt;=Settings!$C$5,1,0)</f>
        <v/>
      </c>
    </row>
    <row r="6664">
      <c r="A6664" t="inlineStr">
        <is>
          <t>88c47a250dbd2212ac36d8513cd9ed80</t>
        </is>
      </c>
      <c r="B6664" s="29" t="n">
        <v>43137</v>
      </c>
      <c r="C6664" t="inlineStr">
        <is>
          <t>2018-02</t>
        </is>
      </c>
      <c r="D6664" t="inlineStr">
        <is>
          <t>f017be4dbf86243af5c1ebed0cff36a2</t>
        </is>
      </c>
      <c r="E6664" t="inlineStr">
        <is>
          <t>direct_traffic</t>
        </is>
      </c>
      <c r="F6664">
        <f>IFERROR(MATCH(A6664,Deals!$A$2:$A$843,0),"")</f>
        <v/>
      </c>
      <c r="G6664">
        <f>IF(F6664="",0,1)</f>
        <v/>
      </c>
      <c r="H6664" s="29">
        <f>IF(F6664="","",INDEX(Deals!$E$2:$E$843,F6664))</f>
        <v/>
      </c>
      <c r="I6664">
        <f>IF(F6664="","",INDEX(Deals!$D$2:$D$843,F6664))</f>
        <v/>
      </c>
      <c r="J6664">
        <f>IF(F6664="","",INT(H6664)-B6664)</f>
        <v/>
      </c>
      <c r="K6664">
        <f>IF(B6664&gt;=Settings!$C$5,1,0)</f>
        <v/>
      </c>
    </row>
    <row r="6665">
      <c r="A6665" t="inlineStr">
        <is>
          <t>fd582eb497bfc1fdf07f3e7d0e259b70</t>
        </is>
      </c>
      <c r="B6665" s="29" t="n">
        <v>43220</v>
      </c>
      <c r="C6665" t="inlineStr">
        <is>
          <t>2018-04</t>
        </is>
      </c>
      <c r="D6665" t="inlineStr">
        <is>
          <t>22c29808c4f815213303f8933030604c</t>
        </is>
      </c>
      <c r="E6665" t="inlineStr">
        <is>
          <t>organic_search</t>
        </is>
      </c>
      <c r="F6665">
        <f>IFERROR(MATCH(A6665,Deals!$A$2:$A$843,0),"")</f>
        <v/>
      </c>
      <c r="G6665">
        <f>IF(F6665="",0,1)</f>
        <v/>
      </c>
      <c r="H6665" s="29">
        <f>IF(F6665="","",INDEX(Deals!$E$2:$E$843,F6665))</f>
        <v/>
      </c>
      <c r="I6665">
        <f>IF(F6665="","",INDEX(Deals!$D$2:$D$843,F6665))</f>
        <v/>
      </c>
      <c r="J6665">
        <f>IF(F6665="","",INT(H6665)-B6665)</f>
        <v/>
      </c>
      <c r="K6665">
        <f>IF(B6665&gt;=Settings!$C$5,1,0)</f>
        <v/>
      </c>
    </row>
    <row r="6666">
      <c r="A6666" t="inlineStr">
        <is>
          <t>25d3f9e66474e753d561436cf847d76c</t>
        </is>
      </c>
      <c r="B6666" s="29" t="n">
        <v>43193</v>
      </c>
      <c r="C6666" t="inlineStr">
        <is>
          <t>2018-04</t>
        </is>
      </c>
      <c r="D6666" t="inlineStr">
        <is>
          <t>e492ee5eaf1697716985cc6f33f9cd9b</t>
        </is>
      </c>
      <c r="E6666" t="inlineStr">
        <is>
          <t>organic_search</t>
        </is>
      </c>
      <c r="F6666">
        <f>IFERROR(MATCH(A6666,Deals!$A$2:$A$843,0),"")</f>
        <v/>
      </c>
      <c r="G6666">
        <f>IF(F6666="",0,1)</f>
        <v/>
      </c>
      <c r="H6666" s="29">
        <f>IF(F6666="","",INDEX(Deals!$E$2:$E$843,F6666))</f>
        <v/>
      </c>
      <c r="I6666">
        <f>IF(F6666="","",INDEX(Deals!$D$2:$D$843,F6666))</f>
        <v/>
      </c>
      <c r="J6666">
        <f>IF(F6666="","",INT(H6666)-B6666)</f>
        <v/>
      </c>
      <c r="K6666">
        <f>IF(B6666&gt;=Settings!$C$5,1,0)</f>
        <v/>
      </c>
    </row>
    <row r="6667">
      <c r="A6667" t="inlineStr">
        <is>
          <t>c31cd9eb0233c998e5d682c4d826d8c6</t>
        </is>
      </c>
      <c r="B6667" s="29" t="n">
        <v>43215</v>
      </c>
      <c r="C6667" t="inlineStr">
        <is>
          <t>2018-04</t>
        </is>
      </c>
      <c r="D6667" t="inlineStr">
        <is>
          <t>b76ef37428e6799c421989521c0e5077</t>
        </is>
      </c>
      <c r="E6667" t="inlineStr">
        <is>
          <t>unknown</t>
        </is>
      </c>
      <c r="F6667">
        <f>IFERROR(MATCH(A6667,Deals!$A$2:$A$843,0),"")</f>
        <v/>
      </c>
      <c r="G6667">
        <f>IF(F6667="",0,1)</f>
        <v/>
      </c>
      <c r="H6667" s="29">
        <f>IF(F6667="","",INDEX(Deals!$E$2:$E$843,F6667))</f>
        <v/>
      </c>
      <c r="I6667">
        <f>IF(F6667="","",INDEX(Deals!$D$2:$D$843,F6667))</f>
        <v/>
      </c>
      <c r="J6667">
        <f>IF(F6667="","",INT(H6667)-B6667)</f>
        <v/>
      </c>
      <c r="K6667">
        <f>IF(B6667&gt;=Settings!$C$5,1,0)</f>
        <v/>
      </c>
    </row>
    <row r="6668">
      <c r="A6668" t="inlineStr">
        <is>
          <t>e8c55309203c03395961d6dcad5a68fe</t>
        </is>
      </c>
      <c r="B6668" s="29" t="n">
        <v>43155</v>
      </c>
      <c r="C6668" t="inlineStr">
        <is>
          <t>2018-02</t>
        </is>
      </c>
      <c r="D6668" t="inlineStr">
        <is>
          <t>22c29808c4f815213303f8933030604c</t>
        </is>
      </c>
      <c r="E6668" t="inlineStr">
        <is>
          <t>organic_search</t>
        </is>
      </c>
      <c r="F6668">
        <f>IFERROR(MATCH(A6668,Deals!$A$2:$A$843,0),"")</f>
        <v/>
      </c>
      <c r="G6668">
        <f>IF(F6668="",0,1)</f>
        <v/>
      </c>
      <c r="H6668" s="29">
        <f>IF(F6668="","",INDEX(Deals!$E$2:$E$843,F6668))</f>
        <v/>
      </c>
      <c r="I6668">
        <f>IF(F6668="","",INDEX(Deals!$D$2:$D$843,F6668))</f>
        <v/>
      </c>
      <c r="J6668">
        <f>IF(F6668="","",INT(H6668)-B6668)</f>
        <v/>
      </c>
      <c r="K6668">
        <f>IF(B6668&gt;=Settings!$C$5,1,0)</f>
        <v/>
      </c>
    </row>
    <row r="6669">
      <c r="A6669" t="inlineStr">
        <is>
          <t>98e341006772e083d61b8491ce48dd8e</t>
        </is>
      </c>
      <c r="B6669" s="29" t="n">
        <v>43112</v>
      </c>
      <c r="C6669" t="inlineStr">
        <is>
          <t>2018-01</t>
        </is>
      </c>
      <c r="D6669" t="inlineStr">
        <is>
          <t>22c29808c4f815213303f8933030604c</t>
        </is>
      </c>
      <c r="E6669" t="inlineStr">
        <is>
          <t>email</t>
        </is>
      </c>
      <c r="F6669">
        <f>IFERROR(MATCH(A6669,Deals!$A$2:$A$843,0),"")</f>
        <v/>
      </c>
      <c r="G6669">
        <f>IF(F6669="",0,1)</f>
        <v/>
      </c>
      <c r="H6669" s="29">
        <f>IF(F6669="","",INDEX(Deals!$E$2:$E$843,F6669))</f>
        <v/>
      </c>
      <c r="I6669">
        <f>IF(F6669="","",INDEX(Deals!$D$2:$D$843,F6669))</f>
        <v/>
      </c>
      <c r="J6669">
        <f>IF(F6669="","",INT(H6669)-B6669)</f>
        <v/>
      </c>
      <c r="K6669">
        <f>IF(B6669&gt;=Settings!$C$5,1,0)</f>
        <v/>
      </c>
    </row>
    <row r="6670">
      <c r="A6670" t="inlineStr">
        <is>
          <t>d13d560f3ddc7a7ecf48f06e4c9c5b6e</t>
        </is>
      </c>
      <c r="B6670" s="29" t="n">
        <v>43180</v>
      </c>
      <c r="C6670" t="inlineStr">
        <is>
          <t>2018-03</t>
        </is>
      </c>
      <c r="D6670" t="inlineStr">
        <is>
          <t>36120633c8737035fbabf079082f4ec1</t>
        </is>
      </c>
      <c r="E6670" t="inlineStr">
        <is>
          <t>social</t>
        </is>
      </c>
      <c r="F6670">
        <f>IFERROR(MATCH(A6670,Deals!$A$2:$A$843,0),"")</f>
        <v/>
      </c>
      <c r="G6670">
        <f>IF(F6670="",0,1)</f>
        <v/>
      </c>
      <c r="H6670" s="29">
        <f>IF(F6670="","",INDEX(Deals!$E$2:$E$843,F6670))</f>
        <v/>
      </c>
      <c r="I6670">
        <f>IF(F6670="","",INDEX(Deals!$D$2:$D$843,F6670))</f>
        <v/>
      </c>
      <c r="J6670">
        <f>IF(F6670="","",INT(H6670)-B6670)</f>
        <v/>
      </c>
      <c r="K6670">
        <f>IF(B6670&gt;=Settings!$C$5,1,0)</f>
        <v/>
      </c>
    </row>
    <row r="6671">
      <c r="A6671" t="inlineStr">
        <is>
          <t>0b0b963ba25b9d38861fc7da89be0eae</t>
        </is>
      </c>
      <c r="B6671" s="29" t="n">
        <v>43049</v>
      </c>
      <c r="C6671" t="inlineStr">
        <is>
          <t>2017-11</t>
        </is>
      </c>
      <c r="D6671" t="inlineStr">
        <is>
          <t>22c29808c4f815213303f8933030604c</t>
        </is>
      </c>
      <c r="E6671" t="inlineStr">
        <is>
          <t>unknown</t>
        </is>
      </c>
      <c r="F6671">
        <f>IFERROR(MATCH(A6671,Deals!$A$2:$A$843,0),"")</f>
        <v/>
      </c>
      <c r="G6671">
        <f>IF(F6671="",0,1)</f>
        <v/>
      </c>
      <c r="H6671" s="29">
        <f>IF(F6671="","",INDEX(Deals!$E$2:$E$843,F6671))</f>
        <v/>
      </c>
      <c r="I6671">
        <f>IF(F6671="","",INDEX(Deals!$D$2:$D$843,F6671))</f>
        <v/>
      </c>
      <c r="J6671">
        <f>IF(F6671="","",INT(H6671)-B6671)</f>
        <v/>
      </c>
      <c r="K6671">
        <f>IF(B6671&gt;=Settings!$C$5,1,0)</f>
        <v/>
      </c>
    </row>
    <row r="6672">
      <c r="A6672" t="inlineStr">
        <is>
          <t>952af98aa6133e599c897b3532684e5a</t>
        </is>
      </c>
      <c r="B6672" s="29" t="n">
        <v>43123</v>
      </c>
      <c r="C6672" t="inlineStr">
        <is>
          <t>2018-01</t>
        </is>
      </c>
      <c r="D6672" t="inlineStr">
        <is>
          <t>f017be4dbf86243af5c1ebed0cff36a2</t>
        </is>
      </c>
      <c r="E6672" t="inlineStr">
        <is>
          <t>referral</t>
        </is>
      </c>
      <c r="F6672">
        <f>IFERROR(MATCH(A6672,Deals!$A$2:$A$843,0),"")</f>
        <v/>
      </c>
      <c r="G6672">
        <f>IF(F6672="",0,1)</f>
        <v/>
      </c>
      <c r="H6672" s="29">
        <f>IF(F6672="","",INDEX(Deals!$E$2:$E$843,F6672))</f>
        <v/>
      </c>
      <c r="I6672">
        <f>IF(F6672="","",INDEX(Deals!$D$2:$D$843,F6672))</f>
        <v/>
      </c>
      <c r="J6672">
        <f>IF(F6672="","",INT(H6672)-B6672)</f>
        <v/>
      </c>
      <c r="K6672">
        <f>IF(B6672&gt;=Settings!$C$5,1,0)</f>
        <v/>
      </c>
    </row>
    <row r="6673">
      <c r="A6673" t="inlineStr">
        <is>
          <t>60ff2f34a3371413aea763296e66b04a</t>
        </is>
      </c>
      <c r="B6673" s="29" t="n">
        <v>43132</v>
      </c>
      <c r="C6673" t="inlineStr">
        <is>
          <t>2018-02</t>
        </is>
      </c>
      <c r="D6673" t="inlineStr">
        <is>
          <t>36120633c8737035fbabf079082f4ec1</t>
        </is>
      </c>
      <c r="E6673" t="inlineStr">
        <is>
          <t>social</t>
        </is>
      </c>
      <c r="F6673">
        <f>IFERROR(MATCH(A6673,Deals!$A$2:$A$843,0),"")</f>
        <v/>
      </c>
      <c r="G6673">
        <f>IF(F6673="",0,1)</f>
        <v/>
      </c>
      <c r="H6673" s="29">
        <f>IF(F6673="","",INDEX(Deals!$E$2:$E$843,F6673))</f>
        <v/>
      </c>
      <c r="I6673">
        <f>IF(F6673="","",INDEX(Deals!$D$2:$D$843,F6673))</f>
        <v/>
      </c>
      <c r="J6673">
        <f>IF(F6673="","",INT(H6673)-B6673)</f>
        <v/>
      </c>
      <c r="K6673">
        <f>IF(B6673&gt;=Settings!$C$5,1,0)</f>
        <v/>
      </c>
    </row>
    <row r="6674">
      <c r="A6674" t="inlineStr">
        <is>
          <t>56fe38b77cb4f52e8f2770e874f57875</t>
        </is>
      </c>
      <c r="B6674" s="29" t="n">
        <v>42983</v>
      </c>
      <c r="C6674" t="inlineStr">
        <is>
          <t>2017-09</t>
        </is>
      </c>
      <c r="D6674" t="inlineStr">
        <is>
          <t>97338d2165e7d6d9bc1348573a405642</t>
        </is>
      </c>
      <c r="E6674" t="inlineStr">
        <is>
          <t>unknown</t>
        </is>
      </c>
      <c r="F6674">
        <f>IFERROR(MATCH(A6674,Deals!$A$2:$A$843,0),"")</f>
        <v/>
      </c>
      <c r="G6674">
        <f>IF(F6674="",0,1)</f>
        <v/>
      </c>
      <c r="H6674" s="29">
        <f>IF(F6674="","",INDEX(Deals!$E$2:$E$843,F6674))</f>
        <v/>
      </c>
      <c r="I6674">
        <f>IF(F6674="","",INDEX(Deals!$D$2:$D$843,F6674))</f>
        <v/>
      </c>
      <c r="J6674">
        <f>IF(F6674="","",INT(H6674)-B6674)</f>
        <v/>
      </c>
      <c r="K6674">
        <f>IF(B6674&gt;=Settings!$C$5,1,0)</f>
        <v/>
      </c>
    </row>
    <row r="6675">
      <c r="A6675" t="inlineStr">
        <is>
          <t>5f5c16247275d0e84cc786705c569a9c</t>
        </is>
      </c>
      <c r="B6675" s="29" t="n">
        <v>43046</v>
      </c>
      <c r="C6675" t="inlineStr">
        <is>
          <t>2017-11</t>
        </is>
      </c>
      <c r="D6675" t="inlineStr">
        <is>
          <t>1722481ac9e5371e5099dea226b5421d</t>
        </is>
      </c>
      <c r="E6675" t="inlineStr">
        <is>
          <t>organic_search</t>
        </is>
      </c>
      <c r="F6675">
        <f>IFERROR(MATCH(A6675,Deals!$A$2:$A$843,0),"")</f>
        <v/>
      </c>
      <c r="G6675">
        <f>IF(F6675="",0,1)</f>
        <v/>
      </c>
      <c r="H6675" s="29">
        <f>IF(F6675="","",INDEX(Deals!$E$2:$E$843,F6675))</f>
        <v/>
      </c>
      <c r="I6675">
        <f>IF(F6675="","",INDEX(Deals!$D$2:$D$843,F6675))</f>
        <v/>
      </c>
      <c r="J6675">
        <f>IF(F6675="","",INT(H6675)-B6675)</f>
        <v/>
      </c>
      <c r="K6675">
        <f>IF(B6675&gt;=Settings!$C$5,1,0)</f>
        <v/>
      </c>
    </row>
    <row r="6676">
      <c r="A6676" t="inlineStr">
        <is>
          <t>b2ef82bc674d2565d7819ad2c5a11d5c</t>
        </is>
      </c>
      <c r="B6676" s="29" t="n">
        <v>43185</v>
      </c>
      <c r="C6676" t="inlineStr">
        <is>
          <t>2018-03</t>
        </is>
      </c>
      <c r="D6676" t="inlineStr">
        <is>
          <t>b76ef37428e6799c421989521c0e5077</t>
        </is>
      </c>
      <c r="E6676" t="inlineStr">
        <is>
          <t>referral</t>
        </is>
      </c>
      <c r="F6676">
        <f>IFERROR(MATCH(A6676,Deals!$A$2:$A$843,0),"")</f>
        <v/>
      </c>
      <c r="G6676">
        <f>IF(F6676="",0,1)</f>
        <v/>
      </c>
      <c r="H6676" s="29">
        <f>IF(F6676="","",INDEX(Deals!$E$2:$E$843,F6676))</f>
        <v/>
      </c>
      <c r="I6676">
        <f>IF(F6676="","",INDEX(Deals!$D$2:$D$843,F6676))</f>
        <v/>
      </c>
      <c r="J6676">
        <f>IF(F6676="","",INT(H6676)-B6676)</f>
        <v/>
      </c>
      <c r="K6676">
        <f>IF(B6676&gt;=Settings!$C$5,1,0)</f>
        <v/>
      </c>
    </row>
    <row r="6677">
      <c r="A6677" t="inlineStr">
        <is>
          <t>96457e639661096d40858319c3a5ffed</t>
        </is>
      </c>
      <c r="B6677" s="29" t="n">
        <v>43130</v>
      </c>
      <c r="C6677" t="inlineStr">
        <is>
          <t>2018-01</t>
        </is>
      </c>
      <c r="D6677" t="inlineStr">
        <is>
          <t>a7982125ff7aa3b2054c6e44f9d28522</t>
        </is>
      </c>
      <c r="E6677" t="inlineStr">
        <is>
          <t>email</t>
        </is>
      </c>
      <c r="F6677">
        <f>IFERROR(MATCH(A6677,Deals!$A$2:$A$843,0),"")</f>
        <v/>
      </c>
      <c r="G6677">
        <f>IF(F6677="",0,1)</f>
        <v/>
      </c>
      <c r="H6677" s="29">
        <f>IF(F6677="","",INDEX(Deals!$E$2:$E$843,F6677))</f>
        <v/>
      </c>
      <c r="I6677">
        <f>IF(F6677="","",INDEX(Deals!$D$2:$D$843,F6677))</f>
        <v/>
      </c>
      <c r="J6677">
        <f>IF(F6677="","",INT(H6677)-B6677)</f>
        <v/>
      </c>
      <c r="K6677">
        <f>IF(B6677&gt;=Settings!$C$5,1,0)</f>
        <v/>
      </c>
    </row>
    <row r="6678">
      <c r="A6678" t="inlineStr">
        <is>
          <t>6755ef4a92cca507c771ebec973b45cf</t>
        </is>
      </c>
      <c r="B6678" s="29" t="n">
        <v>43229</v>
      </c>
      <c r="C6678" t="inlineStr">
        <is>
          <t>2018-05</t>
        </is>
      </c>
      <c r="D6678" t="inlineStr">
        <is>
          <t>908dad5b22342480f5cc055b8dd55e7e</t>
        </is>
      </c>
      <c r="E6678" t="inlineStr">
        <is>
          <t>other</t>
        </is>
      </c>
      <c r="F6678">
        <f>IFERROR(MATCH(A6678,Deals!$A$2:$A$843,0),"")</f>
        <v/>
      </c>
      <c r="G6678">
        <f>IF(F6678="",0,1)</f>
        <v/>
      </c>
      <c r="H6678" s="29">
        <f>IF(F6678="","",INDEX(Deals!$E$2:$E$843,F6678))</f>
        <v/>
      </c>
      <c r="I6678">
        <f>IF(F6678="","",INDEX(Deals!$D$2:$D$843,F6678))</f>
        <v/>
      </c>
      <c r="J6678">
        <f>IF(F6678="","",INT(H6678)-B6678)</f>
        <v/>
      </c>
      <c r="K6678">
        <f>IF(B6678&gt;=Settings!$C$5,1,0)</f>
        <v/>
      </c>
    </row>
    <row r="6679">
      <c r="A6679" t="inlineStr">
        <is>
          <t>66fc580be47fe3ede1959fca149140a8</t>
        </is>
      </c>
      <c r="B6679" s="29" t="n">
        <v>43187</v>
      </c>
      <c r="C6679" t="inlineStr">
        <is>
          <t>2018-03</t>
        </is>
      </c>
      <c r="D6679" t="inlineStr">
        <is>
          <t>007f9098284a86ee80ddeb25d53e0af8</t>
        </is>
      </c>
      <c r="E6679" t="inlineStr">
        <is>
          <t>paid_search</t>
        </is>
      </c>
      <c r="F6679">
        <f>IFERROR(MATCH(A6679,Deals!$A$2:$A$843,0),"")</f>
        <v/>
      </c>
      <c r="G6679">
        <f>IF(F6679="",0,1)</f>
        <v/>
      </c>
      <c r="H6679" s="29">
        <f>IF(F6679="","",INDEX(Deals!$E$2:$E$843,F6679))</f>
        <v/>
      </c>
      <c r="I6679">
        <f>IF(F6679="","",INDEX(Deals!$D$2:$D$843,F6679))</f>
        <v/>
      </c>
      <c r="J6679">
        <f>IF(F6679="","",INT(H6679)-B6679)</f>
        <v/>
      </c>
      <c r="K6679">
        <f>IF(B6679&gt;=Settings!$C$5,1,0)</f>
        <v/>
      </c>
    </row>
    <row r="6680">
      <c r="A6680" t="inlineStr">
        <is>
          <t>dedaeedfd0cbd8920d5bffb550d1de2b</t>
        </is>
      </c>
      <c r="B6680" s="29" t="n">
        <v>43220</v>
      </c>
      <c r="C6680" t="inlineStr">
        <is>
          <t>2018-04</t>
        </is>
      </c>
      <c r="D6680" t="inlineStr">
        <is>
          <t>966098efaef7a4d665be6b0cb617541b</t>
        </is>
      </c>
      <c r="E6680" t="inlineStr">
        <is>
          <t>paid_search</t>
        </is>
      </c>
      <c r="F6680">
        <f>IFERROR(MATCH(A6680,Deals!$A$2:$A$843,0),"")</f>
        <v/>
      </c>
      <c r="G6680">
        <f>IF(F6680="",0,1)</f>
        <v/>
      </c>
      <c r="H6680" s="29">
        <f>IF(F6680="","",INDEX(Deals!$E$2:$E$843,F6680))</f>
        <v/>
      </c>
      <c r="I6680">
        <f>IF(F6680="","",INDEX(Deals!$D$2:$D$843,F6680))</f>
        <v/>
      </c>
      <c r="J6680">
        <f>IF(F6680="","",INT(H6680)-B6680)</f>
        <v/>
      </c>
      <c r="K6680">
        <f>IF(B6680&gt;=Settings!$C$5,1,0)</f>
        <v/>
      </c>
    </row>
    <row r="6681">
      <c r="A6681" t="inlineStr">
        <is>
          <t>e7db7e5bbf57c1d8f1cdac7b44e045b7</t>
        </is>
      </c>
      <c r="B6681" s="29" t="n">
        <v>43201</v>
      </c>
      <c r="C6681" t="inlineStr">
        <is>
          <t>2018-04</t>
        </is>
      </c>
      <c r="D6681" t="inlineStr">
        <is>
          <t>b76ef37428e6799c421989521c0e5077</t>
        </is>
      </c>
      <c r="E6681" t="inlineStr">
        <is>
          <t>paid_search</t>
        </is>
      </c>
      <c r="F6681">
        <f>IFERROR(MATCH(A6681,Deals!$A$2:$A$843,0),"")</f>
        <v/>
      </c>
      <c r="G6681">
        <f>IF(F6681="",0,1)</f>
        <v/>
      </c>
      <c r="H6681" s="29">
        <f>IF(F6681="","",INDEX(Deals!$E$2:$E$843,F6681))</f>
        <v/>
      </c>
      <c r="I6681">
        <f>IF(F6681="","",INDEX(Deals!$D$2:$D$843,F6681))</f>
        <v/>
      </c>
      <c r="J6681">
        <f>IF(F6681="","",INT(H6681)-B6681)</f>
        <v/>
      </c>
      <c r="K6681">
        <f>IF(B6681&gt;=Settings!$C$5,1,0)</f>
        <v/>
      </c>
    </row>
    <row r="6682">
      <c r="A6682" t="inlineStr">
        <is>
          <t>bcdbe9d490ff5a996e6d3ee5ba1409bf</t>
        </is>
      </c>
      <c r="B6682" s="29" t="n">
        <v>43197</v>
      </c>
      <c r="C6682" t="inlineStr">
        <is>
          <t>2018-04</t>
        </is>
      </c>
      <c r="D6682" t="inlineStr">
        <is>
          <t>58326e62183c14b0c03085c33b9fdc44</t>
        </is>
      </c>
      <c r="E6682" t="inlineStr">
        <is>
          <t>social</t>
        </is>
      </c>
      <c r="F6682">
        <f>IFERROR(MATCH(A6682,Deals!$A$2:$A$843,0),"")</f>
        <v/>
      </c>
      <c r="G6682">
        <f>IF(F6682="",0,1)</f>
        <v/>
      </c>
      <c r="H6682" s="29">
        <f>IF(F6682="","",INDEX(Deals!$E$2:$E$843,F6682))</f>
        <v/>
      </c>
      <c r="I6682">
        <f>IF(F6682="","",INDEX(Deals!$D$2:$D$843,F6682))</f>
        <v/>
      </c>
      <c r="J6682">
        <f>IF(F6682="","",INT(H6682)-B6682)</f>
        <v/>
      </c>
      <c r="K6682">
        <f>IF(B6682&gt;=Settings!$C$5,1,0)</f>
        <v/>
      </c>
    </row>
    <row r="6683">
      <c r="A6683" t="inlineStr">
        <is>
          <t>104f7cbe857799ba883067a174bc01c1</t>
        </is>
      </c>
      <c r="B6683" s="29" t="n">
        <v>43168</v>
      </c>
      <c r="C6683" t="inlineStr">
        <is>
          <t>2018-03</t>
        </is>
      </c>
      <c r="D6683" t="inlineStr">
        <is>
          <t>40dec9f3d5259a3d2dbcdab2114fae47</t>
        </is>
      </c>
      <c r="E6683" t="inlineStr">
        <is>
          <t>paid_search</t>
        </is>
      </c>
      <c r="F6683">
        <f>IFERROR(MATCH(A6683,Deals!$A$2:$A$843,0),"")</f>
        <v/>
      </c>
      <c r="G6683">
        <f>IF(F6683="",0,1)</f>
        <v/>
      </c>
      <c r="H6683" s="29">
        <f>IF(F6683="","",INDEX(Deals!$E$2:$E$843,F6683))</f>
        <v/>
      </c>
      <c r="I6683">
        <f>IF(F6683="","",INDEX(Deals!$D$2:$D$843,F6683))</f>
        <v/>
      </c>
      <c r="J6683">
        <f>IF(F6683="","",INT(H6683)-B6683)</f>
        <v/>
      </c>
      <c r="K6683">
        <f>IF(B6683&gt;=Settings!$C$5,1,0)</f>
        <v/>
      </c>
    </row>
    <row r="6684">
      <c r="A6684" t="inlineStr">
        <is>
          <t>79c57bf41c34485dfe8b0d15d45a5fa2</t>
        </is>
      </c>
      <c r="B6684" s="29" t="n">
        <v>43247</v>
      </c>
      <c r="C6684" t="inlineStr">
        <is>
          <t>2018-05</t>
        </is>
      </c>
      <c r="D6684" t="inlineStr">
        <is>
          <t>f017be4dbf86243af5c1ebed0cff36a2</t>
        </is>
      </c>
      <c r="E6684" t="inlineStr">
        <is>
          <t>paid_search</t>
        </is>
      </c>
      <c r="F6684">
        <f>IFERROR(MATCH(A6684,Deals!$A$2:$A$843,0),"")</f>
        <v/>
      </c>
      <c r="G6684">
        <f>IF(F6684="",0,1)</f>
        <v/>
      </c>
      <c r="H6684" s="29">
        <f>IF(F6684="","",INDEX(Deals!$E$2:$E$843,F6684))</f>
        <v/>
      </c>
      <c r="I6684">
        <f>IF(F6684="","",INDEX(Deals!$D$2:$D$843,F6684))</f>
        <v/>
      </c>
      <c r="J6684">
        <f>IF(F6684="","",INT(H6684)-B6684)</f>
        <v/>
      </c>
      <c r="K6684">
        <f>IF(B6684&gt;=Settings!$C$5,1,0)</f>
        <v/>
      </c>
    </row>
    <row r="6685">
      <c r="A6685" t="inlineStr">
        <is>
          <t>583d583ad9ec121c22a60f564d105148</t>
        </is>
      </c>
      <c r="B6685" s="29" t="n">
        <v>42975</v>
      </c>
      <c r="C6685" t="inlineStr">
        <is>
          <t>2017-08</t>
        </is>
      </c>
      <c r="D6685" t="inlineStr">
        <is>
          <t>0f25be78376bbbaba8553051e980b83c</t>
        </is>
      </c>
      <c r="E6685" t="inlineStr">
        <is>
          <t>paid_search</t>
        </is>
      </c>
      <c r="F6685">
        <f>IFERROR(MATCH(A6685,Deals!$A$2:$A$843,0),"")</f>
        <v/>
      </c>
      <c r="G6685">
        <f>IF(F6685="",0,1)</f>
        <v/>
      </c>
      <c r="H6685" s="29">
        <f>IF(F6685="","",INDEX(Deals!$E$2:$E$843,F6685))</f>
        <v/>
      </c>
      <c r="I6685">
        <f>IF(F6685="","",INDEX(Deals!$D$2:$D$843,F6685))</f>
        <v/>
      </c>
      <c r="J6685">
        <f>IF(F6685="","",INT(H6685)-B6685)</f>
        <v/>
      </c>
      <c r="K6685">
        <f>IF(B6685&gt;=Settings!$C$5,1,0)</f>
        <v/>
      </c>
    </row>
    <row r="6686">
      <c r="A6686" t="inlineStr">
        <is>
          <t>c0e52e8868a002b463ebdd2864690629</t>
        </is>
      </c>
      <c r="B6686" s="29" t="n">
        <v>43153</v>
      </c>
      <c r="C6686" t="inlineStr">
        <is>
          <t>2018-02</t>
        </is>
      </c>
      <c r="D6686" t="inlineStr">
        <is>
          <t>2228a43ac0bc372e25f9569e69fc9015</t>
        </is>
      </c>
      <c r="E6686" t="inlineStr">
        <is>
          <t>organic_search</t>
        </is>
      </c>
      <c r="F6686">
        <f>IFERROR(MATCH(A6686,Deals!$A$2:$A$843,0),"")</f>
        <v/>
      </c>
      <c r="G6686">
        <f>IF(F6686="",0,1)</f>
        <v/>
      </c>
      <c r="H6686" s="29">
        <f>IF(F6686="","",INDEX(Deals!$E$2:$E$843,F6686))</f>
        <v/>
      </c>
      <c r="I6686">
        <f>IF(F6686="","",INDEX(Deals!$D$2:$D$843,F6686))</f>
        <v/>
      </c>
      <c r="J6686">
        <f>IF(F6686="","",INT(H6686)-B6686)</f>
        <v/>
      </c>
      <c r="K6686">
        <f>IF(B6686&gt;=Settings!$C$5,1,0)</f>
        <v/>
      </c>
    </row>
    <row r="6687">
      <c r="A6687" t="inlineStr">
        <is>
          <t>6e4c10382ea6d02e196ebcab34cfbffb</t>
        </is>
      </c>
      <c r="B6687" s="29" t="n">
        <v>42934</v>
      </c>
      <c r="C6687" t="inlineStr">
        <is>
          <t>2017-07</t>
        </is>
      </c>
      <c r="D6687" t="inlineStr">
        <is>
          <t>ce7bafe02f8fb1a3f15f52a9c239d0ef</t>
        </is>
      </c>
      <c r="E6687" t="inlineStr">
        <is>
          <t>direct_traffic</t>
        </is>
      </c>
      <c r="F6687">
        <f>IFERROR(MATCH(A6687,Deals!$A$2:$A$843,0),"")</f>
        <v/>
      </c>
      <c r="G6687">
        <f>IF(F6687="",0,1)</f>
        <v/>
      </c>
      <c r="H6687" s="29">
        <f>IF(F6687="","",INDEX(Deals!$E$2:$E$843,F6687))</f>
        <v/>
      </c>
      <c r="I6687">
        <f>IF(F6687="","",INDEX(Deals!$D$2:$D$843,F6687))</f>
        <v/>
      </c>
      <c r="J6687">
        <f>IF(F6687="","",INT(H6687)-B6687)</f>
        <v/>
      </c>
      <c r="K6687">
        <f>IF(B6687&gt;=Settings!$C$5,1,0)</f>
        <v/>
      </c>
    </row>
    <row r="6688">
      <c r="A6688" t="inlineStr">
        <is>
          <t>02b0c69e363112f8c2d553a48a894db8</t>
        </is>
      </c>
      <c r="B6688" s="29" t="n">
        <v>43164</v>
      </c>
      <c r="C6688" t="inlineStr">
        <is>
          <t>2018-03</t>
        </is>
      </c>
      <c r="D6688" t="inlineStr">
        <is>
          <t>22c29808c4f815213303f8933030604c</t>
        </is>
      </c>
      <c r="E6688" t="inlineStr">
        <is>
          <t>organic_search</t>
        </is>
      </c>
      <c r="F6688">
        <f>IFERROR(MATCH(A6688,Deals!$A$2:$A$843,0),"")</f>
        <v/>
      </c>
      <c r="G6688">
        <f>IF(F6688="",0,1)</f>
        <v/>
      </c>
      <c r="H6688" s="29">
        <f>IF(F6688="","",INDEX(Deals!$E$2:$E$843,F6688))</f>
        <v/>
      </c>
      <c r="I6688">
        <f>IF(F6688="","",INDEX(Deals!$D$2:$D$843,F6688))</f>
        <v/>
      </c>
      <c r="J6688">
        <f>IF(F6688="","",INT(H6688)-B6688)</f>
        <v/>
      </c>
      <c r="K6688">
        <f>IF(B6688&gt;=Settings!$C$5,1,0)</f>
        <v/>
      </c>
    </row>
    <row r="6689">
      <c r="A6689" t="inlineStr">
        <is>
          <t>f80ca2ec372a23b59dc6a5bfee18bfac</t>
        </is>
      </c>
      <c r="B6689" s="29" t="n">
        <v>43114</v>
      </c>
      <c r="C6689" t="inlineStr">
        <is>
          <t>2018-01</t>
        </is>
      </c>
      <c r="D6689" t="inlineStr">
        <is>
          <t>22c29808c4f815213303f8933030604c</t>
        </is>
      </c>
      <c r="E6689" t="inlineStr">
        <is>
          <t>organic_search</t>
        </is>
      </c>
      <c r="F6689">
        <f>IFERROR(MATCH(A6689,Deals!$A$2:$A$843,0),"")</f>
        <v/>
      </c>
      <c r="G6689">
        <f>IF(F6689="",0,1)</f>
        <v/>
      </c>
      <c r="H6689" s="29">
        <f>IF(F6689="","",INDEX(Deals!$E$2:$E$843,F6689))</f>
        <v/>
      </c>
      <c r="I6689">
        <f>IF(F6689="","",INDEX(Deals!$D$2:$D$843,F6689))</f>
        <v/>
      </c>
      <c r="J6689">
        <f>IF(F6689="","",INT(H6689)-B6689)</f>
        <v/>
      </c>
      <c r="K6689">
        <f>IF(B6689&gt;=Settings!$C$5,1,0)</f>
        <v/>
      </c>
    </row>
    <row r="6690">
      <c r="A6690" t="inlineStr">
        <is>
          <t>db5aaf4d715a4bf8247fef10ee7698ca</t>
        </is>
      </c>
      <c r="B6690" s="29" t="n">
        <v>43123</v>
      </c>
      <c r="C6690" t="inlineStr">
        <is>
          <t>2018-01</t>
        </is>
      </c>
      <c r="D6690" t="inlineStr">
        <is>
          <t>c30d0b4337fd05444a3fe502562508d1</t>
        </is>
      </c>
      <c r="E6690" t="inlineStr">
        <is>
          <t>email</t>
        </is>
      </c>
      <c r="F6690">
        <f>IFERROR(MATCH(A6690,Deals!$A$2:$A$843,0),"")</f>
        <v/>
      </c>
      <c r="G6690">
        <f>IF(F6690="",0,1)</f>
        <v/>
      </c>
      <c r="H6690" s="29">
        <f>IF(F6690="","",INDEX(Deals!$E$2:$E$843,F6690))</f>
        <v/>
      </c>
      <c r="I6690">
        <f>IF(F6690="","",INDEX(Deals!$D$2:$D$843,F6690))</f>
        <v/>
      </c>
      <c r="J6690">
        <f>IF(F6690="","",INT(H6690)-B6690)</f>
        <v/>
      </c>
      <c r="K6690">
        <f>IF(B6690&gt;=Settings!$C$5,1,0)</f>
        <v/>
      </c>
    </row>
    <row r="6691">
      <c r="A6691" t="inlineStr">
        <is>
          <t>0a0fb29d64611422ab5d64382e355609</t>
        </is>
      </c>
      <c r="B6691" s="29" t="n">
        <v>43194</v>
      </c>
      <c r="C6691" t="inlineStr">
        <is>
          <t>2018-04</t>
        </is>
      </c>
      <c r="D6691" t="inlineStr">
        <is>
          <t>9fa37f5177115156b1814ffc237402a6</t>
        </is>
      </c>
      <c r="E6691" t="inlineStr">
        <is>
          <t>paid_search</t>
        </is>
      </c>
      <c r="F6691">
        <f>IFERROR(MATCH(A6691,Deals!$A$2:$A$843,0),"")</f>
        <v/>
      </c>
      <c r="G6691">
        <f>IF(F6691="",0,1)</f>
        <v/>
      </c>
      <c r="H6691" s="29">
        <f>IF(F6691="","",INDEX(Deals!$E$2:$E$843,F6691))</f>
        <v/>
      </c>
      <c r="I6691">
        <f>IF(F6691="","",INDEX(Deals!$D$2:$D$843,F6691))</f>
        <v/>
      </c>
      <c r="J6691">
        <f>IF(F6691="","",INT(H6691)-B6691)</f>
        <v/>
      </c>
      <c r="K6691">
        <f>IF(B6691&gt;=Settings!$C$5,1,0)</f>
        <v/>
      </c>
    </row>
    <row r="6692">
      <c r="A6692" t="inlineStr">
        <is>
          <t>2beb774329b2f0fe5e7952cba91c0af7</t>
        </is>
      </c>
      <c r="B6692" s="29" t="n">
        <v>43146</v>
      </c>
      <c r="C6692" t="inlineStr">
        <is>
          <t>2018-02</t>
        </is>
      </c>
      <c r="D6692" t="inlineStr">
        <is>
          <t>88740e65d5d6b056e0cda098e1ea6313</t>
        </is>
      </c>
      <c r="E6692" t="inlineStr">
        <is>
          <t>social</t>
        </is>
      </c>
      <c r="F6692">
        <f>IFERROR(MATCH(A6692,Deals!$A$2:$A$843,0),"")</f>
        <v/>
      </c>
      <c r="G6692">
        <f>IF(F6692="",0,1)</f>
        <v/>
      </c>
      <c r="H6692" s="29">
        <f>IF(F6692="","",INDEX(Deals!$E$2:$E$843,F6692))</f>
        <v/>
      </c>
      <c r="I6692">
        <f>IF(F6692="","",INDEX(Deals!$D$2:$D$843,F6692))</f>
        <v/>
      </c>
      <c r="J6692">
        <f>IF(F6692="","",INT(H6692)-B6692)</f>
        <v/>
      </c>
      <c r="K6692">
        <f>IF(B6692&gt;=Settings!$C$5,1,0)</f>
        <v/>
      </c>
    </row>
    <row r="6693">
      <c r="A6693" t="inlineStr">
        <is>
          <t>20fd0c71352a517c6ae07cb4b9f72c01</t>
        </is>
      </c>
      <c r="B6693" s="29" t="n">
        <v>43167</v>
      </c>
      <c r="C6693" t="inlineStr">
        <is>
          <t>2018-03</t>
        </is>
      </c>
      <c r="D6693" t="inlineStr">
        <is>
          <t>22c29808c4f815213303f8933030604c</t>
        </is>
      </c>
      <c r="E6693" t="inlineStr">
        <is>
          <t>organic_search</t>
        </is>
      </c>
      <c r="F6693">
        <f>IFERROR(MATCH(A6693,Deals!$A$2:$A$843,0),"")</f>
        <v/>
      </c>
      <c r="G6693">
        <f>IF(F6693="",0,1)</f>
        <v/>
      </c>
      <c r="H6693" s="29">
        <f>IF(F6693="","",INDEX(Deals!$E$2:$E$843,F6693))</f>
        <v/>
      </c>
      <c r="I6693">
        <f>IF(F6693="","",INDEX(Deals!$D$2:$D$843,F6693))</f>
        <v/>
      </c>
      <c r="J6693">
        <f>IF(F6693="","",INT(H6693)-B6693)</f>
        <v/>
      </c>
      <c r="K6693">
        <f>IF(B6693&gt;=Settings!$C$5,1,0)</f>
        <v/>
      </c>
    </row>
    <row r="6694">
      <c r="A6694" t="inlineStr">
        <is>
          <t>b2a242690f117309099b7a561b605e9e</t>
        </is>
      </c>
      <c r="B6694" s="29" t="n">
        <v>42936</v>
      </c>
      <c r="C6694" t="inlineStr">
        <is>
          <t>2017-07</t>
        </is>
      </c>
      <c r="D6694" t="inlineStr">
        <is>
          <t>22c29808c4f815213303f8933030604c</t>
        </is>
      </c>
      <c r="E6694" t="inlineStr">
        <is>
          <t>organic_search</t>
        </is>
      </c>
      <c r="F6694">
        <f>IFERROR(MATCH(A6694,Deals!$A$2:$A$843,0),"")</f>
        <v/>
      </c>
      <c r="G6694">
        <f>IF(F6694="",0,1)</f>
        <v/>
      </c>
      <c r="H6694" s="29">
        <f>IF(F6694="","",INDEX(Deals!$E$2:$E$843,F6694))</f>
        <v/>
      </c>
      <c r="I6694">
        <f>IF(F6694="","",INDEX(Deals!$D$2:$D$843,F6694))</f>
        <v/>
      </c>
      <c r="J6694">
        <f>IF(F6694="","",INT(H6694)-B6694)</f>
        <v/>
      </c>
      <c r="K6694">
        <f>IF(B6694&gt;=Settings!$C$5,1,0)</f>
        <v/>
      </c>
    </row>
    <row r="6695">
      <c r="A6695" t="inlineStr">
        <is>
          <t>4d9d05d77cf26dc3bf32f66728a43787</t>
        </is>
      </c>
      <c r="B6695" s="29" t="n">
        <v>43134</v>
      </c>
      <c r="C6695" t="inlineStr">
        <is>
          <t>2018-02</t>
        </is>
      </c>
      <c r="D6695" t="inlineStr">
        <is>
          <t>3207d4688de4e0e721272756dd4339b8</t>
        </is>
      </c>
      <c r="E6695" t="inlineStr">
        <is>
          <t>other_publicities</t>
        </is>
      </c>
      <c r="F6695">
        <f>IFERROR(MATCH(A6695,Deals!$A$2:$A$843,0),"")</f>
        <v/>
      </c>
      <c r="G6695">
        <f>IF(F6695="",0,1)</f>
        <v/>
      </c>
      <c r="H6695" s="29">
        <f>IF(F6695="","",INDEX(Deals!$E$2:$E$843,F6695))</f>
        <v/>
      </c>
      <c r="I6695">
        <f>IF(F6695="","",INDEX(Deals!$D$2:$D$843,F6695))</f>
        <v/>
      </c>
      <c r="J6695">
        <f>IF(F6695="","",INT(H6695)-B6695)</f>
        <v/>
      </c>
      <c r="K6695">
        <f>IF(B6695&gt;=Settings!$C$5,1,0)</f>
        <v/>
      </c>
    </row>
    <row r="6696">
      <c r="A6696" t="inlineStr">
        <is>
          <t>517e2c5c9879114a0674381ce2608faa</t>
        </is>
      </c>
      <c r="B6696" s="29" t="n">
        <v>43111</v>
      </c>
      <c r="C6696" t="inlineStr">
        <is>
          <t>2018-01</t>
        </is>
      </c>
      <c r="D6696" t="inlineStr">
        <is>
          <t>e492ee5eaf1697716985cc6f33f9cd9b</t>
        </is>
      </c>
      <c r="E6696" t="inlineStr">
        <is>
          <t>social</t>
        </is>
      </c>
      <c r="F6696">
        <f>IFERROR(MATCH(A6696,Deals!$A$2:$A$843,0),"")</f>
        <v/>
      </c>
      <c r="G6696">
        <f>IF(F6696="",0,1)</f>
        <v/>
      </c>
      <c r="H6696" s="29">
        <f>IF(F6696="","",INDEX(Deals!$E$2:$E$843,F6696))</f>
        <v/>
      </c>
      <c r="I6696">
        <f>IF(F6696="","",INDEX(Deals!$D$2:$D$843,F6696))</f>
        <v/>
      </c>
      <c r="J6696">
        <f>IF(F6696="","",INT(H6696)-B6696)</f>
        <v/>
      </c>
      <c r="K6696">
        <f>IF(B6696&gt;=Settings!$C$5,1,0)</f>
        <v/>
      </c>
    </row>
    <row r="6697">
      <c r="A6697" t="inlineStr">
        <is>
          <t>c9d5550cc5ee1be86bea08e3ffc43926</t>
        </is>
      </c>
      <c r="B6697" s="29" t="n">
        <v>43222</v>
      </c>
      <c r="C6697" t="inlineStr">
        <is>
          <t>2018-05</t>
        </is>
      </c>
      <c r="D6697" t="inlineStr">
        <is>
          <t>b76ef37428e6799c421989521c0e5077</t>
        </is>
      </c>
      <c r="E6697" t="inlineStr">
        <is>
          <t>unknown</t>
        </is>
      </c>
      <c r="F6697">
        <f>IFERROR(MATCH(A6697,Deals!$A$2:$A$843,0),"")</f>
        <v/>
      </c>
      <c r="G6697">
        <f>IF(F6697="",0,1)</f>
        <v/>
      </c>
      <c r="H6697" s="29">
        <f>IF(F6697="","",INDEX(Deals!$E$2:$E$843,F6697))</f>
        <v/>
      </c>
      <c r="I6697">
        <f>IF(F6697="","",INDEX(Deals!$D$2:$D$843,F6697))</f>
        <v/>
      </c>
      <c r="J6697">
        <f>IF(F6697="","",INT(H6697)-B6697)</f>
        <v/>
      </c>
      <c r="K6697">
        <f>IF(B6697&gt;=Settings!$C$5,1,0)</f>
        <v/>
      </c>
    </row>
    <row r="6698">
      <c r="A6698" t="inlineStr">
        <is>
          <t>593de40b4d3070f61ea21d659cf7517c</t>
        </is>
      </c>
      <c r="B6698" s="29" t="n">
        <v>42971</v>
      </c>
      <c r="C6698" t="inlineStr">
        <is>
          <t>2017-08</t>
        </is>
      </c>
      <c r="D6698" t="inlineStr">
        <is>
          <t>0f25be78376bbbaba8553051e980b83c</t>
        </is>
      </c>
      <c r="E6698" t="inlineStr">
        <is>
          <t>paid_search</t>
        </is>
      </c>
      <c r="F6698">
        <f>IFERROR(MATCH(A6698,Deals!$A$2:$A$843,0),"")</f>
        <v/>
      </c>
      <c r="G6698">
        <f>IF(F6698="",0,1)</f>
        <v/>
      </c>
      <c r="H6698" s="29">
        <f>IF(F6698="","",INDEX(Deals!$E$2:$E$843,F6698))</f>
        <v/>
      </c>
      <c r="I6698">
        <f>IF(F6698="","",INDEX(Deals!$D$2:$D$843,F6698))</f>
        <v/>
      </c>
      <c r="J6698">
        <f>IF(F6698="","",INT(H6698)-B6698)</f>
        <v/>
      </c>
      <c r="K6698">
        <f>IF(B6698&gt;=Settings!$C$5,1,0)</f>
        <v/>
      </c>
    </row>
    <row r="6699">
      <c r="A6699" t="inlineStr">
        <is>
          <t>e75fdd4c73e2eab6e586fe0cfde77948</t>
        </is>
      </c>
      <c r="B6699" s="29" t="n">
        <v>42975</v>
      </c>
      <c r="C6699" t="inlineStr">
        <is>
          <t>2017-08</t>
        </is>
      </c>
      <c r="D6699" t="inlineStr">
        <is>
          <t>22c29808c4f815213303f8933030604c</t>
        </is>
      </c>
      <c r="E6699" t="inlineStr">
        <is>
          <t>organic_search</t>
        </is>
      </c>
      <c r="F6699">
        <f>IFERROR(MATCH(A6699,Deals!$A$2:$A$843,0),"")</f>
        <v/>
      </c>
      <c r="G6699">
        <f>IF(F6699="",0,1)</f>
        <v/>
      </c>
      <c r="H6699" s="29">
        <f>IF(F6699="","",INDEX(Deals!$E$2:$E$843,F6699))</f>
        <v/>
      </c>
      <c r="I6699">
        <f>IF(F6699="","",INDEX(Deals!$D$2:$D$843,F6699))</f>
        <v/>
      </c>
      <c r="J6699">
        <f>IF(F6699="","",INT(H6699)-B6699)</f>
        <v/>
      </c>
      <c r="K6699">
        <f>IF(B6699&gt;=Settings!$C$5,1,0)</f>
        <v/>
      </c>
    </row>
    <row r="6700">
      <c r="A6700" t="inlineStr">
        <is>
          <t>80258ecebc13a948981212d2e46805e0</t>
        </is>
      </c>
      <c r="B6700" s="29" t="n">
        <v>43181</v>
      </c>
      <c r="C6700" t="inlineStr">
        <is>
          <t>2018-03</t>
        </is>
      </c>
      <c r="D6700" t="inlineStr">
        <is>
          <t>58326e62183c14b0c03085c33b9fdc44</t>
        </is>
      </c>
      <c r="E6700" t="inlineStr">
        <is>
          <t>social</t>
        </is>
      </c>
      <c r="F6700">
        <f>IFERROR(MATCH(A6700,Deals!$A$2:$A$843,0),"")</f>
        <v/>
      </c>
      <c r="G6700">
        <f>IF(F6700="",0,1)</f>
        <v/>
      </c>
      <c r="H6700" s="29">
        <f>IF(F6700="","",INDEX(Deals!$E$2:$E$843,F6700))</f>
        <v/>
      </c>
      <c r="I6700">
        <f>IF(F6700="","",INDEX(Deals!$D$2:$D$843,F6700))</f>
        <v/>
      </c>
      <c r="J6700">
        <f>IF(F6700="","",INT(H6700)-B6700)</f>
        <v/>
      </c>
      <c r="K6700">
        <f>IF(B6700&gt;=Settings!$C$5,1,0)</f>
        <v/>
      </c>
    </row>
    <row r="6701">
      <c r="A6701" t="inlineStr">
        <is>
          <t>b7be6030ef1677127676512c918087fb</t>
        </is>
      </c>
      <c r="B6701" s="29" t="n">
        <v>43168</v>
      </c>
      <c r="C6701" t="inlineStr">
        <is>
          <t>2018-03</t>
        </is>
      </c>
      <c r="D6701" t="inlineStr">
        <is>
          <t>330b9d44078a1ae5a221d655dcb77afa</t>
        </is>
      </c>
      <c r="E6701" t="inlineStr">
        <is>
          <t>unknown</t>
        </is>
      </c>
      <c r="F6701">
        <f>IFERROR(MATCH(A6701,Deals!$A$2:$A$843,0),"")</f>
        <v/>
      </c>
      <c r="G6701">
        <f>IF(F6701="",0,1)</f>
        <v/>
      </c>
      <c r="H6701" s="29">
        <f>IF(F6701="","",INDEX(Deals!$E$2:$E$843,F6701))</f>
        <v/>
      </c>
      <c r="I6701">
        <f>IF(F6701="","",INDEX(Deals!$D$2:$D$843,F6701))</f>
        <v/>
      </c>
      <c r="J6701">
        <f>IF(F6701="","",INT(H6701)-B6701)</f>
        <v/>
      </c>
      <c r="K6701">
        <f>IF(B6701&gt;=Settings!$C$5,1,0)</f>
        <v/>
      </c>
    </row>
    <row r="6702">
      <c r="A6702" t="inlineStr">
        <is>
          <t>785f30e3df4b20d95c52555df7e31b8b</t>
        </is>
      </c>
      <c r="B6702" s="29" t="n">
        <v>43031</v>
      </c>
      <c r="C6702" t="inlineStr">
        <is>
          <t>2017-10</t>
        </is>
      </c>
      <c r="D6702" t="inlineStr">
        <is>
          <t>5c6c41289f4d77b9b32fb6a5e2106edb</t>
        </is>
      </c>
      <c r="E6702" t="inlineStr">
        <is>
          <t>other_publicities</t>
        </is>
      </c>
      <c r="F6702">
        <f>IFERROR(MATCH(A6702,Deals!$A$2:$A$843,0),"")</f>
        <v/>
      </c>
      <c r="G6702">
        <f>IF(F6702="",0,1)</f>
        <v/>
      </c>
      <c r="H6702" s="29">
        <f>IF(F6702="","",INDEX(Deals!$E$2:$E$843,F6702))</f>
        <v/>
      </c>
      <c r="I6702">
        <f>IF(F6702="","",INDEX(Deals!$D$2:$D$843,F6702))</f>
        <v/>
      </c>
      <c r="J6702">
        <f>IF(F6702="","",INT(H6702)-B6702)</f>
        <v/>
      </c>
      <c r="K6702">
        <f>IF(B6702&gt;=Settings!$C$5,1,0)</f>
        <v/>
      </c>
    </row>
    <row r="6703">
      <c r="A6703" t="inlineStr">
        <is>
          <t>6185e56c2cc78ba47a751d63d62b7488</t>
        </is>
      </c>
      <c r="B6703" s="29" t="n">
        <v>43141</v>
      </c>
      <c r="C6703" t="inlineStr">
        <is>
          <t>2018-02</t>
        </is>
      </c>
      <c r="D6703" t="inlineStr">
        <is>
          <t>22c29808c4f815213303f8933030604c</t>
        </is>
      </c>
      <c r="E6703" t="inlineStr">
        <is>
          <t>unknown</t>
        </is>
      </c>
      <c r="F6703">
        <f>IFERROR(MATCH(A6703,Deals!$A$2:$A$843,0),"")</f>
        <v/>
      </c>
      <c r="G6703">
        <f>IF(F6703="",0,1)</f>
        <v/>
      </c>
      <c r="H6703" s="29">
        <f>IF(F6703="","",INDEX(Deals!$E$2:$E$843,F6703))</f>
        <v/>
      </c>
      <c r="I6703">
        <f>IF(F6703="","",INDEX(Deals!$D$2:$D$843,F6703))</f>
        <v/>
      </c>
      <c r="J6703">
        <f>IF(F6703="","",INT(H6703)-B6703)</f>
        <v/>
      </c>
      <c r="K6703">
        <f>IF(B6703&gt;=Settings!$C$5,1,0)</f>
        <v/>
      </c>
    </row>
    <row r="6704">
      <c r="A6704" t="inlineStr">
        <is>
          <t>39469285974d13e4e2a6d1010747820d</t>
        </is>
      </c>
      <c r="B6704" s="29" t="n">
        <v>43207</v>
      </c>
      <c r="C6704" t="inlineStr">
        <is>
          <t>2018-04</t>
        </is>
      </c>
      <c r="D6704" t="inlineStr">
        <is>
          <t>58326e62183c14b0c03085c33b9fdc44</t>
        </is>
      </c>
      <c r="E6704" t="inlineStr">
        <is>
          <t>social</t>
        </is>
      </c>
      <c r="F6704">
        <f>IFERROR(MATCH(A6704,Deals!$A$2:$A$843,0),"")</f>
        <v/>
      </c>
      <c r="G6704">
        <f>IF(F6704="",0,1)</f>
        <v/>
      </c>
      <c r="H6704" s="29">
        <f>IF(F6704="","",INDEX(Deals!$E$2:$E$843,F6704))</f>
        <v/>
      </c>
      <c r="I6704">
        <f>IF(F6704="","",INDEX(Deals!$D$2:$D$843,F6704))</f>
        <v/>
      </c>
      <c r="J6704">
        <f>IF(F6704="","",INT(H6704)-B6704)</f>
        <v/>
      </c>
      <c r="K6704">
        <f>IF(B6704&gt;=Settings!$C$5,1,0)</f>
        <v/>
      </c>
    </row>
    <row r="6705">
      <c r="A6705" t="inlineStr">
        <is>
          <t>3f5fa74a83157541dfe271882bafee6a</t>
        </is>
      </c>
      <c r="B6705" s="29" t="n">
        <v>43215</v>
      </c>
      <c r="C6705" t="inlineStr">
        <is>
          <t>2018-04</t>
        </is>
      </c>
      <c r="D6705" t="inlineStr">
        <is>
          <t>358adb2fee9a122549618e46925a00a5</t>
        </is>
      </c>
      <c r="E6705" t="inlineStr">
        <is>
          <t>organic_search</t>
        </is>
      </c>
      <c r="F6705">
        <f>IFERROR(MATCH(A6705,Deals!$A$2:$A$843,0),"")</f>
        <v/>
      </c>
      <c r="G6705">
        <f>IF(F6705="",0,1)</f>
        <v/>
      </c>
      <c r="H6705" s="29">
        <f>IF(F6705="","",INDEX(Deals!$E$2:$E$843,F6705))</f>
        <v/>
      </c>
      <c r="I6705">
        <f>IF(F6705="","",INDEX(Deals!$D$2:$D$843,F6705))</f>
        <v/>
      </c>
      <c r="J6705">
        <f>IF(F6705="","",INT(H6705)-B6705)</f>
        <v/>
      </c>
      <c r="K6705">
        <f>IF(B6705&gt;=Settings!$C$5,1,0)</f>
        <v/>
      </c>
    </row>
    <row r="6706">
      <c r="A6706" t="inlineStr">
        <is>
          <t>3f5a51db5c7936950261ef1da3b25202</t>
        </is>
      </c>
      <c r="B6706" s="29" t="n">
        <v>43060</v>
      </c>
      <c r="C6706" t="inlineStr">
        <is>
          <t>2017-11</t>
        </is>
      </c>
      <c r="D6706" t="inlineStr">
        <is>
          <t>88740e65d5d6b056e0cda098e1ea6313</t>
        </is>
      </c>
      <c r="E6706" t="inlineStr">
        <is>
          <t>social</t>
        </is>
      </c>
      <c r="F6706">
        <f>IFERROR(MATCH(A6706,Deals!$A$2:$A$843,0),"")</f>
        <v/>
      </c>
      <c r="G6706">
        <f>IF(F6706="",0,1)</f>
        <v/>
      </c>
      <c r="H6706" s="29">
        <f>IF(F6706="","",INDEX(Deals!$E$2:$E$843,F6706))</f>
        <v/>
      </c>
      <c r="I6706">
        <f>IF(F6706="","",INDEX(Deals!$D$2:$D$843,F6706))</f>
        <v/>
      </c>
      <c r="J6706">
        <f>IF(F6706="","",INT(H6706)-B6706)</f>
        <v/>
      </c>
      <c r="K6706">
        <f>IF(B6706&gt;=Settings!$C$5,1,0)</f>
        <v/>
      </c>
    </row>
    <row r="6707">
      <c r="A6707" t="inlineStr">
        <is>
          <t>83b7b19e6be902a7bab8244f0d83481f</t>
        </is>
      </c>
      <c r="B6707" s="29" t="n">
        <v>43027</v>
      </c>
      <c r="C6707" t="inlineStr">
        <is>
          <t>2017-10</t>
        </is>
      </c>
      <c r="D6707" t="inlineStr">
        <is>
          <t>88740e65d5d6b056e0cda098e1ea6313</t>
        </is>
      </c>
      <c r="E6707" t="inlineStr">
        <is>
          <t>social</t>
        </is>
      </c>
      <c r="F6707">
        <f>IFERROR(MATCH(A6707,Deals!$A$2:$A$843,0),"")</f>
        <v/>
      </c>
      <c r="G6707">
        <f>IF(F6707="",0,1)</f>
        <v/>
      </c>
      <c r="H6707" s="29">
        <f>IF(F6707="","",INDEX(Deals!$E$2:$E$843,F6707))</f>
        <v/>
      </c>
      <c r="I6707">
        <f>IF(F6707="","",INDEX(Deals!$D$2:$D$843,F6707))</f>
        <v/>
      </c>
      <c r="J6707">
        <f>IF(F6707="","",INT(H6707)-B6707)</f>
        <v/>
      </c>
      <c r="K6707">
        <f>IF(B6707&gt;=Settings!$C$5,1,0)</f>
        <v/>
      </c>
    </row>
    <row r="6708">
      <c r="A6708" t="inlineStr">
        <is>
          <t>8557c4a4fd714e9a350d9e287e345e5a</t>
        </is>
      </c>
      <c r="B6708" s="29" t="n">
        <v>43117</v>
      </c>
      <c r="C6708" t="inlineStr">
        <is>
          <t>2018-01</t>
        </is>
      </c>
      <c r="D6708" t="inlineStr">
        <is>
          <t>22c29808c4f815213303f8933030604c</t>
        </is>
      </c>
      <c r="E6708" t="inlineStr">
        <is>
          <t>organic_search</t>
        </is>
      </c>
      <c r="F6708">
        <f>IFERROR(MATCH(A6708,Deals!$A$2:$A$843,0),"")</f>
        <v/>
      </c>
      <c r="G6708">
        <f>IF(F6708="",0,1)</f>
        <v/>
      </c>
      <c r="H6708" s="29">
        <f>IF(F6708="","",INDEX(Deals!$E$2:$E$843,F6708))</f>
        <v/>
      </c>
      <c r="I6708">
        <f>IF(F6708="","",INDEX(Deals!$D$2:$D$843,F6708))</f>
        <v/>
      </c>
      <c r="J6708">
        <f>IF(F6708="","",INT(H6708)-B6708)</f>
        <v/>
      </c>
      <c r="K6708">
        <f>IF(B6708&gt;=Settings!$C$5,1,0)</f>
        <v/>
      </c>
    </row>
    <row r="6709">
      <c r="A6709" t="inlineStr">
        <is>
          <t>a9dcc146714bd053238b84413ef7a3ff</t>
        </is>
      </c>
      <c r="B6709" s="29" t="n">
        <v>42975</v>
      </c>
      <c r="C6709" t="inlineStr">
        <is>
          <t>2017-08</t>
        </is>
      </c>
      <c r="D6709" t="inlineStr">
        <is>
          <t>0f25be78376bbbaba8553051e980b83c</t>
        </is>
      </c>
      <c r="E6709" t="inlineStr">
        <is>
          <t>paid_search</t>
        </is>
      </c>
      <c r="F6709">
        <f>IFERROR(MATCH(A6709,Deals!$A$2:$A$843,0),"")</f>
        <v/>
      </c>
      <c r="G6709">
        <f>IF(F6709="",0,1)</f>
        <v/>
      </c>
      <c r="H6709" s="29">
        <f>IF(F6709="","",INDEX(Deals!$E$2:$E$843,F6709))</f>
        <v/>
      </c>
      <c r="I6709">
        <f>IF(F6709="","",INDEX(Deals!$D$2:$D$843,F6709))</f>
        <v/>
      </c>
      <c r="J6709">
        <f>IF(F6709="","",INT(H6709)-B6709)</f>
        <v/>
      </c>
      <c r="K6709">
        <f>IF(B6709&gt;=Settings!$C$5,1,0)</f>
        <v/>
      </c>
    </row>
    <row r="6710">
      <c r="A6710" t="inlineStr">
        <is>
          <t>fbde31adcea17570ff70f4f666f185e9</t>
        </is>
      </c>
      <c r="B6710" s="29" t="n">
        <v>43234</v>
      </c>
      <c r="C6710" t="inlineStr">
        <is>
          <t>2018-05</t>
        </is>
      </c>
      <c r="D6710" t="inlineStr">
        <is>
          <t>5dc848e7dd9418dffe183215b8ff0bc1</t>
        </is>
      </c>
      <c r="E6710" t="inlineStr">
        <is>
          <t>referral</t>
        </is>
      </c>
      <c r="F6710">
        <f>IFERROR(MATCH(A6710,Deals!$A$2:$A$843,0),"")</f>
        <v/>
      </c>
      <c r="G6710">
        <f>IF(F6710="",0,1)</f>
        <v/>
      </c>
      <c r="H6710" s="29">
        <f>IF(F6710="","",INDEX(Deals!$E$2:$E$843,F6710))</f>
        <v/>
      </c>
      <c r="I6710">
        <f>IF(F6710="","",INDEX(Deals!$D$2:$D$843,F6710))</f>
        <v/>
      </c>
      <c r="J6710">
        <f>IF(F6710="","",INT(H6710)-B6710)</f>
        <v/>
      </c>
      <c r="K6710">
        <f>IF(B6710&gt;=Settings!$C$5,1,0)</f>
        <v/>
      </c>
    </row>
    <row r="6711">
      <c r="A6711" t="inlineStr">
        <is>
          <t>08f3648792fc7148287e0934cafdd002</t>
        </is>
      </c>
      <c r="B6711" s="29" t="n">
        <v>43049</v>
      </c>
      <c r="C6711" t="inlineStr">
        <is>
          <t>2017-11</t>
        </is>
      </c>
      <c r="D6711" t="inlineStr">
        <is>
          <t>b76ef37428e6799c421989521c0e5077</t>
        </is>
      </c>
      <c r="E6711" t="inlineStr">
        <is>
          <t>paid_search</t>
        </is>
      </c>
      <c r="F6711">
        <f>IFERROR(MATCH(A6711,Deals!$A$2:$A$843,0),"")</f>
        <v/>
      </c>
      <c r="G6711">
        <f>IF(F6711="",0,1)</f>
        <v/>
      </c>
      <c r="H6711" s="29">
        <f>IF(F6711="","",INDEX(Deals!$E$2:$E$843,F6711))</f>
        <v/>
      </c>
      <c r="I6711">
        <f>IF(F6711="","",INDEX(Deals!$D$2:$D$843,F6711))</f>
        <v/>
      </c>
      <c r="J6711">
        <f>IF(F6711="","",INT(H6711)-B6711)</f>
        <v/>
      </c>
      <c r="K6711">
        <f>IF(B6711&gt;=Settings!$C$5,1,0)</f>
        <v/>
      </c>
    </row>
    <row r="6712">
      <c r="A6712" t="inlineStr">
        <is>
          <t>dbaf25e052cd493640d30c7ef9a7a003</t>
        </is>
      </c>
      <c r="B6712" s="29" t="n">
        <v>43116</v>
      </c>
      <c r="C6712" t="inlineStr">
        <is>
          <t>2018-01</t>
        </is>
      </c>
      <c r="D6712" t="inlineStr">
        <is>
          <t>73f31a40697cc90a86c1273563ac230e</t>
        </is>
      </c>
      <c r="E6712" t="inlineStr">
        <is>
          <t>organic_search</t>
        </is>
      </c>
      <c r="F6712">
        <f>IFERROR(MATCH(A6712,Deals!$A$2:$A$843,0),"")</f>
        <v/>
      </c>
      <c r="G6712">
        <f>IF(F6712="",0,1)</f>
        <v/>
      </c>
      <c r="H6712" s="29">
        <f>IF(F6712="","",INDEX(Deals!$E$2:$E$843,F6712))</f>
        <v/>
      </c>
      <c r="I6712">
        <f>IF(F6712="","",INDEX(Deals!$D$2:$D$843,F6712))</f>
        <v/>
      </c>
      <c r="J6712">
        <f>IF(F6712="","",INT(H6712)-B6712)</f>
        <v/>
      </c>
      <c r="K6712">
        <f>IF(B6712&gt;=Settings!$C$5,1,0)</f>
        <v/>
      </c>
    </row>
    <row r="6713">
      <c r="A6713" t="inlineStr">
        <is>
          <t>b13432d01614c9d18263698af2837e1e</t>
        </is>
      </c>
      <c r="B6713" s="29" t="n">
        <v>43242</v>
      </c>
      <c r="C6713" t="inlineStr">
        <is>
          <t>2018-05</t>
        </is>
      </c>
      <c r="D6713" t="inlineStr">
        <is>
          <t>f017be4dbf86243af5c1ebed0cff36a2</t>
        </is>
      </c>
      <c r="E6713" t="inlineStr">
        <is>
          <t>email</t>
        </is>
      </c>
      <c r="F6713">
        <f>IFERROR(MATCH(A6713,Deals!$A$2:$A$843,0),"")</f>
        <v/>
      </c>
      <c r="G6713">
        <f>IF(F6713="",0,1)</f>
        <v/>
      </c>
      <c r="H6713" s="29">
        <f>IF(F6713="","",INDEX(Deals!$E$2:$E$843,F6713))</f>
        <v/>
      </c>
      <c r="I6713">
        <f>IF(F6713="","",INDEX(Deals!$D$2:$D$843,F6713))</f>
        <v/>
      </c>
      <c r="J6713">
        <f>IF(F6713="","",INT(H6713)-B6713)</f>
        <v/>
      </c>
      <c r="K6713">
        <f>IF(B6713&gt;=Settings!$C$5,1,0)</f>
        <v/>
      </c>
    </row>
    <row r="6714">
      <c r="A6714" t="inlineStr">
        <is>
          <t>102ba266ac51ddd8ce981f766b3eb600</t>
        </is>
      </c>
      <c r="B6714" s="29" t="n">
        <v>43223</v>
      </c>
      <c r="C6714" t="inlineStr">
        <is>
          <t>2018-05</t>
        </is>
      </c>
      <c r="D6714" t="inlineStr">
        <is>
          <t>fb58285f6f6c4e504dfa628de116cae8</t>
        </is>
      </c>
      <c r="E6714" t="inlineStr">
        <is>
          <t>organic_search</t>
        </is>
      </c>
      <c r="F6714">
        <f>IFERROR(MATCH(A6714,Deals!$A$2:$A$843,0),"")</f>
        <v/>
      </c>
      <c r="G6714">
        <f>IF(F6714="",0,1)</f>
        <v/>
      </c>
      <c r="H6714" s="29">
        <f>IF(F6714="","",INDEX(Deals!$E$2:$E$843,F6714))</f>
        <v/>
      </c>
      <c r="I6714">
        <f>IF(F6714="","",INDEX(Deals!$D$2:$D$843,F6714))</f>
        <v/>
      </c>
      <c r="J6714">
        <f>IF(F6714="","",INT(H6714)-B6714)</f>
        <v/>
      </c>
      <c r="K6714">
        <f>IF(B6714&gt;=Settings!$C$5,1,0)</f>
        <v/>
      </c>
    </row>
    <row r="6715">
      <c r="A6715" t="inlineStr">
        <is>
          <t>5fbdd72522c178f8b79dffd7ed6c93cc</t>
        </is>
      </c>
      <c r="B6715" s="29" t="n">
        <v>43208</v>
      </c>
      <c r="C6715" t="inlineStr">
        <is>
          <t>2018-04</t>
        </is>
      </c>
      <c r="D6715" t="inlineStr">
        <is>
          <t>b76ef37428e6799c421989521c0e5077</t>
        </is>
      </c>
      <c r="E6715" t="inlineStr">
        <is>
          <t>organic_search</t>
        </is>
      </c>
      <c r="F6715">
        <f>IFERROR(MATCH(A6715,Deals!$A$2:$A$843,0),"")</f>
        <v/>
      </c>
      <c r="G6715">
        <f>IF(F6715="",0,1)</f>
        <v/>
      </c>
      <c r="H6715" s="29">
        <f>IF(F6715="","",INDEX(Deals!$E$2:$E$843,F6715))</f>
        <v/>
      </c>
      <c r="I6715">
        <f>IF(F6715="","",INDEX(Deals!$D$2:$D$843,F6715))</f>
        <v/>
      </c>
      <c r="J6715">
        <f>IF(F6715="","",INT(H6715)-B6715)</f>
        <v/>
      </c>
      <c r="K6715">
        <f>IF(B6715&gt;=Settings!$C$5,1,0)</f>
        <v/>
      </c>
    </row>
    <row r="6716">
      <c r="A6716" t="inlineStr">
        <is>
          <t>8e3a0c64471d95b0099a960973289946</t>
        </is>
      </c>
      <c r="B6716" s="29" t="n">
        <v>43215</v>
      </c>
      <c r="C6716" t="inlineStr">
        <is>
          <t>2018-04</t>
        </is>
      </c>
      <c r="D6716" t="inlineStr">
        <is>
          <t>358adb2fee9a122549618e46925a00a5</t>
        </is>
      </c>
      <c r="E6716" t="inlineStr">
        <is>
          <t>organic_search</t>
        </is>
      </c>
      <c r="F6716">
        <f>IFERROR(MATCH(A6716,Deals!$A$2:$A$843,0),"")</f>
        <v/>
      </c>
      <c r="G6716">
        <f>IF(F6716="",0,1)</f>
        <v/>
      </c>
      <c r="H6716" s="29">
        <f>IF(F6716="","",INDEX(Deals!$E$2:$E$843,F6716))</f>
        <v/>
      </c>
      <c r="I6716">
        <f>IF(F6716="","",INDEX(Deals!$D$2:$D$843,F6716))</f>
        <v/>
      </c>
      <c r="J6716">
        <f>IF(F6716="","",INT(H6716)-B6716)</f>
        <v/>
      </c>
      <c r="K6716">
        <f>IF(B6716&gt;=Settings!$C$5,1,0)</f>
        <v/>
      </c>
    </row>
    <row r="6717">
      <c r="A6717" t="inlineStr">
        <is>
          <t>ea30a83f57dabc455488ad906feaf213</t>
        </is>
      </c>
      <c r="B6717" s="29" t="n">
        <v>42942</v>
      </c>
      <c r="C6717" t="inlineStr">
        <is>
          <t>2017-07</t>
        </is>
      </c>
      <c r="D6717" t="inlineStr">
        <is>
          <t>3cd2a8301d5395f21cdd3094c9eaa2f4</t>
        </is>
      </c>
      <c r="E6717" t="inlineStr">
        <is>
          <t>paid_search</t>
        </is>
      </c>
      <c r="F6717">
        <f>IFERROR(MATCH(A6717,Deals!$A$2:$A$843,0),"")</f>
        <v/>
      </c>
      <c r="G6717">
        <f>IF(F6717="",0,1)</f>
        <v/>
      </c>
      <c r="H6717" s="29">
        <f>IF(F6717="","",INDEX(Deals!$E$2:$E$843,F6717))</f>
        <v/>
      </c>
      <c r="I6717">
        <f>IF(F6717="","",INDEX(Deals!$D$2:$D$843,F6717))</f>
        <v/>
      </c>
      <c r="J6717">
        <f>IF(F6717="","",INT(H6717)-B6717)</f>
        <v/>
      </c>
      <c r="K6717">
        <f>IF(B6717&gt;=Settings!$C$5,1,0)</f>
        <v/>
      </c>
    </row>
    <row r="6718">
      <c r="A6718" t="inlineStr">
        <is>
          <t>08d64daa10339a98d9d9fa9145b7cca8</t>
        </is>
      </c>
      <c r="B6718" s="29" t="n">
        <v>42997</v>
      </c>
      <c r="C6718" t="inlineStr">
        <is>
          <t>2017-09</t>
        </is>
      </c>
      <c r="D6718" t="inlineStr">
        <is>
          <t>dd6f55db3947b0aeaadb65a610334799</t>
        </is>
      </c>
      <c r="E6718" t="inlineStr">
        <is>
          <t>other</t>
        </is>
      </c>
      <c r="F6718">
        <f>IFERROR(MATCH(A6718,Deals!$A$2:$A$843,0),"")</f>
        <v/>
      </c>
      <c r="G6718">
        <f>IF(F6718="",0,1)</f>
        <v/>
      </c>
      <c r="H6718" s="29">
        <f>IF(F6718="","",INDEX(Deals!$E$2:$E$843,F6718))</f>
        <v/>
      </c>
      <c r="I6718">
        <f>IF(F6718="","",INDEX(Deals!$D$2:$D$843,F6718))</f>
        <v/>
      </c>
      <c r="J6718">
        <f>IF(F6718="","",INT(H6718)-B6718)</f>
        <v/>
      </c>
      <c r="K6718">
        <f>IF(B6718&gt;=Settings!$C$5,1,0)</f>
        <v/>
      </c>
    </row>
    <row r="6719">
      <c r="A6719" t="inlineStr">
        <is>
          <t>f03efc46acef307d9f7d48d8005707c2</t>
        </is>
      </c>
      <c r="B6719" s="29" t="n">
        <v>43215</v>
      </c>
      <c r="C6719" t="inlineStr">
        <is>
          <t>2018-04</t>
        </is>
      </c>
      <c r="D6719" t="inlineStr">
        <is>
          <t>b76ef37428e6799c421989521c0e5077</t>
        </is>
      </c>
      <c r="E6719" t="inlineStr">
        <is>
          <t>other_publicities</t>
        </is>
      </c>
      <c r="F6719">
        <f>IFERROR(MATCH(A6719,Deals!$A$2:$A$843,0),"")</f>
        <v/>
      </c>
      <c r="G6719">
        <f>IF(F6719="",0,1)</f>
        <v/>
      </c>
      <c r="H6719" s="29">
        <f>IF(F6719="","",INDEX(Deals!$E$2:$E$843,F6719))</f>
        <v/>
      </c>
      <c r="I6719">
        <f>IF(F6719="","",INDEX(Deals!$D$2:$D$843,F6719))</f>
        <v/>
      </c>
      <c r="J6719">
        <f>IF(F6719="","",INT(H6719)-B6719)</f>
        <v/>
      </c>
      <c r="K6719">
        <f>IF(B6719&gt;=Settings!$C$5,1,0)</f>
        <v/>
      </c>
    </row>
    <row r="6720">
      <c r="A6720" t="inlineStr">
        <is>
          <t>aef966acbd6e6613d6a25097ec869b53</t>
        </is>
      </c>
      <c r="B6720" s="29" t="n">
        <v>43045</v>
      </c>
      <c r="C6720" t="inlineStr">
        <is>
          <t>2017-11</t>
        </is>
      </c>
      <c r="D6720" t="inlineStr">
        <is>
          <t>22c29808c4f815213303f8933030604c</t>
        </is>
      </c>
      <c r="E6720" t="inlineStr">
        <is>
          <t>direct_traffic</t>
        </is>
      </c>
      <c r="F6720">
        <f>IFERROR(MATCH(A6720,Deals!$A$2:$A$843,0),"")</f>
        <v/>
      </c>
      <c r="G6720">
        <f>IF(F6720="",0,1)</f>
        <v/>
      </c>
      <c r="H6720" s="29">
        <f>IF(F6720="","",INDEX(Deals!$E$2:$E$843,F6720))</f>
        <v/>
      </c>
      <c r="I6720">
        <f>IF(F6720="","",INDEX(Deals!$D$2:$D$843,F6720))</f>
        <v/>
      </c>
      <c r="J6720">
        <f>IF(F6720="","",INT(H6720)-B6720)</f>
        <v/>
      </c>
      <c r="K6720">
        <f>IF(B6720&gt;=Settings!$C$5,1,0)</f>
        <v/>
      </c>
    </row>
    <row r="6721">
      <c r="A6721" t="inlineStr">
        <is>
          <t>6e4e98ba3f70702e0db4ed530c9507a0</t>
        </is>
      </c>
      <c r="B6721" s="29" t="n">
        <v>43210</v>
      </c>
      <c r="C6721" t="inlineStr">
        <is>
          <t>2018-04</t>
        </is>
      </c>
      <c r="D6721" t="inlineStr">
        <is>
          <t>b76ef37428e6799c421989521c0e5077</t>
        </is>
      </c>
      <c r="E6721" t="inlineStr">
        <is>
          <t>unknown</t>
        </is>
      </c>
      <c r="F6721">
        <f>IFERROR(MATCH(A6721,Deals!$A$2:$A$843,0),"")</f>
        <v/>
      </c>
      <c r="G6721">
        <f>IF(F6721="",0,1)</f>
        <v/>
      </c>
      <c r="H6721" s="29">
        <f>IF(F6721="","",INDEX(Deals!$E$2:$E$843,F6721))</f>
        <v/>
      </c>
      <c r="I6721">
        <f>IF(F6721="","",INDEX(Deals!$D$2:$D$843,F6721))</f>
        <v/>
      </c>
      <c r="J6721">
        <f>IF(F6721="","",INT(H6721)-B6721)</f>
        <v/>
      </c>
      <c r="K6721">
        <f>IF(B6721&gt;=Settings!$C$5,1,0)</f>
        <v/>
      </c>
    </row>
    <row r="6722">
      <c r="A6722" t="inlineStr">
        <is>
          <t>cfcbb2d417d79731884441ea21044165</t>
        </is>
      </c>
      <c r="B6722" s="29" t="n">
        <v>43160</v>
      </c>
      <c r="C6722" t="inlineStr">
        <is>
          <t>2018-03</t>
        </is>
      </c>
      <c r="D6722" t="inlineStr">
        <is>
          <t>22c29808c4f815213303f8933030604c</t>
        </is>
      </c>
      <c r="E6722" t="inlineStr">
        <is>
          <t>direct_traffic</t>
        </is>
      </c>
      <c r="F6722">
        <f>IFERROR(MATCH(A6722,Deals!$A$2:$A$843,0),"")</f>
        <v/>
      </c>
      <c r="G6722">
        <f>IF(F6722="",0,1)</f>
        <v/>
      </c>
      <c r="H6722" s="29">
        <f>IF(F6722="","",INDEX(Deals!$E$2:$E$843,F6722))</f>
        <v/>
      </c>
      <c r="I6722">
        <f>IF(F6722="","",INDEX(Deals!$D$2:$D$843,F6722))</f>
        <v/>
      </c>
      <c r="J6722">
        <f>IF(F6722="","",INT(H6722)-B6722)</f>
        <v/>
      </c>
      <c r="K6722">
        <f>IF(B6722&gt;=Settings!$C$5,1,0)</f>
        <v/>
      </c>
    </row>
    <row r="6723">
      <c r="A6723" t="inlineStr">
        <is>
          <t>2fefdc64cea4bfeacce657d0465e6eb5</t>
        </is>
      </c>
      <c r="B6723" s="29" t="n">
        <v>43171</v>
      </c>
      <c r="C6723" t="inlineStr">
        <is>
          <t>2018-03</t>
        </is>
      </c>
      <c r="D6723" t="inlineStr">
        <is>
          <t>d498d8fea0c0458bf3553775a60e66ec</t>
        </is>
      </c>
      <c r="E6723" t="inlineStr">
        <is>
          <t>unknown</t>
        </is>
      </c>
      <c r="F6723">
        <f>IFERROR(MATCH(A6723,Deals!$A$2:$A$843,0),"")</f>
        <v/>
      </c>
      <c r="G6723">
        <f>IF(F6723="",0,1)</f>
        <v/>
      </c>
      <c r="H6723" s="29">
        <f>IF(F6723="","",INDEX(Deals!$E$2:$E$843,F6723))</f>
        <v/>
      </c>
      <c r="I6723">
        <f>IF(F6723="","",INDEX(Deals!$D$2:$D$843,F6723))</f>
        <v/>
      </c>
      <c r="J6723">
        <f>IF(F6723="","",INT(H6723)-B6723)</f>
        <v/>
      </c>
      <c r="K6723">
        <f>IF(B6723&gt;=Settings!$C$5,1,0)</f>
        <v/>
      </c>
    </row>
    <row r="6724">
      <c r="A6724" t="inlineStr">
        <is>
          <t>41d934b57541fa144f6b6b585312a7e3</t>
        </is>
      </c>
      <c r="B6724" s="29" t="n">
        <v>42942</v>
      </c>
      <c r="C6724" t="inlineStr">
        <is>
          <t>2017-07</t>
        </is>
      </c>
      <c r="D6724" t="inlineStr">
        <is>
          <t>91dbdf987124ca09b297bd87f06b5e64</t>
        </is>
      </c>
      <c r="E6724" t="inlineStr">
        <is>
          <t>email</t>
        </is>
      </c>
      <c r="F6724">
        <f>IFERROR(MATCH(A6724,Deals!$A$2:$A$843,0),"")</f>
        <v/>
      </c>
      <c r="G6724">
        <f>IF(F6724="",0,1)</f>
        <v/>
      </c>
      <c r="H6724" s="29">
        <f>IF(F6724="","",INDEX(Deals!$E$2:$E$843,F6724))</f>
        <v/>
      </c>
      <c r="I6724">
        <f>IF(F6724="","",INDEX(Deals!$D$2:$D$843,F6724))</f>
        <v/>
      </c>
      <c r="J6724">
        <f>IF(F6724="","",INT(H6724)-B6724)</f>
        <v/>
      </c>
      <c r="K6724">
        <f>IF(B6724&gt;=Settings!$C$5,1,0)</f>
        <v/>
      </c>
    </row>
    <row r="6725">
      <c r="A6725" t="inlineStr">
        <is>
          <t>c090c144175cfc68e03229d79a1a8b8f</t>
        </is>
      </c>
      <c r="B6725" s="29" t="n">
        <v>43059</v>
      </c>
      <c r="C6725" t="inlineStr">
        <is>
          <t>2017-11</t>
        </is>
      </c>
      <c r="D6725" t="inlineStr">
        <is>
          <t>b76ef37428e6799c421989521c0e5077</t>
        </is>
      </c>
      <c r="E6725" t="inlineStr">
        <is>
          <t>organic_search</t>
        </is>
      </c>
      <c r="F6725">
        <f>IFERROR(MATCH(A6725,Deals!$A$2:$A$843,0),"")</f>
        <v/>
      </c>
      <c r="G6725">
        <f>IF(F6725="",0,1)</f>
        <v/>
      </c>
      <c r="H6725" s="29">
        <f>IF(F6725="","",INDEX(Deals!$E$2:$E$843,F6725))</f>
        <v/>
      </c>
      <c r="I6725">
        <f>IF(F6725="","",INDEX(Deals!$D$2:$D$843,F6725))</f>
        <v/>
      </c>
      <c r="J6725">
        <f>IF(F6725="","",INT(H6725)-B6725)</f>
        <v/>
      </c>
      <c r="K6725">
        <f>IF(B6725&gt;=Settings!$C$5,1,0)</f>
        <v/>
      </c>
    </row>
    <row r="6726">
      <c r="A6726" t="inlineStr">
        <is>
          <t>5a628e687ed08591b18c92a117021354</t>
        </is>
      </c>
      <c r="B6726" s="29" t="n">
        <v>43145</v>
      </c>
      <c r="C6726" t="inlineStr">
        <is>
          <t>2018-02</t>
        </is>
      </c>
      <c r="D6726" t="inlineStr">
        <is>
          <t>b76ef37428e6799c421989521c0e5077</t>
        </is>
      </c>
      <c r="E6726" t="inlineStr">
        <is>
          <t>unknown</t>
        </is>
      </c>
      <c r="F6726">
        <f>IFERROR(MATCH(A6726,Deals!$A$2:$A$843,0),"")</f>
        <v/>
      </c>
      <c r="G6726">
        <f>IF(F6726="",0,1)</f>
        <v/>
      </c>
      <c r="H6726" s="29">
        <f>IF(F6726="","",INDEX(Deals!$E$2:$E$843,F6726))</f>
        <v/>
      </c>
      <c r="I6726">
        <f>IF(F6726="","",INDEX(Deals!$D$2:$D$843,F6726))</f>
        <v/>
      </c>
      <c r="J6726">
        <f>IF(F6726="","",INT(H6726)-B6726)</f>
        <v/>
      </c>
      <c r="K6726">
        <f>IF(B6726&gt;=Settings!$C$5,1,0)</f>
        <v/>
      </c>
    </row>
    <row r="6727">
      <c r="A6727" t="inlineStr">
        <is>
          <t>52d3882d85ec8a840371c62855241ceb</t>
        </is>
      </c>
      <c r="B6727" s="29" t="n">
        <v>42926</v>
      </c>
      <c r="C6727" t="inlineStr">
        <is>
          <t>2017-07</t>
        </is>
      </c>
      <c r="D6727" t="inlineStr">
        <is>
          <t>ee3c3bad6ed3eb9d5de56688d1f9c91b</t>
        </is>
      </c>
      <c r="E6727" t="inlineStr">
        <is>
          <t>unknown</t>
        </is>
      </c>
      <c r="F6727">
        <f>IFERROR(MATCH(A6727,Deals!$A$2:$A$843,0),"")</f>
        <v/>
      </c>
      <c r="G6727">
        <f>IF(F6727="",0,1)</f>
        <v/>
      </c>
      <c r="H6727" s="29">
        <f>IF(F6727="","",INDEX(Deals!$E$2:$E$843,F6727))</f>
        <v/>
      </c>
      <c r="I6727">
        <f>IF(F6727="","",INDEX(Deals!$D$2:$D$843,F6727))</f>
        <v/>
      </c>
      <c r="J6727">
        <f>IF(F6727="","",INT(H6727)-B6727)</f>
        <v/>
      </c>
      <c r="K6727">
        <f>IF(B6727&gt;=Settings!$C$5,1,0)</f>
        <v/>
      </c>
    </row>
    <row r="6728">
      <c r="A6728" t="inlineStr">
        <is>
          <t>c22881004aabcdea7d937a4fe0205fb2</t>
        </is>
      </c>
      <c r="B6728" s="29" t="n">
        <v>43222</v>
      </c>
      <c r="C6728" t="inlineStr">
        <is>
          <t>2018-05</t>
        </is>
      </c>
      <c r="D6728" t="inlineStr">
        <is>
          <t>22c29808c4f815213303f8933030604c</t>
        </is>
      </c>
      <c r="E6728" t="inlineStr">
        <is>
          <t>organic_search</t>
        </is>
      </c>
      <c r="F6728">
        <f>IFERROR(MATCH(A6728,Deals!$A$2:$A$843,0),"")</f>
        <v/>
      </c>
      <c r="G6728">
        <f>IF(F6728="",0,1)</f>
        <v/>
      </c>
      <c r="H6728" s="29">
        <f>IF(F6728="","",INDEX(Deals!$E$2:$E$843,F6728))</f>
        <v/>
      </c>
      <c r="I6728">
        <f>IF(F6728="","",INDEX(Deals!$D$2:$D$843,F6728))</f>
        <v/>
      </c>
      <c r="J6728">
        <f>IF(F6728="","",INT(H6728)-B6728)</f>
        <v/>
      </c>
      <c r="K6728">
        <f>IF(B6728&gt;=Settings!$C$5,1,0)</f>
        <v/>
      </c>
    </row>
    <row r="6729">
      <c r="A6729" t="inlineStr">
        <is>
          <t>7a1fd501b45f517e975995e1ef9b956c</t>
        </is>
      </c>
      <c r="B6729" s="29" t="n">
        <v>43115</v>
      </c>
      <c r="C6729" t="inlineStr">
        <is>
          <t>2018-01</t>
        </is>
      </c>
      <c r="D6729" t="inlineStr">
        <is>
          <t>ce1a65abd0973638f1c887a6efcfa82d</t>
        </is>
      </c>
      <c r="E6729" t="inlineStr">
        <is>
          <t>organic_search</t>
        </is>
      </c>
      <c r="F6729">
        <f>IFERROR(MATCH(A6729,Deals!$A$2:$A$843,0),"")</f>
        <v/>
      </c>
      <c r="G6729">
        <f>IF(F6729="",0,1)</f>
        <v/>
      </c>
      <c r="H6729" s="29">
        <f>IF(F6729="","",INDEX(Deals!$E$2:$E$843,F6729))</f>
        <v/>
      </c>
      <c r="I6729">
        <f>IF(F6729="","",INDEX(Deals!$D$2:$D$843,F6729))</f>
        <v/>
      </c>
      <c r="J6729">
        <f>IF(F6729="","",INT(H6729)-B6729)</f>
        <v/>
      </c>
      <c r="K6729">
        <f>IF(B6729&gt;=Settings!$C$5,1,0)</f>
        <v/>
      </c>
    </row>
    <row r="6730">
      <c r="A6730" t="inlineStr">
        <is>
          <t>6d378c1d7df74d165c6b2ff5e33baa3b</t>
        </is>
      </c>
      <c r="B6730" s="29" t="n">
        <v>43040</v>
      </c>
      <c r="C6730" t="inlineStr">
        <is>
          <t>2017-11</t>
        </is>
      </c>
      <c r="D6730" t="inlineStr">
        <is>
          <t>5c6c41289f4d77b9b32fb6a5e2106edb</t>
        </is>
      </c>
      <c r="E6730" t="inlineStr">
        <is>
          <t>paid_search</t>
        </is>
      </c>
      <c r="F6730">
        <f>IFERROR(MATCH(A6730,Deals!$A$2:$A$843,0),"")</f>
        <v/>
      </c>
      <c r="G6730">
        <f>IF(F6730="",0,1)</f>
        <v/>
      </c>
      <c r="H6730" s="29">
        <f>IF(F6730="","",INDEX(Deals!$E$2:$E$843,F6730))</f>
        <v/>
      </c>
      <c r="I6730">
        <f>IF(F6730="","",INDEX(Deals!$D$2:$D$843,F6730))</f>
        <v/>
      </c>
      <c r="J6730">
        <f>IF(F6730="","",INT(H6730)-B6730)</f>
        <v/>
      </c>
      <c r="K6730">
        <f>IF(B6730&gt;=Settings!$C$5,1,0)</f>
        <v/>
      </c>
    </row>
    <row r="6731">
      <c r="A6731" t="inlineStr">
        <is>
          <t>1ef219209ce95303626829fbf3629889</t>
        </is>
      </c>
      <c r="B6731" s="29" t="n">
        <v>43231</v>
      </c>
      <c r="C6731" t="inlineStr">
        <is>
          <t>2018-05</t>
        </is>
      </c>
      <c r="D6731" t="inlineStr">
        <is>
          <t>b76ef37428e6799c421989521c0e5077</t>
        </is>
      </c>
      <c r="E6731" t="inlineStr">
        <is>
          <t>unknown</t>
        </is>
      </c>
      <c r="F6731">
        <f>IFERROR(MATCH(A6731,Deals!$A$2:$A$843,0),"")</f>
        <v/>
      </c>
      <c r="G6731">
        <f>IF(F6731="",0,1)</f>
        <v/>
      </c>
      <c r="H6731" s="29">
        <f>IF(F6731="","",INDEX(Deals!$E$2:$E$843,F6731))</f>
        <v/>
      </c>
      <c r="I6731">
        <f>IF(F6731="","",INDEX(Deals!$D$2:$D$843,F6731))</f>
        <v/>
      </c>
      <c r="J6731">
        <f>IF(F6731="","",INT(H6731)-B6731)</f>
        <v/>
      </c>
      <c r="K6731">
        <f>IF(B6731&gt;=Settings!$C$5,1,0)</f>
        <v/>
      </c>
    </row>
    <row r="6732">
      <c r="A6732" t="inlineStr">
        <is>
          <t>0b61a4e863c0f5e7e20001aea1c33962</t>
        </is>
      </c>
      <c r="B6732" s="29" t="n">
        <v>42992</v>
      </c>
      <c r="C6732" t="inlineStr">
        <is>
          <t>2017-09</t>
        </is>
      </c>
      <c r="D6732" t="inlineStr">
        <is>
          <t>b76ef37428e6799c421989521c0e5077</t>
        </is>
      </c>
      <c r="E6732" t="inlineStr">
        <is>
          <t>unknown</t>
        </is>
      </c>
      <c r="F6732">
        <f>IFERROR(MATCH(A6732,Deals!$A$2:$A$843,0),"")</f>
        <v/>
      </c>
      <c r="G6732">
        <f>IF(F6732="",0,1)</f>
        <v/>
      </c>
      <c r="H6732" s="29">
        <f>IF(F6732="","",INDEX(Deals!$E$2:$E$843,F6732))</f>
        <v/>
      </c>
      <c r="I6732">
        <f>IF(F6732="","",INDEX(Deals!$D$2:$D$843,F6732))</f>
        <v/>
      </c>
      <c r="J6732">
        <f>IF(F6732="","",INT(H6732)-B6732)</f>
        <v/>
      </c>
      <c r="K6732">
        <f>IF(B6732&gt;=Settings!$C$5,1,0)</f>
        <v/>
      </c>
    </row>
    <row r="6733">
      <c r="A6733" t="inlineStr">
        <is>
          <t>4dd9f2351f5b9a8175321b87cc5e5be0</t>
        </is>
      </c>
      <c r="B6733" s="29" t="n">
        <v>43239</v>
      </c>
      <c r="C6733" t="inlineStr">
        <is>
          <t>2018-05</t>
        </is>
      </c>
      <c r="D6733" t="inlineStr">
        <is>
          <t>1ceb590cd1e00c7ee95220971f82693d</t>
        </is>
      </c>
      <c r="E6733" t="inlineStr">
        <is>
          <t>paid_search</t>
        </is>
      </c>
      <c r="F6733">
        <f>IFERROR(MATCH(A6733,Deals!$A$2:$A$843,0),"")</f>
        <v/>
      </c>
      <c r="G6733">
        <f>IF(F6733="",0,1)</f>
        <v/>
      </c>
      <c r="H6733" s="29">
        <f>IF(F6733="","",INDEX(Deals!$E$2:$E$843,F6733))</f>
        <v/>
      </c>
      <c r="I6733">
        <f>IF(F6733="","",INDEX(Deals!$D$2:$D$843,F6733))</f>
        <v/>
      </c>
      <c r="J6733">
        <f>IF(F6733="","",INT(H6733)-B6733)</f>
        <v/>
      </c>
      <c r="K6733">
        <f>IF(B6733&gt;=Settings!$C$5,1,0)</f>
        <v/>
      </c>
    </row>
    <row r="6734">
      <c r="A6734" t="inlineStr">
        <is>
          <t>f3d834a3a299eb01418783d6777d65f0</t>
        </is>
      </c>
      <c r="B6734" s="29" t="n">
        <v>43186</v>
      </c>
      <c r="C6734" t="inlineStr">
        <is>
          <t>2018-03</t>
        </is>
      </c>
      <c r="D6734" t="inlineStr">
        <is>
          <t>4e82dd1f6d00626bda0723eef0a269a6</t>
        </is>
      </c>
      <c r="E6734" t="inlineStr">
        <is>
          <t>direct_traffic</t>
        </is>
      </c>
      <c r="F6734">
        <f>IFERROR(MATCH(A6734,Deals!$A$2:$A$843,0),"")</f>
        <v/>
      </c>
      <c r="G6734">
        <f>IF(F6734="",0,1)</f>
        <v/>
      </c>
      <c r="H6734" s="29">
        <f>IF(F6734="","",INDEX(Deals!$E$2:$E$843,F6734))</f>
        <v/>
      </c>
      <c r="I6734">
        <f>IF(F6734="","",INDEX(Deals!$D$2:$D$843,F6734))</f>
        <v/>
      </c>
      <c r="J6734">
        <f>IF(F6734="","",INT(H6734)-B6734)</f>
        <v/>
      </c>
      <c r="K6734">
        <f>IF(B6734&gt;=Settings!$C$5,1,0)</f>
        <v/>
      </c>
    </row>
    <row r="6735">
      <c r="A6735" t="inlineStr">
        <is>
          <t>25a70c5064fa310731573aa24ef53a1e</t>
        </is>
      </c>
      <c r="B6735" s="29" t="n">
        <v>43151</v>
      </c>
      <c r="C6735" t="inlineStr">
        <is>
          <t>2018-02</t>
        </is>
      </c>
      <c r="D6735" t="inlineStr">
        <is>
          <t>88740e65d5d6b056e0cda098e1ea6313</t>
        </is>
      </c>
      <c r="E6735" t="inlineStr">
        <is>
          <t>social</t>
        </is>
      </c>
      <c r="F6735">
        <f>IFERROR(MATCH(A6735,Deals!$A$2:$A$843,0),"")</f>
        <v/>
      </c>
      <c r="G6735">
        <f>IF(F6735="",0,1)</f>
        <v/>
      </c>
      <c r="H6735" s="29">
        <f>IF(F6735="","",INDEX(Deals!$E$2:$E$843,F6735))</f>
        <v/>
      </c>
      <c r="I6735">
        <f>IF(F6735="","",INDEX(Deals!$D$2:$D$843,F6735))</f>
        <v/>
      </c>
      <c r="J6735">
        <f>IF(F6735="","",INT(H6735)-B6735)</f>
        <v/>
      </c>
      <c r="K6735">
        <f>IF(B6735&gt;=Settings!$C$5,1,0)</f>
        <v/>
      </c>
    </row>
    <row r="6736">
      <c r="A6736" t="inlineStr">
        <is>
          <t>0522f0f077611617c09c361e91503db9</t>
        </is>
      </c>
      <c r="B6736" s="29" t="n">
        <v>43062</v>
      </c>
      <c r="C6736" t="inlineStr">
        <is>
          <t>2017-11</t>
        </is>
      </c>
      <c r="D6736" t="inlineStr">
        <is>
          <t>241f79c7a8fe0270f4fb79fcbbcd17ad</t>
        </is>
      </c>
      <c r="E6736" t="inlineStr">
        <is>
          <t>paid_search</t>
        </is>
      </c>
      <c r="F6736">
        <f>IFERROR(MATCH(A6736,Deals!$A$2:$A$843,0),"")</f>
        <v/>
      </c>
      <c r="G6736">
        <f>IF(F6736="",0,1)</f>
        <v/>
      </c>
      <c r="H6736" s="29">
        <f>IF(F6736="","",INDEX(Deals!$E$2:$E$843,F6736))</f>
        <v/>
      </c>
      <c r="I6736">
        <f>IF(F6736="","",INDEX(Deals!$D$2:$D$843,F6736))</f>
        <v/>
      </c>
      <c r="J6736">
        <f>IF(F6736="","",INT(H6736)-B6736)</f>
        <v/>
      </c>
      <c r="K6736">
        <f>IF(B6736&gt;=Settings!$C$5,1,0)</f>
        <v/>
      </c>
    </row>
    <row r="6737">
      <c r="A6737" t="inlineStr">
        <is>
          <t>51fb18046e665c3a0df6457781ae8125</t>
        </is>
      </c>
      <c r="B6737" s="29" t="n">
        <v>43122</v>
      </c>
      <c r="C6737" t="inlineStr">
        <is>
          <t>2018-01</t>
        </is>
      </c>
      <c r="D6737" t="inlineStr">
        <is>
          <t>d45d558f0daeecf3cccdffe3c59684aa</t>
        </is>
      </c>
      <c r="E6737" t="inlineStr">
        <is>
          <t>email</t>
        </is>
      </c>
      <c r="F6737">
        <f>IFERROR(MATCH(A6737,Deals!$A$2:$A$843,0),"")</f>
        <v/>
      </c>
      <c r="G6737">
        <f>IF(F6737="",0,1)</f>
        <v/>
      </c>
      <c r="H6737" s="29">
        <f>IF(F6737="","",INDEX(Deals!$E$2:$E$843,F6737))</f>
        <v/>
      </c>
      <c r="I6737">
        <f>IF(F6737="","",INDEX(Deals!$D$2:$D$843,F6737))</f>
        <v/>
      </c>
      <c r="J6737">
        <f>IF(F6737="","",INT(H6737)-B6737)</f>
        <v/>
      </c>
      <c r="K6737">
        <f>IF(B6737&gt;=Settings!$C$5,1,0)</f>
        <v/>
      </c>
    </row>
    <row r="6738">
      <c r="A6738" t="inlineStr">
        <is>
          <t>c4b5d00fab66a49d63428f51800130eb</t>
        </is>
      </c>
      <c r="B6738" s="29" t="n">
        <v>43208</v>
      </c>
      <c r="C6738" t="inlineStr">
        <is>
          <t>2018-04</t>
        </is>
      </c>
      <c r="D6738" t="inlineStr">
        <is>
          <t>b76ef37428e6799c421989521c0e5077</t>
        </is>
      </c>
      <c r="E6738" t="inlineStr">
        <is>
          <t>unknown</t>
        </is>
      </c>
      <c r="F6738">
        <f>IFERROR(MATCH(A6738,Deals!$A$2:$A$843,0),"")</f>
        <v/>
      </c>
      <c r="G6738">
        <f>IF(F6738="",0,1)</f>
        <v/>
      </c>
      <c r="H6738" s="29">
        <f>IF(F6738="","",INDEX(Deals!$E$2:$E$843,F6738))</f>
        <v/>
      </c>
      <c r="I6738">
        <f>IF(F6738="","",INDEX(Deals!$D$2:$D$843,F6738))</f>
        <v/>
      </c>
      <c r="J6738">
        <f>IF(F6738="","",INT(H6738)-B6738)</f>
        <v/>
      </c>
      <c r="K6738">
        <f>IF(B6738&gt;=Settings!$C$5,1,0)</f>
        <v/>
      </c>
    </row>
    <row r="6739">
      <c r="A6739" t="inlineStr">
        <is>
          <t>c0fa242837c43fe0531989b269153441</t>
        </is>
      </c>
      <c r="B6739" s="29" t="n">
        <v>43193</v>
      </c>
      <c r="C6739" t="inlineStr">
        <is>
          <t>2018-04</t>
        </is>
      </c>
      <c r="D6739" t="inlineStr">
        <is>
          <t>22c29808c4f815213303f8933030604c</t>
        </is>
      </c>
      <c r="E6739" t="inlineStr">
        <is>
          <t>organic_search</t>
        </is>
      </c>
      <c r="F6739">
        <f>IFERROR(MATCH(A6739,Deals!$A$2:$A$843,0),"")</f>
        <v/>
      </c>
      <c r="G6739">
        <f>IF(F6739="",0,1)</f>
        <v/>
      </c>
      <c r="H6739" s="29">
        <f>IF(F6739="","",INDEX(Deals!$E$2:$E$843,F6739))</f>
        <v/>
      </c>
      <c r="I6739">
        <f>IF(F6739="","",INDEX(Deals!$D$2:$D$843,F6739))</f>
        <v/>
      </c>
      <c r="J6739">
        <f>IF(F6739="","",INT(H6739)-B6739)</f>
        <v/>
      </c>
      <c r="K6739">
        <f>IF(B6739&gt;=Settings!$C$5,1,0)</f>
        <v/>
      </c>
    </row>
    <row r="6740">
      <c r="A6740" t="inlineStr">
        <is>
          <t>2121301dde1bec34b962291dad9093ef</t>
        </is>
      </c>
      <c r="B6740" s="29" t="n">
        <v>43175</v>
      </c>
      <c r="C6740" t="inlineStr">
        <is>
          <t>2018-03</t>
        </is>
      </c>
      <c r="D6740" t="inlineStr">
        <is>
          <t>ce1a65abd0973638f1c887a6efcfa82d</t>
        </is>
      </c>
      <c r="E6740" t="inlineStr">
        <is>
          <t>paid_search</t>
        </is>
      </c>
      <c r="F6740">
        <f>IFERROR(MATCH(A6740,Deals!$A$2:$A$843,0),"")</f>
        <v/>
      </c>
      <c r="G6740">
        <f>IF(F6740="",0,1)</f>
        <v/>
      </c>
      <c r="H6740" s="29">
        <f>IF(F6740="","",INDEX(Deals!$E$2:$E$843,F6740))</f>
        <v/>
      </c>
      <c r="I6740">
        <f>IF(F6740="","",INDEX(Deals!$D$2:$D$843,F6740))</f>
        <v/>
      </c>
      <c r="J6740">
        <f>IF(F6740="","",INT(H6740)-B6740)</f>
        <v/>
      </c>
      <c r="K6740">
        <f>IF(B6740&gt;=Settings!$C$5,1,0)</f>
        <v/>
      </c>
    </row>
    <row r="6741">
      <c r="A6741" t="inlineStr">
        <is>
          <t>e2d1a6e73522ced82377206f4ac503de</t>
        </is>
      </c>
      <c r="B6741" s="29" t="n">
        <v>43094</v>
      </c>
      <c r="C6741" t="inlineStr">
        <is>
          <t>2017-12</t>
        </is>
      </c>
      <c r="D6741" t="inlineStr">
        <is>
          <t>a7982125ff7aa3b2054c6e44f9d28522</t>
        </is>
      </c>
      <c r="E6741" t="inlineStr">
        <is>
          <t>organic_search</t>
        </is>
      </c>
      <c r="F6741">
        <f>IFERROR(MATCH(A6741,Deals!$A$2:$A$843,0),"")</f>
        <v/>
      </c>
      <c r="G6741">
        <f>IF(F6741="",0,1)</f>
        <v/>
      </c>
      <c r="H6741" s="29">
        <f>IF(F6741="","",INDEX(Deals!$E$2:$E$843,F6741))</f>
        <v/>
      </c>
      <c r="I6741">
        <f>IF(F6741="","",INDEX(Deals!$D$2:$D$843,F6741))</f>
        <v/>
      </c>
      <c r="J6741">
        <f>IF(F6741="","",INT(H6741)-B6741)</f>
        <v/>
      </c>
      <c r="K6741">
        <f>IF(B6741&gt;=Settings!$C$5,1,0)</f>
        <v/>
      </c>
    </row>
    <row r="6742">
      <c r="A6742" t="inlineStr">
        <is>
          <t>66465d42f6d3c2d96166722bf74138a9</t>
        </is>
      </c>
      <c r="B6742" s="29" t="n">
        <v>43242</v>
      </c>
      <c r="C6742" t="inlineStr">
        <is>
          <t>2018-05</t>
        </is>
      </c>
      <c r="D6742" t="inlineStr">
        <is>
          <t>22c29808c4f815213303f8933030604c</t>
        </is>
      </c>
      <c r="E6742" t="inlineStr">
        <is>
          <t>organic_search</t>
        </is>
      </c>
      <c r="F6742">
        <f>IFERROR(MATCH(A6742,Deals!$A$2:$A$843,0),"")</f>
        <v/>
      </c>
      <c r="G6742">
        <f>IF(F6742="",0,1)</f>
        <v/>
      </c>
      <c r="H6742" s="29">
        <f>IF(F6742="","",INDEX(Deals!$E$2:$E$843,F6742))</f>
        <v/>
      </c>
      <c r="I6742">
        <f>IF(F6742="","",INDEX(Deals!$D$2:$D$843,F6742))</f>
        <v/>
      </c>
      <c r="J6742">
        <f>IF(F6742="","",INT(H6742)-B6742)</f>
        <v/>
      </c>
      <c r="K6742">
        <f>IF(B6742&gt;=Settings!$C$5,1,0)</f>
        <v/>
      </c>
    </row>
    <row r="6743">
      <c r="A6743" t="inlineStr">
        <is>
          <t>a6d029022610ced085eedb33de5b311d</t>
        </is>
      </c>
      <c r="B6743" s="29" t="n">
        <v>43112</v>
      </c>
      <c r="C6743" t="inlineStr">
        <is>
          <t>2018-01</t>
        </is>
      </c>
      <c r="D6743" t="inlineStr">
        <is>
          <t>e492ee5eaf1697716985cc6f33f9cd9b</t>
        </is>
      </c>
      <c r="E6743" t="inlineStr">
        <is>
          <t>social</t>
        </is>
      </c>
      <c r="F6743">
        <f>IFERROR(MATCH(A6743,Deals!$A$2:$A$843,0),"")</f>
        <v/>
      </c>
      <c r="G6743">
        <f>IF(F6743="",0,1)</f>
        <v/>
      </c>
      <c r="H6743" s="29">
        <f>IF(F6743="","",INDEX(Deals!$E$2:$E$843,F6743))</f>
        <v/>
      </c>
      <c r="I6743">
        <f>IF(F6743="","",INDEX(Deals!$D$2:$D$843,F6743))</f>
        <v/>
      </c>
      <c r="J6743">
        <f>IF(F6743="","",INT(H6743)-B6743)</f>
        <v/>
      </c>
      <c r="K6743">
        <f>IF(B6743&gt;=Settings!$C$5,1,0)</f>
        <v/>
      </c>
    </row>
    <row r="6744">
      <c r="A6744" t="inlineStr">
        <is>
          <t>daf133207e15777509621aaa83cb54fb</t>
        </is>
      </c>
      <c r="B6744" s="29" t="n">
        <v>43243</v>
      </c>
      <c r="C6744" t="inlineStr">
        <is>
          <t>2018-05</t>
        </is>
      </c>
      <c r="D6744" t="inlineStr">
        <is>
          <t>22c29808c4f815213303f8933030604c</t>
        </is>
      </c>
      <c r="E6744" t="inlineStr">
        <is>
          <t>referral</t>
        </is>
      </c>
      <c r="F6744">
        <f>IFERROR(MATCH(A6744,Deals!$A$2:$A$843,0),"")</f>
        <v/>
      </c>
      <c r="G6744">
        <f>IF(F6744="",0,1)</f>
        <v/>
      </c>
      <c r="H6744" s="29">
        <f>IF(F6744="","",INDEX(Deals!$E$2:$E$843,F6744))</f>
        <v/>
      </c>
      <c r="I6744">
        <f>IF(F6744="","",INDEX(Deals!$D$2:$D$843,F6744))</f>
        <v/>
      </c>
      <c r="J6744">
        <f>IF(F6744="","",INT(H6744)-B6744)</f>
        <v/>
      </c>
      <c r="K6744">
        <f>IF(B6744&gt;=Settings!$C$5,1,0)</f>
        <v/>
      </c>
    </row>
    <row r="6745">
      <c r="A6745" t="inlineStr">
        <is>
          <t>2edfbc33177d268d310968d775266d3f</t>
        </is>
      </c>
      <c r="B6745" s="29" t="n">
        <v>43251</v>
      </c>
      <c r="C6745" t="inlineStr">
        <is>
          <t>2018-05</t>
        </is>
      </c>
      <c r="D6745" t="inlineStr">
        <is>
          <t>40dec9f3d5259a3d2dbcdab2114fae47</t>
        </is>
      </c>
      <c r="E6745" t="inlineStr">
        <is>
          <t>paid_search</t>
        </is>
      </c>
      <c r="F6745">
        <f>IFERROR(MATCH(A6745,Deals!$A$2:$A$843,0),"")</f>
        <v/>
      </c>
      <c r="G6745">
        <f>IF(F6745="",0,1)</f>
        <v/>
      </c>
      <c r="H6745" s="29">
        <f>IF(F6745="","",INDEX(Deals!$E$2:$E$843,F6745))</f>
        <v/>
      </c>
      <c r="I6745">
        <f>IF(F6745="","",INDEX(Deals!$D$2:$D$843,F6745))</f>
        <v/>
      </c>
      <c r="J6745">
        <f>IF(F6745="","",INT(H6745)-B6745)</f>
        <v/>
      </c>
      <c r="K6745">
        <f>IF(B6745&gt;=Settings!$C$5,1,0)</f>
        <v/>
      </c>
    </row>
    <row r="6746">
      <c r="A6746" t="inlineStr">
        <is>
          <t>41ec249c34d7b158c5a01dae6e7544da</t>
        </is>
      </c>
      <c r="B6746" s="29" t="n">
        <v>43235</v>
      </c>
      <c r="C6746" t="inlineStr">
        <is>
          <t>2018-05</t>
        </is>
      </c>
      <c r="D6746" t="inlineStr">
        <is>
          <t>22c29808c4f815213303f8933030604c</t>
        </is>
      </c>
      <c r="E6746" t="inlineStr">
        <is>
          <t>paid_search</t>
        </is>
      </c>
      <c r="F6746">
        <f>IFERROR(MATCH(A6746,Deals!$A$2:$A$843,0),"")</f>
        <v/>
      </c>
      <c r="G6746">
        <f>IF(F6746="",0,1)</f>
        <v/>
      </c>
      <c r="H6746" s="29">
        <f>IF(F6746="","",INDEX(Deals!$E$2:$E$843,F6746))</f>
        <v/>
      </c>
      <c r="I6746">
        <f>IF(F6746="","",INDEX(Deals!$D$2:$D$843,F6746))</f>
        <v/>
      </c>
      <c r="J6746">
        <f>IF(F6746="","",INT(H6746)-B6746)</f>
        <v/>
      </c>
      <c r="K6746">
        <f>IF(B6746&gt;=Settings!$C$5,1,0)</f>
        <v/>
      </c>
    </row>
    <row r="6747">
      <c r="A6747" t="inlineStr">
        <is>
          <t>c5a8649bf0586fddae6b52a6dba31626</t>
        </is>
      </c>
      <c r="B6747" s="29" t="n">
        <v>43196</v>
      </c>
      <c r="C6747" t="inlineStr">
        <is>
          <t>2018-04</t>
        </is>
      </c>
      <c r="D6747" t="inlineStr">
        <is>
          <t>ce1a65abd0973638f1c887a6efcfa82d</t>
        </is>
      </c>
      <c r="E6747" t="inlineStr">
        <is>
          <t>organic_search</t>
        </is>
      </c>
      <c r="F6747">
        <f>IFERROR(MATCH(A6747,Deals!$A$2:$A$843,0),"")</f>
        <v/>
      </c>
      <c r="G6747">
        <f>IF(F6747="",0,1)</f>
        <v/>
      </c>
      <c r="H6747" s="29">
        <f>IF(F6747="","",INDEX(Deals!$E$2:$E$843,F6747))</f>
        <v/>
      </c>
      <c r="I6747">
        <f>IF(F6747="","",INDEX(Deals!$D$2:$D$843,F6747))</f>
        <v/>
      </c>
      <c r="J6747">
        <f>IF(F6747="","",INT(H6747)-B6747)</f>
        <v/>
      </c>
      <c r="K6747">
        <f>IF(B6747&gt;=Settings!$C$5,1,0)</f>
        <v/>
      </c>
    </row>
    <row r="6748">
      <c r="A6748" t="inlineStr">
        <is>
          <t>dbfd2cf7057917dab8d9070d88aa2c2c</t>
        </is>
      </c>
      <c r="B6748" s="29" t="n">
        <v>43188</v>
      </c>
      <c r="C6748" t="inlineStr">
        <is>
          <t>2018-03</t>
        </is>
      </c>
      <c r="D6748" t="inlineStr">
        <is>
          <t>e492ee5eaf1697716985cc6f33f9cd9b</t>
        </is>
      </c>
      <c r="E6748" t="inlineStr">
        <is>
          <t>organic_search</t>
        </is>
      </c>
      <c r="F6748">
        <f>IFERROR(MATCH(A6748,Deals!$A$2:$A$843,0),"")</f>
        <v/>
      </c>
      <c r="G6748">
        <f>IF(F6748="",0,1)</f>
        <v/>
      </c>
      <c r="H6748" s="29">
        <f>IF(F6748="","",INDEX(Deals!$E$2:$E$843,F6748))</f>
        <v/>
      </c>
      <c r="I6748">
        <f>IF(F6748="","",INDEX(Deals!$D$2:$D$843,F6748))</f>
        <v/>
      </c>
      <c r="J6748">
        <f>IF(F6748="","",INT(H6748)-B6748)</f>
        <v/>
      </c>
      <c r="K6748">
        <f>IF(B6748&gt;=Settings!$C$5,1,0)</f>
        <v/>
      </c>
    </row>
    <row r="6749">
      <c r="A6749" t="inlineStr">
        <is>
          <t>92600cf5751eef50371a96f136857c84</t>
        </is>
      </c>
      <c r="B6749" s="29" t="n">
        <v>43157</v>
      </c>
      <c r="C6749" t="inlineStr">
        <is>
          <t>2018-02</t>
        </is>
      </c>
      <c r="D6749" t="inlineStr">
        <is>
          <t>0e5a178e3cd2368607f3e72f46140476</t>
        </is>
      </c>
      <c r="E6749" t="inlineStr">
        <is>
          <t>organic_search</t>
        </is>
      </c>
      <c r="F6749">
        <f>IFERROR(MATCH(A6749,Deals!$A$2:$A$843,0),"")</f>
        <v/>
      </c>
      <c r="G6749">
        <f>IF(F6749="",0,1)</f>
        <v/>
      </c>
      <c r="H6749" s="29">
        <f>IF(F6749="","",INDEX(Deals!$E$2:$E$843,F6749))</f>
        <v/>
      </c>
      <c r="I6749">
        <f>IF(F6749="","",INDEX(Deals!$D$2:$D$843,F6749))</f>
        <v/>
      </c>
      <c r="J6749">
        <f>IF(F6749="","",INT(H6749)-B6749)</f>
        <v/>
      </c>
      <c r="K6749">
        <f>IF(B6749&gt;=Settings!$C$5,1,0)</f>
        <v/>
      </c>
    </row>
    <row r="6750">
      <c r="A6750" t="inlineStr">
        <is>
          <t>8ed16b12adc574bb06ec2cb2f5479952</t>
        </is>
      </c>
      <c r="B6750" s="29" t="n">
        <v>42968</v>
      </c>
      <c r="C6750" t="inlineStr">
        <is>
          <t>2017-08</t>
        </is>
      </c>
      <c r="D6750" t="inlineStr">
        <is>
          <t>d7549bc9744c53d31a4a1abc7fb7b5ee</t>
        </is>
      </c>
      <c r="E6750" t="inlineStr">
        <is>
          <t>organic_search</t>
        </is>
      </c>
      <c r="F6750">
        <f>IFERROR(MATCH(A6750,Deals!$A$2:$A$843,0),"")</f>
        <v/>
      </c>
      <c r="G6750">
        <f>IF(F6750="",0,1)</f>
        <v/>
      </c>
      <c r="H6750" s="29">
        <f>IF(F6750="","",INDEX(Deals!$E$2:$E$843,F6750))</f>
        <v/>
      </c>
      <c r="I6750">
        <f>IF(F6750="","",INDEX(Deals!$D$2:$D$843,F6750))</f>
        <v/>
      </c>
      <c r="J6750">
        <f>IF(F6750="","",INT(H6750)-B6750)</f>
        <v/>
      </c>
      <c r="K6750">
        <f>IF(B6750&gt;=Settings!$C$5,1,0)</f>
        <v/>
      </c>
    </row>
    <row r="6751">
      <c r="A6751" t="inlineStr">
        <is>
          <t>e2434bb373d4e0753b959fcbfe307860</t>
        </is>
      </c>
      <c r="B6751" s="29" t="n">
        <v>43156</v>
      </c>
      <c r="C6751" t="inlineStr">
        <is>
          <t>2018-02</t>
        </is>
      </c>
      <c r="D6751" t="inlineStr">
        <is>
          <t>88740e65d5d6b056e0cda098e1ea6313</t>
        </is>
      </c>
      <c r="E6751" t="inlineStr">
        <is>
          <t>social</t>
        </is>
      </c>
      <c r="F6751">
        <f>IFERROR(MATCH(A6751,Deals!$A$2:$A$843,0),"")</f>
        <v/>
      </c>
      <c r="G6751">
        <f>IF(F6751="",0,1)</f>
        <v/>
      </c>
      <c r="H6751" s="29">
        <f>IF(F6751="","",INDEX(Deals!$E$2:$E$843,F6751))</f>
        <v/>
      </c>
      <c r="I6751">
        <f>IF(F6751="","",INDEX(Deals!$D$2:$D$843,F6751))</f>
        <v/>
      </c>
      <c r="J6751">
        <f>IF(F6751="","",INT(H6751)-B6751)</f>
        <v/>
      </c>
      <c r="K6751">
        <f>IF(B6751&gt;=Settings!$C$5,1,0)</f>
        <v/>
      </c>
    </row>
    <row r="6752">
      <c r="A6752" t="inlineStr">
        <is>
          <t>bb51be7cabcec70c5ebd89a677b5f450</t>
        </is>
      </c>
      <c r="B6752" s="29" t="n">
        <v>43174</v>
      </c>
      <c r="C6752" t="inlineStr">
        <is>
          <t>2018-03</t>
        </is>
      </c>
      <c r="D6752" t="inlineStr">
        <is>
          <t>36120633c8737035fbabf079082f4ec1</t>
        </is>
      </c>
      <c r="E6752" t="inlineStr">
        <is>
          <t>paid_search</t>
        </is>
      </c>
      <c r="F6752">
        <f>IFERROR(MATCH(A6752,Deals!$A$2:$A$843,0),"")</f>
        <v/>
      </c>
      <c r="G6752">
        <f>IF(F6752="",0,1)</f>
        <v/>
      </c>
      <c r="H6752" s="29">
        <f>IF(F6752="","",INDEX(Deals!$E$2:$E$843,F6752))</f>
        <v/>
      </c>
      <c r="I6752">
        <f>IF(F6752="","",INDEX(Deals!$D$2:$D$843,F6752))</f>
        <v/>
      </c>
      <c r="J6752">
        <f>IF(F6752="","",INT(H6752)-B6752)</f>
        <v/>
      </c>
      <c r="K6752">
        <f>IF(B6752&gt;=Settings!$C$5,1,0)</f>
        <v/>
      </c>
    </row>
    <row r="6753">
      <c r="A6753" t="inlineStr">
        <is>
          <t>fca770bbc016b9f553eddcbad569617d</t>
        </is>
      </c>
      <c r="B6753" s="29" t="n">
        <v>43030</v>
      </c>
      <c r="C6753" t="inlineStr">
        <is>
          <t>2017-10</t>
        </is>
      </c>
      <c r="D6753" t="inlineStr">
        <is>
          <t>22c29808c4f815213303f8933030604c</t>
        </is>
      </c>
      <c r="E6753" t="inlineStr">
        <is>
          <t>organic_search</t>
        </is>
      </c>
      <c r="F6753">
        <f>IFERROR(MATCH(A6753,Deals!$A$2:$A$843,0),"")</f>
        <v/>
      </c>
      <c r="G6753">
        <f>IF(F6753="",0,1)</f>
        <v/>
      </c>
      <c r="H6753" s="29">
        <f>IF(F6753="","",INDEX(Deals!$E$2:$E$843,F6753))</f>
        <v/>
      </c>
      <c r="I6753">
        <f>IF(F6753="","",INDEX(Deals!$D$2:$D$843,F6753))</f>
        <v/>
      </c>
      <c r="J6753">
        <f>IF(F6753="","",INT(H6753)-B6753)</f>
        <v/>
      </c>
      <c r="K6753">
        <f>IF(B6753&gt;=Settings!$C$5,1,0)</f>
        <v/>
      </c>
    </row>
    <row r="6754">
      <c r="A6754" t="inlineStr">
        <is>
          <t>733e42652ad8998910d59488625dd70b</t>
        </is>
      </c>
      <c r="B6754" s="29" t="n">
        <v>43163</v>
      </c>
      <c r="C6754" t="inlineStr">
        <is>
          <t>2018-03</t>
        </is>
      </c>
      <c r="D6754" t="inlineStr">
        <is>
          <t>007f9098284a86ee80ddeb25d53e0af8</t>
        </is>
      </c>
      <c r="E6754" t="inlineStr">
        <is>
          <t>organic_search</t>
        </is>
      </c>
      <c r="F6754">
        <f>IFERROR(MATCH(A6754,Deals!$A$2:$A$843,0),"")</f>
        <v/>
      </c>
      <c r="G6754">
        <f>IF(F6754="",0,1)</f>
        <v/>
      </c>
      <c r="H6754" s="29">
        <f>IF(F6754="","",INDEX(Deals!$E$2:$E$843,F6754))</f>
        <v/>
      </c>
      <c r="I6754">
        <f>IF(F6754="","",INDEX(Deals!$D$2:$D$843,F6754))</f>
        <v/>
      </c>
      <c r="J6754">
        <f>IF(F6754="","",INT(H6754)-B6754)</f>
        <v/>
      </c>
      <c r="K6754">
        <f>IF(B6754&gt;=Settings!$C$5,1,0)</f>
        <v/>
      </c>
    </row>
    <row r="6755">
      <c r="A6755" t="inlineStr">
        <is>
          <t>6cc5a0a9d45a6735b2a4b183bbbe0dfd</t>
        </is>
      </c>
      <c r="B6755" s="29" t="n">
        <v>43146</v>
      </c>
      <c r="C6755" t="inlineStr">
        <is>
          <t>2018-02</t>
        </is>
      </c>
      <c r="D6755" t="inlineStr">
        <is>
          <t>b76ef37428e6799c421989521c0e5077</t>
        </is>
      </c>
      <c r="E6755" t="inlineStr">
        <is>
          <t>organic_search</t>
        </is>
      </c>
      <c r="F6755">
        <f>IFERROR(MATCH(A6755,Deals!$A$2:$A$843,0),"")</f>
        <v/>
      </c>
      <c r="G6755">
        <f>IF(F6755="",0,1)</f>
        <v/>
      </c>
      <c r="H6755" s="29">
        <f>IF(F6755="","",INDEX(Deals!$E$2:$E$843,F6755))</f>
        <v/>
      </c>
      <c r="I6755">
        <f>IF(F6755="","",INDEX(Deals!$D$2:$D$843,F6755))</f>
        <v/>
      </c>
      <c r="J6755">
        <f>IF(F6755="","",INT(H6755)-B6755)</f>
        <v/>
      </c>
      <c r="K6755">
        <f>IF(B6755&gt;=Settings!$C$5,1,0)</f>
        <v/>
      </c>
    </row>
    <row r="6756">
      <c r="A6756" t="inlineStr">
        <is>
          <t>9b3f19c666b37dcb52bb3bfa51ae0c46</t>
        </is>
      </c>
      <c r="B6756" s="29" t="n">
        <v>43061</v>
      </c>
      <c r="C6756" t="inlineStr">
        <is>
          <t>2017-11</t>
        </is>
      </c>
      <c r="D6756" t="inlineStr">
        <is>
          <t>ff3416719616ad4921acb8c74e21d6f0</t>
        </is>
      </c>
      <c r="E6756" t="inlineStr">
        <is>
          <t>email</t>
        </is>
      </c>
      <c r="F6756">
        <f>IFERROR(MATCH(A6756,Deals!$A$2:$A$843,0),"")</f>
        <v/>
      </c>
      <c r="G6756">
        <f>IF(F6756="",0,1)</f>
        <v/>
      </c>
      <c r="H6756" s="29">
        <f>IF(F6756="","",INDEX(Deals!$E$2:$E$843,F6756))</f>
        <v/>
      </c>
      <c r="I6756">
        <f>IF(F6756="","",INDEX(Deals!$D$2:$D$843,F6756))</f>
        <v/>
      </c>
      <c r="J6756">
        <f>IF(F6756="","",INT(H6756)-B6756)</f>
        <v/>
      </c>
      <c r="K6756">
        <f>IF(B6756&gt;=Settings!$C$5,1,0)</f>
        <v/>
      </c>
    </row>
    <row r="6757">
      <c r="A6757" t="inlineStr">
        <is>
          <t>3b864667bb8e1779ebc5c32f5dbe2ef2</t>
        </is>
      </c>
      <c r="B6757" s="29" t="n">
        <v>43234</v>
      </c>
      <c r="C6757" t="inlineStr">
        <is>
          <t>2018-05</t>
        </is>
      </c>
      <c r="D6757" t="inlineStr">
        <is>
          <t>73f31a40697cc90a86c1273563ac230e</t>
        </is>
      </c>
      <c r="E6757" t="inlineStr">
        <is>
          <t>other</t>
        </is>
      </c>
      <c r="F6757">
        <f>IFERROR(MATCH(A6757,Deals!$A$2:$A$843,0),"")</f>
        <v/>
      </c>
      <c r="G6757">
        <f>IF(F6757="",0,1)</f>
        <v/>
      </c>
      <c r="H6757" s="29">
        <f>IF(F6757="","",INDEX(Deals!$E$2:$E$843,F6757))</f>
        <v/>
      </c>
      <c r="I6757">
        <f>IF(F6757="","",INDEX(Deals!$D$2:$D$843,F6757))</f>
        <v/>
      </c>
      <c r="J6757">
        <f>IF(F6757="","",INT(H6757)-B6757)</f>
        <v/>
      </c>
      <c r="K6757">
        <f>IF(B6757&gt;=Settings!$C$5,1,0)</f>
        <v/>
      </c>
    </row>
    <row r="6758">
      <c r="A6758" t="inlineStr">
        <is>
          <t>bdd928436b685295f320c3c5f46cb30f</t>
        </is>
      </c>
      <c r="B6758" s="29" t="n">
        <v>43124</v>
      </c>
      <c r="C6758" t="inlineStr">
        <is>
          <t>2018-01</t>
        </is>
      </c>
      <c r="D6758" t="inlineStr">
        <is>
          <t>d45d558f0daeecf3cccdffe3c59684aa</t>
        </is>
      </c>
      <c r="E6758" t="inlineStr">
        <is>
          <t>other</t>
        </is>
      </c>
      <c r="F6758">
        <f>IFERROR(MATCH(A6758,Deals!$A$2:$A$843,0),"")</f>
        <v/>
      </c>
      <c r="G6758">
        <f>IF(F6758="",0,1)</f>
        <v/>
      </c>
      <c r="H6758" s="29">
        <f>IF(F6758="","",INDEX(Deals!$E$2:$E$843,F6758))</f>
        <v/>
      </c>
      <c r="I6758">
        <f>IF(F6758="","",INDEX(Deals!$D$2:$D$843,F6758))</f>
        <v/>
      </c>
      <c r="J6758">
        <f>IF(F6758="","",INT(H6758)-B6758)</f>
        <v/>
      </c>
      <c r="K6758">
        <f>IF(B6758&gt;=Settings!$C$5,1,0)</f>
        <v/>
      </c>
    </row>
    <row r="6759">
      <c r="A6759" t="inlineStr">
        <is>
          <t>cd1c758ef1fa8b3fa90d46efc6e4c66d</t>
        </is>
      </c>
      <c r="B6759" s="29" t="n">
        <v>43215</v>
      </c>
      <c r="C6759" t="inlineStr">
        <is>
          <t>2018-04</t>
        </is>
      </c>
      <c r="D6759" t="inlineStr">
        <is>
          <t>9fa37f5177115156b1814ffc237402a6</t>
        </is>
      </c>
      <c r="E6759" t="inlineStr">
        <is>
          <t>paid_search</t>
        </is>
      </c>
      <c r="F6759">
        <f>IFERROR(MATCH(A6759,Deals!$A$2:$A$843,0),"")</f>
        <v/>
      </c>
      <c r="G6759">
        <f>IF(F6759="",0,1)</f>
        <v/>
      </c>
      <c r="H6759" s="29">
        <f>IF(F6759="","",INDEX(Deals!$E$2:$E$843,F6759))</f>
        <v/>
      </c>
      <c r="I6759">
        <f>IF(F6759="","",INDEX(Deals!$D$2:$D$843,F6759))</f>
        <v/>
      </c>
      <c r="J6759">
        <f>IF(F6759="","",INT(H6759)-B6759)</f>
        <v/>
      </c>
      <c r="K6759">
        <f>IF(B6759&gt;=Settings!$C$5,1,0)</f>
        <v/>
      </c>
    </row>
    <row r="6760">
      <c r="A6760" t="inlineStr">
        <is>
          <t>0ec14948e088cd74e70ad82de1128b3b</t>
        </is>
      </c>
      <c r="B6760" s="29" t="n">
        <v>42963</v>
      </c>
      <c r="C6760" t="inlineStr">
        <is>
          <t>2017-08</t>
        </is>
      </c>
      <c r="D6760" t="inlineStr">
        <is>
          <t>87732658ba41d8775e8577df347a64db</t>
        </is>
      </c>
      <c r="E6760" t="inlineStr">
        <is>
          <t>social</t>
        </is>
      </c>
      <c r="F6760">
        <f>IFERROR(MATCH(A6760,Deals!$A$2:$A$843,0),"")</f>
        <v/>
      </c>
      <c r="G6760">
        <f>IF(F6760="",0,1)</f>
        <v/>
      </c>
      <c r="H6760" s="29">
        <f>IF(F6760="","",INDEX(Deals!$E$2:$E$843,F6760))</f>
        <v/>
      </c>
      <c r="I6760">
        <f>IF(F6760="","",INDEX(Deals!$D$2:$D$843,F6760))</f>
        <v/>
      </c>
      <c r="J6760">
        <f>IF(F6760="","",INT(H6760)-B6760)</f>
        <v/>
      </c>
      <c r="K6760">
        <f>IF(B6760&gt;=Settings!$C$5,1,0)</f>
        <v/>
      </c>
    </row>
    <row r="6761">
      <c r="A6761" t="inlineStr">
        <is>
          <t>87f7f8f823a0bc9edecdf4c22aa2007a</t>
        </is>
      </c>
      <c r="B6761" s="29" t="n">
        <v>43244</v>
      </c>
      <c r="C6761" t="inlineStr">
        <is>
          <t>2018-05</t>
        </is>
      </c>
      <c r="D6761" t="inlineStr">
        <is>
          <t>35c9b150ab36fe584c1f24fd458c453a</t>
        </is>
      </c>
      <c r="E6761" t="inlineStr">
        <is>
          <t>organic_search</t>
        </is>
      </c>
      <c r="F6761">
        <f>IFERROR(MATCH(A6761,Deals!$A$2:$A$843,0),"")</f>
        <v/>
      </c>
      <c r="G6761">
        <f>IF(F6761="",0,1)</f>
        <v/>
      </c>
      <c r="H6761" s="29">
        <f>IF(F6761="","",INDEX(Deals!$E$2:$E$843,F6761))</f>
        <v/>
      </c>
      <c r="I6761">
        <f>IF(F6761="","",INDEX(Deals!$D$2:$D$843,F6761))</f>
        <v/>
      </c>
      <c r="J6761">
        <f>IF(F6761="","",INT(H6761)-B6761)</f>
        <v/>
      </c>
      <c r="K6761">
        <f>IF(B6761&gt;=Settings!$C$5,1,0)</f>
        <v/>
      </c>
    </row>
    <row r="6762">
      <c r="A6762" t="inlineStr">
        <is>
          <t>51b4453760367db4ebfc2dae4f5d02ae</t>
        </is>
      </c>
      <c r="B6762" s="29" t="n">
        <v>43135</v>
      </c>
      <c r="C6762" t="inlineStr">
        <is>
          <t>2018-02</t>
        </is>
      </c>
      <c r="D6762" t="inlineStr">
        <is>
          <t>22c29808c4f815213303f8933030604c</t>
        </is>
      </c>
      <c r="E6762" t="inlineStr">
        <is>
          <t>organic_search</t>
        </is>
      </c>
      <c r="F6762">
        <f>IFERROR(MATCH(A6762,Deals!$A$2:$A$843,0),"")</f>
        <v/>
      </c>
      <c r="G6762">
        <f>IF(F6762="",0,1)</f>
        <v/>
      </c>
      <c r="H6762" s="29">
        <f>IF(F6762="","",INDEX(Deals!$E$2:$E$843,F6762))</f>
        <v/>
      </c>
      <c r="I6762">
        <f>IF(F6762="","",INDEX(Deals!$D$2:$D$843,F6762))</f>
        <v/>
      </c>
      <c r="J6762">
        <f>IF(F6762="","",INT(H6762)-B6762)</f>
        <v/>
      </c>
      <c r="K6762">
        <f>IF(B6762&gt;=Settings!$C$5,1,0)</f>
        <v/>
      </c>
    </row>
    <row r="6763">
      <c r="A6763" t="inlineStr">
        <is>
          <t>3f9f56ea29f7b4aeed720fad19c360c5</t>
        </is>
      </c>
      <c r="B6763" s="29" t="n">
        <v>43030</v>
      </c>
      <c r="C6763" t="inlineStr">
        <is>
          <t>2017-10</t>
        </is>
      </c>
      <c r="D6763" t="inlineStr">
        <is>
          <t>65d9f9d71e562365e8b44037c2888d98</t>
        </is>
      </c>
      <c r="E6763" t="inlineStr">
        <is>
          <t>organic_search</t>
        </is>
      </c>
      <c r="F6763">
        <f>IFERROR(MATCH(A6763,Deals!$A$2:$A$843,0),"")</f>
        <v/>
      </c>
      <c r="G6763">
        <f>IF(F6763="",0,1)</f>
        <v/>
      </c>
      <c r="H6763" s="29">
        <f>IF(F6763="","",INDEX(Deals!$E$2:$E$843,F6763))</f>
        <v/>
      </c>
      <c r="I6763">
        <f>IF(F6763="","",INDEX(Deals!$D$2:$D$843,F6763))</f>
        <v/>
      </c>
      <c r="J6763">
        <f>IF(F6763="","",INT(H6763)-B6763)</f>
        <v/>
      </c>
      <c r="K6763">
        <f>IF(B6763&gt;=Settings!$C$5,1,0)</f>
        <v/>
      </c>
    </row>
    <row r="6764">
      <c r="A6764" t="inlineStr">
        <is>
          <t>893cba398418b8cfd0fe1a08e83f6224</t>
        </is>
      </c>
      <c r="B6764" s="29" t="n">
        <v>43132</v>
      </c>
      <c r="C6764" t="inlineStr">
        <is>
          <t>2018-02</t>
        </is>
      </c>
      <c r="D6764" t="inlineStr">
        <is>
          <t>22c29808c4f815213303f8933030604c</t>
        </is>
      </c>
      <c r="E6764" t="inlineStr">
        <is>
          <t>email</t>
        </is>
      </c>
      <c r="F6764">
        <f>IFERROR(MATCH(A6764,Deals!$A$2:$A$843,0),"")</f>
        <v/>
      </c>
      <c r="G6764">
        <f>IF(F6764="",0,1)</f>
        <v/>
      </c>
      <c r="H6764" s="29">
        <f>IF(F6764="","",INDEX(Deals!$E$2:$E$843,F6764))</f>
        <v/>
      </c>
      <c r="I6764">
        <f>IF(F6764="","",INDEX(Deals!$D$2:$D$843,F6764))</f>
        <v/>
      </c>
      <c r="J6764">
        <f>IF(F6764="","",INT(H6764)-B6764)</f>
        <v/>
      </c>
      <c r="K6764">
        <f>IF(B6764&gt;=Settings!$C$5,1,0)</f>
        <v/>
      </c>
    </row>
    <row r="6765">
      <c r="A6765" t="inlineStr">
        <is>
          <t>545e76d68882bf371ee688264c083717</t>
        </is>
      </c>
      <c r="B6765" s="29" t="n">
        <v>43224</v>
      </c>
      <c r="C6765" t="inlineStr">
        <is>
          <t>2018-05</t>
        </is>
      </c>
      <c r="D6765" t="inlineStr">
        <is>
          <t>30534107aa0013db92899c96a1017d0b</t>
        </is>
      </c>
      <c r="E6765" t="inlineStr">
        <is>
          <t>social</t>
        </is>
      </c>
      <c r="F6765">
        <f>IFERROR(MATCH(A6765,Deals!$A$2:$A$843,0),"")</f>
        <v/>
      </c>
      <c r="G6765">
        <f>IF(F6765="",0,1)</f>
        <v/>
      </c>
      <c r="H6765" s="29">
        <f>IF(F6765="","",INDEX(Deals!$E$2:$E$843,F6765))</f>
        <v/>
      </c>
      <c r="I6765">
        <f>IF(F6765="","",INDEX(Deals!$D$2:$D$843,F6765))</f>
        <v/>
      </c>
      <c r="J6765">
        <f>IF(F6765="","",INT(H6765)-B6765)</f>
        <v/>
      </c>
      <c r="K6765">
        <f>IF(B6765&gt;=Settings!$C$5,1,0)</f>
        <v/>
      </c>
    </row>
    <row r="6766">
      <c r="A6766" t="inlineStr">
        <is>
          <t>060f31652cdb061a8e40a99c31190d6a</t>
        </is>
      </c>
      <c r="B6766" s="29" t="n">
        <v>43214</v>
      </c>
      <c r="C6766" t="inlineStr">
        <is>
          <t>2018-04</t>
        </is>
      </c>
      <c r="D6766" t="inlineStr">
        <is>
          <t>b76ef37428e6799c421989521c0e5077</t>
        </is>
      </c>
      <c r="E6766" t="inlineStr">
        <is>
          <t>unknown</t>
        </is>
      </c>
      <c r="F6766">
        <f>IFERROR(MATCH(A6766,Deals!$A$2:$A$843,0),"")</f>
        <v/>
      </c>
      <c r="G6766">
        <f>IF(F6766="",0,1)</f>
        <v/>
      </c>
      <c r="H6766" s="29">
        <f>IF(F6766="","",INDEX(Deals!$E$2:$E$843,F6766))</f>
        <v/>
      </c>
      <c r="I6766">
        <f>IF(F6766="","",INDEX(Deals!$D$2:$D$843,F6766))</f>
        <v/>
      </c>
      <c r="J6766">
        <f>IF(F6766="","",INT(H6766)-B6766)</f>
        <v/>
      </c>
      <c r="K6766">
        <f>IF(B6766&gt;=Settings!$C$5,1,0)</f>
        <v/>
      </c>
    </row>
    <row r="6767">
      <c r="A6767" t="inlineStr">
        <is>
          <t>2bfb29bfb919f9ab072e2e9d928c0218</t>
        </is>
      </c>
      <c r="B6767" s="29" t="n">
        <v>43122</v>
      </c>
      <c r="C6767" t="inlineStr">
        <is>
          <t>2018-01</t>
        </is>
      </c>
      <c r="D6767" t="inlineStr">
        <is>
          <t>d45d558f0daeecf3cccdffe3c59684aa</t>
        </is>
      </c>
      <c r="E6767" t="inlineStr">
        <is>
          <t>display</t>
        </is>
      </c>
      <c r="F6767">
        <f>IFERROR(MATCH(A6767,Deals!$A$2:$A$843,0),"")</f>
        <v/>
      </c>
      <c r="G6767">
        <f>IF(F6767="",0,1)</f>
        <v/>
      </c>
      <c r="H6767" s="29">
        <f>IF(F6767="","",INDEX(Deals!$E$2:$E$843,F6767))</f>
        <v/>
      </c>
      <c r="I6767">
        <f>IF(F6767="","",INDEX(Deals!$D$2:$D$843,F6767))</f>
        <v/>
      </c>
      <c r="J6767">
        <f>IF(F6767="","",INT(H6767)-B6767)</f>
        <v/>
      </c>
      <c r="K6767">
        <f>IF(B6767&gt;=Settings!$C$5,1,0)</f>
        <v/>
      </c>
    </row>
    <row r="6768">
      <c r="A6768" t="inlineStr">
        <is>
          <t>4f43d7bebba69c5ff517f4eeb08d37e1</t>
        </is>
      </c>
      <c r="B6768" s="29" t="n">
        <v>43111</v>
      </c>
      <c r="C6768" t="inlineStr">
        <is>
          <t>2018-01</t>
        </is>
      </c>
      <c r="D6768" t="inlineStr">
        <is>
          <t>e492ee5eaf1697716985cc6f33f9cd9b</t>
        </is>
      </c>
      <c r="E6768" t="inlineStr">
        <is>
          <t>social</t>
        </is>
      </c>
      <c r="F6768">
        <f>IFERROR(MATCH(A6768,Deals!$A$2:$A$843,0),"")</f>
        <v/>
      </c>
      <c r="G6768">
        <f>IF(F6768="",0,1)</f>
        <v/>
      </c>
      <c r="H6768" s="29">
        <f>IF(F6768="","",INDEX(Deals!$E$2:$E$843,F6768))</f>
        <v/>
      </c>
      <c r="I6768">
        <f>IF(F6768="","",INDEX(Deals!$D$2:$D$843,F6768))</f>
        <v/>
      </c>
      <c r="J6768">
        <f>IF(F6768="","",INT(H6768)-B6768)</f>
        <v/>
      </c>
      <c r="K6768">
        <f>IF(B6768&gt;=Settings!$C$5,1,0)</f>
        <v/>
      </c>
    </row>
    <row r="6769">
      <c r="A6769" t="inlineStr">
        <is>
          <t>7482d965e9c3156079b7ea6423fd41fa</t>
        </is>
      </c>
      <c r="B6769" s="29" t="n">
        <v>43129</v>
      </c>
      <c r="C6769" t="inlineStr">
        <is>
          <t>2018-01</t>
        </is>
      </c>
      <c r="D6769" t="inlineStr">
        <is>
          <t>b76ef37428e6799c421989521c0e5077</t>
        </is>
      </c>
      <c r="E6769" t="inlineStr">
        <is>
          <t>unknown</t>
        </is>
      </c>
      <c r="F6769">
        <f>IFERROR(MATCH(A6769,Deals!$A$2:$A$843,0),"")</f>
        <v/>
      </c>
      <c r="G6769">
        <f>IF(F6769="",0,1)</f>
        <v/>
      </c>
      <c r="H6769" s="29">
        <f>IF(F6769="","",INDEX(Deals!$E$2:$E$843,F6769))</f>
        <v/>
      </c>
      <c r="I6769">
        <f>IF(F6769="","",INDEX(Deals!$D$2:$D$843,F6769))</f>
        <v/>
      </c>
      <c r="J6769">
        <f>IF(F6769="","",INT(H6769)-B6769)</f>
        <v/>
      </c>
      <c r="K6769">
        <f>IF(B6769&gt;=Settings!$C$5,1,0)</f>
        <v/>
      </c>
    </row>
    <row r="6770">
      <c r="A6770" t="inlineStr">
        <is>
          <t>27093d5113f87e06a397683429a64363</t>
        </is>
      </c>
      <c r="B6770" s="29" t="n">
        <v>43216</v>
      </c>
      <c r="C6770" t="inlineStr">
        <is>
          <t>2018-04</t>
        </is>
      </c>
      <c r="D6770" t="inlineStr">
        <is>
          <t>b76ef37428e6799c421989521c0e5077</t>
        </is>
      </c>
      <c r="E6770" t="inlineStr">
        <is>
          <t>unknown</t>
        </is>
      </c>
      <c r="F6770">
        <f>IFERROR(MATCH(A6770,Deals!$A$2:$A$843,0),"")</f>
        <v/>
      </c>
      <c r="G6770">
        <f>IF(F6770="",0,1)</f>
        <v/>
      </c>
      <c r="H6770" s="29">
        <f>IF(F6770="","",INDEX(Deals!$E$2:$E$843,F6770))</f>
        <v/>
      </c>
      <c r="I6770">
        <f>IF(F6770="","",INDEX(Deals!$D$2:$D$843,F6770))</f>
        <v/>
      </c>
      <c r="J6770">
        <f>IF(F6770="","",INT(H6770)-B6770)</f>
        <v/>
      </c>
      <c r="K6770">
        <f>IF(B6770&gt;=Settings!$C$5,1,0)</f>
        <v/>
      </c>
    </row>
    <row r="6771">
      <c r="A6771" t="inlineStr">
        <is>
          <t>9c9f0a962a684077dca5ad293a3a7247</t>
        </is>
      </c>
      <c r="B6771" s="29" t="n">
        <v>43146</v>
      </c>
      <c r="C6771" t="inlineStr">
        <is>
          <t>2018-02</t>
        </is>
      </c>
      <c r="D6771" t="inlineStr">
        <is>
          <t>b16779a74f2b20eb9a17a785519f63a0</t>
        </is>
      </c>
      <c r="E6771" t="inlineStr">
        <is>
          <t>social</t>
        </is>
      </c>
      <c r="F6771">
        <f>IFERROR(MATCH(A6771,Deals!$A$2:$A$843,0),"")</f>
        <v/>
      </c>
      <c r="G6771">
        <f>IF(F6771="",0,1)</f>
        <v/>
      </c>
      <c r="H6771" s="29">
        <f>IF(F6771="","",INDEX(Deals!$E$2:$E$843,F6771))</f>
        <v/>
      </c>
      <c r="I6771">
        <f>IF(F6771="","",INDEX(Deals!$D$2:$D$843,F6771))</f>
        <v/>
      </c>
      <c r="J6771">
        <f>IF(F6771="","",INT(H6771)-B6771)</f>
        <v/>
      </c>
      <c r="K6771">
        <f>IF(B6771&gt;=Settings!$C$5,1,0)</f>
        <v/>
      </c>
    </row>
    <row r="6772">
      <c r="A6772" t="inlineStr">
        <is>
          <t>9bcfb8264cf53ed70ad779e7a43bd96a</t>
        </is>
      </c>
      <c r="B6772" s="29" t="n">
        <v>43032</v>
      </c>
      <c r="C6772" t="inlineStr">
        <is>
          <t>2017-10</t>
        </is>
      </c>
      <c r="D6772" t="inlineStr">
        <is>
          <t>f017be4dbf86243af5c1ebed0cff36a2</t>
        </is>
      </c>
      <c r="E6772" t="inlineStr">
        <is>
          <t>paid_search</t>
        </is>
      </c>
      <c r="F6772">
        <f>IFERROR(MATCH(A6772,Deals!$A$2:$A$843,0),"")</f>
        <v/>
      </c>
      <c r="G6772">
        <f>IF(F6772="",0,1)</f>
        <v/>
      </c>
      <c r="H6772" s="29">
        <f>IF(F6772="","",INDEX(Deals!$E$2:$E$843,F6772))</f>
        <v/>
      </c>
      <c r="I6772">
        <f>IF(F6772="","",INDEX(Deals!$D$2:$D$843,F6772))</f>
        <v/>
      </c>
      <c r="J6772">
        <f>IF(F6772="","",INT(H6772)-B6772)</f>
        <v/>
      </c>
      <c r="K6772">
        <f>IF(B6772&gt;=Settings!$C$5,1,0)</f>
        <v/>
      </c>
    </row>
    <row r="6773">
      <c r="A6773" t="inlineStr">
        <is>
          <t>09564e1459907631784d209135646bf5</t>
        </is>
      </c>
      <c r="B6773" s="29" t="n">
        <v>43214</v>
      </c>
      <c r="C6773" t="inlineStr">
        <is>
          <t>2018-04</t>
        </is>
      </c>
      <c r="D6773" t="inlineStr">
        <is>
          <t>e492ee5eaf1697716985cc6f33f9cd9b</t>
        </is>
      </c>
      <c r="E6773" t="inlineStr">
        <is>
          <t>display</t>
        </is>
      </c>
      <c r="F6773">
        <f>IFERROR(MATCH(A6773,Deals!$A$2:$A$843,0),"")</f>
        <v/>
      </c>
      <c r="G6773">
        <f>IF(F6773="",0,1)</f>
        <v/>
      </c>
      <c r="H6773" s="29">
        <f>IF(F6773="","",INDEX(Deals!$E$2:$E$843,F6773))</f>
        <v/>
      </c>
      <c r="I6773">
        <f>IF(F6773="","",INDEX(Deals!$D$2:$D$843,F6773))</f>
        <v/>
      </c>
      <c r="J6773">
        <f>IF(F6773="","",INT(H6773)-B6773)</f>
        <v/>
      </c>
      <c r="K6773">
        <f>IF(B6773&gt;=Settings!$C$5,1,0)</f>
        <v/>
      </c>
    </row>
    <row r="6774">
      <c r="A6774" t="inlineStr">
        <is>
          <t>3a83a595de48c59eeef0d41309e6ddd9</t>
        </is>
      </c>
      <c r="B6774" s="29" t="n">
        <v>43134</v>
      </c>
      <c r="C6774" t="inlineStr">
        <is>
          <t>2018-02</t>
        </is>
      </c>
      <c r="D6774" t="inlineStr">
        <is>
          <t>22c29808c4f815213303f8933030604c</t>
        </is>
      </c>
      <c r="E6774" t="inlineStr">
        <is>
          <t>organic_search</t>
        </is>
      </c>
      <c r="F6774">
        <f>IFERROR(MATCH(A6774,Deals!$A$2:$A$843,0),"")</f>
        <v/>
      </c>
      <c r="G6774">
        <f>IF(F6774="",0,1)</f>
        <v/>
      </c>
      <c r="H6774" s="29">
        <f>IF(F6774="","",INDEX(Deals!$E$2:$E$843,F6774))</f>
        <v/>
      </c>
      <c r="I6774">
        <f>IF(F6774="","",INDEX(Deals!$D$2:$D$843,F6774))</f>
        <v/>
      </c>
      <c r="J6774">
        <f>IF(F6774="","",INT(H6774)-B6774)</f>
        <v/>
      </c>
      <c r="K6774">
        <f>IF(B6774&gt;=Settings!$C$5,1,0)</f>
        <v/>
      </c>
    </row>
    <row r="6775">
      <c r="A6775" t="inlineStr">
        <is>
          <t>0cf88020722953499b7e6ee70c16f36b</t>
        </is>
      </c>
      <c r="B6775" s="29" t="n">
        <v>43246</v>
      </c>
      <c r="C6775" t="inlineStr">
        <is>
          <t>2018-05</t>
        </is>
      </c>
      <c r="D6775" t="inlineStr">
        <is>
          <t>40dec9f3d5259a3d2dbcdab2114fae47</t>
        </is>
      </c>
      <c r="E6775" t="inlineStr">
        <is>
          <t>paid_search</t>
        </is>
      </c>
      <c r="F6775">
        <f>IFERROR(MATCH(A6775,Deals!$A$2:$A$843,0),"")</f>
        <v/>
      </c>
      <c r="G6775">
        <f>IF(F6775="",0,1)</f>
        <v/>
      </c>
      <c r="H6775" s="29">
        <f>IF(F6775="","",INDEX(Deals!$E$2:$E$843,F6775))</f>
        <v/>
      </c>
      <c r="I6775">
        <f>IF(F6775="","",INDEX(Deals!$D$2:$D$843,F6775))</f>
        <v/>
      </c>
      <c r="J6775">
        <f>IF(F6775="","",INT(H6775)-B6775)</f>
        <v/>
      </c>
      <c r="K6775">
        <f>IF(B6775&gt;=Settings!$C$5,1,0)</f>
        <v/>
      </c>
    </row>
    <row r="6776">
      <c r="A6776" t="inlineStr">
        <is>
          <t>31f97ff19cc0aa5d7001a6b187dd2fa7</t>
        </is>
      </c>
      <c r="B6776" s="29" t="n">
        <v>43179</v>
      </c>
      <c r="C6776" t="inlineStr">
        <is>
          <t>2018-03</t>
        </is>
      </c>
      <c r="D6776" t="inlineStr">
        <is>
          <t>58326e62183c14b0c03085c33b9fdc44</t>
        </is>
      </c>
      <c r="E6776" t="inlineStr">
        <is>
          <t>organic_search</t>
        </is>
      </c>
      <c r="F6776">
        <f>IFERROR(MATCH(A6776,Deals!$A$2:$A$843,0),"")</f>
        <v/>
      </c>
      <c r="G6776">
        <f>IF(F6776="",0,1)</f>
        <v/>
      </c>
      <c r="H6776" s="29">
        <f>IF(F6776="","",INDEX(Deals!$E$2:$E$843,F6776))</f>
        <v/>
      </c>
      <c r="I6776">
        <f>IF(F6776="","",INDEX(Deals!$D$2:$D$843,F6776))</f>
        <v/>
      </c>
      <c r="J6776">
        <f>IF(F6776="","",INT(H6776)-B6776)</f>
        <v/>
      </c>
      <c r="K6776">
        <f>IF(B6776&gt;=Settings!$C$5,1,0)</f>
        <v/>
      </c>
    </row>
    <row r="6777">
      <c r="A6777" t="inlineStr">
        <is>
          <t>3d0376e47377d3b148bea4942c2a8708</t>
        </is>
      </c>
      <c r="B6777" s="29" t="n">
        <v>43154</v>
      </c>
      <c r="C6777" t="inlineStr">
        <is>
          <t>2018-02</t>
        </is>
      </c>
      <c r="D6777" t="inlineStr">
        <is>
          <t>f017be4dbf86243af5c1ebed0cff36a2</t>
        </is>
      </c>
      <c r="E6777" t="inlineStr">
        <is>
          <t>organic_search</t>
        </is>
      </c>
      <c r="F6777">
        <f>IFERROR(MATCH(A6777,Deals!$A$2:$A$843,0),"")</f>
        <v/>
      </c>
      <c r="G6777">
        <f>IF(F6777="",0,1)</f>
        <v/>
      </c>
      <c r="H6777" s="29">
        <f>IF(F6777="","",INDEX(Deals!$E$2:$E$843,F6777))</f>
        <v/>
      </c>
      <c r="I6777">
        <f>IF(F6777="","",INDEX(Deals!$D$2:$D$843,F6777))</f>
        <v/>
      </c>
      <c r="J6777">
        <f>IF(F6777="","",INT(H6777)-B6777)</f>
        <v/>
      </c>
      <c r="K6777">
        <f>IF(B6777&gt;=Settings!$C$5,1,0)</f>
        <v/>
      </c>
    </row>
    <row r="6778">
      <c r="A6778" t="inlineStr">
        <is>
          <t>e7231cdd39ec8d177d83ba538cac70ba</t>
        </is>
      </c>
      <c r="B6778" s="29" t="n">
        <v>43175</v>
      </c>
      <c r="C6778" t="inlineStr">
        <is>
          <t>2018-03</t>
        </is>
      </c>
      <c r="D6778" t="inlineStr">
        <is>
          <t>da14b7e2eb0d1eecf65abbd05a31c87d</t>
        </is>
      </c>
      <c r="E6778" t="inlineStr">
        <is>
          <t>unknown</t>
        </is>
      </c>
      <c r="F6778">
        <f>IFERROR(MATCH(A6778,Deals!$A$2:$A$843,0),"")</f>
        <v/>
      </c>
      <c r="G6778">
        <f>IF(F6778="",0,1)</f>
        <v/>
      </c>
      <c r="H6778" s="29">
        <f>IF(F6778="","",INDEX(Deals!$E$2:$E$843,F6778))</f>
        <v/>
      </c>
      <c r="I6778">
        <f>IF(F6778="","",INDEX(Deals!$D$2:$D$843,F6778))</f>
        <v/>
      </c>
      <c r="J6778">
        <f>IF(F6778="","",INT(H6778)-B6778)</f>
        <v/>
      </c>
      <c r="K6778">
        <f>IF(B6778&gt;=Settings!$C$5,1,0)</f>
        <v/>
      </c>
    </row>
    <row r="6779">
      <c r="A6779" t="inlineStr">
        <is>
          <t>f36c682dbd97d51bdc2e0cfd81ea3028</t>
        </is>
      </c>
      <c r="B6779" s="29" t="n">
        <v>43216</v>
      </c>
      <c r="C6779" t="inlineStr">
        <is>
          <t>2018-04</t>
        </is>
      </c>
      <c r="D6779" t="inlineStr">
        <is>
          <t>22c29808c4f815213303f8933030604c</t>
        </is>
      </c>
      <c r="E6779" t="inlineStr">
        <is>
          <t>paid_search</t>
        </is>
      </c>
      <c r="F6779">
        <f>IFERROR(MATCH(A6779,Deals!$A$2:$A$843,0),"")</f>
        <v/>
      </c>
      <c r="G6779">
        <f>IF(F6779="",0,1)</f>
        <v/>
      </c>
      <c r="H6779" s="29">
        <f>IF(F6779="","",INDEX(Deals!$E$2:$E$843,F6779))</f>
        <v/>
      </c>
      <c r="I6779">
        <f>IF(F6779="","",INDEX(Deals!$D$2:$D$843,F6779))</f>
        <v/>
      </c>
      <c r="J6779">
        <f>IF(F6779="","",INT(H6779)-B6779)</f>
        <v/>
      </c>
      <c r="K6779">
        <f>IF(B6779&gt;=Settings!$C$5,1,0)</f>
        <v/>
      </c>
    </row>
    <row r="6780">
      <c r="A6780" t="inlineStr">
        <is>
          <t>d6aebf3c270e28da6467427979d7d35f</t>
        </is>
      </c>
      <c r="B6780" s="29" t="n">
        <v>43236</v>
      </c>
      <c r="C6780" t="inlineStr">
        <is>
          <t>2018-05</t>
        </is>
      </c>
      <c r="D6780" t="inlineStr">
        <is>
          <t>90ab6406c7a390e1c8aed08045676a91</t>
        </is>
      </c>
      <c r="E6780" t="inlineStr">
        <is>
          <t>paid_search</t>
        </is>
      </c>
      <c r="F6780">
        <f>IFERROR(MATCH(A6780,Deals!$A$2:$A$843,0),"")</f>
        <v/>
      </c>
      <c r="G6780">
        <f>IF(F6780="",0,1)</f>
        <v/>
      </c>
      <c r="H6780" s="29">
        <f>IF(F6780="","",INDEX(Deals!$E$2:$E$843,F6780))</f>
        <v/>
      </c>
      <c r="I6780">
        <f>IF(F6780="","",INDEX(Deals!$D$2:$D$843,F6780))</f>
        <v/>
      </c>
      <c r="J6780">
        <f>IF(F6780="","",INT(H6780)-B6780)</f>
        <v/>
      </c>
      <c r="K6780">
        <f>IF(B6780&gt;=Settings!$C$5,1,0)</f>
        <v/>
      </c>
    </row>
    <row r="6781">
      <c r="A6781" t="inlineStr">
        <is>
          <t>af988312978fad72c24e545c31bf8a49</t>
        </is>
      </c>
      <c r="B6781" s="29" t="n">
        <v>42982</v>
      </c>
      <c r="C6781" t="inlineStr">
        <is>
          <t>2017-09</t>
        </is>
      </c>
      <c r="D6781" t="inlineStr">
        <is>
          <t>87732658ba41d8775e8577df347a64db</t>
        </is>
      </c>
      <c r="E6781" t="inlineStr">
        <is>
          <t>social</t>
        </is>
      </c>
      <c r="F6781">
        <f>IFERROR(MATCH(A6781,Deals!$A$2:$A$843,0),"")</f>
        <v/>
      </c>
      <c r="G6781">
        <f>IF(F6781="",0,1)</f>
        <v/>
      </c>
      <c r="H6781" s="29">
        <f>IF(F6781="","",INDEX(Deals!$E$2:$E$843,F6781))</f>
        <v/>
      </c>
      <c r="I6781">
        <f>IF(F6781="","",INDEX(Deals!$D$2:$D$843,F6781))</f>
        <v/>
      </c>
      <c r="J6781">
        <f>IF(F6781="","",INT(H6781)-B6781)</f>
        <v/>
      </c>
      <c r="K6781">
        <f>IF(B6781&gt;=Settings!$C$5,1,0)</f>
        <v/>
      </c>
    </row>
    <row r="6782">
      <c r="A6782" t="inlineStr">
        <is>
          <t>58a7166acf19167f807fe272bc65c61b</t>
        </is>
      </c>
      <c r="B6782" s="29" t="n">
        <v>43138</v>
      </c>
      <c r="C6782" t="inlineStr">
        <is>
          <t>2018-02</t>
        </is>
      </c>
      <c r="D6782" t="inlineStr">
        <is>
          <t>0b37d43dbde6452cdd94c17bf61a88e4</t>
        </is>
      </c>
      <c r="E6782" t="inlineStr">
        <is>
          <t>organic_search</t>
        </is>
      </c>
      <c r="F6782">
        <f>IFERROR(MATCH(A6782,Deals!$A$2:$A$843,0),"")</f>
        <v/>
      </c>
      <c r="G6782">
        <f>IF(F6782="",0,1)</f>
        <v/>
      </c>
      <c r="H6782" s="29">
        <f>IF(F6782="","",INDEX(Deals!$E$2:$E$843,F6782))</f>
        <v/>
      </c>
      <c r="I6782">
        <f>IF(F6782="","",INDEX(Deals!$D$2:$D$843,F6782))</f>
        <v/>
      </c>
      <c r="J6782">
        <f>IF(F6782="","",INT(H6782)-B6782)</f>
        <v/>
      </c>
      <c r="K6782">
        <f>IF(B6782&gt;=Settings!$C$5,1,0)</f>
        <v/>
      </c>
    </row>
    <row r="6783">
      <c r="A6783" t="inlineStr">
        <is>
          <t>765be53f0233ac540e58b3a6c1ffdecb</t>
        </is>
      </c>
      <c r="B6783" s="29" t="n">
        <v>43014</v>
      </c>
      <c r="C6783" t="inlineStr">
        <is>
          <t>2017-10</t>
        </is>
      </c>
      <c r="D6783" t="inlineStr">
        <is>
          <t>7fa6214d82e911d070f51ef79381b956</t>
        </is>
      </c>
      <c r="E6783" t="inlineStr">
        <is>
          <t>paid_search</t>
        </is>
      </c>
      <c r="F6783">
        <f>IFERROR(MATCH(A6783,Deals!$A$2:$A$843,0),"")</f>
        <v/>
      </c>
      <c r="G6783">
        <f>IF(F6783="",0,1)</f>
        <v/>
      </c>
      <c r="H6783" s="29">
        <f>IF(F6783="","",INDEX(Deals!$E$2:$E$843,F6783))</f>
        <v/>
      </c>
      <c r="I6783">
        <f>IF(F6783="","",INDEX(Deals!$D$2:$D$843,F6783))</f>
        <v/>
      </c>
      <c r="J6783">
        <f>IF(F6783="","",INT(H6783)-B6783)</f>
        <v/>
      </c>
      <c r="K6783">
        <f>IF(B6783&gt;=Settings!$C$5,1,0)</f>
        <v/>
      </c>
    </row>
    <row r="6784">
      <c r="A6784" t="inlineStr">
        <is>
          <t>63e50dd1b430a334e6c17956715d9c72</t>
        </is>
      </c>
      <c r="B6784" s="29" t="n">
        <v>43195</v>
      </c>
      <c r="C6784" t="inlineStr">
        <is>
          <t>2018-04</t>
        </is>
      </c>
      <c r="D6784" t="inlineStr">
        <is>
          <t>73f31a40697cc90a86c1273563ac230e</t>
        </is>
      </c>
      <c r="E6784" t="inlineStr">
        <is>
          <t>other</t>
        </is>
      </c>
      <c r="F6784">
        <f>IFERROR(MATCH(A6784,Deals!$A$2:$A$843,0),"")</f>
        <v/>
      </c>
      <c r="G6784">
        <f>IF(F6784="",0,1)</f>
        <v/>
      </c>
      <c r="H6784" s="29">
        <f>IF(F6784="","",INDEX(Deals!$E$2:$E$843,F6784))</f>
        <v/>
      </c>
      <c r="I6784">
        <f>IF(F6784="","",INDEX(Deals!$D$2:$D$843,F6784))</f>
        <v/>
      </c>
      <c r="J6784">
        <f>IF(F6784="","",INT(H6784)-B6784)</f>
        <v/>
      </c>
      <c r="K6784">
        <f>IF(B6784&gt;=Settings!$C$5,1,0)</f>
        <v/>
      </c>
    </row>
    <row r="6785">
      <c r="A6785" t="inlineStr">
        <is>
          <t>b6ab849c9de03fd83b0125ad4e9b2f92</t>
        </is>
      </c>
      <c r="B6785" s="29" t="n">
        <v>42998</v>
      </c>
      <c r="C6785" t="inlineStr">
        <is>
          <t>2017-09</t>
        </is>
      </c>
      <c r="D6785" t="inlineStr">
        <is>
          <t>d1c953566a3133574fc8e3f7bc1c126b</t>
        </is>
      </c>
      <c r="E6785" t="inlineStr">
        <is>
          <t>organic_search</t>
        </is>
      </c>
      <c r="F6785">
        <f>IFERROR(MATCH(A6785,Deals!$A$2:$A$843,0),"")</f>
        <v/>
      </c>
      <c r="G6785">
        <f>IF(F6785="",0,1)</f>
        <v/>
      </c>
      <c r="H6785" s="29">
        <f>IF(F6785="","",INDEX(Deals!$E$2:$E$843,F6785))</f>
        <v/>
      </c>
      <c r="I6785">
        <f>IF(F6785="","",INDEX(Deals!$D$2:$D$843,F6785))</f>
        <v/>
      </c>
      <c r="J6785">
        <f>IF(F6785="","",INT(H6785)-B6785)</f>
        <v/>
      </c>
      <c r="K6785">
        <f>IF(B6785&gt;=Settings!$C$5,1,0)</f>
        <v/>
      </c>
    </row>
    <row r="6786">
      <c r="A6786" t="inlineStr">
        <is>
          <t>48e52fa3bcb770a613a1606a3d4c990d</t>
        </is>
      </c>
      <c r="B6786" s="29" t="n">
        <v>43243</v>
      </c>
      <c r="C6786" t="inlineStr">
        <is>
          <t>2018-05</t>
        </is>
      </c>
      <c r="D6786" t="inlineStr">
        <is>
          <t>22c29808c4f815213303f8933030604c</t>
        </is>
      </c>
      <c r="E6786" t="inlineStr">
        <is>
          <t>direct_traffic</t>
        </is>
      </c>
      <c r="F6786">
        <f>IFERROR(MATCH(A6786,Deals!$A$2:$A$843,0),"")</f>
        <v/>
      </c>
      <c r="G6786">
        <f>IF(F6786="",0,1)</f>
        <v/>
      </c>
      <c r="H6786" s="29">
        <f>IF(F6786="","",INDEX(Deals!$E$2:$E$843,F6786))</f>
        <v/>
      </c>
      <c r="I6786">
        <f>IF(F6786="","",INDEX(Deals!$D$2:$D$843,F6786))</f>
        <v/>
      </c>
      <c r="J6786">
        <f>IF(F6786="","",INT(H6786)-B6786)</f>
        <v/>
      </c>
      <c r="K6786">
        <f>IF(B6786&gt;=Settings!$C$5,1,0)</f>
        <v/>
      </c>
    </row>
    <row r="6787">
      <c r="A6787" t="inlineStr">
        <is>
          <t>3572ce83951ecf504ac2261564424f6e</t>
        </is>
      </c>
      <c r="B6787" s="29" t="n">
        <v>43199</v>
      </c>
      <c r="C6787" t="inlineStr">
        <is>
          <t>2018-04</t>
        </is>
      </c>
      <c r="D6787" t="inlineStr">
        <is>
          <t>ce1a65abd0973638f1c887a6efcfa82d</t>
        </is>
      </c>
      <c r="E6787" t="inlineStr">
        <is>
          <t>paid_search</t>
        </is>
      </c>
      <c r="F6787">
        <f>IFERROR(MATCH(A6787,Deals!$A$2:$A$843,0),"")</f>
        <v/>
      </c>
      <c r="G6787">
        <f>IF(F6787="",0,1)</f>
        <v/>
      </c>
      <c r="H6787" s="29">
        <f>IF(F6787="","",INDEX(Deals!$E$2:$E$843,F6787))</f>
        <v/>
      </c>
      <c r="I6787">
        <f>IF(F6787="","",INDEX(Deals!$D$2:$D$843,F6787))</f>
        <v/>
      </c>
      <c r="J6787">
        <f>IF(F6787="","",INT(H6787)-B6787)</f>
        <v/>
      </c>
      <c r="K6787">
        <f>IF(B6787&gt;=Settings!$C$5,1,0)</f>
        <v/>
      </c>
    </row>
    <row r="6788">
      <c r="A6788" t="inlineStr">
        <is>
          <t>45c0921cd24a4f435ca5887186e6e37c</t>
        </is>
      </c>
      <c r="B6788" s="29" t="n">
        <v>43196</v>
      </c>
      <c r="C6788" t="inlineStr">
        <is>
          <t>2018-04</t>
        </is>
      </c>
      <c r="D6788" t="inlineStr">
        <is>
          <t>35c9b150ab36fe584c1f24fd458c453a</t>
        </is>
      </c>
      <c r="E6788" t="inlineStr">
        <is>
          <t>paid_search</t>
        </is>
      </c>
      <c r="F6788">
        <f>IFERROR(MATCH(A6788,Deals!$A$2:$A$843,0),"")</f>
        <v/>
      </c>
      <c r="G6788">
        <f>IF(F6788="",0,1)</f>
        <v/>
      </c>
      <c r="H6788" s="29">
        <f>IF(F6788="","",INDEX(Deals!$E$2:$E$843,F6788))</f>
        <v/>
      </c>
      <c r="I6788">
        <f>IF(F6788="","",INDEX(Deals!$D$2:$D$843,F6788))</f>
        <v/>
      </c>
      <c r="J6788">
        <f>IF(F6788="","",INT(H6788)-B6788)</f>
        <v/>
      </c>
      <c r="K6788">
        <f>IF(B6788&gt;=Settings!$C$5,1,0)</f>
        <v/>
      </c>
    </row>
    <row r="6789">
      <c r="A6789" t="inlineStr">
        <is>
          <t>90da5fb6873f5daa02586c51fec88189</t>
        </is>
      </c>
      <c r="B6789" s="29" t="n">
        <v>43142</v>
      </c>
      <c r="C6789" t="inlineStr">
        <is>
          <t>2018-02</t>
        </is>
      </c>
      <c r="D6789" t="inlineStr">
        <is>
          <t>88740e65d5d6b056e0cda098e1ea6313</t>
        </is>
      </c>
      <c r="E6789" t="inlineStr">
        <is>
          <t>social</t>
        </is>
      </c>
      <c r="F6789">
        <f>IFERROR(MATCH(A6789,Deals!$A$2:$A$843,0),"")</f>
        <v/>
      </c>
      <c r="G6789">
        <f>IF(F6789="",0,1)</f>
        <v/>
      </c>
      <c r="H6789" s="29">
        <f>IF(F6789="","",INDEX(Deals!$E$2:$E$843,F6789))</f>
        <v/>
      </c>
      <c r="I6789">
        <f>IF(F6789="","",INDEX(Deals!$D$2:$D$843,F6789))</f>
        <v/>
      </c>
      <c r="J6789">
        <f>IF(F6789="","",INT(H6789)-B6789)</f>
        <v/>
      </c>
      <c r="K6789">
        <f>IF(B6789&gt;=Settings!$C$5,1,0)</f>
        <v/>
      </c>
    </row>
    <row r="6790">
      <c r="A6790" t="inlineStr">
        <is>
          <t>78d0034c6889448892113e9c1e1e6da6</t>
        </is>
      </c>
      <c r="B6790" s="29" t="n">
        <v>43095</v>
      </c>
      <c r="C6790" t="inlineStr">
        <is>
          <t>2017-12</t>
        </is>
      </c>
      <c r="D6790" t="inlineStr">
        <is>
          <t>88740e65d5d6b056e0cda098e1ea6313</t>
        </is>
      </c>
      <c r="E6790" t="inlineStr">
        <is>
          <t>social</t>
        </is>
      </c>
      <c r="F6790">
        <f>IFERROR(MATCH(A6790,Deals!$A$2:$A$843,0),"")</f>
        <v/>
      </c>
      <c r="G6790">
        <f>IF(F6790="",0,1)</f>
        <v/>
      </c>
      <c r="H6790" s="29">
        <f>IF(F6790="","",INDEX(Deals!$E$2:$E$843,F6790))</f>
        <v/>
      </c>
      <c r="I6790">
        <f>IF(F6790="","",INDEX(Deals!$D$2:$D$843,F6790))</f>
        <v/>
      </c>
      <c r="J6790">
        <f>IF(F6790="","",INT(H6790)-B6790)</f>
        <v/>
      </c>
      <c r="K6790">
        <f>IF(B6790&gt;=Settings!$C$5,1,0)</f>
        <v/>
      </c>
    </row>
    <row r="6791">
      <c r="A6791" t="inlineStr">
        <is>
          <t>fa36ce3924dac70defd1e81ffebfc71c</t>
        </is>
      </c>
      <c r="B6791" s="29" t="n">
        <v>43242</v>
      </c>
      <c r="C6791" t="inlineStr">
        <is>
          <t>2018-05</t>
        </is>
      </c>
      <c r="D6791" t="inlineStr">
        <is>
          <t>58326e62183c14b0c03085c33b9fdc44</t>
        </is>
      </c>
      <c r="E6791" t="inlineStr">
        <is>
          <t>social</t>
        </is>
      </c>
      <c r="F6791">
        <f>IFERROR(MATCH(A6791,Deals!$A$2:$A$843,0),"")</f>
        <v/>
      </c>
      <c r="G6791">
        <f>IF(F6791="",0,1)</f>
        <v/>
      </c>
      <c r="H6791" s="29">
        <f>IF(F6791="","",INDEX(Deals!$E$2:$E$843,F6791))</f>
        <v/>
      </c>
      <c r="I6791">
        <f>IF(F6791="","",INDEX(Deals!$D$2:$D$843,F6791))</f>
        <v/>
      </c>
      <c r="J6791">
        <f>IF(F6791="","",INT(H6791)-B6791)</f>
        <v/>
      </c>
      <c r="K6791">
        <f>IF(B6791&gt;=Settings!$C$5,1,0)</f>
        <v/>
      </c>
    </row>
    <row r="6792">
      <c r="A6792" t="inlineStr">
        <is>
          <t>8697b0e913b66de79d5edfb73cdf07ca</t>
        </is>
      </c>
      <c r="B6792" s="29" t="n">
        <v>43041</v>
      </c>
      <c r="C6792" t="inlineStr">
        <is>
          <t>2017-11</t>
        </is>
      </c>
      <c r="D6792" t="inlineStr">
        <is>
          <t>4e82dd1f6d00626bda0723eef0a269a6</t>
        </is>
      </c>
      <c r="E6792" t="inlineStr">
        <is>
          <t>organic_search</t>
        </is>
      </c>
      <c r="F6792">
        <f>IFERROR(MATCH(A6792,Deals!$A$2:$A$843,0),"")</f>
        <v/>
      </c>
      <c r="G6792">
        <f>IF(F6792="",0,1)</f>
        <v/>
      </c>
      <c r="H6792" s="29">
        <f>IF(F6792="","",INDEX(Deals!$E$2:$E$843,F6792))</f>
        <v/>
      </c>
      <c r="I6792">
        <f>IF(F6792="","",INDEX(Deals!$D$2:$D$843,F6792))</f>
        <v/>
      </c>
      <c r="J6792">
        <f>IF(F6792="","",INT(H6792)-B6792)</f>
        <v/>
      </c>
      <c r="K6792">
        <f>IF(B6792&gt;=Settings!$C$5,1,0)</f>
        <v/>
      </c>
    </row>
    <row r="6793">
      <c r="A6793" t="inlineStr">
        <is>
          <t>7c47a747dc24980c953a0cbe15e6c60b</t>
        </is>
      </c>
      <c r="B6793" s="29" t="n">
        <v>42983</v>
      </c>
      <c r="C6793" t="inlineStr">
        <is>
          <t>2017-09</t>
        </is>
      </c>
      <c r="D6793" t="inlineStr">
        <is>
          <t>87732658ba41d8775e8577df347a64db</t>
        </is>
      </c>
      <c r="E6793" t="inlineStr">
        <is>
          <t>social</t>
        </is>
      </c>
      <c r="F6793">
        <f>IFERROR(MATCH(A6793,Deals!$A$2:$A$843,0),"")</f>
        <v/>
      </c>
      <c r="G6793">
        <f>IF(F6793="",0,1)</f>
        <v/>
      </c>
      <c r="H6793" s="29">
        <f>IF(F6793="","",INDEX(Deals!$E$2:$E$843,F6793))</f>
        <v/>
      </c>
      <c r="I6793">
        <f>IF(F6793="","",INDEX(Deals!$D$2:$D$843,F6793))</f>
        <v/>
      </c>
      <c r="J6793">
        <f>IF(F6793="","",INT(H6793)-B6793)</f>
        <v/>
      </c>
      <c r="K6793">
        <f>IF(B6793&gt;=Settings!$C$5,1,0)</f>
        <v/>
      </c>
    </row>
    <row r="6794">
      <c r="A6794" t="inlineStr">
        <is>
          <t>41c05bb0f37dfa59e122b5ad6f2da83c</t>
        </is>
      </c>
      <c r="B6794" s="29" t="n">
        <v>42998</v>
      </c>
      <c r="C6794" t="inlineStr">
        <is>
          <t>2017-09</t>
        </is>
      </c>
      <c r="D6794" t="inlineStr">
        <is>
          <t>ce1a65abd0973638f1c887a6efcfa82d</t>
        </is>
      </c>
      <c r="E6794" t="inlineStr">
        <is>
          <t>paid_search</t>
        </is>
      </c>
      <c r="F6794">
        <f>IFERROR(MATCH(A6794,Deals!$A$2:$A$843,0),"")</f>
        <v/>
      </c>
      <c r="G6794">
        <f>IF(F6794="",0,1)</f>
        <v/>
      </c>
      <c r="H6794" s="29">
        <f>IF(F6794="","",INDEX(Deals!$E$2:$E$843,F6794))</f>
        <v/>
      </c>
      <c r="I6794">
        <f>IF(F6794="","",INDEX(Deals!$D$2:$D$843,F6794))</f>
        <v/>
      </c>
      <c r="J6794">
        <f>IF(F6794="","",INT(H6794)-B6794)</f>
        <v/>
      </c>
      <c r="K6794">
        <f>IF(B6794&gt;=Settings!$C$5,1,0)</f>
        <v/>
      </c>
    </row>
    <row r="6795">
      <c r="A6795" t="inlineStr">
        <is>
          <t>38cdcd4e817aad01e8408901fa10f392</t>
        </is>
      </c>
      <c r="B6795" s="29" t="n">
        <v>43143</v>
      </c>
      <c r="C6795" t="inlineStr">
        <is>
          <t>2018-02</t>
        </is>
      </c>
      <c r="D6795" t="inlineStr">
        <is>
          <t>88740e65d5d6b056e0cda098e1ea6313</t>
        </is>
      </c>
      <c r="E6795" t="inlineStr">
        <is>
          <t>social</t>
        </is>
      </c>
      <c r="F6795">
        <f>IFERROR(MATCH(A6795,Deals!$A$2:$A$843,0),"")</f>
        <v/>
      </c>
      <c r="G6795">
        <f>IF(F6795="",0,1)</f>
        <v/>
      </c>
      <c r="H6795" s="29">
        <f>IF(F6795="","",INDEX(Deals!$E$2:$E$843,F6795))</f>
        <v/>
      </c>
      <c r="I6795">
        <f>IF(F6795="","",INDEX(Deals!$D$2:$D$843,F6795))</f>
        <v/>
      </c>
      <c r="J6795">
        <f>IF(F6795="","",INT(H6795)-B6795)</f>
        <v/>
      </c>
      <c r="K6795">
        <f>IF(B6795&gt;=Settings!$C$5,1,0)</f>
        <v/>
      </c>
    </row>
    <row r="6796">
      <c r="A6796" t="inlineStr">
        <is>
          <t>f070d86251aaa3f977261bc44bce5341</t>
        </is>
      </c>
      <c r="B6796" s="29" t="n">
        <v>43169</v>
      </c>
      <c r="C6796" t="inlineStr">
        <is>
          <t>2018-03</t>
        </is>
      </c>
      <c r="D6796" t="inlineStr">
        <is>
          <t>88740e65d5d6b056e0cda098e1ea6313</t>
        </is>
      </c>
      <c r="E6796" t="inlineStr">
        <is>
          <t>social</t>
        </is>
      </c>
      <c r="F6796">
        <f>IFERROR(MATCH(A6796,Deals!$A$2:$A$843,0),"")</f>
        <v/>
      </c>
      <c r="G6796">
        <f>IF(F6796="",0,1)</f>
        <v/>
      </c>
      <c r="H6796" s="29">
        <f>IF(F6796="","",INDEX(Deals!$E$2:$E$843,F6796))</f>
        <v/>
      </c>
      <c r="I6796">
        <f>IF(F6796="","",INDEX(Deals!$D$2:$D$843,F6796))</f>
        <v/>
      </c>
      <c r="J6796">
        <f>IF(F6796="","",INT(H6796)-B6796)</f>
        <v/>
      </c>
      <c r="K6796">
        <f>IF(B6796&gt;=Settings!$C$5,1,0)</f>
        <v/>
      </c>
    </row>
    <row r="6797">
      <c r="A6797" t="inlineStr">
        <is>
          <t>40965efa19c345bfd62e38846d71eb85</t>
        </is>
      </c>
      <c r="B6797" s="29" t="n">
        <v>43137</v>
      </c>
      <c r="C6797" t="inlineStr">
        <is>
          <t>2018-02</t>
        </is>
      </c>
      <c r="D6797" t="inlineStr">
        <is>
          <t>40dec9f3d5259a3d2dbcdab2114fae47</t>
        </is>
      </c>
      <c r="E6797" t="inlineStr">
        <is>
          <t>paid_search</t>
        </is>
      </c>
      <c r="F6797">
        <f>IFERROR(MATCH(A6797,Deals!$A$2:$A$843,0),"")</f>
        <v/>
      </c>
      <c r="G6797">
        <f>IF(F6797="",0,1)</f>
        <v/>
      </c>
      <c r="H6797" s="29">
        <f>IF(F6797="","",INDEX(Deals!$E$2:$E$843,F6797))</f>
        <v/>
      </c>
      <c r="I6797">
        <f>IF(F6797="","",INDEX(Deals!$D$2:$D$843,F6797))</f>
        <v/>
      </c>
      <c r="J6797">
        <f>IF(F6797="","",INT(H6797)-B6797)</f>
        <v/>
      </c>
      <c r="K6797">
        <f>IF(B6797&gt;=Settings!$C$5,1,0)</f>
        <v/>
      </c>
    </row>
    <row r="6798">
      <c r="A6798" t="inlineStr">
        <is>
          <t>19c2d0bfe72d7072c73323cd5c94bcc0</t>
        </is>
      </c>
      <c r="B6798" s="29" t="n">
        <v>43116</v>
      </c>
      <c r="C6798" t="inlineStr">
        <is>
          <t>2018-01</t>
        </is>
      </c>
      <c r="D6798" t="inlineStr">
        <is>
          <t>40dec9f3d5259a3d2dbcdab2114fae47</t>
        </is>
      </c>
      <c r="E6798" t="inlineStr">
        <is>
          <t>paid_search</t>
        </is>
      </c>
      <c r="F6798">
        <f>IFERROR(MATCH(A6798,Deals!$A$2:$A$843,0),"")</f>
        <v/>
      </c>
      <c r="G6798">
        <f>IF(F6798="",0,1)</f>
        <v/>
      </c>
      <c r="H6798" s="29">
        <f>IF(F6798="","",INDEX(Deals!$E$2:$E$843,F6798))</f>
        <v/>
      </c>
      <c r="I6798">
        <f>IF(F6798="","",INDEX(Deals!$D$2:$D$843,F6798))</f>
        <v/>
      </c>
      <c r="J6798">
        <f>IF(F6798="","",INT(H6798)-B6798)</f>
        <v/>
      </c>
      <c r="K6798">
        <f>IF(B6798&gt;=Settings!$C$5,1,0)</f>
        <v/>
      </c>
    </row>
    <row r="6799">
      <c r="A6799" t="inlineStr">
        <is>
          <t>2f2c8fcf0d0c5fca6b425d66f6649564</t>
        </is>
      </c>
      <c r="B6799" s="29" t="n">
        <v>43243</v>
      </c>
      <c r="C6799" t="inlineStr">
        <is>
          <t>2018-05</t>
        </is>
      </c>
      <c r="D6799" t="inlineStr">
        <is>
          <t>22c29808c4f815213303f8933030604c</t>
        </is>
      </c>
      <c r="E6799" t="inlineStr">
        <is>
          <t>organic_search</t>
        </is>
      </c>
      <c r="F6799">
        <f>IFERROR(MATCH(A6799,Deals!$A$2:$A$843,0),"")</f>
        <v/>
      </c>
      <c r="G6799">
        <f>IF(F6799="",0,1)</f>
        <v/>
      </c>
      <c r="H6799" s="29">
        <f>IF(F6799="","",INDEX(Deals!$E$2:$E$843,F6799))</f>
        <v/>
      </c>
      <c r="I6799">
        <f>IF(F6799="","",INDEX(Deals!$D$2:$D$843,F6799))</f>
        <v/>
      </c>
      <c r="J6799">
        <f>IF(F6799="","",INT(H6799)-B6799)</f>
        <v/>
      </c>
      <c r="K6799">
        <f>IF(B6799&gt;=Settings!$C$5,1,0)</f>
        <v/>
      </c>
    </row>
    <row r="6800">
      <c r="A6800" t="inlineStr">
        <is>
          <t>f8e64e825cf4fd949b32961ad1b4312a</t>
        </is>
      </c>
      <c r="B6800" s="29" t="n">
        <v>43152</v>
      </c>
      <c r="C6800" t="inlineStr">
        <is>
          <t>2018-02</t>
        </is>
      </c>
      <c r="D6800" t="inlineStr">
        <is>
          <t>b76ef37428e6799c421989521c0e5077</t>
        </is>
      </c>
      <c r="E6800" t="inlineStr">
        <is>
          <t>unknown</t>
        </is>
      </c>
      <c r="F6800">
        <f>IFERROR(MATCH(A6800,Deals!$A$2:$A$843,0),"")</f>
        <v/>
      </c>
      <c r="G6800">
        <f>IF(F6800="",0,1)</f>
        <v/>
      </c>
      <c r="H6800" s="29">
        <f>IF(F6800="","",INDEX(Deals!$E$2:$E$843,F6800))</f>
        <v/>
      </c>
      <c r="I6800">
        <f>IF(F6800="","",INDEX(Deals!$D$2:$D$843,F6800))</f>
        <v/>
      </c>
      <c r="J6800">
        <f>IF(F6800="","",INT(H6800)-B6800)</f>
        <v/>
      </c>
      <c r="K6800">
        <f>IF(B6800&gt;=Settings!$C$5,1,0)</f>
        <v/>
      </c>
    </row>
    <row r="6801">
      <c r="A6801" t="inlineStr">
        <is>
          <t>3ffd71f587fdbbec02e6d4a51c962b10</t>
        </is>
      </c>
      <c r="B6801" s="29" t="n">
        <v>43103</v>
      </c>
      <c r="C6801" t="inlineStr">
        <is>
          <t>2018-01</t>
        </is>
      </c>
      <c r="D6801" t="inlineStr">
        <is>
          <t>007f9098284a86ee80ddeb25d53e0af8</t>
        </is>
      </c>
      <c r="E6801" t="inlineStr">
        <is>
          <t>paid_search</t>
        </is>
      </c>
      <c r="F6801">
        <f>IFERROR(MATCH(A6801,Deals!$A$2:$A$843,0),"")</f>
        <v/>
      </c>
      <c r="G6801">
        <f>IF(F6801="",0,1)</f>
        <v/>
      </c>
      <c r="H6801" s="29">
        <f>IF(F6801="","",INDEX(Deals!$E$2:$E$843,F6801))</f>
        <v/>
      </c>
      <c r="I6801">
        <f>IF(F6801="","",INDEX(Deals!$D$2:$D$843,F6801))</f>
        <v/>
      </c>
      <c r="J6801">
        <f>IF(F6801="","",INT(H6801)-B6801)</f>
        <v/>
      </c>
      <c r="K6801">
        <f>IF(B6801&gt;=Settings!$C$5,1,0)</f>
        <v/>
      </c>
    </row>
    <row r="6802">
      <c r="A6802" t="inlineStr">
        <is>
          <t>d83a3b7c173b00c655629bc5bde5bb9c</t>
        </is>
      </c>
      <c r="B6802" s="29" t="n">
        <v>43080</v>
      </c>
      <c r="C6802" t="inlineStr">
        <is>
          <t>2017-12</t>
        </is>
      </c>
      <c r="D6802" t="inlineStr">
        <is>
          <t>9df372c20395ad99d9cb43dfd84e305f</t>
        </is>
      </c>
      <c r="E6802" t="inlineStr">
        <is>
          <t>email</t>
        </is>
      </c>
      <c r="F6802">
        <f>IFERROR(MATCH(A6802,Deals!$A$2:$A$843,0),"")</f>
        <v/>
      </c>
      <c r="G6802">
        <f>IF(F6802="",0,1)</f>
        <v/>
      </c>
      <c r="H6802" s="29">
        <f>IF(F6802="","",INDEX(Deals!$E$2:$E$843,F6802))</f>
        <v/>
      </c>
      <c r="I6802">
        <f>IF(F6802="","",INDEX(Deals!$D$2:$D$843,F6802))</f>
        <v/>
      </c>
      <c r="J6802">
        <f>IF(F6802="","",INT(H6802)-B6802)</f>
        <v/>
      </c>
      <c r="K6802">
        <f>IF(B6802&gt;=Settings!$C$5,1,0)</f>
        <v/>
      </c>
    </row>
    <row r="6803">
      <c r="A6803" t="inlineStr">
        <is>
          <t>e03fa839212850ef81d52ee81dd1d7b5</t>
        </is>
      </c>
      <c r="B6803" s="29" t="n">
        <v>42971</v>
      </c>
      <c r="C6803" t="inlineStr">
        <is>
          <t>2017-08</t>
        </is>
      </c>
      <c r="D6803" t="inlineStr">
        <is>
          <t>8a003712c92f483cef1dcb70635ebc7a</t>
        </is>
      </c>
      <c r="E6803" t="inlineStr">
        <is>
          <t>paid_search</t>
        </is>
      </c>
      <c r="F6803">
        <f>IFERROR(MATCH(A6803,Deals!$A$2:$A$843,0),"")</f>
        <v/>
      </c>
      <c r="G6803">
        <f>IF(F6803="",0,1)</f>
        <v/>
      </c>
      <c r="H6803" s="29">
        <f>IF(F6803="","",INDEX(Deals!$E$2:$E$843,F6803))</f>
        <v/>
      </c>
      <c r="I6803">
        <f>IF(F6803="","",INDEX(Deals!$D$2:$D$843,F6803))</f>
        <v/>
      </c>
      <c r="J6803">
        <f>IF(F6803="","",INT(H6803)-B6803)</f>
        <v/>
      </c>
      <c r="K6803">
        <f>IF(B6803&gt;=Settings!$C$5,1,0)</f>
        <v/>
      </c>
    </row>
    <row r="6804">
      <c r="A6804" t="inlineStr">
        <is>
          <t>cb808de40d0152728640f0ec8c386303</t>
        </is>
      </c>
      <c r="B6804" s="29" t="n">
        <v>43147</v>
      </c>
      <c r="C6804" t="inlineStr">
        <is>
          <t>2018-02</t>
        </is>
      </c>
      <c r="D6804" t="inlineStr">
        <is>
          <t>36120633c8737035fbabf079082f4ec1</t>
        </is>
      </c>
      <c r="E6804" t="inlineStr">
        <is>
          <t>paid_search</t>
        </is>
      </c>
      <c r="F6804">
        <f>IFERROR(MATCH(A6804,Deals!$A$2:$A$843,0),"")</f>
        <v/>
      </c>
      <c r="G6804">
        <f>IF(F6804="",0,1)</f>
        <v/>
      </c>
      <c r="H6804" s="29">
        <f>IF(F6804="","",INDEX(Deals!$E$2:$E$843,F6804))</f>
        <v/>
      </c>
      <c r="I6804">
        <f>IF(F6804="","",INDEX(Deals!$D$2:$D$843,F6804))</f>
        <v/>
      </c>
      <c r="J6804">
        <f>IF(F6804="","",INT(H6804)-B6804)</f>
        <v/>
      </c>
      <c r="K6804">
        <f>IF(B6804&gt;=Settings!$C$5,1,0)</f>
        <v/>
      </c>
    </row>
    <row r="6805">
      <c r="A6805" t="inlineStr">
        <is>
          <t>d188831a712b8e8e3a8155e5dd70ffef</t>
        </is>
      </c>
      <c r="B6805" s="29" t="n">
        <v>43158</v>
      </c>
      <c r="C6805" t="inlineStr">
        <is>
          <t>2018-02</t>
        </is>
      </c>
      <c r="D6805" t="inlineStr">
        <is>
          <t>4aab772aeb9833c170d8ea5413e02eac</t>
        </is>
      </c>
      <c r="E6805" t="inlineStr">
        <is>
          <t>organic_search</t>
        </is>
      </c>
      <c r="F6805">
        <f>IFERROR(MATCH(A6805,Deals!$A$2:$A$843,0),"")</f>
        <v/>
      </c>
      <c r="G6805">
        <f>IF(F6805="",0,1)</f>
        <v/>
      </c>
      <c r="H6805" s="29">
        <f>IF(F6805="","",INDEX(Deals!$E$2:$E$843,F6805))</f>
        <v/>
      </c>
      <c r="I6805">
        <f>IF(F6805="","",INDEX(Deals!$D$2:$D$843,F6805))</f>
        <v/>
      </c>
      <c r="J6805">
        <f>IF(F6805="","",INT(H6805)-B6805)</f>
        <v/>
      </c>
      <c r="K6805">
        <f>IF(B6805&gt;=Settings!$C$5,1,0)</f>
        <v/>
      </c>
    </row>
    <row r="6806">
      <c r="A6806" t="inlineStr">
        <is>
          <t>507828c42f28e5cfc38062b67960699a</t>
        </is>
      </c>
      <c r="B6806" s="29" t="n">
        <v>43128</v>
      </c>
      <c r="C6806" t="inlineStr">
        <is>
          <t>2018-01</t>
        </is>
      </c>
      <c r="D6806" t="inlineStr">
        <is>
          <t>88740e65d5d6b056e0cda098e1ea6313</t>
        </is>
      </c>
      <c r="E6806" t="inlineStr">
        <is>
          <t>social</t>
        </is>
      </c>
      <c r="F6806">
        <f>IFERROR(MATCH(A6806,Deals!$A$2:$A$843,0),"")</f>
        <v/>
      </c>
      <c r="G6806">
        <f>IF(F6806="",0,1)</f>
        <v/>
      </c>
      <c r="H6806" s="29">
        <f>IF(F6806="","",INDEX(Deals!$E$2:$E$843,F6806))</f>
        <v/>
      </c>
      <c r="I6806">
        <f>IF(F6806="","",INDEX(Deals!$D$2:$D$843,F6806))</f>
        <v/>
      </c>
      <c r="J6806">
        <f>IF(F6806="","",INT(H6806)-B6806)</f>
        <v/>
      </c>
      <c r="K6806">
        <f>IF(B6806&gt;=Settings!$C$5,1,0)</f>
        <v/>
      </c>
    </row>
    <row r="6807">
      <c r="A6807" t="inlineStr">
        <is>
          <t>b6a1d13a42311ce87d15f5f7924f6ae8</t>
        </is>
      </c>
      <c r="B6807" s="29" t="n">
        <v>43062</v>
      </c>
      <c r="C6807" t="inlineStr">
        <is>
          <t>2017-11</t>
        </is>
      </c>
      <c r="D6807" t="inlineStr">
        <is>
          <t>22c29808c4f815213303f8933030604c</t>
        </is>
      </c>
      <c r="E6807" t="inlineStr">
        <is>
          <t>organic_search</t>
        </is>
      </c>
      <c r="F6807">
        <f>IFERROR(MATCH(A6807,Deals!$A$2:$A$843,0),"")</f>
        <v/>
      </c>
      <c r="G6807">
        <f>IF(F6807="",0,1)</f>
        <v/>
      </c>
      <c r="H6807" s="29">
        <f>IF(F6807="","",INDEX(Deals!$E$2:$E$843,F6807))</f>
        <v/>
      </c>
      <c r="I6807">
        <f>IF(F6807="","",INDEX(Deals!$D$2:$D$843,F6807))</f>
        <v/>
      </c>
      <c r="J6807">
        <f>IF(F6807="","",INT(H6807)-B6807)</f>
        <v/>
      </c>
      <c r="K6807">
        <f>IF(B6807&gt;=Settings!$C$5,1,0)</f>
        <v/>
      </c>
    </row>
    <row r="6808">
      <c r="A6808" t="inlineStr">
        <is>
          <t>5490e7d6b0202e0f649d6fba5bf770ec</t>
        </is>
      </c>
      <c r="B6808" s="29" t="n">
        <v>43202</v>
      </c>
      <c r="C6808" t="inlineStr">
        <is>
          <t>2018-04</t>
        </is>
      </c>
      <c r="D6808" t="inlineStr">
        <is>
          <t>22c29808c4f815213303f8933030604c</t>
        </is>
      </c>
      <c r="E6808" t="inlineStr">
        <is>
          <t>organic_search</t>
        </is>
      </c>
      <c r="F6808">
        <f>IFERROR(MATCH(A6808,Deals!$A$2:$A$843,0),"")</f>
        <v/>
      </c>
      <c r="G6808">
        <f>IF(F6808="",0,1)</f>
        <v/>
      </c>
      <c r="H6808" s="29">
        <f>IF(F6808="","",INDEX(Deals!$E$2:$E$843,F6808))</f>
        <v/>
      </c>
      <c r="I6808">
        <f>IF(F6808="","",INDEX(Deals!$D$2:$D$843,F6808))</f>
        <v/>
      </c>
      <c r="J6808">
        <f>IF(F6808="","",INT(H6808)-B6808)</f>
        <v/>
      </c>
      <c r="K6808">
        <f>IF(B6808&gt;=Settings!$C$5,1,0)</f>
        <v/>
      </c>
    </row>
    <row r="6809">
      <c r="A6809" t="inlineStr">
        <is>
          <t>b071ffc86b5000f09d7278fbe7779961</t>
        </is>
      </c>
      <c r="B6809" s="29" t="n">
        <v>43137</v>
      </c>
      <c r="C6809" t="inlineStr">
        <is>
          <t>2018-02</t>
        </is>
      </c>
      <c r="D6809" t="inlineStr">
        <is>
          <t>73f31a40697cc90a86c1273563ac230e</t>
        </is>
      </c>
      <c r="E6809" t="inlineStr">
        <is>
          <t>other</t>
        </is>
      </c>
      <c r="F6809">
        <f>IFERROR(MATCH(A6809,Deals!$A$2:$A$843,0),"")</f>
        <v/>
      </c>
      <c r="G6809">
        <f>IF(F6809="",0,1)</f>
        <v/>
      </c>
      <c r="H6809" s="29">
        <f>IF(F6809="","",INDEX(Deals!$E$2:$E$843,F6809))</f>
        <v/>
      </c>
      <c r="I6809">
        <f>IF(F6809="","",INDEX(Deals!$D$2:$D$843,F6809))</f>
        <v/>
      </c>
      <c r="J6809">
        <f>IF(F6809="","",INT(H6809)-B6809)</f>
        <v/>
      </c>
      <c r="K6809">
        <f>IF(B6809&gt;=Settings!$C$5,1,0)</f>
        <v/>
      </c>
    </row>
    <row r="6810">
      <c r="A6810" t="inlineStr">
        <is>
          <t>5ffa2452c6917e691736aa1bf8b06b4f</t>
        </is>
      </c>
      <c r="B6810" s="29" t="n">
        <v>43223</v>
      </c>
      <c r="C6810" t="inlineStr">
        <is>
          <t>2018-05</t>
        </is>
      </c>
      <c r="D6810" t="inlineStr">
        <is>
          <t>fb58285f6f6c4e504dfa628de116cae8</t>
        </is>
      </c>
      <c r="E6810" t="inlineStr">
        <is>
          <t>organic_search</t>
        </is>
      </c>
      <c r="F6810">
        <f>IFERROR(MATCH(A6810,Deals!$A$2:$A$843,0),"")</f>
        <v/>
      </c>
      <c r="G6810">
        <f>IF(F6810="",0,1)</f>
        <v/>
      </c>
      <c r="H6810" s="29">
        <f>IF(F6810="","",INDEX(Deals!$E$2:$E$843,F6810))</f>
        <v/>
      </c>
      <c r="I6810">
        <f>IF(F6810="","",INDEX(Deals!$D$2:$D$843,F6810))</f>
        <v/>
      </c>
      <c r="J6810">
        <f>IF(F6810="","",INT(H6810)-B6810)</f>
        <v/>
      </c>
      <c r="K6810">
        <f>IF(B6810&gt;=Settings!$C$5,1,0)</f>
        <v/>
      </c>
    </row>
    <row r="6811">
      <c r="A6811" t="inlineStr">
        <is>
          <t>4b34871ca5e89bdd680aa05db5e398ed</t>
        </is>
      </c>
      <c r="B6811" s="29" t="n">
        <v>43207</v>
      </c>
      <c r="C6811" t="inlineStr">
        <is>
          <t>2018-04</t>
        </is>
      </c>
      <c r="D6811" t="inlineStr">
        <is>
          <t>1baca9df5850e5ba75545d8b2eb8d966</t>
        </is>
      </c>
      <c r="E6811" t="inlineStr">
        <is>
          <t>organic_search</t>
        </is>
      </c>
      <c r="F6811">
        <f>IFERROR(MATCH(A6811,Deals!$A$2:$A$843,0),"")</f>
        <v/>
      </c>
      <c r="G6811">
        <f>IF(F6811="",0,1)</f>
        <v/>
      </c>
      <c r="H6811" s="29">
        <f>IF(F6811="","",INDEX(Deals!$E$2:$E$843,F6811))</f>
        <v/>
      </c>
      <c r="I6811">
        <f>IF(F6811="","",INDEX(Deals!$D$2:$D$843,F6811))</f>
        <v/>
      </c>
      <c r="J6811">
        <f>IF(F6811="","",INT(H6811)-B6811)</f>
        <v/>
      </c>
      <c r="K6811">
        <f>IF(B6811&gt;=Settings!$C$5,1,0)</f>
        <v/>
      </c>
    </row>
    <row r="6812">
      <c r="A6812" t="inlineStr">
        <is>
          <t>c7f803c381391bfba324f22ba9203446</t>
        </is>
      </c>
      <c r="B6812" s="29" t="n">
        <v>43151</v>
      </c>
      <c r="C6812" t="inlineStr">
        <is>
          <t>2018-02</t>
        </is>
      </c>
      <c r="D6812" t="inlineStr">
        <is>
          <t>22c29808c4f815213303f8933030604c</t>
        </is>
      </c>
      <c r="E6812" t="inlineStr">
        <is>
          <t>organic_search</t>
        </is>
      </c>
      <c r="F6812">
        <f>IFERROR(MATCH(A6812,Deals!$A$2:$A$843,0),"")</f>
        <v/>
      </c>
      <c r="G6812">
        <f>IF(F6812="",0,1)</f>
        <v/>
      </c>
      <c r="H6812" s="29">
        <f>IF(F6812="","",INDEX(Deals!$E$2:$E$843,F6812))</f>
        <v/>
      </c>
      <c r="I6812">
        <f>IF(F6812="","",INDEX(Deals!$D$2:$D$843,F6812))</f>
        <v/>
      </c>
      <c r="J6812">
        <f>IF(F6812="","",INT(H6812)-B6812)</f>
        <v/>
      </c>
      <c r="K6812">
        <f>IF(B6812&gt;=Settings!$C$5,1,0)</f>
        <v/>
      </c>
    </row>
    <row r="6813">
      <c r="A6813" t="inlineStr">
        <is>
          <t>29e7daaa3971f473a9406009cca3bed2</t>
        </is>
      </c>
      <c r="B6813" s="29" t="n">
        <v>43155</v>
      </c>
      <c r="C6813" t="inlineStr">
        <is>
          <t>2018-02</t>
        </is>
      </c>
      <c r="D6813" t="inlineStr">
        <is>
          <t>f017be4dbf86243af5c1ebed0cff36a2</t>
        </is>
      </c>
      <c r="E6813" t="inlineStr">
        <is>
          <t>organic_search</t>
        </is>
      </c>
      <c r="F6813">
        <f>IFERROR(MATCH(A6813,Deals!$A$2:$A$843,0),"")</f>
        <v/>
      </c>
      <c r="G6813">
        <f>IF(F6813="",0,1)</f>
        <v/>
      </c>
      <c r="H6813" s="29">
        <f>IF(F6813="","",INDEX(Deals!$E$2:$E$843,F6813))</f>
        <v/>
      </c>
      <c r="I6813">
        <f>IF(F6813="","",INDEX(Deals!$D$2:$D$843,F6813))</f>
        <v/>
      </c>
      <c r="J6813">
        <f>IF(F6813="","",INT(H6813)-B6813)</f>
        <v/>
      </c>
      <c r="K6813">
        <f>IF(B6813&gt;=Settings!$C$5,1,0)</f>
        <v/>
      </c>
    </row>
    <row r="6814">
      <c r="A6814" t="inlineStr">
        <is>
          <t>933f4346eb5223b968a949ddb0215dff</t>
        </is>
      </c>
      <c r="B6814" s="29" t="n">
        <v>43223</v>
      </c>
      <c r="C6814" t="inlineStr">
        <is>
          <t>2018-05</t>
        </is>
      </c>
      <c r="D6814" t="inlineStr">
        <is>
          <t>58326e62183c14b0c03085c33b9fdc44</t>
        </is>
      </c>
      <c r="E6814" t="inlineStr">
        <is>
          <t>social</t>
        </is>
      </c>
      <c r="F6814">
        <f>IFERROR(MATCH(A6814,Deals!$A$2:$A$843,0),"")</f>
        <v/>
      </c>
      <c r="G6814">
        <f>IF(F6814="",0,1)</f>
        <v/>
      </c>
      <c r="H6814" s="29">
        <f>IF(F6814="","",INDEX(Deals!$E$2:$E$843,F6814))</f>
        <v/>
      </c>
      <c r="I6814">
        <f>IF(F6814="","",INDEX(Deals!$D$2:$D$843,F6814))</f>
        <v/>
      </c>
      <c r="J6814">
        <f>IF(F6814="","",INT(H6814)-B6814)</f>
        <v/>
      </c>
      <c r="K6814">
        <f>IF(B6814&gt;=Settings!$C$5,1,0)</f>
        <v/>
      </c>
    </row>
    <row r="6815">
      <c r="A6815" t="inlineStr">
        <is>
          <t>9bdd43757138e5ea2ece8bf9115a2ab4</t>
        </is>
      </c>
      <c r="B6815" s="29" t="n">
        <v>43195</v>
      </c>
      <c r="C6815" t="inlineStr">
        <is>
          <t>2018-04</t>
        </is>
      </c>
      <c r="D6815" t="inlineStr">
        <is>
          <t>b76ef37428e6799c421989521c0e5077</t>
        </is>
      </c>
      <c r="E6815" t="inlineStr">
        <is>
          <t>unknown</t>
        </is>
      </c>
      <c r="F6815">
        <f>IFERROR(MATCH(A6815,Deals!$A$2:$A$843,0),"")</f>
        <v/>
      </c>
      <c r="G6815">
        <f>IF(F6815="",0,1)</f>
        <v/>
      </c>
      <c r="H6815" s="29">
        <f>IF(F6815="","",INDEX(Deals!$E$2:$E$843,F6815))</f>
        <v/>
      </c>
      <c r="I6815">
        <f>IF(F6815="","",INDEX(Deals!$D$2:$D$843,F6815))</f>
        <v/>
      </c>
      <c r="J6815">
        <f>IF(F6815="","",INT(H6815)-B6815)</f>
        <v/>
      </c>
      <c r="K6815">
        <f>IF(B6815&gt;=Settings!$C$5,1,0)</f>
        <v/>
      </c>
    </row>
    <row r="6816">
      <c r="A6816" t="inlineStr">
        <is>
          <t>2c9f4381a56ef0aa281740223ac99e7f</t>
        </is>
      </c>
      <c r="B6816" s="29" t="n">
        <v>43138</v>
      </c>
      <c r="C6816" t="inlineStr">
        <is>
          <t>2018-02</t>
        </is>
      </c>
      <c r="D6816" t="inlineStr">
        <is>
          <t>b76ef37428e6799c421989521c0e5077</t>
        </is>
      </c>
      <c r="E6816" t="inlineStr">
        <is>
          <t>social</t>
        </is>
      </c>
      <c r="F6816">
        <f>IFERROR(MATCH(A6816,Deals!$A$2:$A$843,0),"")</f>
        <v/>
      </c>
      <c r="G6816">
        <f>IF(F6816="",0,1)</f>
        <v/>
      </c>
      <c r="H6816" s="29">
        <f>IF(F6816="","",INDEX(Deals!$E$2:$E$843,F6816))</f>
        <v/>
      </c>
      <c r="I6816">
        <f>IF(F6816="","",INDEX(Deals!$D$2:$D$843,F6816))</f>
        <v/>
      </c>
      <c r="J6816">
        <f>IF(F6816="","",INT(H6816)-B6816)</f>
        <v/>
      </c>
      <c r="K6816">
        <f>IF(B6816&gt;=Settings!$C$5,1,0)</f>
        <v/>
      </c>
    </row>
    <row r="6817">
      <c r="A6817" t="inlineStr">
        <is>
          <t>23b7bbab67f2caadba743ff405d27b5c</t>
        </is>
      </c>
      <c r="B6817" s="29" t="n">
        <v>43235</v>
      </c>
      <c r="C6817" t="inlineStr">
        <is>
          <t>2018-05</t>
        </is>
      </c>
      <c r="D6817" t="inlineStr">
        <is>
          <t>22c29808c4f815213303f8933030604c</t>
        </is>
      </c>
      <c r="E6817" t="inlineStr">
        <is>
          <t>organic_search</t>
        </is>
      </c>
      <c r="F6817">
        <f>IFERROR(MATCH(A6817,Deals!$A$2:$A$843,0),"")</f>
        <v/>
      </c>
      <c r="G6817">
        <f>IF(F6817="",0,1)</f>
        <v/>
      </c>
      <c r="H6817" s="29">
        <f>IF(F6817="","",INDEX(Deals!$E$2:$E$843,F6817))</f>
        <v/>
      </c>
      <c r="I6817">
        <f>IF(F6817="","",INDEX(Deals!$D$2:$D$843,F6817))</f>
        <v/>
      </c>
      <c r="J6817">
        <f>IF(F6817="","",INT(H6817)-B6817)</f>
        <v/>
      </c>
      <c r="K6817">
        <f>IF(B6817&gt;=Settings!$C$5,1,0)</f>
        <v/>
      </c>
    </row>
    <row r="6818">
      <c r="A6818" t="inlineStr">
        <is>
          <t>d007a4b803c8d4ebe66f9a52e097a418</t>
        </is>
      </c>
      <c r="B6818" s="29" t="n">
        <v>43122</v>
      </c>
      <c r="C6818" t="inlineStr">
        <is>
          <t>2018-01</t>
        </is>
      </c>
      <c r="D6818" t="inlineStr">
        <is>
          <t>f017be4dbf86243af5c1ebed0cff36a2</t>
        </is>
      </c>
      <c r="E6818" t="inlineStr">
        <is>
          <t>organic_search</t>
        </is>
      </c>
      <c r="F6818">
        <f>IFERROR(MATCH(A6818,Deals!$A$2:$A$843,0),"")</f>
        <v/>
      </c>
      <c r="G6818">
        <f>IF(F6818="",0,1)</f>
        <v/>
      </c>
      <c r="H6818" s="29">
        <f>IF(F6818="","",INDEX(Deals!$E$2:$E$843,F6818))</f>
        <v/>
      </c>
      <c r="I6818">
        <f>IF(F6818="","",INDEX(Deals!$D$2:$D$843,F6818))</f>
        <v/>
      </c>
      <c r="J6818">
        <f>IF(F6818="","",INT(H6818)-B6818)</f>
        <v/>
      </c>
      <c r="K6818">
        <f>IF(B6818&gt;=Settings!$C$5,1,0)</f>
        <v/>
      </c>
    </row>
    <row r="6819">
      <c r="A6819" t="inlineStr">
        <is>
          <t>b0c9df848e58cac704d8ac52aecb645e</t>
        </is>
      </c>
      <c r="B6819" s="29" t="n">
        <v>43180</v>
      </c>
      <c r="C6819" t="inlineStr">
        <is>
          <t>2018-03</t>
        </is>
      </c>
      <c r="D6819" t="inlineStr">
        <is>
          <t>fe82aeadeaea2186478fe6353d6d5301</t>
        </is>
      </c>
      <c r="E6819" t="inlineStr">
        <is>
          <t>paid_search</t>
        </is>
      </c>
      <c r="F6819">
        <f>IFERROR(MATCH(A6819,Deals!$A$2:$A$843,0),"")</f>
        <v/>
      </c>
      <c r="G6819">
        <f>IF(F6819="",0,1)</f>
        <v/>
      </c>
      <c r="H6819" s="29">
        <f>IF(F6819="","",INDEX(Deals!$E$2:$E$843,F6819))</f>
        <v/>
      </c>
      <c r="I6819">
        <f>IF(F6819="","",INDEX(Deals!$D$2:$D$843,F6819))</f>
        <v/>
      </c>
      <c r="J6819">
        <f>IF(F6819="","",INT(H6819)-B6819)</f>
        <v/>
      </c>
      <c r="K6819">
        <f>IF(B6819&gt;=Settings!$C$5,1,0)</f>
        <v/>
      </c>
    </row>
    <row r="6820">
      <c r="A6820" t="inlineStr">
        <is>
          <t>b668bbfcf4f79f076b2210cb21e87734</t>
        </is>
      </c>
      <c r="B6820" s="29" t="n">
        <v>43216</v>
      </c>
      <c r="C6820" t="inlineStr">
        <is>
          <t>2018-04</t>
        </is>
      </c>
      <c r="D6820" t="inlineStr">
        <is>
          <t>22c29808c4f815213303f8933030604c</t>
        </is>
      </c>
      <c r="E6820" t="inlineStr">
        <is>
          <t>direct_traffic</t>
        </is>
      </c>
      <c r="F6820">
        <f>IFERROR(MATCH(A6820,Deals!$A$2:$A$843,0),"")</f>
        <v/>
      </c>
      <c r="G6820">
        <f>IF(F6820="",0,1)</f>
        <v/>
      </c>
      <c r="H6820" s="29">
        <f>IF(F6820="","",INDEX(Deals!$E$2:$E$843,F6820))</f>
        <v/>
      </c>
      <c r="I6820">
        <f>IF(F6820="","",INDEX(Deals!$D$2:$D$843,F6820))</f>
        <v/>
      </c>
      <c r="J6820">
        <f>IF(F6820="","",INT(H6820)-B6820)</f>
        <v/>
      </c>
      <c r="K6820">
        <f>IF(B6820&gt;=Settings!$C$5,1,0)</f>
        <v/>
      </c>
    </row>
    <row r="6821">
      <c r="A6821" t="inlineStr">
        <is>
          <t>e06ce33379b8f9ba498329e4fd809159</t>
        </is>
      </c>
      <c r="B6821" s="29" t="n">
        <v>43107</v>
      </c>
      <c r="C6821" t="inlineStr">
        <is>
          <t>2018-01</t>
        </is>
      </c>
      <c r="D6821" t="inlineStr">
        <is>
          <t>40dec9f3d5259a3d2dbcdab2114fae47</t>
        </is>
      </c>
      <c r="E6821" t="inlineStr">
        <is>
          <t>paid_search</t>
        </is>
      </c>
      <c r="F6821">
        <f>IFERROR(MATCH(A6821,Deals!$A$2:$A$843,0),"")</f>
        <v/>
      </c>
      <c r="G6821">
        <f>IF(F6821="",0,1)</f>
        <v/>
      </c>
      <c r="H6821" s="29">
        <f>IF(F6821="","",INDEX(Deals!$E$2:$E$843,F6821))</f>
        <v/>
      </c>
      <c r="I6821">
        <f>IF(F6821="","",INDEX(Deals!$D$2:$D$843,F6821))</f>
        <v/>
      </c>
      <c r="J6821">
        <f>IF(F6821="","",INT(H6821)-B6821)</f>
        <v/>
      </c>
      <c r="K6821">
        <f>IF(B6821&gt;=Settings!$C$5,1,0)</f>
        <v/>
      </c>
    </row>
    <row r="6822">
      <c r="A6822" t="inlineStr">
        <is>
          <t>be9351985c2ce18de88f89b8466b7ce9</t>
        </is>
      </c>
      <c r="B6822" s="29" t="n">
        <v>43232</v>
      </c>
      <c r="C6822" t="inlineStr">
        <is>
          <t>2018-05</t>
        </is>
      </c>
      <c r="D6822" t="inlineStr">
        <is>
          <t>b649e8f33e9c3b38af415a395a446552</t>
        </is>
      </c>
      <c r="E6822" t="inlineStr">
        <is>
          <t>paid_search</t>
        </is>
      </c>
      <c r="F6822">
        <f>IFERROR(MATCH(A6822,Deals!$A$2:$A$843,0),"")</f>
        <v/>
      </c>
      <c r="G6822">
        <f>IF(F6822="",0,1)</f>
        <v/>
      </c>
      <c r="H6822" s="29">
        <f>IF(F6822="","",INDEX(Deals!$E$2:$E$843,F6822))</f>
        <v/>
      </c>
      <c r="I6822">
        <f>IF(F6822="","",INDEX(Deals!$D$2:$D$843,F6822))</f>
        <v/>
      </c>
      <c r="J6822">
        <f>IF(F6822="","",INT(H6822)-B6822)</f>
        <v/>
      </c>
      <c r="K6822">
        <f>IF(B6822&gt;=Settings!$C$5,1,0)</f>
        <v/>
      </c>
    </row>
    <row r="6823">
      <c r="A6823" t="inlineStr">
        <is>
          <t>7ffc7d5178d6731f7f2ce2f1bb408f5e</t>
        </is>
      </c>
      <c r="B6823" s="29" t="n">
        <v>43192</v>
      </c>
      <c r="C6823" t="inlineStr">
        <is>
          <t>2018-04</t>
        </is>
      </c>
      <c r="D6823" t="inlineStr">
        <is>
          <t>58326e62183c14b0c03085c33b9fdc44</t>
        </is>
      </c>
      <c r="E6823" t="inlineStr">
        <is>
          <t>social</t>
        </is>
      </c>
      <c r="F6823">
        <f>IFERROR(MATCH(A6823,Deals!$A$2:$A$843,0),"")</f>
        <v/>
      </c>
      <c r="G6823">
        <f>IF(F6823="",0,1)</f>
        <v/>
      </c>
      <c r="H6823" s="29">
        <f>IF(F6823="","",INDEX(Deals!$E$2:$E$843,F6823))</f>
        <v/>
      </c>
      <c r="I6823">
        <f>IF(F6823="","",INDEX(Deals!$D$2:$D$843,F6823))</f>
        <v/>
      </c>
      <c r="J6823">
        <f>IF(F6823="","",INT(H6823)-B6823)</f>
        <v/>
      </c>
      <c r="K6823">
        <f>IF(B6823&gt;=Settings!$C$5,1,0)</f>
        <v/>
      </c>
    </row>
    <row r="6824">
      <c r="A6824" t="inlineStr">
        <is>
          <t>ff32d91bc4574e80c957ce68c48246eb</t>
        </is>
      </c>
      <c r="B6824" s="29" t="n">
        <v>43249</v>
      </c>
      <c r="C6824" t="inlineStr">
        <is>
          <t>2018-05</t>
        </is>
      </c>
      <c r="D6824" t="inlineStr">
        <is>
          <t>58326e62183c14b0c03085c33b9fdc44</t>
        </is>
      </c>
      <c r="E6824" t="inlineStr">
        <is>
          <t>social</t>
        </is>
      </c>
      <c r="F6824">
        <f>IFERROR(MATCH(A6824,Deals!$A$2:$A$843,0),"")</f>
        <v/>
      </c>
      <c r="G6824">
        <f>IF(F6824="",0,1)</f>
        <v/>
      </c>
      <c r="H6824" s="29">
        <f>IF(F6824="","",INDEX(Deals!$E$2:$E$843,F6824))</f>
        <v/>
      </c>
      <c r="I6824">
        <f>IF(F6824="","",INDEX(Deals!$D$2:$D$843,F6824))</f>
        <v/>
      </c>
      <c r="J6824">
        <f>IF(F6824="","",INT(H6824)-B6824)</f>
        <v/>
      </c>
      <c r="K6824">
        <f>IF(B6824&gt;=Settings!$C$5,1,0)</f>
        <v/>
      </c>
    </row>
    <row r="6825">
      <c r="A6825" t="inlineStr">
        <is>
          <t>ec8989a0f0984e9fae61e7937ffada8c</t>
        </is>
      </c>
      <c r="B6825" s="29" t="n">
        <v>43022</v>
      </c>
      <c r="C6825" t="inlineStr">
        <is>
          <t>2017-10</t>
        </is>
      </c>
      <c r="D6825" t="inlineStr">
        <is>
          <t>88740e65d5d6b056e0cda098e1ea6313</t>
        </is>
      </c>
      <c r="E6825" t="inlineStr">
        <is>
          <t>social</t>
        </is>
      </c>
      <c r="F6825">
        <f>IFERROR(MATCH(A6825,Deals!$A$2:$A$843,0),"")</f>
        <v/>
      </c>
      <c r="G6825">
        <f>IF(F6825="",0,1)</f>
        <v/>
      </c>
      <c r="H6825" s="29">
        <f>IF(F6825="","",INDEX(Deals!$E$2:$E$843,F6825))</f>
        <v/>
      </c>
      <c r="I6825">
        <f>IF(F6825="","",INDEX(Deals!$D$2:$D$843,F6825))</f>
        <v/>
      </c>
      <c r="J6825">
        <f>IF(F6825="","",INT(H6825)-B6825)</f>
        <v/>
      </c>
      <c r="K6825">
        <f>IF(B6825&gt;=Settings!$C$5,1,0)</f>
        <v/>
      </c>
    </row>
    <row r="6826">
      <c r="A6826" t="inlineStr">
        <is>
          <t>5d395883d13573b189da524ce1401834</t>
        </is>
      </c>
      <c r="B6826" s="29" t="n">
        <v>43216</v>
      </c>
      <c r="C6826" t="inlineStr">
        <is>
          <t>2018-04</t>
        </is>
      </c>
      <c r="D6826" t="inlineStr">
        <is>
          <t>f80696b73d17fb34f5c4fde157f119d8</t>
        </is>
      </c>
      <c r="E6826" t="inlineStr">
        <is>
          <t>social</t>
        </is>
      </c>
      <c r="F6826">
        <f>IFERROR(MATCH(A6826,Deals!$A$2:$A$843,0),"")</f>
        <v/>
      </c>
      <c r="G6826">
        <f>IF(F6826="",0,1)</f>
        <v/>
      </c>
      <c r="H6826" s="29">
        <f>IF(F6826="","",INDEX(Deals!$E$2:$E$843,F6826))</f>
        <v/>
      </c>
      <c r="I6826">
        <f>IF(F6826="","",INDEX(Deals!$D$2:$D$843,F6826))</f>
        <v/>
      </c>
      <c r="J6826">
        <f>IF(F6826="","",INT(H6826)-B6826)</f>
        <v/>
      </c>
      <c r="K6826">
        <f>IF(B6826&gt;=Settings!$C$5,1,0)</f>
        <v/>
      </c>
    </row>
    <row r="6827">
      <c r="A6827" t="inlineStr">
        <is>
          <t>26c667e4a9ee309462b2c43d90482bed</t>
        </is>
      </c>
      <c r="B6827" s="29" t="n">
        <v>43145</v>
      </c>
      <c r="C6827" t="inlineStr">
        <is>
          <t>2018-02</t>
        </is>
      </c>
      <c r="D6827" t="inlineStr">
        <is>
          <t>65d9f9d71e562365e8b44037c2888d98</t>
        </is>
      </c>
      <c r="E6827" t="inlineStr">
        <is>
          <t>paid_search</t>
        </is>
      </c>
      <c r="F6827">
        <f>IFERROR(MATCH(A6827,Deals!$A$2:$A$843,0),"")</f>
        <v/>
      </c>
      <c r="G6827">
        <f>IF(F6827="",0,1)</f>
        <v/>
      </c>
      <c r="H6827" s="29">
        <f>IF(F6827="","",INDEX(Deals!$E$2:$E$843,F6827))</f>
        <v/>
      </c>
      <c r="I6827">
        <f>IF(F6827="","",INDEX(Deals!$D$2:$D$843,F6827))</f>
        <v/>
      </c>
      <c r="J6827">
        <f>IF(F6827="","",INT(H6827)-B6827)</f>
        <v/>
      </c>
      <c r="K6827">
        <f>IF(B6827&gt;=Settings!$C$5,1,0)</f>
        <v/>
      </c>
    </row>
    <row r="6828">
      <c r="A6828" t="inlineStr">
        <is>
          <t>aef839279e3ca9ed64b3a248f2a47db1</t>
        </is>
      </c>
      <c r="B6828" s="29" t="n">
        <v>43171</v>
      </c>
      <c r="C6828" t="inlineStr">
        <is>
          <t>2018-03</t>
        </is>
      </c>
      <c r="D6828" t="inlineStr">
        <is>
          <t>3757ed31bc4b61f9e108bd871822c0c6</t>
        </is>
      </c>
      <c r="E6828" t="inlineStr">
        <is>
          <t>social</t>
        </is>
      </c>
      <c r="F6828">
        <f>IFERROR(MATCH(A6828,Deals!$A$2:$A$843,0),"")</f>
        <v/>
      </c>
      <c r="G6828">
        <f>IF(F6828="",0,1)</f>
        <v/>
      </c>
      <c r="H6828" s="29">
        <f>IF(F6828="","",INDEX(Deals!$E$2:$E$843,F6828))</f>
        <v/>
      </c>
      <c r="I6828">
        <f>IF(F6828="","",INDEX(Deals!$D$2:$D$843,F6828))</f>
        <v/>
      </c>
      <c r="J6828">
        <f>IF(F6828="","",INT(H6828)-B6828)</f>
        <v/>
      </c>
      <c r="K6828">
        <f>IF(B6828&gt;=Settings!$C$5,1,0)</f>
        <v/>
      </c>
    </row>
    <row r="6829">
      <c r="A6829" t="inlineStr">
        <is>
          <t>4579fa31b1ecafc42c2b1eab2017c135</t>
        </is>
      </c>
      <c r="B6829" s="29" t="n">
        <v>43165</v>
      </c>
      <c r="C6829" t="inlineStr">
        <is>
          <t>2018-03</t>
        </is>
      </c>
      <c r="D6829" t="inlineStr">
        <is>
          <t>40dec9f3d5259a3d2dbcdab2114fae47</t>
        </is>
      </c>
      <c r="E6829" t="inlineStr">
        <is>
          <t>paid_search</t>
        </is>
      </c>
      <c r="F6829">
        <f>IFERROR(MATCH(A6829,Deals!$A$2:$A$843,0),"")</f>
        <v/>
      </c>
      <c r="G6829">
        <f>IF(F6829="",0,1)</f>
        <v/>
      </c>
      <c r="H6829" s="29">
        <f>IF(F6829="","",INDEX(Deals!$E$2:$E$843,F6829))</f>
        <v/>
      </c>
      <c r="I6829">
        <f>IF(F6829="","",INDEX(Deals!$D$2:$D$843,F6829))</f>
        <v/>
      </c>
      <c r="J6829">
        <f>IF(F6829="","",INT(H6829)-B6829)</f>
        <v/>
      </c>
      <c r="K6829">
        <f>IF(B6829&gt;=Settings!$C$5,1,0)</f>
        <v/>
      </c>
    </row>
    <row r="6830">
      <c r="A6830" t="inlineStr">
        <is>
          <t>e88f7c58262830ec476b6072de42cb68</t>
        </is>
      </c>
      <c r="B6830" s="29" t="n">
        <v>43136</v>
      </c>
      <c r="C6830" t="inlineStr">
        <is>
          <t>2018-02</t>
        </is>
      </c>
      <c r="D6830" t="inlineStr">
        <is>
          <t>d83b0d0e48c8447d1d5507a44027a955</t>
        </is>
      </c>
      <c r="E6830" t="inlineStr">
        <is>
          <t>organic_search</t>
        </is>
      </c>
      <c r="F6830">
        <f>IFERROR(MATCH(A6830,Deals!$A$2:$A$843,0),"")</f>
        <v/>
      </c>
      <c r="G6830">
        <f>IF(F6830="",0,1)</f>
        <v/>
      </c>
      <c r="H6830" s="29">
        <f>IF(F6830="","",INDEX(Deals!$E$2:$E$843,F6830))</f>
        <v/>
      </c>
      <c r="I6830">
        <f>IF(F6830="","",INDEX(Deals!$D$2:$D$843,F6830))</f>
        <v/>
      </c>
      <c r="J6830">
        <f>IF(F6830="","",INT(H6830)-B6830)</f>
        <v/>
      </c>
      <c r="K6830">
        <f>IF(B6830&gt;=Settings!$C$5,1,0)</f>
        <v/>
      </c>
    </row>
    <row r="6831">
      <c r="A6831" t="inlineStr">
        <is>
          <t>e8d6d8ef89afafaf25d720988e07d638</t>
        </is>
      </c>
      <c r="B6831" s="29" t="n">
        <v>43215</v>
      </c>
      <c r="C6831" t="inlineStr">
        <is>
          <t>2018-04</t>
        </is>
      </c>
      <c r="D6831" t="inlineStr">
        <is>
          <t>40dec9f3d5259a3d2dbcdab2114fae47</t>
        </is>
      </c>
      <c r="E6831" t="inlineStr">
        <is>
          <t>direct_traffic</t>
        </is>
      </c>
      <c r="F6831">
        <f>IFERROR(MATCH(A6831,Deals!$A$2:$A$843,0),"")</f>
        <v/>
      </c>
      <c r="G6831">
        <f>IF(F6831="",0,1)</f>
        <v/>
      </c>
      <c r="H6831" s="29">
        <f>IF(F6831="","",INDEX(Deals!$E$2:$E$843,F6831))</f>
        <v/>
      </c>
      <c r="I6831">
        <f>IF(F6831="","",INDEX(Deals!$D$2:$D$843,F6831))</f>
        <v/>
      </c>
      <c r="J6831">
        <f>IF(F6831="","",INT(H6831)-B6831)</f>
        <v/>
      </c>
      <c r="K6831">
        <f>IF(B6831&gt;=Settings!$C$5,1,0)</f>
        <v/>
      </c>
    </row>
    <row r="6832">
      <c r="A6832" t="inlineStr">
        <is>
          <t>518fca47d7abd2ff7ff736fd407d5ae9</t>
        </is>
      </c>
      <c r="B6832" s="29" t="n">
        <v>43157</v>
      </c>
      <c r="C6832" t="inlineStr">
        <is>
          <t>2018-02</t>
        </is>
      </c>
      <c r="D6832" t="inlineStr">
        <is>
          <t>65d9f9d71e562365e8b44037c2888d98</t>
        </is>
      </c>
      <c r="E6832" t="inlineStr">
        <is>
          <t>paid_search</t>
        </is>
      </c>
      <c r="F6832">
        <f>IFERROR(MATCH(A6832,Deals!$A$2:$A$843,0),"")</f>
        <v/>
      </c>
      <c r="G6832">
        <f>IF(F6832="",0,1)</f>
        <v/>
      </c>
      <c r="H6832" s="29">
        <f>IF(F6832="","",INDEX(Deals!$E$2:$E$843,F6832))</f>
        <v/>
      </c>
      <c r="I6832">
        <f>IF(F6832="","",INDEX(Deals!$D$2:$D$843,F6832))</f>
        <v/>
      </c>
      <c r="J6832">
        <f>IF(F6832="","",INT(H6832)-B6832)</f>
        <v/>
      </c>
      <c r="K6832">
        <f>IF(B6832&gt;=Settings!$C$5,1,0)</f>
        <v/>
      </c>
    </row>
    <row r="6833">
      <c r="A6833" t="inlineStr">
        <is>
          <t>c0a42600843859759a2d3918b7ccf0b1</t>
        </is>
      </c>
      <c r="B6833" s="29" t="n">
        <v>43229</v>
      </c>
      <c r="C6833" t="inlineStr">
        <is>
          <t>2018-05</t>
        </is>
      </c>
      <c r="D6833" t="inlineStr">
        <is>
          <t>0218f6be0b76aca72ab4d00ee9e8cf10</t>
        </is>
      </c>
      <c r="E6833" t="inlineStr">
        <is>
          <t>paid_search</t>
        </is>
      </c>
      <c r="F6833">
        <f>IFERROR(MATCH(A6833,Deals!$A$2:$A$843,0),"")</f>
        <v/>
      </c>
      <c r="G6833">
        <f>IF(F6833="",0,1)</f>
        <v/>
      </c>
      <c r="H6833" s="29">
        <f>IF(F6833="","",INDEX(Deals!$E$2:$E$843,F6833))</f>
        <v/>
      </c>
      <c r="I6833">
        <f>IF(F6833="","",INDEX(Deals!$D$2:$D$843,F6833))</f>
        <v/>
      </c>
      <c r="J6833">
        <f>IF(F6833="","",INT(H6833)-B6833)</f>
        <v/>
      </c>
      <c r="K6833">
        <f>IF(B6833&gt;=Settings!$C$5,1,0)</f>
        <v/>
      </c>
    </row>
    <row r="6834">
      <c r="A6834" t="inlineStr">
        <is>
          <t>b368759b56dbed0f9e5818fe1f7ca8bd</t>
        </is>
      </c>
      <c r="B6834" s="29" t="n">
        <v>43202</v>
      </c>
      <c r="C6834" t="inlineStr">
        <is>
          <t>2018-04</t>
        </is>
      </c>
      <c r="D6834" t="inlineStr">
        <is>
          <t>b76ef37428e6799c421989521c0e5077</t>
        </is>
      </c>
      <c r="E6834" t="inlineStr">
        <is>
          <t>unknown</t>
        </is>
      </c>
      <c r="F6834">
        <f>IFERROR(MATCH(A6834,Deals!$A$2:$A$843,0),"")</f>
        <v/>
      </c>
      <c r="G6834">
        <f>IF(F6834="",0,1)</f>
        <v/>
      </c>
      <c r="H6834" s="29">
        <f>IF(F6834="","",INDEX(Deals!$E$2:$E$843,F6834))</f>
        <v/>
      </c>
      <c r="I6834">
        <f>IF(F6834="","",INDEX(Deals!$D$2:$D$843,F6834))</f>
        <v/>
      </c>
      <c r="J6834">
        <f>IF(F6834="","",INT(H6834)-B6834)</f>
        <v/>
      </c>
      <c r="K6834">
        <f>IF(B6834&gt;=Settings!$C$5,1,0)</f>
        <v/>
      </c>
    </row>
    <row r="6835">
      <c r="A6835" t="inlineStr">
        <is>
          <t>261f67921edd024375a9a83e9ddf6a47</t>
        </is>
      </c>
      <c r="B6835" s="29" t="n">
        <v>43221</v>
      </c>
      <c r="C6835" t="inlineStr">
        <is>
          <t>2018-05</t>
        </is>
      </c>
      <c r="D6835" t="inlineStr">
        <is>
          <t>346137f3e0157d94372d1cafc5675908</t>
        </is>
      </c>
      <c r="E6835" t="inlineStr">
        <is>
          <t>paid_search</t>
        </is>
      </c>
      <c r="F6835">
        <f>IFERROR(MATCH(A6835,Deals!$A$2:$A$843,0),"")</f>
        <v/>
      </c>
      <c r="G6835">
        <f>IF(F6835="",0,1)</f>
        <v/>
      </c>
      <c r="H6835" s="29">
        <f>IF(F6835="","",INDEX(Deals!$E$2:$E$843,F6835))</f>
        <v/>
      </c>
      <c r="I6835">
        <f>IF(F6835="","",INDEX(Deals!$D$2:$D$843,F6835))</f>
        <v/>
      </c>
      <c r="J6835">
        <f>IF(F6835="","",INT(H6835)-B6835)</f>
        <v/>
      </c>
      <c r="K6835">
        <f>IF(B6835&gt;=Settings!$C$5,1,0)</f>
        <v/>
      </c>
    </row>
    <row r="6836">
      <c r="A6836" t="inlineStr">
        <is>
          <t>9d0737b612698e2451865b0a0af180af</t>
        </is>
      </c>
      <c r="B6836" s="29" t="n">
        <v>43206</v>
      </c>
      <c r="C6836" t="inlineStr">
        <is>
          <t>2018-04</t>
        </is>
      </c>
      <c r="D6836" t="inlineStr">
        <is>
          <t>e492ee5eaf1697716985cc6f33f9cd9b</t>
        </is>
      </c>
      <c r="E6836" t="inlineStr">
        <is>
          <t>direct_traffic</t>
        </is>
      </c>
      <c r="F6836">
        <f>IFERROR(MATCH(A6836,Deals!$A$2:$A$843,0),"")</f>
        <v/>
      </c>
      <c r="G6836">
        <f>IF(F6836="",0,1)</f>
        <v/>
      </c>
      <c r="H6836" s="29">
        <f>IF(F6836="","",INDEX(Deals!$E$2:$E$843,F6836))</f>
        <v/>
      </c>
      <c r="I6836">
        <f>IF(F6836="","",INDEX(Deals!$D$2:$D$843,F6836))</f>
        <v/>
      </c>
      <c r="J6836">
        <f>IF(F6836="","",INT(H6836)-B6836)</f>
        <v/>
      </c>
      <c r="K6836">
        <f>IF(B6836&gt;=Settings!$C$5,1,0)</f>
        <v/>
      </c>
    </row>
    <row r="6837">
      <c r="A6837" t="inlineStr">
        <is>
          <t>245142a8282a24362c6a1762f55dab27</t>
        </is>
      </c>
      <c r="B6837" s="29" t="n">
        <v>43188</v>
      </c>
      <c r="C6837" t="inlineStr">
        <is>
          <t>2018-03</t>
        </is>
      </c>
      <c r="D6837" t="inlineStr">
        <is>
          <t>ea0650174e273c41e12002dcdd4708be</t>
        </is>
      </c>
      <c r="E6837" t="inlineStr">
        <is>
          <t>organic_search</t>
        </is>
      </c>
      <c r="F6837">
        <f>IFERROR(MATCH(A6837,Deals!$A$2:$A$843,0),"")</f>
        <v/>
      </c>
      <c r="G6837">
        <f>IF(F6837="",0,1)</f>
        <v/>
      </c>
      <c r="H6837" s="29">
        <f>IF(F6837="","",INDEX(Deals!$E$2:$E$843,F6837))</f>
        <v/>
      </c>
      <c r="I6837">
        <f>IF(F6837="","",INDEX(Deals!$D$2:$D$843,F6837))</f>
        <v/>
      </c>
      <c r="J6837">
        <f>IF(F6837="","",INT(H6837)-B6837)</f>
        <v/>
      </c>
      <c r="K6837">
        <f>IF(B6837&gt;=Settings!$C$5,1,0)</f>
        <v/>
      </c>
    </row>
    <row r="6838">
      <c r="A6838" t="inlineStr">
        <is>
          <t>1ad74caec14332594a6e910b3d183e87</t>
        </is>
      </c>
      <c r="B6838" s="29" t="n">
        <v>43201</v>
      </c>
      <c r="C6838" t="inlineStr">
        <is>
          <t>2018-04</t>
        </is>
      </c>
      <c r="D6838" t="inlineStr">
        <is>
          <t>40dec9f3d5259a3d2dbcdab2114fae47</t>
        </is>
      </c>
      <c r="E6838" t="inlineStr">
        <is>
          <t>paid_search</t>
        </is>
      </c>
      <c r="F6838">
        <f>IFERROR(MATCH(A6838,Deals!$A$2:$A$843,0),"")</f>
        <v/>
      </c>
      <c r="G6838">
        <f>IF(F6838="",0,1)</f>
        <v/>
      </c>
      <c r="H6838" s="29">
        <f>IF(F6838="","",INDEX(Deals!$E$2:$E$843,F6838))</f>
        <v/>
      </c>
      <c r="I6838">
        <f>IF(F6838="","",INDEX(Deals!$D$2:$D$843,F6838))</f>
        <v/>
      </c>
      <c r="J6838">
        <f>IF(F6838="","",INT(H6838)-B6838)</f>
        <v/>
      </c>
      <c r="K6838">
        <f>IF(B6838&gt;=Settings!$C$5,1,0)</f>
        <v/>
      </c>
    </row>
    <row r="6839">
      <c r="A6839" t="inlineStr">
        <is>
          <t>0b43a4a4f569aaee9e3e094c770fb9b1</t>
        </is>
      </c>
      <c r="B6839" s="29" t="n">
        <v>43022</v>
      </c>
      <c r="C6839" t="inlineStr">
        <is>
          <t>2017-10</t>
        </is>
      </c>
      <c r="D6839" t="inlineStr">
        <is>
          <t>aa8af3ebe14831a7cd1b6d1383a03755</t>
        </is>
      </c>
      <c r="E6839" t="inlineStr">
        <is>
          <t>unknown</t>
        </is>
      </c>
      <c r="F6839">
        <f>IFERROR(MATCH(A6839,Deals!$A$2:$A$843,0),"")</f>
        <v/>
      </c>
      <c r="G6839">
        <f>IF(F6839="",0,1)</f>
        <v/>
      </c>
      <c r="H6839" s="29">
        <f>IF(F6839="","",INDEX(Deals!$E$2:$E$843,F6839))</f>
        <v/>
      </c>
      <c r="I6839">
        <f>IF(F6839="","",INDEX(Deals!$D$2:$D$843,F6839))</f>
        <v/>
      </c>
      <c r="J6839">
        <f>IF(F6839="","",INT(H6839)-B6839)</f>
        <v/>
      </c>
      <c r="K6839">
        <f>IF(B6839&gt;=Settings!$C$5,1,0)</f>
        <v/>
      </c>
    </row>
    <row r="6840">
      <c r="A6840" t="inlineStr">
        <is>
          <t>5216918203d50dcfccc84a970b3743f0</t>
        </is>
      </c>
      <c r="B6840" s="29" t="n">
        <v>43159</v>
      </c>
      <c r="C6840" t="inlineStr">
        <is>
          <t>2018-02</t>
        </is>
      </c>
      <c r="D6840" t="inlineStr">
        <is>
          <t>40dec9f3d5259a3d2dbcdab2114fae47</t>
        </is>
      </c>
      <c r="E6840" t="inlineStr">
        <is>
          <t>paid_search</t>
        </is>
      </c>
      <c r="F6840">
        <f>IFERROR(MATCH(A6840,Deals!$A$2:$A$843,0),"")</f>
        <v/>
      </c>
      <c r="G6840">
        <f>IF(F6840="",0,1)</f>
        <v/>
      </c>
      <c r="H6840" s="29">
        <f>IF(F6840="","",INDEX(Deals!$E$2:$E$843,F6840))</f>
        <v/>
      </c>
      <c r="I6840">
        <f>IF(F6840="","",INDEX(Deals!$D$2:$D$843,F6840))</f>
        <v/>
      </c>
      <c r="J6840">
        <f>IF(F6840="","",INT(H6840)-B6840)</f>
        <v/>
      </c>
      <c r="K6840">
        <f>IF(B6840&gt;=Settings!$C$5,1,0)</f>
        <v/>
      </c>
    </row>
    <row r="6841">
      <c r="A6841" t="inlineStr">
        <is>
          <t>7b08ca32a87b841eb66ef0ff441863de</t>
        </is>
      </c>
      <c r="B6841" s="29" t="n">
        <v>43097</v>
      </c>
      <c r="C6841" t="inlineStr">
        <is>
          <t>2017-12</t>
        </is>
      </c>
      <c r="D6841" t="inlineStr">
        <is>
          <t>241f79c7a8fe0270f4fb79fcbbcd17ad</t>
        </is>
      </c>
      <c r="E6841" t="inlineStr">
        <is>
          <t>paid_search</t>
        </is>
      </c>
      <c r="F6841">
        <f>IFERROR(MATCH(A6841,Deals!$A$2:$A$843,0),"")</f>
        <v/>
      </c>
      <c r="G6841">
        <f>IF(F6841="",0,1)</f>
        <v/>
      </c>
      <c r="H6841" s="29">
        <f>IF(F6841="","",INDEX(Deals!$E$2:$E$843,F6841))</f>
        <v/>
      </c>
      <c r="I6841">
        <f>IF(F6841="","",INDEX(Deals!$D$2:$D$843,F6841))</f>
        <v/>
      </c>
      <c r="J6841">
        <f>IF(F6841="","",INT(H6841)-B6841)</f>
        <v/>
      </c>
      <c r="K6841">
        <f>IF(B6841&gt;=Settings!$C$5,1,0)</f>
        <v/>
      </c>
    </row>
    <row r="6842">
      <c r="A6842" t="inlineStr">
        <is>
          <t>5527123f5a35a024c0f3bf4689e76e7b</t>
        </is>
      </c>
      <c r="B6842" s="29" t="n">
        <v>43150</v>
      </c>
      <c r="C6842" t="inlineStr">
        <is>
          <t>2018-02</t>
        </is>
      </c>
      <c r="D6842" t="inlineStr">
        <is>
          <t>f98c2bd96ac4a5d9476734e790c91384</t>
        </is>
      </c>
      <c r="E6842" t="inlineStr">
        <is>
          <t>organic_search</t>
        </is>
      </c>
      <c r="F6842">
        <f>IFERROR(MATCH(A6842,Deals!$A$2:$A$843,0),"")</f>
        <v/>
      </c>
      <c r="G6842">
        <f>IF(F6842="",0,1)</f>
        <v/>
      </c>
      <c r="H6842" s="29">
        <f>IF(F6842="","",INDEX(Deals!$E$2:$E$843,F6842))</f>
        <v/>
      </c>
      <c r="I6842">
        <f>IF(F6842="","",INDEX(Deals!$D$2:$D$843,F6842))</f>
        <v/>
      </c>
      <c r="J6842">
        <f>IF(F6842="","",INT(H6842)-B6842)</f>
        <v/>
      </c>
      <c r="K6842">
        <f>IF(B6842&gt;=Settings!$C$5,1,0)</f>
        <v/>
      </c>
    </row>
    <row r="6843">
      <c r="A6843" t="inlineStr">
        <is>
          <t>b4755be9028acf67416ab6d2abf34d46</t>
        </is>
      </c>
      <c r="B6843" s="29" t="n">
        <v>42990</v>
      </c>
      <c r="C6843" t="inlineStr">
        <is>
          <t>2017-09</t>
        </is>
      </c>
      <c r="D6843" t="inlineStr">
        <is>
          <t>87732658ba41d8775e8577df347a64db</t>
        </is>
      </c>
      <c r="E6843" t="inlineStr">
        <is>
          <t>social</t>
        </is>
      </c>
      <c r="F6843">
        <f>IFERROR(MATCH(A6843,Deals!$A$2:$A$843,0),"")</f>
        <v/>
      </c>
      <c r="G6843">
        <f>IF(F6843="",0,1)</f>
        <v/>
      </c>
      <c r="H6843" s="29">
        <f>IF(F6843="","",INDEX(Deals!$E$2:$E$843,F6843))</f>
        <v/>
      </c>
      <c r="I6843">
        <f>IF(F6843="","",INDEX(Deals!$D$2:$D$843,F6843))</f>
        <v/>
      </c>
      <c r="J6843">
        <f>IF(F6843="","",INT(H6843)-B6843)</f>
        <v/>
      </c>
      <c r="K6843">
        <f>IF(B6843&gt;=Settings!$C$5,1,0)</f>
        <v/>
      </c>
    </row>
    <row r="6844">
      <c r="A6844" t="inlineStr">
        <is>
          <t>d01e50a1df779a3b2ee9cf8776e02303</t>
        </is>
      </c>
      <c r="B6844" s="29" t="n">
        <v>43199</v>
      </c>
      <c r="C6844" t="inlineStr">
        <is>
          <t>2018-04</t>
        </is>
      </c>
      <c r="D6844" t="inlineStr">
        <is>
          <t>58326e62183c14b0c03085c33b9fdc44</t>
        </is>
      </c>
      <c r="E6844" t="inlineStr">
        <is>
          <t>social</t>
        </is>
      </c>
      <c r="F6844">
        <f>IFERROR(MATCH(A6844,Deals!$A$2:$A$843,0),"")</f>
        <v/>
      </c>
      <c r="G6844">
        <f>IF(F6844="",0,1)</f>
        <v/>
      </c>
      <c r="H6844" s="29">
        <f>IF(F6844="","",INDEX(Deals!$E$2:$E$843,F6844))</f>
        <v/>
      </c>
      <c r="I6844">
        <f>IF(F6844="","",INDEX(Deals!$D$2:$D$843,F6844))</f>
        <v/>
      </c>
      <c r="J6844">
        <f>IF(F6844="","",INT(H6844)-B6844)</f>
        <v/>
      </c>
      <c r="K6844">
        <f>IF(B6844&gt;=Settings!$C$5,1,0)</f>
        <v/>
      </c>
    </row>
    <row r="6845">
      <c r="A6845" t="inlineStr">
        <is>
          <t>bc194b9ebff98250f975040b7d0275ce</t>
        </is>
      </c>
      <c r="B6845" s="29" t="n">
        <v>43180</v>
      </c>
      <c r="C6845" t="inlineStr">
        <is>
          <t>2018-03</t>
        </is>
      </c>
      <c r="D6845" t="inlineStr">
        <is>
          <t>a7982125ff7aa3b2054c6e44f9d28522</t>
        </is>
      </c>
      <c r="E6845" t="inlineStr">
        <is>
          <t>display</t>
        </is>
      </c>
      <c r="F6845">
        <f>IFERROR(MATCH(A6845,Deals!$A$2:$A$843,0),"")</f>
        <v/>
      </c>
      <c r="G6845">
        <f>IF(F6845="",0,1)</f>
        <v/>
      </c>
      <c r="H6845" s="29">
        <f>IF(F6845="","",INDEX(Deals!$E$2:$E$843,F6845))</f>
        <v/>
      </c>
      <c r="I6845">
        <f>IF(F6845="","",INDEX(Deals!$D$2:$D$843,F6845))</f>
        <v/>
      </c>
      <c r="J6845">
        <f>IF(F6845="","",INT(H6845)-B6845)</f>
        <v/>
      </c>
      <c r="K6845">
        <f>IF(B6845&gt;=Settings!$C$5,1,0)</f>
        <v/>
      </c>
    </row>
    <row r="6846">
      <c r="A6846" t="inlineStr">
        <is>
          <t>fd2dbdcd4dbbe9512ba1a119014f6a5c</t>
        </is>
      </c>
      <c r="B6846" s="29" t="n">
        <v>43115</v>
      </c>
      <c r="C6846" t="inlineStr">
        <is>
          <t>2018-01</t>
        </is>
      </c>
      <c r="D6846" t="inlineStr">
        <is>
          <t>ce1a65abd0973638f1c887a6efcfa82d</t>
        </is>
      </c>
      <c r="E6846" t="inlineStr">
        <is>
          <t>email</t>
        </is>
      </c>
      <c r="F6846">
        <f>IFERROR(MATCH(A6846,Deals!$A$2:$A$843,0),"")</f>
        <v/>
      </c>
      <c r="G6846">
        <f>IF(F6846="",0,1)</f>
        <v/>
      </c>
      <c r="H6846" s="29">
        <f>IF(F6846="","",INDEX(Deals!$E$2:$E$843,F6846))</f>
        <v/>
      </c>
      <c r="I6846">
        <f>IF(F6846="","",INDEX(Deals!$D$2:$D$843,F6846))</f>
        <v/>
      </c>
      <c r="J6846">
        <f>IF(F6846="","",INT(H6846)-B6846)</f>
        <v/>
      </c>
      <c r="K6846">
        <f>IF(B6846&gt;=Settings!$C$5,1,0)</f>
        <v/>
      </c>
    </row>
    <row r="6847">
      <c r="A6847" t="inlineStr">
        <is>
          <t>36b14516d8f92201b3ff6326fec41872</t>
        </is>
      </c>
      <c r="B6847" s="29" t="n">
        <v>43195</v>
      </c>
      <c r="C6847" t="inlineStr">
        <is>
          <t>2018-04</t>
        </is>
      </c>
      <c r="D6847" t="inlineStr">
        <is>
          <t>007f9098284a86ee80ddeb25d53e0af8</t>
        </is>
      </c>
      <c r="E6847" t="inlineStr">
        <is>
          <t>referral</t>
        </is>
      </c>
      <c r="F6847">
        <f>IFERROR(MATCH(A6847,Deals!$A$2:$A$843,0),"")</f>
        <v/>
      </c>
      <c r="G6847">
        <f>IF(F6847="",0,1)</f>
        <v/>
      </c>
      <c r="H6847" s="29">
        <f>IF(F6847="","",INDEX(Deals!$E$2:$E$843,F6847))</f>
        <v/>
      </c>
      <c r="I6847">
        <f>IF(F6847="","",INDEX(Deals!$D$2:$D$843,F6847))</f>
        <v/>
      </c>
      <c r="J6847">
        <f>IF(F6847="","",INT(H6847)-B6847)</f>
        <v/>
      </c>
      <c r="K6847">
        <f>IF(B6847&gt;=Settings!$C$5,1,0)</f>
        <v/>
      </c>
    </row>
    <row r="6848">
      <c r="A6848" t="inlineStr">
        <is>
          <t>e7d22b2d896aff8c14d0f1f6c7ff151b</t>
        </is>
      </c>
      <c r="B6848" s="29" t="n">
        <v>43202</v>
      </c>
      <c r="C6848" t="inlineStr">
        <is>
          <t>2018-04</t>
        </is>
      </c>
      <c r="D6848" t="inlineStr">
        <is>
          <t>ce1a65abd0973638f1c887a6efcfa82d</t>
        </is>
      </c>
      <c r="E6848" t="inlineStr">
        <is>
          <t>organic_search</t>
        </is>
      </c>
      <c r="F6848">
        <f>IFERROR(MATCH(A6848,Deals!$A$2:$A$843,0),"")</f>
        <v/>
      </c>
      <c r="G6848">
        <f>IF(F6848="",0,1)</f>
        <v/>
      </c>
      <c r="H6848" s="29">
        <f>IF(F6848="","",INDEX(Deals!$E$2:$E$843,F6848))</f>
        <v/>
      </c>
      <c r="I6848">
        <f>IF(F6848="","",INDEX(Deals!$D$2:$D$843,F6848))</f>
        <v/>
      </c>
      <c r="J6848">
        <f>IF(F6848="","",INT(H6848)-B6848)</f>
        <v/>
      </c>
      <c r="K6848">
        <f>IF(B6848&gt;=Settings!$C$5,1,0)</f>
        <v/>
      </c>
    </row>
    <row r="6849">
      <c r="A6849" t="inlineStr">
        <is>
          <t>3e2c2f9925484cb63048d31ddc2564b9</t>
        </is>
      </c>
      <c r="B6849" s="29" t="n">
        <v>43230</v>
      </c>
      <c r="C6849" t="inlineStr">
        <is>
          <t>2018-05</t>
        </is>
      </c>
      <c r="D6849" t="inlineStr">
        <is>
          <t>1ceb590cd1e00c7ee95220971f82693d</t>
        </is>
      </c>
      <c r="E6849" t="inlineStr">
        <is>
          <t>paid_search</t>
        </is>
      </c>
      <c r="F6849">
        <f>IFERROR(MATCH(A6849,Deals!$A$2:$A$843,0),"")</f>
        <v/>
      </c>
      <c r="G6849">
        <f>IF(F6849="",0,1)</f>
        <v/>
      </c>
      <c r="H6849" s="29">
        <f>IF(F6849="","",INDEX(Deals!$E$2:$E$843,F6849))</f>
        <v/>
      </c>
      <c r="I6849">
        <f>IF(F6849="","",INDEX(Deals!$D$2:$D$843,F6849))</f>
        <v/>
      </c>
      <c r="J6849">
        <f>IF(F6849="","",INT(H6849)-B6849)</f>
        <v/>
      </c>
      <c r="K6849">
        <f>IF(B6849&gt;=Settings!$C$5,1,0)</f>
        <v/>
      </c>
    </row>
    <row r="6850">
      <c r="A6850" t="inlineStr">
        <is>
          <t>f8139aafa67b26069e83dbe877a45468</t>
        </is>
      </c>
      <c r="B6850" s="29" t="n">
        <v>43187</v>
      </c>
      <c r="C6850" t="inlineStr">
        <is>
          <t>2018-03</t>
        </is>
      </c>
      <c r="D6850" t="inlineStr">
        <is>
          <t>b76ef37428e6799c421989521c0e5077</t>
        </is>
      </c>
      <c r="E6850" t="inlineStr">
        <is>
          <t>organic_search</t>
        </is>
      </c>
      <c r="F6850">
        <f>IFERROR(MATCH(A6850,Deals!$A$2:$A$843,0),"")</f>
        <v/>
      </c>
      <c r="G6850">
        <f>IF(F6850="",0,1)</f>
        <v/>
      </c>
      <c r="H6850" s="29">
        <f>IF(F6850="","",INDEX(Deals!$E$2:$E$843,F6850))</f>
        <v/>
      </c>
      <c r="I6850">
        <f>IF(F6850="","",INDEX(Deals!$D$2:$D$843,F6850))</f>
        <v/>
      </c>
      <c r="J6850">
        <f>IF(F6850="","",INT(H6850)-B6850)</f>
        <v/>
      </c>
      <c r="K6850">
        <f>IF(B6850&gt;=Settings!$C$5,1,0)</f>
        <v/>
      </c>
    </row>
    <row r="6851">
      <c r="A6851" t="inlineStr">
        <is>
          <t>975511e6319614045b0a883b9d5c7f2e</t>
        </is>
      </c>
      <c r="B6851" s="29" t="n">
        <v>43141</v>
      </c>
      <c r="C6851" t="inlineStr">
        <is>
          <t>2018-02</t>
        </is>
      </c>
      <c r="D6851" t="inlineStr">
        <is>
          <t>1754aa3138d36ccc989ffa4362719181</t>
        </is>
      </c>
      <c r="E6851" t="inlineStr">
        <is>
          <t>display</t>
        </is>
      </c>
      <c r="F6851">
        <f>IFERROR(MATCH(A6851,Deals!$A$2:$A$843,0),"")</f>
        <v/>
      </c>
      <c r="G6851">
        <f>IF(F6851="",0,1)</f>
        <v/>
      </c>
      <c r="H6851" s="29">
        <f>IF(F6851="","",INDEX(Deals!$E$2:$E$843,F6851))</f>
        <v/>
      </c>
      <c r="I6851">
        <f>IF(F6851="","",INDEX(Deals!$D$2:$D$843,F6851))</f>
        <v/>
      </c>
      <c r="J6851">
        <f>IF(F6851="","",INT(H6851)-B6851)</f>
        <v/>
      </c>
      <c r="K6851">
        <f>IF(B6851&gt;=Settings!$C$5,1,0)</f>
        <v/>
      </c>
    </row>
    <row r="6852">
      <c r="A6852" t="inlineStr">
        <is>
          <t>2771adc30ef07c074a4f220f2c51f3a4</t>
        </is>
      </c>
      <c r="B6852" s="29" t="n">
        <v>43248</v>
      </c>
      <c r="C6852" t="inlineStr">
        <is>
          <t>2018-05</t>
        </is>
      </c>
      <c r="D6852" t="inlineStr">
        <is>
          <t>1ceb590cd1e00c7ee95220971f82693d</t>
        </is>
      </c>
      <c r="E6852" t="inlineStr">
        <is>
          <t>organic_search</t>
        </is>
      </c>
      <c r="F6852">
        <f>IFERROR(MATCH(A6852,Deals!$A$2:$A$843,0),"")</f>
        <v/>
      </c>
      <c r="G6852">
        <f>IF(F6852="",0,1)</f>
        <v/>
      </c>
      <c r="H6852" s="29">
        <f>IF(F6852="","",INDEX(Deals!$E$2:$E$843,F6852))</f>
        <v/>
      </c>
      <c r="I6852">
        <f>IF(F6852="","",INDEX(Deals!$D$2:$D$843,F6852))</f>
        <v/>
      </c>
      <c r="J6852">
        <f>IF(F6852="","",INT(H6852)-B6852)</f>
        <v/>
      </c>
      <c r="K6852">
        <f>IF(B6852&gt;=Settings!$C$5,1,0)</f>
        <v/>
      </c>
    </row>
    <row r="6853">
      <c r="A6853" t="inlineStr">
        <is>
          <t>c93d9bdb100328f21884159bd43c20ab</t>
        </is>
      </c>
      <c r="B6853" s="29" t="n">
        <v>43181</v>
      </c>
      <c r="C6853" t="inlineStr">
        <is>
          <t>2018-03</t>
        </is>
      </c>
      <c r="D6853" t="inlineStr">
        <is>
          <t>27cd3540bace1f4a4b2bc6d319b0553c</t>
        </is>
      </c>
      <c r="E6853" t="inlineStr">
        <is>
          <t>organic_search</t>
        </is>
      </c>
      <c r="F6853">
        <f>IFERROR(MATCH(A6853,Deals!$A$2:$A$843,0),"")</f>
        <v/>
      </c>
      <c r="G6853">
        <f>IF(F6853="",0,1)</f>
        <v/>
      </c>
      <c r="H6853" s="29">
        <f>IF(F6853="","",INDEX(Deals!$E$2:$E$843,F6853))</f>
        <v/>
      </c>
      <c r="I6853">
        <f>IF(F6853="","",INDEX(Deals!$D$2:$D$843,F6853))</f>
        <v/>
      </c>
      <c r="J6853">
        <f>IF(F6853="","",INT(H6853)-B6853)</f>
        <v/>
      </c>
      <c r="K6853">
        <f>IF(B6853&gt;=Settings!$C$5,1,0)</f>
        <v/>
      </c>
    </row>
    <row r="6854">
      <c r="A6854" t="inlineStr">
        <is>
          <t>553273a1c6a3ea4b3df58f9d0de5aaaf</t>
        </is>
      </c>
      <c r="B6854" s="29" t="n">
        <v>42984</v>
      </c>
      <c r="C6854" t="inlineStr">
        <is>
          <t>2017-09</t>
        </is>
      </c>
      <c r="D6854" t="inlineStr">
        <is>
          <t>22c29808c4f815213303f8933030604c</t>
        </is>
      </c>
      <c r="E6854" t="inlineStr">
        <is>
          <t>organic_search</t>
        </is>
      </c>
      <c r="F6854">
        <f>IFERROR(MATCH(A6854,Deals!$A$2:$A$843,0),"")</f>
        <v/>
      </c>
      <c r="G6854">
        <f>IF(F6854="",0,1)</f>
        <v/>
      </c>
      <c r="H6854" s="29">
        <f>IF(F6854="","",INDEX(Deals!$E$2:$E$843,F6854))</f>
        <v/>
      </c>
      <c r="I6854">
        <f>IF(F6854="","",INDEX(Deals!$D$2:$D$843,F6854))</f>
        <v/>
      </c>
      <c r="J6854">
        <f>IF(F6854="","",INT(H6854)-B6854)</f>
        <v/>
      </c>
      <c r="K6854">
        <f>IF(B6854&gt;=Settings!$C$5,1,0)</f>
        <v/>
      </c>
    </row>
    <row r="6855">
      <c r="A6855" t="inlineStr">
        <is>
          <t>fc37e65a7707ffd0f78dc0f561c25887</t>
        </is>
      </c>
      <c r="B6855" s="29" t="n">
        <v>42935</v>
      </c>
      <c r="C6855" t="inlineStr">
        <is>
          <t>2017-07</t>
        </is>
      </c>
      <c r="D6855" t="inlineStr">
        <is>
          <t>22c29808c4f815213303f8933030604c</t>
        </is>
      </c>
      <c r="E6855" t="inlineStr">
        <is>
          <t>organic_search</t>
        </is>
      </c>
      <c r="F6855">
        <f>IFERROR(MATCH(A6855,Deals!$A$2:$A$843,0),"")</f>
        <v/>
      </c>
      <c r="G6855">
        <f>IF(F6855="",0,1)</f>
        <v/>
      </c>
      <c r="H6855" s="29">
        <f>IF(F6855="","",INDEX(Deals!$E$2:$E$843,F6855))</f>
        <v/>
      </c>
      <c r="I6855">
        <f>IF(F6855="","",INDEX(Deals!$D$2:$D$843,F6855))</f>
        <v/>
      </c>
      <c r="J6855">
        <f>IF(F6855="","",INT(H6855)-B6855)</f>
        <v/>
      </c>
      <c r="K6855">
        <f>IF(B6855&gt;=Settings!$C$5,1,0)</f>
        <v/>
      </c>
    </row>
    <row r="6856">
      <c r="A6856" t="inlineStr">
        <is>
          <t>f02c29c9151492b1e173d058df06ae8e</t>
        </is>
      </c>
      <c r="B6856" s="29" t="n">
        <v>43126</v>
      </c>
      <c r="C6856" t="inlineStr">
        <is>
          <t>2018-01</t>
        </is>
      </c>
      <c r="D6856" t="inlineStr">
        <is>
          <t>c70eb6fb5bd6e939b0d5ef32f21f61e8</t>
        </is>
      </c>
      <c r="E6856" t="inlineStr">
        <is>
          <t>unknown</t>
        </is>
      </c>
      <c r="F6856">
        <f>IFERROR(MATCH(A6856,Deals!$A$2:$A$843,0),"")</f>
        <v/>
      </c>
      <c r="G6856">
        <f>IF(F6856="",0,1)</f>
        <v/>
      </c>
      <c r="H6856" s="29">
        <f>IF(F6856="","",INDEX(Deals!$E$2:$E$843,F6856))</f>
        <v/>
      </c>
      <c r="I6856">
        <f>IF(F6856="","",INDEX(Deals!$D$2:$D$843,F6856))</f>
        <v/>
      </c>
      <c r="J6856">
        <f>IF(F6856="","",INT(H6856)-B6856)</f>
        <v/>
      </c>
      <c r="K6856">
        <f>IF(B6856&gt;=Settings!$C$5,1,0)</f>
        <v/>
      </c>
    </row>
    <row r="6857">
      <c r="A6857" t="inlineStr">
        <is>
          <t>b7ef8852f9eea93ab22266313411966c</t>
        </is>
      </c>
      <c r="B6857" s="29" t="n">
        <v>43215</v>
      </c>
      <c r="C6857" t="inlineStr">
        <is>
          <t>2018-04</t>
        </is>
      </c>
      <c r="D6857" t="inlineStr">
        <is>
          <t>e492ee5eaf1697716985cc6f33f9cd9b</t>
        </is>
      </c>
      <c r="E6857" t="inlineStr">
        <is>
          <t>organic_search</t>
        </is>
      </c>
      <c r="F6857">
        <f>IFERROR(MATCH(A6857,Deals!$A$2:$A$843,0),"")</f>
        <v/>
      </c>
      <c r="G6857">
        <f>IF(F6857="",0,1)</f>
        <v/>
      </c>
      <c r="H6857" s="29">
        <f>IF(F6857="","",INDEX(Deals!$E$2:$E$843,F6857))</f>
        <v/>
      </c>
      <c r="I6857">
        <f>IF(F6857="","",INDEX(Deals!$D$2:$D$843,F6857))</f>
        <v/>
      </c>
      <c r="J6857">
        <f>IF(F6857="","",INT(H6857)-B6857)</f>
        <v/>
      </c>
      <c r="K6857">
        <f>IF(B6857&gt;=Settings!$C$5,1,0)</f>
        <v/>
      </c>
    </row>
    <row r="6858">
      <c r="A6858" t="inlineStr">
        <is>
          <t>5a07b9dcaf56fd34c1a3a6c1a478d3c1</t>
        </is>
      </c>
      <c r="B6858" s="29" t="n">
        <v>43151</v>
      </c>
      <c r="C6858" t="inlineStr">
        <is>
          <t>2018-02</t>
        </is>
      </c>
      <c r="D6858" t="inlineStr">
        <is>
          <t>dfc3b656bac13de62e4efca322b3f2c1</t>
        </is>
      </c>
      <c r="E6858" t="inlineStr">
        <is>
          <t>email</t>
        </is>
      </c>
      <c r="F6858">
        <f>IFERROR(MATCH(A6858,Deals!$A$2:$A$843,0),"")</f>
        <v/>
      </c>
      <c r="G6858">
        <f>IF(F6858="",0,1)</f>
        <v/>
      </c>
      <c r="H6858" s="29">
        <f>IF(F6858="","",INDEX(Deals!$E$2:$E$843,F6858))</f>
        <v/>
      </c>
      <c r="I6858">
        <f>IF(F6858="","",INDEX(Deals!$D$2:$D$843,F6858))</f>
        <v/>
      </c>
      <c r="J6858">
        <f>IF(F6858="","",INT(H6858)-B6858)</f>
        <v/>
      </c>
      <c r="K6858">
        <f>IF(B6858&gt;=Settings!$C$5,1,0)</f>
        <v/>
      </c>
    </row>
    <row r="6859">
      <c r="A6859" t="inlineStr">
        <is>
          <t>ea7f2f9471927458f88b04f4b1832b2a</t>
        </is>
      </c>
      <c r="B6859" s="29" t="n">
        <v>43206</v>
      </c>
      <c r="C6859" t="inlineStr">
        <is>
          <t>2018-04</t>
        </is>
      </c>
      <c r="D6859" t="inlineStr">
        <is>
          <t>b76ef37428e6799c421989521c0e5077</t>
        </is>
      </c>
      <c r="E6859" t="inlineStr">
        <is>
          <t>paid_search</t>
        </is>
      </c>
      <c r="F6859">
        <f>IFERROR(MATCH(A6859,Deals!$A$2:$A$843,0),"")</f>
        <v/>
      </c>
      <c r="G6859">
        <f>IF(F6859="",0,1)</f>
        <v/>
      </c>
      <c r="H6859" s="29">
        <f>IF(F6859="","",INDEX(Deals!$E$2:$E$843,F6859))</f>
        <v/>
      </c>
      <c r="I6859">
        <f>IF(F6859="","",INDEX(Deals!$D$2:$D$843,F6859))</f>
        <v/>
      </c>
      <c r="J6859">
        <f>IF(F6859="","",INT(H6859)-B6859)</f>
        <v/>
      </c>
      <c r="K6859">
        <f>IF(B6859&gt;=Settings!$C$5,1,0)</f>
        <v/>
      </c>
    </row>
    <row r="6860">
      <c r="A6860" t="inlineStr">
        <is>
          <t>8d16ceffefdf12da61a9c91065435848</t>
        </is>
      </c>
      <c r="B6860" s="29" t="n">
        <v>42957</v>
      </c>
      <c r="C6860" t="inlineStr">
        <is>
          <t>2017-08</t>
        </is>
      </c>
      <c r="D6860" t="inlineStr">
        <is>
          <t>c555aa36478386fdf85a2d0ca5cd0ff8</t>
        </is>
      </c>
      <c r="E6860" t="inlineStr">
        <is>
          <t>other</t>
        </is>
      </c>
      <c r="F6860">
        <f>IFERROR(MATCH(A6860,Deals!$A$2:$A$843,0),"")</f>
        <v/>
      </c>
      <c r="G6860">
        <f>IF(F6860="",0,1)</f>
        <v/>
      </c>
      <c r="H6860" s="29">
        <f>IF(F6860="","",INDEX(Deals!$E$2:$E$843,F6860))</f>
        <v/>
      </c>
      <c r="I6860">
        <f>IF(F6860="","",INDEX(Deals!$D$2:$D$843,F6860))</f>
        <v/>
      </c>
      <c r="J6860">
        <f>IF(F6860="","",INT(H6860)-B6860)</f>
        <v/>
      </c>
      <c r="K6860">
        <f>IF(B6860&gt;=Settings!$C$5,1,0)</f>
        <v/>
      </c>
    </row>
    <row r="6861">
      <c r="A6861" t="inlineStr">
        <is>
          <t>ba3d4749adb913a6e08f4391e8d903ae</t>
        </is>
      </c>
      <c r="B6861" s="29" t="n">
        <v>43224</v>
      </c>
      <c r="C6861" t="inlineStr">
        <is>
          <t>2018-05</t>
        </is>
      </c>
      <c r="D6861" t="inlineStr">
        <is>
          <t>36120633c8737035fbabf079082f4ec1</t>
        </is>
      </c>
      <c r="E6861" t="inlineStr">
        <is>
          <t>unknown</t>
        </is>
      </c>
      <c r="F6861">
        <f>IFERROR(MATCH(A6861,Deals!$A$2:$A$843,0),"")</f>
        <v/>
      </c>
      <c r="G6861">
        <f>IF(F6861="",0,1)</f>
        <v/>
      </c>
      <c r="H6861" s="29">
        <f>IF(F6861="","",INDEX(Deals!$E$2:$E$843,F6861))</f>
        <v/>
      </c>
      <c r="I6861">
        <f>IF(F6861="","",INDEX(Deals!$D$2:$D$843,F6861))</f>
        <v/>
      </c>
      <c r="J6861">
        <f>IF(F6861="","",INT(H6861)-B6861)</f>
        <v/>
      </c>
      <c r="K6861">
        <f>IF(B6861&gt;=Settings!$C$5,1,0)</f>
        <v/>
      </c>
    </row>
    <row r="6862">
      <c r="A6862" t="inlineStr">
        <is>
          <t>0180e9a354eccc55463ae4c11abfc5f4</t>
        </is>
      </c>
      <c r="B6862" s="29" t="n">
        <v>43172</v>
      </c>
      <c r="C6862" t="inlineStr">
        <is>
          <t>2018-03</t>
        </is>
      </c>
      <c r="D6862" t="inlineStr">
        <is>
          <t>872eb32141128a5320bfe7b8cf80fc14</t>
        </is>
      </c>
      <c r="E6862" t="inlineStr">
        <is>
          <t>organic_search</t>
        </is>
      </c>
      <c r="F6862">
        <f>IFERROR(MATCH(A6862,Deals!$A$2:$A$843,0),"")</f>
        <v/>
      </c>
      <c r="G6862">
        <f>IF(F6862="",0,1)</f>
        <v/>
      </c>
      <c r="H6862" s="29">
        <f>IF(F6862="","",INDEX(Deals!$E$2:$E$843,F6862))</f>
        <v/>
      </c>
      <c r="I6862">
        <f>IF(F6862="","",INDEX(Deals!$D$2:$D$843,F6862))</f>
        <v/>
      </c>
      <c r="J6862">
        <f>IF(F6862="","",INT(H6862)-B6862)</f>
        <v/>
      </c>
      <c r="K6862">
        <f>IF(B6862&gt;=Settings!$C$5,1,0)</f>
        <v/>
      </c>
    </row>
    <row r="6863">
      <c r="A6863" t="inlineStr">
        <is>
          <t>840fdedb6d650bde4fa6eba64a46f1c1</t>
        </is>
      </c>
      <c r="B6863" s="29" t="n">
        <v>43135</v>
      </c>
      <c r="C6863" t="inlineStr">
        <is>
          <t>2018-02</t>
        </is>
      </c>
      <c r="D6863" t="inlineStr">
        <is>
          <t>40dec9f3d5259a3d2dbcdab2114fae47</t>
        </is>
      </c>
      <c r="E6863" t="inlineStr">
        <is>
          <t>paid_search</t>
        </is>
      </c>
      <c r="F6863">
        <f>IFERROR(MATCH(A6863,Deals!$A$2:$A$843,0),"")</f>
        <v/>
      </c>
      <c r="G6863">
        <f>IF(F6863="",0,1)</f>
        <v/>
      </c>
      <c r="H6863" s="29">
        <f>IF(F6863="","",INDEX(Deals!$E$2:$E$843,F6863))</f>
        <v/>
      </c>
      <c r="I6863">
        <f>IF(F6863="","",INDEX(Deals!$D$2:$D$843,F6863))</f>
        <v/>
      </c>
      <c r="J6863">
        <f>IF(F6863="","",INT(H6863)-B6863)</f>
        <v/>
      </c>
      <c r="K6863">
        <f>IF(B6863&gt;=Settings!$C$5,1,0)</f>
        <v/>
      </c>
    </row>
    <row r="6864">
      <c r="A6864" t="inlineStr">
        <is>
          <t>f862869c41a0dae100f62459a3e2f6a3</t>
        </is>
      </c>
      <c r="B6864" s="29" t="n">
        <v>42928</v>
      </c>
      <c r="C6864" t="inlineStr">
        <is>
          <t>2017-07</t>
        </is>
      </c>
      <c r="D6864" t="inlineStr">
        <is>
          <t>a56671a54260a44923d32c2f08fad39c</t>
        </is>
      </c>
      <c r="E6864" t="inlineStr">
        <is>
          <t>paid_search</t>
        </is>
      </c>
      <c r="F6864">
        <f>IFERROR(MATCH(A6864,Deals!$A$2:$A$843,0),"")</f>
        <v/>
      </c>
      <c r="G6864">
        <f>IF(F6864="",0,1)</f>
        <v/>
      </c>
      <c r="H6864" s="29">
        <f>IF(F6864="","",INDEX(Deals!$E$2:$E$843,F6864))</f>
        <v/>
      </c>
      <c r="I6864">
        <f>IF(F6864="","",INDEX(Deals!$D$2:$D$843,F6864))</f>
        <v/>
      </c>
      <c r="J6864">
        <f>IF(F6864="","",INT(H6864)-B6864)</f>
        <v/>
      </c>
      <c r="K6864">
        <f>IF(B6864&gt;=Settings!$C$5,1,0)</f>
        <v/>
      </c>
    </row>
    <row r="6865">
      <c r="A6865" t="inlineStr">
        <is>
          <t>a72fbdc03fde56aced63b34a97e6df0c</t>
        </is>
      </c>
      <c r="B6865" s="29" t="n">
        <v>43142</v>
      </c>
      <c r="C6865" t="inlineStr">
        <is>
          <t>2018-02</t>
        </is>
      </c>
      <c r="D6865" t="inlineStr">
        <is>
          <t>88740e65d5d6b056e0cda098e1ea6313</t>
        </is>
      </c>
      <c r="E6865" t="inlineStr">
        <is>
          <t>social</t>
        </is>
      </c>
      <c r="F6865">
        <f>IFERROR(MATCH(A6865,Deals!$A$2:$A$843,0),"")</f>
        <v/>
      </c>
      <c r="G6865">
        <f>IF(F6865="",0,1)</f>
        <v/>
      </c>
      <c r="H6865" s="29">
        <f>IF(F6865="","",INDEX(Deals!$E$2:$E$843,F6865))</f>
        <v/>
      </c>
      <c r="I6865">
        <f>IF(F6865="","",INDEX(Deals!$D$2:$D$843,F6865))</f>
        <v/>
      </c>
      <c r="J6865">
        <f>IF(F6865="","",INT(H6865)-B6865)</f>
        <v/>
      </c>
      <c r="K6865">
        <f>IF(B6865&gt;=Settings!$C$5,1,0)</f>
        <v/>
      </c>
    </row>
    <row r="6866">
      <c r="A6866" t="inlineStr">
        <is>
          <t>f121343cabdf5ded8506d41c873519b0</t>
        </is>
      </c>
      <c r="B6866" s="29" t="n">
        <v>43216</v>
      </c>
      <c r="C6866" t="inlineStr">
        <is>
          <t>2018-04</t>
        </is>
      </c>
      <c r="D6866" t="inlineStr">
        <is>
          <t>b76ef37428e6799c421989521c0e5077</t>
        </is>
      </c>
      <c r="E6866" t="inlineStr">
        <is>
          <t>unknown</t>
        </is>
      </c>
      <c r="F6866">
        <f>IFERROR(MATCH(A6866,Deals!$A$2:$A$843,0),"")</f>
        <v/>
      </c>
      <c r="G6866">
        <f>IF(F6866="",0,1)</f>
        <v/>
      </c>
      <c r="H6866" s="29">
        <f>IF(F6866="","",INDEX(Deals!$E$2:$E$843,F6866))</f>
        <v/>
      </c>
      <c r="I6866">
        <f>IF(F6866="","",INDEX(Deals!$D$2:$D$843,F6866))</f>
        <v/>
      </c>
      <c r="J6866">
        <f>IF(F6866="","",INT(H6866)-B6866)</f>
        <v/>
      </c>
      <c r="K6866">
        <f>IF(B6866&gt;=Settings!$C$5,1,0)</f>
        <v/>
      </c>
    </row>
    <row r="6867">
      <c r="A6867" t="inlineStr">
        <is>
          <t>6324452fb1e7b195a4e6490b60c278f4</t>
        </is>
      </c>
      <c r="B6867" s="29" t="n">
        <v>43132</v>
      </c>
      <c r="C6867" t="inlineStr">
        <is>
          <t>2018-02</t>
        </is>
      </c>
      <c r="D6867" t="inlineStr">
        <is>
          <t>b76ef37428e6799c421989521c0e5077</t>
        </is>
      </c>
      <c r="E6867" t="inlineStr">
        <is>
          <t>unknown</t>
        </is>
      </c>
      <c r="F6867">
        <f>IFERROR(MATCH(A6867,Deals!$A$2:$A$843,0),"")</f>
        <v/>
      </c>
      <c r="G6867">
        <f>IF(F6867="",0,1)</f>
        <v/>
      </c>
      <c r="H6867" s="29">
        <f>IF(F6867="","",INDEX(Deals!$E$2:$E$843,F6867))</f>
        <v/>
      </c>
      <c r="I6867">
        <f>IF(F6867="","",INDEX(Deals!$D$2:$D$843,F6867))</f>
        <v/>
      </c>
      <c r="J6867">
        <f>IF(F6867="","",INT(H6867)-B6867)</f>
        <v/>
      </c>
      <c r="K6867">
        <f>IF(B6867&gt;=Settings!$C$5,1,0)</f>
        <v/>
      </c>
    </row>
    <row r="6868">
      <c r="A6868" t="inlineStr">
        <is>
          <t>ad3243752fe953cb7b4b8c82c0b8ee79</t>
        </is>
      </c>
      <c r="B6868" s="29" t="n">
        <v>43225</v>
      </c>
      <c r="C6868" t="inlineStr">
        <is>
          <t>2018-05</t>
        </is>
      </c>
      <c r="D6868" t="inlineStr">
        <is>
          <t>58326e62183c14b0c03085c33b9fdc44</t>
        </is>
      </c>
      <c r="E6868" t="inlineStr">
        <is>
          <t>social</t>
        </is>
      </c>
      <c r="F6868">
        <f>IFERROR(MATCH(A6868,Deals!$A$2:$A$843,0),"")</f>
        <v/>
      </c>
      <c r="G6868">
        <f>IF(F6868="",0,1)</f>
        <v/>
      </c>
      <c r="H6868" s="29">
        <f>IF(F6868="","",INDEX(Deals!$E$2:$E$843,F6868))</f>
        <v/>
      </c>
      <c r="I6868">
        <f>IF(F6868="","",INDEX(Deals!$D$2:$D$843,F6868))</f>
        <v/>
      </c>
      <c r="J6868">
        <f>IF(F6868="","",INT(H6868)-B6868)</f>
        <v/>
      </c>
      <c r="K6868">
        <f>IF(B6868&gt;=Settings!$C$5,1,0)</f>
        <v/>
      </c>
    </row>
    <row r="6869">
      <c r="A6869" t="inlineStr">
        <is>
          <t>b2f24ad52942ea9eadda8ac7b7db4f54</t>
        </is>
      </c>
      <c r="B6869" s="29" t="n">
        <v>43132</v>
      </c>
      <c r="C6869" t="inlineStr">
        <is>
          <t>2018-02</t>
        </is>
      </c>
      <c r="D6869" t="inlineStr">
        <is>
          <t>22c29808c4f815213303f8933030604c</t>
        </is>
      </c>
      <c r="E6869" t="inlineStr">
        <is>
          <t>unknown</t>
        </is>
      </c>
      <c r="F6869">
        <f>IFERROR(MATCH(A6869,Deals!$A$2:$A$843,0),"")</f>
        <v/>
      </c>
      <c r="G6869">
        <f>IF(F6869="",0,1)</f>
        <v/>
      </c>
      <c r="H6869" s="29">
        <f>IF(F6869="","",INDEX(Deals!$E$2:$E$843,F6869))</f>
        <v/>
      </c>
      <c r="I6869">
        <f>IF(F6869="","",INDEX(Deals!$D$2:$D$843,F6869))</f>
        <v/>
      </c>
      <c r="J6869">
        <f>IF(F6869="","",INT(H6869)-B6869)</f>
        <v/>
      </c>
      <c r="K6869">
        <f>IF(B6869&gt;=Settings!$C$5,1,0)</f>
        <v/>
      </c>
    </row>
    <row r="6870">
      <c r="A6870" t="inlineStr">
        <is>
          <t>03ff447ef1e3bdc63deeadf72ab15acd</t>
        </is>
      </c>
      <c r="B6870" s="29" t="n">
        <v>43250</v>
      </c>
      <c r="C6870" t="inlineStr">
        <is>
          <t>2018-05</t>
        </is>
      </c>
      <c r="D6870" t="inlineStr">
        <is>
          <t>b76ef37428e6799c421989521c0e5077</t>
        </is>
      </c>
      <c r="E6870" t="inlineStr">
        <is>
          <t>unknown</t>
        </is>
      </c>
      <c r="F6870">
        <f>IFERROR(MATCH(A6870,Deals!$A$2:$A$843,0),"")</f>
        <v/>
      </c>
      <c r="G6870">
        <f>IF(F6870="",0,1)</f>
        <v/>
      </c>
      <c r="H6870" s="29">
        <f>IF(F6870="","",INDEX(Deals!$E$2:$E$843,F6870))</f>
        <v/>
      </c>
      <c r="I6870">
        <f>IF(F6870="","",INDEX(Deals!$D$2:$D$843,F6870))</f>
        <v/>
      </c>
      <c r="J6870">
        <f>IF(F6870="","",INT(H6870)-B6870)</f>
        <v/>
      </c>
      <c r="K6870">
        <f>IF(B6870&gt;=Settings!$C$5,1,0)</f>
        <v/>
      </c>
    </row>
    <row r="6871">
      <c r="A6871" t="inlineStr">
        <is>
          <t>1715a3a663307916bd96b966cdf2ee16</t>
        </is>
      </c>
      <c r="B6871" s="29" t="n">
        <v>43197</v>
      </c>
      <c r="C6871" t="inlineStr">
        <is>
          <t>2018-04</t>
        </is>
      </c>
      <c r="D6871" t="inlineStr">
        <is>
          <t>b76ef37428e6799c421989521c0e5077</t>
        </is>
      </c>
      <c r="E6871" t="inlineStr">
        <is>
          <t>unknown</t>
        </is>
      </c>
      <c r="F6871">
        <f>IFERROR(MATCH(A6871,Deals!$A$2:$A$843,0),"")</f>
        <v/>
      </c>
      <c r="G6871">
        <f>IF(F6871="",0,1)</f>
        <v/>
      </c>
      <c r="H6871" s="29">
        <f>IF(F6871="","",INDEX(Deals!$E$2:$E$843,F6871))</f>
        <v/>
      </c>
      <c r="I6871">
        <f>IF(F6871="","",INDEX(Deals!$D$2:$D$843,F6871))</f>
        <v/>
      </c>
      <c r="J6871">
        <f>IF(F6871="","",INT(H6871)-B6871)</f>
        <v/>
      </c>
      <c r="K6871">
        <f>IF(B6871&gt;=Settings!$C$5,1,0)</f>
        <v/>
      </c>
    </row>
    <row r="6872">
      <c r="A6872" t="inlineStr">
        <is>
          <t>13170ed0153d4bc4d2c8bd6016634aaf</t>
        </is>
      </c>
      <c r="B6872" s="29" t="n">
        <v>43157</v>
      </c>
      <c r="C6872" t="inlineStr">
        <is>
          <t>2018-02</t>
        </is>
      </c>
      <c r="D6872" t="inlineStr">
        <is>
          <t>f77960785994c89e81217aa876672703</t>
        </is>
      </c>
      <c r="E6872" t="inlineStr">
        <is>
          <t>(missing)</t>
        </is>
      </c>
      <c r="F6872">
        <f>IFERROR(MATCH(A6872,Deals!$A$2:$A$843,0),"")</f>
        <v/>
      </c>
      <c r="G6872">
        <f>IF(F6872="",0,1)</f>
        <v/>
      </c>
      <c r="H6872" s="29">
        <f>IF(F6872="","",INDEX(Deals!$E$2:$E$843,F6872))</f>
        <v/>
      </c>
      <c r="I6872">
        <f>IF(F6872="","",INDEX(Deals!$D$2:$D$843,F6872))</f>
        <v/>
      </c>
      <c r="J6872">
        <f>IF(F6872="","",INT(H6872)-B6872)</f>
        <v/>
      </c>
      <c r="K6872">
        <f>IF(B6872&gt;=Settings!$C$5,1,0)</f>
        <v/>
      </c>
    </row>
    <row r="6873">
      <c r="A6873" t="inlineStr">
        <is>
          <t>062eb81d4674705d10c8ecb848358cb3</t>
        </is>
      </c>
      <c r="B6873" s="29" t="n">
        <v>43179</v>
      </c>
      <c r="C6873" t="inlineStr">
        <is>
          <t>2018-03</t>
        </is>
      </c>
      <c r="D6873" t="inlineStr">
        <is>
          <t>e2e67cce16ad4e30e1f8962402480f17</t>
        </is>
      </c>
      <c r="E6873" t="inlineStr">
        <is>
          <t>unknown</t>
        </is>
      </c>
      <c r="F6873">
        <f>IFERROR(MATCH(A6873,Deals!$A$2:$A$843,0),"")</f>
        <v/>
      </c>
      <c r="G6873">
        <f>IF(F6873="",0,1)</f>
        <v/>
      </c>
      <c r="H6873" s="29">
        <f>IF(F6873="","",INDEX(Deals!$E$2:$E$843,F6873))</f>
        <v/>
      </c>
      <c r="I6873">
        <f>IF(F6873="","",INDEX(Deals!$D$2:$D$843,F6873))</f>
        <v/>
      </c>
      <c r="J6873">
        <f>IF(F6873="","",INT(H6873)-B6873)</f>
        <v/>
      </c>
      <c r="K6873">
        <f>IF(B6873&gt;=Settings!$C$5,1,0)</f>
        <v/>
      </c>
    </row>
    <row r="6874">
      <c r="A6874" t="inlineStr">
        <is>
          <t>c18171305e73faabfa61d61c41a420ae</t>
        </is>
      </c>
      <c r="B6874" s="29" t="n">
        <v>43117</v>
      </c>
      <c r="C6874" t="inlineStr">
        <is>
          <t>2018-01</t>
        </is>
      </c>
      <c r="D6874" t="inlineStr">
        <is>
          <t>e492ee5eaf1697716985cc6f33f9cd9b</t>
        </is>
      </c>
      <c r="E6874" t="inlineStr">
        <is>
          <t>organic_search</t>
        </is>
      </c>
      <c r="F6874">
        <f>IFERROR(MATCH(A6874,Deals!$A$2:$A$843,0),"")</f>
        <v/>
      </c>
      <c r="G6874">
        <f>IF(F6874="",0,1)</f>
        <v/>
      </c>
      <c r="H6874" s="29">
        <f>IF(F6874="","",INDEX(Deals!$E$2:$E$843,F6874))</f>
        <v/>
      </c>
      <c r="I6874">
        <f>IF(F6874="","",INDEX(Deals!$D$2:$D$843,F6874))</f>
        <v/>
      </c>
      <c r="J6874">
        <f>IF(F6874="","",INT(H6874)-B6874)</f>
        <v/>
      </c>
      <c r="K6874">
        <f>IF(B6874&gt;=Settings!$C$5,1,0)</f>
        <v/>
      </c>
    </row>
    <row r="6875">
      <c r="A6875" t="inlineStr">
        <is>
          <t>fc68039f8f705edde76c6d8c6cf61ec7</t>
        </is>
      </c>
      <c r="B6875" s="29" t="n">
        <v>43201</v>
      </c>
      <c r="C6875" t="inlineStr">
        <is>
          <t>2018-04</t>
        </is>
      </c>
      <c r="D6875" t="inlineStr">
        <is>
          <t>4e82dd1f6d00626bda0723eef0a269a6</t>
        </is>
      </c>
      <c r="E6875" t="inlineStr">
        <is>
          <t>organic_search</t>
        </is>
      </c>
      <c r="F6875">
        <f>IFERROR(MATCH(A6875,Deals!$A$2:$A$843,0),"")</f>
        <v/>
      </c>
      <c r="G6875">
        <f>IF(F6875="",0,1)</f>
        <v/>
      </c>
      <c r="H6875" s="29">
        <f>IF(F6875="","",INDEX(Deals!$E$2:$E$843,F6875))</f>
        <v/>
      </c>
      <c r="I6875">
        <f>IF(F6875="","",INDEX(Deals!$D$2:$D$843,F6875))</f>
        <v/>
      </c>
      <c r="J6875">
        <f>IF(F6875="","",INT(H6875)-B6875)</f>
        <v/>
      </c>
      <c r="K6875">
        <f>IF(B6875&gt;=Settings!$C$5,1,0)</f>
        <v/>
      </c>
    </row>
    <row r="6876">
      <c r="A6876" t="inlineStr">
        <is>
          <t>dc25bde4ace85bea2546fe382b8b8488</t>
        </is>
      </c>
      <c r="B6876" s="29" t="n">
        <v>43187</v>
      </c>
      <c r="C6876" t="inlineStr">
        <is>
          <t>2018-03</t>
        </is>
      </c>
      <c r="D6876" t="inlineStr">
        <is>
          <t>0218f6be0b76aca72ab4d00ee9e8cf10</t>
        </is>
      </c>
      <c r="E6876" t="inlineStr">
        <is>
          <t>social</t>
        </is>
      </c>
      <c r="F6876">
        <f>IFERROR(MATCH(A6876,Deals!$A$2:$A$843,0),"")</f>
        <v/>
      </c>
      <c r="G6876">
        <f>IF(F6876="",0,1)</f>
        <v/>
      </c>
      <c r="H6876" s="29">
        <f>IF(F6876="","",INDEX(Deals!$E$2:$E$843,F6876))</f>
        <v/>
      </c>
      <c r="I6876">
        <f>IF(F6876="","",INDEX(Deals!$D$2:$D$843,F6876))</f>
        <v/>
      </c>
      <c r="J6876">
        <f>IF(F6876="","",INT(H6876)-B6876)</f>
        <v/>
      </c>
      <c r="K6876">
        <f>IF(B6876&gt;=Settings!$C$5,1,0)</f>
        <v/>
      </c>
    </row>
    <row r="6877">
      <c r="A6877" t="inlineStr">
        <is>
          <t>4208c962bda954ddcbbc9dcd21c0aa0a</t>
        </is>
      </c>
      <c r="B6877" s="29" t="n">
        <v>43154</v>
      </c>
      <c r="C6877" t="inlineStr">
        <is>
          <t>2018-02</t>
        </is>
      </c>
      <c r="D6877" t="inlineStr">
        <is>
          <t>2228a43ac0bc372e25f9569e69fc9015</t>
        </is>
      </c>
      <c r="E6877" t="inlineStr">
        <is>
          <t>display</t>
        </is>
      </c>
      <c r="F6877">
        <f>IFERROR(MATCH(A6877,Deals!$A$2:$A$843,0),"")</f>
        <v/>
      </c>
      <c r="G6877">
        <f>IF(F6877="",0,1)</f>
        <v/>
      </c>
      <c r="H6877" s="29">
        <f>IF(F6877="","",INDEX(Deals!$E$2:$E$843,F6877))</f>
        <v/>
      </c>
      <c r="I6877">
        <f>IF(F6877="","",INDEX(Deals!$D$2:$D$843,F6877))</f>
        <v/>
      </c>
      <c r="J6877">
        <f>IF(F6877="","",INT(H6877)-B6877)</f>
        <v/>
      </c>
      <c r="K6877">
        <f>IF(B6877&gt;=Settings!$C$5,1,0)</f>
        <v/>
      </c>
    </row>
    <row r="6878">
      <c r="A6878" t="inlineStr">
        <is>
          <t>b57cd62236ca1d303442a2bf5fd71e05</t>
        </is>
      </c>
      <c r="B6878" s="29" t="n">
        <v>43122</v>
      </c>
      <c r="C6878" t="inlineStr">
        <is>
          <t>2018-01</t>
        </is>
      </c>
      <c r="D6878" t="inlineStr">
        <is>
          <t>bddebc4f4d44106c427bd00695840e64</t>
        </is>
      </c>
      <c r="E6878" t="inlineStr">
        <is>
          <t>email</t>
        </is>
      </c>
      <c r="F6878">
        <f>IFERROR(MATCH(A6878,Deals!$A$2:$A$843,0),"")</f>
        <v/>
      </c>
      <c r="G6878">
        <f>IF(F6878="",0,1)</f>
        <v/>
      </c>
      <c r="H6878" s="29">
        <f>IF(F6878="","",INDEX(Deals!$E$2:$E$843,F6878))</f>
        <v/>
      </c>
      <c r="I6878">
        <f>IF(F6878="","",INDEX(Deals!$D$2:$D$843,F6878))</f>
        <v/>
      </c>
      <c r="J6878">
        <f>IF(F6878="","",INT(H6878)-B6878)</f>
        <v/>
      </c>
      <c r="K6878">
        <f>IF(B6878&gt;=Settings!$C$5,1,0)</f>
        <v/>
      </c>
    </row>
    <row r="6879">
      <c r="A6879" t="inlineStr">
        <is>
          <t>3c0f248dae18a04aa9b045ab8000dcf8</t>
        </is>
      </c>
      <c r="B6879" s="29" t="n">
        <v>43109</v>
      </c>
      <c r="C6879" t="inlineStr">
        <is>
          <t>2018-01</t>
        </is>
      </c>
      <c r="D6879" t="inlineStr">
        <is>
          <t>40dec9f3d5259a3d2dbcdab2114fae47</t>
        </is>
      </c>
      <c r="E6879" t="inlineStr">
        <is>
          <t>paid_search</t>
        </is>
      </c>
      <c r="F6879">
        <f>IFERROR(MATCH(A6879,Deals!$A$2:$A$843,0),"")</f>
        <v/>
      </c>
      <c r="G6879">
        <f>IF(F6879="",0,1)</f>
        <v/>
      </c>
      <c r="H6879" s="29">
        <f>IF(F6879="","",INDEX(Deals!$E$2:$E$843,F6879))</f>
        <v/>
      </c>
      <c r="I6879">
        <f>IF(F6879="","",INDEX(Deals!$D$2:$D$843,F6879))</f>
        <v/>
      </c>
      <c r="J6879">
        <f>IF(F6879="","",INT(H6879)-B6879)</f>
        <v/>
      </c>
      <c r="K6879">
        <f>IF(B6879&gt;=Settings!$C$5,1,0)</f>
        <v/>
      </c>
    </row>
    <row r="6880">
      <c r="A6880" t="inlineStr">
        <is>
          <t>4aa8dd9a08fdc32d53eac21cf46e79c0</t>
        </is>
      </c>
      <c r="B6880" s="29" t="n">
        <v>42991</v>
      </c>
      <c r="C6880" t="inlineStr">
        <is>
          <t>2017-09</t>
        </is>
      </c>
      <c r="D6880" t="inlineStr">
        <is>
          <t>4aab772aeb9833c170d8ea5413e02eac</t>
        </is>
      </c>
      <c r="E6880" t="inlineStr">
        <is>
          <t>paid_search</t>
        </is>
      </c>
      <c r="F6880">
        <f>IFERROR(MATCH(A6880,Deals!$A$2:$A$843,0),"")</f>
        <v/>
      </c>
      <c r="G6880">
        <f>IF(F6880="",0,1)</f>
        <v/>
      </c>
      <c r="H6880" s="29">
        <f>IF(F6880="","",INDEX(Deals!$E$2:$E$843,F6880))</f>
        <v/>
      </c>
      <c r="I6880">
        <f>IF(F6880="","",INDEX(Deals!$D$2:$D$843,F6880))</f>
        <v/>
      </c>
      <c r="J6880">
        <f>IF(F6880="","",INT(H6880)-B6880)</f>
        <v/>
      </c>
      <c r="K6880">
        <f>IF(B6880&gt;=Settings!$C$5,1,0)</f>
        <v/>
      </c>
    </row>
    <row r="6881">
      <c r="A6881" t="inlineStr">
        <is>
          <t>e7d5d2680db41c2f20b454ca2ef90401</t>
        </is>
      </c>
      <c r="B6881" s="29" t="n">
        <v>43159</v>
      </c>
      <c r="C6881" t="inlineStr">
        <is>
          <t>2018-02</t>
        </is>
      </c>
      <c r="D6881" t="inlineStr">
        <is>
          <t>b76ef37428e6799c421989521c0e5077</t>
        </is>
      </c>
      <c r="E6881" t="inlineStr">
        <is>
          <t>organic_search</t>
        </is>
      </c>
      <c r="F6881">
        <f>IFERROR(MATCH(A6881,Deals!$A$2:$A$843,0),"")</f>
        <v/>
      </c>
      <c r="G6881">
        <f>IF(F6881="",0,1)</f>
        <v/>
      </c>
      <c r="H6881" s="29">
        <f>IF(F6881="","",INDEX(Deals!$E$2:$E$843,F6881))</f>
        <v/>
      </c>
      <c r="I6881">
        <f>IF(F6881="","",INDEX(Deals!$D$2:$D$843,F6881))</f>
        <v/>
      </c>
      <c r="J6881">
        <f>IF(F6881="","",INT(H6881)-B6881)</f>
        <v/>
      </c>
      <c r="K6881">
        <f>IF(B6881&gt;=Settings!$C$5,1,0)</f>
        <v/>
      </c>
    </row>
    <row r="6882">
      <c r="A6882" t="inlineStr">
        <is>
          <t>9750f25d70ea10b1697c7d3a006c000e</t>
        </is>
      </c>
      <c r="B6882" s="29" t="n">
        <v>43138</v>
      </c>
      <c r="C6882" t="inlineStr">
        <is>
          <t>2018-02</t>
        </is>
      </c>
      <c r="D6882" t="inlineStr">
        <is>
          <t>241f79c7a8fe0270f4fb79fcbbcd17ad</t>
        </is>
      </c>
      <c r="E6882" t="inlineStr">
        <is>
          <t>paid_search</t>
        </is>
      </c>
      <c r="F6882">
        <f>IFERROR(MATCH(A6882,Deals!$A$2:$A$843,0),"")</f>
        <v/>
      </c>
      <c r="G6882">
        <f>IF(F6882="",0,1)</f>
        <v/>
      </c>
      <c r="H6882" s="29">
        <f>IF(F6882="","",INDEX(Deals!$E$2:$E$843,F6882))</f>
        <v/>
      </c>
      <c r="I6882">
        <f>IF(F6882="","",INDEX(Deals!$D$2:$D$843,F6882))</f>
        <v/>
      </c>
      <c r="J6882">
        <f>IF(F6882="","",INT(H6882)-B6882)</f>
        <v/>
      </c>
      <c r="K6882">
        <f>IF(B6882&gt;=Settings!$C$5,1,0)</f>
        <v/>
      </c>
    </row>
    <row r="6883">
      <c r="A6883" t="inlineStr">
        <is>
          <t>4400cbff5fa6915bf0ffb2656bf96db2</t>
        </is>
      </c>
      <c r="B6883" s="29" t="n">
        <v>43224</v>
      </c>
      <c r="C6883" t="inlineStr">
        <is>
          <t>2018-05</t>
        </is>
      </c>
      <c r="D6883" t="inlineStr">
        <is>
          <t>b76ef37428e6799c421989521c0e5077</t>
        </is>
      </c>
      <c r="E6883" t="inlineStr">
        <is>
          <t>unknown</t>
        </is>
      </c>
      <c r="F6883">
        <f>IFERROR(MATCH(A6883,Deals!$A$2:$A$843,0),"")</f>
        <v/>
      </c>
      <c r="G6883">
        <f>IF(F6883="",0,1)</f>
        <v/>
      </c>
      <c r="H6883" s="29">
        <f>IF(F6883="","",INDEX(Deals!$E$2:$E$843,F6883))</f>
        <v/>
      </c>
      <c r="I6883">
        <f>IF(F6883="","",INDEX(Deals!$D$2:$D$843,F6883))</f>
        <v/>
      </c>
      <c r="J6883">
        <f>IF(F6883="","",INT(H6883)-B6883)</f>
        <v/>
      </c>
      <c r="K6883">
        <f>IF(B6883&gt;=Settings!$C$5,1,0)</f>
        <v/>
      </c>
    </row>
    <row r="6884">
      <c r="A6884" t="inlineStr">
        <is>
          <t>84793143cb08280d709ba235b51a594b</t>
        </is>
      </c>
      <c r="B6884" s="29" t="n">
        <v>43199</v>
      </c>
      <c r="C6884" t="inlineStr">
        <is>
          <t>2018-04</t>
        </is>
      </c>
      <c r="D6884" t="inlineStr">
        <is>
          <t>908dad5b22342480f5cc055b8dd55e7e</t>
        </is>
      </c>
      <c r="E6884" t="inlineStr">
        <is>
          <t>organic_search</t>
        </is>
      </c>
      <c r="F6884">
        <f>IFERROR(MATCH(A6884,Deals!$A$2:$A$843,0),"")</f>
        <v/>
      </c>
      <c r="G6884">
        <f>IF(F6884="",0,1)</f>
        <v/>
      </c>
      <c r="H6884" s="29">
        <f>IF(F6884="","",INDEX(Deals!$E$2:$E$843,F6884))</f>
        <v/>
      </c>
      <c r="I6884">
        <f>IF(F6884="","",INDEX(Deals!$D$2:$D$843,F6884))</f>
        <v/>
      </c>
      <c r="J6884">
        <f>IF(F6884="","",INT(H6884)-B6884)</f>
        <v/>
      </c>
      <c r="K6884">
        <f>IF(B6884&gt;=Settings!$C$5,1,0)</f>
        <v/>
      </c>
    </row>
    <row r="6885">
      <c r="A6885" t="inlineStr">
        <is>
          <t>fac497fb4d6e9e4cd5d036349dbc460e</t>
        </is>
      </c>
      <c r="B6885" s="29" t="n">
        <v>42958</v>
      </c>
      <c r="C6885" t="inlineStr">
        <is>
          <t>2017-08</t>
        </is>
      </c>
      <c r="D6885" t="inlineStr">
        <is>
          <t>b76ef37428e6799c421989521c0e5077</t>
        </is>
      </c>
      <c r="E6885" t="inlineStr">
        <is>
          <t>unknown</t>
        </is>
      </c>
      <c r="F6885">
        <f>IFERROR(MATCH(A6885,Deals!$A$2:$A$843,0),"")</f>
        <v/>
      </c>
      <c r="G6885">
        <f>IF(F6885="",0,1)</f>
        <v/>
      </c>
      <c r="H6885" s="29">
        <f>IF(F6885="","",INDEX(Deals!$E$2:$E$843,F6885))</f>
        <v/>
      </c>
      <c r="I6885">
        <f>IF(F6885="","",INDEX(Deals!$D$2:$D$843,F6885))</f>
        <v/>
      </c>
      <c r="J6885">
        <f>IF(F6885="","",INT(H6885)-B6885)</f>
        <v/>
      </c>
      <c r="K6885">
        <f>IF(B6885&gt;=Settings!$C$5,1,0)</f>
        <v/>
      </c>
    </row>
    <row r="6886">
      <c r="A6886" t="inlineStr">
        <is>
          <t>a67384c915367bb2fbf3eec72968d5fa</t>
        </is>
      </c>
      <c r="B6886" s="29" t="n">
        <v>43181</v>
      </c>
      <c r="C6886" t="inlineStr">
        <is>
          <t>2018-03</t>
        </is>
      </c>
      <c r="D6886" t="inlineStr">
        <is>
          <t>a7982125ff7aa3b2054c6e44f9d28522</t>
        </is>
      </c>
      <c r="E6886" t="inlineStr">
        <is>
          <t>display</t>
        </is>
      </c>
      <c r="F6886">
        <f>IFERROR(MATCH(A6886,Deals!$A$2:$A$843,0),"")</f>
        <v/>
      </c>
      <c r="G6886">
        <f>IF(F6886="",0,1)</f>
        <v/>
      </c>
      <c r="H6886" s="29">
        <f>IF(F6886="","",INDEX(Deals!$E$2:$E$843,F6886))</f>
        <v/>
      </c>
      <c r="I6886">
        <f>IF(F6886="","",INDEX(Deals!$D$2:$D$843,F6886))</f>
        <v/>
      </c>
      <c r="J6886">
        <f>IF(F6886="","",INT(H6886)-B6886)</f>
        <v/>
      </c>
      <c r="K6886">
        <f>IF(B6886&gt;=Settings!$C$5,1,0)</f>
        <v/>
      </c>
    </row>
    <row r="6887">
      <c r="A6887" t="inlineStr">
        <is>
          <t>ecce75281c8b95a042dff4e7e24a477d</t>
        </is>
      </c>
      <c r="B6887" s="29" t="n">
        <v>43212</v>
      </c>
      <c r="C6887" t="inlineStr">
        <is>
          <t>2018-04</t>
        </is>
      </c>
      <c r="D6887" t="inlineStr">
        <is>
          <t>35c9b150ab36fe584c1f24fd458c453a</t>
        </is>
      </c>
      <c r="E6887" t="inlineStr">
        <is>
          <t>display</t>
        </is>
      </c>
      <c r="F6887">
        <f>IFERROR(MATCH(A6887,Deals!$A$2:$A$843,0),"")</f>
        <v/>
      </c>
      <c r="G6887">
        <f>IF(F6887="",0,1)</f>
        <v/>
      </c>
      <c r="H6887" s="29">
        <f>IF(F6887="","",INDEX(Deals!$E$2:$E$843,F6887))</f>
        <v/>
      </c>
      <c r="I6887">
        <f>IF(F6887="","",INDEX(Deals!$D$2:$D$843,F6887))</f>
        <v/>
      </c>
      <c r="J6887">
        <f>IF(F6887="","",INT(H6887)-B6887)</f>
        <v/>
      </c>
      <c r="K6887">
        <f>IF(B6887&gt;=Settings!$C$5,1,0)</f>
        <v/>
      </c>
    </row>
    <row r="6888">
      <c r="A6888" t="inlineStr">
        <is>
          <t>0fe814b34f8735c80c4c0933e4e910f7</t>
        </is>
      </c>
      <c r="B6888" s="29" t="n">
        <v>42961</v>
      </c>
      <c r="C6888" t="inlineStr">
        <is>
          <t>2017-08</t>
        </is>
      </c>
      <c r="D6888" t="inlineStr">
        <is>
          <t>bdaeb752e5c3caa215ebe04c61e22325</t>
        </is>
      </c>
      <c r="E6888" t="inlineStr">
        <is>
          <t>direct_traffic</t>
        </is>
      </c>
      <c r="F6888">
        <f>IFERROR(MATCH(A6888,Deals!$A$2:$A$843,0),"")</f>
        <v/>
      </c>
      <c r="G6888">
        <f>IF(F6888="",0,1)</f>
        <v/>
      </c>
      <c r="H6888" s="29">
        <f>IF(F6888="","",INDEX(Deals!$E$2:$E$843,F6888))</f>
        <v/>
      </c>
      <c r="I6888">
        <f>IF(F6888="","",INDEX(Deals!$D$2:$D$843,F6888))</f>
        <v/>
      </c>
      <c r="J6888">
        <f>IF(F6888="","",INT(H6888)-B6888)</f>
        <v/>
      </c>
      <c r="K6888">
        <f>IF(B6888&gt;=Settings!$C$5,1,0)</f>
        <v/>
      </c>
    </row>
    <row r="6889">
      <c r="A6889" t="inlineStr">
        <is>
          <t>07c24da9292451154d8d0d62c01efa38</t>
        </is>
      </c>
      <c r="B6889" s="29" t="n">
        <v>43243</v>
      </c>
      <c r="C6889" t="inlineStr">
        <is>
          <t>2018-05</t>
        </is>
      </c>
      <c r="D6889" t="inlineStr">
        <is>
          <t>58326e62183c14b0c03085c33b9fdc44</t>
        </is>
      </c>
      <c r="E6889" t="inlineStr">
        <is>
          <t>social</t>
        </is>
      </c>
      <c r="F6889">
        <f>IFERROR(MATCH(A6889,Deals!$A$2:$A$843,0),"")</f>
        <v/>
      </c>
      <c r="G6889">
        <f>IF(F6889="",0,1)</f>
        <v/>
      </c>
      <c r="H6889" s="29">
        <f>IF(F6889="","",INDEX(Deals!$E$2:$E$843,F6889))</f>
        <v/>
      </c>
      <c r="I6889">
        <f>IF(F6889="","",INDEX(Deals!$D$2:$D$843,F6889))</f>
        <v/>
      </c>
      <c r="J6889">
        <f>IF(F6889="","",INT(H6889)-B6889)</f>
        <v/>
      </c>
      <c r="K6889">
        <f>IF(B6889&gt;=Settings!$C$5,1,0)</f>
        <v/>
      </c>
    </row>
    <row r="6890">
      <c r="A6890" t="inlineStr">
        <is>
          <t>d2713864e02eb9cb3c69650e63989014</t>
        </is>
      </c>
      <c r="B6890" s="29" t="n">
        <v>43107</v>
      </c>
      <c r="C6890" t="inlineStr">
        <is>
          <t>2018-01</t>
        </is>
      </c>
      <c r="D6890" t="inlineStr">
        <is>
          <t>22c29808c4f815213303f8933030604c</t>
        </is>
      </c>
      <c r="E6890" t="inlineStr">
        <is>
          <t>referral</t>
        </is>
      </c>
      <c r="F6890">
        <f>IFERROR(MATCH(A6890,Deals!$A$2:$A$843,0),"")</f>
        <v/>
      </c>
      <c r="G6890">
        <f>IF(F6890="",0,1)</f>
        <v/>
      </c>
      <c r="H6890" s="29">
        <f>IF(F6890="","",INDEX(Deals!$E$2:$E$843,F6890))</f>
        <v/>
      </c>
      <c r="I6890">
        <f>IF(F6890="","",INDEX(Deals!$D$2:$D$843,F6890))</f>
        <v/>
      </c>
      <c r="J6890">
        <f>IF(F6890="","",INT(H6890)-B6890)</f>
        <v/>
      </c>
      <c r="K6890">
        <f>IF(B6890&gt;=Settings!$C$5,1,0)</f>
        <v/>
      </c>
    </row>
    <row r="6891">
      <c r="A6891" t="inlineStr">
        <is>
          <t>02f0e6a7fa6ad9f53391a17e80335e49</t>
        </is>
      </c>
      <c r="B6891" s="29" t="n">
        <v>42978</v>
      </c>
      <c r="C6891" t="inlineStr">
        <is>
          <t>2017-08</t>
        </is>
      </c>
      <c r="D6891" t="inlineStr">
        <is>
          <t>22c29808c4f815213303f8933030604c</t>
        </is>
      </c>
      <c r="E6891" t="inlineStr">
        <is>
          <t>organic_search</t>
        </is>
      </c>
      <c r="F6891">
        <f>IFERROR(MATCH(A6891,Deals!$A$2:$A$843,0),"")</f>
        <v/>
      </c>
      <c r="G6891">
        <f>IF(F6891="",0,1)</f>
        <v/>
      </c>
      <c r="H6891" s="29">
        <f>IF(F6891="","",INDEX(Deals!$E$2:$E$843,F6891))</f>
        <v/>
      </c>
      <c r="I6891">
        <f>IF(F6891="","",INDEX(Deals!$D$2:$D$843,F6891))</f>
        <v/>
      </c>
      <c r="J6891">
        <f>IF(F6891="","",INT(H6891)-B6891)</f>
        <v/>
      </c>
      <c r="K6891">
        <f>IF(B6891&gt;=Settings!$C$5,1,0)</f>
        <v/>
      </c>
    </row>
    <row r="6892">
      <c r="A6892" t="inlineStr">
        <is>
          <t>b68691259764267768d7aafbfb1b07fc</t>
        </is>
      </c>
      <c r="B6892" s="29" t="n">
        <v>43117</v>
      </c>
      <c r="C6892" t="inlineStr">
        <is>
          <t>2018-01</t>
        </is>
      </c>
      <c r="D6892" t="inlineStr">
        <is>
          <t>f017be4dbf86243af5c1ebed0cff36a2</t>
        </is>
      </c>
      <c r="E6892" t="inlineStr">
        <is>
          <t>organic_search</t>
        </is>
      </c>
      <c r="F6892">
        <f>IFERROR(MATCH(A6892,Deals!$A$2:$A$843,0),"")</f>
        <v/>
      </c>
      <c r="G6892">
        <f>IF(F6892="",0,1)</f>
        <v/>
      </c>
      <c r="H6892" s="29">
        <f>IF(F6892="","",INDEX(Deals!$E$2:$E$843,F6892))</f>
        <v/>
      </c>
      <c r="I6892">
        <f>IF(F6892="","",INDEX(Deals!$D$2:$D$843,F6892))</f>
        <v/>
      </c>
      <c r="J6892">
        <f>IF(F6892="","",INT(H6892)-B6892)</f>
        <v/>
      </c>
      <c r="K6892">
        <f>IF(B6892&gt;=Settings!$C$5,1,0)</f>
        <v/>
      </c>
    </row>
    <row r="6893">
      <c r="A6893" t="inlineStr">
        <is>
          <t>713db6add2b5e85a240d2daffd3e9dab</t>
        </is>
      </c>
      <c r="B6893" s="29" t="n">
        <v>43178</v>
      </c>
      <c r="C6893" t="inlineStr">
        <is>
          <t>2018-03</t>
        </is>
      </c>
      <c r="D6893" t="inlineStr">
        <is>
          <t>ce1a65abd0973638f1c887a6efcfa82d</t>
        </is>
      </c>
      <c r="E6893" t="inlineStr">
        <is>
          <t>paid_search</t>
        </is>
      </c>
      <c r="F6893">
        <f>IFERROR(MATCH(A6893,Deals!$A$2:$A$843,0),"")</f>
        <v/>
      </c>
      <c r="G6893">
        <f>IF(F6893="",0,1)</f>
        <v/>
      </c>
      <c r="H6893" s="29">
        <f>IF(F6893="","",INDEX(Deals!$E$2:$E$843,F6893))</f>
        <v/>
      </c>
      <c r="I6893">
        <f>IF(F6893="","",INDEX(Deals!$D$2:$D$843,F6893))</f>
        <v/>
      </c>
      <c r="J6893">
        <f>IF(F6893="","",INT(H6893)-B6893)</f>
        <v/>
      </c>
      <c r="K6893">
        <f>IF(B6893&gt;=Settings!$C$5,1,0)</f>
        <v/>
      </c>
    </row>
    <row r="6894">
      <c r="A6894" t="inlineStr">
        <is>
          <t>ee7f18a35a02dc1e2e9ba29982dedbd3</t>
        </is>
      </c>
      <c r="B6894" s="29" t="n">
        <v>43180</v>
      </c>
      <c r="C6894" t="inlineStr">
        <is>
          <t>2018-03</t>
        </is>
      </c>
      <c r="D6894" t="inlineStr">
        <is>
          <t>f017be4dbf86243af5c1ebed0cff36a2</t>
        </is>
      </c>
      <c r="E6894" t="inlineStr">
        <is>
          <t>organic_search</t>
        </is>
      </c>
      <c r="F6894">
        <f>IFERROR(MATCH(A6894,Deals!$A$2:$A$843,0),"")</f>
        <v/>
      </c>
      <c r="G6894">
        <f>IF(F6894="",0,1)</f>
        <v/>
      </c>
      <c r="H6894" s="29">
        <f>IF(F6894="","",INDEX(Deals!$E$2:$E$843,F6894))</f>
        <v/>
      </c>
      <c r="I6894">
        <f>IF(F6894="","",INDEX(Deals!$D$2:$D$843,F6894))</f>
        <v/>
      </c>
      <c r="J6894">
        <f>IF(F6894="","",INT(H6894)-B6894)</f>
        <v/>
      </c>
      <c r="K6894">
        <f>IF(B6894&gt;=Settings!$C$5,1,0)</f>
        <v/>
      </c>
    </row>
    <row r="6895">
      <c r="A6895" t="inlineStr">
        <is>
          <t>d9639bfd60f2dd0054317ba6e4f8fa40</t>
        </is>
      </c>
      <c r="B6895" s="29" t="n">
        <v>43244</v>
      </c>
      <c r="C6895" t="inlineStr">
        <is>
          <t>2018-05</t>
        </is>
      </c>
      <c r="D6895" t="inlineStr">
        <is>
          <t>1ceb590cd1e00c7ee95220971f82693d</t>
        </is>
      </c>
      <c r="E6895" t="inlineStr">
        <is>
          <t>paid_search</t>
        </is>
      </c>
      <c r="F6895">
        <f>IFERROR(MATCH(A6895,Deals!$A$2:$A$843,0),"")</f>
        <v/>
      </c>
      <c r="G6895">
        <f>IF(F6895="",0,1)</f>
        <v/>
      </c>
      <c r="H6895" s="29">
        <f>IF(F6895="","",INDEX(Deals!$E$2:$E$843,F6895))</f>
        <v/>
      </c>
      <c r="I6895">
        <f>IF(F6895="","",INDEX(Deals!$D$2:$D$843,F6895))</f>
        <v/>
      </c>
      <c r="J6895">
        <f>IF(F6895="","",INT(H6895)-B6895)</f>
        <v/>
      </c>
      <c r="K6895">
        <f>IF(B6895&gt;=Settings!$C$5,1,0)</f>
        <v/>
      </c>
    </row>
    <row r="6896">
      <c r="A6896" t="inlineStr">
        <is>
          <t>c175c9d1e6adc300ee406d504e5c34f5</t>
        </is>
      </c>
      <c r="B6896" s="29" t="n">
        <v>43193</v>
      </c>
      <c r="C6896" t="inlineStr">
        <is>
          <t>2018-04</t>
        </is>
      </c>
      <c r="D6896" t="inlineStr">
        <is>
          <t>58326e62183c14b0c03085c33b9fdc44</t>
        </is>
      </c>
      <c r="E6896" t="inlineStr">
        <is>
          <t>social</t>
        </is>
      </c>
      <c r="F6896">
        <f>IFERROR(MATCH(A6896,Deals!$A$2:$A$843,0),"")</f>
        <v/>
      </c>
      <c r="G6896">
        <f>IF(F6896="",0,1)</f>
        <v/>
      </c>
      <c r="H6896" s="29">
        <f>IF(F6896="","",INDEX(Deals!$E$2:$E$843,F6896))</f>
        <v/>
      </c>
      <c r="I6896">
        <f>IF(F6896="","",INDEX(Deals!$D$2:$D$843,F6896))</f>
        <v/>
      </c>
      <c r="J6896">
        <f>IF(F6896="","",INT(H6896)-B6896)</f>
        <v/>
      </c>
      <c r="K6896">
        <f>IF(B6896&gt;=Settings!$C$5,1,0)</f>
        <v/>
      </c>
    </row>
    <row r="6897">
      <c r="A6897" t="inlineStr">
        <is>
          <t>7c69e0a1a7ed715dbbd931c5a6eb251c</t>
        </is>
      </c>
      <c r="B6897" s="29" t="n">
        <v>43107</v>
      </c>
      <c r="C6897" t="inlineStr">
        <is>
          <t>2018-01</t>
        </is>
      </c>
      <c r="D6897" t="inlineStr">
        <is>
          <t>ce1a65abd0973638f1c887a6efcfa82d</t>
        </is>
      </c>
      <c r="E6897" t="inlineStr">
        <is>
          <t>organic_search</t>
        </is>
      </c>
      <c r="F6897">
        <f>IFERROR(MATCH(A6897,Deals!$A$2:$A$843,0),"")</f>
        <v/>
      </c>
      <c r="G6897">
        <f>IF(F6897="",0,1)</f>
        <v/>
      </c>
      <c r="H6897" s="29">
        <f>IF(F6897="","",INDEX(Deals!$E$2:$E$843,F6897))</f>
        <v/>
      </c>
      <c r="I6897">
        <f>IF(F6897="","",INDEX(Deals!$D$2:$D$843,F6897))</f>
        <v/>
      </c>
      <c r="J6897">
        <f>IF(F6897="","",INT(H6897)-B6897)</f>
        <v/>
      </c>
      <c r="K6897">
        <f>IF(B6897&gt;=Settings!$C$5,1,0)</f>
        <v/>
      </c>
    </row>
    <row r="6898">
      <c r="A6898" t="inlineStr">
        <is>
          <t>3866ba7b82a885dd5da500ca996242da</t>
        </is>
      </c>
      <c r="B6898" s="29" t="n">
        <v>43136</v>
      </c>
      <c r="C6898" t="inlineStr">
        <is>
          <t>2018-02</t>
        </is>
      </c>
      <c r="D6898" t="inlineStr">
        <is>
          <t>88740e65d5d6b056e0cda098e1ea6313</t>
        </is>
      </c>
      <c r="E6898" t="inlineStr">
        <is>
          <t>social</t>
        </is>
      </c>
      <c r="F6898">
        <f>IFERROR(MATCH(A6898,Deals!$A$2:$A$843,0),"")</f>
        <v/>
      </c>
      <c r="G6898">
        <f>IF(F6898="",0,1)</f>
        <v/>
      </c>
      <c r="H6898" s="29">
        <f>IF(F6898="","",INDEX(Deals!$E$2:$E$843,F6898))</f>
        <v/>
      </c>
      <c r="I6898">
        <f>IF(F6898="","",INDEX(Deals!$D$2:$D$843,F6898))</f>
        <v/>
      </c>
      <c r="J6898">
        <f>IF(F6898="","",INT(H6898)-B6898)</f>
        <v/>
      </c>
      <c r="K6898">
        <f>IF(B6898&gt;=Settings!$C$5,1,0)</f>
        <v/>
      </c>
    </row>
    <row r="6899">
      <c r="A6899" t="inlineStr">
        <is>
          <t>2121376a323507c01c5e92c39ae8ccd4</t>
        </is>
      </c>
      <c r="B6899" s="29" t="n">
        <v>43248</v>
      </c>
      <c r="C6899" t="inlineStr">
        <is>
          <t>2018-05</t>
        </is>
      </c>
      <c r="D6899" t="inlineStr">
        <is>
          <t>1ceb590cd1e00c7ee95220971f82693d</t>
        </is>
      </c>
      <c r="E6899" t="inlineStr">
        <is>
          <t>organic_search</t>
        </is>
      </c>
      <c r="F6899">
        <f>IFERROR(MATCH(A6899,Deals!$A$2:$A$843,0),"")</f>
        <v/>
      </c>
      <c r="G6899">
        <f>IF(F6899="",0,1)</f>
        <v/>
      </c>
      <c r="H6899" s="29">
        <f>IF(F6899="","",INDEX(Deals!$E$2:$E$843,F6899))</f>
        <v/>
      </c>
      <c r="I6899">
        <f>IF(F6899="","",INDEX(Deals!$D$2:$D$843,F6899))</f>
        <v/>
      </c>
      <c r="J6899">
        <f>IF(F6899="","",INT(H6899)-B6899)</f>
        <v/>
      </c>
      <c r="K6899">
        <f>IF(B6899&gt;=Settings!$C$5,1,0)</f>
        <v/>
      </c>
    </row>
    <row r="6900">
      <c r="A6900" t="inlineStr">
        <is>
          <t>f25000058f3f4c0a7440f8e34a98a6f9</t>
        </is>
      </c>
      <c r="B6900" s="29" t="n">
        <v>43141</v>
      </c>
      <c r="C6900" t="inlineStr">
        <is>
          <t>2018-02</t>
        </is>
      </c>
      <c r="D6900" t="inlineStr">
        <is>
          <t>88740e65d5d6b056e0cda098e1ea6313</t>
        </is>
      </c>
      <c r="E6900" t="inlineStr">
        <is>
          <t>social</t>
        </is>
      </c>
      <c r="F6900">
        <f>IFERROR(MATCH(A6900,Deals!$A$2:$A$843,0),"")</f>
        <v/>
      </c>
      <c r="G6900">
        <f>IF(F6900="",0,1)</f>
        <v/>
      </c>
      <c r="H6900" s="29">
        <f>IF(F6900="","",INDEX(Deals!$E$2:$E$843,F6900))</f>
        <v/>
      </c>
      <c r="I6900">
        <f>IF(F6900="","",INDEX(Deals!$D$2:$D$843,F6900))</f>
        <v/>
      </c>
      <c r="J6900">
        <f>IF(F6900="","",INT(H6900)-B6900)</f>
        <v/>
      </c>
      <c r="K6900">
        <f>IF(B6900&gt;=Settings!$C$5,1,0)</f>
        <v/>
      </c>
    </row>
    <row r="6901">
      <c r="A6901" t="inlineStr">
        <is>
          <t>6d09e77eaed6a2162027587f5026efe7</t>
        </is>
      </c>
      <c r="B6901" s="29" t="n">
        <v>43122</v>
      </c>
      <c r="C6901" t="inlineStr">
        <is>
          <t>2018-01</t>
        </is>
      </c>
      <c r="D6901" t="inlineStr">
        <is>
          <t>22c29808c4f815213303f8933030604c</t>
        </is>
      </c>
      <c r="E6901" t="inlineStr">
        <is>
          <t>organic_search</t>
        </is>
      </c>
      <c r="F6901">
        <f>IFERROR(MATCH(A6901,Deals!$A$2:$A$843,0),"")</f>
        <v/>
      </c>
      <c r="G6901">
        <f>IF(F6901="",0,1)</f>
        <v/>
      </c>
      <c r="H6901" s="29">
        <f>IF(F6901="","",INDEX(Deals!$E$2:$E$843,F6901))</f>
        <v/>
      </c>
      <c r="I6901">
        <f>IF(F6901="","",INDEX(Deals!$D$2:$D$843,F6901))</f>
        <v/>
      </c>
      <c r="J6901">
        <f>IF(F6901="","",INT(H6901)-B6901)</f>
        <v/>
      </c>
      <c r="K6901">
        <f>IF(B6901&gt;=Settings!$C$5,1,0)</f>
        <v/>
      </c>
    </row>
    <row r="6902">
      <c r="A6902" t="inlineStr">
        <is>
          <t>d8e2b37ccb003d5e67f51aa291722a44</t>
        </is>
      </c>
      <c r="B6902" s="29" t="n">
        <v>43213</v>
      </c>
      <c r="C6902" t="inlineStr">
        <is>
          <t>2018-04</t>
        </is>
      </c>
      <c r="D6902" t="inlineStr">
        <is>
          <t>35c9b150ab36fe584c1f24fd458c453a</t>
        </is>
      </c>
      <c r="E6902" t="inlineStr">
        <is>
          <t>paid_search</t>
        </is>
      </c>
      <c r="F6902">
        <f>IFERROR(MATCH(A6902,Deals!$A$2:$A$843,0),"")</f>
        <v/>
      </c>
      <c r="G6902">
        <f>IF(F6902="",0,1)</f>
        <v/>
      </c>
      <c r="H6902" s="29">
        <f>IF(F6902="","",INDEX(Deals!$E$2:$E$843,F6902))</f>
        <v/>
      </c>
      <c r="I6902">
        <f>IF(F6902="","",INDEX(Deals!$D$2:$D$843,F6902))</f>
        <v/>
      </c>
      <c r="J6902">
        <f>IF(F6902="","",INT(H6902)-B6902)</f>
        <v/>
      </c>
      <c r="K6902">
        <f>IF(B6902&gt;=Settings!$C$5,1,0)</f>
        <v/>
      </c>
    </row>
    <row r="6903">
      <c r="A6903" t="inlineStr">
        <is>
          <t>6fcbe11b19a4827c0a8ef7cfc1e33eaf</t>
        </is>
      </c>
      <c r="B6903" s="29" t="n">
        <v>43179</v>
      </c>
      <c r="C6903" t="inlineStr">
        <is>
          <t>2018-03</t>
        </is>
      </c>
      <c r="D6903" t="inlineStr">
        <is>
          <t>b6885f18d203a61176418c1fb3764815</t>
        </is>
      </c>
      <c r="E6903" t="inlineStr">
        <is>
          <t>paid_search</t>
        </is>
      </c>
      <c r="F6903">
        <f>IFERROR(MATCH(A6903,Deals!$A$2:$A$843,0),"")</f>
        <v/>
      </c>
      <c r="G6903">
        <f>IF(F6903="",0,1)</f>
        <v/>
      </c>
      <c r="H6903" s="29">
        <f>IF(F6903="","",INDEX(Deals!$E$2:$E$843,F6903))</f>
        <v/>
      </c>
      <c r="I6903">
        <f>IF(F6903="","",INDEX(Deals!$D$2:$D$843,F6903))</f>
        <v/>
      </c>
      <c r="J6903">
        <f>IF(F6903="","",INT(H6903)-B6903)</f>
        <v/>
      </c>
      <c r="K6903">
        <f>IF(B6903&gt;=Settings!$C$5,1,0)</f>
        <v/>
      </c>
    </row>
    <row r="6904">
      <c r="A6904" t="inlineStr">
        <is>
          <t>a8de5273039f3fc34b037d1d35cd5674</t>
        </is>
      </c>
      <c r="B6904" s="29" t="n">
        <v>43013</v>
      </c>
      <c r="C6904" t="inlineStr">
        <is>
          <t>2017-10</t>
        </is>
      </c>
      <c r="D6904" t="inlineStr">
        <is>
          <t>b76ef37428e6799c421989521c0e5077</t>
        </is>
      </c>
      <c r="E6904" t="inlineStr">
        <is>
          <t>unknown</t>
        </is>
      </c>
      <c r="F6904">
        <f>IFERROR(MATCH(A6904,Deals!$A$2:$A$843,0),"")</f>
        <v/>
      </c>
      <c r="G6904">
        <f>IF(F6904="",0,1)</f>
        <v/>
      </c>
      <c r="H6904" s="29">
        <f>IF(F6904="","",INDEX(Deals!$E$2:$E$843,F6904))</f>
        <v/>
      </c>
      <c r="I6904">
        <f>IF(F6904="","",INDEX(Deals!$D$2:$D$843,F6904))</f>
        <v/>
      </c>
      <c r="J6904">
        <f>IF(F6904="","",INT(H6904)-B6904)</f>
        <v/>
      </c>
      <c r="K6904">
        <f>IF(B6904&gt;=Settings!$C$5,1,0)</f>
        <v/>
      </c>
    </row>
    <row r="6905">
      <c r="A6905" t="inlineStr">
        <is>
          <t>2c30dbced2ca2da386510d7416679269</t>
        </is>
      </c>
      <c r="B6905" s="29" t="n">
        <v>43164</v>
      </c>
      <c r="C6905" t="inlineStr">
        <is>
          <t>2018-03</t>
        </is>
      </c>
      <c r="D6905" t="inlineStr">
        <is>
          <t>b76ef37428e6799c421989521c0e5077</t>
        </is>
      </c>
      <c r="E6905" t="inlineStr">
        <is>
          <t>organic_search</t>
        </is>
      </c>
      <c r="F6905">
        <f>IFERROR(MATCH(A6905,Deals!$A$2:$A$843,0),"")</f>
        <v/>
      </c>
      <c r="G6905">
        <f>IF(F6905="",0,1)</f>
        <v/>
      </c>
      <c r="H6905" s="29">
        <f>IF(F6905="","",INDEX(Deals!$E$2:$E$843,F6905))</f>
        <v/>
      </c>
      <c r="I6905">
        <f>IF(F6905="","",INDEX(Deals!$D$2:$D$843,F6905))</f>
        <v/>
      </c>
      <c r="J6905">
        <f>IF(F6905="","",INT(H6905)-B6905)</f>
        <v/>
      </c>
      <c r="K6905">
        <f>IF(B6905&gt;=Settings!$C$5,1,0)</f>
        <v/>
      </c>
    </row>
    <row r="6906">
      <c r="A6906" t="inlineStr">
        <is>
          <t>22551a288cde5b41c4816769be4037ea</t>
        </is>
      </c>
      <c r="B6906" s="29" t="n">
        <v>43103</v>
      </c>
      <c r="C6906" t="inlineStr">
        <is>
          <t>2018-01</t>
        </is>
      </c>
      <c r="D6906" t="inlineStr">
        <is>
          <t>ce1a65abd0973638f1c887a6efcfa82d</t>
        </is>
      </c>
      <c r="E6906" t="inlineStr">
        <is>
          <t>organic_search</t>
        </is>
      </c>
      <c r="F6906">
        <f>IFERROR(MATCH(A6906,Deals!$A$2:$A$843,0),"")</f>
        <v/>
      </c>
      <c r="G6906">
        <f>IF(F6906="",0,1)</f>
        <v/>
      </c>
      <c r="H6906" s="29">
        <f>IF(F6906="","",INDEX(Deals!$E$2:$E$843,F6906))</f>
        <v/>
      </c>
      <c r="I6906">
        <f>IF(F6906="","",INDEX(Deals!$D$2:$D$843,F6906))</f>
        <v/>
      </c>
      <c r="J6906">
        <f>IF(F6906="","",INT(H6906)-B6906)</f>
        <v/>
      </c>
      <c r="K6906">
        <f>IF(B6906&gt;=Settings!$C$5,1,0)</f>
        <v/>
      </c>
    </row>
    <row r="6907">
      <c r="A6907" t="inlineStr">
        <is>
          <t>77b8d9f826278dc832c9ca6ce527f4cd</t>
        </is>
      </c>
      <c r="B6907" s="29" t="n">
        <v>43137</v>
      </c>
      <c r="C6907" t="inlineStr">
        <is>
          <t>2018-02</t>
        </is>
      </c>
      <c r="D6907" t="inlineStr">
        <is>
          <t>dfc3b656bac13de62e4efca322b3f2c1</t>
        </is>
      </c>
      <c r="E6907" t="inlineStr">
        <is>
          <t>email</t>
        </is>
      </c>
      <c r="F6907">
        <f>IFERROR(MATCH(A6907,Deals!$A$2:$A$843,0),"")</f>
        <v/>
      </c>
      <c r="G6907">
        <f>IF(F6907="",0,1)</f>
        <v/>
      </c>
      <c r="H6907" s="29">
        <f>IF(F6907="","",INDEX(Deals!$E$2:$E$843,F6907))</f>
        <v/>
      </c>
      <c r="I6907">
        <f>IF(F6907="","",INDEX(Deals!$D$2:$D$843,F6907))</f>
        <v/>
      </c>
      <c r="J6907">
        <f>IF(F6907="","",INT(H6907)-B6907)</f>
        <v/>
      </c>
      <c r="K6907">
        <f>IF(B6907&gt;=Settings!$C$5,1,0)</f>
        <v/>
      </c>
    </row>
    <row r="6908">
      <c r="A6908" t="inlineStr">
        <is>
          <t>47b5796a080e3cfd5088f65d08284385</t>
        </is>
      </c>
      <c r="B6908" s="29" t="n">
        <v>43125</v>
      </c>
      <c r="C6908" t="inlineStr">
        <is>
          <t>2018-01</t>
        </is>
      </c>
      <c r="D6908" t="inlineStr">
        <is>
          <t>88740e65d5d6b056e0cda098e1ea6313</t>
        </is>
      </c>
      <c r="E6908" t="inlineStr">
        <is>
          <t>social</t>
        </is>
      </c>
      <c r="F6908">
        <f>IFERROR(MATCH(A6908,Deals!$A$2:$A$843,0),"")</f>
        <v/>
      </c>
      <c r="G6908">
        <f>IF(F6908="",0,1)</f>
        <v/>
      </c>
      <c r="H6908" s="29">
        <f>IF(F6908="","",INDEX(Deals!$E$2:$E$843,F6908))</f>
        <v/>
      </c>
      <c r="I6908">
        <f>IF(F6908="","",INDEX(Deals!$D$2:$D$843,F6908))</f>
        <v/>
      </c>
      <c r="J6908">
        <f>IF(F6908="","",INT(H6908)-B6908)</f>
        <v/>
      </c>
      <c r="K6908">
        <f>IF(B6908&gt;=Settings!$C$5,1,0)</f>
        <v/>
      </c>
    </row>
    <row r="6909">
      <c r="A6909" t="inlineStr">
        <is>
          <t>b7fb2884d40fa347e723d7edb3a151d2</t>
        </is>
      </c>
      <c r="B6909" s="29" t="n">
        <v>43210</v>
      </c>
      <c r="C6909" t="inlineStr">
        <is>
          <t>2018-04</t>
        </is>
      </c>
      <c r="D6909" t="inlineStr">
        <is>
          <t>1baca9df5850e5ba75545d8b2eb8d966</t>
        </is>
      </c>
      <c r="E6909" t="inlineStr">
        <is>
          <t>paid_search</t>
        </is>
      </c>
      <c r="F6909">
        <f>IFERROR(MATCH(A6909,Deals!$A$2:$A$843,0),"")</f>
        <v/>
      </c>
      <c r="G6909">
        <f>IF(F6909="",0,1)</f>
        <v/>
      </c>
      <c r="H6909" s="29">
        <f>IF(F6909="","",INDEX(Deals!$E$2:$E$843,F6909))</f>
        <v/>
      </c>
      <c r="I6909">
        <f>IF(F6909="","",INDEX(Deals!$D$2:$D$843,F6909))</f>
        <v/>
      </c>
      <c r="J6909">
        <f>IF(F6909="","",INT(H6909)-B6909)</f>
        <v/>
      </c>
      <c r="K6909">
        <f>IF(B6909&gt;=Settings!$C$5,1,0)</f>
        <v/>
      </c>
    </row>
    <row r="6910">
      <c r="A6910" t="inlineStr">
        <is>
          <t>70ff8ba8a8c7c2152b0a4d3cb76583e0</t>
        </is>
      </c>
      <c r="B6910" s="29" t="n">
        <v>43166</v>
      </c>
      <c r="C6910" t="inlineStr">
        <is>
          <t>2018-03</t>
        </is>
      </c>
      <c r="D6910" t="inlineStr">
        <is>
          <t>f017be4dbf86243af5c1ebed0cff36a2</t>
        </is>
      </c>
      <c r="E6910" t="inlineStr">
        <is>
          <t>organic_search</t>
        </is>
      </c>
      <c r="F6910">
        <f>IFERROR(MATCH(A6910,Deals!$A$2:$A$843,0),"")</f>
        <v/>
      </c>
      <c r="G6910">
        <f>IF(F6910="",0,1)</f>
        <v/>
      </c>
      <c r="H6910" s="29">
        <f>IF(F6910="","",INDEX(Deals!$E$2:$E$843,F6910))</f>
        <v/>
      </c>
      <c r="I6910">
        <f>IF(F6910="","",INDEX(Deals!$D$2:$D$843,F6910))</f>
        <v/>
      </c>
      <c r="J6910">
        <f>IF(F6910="","",INT(H6910)-B6910)</f>
        <v/>
      </c>
      <c r="K6910">
        <f>IF(B6910&gt;=Settings!$C$5,1,0)</f>
        <v/>
      </c>
    </row>
    <row r="6911">
      <c r="A6911" t="inlineStr">
        <is>
          <t>a253f7f97019cf1a2c74eed3ce23db58</t>
        </is>
      </c>
      <c r="B6911" s="29" t="n">
        <v>43171</v>
      </c>
      <c r="C6911" t="inlineStr">
        <is>
          <t>2018-03</t>
        </is>
      </c>
      <c r="D6911" t="inlineStr">
        <is>
          <t>b76ef37428e6799c421989521c0e5077</t>
        </is>
      </c>
      <c r="E6911" t="inlineStr">
        <is>
          <t>unknown</t>
        </is>
      </c>
      <c r="F6911">
        <f>IFERROR(MATCH(A6911,Deals!$A$2:$A$843,0),"")</f>
        <v/>
      </c>
      <c r="G6911">
        <f>IF(F6911="",0,1)</f>
        <v/>
      </c>
      <c r="H6911" s="29">
        <f>IF(F6911="","",INDEX(Deals!$E$2:$E$843,F6911))</f>
        <v/>
      </c>
      <c r="I6911">
        <f>IF(F6911="","",INDEX(Deals!$D$2:$D$843,F6911))</f>
        <v/>
      </c>
      <c r="J6911">
        <f>IF(F6911="","",INT(H6911)-B6911)</f>
        <v/>
      </c>
      <c r="K6911">
        <f>IF(B6911&gt;=Settings!$C$5,1,0)</f>
        <v/>
      </c>
    </row>
    <row r="6912">
      <c r="A6912" t="inlineStr">
        <is>
          <t>09a66d2b77b4ea8c659311f7ea5add01</t>
        </is>
      </c>
      <c r="B6912" s="29" t="n">
        <v>43115</v>
      </c>
      <c r="C6912" t="inlineStr">
        <is>
          <t>2018-01</t>
        </is>
      </c>
      <c r="D6912" t="inlineStr">
        <is>
          <t>73f31a40697cc90a86c1273563ac230e</t>
        </is>
      </c>
      <c r="E6912" t="inlineStr">
        <is>
          <t>other</t>
        </is>
      </c>
      <c r="F6912">
        <f>IFERROR(MATCH(A6912,Deals!$A$2:$A$843,0),"")</f>
        <v/>
      </c>
      <c r="G6912">
        <f>IF(F6912="",0,1)</f>
        <v/>
      </c>
      <c r="H6912" s="29">
        <f>IF(F6912="","",INDEX(Deals!$E$2:$E$843,F6912))</f>
        <v/>
      </c>
      <c r="I6912">
        <f>IF(F6912="","",INDEX(Deals!$D$2:$D$843,F6912))</f>
        <v/>
      </c>
      <c r="J6912">
        <f>IF(F6912="","",INT(H6912)-B6912)</f>
        <v/>
      </c>
      <c r="K6912">
        <f>IF(B6912&gt;=Settings!$C$5,1,0)</f>
        <v/>
      </c>
    </row>
    <row r="6913">
      <c r="A6913" t="inlineStr">
        <is>
          <t>8613e9c2330f2be5e481c5d751507acc</t>
        </is>
      </c>
      <c r="B6913" s="29" t="n">
        <v>43172</v>
      </c>
      <c r="C6913" t="inlineStr">
        <is>
          <t>2018-03</t>
        </is>
      </c>
      <c r="D6913" t="inlineStr">
        <is>
          <t>40dec9f3d5259a3d2dbcdab2114fae47</t>
        </is>
      </c>
      <c r="E6913" t="inlineStr">
        <is>
          <t>paid_search</t>
        </is>
      </c>
      <c r="F6913">
        <f>IFERROR(MATCH(A6913,Deals!$A$2:$A$843,0),"")</f>
        <v/>
      </c>
      <c r="G6913">
        <f>IF(F6913="",0,1)</f>
        <v/>
      </c>
      <c r="H6913" s="29">
        <f>IF(F6913="","",INDEX(Deals!$E$2:$E$843,F6913))</f>
        <v/>
      </c>
      <c r="I6913">
        <f>IF(F6913="","",INDEX(Deals!$D$2:$D$843,F6913))</f>
        <v/>
      </c>
      <c r="J6913">
        <f>IF(F6913="","",INT(H6913)-B6913)</f>
        <v/>
      </c>
      <c r="K6913">
        <f>IF(B6913&gt;=Settings!$C$5,1,0)</f>
        <v/>
      </c>
    </row>
    <row r="6914">
      <c r="A6914" t="inlineStr">
        <is>
          <t>9022449a6088c336116c9b5fe457c700</t>
        </is>
      </c>
      <c r="B6914" s="29" t="n">
        <v>42955</v>
      </c>
      <c r="C6914" t="inlineStr">
        <is>
          <t>2017-08</t>
        </is>
      </c>
      <c r="D6914" t="inlineStr">
        <is>
          <t>007f9098284a86ee80ddeb25d53e0af8</t>
        </is>
      </c>
      <c r="E6914" t="inlineStr">
        <is>
          <t>organic_search</t>
        </is>
      </c>
      <c r="F6914">
        <f>IFERROR(MATCH(A6914,Deals!$A$2:$A$843,0),"")</f>
        <v/>
      </c>
      <c r="G6914">
        <f>IF(F6914="",0,1)</f>
        <v/>
      </c>
      <c r="H6914" s="29">
        <f>IF(F6914="","",INDEX(Deals!$E$2:$E$843,F6914))</f>
        <v/>
      </c>
      <c r="I6914">
        <f>IF(F6914="","",INDEX(Deals!$D$2:$D$843,F6914))</f>
        <v/>
      </c>
      <c r="J6914">
        <f>IF(F6914="","",INT(H6914)-B6914)</f>
        <v/>
      </c>
      <c r="K6914">
        <f>IF(B6914&gt;=Settings!$C$5,1,0)</f>
        <v/>
      </c>
    </row>
    <row r="6915">
      <c r="A6915" t="inlineStr">
        <is>
          <t>f3a15bc2d3fd476dc91a56ea54b1baf9</t>
        </is>
      </c>
      <c r="B6915" s="29" t="n">
        <v>43200</v>
      </c>
      <c r="C6915" t="inlineStr">
        <is>
          <t>2018-04</t>
        </is>
      </c>
      <c r="D6915" t="inlineStr">
        <is>
          <t>b76ef37428e6799c421989521c0e5077</t>
        </is>
      </c>
      <c r="E6915" t="inlineStr">
        <is>
          <t>unknown</t>
        </is>
      </c>
      <c r="F6915">
        <f>IFERROR(MATCH(A6915,Deals!$A$2:$A$843,0),"")</f>
        <v/>
      </c>
      <c r="G6915">
        <f>IF(F6915="",0,1)</f>
        <v/>
      </c>
      <c r="H6915" s="29">
        <f>IF(F6915="","",INDEX(Deals!$E$2:$E$843,F6915))</f>
        <v/>
      </c>
      <c r="I6915">
        <f>IF(F6915="","",INDEX(Deals!$D$2:$D$843,F6915))</f>
        <v/>
      </c>
      <c r="J6915">
        <f>IF(F6915="","",INT(H6915)-B6915)</f>
        <v/>
      </c>
      <c r="K6915">
        <f>IF(B6915&gt;=Settings!$C$5,1,0)</f>
        <v/>
      </c>
    </row>
    <row r="6916">
      <c r="A6916" t="inlineStr">
        <is>
          <t>92cb9a26e36b18031e5dad8db4edfddb</t>
        </is>
      </c>
      <c r="B6916" s="29" t="n">
        <v>43192</v>
      </c>
      <c r="C6916" t="inlineStr">
        <is>
          <t>2018-04</t>
        </is>
      </c>
      <c r="D6916" t="inlineStr">
        <is>
          <t>22c29808c4f815213303f8933030604c</t>
        </is>
      </c>
      <c r="E6916" t="inlineStr">
        <is>
          <t>organic_search</t>
        </is>
      </c>
      <c r="F6916">
        <f>IFERROR(MATCH(A6916,Deals!$A$2:$A$843,0),"")</f>
        <v/>
      </c>
      <c r="G6916">
        <f>IF(F6916="",0,1)</f>
        <v/>
      </c>
      <c r="H6916" s="29">
        <f>IF(F6916="","",INDEX(Deals!$E$2:$E$843,F6916))</f>
        <v/>
      </c>
      <c r="I6916">
        <f>IF(F6916="","",INDEX(Deals!$D$2:$D$843,F6916))</f>
        <v/>
      </c>
      <c r="J6916">
        <f>IF(F6916="","",INT(H6916)-B6916)</f>
        <v/>
      </c>
      <c r="K6916">
        <f>IF(B6916&gt;=Settings!$C$5,1,0)</f>
        <v/>
      </c>
    </row>
    <row r="6917">
      <c r="A6917" t="inlineStr">
        <is>
          <t>5f4e974a5f4e1643e264f86c20a74e64</t>
        </is>
      </c>
      <c r="B6917" s="29" t="n">
        <v>43125</v>
      </c>
      <c r="C6917" t="inlineStr">
        <is>
          <t>2018-01</t>
        </is>
      </c>
      <c r="D6917" t="inlineStr">
        <is>
          <t>73f31a40697cc90a86c1273563ac230e</t>
        </is>
      </c>
      <c r="E6917" t="inlineStr">
        <is>
          <t>other</t>
        </is>
      </c>
      <c r="F6917">
        <f>IFERROR(MATCH(A6917,Deals!$A$2:$A$843,0),"")</f>
        <v/>
      </c>
      <c r="G6917">
        <f>IF(F6917="",0,1)</f>
        <v/>
      </c>
      <c r="H6917" s="29">
        <f>IF(F6917="","",INDEX(Deals!$E$2:$E$843,F6917))</f>
        <v/>
      </c>
      <c r="I6917">
        <f>IF(F6917="","",INDEX(Deals!$D$2:$D$843,F6917))</f>
        <v/>
      </c>
      <c r="J6917">
        <f>IF(F6917="","",INT(H6917)-B6917)</f>
        <v/>
      </c>
      <c r="K6917">
        <f>IF(B6917&gt;=Settings!$C$5,1,0)</f>
        <v/>
      </c>
    </row>
    <row r="6918">
      <c r="A6918" t="inlineStr">
        <is>
          <t>d4be5395ff28a5a25aa7e28646cfa3d4</t>
        </is>
      </c>
      <c r="B6918" s="29" t="n">
        <v>43235</v>
      </c>
      <c r="C6918" t="inlineStr">
        <is>
          <t>2018-05</t>
        </is>
      </c>
      <c r="D6918" t="inlineStr">
        <is>
          <t>ce1a65abd0973638f1c887a6efcfa82d</t>
        </is>
      </c>
      <c r="E6918" t="inlineStr">
        <is>
          <t>organic_search</t>
        </is>
      </c>
      <c r="F6918">
        <f>IFERROR(MATCH(A6918,Deals!$A$2:$A$843,0),"")</f>
        <v/>
      </c>
      <c r="G6918">
        <f>IF(F6918="",0,1)</f>
        <v/>
      </c>
      <c r="H6918" s="29">
        <f>IF(F6918="","",INDEX(Deals!$E$2:$E$843,F6918))</f>
        <v/>
      </c>
      <c r="I6918">
        <f>IF(F6918="","",INDEX(Deals!$D$2:$D$843,F6918))</f>
        <v/>
      </c>
      <c r="J6918">
        <f>IF(F6918="","",INT(H6918)-B6918)</f>
        <v/>
      </c>
      <c r="K6918">
        <f>IF(B6918&gt;=Settings!$C$5,1,0)</f>
        <v/>
      </c>
    </row>
    <row r="6919">
      <c r="A6919" t="inlineStr">
        <is>
          <t>870cdc098364cd289859df80d41ed571</t>
        </is>
      </c>
      <c r="B6919" s="29" t="n">
        <v>43122</v>
      </c>
      <c r="C6919" t="inlineStr">
        <is>
          <t>2018-01</t>
        </is>
      </c>
      <c r="D6919" t="inlineStr">
        <is>
          <t>c30d0b4337fd05444a3fe502562508d1</t>
        </is>
      </c>
      <c r="E6919" t="inlineStr">
        <is>
          <t>email</t>
        </is>
      </c>
      <c r="F6919">
        <f>IFERROR(MATCH(A6919,Deals!$A$2:$A$843,0),"")</f>
        <v/>
      </c>
      <c r="G6919">
        <f>IF(F6919="",0,1)</f>
        <v/>
      </c>
      <c r="H6919" s="29">
        <f>IF(F6919="","",INDEX(Deals!$E$2:$E$843,F6919))</f>
        <v/>
      </c>
      <c r="I6919">
        <f>IF(F6919="","",INDEX(Deals!$D$2:$D$843,F6919))</f>
        <v/>
      </c>
      <c r="J6919">
        <f>IF(F6919="","",INT(H6919)-B6919)</f>
        <v/>
      </c>
      <c r="K6919">
        <f>IF(B6919&gt;=Settings!$C$5,1,0)</f>
        <v/>
      </c>
    </row>
    <row r="6920">
      <c r="A6920" t="inlineStr">
        <is>
          <t>73c55bc944ff08322761ffc22fcf10c1</t>
        </is>
      </c>
      <c r="B6920" s="29" t="n">
        <v>43218</v>
      </c>
      <c r="C6920" t="inlineStr">
        <is>
          <t>2018-04</t>
        </is>
      </c>
      <c r="D6920" t="inlineStr">
        <is>
          <t>30534107aa0013db92899c96a1017d0b</t>
        </is>
      </c>
      <c r="E6920" t="inlineStr">
        <is>
          <t>social</t>
        </is>
      </c>
      <c r="F6920">
        <f>IFERROR(MATCH(A6920,Deals!$A$2:$A$843,0),"")</f>
        <v/>
      </c>
      <c r="G6920">
        <f>IF(F6920="",0,1)</f>
        <v/>
      </c>
      <c r="H6920" s="29">
        <f>IF(F6920="","",INDEX(Deals!$E$2:$E$843,F6920))</f>
        <v/>
      </c>
      <c r="I6920">
        <f>IF(F6920="","",INDEX(Deals!$D$2:$D$843,F6920))</f>
        <v/>
      </c>
      <c r="J6920">
        <f>IF(F6920="","",INT(H6920)-B6920)</f>
        <v/>
      </c>
      <c r="K6920">
        <f>IF(B6920&gt;=Settings!$C$5,1,0)</f>
        <v/>
      </c>
    </row>
    <row r="6921">
      <c r="A6921" t="inlineStr">
        <is>
          <t>e10d2c6778afa7e23b9f5db6b1b55d9e</t>
        </is>
      </c>
      <c r="B6921" s="29" t="n">
        <v>43220</v>
      </c>
      <c r="C6921" t="inlineStr">
        <is>
          <t>2018-04</t>
        </is>
      </c>
      <c r="D6921" t="inlineStr">
        <is>
          <t>58326e62183c14b0c03085c33b9fdc44</t>
        </is>
      </c>
      <c r="E6921" t="inlineStr">
        <is>
          <t>social</t>
        </is>
      </c>
      <c r="F6921">
        <f>IFERROR(MATCH(A6921,Deals!$A$2:$A$843,0),"")</f>
        <v/>
      </c>
      <c r="G6921">
        <f>IF(F6921="",0,1)</f>
        <v/>
      </c>
      <c r="H6921" s="29">
        <f>IF(F6921="","",INDEX(Deals!$E$2:$E$843,F6921))</f>
        <v/>
      </c>
      <c r="I6921">
        <f>IF(F6921="","",INDEX(Deals!$D$2:$D$843,F6921))</f>
        <v/>
      </c>
      <c r="J6921">
        <f>IF(F6921="","",INT(H6921)-B6921)</f>
        <v/>
      </c>
      <c r="K6921">
        <f>IF(B6921&gt;=Settings!$C$5,1,0)</f>
        <v/>
      </c>
    </row>
    <row r="6922">
      <c r="A6922" t="inlineStr">
        <is>
          <t>d98d13ba5eca356faee405b3d49d316c</t>
        </is>
      </c>
      <c r="B6922" s="29" t="n">
        <v>43111</v>
      </c>
      <c r="C6922" t="inlineStr">
        <is>
          <t>2018-01</t>
        </is>
      </c>
      <c r="D6922" t="inlineStr">
        <is>
          <t>22c29808c4f815213303f8933030604c</t>
        </is>
      </c>
      <c r="E6922" t="inlineStr">
        <is>
          <t>direct_traffic</t>
        </is>
      </c>
      <c r="F6922">
        <f>IFERROR(MATCH(A6922,Deals!$A$2:$A$843,0),"")</f>
        <v/>
      </c>
      <c r="G6922">
        <f>IF(F6922="",0,1)</f>
        <v/>
      </c>
      <c r="H6922" s="29">
        <f>IF(F6922="","",INDEX(Deals!$E$2:$E$843,F6922))</f>
        <v/>
      </c>
      <c r="I6922">
        <f>IF(F6922="","",INDEX(Deals!$D$2:$D$843,F6922))</f>
        <v/>
      </c>
      <c r="J6922">
        <f>IF(F6922="","",INT(H6922)-B6922)</f>
        <v/>
      </c>
      <c r="K6922">
        <f>IF(B6922&gt;=Settings!$C$5,1,0)</f>
        <v/>
      </c>
    </row>
    <row r="6923">
      <c r="A6923" t="inlineStr">
        <is>
          <t>39d6c36ac66b6dc4ad16dbc82b572a96</t>
        </is>
      </c>
      <c r="B6923" s="29" t="n">
        <v>43003</v>
      </c>
      <c r="C6923" t="inlineStr">
        <is>
          <t>2017-09</t>
        </is>
      </c>
      <c r="D6923" t="inlineStr">
        <is>
          <t>87732658ba41d8775e8577df347a64db</t>
        </is>
      </c>
      <c r="E6923" t="inlineStr">
        <is>
          <t>direct_traffic</t>
        </is>
      </c>
      <c r="F6923">
        <f>IFERROR(MATCH(A6923,Deals!$A$2:$A$843,0),"")</f>
        <v/>
      </c>
      <c r="G6923">
        <f>IF(F6923="",0,1)</f>
        <v/>
      </c>
      <c r="H6923" s="29">
        <f>IF(F6923="","",INDEX(Deals!$E$2:$E$843,F6923))</f>
        <v/>
      </c>
      <c r="I6923">
        <f>IF(F6923="","",INDEX(Deals!$D$2:$D$843,F6923))</f>
        <v/>
      </c>
      <c r="J6923">
        <f>IF(F6923="","",INT(H6923)-B6923)</f>
        <v/>
      </c>
      <c r="K6923">
        <f>IF(B6923&gt;=Settings!$C$5,1,0)</f>
        <v/>
      </c>
    </row>
    <row r="6924">
      <c r="A6924" t="inlineStr">
        <is>
          <t>0359f3653b20ee2edfa3cc67ecefc35a</t>
        </is>
      </c>
      <c r="B6924" s="29" t="n">
        <v>43139</v>
      </c>
      <c r="C6924" t="inlineStr">
        <is>
          <t>2018-02</t>
        </is>
      </c>
      <c r="D6924" t="inlineStr">
        <is>
          <t>88740e65d5d6b056e0cda098e1ea6313</t>
        </is>
      </c>
      <c r="E6924" t="inlineStr">
        <is>
          <t>social</t>
        </is>
      </c>
      <c r="F6924">
        <f>IFERROR(MATCH(A6924,Deals!$A$2:$A$843,0),"")</f>
        <v/>
      </c>
      <c r="G6924">
        <f>IF(F6924="",0,1)</f>
        <v/>
      </c>
      <c r="H6924" s="29">
        <f>IF(F6924="","",INDEX(Deals!$E$2:$E$843,F6924))</f>
        <v/>
      </c>
      <c r="I6924">
        <f>IF(F6924="","",INDEX(Deals!$D$2:$D$843,F6924))</f>
        <v/>
      </c>
      <c r="J6924">
        <f>IF(F6924="","",INT(H6924)-B6924)</f>
        <v/>
      </c>
      <c r="K6924">
        <f>IF(B6924&gt;=Settings!$C$5,1,0)</f>
        <v/>
      </c>
    </row>
    <row r="6925">
      <c r="A6925" t="inlineStr">
        <is>
          <t>7d29296507a870b8271176e4a21abd16</t>
        </is>
      </c>
      <c r="B6925" s="29" t="n">
        <v>43207</v>
      </c>
      <c r="C6925" t="inlineStr">
        <is>
          <t>2018-04</t>
        </is>
      </c>
      <c r="D6925" t="inlineStr">
        <is>
          <t>27cd3540bace1f4a4b2bc6d319b0553c</t>
        </is>
      </c>
      <c r="E6925" t="inlineStr">
        <is>
          <t>organic_search</t>
        </is>
      </c>
      <c r="F6925">
        <f>IFERROR(MATCH(A6925,Deals!$A$2:$A$843,0),"")</f>
        <v/>
      </c>
      <c r="G6925">
        <f>IF(F6925="",0,1)</f>
        <v/>
      </c>
      <c r="H6925" s="29">
        <f>IF(F6925="","",INDEX(Deals!$E$2:$E$843,F6925))</f>
        <v/>
      </c>
      <c r="I6925">
        <f>IF(F6925="","",INDEX(Deals!$D$2:$D$843,F6925))</f>
        <v/>
      </c>
      <c r="J6925">
        <f>IF(F6925="","",INT(H6925)-B6925)</f>
        <v/>
      </c>
      <c r="K6925">
        <f>IF(B6925&gt;=Settings!$C$5,1,0)</f>
        <v/>
      </c>
    </row>
    <row r="6926">
      <c r="A6926" t="inlineStr">
        <is>
          <t>3724b218f56fc9192efa744b62f4bd1c</t>
        </is>
      </c>
      <c r="B6926" s="29" t="n">
        <v>43132</v>
      </c>
      <c r="C6926" t="inlineStr">
        <is>
          <t>2018-02</t>
        </is>
      </c>
      <c r="D6926" t="inlineStr">
        <is>
          <t>0f7f8ed9a1db8fc2a42e273972db10d4</t>
        </is>
      </c>
      <c r="E6926" t="inlineStr">
        <is>
          <t>paid_search</t>
        </is>
      </c>
      <c r="F6926">
        <f>IFERROR(MATCH(A6926,Deals!$A$2:$A$843,0),"")</f>
        <v/>
      </c>
      <c r="G6926">
        <f>IF(F6926="",0,1)</f>
        <v/>
      </c>
      <c r="H6926" s="29">
        <f>IF(F6926="","",INDEX(Deals!$E$2:$E$843,F6926))</f>
        <v/>
      </c>
      <c r="I6926">
        <f>IF(F6926="","",INDEX(Deals!$D$2:$D$843,F6926))</f>
        <v/>
      </c>
      <c r="J6926">
        <f>IF(F6926="","",INT(H6926)-B6926)</f>
        <v/>
      </c>
      <c r="K6926">
        <f>IF(B6926&gt;=Settings!$C$5,1,0)</f>
        <v/>
      </c>
    </row>
    <row r="6927">
      <c r="A6927" t="inlineStr">
        <is>
          <t>512ba6448f63790387e2ad3d3bc630d0</t>
        </is>
      </c>
      <c r="B6927" s="29" t="n">
        <v>43061</v>
      </c>
      <c r="C6927" t="inlineStr">
        <is>
          <t>2017-11</t>
        </is>
      </c>
      <c r="D6927" t="inlineStr">
        <is>
          <t>253c51690efe34b79a8e2b516effa8cc</t>
        </is>
      </c>
      <c r="E6927" t="inlineStr">
        <is>
          <t>direct_traffic</t>
        </is>
      </c>
      <c r="F6927">
        <f>IFERROR(MATCH(A6927,Deals!$A$2:$A$843,0),"")</f>
        <v/>
      </c>
      <c r="G6927">
        <f>IF(F6927="",0,1)</f>
        <v/>
      </c>
      <c r="H6927" s="29">
        <f>IF(F6927="","",INDEX(Deals!$E$2:$E$843,F6927))</f>
        <v/>
      </c>
      <c r="I6927">
        <f>IF(F6927="","",INDEX(Deals!$D$2:$D$843,F6927))</f>
        <v/>
      </c>
      <c r="J6927">
        <f>IF(F6927="","",INT(H6927)-B6927)</f>
        <v/>
      </c>
      <c r="K6927">
        <f>IF(B6927&gt;=Settings!$C$5,1,0)</f>
        <v/>
      </c>
    </row>
    <row r="6928">
      <c r="A6928" t="inlineStr">
        <is>
          <t>2114fa651bf766a228f65349d0ae22e2</t>
        </is>
      </c>
      <c r="B6928" s="29" t="n">
        <v>43108</v>
      </c>
      <c r="C6928" t="inlineStr">
        <is>
          <t>2018-01</t>
        </is>
      </c>
      <c r="D6928" t="inlineStr">
        <is>
          <t>73f31a40697cc90a86c1273563ac230e</t>
        </is>
      </c>
      <c r="E6928" t="inlineStr">
        <is>
          <t>other</t>
        </is>
      </c>
      <c r="F6928">
        <f>IFERROR(MATCH(A6928,Deals!$A$2:$A$843,0),"")</f>
        <v/>
      </c>
      <c r="G6928">
        <f>IF(F6928="",0,1)</f>
        <v/>
      </c>
      <c r="H6928" s="29">
        <f>IF(F6928="","",INDEX(Deals!$E$2:$E$843,F6928))</f>
        <v/>
      </c>
      <c r="I6928">
        <f>IF(F6928="","",INDEX(Deals!$D$2:$D$843,F6928))</f>
        <v/>
      </c>
      <c r="J6928">
        <f>IF(F6928="","",INT(H6928)-B6928)</f>
        <v/>
      </c>
      <c r="K6928">
        <f>IF(B6928&gt;=Settings!$C$5,1,0)</f>
        <v/>
      </c>
    </row>
    <row r="6929">
      <c r="A6929" t="inlineStr">
        <is>
          <t>4ad7fff9ccf799f755109fa80dcd8b10</t>
        </is>
      </c>
      <c r="B6929" s="29" t="n">
        <v>42954</v>
      </c>
      <c r="C6929" t="inlineStr">
        <is>
          <t>2017-08</t>
        </is>
      </c>
      <c r="D6929" t="inlineStr">
        <is>
          <t>154e7506c0176dc761f19fa0cb4988c4</t>
        </is>
      </c>
      <c r="E6929" t="inlineStr">
        <is>
          <t>unknown</t>
        </is>
      </c>
      <c r="F6929">
        <f>IFERROR(MATCH(A6929,Deals!$A$2:$A$843,0),"")</f>
        <v/>
      </c>
      <c r="G6929">
        <f>IF(F6929="",0,1)</f>
        <v/>
      </c>
      <c r="H6929" s="29">
        <f>IF(F6929="","",INDEX(Deals!$E$2:$E$843,F6929))</f>
        <v/>
      </c>
      <c r="I6929">
        <f>IF(F6929="","",INDEX(Deals!$D$2:$D$843,F6929))</f>
        <v/>
      </c>
      <c r="J6929">
        <f>IF(F6929="","",INT(H6929)-B6929)</f>
        <v/>
      </c>
      <c r="K6929">
        <f>IF(B6929&gt;=Settings!$C$5,1,0)</f>
        <v/>
      </c>
    </row>
    <row r="6930">
      <c r="A6930" t="inlineStr">
        <is>
          <t>f812d76fe4aaf25c32584b9597915c61</t>
        </is>
      </c>
      <c r="B6930" s="29" t="n">
        <v>43161</v>
      </c>
      <c r="C6930" t="inlineStr">
        <is>
          <t>2018-03</t>
        </is>
      </c>
      <c r="D6930" t="inlineStr">
        <is>
          <t>dff49c1e54630a22f1ca28fcc02daca0</t>
        </is>
      </c>
      <c r="E6930" t="inlineStr">
        <is>
          <t>unknown</t>
        </is>
      </c>
      <c r="F6930">
        <f>IFERROR(MATCH(A6930,Deals!$A$2:$A$843,0),"")</f>
        <v/>
      </c>
      <c r="G6930">
        <f>IF(F6930="",0,1)</f>
        <v/>
      </c>
      <c r="H6930" s="29">
        <f>IF(F6930="","",INDEX(Deals!$E$2:$E$843,F6930))</f>
        <v/>
      </c>
      <c r="I6930">
        <f>IF(F6930="","",INDEX(Deals!$D$2:$D$843,F6930))</f>
        <v/>
      </c>
      <c r="J6930">
        <f>IF(F6930="","",INT(H6930)-B6930)</f>
        <v/>
      </c>
      <c r="K6930">
        <f>IF(B6930&gt;=Settings!$C$5,1,0)</f>
        <v/>
      </c>
    </row>
    <row r="6931">
      <c r="A6931" t="inlineStr">
        <is>
          <t>4a7ac5ec1c290b547e0045b8e89d5ce4</t>
        </is>
      </c>
      <c r="B6931" s="29" t="n">
        <v>43181</v>
      </c>
      <c r="C6931" t="inlineStr">
        <is>
          <t>2018-03</t>
        </is>
      </c>
      <c r="D6931" t="inlineStr">
        <is>
          <t>b76ef37428e6799c421989521c0e5077</t>
        </is>
      </c>
      <c r="E6931" t="inlineStr">
        <is>
          <t>unknown</t>
        </is>
      </c>
      <c r="F6931">
        <f>IFERROR(MATCH(A6931,Deals!$A$2:$A$843,0),"")</f>
        <v/>
      </c>
      <c r="G6931">
        <f>IF(F6931="",0,1)</f>
        <v/>
      </c>
      <c r="H6931" s="29">
        <f>IF(F6931="","",INDEX(Deals!$E$2:$E$843,F6931))</f>
        <v/>
      </c>
      <c r="I6931">
        <f>IF(F6931="","",INDEX(Deals!$D$2:$D$843,F6931))</f>
        <v/>
      </c>
      <c r="J6931">
        <f>IF(F6931="","",INT(H6931)-B6931)</f>
        <v/>
      </c>
      <c r="K6931">
        <f>IF(B6931&gt;=Settings!$C$5,1,0)</f>
        <v/>
      </c>
    </row>
    <row r="6932">
      <c r="A6932" t="inlineStr">
        <is>
          <t>a36b055555e9211a3c90782b76e493d1</t>
        </is>
      </c>
      <c r="B6932" s="29" t="n">
        <v>43217</v>
      </c>
      <c r="C6932" t="inlineStr">
        <is>
          <t>2018-04</t>
        </is>
      </c>
      <c r="D6932" t="inlineStr">
        <is>
          <t>22c29808c4f815213303f8933030604c</t>
        </is>
      </c>
      <c r="E6932" t="inlineStr">
        <is>
          <t>organic_search</t>
        </is>
      </c>
      <c r="F6932">
        <f>IFERROR(MATCH(A6932,Deals!$A$2:$A$843,0),"")</f>
        <v/>
      </c>
      <c r="G6932">
        <f>IF(F6932="",0,1)</f>
        <v/>
      </c>
      <c r="H6932" s="29">
        <f>IF(F6932="","",INDEX(Deals!$E$2:$E$843,F6932))</f>
        <v/>
      </c>
      <c r="I6932">
        <f>IF(F6932="","",INDEX(Deals!$D$2:$D$843,F6932))</f>
        <v/>
      </c>
      <c r="J6932">
        <f>IF(F6932="","",INT(H6932)-B6932)</f>
        <v/>
      </c>
      <c r="K6932">
        <f>IF(B6932&gt;=Settings!$C$5,1,0)</f>
        <v/>
      </c>
    </row>
    <row r="6933">
      <c r="A6933" t="inlineStr">
        <is>
          <t>71305367b64c7be0afa9294b3c57266f</t>
        </is>
      </c>
      <c r="B6933" s="29" t="n">
        <v>43156</v>
      </c>
      <c r="C6933" t="inlineStr">
        <is>
          <t>2018-02</t>
        </is>
      </c>
      <c r="D6933" t="inlineStr">
        <is>
          <t>b6cd08ac77c501fd6857f7916d2c24f3</t>
        </is>
      </c>
      <c r="E6933" t="inlineStr">
        <is>
          <t>email</t>
        </is>
      </c>
      <c r="F6933">
        <f>IFERROR(MATCH(A6933,Deals!$A$2:$A$843,0),"")</f>
        <v/>
      </c>
      <c r="G6933">
        <f>IF(F6933="",0,1)</f>
        <v/>
      </c>
      <c r="H6933" s="29">
        <f>IF(F6933="","",INDEX(Deals!$E$2:$E$843,F6933))</f>
        <v/>
      </c>
      <c r="I6933">
        <f>IF(F6933="","",INDEX(Deals!$D$2:$D$843,F6933))</f>
        <v/>
      </c>
      <c r="J6933">
        <f>IF(F6933="","",INT(H6933)-B6933)</f>
        <v/>
      </c>
      <c r="K6933">
        <f>IF(B6933&gt;=Settings!$C$5,1,0)</f>
        <v/>
      </c>
    </row>
    <row r="6934">
      <c r="A6934" t="inlineStr">
        <is>
          <t>07f26c1e7d2873a9e6860909c00075c2</t>
        </is>
      </c>
      <c r="B6934" s="29" t="n">
        <v>43228</v>
      </c>
      <c r="C6934" t="inlineStr">
        <is>
          <t>2018-05</t>
        </is>
      </c>
      <c r="D6934" t="inlineStr">
        <is>
          <t>22c29808c4f815213303f8933030604c</t>
        </is>
      </c>
      <c r="E6934" t="inlineStr">
        <is>
          <t>paid_search</t>
        </is>
      </c>
      <c r="F6934">
        <f>IFERROR(MATCH(A6934,Deals!$A$2:$A$843,0),"")</f>
        <v/>
      </c>
      <c r="G6934">
        <f>IF(F6934="",0,1)</f>
        <v/>
      </c>
      <c r="H6934" s="29">
        <f>IF(F6934="","",INDEX(Deals!$E$2:$E$843,F6934))</f>
        <v/>
      </c>
      <c r="I6934">
        <f>IF(F6934="","",INDEX(Deals!$D$2:$D$843,F6934))</f>
        <v/>
      </c>
      <c r="J6934">
        <f>IF(F6934="","",INT(H6934)-B6934)</f>
        <v/>
      </c>
      <c r="K6934">
        <f>IF(B6934&gt;=Settings!$C$5,1,0)</f>
        <v/>
      </c>
    </row>
    <row r="6935">
      <c r="A6935" t="inlineStr">
        <is>
          <t>59ddf60f6efb7a194b24a392215fb222</t>
        </is>
      </c>
      <c r="B6935" s="29" t="n">
        <v>43111</v>
      </c>
      <c r="C6935" t="inlineStr">
        <is>
          <t>2018-01</t>
        </is>
      </c>
      <c r="D6935" t="inlineStr">
        <is>
          <t>b76ef37428e6799c421989521c0e5077</t>
        </is>
      </c>
      <c r="E6935" t="inlineStr">
        <is>
          <t>unknown</t>
        </is>
      </c>
      <c r="F6935">
        <f>IFERROR(MATCH(A6935,Deals!$A$2:$A$843,0),"")</f>
        <v/>
      </c>
      <c r="G6935">
        <f>IF(F6935="",0,1)</f>
        <v/>
      </c>
      <c r="H6935" s="29">
        <f>IF(F6935="","",INDEX(Deals!$E$2:$E$843,F6935))</f>
        <v/>
      </c>
      <c r="I6935">
        <f>IF(F6935="","",INDEX(Deals!$D$2:$D$843,F6935))</f>
        <v/>
      </c>
      <c r="J6935">
        <f>IF(F6935="","",INT(H6935)-B6935)</f>
        <v/>
      </c>
      <c r="K6935">
        <f>IF(B6935&gt;=Settings!$C$5,1,0)</f>
        <v/>
      </c>
    </row>
    <row r="6936">
      <c r="A6936" t="inlineStr">
        <is>
          <t>0a25e9cdae4899472cc085e43b0c4d5a</t>
        </is>
      </c>
      <c r="B6936" s="29" t="n">
        <v>43219</v>
      </c>
      <c r="C6936" t="inlineStr">
        <is>
          <t>2018-04</t>
        </is>
      </c>
      <c r="D6936" t="inlineStr">
        <is>
          <t>58326e62183c14b0c03085c33b9fdc44</t>
        </is>
      </c>
      <c r="E6936" t="inlineStr">
        <is>
          <t>social</t>
        </is>
      </c>
      <c r="F6936">
        <f>IFERROR(MATCH(A6936,Deals!$A$2:$A$843,0),"")</f>
        <v/>
      </c>
      <c r="G6936">
        <f>IF(F6936="",0,1)</f>
        <v/>
      </c>
      <c r="H6936" s="29">
        <f>IF(F6936="","",INDEX(Deals!$E$2:$E$843,F6936))</f>
        <v/>
      </c>
      <c r="I6936">
        <f>IF(F6936="","",INDEX(Deals!$D$2:$D$843,F6936))</f>
        <v/>
      </c>
      <c r="J6936">
        <f>IF(F6936="","",INT(H6936)-B6936)</f>
        <v/>
      </c>
      <c r="K6936">
        <f>IF(B6936&gt;=Settings!$C$5,1,0)</f>
        <v/>
      </c>
    </row>
    <row r="6937">
      <c r="A6937" t="inlineStr">
        <is>
          <t>a83840c17c2b2a522f05290db1efbb18</t>
        </is>
      </c>
      <c r="B6937" s="29" t="n">
        <v>43123</v>
      </c>
      <c r="C6937" t="inlineStr">
        <is>
          <t>2018-01</t>
        </is>
      </c>
      <c r="D6937" t="inlineStr">
        <is>
          <t>c30d0b4337fd05444a3fe502562508d1</t>
        </is>
      </c>
      <c r="E6937" t="inlineStr">
        <is>
          <t>direct_traffic</t>
        </is>
      </c>
      <c r="F6937">
        <f>IFERROR(MATCH(A6937,Deals!$A$2:$A$843,0),"")</f>
        <v/>
      </c>
      <c r="G6937">
        <f>IF(F6937="",0,1)</f>
        <v/>
      </c>
      <c r="H6937" s="29">
        <f>IF(F6937="","",INDEX(Deals!$E$2:$E$843,F6937))</f>
        <v/>
      </c>
      <c r="I6937">
        <f>IF(F6937="","",INDEX(Deals!$D$2:$D$843,F6937))</f>
        <v/>
      </c>
      <c r="J6937">
        <f>IF(F6937="","",INT(H6937)-B6937)</f>
        <v/>
      </c>
      <c r="K6937">
        <f>IF(B6937&gt;=Settings!$C$5,1,0)</f>
        <v/>
      </c>
    </row>
    <row r="6938">
      <c r="A6938" t="inlineStr">
        <is>
          <t>dcb63974e7efcb5cf46738cb2a22edf1</t>
        </is>
      </c>
      <c r="B6938" s="29" t="n">
        <v>43193</v>
      </c>
      <c r="C6938" t="inlineStr">
        <is>
          <t>2018-04</t>
        </is>
      </c>
      <c r="D6938" t="inlineStr">
        <is>
          <t>22c29808c4f815213303f8933030604c</t>
        </is>
      </c>
      <c r="E6938" t="inlineStr">
        <is>
          <t>organic_search</t>
        </is>
      </c>
      <c r="F6938">
        <f>IFERROR(MATCH(A6938,Deals!$A$2:$A$843,0),"")</f>
        <v/>
      </c>
      <c r="G6938">
        <f>IF(F6938="",0,1)</f>
        <v/>
      </c>
      <c r="H6938" s="29">
        <f>IF(F6938="","",INDEX(Deals!$E$2:$E$843,F6938))</f>
        <v/>
      </c>
      <c r="I6938">
        <f>IF(F6938="","",INDEX(Deals!$D$2:$D$843,F6938))</f>
        <v/>
      </c>
      <c r="J6938">
        <f>IF(F6938="","",INT(H6938)-B6938)</f>
        <v/>
      </c>
      <c r="K6938">
        <f>IF(B6938&gt;=Settings!$C$5,1,0)</f>
        <v/>
      </c>
    </row>
    <row r="6939">
      <c r="A6939" t="inlineStr">
        <is>
          <t>b4d0509ed4a1714466204c0b30de3f62</t>
        </is>
      </c>
      <c r="B6939" s="29" t="n">
        <v>43149</v>
      </c>
      <c r="C6939" t="inlineStr">
        <is>
          <t>2018-02</t>
        </is>
      </c>
      <c r="D6939" t="inlineStr">
        <is>
          <t>2f08471dfb83baef522f952438a36f6e</t>
        </is>
      </c>
      <c r="E6939" t="inlineStr">
        <is>
          <t>organic_search</t>
        </is>
      </c>
      <c r="F6939">
        <f>IFERROR(MATCH(A6939,Deals!$A$2:$A$843,0),"")</f>
        <v/>
      </c>
      <c r="G6939">
        <f>IF(F6939="",0,1)</f>
        <v/>
      </c>
      <c r="H6939" s="29">
        <f>IF(F6939="","",INDEX(Deals!$E$2:$E$843,F6939))</f>
        <v/>
      </c>
      <c r="I6939">
        <f>IF(F6939="","",INDEX(Deals!$D$2:$D$843,F6939))</f>
        <v/>
      </c>
      <c r="J6939">
        <f>IF(F6939="","",INT(H6939)-B6939)</f>
        <v/>
      </c>
      <c r="K6939">
        <f>IF(B6939&gt;=Settings!$C$5,1,0)</f>
        <v/>
      </c>
    </row>
    <row r="6940">
      <c r="A6940" t="inlineStr">
        <is>
          <t>e25ca237a194723ab3c86e793660ef21</t>
        </is>
      </c>
      <c r="B6940" s="29" t="n">
        <v>43214</v>
      </c>
      <c r="C6940" t="inlineStr">
        <is>
          <t>2018-04</t>
        </is>
      </c>
      <c r="D6940" t="inlineStr">
        <is>
          <t>58326e62183c14b0c03085c33b9fdc44</t>
        </is>
      </c>
      <c r="E6940" t="inlineStr">
        <is>
          <t>social</t>
        </is>
      </c>
      <c r="F6940">
        <f>IFERROR(MATCH(A6940,Deals!$A$2:$A$843,0),"")</f>
        <v/>
      </c>
      <c r="G6940">
        <f>IF(F6940="",0,1)</f>
        <v/>
      </c>
      <c r="H6940" s="29">
        <f>IF(F6940="","",INDEX(Deals!$E$2:$E$843,F6940))</f>
        <v/>
      </c>
      <c r="I6940">
        <f>IF(F6940="","",INDEX(Deals!$D$2:$D$843,F6940))</f>
        <v/>
      </c>
      <c r="J6940">
        <f>IF(F6940="","",INT(H6940)-B6940)</f>
        <v/>
      </c>
      <c r="K6940">
        <f>IF(B6940&gt;=Settings!$C$5,1,0)</f>
        <v/>
      </c>
    </row>
    <row r="6941">
      <c r="A6941" t="inlineStr">
        <is>
          <t>457600e8d77d4633f679f425e0526fc0</t>
        </is>
      </c>
      <c r="B6941" s="29" t="n">
        <v>43081</v>
      </c>
      <c r="C6941" t="inlineStr">
        <is>
          <t>2017-12</t>
        </is>
      </c>
      <c r="D6941" t="inlineStr">
        <is>
          <t>88740e65d5d6b056e0cda098e1ea6313</t>
        </is>
      </c>
      <c r="E6941" t="inlineStr">
        <is>
          <t>social</t>
        </is>
      </c>
      <c r="F6941">
        <f>IFERROR(MATCH(A6941,Deals!$A$2:$A$843,0),"")</f>
        <v/>
      </c>
      <c r="G6941">
        <f>IF(F6941="",0,1)</f>
        <v/>
      </c>
      <c r="H6941" s="29">
        <f>IF(F6941="","",INDEX(Deals!$E$2:$E$843,F6941))</f>
        <v/>
      </c>
      <c r="I6941">
        <f>IF(F6941="","",INDEX(Deals!$D$2:$D$843,F6941))</f>
        <v/>
      </c>
      <c r="J6941">
        <f>IF(F6941="","",INT(H6941)-B6941)</f>
        <v/>
      </c>
      <c r="K6941">
        <f>IF(B6941&gt;=Settings!$C$5,1,0)</f>
        <v/>
      </c>
    </row>
    <row r="6942">
      <c r="A6942" t="inlineStr">
        <is>
          <t>7c678b0576f9b98b734c11d7c4f7683f</t>
        </is>
      </c>
      <c r="B6942" s="29" t="n">
        <v>43139</v>
      </c>
      <c r="C6942" t="inlineStr">
        <is>
          <t>2018-02</t>
        </is>
      </c>
      <c r="D6942" t="inlineStr">
        <is>
          <t>4e82dd1f6d00626bda0723eef0a269a6</t>
        </is>
      </c>
      <c r="E6942" t="inlineStr">
        <is>
          <t>organic_search</t>
        </is>
      </c>
      <c r="F6942">
        <f>IFERROR(MATCH(A6942,Deals!$A$2:$A$843,0),"")</f>
        <v/>
      </c>
      <c r="G6942">
        <f>IF(F6942="",0,1)</f>
        <v/>
      </c>
      <c r="H6942" s="29">
        <f>IF(F6942="","",INDEX(Deals!$E$2:$E$843,F6942))</f>
        <v/>
      </c>
      <c r="I6942">
        <f>IF(F6942="","",INDEX(Deals!$D$2:$D$843,F6942))</f>
        <v/>
      </c>
      <c r="J6942">
        <f>IF(F6942="","",INT(H6942)-B6942)</f>
        <v/>
      </c>
      <c r="K6942">
        <f>IF(B6942&gt;=Settings!$C$5,1,0)</f>
        <v/>
      </c>
    </row>
    <row r="6943">
      <c r="A6943" t="inlineStr">
        <is>
          <t>ac277d3015e944fb761335665b83f5f4</t>
        </is>
      </c>
      <c r="B6943" s="29" t="n">
        <v>43130</v>
      </c>
      <c r="C6943" t="inlineStr">
        <is>
          <t>2018-01</t>
        </is>
      </c>
      <c r="D6943" t="inlineStr">
        <is>
          <t>e492ee5eaf1697716985cc6f33f9cd9b</t>
        </is>
      </c>
      <c r="E6943" t="inlineStr">
        <is>
          <t>organic_search</t>
        </is>
      </c>
      <c r="F6943">
        <f>IFERROR(MATCH(A6943,Deals!$A$2:$A$843,0),"")</f>
        <v/>
      </c>
      <c r="G6943">
        <f>IF(F6943="",0,1)</f>
        <v/>
      </c>
      <c r="H6943" s="29">
        <f>IF(F6943="","",INDEX(Deals!$E$2:$E$843,F6943))</f>
        <v/>
      </c>
      <c r="I6943">
        <f>IF(F6943="","",INDEX(Deals!$D$2:$D$843,F6943))</f>
        <v/>
      </c>
      <c r="J6943">
        <f>IF(F6943="","",INT(H6943)-B6943)</f>
        <v/>
      </c>
      <c r="K6943">
        <f>IF(B6943&gt;=Settings!$C$5,1,0)</f>
        <v/>
      </c>
    </row>
    <row r="6944">
      <c r="A6944" t="inlineStr">
        <is>
          <t>ffacbb7db90628bfcc8be667616dfcc7</t>
        </is>
      </c>
      <c r="B6944" s="29" t="n">
        <v>43115</v>
      </c>
      <c r="C6944" t="inlineStr">
        <is>
          <t>2018-01</t>
        </is>
      </c>
      <c r="D6944" t="inlineStr">
        <is>
          <t>40dec9f3d5259a3d2dbcdab2114fae47</t>
        </is>
      </c>
      <c r="E6944" t="inlineStr">
        <is>
          <t>paid_search</t>
        </is>
      </c>
      <c r="F6944">
        <f>IFERROR(MATCH(A6944,Deals!$A$2:$A$843,0),"")</f>
        <v/>
      </c>
      <c r="G6944">
        <f>IF(F6944="",0,1)</f>
        <v/>
      </c>
      <c r="H6944" s="29">
        <f>IF(F6944="","",INDEX(Deals!$E$2:$E$843,F6944))</f>
        <v/>
      </c>
      <c r="I6944">
        <f>IF(F6944="","",INDEX(Deals!$D$2:$D$843,F6944))</f>
        <v/>
      </c>
      <c r="J6944">
        <f>IF(F6944="","",INT(H6944)-B6944)</f>
        <v/>
      </c>
      <c r="K6944">
        <f>IF(B6944&gt;=Settings!$C$5,1,0)</f>
        <v/>
      </c>
    </row>
    <row r="6945">
      <c r="A6945" t="inlineStr">
        <is>
          <t>1335c54129807a9c5c2733042cfc85cb</t>
        </is>
      </c>
      <c r="B6945" s="29" t="n">
        <v>43068</v>
      </c>
      <c r="C6945" t="inlineStr">
        <is>
          <t>2017-11</t>
        </is>
      </c>
      <c r="D6945" t="inlineStr">
        <is>
          <t>58f8c0a253663304e348e81298bc255e</t>
        </is>
      </c>
      <c r="E6945" t="inlineStr">
        <is>
          <t>email</t>
        </is>
      </c>
      <c r="F6945">
        <f>IFERROR(MATCH(A6945,Deals!$A$2:$A$843,0),"")</f>
        <v/>
      </c>
      <c r="G6945">
        <f>IF(F6945="",0,1)</f>
        <v/>
      </c>
      <c r="H6945" s="29">
        <f>IF(F6945="","",INDEX(Deals!$E$2:$E$843,F6945))</f>
        <v/>
      </c>
      <c r="I6945">
        <f>IF(F6945="","",INDEX(Deals!$D$2:$D$843,F6945))</f>
        <v/>
      </c>
      <c r="J6945">
        <f>IF(F6945="","",INT(H6945)-B6945)</f>
        <v/>
      </c>
      <c r="K6945">
        <f>IF(B6945&gt;=Settings!$C$5,1,0)</f>
        <v/>
      </c>
    </row>
    <row r="6946">
      <c r="A6946" t="inlineStr">
        <is>
          <t>7f9091631492f7ea8536750ebb3e1973</t>
        </is>
      </c>
      <c r="B6946" s="29" t="n">
        <v>43227</v>
      </c>
      <c r="C6946" t="inlineStr">
        <is>
          <t>2018-05</t>
        </is>
      </c>
      <c r="D6946" t="inlineStr">
        <is>
          <t>30534107aa0013db92899c96a1017d0b</t>
        </is>
      </c>
      <c r="E6946" t="inlineStr">
        <is>
          <t>social</t>
        </is>
      </c>
      <c r="F6946">
        <f>IFERROR(MATCH(A6946,Deals!$A$2:$A$843,0),"")</f>
        <v/>
      </c>
      <c r="G6946">
        <f>IF(F6946="",0,1)</f>
        <v/>
      </c>
      <c r="H6946" s="29">
        <f>IF(F6946="","",INDEX(Deals!$E$2:$E$843,F6946))</f>
        <v/>
      </c>
      <c r="I6946">
        <f>IF(F6946="","",INDEX(Deals!$D$2:$D$843,F6946))</f>
        <v/>
      </c>
      <c r="J6946">
        <f>IF(F6946="","",INT(H6946)-B6946)</f>
        <v/>
      </c>
      <c r="K6946">
        <f>IF(B6946&gt;=Settings!$C$5,1,0)</f>
        <v/>
      </c>
    </row>
    <row r="6947">
      <c r="A6947" t="inlineStr">
        <is>
          <t>68c20262d2657796f56d2101e46b3e73</t>
        </is>
      </c>
      <c r="B6947" s="29" t="n">
        <v>42954</v>
      </c>
      <c r="C6947" t="inlineStr">
        <is>
          <t>2017-08</t>
        </is>
      </c>
      <c r="D6947" t="inlineStr">
        <is>
          <t>d7549bc9744c53d31a4a1abc7fb7b5ee</t>
        </is>
      </c>
      <c r="E6947" t="inlineStr">
        <is>
          <t>organic_search</t>
        </is>
      </c>
      <c r="F6947">
        <f>IFERROR(MATCH(A6947,Deals!$A$2:$A$843,0),"")</f>
        <v/>
      </c>
      <c r="G6947">
        <f>IF(F6947="",0,1)</f>
        <v/>
      </c>
      <c r="H6947" s="29">
        <f>IF(F6947="","",INDEX(Deals!$E$2:$E$843,F6947))</f>
        <v/>
      </c>
      <c r="I6947">
        <f>IF(F6947="","",INDEX(Deals!$D$2:$D$843,F6947))</f>
        <v/>
      </c>
      <c r="J6947">
        <f>IF(F6947="","",INT(H6947)-B6947)</f>
        <v/>
      </c>
      <c r="K6947">
        <f>IF(B6947&gt;=Settings!$C$5,1,0)</f>
        <v/>
      </c>
    </row>
    <row r="6948">
      <c r="A6948" t="inlineStr">
        <is>
          <t>4908abf01ae104097641c7984131e9dd</t>
        </is>
      </c>
      <c r="B6948" s="29" t="n">
        <v>43102</v>
      </c>
      <c r="C6948" t="inlineStr">
        <is>
          <t>2018-01</t>
        </is>
      </c>
      <c r="D6948" t="inlineStr">
        <is>
          <t>73f31a40697cc90a86c1273563ac230e</t>
        </is>
      </c>
      <c r="E6948" t="inlineStr">
        <is>
          <t>unknown</t>
        </is>
      </c>
      <c r="F6948">
        <f>IFERROR(MATCH(A6948,Deals!$A$2:$A$843,0),"")</f>
        <v/>
      </c>
      <c r="G6948">
        <f>IF(F6948="",0,1)</f>
        <v/>
      </c>
      <c r="H6948" s="29">
        <f>IF(F6948="","",INDEX(Deals!$E$2:$E$843,F6948))</f>
        <v/>
      </c>
      <c r="I6948">
        <f>IF(F6948="","",INDEX(Deals!$D$2:$D$843,F6948))</f>
        <v/>
      </c>
      <c r="J6948">
        <f>IF(F6948="","",INT(H6948)-B6948)</f>
        <v/>
      </c>
      <c r="K6948">
        <f>IF(B6948&gt;=Settings!$C$5,1,0)</f>
        <v/>
      </c>
    </row>
    <row r="6949">
      <c r="A6949" t="inlineStr">
        <is>
          <t>c09b11a189ac7771b26512f290bd023f</t>
        </is>
      </c>
      <c r="B6949" s="29" t="n">
        <v>43171</v>
      </c>
      <c r="C6949" t="inlineStr">
        <is>
          <t>2018-03</t>
        </is>
      </c>
      <c r="D6949" t="inlineStr">
        <is>
          <t>22c29808c4f815213303f8933030604c</t>
        </is>
      </c>
      <c r="E6949" t="inlineStr">
        <is>
          <t>organic_search</t>
        </is>
      </c>
      <c r="F6949">
        <f>IFERROR(MATCH(A6949,Deals!$A$2:$A$843,0),"")</f>
        <v/>
      </c>
      <c r="G6949">
        <f>IF(F6949="",0,1)</f>
        <v/>
      </c>
      <c r="H6949" s="29">
        <f>IF(F6949="","",INDEX(Deals!$E$2:$E$843,F6949))</f>
        <v/>
      </c>
      <c r="I6949">
        <f>IF(F6949="","",INDEX(Deals!$D$2:$D$843,F6949))</f>
        <v/>
      </c>
      <c r="J6949">
        <f>IF(F6949="","",INT(H6949)-B6949)</f>
        <v/>
      </c>
      <c r="K6949">
        <f>IF(B6949&gt;=Settings!$C$5,1,0)</f>
        <v/>
      </c>
    </row>
    <row r="6950">
      <c r="A6950" t="inlineStr">
        <is>
          <t>1969f0d80e750feb485671caaa4c59d1</t>
        </is>
      </c>
      <c r="B6950" s="29" t="n">
        <v>43115</v>
      </c>
      <c r="C6950" t="inlineStr">
        <is>
          <t>2018-01</t>
        </is>
      </c>
      <c r="D6950" t="inlineStr">
        <is>
          <t>88740e65d5d6b056e0cda098e1ea6313</t>
        </is>
      </c>
      <c r="E6950" t="inlineStr">
        <is>
          <t>social</t>
        </is>
      </c>
      <c r="F6950">
        <f>IFERROR(MATCH(A6950,Deals!$A$2:$A$843,0),"")</f>
        <v/>
      </c>
      <c r="G6950">
        <f>IF(F6950="",0,1)</f>
        <v/>
      </c>
      <c r="H6950" s="29">
        <f>IF(F6950="","",INDEX(Deals!$E$2:$E$843,F6950))</f>
        <v/>
      </c>
      <c r="I6950">
        <f>IF(F6950="","",INDEX(Deals!$D$2:$D$843,F6950))</f>
        <v/>
      </c>
      <c r="J6950">
        <f>IF(F6950="","",INT(H6950)-B6950)</f>
        <v/>
      </c>
      <c r="K6950">
        <f>IF(B6950&gt;=Settings!$C$5,1,0)</f>
        <v/>
      </c>
    </row>
    <row r="6951">
      <c r="A6951" t="inlineStr">
        <is>
          <t>022e17ea8e4b56279362591de2d4794d</t>
        </is>
      </c>
      <c r="B6951" s="29" t="n">
        <v>43101</v>
      </c>
      <c r="C6951" t="inlineStr">
        <is>
          <t>2018-01</t>
        </is>
      </c>
      <c r="D6951" t="inlineStr">
        <is>
          <t>f017be4dbf86243af5c1ebed0cff36a2</t>
        </is>
      </c>
      <c r="E6951" t="inlineStr">
        <is>
          <t>organic_search</t>
        </is>
      </c>
      <c r="F6951">
        <f>IFERROR(MATCH(A6951,Deals!$A$2:$A$843,0),"")</f>
        <v/>
      </c>
      <c r="G6951">
        <f>IF(F6951="",0,1)</f>
        <v/>
      </c>
      <c r="H6951" s="29">
        <f>IF(F6951="","",INDEX(Deals!$E$2:$E$843,F6951))</f>
        <v/>
      </c>
      <c r="I6951">
        <f>IF(F6951="","",INDEX(Deals!$D$2:$D$843,F6951))</f>
        <v/>
      </c>
      <c r="J6951">
        <f>IF(F6951="","",INT(H6951)-B6951)</f>
        <v/>
      </c>
      <c r="K6951">
        <f>IF(B6951&gt;=Settings!$C$5,1,0)</f>
        <v/>
      </c>
    </row>
    <row r="6952">
      <c r="A6952" t="inlineStr">
        <is>
          <t>4c64c4b4bd58084a33c95731fea410ee</t>
        </is>
      </c>
      <c r="B6952" s="29" t="n">
        <v>43085</v>
      </c>
      <c r="C6952" t="inlineStr">
        <is>
          <t>2017-12</t>
        </is>
      </c>
      <c r="D6952" t="inlineStr">
        <is>
          <t>f98c2bd96ac4a5d9476734e790c91384</t>
        </is>
      </c>
      <c r="E6952" t="inlineStr">
        <is>
          <t>direct_traffic</t>
        </is>
      </c>
      <c r="F6952">
        <f>IFERROR(MATCH(A6952,Deals!$A$2:$A$843,0),"")</f>
        <v/>
      </c>
      <c r="G6952">
        <f>IF(F6952="",0,1)</f>
        <v/>
      </c>
      <c r="H6952" s="29">
        <f>IF(F6952="","",INDEX(Deals!$E$2:$E$843,F6952))</f>
        <v/>
      </c>
      <c r="I6952">
        <f>IF(F6952="","",INDEX(Deals!$D$2:$D$843,F6952))</f>
        <v/>
      </c>
      <c r="J6952">
        <f>IF(F6952="","",INT(H6952)-B6952)</f>
        <v/>
      </c>
      <c r="K6952">
        <f>IF(B6952&gt;=Settings!$C$5,1,0)</f>
        <v/>
      </c>
    </row>
    <row r="6953">
      <c r="A6953" t="inlineStr">
        <is>
          <t>0a38436397f65f4dba1b4393d81e9159</t>
        </is>
      </c>
      <c r="B6953" s="29" t="n">
        <v>43003</v>
      </c>
      <c r="C6953" t="inlineStr">
        <is>
          <t>2017-09</t>
        </is>
      </c>
      <c r="D6953" t="inlineStr">
        <is>
          <t>007f9098284a86ee80ddeb25d53e0af8</t>
        </is>
      </c>
      <c r="E6953" t="inlineStr">
        <is>
          <t>organic_search</t>
        </is>
      </c>
      <c r="F6953">
        <f>IFERROR(MATCH(A6953,Deals!$A$2:$A$843,0),"")</f>
        <v/>
      </c>
      <c r="G6953">
        <f>IF(F6953="",0,1)</f>
        <v/>
      </c>
      <c r="H6953" s="29">
        <f>IF(F6953="","",INDEX(Deals!$E$2:$E$843,F6953))</f>
        <v/>
      </c>
      <c r="I6953">
        <f>IF(F6953="","",INDEX(Deals!$D$2:$D$843,F6953))</f>
        <v/>
      </c>
      <c r="J6953">
        <f>IF(F6953="","",INT(H6953)-B6953)</f>
        <v/>
      </c>
      <c r="K6953">
        <f>IF(B6953&gt;=Settings!$C$5,1,0)</f>
        <v/>
      </c>
    </row>
    <row r="6954">
      <c r="A6954" t="inlineStr">
        <is>
          <t>9729df58c832dc4574b1c382191df44a</t>
        </is>
      </c>
      <c r="B6954" s="29" t="n">
        <v>43180</v>
      </c>
      <c r="C6954" t="inlineStr">
        <is>
          <t>2018-03</t>
        </is>
      </c>
      <c r="D6954" t="inlineStr">
        <is>
          <t>b6885f18d203a61176418c1fb3764815</t>
        </is>
      </c>
      <c r="E6954" t="inlineStr">
        <is>
          <t>paid_search</t>
        </is>
      </c>
      <c r="F6954">
        <f>IFERROR(MATCH(A6954,Deals!$A$2:$A$843,0),"")</f>
        <v/>
      </c>
      <c r="G6954">
        <f>IF(F6954="",0,1)</f>
        <v/>
      </c>
      <c r="H6954" s="29">
        <f>IF(F6954="","",INDEX(Deals!$E$2:$E$843,F6954))</f>
        <v/>
      </c>
      <c r="I6954">
        <f>IF(F6954="","",INDEX(Deals!$D$2:$D$843,F6954))</f>
        <v/>
      </c>
      <c r="J6954">
        <f>IF(F6954="","",INT(H6954)-B6954)</f>
        <v/>
      </c>
      <c r="K6954">
        <f>IF(B6954&gt;=Settings!$C$5,1,0)</f>
        <v/>
      </c>
    </row>
    <row r="6955">
      <c r="A6955" t="inlineStr">
        <is>
          <t>2182a10a0b056c117e8014fd44813f97</t>
        </is>
      </c>
      <c r="B6955" s="29" t="n">
        <v>43215</v>
      </c>
      <c r="C6955" t="inlineStr">
        <is>
          <t>2018-04</t>
        </is>
      </c>
      <c r="D6955" t="inlineStr">
        <is>
          <t>b76ef37428e6799c421989521c0e5077</t>
        </is>
      </c>
      <c r="E6955" t="inlineStr">
        <is>
          <t>direct_traffic</t>
        </is>
      </c>
      <c r="F6955">
        <f>IFERROR(MATCH(A6955,Deals!$A$2:$A$843,0),"")</f>
        <v/>
      </c>
      <c r="G6955">
        <f>IF(F6955="",0,1)</f>
        <v/>
      </c>
      <c r="H6955" s="29">
        <f>IF(F6955="","",INDEX(Deals!$E$2:$E$843,F6955))</f>
        <v/>
      </c>
      <c r="I6955">
        <f>IF(F6955="","",INDEX(Deals!$D$2:$D$843,F6955))</f>
        <v/>
      </c>
      <c r="J6955">
        <f>IF(F6955="","",INT(H6955)-B6955)</f>
        <v/>
      </c>
      <c r="K6955">
        <f>IF(B6955&gt;=Settings!$C$5,1,0)</f>
        <v/>
      </c>
    </row>
    <row r="6956">
      <c r="A6956" t="inlineStr">
        <is>
          <t>91afcd714efa49dd8bd48d8da385fed9</t>
        </is>
      </c>
      <c r="B6956" s="29" t="n">
        <v>43138</v>
      </c>
      <c r="C6956" t="inlineStr">
        <is>
          <t>2018-02</t>
        </is>
      </c>
      <c r="D6956" t="inlineStr">
        <is>
          <t>dfc3b656bac13de62e4efca322b3f2c1</t>
        </is>
      </c>
      <c r="E6956" t="inlineStr">
        <is>
          <t>unknown</t>
        </is>
      </c>
      <c r="F6956">
        <f>IFERROR(MATCH(A6956,Deals!$A$2:$A$843,0),"")</f>
        <v/>
      </c>
      <c r="G6956">
        <f>IF(F6956="",0,1)</f>
        <v/>
      </c>
      <c r="H6956" s="29">
        <f>IF(F6956="","",INDEX(Deals!$E$2:$E$843,F6956))</f>
        <v/>
      </c>
      <c r="I6956">
        <f>IF(F6956="","",INDEX(Deals!$D$2:$D$843,F6956))</f>
        <v/>
      </c>
      <c r="J6956">
        <f>IF(F6956="","",INT(H6956)-B6956)</f>
        <v/>
      </c>
      <c r="K6956">
        <f>IF(B6956&gt;=Settings!$C$5,1,0)</f>
        <v/>
      </c>
    </row>
    <row r="6957">
      <c r="A6957" t="inlineStr">
        <is>
          <t>ab6fe89d793b5a3c4153692779cb0680</t>
        </is>
      </c>
      <c r="B6957" s="29" t="n">
        <v>43118</v>
      </c>
      <c r="C6957" t="inlineStr">
        <is>
          <t>2018-01</t>
        </is>
      </c>
      <c r="D6957" t="inlineStr">
        <is>
          <t>22c29808c4f815213303f8933030604c</t>
        </is>
      </c>
      <c r="E6957" t="inlineStr">
        <is>
          <t>direct_traffic</t>
        </is>
      </c>
      <c r="F6957">
        <f>IFERROR(MATCH(A6957,Deals!$A$2:$A$843,0),"")</f>
        <v/>
      </c>
      <c r="G6957">
        <f>IF(F6957="",0,1)</f>
        <v/>
      </c>
      <c r="H6957" s="29">
        <f>IF(F6957="","",INDEX(Deals!$E$2:$E$843,F6957))</f>
        <v/>
      </c>
      <c r="I6957">
        <f>IF(F6957="","",INDEX(Deals!$D$2:$D$843,F6957))</f>
        <v/>
      </c>
      <c r="J6957">
        <f>IF(F6957="","",INT(H6957)-B6957)</f>
        <v/>
      </c>
      <c r="K6957">
        <f>IF(B6957&gt;=Settings!$C$5,1,0)</f>
        <v/>
      </c>
    </row>
    <row r="6958">
      <c r="A6958" t="inlineStr">
        <is>
          <t>fa7482659fd71e6e233eadf4dbf3ed4e</t>
        </is>
      </c>
      <c r="B6958" s="29" t="n">
        <v>43134</v>
      </c>
      <c r="C6958" t="inlineStr">
        <is>
          <t>2018-02</t>
        </is>
      </c>
      <c r="D6958" t="inlineStr">
        <is>
          <t>ce1a65abd0973638f1c887a6efcfa82d</t>
        </is>
      </c>
      <c r="E6958" t="inlineStr">
        <is>
          <t>unknown</t>
        </is>
      </c>
      <c r="F6958">
        <f>IFERROR(MATCH(A6958,Deals!$A$2:$A$843,0),"")</f>
        <v/>
      </c>
      <c r="G6958">
        <f>IF(F6958="",0,1)</f>
        <v/>
      </c>
      <c r="H6958" s="29">
        <f>IF(F6958="","",INDEX(Deals!$E$2:$E$843,F6958))</f>
        <v/>
      </c>
      <c r="I6958">
        <f>IF(F6958="","",INDEX(Deals!$D$2:$D$843,F6958))</f>
        <v/>
      </c>
      <c r="J6958">
        <f>IF(F6958="","",INT(H6958)-B6958)</f>
        <v/>
      </c>
      <c r="K6958">
        <f>IF(B6958&gt;=Settings!$C$5,1,0)</f>
        <v/>
      </c>
    </row>
    <row r="6959">
      <c r="A6959" t="inlineStr">
        <is>
          <t>298fbf7365715ccb63b71724722f7a21</t>
        </is>
      </c>
      <c r="B6959" s="29" t="n">
        <v>43116</v>
      </c>
      <c r="C6959" t="inlineStr">
        <is>
          <t>2018-01</t>
        </is>
      </c>
      <c r="D6959" t="inlineStr">
        <is>
          <t>7b8106a8b4d2982573b70980cbb01e9d</t>
        </is>
      </c>
      <c r="E6959" t="inlineStr">
        <is>
          <t>organic_search</t>
        </is>
      </c>
      <c r="F6959">
        <f>IFERROR(MATCH(A6959,Deals!$A$2:$A$843,0),"")</f>
        <v/>
      </c>
      <c r="G6959">
        <f>IF(F6959="",0,1)</f>
        <v/>
      </c>
      <c r="H6959" s="29">
        <f>IF(F6959="","",INDEX(Deals!$E$2:$E$843,F6959))</f>
        <v/>
      </c>
      <c r="I6959">
        <f>IF(F6959="","",INDEX(Deals!$D$2:$D$843,F6959))</f>
        <v/>
      </c>
      <c r="J6959">
        <f>IF(F6959="","",INT(H6959)-B6959)</f>
        <v/>
      </c>
      <c r="K6959">
        <f>IF(B6959&gt;=Settings!$C$5,1,0)</f>
        <v/>
      </c>
    </row>
    <row r="6960">
      <c r="A6960" t="inlineStr">
        <is>
          <t>361e321b4d49a36bb5d8270c53443806</t>
        </is>
      </c>
      <c r="B6960" s="29" t="n">
        <v>43048</v>
      </c>
      <c r="C6960" t="inlineStr">
        <is>
          <t>2017-11</t>
        </is>
      </c>
      <c r="D6960" t="inlineStr">
        <is>
          <t>b76ef37428e6799c421989521c0e5077</t>
        </is>
      </c>
      <c r="E6960" t="inlineStr">
        <is>
          <t>unknown</t>
        </is>
      </c>
      <c r="F6960">
        <f>IFERROR(MATCH(A6960,Deals!$A$2:$A$843,0),"")</f>
        <v/>
      </c>
      <c r="G6960">
        <f>IF(F6960="",0,1)</f>
        <v/>
      </c>
      <c r="H6960" s="29">
        <f>IF(F6960="","",INDEX(Deals!$E$2:$E$843,F6960))</f>
        <v/>
      </c>
      <c r="I6960">
        <f>IF(F6960="","",INDEX(Deals!$D$2:$D$843,F6960))</f>
        <v/>
      </c>
      <c r="J6960">
        <f>IF(F6960="","",INT(H6960)-B6960)</f>
        <v/>
      </c>
      <c r="K6960">
        <f>IF(B6960&gt;=Settings!$C$5,1,0)</f>
        <v/>
      </c>
    </row>
    <row r="6961">
      <c r="A6961" t="inlineStr">
        <is>
          <t>f2fa7f76d5a1cd7a8fd9f41857a2eea8</t>
        </is>
      </c>
      <c r="B6961" s="29" t="n">
        <v>43215</v>
      </c>
      <c r="C6961" t="inlineStr">
        <is>
          <t>2018-04</t>
        </is>
      </c>
      <c r="D6961" t="inlineStr">
        <is>
          <t>35c9b150ab36fe584c1f24fd458c453a</t>
        </is>
      </c>
      <c r="E6961" t="inlineStr">
        <is>
          <t>paid_search</t>
        </is>
      </c>
      <c r="F6961">
        <f>IFERROR(MATCH(A6961,Deals!$A$2:$A$843,0),"")</f>
        <v/>
      </c>
      <c r="G6961">
        <f>IF(F6961="",0,1)</f>
        <v/>
      </c>
      <c r="H6961" s="29">
        <f>IF(F6961="","",INDEX(Deals!$E$2:$E$843,F6961))</f>
        <v/>
      </c>
      <c r="I6961">
        <f>IF(F6961="","",INDEX(Deals!$D$2:$D$843,F6961))</f>
        <v/>
      </c>
      <c r="J6961">
        <f>IF(F6961="","",INT(H6961)-B6961)</f>
        <v/>
      </c>
      <c r="K6961">
        <f>IF(B6961&gt;=Settings!$C$5,1,0)</f>
        <v/>
      </c>
    </row>
    <row r="6962">
      <c r="A6962" t="inlineStr">
        <is>
          <t>9bc792898a1f66e2ed7c2e2407b3fe8c</t>
        </is>
      </c>
      <c r="B6962" s="29" t="n">
        <v>42978</v>
      </c>
      <c r="C6962" t="inlineStr">
        <is>
          <t>2017-08</t>
        </is>
      </c>
      <c r="D6962" t="inlineStr">
        <is>
          <t>3c5cc1a2e1d86abfce2a16a1bcc80e26</t>
        </is>
      </c>
      <c r="E6962" t="inlineStr">
        <is>
          <t>organic_search</t>
        </is>
      </c>
      <c r="F6962">
        <f>IFERROR(MATCH(A6962,Deals!$A$2:$A$843,0),"")</f>
        <v/>
      </c>
      <c r="G6962">
        <f>IF(F6962="",0,1)</f>
        <v/>
      </c>
      <c r="H6962" s="29">
        <f>IF(F6962="","",INDEX(Deals!$E$2:$E$843,F6962))</f>
        <v/>
      </c>
      <c r="I6962">
        <f>IF(F6962="","",INDEX(Deals!$D$2:$D$843,F6962))</f>
        <v/>
      </c>
      <c r="J6962">
        <f>IF(F6962="","",INT(H6962)-B6962)</f>
        <v/>
      </c>
      <c r="K6962">
        <f>IF(B6962&gt;=Settings!$C$5,1,0)</f>
        <v/>
      </c>
    </row>
    <row r="6963">
      <c r="A6963" t="inlineStr">
        <is>
          <t>46fc36d015c5a2faa909440dbb3c354a</t>
        </is>
      </c>
      <c r="B6963" s="29" t="n">
        <v>43069</v>
      </c>
      <c r="C6963" t="inlineStr">
        <is>
          <t>2017-11</t>
        </is>
      </c>
      <c r="D6963" t="inlineStr">
        <is>
          <t>b76ef37428e6799c421989521c0e5077</t>
        </is>
      </c>
      <c r="E6963" t="inlineStr">
        <is>
          <t>organic_search</t>
        </is>
      </c>
      <c r="F6963">
        <f>IFERROR(MATCH(A6963,Deals!$A$2:$A$843,0),"")</f>
        <v/>
      </c>
      <c r="G6963">
        <f>IF(F6963="",0,1)</f>
        <v/>
      </c>
      <c r="H6963" s="29">
        <f>IF(F6963="","",INDEX(Deals!$E$2:$E$843,F6963))</f>
        <v/>
      </c>
      <c r="I6963">
        <f>IF(F6963="","",INDEX(Deals!$D$2:$D$843,F6963))</f>
        <v/>
      </c>
      <c r="J6963">
        <f>IF(F6963="","",INT(H6963)-B6963)</f>
        <v/>
      </c>
      <c r="K6963">
        <f>IF(B6963&gt;=Settings!$C$5,1,0)</f>
        <v/>
      </c>
    </row>
    <row r="6964">
      <c r="A6964" t="inlineStr">
        <is>
          <t>b1d2128cee734a257c5e0d5c73bbdd1b</t>
        </is>
      </c>
      <c r="B6964" s="29" t="n">
        <v>43237</v>
      </c>
      <c r="C6964" t="inlineStr">
        <is>
          <t>2018-05</t>
        </is>
      </c>
      <c r="D6964" t="inlineStr">
        <is>
          <t>b76ef37428e6799c421989521c0e5077</t>
        </is>
      </c>
      <c r="E6964" t="inlineStr">
        <is>
          <t>unknown</t>
        </is>
      </c>
      <c r="F6964">
        <f>IFERROR(MATCH(A6964,Deals!$A$2:$A$843,0),"")</f>
        <v/>
      </c>
      <c r="G6964">
        <f>IF(F6964="",0,1)</f>
        <v/>
      </c>
      <c r="H6964" s="29">
        <f>IF(F6964="","",INDEX(Deals!$E$2:$E$843,F6964))</f>
        <v/>
      </c>
      <c r="I6964">
        <f>IF(F6964="","",INDEX(Deals!$D$2:$D$843,F6964))</f>
        <v/>
      </c>
      <c r="J6964">
        <f>IF(F6964="","",INT(H6964)-B6964)</f>
        <v/>
      </c>
      <c r="K6964">
        <f>IF(B6964&gt;=Settings!$C$5,1,0)</f>
        <v/>
      </c>
    </row>
    <row r="6965">
      <c r="A6965" t="inlineStr">
        <is>
          <t>1f26274cf175d14ae59f3ffe75563ab5</t>
        </is>
      </c>
      <c r="B6965" s="29" t="n">
        <v>43154</v>
      </c>
      <c r="C6965" t="inlineStr">
        <is>
          <t>2018-02</t>
        </is>
      </c>
      <c r="D6965" t="inlineStr">
        <is>
          <t>b76ef37428e6799c421989521c0e5077</t>
        </is>
      </c>
      <c r="E6965" t="inlineStr">
        <is>
          <t>paid_search</t>
        </is>
      </c>
      <c r="F6965">
        <f>IFERROR(MATCH(A6965,Deals!$A$2:$A$843,0),"")</f>
        <v/>
      </c>
      <c r="G6965">
        <f>IF(F6965="",0,1)</f>
        <v/>
      </c>
      <c r="H6965" s="29">
        <f>IF(F6965="","",INDEX(Deals!$E$2:$E$843,F6965))</f>
        <v/>
      </c>
      <c r="I6965">
        <f>IF(F6965="","",INDEX(Deals!$D$2:$D$843,F6965))</f>
        <v/>
      </c>
      <c r="J6965">
        <f>IF(F6965="","",INT(H6965)-B6965)</f>
        <v/>
      </c>
      <c r="K6965">
        <f>IF(B6965&gt;=Settings!$C$5,1,0)</f>
        <v/>
      </c>
    </row>
    <row r="6966">
      <c r="A6966" t="inlineStr">
        <is>
          <t>eb97f5fdf3701ebf7ce10f9600fb0ade</t>
        </is>
      </c>
      <c r="B6966" s="29" t="n">
        <v>43122</v>
      </c>
      <c r="C6966" t="inlineStr">
        <is>
          <t>2018-01</t>
        </is>
      </c>
      <c r="D6966" t="inlineStr">
        <is>
          <t>b76ef37428e6799c421989521c0e5077</t>
        </is>
      </c>
      <c r="E6966" t="inlineStr">
        <is>
          <t>organic_search</t>
        </is>
      </c>
      <c r="F6966">
        <f>IFERROR(MATCH(A6966,Deals!$A$2:$A$843,0),"")</f>
        <v/>
      </c>
      <c r="G6966">
        <f>IF(F6966="",0,1)</f>
        <v/>
      </c>
      <c r="H6966" s="29">
        <f>IF(F6966="","",INDEX(Deals!$E$2:$E$843,F6966))</f>
        <v/>
      </c>
      <c r="I6966">
        <f>IF(F6966="","",INDEX(Deals!$D$2:$D$843,F6966))</f>
        <v/>
      </c>
      <c r="J6966">
        <f>IF(F6966="","",INT(H6966)-B6966)</f>
        <v/>
      </c>
      <c r="K6966">
        <f>IF(B6966&gt;=Settings!$C$5,1,0)</f>
        <v/>
      </c>
    </row>
    <row r="6967">
      <c r="A6967" t="inlineStr">
        <is>
          <t>0f44094a9a5077ebf381e4c5dd0eb503</t>
        </is>
      </c>
      <c r="B6967" s="29" t="n">
        <v>43005</v>
      </c>
      <c r="C6967" t="inlineStr">
        <is>
          <t>2017-09</t>
        </is>
      </c>
      <c r="D6967" t="inlineStr">
        <is>
          <t>22c29808c4f815213303f8933030604c</t>
        </is>
      </c>
      <c r="E6967" t="inlineStr">
        <is>
          <t>unknown</t>
        </is>
      </c>
      <c r="F6967">
        <f>IFERROR(MATCH(A6967,Deals!$A$2:$A$843,0),"")</f>
        <v/>
      </c>
      <c r="G6967">
        <f>IF(F6967="",0,1)</f>
        <v/>
      </c>
      <c r="H6967" s="29">
        <f>IF(F6967="","",INDEX(Deals!$E$2:$E$843,F6967))</f>
        <v/>
      </c>
      <c r="I6967">
        <f>IF(F6967="","",INDEX(Deals!$D$2:$D$843,F6967))</f>
        <v/>
      </c>
      <c r="J6967">
        <f>IF(F6967="","",INT(H6967)-B6967)</f>
        <v/>
      </c>
      <c r="K6967">
        <f>IF(B6967&gt;=Settings!$C$5,1,0)</f>
        <v/>
      </c>
    </row>
    <row r="6968">
      <c r="A6968" t="inlineStr">
        <is>
          <t>a6bf24ce0939b46b6536e02a3d244cc3</t>
        </is>
      </c>
      <c r="B6968" s="29" t="n">
        <v>43158</v>
      </c>
      <c r="C6968" t="inlineStr">
        <is>
          <t>2018-02</t>
        </is>
      </c>
      <c r="D6968" t="inlineStr">
        <is>
          <t>6b6c0934205e87702519d1cce24055f9</t>
        </is>
      </c>
      <c r="E6968" t="inlineStr">
        <is>
          <t>(missing)</t>
        </is>
      </c>
      <c r="F6968">
        <f>IFERROR(MATCH(A6968,Deals!$A$2:$A$843,0),"")</f>
        <v/>
      </c>
      <c r="G6968">
        <f>IF(F6968="",0,1)</f>
        <v/>
      </c>
      <c r="H6968" s="29">
        <f>IF(F6968="","",INDEX(Deals!$E$2:$E$843,F6968))</f>
        <v/>
      </c>
      <c r="I6968">
        <f>IF(F6968="","",INDEX(Deals!$D$2:$D$843,F6968))</f>
        <v/>
      </c>
      <c r="J6968">
        <f>IF(F6968="","",INT(H6968)-B6968)</f>
        <v/>
      </c>
      <c r="K6968">
        <f>IF(B6968&gt;=Settings!$C$5,1,0)</f>
        <v/>
      </c>
    </row>
    <row r="6969">
      <c r="A6969" t="inlineStr">
        <is>
          <t>e84ddd3458399dd0b627fce62517db47</t>
        </is>
      </c>
      <c r="B6969" s="29" t="n">
        <v>42922</v>
      </c>
      <c r="C6969" t="inlineStr">
        <is>
          <t>2017-07</t>
        </is>
      </c>
      <c r="D6969" t="inlineStr">
        <is>
          <t>c754e5846c791d26b1c34070c41adf6e</t>
        </is>
      </c>
      <c r="E6969" t="inlineStr">
        <is>
          <t>other</t>
        </is>
      </c>
      <c r="F6969">
        <f>IFERROR(MATCH(A6969,Deals!$A$2:$A$843,0),"")</f>
        <v/>
      </c>
      <c r="G6969">
        <f>IF(F6969="",0,1)</f>
        <v/>
      </c>
      <c r="H6969" s="29">
        <f>IF(F6969="","",INDEX(Deals!$E$2:$E$843,F6969))</f>
        <v/>
      </c>
      <c r="I6969">
        <f>IF(F6969="","",INDEX(Deals!$D$2:$D$843,F6969))</f>
        <v/>
      </c>
      <c r="J6969">
        <f>IF(F6969="","",INT(H6969)-B6969)</f>
        <v/>
      </c>
      <c r="K6969">
        <f>IF(B6969&gt;=Settings!$C$5,1,0)</f>
        <v/>
      </c>
    </row>
    <row r="6970">
      <c r="A6970" t="inlineStr">
        <is>
          <t>dcb201968f8ae7060b62624cc91f0848</t>
        </is>
      </c>
      <c r="B6970" s="29" t="n">
        <v>43159</v>
      </c>
      <c r="C6970" t="inlineStr">
        <is>
          <t>2018-02</t>
        </is>
      </c>
      <c r="D6970" t="inlineStr">
        <is>
          <t>22c29808c4f815213303f8933030604c</t>
        </is>
      </c>
      <c r="E6970" t="inlineStr">
        <is>
          <t>direct_traffic</t>
        </is>
      </c>
      <c r="F6970">
        <f>IFERROR(MATCH(A6970,Deals!$A$2:$A$843,0),"")</f>
        <v/>
      </c>
      <c r="G6970">
        <f>IF(F6970="",0,1)</f>
        <v/>
      </c>
      <c r="H6970" s="29">
        <f>IF(F6970="","",INDEX(Deals!$E$2:$E$843,F6970))</f>
        <v/>
      </c>
      <c r="I6970">
        <f>IF(F6970="","",INDEX(Deals!$D$2:$D$843,F6970))</f>
        <v/>
      </c>
      <c r="J6970">
        <f>IF(F6970="","",INT(H6970)-B6970)</f>
        <v/>
      </c>
      <c r="K6970">
        <f>IF(B6970&gt;=Settings!$C$5,1,0)</f>
        <v/>
      </c>
    </row>
    <row r="6971">
      <c r="A6971" t="inlineStr">
        <is>
          <t>150c1a63c456776f622da0602c807f2a</t>
        </is>
      </c>
      <c r="B6971" s="29" t="n">
        <v>42945</v>
      </c>
      <c r="C6971" t="inlineStr">
        <is>
          <t>2017-07</t>
        </is>
      </c>
      <c r="D6971" t="inlineStr">
        <is>
          <t>e92a6f37ebb87a6bfbc569d439cf1635</t>
        </is>
      </c>
      <c r="E6971" t="inlineStr">
        <is>
          <t>organic_search</t>
        </is>
      </c>
      <c r="F6971">
        <f>IFERROR(MATCH(A6971,Deals!$A$2:$A$843,0),"")</f>
        <v/>
      </c>
      <c r="G6971">
        <f>IF(F6971="",0,1)</f>
        <v/>
      </c>
      <c r="H6971" s="29">
        <f>IF(F6971="","",INDEX(Deals!$E$2:$E$843,F6971))</f>
        <v/>
      </c>
      <c r="I6971">
        <f>IF(F6971="","",INDEX(Deals!$D$2:$D$843,F6971))</f>
        <v/>
      </c>
      <c r="J6971">
        <f>IF(F6971="","",INT(H6971)-B6971)</f>
        <v/>
      </c>
      <c r="K6971">
        <f>IF(B6971&gt;=Settings!$C$5,1,0)</f>
        <v/>
      </c>
    </row>
    <row r="6972">
      <c r="A6972" t="inlineStr">
        <is>
          <t>8f0a57cca51a04da9ceec67fed0bc336</t>
        </is>
      </c>
      <c r="B6972" s="29" t="n">
        <v>43182</v>
      </c>
      <c r="C6972" t="inlineStr">
        <is>
          <t>2018-03</t>
        </is>
      </c>
      <c r="D6972" t="inlineStr">
        <is>
          <t>54d5e01ab35155d4bd8cf723fc6f04a0</t>
        </is>
      </c>
      <c r="E6972" t="inlineStr">
        <is>
          <t>display</t>
        </is>
      </c>
      <c r="F6972">
        <f>IFERROR(MATCH(A6972,Deals!$A$2:$A$843,0),"")</f>
        <v/>
      </c>
      <c r="G6972">
        <f>IF(F6972="",0,1)</f>
        <v/>
      </c>
      <c r="H6972" s="29">
        <f>IF(F6972="","",INDEX(Deals!$E$2:$E$843,F6972))</f>
        <v/>
      </c>
      <c r="I6972">
        <f>IF(F6972="","",INDEX(Deals!$D$2:$D$843,F6972))</f>
        <v/>
      </c>
      <c r="J6972">
        <f>IF(F6972="","",INT(H6972)-B6972)</f>
        <v/>
      </c>
      <c r="K6972">
        <f>IF(B6972&gt;=Settings!$C$5,1,0)</f>
        <v/>
      </c>
    </row>
    <row r="6973">
      <c r="A6973" t="inlineStr">
        <is>
          <t>e9754da1bd5a129b6a5deb432ff0c630</t>
        </is>
      </c>
      <c r="B6973" s="29" t="n">
        <v>43215</v>
      </c>
      <c r="C6973" t="inlineStr">
        <is>
          <t>2018-04</t>
        </is>
      </c>
      <c r="D6973" t="inlineStr">
        <is>
          <t>e492ee5eaf1697716985cc6f33f9cd9b</t>
        </is>
      </c>
      <c r="E6973" t="inlineStr">
        <is>
          <t>organic_search</t>
        </is>
      </c>
      <c r="F6973">
        <f>IFERROR(MATCH(A6973,Deals!$A$2:$A$843,0),"")</f>
        <v/>
      </c>
      <c r="G6973">
        <f>IF(F6973="",0,1)</f>
        <v/>
      </c>
      <c r="H6973" s="29">
        <f>IF(F6973="","",INDEX(Deals!$E$2:$E$843,F6973))</f>
        <v/>
      </c>
      <c r="I6973">
        <f>IF(F6973="","",INDEX(Deals!$D$2:$D$843,F6973))</f>
        <v/>
      </c>
      <c r="J6973">
        <f>IF(F6973="","",INT(H6973)-B6973)</f>
        <v/>
      </c>
      <c r="K6973">
        <f>IF(B6973&gt;=Settings!$C$5,1,0)</f>
        <v/>
      </c>
    </row>
    <row r="6974">
      <c r="A6974" t="inlineStr">
        <is>
          <t>5c7768be6ec1b2cd22387346d1bf6388</t>
        </is>
      </c>
      <c r="B6974" s="29" t="n">
        <v>43014</v>
      </c>
      <c r="C6974" t="inlineStr">
        <is>
          <t>2017-10</t>
        </is>
      </c>
      <c r="D6974" t="inlineStr">
        <is>
          <t>b48ec5f3b04e9068441002a19df93c6c</t>
        </is>
      </c>
      <c r="E6974" t="inlineStr">
        <is>
          <t>organic_search</t>
        </is>
      </c>
      <c r="F6974">
        <f>IFERROR(MATCH(A6974,Deals!$A$2:$A$843,0),"")</f>
        <v/>
      </c>
      <c r="G6974">
        <f>IF(F6974="",0,1)</f>
        <v/>
      </c>
      <c r="H6974" s="29">
        <f>IF(F6974="","",INDEX(Deals!$E$2:$E$843,F6974))</f>
        <v/>
      </c>
      <c r="I6974">
        <f>IF(F6974="","",INDEX(Deals!$D$2:$D$843,F6974))</f>
        <v/>
      </c>
      <c r="J6974">
        <f>IF(F6974="","",INT(H6974)-B6974)</f>
        <v/>
      </c>
      <c r="K6974">
        <f>IF(B6974&gt;=Settings!$C$5,1,0)</f>
        <v/>
      </c>
    </row>
    <row r="6975">
      <c r="A6975" t="inlineStr">
        <is>
          <t>0604888a01ddd003a56514677827d0bd</t>
        </is>
      </c>
      <c r="B6975" s="29" t="n">
        <v>43207</v>
      </c>
      <c r="C6975" t="inlineStr">
        <is>
          <t>2018-04</t>
        </is>
      </c>
      <c r="D6975" t="inlineStr">
        <is>
          <t>40dec9f3d5259a3d2dbcdab2114fae47</t>
        </is>
      </c>
      <c r="E6975" t="inlineStr">
        <is>
          <t>paid_search</t>
        </is>
      </c>
      <c r="F6975">
        <f>IFERROR(MATCH(A6975,Deals!$A$2:$A$843,0),"")</f>
        <v/>
      </c>
      <c r="G6975">
        <f>IF(F6975="",0,1)</f>
        <v/>
      </c>
      <c r="H6975" s="29">
        <f>IF(F6975="","",INDEX(Deals!$E$2:$E$843,F6975))</f>
        <v/>
      </c>
      <c r="I6975">
        <f>IF(F6975="","",INDEX(Deals!$D$2:$D$843,F6975))</f>
        <v/>
      </c>
      <c r="J6975">
        <f>IF(F6975="","",INT(H6975)-B6975)</f>
        <v/>
      </c>
      <c r="K6975">
        <f>IF(B6975&gt;=Settings!$C$5,1,0)</f>
        <v/>
      </c>
    </row>
    <row r="6976">
      <c r="A6976" t="inlineStr">
        <is>
          <t>c184064068f67936a71e38a4e6a9e78e</t>
        </is>
      </c>
      <c r="B6976" s="29" t="n">
        <v>43200</v>
      </c>
      <c r="C6976" t="inlineStr">
        <is>
          <t>2018-04</t>
        </is>
      </c>
      <c r="D6976" t="inlineStr">
        <is>
          <t>1ceb590cd1e00c7ee95220971f82693d</t>
        </is>
      </c>
      <c r="E6976" t="inlineStr">
        <is>
          <t>paid_search</t>
        </is>
      </c>
      <c r="F6976">
        <f>IFERROR(MATCH(A6976,Deals!$A$2:$A$843,0),"")</f>
        <v/>
      </c>
      <c r="G6976">
        <f>IF(F6976="",0,1)</f>
        <v/>
      </c>
      <c r="H6976" s="29">
        <f>IF(F6976="","",INDEX(Deals!$E$2:$E$843,F6976))</f>
        <v/>
      </c>
      <c r="I6976">
        <f>IF(F6976="","",INDEX(Deals!$D$2:$D$843,F6976))</f>
        <v/>
      </c>
      <c r="J6976">
        <f>IF(F6976="","",INT(H6976)-B6976)</f>
        <v/>
      </c>
      <c r="K6976">
        <f>IF(B6976&gt;=Settings!$C$5,1,0)</f>
        <v/>
      </c>
    </row>
    <row r="6977">
      <c r="A6977" t="inlineStr">
        <is>
          <t>4c21d6da76d2be1650d4607ad476ac95</t>
        </is>
      </c>
      <c r="B6977" s="29" t="n">
        <v>43180</v>
      </c>
      <c r="C6977" t="inlineStr">
        <is>
          <t>2018-03</t>
        </is>
      </c>
      <c r="D6977" t="inlineStr">
        <is>
          <t>dcdbbb0bb43f5c9ea457a8363db87e73</t>
        </is>
      </c>
      <c r="E6977" t="inlineStr">
        <is>
          <t>organic_search</t>
        </is>
      </c>
      <c r="F6977">
        <f>IFERROR(MATCH(A6977,Deals!$A$2:$A$843,0),"")</f>
        <v/>
      </c>
      <c r="G6977">
        <f>IF(F6977="",0,1)</f>
        <v/>
      </c>
      <c r="H6977" s="29">
        <f>IF(F6977="","",INDEX(Deals!$E$2:$E$843,F6977))</f>
        <v/>
      </c>
      <c r="I6977">
        <f>IF(F6977="","",INDEX(Deals!$D$2:$D$843,F6977))</f>
        <v/>
      </c>
      <c r="J6977">
        <f>IF(F6977="","",INT(H6977)-B6977)</f>
        <v/>
      </c>
      <c r="K6977">
        <f>IF(B6977&gt;=Settings!$C$5,1,0)</f>
        <v/>
      </c>
    </row>
    <row r="6978">
      <c r="A6978" t="inlineStr">
        <is>
          <t>33b2db40961e2919636d06f5db60a964</t>
        </is>
      </c>
      <c r="B6978" s="29" t="n">
        <v>43127</v>
      </c>
      <c r="C6978" t="inlineStr">
        <is>
          <t>2018-01</t>
        </is>
      </c>
      <c r="D6978" t="inlineStr">
        <is>
          <t>f017be4dbf86243af5c1ebed0cff36a2</t>
        </is>
      </c>
      <c r="E6978" t="inlineStr">
        <is>
          <t>organic_search</t>
        </is>
      </c>
      <c r="F6978">
        <f>IFERROR(MATCH(A6978,Deals!$A$2:$A$843,0),"")</f>
        <v/>
      </c>
      <c r="G6978">
        <f>IF(F6978="",0,1)</f>
        <v/>
      </c>
      <c r="H6978" s="29">
        <f>IF(F6978="","",INDEX(Deals!$E$2:$E$843,F6978))</f>
        <v/>
      </c>
      <c r="I6978">
        <f>IF(F6978="","",INDEX(Deals!$D$2:$D$843,F6978))</f>
        <v/>
      </c>
      <c r="J6978">
        <f>IF(F6978="","",INT(H6978)-B6978)</f>
        <v/>
      </c>
      <c r="K6978">
        <f>IF(B6978&gt;=Settings!$C$5,1,0)</f>
        <v/>
      </c>
    </row>
    <row r="6979">
      <c r="A6979" t="inlineStr">
        <is>
          <t>205a11a1b97d7e8bdb33aa6c36f3ef2a</t>
        </is>
      </c>
      <c r="B6979" s="29" t="n">
        <v>43157</v>
      </c>
      <c r="C6979" t="inlineStr">
        <is>
          <t>2018-02</t>
        </is>
      </c>
      <c r="D6979" t="inlineStr">
        <is>
          <t>0e5a178e3cd2368607f3e72f46140476</t>
        </is>
      </c>
      <c r="E6979" t="inlineStr">
        <is>
          <t>direct_traffic</t>
        </is>
      </c>
      <c r="F6979">
        <f>IFERROR(MATCH(A6979,Deals!$A$2:$A$843,0),"")</f>
        <v/>
      </c>
      <c r="G6979">
        <f>IF(F6979="",0,1)</f>
        <v/>
      </c>
      <c r="H6979" s="29">
        <f>IF(F6979="","",INDEX(Deals!$E$2:$E$843,F6979))</f>
        <v/>
      </c>
      <c r="I6979">
        <f>IF(F6979="","",INDEX(Deals!$D$2:$D$843,F6979))</f>
        <v/>
      </c>
      <c r="J6979">
        <f>IF(F6979="","",INT(H6979)-B6979)</f>
        <v/>
      </c>
      <c r="K6979">
        <f>IF(B6979&gt;=Settings!$C$5,1,0)</f>
        <v/>
      </c>
    </row>
    <row r="6980">
      <c r="A6980" t="inlineStr">
        <is>
          <t>41b69f211dd5617d041802a8813d6d66</t>
        </is>
      </c>
      <c r="B6980" s="29" t="n">
        <v>42997</v>
      </c>
      <c r="C6980" t="inlineStr">
        <is>
          <t>2017-09</t>
        </is>
      </c>
      <c r="D6980" t="inlineStr">
        <is>
          <t>e492ee5eaf1697716985cc6f33f9cd9b</t>
        </is>
      </c>
      <c r="E6980" t="inlineStr">
        <is>
          <t>paid_search</t>
        </is>
      </c>
      <c r="F6980">
        <f>IFERROR(MATCH(A6980,Deals!$A$2:$A$843,0),"")</f>
        <v/>
      </c>
      <c r="G6980">
        <f>IF(F6980="",0,1)</f>
        <v/>
      </c>
      <c r="H6980" s="29">
        <f>IF(F6980="","",INDEX(Deals!$E$2:$E$843,F6980))</f>
        <v/>
      </c>
      <c r="I6980">
        <f>IF(F6980="","",INDEX(Deals!$D$2:$D$843,F6980))</f>
        <v/>
      </c>
      <c r="J6980">
        <f>IF(F6980="","",INT(H6980)-B6980)</f>
        <v/>
      </c>
      <c r="K6980">
        <f>IF(B6980&gt;=Settings!$C$5,1,0)</f>
        <v/>
      </c>
    </row>
    <row r="6981">
      <c r="A6981" t="inlineStr">
        <is>
          <t>a2a46bf9bbc50155d2989ebdf9fabb99</t>
        </is>
      </c>
      <c r="B6981" s="29" t="n">
        <v>43188</v>
      </c>
      <c r="C6981" t="inlineStr">
        <is>
          <t>2018-03</t>
        </is>
      </c>
      <c r="D6981" t="inlineStr">
        <is>
          <t>e492ee5eaf1697716985cc6f33f9cd9b</t>
        </is>
      </c>
      <c r="E6981" t="inlineStr">
        <is>
          <t>paid_search</t>
        </is>
      </c>
      <c r="F6981">
        <f>IFERROR(MATCH(A6981,Deals!$A$2:$A$843,0),"")</f>
        <v/>
      </c>
      <c r="G6981">
        <f>IF(F6981="",0,1)</f>
        <v/>
      </c>
      <c r="H6981" s="29">
        <f>IF(F6981="","",INDEX(Deals!$E$2:$E$843,F6981))</f>
        <v/>
      </c>
      <c r="I6981">
        <f>IF(F6981="","",INDEX(Deals!$D$2:$D$843,F6981))</f>
        <v/>
      </c>
      <c r="J6981">
        <f>IF(F6981="","",INT(H6981)-B6981)</f>
        <v/>
      </c>
      <c r="K6981">
        <f>IF(B6981&gt;=Settings!$C$5,1,0)</f>
        <v/>
      </c>
    </row>
    <row r="6982">
      <c r="A6982" t="inlineStr">
        <is>
          <t>a8da3378b39d078f77361620c9481ffb</t>
        </is>
      </c>
      <c r="B6982" s="29" t="n">
        <v>43222</v>
      </c>
      <c r="C6982" t="inlineStr">
        <is>
          <t>2018-05</t>
        </is>
      </c>
      <c r="D6982" t="inlineStr">
        <is>
          <t>21a104c3279681d9856b8a48723c4fee</t>
        </is>
      </c>
      <c r="E6982" t="inlineStr">
        <is>
          <t>organic_search</t>
        </is>
      </c>
      <c r="F6982">
        <f>IFERROR(MATCH(A6982,Deals!$A$2:$A$843,0),"")</f>
        <v/>
      </c>
      <c r="G6982">
        <f>IF(F6982="",0,1)</f>
        <v/>
      </c>
      <c r="H6982" s="29">
        <f>IF(F6982="","",INDEX(Deals!$E$2:$E$843,F6982))</f>
        <v/>
      </c>
      <c r="I6982">
        <f>IF(F6982="","",INDEX(Deals!$D$2:$D$843,F6982))</f>
        <v/>
      </c>
      <c r="J6982">
        <f>IF(F6982="","",INT(H6982)-B6982)</f>
        <v/>
      </c>
      <c r="K6982">
        <f>IF(B6982&gt;=Settings!$C$5,1,0)</f>
        <v/>
      </c>
    </row>
    <row r="6983">
      <c r="A6983" t="inlineStr">
        <is>
          <t>b442e83a5556fa523514fdf47e8e4e1b</t>
        </is>
      </c>
      <c r="B6983" s="29" t="n">
        <v>43186</v>
      </c>
      <c r="C6983" t="inlineStr">
        <is>
          <t>2018-03</t>
        </is>
      </c>
      <c r="D6983" t="inlineStr">
        <is>
          <t>58326e62183c14b0c03085c33b9fdc44</t>
        </is>
      </c>
      <c r="E6983" t="inlineStr">
        <is>
          <t>referral</t>
        </is>
      </c>
      <c r="F6983">
        <f>IFERROR(MATCH(A6983,Deals!$A$2:$A$843,0),"")</f>
        <v/>
      </c>
      <c r="G6983">
        <f>IF(F6983="",0,1)</f>
        <v/>
      </c>
      <c r="H6983" s="29">
        <f>IF(F6983="","",INDEX(Deals!$E$2:$E$843,F6983))</f>
        <v/>
      </c>
      <c r="I6983">
        <f>IF(F6983="","",INDEX(Deals!$D$2:$D$843,F6983))</f>
        <v/>
      </c>
      <c r="J6983">
        <f>IF(F6983="","",INT(H6983)-B6983)</f>
        <v/>
      </c>
      <c r="K6983">
        <f>IF(B6983&gt;=Settings!$C$5,1,0)</f>
        <v/>
      </c>
    </row>
    <row r="6984">
      <c r="A6984" t="inlineStr">
        <is>
          <t>526014fa0f4b6d65e82252e2f24441a1</t>
        </is>
      </c>
      <c r="B6984" s="29" t="n">
        <v>43137</v>
      </c>
      <c r="C6984" t="inlineStr">
        <is>
          <t>2018-02</t>
        </is>
      </c>
      <c r="D6984" t="inlineStr">
        <is>
          <t>e42a14209c69c3e9cc6b042620465f12</t>
        </is>
      </c>
      <c r="E6984" t="inlineStr">
        <is>
          <t>email</t>
        </is>
      </c>
      <c r="F6984">
        <f>IFERROR(MATCH(A6984,Deals!$A$2:$A$843,0),"")</f>
        <v/>
      </c>
      <c r="G6984">
        <f>IF(F6984="",0,1)</f>
        <v/>
      </c>
      <c r="H6984" s="29">
        <f>IF(F6984="","",INDEX(Deals!$E$2:$E$843,F6984))</f>
        <v/>
      </c>
      <c r="I6984">
        <f>IF(F6984="","",INDEX(Deals!$D$2:$D$843,F6984))</f>
        <v/>
      </c>
      <c r="J6984">
        <f>IF(F6984="","",INT(H6984)-B6984)</f>
        <v/>
      </c>
      <c r="K6984">
        <f>IF(B6984&gt;=Settings!$C$5,1,0)</f>
        <v/>
      </c>
    </row>
    <row r="6985">
      <c r="A6985" t="inlineStr">
        <is>
          <t>c325a1f2d1226ac996f297052c91a683</t>
        </is>
      </c>
      <c r="B6985" s="29" t="n">
        <v>43212</v>
      </c>
      <c r="C6985" t="inlineStr">
        <is>
          <t>2018-04</t>
        </is>
      </c>
      <c r="D6985" t="inlineStr">
        <is>
          <t>58326e62183c14b0c03085c33b9fdc44</t>
        </is>
      </c>
      <c r="E6985" t="inlineStr">
        <is>
          <t>social</t>
        </is>
      </c>
      <c r="F6985">
        <f>IFERROR(MATCH(A6985,Deals!$A$2:$A$843,0),"")</f>
        <v/>
      </c>
      <c r="G6985">
        <f>IF(F6985="",0,1)</f>
        <v/>
      </c>
      <c r="H6985" s="29">
        <f>IF(F6985="","",INDEX(Deals!$E$2:$E$843,F6985))</f>
        <v/>
      </c>
      <c r="I6985">
        <f>IF(F6985="","",INDEX(Deals!$D$2:$D$843,F6985))</f>
        <v/>
      </c>
      <c r="J6985">
        <f>IF(F6985="","",INT(H6985)-B6985)</f>
        <v/>
      </c>
      <c r="K6985">
        <f>IF(B6985&gt;=Settings!$C$5,1,0)</f>
        <v/>
      </c>
    </row>
    <row r="6986">
      <c r="A6986" t="inlineStr">
        <is>
          <t>68cee18772f6c46a1f5cfe4cda915574</t>
        </is>
      </c>
      <c r="B6986" s="29" t="n">
        <v>42968</v>
      </c>
      <c r="C6986" t="inlineStr">
        <is>
          <t>2017-08</t>
        </is>
      </c>
      <c r="D6986" t="inlineStr">
        <is>
          <t>d7549bc9744c53d31a4a1abc7fb7b5ee</t>
        </is>
      </c>
      <c r="E6986" t="inlineStr">
        <is>
          <t>referral</t>
        </is>
      </c>
      <c r="F6986">
        <f>IFERROR(MATCH(A6986,Deals!$A$2:$A$843,0),"")</f>
        <v/>
      </c>
      <c r="G6986">
        <f>IF(F6986="",0,1)</f>
        <v/>
      </c>
      <c r="H6986" s="29">
        <f>IF(F6986="","",INDEX(Deals!$E$2:$E$843,F6986))</f>
        <v/>
      </c>
      <c r="I6986">
        <f>IF(F6986="","",INDEX(Deals!$D$2:$D$843,F6986))</f>
        <v/>
      </c>
      <c r="J6986">
        <f>IF(F6986="","",INT(H6986)-B6986)</f>
        <v/>
      </c>
      <c r="K6986">
        <f>IF(B6986&gt;=Settings!$C$5,1,0)</f>
        <v/>
      </c>
    </row>
    <row r="6987">
      <c r="A6987" t="inlineStr">
        <is>
          <t>786929ce1b2e187510aca9b04a0f7254</t>
        </is>
      </c>
      <c r="B6987" s="29" t="n">
        <v>43019</v>
      </c>
      <c r="C6987" t="inlineStr">
        <is>
          <t>2017-10</t>
        </is>
      </c>
      <c r="D6987" t="inlineStr">
        <is>
          <t>88740e65d5d6b056e0cda098e1ea6313</t>
        </is>
      </c>
      <c r="E6987" t="inlineStr">
        <is>
          <t>social</t>
        </is>
      </c>
      <c r="F6987">
        <f>IFERROR(MATCH(A6987,Deals!$A$2:$A$843,0),"")</f>
        <v/>
      </c>
      <c r="G6987">
        <f>IF(F6987="",0,1)</f>
        <v/>
      </c>
      <c r="H6987" s="29">
        <f>IF(F6987="","",INDEX(Deals!$E$2:$E$843,F6987))</f>
        <v/>
      </c>
      <c r="I6987">
        <f>IF(F6987="","",INDEX(Deals!$D$2:$D$843,F6987))</f>
        <v/>
      </c>
      <c r="J6987">
        <f>IF(F6987="","",INT(H6987)-B6987)</f>
        <v/>
      </c>
      <c r="K6987">
        <f>IF(B6987&gt;=Settings!$C$5,1,0)</f>
        <v/>
      </c>
    </row>
    <row r="6988">
      <c r="A6988" t="inlineStr">
        <is>
          <t>36d3be4cf501c5ad9e07d3e2507b181a</t>
        </is>
      </c>
      <c r="B6988" s="29" t="n">
        <v>42949</v>
      </c>
      <c r="C6988" t="inlineStr">
        <is>
          <t>2017-08</t>
        </is>
      </c>
      <c r="D6988" t="inlineStr">
        <is>
          <t>0218f6be0b76aca72ab4d00ee9e8cf10</t>
        </is>
      </c>
      <c r="E6988" t="inlineStr">
        <is>
          <t>organic_search</t>
        </is>
      </c>
      <c r="F6988">
        <f>IFERROR(MATCH(A6988,Deals!$A$2:$A$843,0),"")</f>
        <v/>
      </c>
      <c r="G6988">
        <f>IF(F6988="",0,1)</f>
        <v/>
      </c>
      <c r="H6988" s="29">
        <f>IF(F6988="","",INDEX(Deals!$E$2:$E$843,F6988))</f>
        <v/>
      </c>
      <c r="I6988">
        <f>IF(F6988="","",INDEX(Deals!$D$2:$D$843,F6988))</f>
        <v/>
      </c>
      <c r="J6988">
        <f>IF(F6988="","",INT(H6988)-B6988)</f>
        <v/>
      </c>
      <c r="K6988">
        <f>IF(B6988&gt;=Settings!$C$5,1,0)</f>
        <v/>
      </c>
    </row>
    <row r="6989">
      <c r="A6989" t="inlineStr">
        <is>
          <t>a6b44d616ce540606027b334ce8c1dd0</t>
        </is>
      </c>
      <c r="B6989" s="29" t="n">
        <v>42996</v>
      </c>
      <c r="C6989" t="inlineStr">
        <is>
          <t>2017-09</t>
        </is>
      </c>
      <c r="D6989" t="inlineStr">
        <is>
          <t>37145c5650a33da9e6b2df70ae1aec80</t>
        </is>
      </c>
      <c r="E6989" t="inlineStr">
        <is>
          <t>unknown</t>
        </is>
      </c>
      <c r="F6989">
        <f>IFERROR(MATCH(A6989,Deals!$A$2:$A$843,0),"")</f>
        <v/>
      </c>
      <c r="G6989">
        <f>IF(F6989="",0,1)</f>
        <v/>
      </c>
      <c r="H6989" s="29">
        <f>IF(F6989="","",INDEX(Deals!$E$2:$E$843,F6989))</f>
        <v/>
      </c>
      <c r="I6989">
        <f>IF(F6989="","",INDEX(Deals!$D$2:$D$843,F6989))</f>
        <v/>
      </c>
      <c r="J6989">
        <f>IF(F6989="","",INT(H6989)-B6989)</f>
        <v/>
      </c>
      <c r="K6989">
        <f>IF(B6989&gt;=Settings!$C$5,1,0)</f>
        <v/>
      </c>
    </row>
    <row r="6990">
      <c r="A6990" t="inlineStr">
        <is>
          <t>c58717d58c6bed3a03c508ff5d14b560</t>
        </is>
      </c>
      <c r="B6990" s="29" t="n">
        <v>43215</v>
      </c>
      <c r="C6990" t="inlineStr">
        <is>
          <t>2018-04</t>
        </is>
      </c>
      <c r="D6990" t="inlineStr">
        <is>
          <t>9fa37f5177115156b1814ffc237402a6</t>
        </is>
      </c>
      <c r="E6990" t="inlineStr">
        <is>
          <t>paid_search</t>
        </is>
      </c>
      <c r="F6990">
        <f>IFERROR(MATCH(A6990,Deals!$A$2:$A$843,0),"")</f>
        <v/>
      </c>
      <c r="G6990">
        <f>IF(F6990="",0,1)</f>
        <v/>
      </c>
      <c r="H6990" s="29">
        <f>IF(F6990="","",INDEX(Deals!$E$2:$E$843,F6990))</f>
        <v/>
      </c>
      <c r="I6990">
        <f>IF(F6990="","",INDEX(Deals!$D$2:$D$843,F6990))</f>
        <v/>
      </c>
      <c r="J6990">
        <f>IF(F6990="","",INT(H6990)-B6990)</f>
        <v/>
      </c>
      <c r="K6990">
        <f>IF(B6990&gt;=Settings!$C$5,1,0)</f>
        <v/>
      </c>
    </row>
    <row r="6991">
      <c r="A6991" t="inlineStr">
        <is>
          <t>8f781e8af632c834150e15eb05e69f27</t>
        </is>
      </c>
      <c r="B6991" s="29" t="n">
        <v>43110</v>
      </c>
      <c r="C6991" t="inlineStr">
        <is>
          <t>2018-01</t>
        </is>
      </c>
      <c r="D6991" t="inlineStr">
        <is>
          <t>e492ee5eaf1697716985cc6f33f9cd9b</t>
        </is>
      </c>
      <c r="E6991" t="inlineStr">
        <is>
          <t>organic_search</t>
        </is>
      </c>
      <c r="F6991">
        <f>IFERROR(MATCH(A6991,Deals!$A$2:$A$843,0),"")</f>
        <v/>
      </c>
      <c r="G6991">
        <f>IF(F6991="",0,1)</f>
        <v/>
      </c>
      <c r="H6991" s="29">
        <f>IF(F6991="","",INDEX(Deals!$E$2:$E$843,F6991))</f>
        <v/>
      </c>
      <c r="I6991">
        <f>IF(F6991="","",INDEX(Deals!$D$2:$D$843,F6991))</f>
        <v/>
      </c>
      <c r="J6991">
        <f>IF(F6991="","",INT(H6991)-B6991)</f>
        <v/>
      </c>
      <c r="K6991">
        <f>IF(B6991&gt;=Settings!$C$5,1,0)</f>
        <v/>
      </c>
    </row>
    <row r="6992">
      <c r="A6992" t="inlineStr">
        <is>
          <t>ebc84c78cf306a9df6ae897754eb76e5</t>
        </is>
      </c>
      <c r="B6992" s="29" t="n">
        <v>43238</v>
      </c>
      <c r="C6992" t="inlineStr">
        <is>
          <t>2018-05</t>
        </is>
      </c>
      <c r="D6992" t="inlineStr">
        <is>
          <t>5dc848e7dd9418dffe183215b8ff0bc1</t>
        </is>
      </c>
      <c r="E6992" t="inlineStr">
        <is>
          <t>paid_search</t>
        </is>
      </c>
      <c r="F6992">
        <f>IFERROR(MATCH(A6992,Deals!$A$2:$A$843,0),"")</f>
        <v/>
      </c>
      <c r="G6992">
        <f>IF(F6992="",0,1)</f>
        <v/>
      </c>
      <c r="H6992" s="29">
        <f>IF(F6992="","",INDEX(Deals!$E$2:$E$843,F6992))</f>
        <v/>
      </c>
      <c r="I6992">
        <f>IF(F6992="","",INDEX(Deals!$D$2:$D$843,F6992))</f>
        <v/>
      </c>
      <c r="J6992">
        <f>IF(F6992="","",INT(H6992)-B6992)</f>
        <v/>
      </c>
      <c r="K6992">
        <f>IF(B6992&gt;=Settings!$C$5,1,0)</f>
        <v/>
      </c>
    </row>
    <row r="6993">
      <c r="A6993" t="inlineStr">
        <is>
          <t>f9e2f8232d4cb9a01e9e1d96f126c30c</t>
        </is>
      </c>
      <c r="B6993" s="29" t="n">
        <v>43137</v>
      </c>
      <c r="C6993" t="inlineStr">
        <is>
          <t>2018-02</t>
        </is>
      </c>
      <c r="D6993" t="inlineStr">
        <is>
          <t>dfc3b656bac13de62e4efca322b3f2c1</t>
        </is>
      </c>
      <c r="E6993" t="inlineStr">
        <is>
          <t>organic_search</t>
        </is>
      </c>
      <c r="F6993">
        <f>IFERROR(MATCH(A6993,Deals!$A$2:$A$843,0),"")</f>
        <v/>
      </c>
      <c r="G6993">
        <f>IF(F6993="",0,1)</f>
        <v/>
      </c>
      <c r="H6993" s="29">
        <f>IF(F6993="","",INDEX(Deals!$E$2:$E$843,F6993))</f>
        <v/>
      </c>
      <c r="I6993">
        <f>IF(F6993="","",INDEX(Deals!$D$2:$D$843,F6993))</f>
        <v/>
      </c>
      <c r="J6993">
        <f>IF(F6993="","",INT(H6993)-B6993)</f>
        <v/>
      </c>
      <c r="K6993">
        <f>IF(B6993&gt;=Settings!$C$5,1,0)</f>
        <v/>
      </c>
    </row>
    <row r="6994">
      <c r="A6994" t="inlineStr">
        <is>
          <t>fa84fbf5d2a071a938062b207cec7693</t>
        </is>
      </c>
      <c r="B6994" s="29" t="n">
        <v>43106</v>
      </c>
      <c r="C6994" t="inlineStr">
        <is>
          <t>2018-01</t>
        </is>
      </c>
      <c r="D6994" t="inlineStr">
        <is>
          <t>a7982125ff7aa3b2054c6e44f9d28522</t>
        </is>
      </c>
      <c r="E6994" t="inlineStr">
        <is>
          <t>organic_search</t>
        </is>
      </c>
      <c r="F6994">
        <f>IFERROR(MATCH(A6994,Deals!$A$2:$A$843,0),"")</f>
        <v/>
      </c>
      <c r="G6994">
        <f>IF(F6994="",0,1)</f>
        <v/>
      </c>
      <c r="H6994" s="29">
        <f>IF(F6994="","",INDEX(Deals!$E$2:$E$843,F6994))</f>
        <v/>
      </c>
      <c r="I6994">
        <f>IF(F6994="","",INDEX(Deals!$D$2:$D$843,F6994))</f>
        <v/>
      </c>
      <c r="J6994">
        <f>IF(F6994="","",INT(H6994)-B6994)</f>
        <v/>
      </c>
      <c r="K6994">
        <f>IF(B6994&gt;=Settings!$C$5,1,0)</f>
        <v/>
      </c>
    </row>
    <row r="6995">
      <c r="A6995" t="inlineStr">
        <is>
          <t>9173175d480c3122372779e1ea1441d5</t>
        </is>
      </c>
      <c r="B6995" s="29" t="n">
        <v>43194</v>
      </c>
      <c r="C6995" t="inlineStr">
        <is>
          <t>2018-04</t>
        </is>
      </c>
      <c r="D6995" t="inlineStr">
        <is>
          <t>966098efaef7a4d665be6b0cb617541b</t>
        </is>
      </c>
      <c r="E6995" t="inlineStr">
        <is>
          <t>organic_search</t>
        </is>
      </c>
      <c r="F6995">
        <f>IFERROR(MATCH(A6995,Deals!$A$2:$A$843,0),"")</f>
        <v/>
      </c>
      <c r="G6995">
        <f>IF(F6995="",0,1)</f>
        <v/>
      </c>
      <c r="H6995" s="29">
        <f>IF(F6995="","",INDEX(Deals!$E$2:$E$843,F6995))</f>
        <v/>
      </c>
      <c r="I6995">
        <f>IF(F6995="","",INDEX(Deals!$D$2:$D$843,F6995))</f>
        <v/>
      </c>
      <c r="J6995">
        <f>IF(F6995="","",INT(H6995)-B6995)</f>
        <v/>
      </c>
      <c r="K6995">
        <f>IF(B6995&gt;=Settings!$C$5,1,0)</f>
        <v/>
      </c>
    </row>
    <row r="6996">
      <c r="A6996" t="inlineStr">
        <is>
          <t>6acf2725b339ee1695ebf86253f75221</t>
        </is>
      </c>
      <c r="B6996" s="29" t="n">
        <v>42933</v>
      </c>
      <c r="C6996" t="inlineStr">
        <is>
          <t>2017-07</t>
        </is>
      </c>
      <c r="D6996" t="inlineStr">
        <is>
          <t>e492ee5eaf1697716985cc6f33f9cd9b</t>
        </is>
      </c>
      <c r="E6996" t="inlineStr">
        <is>
          <t>organic_search</t>
        </is>
      </c>
      <c r="F6996">
        <f>IFERROR(MATCH(A6996,Deals!$A$2:$A$843,0),"")</f>
        <v/>
      </c>
      <c r="G6996">
        <f>IF(F6996="",0,1)</f>
        <v/>
      </c>
      <c r="H6996" s="29">
        <f>IF(F6996="","",INDEX(Deals!$E$2:$E$843,F6996))</f>
        <v/>
      </c>
      <c r="I6996">
        <f>IF(F6996="","",INDEX(Deals!$D$2:$D$843,F6996))</f>
        <v/>
      </c>
      <c r="J6996">
        <f>IF(F6996="","",INT(H6996)-B6996)</f>
        <v/>
      </c>
      <c r="K6996">
        <f>IF(B6996&gt;=Settings!$C$5,1,0)</f>
        <v/>
      </c>
    </row>
    <row r="6997">
      <c r="A6997" t="inlineStr">
        <is>
          <t>86ff09548a5c6eff1ec764a28b6c8112</t>
        </is>
      </c>
      <c r="B6997" s="29" t="n">
        <v>43013</v>
      </c>
      <c r="C6997" t="inlineStr">
        <is>
          <t>2017-10</t>
        </is>
      </c>
      <c r="D6997" t="inlineStr">
        <is>
          <t>a56671a54260a44923d32c2f08fad39c</t>
        </is>
      </c>
      <c r="E6997" t="inlineStr">
        <is>
          <t>referral</t>
        </is>
      </c>
      <c r="F6997">
        <f>IFERROR(MATCH(A6997,Deals!$A$2:$A$843,0),"")</f>
        <v/>
      </c>
      <c r="G6997">
        <f>IF(F6997="",0,1)</f>
        <v/>
      </c>
      <c r="H6997" s="29">
        <f>IF(F6997="","",INDEX(Deals!$E$2:$E$843,F6997))</f>
        <v/>
      </c>
      <c r="I6997">
        <f>IF(F6997="","",INDEX(Deals!$D$2:$D$843,F6997))</f>
        <v/>
      </c>
      <c r="J6997">
        <f>IF(F6997="","",INT(H6997)-B6997)</f>
        <v/>
      </c>
      <c r="K6997">
        <f>IF(B6997&gt;=Settings!$C$5,1,0)</f>
        <v/>
      </c>
    </row>
    <row r="6998">
      <c r="A6998" t="inlineStr">
        <is>
          <t>822f723bda1311c1e8864206b4d865e4</t>
        </is>
      </c>
      <c r="B6998" s="29" t="n">
        <v>43236</v>
      </c>
      <c r="C6998" t="inlineStr">
        <is>
          <t>2018-05</t>
        </is>
      </c>
      <c r="D6998" t="inlineStr">
        <is>
          <t>40dec9f3d5259a3d2dbcdab2114fae47</t>
        </is>
      </c>
      <c r="E6998" t="inlineStr">
        <is>
          <t>referral</t>
        </is>
      </c>
      <c r="F6998">
        <f>IFERROR(MATCH(A6998,Deals!$A$2:$A$843,0),"")</f>
        <v/>
      </c>
      <c r="G6998">
        <f>IF(F6998="",0,1)</f>
        <v/>
      </c>
      <c r="H6998" s="29">
        <f>IF(F6998="","",INDEX(Deals!$E$2:$E$843,F6998))</f>
        <v/>
      </c>
      <c r="I6998">
        <f>IF(F6998="","",INDEX(Deals!$D$2:$D$843,F6998))</f>
        <v/>
      </c>
      <c r="J6998">
        <f>IF(F6998="","",INT(H6998)-B6998)</f>
        <v/>
      </c>
      <c r="K6998">
        <f>IF(B6998&gt;=Settings!$C$5,1,0)</f>
        <v/>
      </c>
    </row>
    <row r="6999">
      <c r="A6999" t="inlineStr">
        <is>
          <t>55f658d44bed8bd311ee72f40cde2ad4</t>
        </is>
      </c>
      <c r="B6999" s="29" t="n">
        <v>43036</v>
      </c>
      <c r="C6999" t="inlineStr">
        <is>
          <t>2017-10</t>
        </is>
      </c>
      <c r="D6999" t="inlineStr">
        <is>
          <t>ce1a65abd0973638f1c887a6efcfa82d</t>
        </is>
      </c>
      <c r="E6999" t="inlineStr">
        <is>
          <t>direct_traffic</t>
        </is>
      </c>
      <c r="F6999">
        <f>IFERROR(MATCH(A6999,Deals!$A$2:$A$843,0),"")</f>
        <v/>
      </c>
      <c r="G6999">
        <f>IF(F6999="",0,1)</f>
        <v/>
      </c>
      <c r="H6999" s="29">
        <f>IF(F6999="","",INDEX(Deals!$E$2:$E$843,F6999))</f>
        <v/>
      </c>
      <c r="I6999">
        <f>IF(F6999="","",INDEX(Deals!$D$2:$D$843,F6999))</f>
        <v/>
      </c>
      <c r="J6999">
        <f>IF(F6999="","",INT(H6999)-B6999)</f>
        <v/>
      </c>
      <c r="K6999">
        <f>IF(B6999&gt;=Settings!$C$5,1,0)</f>
        <v/>
      </c>
    </row>
    <row r="7000">
      <c r="A7000" t="inlineStr">
        <is>
          <t>9e3a3a82234c95afbc4b0b0c672bf6e0</t>
        </is>
      </c>
      <c r="B7000" s="29" t="n">
        <v>43183</v>
      </c>
      <c r="C7000" t="inlineStr">
        <is>
          <t>2018-03</t>
        </is>
      </c>
      <c r="D7000" t="inlineStr">
        <is>
          <t>58326e62183c14b0c03085c33b9fdc44</t>
        </is>
      </c>
      <c r="E7000" t="inlineStr">
        <is>
          <t>social</t>
        </is>
      </c>
      <c r="F7000">
        <f>IFERROR(MATCH(A7000,Deals!$A$2:$A$843,0),"")</f>
        <v/>
      </c>
      <c r="G7000">
        <f>IF(F7000="",0,1)</f>
        <v/>
      </c>
      <c r="H7000" s="29">
        <f>IF(F7000="","",INDEX(Deals!$E$2:$E$843,F7000))</f>
        <v/>
      </c>
      <c r="I7000">
        <f>IF(F7000="","",INDEX(Deals!$D$2:$D$843,F7000))</f>
        <v/>
      </c>
      <c r="J7000">
        <f>IF(F7000="","",INT(H7000)-B7000)</f>
        <v/>
      </c>
      <c r="K7000">
        <f>IF(B7000&gt;=Settings!$C$5,1,0)</f>
        <v/>
      </c>
    </row>
    <row r="7001">
      <c r="A7001" t="inlineStr">
        <is>
          <t>fa975b1b8848425e1563e19b836581f4</t>
        </is>
      </c>
      <c r="B7001" s="29" t="n">
        <v>43146</v>
      </c>
      <c r="C7001" t="inlineStr">
        <is>
          <t>2018-02</t>
        </is>
      </c>
      <c r="D7001" t="inlineStr">
        <is>
          <t>88740e65d5d6b056e0cda098e1ea6313</t>
        </is>
      </c>
      <c r="E7001" t="inlineStr">
        <is>
          <t>social</t>
        </is>
      </c>
      <c r="F7001">
        <f>IFERROR(MATCH(A7001,Deals!$A$2:$A$843,0),"")</f>
        <v/>
      </c>
      <c r="G7001">
        <f>IF(F7001="",0,1)</f>
        <v/>
      </c>
      <c r="H7001" s="29">
        <f>IF(F7001="","",INDEX(Deals!$E$2:$E$843,F7001))</f>
        <v/>
      </c>
      <c r="I7001">
        <f>IF(F7001="","",INDEX(Deals!$D$2:$D$843,F7001))</f>
        <v/>
      </c>
      <c r="J7001">
        <f>IF(F7001="","",INT(H7001)-B7001)</f>
        <v/>
      </c>
      <c r="K7001">
        <f>IF(B7001&gt;=Settings!$C$5,1,0)</f>
        <v/>
      </c>
    </row>
    <row r="7002">
      <c r="A7002" t="inlineStr">
        <is>
          <t>3cfc6b2b7432c074eea2bd2ad6b0851d</t>
        </is>
      </c>
      <c r="B7002" s="29" t="n">
        <v>43002</v>
      </c>
      <c r="C7002" t="inlineStr">
        <is>
          <t>2017-09</t>
        </is>
      </c>
      <c r="D7002" t="inlineStr">
        <is>
          <t>87732658ba41d8775e8577df347a64db</t>
        </is>
      </c>
      <c r="E7002" t="inlineStr">
        <is>
          <t>social</t>
        </is>
      </c>
      <c r="F7002">
        <f>IFERROR(MATCH(A7002,Deals!$A$2:$A$843,0),"")</f>
        <v/>
      </c>
      <c r="G7002">
        <f>IF(F7002="",0,1)</f>
        <v/>
      </c>
      <c r="H7002" s="29">
        <f>IF(F7002="","",INDEX(Deals!$E$2:$E$843,F7002))</f>
        <v/>
      </c>
      <c r="I7002">
        <f>IF(F7002="","",INDEX(Deals!$D$2:$D$843,F7002))</f>
        <v/>
      </c>
      <c r="J7002">
        <f>IF(F7002="","",INT(H7002)-B7002)</f>
        <v/>
      </c>
      <c r="K7002">
        <f>IF(B7002&gt;=Settings!$C$5,1,0)</f>
        <v/>
      </c>
    </row>
    <row r="7003">
      <c r="A7003" t="inlineStr">
        <is>
          <t>c097323215fe907391917a4bcb07864f</t>
        </is>
      </c>
      <c r="B7003" s="29" t="n">
        <v>43223</v>
      </c>
      <c r="C7003" t="inlineStr">
        <is>
          <t>2018-05</t>
        </is>
      </c>
      <c r="D7003" t="inlineStr">
        <is>
          <t>b76ef37428e6799c421989521c0e5077</t>
        </is>
      </c>
      <c r="E7003" t="inlineStr">
        <is>
          <t>organic_search</t>
        </is>
      </c>
      <c r="F7003">
        <f>IFERROR(MATCH(A7003,Deals!$A$2:$A$843,0),"")</f>
        <v/>
      </c>
      <c r="G7003">
        <f>IF(F7003="",0,1)</f>
        <v/>
      </c>
      <c r="H7003" s="29">
        <f>IF(F7003="","",INDEX(Deals!$E$2:$E$843,F7003))</f>
        <v/>
      </c>
      <c r="I7003">
        <f>IF(F7003="","",INDEX(Deals!$D$2:$D$843,F7003))</f>
        <v/>
      </c>
      <c r="J7003">
        <f>IF(F7003="","",INT(H7003)-B7003)</f>
        <v/>
      </c>
      <c r="K7003">
        <f>IF(B7003&gt;=Settings!$C$5,1,0)</f>
        <v/>
      </c>
    </row>
    <row r="7004">
      <c r="A7004" t="inlineStr">
        <is>
          <t>aad30043fc2c322d246f3279345448b9</t>
        </is>
      </c>
      <c r="B7004" s="29" t="n">
        <v>43124</v>
      </c>
      <c r="C7004" t="inlineStr">
        <is>
          <t>2018-01</t>
        </is>
      </c>
      <c r="D7004" t="inlineStr">
        <is>
          <t>b76ef37428e6799c421989521c0e5077</t>
        </is>
      </c>
      <c r="E7004" t="inlineStr">
        <is>
          <t>unknown</t>
        </is>
      </c>
      <c r="F7004">
        <f>IFERROR(MATCH(A7004,Deals!$A$2:$A$843,0),"")</f>
        <v/>
      </c>
      <c r="G7004">
        <f>IF(F7004="",0,1)</f>
        <v/>
      </c>
      <c r="H7004" s="29">
        <f>IF(F7004="","",INDEX(Deals!$E$2:$E$843,F7004))</f>
        <v/>
      </c>
      <c r="I7004">
        <f>IF(F7004="","",INDEX(Deals!$D$2:$D$843,F7004))</f>
        <v/>
      </c>
      <c r="J7004">
        <f>IF(F7004="","",INT(H7004)-B7004)</f>
        <v/>
      </c>
      <c r="K7004">
        <f>IF(B7004&gt;=Settings!$C$5,1,0)</f>
        <v/>
      </c>
    </row>
    <row r="7005">
      <c r="A7005" t="inlineStr">
        <is>
          <t>60466bdf7f23352d678d2c69674917d1</t>
        </is>
      </c>
      <c r="B7005" s="29" t="n">
        <v>43245</v>
      </c>
      <c r="C7005" t="inlineStr">
        <is>
          <t>2018-05</t>
        </is>
      </c>
      <c r="D7005" t="inlineStr">
        <is>
          <t>5dc848e7dd9418dffe183215b8ff0bc1</t>
        </is>
      </c>
      <c r="E7005" t="inlineStr">
        <is>
          <t>organic_search</t>
        </is>
      </c>
      <c r="F7005">
        <f>IFERROR(MATCH(A7005,Deals!$A$2:$A$843,0),"")</f>
        <v/>
      </c>
      <c r="G7005">
        <f>IF(F7005="",0,1)</f>
        <v/>
      </c>
      <c r="H7005" s="29">
        <f>IF(F7005="","",INDEX(Deals!$E$2:$E$843,F7005))</f>
        <v/>
      </c>
      <c r="I7005">
        <f>IF(F7005="","",INDEX(Deals!$D$2:$D$843,F7005))</f>
        <v/>
      </c>
      <c r="J7005">
        <f>IF(F7005="","",INT(H7005)-B7005)</f>
        <v/>
      </c>
      <c r="K7005">
        <f>IF(B7005&gt;=Settings!$C$5,1,0)</f>
        <v/>
      </c>
    </row>
    <row r="7006">
      <c r="A7006" t="inlineStr">
        <is>
          <t>e91d9d8a18bc230d88e9241865958431</t>
        </is>
      </c>
      <c r="B7006" s="29" t="n">
        <v>43056</v>
      </c>
      <c r="C7006" t="inlineStr">
        <is>
          <t>2017-11</t>
        </is>
      </c>
      <c r="D7006" t="inlineStr">
        <is>
          <t>b76ef37428e6799c421989521c0e5077</t>
        </is>
      </c>
      <c r="E7006" t="inlineStr">
        <is>
          <t>unknown</t>
        </is>
      </c>
      <c r="F7006">
        <f>IFERROR(MATCH(A7006,Deals!$A$2:$A$843,0),"")</f>
        <v/>
      </c>
      <c r="G7006">
        <f>IF(F7006="",0,1)</f>
        <v/>
      </c>
      <c r="H7006" s="29">
        <f>IF(F7006="","",INDEX(Deals!$E$2:$E$843,F7006))</f>
        <v/>
      </c>
      <c r="I7006">
        <f>IF(F7006="","",INDEX(Deals!$D$2:$D$843,F7006))</f>
        <v/>
      </c>
      <c r="J7006">
        <f>IF(F7006="","",INT(H7006)-B7006)</f>
        <v/>
      </c>
      <c r="K7006">
        <f>IF(B7006&gt;=Settings!$C$5,1,0)</f>
        <v/>
      </c>
    </row>
    <row r="7007">
      <c r="A7007" t="inlineStr">
        <is>
          <t>ef5d2bfe2d638498f34261df115dfd3d</t>
        </is>
      </c>
      <c r="B7007" s="29" t="n">
        <v>43236</v>
      </c>
      <c r="C7007" t="inlineStr">
        <is>
          <t>2018-05</t>
        </is>
      </c>
      <c r="D7007" t="inlineStr">
        <is>
          <t>a7982125ff7aa3b2054c6e44f9d28522</t>
        </is>
      </c>
      <c r="E7007" t="inlineStr">
        <is>
          <t>organic_search</t>
        </is>
      </c>
      <c r="F7007">
        <f>IFERROR(MATCH(A7007,Deals!$A$2:$A$843,0),"")</f>
        <v/>
      </c>
      <c r="G7007">
        <f>IF(F7007="",0,1)</f>
        <v/>
      </c>
      <c r="H7007" s="29">
        <f>IF(F7007="","",INDEX(Deals!$E$2:$E$843,F7007))</f>
        <v/>
      </c>
      <c r="I7007">
        <f>IF(F7007="","",INDEX(Deals!$D$2:$D$843,F7007))</f>
        <v/>
      </c>
      <c r="J7007">
        <f>IF(F7007="","",INT(H7007)-B7007)</f>
        <v/>
      </c>
      <c r="K7007">
        <f>IF(B7007&gt;=Settings!$C$5,1,0)</f>
        <v/>
      </c>
    </row>
    <row r="7008">
      <c r="A7008" t="inlineStr">
        <is>
          <t>476d9ee280c59ed43b3f813c6d3a44c6</t>
        </is>
      </c>
      <c r="B7008" s="29" t="n">
        <v>43173</v>
      </c>
      <c r="C7008" t="inlineStr">
        <is>
          <t>2018-03</t>
        </is>
      </c>
      <c r="D7008" t="inlineStr">
        <is>
          <t>b76ef37428e6799c421989521c0e5077</t>
        </is>
      </c>
      <c r="E7008" t="inlineStr">
        <is>
          <t>unknown</t>
        </is>
      </c>
      <c r="F7008">
        <f>IFERROR(MATCH(A7008,Deals!$A$2:$A$843,0),"")</f>
        <v/>
      </c>
      <c r="G7008">
        <f>IF(F7008="",0,1)</f>
        <v/>
      </c>
      <c r="H7008" s="29">
        <f>IF(F7008="","",INDEX(Deals!$E$2:$E$843,F7008))</f>
        <v/>
      </c>
      <c r="I7008">
        <f>IF(F7008="","",INDEX(Deals!$D$2:$D$843,F7008))</f>
        <v/>
      </c>
      <c r="J7008">
        <f>IF(F7008="","",INT(H7008)-B7008)</f>
        <v/>
      </c>
      <c r="K7008">
        <f>IF(B7008&gt;=Settings!$C$5,1,0)</f>
        <v/>
      </c>
    </row>
    <row r="7009">
      <c r="A7009" t="inlineStr">
        <is>
          <t>04781d233bb1aa1e65ead1422900fdbc</t>
        </is>
      </c>
      <c r="B7009" s="29" t="n">
        <v>43062</v>
      </c>
      <c r="C7009" t="inlineStr">
        <is>
          <t>2017-11</t>
        </is>
      </c>
      <c r="D7009" t="inlineStr">
        <is>
          <t>b76ef37428e6799c421989521c0e5077</t>
        </is>
      </c>
      <c r="E7009" t="inlineStr">
        <is>
          <t>unknown</t>
        </is>
      </c>
      <c r="F7009">
        <f>IFERROR(MATCH(A7009,Deals!$A$2:$A$843,0),"")</f>
        <v/>
      </c>
      <c r="G7009">
        <f>IF(F7009="",0,1)</f>
        <v/>
      </c>
      <c r="H7009" s="29">
        <f>IF(F7009="","",INDEX(Deals!$E$2:$E$843,F7009))</f>
        <v/>
      </c>
      <c r="I7009">
        <f>IF(F7009="","",INDEX(Deals!$D$2:$D$843,F7009))</f>
        <v/>
      </c>
      <c r="J7009">
        <f>IF(F7009="","",INT(H7009)-B7009)</f>
        <v/>
      </c>
      <c r="K7009">
        <f>IF(B7009&gt;=Settings!$C$5,1,0)</f>
        <v/>
      </c>
    </row>
    <row r="7010">
      <c r="A7010" t="inlineStr">
        <is>
          <t>3e1d9bee7fa8982cbd0dd0c0aa5ce905</t>
        </is>
      </c>
      <c r="B7010" s="29" t="n">
        <v>43155</v>
      </c>
      <c r="C7010" t="inlineStr">
        <is>
          <t>2018-02</t>
        </is>
      </c>
      <c r="D7010" t="inlineStr">
        <is>
          <t>22c29808c4f815213303f8933030604c</t>
        </is>
      </c>
      <c r="E7010" t="inlineStr">
        <is>
          <t>organic_search</t>
        </is>
      </c>
      <c r="F7010">
        <f>IFERROR(MATCH(A7010,Deals!$A$2:$A$843,0),"")</f>
        <v/>
      </c>
      <c r="G7010">
        <f>IF(F7010="",0,1)</f>
        <v/>
      </c>
      <c r="H7010" s="29">
        <f>IF(F7010="","",INDEX(Deals!$E$2:$E$843,F7010))</f>
        <v/>
      </c>
      <c r="I7010">
        <f>IF(F7010="","",INDEX(Deals!$D$2:$D$843,F7010))</f>
        <v/>
      </c>
      <c r="J7010">
        <f>IF(F7010="","",INT(H7010)-B7010)</f>
        <v/>
      </c>
      <c r="K7010">
        <f>IF(B7010&gt;=Settings!$C$5,1,0)</f>
        <v/>
      </c>
    </row>
    <row r="7011">
      <c r="A7011" t="inlineStr">
        <is>
          <t>7e83a4be61c9f15cb1e5686ea2c1edaa</t>
        </is>
      </c>
      <c r="B7011" s="29" t="n">
        <v>43185</v>
      </c>
      <c r="C7011" t="inlineStr">
        <is>
          <t>2018-03</t>
        </is>
      </c>
      <c r="D7011" t="inlineStr">
        <is>
          <t>f017be4dbf86243af5c1ebed0cff36a2</t>
        </is>
      </c>
      <c r="E7011" t="inlineStr">
        <is>
          <t>organic_search</t>
        </is>
      </c>
      <c r="F7011">
        <f>IFERROR(MATCH(A7011,Deals!$A$2:$A$843,0),"")</f>
        <v/>
      </c>
      <c r="G7011">
        <f>IF(F7011="",0,1)</f>
        <v/>
      </c>
      <c r="H7011" s="29">
        <f>IF(F7011="","",INDEX(Deals!$E$2:$E$843,F7011))</f>
        <v/>
      </c>
      <c r="I7011">
        <f>IF(F7011="","",INDEX(Deals!$D$2:$D$843,F7011))</f>
        <v/>
      </c>
      <c r="J7011">
        <f>IF(F7011="","",INT(H7011)-B7011)</f>
        <v/>
      </c>
      <c r="K7011">
        <f>IF(B7011&gt;=Settings!$C$5,1,0)</f>
        <v/>
      </c>
    </row>
    <row r="7012">
      <c r="A7012" t="inlineStr">
        <is>
          <t>0e4996ce1ba7f629bb900d7a38b2dc48</t>
        </is>
      </c>
      <c r="B7012" s="29" t="n">
        <v>43150</v>
      </c>
      <c r="C7012" t="inlineStr">
        <is>
          <t>2018-02</t>
        </is>
      </c>
      <c r="D7012" t="inlineStr">
        <is>
          <t>0625ca637bf063abf254a66fe91fa84b</t>
        </is>
      </c>
      <c r="E7012" t="inlineStr">
        <is>
          <t>organic_search</t>
        </is>
      </c>
      <c r="F7012">
        <f>IFERROR(MATCH(A7012,Deals!$A$2:$A$843,0),"")</f>
        <v/>
      </c>
      <c r="G7012">
        <f>IF(F7012="",0,1)</f>
        <v/>
      </c>
      <c r="H7012" s="29">
        <f>IF(F7012="","",INDEX(Deals!$E$2:$E$843,F7012))</f>
        <v/>
      </c>
      <c r="I7012">
        <f>IF(F7012="","",INDEX(Deals!$D$2:$D$843,F7012))</f>
        <v/>
      </c>
      <c r="J7012">
        <f>IF(F7012="","",INT(H7012)-B7012)</f>
        <v/>
      </c>
      <c r="K7012">
        <f>IF(B7012&gt;=Settings!$C$5,1,0)</f>
        <v/>
      </c>
    </row>
    <row r="7013">
      <c r="A7013" t="inlineStr">
        <is>
          <t>828feeb4c80ad1bcb65b2002b6ea581b</t>
        </is>
      </c>
      <c r="B7013" s="29" t="n">
        <v>43200</v>
      </c>
      <c r="C7013" t="inlineStr">
        <is>
          <t>2018-04</t>
        </is>
      </c>
      <c r="D7013" t="inlineStr">
        <is>
          <t>b48ec5f3b04e9068441002a19df93c6c</t>
        </is>
      </c>
      <c r="E7013" t="inlineStr">
        <is>
          <t>organic_search</t>
        </is>
      </c>
      <c r="F7013">
        <f>IFERROR(MATCH(A7013,Deals!$A$2:$A$843,0),"")</f>
        <v/>
      </c>
      <c r="G7013">
        <f>IF(F7013="",0,1)</f>
        <v/>
      </c>
      <c r="H7013" s="29">
        <f>IF(F7013="","",INDEX(Deals!$E$2:$E$843,F7013))</f>
        <v/>
      </c>
      <c r="I7013">
        <f>IF(F7013="","",INDEX(Deals!$D$2:$D$843,F7013))</f>
        <v/>
      </c>
      <c r="J7013">
        <f>IF(F7013="","",INT(H7013)-B7013)</f>
        <v/>
      </c>
      <c r="K7013">
        <f>IF(B7013&gt;=Settings!$C$5,1,0)</f>
        <v/>
      </c>
    </row>
    <row r="7014">
      <c r="A7014" t="inlineStr">
        <is>
          <t>532e28925576f5994b5b671b2f1d9bdb</t>
        </is>
      </c>
      <c r="B7014" s="29" t="n">
        <v>43123</v>
      </c>
      <c r="C7014" t="inlineStr">
        <is>
          <t>2018-01</t>
        </is>
      </c>
      <c r="D7014" t="inlineStr">
        <is>
          <t>40dec9f3d5259a3d2dbcdab2114fae47</t>
        </is>
      </c>
      <c r="E7014" t="inlineStr">
        <is>
          <t>direct_traffic</t>
        </is>
      </c>
      <c r="F7014">
        <f>IFERROR(MATCH(A7014,Deals!$A$2:$A$843,0),"")</f>
        <v/>
      </c>
      <c r="G7014">
        <f>IF(F7014="",0,1)</f>
        <v/>
      </c>
      <c r="H7014" s="29">
        <f>IF(F7014="","",INDEX(Deals!$E$2:$E$843,F7014))</f>
        <v/>
      </c>
      <c r="I7014">
        <f>IF(F7014="","",INDEX(Deals!$D$2:$D$843,F7014))</f>
        <v/>
      </c>
      <c r="J7014">
        <f>IF(F7014="","",INT(H7014)-B7014)</f>
        <v/>
      </c>
      <c r="K7014">
        <f>IF(B7014&gt;=Settings!$C$5,1,0)</f>
        <v/>
      </c>
    </row>
    <row r="7015">
      <c r="A7015" t="inlineStr">
        <is>
          <t>e7a7ad701181facf685c60b1ba264363</t>
        </is>
      </c>
      <c r="B7015" s="29" t="n">
        <v>43152</v>
      </c>
      <c r="C7015" t="inlineStr">
        <is>
          <t>2018-02</t>
        </is>
      </c>
      <c r="D7015" t="inlineStr">
        <is>
          <t>65d9f9d71e562365e8b44037c2888d98</t>
        </is>
      </c>
      <c r="E7015" t="inlineStr">
        <is>
          <t>paid_search</t>
        </is>
      </c>
      <c r="F7015">
        <f>IFERROR(MATCH(A7015,Deals!$A$2:$A$843,0),"")</f>
        <v/>
      </c>
      <c r="G7015">
        <f>IF(F7015="",0,1)</f>
        <v/>
      </c>
      <c r="H7015" s="29">
        <f>IF(F7015="","",INDEX(Deals!$E$2:$E$843,F7015))</f>
        <v/>
      </c>
      <c r="I7015">
        <f>IF(F7015="","",INDEX(Deals!$D$2:$D$843,F7015))</f>
        <v/>
      </c>
      <c r="J7015">
        <f>IF(F7015="","",INT(H7015)-B7015)</f>
        <v/>
      </c>
      <c r="K7015">
        <f>IF(B7015&gt;=Settings!$C$5,1,0)</f>
        <v/>
      </c>
    </row>
    <row r="7016">
      <c r="A7016" t="inlineStr">
        <is>
          <t>42999a62bd597f7f6fdc85c73e0daaf0</t>
        </is>
      </c>
      <c r="B7016" s="29" t="n">
        <v>43186</v>
      </c>
      <c r="C7016" t="inlineStr">
        <is>
          <t>2018-03</t>
        </is>
      </c>
      <c r="D7016" t="inlineStr">
        <is>
          <t>40dec9f3d5259a3d2dbcdab2114fae47</t>
        </is>
      </c>
      <c r="E7016" t="inlineStr">
        <is>
          <t>paid_search</t>
        </is>
      </c>
      <c r="F7016">
        <f>IFERROR(MATCH(A7016,Deals!$A$2:$A$843,0),"")</f>
        <v/>
      </c>
      <c r="G7016">
        <f>IF(F7016="",0,1)</f>
        <v/>
      </c>
      <c r="H7016" s="29">
        <f>IF(F7016="","",INDEX(Deals!$E$2:$E$843,F7016))</f>
        <v/>
      </c>
      <c r="I7016">
        <f>IF(F7016="","",INDEX(Deals!$D$2:$D$843,F7016))</f>
        <v/>
      </c>
      <c r="J7016">
        <f>IF(F7016="","",INT(H7016)-B7016)</f>
        <v/>
      </c>
      <c r="K7016">
        <f>IF(B7016&gt;=Settings!$C$5,1,0)</f>
        <v/>
      </c>
    </row>
    <row r="7017">
      <c r="A7017" t="inlineStr">
        <is>
          <t>7e5c97f2b9aff7d8e16e0fdb0baa5135</t>
        </is>
      </c>
      <c r="B7017" s="29" t="n">
        <v>43159</v>
      </c>
      <c r="C7017" t="inlineStr">
        <is>
          <t>2018-02</t>
        </is>
      </c>
      <c r="D7017" t="inlineStr">
        <is>
          <t>b6885f18d203a61176418c1fb3764815</t>
        </is>
      </c>
      <c r="E7017" t="inlineStr">
        <is>
          <t>organic_search</t>
        </is>
      </c>
      <c r="F7017">
        <f>IFERROR(MATCH(A7017,Deals!$A$2:$A$843,0),"")</f>
        <v/>
      </c>
      <c r="G7017">
        <f>IF(F7017="",0,1)</f>
        <v/>
      </c>
      <c r="H7017" s="29">
        <f>IF(F7017="","",INDEX(Deals!$E$2:$E$843,F7017))</f>
        <v/>
      </c>
      <c r="I7017">
        <f>IF(F7017="","",INDEX(Deals!$D$2:$D$843,F7017))</f>
        <v/>
      </c>
      <c r="J7017">
        <f>IF(F7017="","",INT(H7017)-B7017)</f>
        <v/>
      </c>
      <c r="K7017">
        <f>IF(B7017&gt;=Settings!$C$5,1,0)</f>
        <v/>
      </c>
    </row>
    <row r="7018">
      <c r="A7018" t="inlineStr">
        <is>
          <t>a12f16f776b4474dc5c342c48b254df2</t>
        </is>
      </c>
      <c r="B7018" s="29" t="n">
        <v>43145</v>
      </c>
      <c r="C7018" t="inlineStr">
        <is>
          <t>2018-02</t>
        </is>
      </c>
      <c r="D7018" t="inlineStr">
        <is>
          <t>30077c17f2ec5010a82e37ad8925b95f</t>
        </is>
      </c>
      <c r="E7018" t="inlineStr">
        <is>
          <t>organic_search</t>
        </is>
      </c>
      <c r="F7018">
        <f>IFERROR(MATCH(A7018,Deals!$A$2:$A$843,0),"")</f>
        <v/>
      </c>
      <c r="G7018">
        <f>IF(F7018="",0,1)</f>
        <v/>
      </c>
      <c r="H7018" s="29">
        <f>IF(F7018="","",INDEX(Deals!$E$2:$E$843,F7018))</f>
        <v/>
      </c>
      <c r="I7018">
        <f>IF(F7018="","",INDEX(Deals!$D$2:$D$843,F7018))</f>
        <v/>
      </c>
      <c r="J7018">
        <f>IF(F7018="","",INT(H7018)-B7018)</f>
        <v/>
      </c>
      <c r="K7018">
        <f>IF(B7018&gt;=Settings!$C$5,1,0)</f>
        <v/>
      </c>
    </row>
    <row r="7019">
      <c r="A7019" t="inlineStr">
        <is>
          <t>051cb0d72dcd23f16842e894f5c46051</t>
        </is>
      </c>
      <c r="B7019" s="29" t="n">
        <v>43208</v>
      </c>
      <c r="C7019" t="inlineStr">
        <is>
          <t>2018-04</t>
        </is>
      </c>
      <c r="D7019" t="inlineStr">
        <is>
          <t>b76ef37428e6799c421989521c0e5077</t>
        </is>
      </c>
      <c r="E7019" t="inlineStr">
        <is>
          <t>organic_search</t>
        </is>
      </c>
      <c r="F7019">
        <f>IFERROR(MATCH(A7019,Deals!$A$2:$A$843,0),"")</f>
        <v/>
      </c>
      <c r="G7019">
        <f>IF(F7019="",0,1)</f>
        <v/>
      </c>
      <c r="H7019" s="29">
        <f>IF(F7019="","",INDEX(Deals!$E$2:$E$843,F7019))</f>
        <v/>
      </c>
      <c r="I7019">
        <f>IF(F7019="","",INDEX(Deals!$D$2:$D$843,F7019))</f>
        <v/>
      </c>
      <c r="J7019">
        <f>IF(F7019="","",INT(H7019)-B7019)</f>
        <v/>
      </c>
      <c r="K7019">
        <f>IF(B7019&gt;=Settings!$C$5,1,0)</f>
        <v/>
      </c>
    </row>
    <row r="7020">
      <c r="A7020" t="inlineStr">
        <is>
          <t>89ac3847f89c59936579cfc2ce0454ca</t>
        </is>
      </c>
      <c r="B7020" s="29" t="n">
        <v>43126</v>
      </c>
      <c r="C7020" t="inlineStr">
        <is>
          <t>2018-01</t>
        </is>
      </c>
      <c r="D7020" t="inlineStr">
        <is>
          <t>40dec9f3d5259a3d2dbcdab2114fae47</t>
        </is>
      </c>
      <c r="E7020" t="inlineStr">
        <is>
          <t>paid_search</t>
        </is>
      </c>
      <c r="F7020">
        <f>IFERROR(MATCH(A7020,Deals!$A$2:$A$843,0),"")</f>
        <v/>
      </c>
      <c r="G7020">
        <f>IF(F7020="",0,1)</f>
        <v/>
      </c>
      <c r="H7020" s="29">
        <f>IF(F7020="","",INDEX(Deals!$E$2:$E$843,F7020))</f>
        <v/>
      </c>
      <c r="I7020">
        <f>IF(F7020="","",INDEX(Deals!$D$2:$D$843,F7020))</f>
        <v/>
      </c>
      <c r="J7020">
        <f>IF(F7020="","",INT(H7020)-B7020)</f>
        <v/>
      </c>
      <c r="K7020">
        <f>IF(B7020&gt;=Settings!$C$5,1,0)</f>
        <v/>
      </c>
    </row>
    <row r="7021">
      <c r="A7021" t="inlineStr">
        <is>
          <t>2008b6bfa59e4d81791f9ecbfd9f1a75</t>
        </is>
      </c>
      <c r="B7021" s="29" t="n">
        <v>43137</v>
      </c>
      <c r="C7021" t="inlineStr">
        <is>
          <t>2018-02</t>
        </is>
      </c>
      <c r="D7021" t="inlineStr">
        <is>
          <t>40dec9f3d5259a3d2dbcdab2114fae47</t>
        </is>
      </c>
      <c r="E7021" t="inlineStr">
        <is>
          <t>paid_search</t>
        </is>
      </c>
      <c r="F7021">
        <f>IFERROR(MATCH(A7021,Deals!$A$2:$A$843,0),"")</f>
        <v/>
      </c>
      <c r="G7021">
        <f>IF(F7021="",0,1)</f>
        <v/>
      </c>
      <c r="H7021" s="29">
        <f>IF(F7021="","",INDEX(Deals!$E$2:$E$843,F7021))</f>
        <v/>
      </c>
      <c r="I7021">
        <f>IF(F7021="","",INDEX(Deals!$D$2:$D$843,F7021))</f>
        <v/>
      </c>
      <c r="J7021">
        <f>IF(F7021="","",INT(H7021)-B7021)</f>
        <v/>
      </c>
      <c r="K7021">
        <f>IF(B7021&gt;=Settings!$C$5,1,0)</f>
        <v/>
      </c>
    </row>
    <row r="7022">
      <c r="A7022" t="inlineStr">
        <is>
          <t>313fa9a7f8ae9c6142ab8b979811be6b</t>
        </is>
      </c>
      <c r="B7022" s="29" t="n">
        <v>43184</v>
      </c>
      <c r="C7022" t="inlineStr">
        <is>
          <t>2018-03</t>
        </is>
      </c>
      <c r="D7022" t="inlineStr">
        <is>
          <t>f017be4dbf86243af5c1ebed0cff36a2</t>
        </is>
      </c>
      <c r="E7022" t="inlineStr">
        <is>
          <t>organic_search</t>
        </is>
      </c>
      <c r="F7022">
        <f>IFERROR(MATCH(A7022,Deals!$A$2:$A$843,0),"")</f>
        <v/>
      </c>
      <c r="G7022">
        <f>IF(F7022="",0,1)</f>
        <v/>
      </c>
      <c r="H7022" s="29">
        <f>IF(F7022="","",INDEX(Deals!$E$2:$E$843,F7022))</f>
        <v/>
      </c>
      <c r="I7022">
        <f>IF(F7022="","",INDEX(Deals!$D$2:$D$843,F7022))</f>
        <v/>
      </c>
      <c r="J7022">
        <f>IF(F7022="","",INT(H7022)-B7022)</f>
        <v/>
      </c>
      <c r="K7022">
        <f>IF(B7022&gt;=Settings!$C$5,1,0)</f>
        <v/>
      </c>
    </row>
    <row r="7023">
      <c r="A7023" t="inlineStr">
        <is>
          <t>5ac050d44e6476acecf88969950cf3a2</t>
        </is>
      </c>
      <c r="B7023" s="29" t="n">
        <v>43130</v>
      </c>
      <c r="C7023" t="inlineStr">
        <is>
          <t>2018-01</t>
        </is>
      </c>
      <c r="D7023" t="inlineStr">
        <is>
          <t>22c29808c4f815213303f8933030604c</t>
        </is>
      </c>
      <c r="E7023" t="inlineStr">
        <is>
          <t>organic_search</t>
        </is>
      </c>
      <c r="F7023">
        <f>IFERROR(MATCH(A7023,Deals!$A$2:$A$843,0),"")</f>
        <v/>
      </c>
      <c r="G7023">
        <f>IF(F7023="",0,1)</f>
        <v/>
      </c>
      <c r="H7023" s="29">
        <f>IF(F7023="","",INDEX(Deals!$E$2:$E$843,F7023))</f>
        <v/>
      </c>
      <c r="I7023">
        <f>IF(F7023="","",INDEX(Deals!$D$2:$D$843,F7023))</f>
        <v/>
      </c>
      <c r="J7023">
        <f>IF(F7023="","",INT(H7023)-B7023)</f>
        <v/>
      </c>
      <c r="K7023">
        <f>IF(B7023&gt;=Settings!$C$5,1,0)</f>
        <v/>
      </c>
    </row>
    <row r="7024">
      <c r="A7024" t="inlineStr">
        <is>
          <t>e0d1a91717b32a5ccebba4f5912b2b93</t>
        </is>
      </c>
      <c r="B7024" s="29" t="n">
        <v>43166</v>
      </c>
      <c r="C7024" t="inlineStr">
        <is>
          <t>2018-03</t>
        </is>
      </c>
      <c r="D7024" t="inlineStr">
        <is>
          <t>22c29808c4f815213303f8933030604c</t>
        </is>
      </c>
      <c r="E7024" t="inlineStr">
        <is>
          <t>organic_search</t>
        </is>
      </c>
      <c r="F7024">
        <f>IFERROR(MATCH(A7024,Deals!$A$2:$A$843,0),"")</f>
        <v/>
      </c>
      <c r="G7024">
        <f>IF(F7024="",0,1)</f>
        <v/>
      </c>
      <c r="H7024" s="29">
        <f>IF(F7024="","",INDEX(Deals!$E$2:$E$843,F7024))</f>
        <v/>
      </c>
      <c r="I7024">
        <f>IF(F7024="","",INDEX(Deals!$D$2:$D$843,F7024))</f>
        <v/>
      </c>
      <c r="J7024">
        <f>IF(F7024="","",INT(H7024)-B7024)</f>
        <v/>
      </c>
      <c r="K7024">
        <f>IF(B7024&gt;=Settings!$C$5,1,0)</f>
        <v/>
      </c>
    </row>
    <row r="7025">
      <c r="A7025" t="inlineStr">
        <is>
          <t>fe29797ff17991c1e35eb71164d4b951</t>
        </is>
      </c>
      <c r="B7025" s="29" t="n">
        <v>42960</v>
      </c>
      <c r="C7025" t="inlineStr">
        <is>
          <t>2017-08</t>
        </is>
      </c>
      <c r="D7025" t="inlineStr">
        <is>
          <t>c555aa36478386fdf85a2d0ca5cd0ff8</t>
        </is>
      </c>
      <c r="E7025" t="inlineStr">
        <is>
          <t>unknown</t>
        </is>
      </c>
      <c r="F7025">
        <f>IFERROR(MATCH(A7025,Deals!$A$2:$A$843,0),"")</f>
        <v/>
      </c>
      <c r="G7025">
        <f>IF(F7025="",0,1)</f>
        <v/>
      </c>
      <c r="H7025" s="29">
        <f>IF(F7025="","",INDEX(Deals!$E$2:$E$843,F7025))</f>
        <v/>
      </c>
      <c r="I7025">
        <f>IF(F7025="","",INDEX(Deals!$D$2:$D$843,F7025))</f>
        <v/>
      </c>
      <c r="J7025">
        <f>IF(F7025="","",INT(H7025)-B7025)</f>
        <v/>
      </c>
      <c r="K7025">
        <f>IF(B7025&gt;=Settings!$C$5,1,0)</f>
        <v/>
      </c>
    </row>
    <row r="7026">
      <c r="A7026" t="inlineStr">
        <is>
          <t>44ccfe397ecb78a8dc09d6e524c1322d</t>
        </is>
      </c>
      <c r="B7026" s="29" t="n">
        <v>43105</v>
      </c>
      <c r="C7026" t="inlineStr">
        <is>
          <t>2018-01</t>
        </is>
      </c>
      <c r="D7026" t="inlineStr">
        <is>
          <t>40dec9f3d5259a3d2dbcdab2114fae47</t>
        </is>
      </c>
      <c r="E7026" t="inlineStr">
        <is>
          <t>paid_search</t>
        </is>
      </c>
      <c r="F7026">
        <f>IFERROR(MATCH(A7026,Deals!$A$2:$A$843,0),"")</f>
        <v/>
      </c>
      <c r="G7026">
        <f>IF(F7026="",0,1)</f>
        <v/>
      </c>
      <c r="H7026" s="29">
        <f>IF(F7026="","",INDEX(Deals!$E$2:$E$843,F7026))</f>
        <v/>
      </c>
      <c r="I7026">
        <f>IF(F7026="","",INDEX(Deals!$D$2:$D$843,F7026))</f>
        <v/>
      </c>
      <c r="J7026">
        <f>IF(F7026="","",INT(H7026)-B7026)</f>
        <v/>
      </c>
      <c r="K7026">
        <f>IF(B7026&gt;=Settings!$C$5,1,0)</f>
        <v/>
      </c>
    </row>
    <row r="7027">
      <c r="A7027" t="inlineStr">
        <is>
          <t>3af1c3da98c65277781b9a92e2f1d4c8</t>
        </is>
      </c>
      <c r="B7027" s="29" t="n">
        <v>43179</v>
      </c>
      <c r="C7027" t="inlineStr">
        <is>
          <t>2018-03</t>
        </is>
      </c>
      <c r="D7027" t="inlineStr">
        <is>
          <t>22c29808c4f815213303f8933030604c</t>
        </is>
      </c>
      <c r="E7027" t="inlineStr">
        <is>
          <t>other_publicities</t>
        </is>
      </c>
      <c r="F7027">
        <f>IFERROR(MATCH(A7027,Deals!$A$2:$A$843,0),"")</f>
        <v/>
      </c>
      <c r="G7027">
        <f>IF(F7027="",0,1)</f>
        <v/>
      </c>
      <c r="H7027" s="29">
        <f>IF(F7027="","",INDEX(Deals!$E$2:$E$843,F7027))</f>
        <v/>
      </c>
      <c r="I7027">
        <f>IF(F7027="","",INDEX(Deals!$D$2:$D$843,F7027))</f>
        <v/>
      </c>
      <c r="J7027">
        <f>IF(F7027="","",INT(H7027)-B7027)</f>
        <v/>
      </c>
      <c r="K7027">
        <f>IF(B7027&gt;=Settings!$C$5,1,0)</f>
        <v/>
      </c>
    </row>
    <row r="7028">
      <c r="A7028" t="inlineStr">
        <is>
          <t>f72f75a7a20745214ee32fff9bc0ef0f</t>
        </is>
      </c>
      <c r="B7028" s="29" t="n">
        <v>43210</v>
      </c>
      <c r="C7028" t="inlineStr">
        <is>
          <t>2018-04</t>
        </is>
      </c>
      <c r="D7028" t="inlineStr">
        <is>
          <t>58326e62183c14b0c03085c33b9fdc44</t>
        </is>
      </c>
      <c r="E7028" t="inlineStr">
        <is>
          <t>social</t>
        </is>
      </c>
      <c r="F7028">
        <f>IFERROR(MATCH(A7028,Deals!$A$2:$A$843,0),"")</f>
        <v/>
      </c>
      <c r="G7028">
        <f>IF(F7028="",0,1)</f>
        <v/>
      </c>
      <c r="H7028" s="29">
        <f>IF(F7028="","",INDEX(Deals!$E$2:$E$843,F7028))</f>
        <v/>
      </c>
      <c r="I7028">
        <f>IF(F7028="","",INDEX(Deals!$D$2:$D$843,F7028))</f>
        <v/>
      </c>
      <c r="J7028">
        <f>IF(F7028="","",INT(H7028)-B7028)</f>
        <v/>
      </c>
      <c r="K7028">
        <f>IF(B7028&gt;=Settings!$C$5,1,0)</f>
        <v/>
      </c>
    </row>
    <row r="7029">
      <c r="A7029" t="inlineStr">
        <is>
          <t>d51a44e8d70efb029025ff1d2ee43cc9</t>
        </is>
      </c>
      <c r="B7029" s="29" t="n">
        <v>43126</v>
      </c>
      <c r="C7029" t="inlineStr">
        <is>
          <t>2018-01</t>
        </is>
      </c>
      <c r="D7029" t="inlineStr">
        <is>
          <t>73fec6021437e723ff5adae8dff89e23</t>
        </is>
      </c>
      <c r="E7029" t="inlineStr">
        <is>
          <t>social</t>
        </is>
      </c>
      <c r="F7029">
        <f>IFERROR(MATCH(A7029,Deals!$A$2:$A$843,0),"")</f>
        <v/>
      </c>
      <c r="G7029">
        <f>IF(F7029="",0,1)</f>
        <v/>
      </c>
      <c r="H7029" s="29">
        <f>IF(F7029="","",INDEX(Deals!$E$2:$E$843,F7029))</f>
        <v/>
      </c>
      <c r="I7029">
        <f>IF(F7029="","",INDEX(Deals!$D$2:$D$843,F7029))</f>
        <v/>
      </c>
      <c r="J7029">
        <f>IF(F7029="","",INT(H7029)-B7029)</f>
        <v/>
      </c>
      <c r="K7029">
        <f>IF(B7029&gt;=Settings!$C$5,1,0)</f>
        <v/>
      </c>
    </row>
    <row r="7030">
      <c r="A7030" t="inlineStr">
        <is>
          <t>083b8170e8bcb3639297229b000b39b6</t>
        </is>
      </c>
      <c r="B7030" s="29" t="n">
        <v>43188</v>
      </c>
      <c r="C7030" t="inlineStr">
        <is>
          <t>2018-03</t>
        </is>
      </c>
      <c r="D7030" t="inlineStr">
        <is>
          <t>ea0650174e273c41e12002dcdd4708be</t>
        </is>
      </c>
      <c r="E7030" t="inlineStr">
        <is>
          <t>organic_search</t>
        </is>
      </c>
      <c r="F7030">
        <f>IFERROR(MATCH(A7030,Deals!$A$2:$A$843,0),"")</f>
        <v/>
      </c>
      <c r="G7030">
        <f>IF(F7030="",0,1)</f>
        <v/>
      </c>
      <c r="H7030" s="29">
        <f>IF(F7030="","",INDEX(Deals!$E$2:$E$843,F7030))</f>
        <v/>
      </c>
      <c r="I7030">
        <f>IF(F7030="","",INDEX(Deals!$D$2:$D$843,F7030))</f>
        <v/>
      </c>
      <c r="J7030">
        <f>IF(F7030="","",INT(H7030)-B7030)</f>
        <v/>
      </c>
      <c r="K7030">
        <f>IF(B7030&gt;=Settings!$C$5,1,0)</f>
        <v/>
      </c>
    </row>
    <row r="7031">
      <c r="A7031" t="inlineStr">
        <is>
          <t>bc05280b649b56ed783744d4bfe1e384</t>
        </is>
      </c>
      <c r="B7031" s="29" t="n">
        <v>43232</v>
      </c>
      <c r="C7031" t="inlineStr">
        <is>
          <t>2018-05</t>
        </is>
      </c>
      <c r="D7031" t="inlineStr">
        <is>
          <t>58326e62183c14b0c03085c33b9fdc44</t>
        </is>
      </c>
      <c r="E7031" t="inlineStr">
        <is>
          <t>social</t>
        </is>
      </c>
      <c r="F7031">
        <f>IFERROR(MATCH(A7031,Deals!$A$2:$A$843,0),"")</f>
        <v/>
      </c>
      <c r="G7031">
        <f>IF(F7031="",0,1)</f>
        <v/>
      </c>
      <c r="H7031" s="29">
        <f>IF(F7031="","",INDEX(Deals!$E$2:$E$843,F7031))</f>
        <v/>
      </c>
      <c r="I7031">
        <f>IF(F7031="","",INDEX(Deals!$D$2:$D$843,F7031))</f>
        <v/>
      </c>
      <c r="J7031">
        <f>IF(F7031="","",INT(H7031)-B7031)</f>
        <v/>
      </c>
      <c r="K7031">
        <f>IF(B7031&gt;=Settings!$C$5,1,0)</f>
        <v/>
      </c>
    </row>
    <row r="7032">
      <c r="A7032" t="inlineStr">
        <is>
          <t>6f39194d3df14d057e8ba796fcae6942</t>
        </is>
      </c>
      <c r="B7032" s="29" t="n">
        <v>42969</v>
      </c>
      <c r="C7032" t="inlineStr">
        <is>
          <t>2017-08</t>
        </is>
      </c>
      <c r="D7032" t="inlineStr">
        <is>
          <t>3cd2a8301d5395f21cdd3094c9eaa2f4</t>
        </is>
      </c>
      <c r="E7032" t="inlineStr">
        <is>
          <t>paid_search</t>
        </is>
      </c>
      <c r="F7032">
        <f>IFERROR(MATCH(A7032,Deals!$A$2:$A$843,0),"")</f>
        <v/>
      </c>
      <c r="G7032">
        <f>IF(F7032="",0,1)</f>
        <v/>
      </c>
      <c r="H7032" s="29">
        <f>IF(F7032="","",INDEX(Deals!$E$2:$E$843,F7032))</f>
        <v/>
      </c>
      <c r="I7032">
        <f>IF(F7032="","",INDEX(Deals!$D$2:$D$843,F7032))</f>
        <v/>
      </c>
      <c r="J7032">
        <f>IF(F7032="","",INT(H7032)-B7032)</f>
        <v/>
      </c>
      <c r="K7032">
        <f>IF(B7032&gt;=Settings!$C$5,1,0)</f>
        <v/>
      </c>
    </row>
    <row r="7033">
      <c r="A7033" t="inlineStr">
        <is>
          <t>a6daa50980e748201a1444e4dd49c38d</t>
        </is>
      </c>
      <c r="B7033" s="29" t="n">
        <v>43230</v>
      </c>
      <c r="C7033" t="inlineStr">
        <is>
          <t>2018-05</t>
        </is>
      </c>
      <c r="D7033" t="inlineStr">
        <is>
          <t>21a104c3279681d9856b8a48723c4fee</t>
        </is>
      </c>
      <c r="E7033" t="inlineStr">
        <is>
          <t>direct_traffic</t>
        </is>
      </c>
      <c r="F7033">
        <f>IFERROR(MATCH(A7033,Deals!$A$2:$A$843,0),"")</f>
        <v/>
      </c>
      <c r="G7033">
        <f>IF(F7033="",0,1)</f>
        <v/>
      </c>
      <c r="H7033" s="29">
        <f>IF(F7033="","",INDEX(Deals!$E$2:$E$843,F7033))</f>
        <v/>
      </c>
      <c r="I7033">
        <f>IF(F7033="","",INDEX(Deals!$D$2:$D$843,F7033))</f>
        <v/>
      </c>
      <c r="J7033">
        <f>IF(F7033="","",INT(H7033)-B7033)</f>
        <v/>
      </c>
      <c r="K7033">
        <f>IF(B7033&gt;=Settings!$C$5,1,0)</f>
        <v/>
      </c>
    </row>
    <row r="7034">
      <c r="A7034" t="inlineStr">
        <is>
          <t>2417ae26837d6988676d7acb2fbba440</t>
        </is>
      </c>
      <c r="B7034" s="29" t="n">
        <v>43102</v>
      </c>
      <c r="C7034" t="inlineStr">
        <is>
          <t>2018-01</t>
        </is>
      </c>
      <c r="D7034" t="inlineStr">
        <is>
          <t>40dec9f3d5259a3d2dbcdab2114fae47</t>
        </is>
      </c>
      <c r="E7034" t="inlineStr">
        <is>
          <t>referral</t>
        </is>
      </c>
      <c r="F7034">
        <f>IFERROR(MATCH(A7034,Deals!$A$2:$A$843,0),"")</f>
        <v/>
      </c>
      <c r="G7034">
        <f>IF(F7034="",0,1)</f>
        <v/>
      </c>
      <c r="H7034" s="29">
        <f>IF(F7034="","",INDEX(Deals!$E$2:$E$843,F7034))</f>
        <v/>
      </c>
      <c r="I7034">
        <f>IF(F7034="","",INDEX(Deals!$D$2:$D$843,F7034))</f>
        <v/>
      </c>
      <c r="J7034">
        <f>IF(F7034="","",INT(H7034)-B7034)</f>
        <v/>
      </c>
      <c r="K7034">
        <f>IF(B7034&gt;=Settings!$C$5,1,0)</f>
        <v/>
      </c>
    </row>
    <row r="7035">
      <c r="A7035" t="inlineStr">
        <is>
          <t>0e9c14002f9268601c57837930261014</t>
        </is>
      </c>
      <c r="B7035" s="29" t="n">
        <v>43055</v>
      </c>
      <c r="C7035" t="inlineStr">
        <is>
          <t>2017-11</t>
        </is>
      </c>
      <c r="D7035" t="inlineStr">
        <is>
          <t>b76ef37428e6799c421989521c0e5077</t>
        </is>
      </c>
      <c r="E7035" t="inlineStr">
        <is>
          <t>unknown</t>
        </is>
      </c>
      <c r="F7035">
        <f>IFERROR(MATCH(A7035,Deals!$A$2:$A$843,0),"")</f>
        <v/>
      </c>
      <c r="G7035">
        <f>IF(F7035="",0,1)</f>
        <v/>
      </c>
      <c r="H7035" s="29">
        <f>IF(F7035="","",INDEX(Deals!$E$2:$E$843,F7035))</f>
        <v/>
      </c>
      <c r="I7035">
        <f>IF(F7035="","",INDEX(Deals!$D$2:$D$843,F7035))</f>
        <v/>
      </c>
      <c r="J7035">
        <f>IF(F7035="","",INT(H7035)-B7035)</f>
        <v/>
      </c>
      <c r="K7035">
        <f>IF(B7035&gt;=Settings!$C$5,1,0)</f>
        <v/>
      </c>
    </row>
    <row r="7036">
      <c r="A7036" t="inlineStr">
        <is>
          <t>8f48915bdbf89679682d1f382a1a3b71</t>
        </is>
      </c>
      <c r="B7036" s="29" t="n">
        <v>43067</v>
      </c>
      <c r="C7036" t="inlineStr">
        <is>
          <t>2017-11</t>
        </is>
      </c>
      <c r="D7036" t="inlineStr">
        <is>
          <t>e492ee5eaf1697716985cc6f33f9cd9b</t>
        </is>
      </c>
      <c r="E7036" t="inlineStr">
        <is>
          <t>organic_search</t>
        </is>
      </c>
      <c r="F7036">
        <f>IFERROR(MATCH(A7036,Deals!$A$2:$A$843,0),"")</f>
        <v/>
      </c>
      <c r="G7036">
        <f>IF(F7036="",0,1)</f>
        <v/>
      </c>
      <c r="H7036" s="29">
        <f>IF(F7036="","",INDEX(Deals!$E$2:$E$843,F7036))</f>
        <v/>
      </c>
      <c r="I7036">
        <f>IF(F7036="","",INDEX(Deals!$D$2:$D$843,F7036))</f>
        <v/>
      </c>
      <c r="J7036">
        <f>IF(F7036="","",INT(H7036)-B7036)</f>
        <v/>
      </c>
      <c r="K7036">
        <f>IF(B7036&gt;=Settings!$C$5,1,0)</f>
        <v/>
      </c>
    </row>
    <row r="7037">
      <c r="A7037" t="inlineStr">
        <is>
          <t>918d2d39616621eedbe76248d1e3abcb</t>
        </is>
      </c>
      <c r="B7037" s="29" t="n">
        <v>43089</v>
      </c>
      <c r="C7037" t="inlineStr">
        <is>
          <t>2017-12</t>
        </is>
      </c>
      <c r="D7037" t="inlineStr">
        <is>
          <t>ce1a65abd0973638f1c887a6efcfa82d</t>
        </is>
      </c>
      <c r="E7037" t="inlineStr">
        <is>
          <t>organic_search</t>
        </is>
      </c>
      <c r="F7037">
        <f>IFERROR(MATCH(A7037,Deals!$A$2:$A$843,0),"")</f>
        <v/>
      </c>
      <c r="G7037">
        <f>IF(F7037="",0,1)</f>
        <v/>
      </c>
      <c r="H7037" s="29">
        <f>IF(F7037="","",INDEX(Deals!$E$2:$E$843,F7037))</f>
        <v/>
      </c>
      <c r="I7037">
        <f>IF(F7037="","",INDEX(Deals!$D$2:$D$843,F7037))</f>
        <v/>
      </c>
      <c r="J7037">
        <f>IF(F7037="","",INT(H7037)-B7037)</f>
        <v/>
      </c>
      <c r="K7037">
        <f>IF(B7037&gt;=Settings!$C$5,1,0)</f>
        <v/>
      </c>
    </row>
    <row r="7038">
      <c r="A7038" t="inlineStr">
        <is>
          <t>6b18d371703cf5221bc39c1a03a3be64</t>
        </is>
      </c>
      <c r="B7038" s="29" t="n">
        <v>42953</v>
      </c>
      <c r="C7038" t="inlineStr">
        <is>
          <t>2017-08</t>
        </is>
      </c>
      <c r="D7038" t="inlineStr">
        <is>
          <t>22c29808c4f815213303f8933030604c</t>
        </is>
      </c>
      <c r="E7038" t="inlineStr">
        <is>
          <t>direct_traffic</t>
        </is>
      </c>
      <c r="F7038">
        <f>IFERROR(MATCH(A7038,Deals!$A$2:$A$843,0),"")</f>
        <v/>
      </c>
      <c r="G7038">
        <f>IF(F7038="",0,1)</f>
        <v/>
      </c>
      <c r="H7038" s="29">
        <f>IF(F7038="","",INDEX(Deals!$E$2:$E$843,F7038))</f>
        <v/>
      </c>
      <c r="I7038">
        <f>IF(F7038="","",INDEX(Deals!$D$2:$D$843,F7038))</f>
        <v/>
      </c>
      <c r="J7038">
        <f>IF(F7038="","",INT(H7038)-B7038)</f>
        <v/>
      </c>
      <c r="K7038">
        <f>IF(B7038&gt;=Settings!$C$5,1,0)</f>
        <v/>
      </c>
    </row>
    <row r="7039">
      <c r="A7039" t="inlineStr">
        <is>
          <t>fdd62f8bdc8bd18509c0d3b5159ffc8d</t>
        </is>
      </c>
      <c r="B7039" s="29" t="n">
        <v>43133</v>
      </c>
      <c r="C7039" t="inlineStr">
        <is>
          <t>2018-02</t>
        </is>
      </c>
      <c r="D7039" t="inlineStr">
        <is>
          <t>88740e65d5d6b056e0cda098e1ea6313</t>
        </is>
      </c>
      <c r="E7039" t="inlineStr">
        <is>
          <t>social</t>
        </is>
      </c>
      <c r="F7039">
        <f>IFERROR(MATCH(A7039,Deals!$A$2:$A$843,0),"")</f>
        <v/>
      </c>
      <c r="G7039">
        <f>IF(F7039="",0,1)</f>
        <v/>
      </c>
      <c r="H7039" s="29">
        <f>IF(F7039="","",INDEX(Deals!$E$2:$E$843,F7039))</f>
        <v/>
      </c>
      <c r="I7039">
        <f>IF(F7039="","",INDEX(Deals!$D$2:$D$843,F7039))</f>
        <v/>
      </c>
      <c r="J7039">
        <f>IF(F7039="","",INT(H7039)-B7039)</f>
        <v/>
      </c>
      <c r="K7039">
        <f>IF(B7039&gt;=Settings!$C$5,1,0)</f>
        <v/>
      </c>
    </row>
    <row r="7040">
      <c r="A7040" t="inlineStr">
        <is>
          <t>5dd3cbb8b144cb4ffc62269606ca6046</t>
        </is>
      </c>
      <c r="B7040" s="29" t="n">
        <v>43164</v>
      </c>
      <c r="C7040" t="inlineStr">
        <is>
          <t>2018-03</t>
        </is>
      </c>
      <c r="D7040" t="inlineStr">
        <is>
          <t>733adfe409c752b5c200bf23fa2f22d0</t>
        </is>
      </c>
      <c r="E7040" t="inlineStr">
        <is>
          <t>unknown</t>
        </is>
      </c>
      <c r="F7040">
        <f>IFERROR(MATCH(A7040,Deals!$A$2:$A$843,0),"")</f>
        <v/>
      </c>
      <c r="G7040">
        <f>IF(F7040="",0,1)</f>
        <v/>
      </c>
      <c r="H7040" s="29">
        <f>IF(F7040="","",INDEX(Deals!$E$2:$E$843,F7040))</f>
        <v/>
      </c>
      <c r="I7040">
        <f>IF(F7040="","",INDEX(Deals!$D$2:$D$843,F7040))</f>
        <v/>
      </c>
      <c r="J7040">
        <f>IF(F7040="","",INT(H7040)-B7040)</f>
        <v/>
      </c>
      <c r="K7040">
        <f>IF(B7040&gt;=Settings!$C$5,1,0)</f>
        <v/>
      </c>
    </row>
    <row r="7041">
      <c r="A7041" t="inlineStr">
        <is>
          <t>7f132c59a2ded03874e7e1d5800af35a</t>
        </is>
      </c>
      <c r="B7041" s="29" t="n">
        <v>43160</v>
      </c>
      <c r="C7041" t="inlineStr">
        <is>
          <t>2018-03</t>
        </is>
      </c>
      <c r="D7041" t="inlineStr">
        <is>
          <t>313edefdee4adcd34e8cbec1854ba5a9</t>
        </is>
      </c>
      <c r="E7041" t="inlineStr">
        <is>
          <t>paid_search</t>
        </is>
      </c>
      <c r="F7041">
        <f>IFERROR(MATCH(A7041,Deals!$A$2:$A$843,0),"")</f>
        <v/>
      </c>
      <c r="G7041">
        <f>IF(F7041="",0,1)</f>
        <v/>
      </c>
      <c r="H7041" s="29">
        <f>IF(F7041="","",INDEX(Deals!$E$2:$E$843,F7041))</f>
        <v/>
      </c>
      <c r="I7041">
        <f>IF(F7041="","",INDEX(Deals!$D$2:$D$843,F7041))</f>
        <v/>
      </c>
      <c r="J7041">
        <f>IF(F7041="","",INT(H7041)-B7041)</f>
        <v/>
      </c>
      <c r="K7041">
        <f>IF(B7041&gt;=Settings!$C$5,1,0)</f>
        <v/>
      </c>
    </row>
    <row r="7042">
      <c r="A7042" t="inlineStr">
        <is>
          <t>501fe32ad8686901bb423ede39d6ce04</t>
        </is>
      </c>
      <c r="B7042" s="29" t="n">
        <v>43228</v>
      </c>
      <c r="C7042" t="inlineStr">
        <is>
          <t>2018-05</t>
        </is>
      </c>
      <c r="D7042" t="inlineStr">
        <is>
          <t>f3d15bbce65ef706388acb3d1c637a8b</t>
        </is>
      </c>
      <c r="E7042" t="inlineStr">
        <is>
          <t>email</t>
        </is>
      </c>
      <c r="F7042">
        <f>IFERROR(MATCH(A7042,Deals!$A$2:$A$843,0),"")</f>
        <v/>
      </c>
      <c r="G7042">
        <f>IF(F7042="",0,1)</f>
        <v/>
      </c>
      <c r="H7042" s="29">
        <f>IF(F7042="","",INDEX(Deals!$E$2:$E$843,F7042))</f>
        <v/>
      </c>
      <c r="I7042">
        <f>IF(F7042="","",INDEX(Deals!$D$2:$D$843,F7042))</f>
        <v/>
      </c>
      <c r="J7042">
        <f>IF(F7042="","",INT(H7042)-B7042)</f>
        <v/>
      </c>
      <c r="K7042">
        <f>IF(B7042&gt;=Settings!$C$5,1,0)</f>
        <v/>
      </c>
    </row>
    <row r="7043">
      <c r="A7043" t="inlineStr">
        <is>
          <t>baf5ecd84c6a8766519b98f66eec1511</t>
        </is>
      </c>
      <c r="B7043" s="29" t="n">
        <v>43230</v>
      </c>
      <c r="C7043" t="inlineStr">
        <is>
          <t>2018-05</t>
        </is>
      </c>
      <c r="D7043" t="inlineStr">
        <is>
          <t>6dca9fc31d8a95cdbcfafcc307012768</t>
        </is>
      </c>
      <c r="E7043" t="inlineStr">
        <is>
          <t>(missing)</t>
        </is>
      </c>
      <c r="F7043">
        <f>IFERROR(MATCH(A7043,Deals!$A$2:$A$843,0),"")</f>
        <v/>
      </c>
      <c r="G7043">
        <f>IF(F7043="",0,1)</f>
        <v/>
      </c>
      <c r="H7043" s="29">
        <f>IF(F7043="","",INDEX(Deals!$E$2:$E$843,F7043))</f>
        <v/>
      </c>
      <c r="I7043">
        <f>IF(F7043="","",INDEX(Deals!$D$2:$D$843,F7043))</f>
        <v/>
      </c>
      <c r="J7043">
        <f>IF(F7043="","",INT(H7043)-B7043)</f>
        <v/>
      </c>
      <c r="K7043">
        <f>IF(B7043&gt;=Settings!$C$5,1,0)</f>
        <v/>
      </c>
    </row>
    <row r="7044">
      <c r="A7044" t="inlineStr">
        <is>
          <t>d5a17520b70fd8b91cf38fb124bc3094</t>
        </is>
      </c>
      <c r="B7044" s="29" t="n">
        <v>43143</v>
      </c>
      <c r="C7044" t="inlineStr">
        <is>
          <t>2018-02</t>
        </is>
      </c>
      <c r="D7044" t="inlineStr">
        <is>
          <t>b76ef37428e6799c421989521c0e5077</t>
        </is>
      </c>
      <c r="E7044" t="inlineStr">
        <is>
          <t>paid_search</t>
        </is>
      </c>
      <c r="F7044">
        <f>IFERROR(MATCH(A7044,Deals!$A$2:$A$843,0),"")</f>
        <v/>
      </c>
      <c r="G7044">
        <f>IF(F7044="",0,1)</f>
        <v/>
      </c>
      <c r="H7044" s="29">
        <f>IF(F7044="","",INDEX(Deals!$E$2:$E$843,F7044))</f>
        <v/>
      </c>
      <c r="I7044">
        <f>IF(F7044="","",INDEX(Deals!$D$2:$D$843,F7044))</f>
        <v/>
      </c>
      <c r="J7044">
        <f>IF(F7044="","",INT(H7044)-B7044)</f>
        <v/>
      </c>
      <c r="K7044">
        <f>IF(B7044&gt;=Settings!$C$5,1,0)</f>
        <v/>
      </c>
    </row>
    <row r="7045">
      <c r="A7045" t="inlineStr">
        <is>
          <t>91019c8e94d2ab589cf367ca2f6b707f</t>
        </is>
      </c>
      <c r="B7045" s="29" t="n">
        <v>43013</v>
      </c>
      <c r="C7045" t="inlineStr">
        <is>
          <t>2017-10</t>
        </is>
      </c>
      <c r="D7045" t="inlineStr">
        <is>
          <t>a56671a54260a44923d32c2f08fad39c</t>
        </is>
      </c>
      <c r="E7045" t="inlineStr">
        <is>
          <t>organic_search</t>
        </is>
      </c>
      <c r="F7045">
        <f>IFERROR(MATCH(A7045,Deals!$A$2:$A$843,0),"")</f>
        <v/>
      </c>
      <c r="G7045">
        <f>IF(F7045="",0,1)</f>
        <v/>
      </c>
      <c r="H7045" s="29">
        <f>IF(F7045="","",INDEX(Deals!$E$2:$E$843,F7045))</f>
        <v/>
      </c>
      <c r="I7045">
        <f>IF(F7045="","",INDEX(Deals!$D$2:$D$843,F7045))</f>
        <v/>
      </c>
      <c r="J7045">
        <f>IF(F7045="","",INT(H7045)-B7045)</f>
        <v/>
      </c>
      <c r="K7045">
        <f>IF(B7045&gt;=Settings!$C$5,1,0)</f>
        <v/>
      </c>
    </row>
    <row r="7046">
      <c r="A7046" t="inlineStr">
        <is>
          <t>de40ab56f135491a151137dacdbf5bd5</t>
        </is>
      </c>
      <c r="B7046" s="29" t="n">
        <v>43220</v>
      </c>
      <c r="C7046" t="inlineStr">
        <is>
          <t>2018-04</t>
        </is>
      </c>
      <c r="D7046" t="inlineStr">
        <is>
          <t>22c29808c4f815213303f8933030604c</t>
        </is>
      </c>
      <c r="E7046" t="inlineStr">
        <is>
          <t>organic_search</t>
        </is>
      </c>
      <c r="F7046">
        <f>IFERROR(MATCH(A7046,Deals!$A$2:$A$843,0),"")</f>
        <v/>
      </c>
      <c r="G7046">
        <f>IF(F7046="",0,1)</f>
        <v/>
      </c>
      <c r="H7046" s="29">
        <f>IF(F7046="","",INDEX(Deals!$E$2:$E$843,F7046))</f>
        <v/>
      </c>
      <c r="I7046">
        <f>IF(F7046="","",INDEX(Deals!$D$2:$D$843,F7046))</f>
        <v/>
      </c>
      <c r="J7046">
        <f>IF(F7046="","",INT(H7046)-B7046)</f>
        <v/>
      </c>
      <c r="K7046">
        <f>IF(B7046&gt;=Settings!$C$5,1,0)</f>
        <v/>
      </c>
    </row>
    <row r="7047">
      <c r="A7047" t="inlineStr">
        <is>
          <t>213d80a57fa55b53024286f296c3941e</t>
        </is>
      </c>
      <c r="B7047" s="29" t="n">
        <v>43102</v>
      </c>
      <c r="C7047" t="inlineStr">
        <is>
          <t>2018-01</t>
        </is>
      </c>
      <c r="D7047" t="inlineStr">
        <is>
          <t>e492ee5eaf1697716985cc6f33f9cd9b</t>
        </is>
      </c>
      <c r="E7047" t="inlineStr">
        <is>
          <t>organic_search</t>
        </is>
      </c>
      <c r="F7047">
        <f>IFERROR(MATCH(A7047,Deals!$A$2:$A$843,0),"")</f>
        <v/>
      </c>
      <c r="G7047">
        <f>IF(F7047="",0,1)</f>
        <v/>
      </c>
      <c r="H7047" s="29">
        <f>IF(F7047="","",INDEX(Deals!$E$2:$E$843,F7047))</f>
        <v/>
      </c>
      <c r="I7047">
        <f>IF(F7047="","",INDEX(Deals!$D$2:$D$843,F7047))</f>
        <v/>
      </c>
      <c r="J7047">
        <f>IF(F7047="","",INT(H7047)-B7047)</f>
        <v/>
      </c>
      <c r="K7047">
        <f>IF(B7047&gt;=Settings!$C$5,1,0)</f>
        <v/>
      </c>
    </row>
    <row r="7048">
      <c r="A7048" t="inlineStr">
        <is>
          <t>fdc50f45eddfdb2463605f6e88a3a813</t>
        </is>
      </c>
      <c r="B7048" s="29" t="n">
        <v>43107</v>
      </c>
      <c r="C7048" t="inlineStr">
        <is>
          <t>2018-01</t>
        </is>
      </c>
      <c r="D7048" t="inlineStr">
        <is>
          <t>22c29808c4f815213303f8933030604c</t>
        </is>
      </c>
      <c r="E7048" t="inlineStr">
        <is>
          <t>direct_traffic</t>
        </is>
      </c>
      <c r="F7048">
        <f>IFERROR(MATCH(A7048,Deals!$A$2:$A$843,0),"")</f>
        <v/>
      </c>
      <c r="G7048">
        <f>IF(F7048="",0,1)</f>
        <v/>
      </c>
      <c r="H7048" s="29">
        <f>IF(F7048="","",INDEX(Deals!$E$2:$E$843,F7048))</f>
        <v/>
      </c>
      <c r="I7048">
        <f>IF(F7048="","",INDEX(Deals!$D$2:$D$843,F7048))</f>
        <v/>
      </c>
      <c r="J7048">
        <f>IF(F7048="","",INT(H7048)-B7048)</f>
        <v/>
      </c>
      <c r="K7048">
        <f>IF(B7048&gt;=Settings!$C$5,1,0)</f>
        <v/>
      </c>
    </row>
    <row r="7049">
      <c r="A7049" t="inlineStr">
        <is>
          <t>7e4bb8c8f3bdcbece5996f24ba507120</t>
        </is>
      </c>
      <c r="B7049" s="29" t="n">
        <v>43020</v>
      </c>
      <c r="C7049" t="inlineStr">
        <is>
          <t>2017-10</t>
        </is>
      </c>
      <c r="D7049" t="inlineStr">
        <is>
          <t>a7982125ff7aa3b2054c6e44f9d28522</t>
        </is>
      </c>
      <c r="E7049" t="inlineStr">
        <is>
          <t>paid_search</t>
        </is>
      </c>
      <c r="F7049">
        <f>IFERROR(MATCH(A7049,Deals!$A$2:$A$843,0),"")</f>
        <v/>
      </c>
      <c r="G7049">
        <f>IF(F7049="",0,1)</f>
        <v/>
      </c>
      <c r="H7049" s="29">
        <f>IF(F7049="","",INDEX(Deals!$E$2:$E$843,F7049))</f>
        <v/>
      </c>
      <c r="I7049">
        <f>IF(F7049="","",INDEX(Deals!$D$2:$D$843,F7049))</f>
        <v/>
      </c>
      <c r="J7049">
        <f>IF(F7049="","",INT(H7049)-B7049)</f>
        <v/>
      </c>
      <c r="K7049">
        <f>IF(B7049&gt;=Settings!$C$5,1,0)</f>
        <v/>
      </c>
    </row>
    <row r="7050">
      <c r="A7050" t="inlineStr">
        <is>
          <t>5c68c574eb52dbbb337b4e46d2dbcfc8</t>
        </is>
      </c>
      <c r="B7050" s="29" t="n">
        <v>43220</v>
      </c>
      <c r="C7050" t="inlineStr">
        <is>
          <t>2018-04</t>
        </is>
      </c>
      <c r="D7050" t="inlineStr">
        <is>
          <t>8294e62844a66d67be57cfeaef455bad</t>
        </is>
      </c>
      <c r="E7050" t="inlineStr">
        <is>
          <t>organic_search</t>
        </is>
      </c>
      <c r="F7050">
        <f>IFERROR(MATCH(A7050,Deals!$A$2:$A$843,0),"")</f>
        <v/>
      </c>
      <c r="G7050">
        <f>IF(F7050="",0,1)</f>
        <v/>
      </c>
      <c r="H7050" s="29">
        <f>IF(F7050="","",INDEX(Deals!$E$2:$E$843,F7050))</f>
        <v/>
      </c>
      <c r="I7050">
        <f>IF(F7050="","",INDEX(Deals!$D$2:$D$843,F7050))</f>
        <v/>
      </c>
      <c r="J7050">
        <f>IF(F7050="","",INT(H7050)-B7050)</f>
        <v/>
      </c>
      <c r="K7050">
        <f>IF(B7050&gt;=Settings!$C$5,1,0)</f>
        <v/>
      </c>
    </row>
    <row r="7051">
      <c r="A7051" t="inlineStr">
        <is>
          <t>0b97e22ca7c95fdf86d97f10abd7a6c3</t>
        </is>
      </c>
      <c r="B7051" s="29" t="n">
        <v>43172</v>
      </c>
      <c r="C7051" t="inlineStr">
        <is>
          <t>2018-03</t>
        </is>
      </c>
      <c r="D7051" t="inlineStr">
        <is>
          <t>bddebc4f4d44106c427bd00695840e64</t>
        </is>
      </c>
      <c r="E7051" t="inlineStr">
        <is>
          <t>email</t>
        </is>
      </c>
      <c r="F7051">
        <f>IFERROR(MATCH(A7051,Deals!$A$2:$A$843,0),"")</f>
        <v/>
      </c>
      <c r="G7051">
        <f>IF(F7051="",0,1)</f>
        <v/>
      </c>
      <c r="H7051" s="29">
        <f>IF(F7051="","",INDEX(Deals!$E$2:$E$843,F7051))</f>
        <v/>
      </c>
      <c r="I7051">
        <f>IF(F7051="","",INDEX(Deals!$D$2:$D$843,F7051))</f>
        <v/>
      </c>
      <c r="J7051">
        <f>IF(F7051="","",INT(H7051)-B7051)</f>
        <v/>
      </c>
      <c r="K7051">
        <f>IF(B7051&gt;=Settings!$C$5,1,0)</f>
        <v/>
      </c>
    </row>
    <row r="7052">
      <c r="A7052" t="inlineStr">
        <is>
          <t>f456a28071ee5b9f7385aad6b11c3423</t>
        </is>
      </c>
      <c r="B7052" s="29" t="n">
        <v>43215</v>
      </c>
      <c r="C7052" t="inlineStr">
        <is>
          <t>2018-04</t>
        </is>
      </c>
      <c r="D7052" t="inlineStr">
        <is>
          <t>1ceb590cd1e00c7ee95220971f82693d</t>
        </is>
      </c>
      <c r="E7052" t="inlineStr">
        <is>
          <t>paid_search</t>
        </is>
      </c>
      <c r="F7052">
        <f>IFERROR(MATCH(A7052,Deals!$A$2:$A$843,0),"")</f>
        <v/>
      </c>
      <c r="G7052">
        <f>IF(F7052="",0,1)</f>
        <v/>
      </c>
      <c r="H7052" s="29">
        <f>IF(F7052="","",INDEX(Deals!$E$2:$E$843,F7052))</f>
        <v/>
      </c>
      <c r="I7052">
        <f>IF(F7052="","",INDEX(Deals!$D$2:$D$843,F7052))</f>
        <v/>
      </c>
      <c r="J7052">
        <f>IF(F7052="","",INT(H7052)-B7052)</f>
        <v/>
      </c>
      <c r="K7052">
        <f>IF(B7052&gt;=Settings!$C$5,1,0)</f>
        <v/>
      </c>
    </row>
    <row r="7053">
      <c r="A7053" t="inlineStr">
        <is>
          <t>b5146481a245e50255f5b24319c2711a</t>
        </is>
      </c>
      <c r="B7053" s="29" t="n">
        <v>42958</v>
      </c>
      <c r="C7053" t="inlineStr">
        <is>
          <t>2017-08</t>
        </is>
      </c>
      <c r="D7053" t="inlineStr">
        <is>
          <t>c555aa36478386fdf85a2d0ca5cd0ff8</t>
        </is>
      </c>
      <c r="E7053" t="inlineStr">
        <is>
          <t>paid_search</t>
        </is>
      </c>
      <c r="F7053">
        <f>IFERROR(MATCH(A7053,Deals!$A$2:$A$843,0),"")</f>
        <v/>
      </c>
      <c r="G7053">
        <f>IF(F7053="",0,1)</f>
        <v/>
      </c>
      <c r="H7053" s="29">
        <f>IF(F7053="","",INDEX(Deals!$E$2:$E$843,F7053))</f>
        <v/>
      </c>
      <c r="I7053">
        <f>IF(F7053="","",INDEX(Deals!$D$2:$D$843,F7053))</f>
        <v/>
      </c>
      <c r="J7053">
        <f>IF(F7053="","",INT(H7053)-B7053)</f>
        <v/>
      </c>
      <c r="K7053">
        <f>IF(B7053&gt;=Settings!$C$5,1,0)</f>
        <v/>
      </c>
    </row>
    <row r="7054">
      <c r="A7054" t="inlineStr">
        <is>
          <t>b4abf3d319afe2544a5dd0966141ef10</t>
        </is>
      </c>
      <c r="B7054" s="29" t="n">
        <v>43166</v>
      </c>
      <c r="C7054" t="inlineStr">
        <is>
          <t>2018-03</t>
        </is>
      </c>
      <c r="D7054" t="inlineStr">
        <is>
          <t>b6885f18d203a61176418c1fb3764815</t>
        </is>
      </c>
      <c r="E7054" t="inlineStr">
        <is>
          <t>paid_search</t>
        </is>
      </c>
      <c r="F7054">
        <f>IFERROR(MATCH(A7054,Deals!$A$2:$A$843,0),"")</f>
        <v/>
      </c>
      <c r="G7054">
        <f>IF(F7054="",0,1)</f>
        <v/>
      </c>
      <c r="H7054" s="29">
        <f>IF(F7054="","",INDEX(Deals!$E$2:$E$843,F7054))</f>
        <v/>
      </c>
      <c r="I7054">
        <f>IF(F7054="","",INDEX(Deals!$D$2:$D$843,F7054))</f>
        <v/>
      </c>
      <c r="J7054">
        <f>IF(F7054="","",INT(H7054)-B7054)</f>
        <v/>
      </c>
      <c r="K7054">
        <f>IF(B7054&gt;=Settings!$C$5,1,0)</f>
        <v/>
      </c>
    </row>
    <row r="7055">
      <c r="A7055" t="inlineStr">
        <is>
          <t>5107915b16ea89bdc0dd279cc6686680</t>
        </is>
      </c>
      <c r="B7055" s="29" t="n">
        <v>43174</v>
      </c>
      <c r="C7055" t="inlineStr">
        <is>
          <t>2018-03</t>
        </is>
      </c>
      <c r="D7055" t="inlineStr">
        <is>
          <t>007f9098284a86ee80ddeb25d53e0af8</t>
        </is>
      </c>
      <c r="E7055" t="inlineStr">
        <is>
          <t>organic_search</t>
        </is>
      </c>
      <c r="F7055">
        <f>IFERROR(MATCH(A7055,Deals!$A$2:$A$843,0),"")</f>
        <v/>
      </c>
      <c r="G7055">
        <f>IF(F7055="",0,1)</f>
        <v/>
      </c>
      <c r="H7055" s="29">
        <f>IF(F7055="","",INDEX(Deals!$E$2:$E$843,F7055))</f>
        <v/>
      </c>
      <c r="I7055">
        <f>IF(F7055="","",INDEX(Deals!$D$2:$D$843,F7055))</f>
        <v/>
      </c>
      <c r="J7055">
        <f>IF(F7055="","",INT(H7055)-B7055)</f>
        <v/>
      </c>
      <c r="K7055">
        <f>IF(B7055&gt;=Settings!$C$5,1,0)</f>
        <v/>
      </c>
    </row>
    <row r="7056">
      <c r="A7056" t="inlineStr">
        <is>
          <t>66d58ab619387ebb945e0e3abe5e0a1c</t>
        </is>
      </c>
      <c r="B7056" s="29" t="n">
        <v>43181</v>
      </c>
      <c r="C7056" t="inlineStr">
        <is>
          <t>2018-03</t>
        </is>
      </c>
      <c r="D7056" t="inlineStr">
        <is>
          <t>e492ee5eaf1697716985cc6f33f9cd9b</t>
        </is>
      </c>
      <c r="E7056" t="inlineStr">
        <is>
          <t>direct_traffic</t>
        </is>
      </c>
      <c r="F7056">
        <f>IFERROR(MATCH(A7056,Deals!$A$2:$A$843,0),"")</f>
        <v/>
      </c>
      <c r="G7056">
        <f>IF(F7056="",0,1)</f>
        <v/>
      </c>
      <c r="H7056" s="29">
        <f>IF(F7056="","",INDEX(Deals!$E$2:$E$843,F7056))</f>
        <v/>
      </c>
      <c r="I7056">
        <f>IF(F7056="","",INDEX(Deals!$D$2:$D$843,F7056))</f>
        <v/>
      </c>
      <c r="J7056">
        <f>IF(F7056="","",INT(H7056)-B7056)</f>
        <v/>
      </c>
      <c r="K7056">
        <f>IF(B7056&gt;=Settings!$C$5,1,0)</f>
        <v/>
      </c>
    </row>
    <row r="7057">
      <c r="A7057" t="inlineStr">
        <is>
          <t>245403f0ec118644e403ddd11c5797e9</t>
        </is>
      </c>
      <c r="B7057" s="29" t="n">
        <v>43104</v>
      </c>
      <c r="C7057" t="inlineStr">
        <is>
          <t>2018-01</t>
        </is>
      </c>
      <c r="D7057" t="inlineStr">
        <is>
          <t>a7982125ff7aa3b2054c6e44f9d28522</t>
        </is>
      </c>
      <c r="E7057" t="inlineStr">
        <is>
          <t>organic_search</t>
        </is>
      </c>
      <c r="F7057">
        <f>IFERROR(MATCH(A7057,Deals!$A$2:$A$843,0),"")</f>
        <v/>
      </c>
      <c r="G7057">
        <f>IF(F7057="",0,1)</f>
        <v/>
      </c>
      <c r="H7057" s="29">
        <f>IF(F7057="","",INDEX(Deals!$E$2:$E$843,F7057))</f>
        <v/>
      </c>
      <c r="I7057">
        <f>IF(F7057="","",INDEX(Deals!$D$2:$D$843,F7057))</f>
        <v/>
      </c>
      <c r="J7057">
        <f>IF(F7057="","",INT(H7057)-B7057)</f>
        <v/>
      </c>
      <c r="K7057">
        <f>IF(B7057&gt;=Settings!$C$5,1,0)</f>
        <v/>
      </c>
    </row>
    <row r="7058">
      <c r="A7058" t="inlineStr">
        <is>
          <t>ee68544f42eef8386730823cff7446cc</t>
        </is>
      </c>
      <c r="B7058" s="29" t="n">
        <v>43201</v>
      </c>
      <c r="C7058" t="inlineStr">
        <is>
          <t>2018-04</t>
        </is>
      </c>
      <c r="D7058" t="inlineStr">
        <is>
          <t>d83b0d0e48c8447d1d5507a44027a955</t>
        </is>
      </c>
      <c r="E7058" t="inlineStr">
        <is>
          <t>paid_search</t>
        </is>
      </c>
      <c r="F7058">
        <f>IFERROR(MATCH(A7058,Deals!$A$2:$A$843,0),"")</f>
        <v/>
      </c>
      <c r="G7058">
        <f>IF(F7058="",0,1)</f>
        <v/>
      </c>
      <c r="H7058" s="29">
        <f>IF(F7058="","",INDEX(Deals!$E$2:$E$843,F7058))</f>
        <v/>
      </c>
      <c r="I7058">
        <f>IF(F7058="","",INDEX(Deals!$D$2:$D$843,F7058))</f>
        <v/>
      </c>
      <c r="J7058">
        <f>IF(F7058="","",INT(H7058)-B7058)</f>
        <v/>
      </c>
      <c r="K7058">
        <f>IF(B7058&gt;=Settings!$C$5,1,0)</f>
        <v/>
      </c>
    </row>
    <row r="7059">
      <c r="A7059" t="inlineStr">
        <is>
          <t>33ee8208ed93950a7f22cd7898f7735e</t>
        </is>
      </c>
      <c r="B7059" s="29" t="n">
        <v>43137</v>
      </c>
      <c r="C7059" t="inlineStr">
        <is>
          <t>2018-02</t>
        </is>
      </c>
      <c r="D7059" t="inlineStr">
        <is>
          <t>dfc3b656bac13de62e4efca322b3f2c1</t>
        </is>
      </c>
      <c r="E7059" t="inlineStr">
        <is>
          <t>email</t>
        </is>
      </c>
      <c r="F7059">
        <f>IFERROR(MATCH(A7059,Deals!$A$2:$A$843,0),"")</f>
        <v/>
      </c>
      <c r="G7059">
        <f>IF(F7059="",0,1)</f>
        <v/>
      </c>
      <c r="H7059" s="29">
        <f>IF(F7059="","",INDEX(Deals!$E$2:$E$843,F7059))</f>
        <v/>
      </c>
      <c r="I7059">
        <f>IF(F7059="","",INDEX(Deals!$D$2:$D$843,F7059))</f>
        <v/>
      </c>
      <c r="J7059">
        <f>IF(F7059="","",INT(H7059)-B7059)</f>
        <v/>
      </c>
      <c r="K7059">
        <f>IF(B7059&gt;=Settings!$C$5,1,0)</f>
        <v/>
      </c>
    </row>
    <row r="7060">
      <c r="A7060" t="inlineStr">
        <is>
          <t>1fba3f59cc32935ea56d3ed84872085e</t>
        </is>
      </c>
      <c r="B7060" s="29" t="n">
        <v>43193</v>
      </c>
      <c r="C7060" t="inlineStr">
        <is>
          <t>2018-04</t>
        </is>
      </c>
      <c r="D7060" t="inlineStr">
        <is>
          <t>40dec9f3d5259a3d2dbcdab2114fae47</t>
        </is>
      </c>
      <c r="E7060" t="inlineStr">
        <is>
          <t>paid_search</t>
        </is>
      </c>
      <c r="F7060">
        <f>IFERROR(MATCH(A7060,Deals!$A$2:$A$843,0),"")</f>
        <v/>
      </c>
      <c r="G7060">
        <f>IF(F7060="",0,1)</f>
        <v/>
      </c>
      <c r="H7060" s="29">
        <f>IF(F7060="","",INDEX(Deals!$E$2:$E$843,F7060))</f>
        <v/>
      </c>
      <c r="I7060">
        <f>IF(F7060="","",INDEX(Deals!$D$2:$D$843,F7060))</f>
        <v/>
      </c>
      <c r="J7060">
        <f>IF(F7060="","",INT(H7060)-B7060)</f>
        <v/>
      </c>
      <c r="K7060">
        <f>IF(B7060&gt;=Settings!$C$5,1,0)</f>
        <v/>
      </c>
    </row>
    <row r="7061">
      <c r="A7061" t="inlineStr">
        <is>
          <t>099546f43eb9438109dd51bfbdfd2eda</t>
        </is>
      </c>
      <c r="B7061" s="29" t="n">
        <v>42996</v>
      </c>
      <c r="C7061" t="inlineStr">
        <is>
          <t>2017-09</t>
        </is>
      </c>
      <c r="D7061" t="inlineStr">
        <is>
          <t>b217afa2c1f4cb502423005639878f6d</t>
        </is>
      </c>
      <c r="E7061" t="inlineStr">
        <is>
          <t>paid_search</t>
        </is>
      </c>
      <c r="F7061">
        <f>IFERROR(MATCH(A7061,Deals!$A$2:$A$843,0),"")</f>
        <v/>
      </c>
      <c r="G7061">
        <f>IF(F7061="",0,1)</f>
        <v/>
      </c>
      <c r="H7061" s="29">
        <f>IF(F7061="","",INDEX(Deals!$E$2:$E$843,F7061))</f>
        <v/>
      </c>
      <c r="I7061">
        <f>IF(F7061="","",INDEX(Deals!$D$2:$D$843,F7061))</f>
        <v/>
      </c>
      <c r="J7061">
        <f>IF(F7061="","",INT(H7061)-B7061)</f>
        <v/>
      </c>
      <c r="K7061">
        <f>IF(B7061&gt;=Settings!$C$5,1,0)</f>
        <v/>
      </c>
    </row>
    <row r="7062">
      <c r="A7062" t="inlineStr">
        <is>
          <t>bd6dd73b5ea38bdbc9b64a9639a85e66</t>
        </is>
      </c>
      <c r="B7062" s="29" t="n">
        <v>43244</v>
      </c>
      <c r="C7062" t="inlineStr">
        <is>
          <t>2018-05</t>
        </is>
      </c>
      <c r="D7062" t="inlineStr">
        <is>
          <t>22c29808c4f815213303f8933030604c</t>
        </is>
      </c>
      <c r="E7062" t="inlineStr">
        <is>
          <t>organic_search</t>
        </is>
      </c>
      <c r="F7062">
        <f>IFERROR(MATCH(A7062,Deals!$A$2:$A$843,0),"")</f>
        <v/>
      </c>
      <c r="G7062">
        <f>IF(F7062="",0,1)</f>
        <v/>
      </c>
      <c r="H7062" s="29">
        <f>IF(F7062="","",INDEX(Deals!$E$2:$E$843,F7062))</f>
        <v/>
      </c>
      <c r="I7062">
        <f>IF(F7062="","",INDEX(Deals!$D$2:$D$843,F7062))</f>
        <v/>
      </c>
      <c r="J7062">
        <f>IF(F7062="","",INT(H7062)-B7062)</f>
        <v/>
      </c>
      <c r="K7062">
        <f>IF(B7062&gt;=Settings!$C$5,1,0)</f>
        <v/>
      </c>
    </row>
    <row r="7063">
      <c r="A7063" t="inlineStr">
        <is>
          <t>01c629f6b8f2460aa362f29caaaa0a8e</t>
        </is>
      </c>
      <c r="B7063" s="29" t="n">
        <v>43226</v>
      </c>
      <c r="C7063" t="inlineStr">
        <is>
          <t>2018-05</t>
        </is>
      </c>
      <c r="D7063" t="inlineStr">
        <is>
          <t>58326e62183c14b0c03085c33b9fdc44</t>
        </is>
      </c>
      <c r="E7063" t="inlineStr">
        <is>
          <t>social</t>
        </is>
      </c>
      <c r="F7063">
        <f>IFERROR(MATCH(A7063,Deals!$A$2:$A$843,0),"")</f>
        <v/>
      </c>
      <c r="G7063">
        <f>IF(F7063="",0,1)</f>
        <v/>
      </c>
      <c r="H7063" s="29">
        <f>IF(F7063="","",INDEX(Deals!$E$2:$E$843,F7063))</f>
        <v/>
      </c>
      <c r="I7063">
        <f>IF(F7063="","",INDEX(Deals!$D$2:$D$843,F7063))</f>
        <v/>
      </c>
      <c r="J7063">
        <f>IF(F7063="","",INT(H7063)-B7063)</f>
        <v/>
      </c>
      <c r="K7063">
        <f>IF(B7063&gt;=Settings!$C$5,1,0)</f>
        <v/>
      </c>
    </row>
    <row r="7064">
      <c r="A7064" t="inlineStr">
        <is>
          <t>105fb0578a9e90c458f69bad63c38709</t>
        </is>
      </c>
      <c r="B7064" s="29" t="n">
        <v>43058</v>
      </c>
      <c r="C7064" t="inlineStr">
        <is>
          <t>2017-11</t>
        </is>
      </c>
      <c r="D7064" t="inlineStr">
        <is>
          <t>91dbdf987124ca09b297bd87f06b5e64</t>
        </is>
      </c>
      <c r="E7064" t="inlineStr">
        <is>
          <t>direct_traffic</t>
        </is>
      </c>
      <c r="F7064">
        <f>IFERROR(MATCH(A7064,Deals!$A$2:$A$843,0),"")</f>
        <v/>
      </c>
      <c r="G7064">
        <f>IF(F7064="",0,1)</f>
        <v/>
      </c>
      <c r="H7064" s="29">
        <f>IF(F7064="","",INDEX(Deals!$E$2:$E$843,F7064))</f>
        <v/>
      </c>
      <c r="I7064">
        <f>IF(F7064="","",INDEX(Deals!$D$2:$D$843,F7064))</f>
        <v/>
      </c>
      <c r="J7064">
        <f>IF(F7064="","",INT(H7064)-B7064)</f>
        <v/>
      </c>
      <c r="K7064">
        <f>IF(B7064&gt;=Settings!$C$5,1,0)</f>
        <v/>
      </c>
    </row>
    <row r="7065">
      <c r="A7065" t="inlineStr">
        <is>
          <t>cdeb903207013df679ffea81e9c3c126</t>
        </is>
      </c>
      <c r="B7065" s="29" t="n">
        <v>43130</v>
      </c>
      <c r="C7065" t="inlineStr">
        <is>
          <t>2018-01</t>
        </is>
      </c>
      <c r="D7065" t="inlineStr">
        <is>
          <t>fd7c4cdfbfb7964b441618d54f88c38b</t>
        </is>
      </c>
      <c r="E7065" t="inlineStr">
        <is>
          <t>organic_search</t>
        </is>
      </c>
      <c r="F7065">
        <f>IFERROR(MATCH(A7065,Deals!$A$2:$A$843,0),"")</f>
        <v/>
      </c>
      <c r="G7065">
        <f>IF(F7065="",0,1)</f>
        <v/>
      </c>
      <c r="H7065" s="29">
        <f>IF(F7065="","",INDEX(Deals!$E$2:$E$843,F7065))</f>
        <v/>
      </c>
      <c r="I7065">
        <f>IF(F7065="","",INDEX(Deals!$D$2:$D$843,F7065))</f>
        <v/>
      </c>
      <c r="J7065">
        <f>IF(F7065="","",INT(H7065)-B7065)</f>
        <v/>
      </c>
      <c r="K7065">
        <f>IF(B7065&gt;=Settings!$C$5,1,0)</f>
        <v/>
      </c>
    </row>
    <row r="7066">
      <c r="A7066" t="inlineStr">
        <is>
          <t>287915711d06ce6d90e2c18e1d89d3a6</t>
        </is>
      </c>
      <c r="B7066" s="29" t="n">
        <v>43172</v>
      </c>
      <c r="C7066" t="inlineStr">
        <is>
          <t>2018-03</t>
        </is>
      </c>
      <c r="D7066" t="inlineStr">
        <is>
          <t>ce1a65abd0973638f1c887a6efcfa82d</t>
        </is>
      </c>
      <c r="E7066" t="inlineStr">
        <is>
          <t>organic_search</t>
        </is>
      </c>
      <c r="F7066">
        <f>IFERROR(MATCH(A7066,Deals!$A$2:$A$843,0),"")</f>
        <v/>
      </c>
      <c r="G7066">
        <f>IF(F7066="",0,1)</f>
        <v/>
      </c>
      <c r="H7066" s="29">
        <f>IF(F7066="","",INDEX(Deals!$E$2:$E$843,F7066))</f>
        <v/>
      </c>
      <c r="I7066">
        <f>IF(F7066="","",INDEX(Deals!$D$2:$D$843,F7066))</f>
        <v/>
      </c>
      <c r="J7066">
        <f>IF(F7066="","",INT(H7066)-B7066)</f>
        <v/>
      </c>
      <c r="K7066">
        <f>IF(B7066&gt;=Settings!$C$5,1,0)</f>
        <v/>
      </c>
    </row>
    <row r="7067">
      <c r="A7067" t="inlineStr">
        <is>
          <t>35c1124dd508ead6eb8c4aee9a7f5d71</t>
        </is>
      </c>
      <c r="B7067" s="29" t="n">
        <v>42925</v>
      </c>
      <c r="C7067" t="inlineStr">
        <is>
          <t>2017-07</t>
        </is>
      </c>
      <c r="D7067" t="inlineStr">
        <is>
          <t>ef0b482996664cc1107b9051efd3ca84</t>
        </is>
      </c>
      <c r="E7067" t="inlineStr">
        <is>
          <t>display</t>
        </is>
      </c>
      <c r="F7067">
        <f>IFERROR(MATCH(A7067,Deals!$A$2:$A$843,0),"")</f>
        <v/>
      </c>
      <c r="G7067">
        <f>IF(F7067="",0,1)</f>
        <v/>
      </c>
      <c r="H7067" s="29">
        <f>IF(F7067="","",INDEX(Deals!$E$2:$E$843,F7067))</f>
        <v/>
      </c>
      <c r="I7067">
        <f>IF(F7067="","",INDEX(Deals!$D$2:$D$843,F7067))</f>
        <v/>
      </c>
      <c r="J7067">
        <f>IF(F7067="","",INT(H7067)-B7067)</f>
        <v/>
      </c>
      <c r="K7067">
        <f>IF(B7067&gt;=Settings!$C$5,1,0)</f>
        <v/>
      </c>
    </row>
    <row r="7068">
      <c r="A7068" t="inlineStr">
        <is>
          <t>f99a542c5096c796cd63d150ca51d292</t>
        </is>
      </c>
      <c r="B7068" s="29" t="n">
        <v>43159</v>
      </c>
      <c r="C7068" t="inlineStr">
        <is>
          <t>2018-02</t>
        </is>
      </c>
      <c r="D7068" t="inlineStr">
        <is>
          <t>9cc4d8fda1533429ac126a2ddf4ebf11</t>
        </is>
      </c>
      <c r="E7068" t="inlineStr">
        <is>
          <t>organic_search</t>
        </is>
      </c>
      <c r="F7068">
        <f>IFERROR(MATCH(A7068,Deals!$A$2:$A$843,0),"")</f>
        <v/>
      </c>
      <c r="G7068">
        <f>IF(F7068="",0,1)</f>
        <v/>
      </c>
      <c r="H7068" s="29">
        <f>IF(F7068="","",INDEX(Deals!$E$2:$E$843,F7068))</f>
        <v/>
      </c>
      <c r="I7068">
        <f>IF(F7068="","",INDEX(Deals!$D$2:$D$843,F7068))</f>
        <v/>
      </c>
      <c r="J7068">
        <f>IF(F7068="","",INT(H7068)-B7068)</f>
        <v/>
      </c>
      <c r="K7068">
        <f>IF(B7068&gt;=Settings!$C$5,1,0)</f>
        <v/>
      </c>
    </row>
    <row r="7069">
      <c r="A7069" t="inlineStr">
        <is>
          <t>be1c84442cfada4acab36fb92233f0b4</t>
        </is>
      </c>
      <c r="B7069" s="29" t="n">
        <v>43069</v>
      </c>
      <c r="C7069" t="inlineStr">
        <is>
          <t>2017-11</t>
        </is>
      </c>
      <c r="D7069" t="inlineStr">
        <is>
          <t>241f79c7a8fe0270f4fb79fcbbcd17ad</t>
        </is>
      </c>
      <c r="E7069" t="inlineStr">
        <is>
          <t>paid_search</t>
        </is>
      </c>
      <c r="F7069">
        <f>IFERROR(MATCH(A7069,Deals!$A$2:$A$843,0),"")</f>
        <v/>
      </c>
      <c r="G7069">
        <f>IF(F7069="",0,1)</f>
        <v/>
      </c>
      <c r="H7069" s="29">
        <f>IF(F7069="","",INDEX(Deals!$E$2:$E$843,F7069))</f>
        <v/>
      </c>
      <c r="I7069">
        <f>IF(F7069="","",INDEX(Deals!$D$2:$D$843,F7069))</f>
        <v/>
      </c>
      <c r="J7069">
        <f>IF(F7069="","",INT(H7069)-B7069)</f>
        <v/>
      </c>
      <c r="K7069">
        <f>IF(B7069&gt;=Settings!$C$5,1,0)</f>
        <v/>
      </c>
    </row>
    <row r="7070">
      <c r="A7070" t="inlineStr">
        <is>
          <t>075a91a991e7d46281436936d8e17bff</t>
        </is>
      </c>
      <c r="B7070" s="29" t="n">
        <v>43061</v>
      </c>
      <c r="C7070" t="inlineStr">
        <is>
          <t>2017-11</t>
        </is>
      </c>
      <c r="D7070" t="inlineStr">
        <is>
          <t>ce1a65abd0973638f1c887a6efcfa82d</t>
        </is>
      </c>
      <c r="E7070" t="inlineStr">
        <is>
          <t>organic_search</t>
        </is>
      </c>
      <c r="F7070">
        <f>IFERROR(MATCH(A7070,Deals!$A$2:$A$843,0),"")</f>
        <v/>
      </c>
      <c r="G7070">
        <f>IF(F7070="",0,1)</f>
        <v/>
      </c>
      <c r="H7070" s="29">
        <f>IF(F7070="","",INDEX(Deals!$E$2:$E$843,F7070))</f>
        <v/>
      </c>
      <c r="I7070">
        <f>IF(F7070="","",INDEX(Deals!$D$2:$D$843,F7070))</f>
        <v/>
      </c>
      <c r="J7070">
        <f>IF(F7070="","",INT(H7070)-B7070)</f>
        <v/>
      </c>
      <c r="K7070">
        <f>IF(B7070&gt;=Settings!$C$5,1,0)</f>
        <v/>
      </c>
    </row>
    <row r="7071">
      <c r="A7071" t="inlineStr">
        <is>
          <t>52c79bb4791baa4cee27125eafc09e1c</t>
        </is>
      </c>
      <c r="B7071" s="29" t="n">
        <v>43245</v>
      </c>
      <c r="C7071" t="inlineStr">
        <is>
          <t>2018-05</t>
        </is>
      </c>
      <c r="D7071" t="inlineStr">
        <is>
          <t>b76ef37428e6799c421989521c0e5077</t>
        </is>
      </c>
      <c r="E7071" t="inlineStr">
        <is>
          <t>unknown</t>
        </is>
      </c>
      <c r="F7071">
        <f>IFERROR(MATCH(A7071,Deals!$A$2:$A$843,0),"")</f>
        <v/>
      </c>
      <c r="G7071">
        <f>IF(F7071="",0,1)</f>
        <v/>
      </c>
      <c r="H7071" s="29">
        <f>IF(F7071="","",INDEX(Deals!$E$2:$E$843,F7071))</f>
        <v/>
      </c>
      <c r="I7071">
        <f>IF(F7071="","",INDEX(Deals!$D$2:$D$843,F7071))</f>
        <v/>
      </c>
      <c r="J7071">
        <f>IF(F7071="","",INT(H7071)-B7071)</f>
        <v/>
      </c>
      <c r="K7071">
        <f>IF(B7071&gt;=Settings!$C$5,1,0)</f>
        <v/>
      </c>
    </row>
    <row r="7072">
      <c r="A7072" t="inlineStr">
        <is>
          <t>b008bdeaa66c479ed47856d691c5fec9</t>
        </is>
      </c>
      <c r="B7072" s="29" t="n">
        <v>43208</v>
      </c>
      <c r="C7072" t="inlineStr">
        <is>
          <t>2018-04</t>
        </is>
      </c>
      <c r="D7072" t="inlineStr">
        <is>
          <t>40dec9f3d5259a3d2dbcdab2114fae47</t>
        </is>
      </c>
      <c r="E7072" t="inlineStr">
        <is>
          <t>paid_search</t>
        </is>
      </c>
      <c r="F7072">
        <f>IFERROR(MATCH(A7072,Deals!$A$2:$A$843,0),"")</f>
        <v/>
      </c>
      <c r="G7072">
        <f>IF(F7072="",0,1)</f>
        <v/>
      </c>
      <c r="H7072" s="29">
        <f>IF(F7072="","",INDEX(Deals!$E$2:$E$843,F7072))</f>
        <v/>
      </c>
      <c r="I7072">
        <f>IF(F7072="","",INDEX(Deals!$D$2:$D$843,F7072))</f>
        <v/>
      </c>
      <c r="J7072">
        <f>IF(F7072="","",INT(H7072)-B7072)</f>
        <v/>
      </c>
      <c r="K7072">
        <f>IF(B7072&gt;=Settings!$C$5,1,0)</f>
        <v/>
      </c>
    </row>
    <row r="7073">
      <c r="A7073" t="inlineStr">
        <is>
          <t>e5218ff81e22205eb3a32a767378f03f</t>
        </is>
      </c>
      <c r="B7073" s="29" t="n">
        <v>43185</v>
      </c>
      <c r="C7073" t="inlineStr">
        <is>
          <t>2018-03</t>
        </is>
      </c>
      <c r="D7073" t="inlineStr">
        <is>
          <t>30077c17f2ec5010a82e37ad8925b95f</t>
        </is>
      </c>
      <c r="E7073" t="inlineStr">
        <is>
          <t>referral</t>
        </is>
      </c>
      <c r="F7073">
        <f>IFERROR(MATCH(A7073,Deals!$A$2:$A$843,0),"")</f>
        <v/>
      </c>
      <c r="G7073">
        <f>IF(F7073="",0,1)</f>
        <v/>
      </c>
      <c r="H7073" s="29">
        <f>IF(F7073="","",INDEX(Deals!$E$2:$E$843,F7073))</f>
        <v/>
      </c>
      <c r="I7073">
        <f>IF(F7073="","",INDEX(Deals!$D$2:$D$843,F7073))</f>
        <v/>
      </c>
      <c r="J7073">
        <f>IF(F7073="","",INT(H7073)-B7073)</f>
        <v/>
      </c>
      <c r="K7073">
        <f>IF(B7073&gt;=Settings!$C$5,1,0)</f>
        <v/>
      </c>
    </row>
    <row r="7074">
      <c r="A7074" t="inlineStr">
        <is>
          <t>2942549cb69c93f868f7294460a9befe</t>
        </is>
      </c>
      <c r="B7074" s="29" t="n">
        <v>43232</v>
      </c>
      <c r="C7074" t="inlineStr">
        <is>
          <t>2018-05</t>
        </is>
      </c>
      <c r="D7074" t="inlineStr">
        <is>
          <t>73fec6021437e723ff5adae8dff89e23</t>
        </is>
      </c>
      <c r="E7074" t="inlineStr">
        <is>
          <t>social</t>
        </is>
      </c>
      <c r="F7074">
        <f>IFERROR(MATCH(A7074,Deals!$A$2:$A$843,0),"")</f>
        <v/>
      </c>
      <c r="G7074">
        <f>IF(F7074="",0,1)</f>
        <v/>
      </c>
      <c r="H7074" s="29">
        <f>IF(F7074="","",INDEX(Deals!$E$2:$E$843,F7074))</f>
        <v/>
      </c>
      <c r="I7074">
        <f>IF(F7074="","",INDEX(Deals!$D$2:$D$843,F7074))</f>
        <v/>
      </c>
      <c r="J7074">
        <f>IF(F7074="","",INT(H7074)-B7074)</f>
        <v/>
      </c>
      <c r="K7074">
        <f>IF(B7074&gt;=Settings!$C$5,1,0)</f>
        <v/>
      </c>
    </row>
    <row r="7075">
      <c r="A7075" t="inlineStr">
        <is>
          <t>e17d00b154831f31866ad96f6b352596</t>
        </is>
      </c>
      <c r="B7075" s="29" t="n">
        <v>43010</v>
      </c>
      <c r="C7075" t="inlineStr">
        <is>
          <t>2017-10</t>
        </is>
      </c>
      <c r="D7075" t="inlineStr">
        <is>
          <t>b76ef37428e6799c421989521c0e5077</t>
        </is>
      </c>
      <c r="E7075" t="inlineStr">
        <is>
          <t>unknown</t>
        </is>
      </c>
      <c r="F7075">
        <f>IFERROR(MATCH(A7075,Deals!$A$2:$A$843,0),"")</f>
        <v/>
      </c>
      <c r="G7075">
        <f>IF(F7075="",0,1)</f>
        <v/>
      </c>
      <c r="H7075" s="29">
        <f>IF(F7075="","",INDEX(Deals!$E$2:$E$843,F7075))</f>
        <v/>
      </c>
      <c r="I7075">
        <f>IF(F7075="","",INDEX(Deals!$D$2:$D$843,F7075))</f>
        <v/>
      </c>
      <c r="J7075">
        <f>IF(F7075="","",INT(H7075)-B7075)</f>
        <v/>
      </c>
      <c r="K7075">
        <f>IF(B7075&gt;=Settings!$C$5,1,0)</f>
        <v/>
      </c>
    </row>
    <row r="7076">
      <c r="A7076" t="inlineStr">
        <is>
          <t>1968e73cfcb43ede6c35cf8ef0f7d1d3</t>
        </is>
      </c>
      <c r="B7076" s="29" t="n">
        <v>42948</v>
      </c>
      <c r="C7076" t="inlineStr">
        <is>
          <t>2017-08</t>
        </is>
      </c>
      <c r="D7076" t="inlineStr">
        <is>
          <t>e492ee5eaf1697716985cc6f33f9cd9b</t>
        </is>
      </c>
      <c r="E7076" t="inlineStr">
        <is>
          <t>email</t>
        </is>
      </c>
      <c r="F7076">
        <f>IFERROR(MATCH(A7076,Deals!$A$2:$A$843,0),"")</f>
        <v/>
      </c>
      <c r="G7076">
        <f>IF(F7076="",0,1)</f>
        <v/>
      </c>
      <c r="H7076" s="29">
        <f>IF(F7076="","",INDEX(Deals!$E$2:$E$843,F7076))</f>
        <v/>
      </c>
      <c r="I7076">
        <f>IF(F7076="","",INDEX(Deals!$D$2:$D$843,F7076))</f>
        <v/>
      </c>
      <c r="J7076">
        <f>IF(F7076="","",INT(H7076)-B7076)</f>
        <v/>
      </c>
      <c r="K7076">
        <f>IF(B7076&gt;=Settings!$C$5,1,0)</f>
        <v/>
      </c>
    </row>
    <row r="7077">
      <c r="A7077" t="inlineStr">
        <is>
          <t>d1330743336a7b439384b3637c95e4f3</t>
        </is>
      </c>
      <c r="B7077" s="29" t="n">
        <v>43214</v>
      </c>
      <c r="C7077" t="inlineStr">
        <is>
          <t>2018-04</t>
        </is>
      </c>
      <c r="D7077" t="inlineStr">
        <is>
          <t>36120633c8737035fbabf079082f4ec1</t>
        </is>
      </c>
      <c r="E7077" t="inlineStr">
        <is>
          <t>social</t>
        </is>
      </c>
      <c r="F7077">
        <f>IFERROR(MATCH(A7077,Deals!$A$2:$A$843,0),"")</f>
        <v/>
      </c>
      <c r="G7077">
        <f>IF(F7077="",0,1)</f>
        <v/>
      </c>
      <c r="H7077" s="29">
        <f>IF(F7077="","",INDEX(Deals!$E$2:$E$843,F7077))</f>
        <v/>
      </c>
      <c r="I7077">
        <f>IF(F7077="","",INDEX(Deals!$D$2:$D$843,F7077))</f>
        <v/>
      </c>
      <c r="J7077">
        <f>IF(F7077="","",INT(H7077)-B7077)</f>
        <v/>
      </c>
      <c r="K7077">
        <f>IF(B7077&gt;=Settings!$C$5,1,0)</f>
        <v/>
      </c>
    </row>
    <row r="7078">
      <c r="A7078" t="inlineStr">
        <is>
          <t>63b2bcd96a3981153de8111edeeca175</t>
        </is>
      </c>
      <c r="B7078" s="29" t="n">
        <v>43124</v>
      </c>
      <c r="C7078" t="inlineStr">
        <is>
          <t>2018-01</t>
        </is>
      </c>
      <c r="D7078" t="inlineStr">
        <is>
          <t>0f7f8ed9a1db8fc2a42e273972db10d4</t>
        </is>
      </c>
      <c r="E7078" t="inlineStr">
        <is>
          <t>paid_search</t>
        </is>
      </c>
      <c r="F7078">
        <f>IFERROR(MATCH(A7078,Deals!$A$2:$A$843,0),"")</f>
        <v/>
      </c>
      <c r="G7078">
        <f>IF(F7078="",0,1)</f>
        <v/>
      </c>
      <c r="H7078" s="29">
        <f>IF(F7078="","",INDEX(Deals!$E$2:$E$843,F7078))</f>
        <v/>
      </c>
      <c r="I7078">
        <f>IF(F7078="","",INDEX(Deals!$D$2:$D$843,F7078))</f>
        <v/>
      </c>
      <c r="J7078">
        <f>IF(F7078="","",INT(H7078)-B7078)</f>
        <v/>
      </c>
      <c r="K7078">
        <f>IF(B7078&gt;=Settings!$C$5,1,0)</f>
        <v/>
      </c>
    </row>
    <row r="7079">
      <c r="A7079" t="inlineStr">
        <is>
          <t>98a5ad54e01fee0f3a9b88257b81c878</t>
        </is>
      </c>
      <c r="B7079" s="29" t="n">
        <v>43061</v>
      </c>
      <c r="C7079" t="inlineStr">
        <is>
          <t>2017-11</t>
        </is>
      </c>
      <c r="D7079" t="inlineStr">
        <is>
          <t>ce1a65abd0973638f1c887a6efcfa82d</t>
        </is>
      </c>
      <c r="E7079" t="inlineStr">
        <is>
          <t>organic_search</t>
        </is>
      </c>
      <c r="F7079">
        <f>IFERROR(MATCH(A7079,Deals!$A$2:$A$843,0),"")</f>
        <v/>
      </c>
      <c r="G7079">
        <f>IF(F7079="",0,1)</f>
        <v/>
      </c>
      <c r="H7079" s="29">
        <f>IF(F7079="","",INDEX(Deals!$E$2:$E$843,F7079))</f>
        <v/>
      </c>
      <c r="I7079">
        <f>IF(F7079="","",INDEX(Deals!$D$2:$D$843,F7079))</f>
        <v/>
      </c>
      <c r="J7079">
        <f>IF(F7079="","",INT(H7079)-B7079)</f>
        <v/>
      </c>
      <c r="K7079">
        <f>IF(B7079&gt;=Settings!$C$5,1,0)</f>
        <v/>
      </c>
    </row>
    <row r="7080">
      <c r="A7080" t="inlineStr">
        <is>
          <t>82cdf867e9579d284a93d3c0223448d3</t>
        </is>
      </c>
      <c r="B7080" s="29" t="n">
        <v>43150</v>
      </c>
      <c r="C7080" t="inlineStr">
        <is>
          <t>2018-02</t>
        </is>
      </c>
      <c r="D7080" t="inlineStr">
        <is>
          <t>22c29808c4f815213303f8933030604c</t>
        </is>
      </c>
      <c r="E7080" t="inlineStr">
        <is>
          <t>organic_search</t>
        </is>
      </c>
      <c r="F7080">
        <f>IFERROR(MATCH(A7080,Deals!$A$2:$A$843,0),"")</f>
        <v/>
      </c>
      <c r="G7080">
        <f>IF(F7080="",0,1)</f>
        <v/>
      </c>
      <c r="H7080" s="29">
        <f>IF(F7080="","",INDEX(Deals!$E$2:$E$843,F7080))</f>
        <v/>
      </c>
      <c r="I7080">
        <f>IF(F7080="","",INDEX(Deals!$D$2:$D$843,F7080))</f>
        <v/>
      </c>
      <c r="J7080">
        <f>IF(F7080="","",INT(H7080)-B7080)</f>
        <v/>
      </c>
      <c r="K7080">
        <f>IF(B7080&gt;=Settings!$C$5,1,0)</f>
        <v/>
      </c>
    </row>
    <row r="7081">
      <c r="A7081" t="inlineStr">
        <is>
          <t>364f36a17d1d4bb38c1fcb932b6872cb</t>
        </is>
      </c>
      <c r="B7081" s="29" t="n">
        <v>43174</v>
      </c>
      <c r="C7081" t="inlineStr">
        <is>
          <t>2018-03</t>
        </is>
      </c>
      <c r="D7081" t="inlineStr">
        <is>
          <t>73f31a40697cc90a86c1273563ac230e</t>
        </is>
      </c>
      <c r="E7081" t="inlineStr">
        <is>
          <t>referral</t>
        </is>
      </c>
      <c r="F7081">
        <f>IFERROR(MATCH(A7081,Deals!$A$2:$A$843,0),"")</f>
        <v/>
      </c>
      <c r="G7081">
        <f>IF(F7081="",0,1)</f>
        <v/>
      </c>
      <c r="H7081" s="29">
        <f>IF(F7081="","",INDEX(Deals!$E$2:$E$843,F7081))</f>
        <v/>
      </c>
      <c r="I7081">
        <f>IF(F7081="","",INDEX(Deals!$D$2:$D$843,F7081))</f>
        <v/>
      </c>
      <c r="J7081">
        <f>IF(F7081="","",INT(H7081)-B7081)</f>
        <v/>
      </c>
      <c r="K7081">
        <f>IF(B7081&gt;=Settings!$C$5,1,0)</f>
        <v/>
      </c>
    </row>
    <row r="7082">
      <c r="A7082" t="inlineStr">
        <is>
          <t>4b4400895feab2426e30076b2b1e0771</t>
        </is>
      </c>
      <c r="B7082" s="29" t="n">
        <v>43114</v>
      </c>
      <c r="C7082" t="inlineStr">
        <is>
          <t>2018-01</t>
        </is>
      </c>
      <c r="D7082" t="inlineStr">
        <is>
          <t>ce1a65abd0973638f1c887a6efcfa82d</t>
        </is>
      </c>
      <c r="E7082" t="inlineStr">
        <is>
          <t>organic_search</t>
        </is>
      </c>
      <c r="F7082">
        <f>IFERROR(MATCH(A7082,Deals!$A$2:$A$843,0),"")</f>
        <v/>
      </c>
      <c r="G7082">
        <f>IF(F7082="",0,1)</f>
        <v/>
      </c>
      <c r="H7082" s="29">
        <f>IF(F7082="","",INDEX(Deals!$E$2:$E$843,F7082))</f>
        <v/>
      </c>
      <c r="I7082">
        <f>IF(F7082="","",INDEX(Deals!$D$2:$D$843,F7082))</f>
        <v/>
      </c>
      <c r="J7082">
        <f>IF(F7082="","",INT(H7082)-B7082)</f>
        <v/>
      </c>
      <c r="K7082">
        <f>IF(B7082&gt;=Settings!$C$5,1,0)</f>
        <v/>
      </c>
    </row>
    <row r="7083">
      <c r="A7083" t="inlineStr">
        <is>
          <t>f3cfc5cb5f8aadbfd8b7e9328fc0f0d1</t>
        </is>
      </c>
      <c r="B7083" s="29" t="n">
        <v>42992</v>
      </c>
      <c r="C7083" t="inlineStr">
        <is>
          <t>2017-09</t>
        </is>
      </c>
      <c r="D7083" t="inlineStr">
        <is>
          <t>ef0b482996664cc1107b9051efd3ca84</t>
        </is>
      </c>
      <c r="E7083" t="inlineStr">
        <is>
          <t>direct_traffic</t>
        </is>
      </c>
      <c r="F7083">
        <f>IFERROR(MATCH(A7083,Deals!$A$2:$A$843,0),"")</f>
        <v/>
      </c>
      <c r="G7083">
        <f>IF(F7083="",0,1)</f>
        <v/>
      </c>
      <c r="H7083" s="29">
        <f>IF(F7083="","",INDEX(Deals!$E$2:$E$843,F7083))</f>
        <v/>
      </c>
      <c r="I7083">
        <f>IF(F7083="","",INDEX(Deals!$D$2:$D$843,F7083))</f>
        <v/>
      </c>
      <c r="J7083">
        <f>IF(F7083="","",INT(H7083)-B7083)</f>
        <v/>
      </c>
      <c r="K7083">
        <f>IF(B7083&gt;=Settings!$C$5,1,0)</f>
        <v/>
      </c>
    </row>
    <row r="7084">
      <c r="A7084" t="inlineStr">
        <is>
          <t>de4ae1f4f810873e3b18b2f942b45795</t>
        </is>
      </c>
      <c r="B7084" s="29" t="n">
        <v>43062</v>
      </c>
      <c r="C7084" t="inlineStr">
        <is>
          <t>2017-11</t>
        </is>
      </c>
      <c r="D7084" t="inlineStr">
        <is>
          <t>b76ef37428e6799c421989521c0e5077</t>
        </is>
      </c>
      <c r="E7084" t="inlineStr">
        <is>
          <t>unknown</t>
        </is>
      </c>
      <c r="F7084">
        <f>IFERROR(MATCH(A7084,Deals!$A$2:$A$843,0),"")</f>
        <v/>
      </c>
      <c r="G7084">
        <f>IF(F7084="",0,1)</f>
        <v/>
      </c>
      <c r="H7084" s="29">
        <f>IF(F7084="","",INDEX(Deals!$E$2:$E$843,F7084))</f>
        <v/>
      </c>
      <c r="I7084">
        <f>IF(F7084="","",INDEX(Deals!$D$2:$D$843,F7084))</f>
        <v/>
      </c>
      <c r="J7084">
        <f>IF(F7084="","",INT(H7084)-B7084)</f>
        <v/>
      </c>
      <c r="K7084">
        <f>IF(B7084&gt;=Settings!$C$5,1,0)</f>
        <v/>
      </c>
    </row>
    <row r="7085">
      <c r="A7085" t="inlineStr">
        <is>
          <t>af773c83af5e2fec9711833bcbe37b30</t>
        </is>
      </c>
      <c r="B7085" s="29" t="n">
        <v>43225</v>
      </c>
      <c r="C7085" t="inlineStr">
        <is>
          <t>2018-05</t>
        </is>
      </c>
      <c r="D7085" t="inlineStr">
        <is>
          <t>f017be4dbf86243af5c1ebed0cff36a2</t>
        </is>
      </c>
      <c r="E7085" t="inlineStr">
        <is>
          <t>organic_search</t>
        </is>
      </c>
      <c r="F7085">
        <f>IFERROR(MATCH(A7085,Deals!$A$2:$A$843,0),"")</f>
        <v/>
      </c>
      <c r="G7085">
        <f>IF(F7085="",0,1)</f>
        <v/>
      </c>
      <c r="H7085" s="29">
        <f>IF(F7085="","",INDEX(Deals!$E$2:$E$843,F7085))</f>
        <v/>
      </c>
      <c r="I7085">
        <f>IF(F7085="","",INDEX(Deals!$D$2:$D$843,F7085))</f>
        <v/>
      </c>
      <c r="J7085">
        <f>IF(F7085="","",INT(H7085)-B7085)</f>
        <v/>
      </c>
      <c r="K7085">
        <f>IF(B7085&gt;=Settings!$C$5,1,0)</f>
        <v/>
      </c>
    </row>
    <row r="7086">
      <c r="A7086" t="inlineStr">
        <is>
          <t>528504bd4fce78dd2d69ce3eb5298f11</t>
        </is>
      </c>
      <c r="B7086" s="29" t="n">
        <v>43160</v>
      </c>
      <c r="C7086" t="inlineStr">
        <is>
          <t>2018-03</t>
        </is>
      </c>
      <c r="D7086" t="inlineStr">
        <is>
          <t>313edefdee4adcd34e8cbec1854ba5a9</t>
        </is>
      </c>
      <c r="E7086" t="inlineStr">
        <is>
          <t>organic_search</t>
        </is>
      </c>
      <c r="F7086">
        <f>IFERROR(MATCH(A7086,Deals!$A$2:$A$843,0),"")</f>
        <v/>
      </c>
      <c r="G7086">
        <f>IF(F7086="",0,1)</f>
        <v/>
      </c>
      <c r="H7086" s="29">
        <f>IF(F7086="","",INDEX(Deals!$E$2:$E$843,F7086))</f>
        <v/>
      </c>
      <c r="I7086">
        <f>IF(F7086="","",INDEX(Deals!$D$2:$D$843,F7086))</f>
        <v/>
      </c>
      <c r="J7086">
        <f>IF(F7086="","",INT(H7086)-B7086)</f>
        <v/>
      </c>
      <c r="K7086">
        <f>IF(B7086&gt;=Settings!$C$5,1,0)</f>
        <v/>
      </c>
    </row>
    <row r="7087">
      <c r="A7087" t="inlineStr">
        <is>
          <t>739ef50133aab03b5c69062b13299a7f</t>
        </is>
      </c>
      <c r="B7087" s="29" t="n">
        <v>43055</v>
      </c>
      <c r="C7087" t="inlineStr">
        <is>
          <t>2017-11</t>
        </is>
      </c>
      <c r="D7087" t="inlineStr">
        <is>
          <t>a7982125ff7aa3b2054c6e44f9d28522</t>
        </is>
      </c>
      <c r="E7087" t="inlineStr">
        <is>
          <t>organic_search</t>
        </is>
      </c>
      <c r="F7087">
        <f>IFERROR(MATCH(A7087,Deals!$A$2:$A$843,0),"")</f>
        <v/>
      </c>
      <c r="G7087">
        <f>IF(F7087="",0,1)</f>
        <v/>
      </c>
      <c r="H7087" s="29">
        <f>IF(F7087="","",INDEX(Deals!$E$2:$E$843,F7087))</f>
        <v/>
      </c>
      <c r="I7087">
        <f>IF(F7087="","",INDEX(Deals!$D$2:$D$843,F7087))</f>
        <v/>
      </c>
      <c r="J7087">
        <f>IF(F7087="","",INT(H7087)-B7087)</f>
        <v/>
      </c>
      <c r="K7087">
        <f>IF(B7087&gt;=Settings!$C$5,1,0)</f>
        <v/>
      </c>
    </row>
    <row r="7088">
      <c r="A7088" t="inlineStr">
        <is>
          <t>f226997a7c7535ff45172bdf721dbb24</t>
        </is>
      </c>
      <c r="B7088" s="29" t="n">
        <v>43130</v>
      </c>
      <c r="C7088" t="inlineStr">
        <is>
          <t>2018-01</t>
        </is>
      </c>
      <c r="D7088" t="inlineStr">
        <is>
          <t>22c29808c4f815213303f8933030604c</t>
        </is>
      </c>
      <c r="E7088" t="inlineStr">
        <is>
          <t>paid_search</t>
        </is>
      </c>
      <c r="F7088">
        <f>IFERROR(MATCH(A7088,Deals!$A$2:$A$843,0),"")</f>
        <v/>
      </c>
      <c r="G7088">
        <f>IF(F7088="",0,1)</f>
        <v/>
      </c>
      <c r="H7088" s="29">
        <f>IF(F7088="","",INDEX(Deals!$E$2:$E$843,F7088))</f>
        <v/>
      </c>
      <c r="I7088">
        <f>IF(F7088="","",INDEX(Deals!$D$2:$D$843,F7088))</f>
        <v/>
      </c>
      <c r="J7088">
        <f>IF(F7088="","",INT(H7088)-B7088)</f>
        <v/>
      </c>
      <c r="K7088">
        <f>IF(B7088&gt;=Settings!$C$5,1,0)</f>
        <v/>
      </c>
    </row>
    <row r="7089">
      <c r="A7089" t="inlineStr">
        <is>
          <t>2f601bfe0cde0094470c1add322af541</t>
        </is>
      </c>
      <c r="B7089" s="29" t="n">
        <v>43224</v>
      </c>
      <c r="C7089" t="inlineStr">
        <is>
          <t>2018-05</t>
        </is>
      </c>
      <c r="D7089" t="inlineStr">
        <is>
          <t>58326e62183c14b0c03085c33b9fdc44</t>
        </is>
      </c>
      <c r="E7089" t="inlineStr">
        <is>
          <t>social</t>
        </is>
      </c>
      <c r="F7089">
        <f>IFERROR(MATCH(A7089,Deals!$A$2:$A$843,0),"")</f>
        <v/>
      </c>
      <c r="G7089">
        <f>IF(F7089="",0,1)</f>
        <v/>
      </c>
      <c r="H7089" s="29">
        <f>IF(F7089="","",INDEX(Deals!$E$2:$E$843,F7089))</f>
        <v/>
      </c>
      <c r="I7089">
        <f>IF(F7089="","",INDEX(Deals!$D$2:$D$843,F7089))</f>
        <v/>
      </c>
      <c r="J7089">
        <f>IF(F7089="","",INT(H7089)-B7089)</f>
        <v/>
      </c>
      <c r="K7089">
        <f>IF(B7089&gt;=Settings!$C$5,1,0)</f>
        <v/>
      </c>
    </row>
    <row r="7090">
      <c r="A7090" t="inlineStr">
        <is>
          <t>8de95d6a6ba0ca6c1eec90297345e0a6</t>
        </is>
      </c>
      <c r="B7090" s="29" t="n">
        <v>43103</v>
      </c>
      <c r="C7090" t="inlineStr">
        <is>
          <t>2018-01</t>
        </is>
      </c>
      <c r="D7090" t="inlineStr">
        <is>
          <t>22c29808c4f815213303f8933030604c</t>
        </is>
      </c>
      <c r="E7090" t="inlineStr">
        <is>
          <t>paid_search</t>
        </is>
      </c>
      <c r="F7090">
        <f>IFERROR(MATCH(A7090,Deals!$A$2:$A$843,0),"")</f>
        <v/>
      </c>
      <c r="G7090">
        <f>IF(F7090="",0,1)</f>
        <v/>
      </c>
      <c r="H7090" s="29">
        <f>IF(F7090="","",INDEX(Deals!$E$2:$E$843,F7090))</f>
        <v/>
      </c>
      <c r="I7090">
        <f>IF(F7090="","",INDEX(Deals!$D$2:$D$843,F7090))</f>
        <v/>
      </c>
      <c r="J7090">
        <f>IF(F7090="","",INT(H7090)-B7090)</f>
        <v/>
      </c>
      <c r="K7090">
        <f>IF(B7090&gt;=Settings!$C$5,1,0)</f>
        <v/>
      </c>
    </row>
    <row r="7091">
      <c r="A7091" t="inlineStr">
        <is>
          <t>0f7a529e4a851625fee72161a84b4ca1</t>
        </is>
      </c>
      <c r="B7091" s="29" t="n">
        <v>42980</v>
      </c>
      <c r="C7091" t="inlineStr">
        <is>
          <t>2017-09</t>
        </is>
      </c>
      <c r="D7091" t="inlineStr">
        <is>
          <t>22c29808c4f815213303f8933030604c</t>
        </is>
      </c>
      <c r="E7091" t="inlineStr">
        <is>
          <t>organic_search</t>
        </is>
      </c>
      <c r="F7091">
        <f>IFERROR(MATCH(A7091,Deals!$A$2:$A$843,0),"")</f>
        <v/>
      </c>
      <c r="G7091">
        <f>IF(F7091="",0,1)</f>
        <v/>
      </c>
      <c r="H7091" s="29">
        <f>IF(F7091="","",INDEX(Deals!$E$2:$E$843,F7091))</f>
        <v/>
      </c>
      <c r="I7091">
        <f>IF(F7091="","",INDEX(Deals!$D$2:$D$843,F7091))</f>
        <v/>
      </c>
      <c r="J7091">
        <f>IF(F7091="","",INT(H7091)-B7091)</f>
        <v/>
      </c>
      <c r="K7091">
        <f>IF(B7091&gt;=Settings!$C$5,1,0)</f>
        <v/>
      </c>
    </row>
    <row r="7092">
      <c r="A7092" t="inlineStr">
        <is>
          <t>b14306cd6ce646b9b7bee6ea942711a1</t>
        </is>
      </c>
      <c r="B7092" s="29" t="n">
        <v>43065</v>
      </c>
      <c r="C7092" t="inlineStr">
        <is>
          <t>2017-11</t>
        </is>
      </c>
      <c r="D7092" t="inlineStr">
        <is>
          <t>40dec9f3d5259a3d2dbcdab2114fae47</t>
        </is>
      </c>
      <c r="E7092" t="inlineStr">
        <is>
          <t>paid_search</t>
        </is>
      </c>
      <c r="F7092">
        <f>IFERROR(MATCH(A7092,Deals!$A$2:$A$843,0),"")</f>
        <v/>
      </c>
      <c r="G7092">
        <f>IF(F7092="",0,1)</f>
        <v/>
      </c>
      <c r="H7092" s="29">
        <f>IF(F7092="","",INDEX(Deals!$E$2:$E$843,F7092))</f>
        <v/>
      </c>
      <c r="I7092">
        <f>IF(F7092="","",INDEX(Deals!$D$2:$D$843,F7092))</f>
        <v/>
      </c>
      <c r="J7092">
        <f>IF(F7092="","",INT(H7092)-B7092)</f>
        <v/>
      </c>
      <c r="K7092">
        <f>IF(B7092&gt;=Settings!$C$5,1,0)</f>
        <v/>
      </c>
    </row>
    <row r="7093">
      <c r="A7093" t="inlineStr">
        <is>
          <t>d9e8009b7857b10b3a21819e28379b4d</t>
        </is>
      </c>
      <c r="B7093" s="29" t="n">
        <v>43122</v>
      </c>
      <c r="C7093" t="inlineStr">
        <is>
          <t>2018-01</t>
        </is>
      </c>
      <c r="D7093" t="inlineStr">
        <is>
          <t>88740e65d5d6b056e0cda098e1ea6313</t>
        </is>
      </c>
      <c r="E7093" t="inlineStr">
        <is>
          <t>social</t>
        </is>
      </c>
      <c r="F7093">
        <f>IFERROR(MATCH(A7093,Deals!$A$2:$A$843,0),"")</f>
        <v/>
      </c>
      <c r="G7093">
        <f>IF(F7093="",0,1)</f>
        <v/>
      </c>
      <c r="H7093" s="29">
        <f>IF(F7093="","",INDEX(Deals!$E$2:$E$843,F7093))</f>
        <v/>
      </c>
      <c r="I7093">
        <f>IF(F7093="","",INDEX(Deals!$D$2:$D$843,F7093))</f>
        <v/>
      </c>
      <c r="J7093">
        <f>IF(F7093="","",INT(H7093)-B7093)</f>
        <v/>
      </c>
      <c r="K7093">
        <f>IF(B7093&gt;=Settings!$C$5,1,0)</f>
        <v/>
      </c>
    </row>
    <row r="7094">
      <c r="A7094" t="inlineStr">
        <is>
          <t>e4b79783cddf15c2a0903352eb73ad7c</t>
        </is>
      </c>
      <c r="B7094" s="29" t="n">
        <v>43150</v>
      </c>
      <c r="C7094" t="inlineStr">
        <is>
          <t>2018-02</t>
        </is>
      </c>
      <c r="D7094" t="inlineStr">
        <is>
          <t>f017be4dbf86243af5c1ebed0cff36a2</t>
        </is>
      </c>
      <c r="E7094" t="inlineStr">
        <is>
          <t>referral</t>
        </is>
      </c>
      <c r="F7094">
        <f>IFERROR(MATCH(A7094,Deals!$A$2:$A$843,0),"")</f>
        <v/>
      </c>
      <c r="G7094">
        <f>IF(F7094="",0,1)</f>
        <v/>
      </c>
      <c r="H7094" s="29">
        <f>IF(F7094="","",INDEX(Deals!$E$2:$E$843,F7094))</f>
        <v/>
      </c>
      <c r="I7094">
        <f>IF(F7094="","",INDEX(Deals!$D$2:$D$843,F7094))</f>
        <v/>
      </c>
      <c r="J7094">
        <f>IF(F7094="","",INT(H7094)-B7094)</f>
        <v/>
      </c>
      <c r="K7094">
        <f>IF(B7094&gt;=Settings!$C$5,1,0)</f>
        <v/>
      </c>
    </row>
    <row r="7095">
      <c r="A7095" t="inlineStr">
        <is>
          <t>c88e0ce62215f2eb6e91e04fec14c4da</t>
        </is>
      </c>
      <c r="B7095" s="29" t="n">
        <v>43162</v>
      </c>
      <c r="C7095" t="inlineStr">
        <is>
          <t>2018-03</t>
        </is>
      </c>
      <c r="D7095" t="inlineStr">
        <is>
          <t>241f79c7a8fe0270f4fb79fcbbcd17ad</t>
        </is>
      </c>
      <c r="E7095" t="inlineStr">
        <is>
          <t>paid_search</t>
        </is>
      </c>
      <c r="F7095">
        <f>IFERROR(MATCH(A7095,Deals!$A$2:$A$843,0),"")</f>
        <v/>
      </c>
      <c r="G7095">
        <f>IF(F7095="",0,1)</f>
        <v/>
      </c>
      <c r="H7095" s="29">
        <f>IF(F7095="","",INDEX(Deals!$E$2:$E$843,F7095))</f>
        <v/>
      </c>
      <c r="I7095">
        <f>IF(F7095="","",INDEX(Deals!$D$2:$D$843,F7095))</f>
        <v/>
      </c>
      <c r="J7095">
        <f>IF(F7095="","",INT(H7095)-B7095)</f>
        <v/>
      </c>
      <c r="K7095">
        <f>IF(B7095&gt;=Settings!$C$5,1,0)</f>
        <v/>
      </c>
    </row>
    <row r="7096">
      <c r="A7096" t="inlineStr">
        <is>
          <t>5993d62a909320b8c3d62ef50e61b25a</t>
        </is>
      </c>
      <c r="B7096" s="29" t="n">
        <v>43109</v>
      </c>
      <c r="C7096" t="inlineStr">
        <is>
          <t>2018-01</t>
        </is>
      </c>
      <c r="D7096" t="inlineStr">
        <is>
          <t>40dec9f3d5259a3d2dbcdab2114fae47</t>
        </is>
      </c>
      <c r="E7096" t="inlineStr">
        <is>
          <t>paid_search</t>
        </is>
      </c>
      <c r="F7096">
        <f>IFERROR(MATCH(A7096,Deals!$A$2:$A$843,0),"")</f>
        <v/>
      </c>
      <c r="G7096">
        <f>IF(F7096="",0,1)</f>
        <v/>
      </c>
      <c r="H7096" s="29">
        <f>IF(F7096="","",INDEX(Deals!$E$2:$E$843,F7096))</f>
        <v/>
      </c>
      <c r="I7096">
        <f>IF(F7096="","",INDEX(Deals!$D$2:$D$843,F7096))</f>
        <v/>
      </c>
      <c r="J7096">
        <f>IF(F7096="","",INT(H7096)-B7096)</f>
        <v/>
      </c>
      <c r="K7096">
        <f>IF(B7096&gt;=Settings!$C$5,1,0)</f>
        <v/>
      </c>
    </row>
    <row r="7097">
      <c r="A7097" t="inlineStr">
        <is>
          <t>bd8f83ce9caf9fbbf4d66f336fe0e08b</t>
        </is>
      </c>
      <c r="B7097" s="29" t="n">
        <v>43234</v>
      </c>
      <c r="C7097" t="inlineStr">
        <is>
          <t>2018-05</t>
        </is>
      </c>
      <c r="D7097" t="inlineStr">
        <is>
          <t>40dec9f3d5259a3d2dbcdab2114fae47</t>
        </is>
      </c>
      <c r="E7097" t="inlineStr">
        <is>
          <t>paid_search</t>
        </is>
      </c>
      <c r="F7097">
        <f>IFERROR(MATCH(A7097,Deals!$A$2:$A$843,0),"")</f>
        <v/>
      </c>
      <c r="G7097">
        <f>IF(F7097="",0,1)</f>
        <v/>
      </c>
      <c r="H7097" s="29">
        <f>IF(F7097="","",INDEX(Deals!$E$2:$E$843,F7097))</f>
        <v/>
      </c>
      <c r="I7097">
        <f>IF(F7097="","",INDEX(Deals!$D$2:$D$843,F7097))</f>
        <v/>
      </c>
      <c r="J7097">
        <f>IF(F7097="","",INT(H7097)-B7097)</f>
        <v/>
      </c>
      <c r="K7097">
        <f>IF(B7097&gt;=Settings!$C$5,1,0)</f>
        <v/>
      </c>
    </row>
    <row r="7098">
      <c r="A7098" t="inlineStr">
        <is>
          <t>c848ffbf5a922d82ba53d867b429e1dd</t>
        </is>
      </c>
      <c r="B7098" s="29" t="n">
        <v>43179</v>
      </c>
      <c r="C7098" t="inlineStr">
        <is>
          <t>2018-03</t>
        </is>
      </c>
      <c r="D7098" t="inlineStr">
        <is>
          <t>e492ee5eaf1697716985cc6f33f9cd9b</t>
        </is>
      </c>
      <c r="E7098" t="inlineStr">
        <is>
          <t>paid_search</t>
        </is>
      </c>
      <c r="F7098">
        <f>IFERROR(MATCH(A7098,Deals!$A$2:$A$843,0),"")</f>
        <v/>
      </c>
      <c r="G7098">
        <f>IF(F7098="",0,1)</f>
        <v/>
      </c>
      <c r="H7098" s="29">
        <f>IF(F7098="","",INDEX(Deals!$E$2:$E$843,F7098))</f>
        <v/>
      </c>
      <c r="I7098">
        <f>IF(F7098="","",INDEX(Deals!$D$2:$D$843,F7098))</f>
        <v/>
      </c>
      <c r="J7098">
        <f>IF(F7098="","",INT(H7098)-B7098)</f>
        <v/>
      </c>
      <c r="K7098">
        <f>IF(B7098&gt;=Settings!$C$5,1,0)</f>
        <v/>
      </c>
    </row>
    <row r="7099">
      <c r="A7099" t="inlineStr">
        <is>
          <t>4e00f3931227999d2643ffa29b8afcad</t>
        </is>
      </c>
      <c r="B7099" s="29" t="n">
        <v>43117</v>
      </c>
      <c r="C7099" t="inlineStr">
        <is>
          <t>2018-01</t>
        </is>
      </c>
      <c r="D7099" t="inlineStr">
        <is>
          <t>c30d0b4337fd05444a3fe502562508d1</t>
        </is>
      </c>
      <c r="E7099" t="inlineStr">
        <is>
          <t>email</t>
        </is>
      </c>
      <c r="F7099">
        <f>IFERROR(MATCH(A7099,Deals!$A$2:$A$843,0),"")</f>
        <v/>
      </c>
      <c r="G7099">
        <f>IF(F7099="",0,1)</f>
        <v/>
      </c>
      <c r="H7099" s="29">
        <f>IF(F7099="","",INDEX(Deals!$E$2:$E$843,F7099))</f>
        <v/>
      </c>
      <c r="I7099">
        <f>IF(F7099="","",INDEX(Deals!$D$2:$D$843,F7099))</f>
        <v/>
      </c>
      <c r="J7099">
        <f>IF(F7099="","",INT(H7099)-B7099)</f>
        <v/>
      </c>
      <c r="K7099">
        <f>IF(B7099&gt;=Settings!$C$5,1,0)</f>
        <v/>
      </c>
    </row>
    <row r="7100">
      <c r="A7100" t="inlineStr">
        <is>
          <t>bfbf094d7555f22ae3bd5056dfedfd56</t>
        </is>
      </c>
      <c r="B7100" s="29" t="n">
        <v>42934</v>
      </c>
      <c r="C7100" t="inlineStr">
        <is>
          <t>2017-07</t>
        </is>
      </c>
      <c r="D7100" t="inlineStr">
        <is>
          <t>b76ef37428e6799c421989521c0e5077</t>
        </is>
      </c>
      <c r="E7100" t="inlineStr">
        <is>
          <t>unknown</t>
        </is>
      </c>
      <c r="F7100">
        <f>IFERROR(MATCH(A7100,Deals!$A$2:$A$843,0),"")</f>
        <v/>
      </c>
      <c r="G7100">
        <f>IF(F7100="",0,1)</f>
        <v/>
      </c>
      <c r="H7100" s="29">
        <f>IF(F7100="","",INDEX(Deals!$E$2:$E$843,F7100))</f>
        <v/>
      </c>
      <c r="I7100">
        <f>IF(F7100="","",INDEX(Deals!$D$2:$D$843,F7100))</f>
        <v/>
      </c>
      <c r="J7100">
        <f>IF(F7100="","",INT(H7100)-B7100)</f>
        <v/>
      </c>
      <c r="K7100">
        <f>IF(B7100&gt;=Settings!$C$5,1,0)</f>
        <v/>
      </c>
    </row>
    <row r="7101">
      <c r="A7101" t="inlineStr">
        <is>
          <t>600e75a6bc206bbb4e8f7858285ce7b7</t>
        </is>
      </c>
      <c r="B7101" s="29" t="n">
        <v>43146</v>
      </c>
      <c r="C7101" t="inlineStr">
        <is>
          <t>2018-02</t>
        </is>
      </c>
      <c r="D7101" t="inlineStr">
        <is>
          <t>47eeb9ed8fa40de028e33449896579a1</t>
        </is>
      </c>
      <c r="E7101" t="inlineStr">
        <is>
          <t>paid_search</t>
        </is>
      </c>
      <c r="F7101">
        <f>IFERROR(MATCH(A7101,Deals!$A$2:$A$843,0),"")</f>
        <v/>
      </c>
      <c r="G7101">
        <f>IF(F7101="",0,1)</f>
        <v/>
      </c>
      <c r="H7101" s="29">
        <f>IF(F7101="","",INDEX(Deals!$E$2:$E$843,F7101))</f>
        <v/>
      </c>
      <c r="I7101">
        <f>IF(F7101="","",INDEX(Deals!$D$2:$D$843,F7101))</f>
        <v/>
      </c>
      <c r="J7101">
        <f>IF(F7101="","",INT(H7101)-B7101)</f>
        <v/>
      </c>
      <c r="K7101">
        <f>IF(B7101&gt;=Settings!$C$5,1,0)</f>
        <v/>
      </c>
    </row>
    <row r="7102">
      <c r="A7102" t="inlineStr">
        <is>
          <t>a8dc789d080f46e88e01e744a7c55e01</t>
        </is>
      </c>
      <c r="B7102" s="29" t="n">
        <v>43150</v>
      </c>
      <c r="C7102" t="inlineStr">
        <is>
          <t>2018-02</t>
        </is>
      </c>
      <c r="D7102" t="inlineStr">
        <is>
          <t>88740e65d5d6b056e0cda098e1ea6313</t>
        </is>
      </c>
      <c r="E7102" t="inlineStr">
        <is>
          <t>unknown</t>
        </is>
      </c>
      <c r="F7102">
        <f>IFERROR(MATCH(A7102,Deals!$A$2:$A$843,0),"")</f>
        <v/>
      </c>
      <c r="G7102">
        <f>IF(F7102="",0,1)</f>
        <v/>
      </c>
      <c r="H7102" s="29">
        <f>IF(F7102="","",INDEX(Deals!$E$2:$E$843,F7102))</f>
        <v/>
      </c>
      <c r="I7102">
        <f>IF(F7102="","",INDEX(Deals!$D$2:$D$843,F7102))</f>
        <v/>
      </c>
      <c r="J7102">
        <f>IF(F7102="","",INT(H7102)-B7102)</f>
        <v/>
      </c>
      <c r="K7102">
        <f>IF(B7102&gt;=Settings!$C$5,1,0)</f>
        <v/>
      </c>
    </row>
    <row r="7103">
      <c r="A7103" t="inlineStr">
        <is>
          <t>af8ba6e9ccdd2960424f19b3cfb54baf</t>
        </is>
      </c>
      <c r="B7103" s="29" t="n">
        <v>43203</v>
      </c>
      <c r="C7103" t="inlineStr">
        <is>
          <t>2018-04</t>
        </is>
      </c>
      <c r="D7103" t="inlineStr">
        <is>
          <t>b76ef37428e6799c421989521c0e5077</t>
        </is>
      </c>
      <c r="E7103" t="inlineStr">
        <is>
          <t>unknown</t>
        </is>
      </c>
      <c r="F7103">
        <f>IFERROR(MATCH(A7103,Deals!$A$2:$A$843,0),"")</f>
        <v/>
      </c>
      <c r="G7103">
        <f>IF(F7103="",0,1)</f>
        <v/>
      </c>
      <c r="H7103" s="29">
        <f>IF(F7103="","",INDEX(Deals!$E$2:$E$843,F7103))</f>
        <v/>
      </c>
      <c r="I7103">
        <f>IF(F7103="","",INDEX(Deals!$D$2:$D$843,F7103))</f>
        <v/>
      </c>
      <c r="J7103">
        <f>IF(F7103="","",INT(H7103)-B7103)</f>
        <v/>
      </c>
      <c r="K7103">
        <f>IF(B7103&gt;=Settings!$C$5,1,0)</f>
        <v/>
      </c>
    </row>
    <row r="7104">
      <c r="A7104" t="inlineStr">
        <is>
          <t>4e731a273a4f480aadc865db1cd9c448</t>
        </is>
      </c>
      <c r="B7104" s="29" t="n">
        <v>43119</v>
      </c>
      <c r="C7104" t="inlineStr">
        <is>
          <t>2018-01</t>
        </is>
      </c>
      <c r="D7104" t="inlineStr">
        <is>
          <t>b76ef37428e6799c421989521c0e5077</t>
        </is>
      </c>
      <c r="E7104" t="inlineStr">
        <is>
          <t>unknown</t>
        </is>
      </c>
      <c r="F7104">
        <f>IFERROR(MATCH(A7104,Deals!$A$2:$A$843,0),"")</f>
        <v/>
      </c>
      <c r="G7104">
        <f>IF(F7104="",0,1)</f>
        <v/>
      </c>
      <c r="H7104" s="29">
        <f>IF(F7104="","",INDEX(Deals!$E$2:$E$843,F7104))</f>
        <v/>
      </c>
      <c r="I7104">
        <f>IF(F7104="","",INDEX(Deals!$D$2:$D$843,F7104))</f>
        <v/>
      </c>
      <c r="J7104">
        <f>IF(F7104="","",INT(H7104)-B7104)</f>
        <v/>
      </c>
      <c r="K7104">
        <f>IF(B7104&gt;=Settings!$C$5,1,0)</f>
        <v/>
      </c>
    </row>
    <row r="7105">
      <c r="A7105" t="inlineStr">
        <is>
          <t>e2af985bca54c63adac6fe130dde21cb</t>
        </is>
      </c>
      <c r="B7105" s="29" t="n">
        <v>43153</v>
      </c>
      <c r="C7105" t="inlineStr">
        <is>
          <t>2018-02</t>
        </is>
      </c>
      <c r="D7105" t="inlineStr">
        <is>
          <t>2228a43ac0bc372e25f9569e69fc9015</t>
        </is>
      </c>
      <c r="E7105" t="inlineStr">
        <is>
          <t>paid_search</t>
        </is>
      </c>
      <c r="F7105">
        <f>IFERROR(MATCH(A7105,Deals!$A$2:$A$843,0),"")</f>
        <v/>
      </c>
      <c r="G7105">
        <f>IF(F7105="",0,1)</f>
        <v/>
      </c>
      <c r="H7105" s="29">
        <f>IF(F7105="","",INDEX(Deals!$E$2:$E$843,F7105))</f>
        <v/>
      </c>
      <c r="I7105">
        <f>IF(F7105="","",INDEX(Deals!$D$2:$D$843,F7105))</f>
        <v/>
      </c>
      <c r="J7105">
        <f>IF(F7105="","",INT(H7105)-B7105)</f>
        <v/>
      </c>
      <c r="K7105">
        <f>IF(B7105&gt;=Settings!$C$5,1,0)</f>
        <v/>
      </c>
    </row>
    <row r="7106">
      <c r="A7106" t="inlineStr">
        <is>
          <t>f6bd2a3672ec73783ad8f4b3dd1d18f4</t>
        </is>
      </c>
      <c r="B7106" s="29" t="n">
        <v>43109</v>
      </c>
      <c r="C7106" t="inlineStr">
        <is>
          <t>2018-01</t>
        </is>
      </c>
      <c r="D7106" t="inlineStr">
        <is>
          <t>7fa6214d82e911d070f51ef79381b956</t>
        </is>
      </c>
      <c r="E7106" t="inlineStr">
        <is>
          <t>paid_search</t>
        </is>
      </c>
      <c r="F7106">
        <f>IFERROR(MATCH(A7106,Deals!$A$2:$A$843,0),"")</f>
        <v/>
      </c>
      <c r="G7106">
        <f>IF(F7106="",0,1)</f>
        <v/>
      </c>
      <c r="H7106" s="29">
        <f>IF(F7106="","",INDEX(Deals!$E$2:$E$843,F7106))</f>
        <v/>
      </c>
      <c r="I7106">
        <f>IF(F7106="","",INDEX(Deals!$D$2:$D$843,F7106))</f>
        <v/>
      </c>
      <c r="J7106">
        <f>IF(F7106="","",INT(H7106)-B7106)</f>
        <v/>
      </c>
      <c r="K7106">
        <f>IF(B7106&gt;=Settings!$C$5,1,0)</f>
        <v/>
      </c>
    </row>
    <row r="7107">
      <c r="A7107" t="inlineStr">
        <is>
          <t>fe7d8d22c444e8f808b6362c6083adf6</t>
        </is>
      </c>
      <c r="B7107" s="29" t="n">
        <v>43146</v>
      </c>
      <c r="C7107" t="inlineStr">
        <is>
          <t>2018-02</t>
        </is>
      </c>
      <c r="D7107" t="inlineStr">
        <is>
          <t>73f31a40697cc90a86c1273563ac230e</t>
        </is>
      </c>
      <c r="E7107" t="inlineStr">
        <is>
          <t>other</t>
        </is>
      </c>
      <c r="F7107">
        <f>IFERROR(MATCH(A7107,Deals!$A$2:$A$843,0),"")</f>
        <v/>
      </c>
      <c r="G7107">
        <f>IF(F7107="",0,1)</f>
        <v/>
      </c>
      <c r="H7107" s="29">
        <f>IF(F7107="","",INDEX(Deals!$E$2:$E$843,F7107))</f>
        <v/>
      </c>
      <c r="I7107">
        <f>IF(F7107="","",INDEX(Deals!$D$2:$D$843,F7107))</f>
        <v/>
      </c>
      <c r="J7107">
        <f>IF(F7107="","",INT(H7107)-B7107)</f>
        <v/>
      </c>
      <c r="K7107">
        <f>IF(B7107&gt;=Settings!$C$5,1,0)</f>
        <v/>
      </c>
    </row>
    <row r="7108">
      <c r="A7108" t="inlineStr">
        <is>
          <t>39bfc8e91df7baefe561a56b7f74f041</t>
        </is>
      </c>
      <c r="B7108" s="29" t="n">
        <v>43145</v>
      </c>
      <c r="C7108" t="inlineStr">
        <is>
          <t>2018-02</t>
        </is>
      </c>
      <c r="D7108" t="inlineStr">
        <is>
          <t>dd6f55db3947b0aeaadb65a610334799</t>
        </is>
      </c>
      <c r="E7108" t="inlineStr">
        <is>
          <t>organic_search</t>
        </is>
      </c>
      <c r="F7108">
        <f>IFERROR(MATCH(A7108,Deals!$A$2:$A$843,0),"")</f>
        <v/>
      </c>
      <c r="G7108">
        <f>IF(F7108="",0,1)</f>
        <v/>
      </c>
      <c r="H7108" s="29">
        <f>IF(F7108="","",INDEX(Deals!$E$2:$E$843,F7108))</f>
        <v/>
      </c>
      <c r="I7108">
        <f>IF(F7108="","",INDEX(Deals!$D$2:$D$843,F7108))</f>
        <v/>
      </c>
      <c r="J7108">
        <f>IF(F7108="","",INT(H7108)-B7108)</f>
        <v/>
      </c>
      <c r="K7108">
        <f>IF(B7108&gt;=Settings!$C$5,1,0)</f>
        <v/>
      </c>
    </row>
    <row r="7109">
      <c r="A7109" t="inlineStr">
        <is>
          <t>d7d797c21f5bbff8e236bace76f42969</t>
        </is>
      </c>
      <c r="B7109" s="29" t="n">
        <v>43146</v>
      </c>
      <c r="C7109" t="inlineStr">
        <is>
          <t>2018-02</t>
        </is>
      </c>
      <c r="D7109" t="inlineStr">
        <is>
          <t>733adfe409c752b5c200bf23fa2f22d0</t>
        </is>
      </c>
      <c r="E7109" t="inlineStr">
        <is>
          <t>paid_search</t>
        </is>
      </c>
      <c r="F7109">
        <f>IFERROR(MATCH(A7109,Deals!$A$2:$A$843,0),"")</f>
        <v/>
      </c>
      <c r="G7109">
        <f>IF(F7109="",0,1)</f>
        <v/>
      </c>
      <c r="H7109" s="29">
        <f>IF(F7109="","",INDEX(Deals!$E$2:$E$843,F7109))</f>
        <v/>
      </c>
      <c r="I7109">
        <f>IF(F7109="","",INDEX(Deals!$D$2:$D$843,F7109))</f>
        <v/>
      </c>
      <c r="J7109">
        <f>IF(F7109="","",INT(H7109)-B7109)</f>
        <v/>
      </c>
      <c r="K7109">
        <f>IF(B7109&gt;=Settings!$C$5,1,0)</f>
        <v/>
      </c>
    </row>
    <row r="7110">
      <c r="A7110" t="inlineStr">
        <is>
          <t>7f1a58f7b373d68560c1cf8e340e87ae</t>
        </is>
      </c>
      <c r="B7110" s="29" t="n">
        <v>43159</v>
      </c>
      <c r="C7110" t="inlineStr">
        <is>
          <t>2018-02</t>
        </is>
      </c>
      <c r="D7110" t="inlineStr">
        <is>
          <t>f017be4dbf86243af5c1ebed0cff36a2</t>
        </is>
      </c>
      <c r="E7110" t="inlineStr">
        <is>
          <t>organic_search</t>
        </is>
      </c>
      <c r="F7110">
        <f>IFERROR(MATCH(A7110,Deals!$A$2:$A$843,0),"")</f>
        <v/>
      </c>
      <c r="G7110">
        <f>IF(F7110="",0,1)</f>
        <v/>
      </c>
      <c r="H7110" s="29">
        <f>IF(F7110="","",INDEX(Deals!$E$2:$E$843,F7110))</f>
        <v/>
      </c>
      <c r="I7110">
        <f>IF(F7110="","",INDEX(Deals!$D$2:$D$843,F7110))</f>
        <v/>
      </c>
      <c r="J7110">
        <f>IF(F7110="","",INT(H7110)-B7110)</f>
        <v/>
      </c>
      <c r="K7110">
        <f>IF(B7110&gt;=Settings!$C$5,1,0)</f>
        <v/>
      </c>
    </row>
    <row r="7111">
      <c r="A7111" t="inlineStr">
        <is>
          <t>1d76ffc82aa2886416809b12d5e65f5b</t>
        </is>
      </c>
      <c r="B7111" s="29" t="n">
        <v>43145</v>
      </c>
      <c r="C7111" t="inlineStr">
        <is>
          <t>2018-02</t>
        </is>
      </c>
      <c r="D7111" t="inlineStr">
        <is>
          <t>88740e65d5d6b056e0cda098e1ea6313</t>
        </is>
      </c>
      <c r="E7111" t="inlineStr">
        <is>
          <t>referral</t>
        </is>
      </c>
      <c r="F7111">
        <f>IFERROR(MATCH(A7111,Deals!$A$2:$A$843,0),"")</f>
        <v/>
      </c>
      <c r="G7111">
        <f>IF(F7111="",0,1)</f>
        <v/>
      </c>
      <c r="H7111" s="29">
        <f>IF(F7111="","",INDEX(Deals!$E$2:$E$843,F7111))</f>
        <v/>
      </c>
      <c r="I7111">
        <f>IF(F7111="","",INDEX(Deals!$D$2:$D$843,F7111))</f>
        <v/>
      </c>
      <c r="J7111">
        <f>IF(F7111="","",INT(H7111)-B7111)</f>
        <v/>
      </c>
      <c r="K7111">
        <f>IF(B7111&gt;=Settings!$C$5,1,0)</f>
        <v/>
      </c>
    </row>
    <row r="7112">
      <c r="A7112" t="inlineStr">
        <is>
          <t>f5a05c19630b052f3fb3e434a0a175ea</t>
        </is>
      </c>
      <c r="B7112" s="29" t="n">
        <v>43113</v>
      </c>
      <c r="C7112" t="inlineStr">
        <is>
          <t>2018-01</t>
        </is>
      </c>
      <c r="D7112" t="inlineStr">
        <is>
          <t>a7982125ff7aa3b2054c6e44f9d28522</t>
        </is>
      </c>
      <c r="E7112" t="inlineStr">
        <is>
          <t>organic_search</t>
        </is>
      </c>
      <c r="F7112">
        <f>IFERROR(MATCH(A7112,Deals!$A$2:$A$843,0),"")</f>
        <v/>
      </c>
      <c r="G7112">
        <f>IF(F7112="",0,1)</f>
        <v/>
      </c>
      <c r="H7112" s="29">
        <f>IF(F7112="","",INDEX(Deals!$E$2:$E$843,F7112))</f>
        <v/>
      </c>
      <c r="I7112">
        <f>IF(F7112="","",INDEX(Deals!$D$2:$D$843,F7112))</f>
        <v/>
      </c>
      <c r="J7112">
        <f>IF(F7112="","",INT(H7112)-B7112)</f>
        <v/>
      </c>
      <c r="K7112">
        <f>IF(B7112&gt;=Settings!$C$5,1,0)</f>
        <v/>
      </c>
    </row>
    <row r="7113">
      <c r="A7113" t="inlineStr">
        <is>
          <t>c51a0844f28f9a4f7f3820c8b5eb7937</t>
        </is>
      </c>
      <c r="B7113" s="29" t="n">
        <v>42983</v>
      </c>
      <c r="C7113" t="inlineStr">
        <is>
          <t>2017-09</t>
        </is>
      </c>
      <c r="D7113" t="inlineStr">
        <is>
          <t>872eb32141128a5320bfe7b8cf80fc14</t>
        </is>
      </c>
      <c r="E7113" t="inlineStr">
        <is>
          <t>other</t>
        </is>
      </c>
      <c r="F7113">
        <f>IFERROR(MATCH(A7113,Deals!$A$2:$A$843,0),"")</f>
        <v/>
      </c>
      <c r="G7113">
        <f>IF(F7113="",0,1)</f>
        <v/>
      </c>
      <c r="H7113" s="29">
        <f>IF(F7113="","",INDEX(Deals!$E$2:$E$843,F7113))</f>
        <v/>
      </c>
      <c r="I7113">
        <f>IF(F7113="","",INDEX(Deals!$D$2:$D$843,F7113))</f>
        <v/>
      </c>
      <c r="J7113">
        <f>IF(F7113="","",INT(H7113)-B7113)</f>
        <v/>
      </c>
      <c r="K7113">
        <f>IF(B7113&gt;=Settings!$C$5,1,0)</f>
        <v/>
      </c>
    </row>
    <row r="7114">
      <c r="A7114" t="inlineStr">
        <is>
          <t>75386da74404e906cdb7acbf5e3ef18b</t>
        </is>
      </c>
      <c r="B7114" s="29" t="n">
        <v>43187</v>
      </c>
      <c r="C7114" t="inlineStr">
        <is>
          <t>2018-03</t>
        </is>
      </c>
      <c r="D7114" t="inlineStr">
        <is>
          <t>ea0650174e273c41e12002dcdd4708be</t>
        </is>
      </c>
      <c r="E7114" t="inlineStr">
        <is>
          <t>paid_search</t>
        </is>
      </c>
      <c r="F7114">
        <f>IFERROR(MATCH(A7114,Deals!$A$2:$A$843,0),"")</f>
        <v/>
      </c>
      <c r="G7114">
        <f>IF(F7114="",0,1)</f>
        <v/>
      </c>
      <c r="H7114" s="29">
        <f>IF(F7114="","",INDEX(Deals!$E$2:$E$843,F7114))</f>
        <v/>
      </c>
      <c r="I7114">
        <f>IF(F7114="","",INDEX(Deals!$D$2:$D$843,F7114))</f>
        <v/>
      </c>
      <c r="J7114">
        <f>IF(F7114="","",INT(H7114)-B7114)</f>
        <v/>
      </c>
      <c r="K7114">
        <f>IF(B7114&gt;=Settings!$C$5,1,0)</f>
        <v/>
      </c>
    </row>
    <row r="7115">
      <c r="A7115" t="inlineStr">
        <is>
          <t>0a018928d74ab0bd7e8ba091432fdc46</t>
        </is>
      </c>
      <c r="B7115" s="29" t="n">
        <v>43195</v>
      </c>
      <c r="C7115" t="inlineStr">
        <is>
          <t>2018-04</t>
        </is>
      </c>
      <c r="D7115" t="inlineStr">
        <is>
          <t>ce1a65abd0973638f1c887a6efcfa82d</t>
        </is>
      </c>
      <c r="E7115" t="inlineStr">
        <is>
          <t>unknown</t>
        </is>
      </c>
      <c r="F7115">
        <f>IFERROR(MATCH(A7115,Deals!$A$2:$A$843,0),"")</f>
        <v/>
      </c>
      <c r="G7115">
        <f>IF(F7115="",0,1)</f>
        <v/>
      </c>
      <c r="H7115" s="29">
        <f>IF(F7115="","",INDEX(Deals!$E$2:$E$843,F7115))</f>
        <v/>
      </c>
      <c r="I7115">
        <f>IF(F7115="","",INDEX(Deals!$D$2:$D$843,F7115))</f>
        <v/>
      </c>
      <c r="J7115">
        <f>IF(F7115="","",INT(H7115)-B7115)</f>
        <v/>
      </c>
      <c r="K7115">
        <f>IF(B7115&gt;=Settings!$C$5,1,0)</f>
        <v/>
      </c>
    </row>
    <row r="7116">
      <c r="A7116" t="inlineStr">
        <is>
          <t>3c77791b126e1e33dc95c13a3d914e11</t>
        </is>
      </c>
      <c r="B7116" s="29" t="n">
        <v>43155</v>
      </c>
      <c r="C7116" t="inlineStr">
        <is>
          <t>2018-02</t>
        </is>
      </c>
      <c r="D7116" t="inlineStr">
        <is>
          <t>88740e65d5d6b056e0cda098e1ea6313</t>
        </is>
      </c>
      <c r="E7116" t="inlineStr">
        <is>
          <t>social</t>
        </is>
      </c>
      <c r="F7116">
        <f>IFERROR(MATCH(A7116,Deals!$A$2:$A$843,0),"")</f>
        <v/>
      </c>
      <c r="G7116">
        <f>IF(F7116="",0,1)</f>
        <v/>
      </c>
      <c r="H7116" s="29">
        <f>IF(F7116="","",INDEX(Deals!$E$2:$E$843,F7116))</f>
        <v/>
      </c>
      <c r="I7116">
        <f>IF(F7116="","",INDEX(Deals!$D$2:$D$843,F7116))</f>
        <v/>
      </c>
      <c r="J7116">
        <f>IF(F7116="","",INT(H7116)-B7116)</f>
        <v/>
      </c>
      <c r="K7116">
        <f>IF(B7116&gt;=Settings!$C$5,1,0)</f>
        <v/>
      </c>
    </row>
    <row r="7117">
      <c r="A7117" t="inlineStr">
        <is>
          <t>7c10793762778883d5b39d05bd64fea2</t>
        </is>
      </c>
      <c r="B7117" s="29" t="n">
        <v>42976</v>
      </c>
      <c r="C7117" t="inlineStr">
        <is>
          <t>2017-08</t>
        </is>
      </c>
      <c r="D7117" t="inlineStr">
        <is>
          <t>65d9f9d71e562365e8b44037c2888d98</t>
        </is>
      </c>
      <c r="E7117" t="inlineStr">
        <is>
          <t>organic_search</t>
        </is>
      </c>
      <c r="F7117">
        <f>IFERROR(MATCH(A7117,Deals!$A$2:$A$843,0),"")</f>
        <v/>
      </c>
      <c r="G7117">
        <f>IF(F7117="",0,1)</f>
        <v/>
      </c>
      <c r="H7117" s="29">
        <f>IF(F7117="","",INDEX(Deals!$E$2:$E$843,F7117))</f>
        <v/>
      </c>
      <c r="I7117">
        <f>IF(F7117="","",INDEX(Deals!$D$2:$D$843,F7117))</f>
        <v/>
      </c>
      <c r="J7117">
        <f>IF(F7117="","",INT(H7117)-B7117)</f>
        <v/>
      </c>
      <c r="K7117">
        <f>IF(B7117&gt;=Settings!$C$5,1,0)</f>
        <v/>
      </c>
    </row>
    <row r="7118">
      <c r="A7118" t="inlineStr">
        <is>
          <t>3c66e60076630a5f5726a04ca590811e</t>
        </is>
      </c>
      <c r="B7118" s="29" t="n">
        <v>43236</v>
      </c>
      <c r="C7118" t="inlineStr">
        <is>
          <t>2018-05</t>
        </is>
      </c>
      <c r="D7118" t="inlineStr">
        <is>
          <t>ce1a65abd0973638f1c887a6efcfa82d</t>
        </is>
      </c>
      <c r="E7118" t="inlineStr">
        <is>
          <t>organic_search</t>
        </is>
      </c>
      <c r="F7118">
        <f>IFERROR(MATCH(A7118,Deals!$A$2:$A$843,0),"")</f>
        <v/>
      </c>
      <c r="G7118">
        <f>IF(F7118="",0,1)</f>
        <v/>
      </c>
      <c r="H7118" s="29">
        <f>IF(F7118="","",INDEX(Deals!$E$2:$E$843,F7118))</f>
        <v/>
      </c>
      <c r="I7118">
        <f>IF(F7118="","",INDEX(Deals!$D$2:$D$843,F7118))</f>
        <v/>
      </c>
      <c r="J7118">
        <f>IF(F7118="","",INT(H7118)-B7118)</f>
        <v/>
      </c>
      <c r="K7118">
        <f>IF(B7118&gt;=Settings!$C$5,1,0)</f>
        <v/>
      </c>
    </row>
    <row r="7119">
      <c r="A7119" t="inlineStr">
        <is>
          <t>e5b1d7d8966c1865bf38156a944b68e2</t>
        </is>
      </c>
      <c r="B7119" s="29" t="n">
        <v>43129</v>
      </c>
      <c r="C7119" t="inlineStr">
        <is>
          <t>2018-01</t>
        </is>
      </c>
      <c r="D7119" t="inlineStr">
        <is>
          <t>88740e65d5d6b056e0cda098e1ea6313</t>
        </is>
      </c>
      <c r="E7119" t="inlineStr">
        <is>
          <t>social</t>
        </is>
      </c>
      <c r="F7119">
        <f>IFERROR(MATCH(A7119,Deals!$A$2:$A$843,0),"")</f>
        <v/>
      </c>
      <c r="G7119">
        <f>IF(F7119="",0,1)</f>
        <v/>
      </c>
      <c r="H7119" s="29">
        <f>IF(F7119="","",INDEX(Deals!$E$2:$E$843,F7119))</f>
        <v/>
      </c>
      <c r="I7119">
        <f>IF(F7119="","",INDEX(Deals!$D$2:$D$843,F7119))</f>
        <v/>
      </c>
      <c r="J7119">
        <f>IF(F7119="","",INT(H7119)-B7119)</f>
        <v/>
      </c>
      <c r="K7119">
        <f>IF(B7119&gt;=Settings!$C$5,1,0)</f>
        <v/>
      </c>
    </row>
    <row r="7120">
      <c r="A7120" t="inlineStr">
        <is>
          <t>66ff0b5dbb060ef47f756d33cf170f97</t>
        </is>
      </c>
      <c r="B7120" s="29" t="n">
        <v>43220</v>
      </c>
      <c r="C7120" t="inlineStr">
        <is>
          <t>2018-04</t>
        </is>
      </c>
      <c r="D7120" t="inlineStr">
        <is>
          <t>b3346ddd5d7b2edda306d8f531e58660</t>
        </is>
      </c>
      <c r="E7120" t="inlineStr">
        <is>
          <t>(missing)</t>
        </is>
      </c>
      <c r="F7120">
        <f>IFERROR(MATCH(A7120,Deals!$A$2:$A$843,0),"")</f>
        <v/>
      </c>
      <c r="G7120">
        <f>IF(F7120="",0,1)</f>
        <v/>
      </c>
      <c r="H7120" s="29">
        <f>IF(F7120="","",INDEX(Deals!$E$2:$E$843,F7120))</f>
        <v/>
      </c>
      <c r="I7120">
        <f>IF(F7120="","",INDEX(Deals!$D$2:$D$843,F7120))</f>
        <v/>
      </c>
      <c r="J7120">
        <f>IF(F7120="","",INT(H7120)-B7120)</f>
        <v/>
      </c>
      <c r="K7120">
        <f>IF(B7120&gt;=Settings!$C$5,1,0)</f>
        <v/>
      </c>
    </row>
    <row r="7121">
      <c r="A7121" t="inlineStr">
        <is>
          <t>8ae8e407864cd3b5e1298bdf1e6787f5</t>
        </is>
      </c>
      <c r="B7121" s="29" t="n">
        <v>43199</v>
      </c>
      <c r="C7121" t="inlineStr">
        <is>
          <t>2018-04</t>
        </is>
      </c>
      <c r="D7121" t="inlineStr">
        <is>
          <t>6ec28268c0772b612a9bc42881b8a313</t>
        </is>
      </c>
      <c r="E7121" t="inlineStr">
        <is>
          <t>organic_search</t>
        </is>
      </c>
      <c r="F7121">
        <f>IFERROR(MATCH(A7121,Deals!$A$2:$A$843,0),"")</f>
        <v/>
      </c>
      <c r="G7121">
        <f>IF(F7121="",0,1)</f>
        <v/>
      </c>
      <c r="H7121" s="29">
        <f>IF(F7121="","",INDEX(Deals!$E$2:$E$843,F7121))</f>
        <v/>
      </c>
      <c r="I7121">
        <f>IF(F7121="","",INDEX(Deals!$D$2:$D$843,F7121))</f>
        <v/>
      </c>
      <c r="J7121">
        <f>IF(F7121="","",INT(H7121)-B7121)</f>
        <v/>
      </c>
      <c r="K7121">
        <f>IF(B7121&gt;=Settings!$C$5,1,0)</f>
        <v/>
      </c>
    </row>
    <row r="7122">
      <c r="A7122" t="inlineStr">
        <is>
          <t>e30c60fdfcec389f5db46884cf5fec85</t>
        </is>
      </c>
      <c r="B7122" s="29" t="n">
        <v>43109</v>
      </c>
      <c r="C7122" t="inlineStr">
        <is>
          <t>2018-01</t>
        </is>
      </c>
      <c r="D7122" t="inlineStr">
        <is>
          <t>40dec9f3d5259a3d2dbcdab2114fae47</t>
        </is>
      </c>
      <c r="E7122" t="inlineStr">
        <is>
          <t>organic_search</t>
        </is>
      </c>
      <c r="F7122">
        <f>IFERROR(MATCH(A7122,Deals!$A$2:$A$843,0),"")</f>
        <v/>
      </c>
      <c r="G7122">
        <f>IF(F7122="",0,1)</f>
        <v/>
      </c>
      <c r="H7122" s="29">
        <f>IF(F7122="","",INDEX(Deals!$E$2:$E$843,F7122))</f>
        <v/>
      </c>
      <c r="I7122">
        <f>IF(F7122="","",INDEX(Deals!$D$2:$D$843,F7122))</f>
        <v/>
      </c>
      <c r="J7122">
        <f>IF(F7122="","",INT(H7122)-B7122)</f>
        <v/>
      </c>
      <c r="K7122">
        <f>IF(B7122&gt;=Settings!$C$5,1,0)</f>
        <v/>
      </c>
    </row>
    <row r="7123">
      <c r="A7123" t="inlineStr">
        <is>
          <t>510c7d0be8906391133aa81683f4ce2f</t>
        </is>
      </c>
      <c r="B7123" s="29" t="n">
        <v>43068</v>
      </c>
      <c r="C7123" t="inlineStr">
        <is>
          <t>2017-11</t>
        </is>
      </c>
      <c r="D7123" t="inlineStr">
        <is>
          <t>22c29808c4f815213303f8933030604c</t>
        </is>
      </c>
      <c r="E7123" t="inlineStr">
        <is>
          <t>direct_traffic</t>
        </is>
      </c>
      <c r="F7123">
        <f>IFERROR(MATCH(A7123,Deals!$A$2:$A$843,0),"")</f>
        <v/>
      </c>
      <c r="G7123">
        <f>IF(F7123="",0,1)</f>
        <v/>
      </c>
      <c r="H7123" s="29">
        <f>IF(F7123="","",INDEX(Deals!$E$2:$E$843,F7123))</f>
        <v/>
      </c>
      <c r="I7123">
        <f>IF(F7123="","",INDEX(Deals!$D$2:$D$843,F7123))</f>
        <v/>
      </c>
      <c r="J7123">
        <f>IF(F7123="","",INT(H7123)-B7123)</f>
        <v/>
      </c>
      <c r="K7123">
        <f>IF(B7123&gt;=Settings!$C$5,1,0)</f>
        <v/>
      </c>
    </row>
    <row r="7124">
      <c r="A7124" t="inlineStr">
        <is>
          <t>decff3a1f694fccd108d4ce07b2587b5</t>
        </is>
      </c>
      <c r="B7124" s="29" t="n">
        <v>42981</v>
      </c>
      <c r="C7124" t="inlineStr">
        <is>
          <t>2017-09</t>
        </is>
      </c>
      <c r="D7124" t="inlineStr">
        <is>
          <t>22c29808c4f815213303f8933030604c</t>
        </is>
      </c>
      <c r="E7124" t="inlineStr">
        <is>
          <t>other_publicities</t>
        </is>
      </c>
      <c r="F7124">
        <f>IFERROR(MATCH(A7124,Deals!$A$2:$A$843,0),"")</f>
        <v/>
      </c>
      <c r="G7124">
        <f>IF(F7124="",0,1)</f>
        <v/>
      </c>
      <c r="H7124" s="29">
        <f>IF(F7124="","",INDEX(Deals!$E$2:$E$843,F7124))</f>
        <v/>
      </c>
      <c r="I7124">
        <f>IF(F7124="","",INDEX(Deals!$D$2:$D$843,F7124))</f>
        <v/>
      </c>
      <c r="J7124">
        <f>IF(F7124="","",INT(H7124)-B7124)</f>
        <v/>
      </c>
      <c r="K7124">
        <f>IF(B7124&gt;=Settings!$C$5,1,0)</f>
        <v/>
      </c>
    </row>
    <row r="7125">
      <c r="A7125" t="inlineStr">
        <is>
          <t>18451bbdde2119755528a1e27fd7c9ab</t>
        </is>
      </c>
      <c r="B7125" s="29" t="n">
        <v>43226</v>
      </c>
      <c r="C7125" t="inlineStr">
        <is>
          <t>2018-05</t>
        </is>
      </c>
      <c r="D7125" t="inlineStr">
        <is>
          <t>a7982125ff7aa3b2054c6e44f9d28522</t>
        </is>
      </c>
      <c r="E7125" t="inlineStr">
        <is>
          <t>organic_search</t>
        </is>
      </c>
      <c r="F7125">
        <f>IFERROR(MATCH(A7125,Deals!$A$2:$A$843,0),"")</f>
        <v/>
      </c>
      <c r="G7125">
        <f>IF(F7125="",0,1)</f>
        <v/>
      </c>
      <c r="H7125" s="29">
        <f>IF(F7125="","",INDEX(Deals!$E$2:$E$843,F7125))</f>
        <v/>
      </c>
      <c r="I7125">
        <f>IF(F7125="","",INDEX(Deals!$D$2:$D$843,F7125))</f>
        <v/>
      </c>
      <c r="J7125">
        <f>IF(F7125="","",INT(H7125)-B7125)</f>
        <v/>
      </c>
      <c r="K7125">
        <f>IF(B7125&gt;=Settings!$C$5,1,0)</f>
        <v/>
      </c>
    </row>
    <row r="7126">
      <c r="A7126" t="inlineStr">
        <is>
          <t>ed37d732c48f5a4376c7cd585d82ab8f</t>
        </is>
      </c>
      <c r="B7126" s="29" t="n">
        <v>43137</v>
      </c>
      <c r="C7126" t="inlineStr">
        <is>
          <t>2018-02</t>
        </is>
      </c>
      <c r="D7126" t="inlineStr">
        <is>
          <t>c2f7f172d3275d27cba772ab70ac3052</t>
        </is>
      </c>
      <c r="E7126" t="inlineStr">
        <is>
          <t>organic_search</t>
        </is>
      </c>
      <c r="F7126">
        <f>IFERROR(MATCH(A7126,Deals!$A$2:$A$843,0),"")</f>
        <v/>
      </c>
      <c r="G7126">
        <f>IF(F7126="",0,1)</f>
        <v/>
      </c>
      <c r="H7126" s="29">
        <f>IF(F7126="","",INDEX(Deals!$E$2:$E$843,F7126))</f>
        <v/>
      </c>
      <c r="I7126">
        <f>IF(F7126="","",INDEX(Deals!$D$2:$D$843,F7126))</f>
        <v/>
      </c>
      <c r="J7126">
        <f>IF(F7126="","",INT(H7126)-B7126)</f>
        <v/>
      </c>
      <c r="K7126">
        <f>IF(B7126&gt;=Settings!$C$5,1,0)</f>
        <v/>
      </c>
    </row>
    <row r="7127">
      <c r="A7127" t="inlineStr">
        <is>
          <t>21d86ea56f577e14fb04116bef7d1a44</t>
        </is>
      </c>
      <c r="B7127" s="29" t="n">
        <v>43104</v>
      </c>
      <c r="C7127" t="inlineStr">
        <is>
          <t>2018-01</t>
        </is>
      </c>
      <c r="D7127" t="inlineStr">
        <is>
          <t>ce1a65abd0973638f1c887a6efcfa82d</t>
        </is>
      </c>
      <c r="E7127" t="inlineStr">
        <is>
          <t>other_publicities</t>
        </is>
      </c>
      <c r="F7127">
        <f>IFERROR(MATCH(A7127,Deals!$A$2:$A$843,0),"")</f>
        <v/>
      </c>
      <c r="G7127">
        <f>IF(F7127="",0,1)</f>
        <v/>
      </c>
      <c r="H7127" s="29">
        <f>IF(F7127="","",INDEX(Deals!$E$2:$E$843,F7127))</f>
        <v/>
      </c>
      <c r="I7127">
        <f>IF(F7127="","",INDEX(Deals!$D$2:$D$843,F7127))</f>
        <v/>
      </c>
      <c r="J7127">
        <f>IF(F7127="","",INT(H7127)-B7127)</f>
        <v/>
      </c>
      <c r="K7127">
        <f>IF(B7127&gt;=Settings!$C$5,1,0)</f>
        <v/>
      </c>
    </row>
    <row r="7128">
      <c r="A7128" t="inlineStr">
        <is>
          <t>b64e021126c832bb29ec9fa988155eaf</t>
        </is>
      </c>
      <c r="B7128" s="29" t="n">
        <v>43111</v>
      </c>
      <c r="C7128" t="inlineStr">
        <is>
          <t>2018-01</t>
        </is>
      </c>
      <c r="D7128" t="inlineStr">
        <is>
          <t>ce1a65abd0973638f1c887a6efcfa82d</t>
        </is>
      </c>
      <c r="E7128" t="inlineStr">
        <is>
          <t>organic_search</t>
        </is>
      </c>
      <c r="F7128">
        <f>IFERROR(MATCH(A7128,Deals!$A$2:$A$843,0),"")</f>
        <v/>
      </c>
      <c r="G7128">
        <f>IF(F7128="",0,1)</f>
        <v/>
      </c>
      <c r="H7128" s="29">
        <f>IF(F7128="","",INDEX(Deals!$E$2:$E$843,F7128))</f>
        <v/>
      </c>
      <c r="I7128">
        <f>IF(F7128="","",INDEX(Deals!$D$2:$D$843,F7128))</f>
        <v/>
      </c>
      <c r="J7128">
        <f>IF(F7128="","",INT(H7128)-B7128)</f>
        <v/>
      </c>
      <c r="K7128">
        <f>IF(B7128&gt;=Settings!$C$5,1,0)</f>
        <v/>
      </c>
    </row>
    <row r="7129">
      <c r="A7129" t="inlineStr">
        <is>
          <t>3e50ca86fdcdd0a6aae61164aa80c9db</t>
        </is>
      </c>
      <c r="B7129" s="29" t="n">
        <v>43192</v>
      </c>
      <c r="C7129" t="inlineStr">
        <is>
          <t>2018-04</t>
        </is>
      </c>
      <c r="D7129" t="inlineStr">
        <is>
          <t>94472cf01c2c1ec24e24f5b0f9ca24a3</t>
        </is>
      </c>
      <c r="E7129" t="inlineStr">
        <is>
          <t>unknown</t>
        </is>
      </c>
      <c r="F7129">
        <f>IFERROR(MATCH(A7129,Deals!$A$2:$A$843,0),"")</f>
        <v/>
      </c>
      <c r="G7129">
        <f>IF(F7129="",0,1)</f>
        <v/>
      </c>
      <c r="H7129" s="29">
        <f>IF(F7129="","",INDEX(Deals!$E$2:$E$843,F7129))</f>
        <v/>
      </c>
      <c r="I7129">
        <f>IF(F7129="","",INDEX(Deals!$D$2:$D$843,F7129))</f>
        <v/>
      </c>
      <c r="J7129">
        <f>IF(F7129="","",INT(H7129)-B7129)</f>
        <v/>
      </c>
      <c r="K7129">
        <f>IF(B7129&gt;=Settings!$C$5,1,0)</f>
        <v/>
      </c>
    </row>
    <row r="7130">
      <c r="A7130" t="inlineStr">
        <is>
          <t>a4f6d1f94ad05f3fc1f2ccd1715aeeff</t>
        </is>
      </c>
      <c r="B7130" s="29" t="n">
        <v>43025</v>
      </c>
      <c r="C7130" t="inlineStr">
        <is>
          <t>2017-10</t>
        </is>
      </c>
      <c r="D7130" t="inlineStr">
        <is>
          <t>ef0b482996664cc1107b9051efd3ca84</t>
        </is>
      </c>
      <c r="E7130" t="inlineStr">
        <is>
          <t>organic_search</t>
        </is>
      </c>
      <c r="F7130">
        <f>IFERROR(MATCH(A7130,Deals!$A$2:$A$843,0),"")</f>
        <v/>
      </c>
      <c r="G7130">
        <f>IF(F7130="",0,1)</f>
        <v/>
      </c>
      <c r="H7130" s="29">
        <f>IF(F7130="","",INDEX(Deals!$E$2:$E$843,F7130))</f>
        <v/>
      </c>
      <c r="I7130">
        <f>IF(F7130="","",INDEX(Deals!$D$2:$D$843,F7130))</f>
        <v/>
      </c>
      <c r="J7130">
        <f>IF(F7130="","",INT(H7130)-B7130)</f>
        <v/>
      </c>
      <c r="K7130">
        <f>IF(B7130&gt;=Settings!$C$5,1,0)</f>
        <v/>
      </c>
    </row>
    <row r="7131">
      <c r="A7131" t="inlineStr">
        <is>
          <t>d636a570e9dc6d962ffce7426b8b53ad</t>
        </is>
      </c>
      <c r="B7131" s="29" t="n">
        <v>43249</v>
      </c>
      <c r="C7131" t="inlineStr">
        <is>
          <t>2018-05</t>
        </is>
      </c>
      <c r="D7131" t="inlineStr">
        <is>
          <t>58326e62183c14b0c03085c33b9fdc44</t>
        </is>
      </c>
      <c r="E7131" t="inlineStr">
        <is>
          <t>social</t>
        </is>
      </c>
      <c r="F7131">
        <f>IFERROR(MATCH(A7131,Deals!$A$2:$A$843,0),"")</f>
        <v/>
      </c>
      <c r="G7131">
        <f>IF(F7131="",0,1)</f>
        <v/>
      </c>
      <c r="H7131" s="29">
        <f>IF(F7131="","",INDEX(Deals!$E$2:$E$843,F7131))</f>
        <v/>
      </c>
      <c r="I7131">
        <f>IF(F7131="","",INDEX(Deals!$D$2:$D$843,F7131))</f>
        <v/>
      </c>
      <c r="J7131">
        <f>IF(F7131="","",INT(H7131)-B7131)</f>
        <v/>
      </c>
      <c r="K7131">
        <f>IF(B7131&gt;=Settings!$C$5,1,0)</f>
        <v/>
      </c>
    </row>
    <row r="7132">
      <c r="A7132" t="inlineStr">
        <is>
          <t>43900cc8434685fe6937a619d4246be5</t>
        </is>
      </c>
      <c r="B7132" s="29" t="n">
        <v>42962</v>
      </c>
      <c r="C7132" t="inlineStr">
        <is>
          <t>2017-08</t>
        </is>
      </c>
      <c r="D7132" t="inlineStr">
        <is>
          <t>87732658ba41d8775e8577df347a64db</t>
        </is>
      </c>
      <c r="E7132" t="inlineStr">
        <is>
          <t>social</t>
        </is>
      </c>
      <c r="F7132">
        <f>IFERROR(MATCH(A7132,Deals!$A$2:$A$843,0),"")</f>
        <v/>
      </c>
      <c r="G7132">
        <f>IF(F7132="",0,1)</f>
        <v/>
      </c>
      <c r="H7132" s="29">
        <f>IF(F7132="","",INDEX(Deals!$E$2:$E$843,F7132))</f>
        <v/>
      </c>
      <c r="I7132">
        <f>IF(F7132="","",INDEX(Deals!$D$2:$D$843,F7132))</f>
        <v/>
      </c>
      <c r="J7132">
        <f>IF(F7132="","",INT(H7132)-B7132)</f>
        <v/>
      </c>
      <c r="K7132">
        <f>IF(B7132&gt;=Settings!$C$5,1,0)</f>
        <v/>
      </c>
    </row>
    <row r="7133">
      <c r="A7133" t="inlineStr">
        <is>
          <t>f8207ff936432245e67f23f6d8f7db1a</t>
        </is>
      </c>
      <c r="B7133" s="29" t="n">
        <v>42956</v>
      </c>
      <c r="C7133" t="inlineStr">
        <is>
          <t>2017-08</t>
        </is>
      </c>
      <c r="D7133" t="inlineStr">
        <is>
          <t>c555aa36478386fdf85a2d0ca5cd0ff8</t>
        </is>
      </c>
      <c r="E7133" t="inlineStr">
        <is>
          <t>unknown</t>
        </is>
      </c>
      <c r="F7133">
        <f>IFERROR(MATCH(A7133,Deals!$A$2:$A$843,0),"")</f>
        <v/>
      </c>
      <c r="G7133">
        <f>IF(F7133="",0,1)</f>
        <v/>
      </c>
      <c r="H7133" s="29">
        <f>IF(F7133="","",INDEX(Deals!$E$2:$E$843,F7133))</f>
        <v/>
      </c>
      <c r="I7133">
        <f>IF(F7133="","",INDEX(Deals!$D$2:$D$843,F7133))</f>
        <v/>
      </c>
      <c r="J7133">
        <f>IF(F7133="","",INT(H7133)-B7133)</f>
        <v/>
      </c>
      <c r="K7133">
        <f>IF(B7133&gt;=Settings!$C$5,1,0)</f>
        <v/>
      </c>
    </row>
    <row r="7134">
      <c r="A7134" t="inlineStr">
        <is>
          <t>ba3a0adbebf2cfb367817fad99c6fb13</t>
        </is>
      </c>
      <c r="B7134" s="29" t="n">
        <v>43049</v>
      </c>
      <c r="C7134" t="inlineStr">
        <is>
          <t>2017-11</t>
        </is>
      </c>
      <c r="D7134" t="inlineStr">
        <is>
          <t>ef0b482996664cc1107b9051efd3ca84</t>
        </is>
      </c>
      <c r="E7134" t="inlineStr">
        <is>
          <t>organic_search</t>
        </is>
      </c>
      <c r="F7134">
        <f>IFERROR(MATCH(A7134,Deals!$A$2:$A$843,0),"")</f>
        <v/>
      </c>
      <c r="G7134">
        <f>IF(F7134="",0,1)</f>
        <v/>
      </c>
      <c r="H7134" s="29">
        <f>IF(F7134="","",INDEX(Deals!$E$2:$E$843,F7134))</f>
        <v/>
      </c>
      <c r="I7134">
        <f>IF(F7134="","",INDEX(Deals!$D$2:$D$843,F7134))</f>
        <v/>
      </c>
      <c r="J7134">
        <f>IF(F7134="","",INT(H7134)-B7134)</f>
        <v/>
      </c>
      <c r="K7134">
        <f>IF(B7134&gt;=Settings!$C$5,1,0)</f>
        <v/>
      </c>
    </row>
    <row r="7135">
      <c r="A7135" t="inlineStr">
        <is>
          <t>43f6943d7a020cdcb8d27aebb9d96221</t>
        </is>
      </c>
      <c r="B7135" s="29" t="n">
        <v>43171</v>
      </c>
      <c r="C7135" t="inlineStr">
        <is>
          <t>2018-03</t>
        </is>
      </c>
      <c r="D7135" t="inlineStr">
        <is>
          <t>b76ef37428e6799c421989521c0e5077</t>
        </is>
      </c>
      <c r="E7135" t="inlineStr">
        <is>
          <t>organic_search</t>
        </is>
      </c>
      <c r="F7135">
        <f>IFERROR(MATCH(A7135,Deals!$A$2:$A$843,0),"")</f>
        <v/>
      </c>
      <c r="G7135">
        <f>IF(F7135="",0,1)</f>
        <v/>
      </c>
      <c r="H7135" s="29">
        <f>IF(F7135="","",INDEX(Deals!$E$2:$E$843,F7135))</f>
        <v/>
      </c>
      <c r="I7135">
        <f>IF(F7135="","",INDEX(Deals!$D$2:$D$843,F7135))</f>
        <v/>
      </c>
      <c r="J7135">
        <f>IF(F7135="","",INT(H7135)-B7135)</f>
        <v/>
      </c>
      <c r="K7135">
        <f>IF(B7135&gt;=Settings!$C$5,1,0)</f>
        <v/>
      </c>
    </row>
    <row r="7136">
      <c r="A7136" t="inlineStr">
        <is>
          <t>d5a91f7c1dee41a945e3f3109633423b</t>
        </is>
      </c>
      <c r="B7136" s="29" t="n">
        <v>43210</v>
      </c>
      <c r="C7136" t="inlineStr">
        <is>
          <t>2018-04</t>
        </is>
      </c>
      <c r="D7136" t="inlineStr">
        <is>
          <t>d823616cbcb84fff516db22f366caaa5</t>
        </is>
      </c>
      <c r="E7136" t="inlineStr">
        <is>
          <t>organic_search</t>
        </is>
      </c>
      <c r="F7136">
        <f>IFERROR(MATCH(A7136,Deals!$A$2:$A$843,0),"")</f>
        <v/>
      </c>
      <c r="G7136">
        <f>IF(F7136="",0,1)</f>
        <v/>
      </c>
      <c r="H7136" s="29">
        <f>IF(F7136="","",INDEX(Deals!$E$2:$E$843,F7136))</f>
        <v/>
      </c>
      <c r="I7136">
        <f>IF(F7136="","",INDEX(Deals!$D$2:$D$843,F7136))</f>
        <v/>
      </c>
      <c r="J7136">
        <f>IF(F7136="","",INT(H7136)-B7136)</f>
        <v/>
      </c>
      <c r="K7136">
        <f>IF(B7136&gt;=Settings!$C$5,1,0)</f>
        <v/>
      </c>
    </row>
    <row r="7137">
      <c r="A7137" t="inlineStr">
        <is>
          <t>6af4aa79a3bcdc1de96a8431095205a9</t>
        </is>
      </c>
      <c r="B7137" s="29" t="n">
        <v>43137</v>
      </c>
      <c r="C7137" t="inlineStr">
        <is>
          <t>2018-02</t>
        </is>
      </c>
      <c r="D7137" t="inlineStr">
        <is>
          <t>dfc3b656bac13de62e4efca322b3f2c1</t>
        </is>
      </c>
      <c r="E7137" t="inlineStr">
        <is>
          <t>paid_search</t>
        </is>
      </c>
      <c r="F7137">
        <f>IFERROR(MATCH(A7137,Deals!$A$2:$A$843,0),"")</f>
        <v/>
      </c>
      <c r="G7137">
        <f>IF(F7137="",0,1)</f>
        <v/>
      </c>
      <c r="H7137" s="29">
        <f>IF(F7137="","",INDEX(Deals!$E$2:$E$843,F7137))</f>
        <v/>
      </c>
      <c r="I7137">
        <f>IF(F7137="","",INDEX(Deals!$D$2:$D$843,F7137))</f>
        <v/>
      </c>
      <c r="J7137">
        <f>IF(F7137="","",INT(H7137)-B7137)</f>
        <v/>
      </c>
      <c r="K7137">
        <f>IF(B7137&gt;=Settings!$C$5,1,0)</f>
        <v/>
      </c>
    </row>
    <row r="7138">
      <c r="A7138" t="inlineStr">
        <is>
          <t>e50bea89361ff267664d517a596ac387</t>
        </is>
      </c>
      <c r="B7138" s="29" t="n">
        <v>42947</v>
      </c>
      <c r="C7138" t="inlineStr">
        <is>
          <t>2017-07</t>
        </is>
      </c>
      <c r="D7138" t="inlineStr">
        <is>
          <t>b76ef37428e6799c421989521c0e5077</t>
        </is>
      </c>
      <c r="E7138" t="inlineStr">
        <is>
          <t>organic_search</t>
        </is>
      </c>
      <c r="F7138">
        <f>IFERROR(MATCH(A7138,Deals!$A$2:$A$843,0),"")</f>
        <v/>
      </c>
      <c r="G7138">
        <f>IF(F7138="",0,1)</f>
        <v/>
      </c>
      <c r="H7138" s="29">
        <f>IF(F7138="","",INDEX(Deals!$E$2:$E$843,F7138))</f>
        <v/>
      </c>
      <c r="I7138">
        <f>IF(F7138="","",INDEX(Deals!$D$2:$D$843,F7138))</f>
        <v/>
      </c>
      <c r="J7138">
        <f>IF(F7138="","",INT(H7138)-B7138)</f>
        <v/>
      </c>
      <c r="K7138">
        <f>IF(B7138&gt;=Settings!$C$5,1,0)</f>
        <v/>
      </c>
    </row>
    <row r="7139">
      <c r="A7139" t="inlineStr">
        <is>
          <t>317e30985b2c3bf93a0fe849ddca9888</t>
        </is>
      </c>
      <c r="B7139" s="29" t="n">
        <v>42986</v>
      </c>
      <c r="C7139" t="inlineStr">
        <is>
          <t>2017-09</t>
        </is>
      </c>
      <c r="D7139" t="inlineStr">
        <is>
          <t>31aa231b755f09653f48e41c110c8860</t>
        </is>
      </c>
      <c r="E7139" t="inlineStr">
        <is>
          <t>organic_search</t>
        </is>
      </c>
      <c r="F7139">
        <f>IFERROR(MATCH(A7139,Deals!$A$2:$A$843,0),"")</f>
        <v/>
      </c>
      <c r="G7139">
        <f>IF(F7139="",0,1)</f>
        <v/>
      </c>
      <c r="H7139" s="29">
        <f>IF(F7139="","",INDEX(Deals!$E$2:$E$843,F7139))</f>
        <v/>
      </c>
      <c r="I7139">
        <f>IF(F7139="","",INDEX(Deals!$D$2:$D$843,F7139))</f>
        <v/>
      </c>
      <c r="J7139">
        <f>IF(F7139="","",INT(H7139)-B7139)</f>
        <v/>
      </c>
      <c r="K7139">
        <f>IF(B7139&gt;=Settings!$C$5,1,0)</f>
        <v/>
      </c>
    </row>
    <row r="7140">
      <c r="A7140" t="inlineStr">
        <is>
          <t>321bbe1b2890962b06574a806b693ee5</t>
        </is>
      </c>
      <c r="B7140" s="29" t="n">
        <v>43160</v>
      </c>
      <c r="C7140" t="inlineStr">
        <is>
          <t>2018-03</t>
        </is>
      </c>
      <c r="D7140" t="inlineStr">
        <is>
          <t>e492ee5eaf1697716985cc6f33f9cd9b</t>
        </is>
      </c>
      <c r="E7140" t="inlineStr">
        <is>
          <t>organic_search</t>
        </is>
      </c>
      <c r="F7140">
        <f>IFERROR(MATCH(A7140,Deals!$A$2:$A$843,0),"")</f>
        <v/>
      </c>
      <c r="G7140">
        <f>IF(F7140="",0,1)</f>
        <v/>
      </c>
      <c r="H7140" s="29">
        <f>IF(F7140="","",INDEX(Deals!$E$2:$E$843,F7140))</f>
        <v/>
      </c>
      <c r="I7140">
        <f>IF(F7140="","",INDEX(Deals!$D$2:$D$843,F7140))</f>
        <v/>
      </c>
      <c r="J7140">
        <f>IF(F7140="","",INT(H7140)-B7140)</f>
        <v/>
      </c>
      <c r="K7140">
        <f>IF(B7140&gt;=Settings!$C$5,1,0)</f>
        <v/>
      </c>
    </row>
    <row r="7141">
      <c r="A7141" t="inlineStr">
        <is>
          <t>3f6ad1210810320e069ef0ce8e80368f</t>
        </is>
      </c>
      <c r="B7141" s="29" t="n">
        <v>43105</v>
      </c>
      <c r="C7141" t="inlineStr">
        <is>
          <t>2018-01</t>
        </is>
      </c>
      <c r="D7141" t="inlineStr">
        <is>
          <t>88740e65d5d6b056e0cda098e1ea6313</t>
        </is>
      </c>
      <c r="E7141" t="inlineStr">
        <is>
          <t>social</t>
        </is>
      </c>
      <c r="F7141">
        <f>IFERROR(MATCH(A7141,Deals!$A$2:$A$843,0),"")</f>
        <v/>
      </c>
      <c r="G7141">
        <f>IF(F7141="",0,1)</f>
        <v/>
      </c>
      <c r="H7141" s="29">
        <f>IF(F7141="","",INDEX(Deals!$E$2:$E$843,F7141))</f>
        <v/>
      </c>
      <c r="I7141">
        <f>IF(F7141="","",INDEX(Deals!$D$2:$D$843,F7141))</f>
        <v/>
      </c>
      <c r="J7141">
        <f>IF(F7141="","",INT(H7141)-B7141)</f>
        <v/>
      </c>
      <c r="K7141">
        <f>IF(B7141&gt;=Settings!$C$5,1,0)</f>
        <v/>
      </c>
    </row>
    <row r="7142">
      <c r="A7142" t="inlineStr">
        <is>
          <t>3b7585682efa3f3cb07b4e7ae6ec53d4</t>
        </is>
      </c>
      <c r="B7142" s="29" t="n">
        <v>43229</v>
      </c>
      <c r="C7142" t="inlineStr">
        <is>
          <t>2018-05</t>
        </is>
      </c>
      <c r="D7142" t="inlineStr">
        <is>
          <t>b634a925e3768734c5b7b2325c88a082</t>
        </is>
      </c>
      <c r="E7142" t="inlineStr">
        <is>
          <t>unknown</t>
        </is>
      </c>
      <c r="F7142">
        <f>IFERROR(MATCH(A7142,Deals!$A$2:$A$843,0),"")</f>
        <v/>
      </c>
      <c r="G7142">
        <f>IF(F7142="",0,1)</f>
        <v/>
      </c>
      <c r="H7142" s="29">
        <f>IF(F7142="","",INDEX(Deals!$E$2:$E$843,F7142))</f>
        <v/>
      </c>
      <c r="I7142">
        <f>IF(F7142="","",INDEX(Deals!$D$2:$D$843,F7142))</f>
        <v/>
      </c>
      <c r="J7142">
        <f>IF(F7142="","",INT(H7142)-B7142)</f>
        <v/>
      </c>
      <c r="K7142">
        <f>IF(B7142&gt;=Settings!$C$5,1,0)</f>
        <v/>
      </c>
    </row>
    <row r="7143">
      <c r="A7143" t="inlineStr">
        <is>
          <t>ad627bf5fd6966693e97a7349d85589c</t>
        </is>
      </c>
      <c r="B7143" s="29" t="n">
        <v>42963</v>
      </c>
      <c r="C7143" t="inlineStr">
        <is>
          <t>2017-08</t>
        </is>
      </c>
      <c r="D7143" t="inlineStr">
        <is>
          <t>87732658ba41d8775e8577df347a64db</t>
        </is>
      </c>
      <c r="E7143" t="inlineStr">
        <is>
          <t>social</t>
        </is>
      </c>
      <c r="F7143">
        <f>IFERROR(MATCH(A7143,Deals!$A$2:$A$843,0),"")</f>
        <v/>
      </c>
      <c r="G7143">
        <f>IF(F7143="",0,1)</f>
        <v/>
      </c>
      <c r="H7143" s="29">
        <f>IF(F7143="","",INDEX(Deals!$E$2:$E$843,F7143))</f>
        <v/>
      </c>
      <c r="I7143">
        <f>IF(F7143="","",INDEX(Deals!$D$2:$D$843,F7143))</f>
        <v/>
      </c>
      <c r="J7143">
        <f>IF(F7143="","",INT(H7143)-B7143)</f>
        <v/>
      </c>
      <c r="K7143">
        <f>IF(B7143&gt;=Settings!$C$5,1,0)</f>
        <v/>
      </c>
    </row>
    <row r="7144">
      <c r="A7144" t="inlineStr">
        <is>
          <t>680fd12be44eee12aee2a2e023438a5d</t>
        </is>
      </c>
      <c r="B7144" s="29" t="n">
        <v>42978</v>
      </c>
      <c r="C7144" t="inlineStr">
        <is>
          <t>2017-08</t>
        </is>
      </c>
      <c r="D7144" t="inlineStr">
        <is>
          <t>e492ee5eaf1697716985cc6f33f9cd9b</t>
        </is>
      </c>
      <c r="E7144" t="inlineStr">
        <is>
          <t>paid_search</t>
        </is>
      </c>
      <c r="F7144">
        <f>IFERROR(MATCH(A7144,Deals!$A$2:$A$843,0),"")</f>
        <v/>
      </c>
      <c r="G7144">
        <f>IF(F7144="",0,1)</f>
        <v/>
      </c>
      <c r="H7144" s="29">
        <f>IF(F7144="","",INDEX(Deals!$E$2:$E$843,F7144))</f>
        <v/>
      </c>
      <c r="I7144">
        <f>IF(F7144="","",INDEX(Deals!$D$2:$D$843,F7144))</f>
        <v/>
      </c>
      <c r="J7144">
        <f>IF(F7144="","",INT(H7144)-B7144)</f>
        <v/>
      </c>
      <c r="K7144">
        <f>IF(B7144&gt;=Settings!$C$5,1,0)</f>
        <v/>
      </c>
    </row>
    <row r="7145">
      <c r="A7145" t="inlineStr">
        <is>
          <t>135bc4e07e2f9b0c0fdb83c1c4d8b3e0</t>
        </is>
      </c>
      <c r="B7145" s="29" t="n">
        <v>42991</v>
      </c>
      <c r="C7145" t="inlineStr">
        <is>
          <t>2017-09</t>
        </is>
      </c>
      <c r="D7145" t="inlineStr">
        <is>
          <t>65d9f9d71e562365e8b44037c2888d98</t>
        </is>
      </c>
      <c r="E7145" t="inlineStr">
        <is>
          <t>paid_search</t>
        </is>
      </c>
      <c r="F7145">
        <f>IFERROR(MATCH(A7145,Deals!$A$2:$A$843,0),"")</f>
        <v/>
      </c>
      <c r="G7145">
        <f>IF(F7145="",0,1)</f>
        <v/>
      </c>
      <c r="H7145" s="29">
        <f>IF(F7145="","",INDEX(Deals!$E$2:$E$843,F7145))</f>
        <v/>
      </c>
      <c r="I7145">
        <f>IF(F7145="","",INDEX(Deals!$D$2:$D$843,F7145))</f>
        <v/>
      </c>
      <c r="J7145">
        <f>IF(F7145="","",INT(H7145)-B7145)</f>
        <v/>
      </c>
      <c r="K7145">
        <f>IF(B7145&gt;=Settings!$C$5,1,0)</f>
        <v/>
      </c>
    </row>
    <row r="7146">
      <c r="A7146" t="inlineStr">
        <is>
          <t>4fa0d97504185879b6e7524dda47d98b</t>
        </is>
      </c>
      <c r="B7146" s="29" t="n">
        <v>42956</v>
      </c>
      <c r="C7146" t="inlineStr">
        <is>
          <t>2017-08</t>
        </is>
      </c>
      <c r="D7146" t="inlineStr">
        <is>
          <t>83ccc33d426eab8a3db70bd15aba46b8</t>
        </is>
      </c>
      <c r="E7146" t="inlineStr">
        <is>
          <t>organic_search</t>
        </is>
      </c>
      <c r="F7146">
        <f>IFERROR(MATCH(A7146,Deals!$A$2:$A$843,0),"")</f>
        <v/>
      </c>
      <c r="G7146">
        <f>IF(F7146="",0,1)</f>
        <v/>
      </c>
      <c r="H7146" s="29">
        <f>IF(F7146="","",INDEX(Deals!$E$2:$E$843,F7146))</f>
        <v/>
      </c>
      <c r="I7146">
        <f>IF(F7146="","",INDEX(Deals!$D$2:$D$843,F7146))</f>
        <v/>
      </c>
      <c r="J7146">
        <f>IF(F7146="","",INT(H7146)-B7146)</f>
        <v/>
      </c>
      <c r="K7146">
        <f>IF(B7146&gt;=Settings!$C$5,1,0)</f>
        <v/>
      </c>
    </row>
    <row r="7147">
      <c r="A7147" t="inlineStr">
        <is>
          <t>3e2a61204a8c24cfcc6cb74bbac08068</t>
        </is>
      </c>
      <c r="B7147" s="29" t="n">
        <v>43220</v>
      </c>
      <c r="C7147" t="inlineStr">
        <is>
          <t>2018-04</t>
        </is>
      </c>
      <c r="D7147" t="inlineStr">
        <is>
          <t>b76ef37428e6799c421989521c0e5077</t>
        </is>
      </c>
      <c r="E7147" t="inlineStr">
        <is>
          <t>unknown</t>
        </is>
      </c>
      <c r="F7147">
        <f>IFERROR(MATCH(A7147,Deals!$A$2:$A$843,0),"")</f>
        <v/>
      </c>
      <c r="G7147">
        <f>IF(F7147="",0,1)</f>
        <v/>
      </c>
      <c r="H7147" s="29">
        <f>IF(F7147="","",INDEX(Deals!$E$2:$E$843,F7147))</f>
        <v/>
      </c>
      <c r="I7147">
        <f>IF(F7147="","",INDEX(Deals!$D$2:$D$843,F7147))</f>
        <v/>
      </c>
      <c r="J7147">
        <f>IF(F7147="","",INT(H7147)-B7147)</f>
        <v/>
      </c>
      <c r="K7147">
        <f>IF(B7147&gt;=Settings!$C$5,1,0)</f>
        <v/>
      </c>
    </row>
    <row r="7148">
      <c r="A7148" t="inlineStr">
        <is>
          <t>51e0fff3f3771b9df247ee2f30931fe8</t>
        </is>
      </c>
      <c r="B7148" s="29" t="n">
        <v>43189</v>
      </c>
      <c r="C7148" t="inlineStr">
        <is>
          <t>2018-03</t>
        </is>
      </c>
      <c r="D7148" t="inlineStr">
        <is>
          <t>f017be4dbf86243af5c1ebed0cff36a2</t>
        </is>
      </c>
      <c r="E7148" t="inlineStr">
        <is>
          <t>social</t>
        </is>
      </c>
      <c r="F7148">
        <f>IFERROR(MATCH(A7148,Deals!$A$2:$A$843,0),"")</f>
        <v/>
      </c>
      <c r="G7148">
        <f>IF(F7148="",0,1)</f>
        <v/>
      </c>
      <c r="H7148" s="29">
        <f>IF(F7148="","",INDEX(Deals!$E$2:$E$843,F7148))</f>
        <v/>
      </c>
      <c r="I7148">
        <f>IF(F7148="","",INDEX(Deals!$D$2:$D$843,F7148))</f>
        <v/>
      </c>
      <c r="J7148">
        <f>IF(F7148="","",INT(H7148)-B7148)</f>
        <v/>
      </c>
      <c r="K7148">
        <f>IF(B7148&gt;=Settings!$C$5,1,0)</f>
        <v/>
      </c>
    </row>
    <row r="7149">
      <c r="A7149" t="inlineStr">
        <is>
          <t>9e229f7a96efdede103776413d997716</t>
        </is>
      </c>
      <c r="B7149" s="29" t="n">
        <v>43139</v>
      </c>
      <c r="C7149" t="inlineStr">
        <is>
          <t>2018-02</t>
        </is>
      </c>
      <c r="D7149" t="inlineStr">
        <is>
          <t>ce1a65abd0973638f1c887a6efcfa82d</t>
        </is>
      </c>
      <c r="E7149" t="inlineStr">
        <is>
          <t>organic_search</t>
        </is>
      </c>
      <c r="F7149">
        <f>IFERROR(MATCH(A7149,Deals!$A$2:$A$843,0),"")</f>
        <v/>
      </c>
      <c r="G7149">
        <f>IF(F7149="",0,1)</f>
        <v/>
      </c>
      <c r="H7149" s="29">
        <f>IF(F7149="","",INDEX(Deals!$E$2:$E$843,F7149))</f>
        <v/>
      </c>
      <c r="I7149">
        <f>IF(F7149="","",INDEX(Deals!$D$2:$D$843,F7149))</f>
        <v/>
      </c>
      <c r="J7149">
        <f>IF(F7149="","",INT(H7149)-B7149)</f>
        <v/>
      </c>
      <c r="K7149">
        <f>IF(B7149&gt;=Settings!$C$5,1,0)</f>
        <v/>
      </c>
    </row>
    <row r="7150">
      <c r="A7150" t="inlineStr">
        <is>
          <t>2208183e25fd18b7bf374189df696ede</t>
        </is>
      </c>
      <c r="B7150" s="29" t="n">
        <v>42991</v>
      </c>
      <c r="C7150" t="inlineStr">
        <is>
          <t>2017-09</t>
        </is>
      </c>
      <c r="D7150" t="inlineStr">
        <is>
          <t>64078d75b35c1df83ebde92c7babe9d4</t>
        </is>
      </c>
      <c r="E7150" t="inlineStr">
        <is>
          <t>display</t>
        </is>
      </c>
      <c r="F7150">
        <f>IFERROR(MATCH(A7150,Deals!$A$2:$A$843,0),"")</f>
        <v/>
      </c>
      <c r="G7150">
        <f>IF(F7150="",0,1)</f>
        <v/>
      </c>
      <c r="H7150" s="29">
        <f>IF(F7150="","",INDEX(Deals!$E$2:$E$843,F7150))</f>
        <v/>
      </c>
      <c r="I7150">
        <f>IF(F7150="","",INDEX(Deals!$D$2:$D$843,F7150))</f>
        <v/>
      </c>
      <c r="J7150">
        <f>IF(F7150="","",INT(H7150)-B7150)</f>
        <v/>
      </c>
      <c r="K7150">
        <f>IF(B7150&gt;=Settings!$C$5,1,0)</f>
        <v/>
      </c>
    </row>
    <row r="7151">
      <c r="A7151" t="inlineStr">
        <is>
          <t>710eec06bc39ec7c6bd28ddf5f3a5668</t>
        </is>
      </c>
      <c r="B7151" s="29" t="n">
        <v>43033</v>
      </c>
      <c r="C7151" t="inlineStr">
        <is>
          <t>2017-10</t>
        </is>
      </c>
      <c r="D7151" t="inlineStr">
        <is>
          <t>e42a14209c69c3e9cc6b042620465f12</t>
        </is>
      </c>
      <c r="E7151" t="inlineStr">
        <is>
          <t>email</t>
        </is>
      </c>
      <c r="F7151">
        <f>IFERROR(MATCH(A7151,Deals!$A$2:$A$843,0),"")</f>
        <v/>
      </c>
      <c r="G7151">
        <f>IF(F7151="",0,1)</f>
        <v/>
      </c>
      <c r="H7151" s="29">
        <f>IF(F7151="","",INDEX(Deals!$E$2:$E$843,F7151))</f>
        <v/>
      </c>
      <c r="I7151">
        <f>IF(F7151="","",INDEX(Deals!$D$2:$D$843,F7151))</f>
        <v/>
      </c>
      <c r="J7151">
        <f>IF(F7151="","",INT(H7151)-B7151)</f>
        <v/>
      </c>
      <c r="K7151">
        <f>IF(B7151&gt;=Settings!$C$5,1,0)</f>
        <v/>
      </c>
    </row>
    <row r="7152">
      <c r="A7152" t="inlineStr">
        <is>
          <t>7ef73a2cfe1d16ae5e3f0d708991f751</t>
        </is>
      </c>
      <c r="B7152" s="29" t="n">
        <v>43238</v>
      </c>
      <c r="C7152" t="inlineStr">
        <is>
          <t>2018-05</t>
        </is>
      </c>
      <c r="D7152" t="inlineStr">
        <is>
          <t>58326e62183c14b0c03085c33b9fdc44</t>
        </is>
      </c>
      <c r="E7152" t="inlineStr">
        <is>
          <t>social</t>
        </is>
      </c>
      <c r="F7152">
        <f>IFERROR(MATCH(A7152,Deals!$A$2:$A$843,0),"")</f>
        <v/>
      </c>
      <c r="G7152">
        <f>IF(F7152="",0,1)</f>
        <v/>
      </c>
      <c r="H7152" s="29">
        <f>IF(F7152="","",INDEX(Deals!$E$2:$E$843,F7152))</f>
        <v/>
      </c>
      <c r="I7152">
        <f>IF(F7152="","",INDEX(Deals!$D$2:$D$843,F7152))</f>
        <v/>
      </c>
      <c r="J7152">
        <f>IF(F7152="","",INT(H7152)-B7152)</f>
        <v/>
      </c>
      <c r="K7152">
        <f>IF(B7152&gt;=Settings!$C$5,1,0)</f>
        <v/>
      </c>
    </row>
    <row r="7153">
      <c r="A7153" t="inlineStr">
        <is>
          <t>ac30f395e9032acc9e69924e469a9d50</t>
        </is>
      </c>
      <c r="B7153" s="29" t="n">
        <v>43229</v>
      </c>
      <c r="C7153" t="inlineStr">
        <is>
          <t>2018-05</t>
        </is>
      </c>
      <c r="D7153" t="inlineStr">
        <is>
          <t>22c29808c4f815213303f8933030604c</t>
        </is>
      </c>
      <c r="E7153" t="inlineStr">
        <is>
          <t>paid_search</t>
        </is>
      </c>
      <c r="F7153">
        <f>IFERROR(MATCH(A7153,Deals!$A$2:$A$843,0),"")</f>
        <v/>
      </c>
      <c r="G7153">
        <f>IF(F7153="",0,1)</f>
        <v/>
      </c>
      <c r="H7153" s="29">
        <f>IF(F7153="","",INDEX(Deals!$E$2:$E$843,F7153))</f>
        <v/>
      </c>
      <c r="I7153">
        <f>IF(F7153="","",INDEX(Deals!$D$2:$D$843,F7153))</f>
        <v/>
      </c>
      <c r="J7153">
        <f>IF(F7153="","",INT(H7153)-B7153)</f>
        <v/>
      </c>
      <c r="K7153">
        <f>IF(B7153&gt;=Settings!$C$5,1,0)</f>
        <v/>
      </c>
    </row>
    <row r="7154">
      <c r="A7154" t="inlineStr">
        <is>
          <t>e9068bc85422c7253ec3d4fd32e5a285</t>
        </is>
      </c>
      <c r="B7154" s="29" t="n">
        <v>43046</v>
      </c>
      <c r="C7154" t="inlineStr">
        <is>
          <t>2017-11</t>
        </is>
      </c>
      <c r="D7154" t="inlineStr">
        <is>
          <t>c79bafc4a099ff23e3bab1534797fb45</t>
        </is>
      </c>
      <c r="E7154" t="inlineStr">
        <is>
          <t>paid_search</t>
        </is>
      </c>
      <c r="F7154">
        <f>IFERROR(MATCH(A7154,Deals!$A$2:$A$843,0),"")</f>
        <v/>
      </c>
      <c r="G7154">
        <f>IF(F7154="",0,1)</f>
        <v/>
      </c>
      <c r="H7154" s="29">
        <f>IF(F7154="","",INDEX(Deals!$E$2:$E$843,F7154))</f>
        <v/>
      </c>
      <c r="I7154">
        <f>IF(F7154="","",INDEX(Deals!$D$2:$D$843,F7154))</f>
        <v/>
      </c>
      <c r="J7154">
        <f>IF(F7154="","",INT(H7154)-B7154)</f>
        <v/>
      </c>
      <c r="K7154">
        <f>IF(B7154&gt;=Settings!$C$5,1,0)</f>
        <v/>
      </c>
    </row>
    <row r="7155">
      <c r="A7155" t="inlineStr">
        <is>
          <t>7012bb2fc19d52536cc90552cdbc080e</t>
        </is>
      </c>
      <c r="B7155" s="29" t="n">
        <v>43224</v>
      </c>
      <c r="C7155" t="inlineStr">
        <is>
          <t>2018-05</t>
        </is>
      </c>
      <c r="D7155" t="inlineStr">
        <is>
          <t>37cf94070e940a694969304de58debe1</t>
        </is>
      </c>
      <c r="E7155" t="inlineStr">
        <is>
          <t>organic_search</t>
        </is>
      </c>
      <c r="F7155">
        <f>IFERROR(MATCH(A7155,Deals!$A$2:$A$843,0),"")</f>
        <v/>
      </c>
      <c r="G7155">
        <f>IF(F7155="",0,1)</f>
        <v/>
      </c>
      <c r="H7155" s="29">
        <f>IF(F7155="","",INDEX(Deals!$E$2:$E$843,F7155))</f>
        <v/>
      </c>
      <c r="I7155">
        <f>IF(F7155="","",INDEX(Deals!$D$2:$D$843,F7155))</f>
        <v/>
      </c>
      <c r="J7155">
        <f>IF(F7155="","",INT(H7155)-B7155)</f>
        <v/>
      </c>
      <c r="K7155">
        <f>IF(B7155&gt;=Settings!$C$5,1,0)</f>
        <v/>
      </c>
    </row>
    <row r="7156">
      <c r="A7156" t="inlineStr">
        <is>
          <t>6266f24c5b712ea805a38be6db863a3a</t>
        </is>
      </c>
      <c r="B7156" s="29" t="n">
        <v>43104</v>
      </c>
      <c r="C7156" t="inlineStr">
        <is>
          <t>2018-01</t>
        </is>
      </c>
      <c r="D7156" t="inlineStr">
        <is>
          <t>73f31a40697cc90a86c1273563ac230e</t>
        </is>
      </c>
      <c r="E7156" t="inlineStr">
        <is>
          <t>other</t>
        </is>
      </c>
      <c r="F7156">
        <f>IFERROR(MATCH(A7156,Deals!$A$2:$A$843,0),"")</f>
        <v/>
      </c>
      <c r="G7156">
        <f>IF(F7156="",0,1)</f>
        <v/>
      </c>
      <c r="H7156" s="29">
        <f>IF(F7156="","",INDEX(Deals!$E$2:$E$843,F7156))</f>
        <v/>
      </c>
      <c r="I7156">
        <f>IF(F7156="","",INDEX(Deals!$D$2:$D$843,F7156))</f>
        <v/>
      </c>
      <c r="J7156">
        <f>IF(F7156="","",INT(H7156)-B7156)</f>
        <v/>
      </c>
      <c r="K7156">
        <f>IF(B7156&gt;=Settings!$C$5,1,0)</f>
        <v/>
      </c>
    </row>
    <row r="7157">
      <c r="A7157" t="inlineStr">
        <is>
          <t>0a69873505351b9ef0f5f8dec2752e0b</t>
        </is>
      </c>
      <c r="B7157" s="29" t="n">
        <v>42964</v>
      </c>
      <c r="C7157" t="inlineStr">
        <is>
          <t>2017-08</t>
        </is>
      </c>
      <c r="D7157" t="inlineStr">
        <is>
          <t>65d9f9d71e562365e8b44037c2888d98</t>
        </is>
      </c>
      <c r="E7157" t="inlineStr">
        <is>
          <t>organic_search</t>
        </is>
      </c>
      <c r="F7157">
        <f>IFERROR(MATCH(A7157,Deals!$A$2:$A$843,0),"")</f>
        <v/>
      </c>
      <c r="G7157">
        <f>IF(F7157="",0,1)</f>
        <v/>
      </c>
      <c r="H7157" s="29">
        <f>IF(F7157="","",INDEX(Deals!$E$2:$E$843,F7157))</f>
        <v/>
      </c>
      <c r="I7157">
        <f>IF(F7157="","",INDEX(Deals!$D$2:$D$843,F7157))</f>
        <v/>
      </c>
      <c r="J7157">
        <f>IF(F7157="","",INT(H7157)-B7157)</f>
        <v/>
      </c>
      <c r="K7157">
        <f>IF(B7157&gt;=Settings!$C$5,1,0)</f>
        <v/>
      </c>
    </row>
    <row r="7158">
      <c r="A7158" t="inlineStr">
        <is>
          <t>882868f86cbc35c3e7fc151124bfaf0d</t>
        </is>
      </c>
      <c r="B7158" s="29" t="n">
        <v>43246</v>
      </c>
      <c r="C7158" t="inlineStr">
        <is>
          <t>2018-05</t>
        </is>
      </c>
      <c r="D7158" t="inlineStr">
        <is>
          <t>a7982125ff7aa3b2054c6e44f9d28522</t>
        </is>
      </c>
      <c r="E7158" t="inlineStr">
        <is>
          <t>paid_search</t>
        </is>
      </c>
      <c r="F7158">
        <f>IFERROR(MATCH(A7158,Deals!$A$2:$A$843,0),"")</f>
        <v/>
      </c>
      <c r="G7158">
        <f>IF(F7158="",0,1)</f>
        <v/>
      </c>
      <c r="H7158" s="29">
        <f>IF(F7158="","",INDEX(Deals!$E$2:$E$843,F7158))</f>
        <v/>
      </c>
      <c r="I7158">
        <f>IF(F7158="","",INDEX(Deals!$D$2:$D$843,F7158))</f>
        <v/>
      </c>
      <c r="J7158">
        <f>IF(F7158="","",INT(H7158)-B7158)</f>
        <v/>
      </c>
      <c r="K7158">
        <f>IF(B7158&gt;=Settings!$C$5,1,0)</f>
        <v/>
      </c>
    </row>
    <row r="7159">
      <c r="A7159" t="inlineStr">
        <is>
          <t>bf4b0889b0d61cadbc581292df218801</t>
        </is>
      </c>
      <c r="B7159" s="29" t="n">
        <v>43234</v>
      </c>
      <c r="C7159" t="inlineStr">
        <is>
          <t>2018-05</t>
        </is>
      </c>
      <c r="D7159" t="inlineStr">
        <is>
          <t>58326e62183c14b0c03085c33b9fdc44</t>
        </is>
      </c>
      <c r="E7159" t="inlineStr">
        <is>
          <t>social</t>
        </is>
      </c>
      <c r="F7159">
        <f>IFERROR(MATCH(A7159,Deals!$A$2:$A$843,0),"")</f>
        <v/>
      </c>
      <c r="G7159">
        <f>IF(F7159="",0,1)</f>
        <v/>
      </c>
      <c r="H7159" s="29">
        <f>IF(F7159="","",INDEX(Deals!$E$2:$E$843,F7159))</f>
        <v/>
      </c>
      <c r="I7159">
        <f>IF(F7159="","",INDEX(Deals!$D$2:$D$843,F7159))</f>
        <v/>
      </c>
      <c r="J7159">
        <f>IF(F7159="","",INT(H7159)-B7159)</f>
        <v/>
      </c>
      <c r="K7159">
        <f>IF(B7159&gt;=Settings!$C$5,1,0)</f>
        <v/>
      </c>
    </row>
    <row r="7160">
      <c r="A7160" t="inlineStr">
        <is>
          <t>cb0f32260247ecac66b2954d6320f6be</t>
        </is>
      </c>
      <c r="B7160" s="29" t="n">
        <v>43125</v>
      </c>
      <c r="C7160" t="inlineStr">
        <is>
          <t>2018-01</t>
        </is>
      </c>
      <c r="D7160" t="inlineStr">
        <is>
          <t>22c29808c4f815213303f8933030604c</t>
        </is>
      </c>
      <c r="E7160" t="inlineStr">
        <is>
          <t>organic_search</t>
        </is>
      </c>
      <c r="F7160">
        <f>IFERROR(MATCH(A7160,Deals!$A$2:$A$843,0),"")</f>
        <v/>
      </c>
      <c r="G7160">
        <f>IF(F7160="",0,1)</f>
        <v/>
      </c>
      <c r="H7160" s="29">
        <f>IF(F7160="","",INDEX(Deals!$E$2:$E$843,F7160))</f>
        <v/>
      </c>
      <c r="I7160">
        <f>IF(F7160="","",INDEX(Deals!$D$2:$D$843,F7160))</f>
        <v/>
      </c>
      <c r="J7160">
        <f>IF(F7160="","",INT(H7160)-B7160)</f>
        <v/>
      </c>
      <c r="K7160">
        <f>IF(B7160&gt;=Settings!$C$5,1,0)</f>
        <v/>
      </c>
    </row>
    <row r="7161">
      <c r="A7161" t="inlineStr">
        <is>
          <t>4da8436532c0f2de8aad2adef6e04914</t>
        </is>
      </c>
      <c r="B7161" s="29" t="n">
        <v>43210</v>
      </c>
      <c r="C7161" t="inlineStr">
        <is>
          <t>2018-04</t>
        </is>
      </c>
      <c r="D7161" t="inlineStr">
        <is>
          <t>58326e62183c14b0c03085c33b9fdc44</t>
        </is>
      </c>
      <c r="E7161" t="inlineStr">
        <is>
          <t>social</t>
        </is>
      </c>
      <c r="F7161">
        <f>IFERROR(MATCH(A7161,Deals!$A$2:$A$843,0),"")</f>
        <v/>
      </c>
      <c r="G7161">
        <f>IF(F7161="",0,1)</f>
        <v/>
      </c>
      <c r="H7161" s="29">
        <f>IF(F7161="","",INDEX(Deals!$E$2:$E$843,F7161))</f>
        <v/>
      </c>
      <c r="I7161">
        <f>IF(F7161="","",INDEX(Deals!$D$2:$D$843,F7161))</f>
        <v/>
      </c>
      <c r="J7161">
        <f>IF(F7161="","",INT(H7161)-B7161)</f>
        <v/>
      </c>
      <c r="K7161">
        <f>IF(B7161&gt;=Settings!$C$5,1,0)</f>
        <v/>
      </c>
    </row>
    <row r="7162">
      <c r="A7162" t="inlineStr">
        <is>
          <t>fa14e26aa100e41821a2050bf4edfb67</t>
        </is>
      </c>
      <c r="B7162" s="29" t="n">
        <v>43186</v>
      </c>
      <c r="C7162" t="inlineStr">
        <is>
          <t>2018-03</t>
        </is>
      </c>
      <c r="D7162" t="inlineStr">
        <is>
          <t>2f08471dfb83baef522f952438a36f6e</t>
        </is>
      </c>
      <c r="E7162" t="inlineStr">
        <is>
          <t>organic_search</t>
        </is>
      </c>
      <c r="F7162">
        <f>IFERROR(MATCH(A7162,Deals!$A$2:$A$843,0),"")</f>
        <v/>
      </c>
      <c r="G7162">
        <f>IF(F7162="",0,1)</f>
        <v/>
      </c>
      <c r="H7162" s="29">
        <f>IF(F7162="","",INDEX(Deals!$E$2:$E$843,F7162))</f>
        <v/>
      </c>
      <c r="I7162">
        <f>IF(F7162="","",INDEX(Deals!$D$2:$D$843,F7162))</f>
        <v/>
      </c>
      <c r="J7162">
        <f>IF(F7162="","",INT(H7162)-B7162)</f>
        <v/>
      </c>
      <c r="K7162">
        <f>IF(B7162&gt;=Settings!$C$5,1,0)</f>
        <v/>
      </c>
    </row>
    <row r="7163">
      <c r="A7163" t="inlineStr">
        <is>
          <t>e702a7e0d9355796847321bc16ffef7f</t>
        </is>
      </c>
      <c r="B7163" s="29" t="n">
        <v>43102</v>
      </c>
      <c r="C7163" t="inlineStr">
        <is>
          <t>2018-01</t>
        </is>
      </c>
      <c r="D7163" t="inlineStr">
        <is>
          <t>e492ee5eaf1697716985cc6f33f9cd9b</t>
        </is>
      </c>
      <c r="E7163" t="inlineStr">
        <is>
          <t>direct_traffic</t>
        </is>
      </c>
      <c r="F7163">
        <f>IFERROR(MATCH(A7163,Deals!$A$2:$A$843,0),"")</f>
        <v/>
      </c>
      <c r="G7163">
        <f>IF(F7163="",0,1)</f>
        <v/>
      </c>
      <c r="H7163" s="29">
        <f>IF(F7163="","",INDEX(Deals!$E$2:$E$843,F7163))</f>
        <v/>
      </c>
      <c r="I7163">
        <f>IF(F7163="","",INDEX(Deals!$D$2:$D$843,F7163))</f>
        <v/>
      </c>
      <c r="J7163">
        <f>IF(F7163="","",INT(H7163)-B7163)</f>
        <v/>
      </c>
      <c r="K7163">
        <f>IF(B7163&gt;=Settings!$C$5,1,0)</f>
        <v/>
      </c>
    </row>
    <row r="7164">
      <c r="A7164" t="inlineStr">
        <is>
          <t>962ebbfe9e9c53b566b6c107b19f4bba</t>
        </is>
      </c>
      <c r="B7164" s="29" t="n">
        <v>43107</v>
      </c>
      <c r="C7164" t="inlineStr">
        <is>
          <t>2018-01</t>
        </is>
      </c>
      <c r="D7164" t="inlineStr">
        <is>
          <t>ce1a65abd0973638f1c887a6efcfa82d</t>
        </is>
      </c>
      <c r="E7164" t="inlineStr">
        <is>
          <t>direct_traffic</t>
        </is>
      </c>
      <c r="F7164">
        <f>IFERROR(MATCH(A7164,Deals!$A$2:$A$843,0),"")</f>
        <v/>
      </c>
      <c r="G7164">
        <f>IF(F7164="",0,1)</f>
        <v/>
      </c>
      <c r="H7164" s="29">
        <f>IF(F7164="","",INDEX(Deals!$E$2:$E$843,F7164))</f>
        <v/>
      </c>
      <c r="I7164">
        <f>IF(F7164="","",INDEX(Deals!$D$2:$D$843,F7164))</f>
        <v/>
      </c>
      <c r="J7164">
        <f>IF(F7164="","",INT(H7164)-B7164)</f>
        <v/>
      </c>
      <c r="K7164">
        <f>IF(B7164&gt;=Settings!$C$5,1,0)</f>
        <v/>
      </c>
    </row>
    <row r="7165">
      <c r="A7165" t="inlineStr">
        <is>
          <t>b2e65e738c327d1a8c3c27092d00b6c1</t>
        </is>
      </c>
      <c r="B7165" s="29" t="n">
        <v>42963</v>
      </c>
      <c r="C7165" t="inlineStr">
        <is>
          <t>2017-08</t>
        </is>
      </c>
      <c r="D7165" t="inlineStr">
        <is>
          <t>22c29808c4f815213303f8933030604c</t>
        </is>
      </c>
      <c r="E7165" t="inlineStr">
        <is>
          <t>organic_search</t>
        </is>
      </c>
      <c r="F7165">
        <f>IFERROR(MATCH(A7165,Deals!$A$2:$A$843,0),"")</f>
        <v/>
      </c>
      <c r="G7165">
        <f>IF(F7165="",0,1)</f>
        <v/>
      </c>
      <c r="H7165" s="29">
        <f>IF(F7165="","",INDEX(Deals!$E$2:$E$843,F7165))</f>
        <v/>
      </c>
      <c r="I7165">
        <f>IF(F7165="","",INDEX(Deals!$D$2:$D$843,F7165))</f>
        <v/>
      </c>
      <c r="J7165">
        <f>IF(F7165="","",INT(H7165)-B7165)</f>
        <v/>
      </c>
      <c r="K7165">
        <f>IF(B7165&gt;=Settings!$C$5,1,0)</f>
        <v/>
      </c>
    </row>
    <row r="7166">
      <c r="A7166" t="inlineStr">
        <is>
          <t>0ac9a79e4aa15b44845b6b553cfcddbd</t>
        </is>
      </c>
      <c r="B7166" s="29" t="n">
        <v>42982</v>
      </c>
      <c r="C7166" t="inlineStr">
        <is>
          <t>2017-09</t>
        </is>
      </c>
      <c r="D7166" t="inlineStr">
        <is>
          <t>241f79c7a8fe0270f4fb79fcbbcd17ad</t>
        </is>
      </c>
      <c r="E7166" t="inlineStr">
        <is>
          <t>paid_search</t>
        </is>
      </c>
      <c r="F7166">
        <f>IFERROR(MATCH(A7166,Deals!$A$2:$A$843,0),"")</f>
        <v/>
      </c>
      <c r="G7166">
        <f>IF(F7166="",0,1)</f>
        <v/>
      </c>
      <c r="H7166" s="29">
        <f>IF(F7166="","",INDEX(Deals!$E$2:$E$843,F7166))</f>
        <v/>
      </c>
      <c r="I7166">
        <f>IF(F7166="","",INDEX(Deals!$D$2:$D$843,F7166))</f>
        <v/>
      </c>
      <c r="J7166">
        <f>IF(F7166="","",INT(H7166)-B7166)</f>
        <v/>
      </c>
      <c r="K7166">
        <f>IF(B7166&gt;=Settings!$C$5,1,0)</f>
        <v/>
      </c>
    </row>
    <row r="7167">
      <c r="A7167" t="inlineStr">
        <is>
          <t>6daab15a4f57549b7f236d7f0cfca3c8</t>
        </is>
      </c>
      <c r="B7167" s="29" t="n">
        <v>42945</v>
      </c>
      <c r="C7167" t="inlineStr">
        <is>
          <t>2017-07</t>
        </is>
      </c>
      <c r="D7167" t="inlineStr">
        <is>
          <t>7eb40e4e44fef8bff604b621119446c7</t>
        </is>
      </c>
      <c r="E7167" t="inlineStr">
        <is>
          <t>social</t>
        </is>
      </c>
      <c r="F7167">
        <f>IFERROR(MATCH(A7167,Deals!$A$2:$A$843,0),"")</f>
        <v/>
      </c>
      <c r="G7167">
        <f>IF(F7167="",0,1)</f>
        <v/>
      </c>
      <c r="H7167" s="29">
        <f>IF(F7167="","",INDEX(Deals!$E$2:$E$843,F7167))</f>
        <v/>
      </c>
      <c r="I7167">
        <f>IF(F7167="","",INDEX(Deals!$D$2:$D$843,F7167))</f>
        <v/>
      </c>
      <c r="J7167">
        <f>IF(F7167="","",INT(H7167)-B7167)</f>
        <v/>
      </c>
      <c r="K7167">
        <f>IF(B7167&gt;=Settings!$C$5,1,0)</f>
        <v/>
      </c>
    </row>
    <row r="7168">
      <c r="A7168" t="inlineStr">
        <is>
          <t>bcc4f9f4940fe8a52f35d46469931fc0</t>
        </is>
      </c>
      <c r="B7168" s="29" t="n">
        <v>43235</v>
      </c>
      <c r="C7168" t="inlineStr">
        <is>
          <t>2018-05</t>
        </is>
      </c>
      <c r="D7168" t="inlineStr">
        <is>
          <t>ce1a65abd0973638f1c887a6efcfa82d</t>
        </is>
      </c>
      <c r="E7168" t="inlineStr">
        <is>
          <t>organic_search</t>
        </is>
      </c>
      <c r="F7168">
        <f>IFERROR(MATCH(A7168,Deals!$A$2:$A$843,0),"")</f>
        <v/>
      </c>
      <c r="G7168">
        <f>IF(F7168="",0,1)</f>
        <v/>
      </c>
      <c r="H7168" s="29">
        <f>IF(F7168="","",INDEX(Deals!$E$2:$E$843,F7168))</f>
        <v/>
      </c>
      <c r="I7168">
        <f>IF(F7168="","",INDEX(Deals!$D$2:$D$843,F7168))</f>
        <v/>
      </c>
      <c r="J7168">
        <f>IF(F7168="","",INT(H7168)-B7168)</f>
        <v/>
      </c>
      <c r="K7168">
        <f>IF(B7168&gt;=Settings!$C$5,1,0)</f>
        <v/>
      </c>
    </row>
    <row r="7169">
      <c r="A7169" t="inlineStr">
        <is>
          <t>23094cc903a83555659aa7a7a0b7a5aa</t>
        </is>
      </c>
      <c r="B7169" s="29" t="n">
        <v>43241</v>
      </c>
      <c r="C7169" t="inlineStr">
        <is>
          <t>2018-05</t>
        </is>
      </c>
      <c r="D7169" t="inlineStr">
        <is>
          <t>e492ee5eaf1697716985cc6f33f9cd9b</t>
        </is>
      </c>
      <c r="E7169" t="inlineStr">
        <is>
          <t>other_publicities</t>
        </is>
      </c>
      <c r="F7169">
        <f>IFERROR(MATCH(A7169,Deals!$A$2:$A$843,0),"")</f>
        <v/>
      </c>
      <c r="G7169">
        <f>IF(F7169="",0,1)</f>
        <v/>
      </c>
      <c r="H7169" s="29">
        <f>IF(F7169="","",INDEX(Deals!$E$2:$E$843,F7169))</f>
        <v/>
      </c>
      <c r="I7169">
        <f>IF(F7169="","",INDEX(Deals!$D$2:$D$843,F7169))</f>
        <v/>
      </c>
      <c r="J7169">
        <f>IF(F7169="","",INT(H7169)-B7169)</f>
        <v/>
      </c>
      <c r="K7169">
        <f>IF(B7169&gt;=Settings!$C$5,1,0)</f>
        <v/>
      </c>
    </row>
    <row r="7170">
      <c r="A7170" t="inlineStr">
        <is>
          <t>c7d3bff1cad76826c4526e5b20a88b07</t>
        </is>
      </c>
      <c r="B7170" s="29" t="n">
        <v>43210</v>
      </c>
      <c r="C7170" t="inlineStr">
        <is>
          <t>2018-04</t>
        </is>
      </c>
      <c r="D7170" t="inlineStr">
        <is>
          <t>22c29808c4f815213303f8933030604c</t>
        </is>
      </c>
      <c r="E7170" t="inlineStr">
        <is>
          <t>organic_search</t>
        </is>
      </c>
      <c r="F7170">
        <f>IFERROR(MATCH(A7170,Deals!$A$2:$A$843,0),"")</f>
        <v/>
      </c>
      <c r="G7170">
        <f>IF(F7170="",0,1)</f>
        <v/>
      </c>
      <c r="H7170" s="29">
        <f>IF(F7170="","",INDEX(Deals!$E$2:$E$843,F7170))</f>
        <v/>
      </c>
      <c r="I7170">
        <f>IF(F7170="","",INDEX(Deals!$D$2:$D$843,F7170))</f>
        <v/>
      </c>
      <c r="J7170">
        <f>IF(F7170="","",INT(H7170)-B7170)</f>
        <v/>
      </c>
      <c r="K7170">
        <f>IF(B7170&gt;=Settings!$C$5,1,0)</f>
        <v/>
      </c>
    </row>
    <row r="7171">
      <c r="A7171" t="inlineStr">
        <is>
          <t>e6590d413b51f18d2556c4e620adc5f4</t>
        </is>
      </c>
      <c r="B7171" s="29" t="n">
        <v>43117</v>
      </c>
      <c r="C7171" t="inlineStr">
        <is>
          <t>2018-01</t>
        </is>
      </c>
      <c r="D7171" t="inlineStr">
        <is>
          <t>22c29808c4f815213303f8933030604c</t>
        </is>
      </c>
      <c r="E7171" t="inlineStr">
        <is>
          <t>organic_search</t>
        </is>
      </c>
      <c r="F7171">
        <f>IFERROR(MATCH(A7171,Deals!$A$2:$A$843,0),"")</f>
        <v/>
      </c>
      <c r="G7171">
        <f>IF(F7171="",0,1)</f>
        <v/>
      </c>
      <c r="H7171" s="29">
        <f>IF(F7171="","",INDEX(Deals!$E$2:$E$843,F7171))</f>
        <v/>
      </c>
      <c r="I7171">
        <f>IF(F7171="","",INDEX(Deals!$D$2:$D$843,F7171))</f>
        <v/>
      </c>
      <c r="J7171">
        <f>IF(F7171="","",INT(H7171)-B7171)</f>
        <v/>
      </c>
      <c r="K7171">
        <f>IF(B7171&gt;=Settings!$C$5,1,0)</f>
        <v/>
      </c>
    </row>
    <row r="7172">
      <c r="A7172" t="inlineStr">
        <is>
          <t>30f9addb446d879e34cbcf2bbd46cd8f</t>
        </is>
      </c>
      <c r="B7172" s="29" t="n">
        <v>43208</v>
      </c>
      <c r="C7172" t="inlineStr">
        <is>
          <t>2018-04</t>
        </is>
      </c>
      <c r="D7172" t="inlineStr">
        <is>
          <t>e534a08b23c682d94859d0ab860bd57a</t>
        </is>
      </c>
      <c r="E7172" t="inlineStr">
        <is>
          <t>paid_search</t>
        </is>
      </c>
      <c r="F7172">
        <f>IFERROR(MATCH(A7172,Deals!$A$2:$A$843,0),"")</f>
        <v/>
      </c>
      <c r="G7172">
        <f>IF(F7172="",0,1)</f>
        <v/>
      </c>
      <c r="H7172" s="29">
        <f>IF(F7172="","",INDEX(Deals!$E$2:$E$843,F7172))</f>
        <v/>
      </c>
      <c r="I7172">
        <f>IF(F7172="","",INDEX(Deals!$D$2:$D$843,F7172))</f>
        <v/>
      </c>
      <c r="J7172">
        <f>IF(F7172="","",INT(H7172)-B7172)</f>
        <v/>
      </c>
      <c r="K7172">
        <f>IF(B7172&gt;=Settings!$C$5,1,0)</f>
        <v/>
      </c>
    </row>
    <row r="7173">
      <c r="A7173" t="inlineStr">
        <is>
          <t>3983c99d475e80e874512a0bd582dcc9</t>
        </is>
      </c>
      <c r="B7173" s="29" t="n">
        <v>43153</v>
      </c>
      <c r="C7173" t="inlineStr">
        <is>
          <t>2018-02</t>
        </is>
      </c>
      <c r="D7173" t="inlineStr">
        <is>
          <t>7fa6214d82e911d070f51ef79381b956</t>
        </is>
      </c>
      <c r="E7173" t="inlineStr">
        <is>
          <t>direct_traffic</t>
        </is>
      </c>
      <c r="F7173">
        <f>IFERROR(MATCH(A7173,Deals!$A$2:$A$843,0),"")</f>
        <v/>
      </c>
      <c r="G7173">
        <f>IF(F7173="",0,1)</f>
        <v/>
      </c>
      <c r="H7173" s="29">
        <f>IF(F7173="","",INDEX(Deals!$E$2:$E$843,F7173))</f>
        <v/>
      </c>
      <c r="I7173">
        <f>IF(F7173="","",INDEX(Deals!$D$2:$D$843,F7173))</f>
        <v/>
      </c>
      <c r="J7173">
        <f>IF(F7173="","",INT(H7173)-B7173)</f>
        <v/>
      </c>
      <c r="K7173">
        <f>IF(B7173&gt;=Settings!$C$5,1,0)</f>
        <v/>
      </c>
    </row>
    <row r="7174">
      <c r="A7174" t="inlineStr">
        <is>
          <t>302c6ebc7de25ab0851c6c86bdad6106</t>
        </is>
      </c>
      <c r="B7174" s="29" t="n">
        <v>43187</v>
      </c>
      <c r="C7174" t="inlineStr">
        <is>
          <t>2018-03</t>
        </is>
      </c>
      <c r="D7174" t="inlineStr">
        <is>
          <t>007f9098284a86ee80ddeb25d53e0af8</t>
        </is>
      </c>
      <c r="E7174" t="inlineStr">
        <is>
          <t>paid_search</t>
        </is>
      </c>
      <c r="F7174">
        <f>IFERROR(MATCH(A7174,Deals!$A$2:$A$843,0),"")</f>
        <v/>
      </c>
      <c r="G7174">
        <f>IF(F7174="",0,1)</f>
        <v/>
      </c>
      <c r="H7174" s="29">
        <f>IF(F7174="","",INDEX(Deals!$E$2:$E$843,F7174))</f>
        <v/>
      </c>
      <c r="I7174">
        <f>IF(F7174="","",INDEX(Deals!$D$2:$D$843,F7174))</f>
        <v/>
      </c>
      <c r="J7174">
        <f>IF(F7174="","",INT(H7174)-B7174)</f>
        <v/>
      </c>
      <c r="K7174">
        <f>IF(B7174&gt;=Settings!$C$5,1,0)</f>
        <v/>
      </c>
    </row>
    <row r="7175">
      <c r="A7175" t="inlineStr">
        <is>
          <t>02323eaa86b0b8c52913bee4b0415965</t>
        </is>
      </c>
      <c r="B7175" s="29" t="n">
        <v>43192</v>
      </c>
      <c r="C7175" t="inlineStr">
        <is>
          <t>2018-04</t>
        </is>
      </c>
      <c r="D7175" t="inlineStr">
        <is>
          <t>58326e62183c14b0c03085c33b9fdc44</t>
        </is>
      </c>
      <c r="E7175" t="inlineStr">
        <is>
          <t>social</t>
        </is>
      </c>
      <c r="F7175">
        <f>IFERROR(MATCH(A7175,Deals!$A$2:$A$843,0),"")</f>
        <v/>
      </c>
      <c r="G7175">
        <f>IF(F7175="",0,1)</f>
        <v/>
      </c>
      <c r="H7175" s="29">
        <f>IF(F7175="","",INDEX(Deals!$E$2:$E$843,F7175))</f>
        <v/>
      </c>
      <c r="I7175">
        <f>IF(F7175="","",INDEX(Deals!$D$2:$D$843,F7175))</f>
        <v/>
      </c>
      <c r="J7175">
        <f>IF(F7175="","",INT(H7175)-B7175)</f>
        <v/>
      </c>
      <c r="K7175">
        <f>IF(B7175&gt;=Settings!$C$5,1,0)</f>
        <v/>
      </c>
    </row>
    <row r="7176">
      <c r="A7176" t="inlineStr">
        <is>
          <t>4b97f0f09717a033b75c10a27f9f5339</t>
        </is>
      </c>
      <c r="B7176" s="29" t="n">
        <v>43213</v>
      </c>
      <c r="C7176" t="inlineStr">
        <is>
          <t>2018-04</t>
        </is>
      </c>
      <c r="D7176" t="inlineStr">
        <is>
          <t>58326e62183c14b0c03085c33b9fdc44</t>
        </is>
      </c>
      <c r="E7176" t="inlineStr">
        <is>
          <t>social</t>
        </is>
      </c>
      <c r="F7176">
        <f>IFERROR(MATCH(A7176,Deals!$A$2:$A$843,0),"")</f>
        <v/>
      </c>
      <c r="G7176">
        <f>IF(F7176="",0,1)</f>
        <v/>
      </c>
      <c r="H7176" s="29">
        <f>IF(F7176="","",INDEX(Deals!$E$2:$E$843,F7176))</f>
        <v/>
      </c>
      <c r="I7176">
        <f>IF(F7176="","",INDEX(Deals!$D$2:$D$843,F7176))</f>
        <v/>
      </c>
      <c r="J7176">
        <f>IF(F7176="","",INT(H7176)-B7176)</f>
        <v/>
      </c>
      <c r="K7176">
        <f>IF(B7176&gt;=Settings!$C$5,1,0)</f>
        <v/>
      </c>
    </row>
    <row r="7177">
      <c r="A7177" t="inlineStr">
        <is>
          <t>cc649336067d9c3eec99d6e9657c2e1a</t>
        </is>
      </c>
      <c r="B7177" s="29" t="n">
        <v>43147</v>
      </c>
      <c r="C7177" t="inlineStr">
        <is>
          <t>2018-02</t>
        </is>
      </c>
      <c r="D7177" t="inlineStr">
        <is>
          <t>88740e65d5d6b056e0cda098e1ea6313</t>
        </is>
      </c>
      <c r="E7177" t="inlineStr">
        <is>
          <t>social</t>
        </is>
      </c>
      <c r="F7177">
        <f>IFERROR(MATCH(A7177,Deals!$A$2:$A$843,0),"")</f>
        <v/>
      </c>
      <c r="G7177">
        <f>IF(F7177="",0,1)</f>
        <v/>
      </c>
      <c r="H7177" s="29">
        <f>IF(F7177="","",INDEX(Deals!$E$2:$E$843,F7177))</f>
        <v/>
      </c>
      <c r="I7177">
        <f>IF(F7177="","",INDEX(Deals!$D$2:$D$843,F7177))</f>
        <v/>
      </c>
      <c r="J7177">
        <f>IF(F7177="","",INT(H7177)-B7177)</f>
        <v/>
      </c>
      <c r="K7177">
        <f>IF(B7177&gt;=Settings!$C$5,1,0)</f>
        <v/>
      </c>
    </row>
    <row r="7178">
      <c r="A7178" t="inlineStr">
        <is>
          <t>8d57c03206c460f9e9637e46b8337713</t>
        </is>
      </c>
      <c r="B7178" s="29" t="n">
        <v>43239</v>
      </c>
      <c r="C7178" t="inlineStr">
        <is>
          <t>2018-05</t>
        </is>
      </c>
      <c r="D7178" t="inlineStr">
        <is>
          <t>5dc848e7dd9418dffe183215b8ff0bc1</t>
        </is>
      </c>
      <c r="E7178" t="inlineStr">
        <is>
          <t>(missing)</t>
        </is>
      </c>
      <c r="F7178">
        <f>IFERROR(MATCH(A7178,Deals!$A$2:$A$843,0),"")</f>
        <v/>
      </c>
      <c r="G7178">
        <f>IF(F7178="",0,1)</f>
        <v/>
      </c>
      <c r="H7178" s="29">
        <f>IF(F7178="","",INDEX(Deals!$E$2:$E$843,F7178))</f>
        <v/>
      </c>
      <c r="I7178">
        <f>IF(F7178="","",INDEX(Deals!$D$2:$D$843,F7178))</f>
        <v/>
      </c>
      <c r="J7178">
        <f>IF(F7178="","",INT(H7178)-B7178)</f>
        <v/>
      </c>
      <c r="K7178">
        <f>IF(B7178&gt;=Settings!$C$5,1,0)</f>
        <v/>
      </c>
    </row>
    <row r="7179">
      <c r="A7179" t="inlineStr">
        <is>
          <t>a7aef852029ddd8bba20bf60b536415b</t>
        </is>
      </c>
      <c r="B7179" s="29" t="n">
        <v>43161</v>
      </c>
      <c r="C7179" t="inlineStr">
        <is>
          <t>2018-03</t>
        </is>
      </c>
      <c r="D7179" t="inlineStr">
        <is>
          <t>bdaeb752e5c3caa215ebe04c61e22325</t>
        </is>
      </c>
      <c r="E7179" t="inlineStr">
        <is>
          <t>organic_search</t>
        </is>
      </c>
      <c r="F7179">
        <f>IFERROR(MATCH(A7179,Deals!$A$2:$A$843,0),"")</f>
        <v/>
      </c>
      <c r="G7179">
        <f>IF(F7179="",0,1)</f>
        <v/>
      </c>
      <c r="H7179" s="29">
        <f>IF(F7179="","",INDEX(Deals!$E$2:$E$843,F7179))</f>
        <v/>
      </c>
      <c r="I7179">
        <f>IF(F7179="","",INDEX(Deals!$D$2:$D$843,F7179))</f>
        <v/>
      </c>
      <c r="J7179">
        <f>IF(F7179="","",INT(H7179)-B7179)</f>
        <v/>
      </c>
      <c r="K7179">
        <f>IF(B7179&gt;=Settings!$C$5,1,0)</f>
        <v/>
      </c>
    </row>
    <row r="7180">
      <c r="A7180" t="inlineStr">
        <is>
          <t>93eeb56ae2930647f2a428006b81d7ec</t>
        </is>
      </c>
      <c r="B7180" s="29" t="n">
        <v>43241</v>
      </c>
      <c r="C7180" t="inlineStr">
        <is>
          <t>2018-05</t>
        </is>
      </c>
      <c r="D7180" t="inlineStr">
        <is>
          <t>431a558885d03bf98bc3747f78cdfab7</t>
        </is>
      </c>
      <c r="E7180" t="inlineStr">
        <is>
          <t>email</t>
        </is>
      </c>
      <c r="F7180">
        <f>IFERROR(MATCH(A7180,Deals!$A$2:$A$843,0),"")</f>
        <v/>
      </c>
      <c r="G7180">
        <f>IF(F7180="",0,1)</f>
        <v/>
      </c>
      <c r="H7180" s="29">
        <f>IF(F7180="","",INDEX(Deals!$E$2:$E$843,F7180))</f>
        <v/>
      </c>
      <c r="I7180">
        <f>IF(F7180="","",INDEX(Deals!$D$2:$D$843,F7180))</f>
        <v/>
      </c>
      <c r="J7180">
        <f>IF(F7180="","",INT(H7180)-B7180)</f>
        <v/>
      </c>
      <c r="K7180">
        <f>IF(B7180&gt;=Settings!$C$5,1,0)</f>
        <v/>
      </c>
    </row>
    <row r="7181">
      <c r="A7181" t="inlineStr">
        <is>
          <t>f29fa72991dafa0ab83a053e89b9866a</t>
        </is>
      </c>
      <c r="B7181" s="29" t="n">
        <v>42930</v>
      </c>
      <c r="C7181" t="inlineStr">
        <is>
          <t>2017-07</t>
        </is>
      </c>
      <c r="D7181" t="inlineStr">
        <is>
          <t>a56671a54260a44923d32c2f08fad39c</t>
        </is>
      </c>
      <c r="E7181" t="inlineStr">
        <is>
          <t>organic_search</t>
        </is>
      </c>
      <c r="F7181">
        <f>IFERROR(MATCH(A7181,Deals!$A$2:$A$843,0),"")</f>
        <v/>
      </c>
      <c r="G7181">
        <f>IF(F7181="",0,1)</f>
        <v/>
      </c>
      <c r="H7181" s="29">
        <f>IF(F7181="","",INDEX(Deals!$E$2:$E$843,F7181))</f>
        <v/>
      </c>
      <c r="I7181">
        <f>IF(F7181="","",INDEX(Deals!$D$2:$D$843,F7181))</f>
        <v/>
      </c>
      <c r="J7181">
        <f>IF(F7181="","",INT(H7181)-B7181)</f>
        <v/>
      </c>
      <c r="K7181">
        <f>IF(B7181&gt;=Settings!$C$5,1,0)</f>
        <v/>
      </c>
    </row>
    <row r="7182">
      <c r="A7182" t="inlineStr">
        <is>
          <t>46604b5a2dc5852fd0733df3fb8e88c7</t>
        </is>
      </c>
      <c r="B7182" s="29" t="n">
        <v>43220</v>
      </c>
      <c r="C7182" t="inlineStr">
        <is>
          <t>2018-04</t>
        </is>
      </c>
      <c r="D7182" t="inlineStr">
        <is>
          <t>58326e62183c14b0c03085c33b9fdc44</t>
        </is>
      </c>
      <c r="E7182" t="inlineStr">
        <is>
          <t>social</t>
        </is>
      </c>
      <c r="F7182">
        <f>IFERROR(MATCH(A7182,Deals!$A$2:$A$843,0),"")</f>
        <v/>
      </c>
      <c r="G7182">
        <f>IF(F7182="",0,1)</f>
        <v/>
      </c>
      <c r="H7182" s="29">
        <f>IF(F7182="","",INDEX(Deals!$E$2:$E$843,F7182))</f>
        <v/>
      </c>
      <c r="I7182">
        <f>IF(F7182="","",INDEX(Deals!$D$2:$D$843,F7182))</f>
        <v/>
      </c>
      <c r="J7182">
        <f>IF(F7182="","",INT(H7182)-B7182)</f>
        <v/>
      </c>
      <c r="K7182">
        <f>IF(B7182&gt;=Settings!$C$5,1,0)</f>
        <v/>
      </c>
    </row>
    <row r="7183">
      <c r="A7183" t="inlineStr">
        <is>
          <t>49dc7cd8ce0972b8a305b2d14202a000</t>
        </is>
      </c>
      <c r="B7183" s="29" t="n">
        <v>43248</v>
      </c>
      <c r="C7183" t="inlineStr">
        <is>
          <t>2018-05</t>
        </is>
      </c>
      <c r="D7183" t="inlineStr">
        <is>
          <t>58326e62183c14b0c03085c33b9fdc44</t>
        </is>
      </c>
      <c r="E7183" t="inlineStr">
        <is>
          <t>social</t>
        </is>
      </c>
      <c r="F7183">
        <f>IFERROR(MATCH(A7183,Deals!$A$2:$A$843,0),"")</f>
        <v/>
      </c>
      <c r="G7183">
        <f>IF(F7183="",0,1)</f>
        <v/>
      </c>
      <c r="H7183" s="29">
        <f>IF(F7183="","",INDEX(Deals!$E$2:$E$843,F7183))</f>
        <v/>
      </c>
      <c r="I7183">
        <f>IF(F7183="","",INDEX(Deals!$D$2:$D$843,F7183))</f>
        <v/>
      </c>
      <c r="J7183">
        <f>IF(F7183="","",INT(H7183)-B7183)</f>
        <v/>
      </c>
      <c r="K7183">
        <f>IF(B7183&gt;=Settings!$C$5,1,0)</f>
        <v/>
      </c>
    </row>
    <row r="7184">
      <c r="A7184" t="inlineStr">
        <is>
          <t>547d2c7ee10071970623b11c797ff97c</t>
        </is>
      </c>
      <c r="B7184" s="29" t="n">
        <v>43112</v>
      </c>
      <c r="C7184" t="inlineStr">
        <is>
          <t>2018-01</t>
        </is>
      </c>
      <c r="D7184" t="inlineStr">
        <is>
          <t>ce1a65abd0973638f1c887a6efcfa82d</t>
        </is>
      </c>
      <c r="E7184" t="inlineStr">
        <is>
          <t>referral</t>
        </is>
      </c>
      <c r="F7184">
        <f>IFERROR(MATCH(A7184,Deals!$A$2:$A$843,0),"")</f>
        <v/>
      </c>
      <c r="G7184">
        <f>IF(F7184="",0,1)</f>
        <v/>
      </c>
      <c r="H7184" s="29">
        <f>IF(F7184="","",INDEX(Deals!$E$2:$E$843,F7184))</f>
        <v/>
      </c>
      <c r="I7184">
        <f>IF(F7184="","",INDEX(Deals!$D$2:$D$843,F7184))</f>
        <v/>
      </c>
      <c r="J7184">
        <f>IF(F7184="","",INT(H7184)-B7184)</f>
        <v/>
      </c>
      <c r="K7184">
        <f>IF(B7184&gt;=Settings!$C$5,1,0)</f>
        <v/>
      </c>
    </row>
    <row r="7185">
      <c r="A7185" t="inlineStr">
        <is>
          <t>ce721edac2d10ef0b2ee26c40924d7a5</t>
        </is>
      </c>
      <c r="B7185" s="29" t="n">
        <v>43089</v>
      </c>
      <c r="C7185" t="inlineStr">
        <is>
          <t>2017-12</t>
        </is>
      </c>
      <c r="D7185" t="inlineStr">
        <is>
          <t>b76ef37428e6799c421989521c0e5077</t>
        </is>
      </c>
      <c r="E7185" t="inlineStr">
        <is>
          <t>unknown</t>
        </is>
      </c>
      <c r="F7185">
        <f>IFERROR(MATCH(A7185,Deals!$A$2:$A$843,0),"")</f>
        <v/>
      </c>
      <c r="G7185">
        <f>IF(F7185="",0,1)</f>
        <v/>
      </c>
      <c r="H7185" s="29">
        <f>IF(F7185="","",INDEX(Deals!$E$2:$E$843,F7185))</f>
        <v/>
      </c>
      <c r="I7185">
        <f>IF(F7185="","",INDEX(Deals!$D$2:$D$843,F7185))</f>
        <v/>
      </c>
      <c r="J7185">
        <f>IF(F7185="","",INT(H7185)-B7185)</f>
        <v/>
      </c>
      <c r="K7185">
        <f>IF(B7185&gt;=Settings!$C$5,1,0)</f>
        <v/>
      </c>
    </row>
    <row r="7186">
      <c r="A7186" t="inlineStr">
        <is>
          <t>181449a8478703241021e2e2557351d2</t>
        </is>
      </c>
      <c r="B7186" s="29" t="n">
        <v>43235</v>
      </c>
      <c r="C7186" t="inlineStr">
        <is>
          <t>2018-05</t>
        </is>
      </c>
      <c r="D7186" t="inlineStr">
        <is>
          <t>6a110e795dd487f1cf8d7583671987af</t>
        </is>
      </c>
      <c r="E7186" t="inlineStr">
        <is>
          <t>email</t>
        </is>
      </c>
      <c r="F7186">
        <f>IFERROR(MATCH(A7186,Deals!$A$2:$A$843,0),"")</f>
        <v/>
      </c>
      <c r="G7186">
        <f>IF(F7186="",0,1)</f>
        <v/>
      </c>
      <c r="H7186" s="29">
        <f>IF(F7186="","",INDEX(Deals!$E$2:$E$843,F7186))</f>
        <v/>
      </c>
      <c r="I7186">
        <f>IF(F7186="","",INDEX(Deals!$D$2:$D$843,F7186))</f>
        <v/>
      </c>
      <c r="J7186">
        <f>IF(F7186="","",INT(H7186)-B7186)</f>
        <v/>
      </c>
      <c r="K7186">
        <f>IF(B7186&gt;=Settings!$C$5,1,0)</f>
        <v/>
      </c>
    </row>
    <row r="7187">
      <c r="A7187" t="inlineStr">
        <is>
          <t>dd82d58268453ca1c56996aa87e97fca</t>
        </is>
      </c>
      <c r="B7187" s="29" t="n">
        <v>43139</v>
      </c>
      <c r="C7187" t="inlineStr">
        <is>
          <t>2018-02</t>
        </is>
      </c>
      <c r="D7187" t="inlineStr">
        <is>
          <t>966098efaef7a4d665be6b0cb617541b</t>
        </is>
      </c>
      <c r="E7187" t="inlineStr">
        <is>
          <t>direct_traffic</t>
        </is>
      </c>
      <c r="F7187">
        <f>IFERROR(MATCH(A7187,Deals!$A$2:$A$843,0),"")</f>
        <v/>
      </c>
      <c r="G7187">
        <f>IF(F7187="",0,1)</f>
        <v/>
      </c>
      <c r="H7187" s="29">
        <f>IF(F7187="","",INDEX(Deals!$E$2:$E$843,F7187))</f>
        <v/>
      </c>
      <c r="I7187">
        <f>IF(F7187="","",INDEX(Deals!$D$2:$D$843,F7187))</f>
        <v/>
      </c>
      <c r="J7187">
        <f>IF(F7187="","",INT(H7187)-B7187)</f>
        <v/>
      </c>
      <c r="K7187">
        <f>IF(B7187&gt;=Settings!$C$5,1,0)</f>
        <v/>
      </c>
    </row>
    <row r="7188">
      <c r="A7188" t="inlineStr">
        <is>
          <t>a3e7b6c90a3b35c05f6ee036ad95b1e7</t>
        </is>
      </c>
      <c r="B7188" s="29" t="n">
        <v>43112</v>
      </c>
      <c r="C7188" t="inlineStr">
        <is>
          <t>2018-01</t>
        </is>
      </c>
      <c r="D7188" t="inlineStr">
        <is>
          <t>b76ef37428e6799c421989521c0e5077</t>
        </is>
      </c>
      <c r="E7188" t="inlineStr">
        <is>
          <t>unknown</t>
        </is>
      </c>
      <c r="F7188">
        <f>IFERROR(MATCH(A7188,Deals!$A$2:$A$843,0),"")</f>
        <v/>
      </c>
      <c r="G7188">
        <f>IF(F7188="",0,1)</f>
        <v/>
      </c>
      <c r="H7188" s="29">
        <f>IF(F7188="","",INDEX(Deals!$E$2:$E$843,F7188))</f>
        <v/>
      </c>
      <c r="I7188">
        <f>IF(F7188="","",INDEX(Deals!$D$2:$D$843,F7188))</f>
        <v/>
      </c>
      <c r="J7188">
        <f>IF(F7188="","",INT(H7188)-B7188)</f>
        <v/>
      </c>
      <c r="K7188">
        <f>IF(B7188&gt;=Settings!$C$5,1,0)</f>
        <v/>
      </c>
    </row>
    <row r="7189">
      <c r="A7189" t="inlineStr">
        <is>
          <t>9a0bd8dc33467938cdafba5ebc5bbeab</t>
        </is>
      </c>
      <c r="B7189" s="29" t="n">
        <v>43224</v>
      </c>
      <c r="C7189" t="inlineStr">
        <is>
          <t>2018-05</t>
        </is>
      </c>
      <c r="D7189" t="inlineStr">
        <is>
          <t>e492ee5eaf1697716985cc6f33f9cd9b</t>
        </is>
      </c>
      <c r="E7189" t="inlineStr">
        <is>
          <t>organic_search</t>
        </is>
      </c>
      <c r="F7189">
        <f>IFERROR(MATCH(A7189,Deals!$A$2:$A$843,0),"")</f>
        <v/>
      </c>
      <c r="G7189">
        <f>IF(F7189="",0,1)</f>
        <v/>
      </c>
      <c r="H7189" s="29">
        <f>IF(F7189="","",INDEX(Deals!$E$2:$E$843,F7189))</f>
        <v/>
      </c>
      <c r="I7189">
        <f>IF(F7189="","",INDEX(Deals!$D$2:$D$843,F7189))</f>
        <v/>
      </c>
      <c r="J7189">
        <f>IF(F7189="","",INT(H7189)-B7189)</f>
        <v/>
      </c>
      <c r="K7189">
        <f>IF(B7189&gt;=Settings!$C$5,1,0)</f>
        <v/>
      </c>
    </row>
    <row r="7190">
      <c r="A7190" t="inlineStr">
        <is>
          <t>ec5ab2bab6fdb880337c5c92785f77dd</t>
        </is>
      </c>
      <c r="B7190" s="29" t="n">
        <v>43050</v>
      </c>
      <c r="C7190" t="inlineStr">
        <is>
          <t>2017-11</t>
        </is>
      </c>
      <c r="D7190" t="inlineStr">
        <is>
          <t>88740e65d5d6b056e0cda098e1ea6313</t>
        </is>
      </c>
      <c r="E7190" t="inlineStr">
        <is>
          <t>social</t>
        </is>
      </c>
      <c r="F7190">
        <f>IFERROR(MATCH(A7190,Deals!$A$2:$A$843,0),"")</f>
        <v/>
      </c>
      <c r="G7190">
        <f>IF(F7190="",0,1)</f>
        <v/>
      </c>
      <c r="H7190" s="29">
        <f>IF(F7190="","",INDEX(Deals!$E$2:$E$843,F7190))</f>
        <v/>
      </c>
      <c r="I7190">
        <f>IF(F7190="","",INDEX(Deals!$D$2:$D$843,F7190))</f>
        <v/>
      </c>
      <c r="J7190">
        <f>IF(F7190="","",INT(H7190)-B7190)</f>
        <v/>
      </c>
      <c r="K7190">
        <f>IF(B7190&gt;=Settings!$C$5,1,0)</f>
        <v/>
      </c>
    </row>
    <row r="7191">
      <c r="A7191" t="inlineStr">
        <is>
          <t>28c634381653ecb8ffcf146cd8caf34e</t>
        </is>
      </c>
      <c r="B7191" s="29" t="n">
        <v>43137</v>
      </c>
      <c r="C7191" t="inlineStr">
        <is>
          <t>2018-02</t>
        </is>
      </c>
      <c r="D7191" t="inlineStr">
        <is>
          <t>f017be4dbf86243af5c1ebed0cff36a2</t>
        </is>
      </c>
      <c r="E7191" t="inlineStr">
        <is>
          <t>organic_search</t>
        </is>
      </c>
      <c r="F7191">
        <f>IFERROR(MATCH(A7191,Deals!$A$2:$A$843,0),"")</f>
        <v/>
      </c>
      <c r="G7191">
        <f>IF(F7191="",0,1)</f>
        <v/>
      </c>
      <c r="H7191" s="29">
        <f>IF(F7191="","",INDEX(Deals!$E$2:$E$843,F7191))</f>
        <v/>
      </c>
      <c r="I7191">
        <f>IF(F7191="","",INDEX(Deals!$D$2:$D$843,F7191))</f>
        <v/>
      </c>
      <c r="J7191">
        <f>IF(F7191="","",INT(H7191)-B7191)</f>
        <v/>
      </c>
      <c r="K7191">
        <f>IF(B7191&gt;=Settings!$C$5,1,0)</f>
        <v/>
      </c>
    </row>
    <row r="7192">
      <c r="A7192" t="inlineStr">
        <is>
          <t>6548cf02964800e58014e5040bb14e01</t>
        </is>
      </c>
      <c r="B7192" s="29" t="n">
        <v>43053</v>
      </c>
      <c r="C7192" t="inlineStr">
        <is>
          <t>2017-11</t>
        </is>
      </c>
      <c r="D7192" t="inlineStr">
        <is>
          <t>b48ec5f3b04e9068441002a19df93c6c</t>
        </is>
      </c>
      <c r="E7192" t="inlineStr">
        <is>
          <t>paid_search</t>
        </is>
      </c>
      <c r="F7192">
        <f>IFERROR(MATCH(A7192,Deals!$A$2:$A$843,0),"")</f>
        <v/>
      </c>
      <c r="G7192">
        <f>IF(F7192="",0,1)</f>
        <v/>
      </c>
      <c r="H7192" s="29">
        <f>IF(F7192="","",INDEX(Deals!$E$2:$E$843,F7192))</f>
        <v/>
      </c>
      <c r="I7192">
        <f>IF(F7192="","",INDEX(Deals!$D$2:$D$843,F7192))</f>
        <v/>
      </c>
      <c r="J7192">
        <f>IF(F7192="","",INT(H7192)-B7192)</f>
        <v/>
      </c>
      <c r="K7192">
        <f>IF(B7192&gt;=Settings!$C$5,1,0)</f>
        <v/>
      </c>
    </row>
    <row r="7193">
      <c r="A7193" t="inlineStr">
        <is>
          <t>f923af82780472d2c31bb6cea94ba72f</t>
        </is>
      </c>
      <c r="B7193" s="29" t="n">
        <v>43226</v>
      </c>
      <c r="C7193" t="inlineStr">
        <is>
          <t>2018-05</t>
        </is>
      </c>
      <c r="D7193" t="inlineStr">
        <is>
          <t>58326e62183c14b0c03085c33b9fdc44</t>
        </is>
      </c>
      <c r="E7193" t="inlineStr">
        <is>
          <t>social</t>
        </is>
      </c>
      <c r="F7193">
        <f>IFERROR(MATCH(A7193,Deals!$A$2:$A$843,0),"")</f>
        <v/>
      </c>
      <c r="G7193">
        <f>IF(F7193="",0,1)</f>
        <v/>
      </c>
      <c r="H7193" s="29">
        <f>IF(F7193="","",INDEX(Deals!$E$2:$E$843,F7193))</f>
        <v/>
      </c>
      <c r="I7193">
        <f>IF(F7193="","",INDEX(Deals!$D$2:$D$843,F7193))</f>
        <v/>
      </c>
      <c r="J7193">
        <f>IF(F7193="","",INT(H7193)-B7193)</f>
        <v/>
      </c>
      <c r="K7193">
        <f>IF(B7193&gt;=Settings!$C$5,1,0)</f>
        <v/>
      </c>
    </row>
    <row r="7194">
      <c r="A7194" t="inlineStr">
        <is>
          <t>1d782ef33c1a154781d25b9a4ef174a1</t>
        </is>
      </c>
      <c r="B7194" s="29" t="n">
        <v>43207</v>
      </c>
      <c r="C7194" t="inlineStr">
        <is>
          <t>2018-04</t>
        </is>
      </c>
      <c r="D7194" t="inlineStr">
        <is>
          <t>40dec9f3d5259a3d2dbcdab2114fae47</t>
        </is>
      </c>
      <c r="E7194" t="inlineStr">
        <is>
          <t>paid_search</t>
        </is>
      </c>
      <c r="F7194">
        <f>IFERROR(MATCH(A7194,Deals!$A$2:$A$843,0),"")</f>
        <v/>
      </c>
      <c r="G7194">
        <f>IF(F7194="",0,1)</f>
        <v/>
      </c>
      <c r="H7194" s="29">
        <f>IF(F7194="","",INDEX(Deals!$E$2:$E$843,F7194))</f>
        <v/>
      </c>
      <c r="I7194">
        <f>IF(F7194="","",INDEX(Deals!$D$2:$D$843,F7194))</f>
        <v/>
      </c>
      <c r="J7194">
        <f>IF(F7194="","",INT(H7194)-B7194)</f>
        <v/>
      </c>
      <c r="K7194">
        <f>IF(B7194&gt;=Settings!$C$5,1,0)</f>
        <v/>
      </c>
    </row>
    <row r="7195">
      <c r="A7195" t="inlineStr">
        <is>
          <t>d9e76e452a5ee37e51bf5c74ad9138e2</t>
        </is>
      </c>
      <c r="B7195" s="29" t="n">
        <v>43248</v>
      </c>
      <c r="C7195" t="inlineStr">
        <is>
          <t>2018-05</t>
        </is>
      </c>
      <c r="D7195" t="inlineStr">
        <is>
          <t>58326e62183c14b0c03085c33b9fdc44</t>
        </is>
      </c>
      <c r="E7195" t="inlineStr">
        <is>
          <t>social</t>
        </is>
      </c>
      <c r="F7195">
        <f>IFERROR(MATCH(A7195,Deals!$A$2:$A$843,0),"")</f>
        <v/>
      </c>
      <c r="G7195">
        <f>IF(F7195="",0,1)</f>
        <v/>
      </c>
      <c r="H7195" s="29">
        <f>IF(F7195="","",INDEX(Deals!$E$2:$E$843,F7195))</f>
        <v/>
      </c>
      <c r="I7195">
        <f>IF(F7195="","",INDEX(Deals!$D$2:$D$843,F7195))</f>
        <v/>
      </c>
      <c r="J7195">
        <f>IF(F7195="","",INT(H7195)-B7195)</f>
        <v/>
      </c>
      <c r="K7195">
        <f>IF(B7195&gt;=Settings!$C$5,1,0)</f>
        <v/>
      </c>
    </row>
    <row r="7196">
      <c r="A7196" t="inlineStr">
        <is>
          <t>e1508a958e7df0833ae54777d6475b9e</t>
        </is>
      </c>
      <c r="B7196" s="29" t="n">
        <v>43158</v>
      </c>
      <c r="C7196" t="inlineStr">
        <is>
          <t>2018-02</t>
        </is>
      </c>
      <c r="D7196" t="inlineStr">
        <is>
          <t>a7982125ff7aa3b2054c6e44f9d28522</t>
        </is>
      </c>
      <c r="E7196" t="inlineStr">
        <is>
          <t>organic_search</t>
        </is>
      </c>
      <c r="F7196">
        <f>IFERROR(MATCH(A7196,Deals!$A$2:$A$843,0),"")</f>
        <v/>
      </c>
      <c r="G7196">
        <f>IF(F7196="",0,1)</f>
        <v/>
      </c>
      <c r="H7196" s="29">
        <f>IF(F7196="","",INDEX(Deals!$E$2:$E$843,F7196))</f>
        <v/>
      </c>
      <c r="I7196">
        <f>IF(F7196="","",INDEX(Deals!$D$2:$D$843,F7196))</f>
        <v/>
      </c>
      <c r="J7196">
        <f>IF(F7196="","",INT(H7196)-B7196)</f>
        <v/>
      </c>
      <c r="K7196">
        <f>IF(B7196&gt;=Settings!$C$5,1,0)</f>
        <v/>
      </c>
    </row>
    <row r="7197">
      <c r="A7197" t="inlineStr">
        <is>
          <t>8ffbcd62cdf41da17fd1d32fa3ba9a28</t>
        </is>
      </c>
      <c r="B7197" s="29" t="n">
        <v>43043</v>
      </c>
      <c r="C7197" t="inlineStr">
        <is>
          <t>2017-11</t>
        </is>
      </c>
      <c r="D7197" t="inlineStr">
        <is>
          <t>88740e65d5d6b056e0cda098e1ea6313</t>
        </is>
      </c>
      <c r="E7197" t="inlineStr">
        <is>
          <t>social</t>
        </is>
      </c>
      <c r="F7197">
        <f>IFERROR(MATCH(A7197,Deals!$A$2:$A$843,0),"")</f>
        <v/>
      </c>
      <c r="G7197">
        <f>IF(F7197="",0,1)</f>
        <v/>
      </c>
      <c r="H7197" s="29">
        <f>IF(F7197="","",INDEX(Deals!$E$2:$E$843,F7197))</f>
        <v/>
      </c>
      <c r="I7197">
        <f>IF(F7197="","",INDEX(Deals!$D$2:$D$843,F7197))</f>
        <v/>
      </c>
      <c r="J7197">
        <f>IF(F7197="","",INT(H7197)-B7197)</f>
        <v/>
      </c>
      <c r="K7197">
        <f>IF(B7197&gt;=Settings!$C$5,1,0)</f>
        <v/>
      </c>
    </row>
    <row r="7198">
      <c r="A7198" t="inlineStr">
        <is>
          <t>4e6809f26fea04711177d3d55880f25c</t>
        </is>
      </c>
      <c r="B7198" s="29" t="n">
        <v>43194</v>
      </c>
      <c r="C7198" t="inlineStr">
        <is>
          <t>2018-04</t>
        </is>
      </c>
      <c r="D7198" t="inlineStr">
        <is>
          <t>872eb32141128a5320bfe7b8cf80fc14</t>
        </is>
      </c>
      <c r="E7198" t="inlineStr">
        <is>
          <t>organic_search</t>
        </is>
      </c>
      <c r="F7198">
        <f>IFERROR(MATCH(A7198,Deals!$A$2:$A$843,0),"")</f>
        <v/>
      </c>
      <c r="G7198">
        <f>IF(F7198="",0,1)</f>
        <v/>
      </c>
      <c r="H7198" s="29">
        <f>IF(F7198="","",INDEX(Deals!$E$2:$E$843,F7198))</f>
        <v/>
      </c>
      <c r="I7198">
        <f>IF(F7198="","",INDEX(Deals!$D$2:$D$843,F7198))</f>
        <v/>
      </c>
      <c r="J7198">
        <f>IF(F7198="","",INT(H7198)-B7198)</f>
        <v/>
      </c>
      <c r="K7198">
        <f>IF(B7198&gt;=Settings!$C$5,1,0)</f>
        <v/>
      </c>
    </row>
    <row r="7199">
      <c r="A7199" t="inlineStr">
        <is>
          <t>0865a2682d751a58d08b2773a65bc047</t>
        </is>
      </c>
      <c r="B7199" s="29" t="n">
        <v>43179</v>
      </c>
      <c r="C7199" t="inlineStr">
        <is>
          <t>2018-03</t>
        </is>
      </c>
      <c r="D7199" t="inlineStr">
        <is>
          <t>e492ee5eaf1697716985cc6f33f9cd9b</t>
        </is>
      </c>
      <c r="E7199" t="inlineStr">
        <is>
          <t>organic_search</t>
        </is>
      </c>
      <c r="F7199">
        <f>IFERROR(MATCH(A7199,Deals!$A$2:$A$843,0),"")</f>
        <v/>
      </c>
      <c r="G7199">
        <f>IF(F7199="",0,1)</f>
        <v/>
      </c>
      <c r="H7199" s="29">
        <f>IF(F7199="","",INDEX(Deals!$E$2:$E$843,F7199))</f>
        <v/>
      </c>
      <c r="I7199">
        <f>IF(F7199="","",INDEX(Deals!$D$2:$D$843,F7199))</f>
        <v/>
      </c>
      <c r="J7199">
        <f>IF(F7199="","",INT(H7199)-B7199)</f>
        <v/>
      </c>
      <c r="K7199">
        <f>IF(B7199&gt;=Settings!$C$5,1,0)</f>
        <v/>
      </c>
    </row>
    <row r="7200">
      <c r="A7200" t="inlineStr">
        <is>
          <t>239771729fe22c7c1bdbf136f7304eed</t>
        </is>
      </c>
      <c r="B7200" s="29" t="n">
        <v>43243</v>
      </c>
      <c r="C7200" t="inlineStr">
        <is>
          <t>2018-05</t>
        </is>
      </c>
      <c r="D7200" t="inlineStr">
        <is>
          <t>b76ef37428e6799c421989521c0e5077</t>
        </is>
      </c>
      <c r="E7200" t="inlineStr">
        <is>
          <t>organic_search</t>
        </is>
      </c>
      <c r="F7200">
        <f>IFERROR(MATCH(A7200,Deals!$A$2:$A$843,0),"")</f>
        <v/>
      </c>
      <c r="G7200">
        <f>IF(F7200="",0,1)</f>
        <v/>
      </c>
      <c r="H7200" s="29">
        <f>IF(F7200="","",INDEX(Deals!$E$2:$E$843,F7200))</f>
        <v/>
      </c>
      <c r="I7200">
        <f>IF(F7200="","",INDEX(Deals!$D$2:$D$843,F7200))</f>
        <v/>
      </c>
      <c r="J7200">
        <f>IF(F7200="","",INT(H7200)-B7200)</f>
        <v/>
      </c>
      <c r="K7200">
        <f>IF(B7200&gt;=Settings!$C$5,1,0)</f>
        <v/>
      </c>
    </row>
    <row r="7201">
      <c r="A7201" t="inlineStr">
        <is>
          <t>4e5afc2f14dbfba8d6eb8a76697acbb3</t>
        </is>
      </c>
      <c r="B7201" s="29" t="n">
        <v>43206</v>
      </c>
      <c r="C7201" t="inlineStr">
        <is>
          <t>2018-04</t>
        </is>
      </c>
      <c r="D7201" t="inlineStr">
        <is>
          <t>22c29808c4f815213303f8933030604c</t>
        </is>
      </c>
      <c r="E7201" t="inlineStr">
        <is>
          <t>paid_search</t>
        </is>
      </c>
      <c r="F7201">
        <f>IFERROR(MATCH(A7201,Deals!$A$2:$A$843,0),"")</f>
        <v/>
      </c>
      <c r="G7201">
        <f>IF(F7201="",0,1)</f>
        <v/>
      </c>
      <c r="H7201" s="29">
        <f>IF(F7201="","",INDEX(Deals!$E$2:$E$843,F7201))</f>
        <v/>
      </c>
      <c r="I7201">
        <f>IF(F7201="","",INDEX(Deals!$D$2:$D$843,F7201))</f>
        <v/>
      </c>
      <c r="J7201">
        <f>IF(F7201="","",INT(H7201)-B7201)</f>
        <v/>
      </c>
      <c r="K7201">
        <f>IF(B7201&gt;=Settings!$C$5,1,0)</f>
        <v/>
      </c>
    </row>
    <row r="7202">
      <c r="A7202" t="inlineStr">
        <is>
          <t>5ed9dcf3d3d3dd8712866e81ddeaa03d</t>
        </is>
      </c>
      <c r="B7202" s="29" t="n">
        <v>42964</v>
      </c>
      <c r="C7202" t="inlineStr">
        <is>
          <t>2017-08</t>
        </is>
      </c>
      <c r="D7202" t="inlineStr">
        <is>
          <t>128d8c3f32b8aa66b5bcbe4e26dfc78d</t>
        </is>
      </c>
      <c r="E7202" t="inlineStr">
        <is>
          <t>email</t>
        </is>
      </c>
      <c r="F7202">
        <f>IFERROR(MATCH(A7202,Deals!$A$2:$A$843,0),"")</f>
        <v/>
      </c>
      <c r="G7202">
        <f>IF(F7202="",0,1)</f>
        <v/>
      </c>
      <c r="H7202" s="29">
        <f>IF(F7202="","",INDEX(Deals!$E$2:$E$843,F7202))</f>
        <v/>
      </c>
      <c r="I7202">
        <f>IF(F7202="","",INDEX(Deals!$D$2:$D$843,F7202))</f>
        <v/>
      </c>
      <c r="J7202">
        <f>IF(F7202="","",INT(H7202)-B7202)</f>
        <v/>
      </c>
      <c r="K7202">
        <f>IF(B7202&gt;=Settings!$C$5,1,0)</f>
        <v/>
      </c>
    </row>
    <row r="7203">
      <c r="A7203" t="inlineStr">
        <is>
          <t>831979cdc82239bb411794d618b7cfbb</t>
        </is>
      </c>
      <c r="B7203" s="29" t="n">
        <v>43130</v>
      </c>
      <c r="C7203" t="inlineStr">
        <is>
          <t>2018-01</t>
        </is>
      </c>
      <c r="D7203" t="inlineStr">
        <is>
          <t>30077c17f2ec5010a82e37ad8925b95f</t>
        </is>
      </c>
      <c r="E7203" t="inlineStr">
        <is>
          <t>referral</t>
        </is>
      </c>
      <c r="F7203">
        <f>IFERROR(MATCH(A7203,Deals!$A$2:$A$843,0),"")</f>
        <v/>
      </c>
      <c r="G7203">
        <f>IF(F7203="",0,1)</f>
        <v/>
      </c>
      <c r="H7203" s="29">
        <f>IF(F7203="","",INDEX(Deals!$E$2:$E$843,F7203))</f>
        <v/>
      </c>
      <c r="I7203">
        <f>IF(F7203="","",INDEX(Deals!$D$2:$D$843,F7203))</f>
        <v/>
      </c>
      <c r="J7203">
        <f>IF(F7203="","",INT(H7203)-B7203)</f>
        <v/>
      </c>
      <c r="K7203">
        <f>IF(B7203&gt;=Settings!$C$5,1,0)</f>
        <v/>
      </c>
    </row>
    <row r="7204">
      <c r="A7204" t="inlineStr">
        <is>
          <t>e7f99b7b2b7cb062458cdbd24bc36b2c</t>
        </is>
      </c>
      <c r="B7204" s="29" t="n">
        <v>43234</v>
      </c>
      <c r="C7204" t="inlineStr">
        <is>
          <t>2018-05</t>
        </is>
      </c>
      <c r="D7204" t="inlineStr">
        <is>
          <t>58326e62183c14b0c03085c33b9fdc44</t>
        </is>
      </c>
      <c r="E7204" t="inlineStr">
        <is>
          <t>social</t>
        </is>
      </c>
      <c r="F7204">
        <f>IFERROR(MATCH(A7204,Deals!$A$2:$A$843,0),"")</f>
        <v/>
      </c>
      <c r="G7204">
        <f>IF(F7204="",0,1)</f>
        <v/>
      </c>
      <c r="H7204" s="29">
        <f>IF(F7204="","",INDEX(Deals!$E$2:$E$843,F7204))</f>
        <v/>
      </c>
      <c r="I7204">
        <f>IF(F7204="","",INDEX(Deals!$D$2:$D$843,F7204))</f>
        <v/>
      </c>
      <c r="J7204">
        <f>IF(F7204="","",INT(H7204)-B7204)</f>
        <v/>
      </c>
      <c r="K7204">
        <f>IF(B7204&gt;=Settings!$C$5,1,0)</f>
        <v/>
      </c>
    </row>
    <row r="7205">
      <c r="A7205" t="inlineStr">
        <is>
          <t>a48884d23209d41ff619426412acae4f</t>
        </is>
      </c>
      <c r="B7205" s="29" t="n">
        <v>43127</v>
      </c>
      <c r="C7205" t="inlineStr">
        <is>
          <t>2018-01</t>
        </is>
      </c>
      <c r="D7205" t="inlineStr">
        <is>
          <t>e492ee5eaf1697716985cc6f33f9cd9b</t>
        </is>
      </c>
      <c r="E7205" t="inlineStr">
        <is>
          <t>other</t>
        </is>
      </c>
      <c r="F7205">
        <f>IFERROR(MATCH(A7205,Deals!$A$2:$A$843,0),"")</f>
        <v/>
      </c>
      <c r="G7205">
        <f>IF(F7205="",0,1)</f>
        <v/>
      </c>
      <c r="H7205" s="29">
        <f>IF(F7205="","",INDEX(Deals!$E$2:$E$843,F7205))</f>
        <v/>
      </c>
      <c r="I7205">
        <f>IF(F7205="","",INDEX(Deals!$D$2:$D$843,F7205))</f>
        <v/>
      </c>
      <c r="J7205">
        <f>IF(F7205="","",INT(H7205)-B7205)</f>
        <v/>
      </c>
      <c r="K7205">
        <f>IF(B7205&gt;=Settings!$C$5,1,0)</f>
        <v/>
      </c>
    </row>
    <row r="7206">
      <c r="A7206" t="inlineStr">
        <is>
          <t>a58bc8cfed4166df1e58739cf56c5a04</t>
        </is>
      </c>
      <c r="B7206" s="29" t="n">
        <v>43216</v>
      </c>
      <c r="C7206" t="inlineStr">
        <is>
          <t>2018-04</t>
        </is>
      </c>
      <c r="D7206" t="inlineStr">
        <is>
          <t>c494978688ccf66ad9fad3d6a3338c22</t>
        </is>
      </c>
      <c r="E7206" t="inlineStr">
        <is>
          <t>organic_search</t>
        </is>
      </c>
      <c r="F7206">
        <f>IFERROR(MATCH(A7206,Deals!$A$2:$A$843,0),"")</f>
        <v/>
      </c>
      <c r="G7206">
        <f>IF(F7206="",0,1)</f>
        <v/>
      </c>
      <c r="H7206" s="29">
        <f>IF(F7206="","",INDEX(Deals!$E$2:$E$843,F7206))</f>
        <v/>
      </c>
      <c r="I7206">
        <f>IF(F7206="","",INDEX(Deals!$D$2:$D$843,F7206))</f>
        <v/>
      </c>
      <c r="J7206">
        <f>IF(F7206="","",INT(H7206)-B7206)</f>
        <v/>
      </c>
      <c r="K7206">
        <f>IF(B7206&gt;=Settings!$C$5,1,0)</f>
        <v/>
      </c>
    </row>
    <row r="7207">
      <c r="A7207" t="inlineStr">
        <is>
          <t>70511a1284530a38874efc696ec1ad26</t>
        </is>
      </c>
      <c r="B7207" s="29" t="n">
        <v>43144</v>
      </c>
      <c r="C7207" t="inlineStr">
        <is>
          <t>2018-02</t>
        </is>
      </c>
      <c r="D7207" t="inlineStr">
        <is>
          <t>b76ef37428e6799c421989521c0e5077</t>
        </is>
      </c>
      <c r="E7207" t="inlineStr">
        <is>
          <t>unknown</t>
        </is>
      </c>
      <c r="F7207">
        <f>IFERROR(MATCH(A7207,Deals!$A$2:$A$843,0),"")</f>
        <v/>
      </c>
      <c r="G7207">
        <f>IF(F7207="",0,1)</f>
        <v/>
      </c>
      <c r="H7207" s="29">
        <f>IF(F7207="","",INDEX(Deals!$E$2:$E$843,F7207))</f>
        <v/>
      </c>
      <c r="I7207">
        <f>IF(F7207="","",INDEX(Deals!$D$2:$D$843,F7207))</f>
        <v/>
      </c>
      <c r="J7207">
        <f>IF(F7207="","",INT(H7207)-B7207)</f>
        <v/>
      </c>
      <c r="K7207">
        <f>IF(B7207&gt;=Settings!$C$5,1,0)</f>
        <v/>
      </c>
    </row>
    <row r="7208">
      <c r="A7208" t="inlineStr">
        <is>
          <t>b5e9c7ea20276c57e2e893343186fffd</t>
        </is>
      </c>
      <c r="B7208" s="29" t="n">
        <v>43218</v>
      </c>
      <c r="C7208" t="inlineStr">
        <is>
          <t>2018-04</t>
        </is>
      </c>
      <c r="D7208" t="inlineStr">
        <is>
          <t>58326e62183c14b0c03085c33b9fdc44</t>
        </is>
      </c>
      <c r="E7208" t="inlineStr">
        <is>
          <t>social</t>
        </is>
      </c>
      <c r="F7208">
        <f>IFERROR(MATCH(A7208,Deals!$A$2:$A$843,0),"")</f>
        <v/>
      </c>
      <c r="G7208">
        <f>IF(F7208="",0,1)</f>
        <v/>
      </c>
      <c r="H7208" s="29">
        <f>IF(F7208="","",INDEX(Deals!$E$2:$E$843,F7208))</f>
        <v/>
      </c>
      <c r="I7208">
        <f>IF(F7208="","",INDEX(Deals!$D$2:$D$843,F7208))</f>
        <v/>
      </c>
      <c r="J7208">
        <f>IF(F7208="","",INT(H7208)-B7208)</f>
        <v/>
      </c>
      <c r="K7208">
        <f>IF(B7208&gt;=Settings!$C$5,1,0)</f>
        <v/>
      </c>
    </row>
    <row r="7209">
      <c r="A7209" t="inlineStr">
        <is>
          <t>2210bc8c8682f678d552ff7add41b418</t>
        </is>
      </c>
      <c r="B7209" s="29" t="n">
        <v>42926</v>
      </c>
      <c r="C7209" t="inlineStr">
        <is>
          <t>2017-07</t>
        </is>
      </c>
      <c r="D7209" t="inlineStr">
        <is>
          <t>007f9098284a86ee80ddeb25d53e0af8</t>
        </is>
      </c>
      <c r="E7209" t="inlineStr">
        <is>
          <t>organic_search</t>
        </is>
      </c>
      <c r="F7209">
        <f>IFERROR(MATCH(A7209,Deals!$A$2:$A$843,0),"")</f>
        <v/>
      </c>
      <c r="G7209">
        <f>IF(F7209="",0,1)</f>
        <v/>
      </c>
      <c r="H7209" s="29">
        <f>IF(F7209="","",INDEX(Deals!$E$2:$E$843,F7209))</f>
        <v/>
      </c>
      <c r="I7209">
        <f>IF(F7209="","",INDEX(Deals!$D$2:$D$843,F7209))</f>
        <v/>
      </c>
      <c r="J7209">
        <f>IF(F7209="","",INT(H7209)-B7209)</f>
        <v/>
      </c>
      <c r="K7209">
        <f>IF(B7209&gt;=Settings!$C$5,1,0)</f>
        <v/>
      </c>
    </row>
    <row r="7210">
      <c r="A7210" t="inlineStr">
        <is>
          <t>a1f822aee4a7a8bad18385af7c7b420f</t>
        </is>
      </c>
      <c r="B7210" s="29" t="n">
        <v>43108</v>
      </c>
      <c r="C7210" t="inlineStr">
        <is>
          <t>2018-01</t>
        </is>
      </c>
      <c r="D7210" t="inlineStr">
        <is>
          <t>73f31a40697cc90a86c1273563ac230e</t>
        </is>
      </c>
      <c r="E7210" t="inlineStr">
        <is>
          <t>organic_search</t>
        </is>
      </c>
      <c r="F7210">
        <f>IFERROR(MATCH(A7210,Deals!$A$2:$A$843,0),"")</f>
        <v/>
      </c>
      <c r="G7210">
        <f>IF(F7210="",0,1)</f>
        <v/>
      </c>
      <c r="H7210" s="29">
        <f>IF(F7210="","",INDEX(Deals!$E$2:$E$843,F7210))</f>
        <v/>
      </c>
      <c r="I7210">
        <f>IF(F7210="","",INDEX(Deals!$D$2:$D$843,F7210))</f>
        <v/>
      </c>
      <c r="J7210">
        <f>IF(F7210="","",INT(H7210)-B7210)</f>
        <v/>
      </c>
      <c r="K7210">
        <f>IF(B7210&gt;=Settings!$C$5,1,0)</f>
        <v/>
      </c>
    </row>
    <row r="7211">
      <c r="A7211" t="inlineStr">
        <is>
          <t>7ff17e7aa3064d218ef36ab0557414df</t>
        </is>
      </c>
      <c r="B7211" s="29" t="n">
        <v>43040</v>
      </c>
      <c r="C7211" t="inlineStr">
        <is>
          <t>2017-11</t>
        </is>
      </c>
      <c r="D7211" t="inlineStr">
        <is>
          <t>60ea0bbb4ee471b6b99e8b892847a8db</t>
        </is>
      </c>
      <c r="E7211" t="inlineStr">
        <is>
          <t>organic_search</t>
        </is>
      </c>
      <c r="F7211">
        <f>IFERROR(MATCH(A7211,Deals!$A$2:$A$843,0),"")</f>
        <v/>
      </c>
      <c r="G7211">
        <f>IF(F7211="",0,1)</f>
        <v/>
      </c>
      <c r="H7211" s="29">
        <f>IF(F7211="","",INDEX(Deals!$E$2:$E$843,F7211))</f>
        <v/>
      </c>
      <c r="I7211">
        <f>IF(F7211="","",INDEX(Deals!$D$2:$D$843,F7211))</f>
        <v/>
      </c>
      <c r="J7211">
        <f>IF(F7211="","",INT(H7211)-B7211)</f>
        <v/>
      </c>
      <c r="K7211">
        <f>IF(B7211&gt;=Settings!$C$5,1,0)</f>
        <v/>
      </c>
    </row>
    <row r="7212">
      <c r="A7212" t="inlineStr">
        <is>
          <t>fe3b6e7520c12eb81a834c497690fcff</t>
        </is>
      </c>
      <c r="B7212" s="29" t="n">
        <v>43133</v>
      </c>
      <c r="C7212" t="inlineStr">
        <is>
          <t>2018-02</t>
        </is>
      </c>
      <c r="D7212" t="inlineStr">
        <is>
          <t>ce1a65abd0973638f1c887a6efcfa82d</t>
        </is>
      </c>
      <c r="E7212" t="inlineStr">
        <is>
          <t>organic_search</t>
        </is>
      </c>
      <c r="F7212">
        <f>IFERROR(MATCH(A7212,Deals!$A$2:$A$843,0),"")</f>
        <v/>
      </c>
      <c r="G7212">
        <f>IF(F7212="",0,1)</f>
        <v/>
      </c>
      <c r="H7212" s="29">
        <f>IF(F7212="","",INDEX(Deals!$E$2:$E$843,F7212))</f>
        <v/>
      </c>
      <c r="I7212">
        <f>IF(F7212="","",INDEX(Deals!$D$2:$D$843,F7212))</f>
        <v/>
      </c>
      <c r="J7212">
        <f>IF(F7212="","",INT(H7212)-B7212)</f>
        <v/>
      </c>
      <c r="K7212">
        <f>IF(B7212&gt;=Settings!$C$5,1,0)</f>
        <v/>
      </c>
    </row>
    <row r="7213">
      <c r="A7213" t="inlineStr">
        <is>
          <t>af3fd5c5ee075c3b22c7cc2175d85e5a</t>
        </is>
      </c>
      <c r="B7213" s="29" t="n">
        <v>43146</v>
      </c>
      <c r="C7213" t="inlineStr">
        <is>
          <t>2018-02</t>
        </is>
      </c>
      <c r="D7213" t="inlineStr">
        <is>
          <t>40dec9f3d5259a3d2dbcdab2114fae47</t>
        </is>
      </c>
      <c r="E7213" t="inlineStr">
        <is>
          <t>paid_search</t>
        </is>
      </c>
      <c r="F7213">
        <f>IFERROR(MATCH(A7213,Deals!$A$2:$A$843,0),"")</f>
        <v/>
      </c>
      <c r="G7213">
        <f>IF(F7213="",0,1)</f>
        <v/>
      </c>
      <c r="H7213" s="29">
        <f>IF(F7213="","",INDEX(Deals!$E$2:$E$843,F7213))</f>
        <v/>
      </c>
      <c r="I7213">
        <f>IF(F7213="","",INDEX(Deals!$D$2:$D$843,F7213))</f>
        <v/>
      </c>
      <c r="J7213">
        <f>IF(F7213="","",INT(H7213)-B7213)</f>
        <v/>
      </c>
      <c r="K7213">
        <f>IF(B7213&gt;=Settings!$C$5,1,0)</f>
        <v/>
      </c>
    </row>
    <row r="7214">
      <c r="A7214" t="inlineStr">
        <is>
          <t>ca4b48b1d7cc3755fa151c151d6e3fb5</t>
        </is>
      </c>
      <c r="B7214" s="29" t="n">
        <v>43250</v>
      </c>
      <c r="C7214" t="inlineStr">
        <is>
          <t>2018-05</t>
        </is>
      </c>
      <c r="D7214" t="inlineStr">
        <is>
          <t>22c29808c4f815213303f8933030604c</t>
        </is>
      </c>
      <c r="E7214" t="inlineStr">
        <is>
          <t>organic_search</t>
        </is>
      </c>
      <c r="F7214">
        <f>IFERROR(MATCH(A7214,Deals!$A$2:$A$843,0),"")</f>
        <v/>
      </c>
      <c r="G7214">
        <f>IF(F7214="",0,1)</f>
        <v/>
      </c>
      <c r="H7214" s="29">
        <f>IF(F7214="","",INDEX(Deals!$E$2:$E$843,F7214))</f>
        <v/>
      </c>
      <c r="I7214">
        <f>IF(F7214="","",INDEX(Deals!$D$2:$D$843,F7214))</f>
        <v/>
      </c>
      <c r="J7214">
        <f>IF(F7214="","",INT(H7214)-B7214)</f>
        <v/>
      </c>
      <c r="K7214">
        <f>IF(B7214&gt;=Settings!$C$5,1,0)</f>
        <v/>
      </c>
    </row>
    <row r="7215">
      <c r="A7215" t="inlineStr">
        <is>
          <t>af510bf0d85300a0865178e3cd99e6c3</t>
        </is>
      </c>
      <c r="B7215" s="29" t="n">
        <v>43179</v>
      </c>
      <c r="C7215" t="inlineStr">
        <is>
          <t>2018-03</t>
        </is>
      </c>
      <c r="D7215" t="inlineStr">
        <is>
          <t>73f31a40697cc90a86c1273563ac230e</t>
        </is>
      </c>
      <c r="E7215" t="inlineStr">
        <is>
          <t>referral</t>
        </is>
      </c>
      <c r="F7215">
        <f>IFERROR(MATCH(A7215,Deals!$A$2:$A$843,0),"")</f>
        <v/>
      </c>
      <c r="G7215">
        <f>IF(F7215="",0,1)</f>
        <v/>
      </c>
      <c r="H7215" s="29">
        <f>IF(F7215="","",INDEX(Deals!$E$2:$E$843,F7215))</f>
        <v/>
      </c>
      <c r="I7215">
        <f>IF(F7215="","",INDEX(Deals!$D$2:$D$843,F7215))</f>
        <v/>
      </c>
      <c r="J7215">
        <f>IF(F7215="","",INT(H7215)-B7215)</f>
        <v/>
      </c>
      <c r="K7215">
        <f>IF(B7215&gt;=Settings!$C$5,1,0)</f>
        <v/>
      </c>
    </row>
    <row r="7216">
      <c r="A7216" t="inlineStr">
        <is>
          <t>0d4c8e8f080ebba0f8ca13a2faaa390c</t>
        </is>
      </c>
      <c r="B7216" s="29" t="n">
        <v>43185</v>
      </c>
      <c r="C7216" t="inlineStr">
        <is>
          <t>2018-03</t>
        </is>
      </c>
      <c r="D7216" t="inlineStr">
        <is>
          <t>22c29808c4f815213303f8933030604c</t>
        </is>
      </c>
      <c r="E7216" t="inlineStr">
        <is>
          <t>direct_traffic</t>
        </is>
      </c>
      <c r="F7216">
        <f>IFERROR(MATCH(A7216,Deals!$A$2:$A$843,0),"")</f>
        <v/>
      </c>
      <c r="G7216">
        <f>IF(F7216="",0,1)</f>
        <v/>
      </c>
      <c r="H7216" s="29">
        <f>IF(F7216="","",INDEX(Deals!$E$2:$E$843,F7216))</f>
        <v/>
      </c>
      <c r="I7216">
        <f>IF(F7216="","",INDEX(Deals!$D$2:$D$843,F7216))</f>
        <v/>
      </c>
      <c r="J7216">
        <f>IF(F7216="","",INT(H7216)-B7216)</f>
        <v/>
      </c>
      <c r="K7216">
        <f>IF(B7216&gt;=Settings!$C$5,1,0)</f>
        <v/>
      </c>
    </row>
    <row r="7217">
      <c r="A7217" t="inlineStr">
        <is>
          <t>b8ab596fde54c47e4b01c9936389dccc</t>
        </is>
      </c>
      <c r="B7217" s="29" t="n">
        <v>43178</v>
      </c>
      <c r="C7217" t="inlineStr">
        <is>
          <t>2018-03</t>
        </is>
      </c>
      <c r="D7217" t="inlineStr">
        <is>
          <t>c35447dcd1a50b2e2ee3184be602b597</t>
        </is>
      </c>
      <c r="E7217" t="inlineStr">
        <is>
          <t>organic_search</t>
        </is>
      </c>
      <c r="F7217">
        <f>IFERROR(MATCH(A7217,Deals!$A$2:$A$843,0),"")</f>
        <v/>
      </c>
      <c r="G7217">
        <f>IF(F7217="",0,1)</f>
        <v/>
      </c>
      <c r="H7217" s="29">
        <f>IF(F7217="","",INDEX(Deals!$E$2:$E$843,F7217))</f>
        <v/>
      </c>
      <c r="I7217">
        <f>IF(F7217="","",INDEX(Deals!$D$2:$D$843,F7217))</f>
        <v/>
      </c>
      <c r="J7217">
        <f>IF(F7217="","",INT(H7217)-B7217)</f>
        <v/>
      </c>
      <c r="K7217">
        <f>IF(B7217&gt;=Settings!$C$5,1,0)</f>
        <v/>
      </c>
    </row>
    <row r="7218">
      <c r="A7218" t="inlineStr">
        <is>
          <t>7fe2dbdfeaf5a38247d08d41a32c6633</t>
        </is>
      </c>
      <c r="B7218" s="29" t="n">
        <v>43206</v>
      </c>
      <c r="C7218" t="inlineStr">
        <is>
          <t>2018-04</t>
        </is>
      </c>
      <c r="D7218" t="inlineStr">
        <is>
          <t>b8cc49b19db5de8ec30f938aa3d916a9</t>
        </is>
      </c>
      <c r="E7218" t="inlineStr">
        <is>
          <t>paid_search</t>
        </is>
      </c>
      <c r="F7218">
        <f>IFERROR(MATCH(A7218,Deals!$A$2:$A$843,0),"")</f>
        <v/>
      </c>
      <c r="G7218">
        <f>IF(F7218="",0,1)</f>
        <v/>
      </c>
      <c r="H7218" s="29">
        <f>IF(F7218="","",INDEX(Deals!$E$2:$E$843,F7218))</f>
        <v/>
      </c>
      <c r="I7218">
        <f>IF(F7218="","",INDEX(Deals!$D$2:$D$843,F7218))</f>
        <v/>
      </c>
      <c r="J7218">
        <f>IF(F7218="","",INT(H7218)-B7218)</f>
        <v/>
      </c>
      <c r="K7218">
        <f>IF(B7218&gt;=Settings!$C$5,1,0)</f>
        <v/>
      </c>
    </row>
    <row r="7219">
      <c r="A7219" t="inlineStr">
        <is>
          <t>813ce9042f6ebca30e639cc1b7156507</t>
        </is>
      </c>
      <c r="B7219" s="29" t="n">
        <v>43180</v>
      </c>
      <c r="C7219" t="inlineStr">
        <is>
          <t>2018-03</t>
        </is>
      </c>
      <c r="D7219" t="inlineStr">
        <is>
          <t>dcdbbb0bb43f5c9ea457a8363db87e73</t>
        </is>
      </c>
      <c r="E7219" t="inlineStr">
        <is>
          <t>organic_search</t>
        </is>
      </c>
      <c r="F7219">
        <f>IFERROR(MATCH(A7219,Deals!$A$2:$A$843,0),"")</f>
        <v/>
      </c>
      <c r="G7219">
        <f>IF(F7219="",0,1)</f>
        <v/>
      </c>
      <c r="H7219" s="29">
        <f>IF(F7219="","",INDEX(Deals!$E$2:$E$843,F7219))</f>
        <v/>
      </c>
      <c r="I7219">
        <f>IF(F7219="","",INDEX(Deals!$D$2:$D$843,F7219))</f>
        <v/>
      </c>
      <c r="J7219">
        <f>IF(F7219="","",INT(H7219)-B7219)</f>
        <v/>
      </c>
      <c r="K7219">
        <f>IF(B7219&gt;=Settings!$C$5,1,0)</f>
        <v/>
      </c>
    </row>
    <row r="7220">
      <c r="A7220" t="inlineStr">
        <is>
          <t>25fc970c557662556621b49222ccf78f</t>
        </is>
      </c>
      <c r="B7220" s="29" t="n">
        <v>42992</v>
      </c>
      <c r="C7220" t="inlineStr">
        <is>
          <t>2017-09</t>
        </is>
      </c>
      <c r="D7220" t="inlineStr">
        <is>
          <t>872eb32141128a5320bfe7b8cf80fc14</t>
        </is>
      </c>
      <c r="E7220" t="inlineStr">
        <is>
          <t>organic_search</t>
        </is>
      </c>
      <c r="F7220">
        <f>IFERROR(MATCH(A7220,Deals!$A$2:$A$843,0),"")</f>
        <v/>
      </c>
      <c r="G7220">
        <f>IF(F7220="",0,1)</f>
        <v/>
      </c>
      <c r="H7220" s="29">
        <f>IF(F7220="","",INDEX(Deals!$E$2:$E$843,F7220))</f>
        <v/>
      </c>
      <c r="I7220">
        <f>IF(F7220="","",INDEX(Deals!$D$2:$D$843,F7220))</f>
        <v/>
      </c>
      <c r="J7220">
        <f>IF(F7220="","",INT(H7220)-B7220)</f>
        <v/>
      </c>
      <c r="K7220">
        <f>IF(B7220&gt;=Settings!$C$5,1,0)</f>
        <v/>
      </c>
    </row>
    <row r="7221">
      <c r="A7221" t="inlineStr">
        <is>
          <t>5da9cf9625826af0d8fd2452c33ad396</t>
        </is>
      </c>
      <c r="B7221" s="29" t="n">
        <v>43215</v>
      </c>
      <c r="C7221" t="inlineStr">
        <is>
          <t>2018-04</t>
        </is>
      </c>
      <c r="D7221" t="inlineStr">
        <is>
          <t>b76ef37428e6799c421989521c0e5077</t>
        </is>
      </c>
      <c r="E7221" t="inlineStr">
        <is>
          <t>unknown</t>
        </is>
      </c>
      <c r="F7221">
        <f>IFERROR(MATCH(A7221,Deals!$A$2:$A$843,0),"")</f>
        <v/>
      </c>
      <c r="G7221">
        <f>IF(F7221="",0,1)</f>
        <v/>
      </c>
      <c r="H7221" s="29">
        <f>IF(F7221="","",INDEX(Deals!$E$2:$E$843,F7221))</f>
        <v/>
      </c>
      <c r="I7221">
        <f>IF(F7221="","",INDEX(Deals!$D$2:$D$843,F7221))</f>
        <v/>
      </c>
      <c r="J7221">
        <f>IF(F7221="","",INT(H7221)-B7221)</f>
        <v/>
      </c>
      <c r="K7221">
        <f>IF(B7221&gt;=Settings!$C$5,1,0)</f>
        <v/>
      </c>
    </row>
    <row r="7222">
      <c r="A7222" t="inlineStr">
        <is>
          <t>e20453c4a33cc42c30d103d6d327503b</t>
        </is>
      </c>
      <c r="B7222" s="29" t="n">
        <v>43115</v>
      </c>
      <c r="C7222" t="inlineStr">
        <is>
          <t>2018-01</t>
        </is>
      </c>
      <c r="D7222" t="inlineStr">
        <is>
          <t>ce1a65abd0973638f1c887a6efcfa82d</t>
        </is>
      </c>
      <c r="E7222" t="inlineStr">
        <is>
          <t>email</t>
        </is>
      </c>
      <c r="F7222">
        <f>IFERROR(MATCH(A7222,Deals!$A$2:$A$843,0),"")</f>
        <v/>
      </c>
      <c r="G7222">
        <f>IF(F7222="",0,1)</f>
        <v/>
      </c>
      <c r="H7222" s="29">
        <f>IF(F7222="","",INDEX(Deals!$E$2:$E$843,F7222))</f>
        <v/>
      </c>
      <c r="I7222">
        <f>IF(F7222="","",INDEX(Deals!$D$2:$D$843,F7222))</f>
        <v/>
      </c>
      <c r="J7222">
        <f>IF(F7222="","",INT(H7222)-B7222)</f>
        <v/>
      </c>
      <c r="K7222">
        <f>IF(B7222&gt;=Settings!$C$5,1,0)</f>
        <v/>
      </c>
    </row>
    <row r="7223">
      <c r="A7223" t="inlineStr">
        <is>
          <t>2e9806f9d005b04bf29665e786d9b845</t>
        </is>
      </c>
      <c r="B7223" s="29" t="n">
        <v>43107</v>
      </c>
      <c r="C7223" t="inlineStr">
        <is>
          <t>2018-01</t>
        </is>
      </c>
      <c r="D7223" t="inlineStr">
        <is>
          <t>88740e65d5d6b056e0cda098e1ea6313</t>
        </is>
      </c>
      <c r="E7223" t="inlineStr">
        <is>
          <t>paid_search</t>
        </is>
      </c>
      <c r="F7223">
        <f>IFERROR(MATCH(A7223,Deals!$A$2:$A$843,0),"")</f>
        <v/>
      </c>
      <c r="G7223">
        <f>IF(F7223="",0,1)</f>
        <v/>
      </c>
      <c r="H7223" s="29">
        <f>IF(F7223="","",INDEX(Deals!$E$2:$E$843,F7223))</f>
        <v/>
      </c>
      <c r="I7223">
        <f>IF(F7223="","",INDEX(Deals!$D$2:$D$843,F7223))</f>
        <v/>
      </c>
      <c r="J7223">
        <f>IF(F7223="","",INT(H7223)-B7223)</f>
        <v/>
      </c>
      <c r="K7223">
        <f>IF(B7223&gt;=Settings!$C$5,1,0)</f>
        <v/>
      </c>
    </row>
    <row r="7224">
      <c r="A7224" t="inlineStr">
        <is>
          <t>053126ddfffc6ab775ef39662e12cf52</t>
        </is>
      </c>
      <c r="B7224" s="29" t="n">
        <v>43242</v>
      </c>
      <c r="C7224" t="inlineStr">
        <is>
          <t>2018-05</t>
        </is>
      </c>
      <c r="D7224" t="inlineStr">
        <is>
          <t>ef8fd2bd651e9bede81dfb6e45480793</t>
        </is>
      </c>
      <c r="E7224" t="inlineStr">
        <is>
          <t>email</t>
        </is>
      </c>
      <c r="F7224">
        <f>IFERROR(MATCH(A7224,Deals!$A$2:$A$843,0),"")</f>
        <v/>
      </c>
      <c r="G7224">
        <f>IF(F7224="",0,1)</f>
        <v/>
      </c>
      <c r="H7224" s="29">
        <f>IF(F7224="","",INDEX(Deals!$E$2:$E$843,F7224))</f>
        <v/>
      </c>
      <c r="I7224">
        <f>IF(F7224="","",INDEX(Deals!$D$2:$D$843,F7224))</f>
        <v/>
      </c>
      <c r="J7224">
        <f>IF(F7224="","",INT(H7224)-B7224)</f>
        <v/>
      </c>
      <c r="K7224">
        <f>IF(B7224&gt;=Settings!$C$5,1,0)</f>
        <v/>
      </c>
    </row>
    <row r="7225">
      <c r="A7225" t="inlineStr">
        <is>
          <t>4ed0320ed979b48c8b1da129960a607d</t>
        </is>
      </c>
      <c r="B7225" s="29" t="n">
        <v>43227</v>
      </c>
      <c r="C7225" t="inlineStr">
        <is>
          <t>2018-05</t>
        </is>
      </c>
      <c r="D7225" t="inlineStr">
        <is>
          <t>ce1a65abd0973638f1c887a6efcfa82d</t>
        </is>
      </c>
      <c r="E7225" t="inlineStr">
        <is>
          <t>organic_search</t>
        </is>
      </c>
      <c r="F7225">
        <f>IFERROR(MATCH(A7225,Deals!$A$2:$A$843,0),"")</f>
        <v/>
      </c>
      <c r="G7225">
        <f>IF(F7225="",0,1)</f>
        <v/>
      </c>
      <c r="H7225" s="29">
        <f>IF(F7225="","",INDEX(Deals!$E$2:$E$843,F7225))</f>
        <v/>
      </c>
      <c r="I7225">
        <f>IF(F7225="","",INDEX(Deals!$D$2:$D$843,F7225))</f>
        <v/>
      </c>
      <c r="J7225">
        <f>IF(F7225="","",INT(H7225)-B7225)</f>
        <v/>
      </c>
      <c r="K7225">
        <f>IF(B7225&gt;=Settings!$C$5,1,0)</f>
        <v/>
      </c>
    </row>
    <row r="7226">
      <c r="A7226" t="inlineStr">
        <is>
          <t>6903a6decc9cc3ddea7cd1a0d9091878</t>
        </is>
      </c>
      <c r="B7226" s="29" t="n">
        <v>43137</v>
      </c>
      <c r="C7226" t="inlineStr">
        <is>
          <t>2018-02</t>
        </is>
      </c>
      <c r="D7226" t="inlineStr">
        <is>
          <t>22c29808c4f815213303f8933030604c</t>
        </is>
      </c>
      <c r="E7226" t="inlineStr">
        <is>
          <t>direct_traffic</t>
        </is>
      </c>
      <c r="F7226">
        <f>IFERROR(MATCH(A7226,Deals!$A$2:$A$843,0),"")</f>
        <v/>
      </c>
      <c r="G7226">
        <f>IF(F7226="",0,1)</f>
        <v/>
      </c>
      <c r="H7226" s="29">
        <f>IF(F7226="","",INDEX(Deals!$E$2:$E$843,F7226))</f>
        <v/>
      </c>
      <c r="I7226">
        <f>IF(F7226="","",INDEX(Deals!$D$2:$D$843,F7226))</f>
        <v/>
      </c>
      <c r="J7226">
        <f>IF(F7226="","",INT(H7226)-B7226)</f>
        <v/>
      </c>
      <c r="K7226">
        <f>IF(B7226&gt;=Settings!$C$5,1,0)</f>
        <v/>
      </c>
    </row>
    <row r="7227">
      <c r="A7227" t="inlineStr">
        <is>
          <t>cc557dfa77446015a59ff65cfa32929b</t>
        </is>
      </c>
      <c r="B7227" s="29" t="n">
        <v>43240</v>
      </c>
      <c r="C7227" t="inlineStr">
        <is>
          <t>2018-05</t>
        </is>
      </c>
      <c r="D7227" t="inlineStr">
        <is>
          <t>58326e62183c14b0c03085c33b9fdc44</t>
        </is>
      </c>
      <c r="E7227" t="inlineStr">
        <is>
          <t>social</t>
        </is>
      </c>
      <c r="F7227">
        <f>IFERROR(MATCH(A7227,Deals!$A$2:$A$843,0),"")</f>
        <v/>
      </c>
      <c r="G7227">
        <f>IF(F7227="",0,1)</f>
        <v/>
      </c>
      <c r="H7227" s="29">
        <f>IF(F7227="","",INDEX(Deals!$E$2:$E$843,F7227))</f>
        <v/>
      </c>
      <c r="I7227">
        <f>IF(F7227="","",INDEX(Deals!$D$2:$D$843,F7227))</f>
        <v/>
      </c>
      <c r="J7227">
        <f>IF(F7227="","",INT(H7227)-B7227)</f>
        <v/>
      </c>
      <c r="K7227">
        <f>IF(B7227&gt;=Settings!$C$5,1,0)</f>
        <v/>
      </c>
    </row>
    <row r="7228">
      <c r="A7228" t="inlineStr">
        <is>
          <t>8120c3da60c7eab350a03d0a30083aa4</t>
        </is>
      </c>
      <c r="B7228" s="29" t="n">
        <v>43206</v>
      </c>
      <c r="C7228" t="inlineStr">
        <is>
          <t>2018-04</t>
        </is>
      </c>
      <c r="D7228" t="inlineStr">
        <is>
          <t>649b7b8b46b254497e92038d88f6ced8</t>
        </is>
      </c>
      <c r="E7228" t="inlineStr">
        <is>
          <t>social</t>
        </is>
      </c>
      <c r="F7228">
        <f>IFERROR(MATCH(A7228,Deals!$A$2:$A$843,0),"")</f>
        <v/>
      </c>
      <c r="G7228">
        <f>IF(F7228="",0,1)</f>
        <v/>
      </c>
      <c r="H7228" s="29">
        <f>IF(F7228="","",INDEX(Deals!$E$2:$E$843,F7228))</f>
        <v/>
      </c>
      <c r="I7228">
        <f>IF(F7228="","",INDEX(Deals!$D$2:$D$843,F7228))</f>
        <v/>
      </c>
      <c r="J7228">
        <f>IF(F7228="","",INT(H7228)-B7228)</f>
        <v/>
      </c>
      <c r="K7228">
        <f>IF(B7228&gt;=Settings!$C$5,1,0)</f>
        <v/>
      </c>
    </row>
    <row r="7229">
      <c r="A7229" t="inlineStr">
        <is>
          <t>640a7ed507c48b905ef6fe2073f471d5</t>
        </is>
      </c>
      <c r="B7229" s="29" t="n">
        <v>43159</v>
      </c>
      <c r="C7229" t="inlineStr">
        <is>
          <t>2018-02</t>
        </is>
      </c>
      <c r="D7229" t="inlineStr">
        <is>
          <t>bddebc4f4d44106c427bd00695840e64</t>
        </is>
      </c>
      <c r="E7229" t="inlineStr">
        <is>
          <t>organic_search</t>
        </is>
      </c>
      <c r="F7229">
        <f>IFERROR(MATCH(A7229,Deals!$A$2:$A$843,0),"")</f>
        <v/>
      </c>
      <c r="G7229">
        <f>IF(F7229="",0,1)</f>
        <v/>
      </c>
      <c r="H7229" s="29">
        <f>IF(F7229="","",INDEX(Deals!$E$2:$E$843,F7229))</f>
        <v/>
      </c>
      <c r="I7229">
        <f>IF(F7229="","",INDEX(Deals!$D$2:$D$843,F7229))</f>
        <v/>
      </c>
      <c r="J7229">
        <f>IF(F7229="","",INT(H7229)-B7229)</f>
        <v/>
      </c>
      <c r="K7229">
        <f>IF(B7229&gt;=Settings!$C$5,1,0)</f>
        <v/>
      </c>
    </row>
    <row r="7230">
      <c r="A7230" t="inlineStr">
        <is>
          <t>0623815a789c473725fe584c43c777e9</t>
        </is>
      </c>
      <c r="B7230" s="29" t="n">
        <v>42955</v>
      </c>
      <c r="C7230" t="inlineStr">
        <is>
          <t>2017-08</t>
        </is>
      </c>
      <c r="D7230" t="inlineStr">
        <is>
          <t>b6885f18d203a61176418c1fb3764815</t>
        </is>
      </c>
      <c r="E7230" t="inlineStr">
        <is>
          <t>paid_search</t>
        </is>
      </c>
      <c r="F7230">
        <f>IFERROR(MATCH(A7230,Deals!$A$2:$A$843,0),"")</f>
        <v/>
      </c>
      <c r="G7230">
        <f>IF(F7230="",0,1)</f>
        <v/>
      </c>
      <c r="H7230" s="29">
        <f>IF(F7230="","",INDEX(Deals!$E$2:$E$843,F7230))</f>
        <v/>
      </c>
      <c r="I7230">
        <f>IF(F7230="","",INDEX(Deals!$D$2:$D$843,F7230))</f>
        <v/>
      </c>
      <c r="J7230">
        <f>IF(F7230="","",INT(H7230)-B7230)</f>
        <v/>
      </c>
      <c r="K7230">
        <f>IF(B7230&gt;=Settings!$C$5,1,0)</f>
        <v/>
      </c>
    </row>
    <row r="7231">
      <c r="A7231" t="inlineStr">
        <is>
          <t>2f9e00b759f8d090d2d2ecae1347104f</t>
        </is>
      </c>
      <c r="B7231" s="29" t="n">
        <v>43166</v>
      </c>
      <c r="C7231" t="inlineStr">
        <is>
          <t>2018-03</t>
        </is>
      </c>
      <c r="D7231" t="inlineStr">
        <is>
          <t>b76ef37428e6799c421989521c0e5077</t>
        </is>
      </c>
      <c r="E7231" t="inlineStr">
        <is>
          <t>organic_search</t>
        </is>
      </c>
      <c r="F7231">
        <f>IFERROR(MATCH(A7231,Deals!$A$2:$A$843,0),"")</f>
        <v/>
      </c>
      <c r="G7231">
        <f>IF(F7231="",0,1)</f>
        <v/>
      </c>
      <c r="H7231" s="29">
        <f>IF(F7231="","",INDEX(Deals!$E$2:$E$843,F7231))</f>
        <v/>
      </c>
      <c r="I7231">
        <f>IF(F7231="","",INDEX(Deals!$D$2:$D$843,F7231))</f>
        <v/>
      </c>
      <c r="J7231">
        <f>IF(F7231="","",INT(H7231)-B7231)</f>
        <v/>
      </c>
      <c r="K7231">
        <f>IF(B7231&gt;=Settings!$C$5,1,0)</f>
        <v/>
      </c>
    </row>
    <row r="7232">
      <c r="A7232" t="inlineStr">
        <is>
          <t>8e7ad9f076740e3652a62ae9e328c53f</t>
        </is>
      </c>
      <c r="B7232" s="29" t="n">
        <v>43124</v>
      </c>
      <c r="C7232" t="inlineStr">
        <is>
          <t>2018-01</t>
        </is>
      </c>
      <c r="D7232" t="inlineStr">
        <is>
          <t>b76ef37428e6799c421989521c0e5077</t>
        </is>
      </c>
      <c r="E7232" t="inlineStr">
        <is>
          <t>unknown</t>
        </is>
      </c>
      <c r="F7232">
        <f>IFERROR(MATCH(A7232,Deals!$A$2:$A$843,0),"")</f>
        <v/>
      </c>
      <c r="G7232">
        <f>IF(F7232="",0,1)</f>
        <v/>
      </c>
      <c r="H7232" s="29">
        <f>IF(F7232="","",INDEX(Deals!$E$2:$E$843,F7232))</f>
        <v/>
      </c>
      <c r="I7232">
        <f>IF(F7232="","",INDEX(Deals!$D$2:$D$843,F7232))</f>
        <v/>
      </c>
      <c r="J7232">
        <f>IF(F7232="","",INT(H7232)-B7232)</f>
        <v/>
      </c>
      <c r="K7232">
        <f>IF(B7232&gt;=Settings!$C$5,1,0)</f>
        <v/>
      </c>
    </row>
    <row r="7233">
      <c r="A7233" t="inlineStr">
        <is>
          <t>586ef1246d9a7c964ad8bda24c2ba581</t>
        </is>
      </c>
      <c r="B7233" s="29" t="n">
        <v>43013</v>
      </c>
      <c r="C7233" t="inlineStr">
        <is>
          <t>2017-10</t>
        </is>
      </c>
      <c r="D7233" t="inlineStr">
        <is>
          <t>22c29808c4f815213303f8933030604c</t>
        </is>
      </c>
      <c r="E7233" t="inlineStr">
        <is>
          <t>organic_search</t>
        </is>
      </c>
      <c r="F7233">
        <f>IFERROR(MATCH(A7233,Deals!$A$2:$A$843,0),"")</f>
        <v/>
      </c>
      <c r="G7233">
        <f>IF(F7233="",0,1)</f>
        <v/>
      </c>
      <c r="H7233" s="29">
        <f>IF(F7233="","",INDEX(Deals!$E$2:$E$843,F7233))</f>
        <v/>
      </c>
      <c r="I7233">
        <f>IF(F7233="","",INDEX(Deals!$D$2:$D$843,F7233))</f>
        <v/>
      </c>
      <c r="J7233">
        <f>IF(F7233="","",INT(H7233)-B7233)</f>
        <v/>
      </c>
      <c r="K7233">
        <f>IF(B7233&gt;=Settings!$C$5,1,0)</f>
        <v/>
      </c>
    </row>
    <row r="7234">
      <c r="A7234" t="inlineStr">
        <is>
          <t>276fb1a913db83e9ae13c02d780c2905</t>
        </is>
      </c>
      <c r="B7234" s="29" t="n">
        <v>43206</v>
      </c>
      <c r="C7234" t="inlineStr">
        <is>
          <t>2018-04</t>
        </is>
      </c>
      <c r="D7234" t="inlineStr">
        <is>
          <t>f98c2bd96ac4a5d9476734e790c91384</t>
        </is>
      </c>
      <c r="E7234" t="inlineStr">
        <is>
          <t>direct_traffic</t>
        </is>
      </c>
      <c r="F7234">
        <f>IFERROR(MATCH(A7234,Deals!$A$2:$A$843,0),"")</f>
        <v/>
      </c>
      <c r="G7234">
        <f>IF(F7234="",0,1)</f>
        <v/>
      </c>
      <c r="H7234" s="29">
        <f>IF(F7234="","",INDEX(Deals!$E$2:$E$843,F7234))</f>
        <v/>
      </c>
      <c r="I7234">
        <f>IF(F7234="","",INDEX(Deals!$D$2:$D$843,F7234))</f>
        <v/>
      </c>
      <c r="J7234">
        <f>IF(F7234="","",INT(H7234)-B7234)</f>
        <v/>
      </c>
      <c r="K7234">
        <f>IF(B7234&gt;=Settings!$C$5,1,0)</f>
        <v/>
      </c>
    </row>
    <row r="7235">
      <c r="A7235" t="inlineStr">
        <is>
          <t>c5e11c9dda5ce1e1570766249bb56a9a</t>
        </is>
      </c>
      <c r="B7235" s="29" t="n">
        <v>43230</v>
      </c>
      <c r="C7235" t="inlineStr">
        <is>
          <t>2018-05</t>
        </is>
      </c>
      <c r="D7235" t="inlineStr">
        <is>
          <t>b76ef37428e6799c421989521c0e5077</t>
        </is>
      </c>
      <c r="E7235" t="inlineStr">
        <is>
          <t>unknown</t>
        </is>
      </c>
      <c r="F7235">
        <f>IFERROR(MATCH(A7235,Deals!$A$2:$A$843,0),"")</f>
        <v/>
      </c>
      <c r="G7235">
        <f>IF(F7235="",0,1)</f>
        <v/>
      </c>
      <c r="H7235" s="29">
        <f>IF(F7235="","",INDEX(Deals!$E$2:$E$843,F7235))</f>
        <v/>
      </c>
      <c r="I7235">
        <f>IF(F7235="","",INDEX(Deals!$D$2:$D$843,F7235))</f>
        <v/>
      </c>
      <c r="J7235">
        <f>IF(F7235="","",INT(H7235)-B7235)</f>
        <v/>
      </c>
      <c r="K7235">
        <f>IF(B7235&gt;=Settings!$C$5,1,0)</f>
        <v/>
      </c>
    </row>
    <row r="7236">
      <c r="A7236" t="inlineStr">
        <is>
          <t>ee577c86d39b672b84ced795d14380dc</t>
        </is>
      </c>
      <c r="B7236" s="29" t="n">
        <v>43110</v>
      </c>
      <c r="C7236" t="inlineStr">
        <is>
          <t>2018-01</t>
        </is>
      </c>
      <c r="D7236" t="inlineStr">
        <is>
          <t>22c29808c4f815213303f8933030604c</t>
        </is>
      </c>
      <c r="E7236" t="inlineStr">
        <is>
          <t>organic_search</t>
        </is>
      </c>
      <c r="F7236">
        <f>IFERROR(MATCH(A7236,Deals!$A$2:$A$843,0),"")</f>
        <v/>
      </c>
      <c r="G7236">
        <f>IF(F7236="",0,1)</f>
        <v/>
      </c>
      <c r="H7236" s="29">
        <f>IF(F7236="","",INDEX(Deals!$E$2:$E$843,F7236))</f>
        <v/>
      </c>
      <c r="I7236">
        <f>IF(F7236="","",INDEX(Deals!$D$2:$D$843,F7236))</f>
        <v/>
      </c>
      <c r="J7236">
        <f>IF(F7236="","",INT(H7236)-B7236)</f>
        <v/>
      </c>
      <c r="K7236">
        <f>IF(B7236&gt;=Settings!$C$5,1,0)</f>
        <v/>
      </c>
    </row>
    <row r="7237">
      <c r="A7237" t="inlineStr">
        <is>
          <t>62e11dcfe1cca7274439efccbdaa8c40</t>
        </is>
      </c>
      <c r="B7237" s="29" t="n">
        <v>42985</v>
      </c>
      <c r="C7237" t="inlineStr">
        <is>
          <t>2017-09</t>
        </is>
      </c>
      <c r="D7237" t="inlineStr">
        <is>
          <t>c79bafc4a099ff23e3bab1534797fb45</t>
        </is>
      </c>
      <c r="E7237" t="inlineStr">
        <is>
          <t>paid_search</t>
        </is>
      </c>
      <c r="F7237">
        <f>IFERROR(MATCH(A7237,Deals!$A$2:$A$843,0),"")</f>
        <v/>
      </c>
      <c r="G7237">
        <f>IF(F7237="",0,1)</f>
        <v/>
      </c>
      <c r="H7237" s="29">
        <f>IF(F7237="","",INDEX(Deals!$E$2:$E$843,F7237))</f>
        <v/>
      </c>
      <c r="I7237">
        <f>IF(F7237="","",INDEX(Deals!$D$2:$D$843,F7237))</f>
        <v/>
      </c>
      <c r="J7237">
        <f>IF(F7237="","",INT(H7237)-B7237)</f>
        <v/>
      </c>
      <c r="K7237">
        <f>IF(B7237&gt;=Settings!$C$5,1,0)</f>
        <v/>
      </c>
    </row>
    <row r="7238">
      <c r="A7238" t="inlineStr">
        <is>
          <t>1f8ac4a305f85a4b617655db27206fe1</t>
        </is>
      </c>
      <c r="B7238" s="29" t="n">
        <v>42975</v>
      </c>
      <c r="C7238" t="inlineStr">
        <is>
          <t>2017-08</t>
        </is>
      </c>
      <c r="D7238" t="inlineStr">
        <is>
          <t>3cd2a8301d5395f21cdd3094c9eaa2f4</t>
        </is>
      </c>
      <c r="E7238" t="inlineStr">
        <is>
          <t>paid_search</t>
        </is>
      </c>
      <c r="F7238">
        <f>IFERROR(MATCH(A7238,Deals!$A$2:$A$843,0),"")</f>
        <v/>
      </c>
      <c r="G7238">
        <f>IF(F7238="",0,1)</f>
        <v/>
      </c>
      <c r="H7238" s="29">
        <f>IF(F7238="","",INDEX(Deals!$E$2:$E$843,F7238))</f>
        <v/>
      </c>
      <c r="I7238">
        <f>IF(F7238="","",INDEX(Deals!$D$2:$D$843,F7238))</f>
        <v/>
      </c>
      <c r="J7238">
        <f>IF(F7238="","",INT(H7238)-B7238)</f>
        <v/>
      </c>
      <c r="K7238">
        <f>IF(B7238&gt;=Settings!$C$5,1,0)</f>
        <v/>
      </c>
    </row>
    <row r="7239">
      <c r="A7239" t="inlineStr">
        <is>
          <t>c9d7ee04cf2f0f4e71dc61c5231975af</t>
        </is>
      </c>
      <c r="B7239" s="29" t="n">
        <v>43144</v>
      </c>
      <c r="C7239" t="inlineStr">
        <is>
          <t>2018-02</t>
        </is>
      </c>
      <c r="D7239" t="inlineStr">
        <is>
          <t>4aab772aeb9833c170d8ea5413e02eac</t>
        </is>
      </c>
      <c r="E7239" t="inlineStr">
        <is>
          <t>paid_search</t>
        </is>
      </c>
      <c r="F7239">
        <f>IFERROR(MATCH(A7239,Deals!$A$2:$A$843,0),"")</f>
        <v/>
      </c>
      <c r="G7239">
        <f>IF(F7239="",0,1)</f>
        <v/>
      </c>
      <c r="H7239" s="29">
        <f>IF(F7239="","",INDEX(Deals!$E$2:$E$843,F7239))</f>
        <v/>
      </c>
      <c r="I7239">
        <f>IF(F7239="","",INDEX(Deals!$D$2:$D$843,F7239))</f>
        <v/>
      </c>
      <c r="J7239">
        <f>IF(F7239="","",INT(H7239)-B7239)</f>
        <v/>
      </c>
      <c r="K7239">
        <f>IF(B7239&gt;=Settings!$C$5,1,0)</f>
        <v/>
      </c>
    </row>
    <row r="7240">
      <c r="A7240" t="inlineStr">
        <is>
          <t>681e38a876f8eb9fd9822b8f56545438</t>
        </is>
      </c>
      <c r="B7240" s="29" t="n">
        <v>43019</v>
      </c>
      <c r="C7240" t="inlineStr">
        <is>
          <t>2017-10</t>
        </is>
      </c>
      <c r="D7240" t="inlineStr">
        <is>
          <t>65d9f9d71e562365e8b44037c2888d98</t>
        </is>
      </c>
      <c r="E7240" t="inlineStr">
        <is>
          <t>organic_search</t>
        </is>
      </c>
      <c r="F7240">
        <f>IFERROR(MATCH(A7240,Deals!$A$2:$A$843,0),"")</f>
        <v/>
      </c>
      <c r="G7240">
        <f>IF(F7240="",0,1)</f>
        <v/>
      </c>
      <c r="H7240" s="29">
        <f>IF(F7240="","",INDEX(Deals!$E$2:$E$843,F7240))</f>
        <v/>
      </c>
      <c r="I7240">
        <f>IF(F7240="","",INDEX(Deals!$D$2:$D$843,F7240))</f>
        <v/>
      </c>
      <c r="J7240">
        <f>IF(F7240="","",INT(H7240)-B7240)</f>
        <v/>
      </c>
      <c r="K7240">
        <f>IF(B7240&gt;=Settings!$C$5,1,0)</f>
        <v/>
      </c>
    </row>
    <row r="7241">
      <c r="A7241" t="inlineStr">
        <is>
          <t>5b83fb24677833e90f10289321612401</t>
        </is>
      </c>
      <c r="B7241" s="29" t="n">
        <v>43243</v>
      </c>
      <c r="C7241" t="inlineStr">
        <is>
          <t>2018-05</t>
        </is>
      </c>
      <c r="D7241" t="inlineStr">
        <is>
          <t>36525851387908b96e770b1ce5d79a43</t>
        </is>
      </c>
      <c r="E7241" t="inlineStr">
        <is>
          <t>paid_search</t>
        </is>
      </c>
      <c r="F7241">
        <f>IFERROR(MATCH(A7241,Deals!$A$2:$A$843,0),"")</f>
        <v/>
      </c>
      <c r="G7241">
        <f>IF(F7241="",0,1)</f>
        <v/>
      </c>
      <c r="H7241" s="29">
        <f>IF(F7241="","",INDEX(Deals!$E$2:$E$843,F7241))</f>
        <v/>
      </c>
      <c r="I7241">
        <f>IF(F7241="","",INDEX(Deals!$D$2:$D$843,F7241))</f>
        <v/>
      </c>
      <c r="J7241">
        <f>IF(F7241="","",INT(H7241)-B7241)</f>
        <v/>
      </c>
      <c r="K7241">
        <f>IF(B7241&gt;=Settings!$C$5,1,0)</f>
        <v/>
      </c>
    </row>
    <row r="7242">
      <c r="A7242" t="inlineStr">
        <is>
          <t>8f3a59e201178eda99646354098f5c81</t>
        </is>
      </c>
      <c r="B7242" s="29" t="n">
        <v>43164</v>
      </c>
      <c r="C7242" t="inlineStr">
        <is>
          <t>2018-03</t>
        </is>
      </c>
      <c r="D7242" t="inlineStr">
        <is>
          <t>f017be4dbf86243af5c1ebed0cff36a2</t>
        </is>
      </c>
      <c r="E7242" t="inlineStr">
        <is>
          <t>organic_search</t>
        </is>
      </c>
      <c r="F7242">
        <f>IFERROR(MATCH(A7242,Deals!$A$2:$A$843,0),"")</f>
        <v/>
      </c>
      <c r="G7242">
        <f>IF(F7242="",0,1)</f>
        <v/>
      </c>
      <c r="H7242" s="29">
        <f>IF(F7242="","",INDEX(Deals!$E$2:$E$843,F7242))</f>
        <v/>
      </c>
      <c r="I7242">
        <f>IF(F7242="","",INDEX(Deals!$D$2:$D$843,F7242))</f>
        <v/>
      </c>
      <c r="J7242">
        <f>IF(F7242="","",INT(H7242)-B7242)</f>
        <v/>
      </c>
      <c r="K7242">
        <f>IF(B7242&gt;=Settings!$C$5,1,0)</f>
        <v/>
      </c>
    </row>
    <row r="7243">
      <c r="A7243" t="inlineStr">
        <is>
          <t>44111683f45a426b802877fc8a77d8f5</t>
        </is>
      </c>
      <c r="B7243" s="29" t="n">
        <v>43244</v>
      </c>
      <c r="C7243" t="inlineStr">
        <is>
          <t>2018-05</t>
        </is>
      </c>
      <c r="D7243" t="inlineStr">
        <is>
          <t>22c29808c4f815213303f8933030604c</t>
        </is>
      </c>
      <c r="E7243" t="inlineStr">
        <is>
          <t>organic_search</t>
        </is>
      </c>
      <c r="F7243">
        <f>IFERROR(MATCH(A7243,Deals!$A$2:$A$843,0),"")</f>
        <v/>
      </c>
      <c r="G7243">
        <f>IF(F7243="",0,1)</f>
        <v/>
      </c>
      <c r="H7243" s="29">
        <f>IF(F7243="","",INDEX(Deals!$E$2:$E$843,F7243))</f>
        <v/>
      </c>
      <c r="I7243">
        <f>IF(F7243="","",INDEX(Deals!$D$2:$D$843,F7243))</f>
        <v/>
      </c>
      <c r="J7243">
        <f>IF(F7243="","",INT(H7243)-B7243)</f>
        <v/>
      </c>
      <c r="K7243">
        <f>IF(B7243&gt;=Settings!$C$5,1,0)</f>
        <v/>
      </c>
    </row>
    <row r="7244">
      <c r="A7244" t="inlineStr">
        <is>
          <t>6f9966c340aa4f47dc1bd7520a7b2b59</t>
        </is>
      </c>
      <c r="B7244" s="29" t="n">
        <v>43004</v>
      </c>
      <c r="C7244" t="inlineStr">
        <is>
          <t>2017-09</t>
        </is>
      </c>
      <c r="D7244" t="inlineStr">
        <is>
          <t>6511fd3ad2fc59d7f907bf22b13d19e3</t>
        </is>
      </c>
      <c r="E7244" t="inlineStr">
        <is>
          <t>organic_search</t>
        </is>
      </c>
      <c r="F7244">
        <f>IFERROR(MATCH(A7244,Deals!$A$2:$A$843,0),"")</f>
        <v/>
      </c>
      <c r="G7244">
        <f>IF(F7244="",0,1)</f>
        <v/>
      </c>
      <c r="H7244" s="29">
        <f>IF(F7244="","",INDEX(Deals!$E$2:$E$843,F7244))</f>
        <v/>
      </c>
      <c r="I7244">
        <f>IF(F7244="","",INDEX(Deals!$D$2:$D$843,F7244))</f>
        <v/>
      </c>
      <c r="J7244">
        <f>IF(F7244="","",INT(H7244)-B7244)</f>
        <v/>
      </c>
      <c r="K7244">
        <f>IF(B7244&gt;=Settings!$C$5,1,0)</f>
        <v/>
      </c>
    </row>
    <row r="7245">
      <c r="A7245" t="inlineStr">
        <is>
          <t>49ca11219d4192ba6f36a4540ed5fac5</t>
        </is>
      </c>
      <c r="B7245" s="29" t="n">
        <v>43137</v>
      </c>
      <c r="C7245" t="inlineStr">
        <is>
          <t>2018-02</t>
        </is>
      </c>
      <c r="D7245" t="inlineStr">
        <is>
          <t>f017be4dbf86243af5c1ebed0cff36a2</t>
        </is>
      </c>
      <c r="E7245" t="inlineStr">
        <is>
          <t>organic_search</t>
        </is>
      </c>
      <c r="F7245">
        <f>IFERROR(MATCH(A7245,Deals!$A$2:$A$843,0),"")</f>
        <v/>
      </c>
      <c r="G7245">
        <f>IF(F7245="",0,1)</f>
        <v/>
      </c>
      <c r="H7245" s="29">
        <f>IF(F7245="","",INDEX(Deals!$E$2:$E$843,F7245))</f>
        <v/>
      </c>
      <c r="I7245">
        <f>IF(F7245="","",INDEX(Deals!$D$2:$D$843,F7245))</f>
        <v/>
      </c>
      <c r="J7245">
        <f>IF(F7245="","",INT(H7245)-B7245)</f>
        <v/>
      </c>
      <c r="K7245">
        <f>IF(B7245&gt;=Settings!$C$5,1,0)</f>
        <v/>
      </c>
    </row>
    <row r="7246">
      <c r="A7246" t="inlineStr">
        <is>
          <t>60d951c5b80c087fe6cee57a25dab947</t>
        </is>
      </c>
      <c r="B7246" s="29" t="n">
        <v>43115</v>
      </c>
      <c r="C7246" t="inlineStr">
        <is>
          <t>2018-01</t>
        </is>
      </c>
      <c r="D7246" t="inlineStr">
        <is>
          <t>ce1a65abd0973638f1c887a6efcfa82d</t>
        </is>
      </c>
      <c r="E7246" t="inlineStr">
        <is>
          <t>paid_search</t>
        </is>
      </c>
      <c r="F7246">
        <f>IFERROR(MATCH(A7246,Deals!$A$2:$A$843,0),"")</f>
        <v/>
      </c>
      <c r="G7246">
        <f>IF(F7246="",0,1)</f>
        <v/>
      </c>
      <c r="H7246" s="29">
        <f>IF(F7246="","",INDEX(Deals!$E$2:$E$843,F7246))</f>
        <v/>
      </c>
      <c r="I7246">
        <f>IF(F7246="","",INDEX(Deals!$D$2:$D$843,F7246))</f>
        <v/>
      </c>
      <c r="J7246">
        <f>IF(F7246="","",INT(H7246)-B7246)</f>
        <v/>
      </c>
      <c r="K7246">
        <f>IF(B7246&gt;=Settings!$C$5,1,0)</f>
        <v/>
      </c>
    </row>
    <row r="7247">
      <c r="A7247" t="inlineStr">
        <is>
          <t>c7b3204ec9bfea0a9f9dc23b77f3b5e7</t>
        </is>
      </c>
      <c r="B7247" s="29" t="n">
        <v>43215</v>
      </c>
      <c r="C7247" t="inlineStr">
        <is>
          <t>2018-04</t>
        </is>
      </c>
      <c r="D7247" t="inlineStr">
        <is>
          <t>f80696b73d17fb34f5c4fde157f119d8</t>
        </is>
      </c>
      <c r="E7247" t="inlineStr">
        <is>
          <t>email</t>
        </is>
      </c>
      <c r="F7247">
        <f>IFERROR(MATCH(A7247,Deals!$A$2:$A$843,0),"")</f>
        <v/>
      </c>
      <c r="G7247">
        <f>IF(F7247="",0,1)</f>
        <v/>
      </c>
      <c r="H7247" s="29">
        <f>IF(F7247="","",INDEX(Deals!$E$2:$E$843,F7247))</f>
        <v/>
      </c>
      <c r="I7247">
        <f>IF(F7247="","",INDEX(Deals!$D$2:$D$843,F7247))</f>
        <v/>
      </c>
      <c r="J7247">
        <f>IF(F7247="","",INT(H7247)-B7247)</f>
        <v/>
      </c>
      <c r="K7247">
        <f>IF(B7247&gt;=Settings!$C$5,1,0)</f>
        <v/>
      </c>
    </row>
    <row r="7248">
      <c r="A7248" t="inlineStr">
        <is>
          <t>30aaabbec8b8e1961770c48ee27036b9</t>
        </is>
      </c>
      <c r="B7248" s="29" t="n">
        <v>43044</v>
      </c>
      <c r="C7248" t="inlineStr">
        <is>
          <t>2017-11</t>
        </is>
      </c>
      <c r="D7248" t="inlineStr">
        <is>
          <t>ce1a65abd0973638f1c887a6efcfa82d</t>
        </is>
      </c>
      <c r="E7248" t="inlineStr">
        <is>
          <t>direct_traffic</t>
        </is>
      </c>
      <c r="F7248">
        <f>IFERROR(MATCH(A7248,Deals!$A$2:$A$843,0),"")</f>
        <v/>
      </c>
      <c r="G7248">
        <f>IF(F7248="",0,1)</f>
        <v/>
      </c>
      <c r="H7248" s="29">
        <f>IF(F7248="","",INDEX(Deals!$E$2:$E$843,F7248))</f>
        <v/>
      </c>
      <c r="I7248">
        <f>IF(F7248="","",INDEX(Deals!$D$2:$D$843,F7248))</f>
        <v/>
      </c>
      <c r="J7248">
        <f>IF(F7248="","",INT(H7248)-B7248)</f>
        <v/>
      </c>
      <c r="K7248">
        <f>IF(B7248&gt;=Settings!$C$5,1,0)</f>
        <v/>
      </c>
    </row>
    <row r="7249">
      <c r="A7249" t="inlineStr">
        <is>
          <t>0379400a99a4caea5e45dc886da7f1df</t>
        </is>
      </c>
      <c r="B7249" s="29" t="n">
        <v>43139</v>
      </c>
      <c r="C7249" t="inlineStr">
        <is>
          <t>2018-02</t>
        </is>
      </c>
      <c r="D7249" t="inlineStr">
        <is>
          <t>7fa6214d82e911d070f51ef79381b956</t>
        </is>
      </c>
      <c r="E7249" t="inlineStr">
        <is>
          <t>direct_traffic</t>
        </is>
      </c>
      <c r="F7249">
        <f>IFERROR(MATCH(A7249,Deals!$A$2:$A$843,0),"")</f>
        <v/>
      </c>
      <c r="G7249">
        <f>IF(F7249="",0,1)</f>
        <v/>
      </c>
      <c r="H7249" s="29">
        <f>IF(F7249="","",INDEX(Deals!$E$2:$E$843,F7249))</f>
        <v/>
      </c>
      <c r="I7249">
        <f>IF(F7249="","",INDEX(Deals!$D$2:$D$843,F7249))</f>
        <v/>
      </c>
      <c r="J7249">
        <f>IF(F7249="","",INT(H7249)-B7249)</f>
        <v/>
      </c>
      <c r="K7249">
        <f>IF(B7249&gt;=Settings!$C$5,1,0)</f>
        <v/>
      </c>
    </row>
    <row r="7250">
      <c r="A7250" t="inlineStr">
        <is>
          <t>1083e9b50ae58b27dab4b7c92e7d16d9</t>
        </is>
      </c>
      <c r="B7250" s="29" t="n">
        <v>43152</v>
      </c>
      <c r="C7250" t="inlineStr">
        <is>
          <t>2018-02</t>
        </is>
      </c>
      <c r="D7250" t="inlineStr">
        <is>
          <t>54d5e01ab35155d4bd8cf723fc6f04a0</t>
        </is>
      </c>
      <c r="E7250" t="inlineStr">
        <is>
          <t>email</t>
        </is>
      </c>
      <c r="F7250">
        <f>IFERROR(MATCH(A7250,Deals!$A$2:$A$843,0),"")</f>
        <v/>
      </c>
      <c r="G7250">
        <f>IF(F7250="",0,1)</f>
        <v/>
      </c>
      <c r="H7250" s="29">
        <f>IF(F7250="","",INDEX(Deals!$E$2:$E$843,F7250))</f>
        <v/>
      </c>
      <c r="I7250">
        <f>IF(F7250="","",INDEX(Deals!$D$2:$D$843,F7250))</f>
        <v/>
      </c>
      <c r="J7250">
        <f>IF(F7250="","",INT(H7250)-B7250)</f>
        <v/>
      </c>
      <c r="K7250">
        <f>IF(B7250&gt;=Settings!$C$5,1,0)</f>
        <v/>
      </c>
    </row>
    <row r="7251">
      <c r="A7251" t="inlineStr">
        <is>
          <t>e3bce9548ef00e313d6a2fa8c1aec35d</t>
        </is>
      </c>
      <c r="B7251" s="29" t="n">
        <v>43222</v>
      </c>
      <c r="C7251" t="inlineStr">
        <is>
          <t>2018-05</t>
        </is>
      </c>
      <c r="D7251" t="inlineStr">
        <is>
          <t>f017be4dbf86243af5c1ebed0cff36a2</t>
        </is>
      </c>
      <c r="E7251" t="inlineStr">
        <is>
          <t>social</t>
        </is>
      </c>
      <c r="F7251">
        <f>IFERROR(MATCH(A7251,Deals!$A$2:$A$843,0),"")</f>
        <v/>
      </c>
      <c r="G7251">
        <f>IF(F7251="",0,1)</f>
        <v/>
      </c>
      <c r="H7251" s="29">
        <f>IF(F7251="","",INDEX(Deals!$E$2:$E$843,F7251))</f>
        <v/>
      </c>
      <c r="I7251">
        <f>IF(F7251="","",INDEX(Deals!$D$2:$D$843,F7251))</f>
        <v/>
      </c>
      <c r="J7251">
        <f>IF(F7251="","",INT(H7251)-B7251)</f>
        <v/>
      </c>
      <c r="K7251">
        <f>IF(B7251&gt;=Settings!$C$5,1,0)</f>
        <v/>
      </c>
    </row>
    <row r="7252">
      <c r="A7252" t="inlineStr">
        <is>
          <t>e2e34797871968f72f9588a3499daf1b</t>
        </is>
      </c>
      <c r="B7252" s="29" t="n">
        <v>43138</v>
      </c>
      <c r="C7252" t="inlineStr">
        <is>
          <t>2018-02</t>
        </is>
      </c>
      <c r="D7252" t="inlineStr">
        <is>
          <t>88740e65d5d6b056e0cda098e1ea6313</t>
        </is>
      </c>
      <c r="E7252" t="inlineStr">
        <is>
          <t>social</t>
        </is>
      </c>
      <c r="F7252">
        <f>IFERROR(MATCH(A7252,Deals!$A$2:$A$843,0),"")</f>
        <v/>
      </c>
      <c r="G7252">
        <f>IF(F7252="",0,1)</f>
        <v/>
      </c>
      <c r="H7252" s="29">
        <f>IF(F7252="","",INDEX(Deals!$E$2:$E$843,F7252))</f>
        <v/>
      </c>
      <c r="I7252">
        <f>IF(F7252="","",INDEX(Deals!$D$2:$D$843,F7252))</f>
        <v/>
      </c>
      <c r="J7252">
        <f>IF(F7252="","",INT(H7252)-B7252)</f>
        <v/>
      </c>
      <c r="K7252">
        <f>IF(B7252&gt;=Settings!$C$5,1,0)</f>
        <v/>
      </c>
    </row>
    <row r="7253">
      <c r="A7253" t="inlineStr">
        <is>
          <t>c150275626bb4cfe3f7885074cc2b8d7</t>
        </is>
      </c>
      <c r="B7253" s="29" t="n">
        <v>43236</v>
      </c>
      <c r="C7253" t="inlineStr">
        <is>
          <t>2018-05</t>
        </is>
      </c>
      <c r="D7253" t="inlineStr">
        <is>
          <t>ce1a65abd0973638f1c887a6efcfa82d</t>
        </is>
      </c>
      <c r="E7253" t="inlineStr">
        <is>
          <t>organic_search</t>
        </is>
      </c>
      <c r="F7253">
        <f>IFERROR(MATCH(A7253,Deals!$A$2:$A$843,0),"")</f>
        <v/>
      </c>
      <c r="G7253">
        <f>IF(F7253="",0,1)</f>
        <v/>
      </c>
      <c r="H7253" s="29">
        <f>IF(F7253="","",INDEX(Deals!$E$2:$E$843,F7253))</f>
        <v/>
      </c>
      <c r="I7253">
        <f>IF(F7253="","",INDEX(Deals!$D$2:$D$843,F7253))</f>
        <v/>
      </c>
      <c r="J7253">
        <f>IF(F7253="","",INT(H7253)-B7253)</f>
        <v/>
      </c>
      <c r="K7253">
        <f>IF(B7253&gt;=Settings!$C$5,1,0)</f>
        <v/>
      </c>
    </row>
    <row r="7254">
      <c r="A7254" t="inlineStr">
        <is>
          <t>47e56bce481c77b639996723e3890689</t>
        </is>
      </c>
      <c r="B7254" s="29" t="n">
        <v>43129</v>
      </c>
      <c r="C7254" t="inlineStr">
        <is>
          <t>2018-01</t>
        </is>
      </c>
      <c r="D7254" t="inlineStr">
        <is>
          <t>f017be4dbf86243af5c1ebed0cff36a2</t>
        </is>
      </c>
      <c r="E7254" t="inlineStr">
        <is>
          <t>paid_search</t>
        </is>
      </c>
      <c r="F7254">
        <f>IFERROR(MATCH(A7254,Deals!$A$2:$A$843,0),"")</f>
        <v/>
      </c>
      <c r="G7254">
        <f>IF(F7254="",0,1)</f>
        <v/>
      </c>
      <c r="H7254" s="29">
        <f>IF(F7254="","",INDEX(Deals!$E$2:$E$843,F7254))</f>
        <v/>
      </c>
      <c r="I7254">
        <f>IF(F7254="","",INDEX(Deals!$D$2:$D$843,F7254))</f>
        <v/>
      </c>
      <c r="J7254">
        <f>IF(F7254="","",INT(H7254)-B7254)</f>
        <v/>
      </c>
      <c r="K7254">
        <f>IF(B7254&gt;=Settings!$C$5,1,0)</f>
        <v/>
      </c>
    </row>
    <row r="7255">
      <c r="A7255" t="inlineStr">
        <is>
          <t>87db7aea88a3ae9304944ae954c6a420</t>
        </is>
      </c>
      <c r="B7255" s="29" t="n">
        <v>43049</v>
      </c>
      <c r="C7255" t="inlineStr">
        <is>
          <t>2017-11</t>
        </is>
      </c>
      <c r="D7255" t="inlineStr">
        <is>
          <t>ce1a65abd0973638f1c887a6efcfa82d</t>
        </is>
      </c>
      <c r="E7255" t="inlineStr">
        <is>
          <t>paid_search</t>
        </is>
      </c>
      <c r="F7255">
        <f>IFERROR(MATCH(A7255,Deals!$A$2:$A$843,0),"")</f>
        <v/>
      </c>
      <c r="G7255">
        <f>IF(F7255="",0,1)</f>
        <v/>
      </c>
      <c r="H7255" s="29">
        <f>IF(F7255="","",INDEX(Deals!$E$2:$E$843,F7255))</f>
        <v/>
      </c>
      <c r="I7255">
        <f>IF(F7255="","",INDEX(Deals!$D$2:$D$843,F7255))</f>
        <v/>
      </c>
      <c r="J7255">
        <f>IF(F7255="","",INT(H7255)-B7255)</f>
        <v/>
      </c>
      <c r="K7255">
        <f>IF(B7255&gt;=Settings!$C$5,1,0)</f>
        <v/>
      </c>
    </row>
    <row r="7256">
      <c r="A7256" t="inlineStr">
        <is>
          <t>9c0337cae9651759e4e69a56444719b0</t>
        </is>
      </c>
      <c r="B7256" s="29" t="n">
        <v>43215</v>
      </c>
      <c r="C7256" t="inlineStr">
        <is>
          <t>2018-04</t>
        </is>
      </c>
      <c r="D7256" t="inlineStr">
        <is>
          <t>f80696b73d17fb34f5c4fde157f119d8</t>
        </is>
      </c>
      <c r="E7256" t="inlineStr">
        <is>
          <t>unknown</t>
        </is>
      </c>
      <c r="F7256">
        <f>IFERROR(MATCH(A7256,Deals!$A$2:$A$843,0),"")</f>
        <v/>
      </c>
      <c r="G7256">
        <f>IF(F7256="",0,1)</f>
        <v/>
      </c>
      <c r="H7256" s="29">
        <f>IF(F7256="","",INDEX(Deals!$E$2:$E$843,F7256))</f>
        <v/>
      </c>
      <c r="I7256">
        <f>IF(F7256="","",INDEX(Deals!$D$2:$D$843,F7256))</f>
        <v/>
      </c>
      <c r="J7256">
        <f>IF(F7256="","",INT(H7256)-B7256)</f>
        <v/>
      </c>
      <c r="K7256">
        <f>IF(B7256&gt;=Settings!$C$5,1,0)</f>
        <v/>
      </c>
    </row>
    <row r="7257">
      <c r="A7257" t="inlineStr">
        <is>
          <t>333c04a1fa69b79d52f54dc8961fb158</t>
        </is>
      </c>
      <c r="B7257" s="29" t="n">
        <v>43141</v>
      </c>
      <c r="C7257" t="inlineStr">
        <is>
          <t>2018-02</t>
        </is>
      </c>
      <c r="D7257" t="inlineStr">
        <is>
          <t>c6f28f804cf6330e6de735ef6e6fe95c</t>
        </is>
      </c>
      <c r="E7257" t="inlineStr">
        <is>
          <t>organic_search</t>
        </is>
      </c>
      <c r="F7257">
        <f>IFERROR(MATCH(A7257,Deals!$A$2:$A$843,0),"")</f>
        <v/>
      </c>
      <c r="G7257">
        <f>IF(F7257="",0,1)</f>
        <v/>
      </c>
      <c r="H7257" s="29">
        <f>IF(F7257="","",INDEX(Deals!$E$2:$E$843,F7257))</f>
        <v/>
      </c>
      <c r="I7257">
        <f>IF(F7257="","",INDEX(Deals!$D$2:$D$843,F7257))</f>
        <v/>
      </c>
      <c r="J7257">
        <f>IF(F7257="","",INT(H7257)-B7257)</f>
        <v/>
      </c>
      <c r="K7257">
        <f>IF(B7257&gt;=Settings!$C$5,1,0)</f>
        <v/>
      </c>
    </row>
    <row r="7258">
      <c r="A7258" t="inlineStr">
        <is>
          <t>1b1ef82248734b5db1ca952e11e12d43</t>
        </is>
      </c>
      <c r="B7258" s="29" t="n">
        <v>43163</v>
      </c>
      <c r="C7258" t="inlineStr">
        <is>
          <t>2018-03</t>
        </is>
      </c>
      <c r="D7258" t="inlineStr">
        <is>
          <t>88740e65d5d6b056e0cda098e1ea6313</t>
        </is>
      </c>
      <c r="E7258" t="inlineStr">
        <is>
          <t>social</t>
        </is>
      </c>
      <c r="F7258">
        <f>IFERROR(MATCH(A7258,Deals!$A$2:$A$843,0),"")</f>
        <v/>
      </c>
      <c r="G7258">
        <f>IF(F7258="",0,1)</f>
        <v/>
      </c>
      <c r="H7258" s="29">
        <f>IF(F7258="","",INDEX(Deals!$E$2:$E$843,F7258))</f>
        <v/>
      </c>
      <c r="I7258">
        <f>IF(F7258="","",INDEX(Deals!$D$2:$D$843,F7258))</f>
        <v/>
      </c>
      <c r="J7258">
        <f>IF(F7258="","",INT(H7258)-B7258)</f>
        <v/>
      </c>
      <c r="K7258">
        <f>IF(B7258&gt;=Settings!$C$5,1,0)</f>
        <v/>
      </c>
    </row>
    <row r="7259">
      <c r="A7259" t="inlineStr">
        <is>
          <t>c47b7b07d6a58fd8bb0b7f51ad4a41aa</t>
        </is>
      </c>
      <c r="B7259" s="29" t="n">
        <v>43105</v>
      </c>
      <c r="C7259" t="inlineStr">
        <is>
          <t>2018-01</t>
        </is>
      </c>
      <c r="D7259" t="inlineStr">
        <is>
          <t>f5fdb03f3ee6e369a1748e300cc40cb9</t>
        </is>
      </c>
      <c r="E7259" t="inlineStr">
        <is>
          <t>referral</t>
        </is>
      </c>
      <c r="F7259">
        <f>IFERROR(MATCH(A7259,Deals!$A$2:$A$843,0),"")</f>
        <v/>
      </c>
      <c r="G7259">
        <f>IF(F7259="",0,1)</f>
        <v/>
      </c>
      <c r="H7259" s="29">
        <f>IF(F7259="","",INDEX(Deals!$E$2:$E$843,F7259))</f>
        <v/>
      </c>
      <c r="I7259">
        <f>IF(F7259="","",INDEX(Deals!$D$2:$D$843,F7259))</f>
        <v/>
      </c>
      <c r="J7259">
        <f>IF(F7259="","",INT(H7259)-B7259)</f>
        <v/>
      </c>
      <c r="K7259">
        <f>IF(B7259&gt;=Settings!$C$5,1,0)</f>
        <v/>
      </c>
    </row>
    <row r="7260">
      <c r="A7260" t="inlineStr">
        <is>
          <t>5a271f2b9dd5fd7223ec585c6ec1fe69</t>
        </is>
      </c>
      <c r="B7260" s="29" t="n">
        <v>43131</v>
      </c>
      <c r="C7260" t="inlineStr">
        <is>
          <t>2018-01</t>
        </is>
      </c>
      <c r="D7260" t="inlineStr">
        <is>
          <t>e492ee5eaf1697716985cc6f33f9cd9b</t>
        </is>
      </c>
      <c r="E7260" t="inlineStr">
        <is>
          <t>unknown</t>
        </is>
      </c>
      <c r="F7260">
        <f>IFERROR(MATCH(A7260,Deals!$A$2:$A$843,0),"")</f>
        <v/>
      </c>
      <c r="G7260">
        <f>IF(F7260="",0,1)</f>
        <v/>
      </c>
      <c r="H7260" s="29">
        <f>IF(F7260="","",INDEX(Deals!$E$2:$E$843,F7260))</f>
        <v/>
      </c>
      <c r="I7260">
        <f>IF(F7260="","",INDEX(Deals!$D$2:$D$843,F7260))</f>
        <v/>
      </c>
      <c r="J7260">
        <f>IF(F7260="","",INT(H7260)-B7260)</f>
        <v/>
      </c>
      <c r="K7260">
        <f>IF(B7260&gt;=Settings!$C$5,1,0)</f>
        <v/>
      </c>
    </row>
    <row r="7261">
      <c r="A7261" t="inlineStr">
        <is>
          <t>92dc4a66a118301843f185df549d40bf</t>
        </is>
      </c>
      <c r="B7261" s="29" t="n">
        <v>43146</v>
      </c>
      <c r="C7261" t="inlineStr">
        <is>
          <t>2018-02</t>
        </is>
      </c>
      <c r="D7261" t="inlineStr">
        <is>
          <t>88740e65d5d6b056e0cda098e1ea6313</t>
        </is>
      </c>
      <c r="E7261" t="inlineStr">
        <is>
          <t>social</t>
        </is>
      </c>
      <c r="F7261">
        <f>IFERROR(MATCH(A7261,Deals!$A$2:$A$843,0),"")</f>
        <v/>
      </c>
      <c r="G7261">
        <f>IF(F7261="",0,1)</f>
        <v/>
      </c>
      <c r="H7261" s="29">
        <f>IF(F7261="","",INDEX(Deals!$E$2:$E$843,F7261))</f>
        <v/>
      </c>
      <c r="I7261">
        <f>IF(F7261="","",INDEX(Deals!$D$2:$D$843,F7261))</f>
        <v/>
      </c>
      <c r="J7261">
        <f>IF(F7261="","",INT(H7261)-B7261)</f>
        <v/>
      </c>
      <c r="K7261">
        <f>IF(B7261&gt;=Settings!$C$5,1,0)</f>
        <v/>
      </c>
    </row>
    <row r="7262">
      <c r="A7262" t="inlineStr">
        <is>
          <t>af1aab8e1492ed8a46ba456e2c74e915</t>
        </is>
      </c>
      <c r="B7262" s="29" t="n">
        <v>43137</v>
      </c>
      <c r="C7262" t="inlineStr">
        <is>
          <t>2018-02</t>
        </is>
      </c>
      <c r="D7262" t="inlineStr">
        <is>
          <t>40dec9f3d5259a3d2dbcdab2114fae47</t>
        </is>
      </c>
      <c r="E7262" t="inlineStr">
        <is>
          <t>organic_search</t>
        </is>
      </c>
      <c r="F7262">
        <f>IFERROR(MATCH(A7262,Deals!$A$2:$A$843,0),"")</f>
        <v/>
      </c>
      <c r="G7262">
        <f>IF(F7262="",0,1)</f>
        <v/>
      </c>
      <c r="H7262" s="29">
        <f>IF(F7262="","",INDEX(Deals!$E$2:$E$843,F7262))</f>
        <v/>
      </c>
      <c r="I7262">
        <f>IF(F7262="","",INDEX(Deals!$D$2:$D$843,F7262))</f>
        <v/>
      </c>
      <c r="J7262">
        <f>IF(F7262="","",INT(H7262)-B7262)</f>
        <v/>
      </c>
      <c r="K7262">
        <f>IF(B7262&gt;=Settings!$C$5,1,0)</f>
        <v/>
      </c>
    </row>
    <row r="7263">
      <c r="A7263" t="inlineStr">
        <is>
          <t>2c835908abb9ee423ac025e84663066a</t>
        </is>
      </c>
      <c r="B7263" s="29" t="n">
        <v>42983</v>
      </c>
      <c r="C7263" t="inlineStr">
        <is>
          <t>2017-09</t>
        </is>
      </c>
      <c r="D7263" t="inlineStr">
        <is>
          <t>c70eb6fb5bd6e939b0d5ef32f21f61e8</t>
        </is>
      </c>
      <c r="E7263" t="inlineStr">
        <is>
          <t>paid_search</t>
        </is>
      </c>
      <c r="F7263">
        <f>IFERROR(MATCH(A7263,Deals!$A$2:$A$843,0),"")</f>
        <v/>
      </c>
      <c r="G7263">
        <f>IF(F7263="",0,1)</f>
        <v/>
      </c>
      <c r="H7263" s="29">
        <f>IF(F7263="","",INDEX(Deals!$E$2:$E$843,F7263))</f>
        <v/>
      </c>
      <c r="I7263">
        <f>IF(F7263="","",INDEX(Deals!$D$2:$D$843,F7263))</f>
        <v/>
      </c>
      <c r="J7263">
        <f>IF(F7263="","",INT(H7263)-B7263)</f>
        <v/>
      </c>
      <c r="K7263">
        <f>IF(B7263&gt;=Settings!$C$5,1,0)</f>
        <v/>
      </c>
    </row>
    <row r="7264">
      <c r="A7264" t="inlineStr">
        <is>
          <t>5301bb35a65ac7aef3ba3f102d07f770</t>
        </is>
      </c>
      <c r="B7264" s="29" t="n">
        <v>43130</v>
      </c>
      <c r="C7264" t="inlineStr">
        <is>
          <t>2018-01</t>
        </is>
      </c>
      <c r="D7264" t="inlineStr">
        <is>
          <t>22c29808c4f815213303f8933030604c</t>
        </is>
      </c>
      <c r="E7264" t="inlineStr">
        <is>
          <t>organic_search</t>
        </is>
      </c>
      <c r="F7264">
        <f>IFERROR(MATCH(A7264,Deals!$A$2:$A$843,0),"")</f>
        <v/>
      </c>
      <c r="G7264">
        <f>IF(F7264="",0,1)</f>
        <v/>
      </c>
      <c r="H7264" s="29">
        <f>IF(F7264="","",INDEX(Deals!$E$2:$E$843,F7264))</f>
        <v/>
      </c>
      <c r="I7264">
        <f>IF(F7264="","",INDEX(Deals!$D$2:$D$843,F7264))</f>
        <v/>
      </c>
      <c r="J7264">
        <f>IF(F7264="","",INT(H7264)-B7264)</f>
        <v/>
      </c>
      <c r="K7264">
        <f>IF(B7264&gt;=Settings!$C$5,1,0)</f>
        <v/>
      </c>
    </row>
    <row r="7265">
      <c r="A7265" t="inlineStr">
        <is>
          <t>80c713ef32f2cb8ae3361dbd27a9c81b</t>
        </is>
      </c>
      <c r="B7265" s="29" t="n">
        <v>43245</v>
      </c>
      <c r="C7265" t="inlineStr">
        <is>
          <t>2018-05</t>
        </is>
      </c>
      <c r="D7265" t="inlineStr">
        <is>
          <t>b76ef37428e6799c421989521c0e5077</t>
        </is>
      </c>
      <c r="E7265" t="inlineStr">
        <is>
          <t>social</t>
        </is>
      </c>
      <c r="F7265">
        <f>IFERROR(MATCH(A7265,Deals!$A$2:$A$843,0),"")</f>
        <v/>
      </c>
      <c r="G7265">
        <f>IF(F7265="",0,1)</f>
        <v/>
      </c>
      <c r="H7265" s="29">
        <f>IF(F7265="","",INDEX(Deals!$E$2:$E$843,F7265))</f>
        <v/>
      </c>
      <c r="I7265">
        <f>IF(F7265="","",INDEX(Deals!$D$2:$D$843,F7265))</f>
        <v/>
      </c>
      <c r="J7265">
        <f>IF(F7265="","",INT(H7265)-B7265)</f>
        <v/>
      </c>
      <c r="K7265">
        <f>IF(B7265&gt;=Settings!$C$5,1,0)</f>
        <v/>
      </c>
    </row>
    <row r="7266">
      <c r="A7266" t="inlineStr">
        <is>
          <t>fc879743ee2196b59f45973a9173c9f3</t>
        </is>
      </c>
      <c r="B7266" s="29" t="n">
        <v>43173</v>
      </c>
      <c r="C7266" t="inlineStr">
        <is>
          <t>2018-03</t>
        </is>
      </c>
      <c r="D7266" t="inlineStr">
        <is>
          <t>ce1a65abd0973638f1c887a6efcfa82d</t>
        </is>
      </c>
      <c r="E7266" t="inlineStr">
        <is>
          <t>organic_search</t>
        </is>
      </c>
      <c r="F7266">
        <f>IFERROR(MATCH(A7266,Deals!$A$2:$A$843,0),"")</f>
        <v/>
      </c>
      <c r="G7266">
        <f>IF(F7266="",0,1)</f>
        <v/>
      </c>
      <c r="H7266" s="29">
        <f>IF(F7266="","",INDEX(Deals!$E$2:$E$843,F7266))</f>
        <v/>
      </c>
      <c r="I7266">
        <f>IF(F7266="","",INDEX(Deals!$D$2:$D$843,F7266))</f>
        <v/>
      </c>
      <c r="J7266">
        <f>IF(F7266="","",INT(H7266)-B7266)</f>
        <v/>
      </c>
      <c r="K7266">
        <f>IF(B7266&gt;=Settings!$C$5,1,0)</f>
        <v/>
      </c>
    </row>
    <row r="7267">
      <c r="A7267" t="inlineStr">
        <is>
          <t>32f14bac32a5cce63388a2ec80598c08</t>
        </is>
      </c>
      <c r="B7267" s="29" t="n">
        <v>43145</v>
      </c>
      <c r="C7267" t="inlineStr">
        <is>
          <t>2018-02</t>
        </is>
      </c>
      <c r="D7267" t="inlineStr">
        <is>
          <t>a7982125ff7aa3b2054c6e44f9d28522</t>
        </is>
      </c>
      <c r="E7267" t="inlineStr">
        <is>
          <t>display</t>
        </is>
      </c>
      <c r="F7267">
        <f>IFERROR(MATCH(A7267,Deals!$A$2:$A$843,0),"")</f>
        <v/>
      </c>
      <c r="G7267">
        <f>IF(F7267="",0,1)</f>
        <v/>
      </c>
      <c r="H7267" s="29">
        <f>IF(F7267="","",INDEX(Deals!$E$2:$E$843,F7267))</f>
        <v/>
      </c>
      <c r="I7267">
        <f>IF(F7267="","",INDEX(Deals!$D$2:$D$843,F7267))</f>
        <v/>
      </c>
      <c r="J7267">
        <f>IF(F7267="","",INT(H7267)-B7267)</f>
        <v/>
      </c>
      <c r="K7267">
        <f>IF(B7267&gt;=Settings!$C$5,1,0)</f>
        <v/>
      </c>
    </row>
    <row r="7268">
      <c r="A7268" t="inlineStr">
        <is>
          <t>5f87a3fcca7c117d0f4186749a5c6c59</t>
        </is>
      </c>
      <c r="B7268" s="29" t="n">
        <v>43151</v>
      </c>
      <c r="C7268" t="inlineStr">
        <is>
          <t>2018-02</t>
        </is>
      </c>
      <c r="D7268" t="inlineStr">
        <is>
          <t>7fa6214d82e911d070f51ef79381b956</t>
        </is>
      </c>
      <c r="E7268" t="inlineStr">
        <is>
          <t>direct_traffic</t>
        </is>
      </c>
      <c r="F7268">
        <f>IFERROR(MATCH(A7268,Deals!$A$2:$A$843,0),"")</f>
        <v/>
      </c>
      <c r="G7268">
        <f>IF(F7268="",0,1)</f>
        <v/>
      </c>
      <c r="H7268" s="29">
        <f>IF(F7268="","",INDEX(Deals!$E$2:$E$843,F7268))</f>
        <v/>
      </c>
      <c r="I7268">
        <f>IF(F7268="","",INDEX(Deals!$D$2:$D$843,F7268))</f>
        <v/>
      </c>
      <c r="J7268">
        <f>IF(F7268="","",INT(H7268)-B7268)</f>
        <v/>
      </c>
      <c r="K7268">
        <f>IF(B7268&gt;=Settings!$C$5,1,0)</f>
        <v/>
      </c>
    </row>
    <row r="7269">
      <c r="A7269" t="inlineStr">
        <is>
          <t>5c5a7db30feea91f26fc4519b1b0e3e6</t>
        </is>
      </c>
      <c r="B7269" s="29" t="n">
        <v>43224</v>
      </c>
      <c r="C7269" t="inlineStr">
        <is>
          <t>2018-05</t>
        </is>
      </c>
      <c r="D7269" t="inlineStr">
        <is>
          <t>30534107aa0013db92899c96a1017d0b</t>
        </is>
      </c>
      <c r="E7269" t="inlineStr">
        <is>
          <t>social</t>
        </is>
      </c>
      <c r="F7269">
        <f>IFERROR(MATCH(A7269,Deals!$A$2:$A$843,0),"")</f>
        <v/>
      </c>
      <c r="G7269">
        <f>IF(F7269="",0,1)</f>
        <v/>
      </c>
      <c r="H7269" s="29">
        <f>IF(F7269="","",INDEX(Deals!$E$2:$E$843,F7269))</f>
        <v/>
      </c>
      <c r="I7269">
        <f>IF(F7269="","",INDEX(Deals!$D$2:$D$843,F7269))</f>
        <v/>
      </c>
      <c r="J7269">
        <f>IF(F7269="","",INT(H7269)-B7269)</f>
        <v/>
      </c>
      <c r="K7269">
        <f>IF(B7269&gt;=Settings!$C$5,1,0)</f>
        <v/>
      </c>
    </row>
    <row r="7270">
      <c r="A7270" t="inlineStr">
        <is>
          <t>0d0e8e5e5c83563a3d17a84f9c763733</t>
        </is>
      </c>
      <c r="B7270" s="29" t="n">
        <v>43209</v>
      </c>
      <c r="C7270" t="inlineStr">
        <is>
          <t>2018-04</t>
        </is>
      </c>
      <c r="D7270" t="inlineStr">
        <is>
          <t>d75a2371281f42d607be43b08bd74905</t>
        </is>
      </c>
      <c r="E7270" t="inlineStr">
        <is>
          <t>organic_search</t>
        </is>
      </c>
      <c r="F7270">
        <f>IFERROR(MATCH(A7270,Deals!$A$2:$A$843,0),"")</f>
        <v/>
      </c>
      <c r="G7270">
        <f>IF(F7270="",0,1)</f>
        <v/>
      </c>
      <c r="H7270" s="29">
        <f>IF(F7270="","",INDEX(Deals!$E$2:$E$843,F7270))</f>
        <v/>
      </c>
      <c r="I7270">
        <f>IF(F7270="","",INDEX(Deals!$D$2:$D$843,F7270))</f>
        <v/>
      </c>
      <c r="J7270">
        <f>IF(F7270="","",INT(H7270)-B7270)</f>
        <v/>
      </c>
      <c r="K7270">
        <f>IF(B7270&gt;=Settings!$C$5,1,0)</f>
        <v/>
      </c>
    </row>
    <row r="7271">
      <c r="A7271" t="inlineStr">
        <is>
          <t>8ad87141193af4b23555a38072fa9176</t>
        </is>
      </c>
      <c r="B7271" s="29" t="n">
        <v>43046</v>
      </c>
      <c r="C7271" t="inlineStr">
        <is>
          <t>2017-11</t>
        </is>
      </c>
      <c r="D7271" t="inlineStr">
        <is>
          <t>e492ee5eaf1697716985cc6f33f9cd9b</t>
        </is>
      </c>
      <c r="E7271" t="inlineStr">
        <is>
          <t>referral</t>
        </is>
      </c>
      <c r="F7271">
        <f>IFERROR(MATCH(A7271,Deals!$A$2:$A$843,0),"")</f>
        <v/>
      </c>
      <c r="G7271">
        <f>IF(F7271="",0,1)</f>
        <v/>
      </c>
      <c r="H7271" s="29">
        <f>IF(F7271="","",INDEX(Deals!$E$2:$E$843,F7271))</f>
        <v/>
      </c>
      <c r="I7271">
        <f>IF(F7271="","",INDEX(Deals!$D$2:$D$843,F7271))</f>
        <v/>
      </c>
      <c r="J7271">
        <f>IF(F7271="","",INT(H7271)-B7271)</f>
        <v/>
      </c>
      <c r="K7271">
        <f>IF(B7271&gt;=Settings!$C$5,1,0)</f>
        <v/>
      </c>
    </row>
    <row r="7272">
      <c r="A7272" t="inlineStr">
        <is>
          <t>6e98a07774134cd7335ad075d05c464a</t>
        </is>
      </c>
      <c r="B7272" s="29" t="n">
        <v>43196</v>
      </c>
      <c r="C7272" t="inlineStr">
        <is>
          <t>2018-04</t>
        </is>
      </c>
      <c r="D7272" t="inlineStr">
        <is>
          <t>966098efaef7a4d665be6b0cb617541b</t>
        </is>
      </c>
      <c r="E7272" t="inlineStr">
        <is>
          <t>unknown</t>
        </is>
      </c>
      <c r="F7272">
        <f>IFERROR(MATCH(A7272,Deals!$A$2:$A$843,0),"")</f>
        <v/>
      </c>
      <c r="G7272">
        <f>IF(F7272="",0,1)</f>
        <v/>
      </c>
      <c r="H7272" s="29">
        <f>IF(F7272="","",INDEX(Deals!$E$2:$E$843,F7272))</f>
        <v/>
      </c>
      <c r="I7272">
        <f>IF(F7272="","",INDEX(Deals!$D$2:$D$843,F7272))</f>
        <v/>
      </c>
      <c r="J7272">
        <f>IF(F7272="","",INT(H7272)-B7272)</f>
        <v/>
      </c>
      <c r="K7272">
        <f>IF(B7272&gt;=Settings!$C$5,1,0)</f>
        <v/>
      </c>
    </row>
    <row r="7273">
      <c r="A7273" t="inlineStr">
        <is>
          <t>d15288d9955379f7bde91577c9177310</t>
        </is>
      </c>
      <c r="B7273" s="29" t="n">
        <v>43147</v>
      </c>
      <c r="C7273" t="inlineStr">
        <is>
          <t>2018-02</t>
        </is>
      </c>
      <c r="D7273" t="inlineStr">
        <is>
          <t>b76ef37428e6799c421989521c0e5077</t>
        </is>
      </c>
      <c r="E7273" t="inlineStr">
        <is>
          <t>unknown</t>
        </is>
      </c>
      <c r="F7273">
        <f>IFERROR(MATCH(A7273,Deals!$A$2:$A$843,0),"")</f>
        <v/>
      </c>
      <c r="G7273">
        <f>IF(F7273="",0,1)</f>
        <v/>
      </c>
      <c r="H7273" s="29">
        <f>IF(F7273="","",INDEX(Deals!$E$2:$E$843,F7273))</f>
        <v/>
      </c>
      <c r="I7273">
        <f>IF(F7273="","",INDEX(Deals!$D$2:$D$843,F7273))</f>
        <v/>
      </c>
      <c r="J7273">
        <f>IF(F7273="","",INT(H7273)-B7273)</f>
        <v/>
      </c>
      <c r="K7273">
        <f>IF(B7273&gt;=Settings!$C$5,1,0)</f>
        <v/>
      </c>
    </row>
    <row r="7274">
      <c r="A7274" t="inlineStr">
        <is>
          <t>b7c341015338340fc8cc5c21e0473579</t>
        </is>
      </c>
      <c r="B7274" s="29" t="n">
        <v>42954</v>
      </c>
      <c r="C7274" t="inlineStr">
        <is>
          <t>2017-08</t>
        </is>
      </c>
      <c r="D7274" t="inlineStr">
        <is>
          <t>b76ef37428e6799c421989521c0e5077</t>
        </is>
      </c>
      <c r="E7274" t="inlineStr">
        <is>
          <t>referral</t>
        </is>
      </c>
      <c r="F7274">
        <f>IFERROR(MATCH(A7274,Deals!$A$2:$A$843,0),"")</f>
        <v/>
      </c>
      <c r="G7274">
        <f>IF(F7274="",0,1)</f>
        <v/>
      </c>
      <c r="H7274" s="29">
        <f>IF(F7274="","",INDEX(Deals!$E$2:$E$843,F7274))</f>
        <v/>
      </c>
      <c r="I7274">
        <f>IF(F7274="","",INDEX(Deals!$D$2:$D$843,F7274))</f>
        <v/>
      </c>
      <c r="J7274">
        <f>IF(F7274="","",INT(H7274)-B7274)</f>
        <v/>
      </c>
      <c r="K7274">
        <f>IF(B7274&gt;=Settings!$C$5,1,0)</f>
        <v/>
      </c>
    </row>
    <row r="7275">
      <c r="A7275" t="inlineStr">
        <is>
          <t>d9d091e2a4d0ad5090774d0790d99a9a</t>
        </is>
      </c>
      <c r="B7275" s="29" t="n">
        <v>43210</v>
      </c>
      <c r="C7275" t="inlineStr">
        <is>
          <t>2018-04</t>
        </is>
      </c>
      <c r="D7275" t="inlineStr">
        <is>
          <t>58326e62183c14b0c03085c33b9fdc44</t>
        </is>
      </c>
      <c r="E7275" t="inlineStr">
        <is>
          <t>social</t>
        </is>
      </c>
      <c r="F7275">
        <f>IFERROR(MATCH(A7275,Deals!$A$2:$A$843,0),"")</f>
        <v/>
      </c>
      <c r="G7275">
        <f>IF(F7275="",0,1)</f>
        <v/>
      </c>
      <c r="H7275" s="29">
        <f>IF(F7275="","",INDEX(Deals!$E$2:$E$843,F7275))</f>
        <v/>
      </c>
      <c r="I7275">
        <f>IF(F7275="","",INDEX(Deals!$D$2:$D$843,F7275))</f>
        <v/>
      </c>
      <c r="J7275">
        <f>IF(F7275="","",INT(H7275)-B7275)</f>
        <v/>
      </c>
      <c r="K7275">
        <f>IF(B7275&gt;=Settings!$C$5,1,0)</f>
        <v/>
      </c>
    </row>
    <row r="7276">
      <c r="A7276" t="inlineStr">
        <is>
          <t>1faacc3ab6e29cd764380a5129a12631</t>
        </is>
      </c>
      <c r="B7276" s="29" t="n">
        <v>43117</v>
      </c>
      <c r="C7276" t="inlineStr">
        <is>
          <t>2018-01</t>
        </is>
      </c>
      <c r="D7276" t="inlineStr">
        <is>
          <t>4e82dd1f6d00626bda0723eef0a269a6</t>
        </is>
      </c>
      <c r="E7276" t="inlineStr">
        <is>
          <t>organic_search</t>
        </is>
      </c>
      <c r="F7276">
        <f>IFERROR(MATCH(A7276,Deals!$A$2:$A$843,0),"")</f>
        <v/>
      </c>
      <c r="G7276">
        <f>IF(F7276="",0,1)</f>
        <v/>
      </c>
      <c r="H7276" s="29">
        <f>IF(F7276="","",INDEX(Deals!$E$2:$E$843,F7276))</f>
        <v/>
      </c>
      <c r="I7276">
        <f>IF(F7276="","",INDEX(Deals!$D$2:$D$843,F7276))</f>
        <v/>
      </c>
      <c r="J7276">
        <f>IF(F7276="","",INT(H7276)-B7276)</f>
        <v/>
      </c>
      <c r="K7276">
        <f>IF(B7276&gt;=Settings!$C$5,1,0)</f>
        <v/>
      </c>
    </row>
    <row r="7277">
      <c r="A7277" t="inlineStr">
        <is>
          <t>7b1b2604bf4d573b47110b44a60783fe</t>
        </is>
      </c>
      <c r="B7277" s="29" t="n">
        <v>43187</v>
      </c>
      <c r="C7277" t="inlineStr">
        <is>
          <t>2018-03</t>
        </is>
      </c>
      <c r="D7277" t="inlineStr">
        <is>
          <t>241f79c7a8fe0270f4fb79fcbbcd17ad</t>
        </is>
      </c>
      <c r="E7277" t="inlineStr">
        <is>
          <t>paid_search</t>
        </is>
      </c>
      <c r="F7277">
        <f>IFERROR(MATCH(A7277,Deals!$A$2:$A$843,0),"")</f>
        <v/>
      </c>
      <c r="G7277">
        <f>IF(F7277="",0,1)</f>
        <v/>
      </c>
      <c r="H7277" s="29">
        <f>IF(F7277="","",INDEX(Deals!$E$2:$E$843,F7277))</f>
        <v/>
      </c>
      <c r="I7277">
        <f>IF(F7277="","",INDEX(Deals!$D$2:$D$843,F7277))</f>
        <v/>
      </c>
      <c r="J7277">
        <f>IF(F7277="","",INT(H7277)-B7277)</f>
        <v/>
      </c>
      <c r="K7277">
        <f>IF(B7277&gt;=Settings!$C$5,1,0)</f>
        <v/>
      </c>
    </row>
    <row r="7278">
      <c r="A7278" t="inlineStr">
        <is>
          <t>7771a5844b0b1fac1d64bda37667b9b7</t>
        </is>
      </c>
      <c r="B7278" s="29" t="n">
        <v>43082</v>
      </c>
      <c r="C7278" t="inlineStr">
        <is>
          <t>2017-12</t>
        </is>
      </c>
      <c r="D7278" t="inlineStr">
        <is>
          <t>9d252fc65f999fc52b49b27d69c09450</t>
        </is>
      </c>
      <c r="E7278" t="inlineStr">
        <is>
          <t>paid_search</t>
        </is>
      </c>
      <c r="F7278">
        <f>IFERROR(MATCH(A7278,Deals!$A$2:$A$843,0),"")</f>
        <v/>
      </c>
      <c r="G7278">
        <f>IF(F7278="",0,1)</f>
        <v/>
      </c>
      <c r="H7278" s="29">
        <f>IF(F7278="","",INDEX(Deals!$E$2:$E$843,F7278))</f>
        <v/>
      </c>
      <c r="I7278">
        <f>IF(F7278="","",INDEX(Deals!$D$2:$D$843,F7278))</f>
        <v/>
      </c>
      <c r="J7278">
        <f>IF(F7278="","",INT(H7278)-B7278)</f>
        <v/>
      </c>
      <c r="K7278">
        <f>IF(B7278&gt;=Settings!$C$5,1,0)</f>
        <v/>
      </c>
    </row>
    <row r="7279">
      <c r="A7279" t="inlineStr">
        <is>
          <t>55f2bf059de45be789934d2e834c06c2</t>
        </is>
      </c>
      <c r="B7279" s="29" t="n">
        <v>43184</v>
      </c>
      <c r="C7279" t="inlineStr">
        <is>
          <t>2018-03</t>
        </is>
      </c>
      <c r="D7279" t="inlineStr">
        <is>
          <t>fa5a0151e1f37d0055a3478fbb48827a</t>
        </is>
      </c>
      <c r="E7279" t="inlineStr">
        <is>
          <t>paid_search</t>
        </is>
      </c>
      <c r="F7279">
        <f>IFERROR(MATCH(A7279,Deals!$A$2:$A$843,0),"")</f>
        <v/>
      </c>
      <c r="G7279">
        <f>IF(F7279="",0,1)</f>
        <v/>
      </c>
      <c r="H7279" s="29">
        <f>IF(F7279="","",INDEX(Deals!$E$2:$E$843,F7279))</f>
        <v/>
      </c>
      <c r="I7279">
        <f>IF(F7279="","",INDEX(Deals!$D$2:$D$843,F7279))</f>
        <v/>
      </c>
      <c r="J7279">
        <f>IF(F7279="","",INT(H7279)-B7279)</f>
        <v/>
      </c>
      <c r="K7279">
        <f>IF(B7279&gt;=Settings!$C$5,1,0)</f>
        <v/>
      </c>
    </row>
    <row r="7280">
      <c r="A7280" t="inlineStr">
        <is>
          <t>b1bd739ac7f0bee6edbc6f946bcd73f8</t>
        </is>
      </c>
      <c r="B7280" s="29" t="n">
        <v>43116</v>
      </c>
      <c r="C7280" t="inlineStr">
        <is>
          <t>2018-01</t>
        </is>
      </c>
      <c r="D7280" t="inlineStr">
        <is>
          <t>73f31a40697cc90a86c1273563ac230e</t>
        </is>
      </c>
      <c r="E7280" t="inlineStr">
        <is>
          <t>organic_search</t>
        </is>
      </c>
      <c r="F7280">
        <f>IFERROR(MATCH(A7280,Deals!$A$2:$A$843,0),"")</f>
        <v/>
      </c>
      <c r="G7280">
        <f>IF(F7280="",0,1)</f>
        <v/>
      </c>
      <c r="H7280" s="29">
        <f>IF(F7280="","",INDEX(Deals!$E$2:$E$843,F7280))</f>
        <v/>
      </c>
      <c r="I7280">
        <f>IF(F7280="","",INDEX(Deals!$D$2:$D$843,F7280))</f>
        <v/>
      </c>
      <c r="J7280">
        <f>IF(F7280="","",INT(H7280)-B7280)</f>
        <v/>
      </c>
      <c r="K7280">
        <f>IF(B7280&gt;=Settings!$C$5,1,0)</f>
        <v/>
      </c>
    </row>
    <row r="7281">
      <c r="A7281" t="inlineStr">
        <is>
          <t>c6078c876ca28b1c764e7dce3fe86ed5</t>
        </is>
      </c>
      <c r="B7281" s="29" t="n">
        <v>43122</v>
      </c>
      <c r="C7281" t="inlineStr">
        <is>
          <t>2018-01</t>
        </is>
      </c>
      <c r="D7281" t="inlineStr">
        <is>
          <t>ee3c3bad6ed3eb9d5de56688d1f9c91b</t>
        </is>
      </c>
      <c r="E7281" t="inlineStr">
        <is>
          <t>email</t>
        </is>
      </c>
      <c r="F7281">
        <f>IFERROR(MATCH(A7281,Deals!$A$2:$A$843,0),"")</f>
        <v/>
      </c>
      <c r="G7281">
        <f>IF(F7281="",0,1)</f>
        <v/>
      </c>
      <c r="H7281" s="29">
        <f>IF(F7281="","",INDEX(Deals!$E$2:$E$843,F7281))</f>
        <v/>
      </c>
      <c r="I7281">
        <f>IF(F7281="","",INDEX(Deals!$D$2:$D$843,F7281))</f>
        <v/>
      </c>
      <c r="J7281">
        <f>IF(F7281="","",INT(H7281)-B7281)</f>
        <v/>
      </c>
      <c r="K7281">
        <f>IF(B7281&gt;=Settings!$C$5,1,0)</f>
        <v/>
      </c>
    </row>
    <row r="7282">
      <c r="A7282" t="inlineStr">
        <is>
          <t>58b1a71381e0d7e6c599ef6e5cd10a69</t>
        </is>
      </c>
      <c r="B7282" s="29" t="n">
        <v>43248</v>
      </c>
      <c r="C7282" t="inlineStr">
        <is>
          <t>2018-05</t>
        </is>
      </c>
      <c r="D7282" t="inlineStr">
        <is>
          <t>daa9619c6f8ed06d059265dca0f9257f</t>
        </is>
      </c>
      <c r="E7282" t="inlineStr">
        <is>
          <t>email</t>
        </is>
      </c>
      <c r="F7282">
        <f>IFERROR(MATCH(A7282,Deals!$A$2:$A$843,0),"")</f>
        <v/>
      </c>
      <c r="G7282">
        <f>IF(F7282="",0,1)</f>
        <v/>
      </c>
      <c r="H7282" s="29">
        <f>IF(F7282="","",INDEX(Deals!$E$2:$E$843,F7282))</f>
        <v/>
      </c>
      <c r="I7282">
        <f>IF(F7282="","",INDEX(Deals!$D$2:$D$843,F7282))</f>
        <v/>
      </c>
      <c r="J7282">
        <f>IF(F7282="","",INT(H7282)-B7282)</f>
        <v/>
      </c>
      <c r="K7282">
        <f>IF(B7282&gt;=Settings!$C$5,1,0)</f>
        <v/>
      </c>
    </row>
    <row r="7283">
      <c r="A7283" t="inlineStr">
        <is>
          <t>fb6cf395c453fdafb241d6d887e6aefe</t>
        </is>
      </c>
      <c r="B7283" s="29" t="n">
        <v>42981</v>
      </c>
      <c r="C7283" t="inlineStr">
        <is>
          <t>2017-09</t>
        </is>
      </c>
      <c r="D7283" t="inlineStr">
        <is>
          <t>ef0b482996664cc1107b9051efd3ca84</t>
        </is>
      </c>
      <c r="E7283" t="inlineStr">
        <is>
          <t>organic_search</t>
        </is>
      </c>
      <c r="F7283">
        <f>IFERROR(MATCH(A7283,Deals!$A$2:$A$843,0),"")</f>
        <v/>
      </c>
      <c r="G7283">
        <f>IF(F7283="",0,1)</f>
        <v/>
      </c>
      <c r="H7283" s="29">
        <f>IF(F7283="","",INDEX(Deals!$E$2:$E$843,F7283))</f>
        <v/>
      </c>
      <c r="I7283">
        <f>IF(F7283="","",INDEX(Deals!$D$2:$D$843,F7283))</f>
        <v/>
      </c>
      <c r="J7283">
        <f>IF(F7283="","",INT(H7283)-B7283)</f>
        <v/>
      </c>
      <c r="K7283">
        <f>IF(B7283&gt;=Settings!$C$5,1,0)</f>
        <v/>
      </c>
    </row>
    <row r="7284">
      <c r="A7284" t="inlineStr">
        <is>
          <t>380300f2977be97431f05aacf79c59d8</t>
        </is>
      </c>
      <c r="B7284" s="29" t="n">
        <v>43097</v>
      </c>
      <c r="C7284" t="inlineStr">
        <is>
          <t>2017-12</t>
        </is>
      </c>
      <c r="D7284" t="inlineStr">
        <is>
          <t>0218f6be0b76aca72ab4d00ee9e8cf10</t>
        </is>
      </c>
      <c r="E7284" t="inlineStr">
        <is>
          <t>organic_search</t>
        </is>
      </c>
      <c r="F7284">
        <f>IFERROR(MATCH(A7284,Deals!$A$2:$A$843,0),"")</f>
        <v/>
      </c>
      <c r="G7284">
        <f>IF(F7284="",0,1)</f>
        <v/>
      </c>
      <c r="H7284" s="29">
        <f>IF(F7284="","",INDEX(Deals!$E$2:$E$843,F7284))</f>
        <v/>
      </c>
      <c r="I7284">
        <f>IF(F7284="","",INDEX(Deals!$D$2:$D$843,F7284))</f>
        <v/>
      </c>
      <c r="J7284">
        <f>IF(F7284="","",INT(H7284)-B7284)</f>
        <v/>
      </c>
      <c r="K7284">
        <f>IF(B7284&gt;=Settings!$C$5,1,0)</f>
        <v/>
      </c>
    </row>
    <row r="7285">
      <c r="A7285" t="inlineStr">
        <is>
          <t>186f0892f13de5443c0b6d042a6ddde0</t>
        </is>
      </c>
      <c r="B7285" s="29" t="n">
        <v>43126</v>
      </c>
      <c r="C7285" t="inlineStr">
        <is>
          <t>2018-01</t>
        </is>
      </c>
      <c r="D7285" t="inlineStr">
        <is>
          <t>a7982125ff7aa3b2054c6e44f9d28522</t>
        </is>
      </c>
      <c r="E7285" t="inlineStr">
        <is>
          <t>organic_search</t>
        </is>
      </c>
      <c r="F7285">
        <f>IFERROR(MATCH(A7285,Deals!$A$2:$A$843,0),"")</f>
        <v/>
      </c>
      <c r="G7285">
        <f>IF(F7285="",0,1)</f>
        <v/>
      </c>
      <c r="H7285" s="29">
        <f>IF(F7285="","",INDEX(Deals!$E$2:$E$843,F7285))</f>
        <v/>
      </c>
      <c r="I7285">
        <f>IF(F7285="","",INDEX(Deals!$D$2:$D$843,F7285))</f>
        <v/>
      </c>
      <c r="J7285">
        <f>IF(F7285="","",INT(H7285)-B7285)</f>
        <v/>
      </c>
      <c r="K7285">
        <f>IF(B7285&gt;=Settings!$C$5,1,0)</f>
        <v/>
      </c>
    </row>
    <row r="7286">
      <c r="A7286" t="inlineStr">
        <is>
          <t>6a08151ec9111529546d41050dbe8058</t>
        </is>
      </c>
      <c r="B7286" s="29" t="n">
        <v>43036</v>
      </c>
      <c r="C7286" t="inlineStr">
        <is>
          <t>2017-10</t>
        </is>
      </c>
      <c r="D7286" t="inlineStr">
        <is>
          <t>88740e65d5d6b056e0cda098e1ea6313</t>
        </is>
      </c>
      <c r="E7286" t="inlineStr">
        <is>
          <t>social</t>
        </is>
      </c>
      <c r="F7286">
        <f>IFERROR(MATCH(A7286,Deals!$A$2:$A$843,0),"")</f>
        <v/>
      </c>
      <c r="G7286">
        <f>IF(F7286="",0,1)</f>
        <v/>
      </c>
      <c r="H7286" s="29">
        <f>IF(F7286="","",INDEX(Deals!$E$2:$E$843,F7286))</f>
        <v/>
      </c>
      <c r="I7286">
        <f>IF(F7286="","",INDEX(Deals!$D$2:$D$843,F7286))</f>
        <v/>
      </c>
      <c r="J7286">
        <f>IF(F7286="","",INT(H7286)-B7286)</f>
        <v/>
      </c>
      <c r="K7286">
        <f>IF(B7286&gt;=Settings!$C$5,1,0)</f>
        <v/>
      </c>
    </row>
    <row r="7287">
      <c r="A7287" t="inlineStr">
        <is>
          <t>8f550fa438afc57d2a4e868390396225</t>
        </is>
      </c>
      <c r="B7287" s="29" t="n">
        <v>43130</v>
      </c>
      <c r="C7287" t="inlineStr">
        <is>
          <t>2018-01</t>
        </is>
      </c>
      <c r="D7287" t="inlineStr">
        <is>
          <t>22c29808c4f815213303f8933030604c</t>
        </is>
      </c>
      <c r="E7287" t="inlineStr">
        <is>
          <t>organic_search</t>
        </is>
      </c>
      <c r="F7287">
        <f>IFERROR(MATCH(A7287,Deals!$A$2:$A$843,0),"")</f>
        <v/>
      </c>
      <c r="G7287">
        <f>IF(F7287="",0,1)</f>
        <v/>
      </c>
      <c r="H7287" s="29">
        <f>IF(F7287="","",INDEX(Deals!$E$2:$E$843,F7287))</f>
        <v/>
      </c>
      <c r="I7287">
        <f>IF(F7287="","",INDEX(Deals!$D$2:$D$843,F7287))</f>
        <v/>
      </c>
      <c r="J7287">
        <f>IF(F7287="","",INT(H7287)-B7287)</f>
        <v/>
      </c>
      <c r="K7287">
        <f>IF(B7287&gt;=Settings!$C$5,1,0)</f>
        <v/>
      </c>
    </row>
    <row r="7288">
      <c r="A7288" t="inlineStr">
        <is>
          <t>e38b50b909f7a76965c768c3b64cd9e7</t>
        </is>
      </c>
      <c r="B7288" s="29" t="n">
        <v>43034</v>
      </c>
      <c r="C7288" t="inlineStr">
        <is>
          <t>2017-10</t>
        </is>
      </c>
      <c r="D7288" t="inlineStr">
        <is>
          <t>1d298480a2f10b8c7527eeb6fcf1df97</t>
        </is>
      </c>
      <c r="E7288" t="inlineStr">
        <is>
          <t>organic_search</t>
        </is>
      </c>
      <c r="F7288">
        <f>IFERROR(MATCH(A7288,Deals!$A$2:$A$843,0),"")</f>
        <v/>
      </c>
      <c r="G7288">
        <f>IF(F7288="",0,1)</f>
        <v/>
      </c>
      <c r="H7288" s="29">
        <f>IF(F7288="","",INDEX(Deals!$E$2:$E$843,F7288))</f>
        <v/>
      </c>
      <c r="I7288">
        <f>IF(F7288="","",INDEX(Deals!$D$2:$D$843,F7288))</f>
        <v/>
      </c>
      <c r="J7288">
        <f>IF(F7288="","",INT(H7288)-B7288)</f>
        <v/>
      </c>
      <c r="K7288">
        <f>IF(B7288&gt;=Settings!$C$5,1,0)</f>
        <v/>
      </c>
    </row>
    <row r="7289">
      <c r="A7289" t="inlineStr">
        <is>
          <t>87688e644bd630526fedd4f22613cef9</t>
        </is>
      </c>
      <c r="B7289" s="29" t="n">
        <v>42976</v>
      </c>
      <c r="C7289" t="inlineStr">
        <is>
          <t>2017-08</t>
        </is>
      </c>
      <c r="D7289" t="inlineStr">
        <is>
          <t>c79bafc4a099ff23e3bab1534797fb45</t>
        </is>
      </c>
      <c r="E7289" t="inlineStr">
        <is>
          <t>paid_search</t>
        </is>
      </c>
      <c r="F7289">
        <f>IFERROR(MATCH(A7289,Deals!$A$2:$A$843,0),"")</f>
        <v/>
      </c>
      <c r="G7289">
        <f>IF(F7289="",0,1)</f>
        <v/>
      </c>
      <c r="H7289" s="29">
        <f>IF(F7289="","",INDEX(Deals!$E$2:$E$843,F7289))</f>
        <v/>
      </c>
      <c r="I7289">
        <f>IF(F7289="","",INDEX(Deals!$D$2:$D$843,F7289))</f>
        <v/>
      </c>
      <c r="J7289">
        <f>IF(F7289="","",INT(H7289)-B7289)</f>
        <v/>
      </c>
      <c r="K7289">
        <f>IF(B7289&gt;=Settings!$C$5,1,0)</f>
        <v/>
      </c>
    </row>
    <row r="7290">
      <c r="A7290" t="inlineStr">
        <is>
          <t>865068698d725a182626aca2fdd23c3a</t>
        </is>
      </c>
      <c r="B7290" s="29" t="n">
        <v>43195</v>
      </c>
      <c r="C7290" t="inlineStr">
        <is>
          <t>2018-04</t>
        </is>
      </c>
      <c r="D7290" t="inlineStr">
        <is>
          <t>b76ef37428e6799c421989521c0e5077</t>
        </is>
      </c>
      <c r="E7290" t="inlineStr">
        <is>
          <t>unknown</t>
        </is>
      </c>
      <c r="F7290">
        <f>IFERROR(MATCH(A7290,Deals!$A$2:$A$843,0),"")</f>
        <v/>
      </c>
      <c r="G7290">
        <f>IF(F7290="",0,1)</f>
        <v/>
      </c>
      <c r="H7290" s="29">
        <f>IF(F7290="","",INDEX(Deals!$E$2:$E$843,F7290))</f>
        <v/>
      </c>
      <c r="I7290">
        <f>IF(F7290="","",INDEX(Deals!$D$2:$D$843,F7290))</f>
        <v/>
      </c>
      <c r="J7290">
        <f>IF(F7290="","",INT(H7290)-B7290)</f>
        <v/>
      </c>
      <c r="K7290">
        <f>IF(B7290&gt;=Settings!$C$5,1,0)</f>
        <v/>
      </c>
    </row>
    <row r="7291">
      <c r="A7291" t="inlineStr">
        <is>
          <t>b902e44a9bfdad44bae25939fbc1ab8a</t>
        </is>
      </c>
      <c r="B7291" s="29" t="n">
        <v>43143</v>
      </c>
      <c r="C7291" t="inlineStr">
        <is>
          <t>2018-02</t>
        </is>
      </c>
      <c r="D7291" t="inlineStr">
        <is>
          <t>73fec6021437e723ff5adae8dff89e23</t>
        </is>
      </c>
      <c r="E7291" t="inlineStr">
        <is>
          <t>social</t>
        </is>
      </c>
      <c r="F7291">
        <f>IFERROR(MATCH(A7291,Deals!$A$2:$A$843,0),"")</f>
        <v/>
      </c>
      <c r="G7291">
        <f>IF(F7291="",0,1)</f>
        <v/>
      </c>
      <c r="H7291" s="29">
        <f>IF(F7291="","",INDEX(Deals!$E$2:$E$843,F7291))</f>
        <v/>
      </c>
      <c r="I7291">
        <f>IF(F7291="","",INDEX(Deals!$D$2:$D$843,F7291))</f>
        <v/>
      </c>
      <c r="J7291">
        <f>IF(F7291="","",INT(H7291)-B7291)</f>
        <v/>
      </c>
      <c r="K7291">
        <f>IF(B7291&gt;=Settings!$C$5,1,0)</f>
        <v/>
      </c>
    </row>
    <row r="7292">
      <c r="A7292" t="inlineStr">
        <is>
          <t>df29803a60f8f4f537908df8188f6676</t>
        </is>
      </c>
      <c r="B7292" s="29" t="n">
        <v>43193</v>
      </c>
      <c r="C7292" t="inlineStr">
        <is>
          <t>2018-04</t>
        </is>
      </c>
      <c r="D7292" t="inlineStr">
        <is>
          <t>73f31a40697cc90a86c1273563ac230e</t>
        </is>
      </c>
      <c r="E7292" t="inlineStr">
        <is>
          <t>other</t>
        </is>
      </c>
      <c r="F7292">
        <f>IFERROR(MATCH(A7292,Deals!$A$2:$A$843,0),"")</f>
        <v/>
      </c>
      <c r="G7292">
        <f>IF(F7292="",0,1)</f>
        <v/>
      </c>
      <c r="H7292" s="29">
        <f>IF(F7292="","",INDEX(Deals!$E$2:$E$843,F7292))</f>
        <v/>
      </c>
      <c r="I7292">
        <f>IF(F7292="","",INDEX(Deals!$D$2:$D$843,F7292))</f>
        <v/>
      </c>
      <c r="J7292">
        <f>IF(F7292="","",INT(H7292)-B7292)</f>
        <v/>
      </c>
      <c r="K7292">
        <f>IF(B7292&gt;=Settings!$C$5,1,0)</f>
        <v/>
      </c>
    </row>
    <row r="7293">
      <c r="A7293" t="inlineStr">
        <is>
          <t>5ce7df80a9e32ee366f578e7ad3d290a</t>
        </is>
      </c>
      <c r="B7293" s="29" t="n">
        <v>42956</v>
      </c>
      <c r="C7293" t="inlineStr">
        <is>
          <t>2017-08</t>
        </is>
      </c>
      <c r="D7293" t="inlineStr">
        <is>
          <t>d41d8cd98f00b204e9800998ecf8427e</t>
        </is>
      </c>
      <c r="E7293" t="inlineStr">
        <is>
          <t>(missing)</t>
        </is>
      </c>
      <c r="F7293">
        <f>IFERROR(MATCH(A7293,Deals!$A$2:$A$843,0),"")</f>
        <v/>
      </c>
      <c r="G7293">
        <f>IF(F7293="",0,1)</f>
        <v/>
      </c>
      <c r="H7293" s="29">
        <f>IF(F7293="","",INDEX(Deals!$E$2:$E$843,F7293))</f>
        <v/>
      </c>
      <c r="I7293">
        <f>IF(F7293="","",INDEX(Deals!$D$2:$D$843,F7293))</f>
        <v/>
      </c>
      <c r="J7293">
        <f>IF(F7293="","",INT(H7293)-B7293)</f>
        <v/>
      </c>
      <c r="K7293">
        <f>IF(B7293&gt;=Settings!$C$5,1,0)</f>
        <v/>
      </c>
    </row>
    <row r="7294">
      <c r="A7294" t="inlineStr">
        <is>
          <t>fc0a485cf6784acc2104ec94f7dcb07d</t>
        </is>
      </c>
      <c r="B7294" s="29" t="n">
        <v>42983</v>
      </c>
      <c r="C7294" t="inlineStr">
        <is>
          <t>2017-09</t>
        </is>
      </c>
      <c r="D7294" t="inlineStr">
        <is>
          <t>71ef148e8a549ba85ca27271a3a94c26</t>
        </is>
      </c>
      <c r="E7294" t="inlineStr">
        <is>
          <t>display</t>
        </is>
      </c>
      <c r="F7294">
        <f>IFERROR(MATCH(A7294,Deals!$A$2:$A$843,0),"")</f>
        <v/>
      </c>
      <c r="G7294">
        <f>IF(F7294="",0,1)</f>
        <v/>
      </c>
      <c r="H7294" s="29">
        <f>IF(F7294="","",INDEX(Deals!$E$2:$E$843,F7294))</f>
        <v/>
      </c>
      <c r="I7294">
        <f>IF(F7294="","",INDEX(Deals!$D$2:$D$843,F7294))</f>
        <v/>
      </c>
      <c r="J7294">
        <f>IF(F7294="","",INT(H7294)-B7294)</f>
        <v/>
      </c>
      <c r="K7294">
        <f>IF(B7294&gt;=Settings!$C$5,1,0)</f>
        <v/>
      </c>
    </row>
    <row r="7295">
      <c r="A7295" t="inlineStr">
        <is>
          <t>9c0412b77ae8d8288950565046ded7e0</t>
        </is>
      </c>
      <c r="B7295" s="29" t="n">
        <v>43111</v>
      </c>
      <c r="C7295" t="inlineStr">
        <is>
          <t>2018-01</t>
        </is>
      </c>
      <c r="D7295" t="inlineStr">
        <is>
          <t>58f8c0a253663304e348e81298bc255e</t>
        </is>
      </c>
      <c r="E7295" t="inlineStr">
        <is>
          <t>direct_traffic</t>
        </is>
      </c>
      <c r="F7295">
        <f>IFERROR(MATCH(A7295,Deals!$A$2:$A$843,0),"")</f>
        <v/>
      </c>
      <c r="G7295">
        <f>IF(F7295="",0,1)</f>
        <v/>
      </c>
      <c r="H7295" s="29">
        <f>IF(F7295="","",INDEX(Deals!$E$2:$E$843,F7295))</f>
        <v/>
      </c>
      <c r="I7295">
        <f>IF(F7295="","",INDEX(Deals!$D$2:$D$843,F7295))</f>
        <v/>
      </c>
      <c r="J7295">
        <f>IF(F7295="","",INT(H7295)-B7295)</f>
        <v/>
      </c>
      <c r="K7295">
        <f>IF(B7295&gt;=Settings!$C$5,1,0)</f>
        <v/>
      </c>
    </row>
    <row r="7296">
      <c r="A7296" t="inlineStr">
        <is>
          <t>ebd9eb6819ab10ef417c8e52fe96cc94</t>
        </is>
      </c>
      <c r="B7296" s="29" t="n">
        <v>42992</v>
      </c>
      <c r="C7296" t="inlineStr">
        <is>
          <t>2017-09</t>
        </is>
      </c>
      <c r="D7296" t="inlineStr">
        <is>
          <t>a623837d6a3000b3cd020295728e8252</t>
        </is>
      </c>
      <c r="E7296" t="inlineStr">
        <is>
          <t>direct_traffic</t>
        </is>
      </c>
      <c r="F7296">
        <f>IFERROR(MATCH(A7296,Deals!$A$2:$A$843,0),"")</f>
        <v/>
      </c>
      <c r="G7296">
        <f>IF(F7296="",0,1)</f>
        <v/>
      </c>
      <c r="H7296" s="29">
        <f>IF(F7296="","",INDEX(Deals!$E$2:$E$843,F7296))</f>
        <v/>
      </c>
      <c r="I7296">
        <f>IF(F7296="","",INDEX(Deals!$D$2:$D$843,F7296))</f>
        <v/>
      </c>
      <c r="J7296">
        <f>IF(F7296="","",INT(H7296)-B7296)</f>
        <v/>
      </c>
      <c r="K7296">
        <f>IF(B7296&gt;=Settings!$C$5,1,0)</f>
        <v/>
      </c>
    </row>
    <row r="7297">
      <c r="A7297" t="inlineStr">
        <is>
          <t>3887768255fc3ba5063eb8df7046d194</t>
        </is>
      </c>
      <c r="B7297" s="29" t="n">
        <v>43167</v>
      </c>
      <c r="C7297" t="inlineStr">
        <is>
          <t>2018-03</t>
        </is>
      </c>
      <c r="D7297" t="inlineStr">
        <is>
          <t>22c29808c4f815213303f8933030604c</t>
        </is>
      </c>
      <c r="E7297" t="inlineStr">
        <is>
          <t>organic_search</t>
        </is>
      </c>
      <c r="F7297">
        <f>IFERROR(MATCH(A7297,Deals!$A$2:$A$843,0),"")</f>
        <v/>
      </c>
      <c r="G7297">
        <f>IF(F7297="",0,1)</f>
        <v/>
      </c>
      <c r="H7297" s="29">
        <f>IF(F7297="","",INDEX(Deals!$E$2:$E$843,F7297))</f>
        <v/>
      </c>
      <c r="I7297">
        <f>IF(F7297="","",INDEX(Deals!$D$2:$D$843,F7297))</f>
        <v/>
      </c>
      <c r="J7297">
        <f>IF(F7297="","",INT(H7297)-B7297)</f>
        <v/>
      </c>
      <c r="K7297">
        <f>IF(B7297&gt;=Settings!$C$5,1,0)</f>
        <v/>
      </c>
    </row>
    <row r="7298">
      <c r="A7298" t="inlineStr">
        <is>
          <t>3fe4e041db20eecbe3fedc2b61669dbe</t>
        </is>
      </c>
      <c r="B7298" s="29" t="n">
        <v>43158</v>
      </c>
      <c r="C7298" t="inlineStr">
        <is>
          <t>2018-02</t>
        </is>
      </c>
      <c r="D7298" t="inlineStr">
        <is>
          <t>a7982125ff7aa3b2054c6e44f9d28522</t>
        </is>
      </c>
      <c r="E7298" t="inlineStr">
        <is>
          <t>organic_search</t>
        </is>
      </c>
      <c r="F7298">
        <f>IFERROR(MATCH(A7298,Deals!$A$2:$A$843,0),"")</f>
        <v/>
      </c>
      <c r="G7298">
        <f>IF(F7298="",0,1)</f>
        <v/>
      </c>
      <c r="H7298" s="29">
        <f>IF(F7298="","",INDEX(Deals!$E$2:$E$843,F7298))</f>
        <v/>
      </c>
      <c r="I7298">
        <f>IF(F7298="","",INDEX(Deals!$D$2:$D$843,F7298))</f>
        <v/>
      </c>
      <c r="J7298">
        <f>IF(F7298="","",INT(H7298)-B7298)</f>
        <v/>
      </c>
      <c r="K7298">
        <f>IF(B7298&gt;=Settings!$C$5,1,0)</f>
        <v/>
      </c>
    </row>
    <row r="7299">
      <c r="A7299" t="inlineStr">
        <is>
          <t>c5cc5960420a4189fb225dbaec8f9e62</t>
        </is>
      </c>
      <c r="B7299" s="29" t="n">
        <v>42972</v>
      </c>
      <c r="C7299" t="inlineStr">
        <is>
          <t>2017-08</t>
        </is>
      </c>
      <c r="D7299" t="inlineStr">
        <is>
          <t>7fa6214d82e911d070f51ef79381b956</t>
        </is>
      </c>
      <c r="E7299" t="inlineStr">
        <is>
          <t>other</t>
        </is>
      </c>
      <c r="F7299">
        <f>IFERROR(MATCH(A7299,Deals!$A$2:$A$843,0),"")</f>
        <v/>
      </c>
      <c r="G7299">
        <f>IF(F7299="",0,1)</f>
        <v/>
      </c>
      <c r="H7299" s="29">
        <f>IF(F7299="","",INDEX(Deals!$E$2:$E$843,F7299))</f>
        <v/>
      </c>
      <c r="I7299">
        <f>IF(F7299="","",INDEX(Deals!$D$2:$D$843,F7299))</f>
        <v/>
      </c>
      <c r="J7299">
        <f>IF(F7299="","",INT(H7299)-B7299)</f>
        <v/>
      </c>
      <c r="K7299">
        <f>IF(B7299&gt;=Settings!$C$5,1,0)</f>
        <v/>
      </c>
    </row>
    <row r="7300">
      <c r="A7300" t="inlineStr">
        <is>
          <t>810e00b68fb50eb2ff31a6cc2068597d</t>
        </is>
      </c>
      <c r="B7300" s="29" t="n">
        <v>43124</v>
      </c>
      <c r="C7300" t="inlineStr">
        <is>
          <t>2018-01</t>
        </is>
      </c>
      <c r="D7300" t="inlineStr">
        <is>
          <t>87d670b00a8db612286ba8419cf82e83</t>
        </is>
      </c>
      <c r="E7300" t="inlineStr">
        <is>
          <t>paid_search</t>
        </is>
      </c>
      <c r="F7300">
        <f>IFERROR(MATCH(A7300,Deals!$A$2:$A$843,0),"")</f>
        <v/>
      </c>
      <c r="G7300">
        <f>IF(F7300="",0,1)</f>
        <v/>
      </c>
      <c r="H7300" s="29">
        <f>IF(F7300="","",INDEX(Deals!$E$2:$E$843,F7300))</f>
        <v/>
      </c>
      <c r="I7300">
        <f>IF(F7300="","",INDEX(Deals!$D$2:$D$843,F7300))</f>
        <v/>
      </c>
      <c r="J7300">
        <f>IF(F7300="","",INT(H7300)-B7300)</f>
        <v/>
      </c>
      <c r="K7300">
        <f>IF(B7300&gt;=Settings!$C$5,1,0)</f>
        <v/>
      </c>
    </row>
    <row r="7301">
      <c r="A7301" t="inlineStr">
        <is>
          <t>6ab3f66803d144173bc92ded778b844b</t>
        </is>
      </c>
      <c r="B7301" s="29" t="n">
        <v>43234</v>
      </c>
      <c r="C7301" t="inlineStr">
        <is>
          <t>2018-05</t>
        </is>
      </c>
      <c r="D7301" t="inlineStr">
        <is>
          <t>22c29808c4f815213303f8933030604c</t>
        </is>
      </c>
      <c r="E7301" t="inlineStr">
        <is>
          <t>direct_traffic</t>
        </is>
      </c>
      <c r="F7301">
        <f>IFERROR(MATCH(A7301,Deals!$A$2:$A$843,0),"")</f>
        <v/>
      </c>
      <c r="G7301">
        <f>IF(F7301="",0,1)</f>
        <v/>
      </c>
      <c r="H7301" s="29">
        <f>IF(F7301="","",INDEX(Deals!$E$2:$E$843,F7301))</f>
        <v/>
      </c>
      <c r="I7301">
        <f>IF(F7301="","",INDEX(Deals!$D$2:$D$843,F7301))</f>
        <v/>
      </c>
      <c r="J7301">
        <f>IF(F7301="","",INT(H7301)-B7301)</f>
        <v/>
      </c>
      <c r="K7301">
        <f>IF(B7301&gt;=Settings!$C$5,1,0)</f>
        <v/>
      </c>
    </row>
    <row r="7302">
      <c r="A7302" t="inlineStr">
        <is>
          <t>5c9c7ad2ff3f850771344d964f94bae3</t>
        </is>
      </c>
      <c r="B7302" s="29" t="n">
        <v>43122</v>
      </c>
      <c r="C7302" t="inlineStr">
        <is>
          <t>2018-01</t>
        </is>
      </c>
      <c r="D7302" t="inlineStr">
        <is>
          <t>ce1a65abd0973638f1c887a6efcfa82d</t>
        </is>
      </c>
      <c r="E7302" t="inlineStr">
        <is>
          <t>direct_traffic</t>
        </is>
      </c>
      <c r="F7302">
        <f>IFERROR(MATCH(A7302,Deals!$A$2:$A$843,0),"")</f>
        <v/>
      </c>
      <c r="G7302">
        <f>IF(F7302="",0,1)</f>
        <v/>
      </c>
      <c r="H7302" s="29">
        <f>IF(F7302="","",INDEX(Deals!$E$2:$E$843,F7302))</f>
        <v/>
      </c>
      <c r="I7302">
        <f>IF(F7302="","",INDEX(Deals!$D$2:$D$843,F7302))</f>
        <v/>
      </c>
      <c r="J7302">
        <f>IF(F7302="","",INT(H7302)-B7302)</f>
        <v/>
      </c>
      <c r="K7302">
        <f>IF(B7302&gt;=Settings!$C$5,1,0)</f>
        <v/>
      </c>
    </row>
    <row r="7303">
      <c r="A7303" t="inlineStr">
        <is>
          <t>cf7f5d18c19536b2299bd648d5028f0c</t>
        </is>
      </c>
      <c r="B7303" s="29" t="n">
        <v>43193</v>
      </c>
      <c r="C7303" t="inlineStr">
        <is>
          <t>2018-04</t>
        </is>
      </c>
      <c r="D7303" t="inlineStr">
        <is>
          <t>b76ef37428e6799c421989521c0e5077</t>
        </is>
      </c>
      <c r="E7303" t="inlineStr">
        <is>
          <t>unknown</t>
        </is>
      </c>
      <c r="F7303">
        <f>IFERROR(MATCH(A7303,Deals!$A$2:$A$843,0),"")</f>
        <v/>
      </c>
      <c r="G7303">
        <f>IF(F7303="",0,1)</f>
        <v/>
      </c>
      <c r="H7303" s="29">
        <f>IF(F7303="","",INDEX(Deals!$E$2:$E$843,F7303))</f>
        <v/>
      </c>
      <c r="I7303">
        <f>IF(F7303="","",INDEX(Deals!$D$2:$D$843,F7303))</f>
        <v/>
      </c>
      <c r="J7303">
        <f>IF(F7303="","",INT(H7303)-B7303)</f>
        <v/>
      </c>
      <c r="K7303">
        <f>IF(B7303&gt;=Settings!$C$5,1,0)</f>
        <v/>
      </c>
    </row>
    <row r="7304">
      <c r="A7304" t="inlineStr">
        <is>
          <t>86f373adc229cb2c06b3a19fa479f191</t>
        </is>
      </c>
      <c r="B7304" s="29" t="n">
        <v>43172</v>
      </c>
      <c r="C7304" t="inlineStr">
        <is>
          <t>2018-03</t>
        </is>
      </c>
      <c r="D7304" t="inlineStr">
        <is>
          <t>bddebc4f4d44106c427bd00695840e64</t>
        </is>
      </c>
      <c r="E7304" t="inlineStr">
        <is>
          <t>email</t>
        </is>
      </c>
      <c r="F7304">
        <f>IFERROR(MATCH(A7304,Deals!$A$2:$A$843,0),"")</f>
        <v/>
      </c>
      <c r="G7304">
        <f>IF(F7304="",0,1)</f>
        <v/>
      </c>
      <c r="H7304" s="29">
        <f>IF(F7304="","",INDEX(Deals!$E$2:$E$843,F7304))</f>
        <v/>
      </c>
      <c r="I7304">
        <f>IF(F7304="","",INDEX(Deals!$D$2:$D$843,F7304))</f>
        <v/>
      </c>
      <c r="J7304">
        <f>IF(F7304="","",INT(H7304)-B7304)</f>
        <v/>
      </c>
      <c r="K7304">
        <f>IF(B7304&gt;=Settings!$C$5,1,0)</f>
        <v/>
      </c>
    </row>
    <row r="7305">
      <c r="A7305" t="inlineStr">
        <is>
          <t>5d4341b5017f17d05ca411753d923463</t>
        </is>
      </c>
      <c r="B7305" s="29" t="n">
        <v>43138</v>
      </c>
      <c r="C7305" t="inlineStr">
        <is>
          <t>2018-02</t>
        </is>
      </c>
      <c r="D7305" t="inlineStr">
        <is>
          <t>ce1a65abd0973638f1c887a6efcfa82d</t>
        </is>
      </c>
      <c r="E7305" t="inlineStr">
        <is>
          <t>display</t>
        </is>
      </c>
      <c r="F7305">
        <f>IFERROR(MATCH(A7305,Deals!$A$2:$A$843,0),"")</f>
        <v/>
      </c>
      <c r="G7305">
        <f>IF(F7305="",0,1)</f>
        <v/>
      </c>
      <c r="H7305" s="29">
        <f>IF(F7305="","",INDEX(Deals!$E$2:$E$843,F7305))</f>
        <v/>
      </c>
      <c r="I7305">
        <f>IF(F7305="","",INDEX(Deals!$D$2:$D$843,F7305))</f>
        <v/>
      </c>
      <c r="J7305">
        <f>IF(F7305="","",INT(H7305)-B7305)</f>
        <v/>
      </c>
      <c r="K7305">
        <f>IF(B7305&gt;=Settings!$C$5,1,0)</f>
        <v/>
      </c>
    </row>
    <row r="7306">
      <c r="A7306" t="inlineStr">
        <is>
          <t>06ebaf4306562823d37da3071facc9d0</t>
        </is>
      </c>
      <c r="B7306" s="29" t="n">
        <v>42989</v>
      </c>
      <c r="C7306" t="inlineStr">
        <is>
          <t>2017-09</t>
        </is>
      </c>
      <c r="D7306" t="inlineStr">
        <is>
          <t>22c29808c4f815213303f8933030604c</t>
        </is>
      </c>
      <c r="E7306" t="inlineStr">
        <is>
          <t>social</t>
        </is>
      </c>
      <c r="F7306">
        <f>IFERROR(MATCH(A7306,Deals!$A$2:$A$843,0),"")</f>
        <v/>
      </c>
      <c r="G7306">
        <f>IF(F7306="",0,1)</f>
        <v/>
      </c>
      <c r="H7306" s="29">
        <f>IF(F7306="","",INDEX(Deals!$E$2:$E$843,F7306))</f>
        <v/>
      </c>
      <c r="I7306">
        <f>IF(F7306="","",INDEX(Deals!$D$2:$D$843,F7306))</f>
        <v/>
      </c>
      <c r="J7306">
        <f>IF(F7306="","",INT(H7306)-B7306)</f>
        <v/>
      </c>
      <c r="K7306">
        <f>IF(B7306&gt;=Settings!$C$5,1,0)</f>
        <v/>
      </c>
    </row>
    <row r="7307">
      <c r="A7307" t="inlineStr">
        <is>
          <t>5647ed707e5b7b343c59502684365085</t>
        </is>
      </c>
      <c r="B7307" s="29" t="n">
        <v>43106</v>
      </c>
      <c r="C7307" t="inlineStr">
        <is>
          <t>2018-01</t>
        </is>
      </c>
      <c r="D7307" t="inlineStr">
        <is>
          <t>40dec9f3d5259a3d2dbcdab2114fae47</t>
        </is>
      </c>
      <c r="E7307" t="inlineStr">
        <is>
          <t>email</t>
        </is>
      </c>
      <c r="F7307">
        <f>IFERROR(MATCH(A7307,Deals!$A$2:$A$843,0),"")</f>
        <v/>
      </c>
      <c r="G7307">
        <f>IF(F7307="",0,1)</f>
        <v/>
      </c>
      <c r="H7307" s="29">
        <f>IF(F7307="","",INDEX(Deals!$E$2:$E$843,F7307))</f>
        <v/>
      </c>
      <c r="I7307">
        <f>IF(F7307="","",INDEX(Deals!$D$2:$D$843,F7307))</f>
        <v/>
      </c>
      <c r="J7307">
        <f>IF(F7307="","",INT(H7307)-B7307)</f>
        <v/>
      </c>
      <c r="K7307">
        <f>IF(B7307&gt;=Settings!$C$5,1,0)</f>
        <v/>
      </c>
    </row>
    <row r="7308">
      <c r="A7308" t="inlineStr">
        <is>
          <t>c6dc59e0e8300a4b3b3b3ff329fb1868</t>
        </is>
      </c>
      <c r="B7308" s="29" t="n">
        <v>42960</v>
      </c>
      <c r="C7308" t="inlineStr">
        <is>
          <t>2017-08</t>
        </is>
      </c>
      <c r="D7308" t="inlineStr">
        <is>
          <t>87732658ba41d8775e8577df347a64db</t>
        </is>
      </c>
      <c r="E7308" t="inlineStr">
        <is>
          <t>social</t>
        </is>
      </c>
      <c r="F7308">
        <f>IFERROR(MATCH(A7308,Deals!$A$2:$A$843,0),"")</f>
        <v/>
      </c>
      <c r="G7308">
        <f>IF(F7308="",0,1)</f>
        <v/>
      </c>
      <c r="H7308" s="29">
        <f>IF(F7308="","",INDEX(Deals!$E$2:$E$843,F7308))</f>
        <v/>
      </c>
      <c r="I7308">
        <f>IF(F7308="","",INDEX(Deals!$D$2:$D$843,F7308))</f>
        <v/>
      </c>
      <c r="J7308">
        <f>IF(F7308="","",INT(H7308)-B7308)</f>
        <v/>
      </c>
      <c r="K7308">
        <f>IF(B7308&gt;=Settings!$C$5,1,0)</f>
        <v/>
      </c>
    </row>
    <row r="7309">
      <c r="A7309" t="inlineStr">
        <is>
          <t>a844418805e810cc482327eace05e206</t>
        </is>
      </c>
      <c r="B7309" s="29" t="n">
        <v>43182</v>
      </c>
      <c r="C7309" t="inlineStr">
        <is>
          <t>2018-03</t>
        </is>
      </c>
      <c r="D7309" t="inlineStr">
        <is>
          <t>22c29808c4f815213303f8933030604c</t>
        </is>
      </c>
      <c r="E7309" t="inlineStr">
        <is>
          <t>direct_traffic</t>
        </is>
      </c>
      <c r="F7309">
        <f>IFERROR(MATCH(A7309,Deals!$A$2:$A$843,0),"")</f>
        <v/>
      </c>
      <c r="G7309">
        <f>IF(F7309="",0,1)</f>
        <v/>
      </c>
      <c r="H7309" s="29">
        <f>IF(F7309="","",INDEX(Deals!$E$2:$E$843,F7309))</f>
        <v/>
      </c>
      <c r="I7309">
        <f>IF(F7309="","",INDEX(Deals!$D$2:$D$843,F7309))</f>
        <v/>
      </c>
      <c r="J7309">
        <f>IF(F7309="","",INT(H7309)-B7309)</f>
        <v/>
      </c>
      <c r="K7309">
        <f>IF(B7309&gt;=Settings!$C$5,1,0)</f>
        <v/>
      </c>
    </row>
    <row r="7310">
      <c r="A7310" t="inlineStr">
        <is>
          <t>7fc2067b7f0e5d86dd4dfa1340b93910</t>
        </is>
      </c>
      <c r="B7310" s="29" t="n">
        <v>43112</v>
      </c>
      <c r="C7310" t="inlineStr">
        <is>
          <t>2018-01</t>
        </is>
      </c>
      <c r="D7310" t="inlineStr">
        <is>
          <t>b76ef37428e6799c421989521c0e5077</t>
        </is>
      </c>
      <c r="E7310" t="inlineStr">
        <is>
          <t>unknown</t>
        </is>
      </c>
      <c r="F7310">
        <f>IFERROR(MATCH(A7310,Deals!$A$2:$A$843,0),"")</f>
        <v/>
      </c>
      <c r="G7310">
        <f>IF(F7310="",0,1)</f>
        <v/>
      </c>
      <c r="H7310" s="29">
        <f>IF(F7310="","",INDEX(Deals!$E$2:$E$843,F7310))</f>
        <v/>
      </c>
      <c r="I7310">
        <f>IF(F7310="","",INDEX(Deals!$D$2:$D$843,F7310))</f>
        <v/>
      </c>
      <c r="J7310">
        <f>IF(F7310="","",INT(H7310)-B7310)</f>
        <v/>
      </c>
      <c r="K7310">
        <f>IF(B7310&gt;=Settings!$C$5,1,0)</f>
        <v/>
      </c>
    </row>
    <row r="7311">
      <c r="A7311" t="inlineStr">
        <is>
          <t>bf959c64f2ebaa7aa642e0b5280bbdf6</t>
        </is>
      </c>
      <c r="B7311" s="29" t="n">
        <v>43210</v>
      </c>
      <c r="C7311" t="inlineStr">
        <is>
          <t>2018-04</t>
        </is>
      </c>
      <c r="D7311" t="inlineStr">
        <is>
          <t>58326e62183c14b0c03085c33b9fdc44</t>
        </is>
      </c>
      <c r="E7311" t="inlineStr">
        <is>
          <t>social</t>
        </is>
      </c>
      <c r="F7311">
        <f>IFERROR(MATCH(A7311,Deals!$A$2:$A$843,0),"")</f>
        <v/>
      </c>
      <c r="G7311">
        <f>IF(F7311="",0,1)</f>
        <v/>
      </c>
      <c r="H7311" s="29">
        <f>IF(F7311="","",INDEX(Deals!$E$2:$E$843,F7311))</f>
        <v/>
      </c>
      <c r="I7311">
        <f>IF(F7311="","",INDEX(Deals!$D$2:$D$843,F7311))</f>
        <v/>
      </c>
      <c r="J7311">
        <f>IF(F7311="","",INT(H7311)-B7311)</f>
        <v/>
      </c>
      <c r="K7311">
        <f>IF(B7311&gt;=Settings!$C$5,1,0)</f>
        <v/>
      </c>
    </row>
    <row r="7312">
      <c r="A7312" t="inlineStr">
        <is>
          <t>f3256c3083a246205c95d37c9c8c7bdd</t>
        </is>
      </c>
      <c r="B7312" s="29" t="n">
        <v>43227</v>
      </c>
      <c r="C7312" t="inlineStr">
        <is>
          <t>2018-05</t>
        </is>
      </c>
      <c r="D7312" t="inlineStr">
        <is>
          <t>58326e62183c14b0c03085c33b9fdc44</t>
        </is>
      </c>
      <c r="E7312" t="inlineStr">
        <is>
          <t>social</t>
        </is>
      </c>
      <c r="F7312">
        <f>IFERROR(MATCH(A7312,Deals!$A$2:$A$843,0),"")</f>
        <v/>
      </c>
      <c r="G7312">
        <f>IF(F7312="",0,1)</f>
        <v/>
      </c>
      <c r="H7312" s="29">
        <f>IF(F7312="","",INDEX(Deals!$E$2:$E$843,F7312))</f>
        <v/>
      </c>
      <c r="I7312">
        <f>IF(F7312="","",INDEX(Deals!$D$2:$D$843,F7312))</f>
        <v/>
      </c>
      <c r="J7312">
        <f>IF(F7312="","",INT(H7312)-B7312)</f>
        <v/>
      </c>
      <c r="K7312">
        <f>IF(B7312&gt;=Settings!$C$5,1,0)</f>
        <v/>
      </c>
    </row>
    <row r="7313">
      <c r="A7313" t="inlineStr">
        <is>
          <t>23270334cb68c628783066181ece864b</t>
        </is>
      </c>
      <c r="B7313" s="29" t="n">
        <v>43024</v>
      </c>
      <c r="C7313" t="inlineStr">
        <is>
          <t>2017-10</t>
        </is>
      </c>
      <c r="D7313" t="inlineStr">
        <is>
          <t>f017be4dbf86243af5c1ebed0cff36a2</t>
        </is>
      </c>
      <c r="E7313" t="inlineStr">
        <is>
          <t>organic_search</t>
        </is>
      </c>
      <c r="F7313">
        <f>IFERROR(MATCH(A7313,Deals!$A$2:$A$843,0),"")</f>
        <v/>
      </c>
      <c r="G7313">
        <f>IF(F7313="",0,1)</f>
        <v/>
      </c>
      <c r="H7313" s="29">
        <f>IF(F7313="","",INDEX(Deals!$E$2:$E$843,F7313))</f>
        <v/>
      </c>
      <c r="I7313">
        <f>IF(F7313="","",INDEX(Deals!$D$2:$D$843,F7313))</f>
        <v/>
      </c>
      <c r="J7313">
        <f>IF(F7313="","",INT(H7313)-B7313)</f>
        <v/>
      </c>
      <c r="K7313">
        <f>IF(B7313&gt;=Settings!$C$5,1,0)</f>
        <v/>
      </c>
    </row>
    <row r="7314">
      <c r="A7314" t="inlineStr">
        <is>
          <t>11b3e5a318f289cbcaedad1f899a3345</t>
        </is>
      </c>
      <c r="B7314" s="29" t="n">
        <v>43134</v>
      </c>
      <c r="C7314" t="inlineStr">
        <is>
          <t>2018-02</t>
        </is>
      </c>
      <c r="D7314" t="inlineStr">
        <is>
          <t>b6cd08ac77c501fd6857f7916d2c24f3</t>
        </is>
      </c>
      <c r="E7314" t="inlineStr">
        <is>
          <t>email</t>
        </is>
      </c>
      <c r="F7314">
        <f>IFERROR(MATCH(A7314,Deals!$A$2:$A$843,0),"")</f>
        <v/>
      </c>
      <c r="G7314">
        <f>IF(F7314="",0,1)</f>
        <v/>
      </c>
      <c r="H7314" s="29">
        <f>IF(F7314="","",INDEX(Deals!$E$2:$E$843,F7314))</f>
        <v/>
      </c>
      <c r="I7314">
        <f>IF(F7314="","",INDEX(Deals!$D$2:$D$843,F7314))</f>
        <v/>
      </c>
      <c r="J7314">
        <f>IF(F7314="","",INT(H7314)-B7314)</f>
        <v/>
      </c>
      <c r="K7314">
        <f>IF(B7314&gt;=Settings!$C$5,1,0)</f>
        <v/>
      </c>
    </row>
    <row r="7315">
      <c r="A7315" t="inlineStr">
        <is>
          <t>83b3b79f3802894efd6dec0c0e452e5b</t>
        </is>
      </c>
      <c r="B7315" s="29" t="n">
        <v>43237</v>
      </c>
      <c r="C7315" t="inlineStr">
        <is>
          <t>2018-05</t>
        </is>
      </c>
      <c r="D7315" t="inlineStr">
        <is>
          <t>58326e62183c14b0c03085c33b9fdc44</t>
        </is>
      </c>
      <c r="E7315" t="inlineStr">
        <is>
          <t>social</t>
        </is>
      </c>
      <c r="F7315">
        <f>IFERROR(MATCH(A7315,Deals!$A$2:$A$843,0),"")</f>
        <v/>
      </c>
      <c r="G7315">
        <f>IF(F7315="",0,1)</f>
        <v/>
      </c>
      <c r="H7315" s="29">
        <f>IF(F7315="","",INDEX(Deals!$E$2:$E$843,F7315))</f>
        <v/>
      </c>
      <c r="I7315">
        <f>IF(F7315="","",INDEX(Deals!$D$2:$D$843,F7315))</f>
        <v/>
      </c>
      <c r="J7315">
        <f>IF(F7315="","",INT(H7315)-B7315)</f>
        <v/>
      </c>
      <c r="K7315">
        <f>IF(B7315&gt;=Settings!$C$5,1,0)</f>
        <v/>
      </c>
    </row>
    <row r="7316">
      <c r="A7316" t="inlineStr">
        <is>
          <t>3fd45b2ea4e5e54b553ba47f6460585a</t>
        </is>
      </c>
      <c r="B7316" s="29" t="n">
        <v>43024</v>
      </c>
      <c r="C7316" t="inlineStr">
        <is>
          <t>2017-10</t>
        </is>
      </c>
      <c r="D7316" t="inlineStr">
        <is>
          <t>aeac92c0f5ae22a04ed3b746cce3a1b6</t>
        </is>
      </c>
      <c r="E7316" t="inlineStr">
        <is>
          <t>organic_search</t>
        </is>
      </c>
      <c r="F7316">
        <f>IFERROR(MATCH(A7316,Deals!$A$2:$A$843,0),"")</f>
        <v/>
      </c>
      <c r="G7316">
        <f>IF(F7316="",0,1)</f>
        <v/>
      </c>
      <c r="H7316" s="29">
        <f>IF(F7316="","",INDEX(Deals!$E$2:$E$843,F7316))</f>
        <v/>
      </c>
      <c r="I7316">
        <f>IF(F7316="","",INDEX(Deals!$D$2:$D$843,F7316))</f>
        <v/>
      </c>
      <c r="J7316">
        <f>IF(F7316="","",INT(H7316)-B7316)</f>
        <v/>
      </c>
      <c r="K7316">
        <f>IF(B7316&gt;=Settings!$C$5,1,0)</f>
        <v/>
      </c>
    </row>
    <row r="7317">
      <c r="A7317" t="inlineStr">
        <is>
          <t>25a81df4364d32613794af6c800db478</t>
        </is>
      </c>
      <c r="B7317" s="29" t="n">
        <v>42958</v>
      </c>
      <c r="C7317" t="inlineStr">
        <is>
          <t>2017-08</t>
        </is>
      </c>
      <c r="D7317" t="inlineStr">
        <is>
          <t>c555aa36478386fdf85a2d0ca5cd0ff8</t>
        </is>
      </c>
      <c r="E7317" t="inlineStr">
        <is>
          <t>unknown</t>
        </is>
      </c>
      <c r="F7317">
        <f>IFERROR(MATCH(A7317,Deals!$A$2:$A$843,0),"")</f>
        <v/>
      </c>
      <c r="G7317">
        <f>IF(F7317="",0,1)</f>
        <v/>
      </c>
      <c r="H7317" s="29">
        <f>IF(F7317="","",INDEX(Deals!$E$2:$E$843,F7317))</f>
        <v/>
      </c>
      <c r="I7317">
        <f>IF(F7317="","",INDEX(Deals!$D$2:$D$843,F7317))</f>
        <v/>
      </c>
      <c r="J7317">
        <f>IF(F7317="","",INT(H7317)-B7317)</f>
        <v/>
      </c>
      <c r="K7317">
        <f>IF(B7317&gt;=Settings!$C$5,1,0)</f>
        <v/>
      </c>
    </row>
    <row r="7318">
      <c r="A7318" t="inlineStr">
        <is>
          <t>6f552b11546c308d19f20804312f5d2c</t>
        </is>
      </c>
      <c r="B7318" s="29" t="n">
        <v>43219</v>
      </c>
      <c r="C7318" t="inlineStr">
        <is>
          <t>2018-04</t>
        </is>
      </c>
      <c r="D7318" t="inlineStr">
        <is>
          <t>73f31a40697cc90a86c1273563ac230e</t>
        </is>
      </c>
      <c r="E7318" t="inlineStr">
        <is>
          <t>organic_search</t>
        </is>
      </c>
      <c r="F7318">
        <f>IFERROR(MATCH(A7318,Deals!$A$2:$A$843,0),"")</f>
        <v/>
      </c>
      <c r="G7318">
        <f>IF(F7318="",0,1)</f>
        <v/>
      </c>
      <c r="H7318" s="29">
        <f>IF(F7318="","",INDEX(Deals!$E$2:$E$843,F7318))</f>
        <v/>
      </c>
      <c r="I7318">
        <f>IF(F7318="","",INDEX(Deals!$D$2:$D$843,F7318))</f>
        <v/>
      </c>
      <c r="J7318">
        <f>IF(F7318="","",INT(H7318)-B7318)</f>
        <v/>
      </c>
      <c r="K7318">
        <f>IF(B7318&gt;=Settings!$C$5,1,0)</f>
        <v/>
      </c>
    </row>
    <row r="7319">
      <c r="A7319" t="inlineStr">
        <is>
          <t>064a232d4a0baf6bf0ab4dd7eec30ed9</t>
        </is>
      </c>
      <c r="B7319" s="29" t="n">
        <v>43204</v>
      </c>
      <c r="C7319" t="inlineStr">
        <is>
          <t>2018-04</t>
        </is>
      </c>
      <c r="D7319" t="inlineStr">
        <is>
          <t>1ceb590cd1e00c7ee95220971f82693d</t>
        </is>
      </c>
      <c r="E7319" t="inlineStr">
        <is>
          <t>paid_search</t>
        </is>
      </c>
      <c r="F7319">
        <f>IFERROR(MATCH(A7319,Deals!$A$2:$A$843,0),"")</f>
        <v/>
      </c>
      <c r="G7319">
        <f>IF(F7319="",0,1)</f>
        <v/>
      </c>
      <c r="H7319" s="29">
        <f>IF(F7319="","",INDEX(Deals!$E$2:$E$843,F7319))</f>
        <v/>
      </c>
      <c r="I7319">
        <f>IF(F7319="","",INDEX(Deals!$D$2:$D$843,F7319))</f>
        <v/>
      </c>
      <c r="J7319">
        <f>IF(F7319="","",INT(H7319)-B7319)</f>
        <v/>
      </c>
      <c r="K7319">
        <f>IF(B7319&gt;=Settings!$C$5,1,0)</f>
        <v/>
      </c>
    </row>
    <row r="7320">
      <c r="A7320" t="inlineStr">
        <is>
          <t>33e3007a3412c29e144cd4e12dc15ca1</t>
        </is>
      </c>
      <c r="B7320" s="29" t="n">
        <v>43099</v>
      </c>
      <c r="C7320" t="inlineStr">
        <is>
          <t>2017-12</t>
        </is>
      </c>
      <c r="D7320" t="inlineStr">
        <is>
          <t>15cf89bab2c3163b4f9d8601d108f8b2</t>
        </is>
      </c>
      <c r="E7320" t="inlineStr">
        <is>
          <t>organic_search</t>
        </is>
      </c>
      <c r="F7320">
        <f>IFERROR(MATCH(A7320,Deals!$A$2:$A$843,0),"")</f>
        <v/>
      </c>
      <c r="G7320">
        <f>IF(F7320="",0,1)</f>
        <v/>
      </c>
      <c r="H7320" s="29">
        <f>IF(F7320="","",INDEX(Deals!$E$2:$E$843,F7320))</f>
        <v/>
      </c>
      <c r="I7320">
        <f>IF(F7320="","",INDEX(Deals!$D$2:$D$843,F7320))</f>
        <v/>
      </c>
      <c r="J7320">
        <f>IF(F7320="","",INT(H7320)-B7320)</f>
        <v/>
      </c>
      <c r="K7320">
        <f>IF(B7320&gt;=Settings!$C$5,1,0)</f>
        <v/>
      </c>
    </row>
    <row r="7321">
      <c r="A7321" t="inlineStr">
        <is>
          <t>48a52d5cf371cff4f7f3988a5b577780</t>
        </is>
      </c>
      <c r="B7321" s="29" t="n">
        <v>43247</v>
      </c>
      <c r="C7321" t="inlineStr">
        <is>
          <t>2018-05</t>
        </is>
      </c>
      <c r="D7321" t="inlineStr">
        <is>
          <t>22c29808c4f815213303f8933030604c</t>
        </is>
      </c>
      <c r="E7321" t="inlineStr">
        <is>
          <t>direct_traffic</t>
        </is>
      </c>
      <c r="F7321">
        <f>IFERROR(MATCH(A7321,Deals!$A$2:$A$843,0),"")</f>
        <v/>
      </c>
      <c r="G7321">
        <f>IF(F7321="",0,1)</f>
        <v/>
      </c>
      <c r="H7321" s="29">
        <f>IF(F7321="","",INDEX(Deals!$E$2:$E$843,F7321))</f>
        <v/>
      </c>
      <c r="I7321">
        <f>IF(F7321="","",INDEX(Deals!$D$2:$D$843,F7321))</f>
        <v/>
      </c>
      <c r="J7321">
        <f>IF(F7321="","",INT(H7321)-B7321)</f>
        <v/>
      </c>
      <c r="K7321">
        <f>IF(B7321&gt;=Settings!$C$5,1,0)</f>
        <v/>
      </c>
    </row>
    <row r="7322">
      <c r="A7322" t="inlineStr">
        <is>
          <t>3f6e60dd5855c0a044dca009d99028db</t>
        </is>
      </c>
      <c r="B7322" s="29" t="n">
        <v>43011</v>
      </c>
      <c r="C7322" t="inlineStr">
        <is>
          <t>2017-10</t>
        </is>
      </c>
      <c r="D7322" t="inlineStr">
        <is>
          <t>b217afa2c1f4cb502423005639878f6d</t>
        </is>
      </c>
      <c r="E7322" t="inlineStr">
        <is>
          <t>paid_search</t>
        </is>
      </c>
      <c r="F7322">
        <f>IFERROR(MATCH(A7322,Deals!$A$2:$A$843,0),"")</f>
        <v/>
      </c>
      <c r="G7322">
        <f>IF(F7322="",0,1)</f>
        <v/>
      </c>
      <c r="H7322" s="29">
        <f>IF(F7322="","",INDEX(Deals!$E$2:$E$843,F7322))</f>
        <v/>
      </c>
      <c r="I7322">
        <f>IF(F7322="","",INDEX(Deals!$D$2:$D$843,F7322))</f>
        <v/>
      </c>
      <c r="J7322">
        <f>IF(F7322="","",INT(H7322)-B7322)</f>
        <v/>
      </c>
      <c r="K7322">
        <f>IF(B7322&gt;=Settings!$C$5,1,0)</f>
        <v/>
      </c>
    </row>
    <row r="7323">
      <c r="A7323" t="inlineStr">
        <is>
          <t>d04a398d06983d4ddc998c531e778836</t>
        </is>
      </c>
      <c r="B7323" s="29" t="n">
        <v>43194</v>
      </c>
      <c r="C7323" t="inlineStr">
        <is>
          <t>2018-04</t>
        </is>
      </c>
      <c r="D7323" t="inlineStr">
        <is>
          <t>22c29808c4f815213303f8933030604c</t>
        </is>
      </c>
      <c r="E7323" t="inlineStr">
        <is>
          <t>paid_search</t>
        </is>
      </c>
      <c r="F7323">
        <f>IFERROR(MATCH(A7323,Deals!$A$2:$A$843,0),"")</f>
        <v/>
      </c>
      <c r="G7323">
        <f>IF(F7323="",0,1)</f>
        <v/>
      </c>
      <c r="H7323" s="29">
        <f>IF(F7323="","",INDEX(Deals!$E$2:$E$843,F7323))</f>
        <v/>
      </c>
      <c r="I7323">
        <f>IF(F7323="","",INDEX(Deals!$D$2:$D$843,F7323))</f>
        <v/>
      </c>
      <c r="J7323">
        <f>IF(F7323="","",INT(H7323)-B7323)</f>
        <v/>
      </c>
      <c r="K7323">
        <f>IF(B7323&gt;=Settings!$C$5,1,0)</f>
        <v/>
      </c>
    </row>
    <row r="7324">
      <c r="A7324" t="inlineStr">
        <is>
          <t>09576cc7bee292c7f1cc8df19868757c</t>
        </is>
      </c>
      <c r="B7324" s="29" t="n">
        <v>43048</v>
      </c>
      <c r="C7324" t="inlineStr">
        <is>
          <t>2017-11</t>
        </is>
      </c>
      <c r="D7324" t="inlineStr">
        <is>
          <t>5d85e946cb22385b94eef98af7f76cb1</t>
        </is>
      </c>
      <c r="E7324" t="inlineStr">
        <is>
          <t>organic_search</t>
        </is>
      </c>
      <c r="F7324">
        <f>IFERROR(MATCH(A7324,Deals!$A$2:$A$843,0),"")</f>
        <v/>
      </c>
      <c r="G7324">
        <f>IF(F7324="",0,1)</f>
        <v/>
      </c>
      <c r="H7324" s="29">
        <f>IF(F7324="","",INDEX(Deals!$E$2:$E$843,F7324))</f>
        <v/>
      </c>
      <c r="I7324">
        <f>IF(F7324="","",INDEX(Deals!$D$2:$D$843,F7324))</f>
        <v/>
      </c>
      <c r="J7324">
        <f>IF(F7324="","",INT(H7324)-B7324)</f>
        <v/>
      </c>
      <c r="K7324">
        <f>IF(B7324&gt;=Settings!$C$5,1,0)</f>
        <v/>
      </c>
    </row>
    <row r="7325">
      <c r="A7325" t="inlineStr">
        <is>
          <t>74a564781bf38f42f6d60ae0c8e2d63a</t>
        </is>
      </c>
      <c r="B7325" s="29" t="n">
        <v>42929</v>
      </c>
      <c r="C7325" t="inlineStr">
        <is>
          <t>2017-07</t>
        </is>
      </c>
      <c r="D7325" t="inlineStr">
        <is>
          <t>51ecca024748b4439e473ec446c0bef5</t>
        </is>
      </c>
      <c r="E7325" t="inlineStr">
        <is>
          <t>unknown</t>
        </is>
      </c>
      <c r="F7325">
        <f>IFERROR(MATCH(A7325,Deals!$A$2:$A$843,0),"")</f>
        <v/>
      </c>
      <c r="G7325">
        <f>IF(F7325="",0,1)</f>
        <v/>
      </c>
      <c r="H7325" s="29">
        <f>IF(F7325="","",INDEX(Deals!$E$2:$E$843,F7325))</f>
        <v/>
      </c>
      <c r="I7325">
        <f>IF(F7325="","",INDEX(Deals!$D$2:$D$843,F7325))</f>
        <v/>
      </c>
      <c r="J7325">
        <f>IF(F7325="","",INT(H7325)-B7325)</f>
        <v/>
      </c>
      <c r="K7325">
        <f>IF(B7325&gt;=Settings!$C$5,1,0)</f>
        <v/>
      </c>
    </row>
    <row r="7326">
      <c r="A7326" t="inlineStr">
        <is>
          <t>2e627298db86cde0482baae618c4e517</t>
        </is>
      </c>
      <c r="B7326" s="29" t="n">
        <v>42950</v>
      </c>
      <c r="C7326" t="inlineStr">
        <is>
          <t>2017-08</t>
        </is>
      </c>
      <c r="D7326" t="inlineStr">
        <is>
          <t>3cd2a8301d5395f21cdd3094c9eaa2f4</t>
        </is>
      </c>
      <c r="E7326" t="inlineStr">
        <is>
          <t>direct_traffic</t>
        </is>
      </c>
      <c r="F7326">
        <f>IFERROR(MATCH(A7326,Deals!$A$2:$A$843,0),"")</f>
        <v/>
      </c>
      <c r="G7326">
        <f>IF(F7326="",0,1)</f>
        <v/>
      </c>
      <c r="H7326" s="29">
        <f>IF(F7326="","",INDEX(Deals!$E$2:$E$843,F7326))</f>
        <v/>
      </c>
      <c r="I7326">
        <f>IF(F7326="","",INDEX(Deals!$D$2:$D$843,F7326))</f>
        <v/>
      </c>
      <c r="J7326">
        <f>IF(F7326="","",INT(H7326)-B7326)</f>
        <v/>
      </c>
      <c r="K7326">
        <f>IF(B7326&gt;=Settings!$C$5,1,0)</f>
        <v/>
      </c>
    </row>
    <row r="7327">
      <c r="A7327" t="inlineStr">
        <is>
          <t>20b3a16b78ece9a01165504b7c0a1ace</t>
        </is>
      </c>
      <c r="B7327" s="29" t="n">
        <v>43251</v>
      </c>
      <c r="C7327" t="inlineStr">
        <is>
          <t>2018-05</t>
        </is>
      </c>
      <c r="D7327" t="inlineStr">
        <is>
          <t>35c9b150ab36fe584c1f24fd458c453a</t>
        </is>
      </c>
      <c r="E7327" t="inlineStr">
        <is>
          <t>paid_search</t>
        </is>
      </c>
      <c r="F7327">
        <f>IFERROR(MATCH(A7327,Deals!$A$2:$A$843,0),"")</f>
        <v/>
      </c>
      <c r="G7327">
        <f>IF(F7327="",0,1)</f>
        <v/>
      </c>
      <c r="H7327" s="29">
        <f>IF(F7327="","",INDEX(Deals!$E$2:$E$843,F7327))</f>
        <v/>
      </c>
      <c r="I7327">
        <f>IF(F7327="","",INDEX(Deals!$D$2:$D$843,F7327))</f>
        <v/>
      </c>
      <c r="J7327">
        <f>IF(F7327="","",INT(H7327)-B7327)</f>
        <v/>
      </c>
      <c r="K7327">
        <f>IF(B7327&gt;=Settings!$C$5,1,0)</f>
        <v/>
      </c>
    </row>
    <row r="7328">
      <c r="A7328" t="inlineStr">
        <is>
          <t>7625ea264f45f56580051d58521dd1db</t>
        </is>
      </c>
      <c r="B7328" s="29" t="n">
        <v>43133</v>
      </c>
      <c r="C7328" t="inlineStr">
        <is>
          <t>2018-02</t>
        </is>
      </c>
      <c r="D7328" t="inlineStr">
        <is>
          <t>b76ef37428e6799c421989521c0e5077</t>
        </is>
      </c>
      <c r="E7328" t="inlineStr">
        <is>
          <t>unknown</t>
        </is>
      </c>
      <c r="F7328">
        <f>IFERROR(MATCH(A7328,Deals!$A$2:$A$843,0),"")</f>
        <v/>
      </c>
      <c r="G7328">
        <f>IF(F7328="",0,1)</f>
        <v/>
      </c>
      <c r="H7328" s="29">
        <f>IF(F7328="","",INDEX(Deals!$E$2:$E$843,F7328))</f>
        <v/>
      </c>
      <c r="I7328">
        <f>IF(F7328="","",INDEX(Deals!$D$2:$D$843,F7328))</f>
        <v/>
      </c>
      <c r="J7328">
        <f>IF(F7328="","",INT(H7328)-B7328)</f>
        <v/>
      </c>
      <c r="K7328">
        <f>IF(B7328&gt;=Settings!$C$5,1,0)</f>
        <v/>
      </c>
    </row>
    <row r="7329">
      <c r="A7329" t="inlineStr">
        <is>
          <t>f4491fcc2896910ad60de6986f83b31c</t>
        </is>
      </c>
      <c r="B7329" s="29" t="n">
        <v>43102</v>
      </c>
      <c r="C7329" t="inlineStr">
        <is>
          <t>2018-01</t>
        </is>
      </c>
      <c r="D7329" t="inlineStr">
        <is>
          <t>73f31a40697cc90a86c1273563ac230e</t>
        </is>
      </c>
      <c r="E7329" t="inlineStr">
        <is>
          <t>organic_search</t>
        </is>
      </c>
      <c r="F7329">
        <f>IFERROR(MATCH(A7329,Deals!$A$2:$A$843,0),"")</f>
        <v/>
      </c>
      <c r="G7329">
        <f>IF(F7329="",0,1)</f>
        <v/>
      </c>
      <c r="H7329" s="29">
        <f>IF(F7329="","",INDEX(Deals!$E$2:$E$843,F7329))</f>
        <v/>
      </c>
      <c r="I7329">
        <f>IF(F7329="","",INDEX(Deals!$D$2:$D$843,F7329))</f>
        <v/>
      </c>
      <c r="J7329">
        <f>IF(F7329="","",INT(H7329)-B7329)</f>
        <v/>
      </c>
      <c r="K7329">
        <f>IF(B7329&gt;=Settings!$C$5,1,0)</f>
        <v/>
      </c>
    </row>
    <row r="7330">
      <c r="A7330" t="inlineStr">
        <is>
          <t>911b5d8b83ed1f5ef3711512d9080466</t>
        </is>
      </c>
      <c r="B7330" s="29" t="n">
        <v>43154</v>
      </c>
      <c r="C7330" t="inlineStr">
        <is>
          <t>2018-02</t>
        </is>
      </c>
      <c r="D7330" t="inlineStr">
        <is>
          <t>ce1a65abd0973638f1c887a6efcfa82d</t>
        </is>
      </c>
      <c r="E7330" t="inlineStr">
        <is>
          <t>direct_traffic</t>
        </is>
      </c>
      <c r="F7330">
        <f>IFERROR(MATCH(A7330,Deals!$A$2:$A$843,0),"")</f>
        <v/>
      </c>
      <c r="G7330">
        <f>IF(F7330="",0,1)</f>
        <v/>
      </c>
      <c r="H7330" s="29">
        <f>IF(F7330="","",INDEX(Deals!$E$2:$E$843,F7330))</f>
        <v/>
      </c>
      <c r="I7330">
        <f>IF(F7330="","",INDEX(Deals!$D$2:$D$843,F7330))</f>
        <v/>
      </c>
      <c r="J7330">
        <f>IF(F7330="","",INT(H7330)-B7330)</f>
        <v/>
      </c>
      <c r="K7330">
        <f>IF(B7330&gt;=Settings!$C$5,1,0)</f>
        <v/>
      </c>
    </row>
    <row r="7331">
      <c r="A7331" t="inlineStr">
        <is>
          <t>bb859699a1e4fc28c59162684235a28c</t>
        </is>
      </c>
      <c r="B7331" s="29" t="n">
        <v>43199</v>
      </c>
      <c r="C7331" t="inlineStr">
        <is>
          <t>2018-04</t>
        </is>
      </c>
      <c r="D7331" t="inlineStr">
        <is>
          <t>35c9b150ab36fe584c1f24fd458c453a</t>
        </is>
      </c>
      <c r="E7331" t="inlineStr">
        <is>
          <t>paid_search</t>
        </is>
      </c>
      <c r="F7331">
        <f>IFERROR(MATCH(A7331,Deals!$A$2:$A$843,0),"")</f>
        <v/>
      </c>
      <c r="G7331">
        <f>IF(F7331="",0,1)</f>
        <v/>
      </c>
      <c r="H7331" s="29">
        <f>IF(F7331="","",INDEX(Deals!$E$2:$E$843,F7331))</f>
        <v/>
      </c>
      <c r="I7331">
        <f>IF(F7331="","",INDEX(Deals!$D$2:$D$843,F7331))</f>
        <v/>
      </c>
      <c r="J7331">
        <f>IF(F7331="","",INT(H7331)-B7331)</f>
        <v/>
      </c>
      <c r="K7331">
        <f>IF(B7331&gt;=Settings!$C$5,1,0)</f>
        <v/>
      </c>
    </row>
    <row r="7332">
      <c r="A7332" t="inlineStr">
        <is>
          <t>fe264dded3eaff218eec0176afde2232</t>
        </is>
      </c>
      <c r="B7332" s="29" t="n">
        <v>43161</v>
      </c>
      <c r="C7332" t="inlineStr">
        <is>
          <t>2018-03</t>
        </is>
      </c>
      <c r="D7332" t="inlineStr">
        <is>
          <t>60877a8e7a44a3ad9fe1af9359efa0dd</t>
        </is>
      </c>
      <c r="E7332" t="inlineStr">
        <is>
          <t>unknown</t>
        </is>
      </c>
      <c r="F7332">
        <f>IFERROR(MATCH(A7332,Deals!$A$2:$A$843,0),"")</f>
        <v/>
      </c>
      <c r="G7332">
        <f>IF(F7332="",0,1)</f>
        <v/>
      </c>
      <c r="H7332" s="29">
        <f>IF(F7332="","",INDEX(Deals!$E$2:$E$843,F7332))</f>
        <v/>
      </c>
      <c r="I7332">
        <f>IF(F7332="","",INDEX(Deals!$D$2:$D$843,F7332))</f>
        <v/>
      </c>
      <c r="J7332">
        <f>IF(F7332="","",INT(H7332)-B7332)</f>
        <v/>
      </c>
      <c r="K7332">
        <f>IF(B7332&gt;=Settings!$C$5,1,0)</f>
        <v/>
      </c>
    </row>
    <row r="7333">
      <c r="A7333" t="inlineStr">
        <is>
          <t>92fac5eca13c1cbf36c87fa05304dd8b</t>
        </is>
      </c>
      <c r="B7333" s="29" t="n">
        <v>43112</v>
      </c>
      <c r="C7333" t="inlineStr">
        <is>
          <t>2018-01</t>
        </is>
      </c>
      <c r="D7333" t="inlineStr">
        <is>
          <t>b76ef37428e6799c421989521c0e5077</t>
        </is>
      </c>
      <c r="E7333" t="inlineStr">
        <is>
          <t>unknown</t>
        </is>
      </c>
      <c r="F7333">
        <f>IFERROR(MATCH(A7333,Deals!$A$2:$A$843,0),"")</f>
        <v/>
      </c>
      <c r="G7333">
        <f>IF(F7333="",0,1)</f>
        <v/>
      </c>
      <c r="H7333" s="29">
        <f>IF(F7333="","",INDEX(Deals!$E$2:$E$843,F7333))</f>
        <v/>
      </c>
      <c r="I7333">
        <f>IF(F7333="","",INDEX(Deals!$D$2:$D$843,F7333))</f>
        <v/>
      </c>
      <c r="J7333">
        <f>IF(F7333="","",INT(H7333)-B7333)</f>
        <v/>
      </c>
      <c r="K7333">
        <f>IF(B7333&gt;=Settings!$C$5,1,0)</f>
        <v/>
      </c>
    </row>
    <row r="7334">
      <c r="A7334" t="inlineStr">
        <is>
          <t>4c5aebdcd06d236d4046d2cc0b8a774e</t>
        </is>
      </c>
      <c r="B7334" s="29" t="n">
        <v>43158</v>
      </c>
      <c r="C7334" t="inlineStr">
        <is>
          <t>2018-02</t>
        </is>
      </c>
      <c r="D7334" t="inlineStr">
        <is>
          <t>f017be4dbf86243af5c1ebed0cff36a2</t>
        </is>
      </c>
      <c r="E7334" t="inlineStr">
        <is>
          <t>direct_traffic</t>
        </is>
      </c>
      <c r="F7334">
        <f>IFERROR(MATCH(A7334,Deals!$A$2:$A$843,0),"")</f>
        <v/>
      </c>
      <c r="G7334">
        <f>IF(F7334="",0,1)</f>
        <v/>
      </c>
      <c r="H7334" s="29">
        <f>IF(F7334="","",INDEX(Deals!$E$2:$E$843,F7334))</f>
        <v/>
      </c>
      <c r="I7334">
        <f>IF(F7334="","",INDEX(Deals!$D$2:$D$843,F7334))</f>
        <v/>
      </c>
      <c r="J7334">
        <f>IF(F7334="","",INT(H7334)-B7334)</f>
        <v/>
      </c>
      <c r="K7334">
        <f>IF(B7334&gt;=Settings!$C$5,1,0)</f>
        <v/>
      </c>
    </row>
    <row r="7335">
      <c r="A7335" t="inlineStr">
        <is>
          <t>2752de00a9d5eb87595fa04cd56f52e2</t>
        </is>
      </c>
      <c r="B7335" s="29" t="n">
        <v>43206</v>
      </c>
      <c r="C7335" t="inlineStr">
        <is>
          <t>2018-04</t>
        </is>
      </c>
      <c r="D7335" t="inlineStr">
        <is>
          <t>5dc848e7dd9418dffe183215b8ff0bc1</t>
        </is>
      </c>
      <c r="E7335" t="inlineStr">
        <is>
          <t>paid_search</t>
        </is>
      </c>
      <c r="F7335">
        <f>IFERROR(MATCH(A7335,Deals!$A$2:$A$843,0),"")</f>
        <v/>
      </c>
      <c r="G7335">
        <f>IF(F7335="",0,1)</f>
        <v/>
      </c>
      <c r="H7335" s="29">
        <f>IF(F7335="","",INDEX(Deals!$E$2:$E$843,F7335))</f>
        <v/>
      </c>
      <c r="I7335">
        <f>IF(F7335="","",INDEX(Deals!$D$2:$D$843,F7335))</f>
        <v/>
      </c>
      <c r="J7335">
        <f>IF(F7335="","",INT(H7335)-B7335)</f>
        <v/>
      </c>
      <c r="K7335">
        <f>IF(B7335&gt;=Settings!$C$5,1,0)</f>
        <v/>
      </c>
    </row>
    <row r="7336">
      <c r="A7336" t="inlineStr">
        <is>
          <t>a3980fc1d4915887bc4b815080e58a00</t>
        </is>
      </c>
      <c r="B7336" s="29" t="n">
        <v>43145</v>
      </c>
      <c r="C7336" t="inlineStr">
        <is>
          <t>2018-02</t>
        </is>
      </c>
      <c r="D7336" t="inlineStr">
        <is>
          <t>ce1a65abd0973638f1c887a6efcfa82d</t>
        </is>
      </c>
      <c r="E7336" t="inlineStr">
        <is>
          <t>organic_search</t>
        </is>
      </c>
      <c r="F7336">
        <f>IFERROR(MATCH(A7336,Deals!$A$2:$A$843,0),"")</f>
        <v/>
      </c>
      <c r="G7336">
        <f>IF(F7336="",0,1)</f>
        <v/>
      </c>
      <c r="H7336" s="29">
        <f>IF(F7336="","",INDEX(Deals!$E$2:$E$843,F7336))</f>
        <v/>
      </c>
      <c r="I7336">
        <f>IF(F7336="","",INDEX(Deals!$D$2:$D$843,F7336))</f>
        <v/>
      </c>
      <c r="J7336">
        <f>IF(F7336="","",INT(H7336)-B7336)</f>
        <v/>
      </c>
      <c r="K7336">
        <f>IF(B7336&gt;=Settings!$C$5,1,0)</f>
        <v/>
      </c>
    </row>
    <row r="7337">
      <c r="A7337" t="inlineStr">
        <is>
          <t>b2b9e8eb2b9bc46c4f57785472b96f4d</t>
        </is>
      </c>
      <c r="B7337" s="29" t="n">
        <v>43060</v>
      </c>
      <c r="C7337" t="inlineStr">
        <is>
          <t>2017-11</t>
        </is>
      </c>
      <c r="D7337" t="inlineStr">
        <is>
          <t>f017be4dbf86243af5c1ebed0cff36a2</t>
        </is>
      </c>
      <c r="E7337" t="inlineStr">
        <is>
          <t>organic_search</t>
        </is>
      </c>
      <c r="F7337">
        <f>IFERROR(MATCH(A7337,Deals!$A$2:$A$843,0),"")</f>
        <v/>
      </c>
      <c r="G7337">
        <f>IF(F7337="",0,1)</f>
        <v/>
      </c>
      <c r="H7337" s="29">
        <f>IF(F7337="","",INDEX(Deals!$E$2:$E$843,F7337))</f>
        <v/>
      </c>
      <c r="I7337">
        <f>IF(F7337="","",INDEX(Deals!$D$2:$D$843,F7337))</f>
        <v/>
      </c>
      <c r="J7337">
        <f>IF(F7337="","",INT(H7337)-B7337)</f>
        <v/>
      </c>
      <c r="K7337">
        <f>IF(B7337&gt;=Settings!$C$5,1,0)</f>
        <v/>
      </c>
    </row>
    <row r="7338">
      <c r="A7338" t="inlineStr">
        <is>
          <t>8d497e638156b68197ed9ad0978eaeaf</t>
        </is>
      </c>
      <c r="B7338" s="29" t="n">
        <v>43192</v>
      </c>
      <c r="C7338" t="inlineStr">
        <is>
          <t>2018-04</t>
        </is>
      </c>
      <c r="D7338" t="inlineStr">
        <is>
          <t>58326e62183c14b0c03085c33b9fdc44</t>
        </is>
      </c>
      <c r="E7338" t="inlineStr">
        <is>
          <t>social</t>
        </is>
      </c>
      <c r="F7338">
        <f>IFERROR(MATCH(A7338,Deals!$A$2:$A$843,0),"")</f>
        <v/>
      </c>
      <c r="G7338">
        <f>IF(F7338="",0,1)</f>
        <v/>
      </c>
      <c r="H7338" s="29">
        <f>IF(F7338="","",INDEX(Deals!$E$2:$E$843,F7338))</f>
        <v/>
      </c>
      <c r="I7338">
        <f>IF(F7338="","",INDEX(Deals!$D$2:$D$843,F7338))</f>
        <v/>
      </c>
      <c r="J7338">
        <f>IF(F7338="","",INT(H7338)-B7338)</f>
        <v/>
      </c>
      <c r="K7338">
        <f>IF(B7338&gt;=Settings!$C$5,1,0)</f>
        <v/>
      </c>
    </row>
    <row r="7339">
      <c r="A7339" t="inlineStr">
        <is>
          <t>de4dbaab116c6ce122ca050041e1546f</t>
        </is>
      </c>
      <c r="B7339" s="29" t="n">
        <v>43138</v>
      </c>
      <c r="C7339" t="inlineStr">
        <is>
          <t>2018-02</t>
        </is>
      </c>
      <c r="D7339" t="inlineStr">
        <is>
          <t>88740e65d5d6b056e0cda098e1ea6313</t>
        </is>
      </c>
      <c r="E7339" t="inlineStr">
        <is>
          <t>social</t>
        </is>
      </c>
      <c r="F7339">
        <f>IFERROR(MATCH(A7339,Deals!$A$2:$A$843,0),"")</f>
        <v/>
      </c>
      <c r="G7339">
        <f>IF(F7339="",0,1)</f>
        <v/>
      </c>
      <c r="H7339" s="29">
        <f>IF(F7339="","",INDEX(Deals!$E$2:$E$843,F7339))</f>
        <v/>
      </c>
      <c r="I7339">
        <f>IF(F7339="","",INDEX(Deals!$D$2:$D$843,F7339))</f>
        <v/>
      </c>
      <c r="J7339">
        <f>IF(F7339="","",INT(H7339)-B7339)</f>
        <v/>
      </c>
      <c r="K7339">
        <f>IF(B7339&gt;=Settings!$C$5,1,0)</f>
        <v/>
      </c>
    </row>
    <row r="7340">
      <c r="A7340" t="inlineStr">
        <is>
          <t>4b52ddb7a0b6ac8553536d004c895b59</t>
        </is>
      </c>
      <c r="B7340" s="29" t="n">
        <v>43215</v>
      </c>
      <c r="C7340" t="inlineStr">
        <is>
          <t>2018-04</t>
        </is>
      </c>
      <c r="D7340" t="inlineStr">
        <is>
          <t>58326e62183c14b0c03085c33b9fdc44</t>
        </is>
      </c>
      <c r="E7340" t="inlineStr">
        <is>
          <t>social</t>
        </is>
      </c>
      <c r="F7340">
        <f>IFERROR(MATCH(A7340,Deals!$A$2:$A$843,0),"")</f>
        <v/>
      </c>
      <c r="G7340">
        <f>IF(F7340="",0,1)</f>
        <v/>
      </c>
      <c r="H7340" s="29">
        <f>IF(F7340="","",INDEX(Deals!$E$2:$E$843,F7340))</f>
        <v/>
      </c>
      <c r="I7340">
        <f>IF(F7340="","",INDEX(Deals!$D$2:$D$843,F7340))</f>
        <v/>
      </c>
      <c r="J7340">
        <f>IF(F7340="","",INT(H7340)-B7340)</f>
        <v/>
      </c>
      <c r="K7340">
        <f>IF(B7340&gt;=Settings!$C$5,1,0)</f>
        <v/>
      </c>
    </row>
    <row r="7341">
      <c r="A7341" t="inlineStr">
        <is>
          <t>c2f6ef076c68c04d525d839de995f379</t>
        </is>
      </c>
      <c r="B7341" s="29" t="n">
        <v>43052</v>
      </c>
      <c r="C7341" t="inlineStr">
        <is>
          <t>2017-11</t>
        </is>
      </c>
      <c r="D7341" t="inlineStr">
        <is>
          <t>f98c2bd96ac4a5d9476734e790c91384</t>
        </is>
      </c>
      <c r="E7341" t="inlineStr">
        <is>
          <t>unknown</t>
        </is>
      </c>
      <c r="F7341">
        <f>IFERROR(MATCH(A7341,Deals!$A$2:$A$843,0),"")</f>
        <v/>
      </c>
      <c r="G7341">
        <f>IF(F7341="",0,1)</f>
        <v/>
      </c>
      <c r="H7341" s="29">
        <f>IF(F7341="","",INDEX(Deals!$E$2:$E$843,F7341))</f>
        <v/>
      </c>
      <c r="I7341">
        <f>IF(F7341="","",INDEX(Deals!$D$2:$D$843,F7341))</f>
        <v/>
      </c>
      <c r="J7341">
        <f>IF(F7341="","",INT(H7341)-B7341)</f>
        <v/>
      </c>
      <c r="K7341">
        <f>IF(B7341&gt;=Settings!$C$5,1,0)</f>
        <v/>
      </c>
    </row>
    <row r="7342">
      <c r="A7342" t="inlineStr">
        <is>
          <t>c2a784a6cda726ef5f845e9192adb64b</t>
        </is>
      </c>
      <c r="B7342" s="29" t="n">
        <v>43101</v>
      </c>
      <c r="C7342" t="inlineStr">
        <is>
          <t>2018-01</t>
        </is>
      </c>
      <c r="D7342" t="inlineStr">
        <is>
          <t>40dec9f3d5259a3d2dbcdab2114fae47</t>
        </is>
      </c>
      <c r="E7342" t="inlineStr">
        <is>
          <t>paid_search</t>
        </is>
      </c>
      <c r="F7342">
        <f>IFERROR(MATCH(A7342,Deals!$A$2:$A$843,0),"")</f>
        <v/>
      </c>
      <c r="G7342">
        <f>IF(F7342="",0,1)</f>
        <v/>
      </c>
      <c r="H7342" s="29">
        <f>IF(F7342="","",INDEX(Deals!$E$2:$E$843,F7342))</f>
        <v/>
      </c>
      <c r="I7342">
        <f>IF(F7342="","",INDEX(Deals!$D$2:$D$843,F7342))</f>
        <v/>
      </c>
      <c r="J7342">
        <f>IF(F7342="","",INT(H7342)-B7342)</f>
        <v/>
      </c>
      <c r="K7342">
        <f>IF(B7342&gt;=Settings!$C$5,1,0)</f>
        <v/>
      </c>
    </row>
    <row r="7343">
      <c r="A7343" t="inlineStr">
        <is>
          <t>af37f5b0de67364f54d9b53d8e8afbfa</t>
        </is>
      </c>
      <c r="B7343" s="29" t="n">
        <v>43074</v>
      </c>
      <c r="C7343" t="inlineStr">
        <is>
          <t>2017-12</t>
        </is>
      </c>
      <c r="D7343" t="inlineStr">
        <is>
          <t>22c29808c4f815213303f8933030604c</t>
        </is>
      </c>
      <c r="E7343" t="inlineStr">
        <is>
          <t>organic_search</t>
        </is>
      </c>
      <c r="F7343">
        <f>IFERROR(MATCH(A7343,Deals!$A$2:$A$843,0),"")</f>
        <v/>
      </c>
      <c r="G7343">
        <f>IF(F7343="",0,1)</f>
        <v/>
      </c>
      <c r="H7343" s="29">
        <f>IF(F7343="","",INDEX(Deals!$E$2:$E$843,F7343))</f>
        <v/>
      </c>
      <c r="I7343">
        <f>IF(F7343="","",INDEX(Deals!$D$2:$D$843,F7343))</f>
        <v/>
      </c>
      <c r="J7343">
        <f>IF(F7343="","",INT(H7343)-B7343)</f>
        <v/>
      </c>
      <c r="K7343">
        <f>IF(B7343&gt;=Settings!$C$5,1,0)</f>
        <v/>
      </c>
    </row>
    <row r="7344">
      <c r="A7344" t="inlineStr">
        <is>
          <t>a65c50304e9b20b50b2cb56269afb295</t>
        </is>
      </c>
      <c r="B7344" s="29" t="n">
        <v>43231</v>
      </c>
      <c r="C7344" t="inlineStr">
        <is>
          <t>2018-05</t>
        </is>
      </c>
      <c r="D7344" t="inlineStr">
        <is>
          <t>27cd3540bace1f4a4b2bc6d319b0553c</t>
        </is>
      </c>
      <c r="E7344" t="inlineStr">
        <is>
          <t>paid_search</t>
        </is>
      </c>
      <c r="F7344">
        <f>IFERROR(MATCH(A7344,Deals!$A$2:$A$843,0),"")</f>
        <v/>
      </c>
      <c r="G7344">
        <f>IF(F7344="",0,1)</f>
        <v/>
      </c>
      <c r="H7344" s="29">
        <f>IF(F7344="","",INDEX(Deals!$E$2:$E$843,F7344))</f>
        <v/>
      </c>
      <c r="I7344">
        <f>IF(F7344="","",INDEX(Deals!$D$2:$D$843,F7344))</f>
        <v/>
      </c>
      <c r="J7344">
        <f>IF(F7344="","",INT(H7344)-B7344)</f>
        <v/>
      </c>
      <c r="K7344">
        <f>IF(B7344&gt;=Settings!$C$5,1,0)</f>
        <v/>
      </c>
    </row>
    <row r="7345">
      <c r="A7345" t="inlineStr">
        <is>
          <t>75a4e4c871852ede561ad7e3cbdd2757</t>
        </is>
      </c>
      <c r="B7345" s="29" t="n">
        <v>42934</v>
      </c>
      <c r="C7345" t="inlineStr">
        <is>
          <t>2017-07</t>
        </is>
      </c>
      <c r="D7345" t="inlineStr">
        <is>
          <t>5ce25abc7206b8285aa756867eb2c590</t>
        </is>
      </c>
      <c r="E7345" t="inlineStr">
        <is>
          <t>display</t>
        </is>
      </c>
      <c r="F7345">
        <f>IFERROR(MATCH(A7345,Deals!$A$2:$A$843,0),"")</f>
        <v/>
      </c>
      <c r="G7345">
        <f>IF(F7345="",0,1)</f>
        <v/>
      </c>
      <c r="H7345" s="29">
        <f>IF(F7345="","",INDEX(Deals!$E$2:$E$843,F7345))</f>
        <v/>
      </c>
      <c r="I7345">
        <f>IF(F7345="","",INDEX(Deals!$D$2:$D$843,F7345))</f>
        <v/>
      </c>
      <c r="J7345">
        <f>IF(F7345="","",INT(H7345)-B7345)</f>
        <v/>
      </c>
      <c r="K7345">
        <f>IF(B7345&gt;=Settings!$C$5,1,0)</f>
        <v/>
      </c>
    </row>
    <row r="7346">
      <c r="A7346" t="inlineStr">
        <is>
          <t>7f9e3113eb869488d3b9e80931e75946</t>
        </is>
      </c>
      <c r="B7346" s="29" t="n">
        <v>43090</v>
      </c>
      <c r="C7346" t="inlineStr">
        <is>
          <t>2017-12</t>
        </is>
      </c>
      <c r="D7346" t="inlineStr">
        <is>
          <t>b76ef37428e6799c421989521c0e5077</t>
        </is>
      </c>
      <c r="E7346" t="inlineStr">
        <is>
          <t>unknown</t>
        </is>
      </c>
      <c r="F7346">
        <f>IFERROR(MATCH(A7346,Deals!$A$2:$A$843,0),"")</f>
        <v/>
      </c>
      <c r="G7346">
        <f>IF(F7346="",0,1)</f>
        <v/>
      </c>
      <c r="H7346" s="29">
        <f>IF(F7346="","",INDEX(Deals!$E$2:$E$843,F7346))</f>
        <v/>
      </c>
      <c r="I7346">
        <f>IF(F7346="","",INDEX(Deals!$D$2:$D$843,F7346))</f>
        <v/>
      </c>
      <c r="J7346">
        <f>IF(F7346="","",INT(H7346)-B7346)</f>
        <v/>
      </c>
      <c r="K7346">
        <f>IF(B7346&gt;=Settings!$C$5,1,0)</f>
        <v/>
      </c>
    </row>
    <row r="7347">
      <c r="A7347" t="inlineStr">
        <is>
          <t>e85d902e5519fe6df5f4e1a723cbc7d9</t>
        </is>
      </c>
      <c r="B7347" s="29" t="n">
        <v>43122</v>
      </c>
      <c r="C7347" t="inlineStr">
        <is>
          <t>2018-01</t>
        </is>
      </c>
      <c r="D7347" t="inlineStr">
        <is>
          <t>73fec6021437e723ff5adae8dff89e23</t>
        </is>
      </c>
      <c r="E7347" t="inlineStr">
        <is>
          <t>social</t>
        </is>
      </c>
      <c r="F7347">
        <f>IFERROR(MATCH(A7347,Deals!$A$2:$A$843,0),"")</f>
        <v/>
      </c>
      <c r="G7347">
        <f>IF(F7347="",0,1)</f>
        <v/>
      </c>
      <c r="H7347" s="29">
        <f>IF(F7347="","",INDEX(Deals!$E$2:$E$843,F7347))</f>
        <v/>
      </c>
      <c r="I7347">
        <f>IF(F7347="","",INDEX(Deals!$D$2:$D$843,F7347))</f>
        <v/>
      </c>
      <c r="J7347">
        <f>IF(F7347="","",INT(H7347)-B7347)</f>
        <v/>
      </c>
      <c r="K7347">
        <f>IF(B7347&gt;=Settings!$C$5,1,0)</f>
        <v/>
      </c>
    </row>
    <row r="7348">
      <c r="A7348" t="inlineStr">
        <is>
          <t>c7c78f106a8458a6c7794002e878a9d8</t>
        </is>
      </c>
      <c r="B7348" s="29" t="n">
        <v>43172</v>
      </c>
      <c r="C7348" t="inlineStr">
        <is>
          <t>2018-03</t>
        </is>
      </c>
      <c r="D7348" t="inlineStr">
        <is>
          <t>f017be4dbf86243af5c1ebed0cff36a2</t>
        </is>
      </c>
      <c r="E7348" t="inlineStr">
        <is>
          <t>organic_search</t>
        </is>
      </c>
      <c r="F7348">
        <f>IFERROR(MATCH(A7348,Deals!$A$2:$A$843,0),"")</f>
        <v/>
      </c>
      <c r="G7348">
        <f>IF(F7348="",0,1)</f>
        <v/>
      </c>
      <c r="H7348" s="29">
        <f>IF(F7348="","",INDEX(Deals!$E$2:$E$843,F7348))</f>
        <v/>
      </c>
      <c r="I7348">
        <f>IF(F7348="","",INDEX(Deals!$D$2:$D$843,F7348))</f>
        <v/>
      </c>
      <c r="J7348">
        <f>IF(F7348="","",INT(H7348)-B7348)</f>
        <v/>
      </c>
      <c r="K7348">
        <f>IF(B7348&gt;=Settings!$C$5,1,0)</f>
        <v/>
      </c>
    </row>
    <row r="7349">
      <c r="A7349" t="inlineStr">
        <is>
          <t>2a42d5d95256910f37c38fa4a821cbf5</t>
        </is>
      </c>
      <c r="B7349" s="29" t="n">
        <v>43128</v>
      </c>
      <c r="C7349" t="inlineStr">
        <is>
          <t>2018-01</t>
        </is>
      </c>
      <c r="D7349" t="inlineStr">
        <is>
          <t>88740e65d5d6b056e0cda098e1ea6313</t>
        </is>
      </c>
      <c r="E7349" t="inlineStr">
        <is>
          <t>social</t>
        </is>
      </c>
      <c r="F7349">
        <f>IFERROR(MATCH(A7349,Deals!$A$2:$A$843,0),"")</f>
        <v/>
      </c>
      <c r="G7349">
        <f>IF(F7349="",0,1)</f>
        <v/>
      </c>
      <c r="H7349" s="29">
        <f>IF(F7349="","",INDEX(Deals!$E$2:$E$843,F7349))</f>
        <v/>
      </c>
      <c r="I7349">
        <f>IF(F7349="","",INDEX(Deals!$D$2:$D$843,F7349))</f>
        <v/>
      </c>
      <c r="J7349">
        <f>IF(F7349="","",INT(H7349)-B7349)</f>
        <v/>
      </c>
      <c r="K7349">
        <f>IF(B7349&gt;=Settings!$C$5,1,0)</f>
        <v/>
      </c>
    </row>
    <row r="7350">
      <c r="A7350" t="inlineStr">
        <is>
          <t>ef056e71e00f5fe978ab7c54d55018f4</t>
        </is>
      </c>
      <c r="B7350" s="29" t="n">
        <v>43178</v>
      </c>
      <c r="C7350" t="inlineStr">
        <is>
          <t>2018-03</t>
        </is>
      </c>
      <c r="D7350" t="inlineStr">
        <is>
          <t>241f79c7a8fe0270f4fb79fcbbcd17ad</t>
        </is>
      </c>
      <c r="E7350" t="inlineStr">
        <is>
          <t>paid_search</t>
        </is>
      </c>
      <c r="F7350">
        <f>IFERROR(MATCH(A7350,Deals!$A$2:$A$843,0),"")</f>
        <v/>
      </c>
      <c r="G7350">
        <f>IF(F7350="",0,1)</f>
        <v/>
      </c>
      <c r="H7350" s="29">
        <f>IF(F7350="","",INDEX(Deals!$E$2:$E$843,F7350))</f>
        <v/>
      </c>
      <c r="I7350">
        <f>IF(F7350="","",INDEX(Deals!$D$2:$D$843,F7350))</f>
        <v/>
      </c>
      <c r="J7350">
        <f>IF(F7350="","",INT(H7350)-B7350)</f>
        <v/>
      </c>
      <c r="K7350">
        <f>IF(B7350&gt;=Settings!$C$5,1,0)</f>
        <v/>
      </c>
    </row>
    <row r="7351">
      <c r="A7351" t="inlineStr">
        <is>
          <t>48b7b7c15b71efe6169c44cb73b1359d</t>
        </is>
      </c>
      <c r="B7351" s="29" t="n">
        <v>43241</v>
      </c>
      <c r="C7351" t="inlineStr">
        <is>
          <t>2018-05</t>
        </is>
      </c>
      <c r="D7351" t="inlineStr">
        <is>
          <t>b76ef37428e6799c421989521c0e5077</t>
        </is>
      </c>
      <c r="E7351" t="inlineStr">
        <is>
          <t>direct_traffic</t>
        </is>
      </c>
      <c r="F7351">
        <f>IFERROR(MATCH(A7351,Deals!$A$2:$A$843,0),"")</f>
        <v/>
      </c>
      <c r="G7351">
        <f>IF(F7351="",0,1)</f>
        <v/>
      </c>
      <c r="H7351" s="29">
        <f>IF(F7351="","",INDEX(Deals!$E$2:$E$843,F7351))</f>
        <v/>
      </c>
      <c r="I7351">
        <f>IF(F7351="","",INDEX(Deals!$D$2:$D$843,F7351))</f>
        <v/>
      </c>
      <c r="J7351">
        <f>IF(F7351="","",INT(H7351)-B7351)</f>
        <v/>
      </c>
      <c r="K7351">
        <f>IF(B7351&gt;=Settings!$C$5,1,0)</f>
        <v/>
      </c>
    </row>
    <row r="7352">
      <c r="A7352" t="inlineStr">
        <is>
          <t>290f3bc899e6c7f69fff513048513324</t>
        </is>
      </c>
      <c r="B7352" s="29" t="n">
        <v>42972</v>
      </c>
      <c r="C7352" t="inlineStr">
        <is>
          <t>2017-08</t>
        </is>
      </c>
      <c r="D7352" t="inlineStr">
        <is>
          <t>b76ef37428e6799c421989521c0e5077</t>
        </is>
      </c>
      <c r="E7352" t="inlineStr">
        <is>
          <t>unknown</t>
        </is>
      </c>
      <c r="F7352">
        <f>IFERROR(MATCH(A7352,Deals!$A$2:$A$843,0),"")</f>
        <v/>
      </c>
      <c r="G7352">
        <f>IF(F7352="",0,1)</f>
        <v/>
      </c>
      <c r="H7352" s="29">
        <f>IF(F7352="","",INDEX(Deals!$E$2:$E$843,F7352))</f>
        <v/>
      </c>
      <c r="I7352">
        <f>IF(F7352="","",INDEX(Deals!$D$2:$D$843,F7352))</f>
        <v/>
      </c>
      <c r="J7352">
        <f>IF(F7352="","",INT(H7352)-B7352)</f>
        <v/>
      </c>
      <c r="K7352">
        <f>IF(B7352&gt;=Settings!$C$5,1,0)</f>
        <v/>
      </c>
    </row>
    <row r="7353">
      <c r="A7353" t="inlineStr">
        <is>
          <t>96a5eed17e24091f331ca8188757e215</t>
        </is>
      </c>
      <c r="B7353" s="29" t="n">
        <v>43185</v>
      </c>
      <c r="C7353" t="inlineStr">
        <is>
          <t>2018-03</t>
        </is>
      </c>
      <c r="D7353" t="inlineStr">
        <is>
          <t>5679ae2329cbad78cdf97737d11bad06</t>
        </is>
      </c>
      <c r="E7353" t="inlineStr">
        <is>
          <t>unknown</t>
        </is>
      </c>
      <c r="F7353">
        <f>IFERROR(MATCH(A7353,Deals!$A$2:$A$843,0),"")</f>
        <v/>
      </c>
      <c r="G7353">
        <f>IF(F7353="",0,1)</f>
        <v/>
      </c>
      <c r="H7353" s="29">
        <f>IF(F7353="","",INDEX(Deals!$E$2:$E$843,F7353))</f>
        <v/>
      </c>
      <c r="I7353">
        <f>IF(F7353="","",INDEX(Deals!$D$2:$D$843,F7353))</f>
        <v/>
      </c>
      <c r="J7353">
        <f>IF(F7353="","",INT(H7353)-B7353)</f>
        <v/>
      </c>
      <c r="K7353">
        <f>IF(B7353&gt;=Settings!$C$5,1,0)</f>
        <v/>
      </c>
    </row>
    <row r="7354">
      <c r="A7354" t="inlineStr">
        <is>
          <t>d4aa28edb4a7e60bf8a800ef24c26eb3</t>
        </is>
      </c>
      <c r="B7354" s="29" t="n">
        <v>43174</v>
      </c>
      <c r="C7354" t="inlineStr">
        <is>
          <t>2018-03</t>
        </is>
      </c>
      <c r="D7354" t="inlineStr">
        <is>
          <t>b76ef37428e6799c421989521c0e5077</t>
        </is>
      </c>
      <c r="E7354" t="inlineStr">
        <is>
          <t>unknown</t>
        </is>
      </c>
      <c r="F7354">
        <f>IFERROR(MATCH(A7354,Deals!$A$2:$A$843,0),"")</f>
        <v/>
      </c>
      <c r="G7354">
        <f>IF(F7354="",0,1)</f>
        <v/>
      </c>
      <c r="H7354" s="29">
        <f>IF(F7354="","",INDEX(Deals!$E$2:$E$843,F7354))</f>
        <v/>
      </c>
      <c r="I7354">
        <f>IF(F7354="","",INDEX(Deals!$D$2:$D$843,F7354))</f>
        <v/>
      </c>
      <c r="J7354">
        <f>IF(F7354="","",INT(H7354)-B7354)</f>
        <v/>
      </c>
      <c r="K7354">
        <f>IF(B7354&gt;=Settings!$C$5,1,0)</f>
        <v/>
      </c>
    </row>
    <row r="7355">
      <c r="A7355" t="inlineStr">
        <is>
          <t>b7e5a3dcc20d1a6c571e3bab6a577375</t>
        </is>
      </c>
      <c r="B7355" s="29" t="n">
        <v>43207</v>
      </c>
      <c r="C7355" t="inlineStr">
        <is>
          <t>2018-04</t>
        </is>
      </c>
      <c r="D7355" t="inlineStr">
        <is>
          <t>5ecb50153794666e90bc04c0076b7834</t>
        </is>
      </c>
      <c r="E7355" t="inlineStr">
        <is>
          <t>paid_search</t>
        </is>
      </c>
      <c r="F7355">
        <f>IFERROR(MATCH(A7355,Deals!$A$2:$A$843,0),"")</f>
        <v/>
      </c>
      <c r="G7355">
        <f>IF(F7355="",0,1)</f>
        <v/>
      </c>
      <c r="H7355" s="29">
        <f>IF(F7355="","",INDEX(Deals!$E$2:$E$843,F7355))</f>
        <v/>
      </c>
      <c r="I7355">
        <f>IF(F7355="","",INDEX(Deals!$D$2:$D$843,F7355))</f>
        <v/>
      </c>
      <c r="J7355">
        <f>IF(F7355="","",INT(H7355)-B7355)</f>
        <v/>
      </c>
      <c r="K7355">
        <f>IF(B7355&gt;=Settings!$C$5,1,0)</f>
        <v/>
      </c>
    </row>
    <row r="7356">
      <c r="A7356" t="inlineStr">
        <is>
          <t>175ea45b8c6dc940864a06d8caa341c4</t>
        </is>
      </c>
      <c r="B7356" s="29" t="n">
        <v>43105</v>
      </c>
      <c r="C7356" t="inlineStr">
        <is>
          <t>2018-01</t>
        </is>
      </c>
      <c r="D7356" t="inlineStr">
        <is>
          <t>22c29808c4f815213303f8933030604c</t>
        </is>
      </c>
      <c r="E7356" t="inlineStr">
        <is>
          <t>organic_search</t>
        </is>
      </c>
      <c r="F7356">
        <f>IFERROR(MATCH(A7356,Deals!$A$2:$A$843,0),"")</f>
        <v/>
      </c>
      <c r="G7356">
        <f>IF(F7356="",0,1)</f>
        <v/>
      </c>
      <c r="H7356" s="29">
        <f>IF(F7356="","",INDEX(Deals!$E$2:$E$843,F7356))</f>
        <v/>
      </c>
      <c r="I7356">
        <f>IF(F7356="","",INDEX(Deals!$D$2:$D$843,F7356))</f>
        <v/>
      </c>
      <c r="J7356">
        <f>IF(F7356="","",INT(H7356)-B7356)</f>
        <v/>
      </c>
      <c r="K7356">
        <f>IF(B7356&gt;=Settings!$C$5,1,0)</f>
        <v/>
      </c>
    </row>
    <row r="7357">
      <c r="A7357" t="inlineStr">
        <is>
          <t>5499df60b3f5b017d19ba4f03165deda</t>
        </is>
      </c>
      <c r="B7357" s="29" t="n">
        <v>43209</v>
      </c>
      <c r="C7357" t="inlineStr">
        <is>
          <t>2018-04</t>
        </is>
      </c>
      <c r="D7357" t="inlineStr">
        <is>
          <t>d83b0d0e48c8447d1d5507a44027a955</t>
        </is>
      </c>
      <c r="E7357" t="inlineStr">
        <is>
          <t>referral</t>
        </is>
      </c>
      <c r="F7357">
        <f>IFERROR(MATCH(A7357,Deals!$A$2:$A$843,0),"")</f>
        <v/>
      </c>
      <c r="G7357">
        <f>IF(F7357="",0,1)</f>
        <v/>
      </c>
      <c r="H7357" s="29">
        <f>IF(F7357="","",INDEX(Deals!$E$2:$E$843,F7357))</f>
        <v/>
      </c>
      <c r="I7357">
        <f>IF(F7357="","",INDEX(Deals!$D$2:$D$843,F7357))</f>
        <v/>
      </c>
      <c r="J7357">
        <f>IF(F7357="","",INT(H7357)-B7357)</f>
        <v/>
      </c>
      <c r="K7357">
        <f>IF(B7357&gt;=Settings!$C$5,1,0)</f>
        <v/>
      </c>
    </row>
    <row r="7358">
      <c r="A7358" t="inlineStr">
        <is>
          <t>39e367521684bd5cf70773f610e2c5c0</t>
        </is>
      </c>
      <c r="B7358" s="29" t="n">
        <v>43182</v>
      </c>
      <c r="C7358" t="inlineStr">
        <is>
          <t>2018-03</t>
        </is>
      </c>
      <c r="D7358" t="inlineStr">
        <is>
          <t>58326e62183c14b0c03085c33b9fdc44</t>
        </is>
      </c>
      <c r="E7358" t="inlineStr">
        <is>
          <t>social</t>
        </is>
      </c>
      <c r="F7358">
        <f>IFERROR(MATCH(A7358,Deals!$A$2:$A$843,0),"")</f>
        <v/>
      </c>
      <c r="G7358">
        <f>IF(F7358="",0,1)</f>
        <v/>
      </c>
      <c r="H7358" s="29">
        <f>IF(F7358="","",INDEX(Deals!$E$2:$E$843,F7358))</f>
        <v/>
      </c>
      <c r="I7358">
        <f>IF(F7358="","",INDEX(Deals!$D$2:$D$843,F7358))</f>
        <v/>
      </c>
      <c r="J7358">
        <f>IF(F7358="","",INT(H7358)-B7358)</f>
        <v/>
      </c>
      <c r="K7358">
        <f>IF(B7358&gt;=Settings!$C$5,1,0)</f>
        <v/>
      </c>
    </row>
    <row r="7359">
      <c r="A7359" t="inlineStr">
        <is>
          <t>3292cdae49eccd5e6f96bad182e43112</t>
        </is>
      </c>
      <c r="B7359" s="29" t="n">
        <v>43224</v>
      </c>
      <c r="C7359" t="inlineStr">
        <is>
          <t>2018-05</t>
        </is>
      </c>
      <c r="D7359" t="inlineStr">
        <is>
          <t>909e333f8f23574f93115bd3d402e202</t>
        </is>
      </c>
      <c r="E7359" t="inlineStr">
        <is>
          <t>organic_search</t>
        </is>
      </c>
      <c r="F7359">
        <f>IFERROR(MATCH(A7359,Deals!$A$2:$A$843,0),"")</f>
        <v/>
      </c>
      <c r="G7359">
        <f>IF(F7359="",0,1)</f>
        <v/>
      </c>
      <c r="H7359" s="29">
        <f>IF(F7359="","",INDEX(Deals!$E$2:$E$843,F7359))</f>
        <v/>
      </c>
      <c r="I7359">
        <f>IF(F7359="","",INDEX(Deals!$D$2:$D$843,F7359))</f>
        <v/>
      </c>
      <c r="J7359">
        <f>IF(F7359="","",INT(H7359)-B7359)</f>
        <v/>
      </c>
      <c r="K7359">
        <f>IF(B7359&gt;=Settings!$C$5,1,0)</f>
        <v/>
      </c>
    </row>
    <row r="7360">
      <c r="A7360" t="inlineStr">
        <is>
          <t>714fd368edad43f60fdec00c6096e080</t>
        </is>
      </c>
      <c r="B7360" s="29" t="n">
        <v>43138</v>
      </c>
      <c r="C7360" t="inlineStr">
        <is>
          <t>2018-02</t>
        </is>
      </c>
      <c r="D7360" t="inlineStr">
        <is>
          <t>40dec9f3d5259a3d2dbcdab2114fae47</t>
        </is>
      </c>
      <c r="E7360" t="inlineStr">
        <is>
          <t>paid_search</t>
        </is>
      </c>
      <c r="F7360">
        <f>IFERROR(MATCH(A7360,Deals!$A$2:$A$843,0),"")</f>
        <v/>
      </c>
      <c r="G7360">
        <f>IF(F7360="",0,1)</f>
        <v/>
      </c>
      <c r="H7360" s="29">
        <f>IF(F7360="","",INDEX(Deals!$E$2:$E$843,F7360))</f>
        <v/>
      </c>
      <c r="I7360">
        <f>IF(F7360="","",INDEX(Deals!$D$2:$D$843,F7360))</f>
        <v/>
      </c>
      <c r="J7360">
        <f>IF(F7360="","",INT(H7360)-B7360)</f>
        <v/>
      </c>
      <c r="K7360">
        <f>IF(B7360&gt;=Settings!$C$5,1,0)</f>
        <v/>
      </c>
    </row>
    <row r="7361">
      <c r="A7361" t="inlineStr">
        <is>
          <t>9a48bb6f434ea2cdb7c907ec71313405</t>
        </is>
      </c>
      <c r="B7361" s="29" t="n">
        <v>43154</v>
      </c>
      <c r="C7361" t="inlineStr">
        <is>
          <t>2018-02</t>
        </is>
      </c>
      <c r="D7361" t="inlineStr">
        <is>
          <t>88740e65d5d6b056e0cda098e1ea6313</t>
        </is>
      </c>
      <c r="E7361" t="inlineStr">
        <is>
          <t>social</t>
        </is>
      </c>
      <c r="F7361">
        <f>IFERROR(MATCH(A7361,Deals!$A$2:$A$843,0),"")</f>
        <v/>
      </c>
      <c r="G7361">
        <f>IF(F7361="",0,1)</f>
        <v/>
      </c>
      <c r="H7361" s="29">
        <f>IF(F7361="","",INDEX(Deals!$E$2:$E$843,F7361))</f>
        <v/>
      </c>
      <c r="I7361">
        <f>IF(F7361="","",INDEX(Deals!$D$2:$D$843,F7361))</f>
        <v/>
      </c>
      <c r="J7361">
        <f>IF(F7361="","",INT(H7361)-B7361)</f>
        <v/>
      </c>
      <c r="K7361">
        <f>IF(B7361&gt;=Settings!$C$5,1,0)</f>
        <v/>
      </c>
    </row>
    <row r="7362">
      <c r="A7362" t="inlineStr">
        <is>
          <t>951ce890123574083ef53058265b0c84</t>
        </is>
      </c>
      <c r="B7362" s="29" t="n">
        <v>43112</v>
      </c>
      <c r="C7362" t="inlineStr">
        <is>
          <t>2018-01</t>
        </is>
      </c>
      <c r="D7362" t="inlineStr">
        <is>
          <t>0218f6be0b76aca72ab4d00ee9e8cf10</t>
        </is>
      </c>
      <c r="E7362" t="inlineStr">
        <is>
          <t>organic_search</t>
        </is>
      </c>
      <c r="F7362">
        <f>IFERROR(MATCH(A7362,Deals!$A$2:$A$843,0),"")</f>
        <v/>
      </c>
      <c r="G7362">
        <f>IF(F7362="",0,1)</f>
        <v/>
      </c>
      <c r="H7362" s="29">
        <f>IF(F7362="","",INDEX(Deals!$E$2:$E$843,F7362))</f>
        <v/>
      </c>
      <c r="I7362">
        <f>IF(F7362="","",INDEX(Deals!$D$2:$D$843,F7362))</f>
        <v/>
      </c>
      <c r="J7362">
        <f>IF(F7362="","",INT(H7362)-B7362)</f>
        <v/>
      </c>
      <c r="K7362">
        <f>IF(B7362&gt;=Settings!$C$5,1,0)</f>
        <v/>
      </c>
    </row>
    <row r="7363">
      <c r="A7363" t="inlineStr">
        <is>
          <t>3b16ba31dd3221344e011b18e4b1043d</t>
        </is>
      </c>
      <c r="B7363" s="29" t="n">
        <v>43223</v>
      </c>
      <c r="C7363" t="inlineStr">
        <is>
          <t>2018-05</t>
        </is>
      </c>
      <c r="D7363" t="inlineStr">
        <is>
          <t>ce1a65abd0973638f1c887a6efcfa82d</t>
        </is>
      </c>
      <c r="E7363" t="inlineStr">
        <is>
          <t>social</t>
        </is>
      </c>
      <c r="F7363">
        <f>IFERROR(MATCH(A7363,Deals!$A$2:$A$843,0),"")</f>
        <v/>
      </c>
      <c r="G7363">
        <f>IF(F7363="",0,1)</f>
        <v/>
      </c>
      <c r="H7363" s="29">
        <f>IF(F7363="","",INDEX(Deals!$E$2:$E$843,F7363))</f>
        <v/>
      </c>
      <c r="I7363">
        <f>IF(F7363="","",INDEX(Deals!$D$2:$D$843,F7363))</f>
        <v/>
      </c>
      <c r="J7363">
        <f>IF(F7363="","",INT(H7363)-B7363)</f>
        <v/>
      </c>
      <c r="K7363">
        <f>IF(B7363&gt;=Settings!$C$5,1,0)</f>
        <v/>
      </c>
    </row>
    <row r="7364">
      <c r="A7364" t="inlineStr">
        <is>
          <t>4aaa3742cf7a16a2c51991d367a6a653</t>
        </is>
      </c>
      <c r="B7364" s="29" t="n">
        <v>43206</v>
      </c>
      <c r="C7364" t="inlineStr">
        <is>
          <t>2018-04</t>
        </is>
      </c>
      <c r="D7364" t="inlineStr">
        <is>
          <t>58326e62183c14b0c03085c33b9fdc44</t>
        </is>
      </c>
      <c r="E7364" t="inlineStr">
        <is>
          <t>paid_search</t>
        </is>
      </c>
      <c r="F7364">
        <f>IFERROR(MATCH(A7364,Deals!$A$2:$A$843,0),"")</f>
        <v/>
      </c>
      <c r="G7364">
        <f>IF(F7364="",0,1)</f>
        <v/>
      </c>
      <c r="H7364" s="29">
        <f>IF(F7364="","",INDEX(Deals!$E$2:$E$843,F7364))</f>
        <v/>
      </c>
      <c r="I7364">
        <f>IF(F7364="","",INDEX(Deals!$D$2:$D$843,F7364))</f>
        <v/>
      </c>
      <c r="J7364">
        <f>IF(F7364="","",INT(H7364)-B7364)</f>
        <v/>
      </c>
      <c r="K7364">
        <f>IF(B7364&gt;=Settings!$C$5,1,0)</f>
        <v/>
      </c>
    </row>
    <row r="7365">
      <c r="A7365" t="inlineStr">
        <is>
          <t>660110aa3162f77605b07eec19f1e20a</t>
        </is>
      </c>
      <c r="B7365" s="29" t="n">
        <v>43202</v>
      </c>
      <c r="C7365" t="inlineStr">
        <is>
          <t>2018-04</t>
        </is>
      </c>
      <c r="D7365" t="inlineStr">
        <is>
          <t>b76ef37428e6799c421989521c0e5077</t>
        </is>
      </c>
      <c r="E7365" t="inlineStr">
        <is>
          <t>paid_search</t>
        </is>
      </c>
      <c r="F7365">
        <f>IFERROR(MATCH(A7365,Deals!$A$2:$A$843,0),"")</f>
        <v/>
      </c>
      <c r="G7365">
        <f>IF(F7365="",0,1)</f>
        <v/>
      </c>
      <c r="H7365" s="29">
        <f>IF(F7365="","",INDEX(Deals!$E$2:$E$843,F7365))</f>
        <v/>
      </c>
      <c r="I7365">
        <f>IF(F7365="","",INDEX(Deals!$D$2:$D$843,F7365))</f>
        <v/>
      </c>
      <c r="J7365">
        <f>IF(F7365="","",INT(H7365)-B7365)</f>
        <v/>
      </c>
      <c r="K7365">
        <f>IF(B7365&gt;=Settings!$C$5,1,0)</f>
        <v/>
      </c>
    </row>
    <row r="7366">
      <c r="A7366" t="inlineStr">
        <is>
          <t>a0471c86437c16f083bb739ef8b5d1e2</t>
        </is>
      </c>
      <c r="B7366" s="29" t="n">
        <v>43134</v>
      </c>
      <c r="C7366" t="inlineStr">
        <is>
          <t>2018-02</t>
        </is>
      </c>
      <c r="D7366" t="inlineStr">
        <is>
          <t>241f79c7a8fe0270f4fb79fcbbcd17ad</t>
        </is>
      </c>
      <c r="E7366" t="inlineStr">
        <is>
          <t>organic_search</t>
        </is>
      </c>
      <c r="F7366">
        <f>IFERROR(MATCH(A7366,Deals!$A$2:$A$843,0),"")</f>
        <v/>
      </c>
      <c r="G7366">
        <f>IF(F7366="",0,1)</f>
        <v/>
      </c>
      <c r="H7366" s="29">
        <f>IF(F7366="","",INDEX(Deals!$E$2:$E$843,F7366))</f>
        <v/>
      </c>
      <c r="I7366">
        <f>IF(F7366="","",INDEX(Deals!$D$2:$D$843,F7366))</f>
        <v/>
      </c>
      <c r="J7366">
        <f>IF(F7366="","",INT(H7366)-B7366)</f>
        <v/>
      </c>
      <c r="K7366">
        <f>IF(B7366&gt;=Settings!$C$5,1,0)</f>
        <v/>
      </c>
    </row>
    <row r="7367">
      <c r="A7367" t="inlineStr">
        <is>
          <t>3ad9ecf4b4a26b7671e09283f001d626</t>
        </is>
      </c>
      <c r="B7367" s="29" t="n">
        <v>43200</v>
      </c>
      <c r="C7367" t="inlineStr">
        <is>
          <t>2018-04</t>
        </is>
      </c>
      <c r="D7367" t="inlineStr">
        <is>
          <t>c6f28f804cf6330e6de735ef6e6fe95c</t>
        </is>
      </c>
      <c r="E7367" t="inlineStr">
        <is>
          <t>display</t>
        </is>
      </c>
      <c r="F7367">
        <f>IFERROR(MATCH(A7367,Deals!$A$2:$A$843,0),"")</f>
        <v/>
      </c>
      <c r="G7367">
        <f>IF(F7367="",0,1)</f>
        <v/>
      </c>
      <c r="H7367" s="29">
        <f>IF(F7367="","",INDEX(Deals!$E$2:$E$843,F7367))</f>
        <v/>
      </c>
      <c r="I7367">
        <f>IF(F7367="","",INDEX(Deals!$D$2:$D$843,F7367))</f>
        <v/>
      </c>
      <c r="J7367">
        <f>IF(F7367="","",INT(H7367)-B7367)</f>
        <v/>
      </c>
      <c r="K7367">
        <f>IF(B7367&gt;=Settings!$C$5,1,0)</f>
        <v/>
      </c>
    </row>
    <row r="7368">
      <c r="A7368" t="inlineStr">
        <is>
          <t>86e182bc757f275470eec8c9c6008c12</t>
        </is>
      </c>
      <c r="B7368" s="29" t="n">
        <v>43243</v>
      </c>
      <c r="C7368" t="inlineStr">
        <is>
          <t>2018-05</t>
        </is>
      </c>
      <c r="D7368" t="inlineStr">
        <is>
          <t>b76ef37428e6799c421989521c0e5077</t>
        </is>
      </c>
      <c r="E7368" t="inlineStr">
        <is>
          <t>unknown</t>
        </is>
      </c>
      <c r="F7368">
        <f>IFERROR(MATCH(A7368,Deals!$A$2:$A$843,0),"")</f>
        <v/>
      </c>
      <c r="G7368">
        <f>IF(F7368="",0,1)</f>
        <v/>
      </c>
      <c r="H7368" s="29">
        <f>IF(F7368="","",INDEX(Deals!$E$2:$E$843,F7368))</f>
        <v/>
      </c>
      <c r="I7368">
        <f>IF(F7368="","",INDEX(Deals!$D$2:$D$843,F7368))</f>
        <v/>
      </c>
      <c r="J7368">
        <f>IF(F7368="","",INT(H7368)-B7368)</f>
        <v/>
      </c>
      <c r="K7368">
        <f>IF(B7368&gt;=Settings!$C$5,1,0)</f>
        <v/>
      </c>
    </row>
    <row r="7369">
      <c r="A7369" t="inlineStr">
        <is>
          <t>c2385a5e739790f3b8c1d459abee3e5b</t>
        </is>
      </c>
      <c r="B7369" s="29" t="n">
        <v>43171</v>
      </c>
      <c r="C7369" t="inlineStr">
        <is>
          <t>2018-03</t>
        </is>
      </c>
      <c r="D7369" t="inlineStr">
        <is>
          <t>30077c17f2ec5010a82e37ad8925b95f</t>
        </is>
      </c>
      <c r="E7369" t="inlineStr">
        <is>
          <t>organic_search</t>
        </is>
      </c>
      <c r="F7369">
        <f>IFERROR(MATCH(A7369,Deals!$A$2:$A$843,0),"")</f>
        <v/>
      </c>
      <c r="G7369">
        <f>IF(F7369="",0,1)</f>
        <v/>
      </c>
      <c r="H7369" s="29">
        <f>IF(F7369="","",INDEX(Deals!$E$2:$E$843,F7369))</f>
        <v/>
      </c>
      <c r="I7369">
        <f>IF(F7369="","",INDEX(Deals!$D$2:$D$843,F7369))</f>
        <v/>
      </c>
      <c r="J7369">
        <f>IF(F7369="","",INT(H7369)-B7369)</f>
        <v/>
      </c>
      <c r="K7369">
        <f>IF(B7369&gt;=Settings!$C$5,1,0)</f>
        <v/>
      </c>
    </row>
    <row r="7370">
      <c r="A7370" t="inlineStr">
        <is>
          <t>19840ff45164cdd7edff618435e1417d</t>
        </is>
      </c>
      <c r="B7370" s="29" t="n">
        <v>43235</v>
      </c>
      <c r="C7370" t="inlineStr">
        <is>
          <t>2018-05</t>
        </is>
      </c>
      <c r="D7370" t="inlineStr">
        <is>
          <t>58326e62183c14b0c03085c33b9fdc44</t>
        </is>
      </c>
      <c r="E7370" t="inlineStr">
        <is>
          <t>social</t>
        </is>
      </c>
      <c r="F7370">
        <f>IFERROR(MATCH(A7370,Deals!$A$2:$A$843,0),"")</f>
        <v/>
      </c>
      <c r="G7370">
        <f>IF(F7370="",0,1)</f>
        <v/>
      </c>
      <c r="H7370" s="29">
        <f>IF(F7370="","",INDEX(Deals!$E$2:$E$843,F7370))</f>
        <v/>
      </c>
      <c r="I7370">
        <f>IF(F7370="","",INDEX(Deals!$D$2:$D$843,F7370))</f>
        <v/>
      </c>
      <c r="J7370">
        <f>IF(F7370="","",INT(H7370)-B7370)</f>
        <v/>
      </c>
      <c r="K7370">
        <f>IF(B7370&gt;=Settings!$C$5,1,0)</f>
        <v/>
      </c>
    </row>
    <row r="7371">
      <c r="A7371" t="inlineStr">
        <is>
          <t>a8aa308791fc464208fb025038454c24</t>
        </is>
      </c>
      <c r="B7371" s="29" t="n">
        <v>43231</v>
      </c>
      <c r="C7371" t="inlineStr">
        <is>
          <t>2018-05</t>
        </is>
      </c>
      <c r="D7371" t="inlineStr">
        <is>
          <t>40dec9f3d5259a3d2dbcdab2114fae47</t>
        </is>
      </c>
      <c r="E7371" t="inlineStr">
        <is>
          <t>organic_search</t>
        </is>
      </c>
      <c r="F7371">
        <f>IFERROR(MATCH(A7371,Deals!$A$2:$A$843,0),"")</f>
        <v/>
      </c>
      <c r="G7371">
        <f>IF(F7371="",0,1)</f>
        <v/>
      </c>
      <c r="H7371" s="29">
        <f>IF(F7371="","",INDEX(Deals!$E$2:$E$843,F7371))</f>
        <v/>
      </c>
      <c r="I7371">
        <f>IF(F7371="","",INDEX(Deals!$D$2:$D$843,F7371))</f>
        <v/>
      </c>
      <c r="J7371">
        <f>IF(F7371="","",INT(H7371)-B7371)</f>
        <v/>
      </c>
      <c r="K7371">
        <f>IF(B7371&gt;=Settings!$C$5,1,0)</f>
        <v/>
      </c>
    </row>
    <row r="7372">
      <c r="A7372" t="inlineStr">
        <is>
          <t>144194b941960b62a1217cc9d27ebdbe</t>
        </is>
      </c>
      <c r="B7372" s="29" t="n">
        <v>43181</v>
      </c>
      <c r="C7372" t="inlineStr">
        <is>
          <t>2018-03</t>
        </is>
      </c>
      <c r="D7372" t="inlineStr">
        <is>
          <t>b76ef37428e6799c421989521c0e5077</t>
        </is>
      </c>
      <c r="E7372" t="inlineStr">
        <is>
          <t>unknown</t>
        </is>
      </c>
      <c r="F7372">
        <f>IFERROR(MATCH(A7372,Deals!$A$2:$A$843,0),"")</f>
        <v/>
      </c>
      <c r="G7372">
        <f>IF(F7372="",0,1)</f>
        <v/>
      </c>
      <c r="H7372" s="29">
        <f>IF(F7372="","",INDEX(Deals!$E$2:$E$843,F7372))</f>
        <v/>
      </c>
      <c r="I7372">
        <f>IF(F7372="","",INDEX(Deals!$D$2:$D$843,F7372))</f>
        <v/>
      </c>
      <c r="J7372">
        <f>IF(F7372="","",INT(H7372)-B7372)</f>
        <v/>
      </c>
      <c r="K7372">
        <f>IF(B7372&gt;=Settings!$C$5,1,0)</f>
        <v/>
      </c>
    </row>
    <row r="7373">
      <c r="A7373" t="inlineStr">
        <is>
          <t>60084854099521425281742d342410c9</t>
        </is>
      </c>
      <c r="B7373" s="29" t="n">
        <v>43090</v>
      </c>
      <c r="C7373" t="inlineStr">
        <is>
          <t>2017-12</t>
        </is>
      </c>
      <c r="D7373" t="inlineStr">
        <is>
          <t>40dec9f3d5259a3d2dbcdab2114fae47</t>
        </is>
      </c>
      <c r="E7373" t="inlineStr">
        <is>
          <t>paid_search</t>
        </is>
      </c>
      <c r="F7373">
        <f>IFERROR(MATCH(A7373,Deals!$A$2:$A$843,0),"")</f>
        <v/>
      </c>
      <c r="G7373">
        <f>IF(F7373="",0,1)</f>
        <v/>
      </c>
      <c r="H7373" s="29">
        <f>IF(F7373="","",INDEX(Deals!$E$2:$E$843,F7373))</f>
        <v/>
      </c>
      <c r="I7373">
        <f>IF(F7373="","",INDEX(Deals!$D$2:$D$843,F7373))</f>
        <v/>
      </c>
      <c r="J7373">
        <f>IF(F7373="","",INT(H7373)-B7373)</f>
        <v/>
      </c>
      <c r="K7373">
        <f>IF(B7373&gt;=Settings!$C$5,1,0)</f>
        <v/>
      </c>
    </row>
    <row r="7374">
      <c r="A7374" t="inlineStr">
        <is>
          <t>0c9ab9755db29d773177576d8032354f</t>
        </is>
      </c>
      <c r="B7374" s="29" t="n">
        <v>43050</v>
      </c>
      <c r="C7374" t="inlineStr">
        <is>
          <t>2017-11</t>
        </is>
      </c>
      <c r="D7374" t="inlineStr">
        <is>
          <t>88740e65d5d6b056e0cda098e1ea6313</t>
        </is>
      </c>
      <c r="E7374" t="inlineStr">
        <is>
          <t>social</t>
        </is>
      </c>
      <c r="F7374">
        <f>IFERROR(MATCH(A7374,Deals!$A$2:$A$843,0),"")</f>
        <v/>
      </c>
      <c r="G7374">
        <f>IF(F7374="",0,1)</f>
        <v/>
      </c>
      <c r="H7374" s="29">
        <f>IF(F7374="","",INDEX(Deals!$E$2:$E$843,F7374))</f>
        <v/>
      </c>
      <c r="I7374">
        <f>IF(F7374="","",INDEX(Deals!$D$2:$D$843,F7374))</f>
        <v/>
      </c>
      <c r="J7374">
        <f>IF(F7374="","",INT(H7374)-B7374)</f>
        <v/>
      </c>
      <c r="K7374">
        <f>IF(B7374&gt;=Settings!$C$5,1,0)</f>
        <v/>
      </c>
    </row>
    <row r="7375">
      <c r="A7375" t="inlineStr">
        <is>
          <t>fe35cdc3b5e88ce55f6659889fe2937f</t>
        </is>
      </c>
      <c r="B7375" s="29" t="n">
        <v>43130</v>
      </c>
      <c r="C7375" t="inlineStr">
        <is>
          <t>2018-01</t>
        </is>
      </c>
      <c r="D7375" t="inlineStr">
        <is>
          <t>88740e65d5d6b056e0cda098e1ea6313</t>
        </is>
      </c>
      <c r="E7375" t="inlineStr">
        <is>
          <t>social</t>
        </is>
      </c>
      <c r="F7375">
        <f>IFERROR(MATCH(A7375,Deals!$A$2:$A$843,0),"")</f>
        <v/>
      </c>
      <c r="G7375">
        <f>IF(F7375="",0,1)</f>
        <v/>
      </c>
      <c r="H7375" s="29">
        <f>IF(F7375="","",INDEX(Deals!$E$2:$E$843,F7375))</f>
        <v/>
      </c>
      <c r="I7375">
        <f>IF(F7375="","",INDEX(Deals!$D$2:$D$843,F7375))</f>
        <v/>
      </c>
      <c r="J7375">
        <f>IF(F7375="","",INT(H7375)-B7375)</f>
        <v/>
      </c>
      <c r="K7375">
        <f>IF(B7375&gt;=Settings!$C$5,1,0)</f>
        <v/>
      </c>
    </row>
    <row r="7376">
      <c r="A7376" t="inlineStr">
        <is>
          <t>183598d06c38767146289c09dea304d2</t>
        </is>
      </c>
      <c r="B7376" s="29" t="n">
        <v>43242</v>
      </c>
      <c r="C7376" t="inlineStr">
        <is>
          <t>2018-05</t>
        </is>
      </c>
      <c r="D7376" t="inlineStr">
        <is>
          <t>22c29808c4f815213303f8933030604c</t>
        </is>
      </c>
      <c r="E7376" t="inlineStr">
        <is>
          <t>paid_search</t>
        </is>
      </c>
      <c r="F7376">
        <f>IFERROR(MATCH(A7376,Deals!$A$2:$A$843,0),"")</f>
        <v/>
      </c>
      <c r="G7376">
        <f>IF(F7376="",0,1)</f>
        <v/>
      </c>
      <c r="H7376" s="29">
        <f>IF(F7376="","",INDEX(Deals!$E$2:$E$843,F7376))</f>
        <v/>
      </c>
      <c r="I7376">
        <f>IF(F7376="","",INDEX(Deals!$D$2:$D$843,F7376))</f>
        <v/>
      </c>
      <c r="J7376">
        <f>IF(F7376="","",INT(H7376)-B7376)</f>
        <v/>
      </c>
      <c r="K7376">
        <f>IF(B7376&gt;=Settings!$C$5,1,0)</f>
        <v/>
      </c>
    </row>
    <row r="7377">
      <c r="A7377" t="inlineStr">
        <is>
          <t>51486a050b36f396d461df563f9a8772</t>
        </is>
      </c>
      <c r="B7377" s="29" t="n">
        <v>43185</v>
      </c>
      <c r="C7377" t="inlineStr">
        <is>
          <t>2018-03</t>
        </is>
      </c>
      <c r="D7377" t="inlineStr">
        <is>
          <t>ce1a65abd0973638f1c887a6efcfa82d</t>
        </is>
      </c>
      <c r="E7377" t="inlineStr">
        <is>
          <t>organic_search</t>
        </is>
      </c>
      <c r="F7377">
        <f>IFERROR(MATCH(A7377,Deals!$A$2:$A$843,0),"")</f>
        <v/>
      </c>
      <c r="G7377">
        <f>IF(F7377="",0,1)</f>
        <v/>
      </c>
      <c r="H7377" s="29">
        <f>IF(F7377="","",INDEX(Deals!$E$2:$E$843,F7377))</f>
        <v/>
      </c>
      <c r="I7377">
        <f>IF(F7377="","",INDEX(Deals!$D$2:$D$843,F7377))</f>
        <v/>
      </c>
      <c r="J7377">
        <f>IF(F7377="","",INT(H7377)-B7377)</f>
        <v/>
      </c>
      <c r="K7377">
        <f>IF(B7377&gt;=Settings!$C$5,1,0)</f>
        <v/>
      </c>
    </row>
    <row r="7378">
      <c r="A7378" t="inlineStr">
        <is>
          <t>91be2a74dce26a87ba9f8ce13564234a</t>
        </is>
      </c>
      <c r="B7378" s="29" t="n">
        <v>42989</v>
      </c>
      <c r="C7378" t="inlineStr">
        <is>
          <t>2017-09</t>
        </is>
      </c>
      <c r="D7378" t="inlineStr">
        <is>
          <t>87732658ba41d8775e8577df347a64db</t>
        </is>
      </c>
      <c r="E7378" t="inlineStr">
        <is>
          <t>social</t>
        </is>
      </c>
      <c r="F7378">
        <f>IFERROR(MATCH(A7378,Deals!$A$2:$A$843,0),"")</f>
        <v/>
      </c>
      <c r="G7378">
        <f>IF(F7378="",0,1)</f>
        <v/>
      </c>
      <c r="H7378" s="29">
        <f>IF(F7378="","",INDEX(Deals!$E$2:$E$843,F7378))</f>
        <v/>
      </c>
      <c r="I7378">
        <f>IF(F7378="","",INDEX(Deals!$D$2:$D$843,F7378))</f>
        <v/>
      </c>
      <c r="J7378">
        <f>IF(F7378="","",INT(H7378)-B7378)</f>
        <v/>
      </c>
      <c r="K7378">
        <f>IF(B7378&gt;=Settings!$C$5,1,0)</f>
        <v/>
      </c>
    </row>
    <row r="7379">
      <c r="A7379" t="inlineStr">
        <is>
          <t>edf52bd6ded9779e85d734368eab305b</t>
        </is>
      </c>
      <c r="B7379" s="29" t="n">
        <v>43222</v>
      </c>
      <c r="C7379" t="inlineStr">
        <is>
          <t>2018-05</t>
        </is>
      </c>
      <c r="D7379" t="inlineStr">
        <is>
          <t>73f31a40697cc90a86c1273563ac230e</t>
        </is>
      </c>
      <c r="E7379" t="inlineStr">
        <is>
          <t>organic_search</t>
        </is>
      </c>
      <c r="F7379">
        <f>IFERROR(MATCH(A7379,Deals!$A$2:$A$843,0),"")</f>
        <v/>
      </c>
      <c r="G7379">
        <f>IF(F7379="",0,1)</f>
        <v/>
      </c>
      <c r="H7379" s="29">
        <f>IF(F7379="","",INDEX(Deals!$E$2:$E$843,F7379))</f>
        <v/>
      </c>
      <c r="I7379">
        <f>IF(F7379="","",INDEX(Deals!$D$2:$D$843,F7379))</f>
        <v/>
      </c>
      <c r="J7379">
        <f>IF(F7379="","",INT(H7379)-B7379)</f>
        <v/>
      </c>
      <c r="K7379">
        <f>IF(B7379&gt;=Settings!$C$5,1,0)</f>
        <v/>
      </c>
    </row>
    <row r="7380">
      <c r="A7380" t="inlineStr">
        <is>
          <t>ec0c5dbf1690d83f53fad507995b0bd6</t>
        </is>
      </c>
      <c r="B7380" s="29" t="n">
        <v>43112</v>
      </c>
      <c r="C7380" t="inlineStr">
        <is>
          <t>2018-01</t>
        </is>
      </c>
      <c r="D7380" t="inlineStr">
        <is>
          <t>1d4ddc25ccaa2adeded340b6eda66182</t>
        </is>
      </c>
      <c r="E7380" t="inlineStr">
        <is>
          <t>organic_search</t>
        </is>
      </c>
      <c r="F7380">
        <f>IFERROR(MATCH(A7380,Deals!$A$2:$A$843,0),"")</f>
        <v/>
      </c>
      <c r="G7380">
        <f>IF(F7380="",0,1)</f>
        <v/>
      </c>
      <c r="H7380" s="29">
        <f>IF(F7380="","",INDEX(Deals!$E$2:$E$843,F7380))</f>
        <v/>
      </c>
      <c r="I7380">
        <f>IF(F7380="","",INDEX(Deals!$D$2:$D$843,F7380))</f>
        <v/>
      </c>
      <c r="J7380">
        <f>IF(F7380="","",INT(H7380)-B7380)</f>
        <v/>
      </c>
      <c r="K7380">
        <f>IF(B7380&gt;=Settings!$C$5,1,0)</f>
        <v/>
      </c>
    </row>
    <row r="7381">
      <c r="A7381" t="inlineStr">
        <is>
          <t>7e0a3b03133c5c75330162fee599e5f5</t>
        </is>
      </c>
      <c r="B7381" s="29" t="n">
        <v>43076</v>
      </c>
      <c r="C7381" t="inlineStr">
        <is>
          <t>2017-12</t>
        </is>
      </c>
      <c r="D7381" t="inlineStr">
        <is>
          <t>7fa6214d82e911d070f51ef79381b956</t>
        </is>
      </c>
      <c r="E7381" t="inlineStr">
        <is>
          <t>organic_search</t>
        </is>
      </c>
      <c r="F7381">
        <f>IFERROR(MATCH(A7381,Deals!$A$2:$A$843,0),"")</f>
        <v/>
      </c>
      <c r="G7381">
        <f>IF(F7381="",0,1)</f>
        <v/>
      </c>
      <c r="H7381" s="29">
        <f>IF(F7381="","",INDEX(Deals!$E$2:$E$843,F7381))</f>
        <v/>
      </c>
      <c r="I7381">
        <f>IF(F7381="","",INDEX(Deals!$D$2:$D$843,F7381))</f>
        <v/>
      </c>
      <c r="J7381">
        <f>IF(F7381="","",INT(H7381)-B7381)</f>
        <v/>
      </c>
      <c r="K7381">
        <f>IF(B7381&gt;=Settings!$C$5,1,0)</f>
        <v/>
      </c>
    </row>
    <row r="7382">
      <c r="A7382" t="inlineStr">
        <is>
          <t>b466c22d12d52c8a0d3792d2eb44b828</t>
        </is>
      </c>
      <c r="B7382" s="29" t="n">
        <v>43145</v>
      </c>
      <c r="C7382" t="inlineStr">
        <is>
          <t>2018-02</t>
        </is>
      </c>
      <c r="D7382" t="inlineStr">
        <is>
          <t>ce1a65abd0973638f1c887a6efcfa82d</t>
        </is>
      </c>
      <c r="E7382" t="inlineStr">
        <is>
          <t>paid_search</t>
        </is>
      </c>
      <c r="F7382">
        <f>IFERROR(MATCH(A7382,Deals!$A$2:$A$843,0),"")</f>
        <v/>
      </c>
      <c r="G7382">
        <f>IF(F7382="",0,1)</f>
        <v/>
      </c>
      <c r="H7382" s="29">
        <f>IF(F7382="","",INDEX(Deals!$E$2:$E$843,F7382))</f>
        <v/>
      </c>
      <c r="I7382">
        <f>IF(F7382="","",INDEX(Deals!$D$2:$D$843,F7382))</f>
        <v/>
      </c>
      <c r="J7382">
        <f>IF(F7382="","",INT(H7382)-B7382)</f>
        <v/>
      </c>
      <c r="K7382">
        <f>IF(B7382&gt;=Settings!$C$5,1,0)</f>
        <v/>
      </c>
    </row>
    <row r="7383">
      <c r="A7383" t="inlineStr">
        <is>
          <t>4bb469905246950273af7b6593ae0009</t>
        </is>
      </c>
      <c r="B7383" s="29" t="n">
        <v>43226</v>
      </c>
      <c r="C7383" t="inlineStr">
        <is>
          <t>2018-05</t>
        </is>
      </c>
      <c r="D7383" t="inlineStr">
        <is>
          <t>22c29808c4f815213303f8933030604c</t>
        </is>
      </c>
      <c r="E7383" t="inlineStr">
        <is>
          <t>direct_traffic</t>
        </is>
      </c>
      <c r="F7383">
        <f>IFERROR(MATCH(A7383,Deals!$A$2:$A$843,0),"")</f>
        <v/>
      </c>
      <c r="G7383">
        <f>IF(F7383="",0,1)</f>
        <v/>
      </c>
      <c r="H7383" s="29">
        <f>IF(F7383="","",INDEX(Deals!$E$2:$E$843,F7383))</f>
        <v/>
      </c>
      <c r="I7383">
        <f>IF(F7383="","",INDEX(Deals!$D$2:$D$843,F7383))</f>
        <v/>
      </c>
      <c r="J7383">
        <f>IF(F7383="","",INT(H7383)-B7383)</f>
        <v/>
      </c>
      <c r="K7383">
        <f>IF(B7383&gt;=Settings!$C$5,1,0)</f>
        <v/>
      </c>
    </row>
    <row r="7384">
      <c r="A7384" t="inlineStr">
        <is>
          <t>aa5d5b1b36318c95dffe1d6c4e153f2d</t>
        </is>
      </c>
      <c r="B7384" s="29" t="n">
        <v>43055</v>
      </c>
      <c r="C7384" t="inlineStr">
        <is>
          <t>2017-11</t>
        </is>
      </c>
      <c r="D7384" t="inlineStr">
        <is>
          <t>f98c2bd96ac4a5d9476734e790c91384</t>
        </is>
      </c>
      <c r="E7384" t="inlineStr">
        <is>
          <t>organic_search</t>
        </is>
      </c>
      <c r="F7384">
        <f>IFERROR(MATCH(A7384,Deals!$A$2:$A$843,0),"")</f>
        <v/>
      </c>
      <c r="G7384">
        <f>IF(F7384="",0,1)</f>
        <v/>
      </c>
      <c r="H7384" s="29">
        <f>IF(F7384="","",INDEX(Deals!$E$2:$E$843,F7384))</f>
        <v/>
      </c>
      <c r="I7384">
        <f>IF(F7384="","",INDEX(Deals!$D$2:$D$843,F7384))</f>
        <v/>
      </c>
      <c r="J7384">
        <f>IF(F7384="","",INT(H7384)-B7384)</f>
        <v/>
      </c>
      <c r="K7384">
        <f>IF(B7384&gt;=Settings!$C$5,1,0)</f>
        <v/>
      </c>
    </row>
    <row r="7385">
      <c r="A7385" t="inlineStr">
        <is>
          <t>de0fcd75c97ecea4ebbb534ea6476743</t>
        </is>
      </c>
      <c r="B7385" s="29" t="n">
        <v>43193</v>
      </c>
      <c r="C7385" t="inlineStr">
        <is>
          <t>2018-04</t>
        </is>
      </c>
      <c r="D7385" t="inlineStr">
        <is>
          <t>b76ef37428e6799c421989521c0e5077</t>
        </is>
      </c>
      <c r="E7385" t="inlineStr">
        <is>
          <t>unknown</t>
        </is>
      </c>
      <c r="F7385">
        <f>IFERROR(MATCH(A7385,Deals!$A$2:$A$843,0),"")</f>
        <v/>
      </c>
      <c r="G7385">
        <f>IF(F7385="",0,1)</f>
        <v/>
      </c>
      <c r="H7385" s="29">
        <f>IF(F7385="","",INDEX(Deals!$E$2:$E$843,F7385))</f>
        <v/>
      </c>
      <c r="I7385">
        <f>IF(F7385="","",INDEX(Deals!$D$2:$D$843,F7385))</f>
        <v/>
      </c>
      <c r="J7385">
        <f>IF(F7385="","",INT(H7385)-B7385)</f>
        <v/>
      </c>
      <c r="K7385">
        <f>IF(B7385&gt;=Settings!$C$5,1,0)</f>
        <v/>
      </c>
    </row>
    <row r="7386">
      <c r="A7386" t="inlineStr">
        <is>
          <t>332da72e6fc156f0340836378416136c</t>
        </is>
      </c>
      <c r="B7386" s="29" t="n">
        <v>43090</v>
      </c>
      <c r="C7386" t="inlineStr">
        <is>
          <t>2017-12</t>
        </is>
      </c>
      <c r="D7386" t="inlineStr">
        <is>
          <t>a0fbc0263cb98bdb0d72b9f9f283a172</t>
        </is>
      </c>
      <c r="E7386" t="inlineStr">
        <is>
          <t>paid_search</t>
        </is>
      </c>
      <c r="F7386">
        <f>IFERROR(MATCH(A7386,Deals!$A$2:$A$843,0),"")</f>
        <v/>
      </c>
      <c r="G7386">
        <f>IF(F7386="",0,1)</f>
        <v/>
      </c>
      <c r="H7386" s="29">
        <f>IF(F7386="","",INDEX(Deals!$E$2:$E$843,F7386))</f>
        <v/>
      </c>
      <c r="I7386">
        <f>IF(F7386="","",INDEX(Deals!$D$2:$D$843,F7386))</f>
        <v/>
      </c>
      <c r="J7386">
        <f>IF(F7386="","",INT(H7386)-B7386)</f>
        <v/>
      </c>
      <c r="K7386">
        <f>IF(B7386&gt;=Settings!$C$5,1,0)</f>
        <v/>
      </c>
    </row>
    <row r="7387">
      <c r="A7387" t="inlineStr">
        <is>
          <t>f47b47a611df8ce65ef10b826ed1ad2e</t>
        </is>
      </c>
      <c r="B7387" s="29" t="n">
        <v>43108</v>
      </c>
      <c r="C7387" t="inlineStr">
        <is>
          <t>2018-01</t>
        </is>
      </c>
      <c r="D7387" t="inlineStr">
        <is>
          <t>7c95c48a62175235a4f5f58ebdfbeec5</t>
        </is>
      </c>
      <c r="E7387" t="inlineStr">
        <is>
          <t>social</t>
        </is>
      </c>
      <c r="F7387">
        <f>IFERROR(MATCH(A7387,Deals!$A$2:$A$843,0),"")</f>
        <v/>
      </c>
      <c r="G7387">
        <f>IF(F7387="",0,1)</f>
        <v/>
      </c>
      <c r="H7387" s="29">
        <f>IF(F7387="","",INDEX(Deals!$E$2:$E$843,F7387))</f>
        <v/>
      </c>
      <c r="I7387">
        <f>IF(F7387="","",INDEX(Deals!$D$2:$D$843,F7387))</f>
        <v/>
      </c>
      <c r="J7387">
        <f>IF(F7387="","",INT(H7387)-B7387)</f>
        <v/>
      </c>
      <c r="K7387">
        <f>IF(B7387&gt;=Settings!$C$5,1,0)</f>
        <v/>
      </c>
    </row>
    <row r="7388">
      <c r="A7388" t="inlineStr">
        <is>
          <t>f4ed3f6aa2baaced0d790bbd9d7ead15</t>
        </is>
      </c>
      <c r="B7388" s="29" t="n">
        <v>43230</v>
      </c>
      <c r="C7388" t="inlineStr">
        <is>
          <t>2018-05</t>
        </is>
      </c>
      <c r="D7388" t="inlineStr">
        <is>
          <t>58326e62183c14b0c03085c33b9fdc44</t>
        </is>
      </c>
      <c r="E7388" t="inlineStr">
        <is>
          <t>paid_search</t>
        </is>
      </c>
      <c r="F7388">
        <f>IFERROR(MATCH(A7388,Deals!$A$2:$A$843,0),"")</f>
        <v/>
      </c>
      <c r="G7388">
        <f>IF(F7388="",0,1)</f>
        <v/>
      </c>
      <c r="H7388" s="29">
        <f>IF(F7388="","",INDEX(Deals!$E$2:$E$843,F7388))</f>
        <v/>
      </c>
      <c r="I7388">
        <f>IF(F7388="","",INDEX(Deals!$D$2:$D$843,F7388))</f>
        <v/>
      </c>
      <c r="J7388">
        <f>IF(F7388="","",INT(H7388)-B7388)</f>
        <v/>
      </c>
      <c r="K7388">
        <f>IF(B7388&gt;=Settings!$C$5,1,0)</f>
        <v/>
      </c>
    </row>
    <row r="7389">
      <c r="A7389" t="inlineStr">
        <is>
          <t>213334eb8d81fbc898ce3abcf98bcfa1</t>
        </is>
      </c>
      <c r="B7389" s="29" t="n">
        <v>43159</v>
      </c>
      <c r="C7389" t="inlineStr">
        <is>
          <t>2018-02</t>
        </is>
      </c>
      <c r="D7389" t="inlineStr">
        <is>
          <t>b76ef37428e6799c421989521c0e5077</t>
        </is>
      </c>
      <c r="E7389" t="inlineStr">
        <is>
          <t>unknown</t>
        </is>
      </c>
      <c r="F7389">
        <f>IFERROR(MATCH(A7389,Deals!$A$2:$A$843,0),"")</f>
        <v/>
      </c>
      <c r="G7389">
        <f>IF(F7389="",0,1)</f>
        <v/>
      </c>
      <c r="H7389" s="29">
        <f>IF(F7389="","",INDEX(Deals!$E$2:$E$843,F7389))</f>
        <v/>
      </c>
      <c r="I7389">
        <f>IF(F7389="","",INDEX(Deals!$D$2:$D$843,F7389))</f>
        <v/>
      </c>
      <c r="J7389">
        <f>IF(F7389="","",INT(H7389)-B7389)</f>
        <v/>
      </c>
      <c r="K7389">
        <f>IF(B7389&gt;=Settings!$C$5,1,0)</f>
        <v/>
      </c>
    </row>
    <row r="7390">
      <c r="A7390" t="inlineStr">
        <is>
          <t>b1fa0b6b06066d871b835fc80f71b3d0</t>
        </is>
      </c>
      <c r="B7390" s="29" t="n">
        <v>43210</v>
      </c>
      <c r="C7390" t="inlineStr">
        <is>
          <t>2018-04</t>
        </is>
      </c>
      <c r="D7390" t="inlineStr">
        <is>
          <t>58326e62183c14b0c03085c33b9fdc44</t>
        </is>
      </c>
      <c r="E7390" t="inlineStr">
        <is>
          <t>social</t>
        </is>
      </c>
      <c r="F7390">
        <f>IFERROR(MATCH(A7390,Deals!$A$2:$A$843,0),"")</f>
        <v/>
      </c>
      <c r="G7390">
        <f>IF(F7390="",0,1)</f>
        <v/>
      </c>
      <c r="H7390" s="29">
        <f>IF(F7390="","",INDEX(Deals!$E$2:$E$843,F7390))</f>
        <v/>
      </c>
      <c r="I7390">
        <f>IF(F7390="","",INDEX(Deals!$D$2:$D$843,F7390))</f>
        <v/>
      </c>
      <c r="J7390">
        <f>IF(F7390="","",INT(H7390)-B7390)</f>
        <v/>
      </c>
      <c r="K7390">
        <f>IF(B7390&gt;=Settings!$C$5,1,0)</f>
        <v/>
      </c>
    </row>
    <row r="7391">
      <c r="A7391" t="inlineStr">
        <is>
          <t>82c915bca7537ef11265aa134511f272</t>
        </is>
      </c>
      <c r="B7391" s="29" t="n">
        <v>43070</v>
      </c>
      <c r="C7391" t="inlineStr">
        <is>
          <t>2017-12</t>
        </is>
      </c>
      <c r="D7391" t="inlineStr">
        <is>
          <t>f017be4dbf86243af5c1ebed0cff36a2</t>
        </is>
      </c>
      <c r="E7391" t="inlineStr">
        <is>
          <t>referral</t>
        </is>
      </c>
      <c r="F7391">
        <f>IFERROR(MATCH(A7391,Deals!$A$2:$A$843,0),"")</f>
        <v/>
      </c>
      <c r="G7391">
        <f>IF(F7391="",0,1)</f>
        <v/>
      </c>
      <c r="H7391" s="29">
        <f>IF(F7391="","",INDEX(Deals!$E$2:$E$843,F7391))</f>
        <v/>
      </c>
      <c r="I7391">
        <f>IF(F7391="","",INDEX(Deals!$D$2:$D$843,F7391))</f>
        <v/>
      </c>
      <c r="J7391">
        <f>IF(F7391="","",INT(H7391)-B7391)</f>
        <v/>
      </c>
      <c r="K7391">
        <f>IF(B7391&gt;=Settings!$C$5,1,0)</f>
        <v/>
      </c>
    </row>
    <row r="7392">
      <c r="A7392" t="inlineStr">
        <is>
          <t>881dff85873f2c056e6db4363a8ca25c</t>
        </is>
      </c>
      <c r="B7392" s="29" t="n">
        <v>43241</v>
      </c>
      <c r="C7392" t="inlineStr">
        <is>
          <t>2018-05</t>
        </is>
      </c>
      <c r="D7392" t="inlineStr">
        <is>
          <t>a0fbc0263cb98bdb0d72b9f9f283a172</t>
        </is>
      </c>
      <c r="E7392" t="inlineStr">
        <is>
          <t>other_publicities</t>
        </is>
      </c>
      <c r="F7392">
        <f>IFERROR(MATCH(A7392,Deals!$A$2:$A$843,0),"")</f>
        <v/>
      </c>
      <c r="G7392">
        <f>IF(F7392="",0,1)</f>
        <v/>
      </c>
      <c r="H7392" s="29">
        <f>IF(F7392="","",INDEX(Deals!$E$2:$E$843,F7392))</f>
        <v/>
      </c>
      <c r="I7392">
        <f>IF(F7392="","",INDEX(Deals!$D$2:$D$843,F7392))</f>
        <v/>
      </c>
      <c r="J7392">
        <f>IF(F7392="","",INT(H7392)-B7392)</f>
        <v/>
      </c>
      <c r="K7392">
        <f>IF(B7392&gt;=Settings!$C$5,1,0)</f>
        <v/>
      </c>
    </row>
    <row r="7393">
      <c r="A7393" t="inlineStr">
        <is>
          <t>0d898488000a8e9d85ceefedf10725ca</t>
        </is>
      </c>
      <c r="B7393" s="29" t="n">
        <v>43188</v>
      </c>
      <c r="C7393" t="inlineStr">
        <is>
          <t>2018-03</t>
        </is>
      </c>
      <c r="D7393" t="inlineStr">
        <is>
          <t>7fa6214d82e911d070f51ef79381b956</t>
        </is>
      </c>
      <c r="E7393" t="inlineStr">
        <is>
          <t>organic_search</t>
        </is>
      </c>
      <c r="F7393">
        <f>IFERROR(MATCH(A7393,Deals!$A$2:$A$843,0),"")</f>
        <v/>
      </c>
      <c r="G7393">
        <f>IF(F7393="",0,1)</f>
        <v/>
      </c>
      <c r="H7393" s="29">
        <f>IF(F7393="","",INDEX(Deals!$E$2:$E$843,F7393))</f>
        <v/>
      </c>
      <c r="I7393">
        <f>IF(F7393="","",INDEX(Deals!$D$2:$D$843,F7393))</f>
        <v/>
      </c>
      <c r="J7393">
        <f>IF(F7393="","",INT(H7393)-B7393)</f>
        <v/>
      </c>
      <c r="K7393">
        <f>IF(B7393&gt;=Settings!$C$5,1,0)</f>
        <v/>
      </c>
    </row>
    <row r="7394">
      <c r="A7394" t="inlineStr">
        <is>
          <t>c611127b94520ac5dacf8e2102c581ba</t>
        </is>
      </c>
      <c r="B7394" s="29" t="n">
        <v>43188</v>
      </c>
      <c r="C7394" t="inlineStr">
        <is>
          <t>2018-03</t>
        </is>
      </c>
      <c r="D7394" t="inlineStr">
        <is>
          <t>c12c73f22a34ac35f2c45f74b55402b0</t>
        </is>
      </c>
      <c r="E7394" t="inlineStr">
        <is>
          <t>unknown</t>
        </is>
      </c>
      <c r="F7394">
        <f>IFERROR(MATCH(A7394,Deals!$A$2:$A$843,0),"")</f>
        <v/>
      </c>
      <c r="G7394">
        <f>IF(F7394="",0,1)</f>
        <v/>
      </c>
      <c r="H7394" s="29">
        <f>IF(F7394="","",INDEX(Deals!$E$2:$E$843,F7394))</f>
        <v/>
      </c>
      <c r="I7394">
        <f>IF(F7394="","",INDEX(Deals!$D$2:$D$843,F7394))</f>
        <v/>
      </c>
      <c r="J7394">
        <f>IF(F7394="","",INT(H7394)-B7394)</f>
        <v/>
      </c>
      <c r="K7394">
        <f>IF(B7394&gt;=Settings!$C$5,1,0)</f>
        <v/>
      </c>
    </row>
    <row r="7395">
      <c r="A7395" t="inlineStr">
        <is>
          <t>bbbd1d359c2c24d983dc1a62a8dff389</t>
        </is>
      </c>
      <c r="B7395" s="29" t="n">
        <v>43070</v>
      </c>
      <c r="C7395" t="inlineStr">
        <is>
          <t>2017-12</t>
        </is>
      </c>
      <c r="D7395" t="inlineStr">
        <is>
          <t>88740e65d5d6b056e0cda098e1ea6313</t>
        </is>
      </c>
      <c r="E7395" t="inlineStr">
        <is>
          <t>organic_search</t>
        </is>
      </c>
      <c r="F7395">
        <f>IFERROR(MATCH(A7395,Deals!$A$2:$A$843,0),"")</f>
        <v/>
      </c>
      <c r="G7395">
        <f>IF(F7395="",0,1)</f>
        <v/>
      </c>
      <c r="H7395" s="29">
        <f>IF(F7395="","",INDEX(Deals!$E$2:$E$843,F7395))</f>
        <v/>
      </c>
      <c r="I7395">
        <f>IF(F7395="","",INDEX(Deals!$D$2:$D$843,F7395))</f>
        <v/>
      </c>
      <c r="J7395">
        <f>IF(F7395="","",INT(H7395)-B7395)</f>
        <v/>
      </c>
      <c r="K7395">
        <f>IF(B7395&gt;=Settings!$C$5,1,0)</f>
        <v/>
      </c>
    </row>
    <row r="7396">
      <c r="A7396" t="inlineStr">
        <is>
          <t>12d29d5c5e0241bd62b01c442312eb52</t>
        </is>
      </c>
      <c r="B7396" s="29" t="n">
        <v>43108</v>
      </c>
      <c r="C7396" t="inlineStr">
        <is>
          <t>2018-01</t>
        </is>
      </c>
      <c r="D7396" t="inlineStr">
        <is>
          <t>b76ef37428e6799c421989521c0e5077</t>
        </is>
      </c>
      <c r="E7396" t="inlineStr">
        <is>
          <t>unknown</t>
        </is>
      </c>
      <c r="F7396">
        <f>IFERROR(MATCH(A7396,Deals!$A$2:$A$843,0),"")</f>
        <v/>
      </c>
      <c r="G7396">
        <f>IF(F7396="",0,1)</f>
        <v/>
      </c>
      <c r="H7396" s="29">
        <f>IF(F7396="","",INDEX(Deals!$E$2:$E$843,F7396))</f>
        <v/>
      </c>
      <c r="I7396">
        <f>IF(F7396="","",INDEX(Deals!$D$2:$D$843,F7396))</f>
        <v/>
      </c>
      <c r="J7396">
        <f>IF(F7396="","",INT(H7396)-B7396)</f>
        <v/>
      </c>
      <c r="K7396">
        <f>IF(B7396&gt;=Settings!$C$5,1,0)</f>
        <v/>
      </c>
    </row>
    <row r="7397">
      <c r="A7397" t="inlineStr">
        <is>
          <t>3210a2243b363f2a0cc9ba25289b09ce</t>
        </is>
      </c>
      <c r="B7397" s="29" t="n">
        <v>43156</v>
      </c>
      <c r="C7397" t="inlineStr">
        <is>
          <t>2018-02</t>
        </is>
      </c>
      <c r="D7397" t="inlineStr">
        <is>
          <t>22c29808c4f815213303f8933030604c</t>
        </is>
      </c>
      <c r="E7397" t="inlineStr">
        <is>
          <t>organic_search</t>
        </is>
      </c>
      <c r="F7397">
        <f>IFERROR(MATCH(A7397,Deals!$A$2:$A$843,0),"")</f>
        <v/>
      </c>
      <c r="G7397">
        <f>IF(F7397="",0,1)</f>
        <v/>
      </c>
      <c r="H7397" s="29">
        <f>IF(F7397="","",INDEX(Deals!$E$2:$E$843,F7397))</f>
        <v/>
      </c>
      <c r="I7397">
        <f>IF(F7397="","",INDEX(Deals!$D$2:$D$843,F7397))</f>
        <v/>
      </c>
      <c r="J7397">
        <f>IF(F7397="","",INT(H7397)-B7397)</f>
        <v/>
      </c>
      <c r="K7397">
        <f>IF(B7397&gt;=Settings!$C$5,1,0)</f>
        <v/>
      </c>
    </row>
    <row r="7398">
      <c r="A7398" t="inlineStr">
        <is>
          <t>86822278a4217781cc93b9276b25c926</t>
        </is>
      </c>
      <c r="B7398" s="29" t="n">
        <v>43153</v>
      </c>
      <c r="C7398" t="inlineStr">
        <is>
          <t>2018-02</t>
        </is>
      </c>
      <c r="D7398" t="inlineStr">
        <is>
          <t>88740e65d5d6b056e0cda098e1ea6313</t>
        </is>
      </c>
      <c r="E7398" t="inlineStr">
        <is>
          <t>social</t>
        </is>
      </c>
      <c r="F7398">
        <f>IFERROR(MATCH(A7398,Deals!$A$2:$A$843,0),"")</f>
        <v/>
      </c>
      <c r="G7398">
        <f>IF(F7398="",0,1)</f>
        <v/>
      </c>
      <c r="H7398" s="29">
        <f>IF(F7398="","",INDEX(Deals!$E$2:$E$843,F7398))</f>
        <v/>
      </c>
      <c r="I7398">
        <f>IF(F7398="","",INDEX(Deals!$D$2:$D$843,F7398))</f>
        <v/>
      </c>
      <c r="J7398">
        <f>IF(F7398="","",INT(H7398)-B7398)</f>
        <v/>
      </c>
      <c r="K7398">
        <f>IF(B7398&gt;=Settings!$C$5,1,0)</f>
        <v/>
      </c>
    </row>
    <row r="7399">
      <c r="A7399" t="inlineStr">
        <is>
          <t>e1ee630dffe807676f8df3561dd70cf8</t>
        </is>
      </c>
      <c r="B7399" s="29" t="n">
        <v>43158</v>
      </c>
      <c r="C7399" t="inlineStr">
        <is>
          <t>2018-02</t>
        </is>
      </c>
      <c r="D7399" t="inlineStr">
        <is>
          <t>73fec6021437e723ff5adae8dff89e23</t>
        </is>
      </c>
      <c r="E7399" t="inlineStr">
        <is>
          <t>social</t>
        </is>
      </c>
      <c r="F7399">
        <f>IFERROR(MATCH(A7399,Deals!$A$2:$A$843,0),"")</f>
        <v/>
      </c>
      <c r="G7399">
        <f>IF(F7399="",0,1)</f>
        <v/>
      </c>
      <c r="H7399" s="29">
        <f>IF(F7399="","",INDEX(Deals!$E$2:$E$843,F7399))</f>
        <v/>
      </c>
      <c r="I7399">
        <f>IF(F7399="","",INDEX(Deals!$D$2:$D$843,F7399))</f>
        <v/>
      </c>
      <c r="J7399">
        <f>IF(F7399="","",INT(H7399)-B7399)</f>
        <v/>
      </c>
      <c r="K7399">
        <f>IF(B7399&gt;=Settings!$C$5,1,0)</f>
        <v/>
      </c>
    </row>
    <row r="7400">
      <c r="A7400" t="inlineStr">
        <is>
          <t>ffec991bf0f35f7e7688cf0d39c9f9f4</t>
        </is>
      </c>
      <c r="B7400" s="29" t="n">
        <v>43062</v>
      </c>
      <c r="C7400" t="inlineStr">
        <is>
          <t>2017-11</t>
        </is>
      </c>
      <c r="D7400" t="inlineStr">
        <is>
          <t>b76ef37428e6799c421989521c0e5077</t>
        </is>
      </c>
      <c r="E7400" t="inlineStr">
        <is>
          <t>unknown</t>
        </is>
      </c>
      <c r="F7400">
        <f>IFERROR(MATCH(A7400,Deals!$A$2:$A$843,0),"")</f>
        <v/>
      </c>
      <c r="G7400">
        <f>IF(F7400="",0,1)</f>
        <v/>
      </c>
      <c r="H7400" s="29">
        <f>IF(F7400="","",INDEX(Deals!$E$2:$E$843,F7400))</f>
        <v/>
      </c>
      <c r="I7400">
        <f>IF(F7400="","",INDEX(Deals!$D$2:$D$843,F7400))</f>
        <v/>
      </c>
      <c r="J7400">
        <f>IF(F7400="","",INT(H7400)-B7400)</f>
        <v/>
      </c>
      <c r="K7400">
        <f>IF(B7400&gt;=Settings!$C$5,1,0)</f>
        <v/>
      </c>
    </row>
    <row r="7401">
      <c r="A7401" t="inlineStr">
        <is>
          <t>c2102c66aa81e5c07f72cd88e46d091d</t>
        </is>
      </c>
      <c r="B7401" s="29" t="n">
        <v>43231</v>
      </c>
      <c r="C7401" t="inlineStr">
        <is>
          <t>2018-05</t>
        </is>
      </c>
      <c r="D7401" t="inlineStr">
        <is>
          <t>b76ef37428e6799c421989521c0e5077</t>
        </is>
      </c>
      <c r="E7401" t="inlineStr">
        <is>
          <t>unknown</t>
        </is>
      </c>
      <c r="F7401">
        <f>IFERROR(MATCH(A7401,Deals!$A$2:$A$843,0),"")</f>
        <v/>
      </c>
      <c r="G7401">
        <f>IF(F7401="",0,1)</f>
        <v/>
      </c>
      <c r="H7401" s="29">
        <f>IF(F7401="","",INDEX(Deals!$E$2:$E$843,F7401))</f>
        <v/>
      </c>
      <c r="I7401">
        <f>IF(F7401="","",INDEX(Deals!$D$2:$D$843,F7401))</f>
        <v/>
      </c>
      <c r="J7401">
        <f>IF(F7401="","",INT(H7401)-B7401)</f>
        <v/>
      </c>
      <c r="K7401">
        <f>IF(B7401&gt;=Settings!$C$5,1,0)</f>
        <v/>
      </c>
    </row>
    <row r="7402">
      <c r="A7402" t="inlineStr">
        <is>
          <t>caea756b29bd071f00ce526f40645a78</t>
        </is>
      </c>
      <c r="B7402" s="29" t="n">
        <v>43196</v>
      </c>
      <c r="C7402" t="inlineStr">
        <is>
          <t>2018-04</t>
        </is>
      </c>
      <c r="D7402" t="inlineStr">
        <is>
          <t>58326e62183c14b0c03085c33b9fdc44</t>
        </is>
      </c>
      <c r="E7402" t="inlineStr">
        <is>
          <t>unknown</t>
        </is>
      </c>
      <c r="F7402">
        <f>IFERROR(MATCH(A7402,Deals!$A$2:$A$843,0),"")</f>
        <v/>
      </c>
      <c r="G7402">
        <f>IF(F7402="",0,1)</f>
        <v/>
      </c>
      <c r="H7402" s="29">
        <f>IF(F7402="","",INDEX(Deals!$E$2:$E$843,F7402))</f>
        <v/>
      </c>
      <c r="I7402">
        <f>IF(F7402="","",INDEX(Deals!$D$2:$D$843,F7402))</f>
        <v/>
      </c>
      <c r="J7402">
        <f>IF(F7402="","",INT(H7402)-B7402)</f>
        <v/>
      </c>
      <c r="K7402">
        <f>IF(B7402&gt;=Settings!$C$5,1,0)</f>
        <v/>
      </c>
    </row>
    <row r="7403">
      <c r="A7403" t="inlineStr">
        <is>
          <t>2a912ac127cc3ac74d5255fa9097f3a9</t>
        </is>
      </c>
      <c r="B7403" s="29" t="n">
        <v>42938</v>
      </c>
      <c r="C7403" t="inlineStr">
        <is>
          <t>2017-07</t>
        </is>
      </c>
      <c r="D7403" t="inlineStr">
        <is>
          <t>09949e05e2c5fa4ba780fe27213bc575</t>
        </is>
      </c>
      <c r="E7403" t="inlineStr">
        <is>
          <t>display</t>
        </is>
      </c>
      <c r="F7403">
        <f>IFERROR(MATCH(A7403,Deals!$A$2:$A$843,0),"")</f>
        <v/>
      </c>
      <c r="G7403">
        <f>IF(F7403="",0,1)</f>
        <v/>
      </c>
      <c r="H7403" s="29">
        <f>IF(F7403="","",INDEX(Deals!$E$2:$E$843,F7403))</f>
        <v/>
      </c>
      <c r="I7403">
        <f>IF(F7403="","",INDEX(Deals!$D$2:$D$843,F7403))</f>
        <v/>
      </c>
      <c r="J7403">
        <f>IF(F7403="","",INT(H7403)-B7403)</f>
        <v/>
      </c>
      <c r="K7403">
        <f>IF(B7403&gt;=Settings!$C$5,1,0)</f>
        <v/>
      </c>
    </row>
    <row r="7404">
      <c r="A7404" t="inlineStr">
        <is>
          <t>896f3c065d05cefcf3fe2852a7875109</t>
        </is>
      </c>
      <c r="B7404" s="29" t="n">
        <v>43215</v>
      </c>
      <c r="C7404" t="inlineStr">
        <is>
          <t>2018-04</t>
        </is>
      </c>
      <c r="D7404" t="inlineStr">
        <is>
          <t>acd502dc52a068d7c4014af6d5dbcd11</t>
        </is>
      </c>
      <c r="E7404" t="inlineStr">
        <is>
          <t>email</t>
        </is>
      </c>
      <c r="F7404">
        <f>IFERROR(MATCH(A7404,Deals!$A$2:$A$843,0),"")</f>
        <v/>
      </c>
      <c r="G7404">
        <f>IF(F7404="",0,1)</f>
        <v/>
      </c>
      <c r="H7404" s="29">
        <f>IF(F7404="","",INDEX(Deals!$E$2:$E$843,F7404))</f>
        <v/>
      </c>
      <c r="I7404">
        <f>IF(F7404="","",INDEX(Deals!$D$2:$D$843,F7404))</f>
        <v/>
      </c>
      <c r="J7404">
        <f>IF(F7404="","",INT(H7404)-B7404)</f>
        <v/>
      </c>
      <c r="K7404">
        <f>IF(B7404&gt;=Settings!$C$5,1,0)</f>
        <v/>
      </c>
    </row>
    <row r="7405">
      <c r="A7405" t="inlineStr">
        <is>
          <t>80f36a558ab7295d37bc67fbb7737963</t>
        </is>
      </c>
      <c r="B7405" s="29" t="n">
        <v>42963</v>
      </c>
      <c r="C7405" t="inlineStr">
        <is>
          <t>2017-08</t>
        </is>
      </c>
      <c r="D7405" t="inlineStr">
        <is>
          <t>ef0b482996664cc1107b9051efd3ca84</t>
        </is>
      </c>
      <c r="E7405" t="inlineStr">
        <is>
          <t>organic_search</t>
        </is>
      </c>
      <c r="F7405">
        <f>IFERROR(MATCH(A7405,Deals!$A$2:$A$843,0),"")</f>
        <v/>
      </c>
      <c r="G7405">
        <f>IF(F7405="",0,1)</f>
        <v/>
      </c>
      <c r="H7405" s="29">
        <f>IF(F7405="","",INDEX(Deals!$E$2:$E$843,F7405))</f>
        <v/>
      </c>
      <c r="I7405">
        <f>IF(F7405="","",INDEX(Deals!$D$2:$D$843,F7405))</f>
        <v/>
      </c>
      <c r="J7405">
        <f>IF(F7405="","",INT(H7405)-B7405)</f>
        <v/>
      </c>
      <c r="K7405">
        <f>IF(B7405&gt;=Settings!$C$5,1,0)</f>
        <v/>
      </c>
    </row>
    <row r="7406">
      <c r="A7406" t="inlineStr">
        <is>
          <t>152830abb65020d0f6949cb584760162</t>
        </is>
      </c>
      <c r="B7406" s="29" t="n">
        <v>43172</v>
      </c>
      <c r="C7406" t="inlineStr">
        <is>
          <t>2018-03</t>
        </is>
      </c>
      <c r="D7406" t="inlineStr">
        <is>
          <t>daa9619c6f8ed06d059265dca0f9257f</t>
        </is>
      </c>
      <c r="E7406" t="inlineStr">
        <is>
          <t>other</t>
        </is>
      </c>
      <c r="F7406">
        <f>IFERROR(MATCH(A7406,Deals!$A$2:$A$843,0),"")</f>
        <v/>
      </c>
      <c r="G7406">
        <f>IF(F7406="",0,1)</f>
        <v/>
      </c>
      <c r="H7406" s="29">
        <f>IF(F7406="","",INDEX(Deals!$E$2:$E$843,F7406))</f>
        <v/>
      </c>
      <c r="I7406">
        <f>IF(F7406="","",INDEX(Deals!$D$2:$D$843,F7406))</f>
        <v/>
      </c>
      <c r="J7406">
        <f>IF(F7406="","",INT(H7406)-B7406)</f>
        <v/>
      </c>
      <c r="K7406">
        <f>IF(B7406&gt;=Settings!$C$5,1,0)</f>
        <v/>
      </c>
    </row>
    <row r="7407">
      <c r="A7407" t="inlineStr">
        <is>
          <t>b192efefb07acda0fe16550b9d3135d1</t>
        </is>
      </c>
      <c r="B7407" s="29" t="n">
        <v>42992</v>
      </c>
      <c r="C7407" t="inlineStr">
        <is>
          <t>2017-09</t>
        </is>
      </c>
      <c r="D7407" t="inlineStr">
        <is>
          <t>298895230612f85f0742434fc434ad10</t>
        </is>
      </c>
      <c r="E7407" t="inlineStr">
        <is>
          <t>email</t>
        </is>
      </c>
      <c r="F7407">
        <f>IFERROR(MATCH(A7407,Deals!$A$2:$A$843,0),"")</f>
        <v/>
      </c>
      <c r="G7407">
        <f>IF(F7407="",0,1)</f>
        <v/>
      </c>
      <c r="H7407" s="29">
        <f>IF(F7407="","",INDEX(Deals!$E$2:$E$843,F7407))</f>
        <v/>
      </c>
      <c r="I7407">
        <f>IF(F7407="","",INDEX(Deals!$D$2:$D$843,F7407))</f>
        <v/>
      </c>
      <c r="J7407">
        <f>IF(F7407="","",INT(H7407)-B7407)</f>
        <v/>
      </c>
      <c r="K7407">
        <f>IF(B7407&gt;=Settings!$C$5,1,0)</f>
        <v/>
      </c>
    </row>
    <row r="7408">
      <c r="A7408" t="inlineStr">
        <is>
          <t>46329d48b0e5d65d8a9dfc8e5ee1e5ac</t>
        </is>
      </c>
      <c r="B7408" s="29" t="n">
        <v>43171</v>
      </c>
      <c r="C7408" t="inlineStr">
        <is>
          <t>2018-03</t>
        </is>
      </c>
      <c r="D7408" t="inlineStr">
        <is>
          <t>36120633c8737035fbabf079082f4ec1</t>
        </is>
      </c>
      <c r="E7408" t="inlineStr">
        <is>
          <t>direct_traffic</t>
        </is>
      </c>
      <c r="F7408">
        <f>IFERROR(MATCH(A7408,Deals!$A$2:$A$843,0),"")</f>
        <v/>
      </c>
      <c r="G7408">
        <f>IF(F7408="",0,1)</f>
        <v/>
      </c>
      <c r="H7408" s="29">
        <f>IF(F7408="","",INDEX(Deals!$E$2:$E$843,F7408))</f>
        <v/>
      </c>
      <c r="I7408">
        <f>IF(F7408="","",INDEX(Deals!$D$2:$D$843,F7408))</f>
        <v/>
      </c>
      <c r="J7408">
        <f>IF(F7408="","",INT(H7408)-B7408)</f>
        <v/>
      </c>
      <c r="K7408">
        <f>IF(B7408&gt;=Settings!$C$5,1,0)</f>
        <v/>
      </c>
    </row>
    <row r="7409">
      <c r="A7409" t="inlineStr">
        <is>
          <t>7720c6892d447539b71d8bd9e4d1ef60</t>
        </is>
      </c>
      <c r="B7409" s="29" t="n">
        <v>43171</v>
      </c>
      <c r="C7409" t="inlineStr">
        <is>
          <t>2018-03</t>
        </is>
      </c>
      <c r="D7409" t="inlineStr">
        <is>
          <t>ce1a65abd0973638f1c887a6efcfa82d</t>
        </is>
      </c>
      <c r="E7409" t="inlineStr">
        <is>
          <t>organic_search</t>
        </is>
      </c>
      <c r="F7409">
        <f>IFERROR(MATCH(A7409,Deals!$A$2:$A$843,0),"")</f>
        <v/>
      </c>
      <c r="G7409">
        <f>IF(F7409="",0,1)</f>
        <v/>
      </c>
      <c r="H7409" s="29">
        <f>IF(F7409="","",INDEX(Deals!$E$2:$E$843,F7409))</f>
        <v/>
      </c>
      <c r="I7409">
        <f>IF(F7409="","",INDEX(Deals!$D$2:$D$843,F7409))</f>
        <v/>
      </c>
      <c r="J7409">
        <f>IF(F7409="","",INT(H7409)-B7409)</f>
        <v/>
      </c>
      <c r="K7409">
        <f>IF(B7409&gt;=Settings!$C$5,1,0)</f>
        <v/>
      </c>
    </row>
    <row r="7410">
      <c r="A7410" t="inlineStr">
        <is>
          <t>ce08d2c316a39561ddfeb8a8ba9cbd1f</t>
        </is>
      </c>
      <c r="B7410" s="29" t="n">
        <v>42977</v>
      </c>
      <c r="C7410" t="inlineStr">
        <is>
          <t>2017-08</t>
        </is>
      </c>
      <c r="D7410" t="inlineStr">
        <is>
          <t>22c29808c4f815213303f8933030604c</t>
        </is>
      </c>
      <c r="E7410" t="inlineStr">
        <is>
          <t>organic_search</t>
        </is>
      </c>
      <c r="F7410">
        <f>IFERROR(MATCH(A7410,Deals!$A$2:$A$843,0),"")</f>
        <v/>
      </c>
      <c r="G7410">
        <f>IF(F7410="",0,1)</f>
        <v/>
      </c>
      <c r="H7410" s="29">
        <f>IF(F7410="","",INDEX(Deals!$E$2:$E$843,F7410))</f>
        <v/>
      </c>
      <c r="I7410">
        <f>IF(F7410="","",INDEX(Deals!$D$2:$D$843,F7410))</f>
        <v/>
      </c>
      <c r="J7410">
        <f>IF(F7410="","",INT(H7410)-B7410)</f>
        <v/>
      </c>
      <c r="K7410">
        <f>IF(B7410&gt;=Settings!$C$5,1,0)</f>
        <v/>
      </c>
    </row>
    <row r="7411">
      <c r="A7411" t="inlineStr">
        <is>
          <t>21dd2bb7a4d988443cb303e42afb8316</t>
        </is>
      </c>
      <c r="B7411" s="29" t="n">
        <v>43147</v>
      </c>
      <c r="C7411" t="inlineStr">
        <is>
          <t>2018-02</t>
        </is>
      </c>
      <c r="D7411" t="inlineStr">
        <is>
          <t>fbc24da54d531c6204ae2d17b1090bb1</t>
        </is>
      </c>
      <c r="E7411" t="inlineStr">
        <is>
          <t>paid_search</t>
        </is>
      </c>
      <c r="F7411">
        <f>IFERROR(MATCH(A7411,Deals!$A$2:$A$843,0),"")</f>
        <v/>
      </c>
      <c r="G7411">
        <f>IF(F7411="",0,1)</f>
        <v/>
      </c>
      <c r="H7411" s="29">
        <f>IF(F7411="","",INDEX(Deals!$E$2:$E$843,F7411))</f>
        <v/>
      </c>
      <c r="I7411">
        <f>IF(F7411="","",INDEX(Deals!$D$2:$D$843,F7411))</f>
        <v/>
      </c>
      <c r="J7411">
        <f>IF(F7411="","",INT(H7411)-B7411)</f>
        <v/>
      </c>
      <c r="K7411">
        <f>IF(B7411&gt;=Settings!$C$5,1,0)</f>
        <v/>
      </c>
    </row>
    <row r="7412">
      <c r="A7412" t="inlineStr">
        <is>
          <t>a8c7f7c2693c6af48efc1b730dfa2e07</t>
        </is>
      </c>
      <c r="B7412" s="29" t="n">
        <v>43176</v>
      </c>
      <c r="C7412" t="inlineStr">
        <is>
          <t>2018-03</t>
        </is>
      </c>
      <c r="D7412" t="inlineStr">
        <is>
          <t>65d9f9d71e562365e8b44037c2888d98</t>
        </is>
      </c>
      <c r="E7412" t="inlineStr">
        <is>
          <t>paid_search</t>
        </is>
      </c>
      <c r="F7412">
        <f>IFERROR(MATCH(A7412,Deals!$A$2:$A$843,0),"")</f>
        <v/>
      </c>
      <c r="G7412">
        <f>IF(F7412="",0,1)</f>
        <v/>
      </c>
      <c r="H7412" s="29">
        <f>IF(F7412="","",INDEX(Deals!$E$2:$E$843,F7412))</f>
        <v/>
      </c>
      <c r="I7412">
        <f>IF(F7412="","",INDEX(Deals!$D$2:$D$843,F7412))</f>
        <v/>
      </c>
      <c r="J7412">
        <f>IF(F7412="","",INT(H7412)-B7412)</f>
        <v/>
      </c>
      <c r="K7412">
        <f>IF(B7412&gt;=Settings!$C$5,1,0)</f>
        <v/>
      </c>
    </row>
    <row r="7413">
      <c r="A7413" t="inlineStr">
        <is>
          <t>8ec5b0349f854db2ef01107469dc85e6</t>
        </is>
      </c>
      <c r="B7413" s="29" t="n">
        <v>43112</v>
      </c>
      <c r="C7413" t="inlineStr">
        <is>
          <t>2018-01</t>
        </is>
      </c>
      <c r="D7413" t="inlineStr">
        <is>
          <t>b76ef37428e6799c421989521c0e5077</t>
        </is>
      </c>
      <c r="E7413" t="inlineStr">
        <is>
          <t>unknown</t>
        </is>
      </c>
      <c r="F7413">
        <f>IFERROR(MATCH(A7413,Deals!$A$2:$A$843,0),"")</f>
        <v/>
      </c>
      <c r="G7413">
        <f>IF(F7413="",0,1)</f>
        <v/>
      </c>
      <c r="H7413" s="29">
        <f>IF(F7413="","",INDEX(Deals!$E$2:$E$843,F7413))</f>
        <v/>
      </c>
      <c r="I7413">
        <f>IF(F7413="","",INDEX(Deals!$D$2:$D$843,F7413))</f>
        <v/>
      </c>
      <c r="J7413">
        <f>IF(F7413="","",INT(H7413)-B7413)</f>
        <v/>
      </c>
      <c r="K7413">
        <f>IF(B7413&gt;=Settings!$C$5,1,0)</f>
        <v/>
      </c>
    </row>
    <row r="7414">
      <c r="A7414" t="inlineStr">
        <is>
          <t>68475b393b2bd6c166b7a42284b21db9</t>
        </is>
      </c>
      <c r="B7414" s="29" t="n">
        <v>43219</v>
      </c>
      <c r="C7414" t="inlineStr">
        <is>
          <t>2018-04</t>
        </is>
      </c>
      <c r="D7414" t="inlineStr">
        <is>
          <t>e492ee5eaf1697716985cc6f33f9cd9b</t>
        </is>
      </c>
      <c r="E7414" t="inlineStr">
        <is>
          <t>social</t>
        </is>
      </c>
      <c r="F7414">
        <f>IFERROR(MATCH(A7414,Deals!$A$2:$A$843,0),"")</f>
        <v/>
      </c>
      <c r="G7414">
        <f>IF(F7414="",0,1)</f>
        <v/>
      </c>
      <c r="H7414" s="29">
        <f>IF(F7414="","",INDEX(Deals!$E$2:$E$843,F7414))</f>
        <v/>
      </c>
      <c r="I7414">
        <f>IF(F7414="","",INDEX(Deals!$D$2:$D$843,F7414))</f>
        <v/>
      </c>
      <c r="J7414">
        <f>IF(F7414="","",INT(H7414)-B7414)</f>
        <v/>
      </c>
      <c r="K7414">
        <f>IF(B7414&gt;=Settings!$C$5,1,0)</f>
        <v/>
      </c>
    </row>
    <row r="7415">
      <c r="A7415" t="inlineStr">
        <is>
          <t>333a55a4dd50a0fafb33f7e2e5b0df03</t>
        </is>
      </c>
      <c r="B7415" s="29" t="n">
        <v>43185</v>
      </c>
      <c r="C7415" t="inlineStr">
        <is>
          <t>2018-03</t>
        </is>
      </c>
      <c r="D7415" t="inlineStr">
        <is>
          <t>c494978688ccf66ad9fad3d6a3338c22</t>
        </is>
      </c>
      <c r="E7415" t="inlineStr">
        <is>
          <t>direct_traffic</t>
        </is>
      </c>
      <c r="F7415">
        <f>IFERROR(MATCH(A7415,Deals!$A$2:$A$843,0),"")</f>
        <v/>
      </c>
      <c r="G7415">
        <f>IF(F7415="",0,1)</f>
        <v/>
      </c>
      <c r="H7415" s="29">
        <f>IF(F7415="","",INDEX(Deals!$E$2:$E$843,F7415))</f>
        <v/>
      </c>
      <c r="I7415">
        <f>IF(F7415="","",INDEX(Deals!$D$2:$D$843,F7415))</f>
        <v/>
      </c>
      <c r="J7415">
        <f>IF(F7415="","",INT(H7415)-B7415)</f>
        <v/>
      </c>
      <c r="K7415">
        <f>IF(B7415&gt;=Settings!$C$5,1,0)</f>
        <v/>
      </c>
    </row>
    <row r="7416">
      <c r="A7416" t="inlineStr">
        <is>
          <t>302c99f60389c89a214dce068acbf74f</t>
        </is>
      </c>
      <c r="B7416" s="29" t="n">
        <v>43210</v>
      </c>
      <c r="C7416" t="inlineStr">
        <is>
          <t>2018-04</t>
        </is>
      </c>
      <c r="D7416" t="inlineStr">
        <is>
          <t>58326e62183c14b0c03085c33b9fdc44</t>
        </is>
      </c>
      <c r="E7416" t="inlineStr">
        <is>
          <t>social</t>
        </is>
      </c>
      <c r="F7416">
        <f>IFERROR(MATCH(A7416,Deals!$A$2:$A$843,0),"")</f>
        <v/>
      </c>
      <c r="G7416">
        <f>IF(F7416="",0,1)</f>
        <v/>
      </c>
      <c r="H7416" s="29">
        <f>IF(F7416="","",INDEX(Deals!$E$2:$E$843,F7416))</f>
        <v/>
      </c>
      <c r="I7416">
        <f>IF(F7416="","",INDEX(Deals!$D$2:$D$843,F7416))</f>
        <v/>
      </c>
      <c r="J7416">
        <f>IF(F7416="","",INT(H7416)-B7416)</f>
        <v/>
      </c>
      <c r="K7416">
        <f>IF(B7416&gt;=Settings!$C$5,1,0)</f>
        <v/>
      </c>
    </row>
    <row r="7417">
      <c r="A7417" t="inlineStr">
        <is>
          <t>50c1a8f6d7e3f4e33515a9d2c1320315</t>
        </is>
      </c>
      <c r="B7417" s="29" t="n">
        <v>43172</v>
      </c>
      <c r="C7417" t="inlineStr">
        <is>
          <t>2018-03</t>
        </is>
      </c>
      <c r="D7417" t="inlineStr">
        <is>
          <t>daa9619c6f8ed06d059265dca0f9257f</t>
        </is>
      </c>
      <c r="E7417" t="inlineStr">
        <is>
          <t>other</t>
        </is>
      </c>
      <c r="F7417">
        <f>IFERROR(MATCH(A7417,Deals!$A$2:$A$843,0),"")</f>
        <v/>
      </c>
      <c r="G7417">
        <f>IF(F7417="",0,1)</f>
        <v/>
      </c>
      <c r="H7417" s="29">
        <f>IF(F7417="","",INDEX(Deals!$E$2:$E$843,F7417))</f>
        <v/>
      </c>
      <c r="I7417">
        <f>IF(F7417="","",INDEX(Deals!$D$2:$D$843,F7417))</f>
        <v/>
      </c>
      <c r="J7417">
        <f>IF(F7417="","",INT(H7417)-B7417)</f>
        <v/>
      </c>
      <c r="K7417">
        <f>IF(B7417&gt;=Settings!$C$5,1,0)</f>
        <v/>
      </c>
    </row>
    <row r="7418">
      <c r="A7418" t="inlineStr">
        <is>
          <t>0c7f4235270e061c4a70e6135a50f019</t>
        </is>
      </c>
      <c r="B7418" s="29" t="n">
        <v>43072</v>
      </c>
      <c r="C7418" t="inlineStr">
        <is>
          <t>2017-12</t>
        </is>
      </c>
      <c r="D7418" t="inlineStr">
        <is>
          <t>88740e65d5d6b056e0cda098e1ea6313</t>
        </is>
      </c>
      <c r="E7418" t="inlineStr">
        <is>
          <t>social</t>
        </is>
      </c>
      <c r="F7418">
        <f>IFERROR(MATCH(A7418,Deals!$A$2:$A$843,0),"")</f>
        <v/>
      </c>
      <c r="G7418">
        <f>IF(F7418="",0,1)</f>
        <v/>
      </c>
      <c r="H7418" s="29">
        <f>IF(F7418="","",INDEX(Deals!$E$2:$E$843,F7418))</f>
        <v/>
      </c>
      <c r="I7418">
        <f>IF(F7418="","",INDEX(Deals!$D$2:$D$843,F7418))</f>
        <v/>
      </c>
      <c r="J7418">
        <f>IF(F7418="","",INT(H7418)-B7418)</f>
        <v/>
      </c>
      <c r="K7418">
        <f>IF(B7418&gt;=Settings!$C$5,1,0)</f>
        <v/>
      </c>
    </row>
    <row r="7419">
      <c r="A7419" t="inlineStr">
        <is>
          <t>976782d3370c14312a65f6c9f6b2a7cb</t>
        </is>
      </c>
      <c r="B7419" s="29" t="n">
        <v>43018</v>
      </c>
      <c r="C7419" t="inlineStr">
        <is>
          <t>2017-10</t>
        </is>
      </c>
      <c r="D7419" t="inlineStr">
        <is>
          <t>22c29808c4f815213303f8933030604c</t>
        </is>
      </c>
      <c r="E7419" t="inlineStr">
        <is>
          <t>unknown</t>
        </is>
      </c>
      <c r="F7419">
        <f>IFERROR(MATCH(A7419,Deals!$A$2:$A$843,0),"")</f>
        <v/>
      </c>
      <c r="G7419">
        <f>IF(F7419="",0,1)</f>
        <v/>
      </c>
      <c r="H7419" s="29">
        <f>IF(F7419="","",INDEX(Deals!$E$2:$E$843,F7419))</f>
        <v/>
      </c>
      <c r="I7419">
        <f>IF(F7419="","",INDEX(Deals!$D$2:$D$843,F7419))</f>
        <v/>
      </c>
      <c r="J7419">
        <f>IF(F7419="","",INT(H7419)-B7419)</f>
        <v/>
      </c>
      <c r="K7419">
        <f>IF(B7419&gt;=Settings!$C$5,1,0)</f>
        <v/>
      </c>
    </row>
    <row r="7420">
      <c r="A7420" t="inlineStr">
        <is>
          <t>8d0847366a208968be344b7c3e595291</t>
        </is>
      </c>
      <c r="B7420" s="29" t="n">
        <v>43123</v>
      </c>
      <c r="C7420" t="inlineStr">
        <is>
          <t>2018-01</t>
        </is>
      </c>
      <c r="D7420" t="inlineStr">
        <is>
          <t>73f31a40697cc90a86c1273563ac230e</t>
        </is>
      </c>
      <c r="E7420" t="inlineStr">
        <is>
          <t>organic_search</t>
        </is>
      </c>
      <c r="F7420">
        <f>IFERROR(MATCH(A7420,Deals!$A$2:$A$843,0),"")</f>
        <v/>
      </c>
      <c r="G7420">
        <f>IF(F7420="",0,1)</f>
        <v/>
      </c>
      <c r="H7420" s="29">
        <f>IF(F7420="","",INDEX(Deals!$E$2:$E$843,F7420))</f>
        <v/>
      </c>
      <c r="I7420">
        <f>IF(F7420="","",INDEX(Deals!$D$2:$D$843,F7420))</f>
        <v/>
      </c>
      <c r="J7420">
        <f>IF(F7420="","",INT(H7420)-B7420)</f>
        <v/>
      </c>
      <c r="K7420">
        <f>IF(B7420&gt;=Settings!$C$5,1,0)</f>
        <v/>
      </c>
    </row>
    <row r="7421">
      <c r="A7421" t="inlineStr">
        <is>
          <t>e40084a1c911addf8a36b6058c123cdc</t>
        </is>
      </c>
      <c r="B7421" s="29" t="n">
        <v>43223</v>
      </c>
      <c r="C7421" t="inlineStr">
        <is>
          <t>2018-05</t>
        </is>
      </c>
      <c r="D7421" t="inlineStr">
        <is>
          <t>b76ef37428e6799c421989521c0e5077</t>
        </is>
      </c>
      <c r="E7421" t="inlineStr">
        <is>
          <t>unknown</t>
        </is>
      </c>
      <c r="F7421">
        <f>IFERROR(MATCH(A7421,Deals!$A$2:$A$843,0),"")</f>
        <v/>
      </c>
      <c r="G7421">
        <f>IF(F7421="",0,1)</f>
        <v/>
      </c>
      <c r="H7421" s="29">
        <f>IF(F7421="","",INDEX(Deals!$E$2:$E$843,F7421))</f>
        <v/>
      </c>
      <c r="I7421">
        <f>IF(F7421="","",INDEX(Deals!$D$2:$D$843,F7421))</f>
        <v/>
      </c>
      <c r="J7421">
        <f>IF(F7421="","",INT(H7421)-B7421)</f>
        <v/>
      </c>
      <c r="K7421">
        <f>IF(B7421&gt;=Settings!$C$5,1,0)</f>
        <v/>
      </c>
    </row>
    <row r="7422">
      <c r="A7422" t="inlineStr">
        <is>
          <t>b7f530cad2cdf2efe63451ec4ca2edf5</t>
        </is>
      </c>
      <c r="B7422" s="29" t="n">
        <v>43166</v>
      </c>
      <c r="C7422" t="inlineStr">
        <is>
          <t>2018-03</t>
        </is>
      </c>
      <c r="D7422" t="inlineStr">
        <is>
          <t>da14b7e2eb0d1eecf65abbd05a31c87d</t>
        </is>
      </c>
      <c r="E7422" t="inlineStr">
        <is>
          <t>email</t>
        </is>
      </c>
      <c r="F7422">
        <f>IFERROR(MATCH(A7422,Deals!$A$2:$A$843,0),"")</f>
        <v/>
      </c>
      <c r="G7422">
        <f>IF(F7422="",0,1)</f>
        <v/>
      </c>
      <c r="H7422" s="29">
        <f>IF(F7422="","",INDEX(Deals!$E$2:$E$843,F7422))</f>
        <v/>
      </c>
      <c r="I7422">
        <f>IF(F7422="","",INDEX(Deals!$D$2:$D$843,F7422))</f>
        <v/>
      </c>
      <c r="J7422">
        <f>IF(F7422="","",INT(H7422)-B7422)</f>
        <v/>
      </c>
      <c r="K7422">
        <f>IF(B7422&gt;=Settings!$C$5,1,0)</f>
        <v/>
      </c>
    </row>
    <row r="7423">
      <c r="A7423" t="inlineStr">
        <is>
          <t>6ff3d83296f53984bc1e55ce4d1cc95b</t>
        </is>
      </c>
      <c r="B7423" s="29" t="n">
        <v>43199</v>
      </c>
      <c r="C7423" t="inlineStr">
        <is>
          <t>2018-04</t>
        </is>
      </c>
      <c r="D7423" t="inlineStr">
        <is>
          <t>2f08471dfb83baef522f952438a36f6e</t>
        </is>
      </c>
      <c r="E7423" t="inlineStr">
        <is>
          <t>direct_traffic</t>
        </is>
      </c>
      <c r="F7423">
        <f>IFERROR(MATCH(A7423,Deals!$A$2:$A$843,0),"")</f>
        <v/>
      </c>
      <c r="G7423">
        <f>IF(F7423="",0,1)</f>
        <v/>
      </c>
      <c r="H7423" s="29">
        <f>IF(F7423="","",INDEX(Deals!$E$2:$E$843,F7423))</f>
        <v/>
      </c>
      <c r="I7423">
        <f>IF(F7423="","",INDEX(Deals!$D$2:$D$843,F7423))</f>
        <v/>
      </c>
      <c r="J7423">
        <f>IF(F7423="","",INT(H7423)-B7423)</f>
        <v/>
      </c>
      <c r="K7423">
        <f>IF(B7423&gt;=Settings!$C$5,1,0)</f>
        <v/>
      </c>
    </row>
    <row r="7424">
      <c r="A7424" t="inlineStr">
        <is>
          <t>bf29aa11aaa972e7713972c5497a5d40</t>
        </is>
      </c>
      <c r="B7424" s="29" t="n">
        <v>43188</v>
      </c>
      <c r="C7424" t="inlineStr">
        <is>
          <t>2018-03</t>
        </is>
      </c>
      <c r="D7424" t="inlineStr">
        <is>
          <t>22c29808c4f815213303f8933030604c</t>
        </is>
      </c>
      <c r="E7424" t="inlineStr">
        <is>
          <t>organic_search</t>
        </is>
      </c>
      <c r="F7424">
        <f>IFERROR(MATCH(A7424,Deals!$A$2:$A$843,0),"")</f>
        <v/>
      </c>
      <c r="G7424">
        <f>IF(F7424="",0,1)</f>
        <v/>
      </c>
      <c r="H7424" s="29">
        <f>IF(F7424="","",INDEX(Deals!$E$2:$E$843,F7424))</f>
        <v/>
      </c>
      <c r="I7424">
        <f>IF(F7424="","",INDEX(Deals!$D$2:$D$843,F7424))</f>
        <v/>
      </c>
      <c r="J7424">
        <f>IF(F7424="","",INT(H7424)-B7424)</f>
        <v/>
      </c>
      <c r="K7424">
        <f>IF(B7424&gt;=Settings!$C$5,1,0)</f>
        <v/>
      </c>
    </row>
    <row r="7425">
      <c r="A7425" t="inlineStr">
        <is>
          <t>0d7bad81c85a71b3025966dfb22212ab</t>
        </is>
      </c>
      <c r="B7425" s="29" t="n">
        <v>43110</v>
      </c>
      <c r="C7425" t="inlineStr">
        <is>
          <t>2018-01</t>
        </is>
      </c>
      <c r="D7425" t="inlineStr">
        <is>
          <t>88740e65d5d6b056e0cda098e1ea6313</t>
        </is>
      </c>
      <c r="E7425" t="inlineStr">
        <is>
          <t>social</t>
        </is>
      </c>
      <c r="F7425">
        <f>IFERROR(MATCH(A7425,Deals!$A$2:$A$843,0),"")</f>
        <v/>
      </c>
      <c r="G7425">
        <f>IF(F7425="",0,1)</f>
        <v/>
      </c>
      <c r="H7425" s="29">
        <f>IF(F7425="","",INDEX(Deals!$E$2:$E$843,F7425))</f>
        <v/>
      </c>
      <c r="I7425">
        <f>IF(F7425="","",INDEX(Deals!$D$2:$D$843,F7425))</f>
        <v/>
      </c>
      <c r="J7425">
        <f>IF(F7425="","",INT(H7425)-B7425)</f>
        <v/>
      </c>
      <c r="K7425">
        <f>IF(B7425&gt;=Settings!$C$5,1,0)</f>
        <v/>
      </c>
    </row>
    <row r="7426">
      <c r="A7426" t="inlineStr">
        <is>
          <t>94366a9e2643350063648f31c9e559d9</t>
        </is>
      </c>
      <c r="B7426" s="29" t="n">
        <v>43130</v>
      </c>
      <c r="C7426" t="inlineStr">
        <is>
          <t>2018-01</t>
        </is>
      </c>
      <c r="D7426" t="inlineStr">
        <is>
          <t>acd502dc52a068d7c4014af6d5dbcd11</t>
        </is>
      </c>
      <c r="E7426" t="inlineStr">
        <is>
          <t>social</t>
        </is>
      </c>
      <c r="F7426">
        <f>IFERROR(MATCH(A7426,Deals!$A$2:$A$843,0),"")</f>
        <v/>
      </c>
      <c r="G7426">
        <f>IF(F7426="",0,1)</f>
        <v/>
      </c>
      <c r="H7426" s="29">
        <f>IF(F7426="","",INDEX(Deals!$E$2:$E$843,F7426))</f>
        <v/>
      </c>
      <c r="I7426">
        <f>IF(F7426="","",INDEX(Deals!$D$2:$D$843,F7426))</f>
        <v/>
      </c>
      <c r="J7426">
        <f>IF(F7426="","",INT(H7426)-B7426)</f>
        <v/>
      </c>
      <c r="K7426">
        <f>IF(B7426&gt;=Settings!$C$5,1,0)</f>
        <v/>
      </c>
    </row>
    <row r="7427">
      <c r="A7427" t="inlineStr">
        <is>
          <t>eb0f7ce9098015d79a0dfc400f761b5a</t>
        </is>
      </c>
      <c r="B7427" s="29" t="n">
        <v>43136</v>
      </c>
      <c r="C7427" t="inlineStr">
        <is>
          <t>2018-02</t>
        </is>
      </c>
      <c r="D7427" t="inlineStr">
        <is>
          <t>f017be4dbf86243af5c1ebed0cff36a2</t>
        </is>
      </c>
      <c r="E7427" t="inlineStr">
        <is>
          <t>organic_search</t>
        </is>
      </c>
      <c r="F7427">
        <f>IFERROR(MATCH(A7427,Deals!$A$2:$A$843,0),"")</f>
        <v/>
      </c>
      <c r="G7427">
        <f>IF(F7427="",0,1)</f>
        <v/>
      </c>
      <c r="H7427" s="29">
        <f>IF(F7427="","",INDEX(Deals!$E$2:$E$843,F7427))</f>
        <v/>
      </c>
      <c r="I7427">
        <f>IF(F7427="","",INDEX(Deals!$D$2:$D$843,F7427))</f>
        <v/>
      </c>
      <c r="J7427">
        <f>IF(F7427="","",INT(H7427)-B7427)</f>
        <v/>
      </c>
      <c r="K7427">
        <f>IF(B7427&gt;=Settings!$C$5,1,0)</f>
        <v/>
      </c>
    </row>
    <row r="7428">
      <c r="A7428" t="inlineStr">
        <is>
          <t>e06549ff281b9a38e658c1e22750b816</t>
        </is>
      </c>
      <c r="B7428" s="29" t="n">
        <v>43200</v>
      </c>
      <c r="C7428" t="inlineStr">
        <is>
          <t>2018-04</t>
        </is>
      </c>
      <c r="D7428" t="inlineStr">
        <is>
          <t>0218f6be0b76aca72ab4d00ee9e8cf10</t>
        </is>
      </c>
      <c r="E7428" t="inlineStr">
        <is>
          <t>organic_search</t>
        </is>
      </c>
      <c r="F7428">
        <f>IFERROR(MATCH(A7428,Deals!$A$2:$A$843,0),"")</f>
        <v/>
      </c>
      <c r="G7428">
        <f>IF(F7428="",0,1)</f>
        <v/>
      </c>
      <c r="H7428" s="29">
        <f>IF(F7428="","",INDEX(Deals!$E$2:$E$843,F7428))</f>
        <v/>
      </c>
      <c r="I7428">
        <f>IF(F7428="","",INDEX(Deals!$D$2:$D$843,F7428))</f>
        <v/>
      </c>
      <c r="J7428">
        <f>IF(F7428="","",INT(H7428)-B7428)</f>
        <v/>
      </c>
      <c r="K7428">
        <f>IF(B7428&gt;=Settings!$C$5,1,0)</f>
        <v/>
      </c>
    </row>
    <row r="7429">
      <c r="A7429" t="inlineStr">
        <is>
          <t>c5136a36b0bdea61cf049154a776ecc2</t>
        </is>
      </c>
      <c r="B7429" s="29" t="n">
        <v>43054</v>
      </c>
      <c r="C7429" t="inlineStr">
        <is>
          <t>2017-11</t>
        </is>
      </c>
      <c r="D7429" t="inlineStr">
        <is>
          <t>f98c2bd96ac4a5d9476734e790c91384</t>
        </is>
      </c>
      <c r="E7429" t="inlineStr">
        <is>
          <t>social</t>
        </is>
      </c>
      <c r="F7429">
        <f>IFERROR(MATCH(A7429,Deals!$A$2:$A$843,0),"")</f>
        <v/>
      </c>
      <c r="G7429">
        <f>IF(F7429="",0,1)</f>
        <v/>
      </c>
      <c r="H7429" s="29">
        <f>IF(F7429="","",INDEX(Deals!$E$2:$E$843,F7429))</f>
        <v/>
      </c>
      <c r="I7429">
        <f>IF(F7429="","",INDEX(Deals!$D$2:$D$843,F7429))</f>
        <v/>
      </c>
      <c r="J7429">
        <f>IF(F7429="","",INT(H7429)-B7429)</f>
        <v/>
      </c>
      <c r="K7429">
        <f>IF(B7429&gt;=Settings!$C$5,1,0)</f>
        <v/>
      </c>
    </row>
    <row r="7430">
      <c r="A7430" t="inlineStr">
        <is>
          <t>aefc383bedd083223ba6ec37b14875cb</t>
        </is>
      </c>
      <c r="B7430" s="29" t="n">
        <v>43210</v>
      </c>
      <c r="C7430" t="inlineStr">
        <is>
          <t>2018-04</t>
        </is>
      </c>
      <c r="D7430" t="inlineStr">
        <is>
          <t>22c29808c4f815213303f8933030604c</t>
        </is>
      </c>
      <c r="E7430" t="inlineStr">
        <is>
          <t>social</t>
        </is>
      </c>
      <c r="F7430">
        <f>IFERROR(MATCH(A7430,Deals!$A$2:$A$843,0),"")</f>
        <v/>
      </c>
      <c r="G7430">
        <f>IF(F7430="",0,1)</f>
        <v/>
      </c>
      <c r="H7430" s="29">
        <f>IF(F7430="","",INDEX(Deals!$E$2:$E$843,F7430))</f>
        <v/>
      </c>
      <c r="I7430">
        <f>IF(F7430="","",INDEX(Deals!$D$2:$D$843,F7430))</f>
        <v/>
      </c>
      <c r="J7430">
        <f>IF(F7430="","",INT(H7430)-B7430)</f>
        <v/>
      </c>
      <c r="K7430">
        <f>IF(B7430&gt;=Settings!$C$5,1,0)</f>
        <v/>
      </c>
    </row>
    <row r="7431">
      <c r="A7431" t="inlineStr">
        <is>
          <t>beeb6c4c36641f6c141372fb4410d558</t>
        </is>
      </c>
      <c r="B7431" s="29" t="n">
        <v>43120</v>
      </c>
      <c r="C7431" t="inlineStr">
        <is>
          <t>2018-01</t>
        </is>
      </c>
      <c r="D7431" t="inlineStr">
        <is>
          <t>4aab772aeb9833c170d8ea5413e02eac</t>
        </is>
      </c>
      <c r="E7431" t="inlineStr">
        <is>
          <t>paid_search</t>
        </is>
      </c>
      <c r="F7431">
        <f>IFERROR(MATCH(A7431,Deals!$A$2:$A$843,0),"")</f>
        <v/>
      </c>
      <c r="G7431">
        <f>IF(F7431="",0,1)</f>
        <v/>
      </c>
      <c r="H7431" s="29">
        <f>IF(F7431="","",INDEX(Deals!$E$2:$E$843,F7431))</f>
        <v/>
      </c>
      <c r="I7431">
        <f>IF(F7431="","",INDEX(Deals!$D$2:$D$843,F7431))</f>
        <v/>
      </c>
      <c r="J7431">
        <f>IF(F7431="","",INT(H7431)-B7431)</f>
        <v/>
      </c>
      <c r="K7431">
        <f>IF(B7431&gt;=Settings!$C$5,1,0)</f>
        <v/>
      </c>
    </row>
    <row r="7432">
      <c r="A7432" t="inlineStr">
        <is>
          <t>0c314b1bbb0e9354a72753a479e196e3</t>
        </is>
      </c>
      <c r="B7432" s="29" t="n">
        <v>43097</v>
      </c>
      <c r="C7432" t="inlineStr">
        <is>
          <t>2017-12</t>
        </is>
      </c>
      <c r="D7432" t="inlineStr">
        <is>
          <t>40dec9f3d5259a3d2dbcdab2114fae47</t>
        </is>
      </c>
      <c r="E7432" t="inlineStr">
        <is>
          <t>organic_search</t>
        </is>
      </c>
      <c r="F7432">
        <f>IFERROR(MATCH(A7432,Deals!$A$2:$A$843,0),"")</f>
        <v/>
      </c>
      <c r="G7432">
        <f>IF(F7432="",0,1)</f>
        <v/>
      </c>
      <c r="H7432" s="29">
        <f>IF(F7432="","",INDEX(Deals!$E$2:$E$843,F7432))</f>
        <v/>
      </c>
      <c r="I7432">
        <f>IF(F7432="","",INDEX(Deals!$D$2:$D$843,F7432))</f>
        <v/>
      </c>
      <c r="J7432">
        <f>IF(F7432="","",INT(H7432)-B7432)</f>
        <v/>
      </c>
      <c r="K7432">
        <f>IF(B7432&gt;=Settings!$C$5,1,0)</f>
        <v/>
      </c>
    </row>
    <row r="7433">
      <c r="A7433" t="inlineStr">
        <is>
          <t>4a9ad9efd062c8172bbaa1b6288a4ac4</t>
        </is>
      </c>
      <c r="B7433" s="29" t="n">
        <v>43185</v>
      </c>
      <c r="C7433" t="inlineStr">
        <is>
          <t>2018-03</t>
        </is>
      </c>
      <c r="D7433" t="inlineStr">
        <is>
          <t>a7982125ff7aa3b2054c6e44f9d28522</t>
        </is>
      </c>
      <c r="E7433" t="inlineStr">
        <is>
          <t>display</t>
        </is>
      </c>
      <c r="F7433">
        <f>IFERROR(MATCH(A7433,Deals!$A$2:$A$843,0),"")</f>
        <v/>
      </c>
      <c r="G7433">
        <f>IF(F7433="",0,1)</f>
        <v/>
      </c>
      <c r="H7433" s="29">
        <f>IF(F7433="","",INDEX(Deals!$E$2:$E$843,F7433))</f>
        <v/>
      </c>
      <c r="I7433">
        <f>IF(F7433="","",INDEX(Deals!$D$2:$D$843,F7433))</f>
        <v/>
      </c>
      <c r="J7433">
        <f>IF(F7433="","",INT(H7433)-B7433)</f>
        <v/>
      </c>
      <c r="K7433">
        <f>IF(B7433&gt;=Settings!$C$5,1,0)</f>
        <v/>
      </c>
    </row>
    <row r="7434">
      <c r="A7434" t="inlineStr">
        <is>
          <t>395b8383bafb85db4021ad3eca75ff8d</t>
        </is>
      </c>
      <c r="B7434" s="29" t="n">
        <v>43219</v>
      </c>
      <c r="C7434" t="inlineStr">
        <is>
          <t>2018-04</t>
        </is>
      </c>
      <c r="D7434" t="inlineStr">
        <is>
          <t>e492ee5eaf1697716985cc6f33f9cd9b</t>
        </is>
      </c>
      <c r="E7434" t="inlineStr">
        <is>
          <t>organic_search</t>
        </is>
      </c>
      <c r="F7434">
        <f>IFERROR(MATCH(A7434,Deals!$A$2:$A$843,0),"")</f>
        <v/>
      </c>
      <c r="G7434">
        <f>IF(F7434="",0,1)</f>
        <v/>
      </c>
      <c r="H7434" s="29">
        <f>IF(F7434="","",INDEX(Deals!$E$2:$E$843,F7434))</f>
        <v/>
      </c>
      <c r="I7434">
        <f>IF(F7434="","",INDEX(Deals!$D$2:$D$843,F7434))</f>
        <v/>
      </c>
      <c r="J7434">
        <f>IF(F7434="","",INT(H7434)-B7434)</f>
        <v/>
      </c>
      <c r="K7434">
        <f>IF(B7434&gt;=Settings!$C$5,1,0)</f>
        <v/>
      </c>
    </row>
    <row r="7435">
      <c r="A7435" t="inlineStr">
        <is>
          <t>2f201f1f5c6089c6ceb7086dd22d6447</t>
        </is>
      </c>
      <c r="B7435" s="29" t="n">
        <v>42967</v>
      </c>
      <c r="C7435" t="inlineStr">
        <is>
          <t>2017-08</t>
        </is>
      </c>
      <c r="D7435" t="inlineStr">
        <is>
          <t>22c29808c4f815213303f8933030604c</t>
        </is>
      </c>
      <c r="E7435" t="inlineStr">
        <is>
          <t>organic_search</t>
        </is>
      </c>
      <c r="F7435">
        <f>IFERROR(MATCH(A7435,Deals!$A$2:$A$843,0),"")</f>
        <v/>
      </c>
      <c r="G7435">
        <f>IF(F7435="",0,1)</f>
        <v/>
      </c>
      <c r="H7435" s="29">
        <f>IF(F7435="","",INDEX(Deals!$E$2:$E$843,F7435))</f>
        <v/>
      </c>
      <c r="I7435">
        <f>IF(F7435="","",INDEX(Deals!$D$2:$D$843,F7435))</f>
        <v/>
      </c>
      <c r="J7435">
        <f>IF(F7435="","",INT(H7435)-B7435)</f>
        <v/>
      </c>
      <c r="K7435">
        <f>IF(B7435&gt;=Settings!$C$5,1,0)</f>
        <v/>
      </c>
    </row>
    <row r="7436">
      <c r="A7436" t="inlineStr">
        <is>
          <t>db7c26161301a4e7bf1de14fe953edad</t>
        </is>
      </c>
      <c r="B7436" s="29" t="n">
        <v>43141</v>
      </c>
      <c r="C7436" t="inlineStr">
        <is>
          <t>2018-02</t>
        </is>
      </c>
      <c r="D7436" t="inlineStr">
        <is>
          <t>a0fbc0263cb98bdb0d72b9f9f283a172</t>
        </is>
      </c>
      <c r="E7436" t="inlineStr">
        <is>
          <t>paid_search</t>
        </is>
      </c>
      <c r="F7436">
        <f>IFERROR(MATCH(A7436,Deals!$A$2:$A$843,0),"")</f>
        <v/>
      </c>
      <c r="G7436">
        <f>IF(F7436="",0,1)</f>
        <v/>
      </c>
      <c r="H7436" s="29">
        <f>IF(F7436="","",INDEX(Deals!$E$2:$E$843,F7436))</f>
        <v/>
      </c>
      <c r="I7436">
        <f>IF(F7436="","",INDEX(Deals!$D$2:$D$843,F7436))</f>
        <v/>
      </c>
      <c r="J7436">
        <f>IF(F7436="","",INT(H7436)-B7436)</f>
        <v/>
      </c>
      <c r="K7436">
        <f>IF(B7436&gt;=Settings!$C$5,1,0)</f>
        <v/>
      </c>
    </row>
    <row r="7437">
      <c r="A7437" t="inlineStr">
        <is>
          <t>e3fd458d02cc75934dd2c30f896ff698</t>
        </is>
      </c>
      <c r="B7437" s="29" t="n">
        <v>43155</v>
      </c>
      <c r="C7437" t="inlineStr">
        <is>
          <t>2018-02</t>
        </is>
      </c>
      <c r="D7437" t="inlineStr">
        <is>
          <t>40dec9f3d5259a3d2dbcdab2114fae47</t>
        </is>
      </c>
      <c r="E7437" t="inlineStr">
        <is>
          <t>organic_search</t>
        </is>
      </c>
      <c r="F7437">
        <f>IFERROR(MATCH(A7437,Deals!$A$2:$A$843,0),"")</f>
        <v/>
      </c>
      <c r="G7437">
        <f>IF(F7437="",0,1)</f>
        <v/>
      </c>
      <c r="H7437" s="29">
        <f>IF(F7437="","",INDEX(Deals!$E$2:$E$843,F7437))</f>
        <v/>
      </c>
      <c r="I7437">
        <f>IF(F7437="","",INDEX(Deals!$D$2:$D$843,F7437))</f>
        <v/>
      </c>
      <c r="J7437">
        <f>IF(F7437="","",INT(H7437)-B7437)</f>
        <v/>
      </c>
      <c r="K7437">
        <f>IF(B7437&gt;=Settings!$C$5,1,0)</f>
        <v/>
      </c>
    </row>
    <row r="7438">
      <c r="A7438" t="inlineStr">
        <is>
          <t>5ae6f950c21c7ae0d7e53c889283b0f8</t>
        </is>
      </c>
      <c r="B7438" s="29" t="n">
        <v>43189</v>
      </c>
      <c r="C7438" t="inlineStr">
        <is>
          <t>2018-03</t>
        </is>
      </c>
      <c r="D7438" t="inlineStr">
        <is>
          <t>35c9b150ab36fe584c1f24fd458c453a</t>
        </is>
      </c>
      <c r="E7438" t="inlineStr">
        <is>
          <t>paid_search</t>
        </is>
      </c>
      <c r="F7438">
        <f>IFERROR(MATCH(A7438,Deals!$A$2:$A$843,0),"")</f>
        <v/>
      </c>
      <c r="G7438">
        <f>IF(F7438="",0,1)</f>
        <v/>
      </c>
      <c r="H7438" s="29">
        <f>IF(F7438="","",INDEX(Deals!$E$2:$E$843,F7438))</f>
        <v/>
      </c>
      <c r="I7438">
        <f>IF(F7438="","",INDEX(Deals!$D$2:$D$843,F7438))</f>
        <v/>
      </c>
      <c r="J7438">
        <f>IF(F7438="","",INT(H7438)-B7438)</f>
        <v/>
      </c>
      <c r="K7438">
        <f>IF(B7438&gt;=Settings!$C$5,1,0)</f>
        <v/>
      </c>
    </row>
    <row r="7439">
      <c r="A7439" t="inlineStr">
        <is>
          <t>9d2bb15499942a928e46eff5c43eaf02</t>
        </is>
      </c>
      <c r="B7439" s="29" t="n">
        <v>43179</v>
      </c>
      <c r="C7439" t="inlineStr">
        <is>
          <t>2018-03</t>
        </is>
      </c>
      <c r="D7439" t="inlineStr">
        <is>
          <t>22c29808c4f815213303f8933030604c</t>
        </is>
      </c>
      <c r="E7439" t="inlineStr">
        <is>
          <t>referral</t>
        </is>
      </c>
      <c r="F7439">
        <f>IFERROR(MATCH(A7439,Deals!$A$2:$A$843,0),"")</f>
        <v/>
      </c>
      <c r="G7439">
        <f>IF(F7439="",0,1)</f>
        <v/>
      </c>
      <c r="H7439" s="29">
        <f>IF(F7439="","",INDEX(Deals!$E$2:$E$843,F7439))</f>
        <v/>
      </c>
      <c r="I7439">
        <f>IF(F7439="","",INDEX(Deals!$D$2:$D$843,F7439))</f>
        <v/>
      </c>
      <c r="J7439">
        <f>IF(F7439="","",INT(H7439)-B7439)</f>
        <v/>
      </c>
      <c r="K7439">
        <f>IF(B7439&gt;=Settings!$C$5,1,0)</f>
        <v/>
      </c>
    </row>
    <row r="7440">
      <c r="A7440" t="inlineStr">
        <is>
          <t>f9c1a456675346ff7d0f2b8b1e7b1899</t>
        </is>
      </c>
      <c r="B7440" s="29" t="n">
        <v>42945</v>
      </c>
      <c r="C7440" t="inlineStr">
        <is>
          <t>2017-07</t>
        </is>
      </c>
      <c r="D7440" t="inlineStr">
        <is>
          <t>09949e05e2c5fa4ba780fe27213bc575</t>
        </is>
      </c>
      <c r="E7440" t="inlineStr">
        <is>
          <t>display</t>
        </is>
      </c>
      <c r="F7440">
        <f>IFERROR(MATCH(A7440,Deals!$A$2:$A$843,0),"")</f>
        <v/>
      </c>
      <c r="G7440">
        <f>IF(F7440="",0,1)</f>
        <v/>
      </c>
      <c r="H7440" s="29">
        <f>IF(F7440="","",INDEX(Deals!$E$2:$E$843,F7440))</f>
        <v/>
      </c>
      <c r="I7440">
        <f>IF(F7440="","",INDEX(Deals!$D$2:$D$843,F7440))</f>
        <v/>
      </c>
      <c r="J7440">
        <f>IF(F7440="","",INT(H7440)-B7440)</f>
        <v/>
      </c>
      <c r="K7440">
        <f>IF(B7440&gt;=Settings!$C$5,1,0)</f>
        <v/>
      </c>
    </row>
    <row r="7441">
      <c r="A7441" t="inlineStr">
        <is>
          <t>ef5b0acc4a9fef53a0b84fea9ea01c69</t>
        </is>
      </c>
      <c r="B7441" s="29" t="n">
        <v>43156</v>
      </c>
      <c r="C7441" t="inlineStr">
        <is>
          <t>2018-02</t>
        </is>
      </c>
      <c r="D7441" t="inlineStr">
        <is>
          <t>dfc3b656bac13de62e4efca322b3f2c1</t>
        </is>
      </c>
      <c r="E7441" t="inlineStr">
        <is>
          <t>unknown</t>
        </is>
      </c>
      <c r="F7441">
        <f>IFERROR(MATCH(A7441,Deals!$A$2:$A$843,0),"")</f>
        <v/>
      </c>
      <c r="G7441">
        <f>IF(F7441="",0,1)</f>
        <v/>
      </c>
      <c r="H7441" s="29">
        <f>IF(F7441="","",INDEX(Deals!$E$2:$E$843,F7441))</f>
        <v/>
      </c>
      <c r="I7441">
        <f>IF(F7441="","",INDEX(Deals!$D$2:$D$843,F7441))</f>
        <v/>
      </c>
      <c r="J7441">
        <f>IF(F7441="","",INT(H7441)-B7441)</f>
        <v/>
      </c>
      <c r="K7441">
        <f>IF(B7441&gt;=Settings!$C$5,1,0)</f>
        <v/>
      </c>
    </row>
    <row r="7442">
      <c r="A7442" t="inlineStr">
        <is>
          <t>1d940b4d40aaccdfdef83b00a4666610</t>
        </is>
      </c>
      <c r="B7442" s="29" t="n">
        <v>43174</v>
      </c>
      <c r="C7442" t="inlineStr">
        <is>
          <t>2018-03</t>
        </is>
      </c>
      <c r="D7442" t="inlineStr">
        <is>
          <t>330b9d44078a1ae5a221d655dcb77afa</t>
        </is>
      </c>
      <c r="E7442" t="inlineStr">
        <is>
          <t>email</t>
        </is>
      </c>
      <c r="F7442">
        <f>IFERROR(MATCH(A7442,Deals!$A$2:$A$843,0),"")</f>
        <v/>
      </c>
      <c r="G7442">
        <f>IF(F7442="",0,1)</f>
        <v/>
      </c>
      <c r="H7442" s="29">
        <f>IF(F7442="","",INDEX(Deals!$E$2:$E$843,F7442))</f>
        <v/>
      </c>
      <c r="I7442">
        <f>IF(F7442="","",INDEX(Deals!$D$2:$D$843,F7442))</f>
        <v/>
      </c>
      <c r="J7442">
        <f>IF(F7442="","",INT(H7442)-B7442)</f>
        <v/>
      </c>
      <c r="K7442">
        <f>IF(B7442&gt;=Settings!$C$5,1,0)</f>
        <v/>
      </c>
    </row>
    <row r="7443">
      <c r="A7443" t="inlineStr">
        <is>
          <t>62b91df0b51ee76ce66f2fa6874afbb8</t>
        </is>
      </c>
      <c r="B7443" s="29" t="n">
        <v>43236</v>
      </c>
      <c r="C7443" t="inlineStr">
        <is>
          <t>2018-05</t>
        </is>
      </c>
      <c r="D7443" t="inlineStr">
        <is>
          <t>35c9b150ab36fe584c1f24fd458c453a</t>
        </is>
      </c>
      <c r="E7443" t="inlineStr">
        <is>
          <t>paid_search</t>
        </is>
      </c>
      <c r="F7443">
        <f>IFERROR(MATCH(A7443,Deals!$A$2:$A$843,0),"")</f>
        <v/>
      </c>
      <c r="G7443">
        <f>IF(F7443="",0,1)</f>
        <v/>
      </c>
      <c r="H7443" s="29">
        <f>IF(F7443="","",INDEX(Deals!$E$2:$E$843,F7443))</f>
        <v/>
      </c>
      <c r="I7443">
        <f>IF(F7443="","",INDEX(Deals!$D$2:$D$843,F7443))</f>
        <v/>
      </c>
      <c r="J7443">
        <f>IF(F7443="","",INT(H7443)-B7443)</f>
        <v/>
      </c>
      <c r="K7443">
        <f>IF(B7443&gt;=Settings!$C$5,1,0)</f>
        <v/>
      </c>
    </row>
    <row r="7444">
      <c r="A7444" t="inlineStr">
        <is>
          <t>69c1d2e4daa3ce481e0f482deaa6e754</t>
        </is>
      </c>
      <c r="B7444" s="29" t="n">
        <v>43194</v>
      </c>
      <c r="C7444" t="inlineStr">
        <is>
          <t>2018-04</t>
        </is>
      </c>
      <c r="D7444" t="inlineStr">
        <is>
          <t>22c29808c4f815213303f8933030604c</t>
        </is>
      </c>
      <c r="E7444" t="inlineStr">
        <is>
          <t>organic_search</t>
        </is>
      </c>
      <c r="F7444">
        <f>IFERROR(MATCH(A7444,Deals!$A$2:$A$843,0),"")</f>
        <v/>
      </c>
      <c r="G7444">
        <f>IF(F7444="",0,1)</f>
        <v/>
      </c>
      <c r="H7444" s="29">
        <f>IF(F7444="","",INDEX(Deals!$E$2:$E$843,F7444))</f>
        <v/>
      </c>
      <c r="I7444">
        <f>IF(F7444="","",INDEX(Deals!$D$2:$D$843,F7444))</f>
        <v/>
      </c>
      <c r="J7444">
        <f>IF(F7444="","",INT(H7444)-B7444)</f>
        <v/>
      </c>
      <c r="K7444">
        <f>IF(B7444&gt;=Settings!$C$5,1,0)</f>
        <v/>
      </c>
    </row>
    <row r="7445">
      <c r="A7445" t="inlineStr">
        <is>
          <t>4200de485310ff951a2105ea0a9018a7</t>
        </is>
      </c>
      <c r="B7445" s="29" t="n">
        <v>43178</v>
      </c>
      <c r="C7445" t="inlineStr">
        <is>
          <t>2018-03</t>
        </is>
      </c>
      <c r="D7445" t="inlineStr">
        <is>
          <t>330b9d44078a1ae5a221d655dcb77afa</t>
        </is>
      </c>
      <c r="E7445" t="inlineStr">
        <is>
          <t>social</t>
        </is>
      </c>
      <c r="F7445">
        <f>IFERROR(MATCH(A7445,Deals!$A$2:$A$843,0),"")</f>
        <v/>
      </c>
      <c r="G7445">
        <f>IF(F7445="",0,1)</f>
        <v/>
      </c>
      <c r="H7445" s="29">
        <f>IF(F7445="","",INDEX(Deals!$E$2:$E$843,F7445))</f>
        <v/>
      </c>
      <c r="I7445">
        <f>IF(F7445="","",INDEX(Deals!$D$2:$D$843,F7445))</f>
        <v/>
      </c>
      <c r="J7445">
        <f>IF(F7445="","",INT(H7445)-B7445)</f>
        <v/>
      </c>
      <c r="K7445">
        <f>IF(B7445&gt;=Settings!$C$5,1,0)</f>
        <v/>
      </c>
    </row>
    <row r="7446">
      <c r="A7446" t="inlineStr">
        <is>
          <t>016b388b5ee40f99cc161d3aeb35b545</t>
        </is>
      </c>
      <c r="B7446" s="29" t="n">
        <v>43110</v>
      </c>
      <c r="C7446" t="inlineStr">
        <is>
          <t>2018-01</t>
        </is>
      </c>
      <c r="D7446" t="inlineStr">
        <is>
          <t>65d9f9d71e562365e8b44037c2888d98</t>
        </is>
      </c>
      <c r="E7446" t="inlineStr">
        <is>
          <t>paid_search</t>
        </is>
      </c>
      <c r="F7446">
        <f>IFERROR(MATCH(A7446,Deals!$A$2:$A$843,0),"")</f>
        <v/>
      </c>
      <c r="G7446">
        <f>IF(F7446="",0,1)</f>
        <v/>
      </c>
      <c r="H7446" s="29">
        <f>IF(F7446="","",INDEX(Deals!$E$2:$E$843,F7446))</f>
        <v/>
      </c>
      <c r="I7446">
        <f>IF(F7446="","",INDEX(Deals!$D$2:$D$843,F7446))</f>
        <v/>
      </c>
      <c r="J7446">
        <f>IF(F7446="","",INT(H7446)-B7446)</f>
        <v/>
      </c>
      <c r="K7446">
        <f>IF(B7446&gt;=Settings!$C$5,1,0)</f>
        <v/>
      </c>
    </row>
    <row r="7447">
      <c r="A7447" t="inlineStr">
        <is>
          <t>e3a0629cee6dbd0a211ab379a406f0fb</t>
        </is>
      </c>
      <c r="B7447" s="29" t="n">
        <v>42937</v>
      </c>
      <c r="C7447" t="inlineStr">
        <is>
          <t>2017-07</t>
        </is>
      </c>
      <c r="D7447" t="inlineStr">
        <is>
          <t>ef0b482996664cc1107b9051efd3ca84</t>
        </is>
      </c>
      <c r="E7447" t="inlineStr">
        <is>
          <t>organic_search</t>
        </is>
      </c>
      <c r="F7447">
        <f>IFERROR(MATCH(A7447,Deals!$A$2:$A$843,0),"")</f>
        <v/>
      </c>
      <c r="G7447">
        <f>IF(F7447="",0,1)</f>
        <v/>
      </c>
      <c r="H7447" s="29">
        <f>IF(F7447="","",INDEX(Deals!$E$2:$E$843,F7447))</f>
        <v/>
      </c>
      <c r="I7447">
        <f>IF(F7447="","",INDEX(Deals!$D$2:$D$843,F7447))</f>
        <v/>
      </c>
      <c r="J7447">
        <f>IF(F7447="","",INT(H7447)-B7447)</f>
        <v/>
      </c>
      <c r="K7447">
        <f>IF(B7447&gt;=Settings!$C$5,1,0)</f>
        <v/>
      </c>
    </row>
    <row r="7448">
      <c r="A7448" t="inlineStr">
        <is>
          <t>e281f682fab884aafadb53f9711eaffb</t>
        </is>
      </c>
      <c r="B7448" s="29" t="n">
        <v>43225</v>
      </c>
      <c r="C7448" t="inlineStr">
        <is>
          <t>2018-05</t>
        </is>
      </c>
      <c r="D7448" t="inlineStr">
        <is>
          <t>40dec9f3d5259a3d2dbcdab2114fae47</t>
        </is>
      </c>
      <c r="E7448" t="inlineStr">
        <is>
          <t>paid_search</t>
        </is>
      </c>
      <c r="F7448">
        <f>IFERROR(MATCH(A7448,Deals!$A$2:$A$843,0),"")</f>
        <v/>
      </c>
      <c r="G7448">
        <f>IF(F7448="",0,1)</f>
        <v/>
      </c>
      <c r="H7448" s="29">
        <f>IF(F7448="","",INDEX(Deals!$E$2:$E$843,F7448))</f>
        <v/>
      </c>
      <c r="I7448">
        <f>IF(F7448="","",INDEX(Deals!$D$2:$D$843,F7448))</f>
        <v/>
      </c>
      <c r="J7448">
        <f>IF(F7448="","",INT(H7448)-B7448)</f>
        <v/>
      </c>
      <c r="K7448">
        <f>IF(B7448&gt;=Settings!$C$5,1,0)</f>
        <v/>
      </c>
    </row>
    <row r="7449">
      <c r="A7449" t="inlineStr">
        <is>
          <t>8fd7f8741825334334a31ad8eb493a9a</t>
        </is>
      </c>
      <c r="B7449" s="29" t="n">
        <v>43207</v>
      </c>
      <c r="C7449" t="inlineStr">
        <is>
          <t>2018-04</t>
        </is>
      </c>
      <c r="D7449" t="inlineStr">
        <is>
          <t>1ceb590cd1e00c7ee95220971f82693d</t>
        </is>
      </c>
      <c r="E7449" t="inlineStr">
        <is>
          <t>paid_search</t>
        </is>
      </c>
      <c r="F7449">
        <f>IFERROR(MATCH(A7449,Deals!$A$2:$A$843,0),"")</f>
        <v/>
      </c>
      <c r="G7449">
        <f>IF(F7449="",0,1)</f>
        <v/>
      </c>
      <c r="H7449" s="29">
        <f>IF(F7449="","",INDEX(Deals!$E$2:$E$843,F7449))</f>
        <v/>
      </c>
      <c r="I7449">
        <f>IF(F7449="","",INDEX(Deals!$D$2:$D$843,F7449))</f>
        <v/>
      </c>
      <c r="J7449">
        <f>IF(F7449="","",INT(H7449)-B7449)</f>
        <v/>
      </c>
      <c r="K7449">
        <f>IF(B7449&gt;=Settings!$C$5,1,0)</f>
        <v/>
      </c>
    </row>
    <row r="7450">
      <c r="A7450" t="inlineStr">
        <is>
          <t>b258cda7f6762de012fddbb6477f5190</t>
        </is>
      </c>
      <c r="B7450" s="29" t="n">
        <v>43018</v>
      </c>
      <c r="C7450" t="inlineStr">
        <is>
          <t>2017-10</t>
        </is>
      </c>
      <c r="D7450" t="inlineStr">
        <is>
          <t>f98c2bd96ac4a5d9476734e790c91384</t>
        </is>
      </c>
      <c r="E7450" t="inlineStr">
        <is>
          <t>social</t>
        </is>
      </c>
      <c r="F7450">
        <f>IFERROR(MATCH(A7450,Deals!$A$2:$A$843,0),"")</f>
        <v/>
      </c>
      <c r="G7450">
        <f>IF(F7450="",0,1)</f>
        <v/>
      </c>
      <c r="H7450" s="29">
        <f>IF(F7450="","",INDEX(Deals!$E$2:$E$843,F7450))</f>
        <v/>
      </c>
      <c r="I7450">
        <f>IF(F7450="","",INDEX(Deals!$D$2:$D$843,F7450))</f>
        <v/>
      </c>
      <c r="J7450">
        <f>IF(F7450="","",INT(H7450)-B7450)</f>
        <v/>
      </c>
      <c r="K7450">
        <f>IF(B7450&gt;=Settings!$C$5,1,0)</f>
        <v/>
      </c>
    </row>
    <row r="7451">
      <c r="A7451" t="inlineStr">
        <is>
          <t>603a60c30fc626443b4652fd1f63de04</t>
        </is>
      </c>
      <c r="B7451" s="29" t="n">
        <v>43149</v>
      </c>
      <c r="C7451" t="inlineStr">
        <is>
          <t>2018-02</t>
        </is>
      </c>
      <c r="D7451" t="inlineStr">
        <is>
          <t>88740e65d5d6b056e0cda098e1ea6313</t>
        </is>
      </c>
      <c r="E7451" t="inlineStr">
        <is>
          <t>social</t>
        </is>
      </c>
      <c r="F7451">
        <f>IFERROR(MATCH(A7451,Deals!$A$2:$A$843,0),"")</f>
        <v/>
      </c>
      <c r="G7451">
        <f>IF(F7451="",0,1)</f>
        <v/>
      </c>
      <c r="H7451" s="29">
        <f>IF(F7451="","",INDEX(Deals!$E$2:$E$843,F7451))</f>
        <v/>
      </c>
      <c r="I7451">
        <f>IF(F7451="","",INDEX(Deals!$D$2:$D$843,F7451))</f>
        <v/>
      </c>
      <c r="J7451">
        <f>IF(F7451="","",INT(H7451)-B7451)</f>
        <v/>
      </c>
      <c r="K7451">
        <f>IF(B7451&gt;=Settings!$C$5,1,0)</f>
        <v/>
      </c>
    </row>
    <row r="7452">
      <c r="A7452" t="inlineStr">
        <is>
          <t>6ec00eeb639d309bafaeb0a3ea24fb3c</t>
        </is>
      </c>
      <c r="B7452" s="29" t="n">
        <v>43243</v>
      </c>
      <c r="C7452" t="inlineStr">
        <is>
          <t>2018-05</t>
        </is>
      </c>
      <c r="D7452" t="inlineStr">
        <is>
          <t>ce1a65abd0973638f1c887a6efcfa82d</t>
        </is>
      </c>
      <c r="E7452" t="inlineStr">
        <is>
          <t>organic_search</t>
        </is>
      </c>
      <c r="F7452">
        <f>IFERROR(MATCH(A7452,Deals!$A$2:$A$843,0),"")</f>
        <v/>
      </c>
      <c r="G7452">
        <f>IF(F7452="",0,1)</f>
        <v/>
      </c>
      <c r="H7452" s="29">
        <f>IF(F7452="","",INDEX(Deals!$E$2:$E$843,F7452))</f>
        <v/>
      </c>
      <c r="I7452">
        <f>IF(F7452="","",INDEX(Deals!$D$2:$D$843,F7452))</f>
        <v/>
      </c>
      <c r="J7452">
        <f>IF(F7452="","",INT(H7452)-B7452)</f>
        <v/>
      </c>
      <c r="K7452">
        <f>IF(B7452&gt;=Settings!$C$5,1,0)</f>
        <v/>
      </c>
    </row>
    <row r="7453">
      <c r="A7453" t="inlineStr">
        <is>
          <t>f0affe8ec1361efcafd1816b5b1c2426</t>
        </is>
      </c>
      <c r="B7453" s="29" t="n">
        <v>43119</v>
      </c>
      <c r="C7453" t="inlineStr">
        <is>
          <t>2018-01</t>
        </is>
      </c>
      <c r="D7453" t="inlineStr">
        <is>
          <t>88740e65d5d6b056e0cda098e1ea6313</t>
        </is>
      </c>
      <c r="E7453" t="inlineStr">
        <is>
          <t>social</t>
        </is>
      </c>
      <c r="F7453">
        <f>IFERROR(MATCH(A7453,Deals!$A$2:$A$843,0),"")</f>
        <v/>
      </c>
      <c r="G7453">
        <f>IF(F7453="",0,1)</f>
        <v/>
      </c>
      <c r="H7453" s="29">
        <f>IF(F7453="","",INDEX(Deals!$E$2:$E$843,F7453))</f>
        <v/>
      </c>
      <c r="I7453">
        <f>IF(F7453="","",INDEX(Deals!$D$2:$D$843,F7453))</f>
        <v/>
      </c>
      <c r="J7453">
        <f>IF(F7453="","",INT(H7453)-B7453)</f>
        <v/>
      </c>
      <c r="K7453">
        <f>IF(B7453&gt;=Settings!$C$5,1,0)</f>
        <v/>
      </c>
    </row>
    <row r="7454">
      <c r="A7454" t="inlineStr">
        <is>
          <t>41296a5e3d7d6463387e976095cb1c15</t>
        </is>
      </c>
      <c r="B7454" s="29" t="n">
        <v>43067</v>
      </c>
      <c r="C7454" t="inlineStr">
        <is>
          <t>2017-11</t>
        </is>
      </c>
      <c r="D7454" t="inlineStr">
        <is>
          <t>88740e65d5d6b056e0cda098e1ea6313</t>
        </is>
      </c>
      <c r="E7454" t="inlineStr">
        <is>
          <t>social</t>
        </is>
      </c>
      <c r="F7454">
        <f>IFERROR(MATCH(A7454,Deals!$A$2:$A$843,0),"")</f>
        <v/>
      </c>
      <c r="G7454">
        <f>IF(F7454="",0,1)</f>
        <v/>
      </c>
      <c r="H7454" s="29">
        <f>IF(F7454="","",INDEX(Deals!$E$2:$E$843,F7454))</f>
        <v/>
      </c>
      <c r="I7454">
        <f>IF(F7454="","",INDEX(Deals!$D$2:$D$843,F7454))</f>
        <v/>
      </c>
      <c r="J7454">
        <f>IF(F7454="","",INT(H7454)-B7454)</f>
        <v/>
      </c>
      <c r="K7454">
        <f>IF(B7454&gt;=Settings!$C$5,1,0)</f>
        <v/>
      </c>
    </row>
    <row r="7455">
      <c r="A7455" t="inlineStr">
        <is>
          <t>5831e536b6f7828e911b47c0f2525161</t>
        </is>
      </c>
      <c r="B7455" s="29" t="n">
        <v>42936</v>
      </c>
      <c r="C7455" t="inlineStr">
        <is>
          <t>2017-07</t>
        </is>
      </c>
      <c r="D7455" t="inlineStr">
        <is>
          <t>ce7bafe02f8fb1a3f15f52a9c239d0ef</t>
        </is>
      </c>
      <c r="E7455" t="inlineStr">
        <is>
          <t>referral</t>
        </is>
      </c>
      <c r="F7455">
        <f>IFERROR(MATCH(A7455,Deals!$A$2:$A$843,0),"")</f>
        <v/>
      </c>
      <c r="G7455">
        <f>IF(F7455="",0,1)</f>
        <v/>
      </c>
      <c r="H7455" s="29">
        <f>IF(F7455="","",INDEX(Deals!$E$2:$E$843,F7455))</f>
        <v/>
      </c>
      <c r="I7455">
        <f>IF(F7455="","",INDEX(Deals!$D$2:$D$843,F7455))</f>
        <v/>
      </c>
      <c r="J7455">
        <f>IF(F7455="","",INT(H7455)-B7455)</f>
        <v/>
      </c>
      <c r="K7455">
        <f>IF(B7455&gt;=Settings!$C$5,1,0)</f>
        <v/>
      </c>
    </row>
    <row r="7456">
      <c r="A7456" t="inlineStr">
        <is>
          <t>597d738d76c1e2822a00f65736b20f06</t>
        </is>
      </c>
      <c r="B7456" s="29" t="n">
        <v>43211</v>
      </c>
      <c r="C7456" t="inlineStr">
        <is>
          <t>2018-04</t>
        </is>
      </c>
      <c r="D7456" t="inlineStr">
        <is>
          <t>ce1a65abd0973638f1c887a6efcfa82d</t>
        </is>
      </c>
      <c r="E7456" t="inlineStr">
        <is>
          <t>organic_search</t>
        </is>
      </c>
      <c r="F7456">
        <f>IFERROR(MATCH(A7456,Deals!$A$2:$A$843,0),"")</f>
        <v/>
      </c>
      <c r="G7456">
        <f>IF(F7456="",0,1)</f>
        <v/>
      </c>
      <c r="H7456" s="29">
        <f>IF(F7456="","",INDEX(Deals!$E$2:$E$843,F7456))</f>
        <v/>
      </c>
      <c r="I7456">
        <f>IF(F7456="","",INDEX(Deals!$D$2:$D$843,F7456))</f>
        <v/>
      </c>
      <c r="J7456">
        <f>IF(F7456="","",INT(H7456)-B7456)</f>
        <v/>
      </c>
      <c r="K7456">
        <f>IF(B7456&gt;=Settings!$C$5,1,0)</f>
        <v/>
      </c>
    </row>
    <row r="7457">
      <c r="A7457" t="inlineStr">
        <is>
          <t>0ff0a4ce9abf031dc12194a19ced4ef1</t>
        </is>
      </c>
      <c r="B7457" s="29" t="n">
        <v>43222</v>
      </c>
      <c r="C7457" t="inlineStr">
        <is>
          <t>2018-05</t>
        </is>
      </c>
      <c r="D7457" t="inlineStr">
        <is>
          <t>b76ef37428e6799c421989521c0e5077</t>
        </is>
      </c>
      <c r="E7457" t="inlineStr">
        <is>
          <t>unknown</t>
        </is>
      </c>
      <c r="F7457">
        <f>IFERROR(MATCH(A7457,Deals!$A$2:$A$843,0),"")</f>
        <v/>
      </c>
      <c r="G7457">
        <f>IF(F7457="",0,1)</f>
        <v/>
      </c>
      <c r="H7457" s="29">
        <f>IF(F7457="","",INDEX(Deals!$E$2:$E$843,F7457))</f>
        <v/>
      </c>
      <c r="I7457">
        <f>IF(F7457="","",INDEX(Deals!$D$2:$D$843,F7457))</f>
        <v/>
      </c>
      <c r="J7457">
        <f>IF(F7457="","",INT(H7457)-B7457)</f>
        <v/>
      </c>
      <c r="K7457">
        <f>IF(B7457&gt;=Settings!$C$5,1,0)</f>
        <v/>
      </c>
    </row>
    <row r="7458">
      <c r="A7458" t="inlineStr">
        <is>
          <t>ebc27851abe440d158556d1ff253be3b</t>
        </is>
      </c>
      <c r="B7458" s="29" t="n">
        <v>43195</v>
      </c>
      <c r="C7458" t="inlineStr">
        <is>
          <t>2018-04</t>
        </is>
      </c>
      <c r="D7458" t="inlineStr">
        <is>
          <t>35c9b150ab36fe584c1f24fd458c453a</t>
        </is>
      </c>
      <c r="E7458" t="inlineStr">
        <is>
          <t>paid_search</t>
        </is>
      </c>
      <c r="F7458">
        <f>IFERROR(MATCH(A7458,Deals!$A$2:$A$843,0),"")</f>
        <v/>
      </c>
      <c r="G7458">
        <f>IF(F7458="",0,1)</f>
        <v/>
      </c>
      <c r="H7458" s="29">
        <f>IF(F7458="","",INDEX(Deals!$E$2:$E$843,F7458))</f>
        <v/>
      </c>
      <c r="I7458">
        <f>IF(F7458="","",INDEX(Deals!$D$2:$D$843,F7458))</f>
        <v/>
      </c>
      <c r="J7458">
        <f>IF(F7458="","",INT(H7458)-B7458)</f>
        <v/>
      </c>
      <c r="K7458">
        <f>IF(B7458&gt;=Settings!$C$5,1,0)</f>
        <v/>
      </c>
    </row>
    <row r="7459">
      <c r="A7459" t="inlineStr">
        <is>
          <t>85690ad1281685df422c14bf19bab45a</t>
        </is>
      </c>
      <c r="B7459" s="29" t="n">
        <v>43074</v>
      </c>
      <c r="C7459" t="inlineStr">
        <is>
          <t>2017-12</t>
        </is>
      </c>
      <c r="D7459" t="inlineStr">
        <is>
          <t>f017be4dbf86243af5c1ebed0cff36a2</t>
        </is>
      </c>
      <c r="E7459" t="inlineStr">
        <is>
          <t>social</t>
        </is>
      </c>
      <c r="F7459">
        <f>IFERROR(MATCH(A7459,Deals!$A$2:$A$843,0),"")</f>
        <v/>
      </c>
      <c r="G7459">
        <f>IF(F7459="",0,1)</f>
        <v/>
      </c>
      <c r="H7459" s="29">
        <f>IF(F7459="","",INDEX(Deals!$E$2:$E$843,F7459))</f>
        <v/>
      </c>
      <c r="I7459">
        <f>IF(F7459="","",INDEX(Deals!$D$2:$D$843,F7459))</f>
        <v/>
      </c>
      <c r="J7459">
        <f>IF(F7459="","",INT(H7459)-B7459)</f>
        <v/>
      </c>
      <c r="K7459">
        <f>IF(B7459&gt;=Settings!$C$5,1,0)</f>
        <v/>
      </c>
    </row>
    <row r="7460">
      <c r="A7460" t="inlineStr">
        <is>
          <t>91a8f8847ee097f0be9c70c3255afad8</t>
        </is>
      </c>
      <c r="B7460" s="29" t="n">
        <v>43210</v>
      </c>
      <c r="C7460" t="inlineStr">
        <is>
          <t>2018-04</t>
        </is>
      </c>
      <c r="D7460" t="inlineStr">
        <is>
          <t>22c29808c4f815213303f8933030604c</t>
        </is>
      </c>
      <c r="E7460" t="inlineStr">
        <is>
          <t>social</t>
        </is>
      </c>
      <c r="F7460">
        <f>IFERROR(MATCH(A7460,Deals!$A$2:$A$843,0),"")</f>
        <v/>
      </c>
      <c r="G7460">
        <f>IF(F7460="",0,1)</f>
        <v/>
      </c>
      <c r="H7460" s="29">
        <f>IF(F7460="","",INDEX(Deals!$E$2:$E$843,F7460))</f>
        <v/>
      </c>
      <c r="I7460">
        <f>IF(F7460="","",INDEX(Deals!$D$2:$D$843,F7460))</f>
        <v/>
      </c>
      <c r="J7460">
        <f>IF(F7460="","",INT(H7460)-B7460)</f>
        <v/>
      </c>
      <c r="K7460">
        <f>IF(B7460&gt;=Settings!$C$5,1,0)</f>
        <v/>
      </c>
    </row>
    <row r="7461">
      <c r="A7461" t="inlineStr">
        <is>
          <t>77397971db7cfab9633924c13050bf62</t>
        </is>
      </c>
      <c r="B7461" s="29" t="n">
        <v>43245</v>
      </c>
      <c r="C7461" t="inlineStr">
        <is>
          <t>2018-05</t>
        </is>
      </c>
      <c r="D7461" t="inlineStr">
        <is>
          <t>15cf89bab2c3163b4f9d8601d108f8b2</t>
        </is>
      </c>
      <c r="E7461" t="inlineStr">
        <is>
          <t>organic_search</t>
        </is>
      </c>
      <c r="F7461">
        <f>IFERROR(MATCH(A7461,Deals!$A$2:$A$843,0),"")</f>
        <v/>
      </c>
      <c r="G7461">
        <f>IF(F7461="",0,1)</f>
        <v/>
      </c>
      <c r="H7461" s="29">
        <f>IF(F7461="","",INDEX(Deals!$E$2:$E$843,F7461))</f>
        <v/>
      </c>
      <c r="I7461">
        <f>IF(F7461="","",INDEX(Deals!$D$2:$D$843,F7461))</f>
        <v/>
      </c>
      <c r="J7461">
        <f>IF(F7461="","",INT(H7461)-B7461)</f>
        <v/>
      </c>
      <c r="K7461">
        <f>IF(B7461&gt;=Settings!$C$5,1,0)</f>
        <v/>
      </c>
    </row>
    <row r="7462">
      <c r="A7462" t="inlineStr">
        <is>
          <t>98ca0fc93377e21e9f67ceb937cdf248</t>
        </is>
      </c>
      <c r="B7462" s="29" t="n">
        <v>43238</v>
      </c>
      <c r="C7462" t="inlineStr">
        <is>
          <t>2018-05</t>
        </is>
      </c>
      <c r="D7462" t="inlineStr">
        <is>
          <t>b76ef37428e6799c421989521c0e5077</t>
        </is>
      </c>
      <c r="E7462" t="inlineStr">
        <is>
          <t>unknown</t>
        </is>
      </c>
      <c r="F7462">
        <f>IFERROR(MATCH(A7462,Deals!$A$2:$A$843,0),"")</f>
        <v/>
      </c>
      <c r="G7462">
        <f>IF(F7462="",0,1)</f>
        <v/>
      </c>
      <c r="H7462" s="29">
        <f>IF(F7462="","",INDEX(Deals!$E$2:$E$843,F7462))</f>
        <v/>
      </c>
      <c r="I7462">
        <f>IF(F7462="","",INDEX(Deals!$D$2:$D$843,F7462))</f>
        <v/>
      </c>
      <c r="J7462">
        <f>IF(F7462="","",INT(H7462)-B7462)</f>
        <v/>
      </c>
      <c r="K7462">
        <f>IF(B7462&gt;=Settings!$C$5,1,0)</f>
        <v/>
      </c>
    </row>
    <row r="7463">
      <c r="A7463" t="inlineStr">
        <is>
          <t>a0ab09eb2842e474a3a5aed12e533a2a</t>
        </is>
      </c>
      <c r="B7463" s="29" t="n">
        <v>43122</v>
      </c>
      <c r="C7463" t="inlineStr">
        <is>
          <t>2018-01</t>
        </is>
      </c>
      <c r="D7463" t="inlineStr">
        <is>
          <t>0d6bc3c00e4e64927cae2e8d9c6a0b9b</t>
        </is>
      </c>
      <c r="E7463" t="inlineStr">
        <is>
          <t>paid_search</t>
        </is>
      </c>
      <c r="F7463">
        <f>IFERROR(MATCH(A7463,Deals!$A$2:$A$843,0),"")</f>
        <v/>
      </c>
      <c r="G7463">
        <f>IF(F7463="",0,1)</f>
        <v/>
      </c>
      <c r="H7463" s="29">
        <f>IF(F7463="","",INDEX(Deals!$E$2:$E$843,F7463))</f>
        <v/>
      </c>
      <c r="I7463">
        <f>IF(F7463="","",INDEX(Deals!$D$2:$D$843,F7463))</f>
        <v/>
      </c>
      <c r="J7463">
        <f>IF(F7463="","",INT(H7463)-B7463)</f>
        <v/>
      </c>
      <c r="K7463">
        <f>IF(B7463&gt;=Settings!$C$5,1,0)</f>
        <v/>
      </c>
    </row>
    <row r="7464">
      <c r="A7464" t="inlineStr">
        <is>
          <t>a58178db90069188869b4bf4c9d4bc01</t>
        </is>
      </c>
      <c r="B7464" s="29" t="n">
        <v>43133</v>
      </c>
      <c r="C7464" t="inlineStr">
        <is>
          <t>2018-02</t>
        </is>
      </c>
      <c r="D7464" t="inlineStr">
        <is>
          <t>b48ec5f3b04e9068441002a19df93c6c</t>
        </is>
      </c>
      <c r="E7464" t="inlineStr">
        <is>
          <t>direct_traffic</t>
        </is>
      </c>
      <c r="F7464">
        <f>IFERROR(MATCH(A7464,Deals!$A$2:$A$843,0),"")</f>
        <v/>
      </c>
      <c r="G7464">
        <f>IF(F7464="",0,1)</f>
        <v/>
      </c>
      <c r="H7464" s="29">
        <f>IF(F7464="","",INDEX(Deals!$E$2:$E$843,F7464))</f>
        <v/>
      </c>
      <c r="I7464">
        <f>IF(F7464="","",INDEX(Deals!$D$2:$D$843,F7464))</f>
        <v/>
      </c>
      <c r="J7464">
        <f>IF(F7464="","",INT(H7464)-B7464)</f>
        <v/>
      </c>
      <c r="K7464">
        <f>IF(B7464&gt;=Settings!$C$5,1,0)</f>
        <v/>
      </c>
    </row>
    <row r="7465">
      <c r="A7465" t="inlineStr">
        <is>
          <t>39ba31c76f5b8342fdcca5189a9253dc</t>
        </is>
      </c>
      <c r="B7465" s="29" t="n">
        <v>43074</v>
      </c>
      <c r="C7465" t="inlineStr">
        <is>
          <t>2017-12</t>
        </is>
      </c>
      <c r="D7465" t="inlineStr">
        <is>
          <t>007f9098284a86ee80ddeb25d53e0af8</t>
        </is>
      </c>
      <c r="E7465" t="inlineStr">
        <is>
          <t>organic_search</t>
        </is>
      </c>
      <c r="F7465">
        <f>IFERROR(MATCH(A7465,Deals!$A$2:$A$843,0),"")</f>
        <v/>
      </c>
      <c r="G7465">
        <f>IF(F7465="",0,1)</f>
        <v/>
      </c>
      <c r="H7465" s="29">
        <f>IF(F7465="","",INDEX(Deals!$E$2:$E$843,F7465))</f>
        <v/>
      </c>
      <c r="I7465">
        <f>IF(F7465="","",INDEX(Deals!$D$2:$D$843,F7465))</f>
        <v/>
      </c>
      <c r="J7465">
        <f>IF(F7465="","",INT(H7465)-B7465)</f>
        <v/>
      </c>
      <c r="K7465">
        <f>IF(B7465&gt;=Settings!$C$5,1,0)</f>
        <v/>
      </c>
    </row>
    <row r="7466">
      <c r="A7466" t="inlineStr">
        <is>
          <t>c6a3a2c5533022519407029f38d214fa</t>
        </is>
      </c>
      <c r="B7466" s="29" t="n">
        <v>43137</v>
      </c>
      <c r="C7466" t="inlineStr">
        <is>
          <t>2018-02</t>
        </is>
      </c>
      <c r="D7466" t="inlineStr">
        <is>
          <t>b76ef37428e6799c421989521c0e5077</t>
        </is>
      </c>
      <c r="E7466" t="inlineStr">
        <is>
          <t>unknown</t>
        </is>
      </c>
      <c r="F7466">
        <f>IFERROR(MATCH(A7466,Deals!$A$2:$A$843,0),"")</f>
        <v/>
      </c>
      <c r="G7466">
        <f>IF(F7466="",0,1)</f>
        <v/>
      </c>
      <c r="H7466" s="29">
        <f>IF(F7466="","",INDEX(Deals!$E$2:$E$843,F7466))</f>
        <v/>
      </c>
      <c r="I7466">
        <f>IF(F7466="","",INDEX(Deals!$D$2:$D$843,F7466))</f>
        <v/>
      </c>
      <c r="J7466">
        <f>IF(F7466="","",INT(H7466)-B7466)</f>
        <v/>
      </c>
      <c r="K7466">
        <f>IF(B7466&gt;=Settings!$C$5,1,0)</f>
        <v/>
      </c>
    </row>
    <row r="7467">
      <c r="A7467" t="inlineStr">
        <is>
          <t>0c031fe92fdc7596e4f20c56c661319d</t>
        </is>
      </c>
      <c r="B7467" s="29" t="n">
        <v>43214</v>
      </c>
      <c r="C7467" t="inlineStr">
        <is>
          <t>2018-04</t>
        </is>
      </c>
      <c r="D7467" t="inlineStr">
        <is>
          <t>58326e62183c14b0c03085c33b9fdc44</t>
        </is>
      </c>
      <c r="E7467" t="inlineStr">
        <is>
          <t>social</t>
        </is>
      </c>
      <c r="F7467">
        <f>IFERROR(MATCH(A7467,Deals!$A$2:$A$843,0),"")</f>
        <v/>
      </c>
      <c r="G7467">
        <f>IF(F7467="",0,1)</f>
        <v/>
      </c>
      <c r="H7467" s="29">
        <f>IF(F7467="","",INDEX(Deals!$E$2:$E$843,F7467))</f>
        <v/>
      </c>
      <c r="I7467">
        <f>IF(F7467="","",INDEX(Deals!$D$2:$D$843,F7467))</f>
        <v/>
      </c>
      <c r="J7467">
        <f>IF(F7467="","",INT(H7467)-B7467)</f>
        <v/>
      </c>
      <c r="K7467">
        <f>IF(B7467&gt;=Settings!$C$5,1,0)</f>
        <v/>
      </c>
    </row>
    <row r="7468">
      <c r="A7468" t="inlineStr">
        <is>
          <t>b858ea5596a4dcd199209deb235bf758</t>
        </is>
      </c>
      <c r="B7468" s="29" t="n">
        <v>43202</v>
      </c>
      <c r="C7468" t="inlineStr">
        <is>
          <t>2018-04</t>
        </is>
      </c>
      <c r="D7468" t="inlineStr">
        <is>
          <t>5209e2e679d32a6619feb6942702fd14</t>
        </is>
      </c>
      <c r="E7468" t="inlineStr">
        <is>
          <t>organic_search</t>
        </is>
      </c>
      <c r="F7468">
        <f>IFERROR(MATCH(A7468,Deals!$A$2:$A$843,0),"")</f>
        <v/>
      </c>
      <c r="G7468">
        <f>IF(F7468="",0,1)</f>
        <v/>
      </c>
      <c r="H7468" s="29">
        <f>IF(F7468="","",INDEX(Deals!$E$2:$E$843,F7468))</f>
        <v/>
      </c>
      <c r="I7468">
        <f>IF(F7468="","",INDEX(Deals!$D$2:$D$843,F7468))</f>
        <v/>
      </c>
      <c r="J7468">
        <f>IF(F7468="","",INT(H7468)-B7468)</f>
        <v/>
      </c>
      <c r="K7468">
        <f>IF(B7468&gt;=Settings!$C$5,1,0)</f>
        <v/>
      </c>
    </row>
    <row r="7469">
      <c r="A7469" t="inlineStr">
        <is>
          <t>220d17b28d99d88de80afcdad211b06a</t>
        </is>
      </c>
      <c r="B7469" s="29" t="n">
        <v>43113</v>
      </c>
      <c r="C7469" t="inlineStr">
        <is>
          <t>2018-01</t>
        </is>
      </c>
      <c r="D7469" t="inlineStr">
        <is>
          <t>22c29808c4f815213303f8933030604c</t>
        </is>
      </c>
      <c r="E7469" t="inlineStr">
        <is>
          <t>organic_search</t>
        </is>
      </c>
      <c r="F7469">
        <f>IFERROR(MATCH(A7469,Deals!$A$2:$A$843,0),"")</f>
        <v/>
      </c>
      <c r="G7469">
        <f>IF(F7469="",0,1)</f>
        <v/>
      </c>
      <c r="H7469" s="29">
        <f>IF(F7469="","",INDEX(Deals!$E$2:$E$843,F7469))</f>
        <v/>
      </c>
      <c r="I7469">
        <f>IF(F7469="","",INDEX(Deals!$D$2:$D$843,F7469))</f>
        <v/>
      </c>
      <c r="J7469">
        <f>IF(F7469="","",INT(H7469)-B7469)</f>
        <v/>
      </c>
      <c r="K7469">
        <f>IF(B7469&gt;=Settings!$C$5,1,0)</f>
        <v/>
      </c>
    </row>
    <row r="7470">
      <c r="A7470" t="inlineStr">
        <is>
          <t>874b529b9b276415dcd80433084edfa8</t>
        </is>
      </c>
      <c r="B7470" s="29" t="n">
        <v>43165</v>
      </c>
      <c r="C7470" t="inlineStr">
        <is>
          <t>2018-03</t>
        </is>
      </c>
      <c r="D7470" t="inlineStr">
        <is>
          <t>649b7b8b46b254497e92038d88f6ced8</t>
        </is>
      </c>
      <c r="E7470" t="inlineStr">
        <is>
          <t>social</t>
        </is>
      </c>
      <c r="F7470">
        <f>IFERROR(MATCH(A7470,Deals!$A$2:$A$843,0),"")</f>
        <v/>
      </c>
      <c r="G7470">
        <f>IF(F7470="",0,1)</f>
        <v/>
      </c>
      <c r="H7470" s="29">
        <f>IF(F7470="","",INDEX(Deals!$E$2:$E$843,F7470))</f>
        <v/>
      </c>
      <c r="I7470">
        <f>IF(F7470="","",INDEX(Deals!$D$2:$D$843,F7470))</f>
        <v/>
      </c>
      <c r="J7470">
        <f>IF(F7470="","",INT(H7470)-B7470)</f>
        <v/>
      </c>
      <c r="K7470">
        <f>IF(B7470&gt;=Settings!$C$5,1,0)</f>
        <v/>
      </c>
    </row>
    <row r="7471">
      <c r="A7471" t="inlineStr">
        <is>
          <t>1785cff273aedbd875c814b46928ad7f</t>
        </is>
      </c>
      <c r="B7471" s="29" t="n">
        <v>43228</v>
      </c>
      <c r="C7471" t="inlineStr">
        <is>
          <t>2018-05</t>
        </is>
      </c>
      <c r="D7471" t="inlineStr">
        <is>
          <t>22c29808c4f815213303f8933030604c</t>
        </is>
      </c>
      <c r="E7471" t="inlineStr">
        <is>
          <t>(missing)</t>
        </is>
      </c>
      <c r="F7471">
        <f>IFERROR(MATCH(A7471,Deals!$A$2:$A$843,0),"")</f>
        <v/>
      </c>
      <c r="G7471">
        <f>IF(F7471="",0,1)</f>
        <v/>
      </c>
      <c r="H7471" s="29">
        <f>IF(F7471="","",INDEX(Deals!$E$2:$E$843,F7471))</f>
        <v/>
      </c>
      <c r="I7471">
        <f>IF(F7471="","",INDEX(Deals!$D$2:$D$843,F7471))</f>
        <v/>
      </c>
      <c r="J7471">
        <f>IF(F7471="","",INT(H7471)-B7471)</f>
        <v/>
      </c>
      <c r="K7471">
        <f>IF(B7471&gt;=Settings!$C$5,1,0)</f>
        <v/>
      </c>
    </row>
    <row r="7472">
      <c r="A7472" t="inlineStr">
        <is>
          <t>b5f012435b837675c4b4fffa348f0e16</t>
        </is>
      </c>
      <c r="B7472" s="29" t="n">
        <v>43140</v>
      </c>
      <c r="C7472" t="inlineStr">
        <is>
          <t>2018-02</t>
        </is>
      </c>
      <c r="D7472" t="inlineStr">
        <is>
          <t>30077c17f2ec5010a82e37ad8925b95f</t>
        </is>
      </c>
      <c r="E7472" t="inlineStr">
        <is>
          <t>email</t>
        </is>
      </c>
      <c r="F7472">
        <f>IFERROR(MATCH(A7472,Deals!$A$2:$A$843,0),"")</f>
        <v/>
      </c>
      <c r="G7472">
        <f>IF(F7472="",0,1)</f>
        <v/>
      </c>
      <c r="H7472" s="29">
        <f>IF(F7472="","",INDEX(Deals!$E$2:$E$843,F7472))</f>
        <v/>
      </c>
      <c r="I7472">
        <f>IF(F7472="","",INDEX(Deals!$D$2:$D$843,F7472))</f>
        <v/>
      </c>
      <c r="J7472">
        <f>IF(F7472="","",INT(H7472)-B7472)</f>
        <v/>
      </c>
      <c r="K7472">
        <f>IF(B7472&gt;=Settings!$C$5,1,0)</f>
        <v/>
      </c>
    </row>
    <row r="7473">
      <c r="A7473" t="inlineStr">
        <is>
          <t>02d4ad74e410990974be404efcd00ec1</t>
        </is>
      </c>
      <c r="B7473" s="29" t="n">
        <v>43004</v>
      </c>
      <c r="C7473" t="inlineStr">
        <is>
          <t>2017-09</t>
        </is>
      </c>
      <c r="D7473" t="inlineStr">
        <is>
          <t>7fa6214d82e911d070f51ef79381b956</t>
        </is>
      </c>
      <c r="E7473" t="inlineStr">
        <is>
          <t>direct_traffic</t>
        </is>
      </c>
      <c r="F7473">
        <f>IFERROR(MATCH(A7473,Deals!$A$2:$A$843,0),"")</f>
        <v/>
      </c>
      <c r="G7473">
        <f>IF(F7473="",0,1)</f>
        <v/>
      </c>
      <c r="H7473" s="29">
        <f>IF(F7473="","",INDEX(Deals!$E$2:$E$843,F7473))</f>
        <v/>
      </c>
      <c r="I7473">
        <f>IF(F7473="","",INDEX(Deals!$D$2:$D$843,F7473))</f>
        <v/>
      </c>
      <c r="J7473">
        <f>IF(F7473="","",INT(H7473)-B7473)</f>
        <v/>
      </c>
      <c r="K7473">
        <f>IF(B7473&gt;=Settings!$C$5,1,0)</f>
        <v/>
      </c>
    </row>
    <row r="7474">
      <c r="A7474" t="inlineStr">
        <is>
          <t>2483125d070c795ba1ed28b241c5c737</t>
        </is>
      </c>
      <c r="B7474" s="29" t="n">
        <v>43246</v>
      </c>
      <c r="C7474" t="inlineStr">
        <is>
          <t>2018-05</t>
        </is>
      </c>
      <c r="D7474" t="inlineStr">
        <is>
          <t>58326e62183c14b0c03085c33b9fdc44</t>
        </is>
      </c>
      <c r="E7474" t="inlineStr">
        <is>
          <t>social</t>
        </is>
      </c>
      <c r="F7474">
        <f>IFERROR(MATCH(A7474,Deals!$A$2:$A$843,0),"")</f>
        <v/>
      </c>
      <c r="G7474">
        <f>IF(F7474="",0,1)</f>
        <v/>
      </c>
      <c r="H7474" s="29">
        <f>IF(F7474="","",INDEX(Deals!$E$2:$E$843,F7474))</f>
        <v/>
      </c>
      <c r="I7474">
        <f>IF(F7474="","",INDEX(Deals!$D$2:$D$843,F7474))</f>
        <v/>
      </c>
      <c r="J7474">
        <f>IF(F7474="","",INT(H7474)-B7474)</f>
        <v/>
      </c>
      <c r="K7474">
        <f>IF(B7474&gt;=Settings!$C$5,1,0)</f>
        <v/>
      </c>
    </row>
    <row r="7475">
      <c r="A7475" t="inlineStr">
        <is>
          <t>3324e089ac8602e8cc3d2d1fc8109b2e</t>
        </is>
      </c>
      <c r="B7475" s="29" t="n">
        <v>43222</v>
      </c>
      <c r="C7475" t="inlineStr">
        <is>
          <t>2018-05</t>
        </is>
      </c>
      <c r="D7475" t="inlineStr">
        <is>
          <t>b76ef37428e6799c421989521c0e5077</t>
        </is>
      </c>
      <c r="E7475" t="inlineStr">
        <is>
          <t>unknown</t>
        </is>
      </c>
      <c r="F7475">
        <f>IFERROR(MATCH(A7475,Deals!$A$2:$A$843,0),"")</f>
        <v/>
      </c>
      <c r="G7475">
        <f>IF(F7475="",0,1)</f>
        <v/>
      </c>
      <c r="H7475" s="29">
        <f>IF(F7475="","",INDEX(Deals!$E$2:$E$843,F7475))</f>
        <v/>
      </c>
      <c r="I7475">
        <f>IF(F7475="","",INDEX(Deals!$D$2:$D$843,F7475))</f>
        <v/>
      </c>
      <c r="J7475">
        <f>IF(F7475="","",INT(H7475)-B7475)</f>
        <v/>
      </c>
      <c r="K7475">
        <f>IF(B7475&gt;=Settings!$C$5,1,0)</f>
        <v/>
      </c>
    </row>
    <row r="7476">
      <c r="A7476" t="inlineStr">
        <is>
          <t>f45451d5c725bd5795d432e970d3d978</t>
        </is>
      </c>
      <c r="B7476" s="29" t="n">
        <v>43180</v>
      </c>
      <c r="C7476" t="inlineStr">
        <is>
          <t>2018-03</t>
        </is>
      </c>
      <c r="D7476" t="inlineStr">
        <is>
          <t>007f9098284a86ee80ddeb25d53e0af8</t>
        </is>
      </c>
      <c r="E7476" t="inlineStr">
        <is>
          <t>paid_search</t>
        </is>
      </c>
      <c r="F7476">
        <f>IFERROR(MATCH(A7476,Deals!$A$2:$A$843,0),"")</f>
        <v/>
      </c>
      <c r="G7476">
        <f>IF(F7476="",0,1)</f>
        <v/>
      </c>
      <c r="H7476" s="29">
        <f>IF(F7476="","",INDEX(Deals!$E$2:$E$843,F7476))</f>
        <v/>
      </c>
      <c r="I7476">
        <f>IF(F7476="","",INDEX(Deals!$D$2:$D$843,F7476))</f>
        <v/>
      </c>
      <c r="J7476">
        <f>IF(F7476="","",INT(H7476)-B7476)</f>
        <v/>
      </c>
      <c r="K7476">
        <f>IF(B7476&gt;=Settings!$C$5,1,0)</f>
        <v/>
      </c>
    </row>
    <row r="7477">
      <c r="A7477" t="inlineStr">
        <is>
          <t>923b4926a703db2f6355a326bf10656e</t>
        </is>
      </c>
      <c r="B7477" s="29" t="n">
        <v>43127</v>
      </c>
      <c r="C7477" t="inlineStr">
        <is>
          <t>2018-01</t>
        </is>
      </c>
      <c r="D7477" t="inlineStr">
        <is>
          <t>f017be4dbf86243af5c1ebed0cff36a2</t>
        </is>
      </c>
      <c r="E7477" t="inlineStr">
        <is>
          <t>direct_traffic</t>
        </is>
      </c>
      <c r="F7477">
        <f>IFERROR(MATCH(A7477,Deals!$A$2:$A$843,0),"")</f>
        <v/>
      </c>
      <c r="G7477">
        <f>IF(F7477="",0,1)</f>
        <v/>
      </c>
      <c r="H7477" s="29">
        <f>IF(F7477="","",INDEX(Deals!$E$2:$E$843,F7477))</f>
        <v/>
      </c>
      <c r="I7477">
        <f>IF(F7477="","",INDEX(Deals!$D$2:$D$843,F7477))</f>
        <v/>
      </c>
      <c r="J7477">
        <f>IF(F7477="","",INT(H7477)-B7477)</f>
        <v/>
      </c>
      <c r="K7477">
        <f>IF(B7477&gt;=Settings!$C$5,1,0)</f>
        <v/>
      </c>
    </row>
    <row r="7478">
      <c r="A7478" t="inlineStr">
        <is>
          <t>af88501909b010e3369be084d4335fc6</t>
        </is>
      </c>
      <c r="B7478" s="29" t="n">
        <v>43239</v>
      </c>
      <c r="C7478" t="inlineStr">
        <is>
          <t>2018-05</t>
        </is>
      </c>
      <c r="D7478" t="inlineStr">
        <is>
          <t>a7982125ff7aa3b2054c6e44f9d28522</t>
        </is>
      </c>
      <c r="E7478" t="inlineStr">
        <is>
          <t>organic_search</t>
        </is>
      </c>
      <c r="F7478">
        <f>IFERROR(MATCH(A7478,Deals!$A$2:$A$843,0),"")</f>
        <v/>
      </c>
      <c r="G7478">
        <f>IF(F7478="",0,1)</f>
        <v/>
      </c>
      <c r="H7478" s="29">
        <f>IF(F7478="","",INDEX(Deals!$E$2:$E$843,F7478))</f>
        <v/>
      </c>
      <c r="I7478">
        <f>IF(F7478="","",INDEX(Deals!$D$2:$D$843,F7478))</f>
        <v/>
      </c>
      <c r="J7478">
        <f>IF(F7478="","",INT(H7478)-B7478)</f>
        <v/>
      </c>
      <c r="K7478">
        <f>IF(B7478&gt;=Settings!$C$5,1,0)</f>
        <v/>
      </c>
    </row>
    <row r="7479">
      <c r="A7479" t="inlineStr">
        <is>
          <t>0d74164194d899502c02c8b94c8405fe</t>
        </is>
      </c>
      <c r="B7479" s="29" t="n">
        <v>43146</v>
      </c>
      <c r="C7479" t="inlineStr">
        <is>
          <t>2018-02</t>
        </is>
      </c>
      <c r="D7479" t="inlineStr">
        <is>
          <t>241f79c7a8fe0270f4fb79fcbbcd17ad</t>
        </is>
      </c>
      <c r="E7479" t="inlineStr">
        <is>
          <t>organic_search</t>
        </is>
      </c>
      <c r="F7479">
        <f>IFERROR(MATCH(A7479,Deals!$A$2:$A$843,0),"")</f>
        <v/>
      </c>
      <c r="G7479">
        <f>IF(F7479="",0,1)</f>
        <v/>
      </c>
      <c r="H7479" s="29">
        <f>IF(F7479="","",INDEX(Deals!$E$2:$E$843,F7479))</f>
        <v/>
      </c>
      <c r="I7479">
        <f>IF(F7479="","",INDEX(Deals!$D$2:$D$843,F7479))</f>
        <v/>
      </c>
      <c r="J7479">
        <f>IF(F7479="","",INT(H7479)-B7479)</f>
        <v/>
      </c>
      <c r="K7479">
        <f>IF(B7479&gt;=Settings!$C$5,1,0)</f>
        <v/>
      </c>
    </row>
    <row r="7480">
      <c r="A7480" t="inlineStr">
        <is>
          <t>8f3ed413b7b1f3b41dcf0731decd4cd8</t>
        </is>
      </c>
      <c r="B7480" s="29" t="n">
        <v>43216</v>
      </c>
      <c r="C7480" t="inlineStr">
        <is>
          <t>2018-04</t>
        </is>
      </c>
      <c r="D7480" t="inlineStr">
        <is>
          <t>7fa6214d82e911d070f51ef79381b956</t>
        </is>
      </c>
      <c r="E7480" t="inlineStr">
        <is>
          <t>organic_search</t>
        </is>
      </c>
      <c r="F7480">
        <f>IFERROR(MATCH(A7480,Deals!$A$2:$A$843,0),"")</f>
        <v/>
      </c>
      <c r="G7480">
        <f>IF(F7480="",0,1)</f>
        <v/>
      </c>
      <c r="H7480" s="29">
        <f>IF(F7480="","",INDEX(Deals!$E$2:$E$843,F7480))</f>
        <v/>
      </c>
      <c r="I7480">
        <f>IF(F7480="","",INDEX(Deals!$D$2:$D$843,F7480))</f>
        <v/>
      </c>
      <c r="J7480">
        <f>IF(F7480="","",INT(H7480)-B7480)</f>
        <v/>
      </c>
      <c r="K7480">
        <f>IF(B7480&gt;=Settings!$C$5,1,0)</f>
        <v/>
      </c>
    </row>
    <row r="7481">
      <c r="A7481" t="inlineStr">
        <is>
          <t>1458e84a7f1a80984de07508b68237d8</t>
        </is>
      </c>
      <c r="B7481" s="29" t="n">
        <v>42969</v>
      </c>
      <c r="C7481" t="inlineStr">
        <is>
          <t>2017-08</t>
        </is>
      </c>
      <c r="D7481" t="inlineStr">
        <is>
          <t>3cd2a8301d5395f21cdd3094c9eaa2f4</t>
        </is>
      </c>
      <c r="E7481" t="inlineStr">
        <is>
          <t>paid_search</t>
        </is>
      </c>
      <c r="F7481">
        <f>IFERROR(MATCH(A7481,Deals!$A$2:$A$843,0),"")</f>
        <v/>
      </c>
      <c r="G7481">
        <f>IF(F7481="",0,1)</f>
        <v/>
      </c>
      <c r="H7481" s="29">
        <f>IF(F7481="","",INDEX(Deals!$E$2:$E$843,F7481))</f>
        <v/>
      </c>
      <c r="I7481">
        <f>IF(F7481="","",INDEX(Deals!$D$2:$D$843,F7481))</f>
        <v/>
      </c>
      <c r="J7481">
        <f>IF(F7481="","",INT(H7481)-B7481)</f>
        <v/>
      </c>
      <c r="K7481">
        <f>IF(B7481&gt;=Settings!$C$5,1,0)</f>
        <v/>
      </c>
    </row>
    <row r="7482">
      <c r="A7482" t="inlineStr">
        <is>
          <t>614d380ca5e894605a1fc6336526135a</t>
        </is>
      </c>
      <c r="B7482" s="29" t="n">
        <v>43132</v>
      </c>
      <c r="C7482" t="inlineStr">
        <is>
          <t>2018-02</t>
        </is>
      </c>
      <c r="D7482" t="inlineStr">
        <is>
          <t>0218f6be0b76aca72ab4d00ee9e8cf10</t>
        </is>
      </c>
      <c r="E7482" t="inlineStr">
        <is>
          <t>direct_traffic</t>
        </is>
      </c>
      <c r="F7482">
        <f>IFERROR(MATCH(A7482,Deals!$A$2:$A$843,0),"")</f>
        <v/>
      </c>
      <c r="G7482">
        <f>IF(F7482="",0,1)</f>
        <v/>
      </c>
      <c r="H7482" s="29">
        <f>IF(F7482="","",INDEX(Deals!$E$2:$E$843,F7482))</f>
        <v/>
      </c>
      <c r="I7482">
        <f>IF(F7482="","",INDEX(Deals!$D$2:$D$843,F7482))</f>
        <v/>
      </c>
      <c r="J7482">
        <f>IF(F7482="","",INT(H7482)-B7482)</f>
        <v/>
      </c>
      <c r="K7482">
        <f>IF(B7482&gt;=Settings!$C$5,1,0)</f>
        <v/>
      </c>
    </row>
    <row r="7483">
      <c r="A7483" t="inlineStr">
        <is>
          <t>0ed99ce72338ab2c7853536dd17b8e5d</t>
        </is>
      </c>
      <c r="B7483" s="29" t="n">
        <v>43131</v>
      </c>
      <c r="C7483" t="inlineStr">
        <is>
          <t>2018-01</t>
        </is>
      </c>
      <c r="D7483" t="inlineStr">
        <is>
          <t>b76ef37428e6799c421989521c0e5077</t>
        </is>
      </c>
      <c r="E7483" t="inlineStr">
        <is>
          <t>unknown</t>
        </is>
      </c>
      <c r="F7483">
        <f>IFERROR(MATCH(A7483,Deals!$A$2:$A$843,0),"")</f>
        <v/>
      </c>
      <c r="G7483">
        <f>IF(F7483="",0,1)</f>
        <v/>
      </c>
      <c r="H7483" s="29">
        <f>IF(F7483="","",INDEX(Deals!$E$2:$E$843,F7483))</f>
        <v/>
      </c>
      <c r="I7483">
        <f>IF(F7483="","",INDEX(Deals!$D$2:$D$843,F7483))</f>
        <v/>
      </c>
      <c r="J7483">
        <f>IF(F7483="","",INT(H7483)-B7483)</f>
        <v/>
      </c>
      <c r="K7483">
        <f>IF(B7483&gt;=Settings!$C$5,1,0)</f>
        <v/>
      </c>
    </row>
    <row r="7484">
      <c r="A7484" t="inlineStr">
        <is>
          <t>54df535aac8fddb05cca243ffb673719</t>
        </is>
      </c>
      <c r="B7484" s="29" t="n">
        <v>43159</v>
      </c>
      <c r="C7484" t="inlineStr">
        <is>
          <t>2018-02</t>
        </is>
      </c>
      <c r="D7484" t="inlineStr">
        <is>
          <t>40dec9f3d5259a3d2dbcdab2114fae47</t>
        </is>
      </c>
      <c r="E7484" t="inlineStr">
        <is>
          <t>paid_search</t>
        </is>
      </c>
      <c r="F7484">
        <f>IFERROR(MATCH(A7484,Deals!$A$2:$A$843,0),"")</f>
        <v/>
      </c>
      <c r="G7484">
        <f>IF(F7484="",0,1)</f>
        <v/>
      </c>
      <c r="H7484" s="29">
        <f>IF(F7484="","",INDEX(Deals!$E$2:$E$843,F7484))</f>
        <v/>
      </c>
      <c r="I7484">
        <f>IF(F7484="","",INDEX(Deals!$D$2:$D$843,F7484))</f>
        <v/>
      </c>
      <c r="J7484">
        <f>IF(F7484="","",INT(H7484)-B7484)</f>
        <v/>
      </c>
      <c r="K7484">
        <f>IF(B7484&gt;=Settings!$C$5,1,0)</f>
        <v/>
      </c>
    </row>
    <row r="7485">
      <c r="A7485" t="inlineStr">
        <is>
          <t>a6caa7469cd0660cb1c27ef7f7772f00</t>
        </is>
      </c>
      <c r="B7485" s="29" t="n">
        <v>43161</v>
      </c>
      <c r="C7485" t="inlineStr">
        <is>
          <t>2018-03</t>
        </is>
      </c>
      <c r="D7485" t="inlineStr">
        <is>
          <t>22c29808c4f815213303f8933030604c</t>
        </is>
      </c>
      <c r="E7485" t="inlineStr">
        <is>
          <t>direct_traffic</t>
        </is>
      </c>
      <c r="F7485">
        <f>IFERROR(MATCH(A7485,Deals!$A$2:$A$843,0),"")</f>
        <v/>
      </c>
      <c r="G7485">
        <f>IF(F7485="",0,1)</f>
        <v/>
      </c>
      <c r="H7485" s="29">
        <f>IF(F7485="","",INDEX(Deals!$E$2:$E$843,F7485))</f>
        <v/>
      </c>
      <c r="I7485">
        <f>IF(F7485="","",INDEX(Deals!$D$2:$D$843,F7485))</f>
        <v/>
      </c>
      <c r="J7485">
        <f>IF(F7485="","",INT(H7485)-B7485)</f>
        <v/>
      </c>
      <c r="K7485">
        <f>IF(B7485&gt;=Settings!$C$5,1,0)</f>
        <v/>
      </c>
    </row>
    <row r="7486">
      <c r="A7486" t="inlineStr">
        <is>
          <t>a57bf18e19b6b17e3d4fbc20561e2055</t>
        </is>
      </c>
      <c r="B7486" s="29" t="n">
        <v>42979</v>
      </c>
      <c r="C7486" t="inlineStr">
        <is>
          <t>2017-09</t>
        </is>
      </c>
      <c r="D7486" t="inlineStr">
        <is>
          <t>3c5cc1a2e1d86abfce2a16a1bcc80e26</t>
        </is>
      </c>
      <c r="E7486" t="inlineStr">
        <is>
          <t>organic_search</t>
        </is>
      </c>
      <c r="F7486">
        <f>IFERROR(MATCH(A7486,Deals!$A$2:$A$843,0),"")</f>
        <v/>
      </c>
      <c r="G7486">
        <f>IF(F7486="",0,1)</f>
        <v/>
      </c>
      <c r="H7486" s="29">
        <f>IF(F7486="","",INDEX(Deals!$E$2:$E$843,F7486))</f>
        <v/>
      </c>
      <c r="I7486">
        <f>IF(F7486="","",INDEX(Deals!$D$2:$D$843,F7486))</f>
        <v/>
      </c>
      <c r="J7486">
        <f>IF(F7486="","",INT(H7486)-B7486)</f>
        <v/>
      </c>
      <c r="K7486">
        <f>IF(B7486&gt;=Settings!$C$5,1,0)</f>
        <v/>
      </c>
    </row>
    <row r="7487">
      <c r="A7487" t="inlineStr">
        <is>
          <t>c6c65000e8d245e161471faa4801208c</t>
        </is>
      </c>
      <c r="B7487" s="29" t="n">
        <v>43026</v>
      </c>
      <c r="C7487" t="inlineStr">
        <is>
          <t>2017-10</t>
        </is>
      </c>
      <c r="D7487" t="inlineStr">
        <is>
          <t>1722481ac9e5371e5099dea226b5421d</t>
        </is>
      </c>
      <c r="E7487" t="inlineStr">
        <is>
          <t>social</t>
        </is>
      </c>
      <c r="F7487">
        <f>IFERROR(MATCH(A7487,Deals!$A$2:$A$843,0),"")</f>
        <v/>
      </c>
      <c r="G7487">
        <f>IF(F7487="",0,1)</f>
        <v/>
      </c>
      <c r="H7487" s="29">
        <f>IF(F7487="","",INDEX(Deals!$E$2:$E$843,F7487))</f>
        <v/>
      </c>
      <c r="I7487">
        <f>IF(F7487="","",INDEX(Deals!$D$2:$D$843,F7487))</f>
        <v/>
      </c>
      <c r="J7487">
        <f>IF(F7487="","",INT(H7487)-B7487)</f>
        <v/>
      </c>
      <c r="K7487">
        <f>IF(B7487&gt;=Settings!$C$5,1,0)</f>
        <v/>
      </c>
    </row>
    <row r="7488">
      <c r="A7488" t="inlineStr">
        <is>
          <t>d5eac06fe54b1f804e302e0e0423190a</t>
        </is>
      </c>
      <c r="B7488" s="29" t="n">
        <v>43177</v>
      </c>
      <c r="C7488" t="inlineStr">
        <is>
          <t>2018-03</t>
        </is>
      </c>
      <c r="D7488" t="inlineStr">
        <is>
          <t>241f79c7a8fe0270f4fb79fcbbcd17ad</t>
        </is>
      </c>
      <c r="E7488" t="inlineStr">
        <is>
          <t>paid_search</t>
        </is>
      </c>
      <c r="F7488">
        <f>IFERROR(MATCH(A7488,Deals!$A$2:$A$843,0),"")</f>
        <v/>
      </c>
      <c r="G7488">
        <f>IF(F7488="",0,1)</f>
        <v/>
      </c>
      <c r="H7488" s="29">
        <f>IF(F7488="","",INDEX(Deals!$E$2:$E$843,F7488))</f>
        <v/>
      </c>
      <c r="I7488">
        <f>IF(F7488="","",INDEX(Deals!$D$2:$D$843,F7488))</f>
        <v/>
      </c>
      <c r="J7488">
        <f>IF(F7488="","",INT(H7488)-B7488)</f>
        <v/>
      </c>
      <c r="K7488">
        <f>IF(B7488&gt;=Settings!$C$5,1,0)</f>
        <v/>
      </c>
    </row>
    <row r="7489">
      <c r="A7489" t="inlineStr">
        <is>
          <t>ef5ad26206c0cabf23fec07c2390eeaf</t>
        </is>
      </c>
      <c r="B7489" s="29" t="n">
        <v>43235</v>
      </c>
      <c r="C7489" t="inlineStr">
        <is>
          <t>2018-05</t>
        </is>
      </c>
      <c r="D7489" t="inlineStr">
        <is>
          <t>2f08471dfb83baef522f952438a36f6e</t>
        </is>
      </c>
      <c r="E7489" t="inlineStr">
        <is>
          <t>paid_search</t>
        </is>
      </c>
      <c r="F7489">
        <f>IFERROR(MATCH(A7489,Deals!$A$2:$A$843,0),"")</f>
        <v/>
      </c>
      <c r="G7489">
        <f>IF(F7489="",0,1)</f>
        <v/>
      </c>
      <c r="H7489" s="29">
        <f>IF(F7489="","",INDEX(Deals!$E$2:$E$843,F7489))</f>
        <v/>
      </c>
      <c r="I7489">
        <f>IF(F7489="","",INDEX(Deals!$D$2:$D$843,F7489))</f>
        <v/>
      </c>
      <c r="J7489">
        <f>IF(F7489="","",INT(H7489)-B7489)</f>
        <v/>
      </c>
      <c r="K7489">
        <f>IF(B7489&gt;=Settings!$C$5,1,0)</f>
        <v/>
      </c>
    </row>
    <row r="7490">
      <c r="A7490" t="inlineStr">
        <is>
          <t>10f5fbb1c0f0c452e46b48bca452a16d</t>
        </is>
      </c>
      <c r="B7490" s="29" t="n">
        <v>43220</v>
      </c>
      <c r="C7490" t="inlineStr">
        <is>
          <t>2018-04</t>
        </is>
      </c>
      <c r="D7490" t="inlineStr">
        <is>
          <t>58326e62183c14b0c03085c33b9fdc44</t>
        </is>
      </c>
      <c r="E7490" t="inlineStr">
        <is>
          <t>social</t>
        </is>
      </c>
      <c r="F7490">
        <f>IFERROR(MATCH(A7490,Deals!$A$2:$A$843,0),"")</f>
        <v/>
      </c>
      <c r="G7490">
        <f>IF(F7490="",0,1)</f>
        <v/>
      </c>
      <c r="H7490" s="29">
        <f>IF(F7490="","",INDEX(Deals!$E$2:$E$843,F7490))</f>
        <v/>
      </c>
      <c r="I7490">
        <f>IF(F7490="","",INDEX(Deals!$D$2:$D$843,F7490))</f>
        <v/>
      </c>
      <c r="J7490">
        <f>IF(F7490="","",INT(H7490)-B7490)</f>
        <v/>
      </c>
      <c r="K7490">
        <f>IF(B7490&gt;=Settings!$C$5,1,0)</f>
        <v/>
      </c>
    </row>
    <row r="7491">
      <c r="A7491" t="inlineStr">
        <is>
          <t>42cbcf5f53034b67f926aab284e155ec</t>
        </is>
      </c>
      <c r="B7491" s="29" t="n">
        <v>43146</v>
      </c>
      <c r="C7491" t="inlineStr">
        <is>
          <t>2018-02</t>
        </is>
      </c>
      <c r="D7491" t="inlineStr">
        <is>
          <t>b16779a74f2b20eb9a17a785519f63a0</t>
        </is>
      </c>
      <c r="E7491" t="inlineStr">
        <is>
          <t>paid_search</t>
        </is>
      </c>
      <c r="F7491">
        <f>IFERROR(MATCH(A7491,Deals!$A$2:$A$843,0),"")</f>
        <v/>
      </c>
      <c r="G7491">
        <f>IF(F7491="",0,1)</f>
        <v/>
      </c>
      <c r="H7491" s="29">
        <f>IF(F7491="","",INDEX(Deals!$E$2:$E$843,F7491))</f>
        <v/>
      </c>
      <c r="I7491">
        <f>IF(F7491="","",INDEX(Deals!$D$2:$D$843,F7491))</f>
        <v/>
      </c>
      <c r="J7491">
        <f>IF(F7491="","",INT(H7491)-B7491)</f>
        <v/>
      </c>
      <c r="K7491">
        <f>IF(B7491&gt;=Settings!$C$5,1,0)</f>
        <v/>
      </c>
    </row>
    <row r="7492">
      <c r="A7492" t="inlineStr">
        <is>
          <t>c9017f70c00a8572737c9f1cdda325e1</t>
        </is>
      </c>
      <c r="B7492" s="29" t="n">
        <v>43060</v>
      </c>
      <c r="C7492" t="inlineStr">
        <is>
          <t>2017-11</t>
        </is>
      </c>
      <c r="D7492" t="inlineStr">
        <is>
          <t>1722481ac9e5371e5099dea226b5421d</t>
        </is>
      </c>
      <c r="E7492" t="inlineStr">
        <is>
          <t>organic_search</t>
        </is>
      </c>
      <c r="F7492">
        <f>IFERROR(MATCH(A7492,Deals!$A$2:$A$843,0),"")</f>
        <v/>
      </c>
      <c r="G7492">
        <f>IF(F7492="",0,1)</f>
        <v/>
      </c>
      <c r="H7492" s="29">
        <f>IF(F7492="","",INDEX(Deals!$E$2:$E$843,F7492))</f>
        <v/>
      </c>
      <c r="I7492">
        <f>IF(F7492="","",INDEX(Deals!$D$2:$D$843,F7492))</f>
        <v/>
      </c>
      <c r="J7492">
        <f>IF(F7492="","",INT(H7492)-B7492)</f>
        <v/>
      </c>
      <c r="K7492">
        <f>IF(B7492&gt;=Settings!$C$5,1,0)</f>
        <v/>
      </c>
    </row>
    <row r="7493">
      <c r="A7493" t="inlineStr">
        <is>
          <t>0369b73b76b40cb95ff9168746896768</t>
        </is>
      </c>
      <c r="B7493" s="29" t="n">
        <v>42984</v>
      </c>
      <c r="C7493" t="inlineStr">
        <is>
          <t>2017-09</t>
        </is>
      </c>
      <c r="D7493" t="inlineStr">
        <is>
          <t>22c29808c4f815213303f8933030604c</t>
        </is>
      </c>
      <c r="E7493" t="inlineStr">
        <is>
          <t>direct_traffic</t>
        </is>
      </c>
      <c r="F7493">
        <f>IFERROR(MATCH(A7493,Deals!$A$2:$A$843,0),"")</f>
        <v/>
      </c>
      <c r="G7493">
        <f>IF(F7493="",0,1)</f>
        <v/>
      </c>
      <c r="H7493" s="29">
        <f>IF(F7493="","",INDEX(Deals!$E$2:$E$843,F7493))</f>
        <v/>
      </c>
      <c r="I7493">
        <f>IF(F7493="","",INDEX(Deals!$D$2:$D$843,F7493))</f>
        <v/>
      </c>
      <c r="J7493">
        <f>IF(F7493="","",INT(H7493)-B7493)</f>
        <v/>
      </c>
      <c r="K7493">
        <f>IF(B7493&gt;=Settings!$C$5,1,0)</f>
        <v/>
      </c>
    </row>
    <row r="7494">
      <c r="A7494" t="inlineStr">
        <is>
          <t>533aa9666119d578b635c3bdba609070</t>
        </is>
      </c>
      <c r="B7494" s="29" t="n">
        <v>43202</v>
      </c>
      <c r="C7494" t="inlineStr">
        <is>
          <t>2018-04</t>
        </is>
      </c>
      <c r="D7494" t="inlineStr">
        <is>
          <t>9fa37f5177115156b1814ffc237402a6</t>
        </is>
      </c>
      <c r="E7494" t="inlineStr">
        <is>
          <t>paid_search</t>
        </is>
      </c>
      <c r="F7494">
        <f>IFERROR(MATCH(A7494,Deals!$A$2:$A$843,0),"")</f>
        <v/>
      </c>
      <c r="G7494">
        <f>IF(F7494="",0,1)</f>
        <v/>
      </c>
      <c r="H7494" s="29">
        <f>IF(F7494="","",INDEX(Deals!$E$2:$E$843,F7494))</f>
        <v/>
      </c>
      <c r="I7494">
        <f>IF(F7494="","",INDEX(Deals!$D$2:$D$843,F7494))</f>
        <v/>
      </c>
      <c r="J7494">
        <f>IF(F7494="","",INT(H7494)-B7494)</f>
        <v/>
      </c>
      <c r="K7494">
        <f>IF(B7494&gt;=Settings!$C$5,1,0)</f>
        <v/>
      </c>
    </row>
    <row r="7495">
      <c r="A7495" t="inlineStr">
        <is>
          <t>eb454ad6be830064d49727814426bb6e</t>
        </is>
      </c>
      <c r="B7495" s="29" t="n">
        <v>43143</v>
      </c>
      <c r="C7495" t="inlineStr">
        <is>
          <t>2018-02</t>
        </is>
      </c>
      <c r="D7495" t="inlineStr">
        <is>
          <t>0218f6be0b76aca72ab4d00ee9e8cf10</t>
        </is>
      </c>
      <c r="E7495" t="inlineStr">
        <is>
          <t>paid_search</t>
        </is>
      </c>
      <c r="F7495">
        <f>IFERROR(MATCH(A7495,Deals!$A$2:$A$843,0),"")</f>
        <v/>
      </c>
      <c r="G7495">
        <f>IF(F7495="",0,1)</f>
        <v/>
      </c>
      <c r="H7495" s="29">
        <f>IF(F7495="","",INDEX(Deals!$E$2:$E$843,F7495))</f>
        <v/>
      </c>
      <c r="I7495">
        <f>IF(F7495="","",INDEX(Deals!$D$2:$D$843,F7495))</f>
        <v/>
      </c>
      <c r="J7495">
        <f>IF(F7495="","",INT(H7495)-B7495)</f>
        <v/>
      </c>
      <c r="K7495">
        <f>IF(B7495&gt;=Settings!$C$5,1,0)</f>
        <v/>
      </c>
    </row>
    <row r="7496">
      <c r="A7496" t="inlineStr">
        <is>
          <t>b14ab177881b4c06b81317c5f2034ede</t>
        </is>
      </c>
      <c r="B7496" s="29" t="n">
        <v>43214</v>
      </c>
      <c r="C7496" t="inlineStr">
        <is>
          <t>2018-04</t>
        </is>
      </c>
      <c r="D7496" t="inlineStr">
        <is>
          <t>40dec9f3d5259a3d2dbcdab2114fae47</t>
        </is>
      </c>
      <c r="E7496" t="inlineStr">
        <is>
          <t>paid_search</t>
        </is>
      </c>
      <c r="F7496">
        <f>IFERROR(MATCH(A7496,Deals!$A$2:$A$843,0),"")</f>
        <v/>
      </c>
      <c r="G7496">
        <f>IF(F7496="",0,1)</f>
        <v/>
      </c>
      <c r="H7496" s="29">
        <f>IF(F7496="","",INDEX(Deals!$E$2:$E$843,F7496))</f>
        <v/>
      </c>
      <c r="I7496">
        <f>IF(F7496="","",INDEX(Deals!$D$2:$D$843,F7496))</f>
        <v/>
      </c>
      <c r="J7496">
        <f>IF(F7496="","",INT(H7496)-B7496)</f>
        <v/>
      </c>
      <c r="K7496">
        <f>IF(B7496&gt;=Settings!$C$5,1,0)</f>
        <v/>
      </c>
    </row>
    <row r="7497">
      <c r="A7497" t="inlineStr">
        <is>
          <t>0c2304bdad6b851911bc217300c13102</t>
        </is>
      </c>
      <c r="B7497" s="29" t="n">
        <v>43098</v>
      </c>
      <c r="C7497" t="inlineStr">
        <is>
          <t>2017-12</t>
        </is>
      </c>
      <c r="D7497" t="inlineStr">
        <is>
          <t>22c29808c4f815213303f8933030604c</t>
        </is>
      </c>
      <c r="E7497" t="inlineStr">
        <is>
          <t>organic_search</t>
        </is>
      </c>
      <c r="F7497">
        <f>IFERROR(MATCH(A7497,Deals!$A$2:$A$843,0),"")</f>
        <v/>
      </c>
      <c r="G7497">
        <f>IF(F7497="",0,1)</f>
        <v/>
      </c>
      <c r="H7497" s="29">
        <f>IF(F7497="","",INDEX(Deals!$E$2:$E$843,F7497))</f>
        <v/>
      </c>
      <c r="I7497">
        <f>IF(F7497="","",INDEX(Deals!$D$2:$D$843,F7497))</f>
        <v/>
      </c>
      <c r="J7497">
        <f>IF(F7497="","",INT(H7497)-B7497)</f>
        <v/>
      </c>
      <c r="K7497">
        <f>IF(B7497&gt;=Settings!$C$5,1,0)</f>
        <v/>
      </c>
    </row>
    <row r="7498">
      <c r="A7498" t="inlineStr">
        <is>
          <t>921fc9c7fd3ec362c7276f81fa81baf9</t>
        </is>
      </c>
      <c r="B7498" s="29" t="n">
        <v>43138</v>
      </c>
      <c r="C7498" t="inlineStr">
        <is>
          <t>2018-02</t>
        </is>
      </c>
      <c r="D7498" t="inlineStr">
        <is>
          <t>40dec9f3d5259a3d2dbcdab2114fae47</t>
        </is>
      </c>
      <c r="E7498" t="inlineStr">
        <is>
          <t>paid_search</t>
        </is>
      </c>
      <c r="F7498">
        <f>IFERROR(MATCH(A7498,Deals!$A$2:$A$843,0),"")</f>
        <v/>
      </c>
      <c r="G7498">
        <f>IF(F7498="",0,1)</f>
        <v/>
      </c>
      <c r="H7498" s="29">
        <f>IF(F7498="","",INDEX(Deals!$E$2:$E$843,F7498))</f>
        <v/>
      </c>
      <c r="I7498">
        <f>IF(F7498="","",INDEX(Deals!$D$2:$D$843,F7498))</f>
        <v/>
      </c>
      <c r="J7498">
        <f>IF(F7498="","",INT(H7498)-B7498)</f>
        <v/>
      </c>
      <c r="K7498">
        <f>IF(B7498&gt;=Settings!$C$5,1,0)</f>
        <v/>
      </c>
    </row>
    <row r="7499">
      <c r="A7499" t="inlineStr">
        <is>
          <t>4e13cab9991e5cfbfcdc71acc908495b</t>
        </is>
      </c>
      <c r="B7499" s="29" t="n">
        <v>43235</v>
      </c>
      <c r="C7499" t="inlineStr">
        <is>
          <t>2018-05</t>
        </is>
      </c>
      <c r="D7499" t="inlineStr">
        <is>
          <t>36525851387908b96e770b1ce5d79a43</t>
        </is>
      </c>
      <c r="E7499" t="inlineStr">
        <is>
          <t>social</t>
        </is>
      </c>
      <c r="F7499">
        <f>IFERROR(MATCH(A7499,Deals!$A$2:$A$843,0),"")</f>
        <v/>
      </c>
      <c r="G7499">
        <f>IF(F7499="",0,1)</f>
        <v/>
      </c>
      <c r="H7499" s="29">
        <f>IF(F7499="","",INDEX(Deals!$E$2:$E$843,F7499))</f>
        <v/>
      </c>
      <c r="I7499">
        <f>IF(F7499="","",INDEX(Deals!$D$2:$D$843,F7499))</f>
        <v/>
      </c>
      <c r="J7499">
        <f>IF(F7499="","",INT(H7499)-B7499)</f>
        <v/>
      </c>
      <c r="K7499">
        <f>IF(B7499&gt;=Settings!$C$5,1,0)</f>
        <v/>
      </c>
    </row>
    <row r="7500">
      <c r="A7500" t="inlineStr">
        <is>
          <t>45b5846f3d142b0748d3dc2ab223ab6b</t>
        </is>
      </c>
      <c r="B7500" s="29" t="n">
        <v>43206</v>
      </c>
      <c r="C7500" t="inlineStr">
        <is>
          <t>2018-04</t>
        </is>
      </c>
      <c r="D7500" t="inlineStr">
        <is>
          <t>35c9b150ab36fe584c1f24fd458c453a</t>
        </is>
      </c>
      <c r="E7500" t="inlineStr">
        <is>
          <t>paid_search</t>
        </is>
      </c>
      <c r="F7500">
        <f>IFERROR(MATCH(A7500,Deals!$A$2:$A$843,0),"")</f>
        <v/>
      </c>
      <c r="G7500">
        <f>IF(F7500="",0,1)</f>
        <v/>
      </c>
      <c r="H7500" s="29">
        <f>IF(F7500="","",INDEX(Deals!$E$2:$E$843,F7500))</f>
        <v/>
      </c>
      <c r="I7500">
        <f>IF(F7500="","",INDEX(Deals!$D$2:$D$843,F7500))</f>
        <v/>
      </c>
      <c r="J7500">
        <f>IF(F7500="","",INT(H7500)-B7500)</f>
        <v/>
      </c>
      <c r="K7500">
        <f>IF(B7500&gt;=Settings!$C$5,1,0)</f>
        <v/>
      </c>
    </row>
    <row r="7501">
      <c r="A7501" t="inlineStr">
        <is>
          <t>49490f256a90aff2c2c4e151515fe241</t>
        </is>
      </c>
      <c r="B7501" s="29" t="n">
        <v>43138</v>
      </c>
      <c r="C7501" t="inlineStr">
        <is>
          <t>2018-02</t>
        </is>
      </c>
      <c r="D7501" t="inlineStr">
        <is>
          <t>b76ef37428e6799c421989521c0e5077</t>
        </is>
      </c>
      <c r="E7501" t="inlineStr">
        <is>
          <t>unknown</t>
        </is>
      </c>
      <c r="F7501">
        <f>IFERROR(MATCH(A7501,Deals!$A$2:$A$843,0),"")</f>
        <v/>
      </c>
      <c r="G7501">
        <f>IF(F7501="",0,1)</f>
        <v/>
      </c>
      <c r="H7501" s="29">
        <f>IF(F7501="","",INDEX(Deals!$E$2:$E$843,F7501))</f>
        <v/>
      </c>
      <c r="I7501">
        <f>IF(F7501="","",INDEX(Deals!$D$2:$D$843,F7501))</f>
        <v/>
      </c>
      <c r="J7501">
        <f>IF(F7501="","",INT(H7501)-B7501)</f>
        <v/>
      </c>
      <c r="K7501">
        <f>IF(B7501&gt;=Settings!$C$5,1,0)</f>
        <v/>
      </c>
    </row>
    <row r="7502">
      <c r="A7502" t="inlineStr">
        <is>
          <t>7b7b8fe6a7edcce3a60990b689411964</t>
        </is>
      </c>
      <c r="B7502" s="29" t="n">
        <v>43120</v>
      </c>
      <c r="C7502" t="inlineStr">
        <is>
          <t>2018-01</t>
        </is>
      </c>
      <c r="D7502" t="inlineStr">
        <is>
          <t>a7982125ff7aa3b2054c6e44f9d28522</t>
        </is>
      </c>
      <c r="E7502" t="inlineStr">
        <is>
          <t>organic_search</t>
        </is>
      </c>
      <c r="F7502">
        <f>IFERROR(MATCH(A7502,Deals!$A$2:$A$843,0),"")</f>
        <v/>
      </c>
      <c r="G7502">
        <f>IF(F7502="",0,1)</f>
        <v/>
      </c>
      <c r="H7502" s="29">
        <f>IF(F7502="","",INDEX(Deals!$E$2:$E$843,F7502))</f>
        <v/>
      </c>
      <c r="I7502">
        <f>IF(F7502="","",INDEX(Deals!$D$2:$D$843,F7502))</f>
        <v/>
      </c>
      <c r="J7502">
        <f>IF(F7502="","",INT(H7502)-B7502)</f>
        <v/>
      </c>
      <c r="K7502">
        <f>IF(B7502&gt;=Settings!$C$5,1,0)</f>
        <v/>
      </c>
    </row>
    <row r="7503">
      <c r="A7503" t="inlineStr">
        <is>
          <t>5821cfe0ecdefc2fb0734670b67ee796</t>
        </is>
      </c>
      <c r="B7503" s="29" t="n">
        <v>43230</v>
      </c>
      <c r="C7503" t="inlineStr">
        <is>
          <t>2018-05</t>
        </is>
      </c>
      <c r="D7503" t="inlineStr">
        <is>
          <t>b76ef37428e6799c421989521c0e5077</t>
        </is>
      </c>
      <c r="E7503" t="inlineStr">
        <is>
          <t>unknown</t>
        </is>
      </c>
      <c r="F7503">
        <f>IFERROR(MATCH(A7503,Deals!$A$2:$A$843,0),"")</f>
        <v/>
      </c>
      <c r="G7503">
        <f>IF(F7503="",0,1)</f>
        <v/>
      </c>
      <c r="H7503" s="29">
        <f>IF(F7503="","",INDEX(Deals!$E$2:$E$843,F7503))</f>
        <v/>
      </c>
      <c r="I7503">
        <f>IF(F7503="","",INDEX(Deals!$D$2:$D$843,F7503))</f>
        <v/>
      </c>
      <c r="J7503">
        <f>IF(F7503="","",INT(H7503)-B7503)</f>
        <v/>
      </c>
      <c r="K7503">
        <f>IF(B7503&gt;=Settings!$C$5,1,0)</f>
        <v/>
      </c>
    </row>
    <row r="7504">
      <c r="A7504" t="inlineStr">
        <is>
          <t>ce518001633ca4e1f2ae4b02f4dcb11f</t>
        </is>
      </c>
      <c r="B7504" s="29" t="n">
        <v>43130</v>
      </c>
      <c r="C7504" t="inlineStr">
        <is>
          <t>2018-01</t>
        </is>
      </c>
      <c r="D7504" t="inlineStr">
        <is>
          <t>22c29808c4f815213303f8933030604c</t>
        </is>
      </c>
      <c r="E7504" t="inlineStr">
        <is>
          <t>organic_search</t>
        </is>
      </c>
      <c r="F7504">
        <f>IFERROR(MATCH(A7504,Deals!$A$2:$A$843,0),"")</f>
        <v/>
      </c>
      <c r="G7504">
        <f>IF(F7504="",0,1)</f>
        <v/>
      </c>
      <c r="H7504" s="29">
        <f>IF(F7504="","",INDEX(Deals!$E$2:$E$843,F7504))</f>
        <v/>
      </c>
      <c r="I7504">
        <f>IF(F7504="","",INDEX(Deals!$D$2:$D$843,F7504))</f>
        <v/>
      </c>
      <c r="J7504">
        <f>IF(F7504="","",INT(H7504)-B7504)</f>
        <v/>
      </c>
      <c r="K7504">
        <f>IF(B7504&gt;=Settings!$C$5,1,0)</f>
        <v/>
      </c>
    </row>
    <row r="7505">
      <c r="A7505" t="inlineStr">
        <is>
          <t>e60f9011ef48d8d02f27f16d2a8175c1</t>
        </is>
      </c>
      <c r="B7505" s="29" t="n">
        <v>43164</v>
      </c>
      <c r="C7505" t="inlineStr">
        <is>
          <t>2018-03</t>
        </is>
      </c>
      <c r="D7505" t="inlineStr">
        <is>
          <t>a7982125ff7aa3b2054c6e44f9d28522</t>
        </is>
      </c>
      <c r="E7505" t="inlineStr">
        <is>
          <t>referral</t>
        </is>
      </c>
      <c r="F7505">
        <f>IFERROR(MATCH(A7505,Deals!$A$2:$A$843,0),"")</f>
        <v/>
      </c>
      <c r="G7505">
        <f>IF(F7505="",0,1)</f>
        <v/>
      </c>
      <c r="H7505" s="29">
        <f>IF(F7505="","",INDEX(Deals!$E$2:$E$843,F7505))</f>
        <v/>
      </c>
      <c r="I7505">
        <f>IF(F7505="","",INDEX(Deals!$D$2:$D$843,F7505))</f>
        <v/>
      </c>
      <c r="J7505">
        <f>IF(F7505="","",INT(H7505)-B7505)</f>
        <v/>
      </c>
      <c r="K7505">
        <f>IF(B7505&gt;=Settings!$C$5,1,0)</f>
        <v/>
      </c>
    </row>
    <row r="7506">
      <c r="A7506" t="inlineStr">
        <is>
          <t>4855e26d826415333fb974a0414f395c</t>
        </is>
      </c>
      <c r="B7506" s="29" t="n">
        <v>43193</v>
      </c>
      <c r="C7506" t="inlineStr">
        <is>
          <t>2018-04</t>
        </is>
      </c>
      <c r="D7506" t="inlineStr">
        <is>
          <t>58326e62183c14b0c03085c33b9fdc44</t>
        </is>
      </c>
      <c r="E7506" t="inlineStr">
        <is>
          <t>social</t>
        </is>
      </c>
      <c r="F7506">
        <f>IFERROR(MATCH(A7506,Deals!$A$2:$A$843,0),"")</f>
        <v/>
      </c>
      <c r="G7506">
        <f>IF(F7506="",0,1)</f>
        <v/>
      </c>
      <c r="H7506" s="29">
        <f>IF(F7506="","",INDEX(Deals!$E$2:$E$843,F7506))</f>
        <v/>
      </c>
      <c r="I7506">
        <f>IF(F7506="","",INDEX(Deals!$D$2:$D$843,F7506))</f>
        <v/>
      </c>
      <c r="J7506">
        <f>IF(F7506="","",INT(H7506)-B7506)</f>
        <v/>
      </c>
      <c r="K7506">
        <f>IF(B7506&gt;=Settings!$C$5,1,0)</f>
        <v/>
      </c>
    </row>
    <row r="7507">
      <c r="A7507" t="inlineStr">
        <is>
          <t>8dd6c8ced32cca354f48b298d317d706</t>
        </is>
      </c>
      <c r="B7507" s="29" t="n">
        <v>43117</v>
      </c>
      <c r="C7507" t="inlineStr">
        <is>
          <t>2018-01</t>
        </is>
      </c>
      <c r="D7507" t="inlineStr">
        <is>
          <t>22c29808c4f815213303f8933030604c</t>
        </is>
      </c>
      <c r="E7507" t="inlineStr">
        <is>
          <t>unknown</t>
        </is>
      </c>
      <c r="F7507">
        <f>IFERROR(MATCH(A7507,Deals!$A$2:$A$843,0),"")</f>
        <v/>
      </c>
      <c r="G7507">
        <f>IF(F7507="",0,1)</f>
        <v/>
      </c>
      <c r="H7507" s="29">
        <f>IF(F7507="","",INDEX(Deals!$E$2:$E$843,F7507))</f>
        <v/>
      </c>
      <c r="I7507">
        <f>IF(F7507="","",INDEX(Deals!$D$2:$D$843,F7507))</f>
        <v/>
      </c>
      <c r="J7507">
        <f>IF(F7507="","",INT(H7507)-B7507)</f>
        <v/>
      </c>
      <c r="K7507">
        <f>IF(B7507&gt;=Settings!$C$5,1,0)</f>
        <v/>
      </c>
    </row>
    <row r="7508">
      <c r="A7508" t="inlineStr">
        <is>
          <t>ec37ce1556cbcc5dcdbeecb22a740d0e</t>
        </is>
      </c>
      <c r="B7508" s="29" t="n">
        <v>43198</v>
      </c>
      <c r="C7508" t="inlineStr">
        <is>
          <t>2018-04</t>
        </is>
      </c>
      <c r="D7508" t="inlineStr">
        <is>
          <t>649b7b8b46b254497e92038d88f6ced8</t>
        </is>
      </c>
      <c r="E7508" t="inlineStr">
        <is>
          <t>social</t>
        </is>
      </c>
      <c r="F7508">
        <f>IFERROR(MATCH(A7508,Deals!$A$2:$A$843,0),"")</f>
        <v/>
      </c>
      <c r="G7508">
        <f>IF(F7508="",0,1)</f>
        <v/>
      </c>
      <c r="H7508" s="29">
        <f>IF(F7508="","",INDEX(Deals!$E$2:$E$843,F7508))</f>
        <v/>
      </c>
      <c r="I7508">
        <f>IF(F7508="","",INDEX(Deals!$D$2:$D$843,F7508))</f>
        <v/>
      </c>
      <c r="J7508">
        <f>IF(F7508="","",INT(H7508)-B7508)</f>
        <v/>
      </c>
      <c r="K7508">
        <f>IF(B7508&gt;=Settings!$C$5,1,0)</f>
        <v/>
      </c>
    </row>
    <row r="7509">
      <c r="A7509" t="inlineStr">
        <is>
          <t>5c7b65545dfb440271b81f1b22288a63</t>
        </is>
      </c>
      <c r="B7509" s="29" t="n">
        <v>43210</v>
      </c>
      <c r="C7509" t="inlineStr">
        <is>
          <t>2018-04</t>
        </is>
      </c>
      <c r="D7509" t="inlineStr">
        <is>
          <t>5da54625ee0a9560dc9b9b9f6ccb03d0</t>
        </is>
      </c>
      <c r="E7509" t="inlineStr">
        <is>
          <t>paid_search</t>
        </is>
      </c>
      <c r="F7509">
        <f>IFERROR(MATCH(A7509,Deals!$A$2:$A$843,0),"")</f>
        <v/>
      </c>
      <c r="G7509">
        <f>IF(F7509="",0,1)</f>
        <v/>
      </c>
      <c r="H7509" s="29">
        <f>IF(F7509="","",INDEX(Deals!$E$2:$E$843,F7509))</f>
        <v/>
      </c>
      <c r="I7509">
        <f>IF(F7509="","",INDEX(Deals!$D$2:$D$843,F7509))</f>
        <v/>
      </c>
      <c r="J7509">
        <f>IF(F7509="","",INT(H7509)-B7509)</f>
        <v/>
      </c>
      <c r="K7509">
        <f>IF(B7509&gt;=Settings!$C$5,1,0)</f>
        <v/>
      </c>
    </row>
    <row r="7510">
      <c r="A7510" t="inlineStr">
        <is>
          <t>3a9e4c82e369e150f168b93dff9604b2</t>
        </is>
      </c>
      <c r="B7510" s="29" t="n">
        <v>43051</v>
      </c>
      <c r="C7510" t="inlineStr">
        <is>
          <t>2017-11</t>
        </is>
      </c>
      <c r="D7510" t="inlineStr">
        <is>
          <t>1754aa3138d36ccc989ffa4362719181</t>
        </is>
      </c>
      <c r="E7510" t="inlineStr">
        <is>
          <t>direct_traffic</t>
        </is>
      </c>
      <c r="F7510">
        <f>IFERROR(MATCH(A7510,Deals!$A$2:$A$843,0),"")</f>
        <v/>
      </c>
      <c r="G7510">
        <f>IF(F7510="",0,1)</f>
        <v/>
      </c>
      <c r="H7510" s="29">
        <f>IF(F7510="","",INDEX(Deals!$E$2:$E$843,F7510))</f>
        <v/>
      </c>
      <c r="I7510">
        <f>IF(F7510="","",INDEX(Deals!$D$2:$D$843,F7510))</f>
        <v/>
      </c>
      <c r="J7510">
        <f>IF(F7510="","",INT(H7510)-B7510)</f>
        <v/>
      </c>
      <c r="K7510">
        <f>IF(B7510&gt;=Settings!$C$5,1,0)</f>
        <v/>
      </c>
    </row>
    <row r="7511">
      <c r="A7511" t="inlineStr">
        <is>
          <t>d3a5264ea817ce57b3c026e6c15671cd</t>
        </is>
      </c>
      <c r="B7511" s="29" t="n">
        <v>43150</v>
      </c>
      <c r="C7511" t="inlineStr">
        <is>
          <t>2018-02</t>
        </is>
      </c>
      <c r="D7511" t="inlineStr">
        <is>
          <t>b76ef37428e6799c421989521c0e5077</t>
        </is>
      </c>
      <c r="E7511" t="inlineStr">
        <is>
          <t>unknown</t>
        </is>
      </c>
      <c r="F7511">
        <f>IFERROR(MATCH(A7511,Deals!$A$2:$A$843,0),"")</f>
        <v/>
      </c>
      <c r="G7511">
        <f>IF(F7511="",0,1)</f>
        <v/>
      </c>
      <c r="H7511" s="29">
        <f>IF(F7511="","",INDEX(Deals!$E$2:$E$843,F7511))</f>
        <v/>
      </c>
      <c r="I7511">
        <f>IF(F7511="","",INDEX(Deals!$D$2:$D$843,F7511))</f>
        <v/>
      </c>
      <c r="J7511">
        <f>IF(F7511="","",INT(H7511)-B7511)</f>
        <v/>
      </c>
      <c r="K7511">
        <f>IF(B7511&gt;=Settings!$C$5,1,0)</f>
        <v/>
      </c>
    </row>
    <row r="7512">
      <c r="A7512" t="inlineStr">
        <is>
          <t>1e5bef26e8dfbf7d72ab4979d14faea1</t>
        </is>
      </c>
      <c r="B7512" s="29" t="n">
        <v>43196</v>
      </c>
      <c r="C7512" t="inlineStr">
        <is>
          <t>2018-04</t>
        </is>
      </c>
      <c r="D7512" t="inlineStr">
        <is>
          <t>2f08471dfb83baef522f952438a36f6e</t>
        </is>
      </c>
      <c r="E7512" t="inlineStr">
        <is>
          <t>organic_search</t>
        </is>
      </c>
      <c r="F7512">
        <f>IFERROR(MATCH(A7512,Deals!$A$2:$A$843,0),"")</f>
        <v/>
      </c>
      <c r="G7512">
        <f>IF(F7512="",0,1)</f>
        <v/>
      </c>
      <c r="H7512" s="29">
        <f>IF(F7512="","",INDEX(Deals!$E$2:$E$843,F7512))</f>
        <v/>
      </c>
      <c r="I7512">
        <f>IF(F7512="","",INDEX(Deals!$D$2:$D$843,F7512))</f>
        <v/>
      </c>
      <c r="J7512">
        <f>IF(F7512="","",INT(H7512)-B7512)</f>
        <v/>
      </c>
      <c r="K7512">
        <f>IF(B7512&gt;=Settings!$C$5,1,0)</f>
        <v/>
      </c>
    </row>
    <row r="7513">
      <c r="A7513" t="inlineStr">
        <is>
          <t>0ae56f8ea96a4ad55d383a942063b788</t>
        </is>
      </c>
      <c r="B7513" s="29" t="n">
        <v>43173</v>
      </c>
      <c r="C7513" t="inlineStr">
        <is>
          <t>2018-03</t>
        </is>
      </c>
      <c r="D7513" t="inlineStr">
        <is>
          <t>65d9f9d71e562365e8b44037c2888d98</t>
        </is>
      </c>
      <c r="E7513" t="inlineStr">
        <is>
          <t>unknown</t>
        </is>
      </c>
      <c r="F7513">
        <f>IFERROR(MATCH(A7513,Deals!$A$2:$A$843,0),"")</f>
        <v/>
      </c>
      <c r="G7513">
        <f>IF(F7513="",0,1)</f>
        <v/>
      </c>
      <c r="H7513" s="29">
        <f>IF(F7513="","",INDEX(Deals!$E$2:$E$843,F7513))</f>
        <v/>
      </c>
      <c r="I7513">
        <f>IF(F7513="","",INDEX(Deals!$D$2:$D$843,F7513))</f>
        <v/>
      </c>
      <c r="J7513">
        <f>IF(F7513="","",INT(H7513)-B7513)</f>
        <v/>
      </c>
      <c r="K7513">
        <f>IF(B7513&gt;=Settings!$C$5,1,0)</f>
        <v/>
      </c>
    </row>
    <row r="7514">
      <c r="A7514" t="inlineStr">
        <is>
          <t>443463fa02b552acd2481d29586a825b</t>
        </is>
      </c>
      <c r="B7514" s="29" t="n">
        <v>43125</v>
      </c>
      <c r="C7514" t="inlineStr">
        <is>
          <t>2018-01</t>
        </is>
      </c>
      <c r="D7514" t="inlineStr">
        <is>
          <t>f017be4dbf86243af5c1ebed0cff36a2</t>
        </is>
      </c>
      <c r="E7514" t="inlineStr">
        <is>
          <t>social</t>
        </is>
      </c>
      <c r="F7514">
        <f>IFERROR(MATCH(A7514,Deals!$A$2:$A$843,0),"")</f>
        <v/>
      </c>
      <c r="G7514">
        <f>IF(F7514="",0,1)</f>
        <v/>
      </c>
      <c r="H7514" s="29">
        <f>IF(F7514="","",INDEX(Deals!$E$2:$E$843,F7514))</f>
        <v/>
      </c>
      <c r="I7514">
        <f>IF(F7514="","",INDEX(Deals!$D$2:$D$843,F7514))</f>
        <v/>
      </c>
      <c r="J7514">
        <f>IF(F7514="","",INT(H7514)-B7514)</f>
        <v/>
      </c>
      <c r="K7514">
        <f>IF(B7514&gt;=Settings!$C$5,1,0)</f>
        <v/>
      </c>
    </row>
    <row r="7515">
      <c r="A7515" t="inlineStr">
        <is>
          <t>c8c0c749da5056804a5bfcfe44b778e4</t>
        </is>
      </c>
      <c r="B7515" s="29" t="n">
        <v>43047</v>
      </c>
      <c r="C7515" t="inlineStr">
        <is>
          <t>2017-11</t>
        </is>
      </c>
      <c r="D7515" t="inlineStr">
        <is>
          <t>88740e65d5d6b056e0cda098e1ea6313</t>
        </is>
      </c>
      <c r="E7515" t="inlineStr">
        <is>
          <t>social</t>
        </is>
      </c>
      <c r="F7515">
        <f>IFERROR(MATCH(A7515,Deals!$A$2:$A$843,0),"")</f>
        <v/>
      </c>
      <c r="G7515">
        <f>IF(F7515="",0,1)</f>
        <v/>
      </c>
      <c r="H7515" s="29">
        <f>IF(F7515="","",INDEX(Deals!$E$2:$E$843,F7515))</f>
        <v/>
      </c>
      <c r="I7515">
        <f>IF(F7515="","",INDEX(Deals!$D$2:$D$843,F7515))</f>
        <v/>
      </c>
      <c r="J7515">
        <f>IF(F7515="","",INT(H7515)-B7515)</f>
        <v/>
      </c>
      <c r="K7515">
        <f>IF(B7515&gt;=Settings!$C$5,1,0)</f>
        <v/>
      </c>
    </row>
    <row r="7516">
      <c r="A7516" t="inlineStr">
        <is>
          <t>01308a382d9fc5d88b729cc9183f96a7</t>
        </is>
      </c>
      <c r="B7516" s="29" t="n">
        <v>43227</v>
      </c>
      <c r="C7516" t="inlineStr">
        <is>
          <t>2018-05</t>
        </is>
      </c>
      <c r="D7516" t="inlineStr">
        <is>
          <t>58326e62183c14b0c03085c33b9fdc44</t>
        </is>
      </c>
      <c r="E7516" t="inlineStr">
        <is>
          <t>social</t>
        </is>
      </c>
      <c r="F7516">
        <f>IFERROR(MATCH(A7516,Deals!$A$2:$A$843,0),"")</f>
        <v/>
      </c>
      <c r="G7516">
        <f>IF(F7516="",0,1)</f>
        <v/>
      </c>
      <c r="H7516" s="29">
        <f>IF(F7516="","",INDEX(Deals!$E$2:$E$843,F7516))</f>
        <v/>
      </c>
      <c r="I7516">
        <f>IF(F7516="","",INDEX(Deals!$D$2:$D$843,F7516))</f>
        <v/>
      </c>
      <c r="J7516">
        <f>IF(F7516="","",INT(H7516)-B7516)</f>
        <v/>
      </c>
      <c r="K7516">
        <f>IF(B7516&gt;=Settings!$C$5,1,0)</f>
        <v/>
      </c>
    </row>
    <row r="7517">
      <c r="A7517" t="inlineStr">
        <is>
          <t>4d1180e592869543e75486faa4eb9d23</t>
        </is>
      </c>
      <c r="B7517" s="29" t="n">
        <v>43066</v>
      </c>
      <c r="C7517" t="inlineStr">
        <is>
          <t>2017-11</t>
        </is>
      </c>
      <c r="D7517" t="inlineStr">
        <is>
          <t>b76ef37428e6799c421989521c0e5077</t>
        </is>
      </c>
      <c r="E7517" t="inlineStr">
        <is>
          <t>unknown</t>
        </is>
      </c>
      <c r="F7517">
        <f>IFERROR(MATCH(A7517,Deals!$A$2:$A$843,0),"")</f>
        <v/>
      </c>
      <c r="G7517">
        <f>IF(F7517="",0,1)</f>
        <v/>
      </c>
      <c r="H7517" s="29">
        <f>IF(F7517="","",INDEX(Deals!$E$2:$E$843,F7517))</f>
        <v/>
      </c>
      <c r="I7517">
        <f>IF(F7517="","",INDEX(Deals!$D$2:$D$843,F7517))</f>
        <v/>
      </c>
      <c r="J7517">
        <f>IF(F7517="","",INT(H7517)-B7517)</f>
        <v/>
      </c>
      <c r="K7517">
        <f>IF(B7517&gt;=Settings!$C$5,1,0)</f>
        <v/>
      </c>
    </row>
    <row r="7518">
      <c r="A7518" t="inlineStr">
        <is>
          <t>341d4a2ff35fb1a23abe056798b04d41</t>
        </is>
      </c>
      <c r="B7518" s="29" t="n">
        <v>43141</v>
      </c>
      <c r="C7518" t="inlineStr">
        <is>
          <t>2018-02</t>
        </is>
      </c>
      <c r="D7518" t="inlineStr">
        <is>
          <t>f017be4dbf86243af5c1ebed0cff36a2</t>
        </is>
      </c>
      <c r="E7518" t="inlineStr">
        <is>
          <t>paid_search</t>
        </is>
      </c>
      <c r="F7518">
        <f>IFERROR(MATCH(A7518,Deals!$A$2:$A$843,0),"")</f>
        <v/>
      </c>
      <c r="G7518">
        <f>IF(F7518="",0,1)</f>
        <v/>
      </c>
      <c r="H7518" s="29">
        <f>IF(F7518="","",INDEX(Deals!$E$2:$E$843,F7518))</f>
        <v/>
      </c>
      <c r="I7518">
        <f>IF(F7518="","",INDEX(Deals!$D$2:$D$843,F7518))</f>
        <v/>
      </c>
      <c r="J7518">
        <f>IF(F7518="","",INT(H7518)-B7518)</f>
        <v/>
      </c>
      <c r="K7518">
        <f>IF(B7518&gt;=Settings!$C$5,1,0)</f>
        <v/>
      </c>
    </row>
    <row r="7519">
      <c r="A7519" t="inlineStr">
        <is>
          <t>be4dfce0bd450fdd57fda1bd637ad712</t>
        </is>
      </c>
      <c r="B7519" s="29" t="n">
        <v>43006</v>
      </c>
      <c r="C7519" t="inlineStr">
        <is>
          <t>2017-09</t>
        </is>
      </c>
      <c r="D7519" t="inlineStr">
        <is>
          <t>007f9098284a86ee80ddeb25d53e0af8</t>
        </is>
      </c>
      <c r="E7519" t="inlineStr">
        <is>
          <t>paid_search</t>
        </is>
      </c>
      <c r="F7519">
        <f>IFERROR(MATCH(A7519,Deals!$A$2:$A$843,0),"")</f>
        <v/>
      </c>
      <c r="G7519">
        <f>IF(F7519="",0,1)</f>
        <v/>
      </c>
      <c r="H7519" s="29">
        <f>IF(F7519="","",INDEX(Deals!$E$2:$E$843,F7519))</f>
        <v/>
      </c>
      <c r="I7519">
        <f>IF(F7519="","",INDEX(Deals!$D$2:$D$843,F7519))</f>
        <v/>
      </c>
      <c r="J7519">
        <f>IF(F7519="","",INT(H7519)-B7519)</f>
        <v/>
      </c>
      <c r="K7519">
        <f>IF(B7519&gt;=Settings!$C$5,1,0)</f>
        <v/>
      </c>
    </row>
    <row r="7520">
      <c r="A7520" t="inlineStr">
        <is>
          <t>9542f2f27285580fe8d6aa82e179ed28</t>
        </is>
      </c>
      <c r="B7520" s="29" t="n">
        <v>43118</v>
      </c>
      <c r="C7520" t="inlineStr">
        <is>
          <t>2018-01</t>
        </is>
      </c>
      <c r="D7520" t="inlineStr">
        <is>
          <t>b3346ddd5d7b2edda306d8f531e58660</t>
        </is>
      </c>
      <c r="E7520" t="inlineStr">
        <is>
          <t>(missing)</t>
        </is>
      </c>
      <c r="F7520">
        <f>IFERROR(MATCH(A7520,Deals!$A$2:$A$843,0),"")</f>
        <v/>
      </c>
      <c r="G7520">
        <f>IF(F7520="",0,1)</f>
        <v/>
      </c>
      <c r="H7520" s="29">
        <f>IF(F7520="","",INDEX(Deals!$E$2:$E$843,F7520))</f>
        <v/>
      </c>
      <c r="I7520">
        <f>IF(F7520="","",INDEX(Deals!$D$2:$D$843,F7520))</f>
        <v/>
      </c>
      <c r="J7520">
        <f>IF(F7520="","",INT(H7520)-B7520)</f>
        <v/>
      </c>
      <c r="K7520">
        <f>IF(B7520&gt;=Settings!$C$5,1,0)</f>
        <v/>
      </c>
    </row>
    <row r="7521">
      <c r="A7521" t="inlineStr">
        <is>
          <t>83ec8154edad2158d66dfd9be59d0b44</t>
        </is>
      </c>
      <c r="B7521" s="29" t="n">
        <v>43195</v>
      </c>
      <c r="C7521" t="inlineStr">
        <is>
          <t>2018-04</t>
        </is>
      </c>
      <c r="D7521" t="inlineStr">
        <is>
          <t>b76ef37428e6799c421989521c0e5077</t>
        </is>
      </c>
      <c r="E7521" t="inlineStr">
        <is>
          <t>unknown</t>
        </is>
      </c>
      <c r="F7521">
        <f>IFERROR(MATCH(A7521,Deals!$A$2:$A$843,0),"")</f>
        <v/>
      </c>
      <c r="G7521">
        <f>IF(F7521="",0,1)</f>
        <v/>
      </c>
      <c r="H7521" s="29">
        <f>IF(F7521="","",INDEX(Deals!$E$2:$E$843,F7521))</f>
        <v/>
      </c>
      <c r="I7521">
        <f>IF(F7521="","",INDEX(Deals!$D$2:$D$843,F7521))</f>
        <v/>
      </c>
      <c r="J7521">
        <f>IF(F7521="","",INT(H7521)-B7521)</f>
        <v/>
      </c>
      <c r="K7521">
        <f>IF(B7521&gt;=Settings!$C$5,1,0)</f>
        <v/>
      </c>
    </row>
    <row r="7522">
      <c r="A7522" t="inlineStr">
        <is>
          <t>471c96afb06d58297ee23ae23d6e18fd</t>
        </is>
      </c>
      <c r="B7522" s="29" t="n">
        <v>42961</v>
      </c>
      <c r="C7522" t="inlineStr">
        <is>
          <t>2017-08</t>
        </is>
      </c>
      <c r="D7522" t="inlineStr">
        <is>
          <t>87732658ba41d8775e8577df347a64db</t>
        </is>
      </c>
      <c r="E7522" t="inlineStr">
        <is>
          <t>social</t>
        </is>
      </c>
      <c r="F7522">
        <f>IFERROR(MATCH(A7522,Deals!$A$2:$A$843,0),"")</f>
        <v/>
      </c>
      <c r="G7522">
        <f>IF(F7522="",0,1)</f>
        <v/>
      </c>
      <c r="H7522" s="29">
        <f>IF(F7522="","",INDEX(Deals!$E$2:$E$843,F7522))</f>
        <v/>
      </c>
      <c r="I7522">
        <f>IF(F7522="","",INDEX(Deals!$D$2:$D$843,F7522))</f>
        <v/>
      </c>
      <c r="J7522">
        <f>IF(F7522="","",INT(H7522)-B7522)</f>
        <v/>
      </c>
      <c r="K7522">
        <f>IF(B7522&gt;=Settings!$C$5,1,0)</f>
        <v/>
      </c>
    </row>
    <row r="7523">
      <c r="A7523" t="inlineStr">
        <is>
          <t>4f91efe6bc8cdfee8fd8a1a486a14f26</t>
        </is>
      </c>
      <c r="B7523" s="29" t="n">
        <v>43209</v>
      </c>
      <c r="C7523" t="inlineStr">
        <is>
          <t>2018-04</t>
        </is>
      </c>
      <c r="D7523" t="inlineStr">
        <is>
          <t>b76ef37428e6799c421989521c0e5077</t>
        </is>
      </c>
      <c r="E7523" t="inlineStr">
        <is>
          <t>paid_search</t>
        </is>
      </c>
      <c r="F7523">
        <f>IFERROR(MATCH(A7523,Deals!$A$2:$A$843,0),"")</f>
        <v/>
      </c>
      <c r="G7523">
        <f>IF(F7523="",0,1)</f>
        <v/>
      </c>
      <c r="H7523" s="29">
        <f>IF(F7523="","",INDEX(Deals!$E$2:$E$843,F7523))</f>
        <v/>
      </c>
      <c r="I7523">
        <f>IF(F7523="","",INDEX(Deals!$D$2:$D$843,F7523))</f>
        <v/>
      </c>
      <c r="J7523">
        <f>IF(F7523="","",INT(H7523)-B7523)</f>
        <v/>
      </c>
      <c r="K7523">
        <f>IF(B7523&gt;=Settings!$C$5,1,0)</f>
        <v/>
      </c>
    </row>
    <row r="7524">
      <c r="A7524" t="inlineStr">
        <is>
          <t>1217984b38cadfb4b1c15f30a3212680</t>
        </is>
      </c>
      <c r="B7524" s="29" t="n">
        <v>43124</v>
      </c>
      <c r="C7524" t="inlineStr">
        <is>
          <t>2018-01</t>
        </is>
      </c>
      <c r="D7524" t="inlineStr">
        <is>
          <t>40dec9f3d5259a3d2dbcdab2114fae47</t>
        </is>
      </c>
      <c r="E7524" t="inlineStr">
        <is>
          <t>organic_search</t>
        </is>
      </c>
      <c r="F7524">
        <f>IFERROR(MATCH(A7524,Deals!$A$2:$A$843,0),"")</f>
        <v/>
      </c>
      <c r="G7524">
        <f>IF(F7524="",0,1)</f>
        <v/>
      </c>
      <c r="H7524" s="29">
        <f>IF(F7524="","",INDEX(Deals!$E$2:$E$843,F7524))</f>
        <v/>
      </c>
      <c r="I7524">
        <f>IF(F7524="","",INDEX(Deals!$D$2:$D$843,F7524))</f>
        <v/>
      </c>
      <c r="J7524">
        <f>IF(F7524="","",INT(H7524)-B7524)</f>
        <v/>
      </c>
      <c r="K7524">
        <f>IF(B7524&gt;=Settings!$C$5,1,0)</f>
        <v/>
      </c>
    </row>
    <row r="7525">
      <c r="A7525" t="inlineStr">
        <is>
          <t>18bf4a47d5777efe47c421645d19f2f1</t>
        </is>
      </c>
      <c r="B7525" s="29" t="n">
        <v>42993</v>
      </c>
      <c r="C7525" t="inlineStr">
        <is>
          <t>2017-09</t>
        </is>
      </c>
      <c r="D7525" t="inlineStr">
        <is>
          <t>dd6f55db3947b0aeaadb65a610334799</t>
        </is>
      </c>
      <c r="E7525" t="inlineStr">
        <is>
          <t>referral</t>
        </is>
      </c>
      <c r="F7525">
        <f>IFERROR(MATCH(A7525,Deals!$A$2:$A$843,0),"")</f>
        <v/>
      </c>
      <c r="G7525">
        <f>IF(F7525="",0,1)</f>
        <v/>
      </c>
      <c r="H7525" s="29">
        <f>IF(F7525="","",INDEX(Deals!$E$2:$E$843,F7525))</f>
        <v/>
      </c>
      <c r="I7525">
        <f>IF(F7525="","",INDEX(Deals!$D$2:$D$843,F7525))</f>
        <v/>
      </c>
      <c r="J7525">
        <f>IF(F7525="","",INT(H7525)-B7525)</f>
        <v/>
      </c>
      <c r="K7525">
        <f>IF(B7525&gt;=Settings!$C$5,1,0)</f>
        <v/>
      </c>
    </row>
    <row r="7526">
      <c r="A7526" t="inlineStr">
        <is>
          <t>fab95ca615e1403b9b80a661c156eb30</t>
        </is>
      </c>
      <c r="B7526" s="29" t="n">
        <v>43234</v>
      </c>
      <c r="C7526" t="inlineStr">
        <is>
          <t>2018-05</t>
        </is>
      </c>
      <c r="D7526" t="inlineStr">
        <is>
          <t>15cf89bab2c3163b4f9d8601d108f8b2</t>
        </is>
      </c>
      <c r="E7526" t="inlineStr">
        <is>
          <t>organic_search</t>
        </is>
      </c>
      <c r="F7526">
        <f>IFERROR(MATCH(A7526,Deals!$A$2:$A$843,0),"")</f>
        <v/>
      </c>
      <c r="G7526">
        <f>IF(F7526="",0,1)</f>
        <v/>
      </c>
      <c r="H7526" s="29">
        <f>IF(F7526="","",INDEX(Deals!$E$2:$E$843,F7526))</f>
        <v/>
      </c>
      <c r="I7526">
        <f>IF(F7526="","",INDEX(Deals!$D$2:$D$843,F7526))</f>
        <v/>
      </c>
      <c r="J7526">
        <f>IF(F7526="","",INT(H7526)-B7526)</f>
        <v/>
      </c>
      <c r="K7526">
        <f>IF(B7526&gt;=Settings!$C$5,1,0)</f>
        <v/>
      </c>
    </row>
    <row r="7527">
      <c r="A7527" t="inlineStr">
        <is>
          <t>432d533fa8d38230276f5e485d508b6b</t>
        </is>
      </c>
      <c r="B7527" s="29" t="n">
        <v>43229</v>
      </c>
      <c r="C7527" t="inlineStr">
        <is>
          <t>2018-05</t>
        </is>
      </c>
      <c r="D7527" t="inlineStr">
        <is>
          <t>0b37d43dbde6452cdd94c17bf61a88e4</t>
        </is>
      </c>
      <c r="E7527" t="inlineStr">
        <is>
          <t>organic_search</t>
        </is>
      </c>
      <c r="F7527">
        <f>IFERROR(MATCH(A7527,Deals!$A$2:$A$843,0),"")</f>
        <v/>
      </c>
      <c r="G7527">
        <f>IF(F7527="",0,1)</f>
        <v/>
      </c>
      <c r="H7527" s="29">
        <f>IF(F7527="","",INDEX(Deals!$E$2:$E$843,F7527))</f>
        <v/>
      </c>
      <c r="I7527">
        <f>IF(F7527="","",INDEX(Deals!$D$2:$D$843,F7527))</f>
        <v/>
      </c>
      <c r="J7527">
        <f>IF(F7527="","",INT(H7527)-B7527)</f>
        <v/>
      </c>
      <c r="K7527">
        <f>IF(B7527&gt;=Settings!$C$5,1,0)</f>
        <v/>
      </c>
    </row>
    <row r="7528">
      <c r="A7528" t="inlineStr">
        <is>
          <t>9703918582c179531c480ef3c37e91d3</t>
        </is>
      </c>
      <c r="B7528" s="29" t="n">
        <v>43218</v>
      </c>
      <c r="C7528" t="inlineStr">
        <is>
          <t>2018-04</t>
        </is>
      </c>
      <c r="D7528" t="inlineStr">
        <is>
          <t>58326e62183c14b0c03085c33b9fdc44</t>
        </is>
      </c>
      <c r="E7528" t="inlineStr">
        <is>
          <t>social</t>
        </is>
      </c>
      <c r="F7528">
        <f>IFERROR(MATCH(A7528,Deals!$A$2:$A$843,0),"")</f>
        <v/>
      </c>
      <c r="G7528">
        <f>IF(F7528="",0,1)</f>
        <v/>
      </c>
      <c r="H7528" s="29">
        <f>IF(F7528="","",INDEX(Deals!$E$2:$E$843,F7528))</f>
        <v/>
      </c>
      <c r="I7528">
        <f>IF(F7528="","",INDEX(Deals!$D$2:$D$843,F7528))</f>
        <v/>
      </c>
      <c r="J7528">
        <f>IF(F7528="","",INT(H7528)-B7528)</f>
        <v/>
      </c>
      <c r="K7528">
        <f>IF(B7528&gt;=Settings!$C$5,1,0)</f>
        <v/>
      </c>
    </row>
    <row r="7529">
      <c r="A7529" t="inlineStr">
        <is>
          <t>1b9d7ffccca875a9079e3b57c24a3113</t>
        </is>
      </c>
      <c r="B7529" s="29" t="n">
        <v>43104</v>
      </c>
      <c r="C7529" t="inlineStr">
        <is>
          <t>2018-01</t>
        </is>
      </c>
      <c r="D7529" t="inlineStr">
        <is>
          <t>b76ef37428e6799c421989521c0e5077</t>
        </is>
      </c>
      <c r="E7529" t="inlineStr">
        <is>
          <t>unknown</t>
        </is>
      </c>
      <c r="F7529">
        <f>IFERROR(MATCH(A7529,Deals!$A$2:$A$843,0),"")</f>
        <v/>
      </c>
      <c r="G7529">
        <f>IF(F7529="",0,1)</f>
        <v/>
      </c>
      <c r="H7529" s="29">
        <f>IF(F7529="","",INDEX(Deals!$E$2:$E$843,F7529))</f>
        <v/>
      </c>
      <c r="I7529">
        <f>IF(F7529="","",INDEX(Deals!$D$2:$D$843,F7529))</f>
        <v/>
      </c>
      <c r="J7529">
        <f>IF(F7529="","",INT(H7529)-B7529)</f>
        <v/>
      </c>
      <c r="K7529">
        <f>IF(B7529&gt;=Settings!$C$5,1,0)</f>
        <v/>
      </c>
    </row>
    <row r="7530">
      <c r="A7530" t="inlineStr">
        <is>
          <t>4e9e9815a54fc4d54e960e96c843c4cb</t>
        </is>
      </c>
      <c r="B7530" s="29" t="n">
        <v>43230</v>
      </c>
      <c r="C7530" t="inlineStr">
        <is>
          <t>2018-05</t>
        </is>
      </c>
      <c r="D7530" t="inlineStr">
        <is>
          <t>22c29808c4f815213303f8933030604c</t>
        </is>
      </c>
      <c r="E7530" t="inlineStr">
        <is>
          <t>organic_search</t>
        </is>
      </c>
      <c r="F7530">
        <f>IFERROR(MATCH(A7530,Deals!$A$2:$A$843,0),"")</f>
        <v/>
      </c>
      <c r="G7530">
        <f>IF(F7530="",0,1)</f>
        <v/>
      </c>
      <c r="H7530" s="29">
        <f>IF(F7530="","",INDEX(Deals!$E$2:$E$843,F7530))</f>
        <v/>
      </c>
      <c r="I7530">
        <f>IF(F7530="","",INDEX(Deals!$D$2:$D$843,F7530))</f>
        <v/>
      </c>
      <c r="J7530">
        <f>IF(F7530="","",INT(H7530)-B7530)</f>
        <v/>
      </c>
      <c r="K7530">
        <f>IF(B7530&gt;=Settings!$C$5,1,0)</f>
        <v/>
      </c>
    </row>
    <row r="7531">
      <c r="A7531" t="inlineStr">
        <is>
          <t>521bdfc40f2f763bd9ccc267fde55653</t>
        </is>
      </c>
      <c r="B7531" s="29" t="n">
        <v>43033</v>
      </c>
      <c r="C7531" t="inlineStr">
        <is>
          <t>2017-10</t>
        </is>
      </c>
      <c r="D7531" t="inlineStr">
        <is>
          <t>241f79c7a8fe0270f4fb79fcbbcd17ad</t>
        </is>
      </c>
      <c r="E7531" t="inlineStr">
        <is>
          <t>paid_search</t>
        </is>
      </c>
      <c r="F7531">
        <f>IFERROR(MATCH(A7531,Deals!$A$2:$A$843,0),"")</f>
        <v/>
      </c>
      <c r="G7531">
        <f>IF(F7531="",0,1)</f>
        <v/>
      </c>
      <c r="H7531" s="29">
        <f>IF(F7531="","",INDEX(Deals!$E$2:$E$843,F7531))</f>
        <v/>
      </c>
      <c r="I7531">
        <f>IF(F7531="","",INDEX(Deals!$D$2:$D$843,F7531))</f>
        <v/>
      </c>
      <c r="J7531">
        <f>IF(F7531="","",INT(H7531)-B7531)</f>
        <v/>
      </c>
      <c r="K7531">
        <f>IF(B7531&gt;=Settings!$C$5,1,0)</f>
        <v/>
      </c>
    </row>
    <row r="7532">
      <c r="A7532" t="inlineStr">
        <is>
          <t>d7cbbf830501a1332d11174fd90af4db</t>
        </is>
      </c>
      <c r="B7532" s="29" t="n">
        <v>43061</v>
      </c>
      <c r="C7532" t="inlineStr">
        <is>
          <t>2017-11</t>
        </is>
      </c>
      <c r="D7532" t="inlineStr">
        <is>
          <t>88740e65d5d6b056e0cda098e1ea6313</t>
        </is>
      </c>
      <c r="E7532" t="inlineStr">
        <is>
          <t>social</t>
        </is>
      </c>
      <c r="F7532">
        <f>IFERROR(MATCH(A7532,Deals!$A$2:$A$843,0),"")</f>
        <v/>
      </c>
      <c r="G7532">
        <f>IF(F7532="",0,1)</f>
        <v/>
      </c>
      <c r="H7532" s="29">
        <f>IF(F7532="","",INDEX(Deals!$E$2:$E$843,F7532))</f>
        <v/>
      </c>
      <c r="I7532">
        <f>IF(F7532="","",INDEX(Deals!$D$2:$D$843,F7532))</f>
        <v/>
      </c>
      <c r="J7532">
        <f>IF(F7532="","",INT(H7532)-B7532)</f>
        <v/>
      </c>
      <c r="K7532">
        <f>IF(B7532&gt;=Settings!$C$5,1,0)</f>
        <v/>
      </c>
    </row>
    <row r="7533">
      <c r="A7533" t="inlineStr">
        <is>
          <t>8b2112b1064c167cfbccbdeb2b5841f2</t>
        </is>
      </c>
      <c r="B7533" s="29" t="n">
        <v>43132</v>
      </c>
      <c r="C7533" t="inlineStr">
        <is>
          <t>2018-02</t>
        </is>
      </c>
      <c r="D7533" t="inlineStr">
        <is>
          <t>b76ef37428e6799c421989521c0e5077</t>
        </is>
      </c>
      <c r="E7533" t="inlineStr">
        <is>
          <t>unknown</t>
        </is>
      </c>
      <c r="F7533">
        <f>IFERROR(MATCH(A7533,Deals!$A$2:$A$843,0),"")</f>
        <v/>
      </c>
      <c r="G7533">
        <f>IF(F7533="",0,1)</f>
        <v/>
      </c>
      <c r="H7533" s="29">
        <f>IF(F7533="","",INDEX(Deals!$E$2:$E$843,F7533))</f>
        <v/>
      </c>
      <c r="I7533">
        <f>IF(F7533="","",INDEX(Deals!$D$2:$D$843,F7533))</f>
        <v/>
      </c>
      <c r="J7533">
        <f>IF(F7533="","",INT(H7533)-B7533)</f>
        <v/>
      </c>
      <c r="K7533">
        <f>IF(B7533&gt;=Settings!$C$5,1,0)</f>
        <v/>
      </c>
    </row>
    <row r="7534">
      <c r="A7534" t="inlineStr">
        <is>
          <t>9c7660b8dc616c5d3392c0c1c14c2245</t>
        </is>
      </c>
      <c r="B7534" s="29" t="n">
        <v>43105</v>
      </c>
      <c r="C7534" t="inlineStr">
        <is>
          <t>2018-01</t>
        </is>
      </c>
      <c r="D7534" t="inlineStr">
        <is>
          <t>ce1a65abd0973638f1c887a6efcfa82d</t>
        </is>
      </c>
      <c r="E7534" t="inlineStr">
        <is>
          <t>organic_search</t>
        </is>
      </c>
      <c r="F7534">
        <f>IFERROR(MATCH(A7534,Deals!$A$2:$A$843,0),"")</f>
        <v/>
      </c>
      <c r="G7534">
        <f>IF(F7534="",0,1)</f>
        <v/>
      </c>
      <c r="H7534" s="29">
        <f>IF(F7534="","",INDEX(Deals!$E$2:$E$843,F7534))</f>
        <v/>
      </c>
      <c r="I7534">
        <f>IF(F7534="","",INDEX(Deals!$D$2:$D$843,F7534))</f>
        <v/>
      </c>
      <c r="J7534">
        <f>IF(F7534="","",INT(H7534)-B7534)</f>
        <v/>
      </c>
      <c r="K7534">
        <f>IF(B7534&gt;=Settings!$C$5,1,0)</f>
        <v/>
      </c>
    </row>
    <row r="7535">
      <c r="A7535" t="inlineStr">
        <is>
          <t>6c814714356d2058b2b2445291147fea</t>
        </is>
      </c>
      <c r="B7535" s="29" t="n">
        <v>43026</v>
      </c>
      <c r="C7535" t="inlineStr">
        <is>
          <t>2017-10</t>
        </is>
      </c>
      <c r="D7535" t="inlineStr">
        <is>
          <t>a56671a54260a44923d32c2f08fad39c</t>
        </is>
      </c>
      <c r="E7535" t="inlineStr">
        <is>
          <t>organic_search</t>
        </is>
      </c>
      <c r="F7535">
        <f>IFERROR(MATCH(A7535,Deals!$A$2:$A$843,0),"")</f>
        <v/>
      </c>
      <c r="G7535">
        <f>IF(F7535="",0,1)</f>
        <v/>
      </c>
      <c r="H7535" s="29">
        <f>IF(F7535="","",INDEX(Deals!$E$2:$E$843,F7535))</f>
        <v/>
      </c>
      <c r="I7535">
        <f>IF(F7535="","",INDEX(Deals!$D$2:$D$843,F7535))</f>
        <v/>
      </c>
      <c r="J7535">
        <f>IF(F7535="","",INT(H7535)-B7535)</f>
        <v/>
      </c>
      <c r="K7535">
        <f>IF(B7535&gt;=Settings!$C$5,1,0)</f>
        <v/>
      </c>
    </row>
    <row r="7536">
      <c r="A7536" t="inlineStr">
        <is>
          <t>5944b33db07ab2b8d06eecad8d16b370</t>
        </is>
      </c>
      <c r="B7536" s="29" t="n">
        <v>43192</v>
      </c>
      <c r="C7536" t="inlineStr">
        <is>
          <t>2018-04</t>
        </is>
      </c>
      <c r="D7536" t="inlineStr">
        <is>
          <t>891b03aa737ba5655affab01b01435c2</t>
        </is>
      </c>
      <c r="E7536" t="inlineStr">
        <is>
          <t>organic_search</t>
        </is>
      </c>
      <c r="F7536">
        <f>IFERROR(MATCH(A7536,Deals!$A$2:$A$843,0),"")</f>
        <v/>
      </c>
      <c r="G7536">
        <f>IF(F7536="",0,1)</f>
        <v/>
      </c>
      <c r="H7536" s="29">
        <f>IF(F7536="","",INDEX(Deals!$E$2:$E$843,F7536))</f>
        <v/>
      </c>
      <c r="I7536">
        <f>IF(F7536="","",INDEX(Deals!$D$2:$D$843,F7536))</f>
        <v/>
      </c>
      <c r="J7536">
        <f>IF(F7536="","",INT(H7536)-B7536)</f>
        <v/>
      </c>
      <c r="K7536">
        <f>IF(B7536&gt;=Settings!$C$5,1,0)</f>
        <v/>
      </c>
    </row>
    <row r="7537">
      <c r="A7537" t="inlineStr">
        <is>
          <t>c03243215c4d4070c7ac452513674761</t>
        </is>
      </c>
      <c r="B7537" s="29" t="n">
        <v>43024</v>
      </c>
      <c r="C7537" t="inlineStr">
        <is>
          <t>2017-10</t>
        </is>
      </c>
      <c r="D7537" t="inlineStr">
        <is>
          <t>f98c2bd96ac4a5d9476734e790c91384</t>
        </is>
      </c>
      <c r="E7537" t="inlineStr">
        <is>
          <t>organic_search</t>
        </is>
      </c>
      <c r="F7537">
        <f>IFERROR(MATCH(A7537,Deals!$A$2:$A$843,0),"")</f>
        <v/>
      </c>
      <c r="G7537">
        <f>IF(F7537="",0,1)</f>
        <v/>
      </c>
      <c r="H7537" s="29">
        <f>IF(F7537="","",INDEX(Deals!$E$2:$E$843,F7537))</f>
        <v/>
      </c>
      <c r="I7537">
        <f>IF(F7537="","",INDEX(Deals!$D$2:$D$843,F7537))</f>
        <v/>
      </c>
      <c r="J7537">
        <f>IF(F7537="","",INT(H7537)-B7537)</f>
        <v/>
      </c>
      <c r="K7537">
        <f>IF(B7537&gt;=Settings!$C$5,1,0)</f>
        <v/>
      </c>
    </row>
    <row r="7538">
      <c r="A7538" t="inlineStr">
        <is>
          <t>c04c97e91c6f493c78a9eb37adf91222</t>
        </is>
      </c>
      <c r="B7538" s="29" t="n">
        <v>43238</v>
      </c>
      <c r="C7538" t="inlineStr">
        <is>
          <t>2018-05</t>
        </is>
      </c>
      <c r="D7538" t="inlineStr">
        <is>
          <t>22c29808c4f815213303f8933030604c</t>
        </is>
      </c>
      <c r="E7538" t="inlineStr">
        <is>
          <t>organic_search</t>
        </is>
      </c>
      <c r="F7538">
        <f>IFERROR(MATCH(A7538,Deals!$A$2:$A$843,0),"")</f>
        <v/>
      </c>
      <c r="G7538">
        <f>IF(F7538="",0,1)</f>
        <v/>
      </c>
      <c r="H7538" s="29">
        <f>IF(F7538="","",INDEX(Deals!$E$2:$E$843,F7538))</f>
        <v/>
      </c>
      <c r="I7538">
        <f>IF(F7538="","",INDEX(Deals!$D$2:$D$843,F7538))</f>
        <v/>
      </c>
      <c r="J7538">
        <f>IF(F7538="","",INT(H7538)-B7538)</f>
        <v/>
      </c>
      <c r="K7538">
        <f>IF(B7538&gt;=Settings!$C$5,1,0)</f>
        <v/>
      </c>
    </row>
    <row r="7539">
      <c r="A7539" t="inlineStr">
        <is>
          <t>6e958d69ccac1ad04342b584042c3db5</t>
        </is>
      </c>
      <c r="B7539" s="29" t="n">
        <v>42927</v>
      </c>
      <c r="C7539" t="inlineStr">
        <is>
          <t>2017-07</t>
        </is>
      </c>
      <c r="D7539" t="inlineStr">
        <is>
          <t>b6885f18d203a61176418c1fb3764815</t>
        </is>
      </c>
      <c r="E7539" t="inlineStr">
        <is>
          <t>paid_search</t>
        </is>
      </c>
      <c r="F7539">
        <f>IFERROR(MATCH(A7539,Deals!$A$2:$A$843,0),"")</f>
        <v/>
      </c>
      <c r="G7539">
        <f>IF(F7539="",0,1)</f>
        <v/>
      </c>
      <c r="H7539" s="29">
        <f>IF(F7539="","",INDEX(Deals!$E$2:$E$843,F7539))</f>
        <v/>
      </c>
      <c r="I7539">
        <f>IF(F7539="","",INDEX(Deals!$D$2:$D$843,F7539))</f>
        <v/>
      </c>
      <c r="J7539">
        <f>IF(F7539="","",INT(H7539)-B7539)</f>
        <v/>
      </c>
      <c r="K7539">
        <f>IF(B7539&gt;=Settings!$C$5,1,0)</f>
        <v/>
      </c>
    </row>
    <row r="7540">
      <c r="A7540" t="inlineStr">
        <is>
          <t>e6b851f75f784b4d0123f1d217781604</t>
        </is>
      </c>
      <c r="B7540" s="29" t="n">
        <v>43158</v>
      </c>
      <c r="C7540" t="inlineStr">
        <is>
          <t>2018-02</t>
        </is>
      </c>
      <c r="D7540" t="inlineStr">
        <is>
          <t>b6885f18d203a61176418c1fb3764815</t>
        </is>
      </c>
      <c r="E7540" t="inlineStr">
        <is>
          <t>organic_search</t>
        </is>
      </c>
      <c r="F7540">
        <f>IFERROR(MATCH(A7540,Deals!$A$2:$A$843,0),"")</f>
        <v/>
      </c>
      <c r="G7540">
        <f>IF(F7540="",0,1)</f>
        <v/>
      </c>
      <c r="H7540" s="29">
        <f>IF(F7540="","",INDEX(Deals!$E$2:$E$843,F7540))</f>
        <v/>
      </c>
      <c r="I7540">
        <f>IF(F7540="","",INDEX(Deals!$D$2:$D$843,F7540))</f>
        <v/>
      </c>
      <c r="J7540">
        <f>IF(F7540="","",INT(H7540)-B7540)</f>
        <v/>
      </c>
      <c r="K7540">
        <f>IF(B7540&gt;=Settings!$C$5,1,0)</f>
        <v/>
      </c>
    </row>
    <row r="7541">
      <c r="A7541" t="inlineStr">
        <is>
          <t>be4b74cc626578c5fbed9a26c481d8cb</t>
        </is>
      </c>
      <c r="B7541" s="29" t="n">
        <v>42926</v>
      </c>
      <c r="C7541" t="inlineStr">
        <is>
          <t>2017-07</t>
        </is>
      </c>
      <c r="D7541" t="inlineStr">
        <is>
          <t>a6ad0162dbe1182cd73e783d0ec1ffcf</t>
        </is>
      </c>
      <c r="E7541" t="inlineStr">
        <is>
          <t>unknown</t>
        </is>
      </c>
      <c r="F7541">
        <f>IFERROR(MATCH(A7541,Deals!$A$2:$A$843,0),"")</f>
        <v/>
      </c>
      <c r="G7541">
        <f>IF(F7541="",0,1)</f>
        <v/>
      </c>
      <c r="H7541" s="29">
        <f>IF(F7541="","",INDEX(Deals!$E$2:$E$843,F7541))</f>
        <v/>
      </c>
      <c r="I7541">
        <f>IF(F7541="","",INDEX(Deals!$D$2:$D$843,F7541))</f>
        <v/>
      </c>
      <c r="J7541">
        <f>IF(F7541="","",INT(H7541)-B7541)</f>
        <v/>
      </c>
      <c r="K7541">
        <f>IF(B7541&gt;=Settings!$C$5,1,0)</f>
        <v/>
      </c>
    </row>
    <row r="7542">
      <c r="A7542" t="inlineStr">
        <is>
          <t>2c7e55694e865b64eebe041d813cb0d8</t>
        </is>
      </c>
      <c r="B7542" s="29" t="n">
        <v>43142</v>
      </c>
      <c r="C7542" t="inlineStr">
        <is>
          <t>2018-02</t>
        </is>
      </c>
      <c r="D7542" t="inlineStr">
        <is>
          <t>88740e65d5d6b056e0cda098e1ea6313</t>
        </is>
      </c>
      <c r="E7542" t="inlineStr">
        <is>
          <t>social</t>
        </is>
      </c>
      <c r="F7542">
        <f>IFERROR(MATCH(A7542,Deals!$A$2:$A$843,0),"")</f>
        <v/>
      </c>
      <c r="G7542">
        <f>IF(F7542="",0,1)</f>
        <v/>
      </c>
      <c r="H7542" s="29">
        <f>IF(F7542="","",INDEX(Deals!$E$2:$E$843,F7542))</f>
        <v/>
      </c>
      <c r="I7542">
        <f>IF(F7542="","",INDEX(Deals!$D$2:$D$843,F7542))</f>
        <v/>
      </c>
      <c r="J7542">
        <f>IF(F7542="","",INT(H7542)-B7542)</f>
        <v/>
      </c>
      <c r="K7542">
        <f>IF(B7542&gt;=Settings!$C$5,1,0)</f>
        <v/>
      </c>
    </row>
    <row r="7543">
      <c r="A7543" t="inlineStr">
        <is>
          <t>ba3fe3d296f3e7269b66f163d31b3dc3</t>
        </is>
      </c>
      <c r="B7543" s="29" t="n">
        <v>43032</v>
      </c>
      <c r="C7543" t="inlineStr">
        <is>
          <t>2017-10</t>
        </is>
      </c>
      <c r="D7543" t="inlineStr">
        <is>
          <t>7fa6214d82e911d070f51ef79381b956</t>
        </is>
      </c>
      <c r="E7543" t="inlineStr">
        <is>
          <t>direct_traffic</t>
        </is>
      </c>
      <c r="F7543">
        <f>IFERROR(MATCH(A7543,Deals!$A$2:$A$843,0),"")</f>
        <v/>
      </c>
      <c r="G7543">
        <f>IF(F7543="",0,1)</f>
        <v/>
      </c>
      <c r="H7543" s="29">
        <f>IF(F7543="","",INDEX(Deals!$E$2:$E$843,F7543))</f>
        <v/>
      </c>
      <c r="I7543">
        <f>IF(F7543="","",INDEX(Deals!$D$2:$D$843,F7543))</f>
        <v/>
      </c>
      <c r="J7543">
        <f>IF(F7543="","",INT(H7543)-B7543)</f>
        <v/>
      </c>
      <c r="K7543">
        <f>IF(B7543&gt;=Settings!$C$5,1,0)</f>
        <v/>
      </c>
    </row>
    <row r="7544">
      <c r="A7544" t="inlineStr">
        <is>
          <t>2046e4fc6f92ae6657d213cc0590d2d7</t>
        </is>
      </c>
      <c r="B7544" s="29" t="n">
        <v>43197</v>
      </c>
      <c r="C7544" t="inlineStr">
        <is>
          <t>2018-04</t>
        </is>
      </c>
      <c r="D7544" t="inlineStr">
        <is>
          <t>58326e62183c14b0c03085c33b9fdc44</t>
        </is>
      </c>
      <c r="E7544" t="inlineStr">
        <is>
          <t>social</t>
        </is>
      </c>
      <c r="F7544">
        <f>IFERROR(MATCH(A7544,Deals!$A$2:$A$843,0),"")</f>
        <v/>
      </c>
      <c r="G7544">
        <f>IF(F7544="",0,1)</f>
        <v/>
      </c>
      <c r="H7544" s="29">
        <f>IF(F7544="","",INDEX(Deals!$E$2:$E$843,F7544))</f>
        <v/>
      </c>
      <c r="I7544">
        <f>IF(F7544="","",INDEX(Deals!$D$2:$D$843,F7544))</f>
        <v/>
      </c>
      <c r="J7544">
        <f>IF(F7544="","",INT(H7544)-B7544)</f>
        <v/>
      </c>
      <c r="K7544">
        <f>IF(B7544&gt;=Settings!$C$5,1,0)</f>
        <v/>
      </c>
    </row>
    <row r="7545">
      <c r="A7545" t="inlineStr">
        <is>
          <t>1d28bad27dfe46d8dfb0ec541b82b057</t>
        </is>
      </c>
      <c r="B7545" s="29" t="n">
        <v>43027</v>
      </c>
      <c r="C7545" t="inlineStr">
        <is>
          <t>2017-10</t>
        </is>
      </c>
      <c r="D7545" t="inlineStr">
        <is>
          <t>a5f7caba65f90d45005f62cb85bced39</t>
        </is>
      </c>
      <c r="E7545" t="inlineStr">
        <is>
          <t>paid_search</t>
        </is>
      </c>
      <c r="F7545">
        <f>IFERROR(MATCH(A7545,Deals!$A$2:$A$843,0),"")</f>
        <v/>
      </c>
      <c r="G7545">
        <f>IF(F7545="",0,1)</f>
        <v/>
      </c>
      <c r="H7545" s="29">
        <f>IF(F7545="","",INDEX(Deals!$E$2:$E$843,F7545))</f>
        <v/>
      </c>
      <c r="I7545">
        <f>IF(F7545="","",INDEX(Deals!$D$2:$D$843,F7545))</f>
        <v/>
      </c>
      <c r="J7545">
        <f>IF(F7545="","",INT(H7545)-B7545)</f>
        <v/>
      </c>
      <c r="K7545">
        <f>IF(B7545&gt;=Settings!$C$5,1,0)</f>
        <v/>
      </c>
    </row>
    <row r="7546">
      <c r="A7546" t="inlineStr">
        <is>
          <t>89409c4207e0074abbdc5a49d7f1fce8</t>
        </is>
      </c>
      <c r="B7546" s="29" t="n">
        <v>43201</v>
      </c>
      <c r="C7546" t="inlineStr">
        <is>
          <t>2018-04</t>
        </is>
      </c>
      <c r="D7546" t="inlineStr">
        <is>
          <t>58326e62183c14b0c03085c33b9fdc44</t>
        </is>
      </c>
      <c r="E7546" t="inlineStr">
        <is>
          <t>social</t>
        </is>
      </c>
      <c r="F7546">
        <f>IFERROR(MATCH(A7546,Deals!$A$2:$A$843,0),"")</f>
        <v/>
      </c>
      <c r="G7546">
        <f>IF(F7546="",0,1)</f>
        <v/>
      </c>
      <c r="H7546" s="29">
        <f>IF(F7546="","",INDEX(Deals!$E$2:$E$843,F7546))</f>
        <v/>
      </c>
      <c r="I7546">
        <f>IF(F7546="","",INDEX(Deals!$D$2:$D$843,F7546))</f>
        <v/>
      </c>
      <c r="J7546">
        <f>IF(F7546="","",INT(H7546)-B7546)</f>
        <v/>
      </c>
      <c r="K7546">
        <f>IF(B7546&gt;=Settings!$C$5,1,0)</f>
        <v/>
      </c>
    </row>
    <row r="7547">
      <c r="A7547" t="inlineStr">
        <is>
          <t>d6367279eb84bf8e1e10b10a04bd4292</t>
        </is>
      </c>
      <c r="B7547" s="29" t="n">
        <v>42975</v>
      </c>
      <c r="C7547" t="inlineStr">
        <is>
          <t>2017-08</t>
        </is>
      </c>
      <c r="D7547" t="inlineStr">
        <is>
          <t>b76ef37428e6799c421989521c0e5077</t>
        </is>
      </c>
      <c r="E7547" t="inlineStr">
        <is>
          <t>unknown</t>
        </is>
      </c>
      <c r="F7547">
        <f>IFERROR(MATCH(A7547,Deals!$A$2:$A$843,0),"")</f>
        <v/>
      </c>
      <c r="G7547">
        <f>IF(F7547="",0,1)</f>
        <v/>
      </c>
      <c r="H7547" s="29">
        <f>IF(F7547="","",INDEX(Deals!$E$2:$E$843,F7547))</f>
        <v/>
      </c>
      <c r="I7547">
        <f>IF(F7547="","",INDEX(Deals!$D$2:$D$843,F7547))</f>
        <v/>
      </c>
      <c r="J7547">
        <f>IF(F7547="","",INT(H7547)-B7547)</f>
        <v/>
      </c>
      <c r="K7547">
        <f>IF(B7547&gt;=Settings!$C$5,1,0)</f>
        <v/>
      </c>
    </row>
    <row r="7548">
      <c r="A7548" t="inlineStr">
        <is>
          <t>2334ef0991e14b266524960d83804198</t>
        </is>
      </c>
      <c r="B7548" s="29" t="n">
        <v>43174</v>
      </c>
      <c r="C7548" t="inlineStr">
        <is>
          <t>2018-03</t>
        </is>
      </c>
      <c r="D7548" t="inlineStr">
        <is>
          <t>c79bafc4a099ff23e3bab1534797fb45</t>
        </is>
      </c>
      <c r="E7548" t="inlineStr">
        <is>
          <t>paid_search</t>
        </is>
      </c>
      <c r="F7548">
        <f>IFERROR(MATCH(A7548,Deals!$A$2:$A$843,0),"")</f>
        <v/>
      </c>
      <c r="G7548">
        <f>IF(F7548="",0,1)</f>
        <v/>
      </c>
      <c r="H7548" s="29">
        <f>IF(F7548="","",INDEX(Deals!$E$2:$E$843,F7548))</f>
        <v/>
      </c>
      <c r="I7548">
        <f>IF(F7548="","",INDEX(Deals!$D$2:$D$843,F7548))</f>
        <v/>
      </c>
      <c r="J7548">
        <f>IF(F7548="","",INT(H7548)-B7548)</f>
        <v/>
      </c>
      <c r="K7548">
        <f>IF(B7548&gt;=Settings!$C$5,1,0)</f>
        <v/>
      </c>
    </row>
    <row r="7549">
      <c r="A7549" t="inlineStr">
        <is>
          <t>f52a5875cc4ba00239b7e728fec5994b</t>
        </is>
      </c>
      <c r="B7549" s="29" t="n">
        <v>43208</v>
      </c>
      <c r="C7549" t="inlineStr">
        <is>
          <t>2018-04</t>
        </is>
      </c>
      <c r="D7549" t="inlineStr">
        <is>
          <t>e492ee5eaf1697716985cc6f33f9cd9b</t>
        </is>
      </c>
      <c r="E7549" t="inlineStr">
        <is>
          <t>email</t>
        </is>
      </c>
      <c r="F7549">
        <f>IFERROR(MATCH(A7549,Deals!$A$2:$A$843,0),"")</f>
        <v/>
      </c>
      <c r="G7549">
        <f>IF(F7549="",0,1)</f>
        <v/>
      </c>
      <c r="H7549" s="29">
        <f>IF(F7549="","",INDEX(Deals!$E$2:$E$843,F7549))</f>
        <v/>
      </c>
      <c r="I7549">
        <f>IF(F7549="","",INDEX(Deals!$D$2:$D$843,F7549))</f>
        <v/>
      </c>
      <c r="J7549">
        <f>IF(F7549="","",INT(H7549)-B7549)</f>
        <v/>
      </c>
      <c r="K7549">
        <f>IF(B7549&gt;=Settings!$C$5,1,0)</f>
        <v/>
      </c>
    </row>
    <row r="7550">
      <c r="A7550" t="inlineStr">
        <is>
          <t>212ad7bb06e34ce8eff54540c30efdff</t>
        </is>
      </c>
      <c r="B7550" s="29" t="n">
        <v>43029</v>
      </c>
      <c r="C7550" t="inlineStr">
        <is>
          <t>2017-10</t>
        </is>
      </c>
      <c r="D7550" t="inlineStr">
        <is>
          <t>ce1a65abd0973638f1c887a6efcfa82d</t>
        </is>
      </c>
      <c r="E7550" t="inlineStr">
        <is>
          <t>organic_search</t>
        </is>
      </c>
      <c r="F7550">
        <f>IFERROR(MATCH(A7550,Deals!$A$2:$A$843,0),"")</f>
        <v/>
      </c>
      <c r="G7550">
        <f>IF(F7550="",0,1)</f>
        <v/>
      </c>
      <c r="H7550" s="29">
        <f>IF(F7550="","",INDEX(Deals!$E$2:$E$843,F7550))</f>
        <v/>
      </c>
      <c r="I7550">
        <f>IF(F7550="","",INDEX(Deals!$D$2:$D$843,F7550))</f>
        <v/>
      </c>
      <c r="J7550">
        <f>IF(F7550="","",INT(H7550)-B7550)</f>
        <v/>
      </c>
      <c r="K7550">
        <f>IF(B7550&gt;=Settings!$C$5,1,0)</f>
        <v/>
      </c>
    </row>
    <row r="7551">
      <c r="A7551" t="inlineStr">
        <is>
          <t>2bb054c14409adcb28cb8d922e10a383</t>
        </is>
      </c>
      <c r="B7551" s="29" t="n">
        <v>43019</v>
      </c>
      <c r="C7551" t="inlineStr">
        <is>
          <t>2017-10</t>
        </is>
      </c>
      <c r="D7551" t="inlineStr">
        <is>
          <t>22c29808c4f815213303f8933030604c</t>
        </is>
      </c>
      <c r="E7551" t="inlineStr">
        <is>
          <t>organic_search</t>
        </is>
      </c>
      <c r="F7551">
        <f>IFERROR(MATCH(A7551,Deals!$A$2:$A$843,0),"")</f>
        <v/>
      </c>
      <c r="G7551">
        <f>IF(F7551="",0,1)</f>
        <v/>
      </c>
      <c r="H7551" s="29">
        <f>IF(F7551="","",INDEX(Deals!$E$2:$E$843,F7551))</f>
        <v/>
      </c>
      <c r="I7551">
        <f>IF(F7551="","",INDEX(Deals!$D$2:$D$843,F7551))</f>
        <v/>
      </c>
      <c r="J7551">
        <f>IF(F7551="","",INT(H7551)-B7551)</f>
        <v/>
      </c>
      <c r="K7551">
        <f>IF(B7551&gt;=Settings!$C$5,1,0)</f>
        <v/>
      </c>
    </row>
    <row r="7552">
      <c r="A7552" t="inlineStr">
        <is>
          <t>1654b4d90dd364d2796bdbd590189e7d</t>
        </is>
      </c>
      <c r="B7552" s="29" t="n">
        <v>43188</v>
      </c>
      <c r="C7552" t="inlineStr">
        <is>
          <t>2018-03</t>
        </is>
      </c>
      <c r="D7552" t="inlineStr">
        <is>
          <t>8b1eeb056311220fd13bb7bae8ebe596</t>
        </is>
      </c>
      <c r="E7552" t="inlineStr">
        <is>
          <t>direct_traffic</t>
        </is>
      </c>
      <c r="F7552">
        <f>IFERROR(MATCH(A7552,Deals!$A$2:$A$843,0),"")</f>
        <v/>
      </c>
      <c r="G7552">
        <f>IF(F7552="",0,1)</f>
        <v/>
      </c>
      <c r="H7552" s="29">
        <f>IF(F7552="","",INDEX(Deals!$E$2:$E$843,F7552))</f>
        <v/>
      </c>
      <c r="I7552">
        <f>IF(F7552="","",INDEX(Deals!$D$2:$D$843,F7552))</f>
        <v/>
      </c>
      <c r="J7552">
        <f>IF(F7552="","",INT(H7552)-B7552)</f>
        <v/>
      </c>
      <c r="K7552">
        <f>IF(B7552&gt;=Settings!$C$5,1,0)</f>
        <v/>
      </c>
    </row>
    <row r="7553">
      <c r="A7553" t="inlineStr">
        <is>
          <t>489d7aef9f2316d6ebde24ae1369d74c</t>
        </is>
      </c>
      <c r="B7553" s="29" t="n">
        <v>43186</v>
      </c>
      <c r="C7553" t="inlineStr">
        <is>
          <t>2018-03</t>
        </is>
      </c>
      <c r="D7553" t="inlineStr">
        <is>
          <t>b76ef37428e6799c421989521c0e5077</t>
        </is>
      </c>
      <c r="E7553" t="inlineStr">
        <is>
          <t>social</t>
        </is>
      </c>
      <c r="F7553">
        <f>IFERROR(MATCH(A7553,Deals!$A$2:$A$843,0),"")</f>
        <v/>
      </c>
      <c r="G7553">
        <f>IF(F7553="",0,1)</f>
        <v/>
      </c>
      <c r="H7553" s="29">
        <f>IF(F7553="","",INDEX(Deals!$E$2:$E$843,F7553))</f>
        <v/>
      </c>
      <c r="I7553">
        <f>IF(F7553="","",INDEX(Deals!$D$2:$D$843,F7553))</f>
        <v/>
      </c>
      <c r="J7553">
        <f>IF(F7553="","",INT(H7553)-B7553)</f>
        <v/>
      </c>
      <c r="K7553">
        <f>IF(B7553&gt;=Settings!$C$5,1,0)</f>
        <v/>
      </c>
    </row>
    <row r="7554">
      <c r="A7554" t="inlineStr">
        <is>
          <t>df986d86710f8bc5e81d572df899f010</t>
        </is>
      </c>
      <c r="B7554" s="29" t="n">
        <v>43227</v>
      </c>
      <c r="C7554" t="inlineStr">
        <is>
          <t>2018-05</t>
        </is>
      </c>
      <c r="D7554" t="inlineStr">
        <is>
          <t>58326e62183c14b0c03085c33b9fdc44</t>
        </is>
      </c>
      <c r="E7554" t="inlineStr">
        <is>
          <t>social</t>
        </is>
      </c>
      <c r="F7554">
        <f>IFERROR(MATCH(A7554,Deals!$A$2:$A$843,0),"")</f>
        <v/>
      </c>
      <c r="G7554">
        <f>IF(F7554="",0,1)</f>
        <v/>
      </c>
      <c r="H7554" s="29">
        <f>IF(F7554="","",INDEX(Deals!$E$2:$E$843,F7554))</f>
        <v/>
      </c>
      <c r="I7554">
        <f>IF(F7554="","",INDEX(Deals!$D$2:$D$843,F7554))</f>
        <v/>
      </c>
      <c r="J7554">
        <f>IF(F7554="","",INT(H7554)-B7554)</f>
        <v/>
      </c>
      <c r="K7554">
        <f>IF(B7554&gt;=Settings!$C$5,1,0)</f>
        <v/>
      </c>
    </row>
    <row r="7555">
      <c r="A7555" t="inlineStr">
        <is>
          <t>4fd76758ca20a054063d174c3cd7f394</t>
        </is>
      </c>
      <c r="B7555" s="29" t="n">
        <v>43060</v>
      </c>
      <c r="C7555" t="inlineStr">
        <is>
          <t>2017-11</t>
        </is>
      </c>
      <c r="D7555" t="inlineStr">
        <is>
          <t>b76ef37428e6799c421989521c0e5077</t>
        </is>
      </c>
      <c r="E7555" t="inlineStr">
        <is>
          <t>organic_search</t>
        </is>
      </c>
      <c r="F7555">
        <f>IFERROR(MATCH(A7555,Deals!$A$2:$A$843,0),"")</f>
        <v/>
      </c>
      <c r="G7555">
        <f>IF(F7555="",0,1)</f>
        <v/>
      </c>
      <c r="H7555" s="29">
        <f>IF(F7555="","",INDEX(Deals!$E$2:$E$843,F7555))</f>
        <v/>
      </c>
      <c r="I7555">
        <f>IF(F7555="","",INDEX(Deals!$D$2:$D$843,F7555))</f>
        <v/>
      </c>
      <c r="J7555">
        <f>IF(F7555="","",INT(H7555)-B7555)</f>
        <v/>
      </c>
      <c r="K7555">
        <f>IF(B7555&gt;=Settings!$C$5,1,0)</f>
        <v/>
      </c>
    </row>
    <row r="7556">
      <c r="A7556" t="inlineStr">
        <is>
          <t>407fae8977d8785405f9ef63d5d90404</t>
        </is>
      </c>
      <c r="B7556" s="29" t="n">
        <v>43193</v>
      </c>
      <c r="C7556" t="inlineStr">
        <is>
          <t>2018-04</t>
        </is>
      </c>
      <c r="D7556" t="inlineStr">
        <is>
          <t>a77dcf0bf420ced5e37baae9b5daffa4</t>
        </is>
      </c>
      <c r="E7556" t="inlineStr">
        <is>
          <t>social</t>
        </is>
      </c>
      <c r="F7556">
        <f>IFERROR(MATCH(A7556,Deals!$A$2:$A$843,0),"")</f>
        <v/>
      </c>
      <c r="G7556">
        <f>IF(F7556="",0,1)</f>
        <v/>
      </c>
      <c r="H7556" s="29">
        <f>IF(F7556="","",INDEX(Deals!$E$2:$E$843,F7556))</f>
        <v/>
      </c>
      <c r="I7556">
        <f>IF(F7556="","",INDEX(Deals!$D$2:$D$843,F7556))</f>
        <v/>
      </c>
      <c r="J7556">
        <f>IF(F7556="","",INT(H7556)-B7556)</f>
        <v/>
      </c>
      <c r="K7556">
        <f>IF(B7556&gt;=Settings!$C$5,1,0)</f>
        <v/>
      </c>
    </row>
    <row r="7557">
      <c r="A7557" t="inlineStr">
        <is>
          <t>9c7c62fda501139382f84dbf8a91e044</t>
        </is>
      </c>
      <c r="B7557" s="29" t="n">
        <v>43245</v>
      </c>
      <c r="C7557" t="inlineStr">
        <is>
          <t>2018-05</t>
        </is>
      </c>
      <c r="D7557" t="inlineStr">
        <is>
          <t>b76ef37428e6799c421989521c0e5077</t>
        </is>
      </c>
      <c r="E7557" t="inlineStr">
        <is>
          <t>unknown</t>
        </is>
      </c>
      <c r="F7557">
        <f>IFERROR(MATCH(A7557,Deals!$A$2:$A$843,0),"")</f>
        <v/>
      </c>
      <c r="G7557">
        <f>IF(F7557="",0,1)</f>
        <v/>
      </c>
      <c r="H7557" s="29">
        <f>IF(F7557="","",INDEX(Deals!$E$2:$E$843,F7557))</f>
        <v/>
      </c>
      <c r="I7557">
        <f>IF(F7557="","",INDEX(Deals!$D$2:$D$843,F7557))</f>
        <v/>
      </c>
      <c r="J7557">
        <f>IF(F7557="","",INT(H7557)-B7557)</f>
        <v/>
      </c>
      <c r="K7557">
        <f>IF(B7557&gt;=Settings!$C$5,1,0)</f>
        <v/>
      </c>
    </row>
    <row r="7558">
      <c r="A7558" t="inlineStr">
        <is>
          <t>10fbe18a1f152d7b4c7ab027cb719c9f</t>
        </is>
      </c>
      <c r="B7558" s="29" t="n">
        <v>43101</v>
      </c>
      <c r="C7558" t="inlineStr">
        <is>
          <t>2018-01</t>
        </is>
      </c>
      <c r="D7558" t="inlineStr">
        <is>
          <t>88740e65d5d6b056e0cda098e1ea6313</t>
        </is>
      </c>
      <c r="E7558" t="inlineStr">
        <is>
          <t>social</t>
        </is>
      </c>
      <c r="F7558">
        <f>IFERROR(MATCH(A7558,Deals!$A$2:$A$843,0),"")</f>
        <v/>
      </c>
      <c r="G7558">
        <f>IF(F7558="",0,1)</f>
        <v/>
      </c>
      <c r="H7558" s="29">
        <f>IF(F7558="","",INDEX(Deals!$E$2:$E$843,F7558))</f>
        <v/>
      </c>
      <c r="I7558">
        <f>IF(F7558="","",INDEX(Deals!$D$2:$D$843,F7558))</f>
        <v/>
      </c>
      <c r="J7558">
        <f>IF(F7558="","",INT(H7558)-B7558)</f>
        <v/>
      </c>
      <c r="K7558">
        <f>IF(B7558&gt;=Settings!$C$5,1,0)</f>
        <v/>
      </c>
    </row>
    <row r="7559">
      <c r="A7559" t="inlineStr">
        <is>
          <t>84adc5c5be445d7eae80dcf4c87a6428</t>
        </is>
      </c>
      <c r="B7559" s="29" t="n">
        <v>43194</v>
      </c>
      <c r="C7559" t="inlineStr">
        <is>
          <t>2018-04</t>
        </is>
      </c>
      <c r="D7559" t="inlineStr">
        <is>
          <t>b76ef37428e6799c421989521c0e5077</t>
        </is>
      </c>
      <c r="E7559" t="inlineStr">
        <is>
          <t>organic_search</t>
        </is>
      </c>
      <c r="F7559">
        <f>IFERROR(MATCH(A7559,Deals!$A$2:$A$843,0),"")</f>
        <v/>
      </c>
      <c r="G7559">
        <f>IF(F7559="",0,1)</f>
        <v/>
      </c>
      <c r="H7559" s="29">
        <f>IF(F7559="","",INDEX(Deals!$E$2:$E$843,F7559))</f>
        <v/>
      </c>
      <c r="I7559">
        <f>IF(F7559="","",INDEX(Deals!$D$2:$D$843,F7559))</f>
        <v/>
      </c>
      <c r="J7559">
        <f>IF(F7559="","",INT(H7559)-B7559)</f>
        <v/>
      </c>
      <c r="K7559">
        <f>IF(B7559&gt;=Settings!$C$5,1,0)</f>
        <v/>
      </c>
    </row>
    <row r="7560">
      <c r="A7560" t="inlineStr">
        <is>
          <t>2ebf0711a9530f81674979d19b89f179</t>
        </is>
      </c>
      <c r="B7560" s="29" t="n">
        <v>43156</v>
      </c>
      <c r="C7560" t="inlineStr">
        <is>
          <t>2018-02</t>
        </is>
      </c>
      <c r="D7560" t="inlineStr">
        <is>
          <t>30077c17f2ec5010a82e37ad8925b95f</t>
        </is>
      </c>
      <c r="E7560" t="inlineStr">
        <is>
          <t>direct_traffic</t>
        </is>
      </c>
      <c r="F7560">
        <f>IFERROR(MATCH(A7560,Deals!$A$2:$A$843,0),"")</f>
        <v/>
      </c>
      <c r="G7560">
        <f>IF(F7560="",0,1)</f>
        <v/>
      </c>
      <c r="H7560" s="29">
        <f>IF(F7560="","",INDEX(Deals!$E$2:$E$843,F7560))</f>
        <v/>
      </c>
      <c r="I7560">
        <f>IF(F7560="","",INDEX(Deals!$D$2:$D$843,F7560))</f>
        <v/>
      </c>
      <c r="J7560">
        <f>IF(F7560="","",INT(H7560)-B7560)</f>
        <v/>
      </c>
      <c r="K7560">
        <f>IF(B7560&gt;=Settings!$C$5,1,0)</f>
        <v/>
      </c>
    </row>
    <row r="7561">
      <c r="A7561" t="inlineStr">
        <is>
          <t>6109540ba50af92a01ce800112504b1e</t>
        </is>
      </c>
      <c r="B7561" s="29" t="n">
        <v>43237</v>
      </c>
      <c r="C7561" t="inlineStr">
        <is>
          <t>2018-05</t>
        </is>
      </c>
      <c r="D7561" t="inlineStr">
        <is>
          <t>58326e62183c14b0c03085c33b9fdc44</t>
        </is>
      </c>
      <c r="E7561" t="inlineStr">
        <is>
          <t>social</t>
        </is>
      </c>
      <c r="F7561">
        <f>IFERROR(MATCH(A7561,Deals!$A$2:$A$843,0),"")</f>
        <v/>
      </c>
      <c r="G7561">
        <f>IF(F7561="",0,1)</f>
        <v/>
      </c>
      <c r="H7561" s="29">
        <f>IF(F7561="","",INDEX(Deals!$E$2:$E$843,F7561))</f>
        <v/>
      </c>
      <c r="I7561">
        <f>IF(F7561="","",INDEX(Deals!$D$2:$D$843,F7561))</f>
        <v/>
      </c>
      <c r="J7561">
        <f>IF(F7561="","",INT(H7561)-B7561)</f>
        <v/>
      </c>
      <c r="K7561">
        <f>IF(B7561&gt;=Settings!$C$5,1,0)</f>
        <v/>
      </c>
    </row>
    <row r="7562">
      <c r="A7562" t="inlineStr">
        <is>
          <t>a8f7663d8762e5ccb139236a868ccaf0</t>
        </is>
      </c>
      <c r="B7562" s="29" t="n">
        <v>43048</v>
      </c>
      <c r="C7562" t="inlineStr">
        <is>
          <t>2017-11</t>
        </is>
      </c>
      <c r="D7562" t="inlineStr">
        <is>
          <t>22c29808c4f815213303f8933030604c</t>
        </is>
      </c>
      <c r="E7562" t="inlineStr">
        <is>
          <t>organic_search</t>
        </is>
      </c>
      <c r="F7562">
        <f>IFERROR(MATCH(A7562,Deals!$A$2:$A$843,0),"")</f>
        <v/>
      </c>
      <c r="G7562">
        <f>IF(F7562="",0,1)</f>
        <v/>
      </c>
      <c r="H7562" s="29">
        <f>IF(F7562="","",INDEX(Deals!$E$2:$E$843,F7562))</f>
        <v/>
      </c>
      <c r="I7562">
        <f>IF(F7562="","",INDEX(Deals!$D$2:$D$843,F7562))</f>
        <v/>
      </c>
      <c r="J7562">
        <f>IF(F7562="","",INT(H7562)-B7562)</f>
        <v/>
      </c>
      <c r="K7562">
        <f>IF(B7562&gt;=Settings!$C$5,1,0)</f>
        <v/>
      </c>
    </row>
    <row r="7563">
      <c r="A7563" t="inlineStr">
        <is>
          <t>878c57ac87b8629049a172596fb9a67d</t>
        </is>
      </c>
      <c r="B7563" s="29" t="n">
        <v>43207</v>
      </c>
      <c r="C7563" t="inlineStr">
        <is>
          <t>2018-04</t>
        </is>
      </c>
      <c r="D7563" t="inlineStr">
        <is>
          <t>5963a9ba5d6c9af62cba5a9ac76f263d</t>
        </is>
      </c>
      <c r="E7563" t="inlineStr">
        <is>
          <t>organic_search</t>
        </is>
      </c>
      <c r="F7563">
        <f>IFERROR(MATCH(A7563,Deals!$A$2:$A$843,0),"")</f>
        <v/>
      </c>
      <c r="G7563">
        <f>IF(F7563="",0,1)</f>
        <v/>
      </c>
      <c r="H7563" s="29">
        <f>IF(F7563="","",INDEX(Deals!$E$2:$E$843,F7563))</f>
        <v/>
      </c>
      <c r="I7563">
        <f>IF(F7563="","",INDEX(Deals!$D$2:$D$843,F7563))</f>
        <v/>
      </c>
      <c r="J7563">
        <f>IF(F7563="","",INT(H7563)-B7563)</f>
        <v/>
      </c>
      <c r="K7563">
        <f>IF(B7563&gt;=Settings!$C$5,1,0)</f>
        <v/>
      </c>
    </row>
    <row r="7564">
      <c r="A7564" t="inlineStr">
        <is>
          <t>4441b26d19e25f5cfd65538bc280df52</t>
        </is>
      </c>
      <c r="B7564" s="29" t="n">
        <v>43141</v>
      </c>
      <c r="C7564" t="inlineStr">
        <is>
          <t>2018-02</t>
        </is>
      </c>
      <c r="D7564" t="inlineStr">
        <is>
          <t>1d4ddc25ccaa2adeded340b6eda66182</t>
        </is>
      </c>
      <c r="E7564" t="inlineStr">
        <is>
          <t>organic_search</t>
        </is>
      </c>
      <c r="F7564">
        <f>IFERROR(MATCH(A7564,Deals!$A$2:$A$843,0),"")</f>
        <v/>
      </c>
      <c r="G7564">
        <f>IF(F7564="",0,1)</f>
        <v/>
      </c>
      <c r="H7564" s="29">
        <f>IF(F7564="","",INDEX(Deals!$E$2:$E$843,F7564))</f>
        <v/>
      </c>
      <c r="I7564">
        <f>IF(F7564="","",INDEX(Deals!$D$2:$D$843,F7564))</f>
        <v/>
      </c>
      <c r="J7564">
        <f>IF(F7564="","",INT(H7564)-B7564)</f>
        <v/>
      </c>
      <c r="K7564">
        <f>IF(B7564&gt;=Settings!$C$5,1,0)</f>
        <v/>
      </c>
    </row>
    <row r="7565">
      <c r="A7565" t="inlineStr">
        <is>
          <t>b7f3b8bcd964f9e44b212cceabacf877</t>
        </is>
      </c>
      <c r="B7565" s="29" t="n">
        <v>43242</v>
      </c>
      <c r="C7565" t="inlineStr">
        <is>
          <t>2018-05</t>
        </is>
      </c>
      <c r="D7565" t="inlineStr">
        <is>
          <t>b76ef37428e6799c421989521c0e5077</t>
        </is>
      </c>
      <c r="E7565" t="inlineStr">
        <is>
          <t>unknown</t>
        </is>
      </c>
      <c r="F7565">
        <f>IFERROR(MATCH(A7565,Deals!$A$2:$A$843,0),"")</f>
        <v/>
      </c>
      <c r="G7565">
        <f>IF(F7565="",0,1)</f>
        <v/>
      </c>
      <c r="H7565" s="29">
        <f>IF(F7565="","",INDEX(Deals!$E$2:$E$843,F7565))</f>
        <v/>
      </c>
      <c r="I7565">
        <f>IF(F7565="","",INDEX(Deals!$D$2:$D$843,F7565))</f>
        <v/>
      </c>
      <c r="J7565">
        <f>IF(F7565="","",INT(H7565)-B7565)</f>
        <v/>
      </c>
      <c r="K7565">
        <f>IF(B7565&gt;=Settings!$C$5,1,0)</f>
        <v/>
      </c>
    </row>
    <row r="7566">
      <c r="A7566" t="inlineStr">
        <is>
          <t>a4a0d1d9972ff92e21678a57d466fde4</t>
        </is>
      </c>
      <c r="B7566" s="29" t="n">
        <v>43205</v>
      </c>
      <c r="C7566" t="inlineStr">
        <is>
          <t>2018-04</t>
        </is>
      </c>
      <c r="D7566" t="inlineStr">
        <is>
          <t>5dc848e7dd9418dffe183215b8ff0bc1</t>
        </is>
      </c>
      <c r="E7566" t="inlineStr">
        <is>
          <t>paid_search</t>
        </is>
      </c>
      <c r="F7566">
        <f>IFERROR(MATCH(A7566,Deals!$A$2:$A$843,0),"")</f>
        <v/>
      </c>
      <c r="G7566">
        <f>IF(F7566="",0,1)</f>
        <v/>
      </c>
      <c r="H7566" s="29">
        <f>IF(F7566="","",INDEX(Deals!$E$2:$E$843,F7566))</f>
        <v/>
      </c>
      <c r="I7566">
        <f>IF(F7566="","",INDEX(Deals!$D$2:$D$843,F7566))</f>
        <v/>
      </c>
      <c r="J7566">
        <f>IF(F7566="","",INT(H7566)-B7566)</f>
        <v/>
      </c>
      <c r="K7566">
        <f>IF(B7566&gt;=Settings!$C$5,1,0)</f>
        <v/>
      </c>
    </row>
    <row r="7567">
      <c r="A7567" t="inlineStr">
        <is>
          <t>0a27d42aa8dba19f9cf326cf6620b29a</t>
        </is>
      </c>
      <c r="B7567" s="29" t="n">
        <v>43214</v>
      </c>
      <c r="C7567" t="inlineStr">
        <is>
          <t>2018-04</t>
        </is>
      </c>
      <c r="D7567" t="inlineStr">
        <is>
          <t>007f9098284a86ee80ddeb25d53e0af8</t>
        </is>
      </c>
      <c r="E7567" t="inlineStr">
        <is>
          <t>paid_search</t>
        </is>
      </c>
      <c r="F7567">
        <f>IFERROR(MATCH(A7567,Deals!$A$2:$A$843,0),"")</f>
        <v/>
      </c>
      <c r="G7567">
        <f>IF(F7567="",0,1)</f>
        <v/>
      </c>
      <c r="H7567" s="29">
        <f>IF(F7567="","",INDEX(Deals!$E$2:$E$843,F7567))</f>
        <v/>
      </c>
      <c r="I7567">
        <f>IF(F7567="","",INDEX(Deals!$D$2:$D$843,F7567))</f>
        <v/>
      </c>
      <c r="J7567">
        <f>IF(F7567="","",INT(H7567)-B7567)</f>
        <v/>
      </c>
      <c r="K7567">
        <f>IF(B7567&gt;=Settings!$C$5,1,0)</f>
        <v/>
      </c>
    </row>
    <row r="7568">
      <c r="A7568" t="inlineStr">
        <is>
          <t>b4ea0b7717d20f0bf18846caba9fe287</t>
        </is>
      </c>
      <c r="B7568" s="29" t="n">
        <v>43173</v>
      </c>
      <c r="C7568" t="inlineStr">
        <is>
          <t>2018-03</t>
        </is>
      </c>
      <c r="D7568" t="inlineStr">
        <is>
          <t>65d9f9d71e562365e8b44037c2888d98</t>
        </is>
      </c>
      <c r="E7568" t="inlineStr">
        <is>
          <t>organic_search</t>
        </is>
      </c>
      <c r="F7568">
        <f>IFERROR(MATCH(A7568,Deals!$A$2:$A$843,0),"")</f>
        <v/>
      </c>
      <c r="G7568">
        <f>IF(F7568="",0,1)</f>
        <v/>
      </c>
      <c r="H7568" s="29">
        <f>IF(F7568="","",INDEX(Deals!$E$2:$E$843,F7568))</f>
        <v/>
      </c>
      <c r="I7568">
        <f>IF(F7568="","",INDEX(Deals!$D$2:$D$843,F7568))</f>
        <v/>
      </c>
      <c r="J7568">
        <f>IF(F7568="","",INT(H7568)-B7568)</f>
        <v/>
      </c>
      <c r="K7568">
        <f>IF(B7568&gt;=Settings!$C$5,1,0)</f>
        <v/>
      </c>
    </row>
    <row r="7569">
      <c r="A7569" t="inlineStr">
        <is>
          <t>94cc372d721433c5dcb08a5c499432cb</t>
        </is>
      </c>
      <c r="B7569" s="29" t="n">
        <v>43201</v>
      </c>
      <c r="C7569" t="inlineStr">
        <is>
          <t>2018-04</t>
        </is>
      </c>
      <c r="D7569" t="inlineStr">
        <is>
          <t>649b7b8b46b254497e92038d88f6ced8</t>
        </is>
      </c>
      <c r="E7569" t="inlineStr">
        <is>
          <t>organic_search</t>
        </is>
      </c>
      <c r="F7569">
        <f>IFERROR(MATCH(A7569,Deals!$A$2:$A$843,0),"")</f>
        <v/>
      </c>
      <c r="G7569">
        <f>IF(F7569="",0,1)</f>
        <v/>
      </c>
      <c r="H7569" s="29">
        <f>IF(F7569="","",INDEX(Deals!$E$2:$E$843,F7569))</f>
        <v/>
      </c>
      <c r="I7569">
        <f>IF(F7569="","",INDEX(Deals!$D$2:$D$843,F7569))</f>
        <v/>
      </c>
      <c r="J7569">
        <f>IF(F7569="","",INT(H7569)-B7569)</f>
        <v/>
      </c>
      <c r="K7569">
        <f>IF(B7569&gt;=Settings!$C$5,1,0)</f>
        <v/>
      </c>
    </row>
    <row r="7570">
      <c r="A7570" t="inlineStr">
        <is>
          <t>6649b621033ae95a2e9da0dd9c99fa48</t>
        </is>
      </c>
      <c r="B7570" s="29" t="n">
        <v>43251</v>
      </c>
      <c r="C7570" t="inlineStr">
        <is>
          <t>2018-05</t>
        </is>
      </c>
      <c r="D7570" t="inlineStr">
        <is>
          <t>320669df6e03fc8a691a1a4c61c56a32</t>
        </is>
      </c>
      <c r="E7570" t="inlineStr">
        <is>
          <t>unknown</t>
        </is>
      </c>
      <c r="F7570">
        <f>IFERROR(MATCH(A7570,Deals!$A$2:$A$843,0),"")</f>
        <v/>
      </c>
      <c r="G7570">
        <f>IF(F7570="",0,1)</f>
        <v/>
      </c>
      <c r="H7570" s="29">
        <f>IF(F7570="","",INDEX(Deals!$E$2:$E$843,F7570))</f>
        <v/>
      </c>
      <c r="I7570">
        <f>IF(F7570="","",INDEX(Deals!$D$2:$D$843,F7570))</f>
        <v/>
      </c>
      <c r="J7570">
        <f>IF(F7570="","",INT(H7570)-B7570)</f>
        <v/>
      </c>
      <c r="K7570">
        <f>IF(B7570&gt;=Settings!$C$5,1,0)</f>
        <v/>
      </c>
    </row>
    <row r="7571">
      <c r="A7571" t="inlineStr">
        <is>
          <t>ea36a38cfad96a89e2614f339f909549</t>
        </is>
      </c>
      <c r="B7571" s="29" t="n">
        <v>43149</v>
      </c>
      <c r="C7571" t="inlineStr">
        <is>
          <t>2018-02</t>
        </is>
      </c>
      <c r="D7571" t="inlineStr">
        <is>
          <t>88740e65d5d6b056e0cda098e1ea6313</t>
        </is>
      </c>
      <c r="E7571" t="inlineStr">
        <is>
          <t>social</t>
        </is>
      </c>
      <c r="F7571">
        <f>IFERROR(MATCH(A7571,Deals!$A$2:$A$843,0),"")</f>
        <v/>
      </c>
      <c r="G7571">
        <f>IF(F7571="",0,1)</f>
        <v/>
      </c>
      <c r="H7571" s="29">
        <f>IF(F7571="","",INDEX(Deals!$E$2:$E$843,F7571))</f>
        <v/>
      </c>
      <c r="I7571">
        <f>IF(F7571="","",INDEX(Deals!$D$2:$D$843,F7571))</f>
        <v/>
      </c>
      <c r="J7571">
        <f>IF(F7571="","",INT(H7571)-B7571)</f>
        <v/>
      </c>
      <c r="K7571">
        <f>IF(B7571&gt;=Settings!$C$5,1,0)</f>
        <v/>
      </c>
    </row>
    <row r="7572">
      <c r="A7572" t="inlineStr">
        <is>
          <t>10bd89509a170e478e62697df43a5984</t>
        </is>
      </c>
      <c r="B7572" s="29" t="n">
        <v>43251</v>
      </c>
      <c r="C7572" t="inlineStr">
        <is>
          <t>2018-05</t>
        </is>
      </c>
      <c r="D7572" t="inlineStr">
        <is>
          <t>58326e62183c14b0c03085c33b9fdc44</t>
        </is>
      </c>
      <c r="E7572" t="inlineStr">
        <is>
          <t>social</t>
        </is>
      </c>
      <c r="F7572">
        <f>IFERROR(MATCH(A7572,Deals!$A$2:$A$843,0),"")</f>
        <v/>
      </c>
      <c r="G7572">
        <f>IF(F7572="",0,1)</f>
        <v/>
      </c>
      <c r="H7572" s="29">
        <f>IF(F7572="","",INDEX(Deals!$E$2:$E$843,F7572))</f>
        <v/>
      </c>
      <c r="I7572">
        <f>IF(F7572="","",INDEX(Deals!$D$2:$D$843,F7572))</f>
        <v/>
      </c>
      <c r="J7572">
        <f>IF(F7572="","",INT(H7572)-B7572)</f>
        <v/>
      </c>
      <c r="K7572">
        <f>IF(B7572&gt;=Settings!$C$5,1,0)</f>
        <v/>
      </c>
    </row>
    <row r="7573">
      <c r="A7573" t="inlineStr">
        <is>
          <t>c55b6c80b9a641b3e91d6d261b43039a</t>
        </is>
      </c>
      <c r="B7573" s="29" t="n">
        <v>43217</v>
      </c>
      <c r="C7573" t="inlineStr">
        <is>
          <t>2018-04</t>
        </is>
      </c>
      <c r="D7573" t="inlineStr">
        <is>
          <t>f80696b73d17fb34f5c4fde157f119d8</t>
        </is>
      </c>
      <c r="E7573" t="inlineStr">
        <is>
          <t>referral</t>
        </is>
      </c>
      <c r="F7573">
        <f>IFERROR(MATCH(A7573,Deals!$A$2:$A$843,0),"")</f>
        <v/>
      </c>
      <c r="G7573">
        <f>IF(F7573="",0,1)</f>
        <v/>
      </c>
      <c r="H7573" s="29">
        <f>IF(F7573="","",INDEX(Deals!$E$2:$E$843,F7573))</f>
        <v/>
      </c>
      <c r="I7573">
        <f>IF(F7573="","",INDEX(Deals!$D$2:$D$843,F7573))</f>
        <v/>
      </c>
      <c r="J7573">
        <f>IF(F7573="","",INT(H7573)-B7573)</f>
        <v/>
      </c>
      <c r="K7573">
        <f>IF(B7573&gt;=Settings!$C$5,1,0)</f>
        <v/>
      </c>
    </row>
    <row r="7574">
      <c r="A7574" t="inlineStr">
        <is>
          <t>7f5667890e56de28cb734293df7d2c73</t>
        </is>
      </c>
      <c r="B7574" s="29" t="n">
        <v>43053</v>
      </c>
      <c r="C7574" t="inlineStr">
        <is>
          <t>2017-11</t>
        </is>
      </c>
      <c r="D7574" t="inlineStr">
        <is>
          <t>1722481ac9e5371e5099dea226b5421d</t>
        </is>
      </c>
      <c r="E7574" t="inlineStr">
        <is>
          <t>email</t>
        </is>
      </c>
      <c r="F7574">
        <f>IFERROR(MATCH(A7574,Deals!$A$2:$A$843,0),"")</f>
        <v/>
      </c>
      <c r="G7574">
        <f>IF(F7574="",0,1)</f>
        <v/>
      </c>
      <c r="H7574" s="29">
        <f>IF(F7574="","",INDEX(Deals!$E$2:$E$843,F7574))</f>
        <v/>
      </c>
      <c r="I7574">
        <f>IF(F7574="","",INDEX(Deals!$D$2:$D$843,F7574))</f>
        <v/>
      </c>
      <c r="J7574">
        <f>IF(F7574="","",INT(H7574)-B7574)</f>
        <v/>
      </c>
      <c r="K7574">
        <f>IF(B7574&gt;=Settings!$C$5,1,0)</f>
        <v/>
      </c>
    </row>
    <row r="7575">
      <c r="A7575" t="inlineStr">
        <is>
          <t>7998e8b20a8a78bcc791977fee27fc81</t>
        </is>
      </c>
      <c r="B7575" s="29" t="n">
        <v>43173</v>
      </c>
      <c r="C7575" t="inlineStr">
        <is>
          <t>2018-03</t>
        </is>
      </c>
      <c r="D7575" t="inlineStr">
        <is>
          <t>8345a83d419160e69c0501b494dadfa6</t>
        </is>
      </c>
      <c r="E7575" t="inlineStr">
        <is>
          <t>(missing)</t>
        </is>
      </c>
      <c r="F7575">
        <f>IFERROR(MATCH(A7575,Deals!$A$2:$A$843,0),"")</f>
        <v/>
      </c>
      <c r="G7575">
        <f>IF(F7575="",0,1)</f>
        <v/>
      </c>
      <c r="H7575" s="29">
        <f>IF(F7575="","",INDEX(Deals!$E$2:$E$843,F7575))</f>
        <v/>
      </c>
      <c r="I7575">
        <f>IF(F7575="","",INDEX(Deals!$D$2:$D$843,F7575))</f>
        <v/>
      </c>
      <c r="J7575">
        <f>IF(F7575="","",INT(H7575)-B7575)</f>
        <v/>
      </c>
      <c r="K7575">
        <f>IF(B7575&gt;=Settings!$C$5,1,0)</f>
        <v/>
      </c>
    </row>
    <row r="7576">
      <c r="A7576" t="inlineStr">
        <is>
          <t>947c56f263c5d3cbaa68d498533c2112</t>
        </is>
      </c>
      <c r="B7576" s="29" t="n">
        <v>43173</v>
      </c>
      <c r="C7576" t="inlineStr">
        <is>
          <t>2018-03</t>
        </is>
      </c>
      <c r="D7576" t="inlineStr">
        <is>
          <t>47a9f630d492167d7390ff23cf40dab6</t>
        </is>
      </c>
      <c r="E7576" t="inlineStr">
        <is>
          <t>unknown</t>
        </is>
      </c>
      <c r="F7576">
        <f>IFERROR(MATCH(A7576,Deals!$A$2:$A$843,0),"")</f>
        <v/>
      </c>
      <c r="G7576">
        <f>IF(F7576="",0,1)</f>
        <v/>
      </c>
      <c r="H7576" s="29">
        <f>IF(F7576="","",INDEX(Deals!$E$2:$E$843,F7576))</f>
        <v/>
      </c>
      <c r="I7576">
        <f>IF(F7576="","",INDEX(Deals!$D$2:$D$843,F7576))</f>
        <v/>
      </c>
      <c r="J7576">
        <f>IF(F7576="","",INT(H7576)-B7576)</f>
        <v/>
      </c>
      <c r="K7576">
        <f>IF(B7576&gt;=Settings!$C$5,1,0)</f>
        <v/>
      </c>
    </row>
    <row r="7577">
      <c r="A7577" t="inlineStr">
        <is>
          <t>1dfbda77c4310b8e6f421bd0bd33056c</t>
        </is>
      </c>
      <c r="B7577" s="29" t="n">
        <v>42991</v>
      </c>
      <c r="C7577" t="inlineStr">
        <is>
          <t>2017-09</t>
        </is>
      </c>
      <c r="D7577" t="inlineStr">
        <is>
          <t>f017be4dbf86243af5c1ebed0cff36a2</t>
        </is>
      </c>
      <c r="E7577" t="inlineStr">
        <is>
          <t>organic_search</t>
        </is>
      </c>
      <c r="F7577">
        <f>IFERROR(MATCH(A7577,Deals!$A$2:$A$843,0),"")</f>
        <v/>
      </c>
      <c r="G7577">
        <f>IF(F7577="",0,1)</f>
        <v/>
      </c>
      <c r="H7577" s="29">
        <f>IF(F7577="","",INDEX(Deals!$E$2:$E$843,F7577))</f>
        <v/>
      </c>
      <c r="I7577">
        <f>IF(F7577="","",INDEX(Deals!$D$2:$D$843,F7577))</f>
        <v/>
      </c>
      <c r="J7577">
        <f>IF(F7577="","",INT(H7577)-B7577)</f>
        <v/>
      </c>
      <c r="K7577">
        <f>IF(B7577&gt;=Settings!$C$5,1,0)</f>
        <v/>
      </c>
    </row>
    <row r="7578">
      <c r="A7578" t="inlineStr">
        <is>
          <t>23fd9a01abad0b66ec4a63c66580b708</t>
        </is>
      </c>
      <c r="B7578" s="29" t="n">
        <v>43221</v>
      </c>
      <c r="C7578" t="inlineStr">
        <is>
          <t>2018-05</t>
        </is>
      </c>
      <c r="D7578" t="inlineStr">
        <is>
          <t>58326e62183c14b0c03085c33b9fdc44</t>
        </is>
      </c>
      <c r="E7578" t="inlineStr">
        <is>
          <t>social</t>
        </is>
      </c>
      <c r="F7578">
        <f>IFERROR(MATCH(A7578,Deals!$A$2:$A$843,0),"")</f>
        <v/>
      </c>
      <c r="G7578">
        <f>IF(F7578="",0,1)</f>
        <v/>
      </c>
      <c r="H7578" s="29">
        <f>IF(F7578="","",INDEX(Deals!$E$2:$E$843,F7578))</f>
        <v/>
      </c>
      <c r="I7578">
        <f>IF(F7578="","",INDEX(Deals!$D$2:$D$843,F7578))</f>
        <v/>
      </c>
      <c r="J7578">
        <f>IF(F7578="","",INT(H7578)-B7578)</f>
        <v/>
      </c>
      <c r="K7578">
        <f>IF(B7578&gt;=Settings!$C$5,1,0)</f>
        <v/>
      </c>
    </row>
    <row r="7579">
      <c r="A7579" t="inlineStr">
        <is>
          <t>dc238c9533597a8cc2a9738ebde4bfcb</t>
        </is>
      </c>
      <c r="B7579" s="29" t="n">
        <v>42969</v>
      </c>
      <c r="C7579" t="inlineStr">
        <is>
          <t>2017-08</t>
        </is>
      </c>
      <c r="D7579" t="inlineStr">
        <is>
          <t>1722481ac9e5371e5099dea226b5421d</t>
        </is>
      </c>
      <c r="E7579" t="inlineStr">
        <is>
          <t>social</t>
        </is>
      </c>
      <c r="F7579">
        <f>IFERROR(MATCH(A7579,Deals!$A$2:$A$843,0),"")</f>
        <v/>
      </c>
      <c r="G7579">
        <f>IF(F7579="",0,1)</f>
        <v/>
      </c>
      <c r="H7579" s="29">
        <f>IF(F7579="","",INDEX(Deals!$E$2:$E$843,F7579))</f>
        <v/>
      </c>
      <c r="I7579">
        <f>IF(F7579="","",INDEX(Deals!$D$2:$D$843,F7579))</f>
        <v/>
      </c>
      <c r="J7579">
        <f>IF(F7579="","",INT(H7579)-B7579)</f>
        <v/>
      </c>
      <c r="K7579">
        <f>IF(B7579&gt;=Settings!$C$5,1,0)</f>
        <v/>
      </c>
    </row>
    <row r="7580">
      <c r="A7580" t="inlineStr">
        <is>
          <t>e5f0a515e53bfd721fdb162b9b34d220</t>
        </is>
      </c>
      <c r="B7580" s="29" t="n">
        <v>43128</v>
      </c>
      <c r="C7580" t="inlineStr">
        <is>
          <t>2018-01</t>
        </is>
      </c>
      <c r="D7580" t="inlineStr">
        <is>
          <t>e492ee5eaf1697716985cc6f33f9cd9b</t>
        </is>
      </c>
      <c r="E7580" t="inlineStr">
        <is>
          <t>organic_search</t>
        </is>
      </c>
      <c r="F7580">
        <f>IFERROR(MATCH(A7580,Deals!$A$2:$A$843,0),"")</f>
        <v/>
      </c>
      <c r="G7580">
        <f>IF(F7580="",0,1)</f>
        <v/>
      </c>
      <c r="H7580" s="29">
        <f>IF(F7580="","",INDEX(Deals!$E$2:$E$843,F7580))</f>
        <v/>
      </c>
      <c r="I7580">
        <f>IF(F7580="","",INDEX(Deals!$D$2:$D$843,F7580))</f>
        <v/>
      </c>
      <c r="J7580">
        <f>IF(F7580="","",INT(H7580)-B7580)</f>
        <v/>
      </c>
      <c r="K7580">
        <f>IF(B7580&gt;=Settings!$C$5,1,0)</f>
        <v/>
      </c>
    </row>
    <row r="7581">
      <c r="A7581" t="inlineStr">
        <is>
          <t>971075aa1ab5b16f6f204a7e33784a9f</t>
        </is>
      </c>
      <c r="B7581" s="29" t="n">
        <v>43238</v>
      </c>
      <c r="C7581" t="inlineStr">
        <is>
          <t>2018-05</t>
        </is>
      </c>
      <c r="D7581" t="inlineStr">
        <is>
          <t>7b8106a8b4d2982573b70980cbb01e9d</t>
        </is>
      </c>
      <c r="E7581" t="inlineStr">
        <is>
          <t>direct_traffic</t>
        </is>
      </c>
      <c r="F7581">
        <f>IFERROR(MATCH(A7581,Deals!$A$2:$A$843,0),"")</f>
        <v/>
      </c>
      <c r="G7581">
        <f>IF(F7581="",0,1)</f>
        <v/>
      </c>
      <c r="H7581" s="29">
        <f>IF(F7581="","",INDEX(Deals!$E$2:$E$843,F7581))</f>
        <v/>
      </c>
      <c r="I7581">
        <f>IF(F7581="","",INDEX(Deals!$D$2:$D$843,F7581))</f>
        <v/>
      </c>
      <c r="J7581">
        <f>IF(F7581="","",INT(H7581)-B7581)</f>
        <v/>
      </c>
      <c r="K7581">
        <f>IF(B7581&gt;=Settings!$C$5,1,0)</f>
        <v/>
      </c>
    </row>
    <row r="7582">
      <c r="A7582" t="inlineStr">
        <is>
          <t>e71fc4c35a684450f5eff49d2046f880</t>
        </is>
      </c>
      <c r="B7582" s="29" t="n">
        <v>43198</v>
      </c>
      <c r="C7582" t="inlineStr">
        <is>
          <t>2018-04</t>
        </is>
      </c>
      <c r="D7582" t="inlineStr">
        <is>
          <t>58326e62183c14b0c03085c33b9fdc44</t>
        </is>
      </c>
      <c r="E7582" t="inlineStr">
        <is>
          <t>social</t>
        </is>
      </c>
      <c r="F7582">
        <f>IFERROR(MATCH(A7582,Deals!$A$2:$A$843,0),"")</f>
        <v/>
      </c>
      <c r="G7582">
        <f>IF(F7582="",0,1)</f>
        <v/>
      </c>
      <c r="H7582" s="29">
        <f>IF(F7582="","",INDEX(Deals!$E$2:$E$843,F7582))</f>
        <v/>
      </c>
      <c r="I7582">
        <f>IF(F7582="","",INDEX(Deals!$D$2:$D$843,F7582))</f>
        <v/>
      </c>
      <c r="J7582">
        <f>IF(F7582="","",INT(H7582)-B7582)</f>
        <v/>
      </c>
      <c r="K7582">
        <f>IF(B7582&gt;=Settings!$C$5,1,0)</f>
        <v/>
      </c>
    </row>
    <row r="7583">
      <c r="A7583" t="inlineStr">
        <is>
          <t>72cd5befa49bb037eaccaaf9a6192cd7</t>
        </is>
      </c>
      <c r="B7583" s="29" t="n">
        <v>43206</v>
      </c>
      <c r="C7583" t="inlineStr">
        <is>
          <t>2018-04</t>
        </is>
      </c>
      <c r="D7583" t="inlineStr">
        <is>
          <t>5dc848e7dd9418dffe183215b8ff0bc1</t>
        </is>
      </c>
      <c r="E7583" t="inlineStr">
        <is>
          <t>paid_search</t>
        </is>
      </c>
      <c r="F7583">
        <f>IFERROR(MATCH(A7583,Deals!$A$2:$A$843,0),"")</f>
        <v/>
      </c>
      <c r="G7583">
        <f>IF(F7583="",0,1)</f>
        <v/>
      </c>
      <c r="H7583" s="29">
        <f>IF(F7583="","",INDEX(Deals!$E$2:$E$843,F7583))</f>
        <v/>
      </c>
      <c r="I7583">
        <f>IF(F7583="","",INDEX(Deals!$D$2:$D$843,F7583))</f>
        <v/>
      </c>
      <c r="J7583">
        <f>IF(F7583="","",INT(H7583)-B7583)</f>
        <v/>
      </c>
      <c r="K7583">
        <f>IF(B7583&gt;=Settings!$C$5,1,0)</f>
        <v/>
      </c>
    </row>
    <row r="7584">
      <c r="A7584" t="inlineStr">
        <is>
          <t>3946286620b2e1ed380a77193fb7add7</t>
        </is>
      </c>
      <c r="B7584" s="29" t="n">
        <v>42968</v>
      </c>
      <c r="C7584" t="inlineStr">
        <is>
          <t>2017-08</t>
        </is>
      </c>
      <c r="D7584" t="inlineStr">
        <is>
          <t>22c29808c4f815213303f8933030604c</t>
        </is>
      </c>
      <c r="E7584" t="inlineStr">
        <is>
          <t>organic_search</t>
        </is>
      </c>
      <c r="F7584">
        <f>IFERROR(MATCH(A7584,Deals!$A$2:$A$843,0),"")</f>
        <v/>
      </c>
      <c r="G7584">
        <f>IF(F7584="",0,1)</f>
        <v/>
      </c>
      <c r="H7584" s="29">
        <f>IF(F7584="","",INDEX(Deals!$E$2:$E$843,F7584))</f>
        <v/>
      </c>
      <c r="I7584">
        <f>IF(F7584="","",INDEX(Deals!$D$2:$D$843,F7584))</f>
        <v/>
      </c>
      <c r="J7584">
        <f>IF(F7584="","",INT(H7584)-B7584)</f>
        <v/>
      </c>
      <c r="K7584">
        <f>IF(B7584&gt;=Settings!$C$5,1,0)</f>
        <v/>
      </c>
    </row>
    <row r="7585">
      <c r="A7585" t="inlineStr">
        <is>
          <t>9cf2bd74e4c3eaa1d1eb60c7defe4fb0</t>
        </is>
      </c>
      <c r="B7585" s="29" t="n">
        <v>43202</v>
      </c>
      <c r="C7585" t="inlineStr">
        <is>
          <t>2018-04</t>
        </is>
      </c>
      <c r="D7585" t="inlineStr">
        <is>
          <t>22c29808c4f815213303f8933030604c</t>
        </is>
      </c>
      <c r="E7585" t="inlineStr">
        <is>
          <t>paid_search</t>
        </is>
      </c>
      <c r="F7585">
        <f>IFERROR(MATCH(A7585,Deals!$A$2:$A$843,0),"")</f>
        <v/>
      </c>
      <c r="G7585">
        <f>IF(F7585="",0,1)</f>
        <v/>
      </c>
      <c r="H7585" s="29">
        <f>IF(F7585="","",INDEX(Deals!$E$2:$E$843,F7585))</f>
        <v/>
      </c>
      <c r="I7585">
        <f>IF(F7585="","",INDEX(Deals!$D$2:$D$843,F7585))</f>
        <v/>
      </c>
      <c r="J7585">
        <f>IF(F7585="","",INT(H7585)-B7585)</f>
        <v/>
      </c>
      <c r="K7585">
        <f>IF(B7585&gt;=Settings!$C$5,1,0)</f>
        <v/>
      </c>
    </row>
    <row r="7586">
      <c r="A7586" t="inlineStr">
        <is>
          <t>424ea4fb01d426ad5231b50dfd69d46a</t>
        </is>
      </c>
      <c r="B7586" s="29" t="n">
        <v>43118</v>
      </c>
      <c r="C7586" t="inlineStr">
        <is>
          <t>2018-01</t>
        </is>
      </c>
      <c r="D7586" t="inlineStr">
        <is>
          <t>73f31a40697cc90a86c1273563ac230e</t>
        </is>
      </c>
      <c r="E7586" t="inlineStr">
        <is>
          <t>social</t>
        </is>
      </c>
      <c r="F7586">
        <f>IFERROR(MATCH(A7586,Deals!$A$2:$A$843,0),"")</f>
        <v/>
      </c>
      <c r="G7586">
        <f>IF(F7586="",0,1)</f>
        <v/>
      </c>
      <c r="H7586" s="29">
        <f>IF(F7586="","",INDEX(Deals!$E$2:$E$843,F7586))</f>
        <v/>
      </c>
      <c r="I7586">
        <f>IF(F7586="","",INDEX(Deals!$D$2:$D$843,F7586))</f>
        <v/>
      </c>
      <c r="J7586">
        <f>IF(F7586="","",INT(H7586)-B7586)</f>
        <v/>
      </c>
      <c r="K7586">
        <f>IF(B7586&gt;=Settings!$C$5,1,0)</f>
        <v/>
      </c>
    </row>
    <row r="7587">
      <c r="A7587" t="inlineStr">
        <is>
          <t>6a1daa960984b0d1b4f1b644e9e6917e</t>
        </is>
      </c>
      <c r="B7587" s="29" t="n">
        <v>43035</v>
      </c>
      <c r="C7587" t="inlineStr">
        <is>
          <t>2017-10</t>
        </is>
      </c>
      <c r="D7587" t="inlineStr">
        <is>
          <t>65d9f9d71e562365e8b44037c2888d98</t>
        </is>
      </c>
      <c r="E7587" t="inlineStr">
        <is>
          <t>paid_search</t>
        </is>
      </c>
      <c r="F7587">
        <f>IFERROR(MATCH(A7587,Deals!$A$2:$A$843,0),"")</f>
        <v/>
      </c>
      <c r="G7587">
        <f>IF(F7587="",0,1)</f>
        <v/>
      </c>
      <c r="H7587" s="29">
        <f>IF(F7587="","",INDEX(Deals!$E$2:$E$843,F7587))</f>
        <v/>
      </c>
      <c r="I7587">
        <f>IF(F7587="","",INDEX(Deals!$D$2:$D$843,F7587))</f>
        <v/>
      </c>
      <c r="J7587">
        <f>IF(F7587="","",INT(H7587)-B7587)</f>
        <v/>
      </c>
      <c r="K7587">
        <f>IF(B7587&gt;=Settings!$C$5,1,0)</f>
        <v/>
      </c>
    </row>
    <row r="7588">
      <c r="A7588" t="inlineStr">
        <is>
          <t>ebcdc4e2a7e73118fab4921b78200b2b</t>
        </is>
      </c>
      <c r="B7588" s="29" t="n">
        <v>43171</v>
      </c>
      <c r="C7588" t="inlineStr">
        <is>
          <t>2018-03</t>
        </is>
      </c>
      <c r="D7588" t="inlineStr">
        <is>
          <t>22c29808c4f815213303f8933030604c</t>
        </is>
      </c>
      <c r="E7588" t="inlineStr">
        <is>
          <t>organic_search</t>
        </is>
      </c>
      <c r="F7588">
        <f>IFERROR(MATCH(A7588,Deals!$A$2:$A$843,0),"")</f>
        <v/>
      </c>
      <c r="G7588">
        <f>IF(F7588="",0,1)</f>
        <v/>
      </c>
      <c r="H7588" s="29">
        <f>IF(F7588="","",INDEX(Deals!$E$2:$E$843,F7588))</f>
        <v/>
      </c>
      <c r="I7588">
        <f>IF(F7588="","",INDEX(Deals!$D$2:$D$843,F7588))</f>
        <v/>
      </c>
      <c r="J7588">
        <f>IF(F7588="","",INT(H7588)-B7588)</f>
        <v/>
      </c>
      <c r="K7588">
        <f>IF(B7588&gt;=Settings!$C$5,1,0)</f>
        <v/>
      </c>
    </row>
    <row r="7589">
      <c r="A7589" t="inlineStr">
        <is>
          <t>1318b662052d314d6068302a28af4a25</t>
        </is>
      </c>
      <c r="B7589" s="29" t="n">
        <v>43113</v>
      </c>
      <c r="C7589" t="inlineStr">
        <is>
          <t>2018-01</t>
        </is>
      </c>
      <c r="D7589" t="inlineStr">
        <is>
          <t>7fa6214d82e911d070f51ef79381b956</t>
        </is>
      </c>
      <c r="E7589" t="inlineStr">
        <is>
          <t>organic_search</t>
        </is>
      </c>
      <c r="F7589">
        <f>IFERROR(MATCH(A7589,Deals!$A$2:$A$843,0),"")</f>
        <v/>
      </c>
      <c r="G7589">
        <f>IF(F7589="",0,1)</f>
        <v/>
      </c>
      <c r="H7589" s="29">
        <f>IF(F7589="","",INDEX(Deals!$E$2:$E$843,F7589))</f>
        <v/>
      </c>
      <c r="I7589">
        <f>IF(F7589="","",INDEX(Deals!$D$2:$D$843,F7589))</f>
        <v/>
      </c>
      <c r="J7589">
        <f>IF(F7589="","",INT(H7589)-B7589)</f>
        <v/>
      </c>
      <c r="K7589">
        <f>IF(B7589&gt;=Settings!$C$5,1,0)</f>
        <v/>
      </c>
    </row>
    <row r="7590">
      <c r="A7590" t="inlineStr">
        <is>
          <t>73c4fa58d428d52c2b12e11f3b28e8f5</t>
        </is>
      </c>
      <c r="B7590" s="29" t="n">
        <v>43213</v>
      </c>
      <c r="C7590" t="inlineStr">
        <is>
          <t>2018-04</t>
        </is>
      </c>
      <c r="D7590" t="inlineStr">
        <is>
          <t>22c29808c4f815213303f8933030604c</t>
        </is>
      </c>
      <c r="E7590" t="inlineStr">
        <is>
          <t>organic_search</t>
        </is>
      </c>
      <c r="F7590">
        <f>IFERROR(MATCH(A7590,Deals!$A$2:$A$843,0),"")</f>
        <v/>
      </c>
      <c r="G7590">
        <f>IF(F7590="",0,1)</f>
        <v/>
      </c>
      <c r="H7590" s="29">
        <f>IF(F7590="","",INDEX(Deals!$E$2:$E$843,F7590))</f>
        <v/>
      </c>
      <c r="I7590">
        <f>IF(F7590="","",INDEX(Deals!$D$2:$D$843,F7590))</f>
        <v/>
      </c>
      <c r="J7590">
        <f>IF(F7590="","",INT(H7590)-B7590)</f>
        <v/>
      </c>
      <c r="K7590">
        <f>IF(B7590&gt;=Settings!$C$5,1,0)</f>
        <v/>
      </c>
    </row>
    <row r="7591">
      <c r="A7591" t="inlineStr">
        <is>
          <t>8af69d2baafa5a3a9bc1bcdecec02add</t>
        </is>
      </c>
      <c r="B7591" s="29" t="n">
        <v>43157</v>
      </c>
      <c r="C7591" t="inlineStr">
        <is>
          <t>2018-02</t>
        </is>
      </c>
      <c r="D7591" t="inlineStr">
        <is>
          <t>bddebc4f4d44106c427bd00695840e64</t>
        </is>
      </c>
      <c r="E7591" t="inlineStr">
        <is>
          <t>email</t>
        </is>
      </c>
      <c r="F7591">
        <f>IFERROR(MATCH(A7591,Deals!$A$2:$A$843,0),"")</f>
        <v/>
      </c>
      <c r="G7591">
        <f>IF(F7591="",0,1)</f>
        <v/>
      </c>
      <c r="H7591" s="29">
        <f>IF(F7591="","",INDEX(Deals!$E$2:$E$843,F7591))</f>
        <v/>
      </c>
      <c r="I7591">
        <f>IF(F7591="","",INDEX(Deals!$D$2:$D$843,F7591))</f>
        <v/>
      </c>
      <c r="J7591">
        <f>IF(F7591="","",INT(H7591)-B7591)</f>
        <v/>
      </c>
      <c r="K7591">
        <f>IF(B7591&gt;=Settings!$C$5,1,0)</f>
        <v/>
      </c>
    </row>
    <row r="7592">
      <c r="A7592" t="inlineStr">
        <is>
          <t>860b989a383593396648518c761c64a5</t>
        </is>
      </c>
      <c r="B7592" s="29" t="n">
        <v>43200</v>
      </c>
      <c r="C7592" t="inlineStr">
        <is>
          <t>2018-04</t>
        </is>
      </c>
      <c r="D7592" t="inlineStr">
        <is>
          <t>58326e62183c14b0c03085c33b9fdc44</t>
        </is>
      </c>
      <c r="E7592" t="inlineStr">
        <is>
          <t>social</t>
        </is>
      </c>
      <c r="F7592">
        <f>IFERROR(MATCH(A7592,Deals!$A$2:$A$843,0),"")</f>
        <v/>
      </c>
      <c r="G7592">
        <f>IF(F7592="",0,1)</f>
        <v/>
      </c>
      <c r="H7592" s="29">
        <f>IF(F7592="","",INDEX(Deals!$E$2:$E$843,F7592))</f>
        <v/>
      </c>
      <c r="I7592">
        <f>IF(F7592="","",INDEX(Deals!$D$2:$D$843,F7592))</f>
        <v/>
      </c>
      <c r="J7592">
        <f>IF(F7592="","",INT(H7592)-B7592)</f>
        <v/>
      </c>
      <c r="K7592">
        <f>IF(B7592&gt;=Settings!$C$5,1,0)</f>
        <v/>
      </c>
    </row>
    <row r="7593">
      <c r="A7593" t="inlineStr">
        <is>
          <t>50901a6542ade98ecedba98b403134bf</t>
        </is>
      </c>
      <c r="B7593" s="29" t="n">
        <v>43128</v>
      </c>
      <c r="C7593" t="inlineStr">
        <is>
          <t>2018-01</t>
        </is>
      </c>
      <c r="D7593" t="inlineStr">
        <is>
          <t>22c29808c4f815213303f8933030604c</t>
        </is>
      </c>
      <c r="E7593" t="inlineStr">
        <is>
          <t>organic_search</t>
        </is>
      </c>
      <c r="F7593">
        <f>IFERROR(MATCH(A7593,Deals!$A$2:$A$843,0),"")</f>
        <v/>
      </c>
      <c r="G7593">
        <f>IF(F7593="",0,1)</f>
        <v/>
      </c>
      <c r="H7593" s="29">
        <f>IF(F7593="","",INDEX(Deals!$E$2:$E$843,F7593))</f>
        <v/>
      </c>
      <c r="I7593">
        <f>IF(F7593="","",INDEX(Deals!$D$2:$D$843,F7593))</f>
        <v/>
      </c>
      <c r="J7593">
        <f>IF(F7593="","",INT(H7593)-B7593)</f>
        <v/>
      </c>
      <c r="K7593">
        <f>IF(B7593&gt;=Settings!$C$5,1,0)</f>
        <v/>
      </c>
    </row>
    <row r="7594">
      <c r="A7594" t="inlineStr">
        <is>
          <t>75055e7261261adfc923e0e5434455bd</t>
        </is>
      </c>
      <c r="B7594" s="29" t="n">
        <v>42928</v>
      </c>
      <c r="C7594" t="inlineStr">
        <is>
          <t>2017-07</t>
        </is>
      </c>
      <c r="D7594" t="inlineStr">
        <is>
          <t>a56671a54260a44923d32c2f08fad39c</t>
        </is>
      </c>
      <c r="E7594" t="inlineStr">
        <is>
          <t>organic_search</t>
        </is>
      </c>
      <c r="F7594">
        <f>IFERROR(MATCH(A7594,Deals!$A$2:$A$843,0),"")</f>
        <v/>
      </c>
      <c r="G7594">
        <f>IF(F7594="",0,1)</f>
        <v/>
      </c>
      <c r="H7594" s="29">
        <f>IF(F7594="","",INDEX(Deals!$E$2:$E$843,F7594))</f>
        <v/>
      </c>
      <c r="I7594">
        <f>IF(F7594="","",INDEX(Deals!$D$2:$D$843,F7594))</f>
        <v/>
      </c>
      <c r="J7594">
        <f>IF(F7594="","",INT(H7594)-B7594)</f>
        <v/>
      </c>
      <c r="K7594">
        <f>IF(B7594&gt;=Settings!$C$5,1,0)</f>
        <v/>
      </c>
    </row>
    <row r="7595">
      <c r="A7595" t="inlineStr">
        <is>
          <t>7f15033d73520667f4539ac0eaf8dc2c</t>
        </is>
      </c>
      <c r="B7595" s="29" t="n">
        <v>43084</v>
      </c>
      <c r="C7595" t="inlineStr">
        <is>
          <t>2017-12</t>
        </is>
      </c>
      <c r="D7595" t="inlineStr">
        <is>
          <t>1722481ac9e5371e5099dea226b5421d</t>
        </is>
      </c>
      <c r="E7595" t="inlineStr">
        <is>
          <t>unknown</t>
        </is>
      </c>
      <c r="F7595">
        <f>IFERROR(MATCH(A7595,Deals!$A$2:$A$843,0),"")</f>
        <v/>
      </c>
      <c r="G7595">
        <f>IF(F7595="",0,1)</f>
        <v/>
      </c>
      <c r="H7595" s="29">
        <f>IF(F7595="","",INDEX(Deals!$E$2:$E$843,F7595))</f>
        <v/>
      </c>
      <c r="I7595">
        <f>IF(F7595="","",INDEX(Deals!$D$2:$D$843,F7595))</f>
        <v/>
      </c>
      <c r="J7595">
        <f>IF(F7595="","",INT(H7595)-B7595)</f>
        <v/>
      </c>
      <c r="K7595">
        <f>IF(B7595&gt;=Settings!$C$5,1,0)</f>
        <v/>
      </c>
    </row>
    <row r="7596">
      <c r="A7596" t="inlineStr">
        <is>
          <t>033c253e16760c3b1de8b9c807e10bf7</t>
        </is>
      </c>
      <c r="B7596" s="29" t="n">
        <v>43188</v>
      </c>
      <c r="C7596" t="inlineStr">
        <is>
          <t>2018-03</t>
        </is>
      </c>
      <c r="D7596" t="inlineStr">
        <is>
          <t>ce1a65abd0973638f1c887a6efcfa82d</t>
        </is>
      </c>
      <c r="E7596" t="inlineStr">
        <is>
          <t>paid_search</t>
        </is>
      </c>
      <c r="F7596">
        <f>IFERROR(MATCH(A7596,Deals!$A$2:$A$843,0),"")</f>
        <v/>
      </c>
      <c r="G7596">
        <f>IF(F7596="",0,1)</f>
        <v/>
      </c>
      <c r="H7596" s="29">
        <f>IF(F7596="","",INDEX(Deals!$E$2:$E$843,F7596))</f>
        <v/>
      </c>
      <c r="I7596">
        <f>IF(F7596="","",INDEX(Deals!$D$2:$D$843,F7596))</f>
        <v/>
      </c>
      <c r="J7596">
        <f>IF(F7596="","",INT(H7596)-B7596)</f>
        <v/>
      </c>
      <c r="K7596">
        <f>IF(B7596&gt;=Settings!$C$5,1,0)</f>
        <v/>
      </c>
    </row>
    <row r="7597">
      <c r="A7597" t="inlineStr">
        <is>
          <t>0b47657d6bcf28d3ea29ccea75dec4bc</t>
        </is>
      </c>
      <c r="B7597" s="29" t="n">
        <v>43227</v>
      </c>
      <c r="C7597" t="inlineStr">
        <is>
          <t>2018-05</t>
        </is>
      </c>
      <c r="D7597" t="inlineStr">
        <is>
          <t>ce1a65abd0973638f1c887a6efcfa82d</t>
        </is>
      </c>
      <c r="E7597" t="inlineStr">
        <is>
          <t>organic_search</t>
        </is>
      </c>
      <c r="F7597">
        <f>IFERROR(MATCH(A7597,Deals!$A$2:$A$843,0),"")</f>
        <v/>
      </c>
      <c r="G7597">
        <f>IF(F7597="",0,1)</f>
        <v/>
      </c>
      <c r="H7597" s="29">
        <f>IF(F7597="","",INDEX(Deals!$E$2:$E$843,F7597))</f>
        <v/>
      </c>
      <c r="I7597">
        <f>IF(F7597="","",INDEX(Deals!$D$2:$D$843,F7597))</f>
        <v/>
      </c>
      <c r="J7597">
        <f>IF(F7597="","",INT(H7597)-B7597)</f>
        <v/>
      </c>
      <c r="K7597">
        <f>IF(B7597&gt;=Settings!$C$5,1,0)</f>
        <v/>
      </c>
    </row>
    <row r="7598">
      <c r="A7598" t="inlineStr">
        <is>
          <t>9efc2c41e0a54e7e7dc9412d187de9f5</t>
        </is>
      </c>
      <c r="B7598" s="29" t="n">
        <v>43193</v>
      </c>
      <c r="C7598" t="inlineStr">
        <is>
          <t>2018-04</t>
        </is>
      </c>
      <c r="D7598" t="inlineStr">
        <is>
          <t>58326e62183c14b0c03085c33b9fdc44</t>
        </is>
      </c>
      <c r="E7598" t="inlineStr">
        <is>
          <t>social</t>
        </is>
      </c>
      <c r="F7598">
        <f>IFERROR(MATCH(A7598,Deals!$A$2:$A$843,0),"")</f>
        <v/>
      </c>
      <c r="G7598">
        <f>IF(F7598="",0,1)</f>
        <v/>
      </c>
      <c r="H7598" s="29">
        <f>IF(F7598="","",INDEX(Deals!$E$2:$E$843,F7598))</f>
        <v/>
      </c>
      <c r="I7598">
        <f>IF(F7598="","",INDEX(Deals!$D$2:$D$843,F7598))</f>
        <v/>
      </c>
      <c r="J7598">
        <f>IF(F7598="","",INT(H7598)-B7598)</f>
        <v/>
      </c>
      <c r="K7598">
        <f>IF(B7598&gt;=Settings!$C$5,1,0)</f>
        <v/>
      </c>
    </row>
    <row r="7599">
      <c r="A7599" t="inlineStr">
        <is>
          <t>c89b5884687b685381f10c700062f70d</t>
        </is>
      </c>
      <c r="B7599" s="29" t="n">
        <v>43248</v>
      </c>
      <c r="C7599" t="inlineStr">
        <is>
          <t>2018-05</t>
        </is>
      </c>
      <c r="D7599" t="inlineStr">
        <is>
          <t>22c29808c4f815213303f8933030604c</t>
        </is>
      </c>
      <c r="E7599" t="inlineStr">
        <is>
          <t>direct_traffic</t>
        </is>
      </c>
      <c r="F7599">
        <f>IFERROR(MATCH(A7599,Deals!$A$2:$A$843,0),"")</f>
        <v/>
      </c>
      <c r="G7599">
        <f>IF(F7599="",0,1)</f>
        <v/>
      </c>
      <c r="H7599" s="29">
        <f>IF(F7599="","",INDEX(Deals!$E$2:$E$843,F7599))</f>
        <v/>
      </c>
      <c r="I7599">
        <f>IF(F7599="","",INDEX(Deals!$D$2:$D$843,F7599))</f>
        <v/>
      </c>
      <c r="J7599">
        <f>IF(F7599="","",INT(H7599)-B7599)</f>
        <v/>
      </c>
      <c r="K7599">
        <f>IF(B7599&gt;=Settings!$C$5,1,0)</f>
        <v/>
      </c>
    </row>
    <row r="7600">
      <c r="A7600" t="inlineStr">
        <is>
          <t>2439c71f14c8db4ac5208cc84113cffc</t>
        </is>
      </c>
      <c r="B7600" s="29" t="n">
        <v>43248</v>
      </c>
      <c r="C7600" t="inlineStr">
        <is>
          <t>2018-05</t>
        </is>
      </c>
      <c r="D7600" t="inlineStr">
        <is>
          <t>58326e62183c14b0c03085c33b9fdc44</t>
        </is>
      </c>
      <c r="E7600" t="inlineStr">
        <is>
          <t>social</t>
        </is>
      </c>
      <c r="F7600">
        <f>IFERROR(MATCH(A7600,Deals!$A$2:$A$843,0),"")</f>
        <v/>
      </c>
      <c r="G7600">
        <f>IF(F7600="",0,1)</f>
        <v/>
      </c>
      <c r="H7600" s="29">
        <f>IF(F7600="","",INDEX(Deals!$E$2:$E$843,F7600))</f>
        <v/>
      </c>
      <c r="I7600">
        <f>IF(F7600="","",INDEX(Deals!$D$2:$D$843,F7600))</f>
        <v/>
      </c>
      <c r="J7600">
        <f>IF(F7600="","",INT(H7600)-B7600)</f>
        <v/>
      </c>
      <c r="K7600">
        <f>IF(B7600&gt;=Settings!$C$5,1,0)</f>
        <v/>
      </c>
    </row>
    <row r="7601">
      <c r="A7601" t="inlineStr">
        <is>
          <t>611ba5ef155b93d1cc990c1e3dfebe03</t>
        </is>
      </c>
      <c r="B7601" s="29" t="n">
        <v>43022</v>
      </c>
      <c r="C7601" t="inlineStr">
        <is>
          <t>2017-10</t>
        </is>
      </c>
      <c r="D7601" t="inlineStr">
        <is>
          <t>88740e65d5d6b056e0cda098e1ea6313</t>
        </is>
      </c>
      <c r="E7601" t="inlineStr">
        <is>
          <t>social</t>
        </is>
      </c>
      <c r="F7601">
        <f>IFERROR(MATCH(A7601,Deals!$A$2:$A$843,0),"")</f>
        <v/>
      </c>
      <c r="G7601">
        <f>IF(F7601="",0,1)</f>
        <v/>
      </c>
      <c r="H7601" s="29">
        <f>IF(F7601="","",INDEX(Deals!$E$2:$E$843,F7601))</f>
        <v/>
      </c>
      <c r="I7601">
        <f>IF(F7601="","",INDEX(Deals!$D$2:$D$843,F7601))</f>
        <v/>
      </c>
      <c r="J7601">
        <f>IF(F7601="","",INT(H7601)-B7601)</f>
        <v/>
      </c>
      <c r="K7601">
        <f>IF(B7601&gt;=Settings!$C$5,1,0)</f>
        <v/>
      </c>
    </row>
    <row r="7602">
      <c r="A7602" t="inlineStr">
        <is>
          <t>a8833cd4d827a1bd3e3a22f2709aa7d9</t>
        </is>
      </c>
      <c r="B7602" s="29" t="n">
        <v>43016</v>
      </c>
      <c r="C7602" t="inlineStr">
        <is>
          <t>2017-10</t>
        </is>
      </c>
      <c r="D7602" t="inlineStr">
        <is>
          <t>88740e65d5d6b056e0cda098e1ea6313</t>
        </is>
      </c>
      <c r="E7602" t="inlineStr">
        <is>
          <t>social</t>
        </is>
      </c>
      <c r="F7602">
        <f>IFERROR(MATCH(A7602,Deals!$A$2:$A$843,0),"")</f>
        <v/>
      </c>
      <c r="G7602">
        <f>IF(F7602="",0,1)</f>
        <v/>
      </c>
      <c r="H7602" s="29">
        <f>IF(F7602="","",INDEX(Deals!$E$2:$E$843,F7602))</f>
        <v/>
      </c>
      <c r="I7602">
        <f>IF(F7602="","",INDEX(Deals!$D$2:$D$843,F7602))</f>
        <v/>
      </c>
      <c r="J7602">
        <f>IF(F7602="","",INT(H7602)-B7602)</f>
        <v/>
      </c>
      <c r="K7602">
        <f>IF(B7602&gt;=Settings!$C$5,1,0)</f>
        <v/>
      </c>
    </row>
    <row r="7603">
      <c r="A7603" t="inlineStr">
        <is>
          <t>b431ca5b3fa29ad7cb53e91a19074f1e</t>
        </is>
      </c>
      <c r="B7603" s="29" t="n">
        <v>43132</v>
      </c>
      <c r="C7603" t="inlineStr">
        <is>
          <t>2018-02</t>
        </is>
      </c>
      <c r="D7603" t="inlineStr">
        <is>
          <t>a7982125ff7aa3b2054c6e44f9d28522</t>
        </is>
      </c>
      <c r="E7603" t="inlineStr">
        <is>
          <t>paid_search</t>
        </is>
      </c>
      <c r="F7603">
        <f>IFERROR(MATCH(A7603,Deals!$A$2:$A$843,0),"")</f>
        <v/>
      </c>
      <c r="G7603">
        <f>IF(F7603="",0,1)</f>
        <v/>
      </c>
      <c r="H7603" s="29">
        <f>IF(F7603="","",INDEX(Deals!$E$2:$E$843,F7603))</f>
        <v/>
      </c>
      <c r="I7603">
        <f>IF(F7603="","",INDEX(Deals!$D$2:$D$843,F7603))</f>
        <v/>
      </c>
      <c r="J7603">
        <f>IF(F7603="","",INT(H7603)-B7603)</f>
        <v/>
      </c>
      <c r="K7603">
        <f>IF(B7603&gt;=Settings!$C$5,1,0)</f>
        <v/>
      </c>
    </row>
    <row r="7604">
      <c r="A7604" t="inlineStr">
        <is>
          <t>039877e2030dcb53763e516363a3da6d</t>
        </is>
      </c>
      <c r="B7604" s="29" t="n">
        <v>43166</v>
      </c>
      <c r="C7604" t="inlineStr">
        <is>
          <t>2018-03</t>
        </is>
      </c>
      <c r="D7604" t="inlineStr">
        <is>
          <t>da14b7e2eb0d1eecf65abbd05a31c87d</t>
        </is>
      </c>
      <c r="E7604" t="inlineStr">
        <is>
          <t>organic_search</t>
        </is>
      </c>
      <c r="F7604">
        <f>IFERROR(MATCH(A7604,Deals!$A$2:$A$843,0),"")</f>
        <v/>
      </c>
      <c r="G7604">
        <f>IF(F7604="",0,1)</f>
        <v/>
      </c>
      <c r="H7604" s="29">
        <f>IF(F7604="","",INDEX(Deals!$E$2:$E$843,F7604))</f>
        <v/>
      </c>
      <c r="I7604">
        <f>IF(F7604="","",INDEX(Deals!$D$2:$D$843,F7604))</f>
        <v/>
      </c>
      <c r="J7604">
        <f>IF(F7604="","",INT(H7604)-B7604)</f>
        <v/>
      </c>
      <c r="K7604">
        <f>IF(B7604&gt;=Settings!$C$5,1,0)</f>
        <v/>
      </c>
    </row>
    <row r="7605">
      <c r="A7605" t="inlineStr">
        <is>
          <t>41ab32a8ee30c68af11c6e320db4f5d0</t>
        </is>
      </c>
      <c r="B7605" s="29" t="n">
        <v>43193</v>
      </c>
      <c r="C7605" t="inlineStr">
        <is>
          <t>2018-04</t>
        </is>
      </c>
      <c r="D7605" t="inlineStr">
        <is>
          <t>ecc36b943a84ebcd3ab633cbe0fb1b9b</t>
        </is>
      </c>
      <c r="E7605" t="inlineStr">
        <is>
          <t>email</t>
        </is>
      </c>
      <c r="F7605">
        <f>IFERROR(MATCH(A7605,Deals!$A$2:$A$843,0),"")</f>
        <v/>
      </c>
      <c r="G7605">
        <f>IF(F7605="",0,1)</f>
        <v/>
      </c>
      <c r="H7605" s="29">
        <f>IF(F7605="","",INDEX(Deals!$E$2:$E$843,F7605))</f>
        <v/>
      </c>
      <c r="I7605">
        <f>IF(F7605="","",INDEX(Deals!$D$2:$D$843,F7605))</f>
        <v/>
      </c>
      <c r="J7605">
        <f>IF(F7605="","",INT(H7605)-B7605)</f>
        <v/>
      </c>
      <c r="K7605">
        <f>IF(B7605&gt;=Settings!$C$5,1,0)</f>
        <v/>
      </c>
    </row>
    <row r="7606">
      <c r="A7606" t="inlineStr">
        <is>
          <t>86a45a4457d64755695c585db7eacc82</t>
        </is>
      </c>
      <c r="B7606" s="29" t="n">
        <v>43167</v>
      </c>
      <c r="C7606" t="inlineStr">
        <is>
          <t>2018-03</t>
        </is>
      </c>
      <c r="D7606" t="inlineStr">
        <is>
          <t>dfd5e75bc022dc8b7388c4647d9e079f</t>
        </is>
      </c>
      <c r="E7606" t="inlineStr">
        <is>
          <t>paid_search</t>
        </is>
      </c>
      <c r="F7606">
        <f>IFERROR(MATCH(A7606,Deals!$A$2:$A$843,0),"")</f>
        <v/>
      </c>
      <c r="G7606">
        <f>IF(F7606="",0,1)</f>
        <v/>
      </c>
      <c r="H7606" s="29">
        <f>IF(F7606="","",INDEX(Deals!$E$2:$E$843,F7606))</f>
        <v/>
      </c>
      <c r="I7606">
        <f>IF(F7606="","",INDEX(Deals!$D$2:$D$843,F7606))</f>
        <v/>
      </c>
      <c r="J7606">
        <f>IF(F7606="","",INT(H7606)-B7606)</f>
        <v/>
      </c>
      <c r="K7606">
        <f>IF(B7606&gt;=Settings!$C$5,1,0)</f>
        <v/>
      </c>
    </row>
    <row r="7607">
      <c r="A7607" t="inlineStr">
        <is>
          <t>d58fa60483bb741c3b2dd9e9ae46d1ed</t>
        </is>
      </c>
      <c r="B7607" s="29" t="n">
        <v>43228</v>
      </c>
      <c r="C7607" t="inlineStr">
        <is>
          <t>2018-05</t>
        </is>
      </c>
      <c r="D7607" t="inlineStr">
        <is>
          <t>58326e62183c14b0c03085c33b9fdc44</t>
        </is>
      </c>
      <c r="E7607" t="inlineStr">
        <is>
          <t>social</t>
        </is>
      </c>
      <c r="F7607">
        <f>IFERROR(MATCH(A7607,Deals!$A$2:$A$843,0),"")</f>
        <v/>
      </c>
      <c r="G7607">
        <f>IF(F7607="",0,1)</f>
        <v/>
      </c>
      <c r="H7607" s="29">
        <f>IF(F7607="","",INDEX(Deals!$E$2:$E$843,F7607))</f>
        <v/>
      </c>
      <c r="I7607">
        <f>IF(F7607="","",INDEX(Deals!$D$2:$D$843,F7607))</f>
        <v/>
      </c>
      <c r="J7607">
        <f>IF(F7607="","",INT(H7607)-B7607)</f>
        <v/>
      </c>
      <c r="K7607">
        <f>IF(B7607&gt;=Settings!$C$5,1,0)</f>
        <v/>
      </c>
    </row>
    <row r="7608">
      <c r="A7608" t="inlineStr">
        <is>
          <t>5d7e1a561176e424a6a1ae6c0525c017</t>
        </is>
      </c>
      <c r="B7608" s="29" t="n">
        <v>43092</v>
      </c>
      <c r="C7608" t="inlineStr">
        <is>
          <t>2017-12</t>
        </is>
      </c>
      <c r="D7608" t="inlineStr">
        <is>
          <t>b6885f18d203a61176418c1fb3764815</t>
        </is>
      </c>
      <c r="E7608" t="inlineStr">
        <is>
          <t>paid_search</t>
        </is>
      </c>
      <c r="F7608">
        <f>IFERROR(MATCH(A7608,Deals!$A$2:$A$843,0),"")</f>
        <v/>
      </c>
      <c r="G7608">
        <f>IF(F7608="",0,1)</f>
        <v/>
      </c>
      <c r="H7608" s="29">
        <f>IF(F7608="","",INDEX(Deals!$E$2:$E$843,F7608))</f>
        <v/>
      </c>
      <c r="I7608">
        <f>IF(F7608="","",INDEX(Deals!$D$2:$D$843,F7608))</f>
        <v/>
      </c>
      <c r="J7608">
        <f>IF(F7608="","",INT(H7608)-B7608)</f>
        <v/>
      </c>
      <c r="K7608">
        <f>IF(B7608&gt;=Settings!$C$5,1,0)</f>
        <v/>
      </c>
    </row>
    <row r="7609">
      <c r="A7609" t="inlineStr">
        <is>
          <t>0427ab37dcc9343993c00ec5c93b9c8b</t>
        </is>
      </c>
      <c r="B7609" s="29" t="n">
        <v>43206</v>
      </c>
      <c r="C7609" t="inlineStr">
        <is>
          <t>2018-04</t>
        </is>
      </c>
      <c r="D7609" t="inlineStr">
        <is>
          <t>22c29808c4f815213303f8933030604c</t>
        </is>
      </c>
      <c r="E7609" t="inlineStr">
        <is>
          <t>organic_search</t>
        </is>
      </c>
      <c r="F7609">
        <f>IFERROR(MATCH(A7609,Deals!$A$2:$A$843,0),"")</f>
        <v/>
      </c>
      <c r="G7609">
        <f>IF(F7609="",0,1)</f>
        <v/>
      </c>
      <c r="H7609" s="29">
        <f>IF(F7609="","",INDEX(Deals!$E$2:$E$843,F7609))</f>
        <v/>
      </c>
      <c r="I7609">
        <f>IF(F7609="","",INDEX(Deals!$D$2:$D$843,F7609))</f>
        <v/>
      </c>
      <c r="J7609">
        <f>IF(F7609="","",INT(H7609)-B7609)</f>
        <v/>
      </c>
      <c r="K7609">
        <f>IF(B7609&gt;=Settings!$C$5,1,0)</f>
        <v/>
      </c>
    </row>
    <row r="7610">
      <c r="A7610" t="inlineStr">
        <is>
          <t>197410d59aa228e0c9af78e1950d2381</t>
        </is>
      </c>
      <c r="B7610" s="29" t="n">
        <v>42950</v>
      </c>
      <c r="C7610" t="inlineStr">
        <is>
          <t>2017-08</t>
        </is>
      </c>
      <c r="D7610" t="inlineStr">
        <is>
          <t>92bd5f77d493a36dac9bddb66d1b9dbf</t>
        </is>
      </c>
      <c r="E7610" t="inlineStr">
        <is>
          <t>organic_search</t>
        </is>
      </c>
      <c r="F7610">
        <f>IFERROR(MATCH(A7610,Deals!$A$2:$A$843,0),"")</f>
        <v/>
      </c>
      <c r="G7610">
        <f>IF(F7610="",0,1)</f>
        <v/>
      </c>
      <c r="H7610" s="29">
        <f>IF(F7610="","",INDEX(Deals!$E$2:$E$843,F7610))</f>
        <v/>
      </c>
      <c r="I7610">
        <f>IF(F7610="","",INDEX(Deals!$D$2:$D$843,F7610))</f>
        <v/>
      </c>
      <c r="J7610">
        <f>IF(F7610="","",INT(H7610)-B7610)</f>
        <v/>
      </c>
      <c r="K7610">
        <f>IF(B7610&gt;=Settings!$C$5,1,0)</f>
        <v/>
      </c>
    </row>
    <row r="7611">
      <c r="A7611" t="inlineStr">
        <is>
          <t>0c24bb115003e07539daeb5370faf136</t>
        </is>
      </c>
      <c r="B7611" s="29" t="n">
        <v>43129</v>
      </c>
      <c r="C7611" t="inlineStr">
        <is>
          <t>2018-01</t>
        </is>
      </c>
      <c r="D7611" t="inlineStr">
        <is>
          <t>b76ef37428e6799c421989521c0e5077</t>
        </is>
      </c>
      <c r="E7611" t="inlineStr">
        <is>
          <t>unknown</t>
        </is>
      </c>
      <c r="F7611">
        <f>IFERROR(MATCH(A7611,Deals!$A$2:$A$843,0),"")</f>
        <v/>
      </c>
      <c r="G7611">
        <f>IF(F7611="",0,1)</f>
        <v/>
      </c>
      <c r="H7611" s="29">
        <f>IF(F7611="","",INDEX(Deals!$E$2:$E$843,F7611))</f>
        <v/>
      </c>
      <c r="I7611">
        <f>IF(F7611="","",INDEX(Deals!$D$2:$D$843,F7611))</f>
        <v/>
      </c>
      <c r="J7611">
        <f>IF(F7611="","",INT(H7611)-B7611)</f>
        <v/>
      </c>
      <c r="K7611">
        <f>IF(B7611&gt;=Settings!$C$5,1,0)</f>
        <v/>
      </c>
    </row>
    <row r="7612">
      <c r="A7612" t="inlineStr">
        <is>
          <t>9d659b456e19616a1d99808579f45f08</t>
        </is>
      </c>
      <c r="B7612" s="29" t="n">
        <v>43126</v>
      </c>
      <c r="C7612" t="inlineStr">
        <is>
          <t>2018-01</t>
        </is>
      </c>
      <c r="D7612" t="inlineStr">
        <is>
          <t>d45d558f0daeecf3cccdffe3c59684aa</t>
        </is>
      </c>
      <c r="E7612" t="inlineStr">
        <is>
          <t>organic_search</t>
        </is>
      </c>
      <c r="F7612">
        <f>IFERROR(MATCH(A7612,Deals!$A$2:$A$843,0),"")</f>
        <v/>
      </c>
      <c r="G7612">
        <f>IF(F7612="",0,1)</f>
        <v/>
      </c>
      <c r="H7612" s="29">
        <f>IF(F7612="","",INDEX(Deals!$E$2:$E$843,F7612))</f>
        <v/>
      </c>
      <c r="I7612">
        <f>IF(F7612="","",INDEX(Deals!$D$2:$D$843,F7612))</f>
        <v/>
      </c>
      <c r="J7612">
        <f>IF(F7612="","",INT(H7612)-B7612)</f>
        <v/>
      </c>
      <c r="K7612">
        <f>IF(B7612&gt;=Settings!$C$5,1,0)</f>
        <v/>
      </c>
    </row>
    <row r="7613">
      <c r="A7613" t="inlineStr">
        <is>
          <t>1d4a068f9d38b8e9b858ad69cdb2812f</t>
        </is>
      </c>
      <c r="B7613" s="29" t="n">
        <v>43221</v>
      </c>
      <c r="C7613" t="inlineStr">
        <is>
          <t>2018-05</t>
        </is>
      </c>
      <c r="D7613" t="inlineStr">
        <is>
          <t>22c29808c4f815213303f8933030604c</t>
        </is>
      </c>
      <c r="E7613" t="inlineStr">
        <is>
          <t>direct_traffic</t>
        </is>
      </c>
      <c r="F7613">
        <f>IFERROR(MATCH(A7613,Deals!$A$2:$A$843,0),"")</f>
        <v/>
      </c>
      <c r="G7613">
        <f>IF(F7613="",0,1)</f>
        <v/>
      </c>
      <c r="H7613" s="29">
        <f>IF(F7613="","",INDEX(Deals!$E$2:$E$843,F7613))</f>
        <v/>
      </c>
      <c r="I7613">
        <f>IF(F7613="","",INDEX(Deals!$D$2:$D$843,F7613))</f>
        <v/>
      </c>
      <c r="J7613">
        <f>IF(F7613="","",INT(H7613)-B7613)</f>
        <v/>
      </c>
      <c r="K7613">
        <f>IF(B7613&gt;=Settings!$C$5,1,0)</f>
        <v/>
      </c>
    </row>
    <row r="7614">
      <c r="A7614" t="inlineStr">
        <is>
          <t>017c86c4ff3d405e6521becab0fb3732</t>
        </is>
      </c>
      <c r="B7614" s="29" t="n">
        <v>43123</v>
      </c>
      <c r="C7614" t="inlineStr">
        <is>
          <t>2018-01</t>
        </is>
      </c>
      <c r="D7614" t="inlineStr">
        <is>
          <t>d45d558f0daeecf3cccdffe3c59684aa</t>
        </is>
      </c>
      <c r="E7614" t="inlineStr">
        <is>
          <t>unknown</t>
        </is>
      </c>
      <c r="F7614">
        <f>IFERROR(MATCH(A7614,Deals!$A$2:$A$843,0),"")</f>
        <v/>
      </c>
      <c r="G7614">
        <f>IF(F7614="",0,1)</f>
        <v/>
      </c>
      <c r="H7614" s="29">
        <f>IF(F7614="","",INDEX(Deals!$E$2:$E$843,F7614))</f>
        <v/>
      </c>
      <c r="I7614">
        <f>IF(F7614="","",INDEX(Deals!$D$2:$D$843,F7614))</f>
        <v/>
      </c>
      <c r="J7614">
        <f>IF(F7614="","",INT(H7614)-B7614)</f>
        <v/>
      </c>
      <c r="K7614">
        <f>IF(B7614&gt;=Settings!$C$5,1,0)</f>
        <v/>
      </c>
    </row>
    <row r="7615">
      <c r="A7615" t="inlineStr">
        <is>
          <t>c5fc512665357271ba15f5e13c850d65</t>
        </is>
      </c>
      <c r="B7615" s="29" t="n">
        <v>43098</v>
      </c>
      <c r="C7615" t="inlineStr">
        <is>
          <t>2017-12</t>
        </is>
      </c>
      <c r="D7615" t="inlineStr">
        <is>
          <t>22c29808c4f815213303f8933030604c</t>
        </is>
      </c>
      <c r="E7615" t="inlineStr">
        <is>
          <t>referral</t>
        </is>
      </c>
      <c r="F7615">
        <f>IFERROR(MATCH(A7615,Deals!$A$2:$A$843,0),"")</f>
        <v/>
      </c>
      <c r="G7615">
        <f>IF(F7615="",0,1)</f>
        <v/>
      </c>
      <c r="H7615" s="29">
        <f>IF(F7615="","",INDEX(Deals!$E$2:$E$843,F7615))</f>
        <v/>
      </c>
      <c r="I7615">
        <f>IF(F7615="","",INDEX(Deals!$D$2:$D$843,F7615))</f>
        <v/>
      </c>
      <c r="J7615">
        <f>IF(F7615="","",INT(H7615)-B7615)</f>
        <v/>
      </c>
      <c r="K7615">
        <f>IF(B7615&gt;=Settings!$C$5,1,0)</f>
        <v/>
      </c>
    </row>
    <row r="7616">
      <c r="A7616" t="inlineStr">
        <is>
          <t>f47f3c61cbc520a9617c6377ce8ea77b</t>
        </is>
      </c>
      <c r="B7616" s="29" t="n">
        <v>43229</v>
      </c>
      <c r="C7616" t="inlineStr">
        <is>
          <t>2018-05</t>
        </is>
      </c>
      <c r="D7616" t="inlineStr">
        <is>
          <t>58326e62183c14b0c03085c33b9fdc44</t>
        </is>
      </c>
      <c r="E7616" t="inlineStr">
        <is>
          <t>social</t>
        </is>
      </c>
      <c r="F7616">
        <f>IFERROR(MATCH(A7616,Deals!$A$2:$A$843,0),"")</f>
        <v/>
      </c>
      <c r="G7616">
        <f>IF(F7616="",0,1)</f>
        <v/>
      </c>
      <c r="H7616" s="29">
        <f>IF(F7616="","",INDEX(Deals!$E$2:$E$843,F7616))</f>
        <v/>
      </c>
      <c r="I7616">
        <f>IF(F7616="","",INDEX(Deals!$D$2:$D$843,F7616))</f>
        <v/>
      </c>
      <c r="J7616">
        <f>IF(F7616="","",INT(H7616)-B7616)</f>
        <v/>
      </c>
      <c r="K7616">
        <f>IF(B7616&gt;=Settings!$C$5,1,0)</f>
        <v/>
      </c>
    </row>
    <row r="7617">
      <c r="A7617" t="inlineStr">
        <is>
          <t>417ac9043b0b1805c3e5e5e9605fe400</t>
        </is>
      </c>
      <c r="B7617" s="29" t="n">
        <v>43164</v>
      </c>
      <c r="C7617" t="inlineStr">
        <is>
          <t>2018-03</t>
        </is>
      </c>
      <c r="D7617" t="inlineStr">
        <is>
          <t>e492ee5eaf1697716985cc6f33f9cd9b</t>
        </is>
      </c>
      <c r="E7617" t="inlineStr">
        <is>
          <t>organic_search</t>
        </is>
      </c>
      <c r="F7617">
        <f>IFERROR(MATCH(A7617,Deals!$A$2:$A$843,0),"")</f>
        <v/>
      </c>
      <c r="G7617">
        <f>IF(F7617="",0,1)</f>
        <v/>
      </c>
      <c r="H7617" s="29">
        <f>IF(F7617="","",INDEX(Deals!$E$2:$E$843,F7617))</f>
        <v/>
      </c>
      <c r="I7617">
        <f>IF(F7617="","",INDEX(Deals!$D$2:$D$843,F7617))</f>
        <v/>
      </c>
      <c r="J7617">
        <f>IF(F7617="","",INT(H7617)-B7617)</f>
        <v/>
      </c>
      <c r="K7617">
        <f>IF(B7617&gt;=Settings!$C$5,1,0)</f>
        <v/>
      </c>
    </row>
    <row r="7618">
      <c r="A7618" t="inlineStr">
        <is>
          <t>1d7ae90599d59350ada989519870b0e6</t>
        </is>
      </c>
      <c r="B7618" s="29" t="n">
        <v>43165</v>
      </c>
      <c r="C7618" t="inlineStr">
        <is>
          <t>2018-03</t>
        </is>
      </c>
      <c r="D7618" t="inlineStr">
        <is>
          <t>241f79c7a8fe0270f4fb79fcbbcd17ad</t>
        </is>
      </c>
      <c r="E7618" t="inlineStr">
        <is>
          <t>direct_traffic</t>
        </is>
      </c>
      <c r="F7618">
        <f>IFERROR(MATCH(A7618,Deals!$A$2:$A$843,0),"")</f>
        <v/>
      </c>
      <c r="G7618">
        <f>IF(F7618="",0,1)</f>
        <v/>
      </c>
      <c r="H7618" s="29">
        <f>IF(F7618="","",INDEX(Deals!$E$2:$E$843,F7618))</f>
        <v/>
      </c>
      <c r="I7618">
        <f>IF(F7618="","",INDEX(Deals!$D$2:$D$843,F7618))</f>
        <v/>
      </c>
      <c r="J7618">
        <f>IF(F7618="","",INT(H7618)-B7618)</f>
        <v/>
      </c>
      <c r="K7618">
        <f>IF(B7618&gt;=Settings!$C$5,1,0)</f>
        <v/>
      </c>
    </row>
    <row r="7619">
      <c r="A7619" t="inlineStr">
        <is>
          <t>1421d046e2c25a6ebad36a68d9f3be05</t>
        </is>
      </c>
      <c r="B7619" s="29" t="n">
        <v>43031</v>
      </c>
      <c r="C7619" t="inlineStr">
        <is>
          <t>2017-10</t>
        </is>
      </c>
      <c r="D7619" t="inlineStr">
        <is>
          <t>82ce7345d29d3003d376f9382fc0eba0</t>
        </is>
      </c>
      <c r="E7619" t="inlineStr">
        <is>
          <t>paid_search</t>
        </is>
      </c>
      <c r="F7619">
        <f>IFERROR(MATCH(A7619,Deals!$A$2:$A$843,0),"")</f>
        <v/>
      </c>
      <c r="G7619">
        <f>IF(F7619="",0,1)</f>
        <v/>
      </c>
      <c r="H7619" s="29">
        <f>IF(F7619="","",INDEX(Deals!$E$2:$E$843,F7619))</f>
        <v/>
      </c>
      <c r="I7619">
        <f>IF(F7619="","",INDEX(Deals!$D$2:$D$843,F7619))</f>
        <v/>
      </c>
      <c r="J7619">
        <f>IF(F7619="","",INT(H7619)-B7619)</f>
        <v/>
      </c>
      <c r="K7619">
        <f>IF(B7619&gt;=Settings!$C$5,1,0)</f>
        <v/>
      </c>
    </row>
    <row r="7620">
      <c r="A7620" t="inlineStr">
        <is>
          <t>49024dbba391e7b6d937dfe7b3354b45</t>
        </is>
      </c>
      <c r="B7620" s="29" t="n">
        <v>43178</v>
      </c>
      <c r="C7620" t="inlineStr">
        <is>
          <t>2018-03</t>
        </is>
      </c>
      <c r="D7620" t="inlineStr">
        <is>
          <t>e492ee5eaf1697716985cc6f33f9cd9b</t>
        </is>
      </c>
      <c r="E7620" t="inlineStr">
        <is>
          <t>organic_search</t>
        </is>
      </c>
      <c r="F7620">
        <f>IFERROR(MATCH(A7620,Deals!$A$2:$A$843,0),"")</f>
        <v/>
      </c>
      <c r="G7620">
        <f>IF(F7620="",0,1)</f>
        <v/>
      </c>
      <c r="H7620" s="29">
        <f>IF(F7620="","",INDEX(Deals!$E$2:$E$843,F7620))</f>
        <v/>
      </c>
      <c r="I7620">
        <f>IF(F7620="","",INDEX(Deals!$D$2:$D$843,F7620))</f>
        <v/>
      </c>
      <c r="J7620">
        <f>IF(F7620="","",INT(H7620)-B7620)</f>
        <v/>
      </c>
      <c r="K7620">
        <f>IF(B7620&gt;=Settings!$C$5,1,0)</f>
        <v/>
      </c>
    </row>
    <row r="7621">
      <c r="A7621" t="inlineStr">
        <is>
          <t>550b20428c9b32ac84a7a0c575960ce5</t>
        </is>
      </c>
      <c r="B7621" s="29" t="n">
        <v>43092</v>
      </c>
      <c r="C7621" t="inlineStr">
        <is>
          <t>2017-12</t>
        </is>
      </c>
      <c r="D7621" t="inlineStr">
        <is>
          <t>ce1a65abd0973638f1c887a6efcfa82d</t>
        </is>
      </c>
      <c r="E7621" t="inlineStr">
        <is>
          <t>organic_search</t>
        </is>
      </c>
      <c r="F7621">
        <f>IFERROR(MATCH(A7621,Deals!$A$2:$A$843,0),"")</f>
        <v/>
      </c>
      <c r="G7621">
        <f>IF(F7621="",0,1)</f>
        <v/>
      </c>
      <c r="H7621" s="29">
        <f>IF(F7621="","",INDEX(Deals!$E$2:$E$843,F7621))</f>
        <v/>
      </c>
      <c r="I7621">
        <f>IF(F7621="","",INDEX(Deals!$D$2:$D$843,F7621))</f>
        <v/>
      </c>
      <c r="J7621">
        <f>IF(F7621="","",INT(H7621)-B7621)</f>
        <v/>
      </c>
      <c r="K7621">
        <f>IF(B7621&gt;=Settings!$C$5,1,0)</f>
        <v/>
      </c>
    </row>
    <row r="7622">
      <c r="A7622" t="inlineStr">
        <is>
          <t>ced58dadda88ebec98a7fabb0f296401</t>
        </is>
      </c>
      <c r="B7622" s="29" t="n">
        <v>43099</v>
      </c>
      <c r="C7622" t="inlineStr">
        <is>
          <t>2017-12</t>
        </is>
      </c>
      <c r="D7622" t="inlineStr">
        <is>
          <t>4e82dd1f6d00626bda0723eef0a269a6</t>
        </is>
      </c>
      <c r="E7622" t="inlineStr">
        <is>
          <t>referral</t>
        </is>
      </c>
      <c r="F7622">
        <f>IFERROR(MATCH(A7622,Deals!$A$2:$A$843,0),"")</f>
        <v/>
      </c>
      <c r="G7622">
        <f>IF(F7622="",0,1)</f>
        <v/>
      </c>
      <c r="H7622" s="29">
        <f>IF(F7622="","",INDEX(Deals!$E$2:$E$843,F7622))</f>
        <v/>
      </c>
      <c r="I7622">
        <f>IF(F7622="","",INDEX(Deals!$D$2:$D$843,F7622))</f>
        <v/>
      </c>
      <c r="J7622">
        <f>IF(F7622="","",INT(H7622)-B7622)</f>
        <v/>
      </c>
      <c r="K7622">
        <f>IF(B7622&gt;=Settings!$C$5,1,0)</f>
        <v/>
      </c>
    </row>
    <row r="7623">
      <c r="A7623" t="inlineStr">
        <is>
          <t>eb968139ca829c6e4192e49baa4a0578</t>
        </is>
      </c>
      <c r="B7623" s="29" t="n">
        <v>43184</v>
      </c>
      <c r="C7623" t="inlineStr">
        <is>
          <t>2018-03</t>
        </is>
      </c>
      <c r="D7623" t="inlineStr">
        <is>
          <t>58326e62183c14b0c03085c33b9fdc44</t>
        </is>
      </c>
      <c r="E7623" t="inlineStr">
        <is>
          <t>social</t>
        </is>
      </c>
      <c r="F7623">
        <f>IFERROR(MATCH(A7623,Deals!$A$2:$A$843,0),"")</f>
        <v/>
      </c>
      <c r="G7623">
        <f>IF(F7623="",0,1)</f>
        <v/>
      </c>
      <c r="H7623" s="29">
        <f>IF(F7623="","",INDEX(Deals!$E$2:$E$843,F7623))</f>
        <v/>
      </c>
      <c r="I7623">
        <f>IF(F7623="","",INDEX(Deals!$D$2:$D$843,F7623))</f>
        <v/>
      </c>
      <c r="J7623">
        <f>IF(F7623="","",INT(H7623)-B7623)</f>
        <v/>
      </c>
      <c r="K7623">
        <f>IF(B7623&gt;=Settings!$C$5,1,0)</f>
        <v/>
      </c>
    </row>
    <row r="7624">
      <c r="A7624" t="inlineStr">
        <is>
          <t>da30abd72c78b3be45f80c65fb9eb2ad</t>
        </is>
      </c>
      <c r="B7624" s="29" t="n">
        <v>42962</v>
      </c>
      <c r="C7624" t="inlineStr">
        <is>
          <t>2017-08</t>
        </is>
      </c>
      <c r="D7624" t="inlineStr">
        <is>
          <t>5c6c41289f4d77b9b32fb6a5e2106edb</t>
        </is>
      </c>
      <c r="E7624" t="inlineStr">
        <is>
          <t>paid_search</t>
        </is>
      </c>
      <c r="F7624">
        <f>IFERROR(MATCH(A7624,Deals!$A$2:$A$843,0),"")</f>
        <v/>
      </c>
      <c r="G7624">
        <f>IF(F7624="",0,1)</f>
        <v/>
      </c>
      <c r="H7624" s="29">
        <f>IF(F7624="","",INDEX(Deals!$E$2:$E$843,F7624))</f>
        <v/>
      </c>
      <c r="I7624">
        <f>IF(F7624="","",INDEX(Deals!$D$2:$D$843,F7624))</f>
        <v/>
      </c>
      <c r="J7624">
        <f>IF(F7624="","",INT(H7624)-B7624)</f>
        <v/>
      </c>
      <c r="K7624">
        <f>IF(B7624&gt;=Settings!$C$5,1,0)</f>
        <v/>
      </c>
    </row>
    <row r="7625">
      <c r="A7625" t="inlineStr">
        <is>
          <t>66e41d667d9caa7d435b1fa754fe5f80</t>
        </is>
      </c>
      <c r="B7625" s="29" t="n">
        <v>43130</v>
      </c>
      <c r="C7625" t="inlineStr">
        <is>
          <t>2018-01</t>
        </is>
      </c>
      <c r="D7625" t="inlineStr">
        <is>
          <t>909e333f8f23574f93115bd3d402e202</t>
        </is>
      </c>
      <c r="E7625" t="inlineStr">
        <is>
          <t>organic_search</t>
        </is>
      </c>
      <c r="F7625">
        <f>IFERROR(MATCH(A7625,Deals!$A$2:$A$843,0),"")</f>
        <v/>
      </c>
      <c r="G7625">
        <f>IF(F7625="",0,1)</f>
        <v/>
      </c>
      <c r="H7625" s="29">
        <f>IF(F7625="","",INDEX(Deals!$E$2:$E$843,F7625))</f>
        <v/>
      </c>
      <c r="I7625">
        <f>IF(F7625="","",INDEX(Deals!$D$2:$D$843,F7625))</f>
        <v/>
      </c>
      <c r="J7625">
        <f>IF(F7625="","",INT(H7625)-B7625)</f>
        <v/>
      </c>
      <c r="K7625">
        <f>IF(B7625&gt;=Settings!$C$5,1,0)</f>
        <v/>
      </c>
    </row>
    <row r="7626">
      <c r="A7626" t="inlineStr">
        <is>
          <t>617c81b47e4758942128b6bd2319d9c1</t>
        </is>
      </c>
      <c r="B7626" s="29" t="n">
        <v>43158</v>
      </c>
      <c r="C7626" t="inlineStr">
        <is>
          <t>2018-02</t>
        </is>
      </c>
      <c r="D7626" t="inlineStr">
        <is>
          <t>f017be4dbf86243af5c1ebed0cff36a2</t>
        </is>
      </c>
      <c r="E7626" t="inlineStr">
        <is>
          <t>organic_search</t>
        </is>
      </c>
      <c r="F7626">
        <f>IFERROR(MATCH(A7626,Deals!$A$2:$A$843,0),"")</f>
        <v/>
      </c>
      <c r="G7626">
        <f>IF(F7626="",0,1)</f>
        <v/>
      </c>
      <c r="H7626" s="29">
        <f>IF(F7626="","",INDEX(Deals!$E$2:$E$843,F7626))</f>
        <v/>
      </c>
      <c r="I7626">
        <f>IF(F7626="","",INDEX(Deals!$D$2:$D$843,F7626))</f>
        <v/>
      </c>
      <c r="J7626">
        <f>IF(F7626="","",INT(H7626)-B7626)</f>
        <v/>
      </c>
      <c r="K7626">
        <f>IF(B7626&gt;=Settings!$C$5,1,0)</f>
        <v/>
      </c>
    </row>
    <row r="7627">
      <c r="A7627" t="inlineStr">
        <is>
          <t>5ec35e19cfef4c5138b0a8fad6fd8dac</t>
        </is>
      </c>
      <c r="B7627" s="29" t="n">
        <v>43158</v>
      </c>
      <c r="C7627" t="inlineStr">
        <is>
          <t>2018-02</t>
        </is>
      </c>
      <c r="D7627" t="inlineStr">
        <is>
          <t>b76ef37428e6799c421989521c0e5077</t>
        </is>
      </c>
      <c r="E7627" t="inlineStr">
        <is>
          <t>unknown</t>
        </is>
      </c>
      <c r="F7627">
        <f>IFERROR(MATCH(A7627,Deals!$A$2:$A$843,0),"")</f>
        <v/>
      </c>
      <c r="G7627">
        <f>IF(F7627="",0,1)</f>
        <v/>
      </c>
      <c r="H7627" s="29">
        <f>IF(F7627="","",INDEX(Deals!$E$2:$E$843,F7627))</f>
        <v/>
      </c>
      <c r="I7627">
        <f>IF(F7627="","",INDEX(Deals!$D$2:$D$843,F7627))</f>
        <v/>
      </c>
      <c r="J7627">
        <f>IF(F7627="","",INT(H7627)-B7627)</f>
        <v/>
      </c>
      <c r="K7627">
        <f>IF(B7627&gt;=Settings!$C$5,1,0)</f>
        <v/>
      </c>
    </row>
    <row r="7628">
      <c r="A7628" t="inlineStr">
        <is>
          <t>80624a3023447d662e79a60e3017649d</t>
        </is>
      </c>
      <c r="B7628" s="29" t="n">
        <v>43234</v>
      </c>
      <c r="C7628" t="inlineStr">
        <is>
          <t>2018-05</t>
        </is>
      </c>
      <c r="D7628" t="inlineStr">
        <is>
          <t>0b37d43dbde6452cdd94c17bf61a88e4</t>
        </is>
      </c>
      <c r="E7628" t="inlineStr">
        <is>
          <t>direct_traffic</t>
        </is>
      </c>
      <c r="F7628">
        <f>IFERROR(MATCH(A7628,Deals!$A$2:$A$843,0),"")</f>
        <v/>
      </c>
      <c r="G7628">
        <f>IF(F7628="",0,1)</f>
        <v/>
      </c>
      <c r="H7628" s="29">
        <f>IF(F7628="","",INDEX(Deals!$E$2:$E$843,F7628))</f>
        <v/>
      </c>
      <c r="I7628">
        <f>IF(F7628="","",INDEX(Deals!$D$2:$D$843,F7628))</f>
        <v/>
      </c>
      <c r="J7628">
        <f>IF(F7628="","",INT(H7628)-B7628)</f>
        <v/>
      </c>
      <c r="K7628">
        <f>IF(B7628&gt;=Settings!$C$5,1,0)</f>
        <v/>
      </c>
    </row>
    <row r="7629">
      <c r="A7629" t="inlineStr">
        <is>
          <t>68b7007a76d2190b9caaadc01b20b157</t>
        </is>
      </c>
      <c r="B7629" s="29" t="n">
        <v>43014</v>
      </c>
      <c r="C7629" t="inlineStr">
        <is>
          <t>2017-10</t>
        </is>
      </c>
      <c r="D7629" t="inlineStr">
        <is>
          <t>425a9f1cd945cb291c58c4212654eb8d</t>
        </is>
      </c>
      <c r="E7629" t="inlineStr">
        <is>
          <t>direct_traffic</t>
        </is>
      </c>
      <c r="F7629">
        <f>IFERROR(MATCH(A7629,Deals!$A$2:$A$843,0),"")</f>
        <v/>
      </c>
      <c r="G7629">
        <f>IF(F7629="",0,1)</f>
        <v/>
      </c>
      <c r="H7629" s="29">
        <f>IF(F7629="","",INDEX(Deals!$E$2:$E$843,F7629))</f>
        <v/>
      </c>
      <c r="I7629">
        <f>IF(F7629="","",INDEX(Deals!$D$2:$D$843,F7629))</f>
        <v/>
      </c>
      <c r="J7629">
        <f>IF(F7629="","",INT(H7629)-B7629)</f>
        <v/>
      </c>
      <c r="K7629">
        <f>IF(B7629&gt;=Settings!$C$5,1,0)</f>
        <v/>
      </c>
    </row>
    <row r="7630">
      <c r="A7630" t="inlineStr">
        <is>
          <t>cf4aa1d389db2d82136f8bf8e0fc1731</t>
        </is>
      </c>
      <c r="B7630" s="29" t="n">
        <v>43244</v>
      </c>
      <c r="C7630" t="inlineStr">
        <is>
          <t>2018-05</t>
        </is>
      </c>
      <c r="D7630" t="inlineStr">
        <is>
          <t>40dec9f3d5259a3d2dbcdab2114fae47</t>
        </is>
      </c>
      <c r="E7630" t="inlineStr">
        <is>
          <t>paid_search</t>
        </is>
      </c>
      <c r="F7630">
        <f>IFERROR(MATCH(A7630,Deals!$A$2:$A$843,0),"")</f>
        <v/>
      </c>
      <c r="G7630">
        <f>IF(F7630="",0,1)</f>
        <v/>
      </c>
      <c r="H7630" s="29">
        <f>IF(F7630="","",INDEX(Deals!$E$2:$E$843,F7630))</f>
        <v/>
      </c>
      <c r="I7630">
        <f>IF(F7630="","",INDEX(Deals!$D$2:$D$843,F7630))</f>
        <v/>
      </c>
      <c r="J7630">
        <f>IF(F7630="","",INT(H7630)-B7630)</f>
        <v/>
      </c>
      <c r="K7630">
        <f>IF(B7630&gt;=Settings!$C$5,1,0)</f>
        <v/>
      </c>
    </row>
    <row r="7631">
      <c r="A7631" t="inlineStr">
        <is>
          <t>8b159f0c33071ee7811ca65a505be650</t>
        </is>
      </c>
      <c r="B7631" s="29" t="n">
        <v>43013</v>
      </c>
      <c r="C7631" t="inlineStr">
        <is>
          <t>2017-10</t>
        </is>
      </c>
      <c r="D7631" t="inlineStr">
        <is>
          <t>0f25be78376bbbaba8553051e980b83c</t>
        </is>
      </c>
      <c r="E7631" t="inlineStr">
        <is>
          <t>organic_search</t>
        </is>
      </c>
      <c r="F7631">
        <f>IFERROR(MATCH(A7631,Deals!$A$2:$A$843,0),"")</f>
        <v/>
      </c>
      <c r="G7631">
        <f>IF(F7631="",0,1)</f>
        <v/>
      </c>
      <c r="H7631" s="29">
        <f>IF(F7631="","",INDEX(Deals!$E$2:$E$843,F7631))</f>
        <v/>
      </c>
      <c r="I7631">
        <f>IF(F7631="","",INDEX(Deals!$D$2:$D$843,F7631))</f>
        <v/>
      </c>
      <c r="J7631">
        <f>IF(F7631="","",INT(H7631)-B7631)</f>
        <v/>
      </c>
      <c r="K7631">
        <f>IF(B7631&gt;=Settings!$C$5,1,0)</f>
        <v/>
      </c>
    </row>
    <row r="7632">
      <c r="A7632" t="inlineStr">
        <is>
          <t>954674fb3cb3c5ca77dba84adad450de</t>
        </is>
      </c>
      <c r="B7632" s="29" t="n">
        <v>43227</v>
      </c>
      <c r="C7632" t="inlineStr">
        <is>
          <t>2018-05</t>
        </is>
      </c>
      <c r="D7632" t="inlineStr">
        <is>
          <t>22c29808c4f815213303f8933030604c</t>
        </is>
      </c>
      <c r="E7632" t="inlineStr">
        <is>
          <t>referral</t>
        </is>
      </c>
      <c r="F7632">
        <f>IFERROR(MATCH(A7632,Deals!$A$2:$A$843,0),"")</f>
        <v/>
      </c>
      <c r="G7632">
        <f>IF(F7632="",0,1)</f>
        <v/>
      </c>
      <c r="H7632" s="29">
        <f>IF(F7632="","",INDEX(Deals!$E$2:$E$843,F7632))</f>
        <v/>
      </c>
      <c r="I7632">
        <f>IF(F7632="","",INDEX(Deals!$D$2:$D$843,F7632))</f>
        <v/>
      </c>
      <c r="J7632">
        <f>IF(F7632="","",INT(H7632)-B7632)</f>
        <v/>
      </c>
      <c r="K7632">
        <f>IF(B7632&gt;=Settings!$C$5,1,0)</f>
        <v/>
      </c>
    </row>
    <row r="7633">
      <c r="A7633" t="inlineStr">
        <is>
          <t>48ad2736ecc89272abbc29dcb09b9209</t>
        </is>
      </c>
      <c r="B7633" s="29" t="n">
        <v>43235</v>
      </c>
      <c r="C7633" t="inlineStr">
        <is>
          <t>2018-05</t>
        </is>
      </c>
      <c r="D7633" t="inlineStr">
        <is>
          <t>58326e62183c14b0c03085c33b9fdc44</t>
        </is>
      </c>
      <c r="E7633" t="inlineStr">
        <is>
          <t>organic_search</t>
        </is>
      </c>
      <c r="F7633">
        <f>IFERROR(MATCH(A7633,Deals!$A$2:$A$843,0),"")</f>
        <v/>
      </c>
      <c r="G7633">
        <f>IF(F7633="",0,1)</f>
        <v/>
      </c>
      <c r="H7633" s="29">
        <f>IF(F7633="","",INDEX(Deals!$E$2:$E$843,F7633))</f>
        <v/>
      </c>
      <c r="I7633">
        <f>IF(F7633="","",INDEX(Deals!$D$2:$D$843,F7633))</f>
        <v/>
      </c>
      <c r="J7633">
        <f>IF(F7633="","",INT(H7633)-B7633)</f>
        <v/>
      </c>
      <c r="K7633">
        <f>IF(B7633&gt;=Settings!$C$5,1,0)</f>
        <v/>
      </c>
    </row>
    <row r="7634">
      <c r="A7634" t="inlineStr">
        <is>
          <t>10088cc50a44bc6d611aa97eca64c484</t>
        </is>
      </c>
      <c r="B7634" s="29" t="n">
        <v>43219</v>
      </c>
      <c r="C7634" t="inlineStr">
        <is>
          <t>2018-04</t>
        </is>
      </c>
      <c r="D7634" t="inlineStr">
        <is>
          <t>58326e62183c14b0c03085c33b9fdc44</t>
        </is>
      </c>
      <c r="E7634" t="inlineStr">
        <is>
          <t>social</t>
        </is>
      </c>
      <c r="F7634">
        <f>IFERROR(MATCH(A7634,Deals!$A$2:$A$843,0),"")</f>
        <v/>
      </c>
      <c r="G7634">
        <f>IF(F7634="",0,1)</f>
        <v/>
      </c>
      <c r="H7634" s="29">
        <f>IF(F7634="","",INDEX(Deals!$E$2:$E$843,F7634))</f>
        <v/>
      </c>
      <c r="I7634">
        <f>IF(F7634="","",INDEX(Deals!$D$2:$D$843,F7634))</f>
        <v/>
      </c>
      <c r="J7634">
        <f>IF(F7634="","",INT(H7634)-B7634)</f>
        <v/>
      </c>
      <c r="K7634">
        <f>IF(B7634&gt;=Settings!$C$5,1,0)</f>
        <v/>
      </c>
    </row>
    <row r="7635">
      <c r="A7635" t="inlineStr">
        <is>
          <t>6f25a1fecb540574fb02ff4b4f5a12f9</t>
        </is>
      </c>
      <c r="B7635" s="29" t="n">
        <v>43247</v>
      </c>
      <c r="C7635" t="inlineStr">
        <is>
          <t>2018-05</t>
        </is>
      </c>
      <c r="D7635" t="inlineStr">
        <is>
          <t>22c29808c4f815213303f8933030604c</t>
        </is>
      </c>
      <c r="E7635" t="inlineStr">
        <is>
          <t>organic_search</t>
        </is>
      </c>
      <c r="F7635">
        <f>IFERROR(MATCH(A7635,Deals!$A$2:$A$843,0),"")</f>
        <v/>
      </c>
      <c r="G7635">
        <f>IF(F7635="",0,1)</f>
        <v/>
      </c>
      <c r="H7635" s="29">
        <f>IF(F7635="","",INDEX(Deals!$E$2:$E$843,F7635))</f>
        <v/>
      </c>
      <c r="I7635">
        <f>IF(F7635="","",INDEX(Deals!$D$2:$D$843,F7635))</f>
        <v/>
      </c>
      <c r="J7635">
        <f>IF(F7635="","",INT(H7635)-B7635)</f>
        <v/>
      </c>
      <c r="K7635">
        <f>IF(B7635&gt;=Settings!$C$5,1,0)</f>
        <v/>
      </c>
    </row>
    <row r="7636">
      <c r="A7636" t="inlineStr">
        <is>
          <t>4eed1153c6579c3f4d406da8b34fc1d7</t>
        </is>
      </c>
      <c r="B7636" s="29" t="n">
        <v>43249</v>
      </c>
      <c r="C7636" t="inlineStr">
        <is>
          <t>2018-05</t>
        </is>
      </c>
      <c r="D7636" t="inlineStr">
        <is>
          <t>40dec9f3d5259a3d2dbcdab2114fae47</t>
        </is>
      </c>
      <c r="E7636" t="inlineStr">
        <is>
          <t>unknown</t>
        </is>
      </c>
      <c r="F7636">
        <f>IFERROR(MATCH(A7636,Deals!$A$2:$A$843,0),"")</f>
        <v/>
      </c>
      <c r="G7636">
        <f>IF(F7636="",0,1)</f>
        <v/>
      </c>
      <c r="H7636" s="29">
        <f>IF(F7636="","",INDEX(Deals!$E$2:$E$843,F7636))</f>
        <v/>
      </c>
      <c r="I7636">
        <f>IF(F7636="","",INDEX(Deals!$D$2:$D$843,F7636))</f>
        <v/>
      </c>
      <c r="J7636">
        <f>IF(F7636="","",INT(H7636)-B7636)</f>
        <v/>
      </c>
      <c r="K7636">
        <f>IF(B7636&gt;=Settings!$C$5,1,0)</f>
        <v/>
      </c>
    </row>
    <row r="7637">
      <c r="A7637" t="inlineStr">
        <is>
          <t>53d201c136e76d7f5d18104f1c21f342</t>
        </is>
      </c>
      <c r="B7637" s="29" t="n">
        <v>43196</v>
      </c>
      <c r="C7637" t="inlineStr">
        <is>
          <t>2018-04</t>
        </is>
      </c>
      <c r="D7637" t="inlineStr">
        <is>
          <t>e492ee5eaf1697716985cc6f33f9cd9b</t>
        </is>
      </c>
      <c r="E7637" t="inlineStr">
        <is>
          <t>social</t>
        </is>
      </c>
      <c r="F7637">
        <f>IFERROR(MATCH(A7637,Deals!$A$2:$A$843,0),"")</f>
        <v/>
      </c>
      <c r="G7637">
        <f>IF(F7637="",0,1)</f>
        <v/>
      </c>
      <c r="H7637" s="29">
        <f>IF(F7637="","",INDEX(Deals!$E$2:$E$843,F7637))</f>
        <v/>
      </c>
      <c r="I7637">
        <f>IF(F7637="","",INDEX(Deals!$D$2:$D$843,F7637))</f>
        <v/>
      </c>
      <c r="J7637">
        <f>IF(F7637="","",INT(H7637)-B7637)</f>
        <v/>
      </c>
      <c r="K7637">
        <f>IF(B7637&gt;=Settings!$C$5,1,0)</f>
        <v/>
      </c>
    </row>
    <row r="7638">
      <c r="A7638" t="inlineStr">
        <is>
          <t>34af18c1d15951df6e45725ac615e068</t>
        </is>
      </c>
      <c r="B7638" s="29" t="n">
        <v>43172</v>
      </c>
      <c r="C7638" t="inlineStr">
        <is>
          <t>2018-03</t>
        </is>
      </c>
      <c r="D7638" t="inlineStr">
        <is>
          <t>daa9619c6f8ed06d059265dca0f9257f</t>
        </is>
      </c>
      <c r="E7638" t="inlineStr">
        <is>
          <t>email</t>
        </is>
      </c>
      <c r="F7638">
        <f>IFERROR(MATCH(A7638,Deals!$A$2:$A$843,0),"")</f>
        <v/>
      </c>
      <c r="G7638">
        <f>IF(F7638="",0,1)</f>
        <v/>
      </c>
      <c r="H7638" s="29">
        <f>IF(F7638="","",INDEX(Deals!$E$2:$E$843,F7638))</f>
        <v/>
      </c>
      <c r="I7638">
        <f>IF(F7638="","",INDEX(Deals!$D$2:$D$843,F7638))</f>
        <v/>
      </c>
      <c r="J7638">
        <f>IF(F7638="","",INT(H7638)-B7638)</f>
        <v/>
      </c>
      <c r="K7638">
        <f>IF(B7638&gt;=Settings!$C$5,1,0)</f>
        <v/>
      </c>
    </row>
    <row r="7639">
      <c r="A7639" t="inlineStr">
        <is>
          <t>51ec0e93aa36ff91430519184ad6f244</t>
        </is>
      </c>
      <c r="B7639" s="29" t="n">
        <v>42977</v>
      </c>
      <c r="C7639" t="inlineStr">
        <is>
          <t>2017-08</t>
        </is>
      </c>
      <c r="D7639" t="inlineStr">
        <is>
          <t>b76ef37428e6799c421989521c0e5077</t>
        </is>
      </c>
      <c r="E7639" t="inlineStr">
        <is>
          <t>unknown</t>
        </is>
      </c>
      <c r="F7639">
        <f>IFERROR(MATCH(A7639,Deals!$A$2:$A$843,0),"")</f>
        <v/>
      </c>
      <c r="G7639">
        <f>IF(F7639="",0,1)</f>
        <v/>
      </c>
      <c r="H7639" s="29">
        <f>IF(F7639="","",INDEX(Deals!$E$2:$E$843,F7639))</f>
        <v/>
      </c>
      <c r="I7639">
        <f>IF(F7639="","",INDEX(Deals!$D$2:$D$843,F7639))</f>
        <v/>
      </c>
      <c r="J7639">
        <f>IF(F7639="","",INT(H7639)-B7639)</f>
        <v/>
      </c>
      <c r="K7639">
        <f>IF(B7639&gt;=Settings!$C$5,1,0)</f>
        <v/>
      </c>
    </row>
    <row r="7640">
      <c r="A7640" t="inlineStr">
        <is>
          <t>a32c2ec84a7c02833994dcbdfe50f689</t>
        </is>
      </c>
      <c r="B7640" s="29" t="n">
        <v>43182</v>
      </c>
      <c r="C7640" t="inlineStr">
        <is>
          <t>2018-03</t>
        </is>
      </c>
      <c r="D7640" t="inlineStr">
        <is>
          <t>22c29808c4f815213303f8933030604c</t>
        </is>
      </c>
      <c r="E7640" t="inlineStr">
        <is>
          <t>organic_search</t>
        </is>
      </c>
      <c r="F7640">
        <f>IFERROR(MATCH(A7640,Deals!$A$2:$A$843,0),"")</f>
        <v/>
      </c>
      <c r="G7640">
        <f>IF(F7640="",0,1)</f>
        <v/>
      </c>
      <c r="H7640" s="29">
        <f>IF(F7640="","",INDEX(Deals!$E$2:$E$843,F7640))</f>
        <v/>
      </c>
      <c r="I7640">
        <f>IF(F7640="","",INDEX(Deals!$D$2:$D$843,F7640))</f>
        <v/>
      </c>
      <c r="J7640">
        <f>IF(F7640="","",INT(H7640)-B7640)</f>
        <v/>
      </c>
      <c r="K7640">
        <f>IF(B7640&gt;=Settings!$C$5,1,0)</f>
        <v/>
      </c>
    </row>
    <row r="7641">
      <c r="A7641" t="inlineStr">
        <is>
          <t>735b35808f01b379a564129d77847dfb</t>
        </is>
      </c>
      <c r="B7641" s="29" t="n">
        <v>43111</v>
      </c>
      <c r="C7641" t="inlineStr">
        <is>
          <t>2018-01</t>
        </is>
      </c>
      <c r="D7641" t="inlineStr">
        <is>
          <t>88740e65d5d6b056e0cda098e1ea6313</t>
        </is>
      </c>
      <c r="E7641" t="inlineStr">
        <is>
          <t>social</t>
        </is>
      </c>
      <c r="F7641">
        <f>IFERROR(MATCH(A7641,Deals!$A$2:$A$843,0),"")</f>
        <v/>
      </c>
      <c r="G7641">
        <f>IF(F7641="",0,1)</f>
        <v/>
      </c>
      <c r="H7641" s="29">
        <f>IF(F7641="","",INDEX(Deals!$E$2:$E$843,F7641))</f>
        <v/>
      </c>
      <c r="I7641">
        <f>IF(F7641="","",INDEX(Deals!$D$2:$D$843,F7641))</f>
        <v/>
      </c>
      <c r="J7641">
        <f>IF(F7641="","",INT(H7641)-B7641)</f>
        <v/>
      </c>
      <c r="K7641">
        <f>IF(B7641&gt;=Settings!$C$5,1,0)</f>
        <v/>
      </c>
    </row>
    <row r="7642">
      <c r="A7642" t="inlineStr">
        <is>
          <t>7fed4bde9c009db4cbe207aaa5c2fbf9</t>
        </is>
      </c>
      <c r="B7642" s="29" t="n">
        <v>43207</v>
      </c>
      <c r="C7642" t="inlineStr">
        <is>
          <t>2018-04</t>
        </is>
      </c>
      <c r="D7642" t="inlineStr">
        <is>
          <t>58326e62183c14b0c03085c33b9fdc44</t>
        </is>
      </c>
      <c r="E7642" t="inlineStr">
        <is>
          <t>social</t>
        </is>
      </c>
      <c r="F7642">
        <f>IFERROR(MATCH(A7642,Deals!$A$2:$A$843,0),"")</f>
        <v/>
      </c>
      <c r="G7642">
        <f>IF(F7642="",0,1)</f>
        <v/>
      </c>
      <c r="H7642" s="29">
        <f>IF(F7642="","",INDEX(Deals!$E$2:$E$843,F7642))</f>
        <v/>
      </c>
      <c r="I7642">
        <f>IF(F7642="","",INDEX(Deals!$D$2:$D$843,F7642))</f>
        <v/>
      </c>
      <c r="J7642">
        <f>IF(F7642="","",INT(H7642)-B7642)</f>
        <v/>
      </c>
      <c r="K7642">
        <f>IF(B7642&gt;=Settings!$C$5,1,0)</f>
        <v/>
      </c>
    </row>
    <row r="7643">
      <c r="A7643" t="inlineStr">
        <is>
          <t>ae437864746ae2a9e694a6ed2b5824db</t>
        </is>
      </c>
      <c r="B7643" s="29" t="n">
        <v>43227</v>
      </c>
      <c r="C7643" t="inlineStr">
        <is>
          <t>2018-05</t>
        </is>
      </c>
      <c r="D7643" t="inlineStr">
        <is>
          <t>b76ef37428e6799c421989521c0e5077</t>
        </is>
      </c>
      <c r="E7643" t="inlineStr">
        <is>
          <t>unknown</t>
        </is>
      </c>
      <c r="F7643">
        <f>IFERROR(MATCH(A7643,Deals!$A$2:$A$843,0),"")</f>
        <v/>
      </c>
      <c r="G7643">
        <f>IF(F7643="",0,1)</f>
        <v/>
      </c>
      <c r="H7643" s="29">
        <f>IF(F7643="","",INDEX(Deals!$E$2:$E$843,F7643))</f>
        <v/>
      </c>
      <c r="I7643">
        <f>IF(F7643="","",INDEX(Deals!$D$2:$D$843,F7643))</f>
        <v/>
      </c>
      <c r="J7643">
        <f>IF(F7643="","",INT(H7643)-B7643)</f>
        <v/>
      </c>
      <c r="K7643">
        <f>IF(B7643&gt;=Settings!$C$5,1,0)</f>
        <v/>
      </c>
    </row>
    <row r="7644">
      <c r="A7644" t="inlineStr">
        <is>
          <t>6b3b05f9c7888418f8bdf22ee174e10f</t>
        </is>
      </c>
      <c r="B7644" s="29" t="n">
        <v>43137</v>
      </c>
      <c r="C7644" t="inlineStr">
        <is>
          <t>2018-02</t>
        </is>
      </c>
      <c r="D7644" t="inlineStr">
        <is>
          <t>dfc3b656bac13de62e4efca322b3f2c1</t>
        </is>
      </c>
      <c r="E7644" t="inlineStr">
        <is>
          <t>email</t>
        </is>
      </c>
      <c r="F7644">
        <f>IFERROR(MATCH(A7644,Deals!$A$2:$A$843,0),"")</f>
        <v/>
      </c>
      <c r="G7644">
        <f>IF(F7644="",0,1)</f>
        <v/>
      </c>
      <c r="H7644" s="29">
        <f>IF(F7644="","",INDEX(Deals!$E$2:$E$843,F7644))</f>
        <v/>
      </c>
      <c r="I7644">
        <f>IF(F7644="","",INDEX(Deals!$D$2:$D$843,F7644))</f>
        <v/>
      </c>
      <c r="J7644">
        <f>IF(F7644="","",INT(H7644)-B7644)</f>
        <v/>
      </c>
      <c r="K7644">
        <f>IF(B7644&gt;=Settings!$C$5,1,0)</f>
        <v/>
      </c>
    </row>
    <row r="7645">
      <c r="A7645" t="inlineStr">
        <is>
          <t>c40b0a7144f196988c2d5d13fa8ca93a</t>
        </is>
      </c>
      <c r="B7645" s="29" t="n">
        <v>42947</v>
      </c>
      <c r="C7645" t="inlineStr">
        <is>
          <t>2017-07</t>
        </is>
      </c>
      <c r="D7645" t="inlineStr">
        <is>
          <t>3b86d7e8c33da2767ad2af9782f383d5</t>
        </is>
      </c>
      <c r="E7645" t="inlineStr">
        <is>
          <t>email</t>
        </is>
      </c>
      <c r="F7645">
        <f>IFERROR(MATCH(A7645,Deals!$A$2:$A$843,0),"")</f>
        <v/>
      </c>
      <c r="G7645">
        <f>IF(F7645="",0,1)</f>
        <v/>
      </c>
      <c r="H7645" s="29">
        <f>IF(F7645="","",INDEX(Deals!$E$2:$E$843,F7645))</f>
        <v/>
      </c>
      <c r="I7645">
        <f>IF(F7645="","",INDEX(Deals!$D$2:$D$843,F7645))</f>
        <v/>
      </c>
      <c r="J7645">
        <f>IF(F7645="","",INT(H7645)-B7645)</f>
        <v/>
      </c>
      <c r="K7645">
        <f>IF(B7645&gt;=Settings!$C$5,1,0)</f>
        <v/>
      </c>
    </row>
    <row r="7646">
      <c r="A7646" t="inlineStr">
        <is>
          <t>a89e6866631d78784f00f728cdbe0fa8</t>
        </is>
      </c>
      <c r="B7646" s="29" t="n">
        <v>43228</v>
      </c>
      <c r="C7646" t="inlineStr">
        <is>
          <t>2018-05</t>
        </is>
      </c>
      <c r="D7646" t="inlineStr">
        <is>
          <t>7fa6590e1b6cc9f17eb5cfdcfad63d50</t>
        </is>
      </c>
      <c r="E7646" t="inlineStr">
        <is>
          <t>direct_traffic</t>
        </is>
      </c>
      <c r="F7646">
        <f>IFERROR(MATCH(A7646,Deals!$A$2:$A$843,0),"")</f>
        <v/>
      </c>
      <c r="G7646">
        <f>IF(F7646="",0,1)</f>
        <v/>
      </c>
      <c r="H7646" s="29">
        <f>IF(F7646="","",INDEX(Deals!$E$2:$E$843,F7646))</f>
        <v/>
      </c>
      <c r="I7646">
        <f>IF(F7646="","",INDEX(Deals!$D$2:$D$843,F7646))</f>
        <v/>
      </c>
      <c r="J7646">
        <f>IF(F7646="","",INT(H7646)-B7646)</f>
        <v/>
      </c>
      <c r="K7646">
        <f>IF(B7646&gt;=Settings!$C$5,1,0)</f>
        <v/>
      </c>
    </row>
    <row r="7647">
      <c r="A7647" t="inlineStr">
        <is>
          <t>100a1f43c56bb71781a2231a79900488</t>
        </is>
      </c>
      <c r="B7647" s="29" t="n">
        <v>43226</v>
      </c>
      <c r="C7647" t="inlineStr">
        <is>
          <t>2018-05</t>
        </is>
      </c>
      <c r="D7647" t="inlineStr">
        <is>
          <t>58326e62183c14b0c03085c33b9fdc44</t>
        </is>
      </c>
      <c r="E7647" t="inlineStr">
        <is>
          <t>social</t>
        </is>
      </c>
      <c r="F7647">
        <f>IFERROR(MATCH(A7647,Deals!$A$2:$A$843,0),"")</f>
        <v/>
      </c>
      <c r="G7647">
        <f>IF(F7647="",0,1)</f>
        <v/>
      </c>
      <c r="H7647" s="29">
        <f>IF(F7647="","",INDEX(Deals!$E$2:$E$843,F7647))</f>
        <v/>
      </c>
      <c r="I7647">
        <f>IF(F7647="","",INDEX(Deals!$D$2:$D$843,F7647))</f>
        <v/>
      </c>
      <c r="J7647">
        <f>IF(F7647="","",INT(H7647)-B7647)</f>
        <v/>
      </c>
      <c r="K7647">
        <f>IF(B7647&gt;=Settings!$C$5,1,0)</f>
        <v/>
      </c>
    </row>
    <row r="7648">
      <c r="A7648" t="inlineStr">
        <is>
          <t>33c9052ca7a0a2585b6e1bb4a91cf0fc</t>
        </is>
      </c>
      <c r="B7648" s="29" t="n">
        <v>43238</v>
      </c>
      <c r="C7648" t="inlineStr">
        <is>
          <t>2018-05</t>
        </is>
      </c>
      <c r="D7648" t="inlineStr">
        <is>
          <t>fc4db0e1e8dfd5a305da563f9b2fc192</t>
        </is>
      </c>
      <c r="E7648" t="inlineStr">
        <is>
          <t>email</t>
        </is>
      </c>
      <c r="F7648">
        <f>IFERROR(MATCH(A7648,Deals!$A$2:$A$843,0),"")</f>
        <v/>
      </c>
      <c r="G7648">
        <f>IF(F7648="",0,1)</f>
        <v/>
      </c>
      <c r="H7648" s="29">
        <f>IF(F7648="","",INDEX(Deals!$E$2:$E$843,F7648))</f>
        <v/>
      </c>
      <c r="I7648">
        <f>IF(F7648="","",INDEX(Deals!$D$2:$D$843,F7648))</f>
        <v/>
      </c>
      <c r="J7648">
        <f>IF(F7648="","",INT(H7648)-B7648)</f>
        <v/>
      </c>
      <c r="K7648">
        <f>IF(B7648&gt;=Settings!$C$5,1,0)</f>
        <v/>
      </c>
    </row>
    <row r="7649">
      <c r="A7649" t="inlineStr">
        <is>
          <t>cef65a145c54dbe0f1ea8ad16a331421</t>
        </is>
      </c>
      <c r="B7649" s="29" t="n">
        <v>42970</v>
      </c>
      <c r="C7649" t="inlineStr">
        <is>
          <t>2017-08</t>
        </is>
      </c>
      <c r="D7649" t="inlineStr">
        <is>
          <t>f017be4dbf86243af5c1ebed0cff36a2</t>
        </is>
      </c>
      <c r="E7649" t="inlineStr">
        <is>
          <t>organic_search</t>
        </is>
      </c>
      <c r="F7649">
        <f>IFERROR(MATCH(A7649,Deals!$A$2:$A$843,0),"")</f>
        <v/>
      </c>
      <c r="G7649">
        <f>IF(F7649="",0,1)</f>
        <v/>
      </c>
      <c r="H7649" s="29">
        <f>IF(F7649="","",INDEX(Deals!$E$2:$E$843,F7649))</f>
        <v/>
      </c>
      <c r="I7649">
        <f>IF(F7649="","",INDEX(Deals!$D$2:$D$843,F7649))</f>
        <v/>
      </c>
      <c r="J7649">
        <f>IF(F7649="","",INT(H7649)-B7649)</f>
        <v/>
      </c>
      <c r="K7649">
        <f>IF(B7649&gt;=Settings!$C$5,1,0)</f>
        <v/>
      </c>
    </row>
    <row r="7650">
      <c r="A7650" t="inlineStr">
        <is>
          <t>8c28070c4f66b857f767329e8ce48afc</t>
        </is>
      </c>
      <c r="B7650" s="29" t="n">
        <v>43131</v>
      </c>
      <c r="C7650" t="inlineStr">
        <is>
          <t>2018-01</t>
        </is>
      </c>
      <c r="D7650" t="inlineStr">
        <is>
          <t>f4cb9c7b1dc31afca77d4896d2ae8d4b</t>
        </is>
      </c>
      <c r="E7650" t="inlineStr">
        <is>
          <t>organic_search</t>
        </is>
      </c>
      <c r="F7650">
        <f>IFERROR(MATCH(A7650,Deals!$A$2:$A$843,0),"")</f>
        <v/>
      </c>
      <c r="G7650">
        <f>IF(F7650="",0,1)</f>
        <v/>
      </c>
      <c r="H7650" s="29">
        <f>IF(F7650="","",INDEX(Deals!$E$2:$E$843,F7650))</f>
        <v/>
      </c>
      <c r="I7650">
        <f>IF(F7650="","",INDEX(Deals!$D$2:$D$843,F7650))</f>
        <v/>
      </c>
      <c r="J7650">
        <f>IF(F7650="","",INT(H7650)-B7650)</f>
        <v/>
      </c>
      <c r="K7650">
        <f>IF(B7650&gt;=Settings!$C$5,1,0)</f>
        <v/>
      </c>
    </row>
    <row r="7651">
      <c r="A7651" t="inlineStr">
        <is>
          <t>c9de0a5417de8f748230d60884345ccb</t>
        </is>
      </c>
      <c r="B7651" s="29" t="n">
        <v>43237</v>
      </c>
      <c r="C7651" t="inlineStr">
        <is>
          <t>2018-05</t>
        </is>
      </c>
      <c r="D7651" t="inlineStr">
        <is>
          <t>58326e62183c14b0c03085c33b9fdc44</t>
        </is>
      </c>
      <c r="E7651" t="inlineStr">
        <is>
          <t>social</t>
        </is>
      </c>
      <c r="F7651">
        <f>IFERROR(MATCH(A7651,Deals!$A$2:$A$843,0),"")</f>
        <v/>
      </c>
      <c r="G7651">
        <f>IF(F7651="",0,1)</f>
        <v/>
      </c>
      <c r="H7651" s="29">
        <f>IF(F7651="","",INDEX(Deals!$E$2:$E$843,F7651))</f>
        <v/>
      </c>
      <c r="I7651">
        <f>IF(F7651="","",INDEX(Deals!$D$2:$D$843,F7651))</f>
        <v/>
      </c>
      <c r="J7651">
        <f>IF(F7651="","",INT(H7651)-B7651)</f>
        <v/>
      </c>
      <c r="K7651">
        <f>IF(B7651&gt;=Settings!$C$5,1,0)</f>
        <v/>
      </c>
    </row>
    <row r="7652">
      <c r="A7652" t="inlineStr">
        <is>
          <t>b6f5a67bcd2f8ec4ff7e5eff7d14554c</t>
        </is>
      </c>
      <c r="B7652" s="29" t="n">
        <v>43202</v>
      </c>
      <c r="C7652" t="inlineStr">
        <is>
          <t>2018-04</t>
        </is>
      </c>
      <c r="D7652" t="inlineStr">
        <is>
          <t>22c29808c4f815213303f8933030604c</t>
        </is>
      </c>
      <c r="E7652" t="inlineStr">
        <is>
          <t>organic_search</t>
        </is>
      </c>
      <c r="F7652">
        <f>IFERROR(MATCH(A7652,Deals!$A$2:$A$843,0),"")</f>
        <v/>
      </c>
      <c r="G7652">
        <f>IF(F7652="",0,1)</f>
        <v/>
      </c>
      <c r="H7652" s="29">
        <f>IF(F7652="","",INDEX(Deals!$E$2:$E$843,F7652))</f>
        <v/>
      </c>
      <c r="I7652">
        <f>IF(F7652="","",INDEX(Deals!$D$2:$D$843,F7652))</f>
        <v/>
      </c>
      <c r="J7652">
        <f>IF(F7652="","",INT(H7652)-B7652)</f>
        <v/>
      </c>
      <c r="K7652">
        <f>IF(B7652&gt;=Settings!$C$5,1,0)</f>
        <v/>
      </c>
    </row>
    <row r="7653">
      <c r="A7653" t="inlineStr">
        <is>
          <t>a49ab7f57366ac88e823ae316a39e6fb</t>
        </is>
      </c>
      <c r="B7653" s="29" t="n">
        <v>42948</v>
      </c>
      <c r="C7653" t="inlineStr">
        <is>
          <t>2017-08</t>
        </is>
      </c>
      <c r="D7653" t="inlineStr">
        <is>
          <t>7eb40e4e44fef8bff604b621119446c7</t>
        </is>
      </c>
      <c r="E7653" t="inlineStr">
        <is>
          <t>unknown</t>
        </is>
      </c>
      <c r="F7653">
        <f>IFERROR(MATCH(A7653,Deals!$A$2:$A$843,0),"")</f>
        <v/>
      </c>
      <c r="G7653">
        <f>IF(F7653="",0,1)</f>
        <v/>
      </c>
      <c r="H7653" s="29">
        <f>IF(F7653="","",INDEX(Deals!$E$2:$E$843,F7653))</f>
        <v/>
      </c>
      <c r="I7653">
        <f>IF(F7653="","",INDEX(Deals!$D$2:$D$843,F7653))</f>
        <v/>
      </c>
      <c r="J7653">
        <f>IF(F7653="","",INT(H7653)-B7653)</f>
        <v/>
      </c>
      <c r="K7653">
        <f>IF(B7653&gt;=Settings!$C$5,1,0)</f>
        <v/>
      </c>
    </row>
    <row r="7654">
      <c r="A7654" t="inlineStr">
        <is>
          <t>560eb60373b30a42bb1d813a47ebae5b</t>
        </is>
      </c>
      <c r="B7654" s="29" t="n">
        <v>43122</v>
      </c>
      <c r="C7654" t="inlineStr">
        <is>
          <t>2018-01</t>
        </is>
      </c>
      <c r="D7654" t="inlineStr">
        <is>
          <t>d45d558f0daeecf3cccdffe3c59684aa</t>
        </is>
      </c>
      <c r="E7654" t="inlineStr">
        <is>
          <t>other</t>
        </is>
      </c>
      <c r="F7654">
        <f>IFERROR(MATCH(A7654,Deals!$A$2:$A$843,0),"")</f>
        <v/>
      </c>
      <c r="G7654">
        <f>IF(F7654="",0,1)</f>
        <v/>
      </c>
      <c r="H7654" s="29">
        <f>IF(F7654="","",INDEX(Deals!$E$2:$E$843,F7654))</f>
        <v/>
      </c>
      <c r="I7654">
        <f>IF(F7654="","",INDEX(Deals!$D$2:$D$843,F7654))</f>
        <v/>
      </c>
      <c r="J7654">
        <f>IF(F7654="","",INT(H7654)-B7654)</f>
        <v/>
      </c>
      <c r="K7654">
        <f>IF(B7654&gt;=Settings!$C$5,1,0)</f>
        <v/>
      </c>
    </row>
    <row r="7655">
      <c r="A7655" t="inlineStr">
        <is>
          <t>a283fe64e2fbe434793656a8e2f25fb3</t>
        </is>
      </c>
      <c r="B7655" s="29" t="n">
        <v>43228</v>
      </c>
      <c r="C7655" t="inlineStr">
        <is>
          <t>2018-05</t>
        </is>
      </c>
      <c r="D7655" t="inlineStr">
        <is>
          <t>ce1a65abd0973638f1c887a6efcfa82d</t>
        </is>
      </c>
      <c r="E7655" t="inlineStr">
        <is>
          <t>paid_search</t>
        </is>
      </c>
      <c r="F7655">
        <f>IFERROR(MATCH(A7655,Deals!$A$2:$A$843,0),"")</f>
        <v/>
      </c>
      <c r="G7655">
        <f>IF(F7655="",0,1)</f>
        <v/>
      </c>
      <c r="H7655" s="29">
        <f>IF(F7655="","",INDEX(Deals!$E$2:$E$843,F7655))</f>
        <v/>
      </c>
      <c r="I7655">
        <f>IF(F7655="","",INDEX(Deals!$D$2:$D$843,F7655))</f>
        <v/>
      </c>
      <c r="J7655">
        <f>IF(F7655="","",INT(H7655)-B7655)</f>
        <v/>
      </c>
      <c r="K7655">
        <f>IF(B7655&gt;=Settings!$C$5,1,0)</f>
        <v/>
      </c>
    </row>
    <row r="7656">
      <c r="A7656" t="inlineStr">
        <is>
          <t>3434cfa4a17f019a5aae78ee0bec24bf</t>
        </is>
      </c>
      <c r="B7656" s="29" t="n">
        <v>43144</v>
      </c>
      <c r="C7656" t="inlineStr">
        <is>
          <t>2018-02</t>
        </is>
      </c>
      <c r="D7656" t="inlineStr">
        <is>
          <t>22c29808c4f815213303f8933030604c</t>
        </is>
      </c>
      <c r="E7656" t="inlineStr">
        <is>
          <t>direct_traffic</t>
        </is>
      </c>
      <c r="F7656">
        <f>IFERROR(MATCH(A7656,Deals!$A$2:$A$843,0),"")</f>
        <v/>
      </c>
      <c r="G7656">
        <f>IF(F7656="",0,1)</f>
        <v/>
      </c>
      <c r="H7656" s="29">
        <f>IF(F7656="","",INDEX(Deals!$E$2:$E$843,F7656))</f>
        <v/>
      </c>
      <c r="I7656">
        <f>IF(F7656="","",INDEX(Deals!$D$2:$D$843,F7656))</f>
        <v/>
      </c>
      <c r="J7656">
        <f>IF(F7656="","",INT(H7656)-B7656)</f>
        <v/>
      </c>
      <c r="K7656">
        <f>IF(B7656&gt;=Settings!$C$5,1,0)</f>
        <v/>
      </c>
    </row>
    <row r="7657">
      <c r="A7657" t="inlineStr">
        <is>
          <t>c625dc1fd57f8d818b6718ee5ce9d27e</t>
        </is>
      </c>
      <c r="B7657" s="29" t="n">
        <v>43035</v>
      </c>
      <c r="C7657" t="inlineStr">
        <is>
          <t>2017-10</t>
        </is>
      </c>
      <c r="D7657" t="inlineStr">
        <is>
          <t>1722481ac9e5371e5099dea226b5421d</t>
        </is>
      </c>
      <c r="E7657" t="inlineStr">
        <is>
          <t>organic_search</t>
        </is>
      </c>
      <c r="F7657">
        <f>IFERROR(MATCH(A7657,Deals!$A$2:$A$843,0),"")</f>
        <v/>
      </c>
      <c r="G7657">
        <f>IF(F7657="",0,1)</f>
        <v/>
      </c>
      <c r="H7657" s="29">
        <f>IF(F7657="","",INDEX(Deals!$E$2:$E$843,F7657))</f>
        <v/>
      </c>
      <c r="I7657">
        <f>IF(F7657="","",INDEX(Deals!$D$2:$D$843,F7657))</f>
        <v/>
      </c>
      <c r="J7657">
        <f>IF(F7657="","",INT(H7657)-B7657)</f>
        <v/>
      </c>
      <c r="K7657">
        <f>IF(B7657&gt;=Settings!$C$5,1,0)</f>
        <v/>
      </c>
    </row>
    <row r="7658">
      <c r="A7658" t="inlineStr">
        <is>
          <t>c3c84092ac84582cfd28c3ff246022cb</t>
        </is>
      </c>
      <c r="B7658" s="29" t="n">
        <v>43222</v>
      </c>
      <c r="C7658" t="inlineStr">
        <is>
          <t>2018-05</t>
        </is>
      </c>
      <c r="D7658" t="inlineStr">
        <is>
          <t>e42a14209c69c3e9cc6b042620465f12</t>
        </is>
      </c>
      <c r="E7658" t="inlineStr">
        <is>
          <t>email</t>
        </is>
      </c>
      <c r="F7658">
        <f>IFERROR(MATCH(A7658,Deals!$A$2:$A$843,0),"")</f>
        <v/>
      </c>
      <c r="G7658">
        <f>IF(F7658="",0,1)</f>
        <v/>
      </c>
      <c r="H7658" s="29">
        <f>IF(F7658="","",INDEX(Deals!$E$2:$E$843,F7658))</f>
        <v/>
      </c>
      <c r="I7658">
        <f>IF(F7658="","",INDEX(Deals!$D$2:$D$843,F7658))</f>
        <v/>
      </c>
      <c r="J7658">
        <f>IF(F7658="","",INT(H7658)-B7658)</f>
        <v/>
      </c>
      <c r="K7658">
        <f>IF(B7658&gt;=Settings!$C$5,1,0)</f>
        <v/>
      </c>
    </row>
    <row r="7659">
      <c r="A7659" t="inlineStr">
        <is>
          <t>7efa530244b16507ac557be187cedf5b</t>
        </is>
      </c>
      <c r="B7659" s="29" t="n">
        <v>43082</v>
      </c>
      <c r="C7659" t="inlineStr">
        <is>
          <t>2017-12</t>
        </is>
      </c>
      <c r="D7659" t="inlineStr">
        <is>
          <t>0b37d43dbde6452cdd94c17bf61a88e4</t>
        </is>
      </c>
      <c r="E7659" t="inlineStr">
        <is>
          <t>paid_search</t>
        </is>
      </c>
      <c r="F7659">
        <f>IFERROR(MATCH(A7659,Deals!$A$2:$A$843,0),"")</f>
        <v/>
      </c>
      <c r="G7659">
        <f>IF(F7659="",0,1)</f>
        <v/>
      </c>
      <c r="H7659" s="29">
        <f>IF(F7659="","",INDEX(Deals!$E$2:$E$843,F7659))</f>
        <v/>
      </c>
      <c r="I7659">
        <f>IF(F7659="","",INDEX(Deals!$D$2:$D$843,F7659))</f>
        <v/>
      </c>
      <c r="J7659">
        <f>IF(F7659="","",INT(H7659)-B7659)</f>
        <v/>
      </c>
      <c r="K7659">
        <f>IF(B7659&gt;=Settings!$C$5,1,0)</f>
        <v/>
      </c>
    </row>
    <row r="7660">
      <c r="A7660" t="inlineStr">
        <is>
          <t>0cc346ec65e459bd61888a572b3b138e</t>
        </is>
      </c>
      <c r="B7660" s="29" t="n">
        <v>43097</v>
      </c>
      <c r="C7660" t="inlineStr">
        <is>
          <t>2017-12</t>
        </is>
      </c>
      <c r="D7660" t="inlineStr">
        <is>
          <t>22c29808c4f815213303f8933030604c</t>
        </is>
      </c>
      <c r="E7660" t="inlineStr">
        <is>
          <t>organic_search</t>
        </is>
      </c>
      <c r="F7660">
        <f>IFERROR(MATCH(A7660,Deals!$A$2:$A$843,0),"")</f>
        <v/>
      </c>
      <c r="G7660">
        <f>IF(F7660="",0,1)</f>
        <v/>
      </c>
      <c r="H7660" s="29">
        <f>IF(F7660="","",INDEX(Deals!$E$2:$E$843,F7660))</f>
        <v/>
      </c>
      <c r="I7660">
        <f>IF(F7660="","",INDEX(Deals!$D$2:$D$843,F7660))</f>
        <v/>
      </c>
      <c r="J7660">
        <f>IF(F7660="","",INT(H7660)-B7660)</f>
        <v/>
      </c>
      <c r="K7660">
        <f>IF(B7660&gt;=Settings!$C$5,1,0)</f>
        <v/>
      </c>
    </row>
    <row r="7661">
      <c r="A7661" t="inlineStr">
        <is>
          <t>4f9b784fbdde0c7a965fcbda042b2b9f</t>
        </is>
      </c>
      <c r="B7661" s="29" t="n">
        <v>43131</v>
      </c>
      <c r="C7661" t="inlineStr">
        <is>
          <t>2018-01</t>
        </is>
      </c>
      <c r="D7661" t="inlineStr">
        <is>
          <t>a7982125ff7aa3b2054c6e44f9d28522</t>
        </is>
      </c>
      <c r="E7661" t="inlineStr">
        <is>
          <t>organic_search</t>
        </is>
      </c>
      <c r="F7661">
        <f>IFERROR(MATCH(A7661,Deals!$A$2:$A$843,0),"")</f>
        <v/>
      </c>
      <c r="G7661">
        <f>IF(F7661="",0,1)</f>
        <v/>
      </c>
      <c r="H7661" s="29">
        <f>IF(F7661="","",INDEX(Deals!$E$2:$E$843,F7661))</f>
        <v/>
      </c>
      <c r="I7661">
        <f>IF(F7661="","",INDEX(Deals!$D$2:$D$843,F7661))</f>
        <v/>
      </c>
      <c r="J7661">
        <f>IF(F7661="","",INT(H7661)-B7661)</f>
        <v/>
      </c>
      <c r="K7661">
        <f>IF(B7661&gt;=Settings!$C$5,1,0)</f>
        <v/>
      </c>
    </row>
    <row r="7662">
      <c r="A7662" t="inlineStr">
        <is>
          <t>1a6203d931bf37e0476a02bea3effe97</t>
        </is>
      </c>
      <c r="B7662" s="29" t="n">
        <v>43196</v>
      </c>
      <c r="C7662" t="inlineStr">
        <is>
          <t>2018-04</t>
        </is>
      </c>
      <c r="D7662" t="inlineStr">
        <is>
          <t>58326e62183c14b0c03085c33b9fdc44</t>
        </is>
      </c>
      <c r="E7662" t="inlineStr">
        <is>
          <t>social</t>
        </is>
      </c>
      <c r="F7662">
        <f>IFERROR(MATCH(A7662,Deals!$A$2:$A$843,0),"")</f>
        <v/>
      </c>
      <c r="G7662">
        <f>IF(F7662="",0,1)</f>
        <v/>
      </c>
      <c r="H7662" s="29">
        <f>IF(F7662="","",INDEX(Deals!$E$2:$E$843,F7662))</f>
        <v/>
      </c>
      <c r="I7662">
        <f>IF(F7662="","",INDEX(Deals!$D$2:$D$843,F7662))</f>
        <v/>
      </c>
      <c r="J7662">
        <f>IF(F7662="","",INT(H7662)-B7662)</f>
        <v/>
      </c>
      <c r="K7662">
        <f>IF(B7662&gt;=Settings!$C$5,1,0)</f>
        <v/>
      </c>
    </row>
    <row r="7663">
      <c r="A7663" t="inlineStr">
        <is>
          <t>2852475bf1d02022e4eb5269c452259a</t>
        </is>
      </c>
      <c r="B7663" s="29" t="n">
        <v>43106</v>
      </c>
      <c r="C7663" t="inlineStr">
        <is>
          <t>2018-01</t>
        </is>
      </c>
      <c r="D7663" t="inlineStr">
        <is>
          <t>a7982125ff7aa3b2054c6e44f9d28522</t>
        </is>
      </c>
      <c r="E7663" t="inlineStr">
        <is>
          <t>organic_search</t>
        </is>
      </c>
      <c r="F7663">
        <f>IFERROR(MATCH(A7663,Deals!$A$2:$A$843,0),"")</f>
        <v/>
      </c>
      <c r="G7663">
        <f>IF(F7663="",0,1)</f>
        <v/>
      </c>
      <c r="H7663" s="29">
        <f>IF(F7663="","",INDEX(Deals!$E$2:$E$843,F7663))</f>
        <v/>
      </c>
      <c r="I7663">
        <f>IF(F7663="","",INDEX(Deals!$D$2:$D$843,F7663))</f>
        <v/>
      </c>
      <c r="J7663">
        <f>IF(F7663="","",INT(H7663)-B7663)</f>
        <v/>
      </c>
      <c r="K7663">
        <f>IF(B7663&gt;=Settings!$C$5,1,0)</f>
        <v/>
      </c>
    </row>
    <row r="7664">
      <c r="A7664" t="inlineStr">
        <is>
          <t>4564b63cdb72b5d9fb433b93ce5f0132</t>
        </is>
      </c>
      <c r="B7664" s="29" t="n">
        <v>43117</v>
      </c>
      <c r="C7664" t="inlineStr">
        <is>
          <t>2018-01</t>
        </is>
      </c>
      <c r="D7664" t="inlineStr">
        <is>
          <t>40dec9f3d5259a3d2dbcdab2114fae47</t>
        </is>
      </c>
      <c r="E7664" t="inlineStr">
        <is>
          <t>paid_search</t>
        </is>
      </c>
      <c r="F7664">
        <f>IFERROR(MATCH(A7664,Deals!$A$2:$A$843,0),"")</f>
        <v/>
      </c>
      <c r="G7664">
        <f>IF(F7664="",0,1)</f>
        <v/>
      </c>
      <c r="H7664" s="29">
        <f>IF(F7664="","",INDEX(Deals!$E$2:$E$843,F7664))</f>
        <v/>
      </c>
      <c r="I7664">
        <f>IF(F7664="","",INDEX(Deals!$D$2:$D$843,F7664))</f>
        <v/>
      </c>
      <c r="J7664">
        <f>IF(F7664="","",INT(H7664)-B7664)</f>
        <v/>
      </c>
      <c r="K7664">
        <f>IF(B7664&gt;=Settings!$C$5,1,0)</f>
        <v/>
      </c>
    </row>
    <row r="7665">
      <c r="A7665" t="inlineStr">
        <is>
          <t>5177f46c78a990212fe8a74ba2e4ee16</t>
        </is>
      </c>
      <c r="B7665" s="29" t="n">
        <v>43108</v>
      </c>
      <c r="C7665" t="inlineStr">
        <is>
          <t>2018-01</t>
        </is>
      </c>
      <c r="D7665" t="inlineStr">
        <is>
          <t>b76ef37428e6799c421989521c0e5077</t>
        </is>
      </c>
      <c r="E7665" t="inlineStr">
        <is>
          <t>organic_search</t>
        </is>
      </c>
      <c r="F7665">
        <f>IFERROR(MATCH(A7665,Deals!$A$2:$A$843,0),"")</f>
        <v/>
      </c>
      <c r="G7665">
        <f>IF(F7665="",0,1)</f>
        <v/>
      </c>
      <c r="H7665" s="29">
        <f>IF(F7665="","",INDEX(Deals!$E$2:$E$843,F7665))</f>
        <v/>
      </c>
      <c r="I7665">
        <f>IF(F7665="","",INDEX(Deals!$D$2:$D$843,F7665))</f>
        <v/>
      </c>
      <c r="J7665">
        <f>IF(F7665="","",INT(H7665)-B7665)</f>
        <v/>
      </c>
      <c r="K7665">
        <f>IF(B7665&gt;=Settings!$C$5,1,0)</f>
        <v/>
      </c>
    </row>
    <row r="7666">
      <c r="A7666" t="inlineStr">
        <is>
          <t>696ede2b6a499c372fe1d65fa8d56ebd</t>
        </is>
      </c>
      <c r="B7666" s="29" t="n">
        <v>43104</v>
      </c>
      <c r="C7666" t="inlineStr">
        <is>
          <t>2018-01</t>
        </is>
      </c>
      <c r="D7666" t="inlineStr">
        <is>
          <t>22c29808c4f815213303f8933030604c</t>
        </is>
      </c>
      <c r="E7666" t="inlineStr">
        <is>
          <t>organic_search</t>
        </is>
      </c>
      <c r="F7666">
        <f>IFERROR(MATCH(A7666,Deals!$A$2:$A$843,0),"")</f>
        <v/>
      </c>
      <c r="G7666">
        <f>IF(F7666="",0,1)</f>
        <v/>
      </c>
      <c r="H7666" s="29">
        <f>IF(F7666="","",INDEX(Deals!$E$2:$E$843,F7666))</f>
        <v/>
      </c>
      <c r="I7666">
        <f>IF(F7666="","",INDEX(Deals!$D$2:$D$843,F7666))</f>
        <v/>
      </c>
      <c r="J7666">
        <f>IF(F7666="","",INT(H7666)-B7666)</f>
        <v/>
      </c>
      <c r="K7666">
        <f>IF(B7666&gt;=Settings!$C$5,1,0)</f>
        <v/>
      </c>
    </row>
    <row r="7667">
      <c r="A7667" t="inlineStr">
        <is>
          <t>1bdd43a9f880bb095fc0ba4f82753c53</t>
        </is>
      </c>
      <c r="B7667" s="29" t="n">
        <v>43044</v>
      </c>
      <c r="C7667" t="inlineStr">
        <is>
          <t>2017-11</t>
        </is>
      </c>
      <c r="D7667" t="inlineStr">
        <is>
          <t>88740e65d5d6b056e0cda098e1ea6313</t>
        </is>
      </c>
      <c r="E7667" t="inlineStr">
        <is>
          <t>social</t>
        </is>
      </c>
      <c r="F7667">
        <f>IFERROR(MATCH(A7667,Deals!$A$2:$A$843,0),"")</f>
        <v/>
      </c>
      <c r="G7667">
        <f>IF(F7667="",0,1)</f>
        <v/>
      </c>
      <c r="H7667" s="29">
        <f>IF(F7667="","",INDEX(Deals!$E$2:$E$843,F7667))</f>
        <v/>
      </c>
      <c r="I7667">
        <f>IF(F7667="","",INDEX(Deals!$D$2:$D$843,F7667))</f>
        <v/>
      </c>
      <c r="J7667">
        <f>IF(F7667="","",INT(H7667)-B7667)</f>
        <v/>
      </c>
      <c r="K7667">
        <f>IF(B7667&gt;=Settings!$C$5,1,0)</f>
        <v/>
      </c>
    </row>
    <row r="7668">
      <c r="A7668" t="inlineStr">
        <is>
          <t>56fdf4dfc562e748071e865d034a62b5</t>
        </is>
      </c>
      <c r="B7668" s="29" t="n">
        <v>43147</v>
      </c>
      <c r="C7668" t="inlineStr">
        <is>
          <t>2018-02</t>
        </is>
      </c>
      <c r="D7668" t="inlineStr">
        <is>
          <t>65d9f9d71e562365e8b44037c2888d98</t>
        </is>
      </c>
      <c r="E7668" t="inlineStr">
        <is>
          <t>organic_search</t>
        </is>
      </c>
      <c r="F7668">
        <f>IFERROR(MATCH(A7668,Deals!$A$2:$A$843,0),"")</f>
        <v/>
      </c>
      <c r="G7668">
        <f>IF(F7668="",0,1)</f>
        <v/>
      </c>
      <c r="H7668" s="29">
        <f>IF(F7668="","",INDEX(Deals!$E$2:$E$843,F7668))</f>
        <v/>
      </c>
      <c r="I7668">
        <f>IF(F7668="","",INDEX(Deals!$D$2:$D$843,F7668))</f>
        <v/>
      </c>
      <c r="J7668">
        <f>IF(F7668="","",INT(H7668)-B7668)</f>
        <v/>
      </c>
      <c r="K7668">
        <f>IF(B7668&gt;=Settings!$C$5,1,0)</f>
        <v/>
      </c>
    </row>
    <row r="7669">
      <c r="A7669" t="inlineStr">
        <is>
          <t>bf99455b9c632c2cca040bd026057559</t>
        </is>
      </c>
      <c r="B7669" s="29" t="n">
        <v>43186</v>
      </c>
      <c r="C7669" t="inlineStr">
        <is>
          <t>2018-03</t>
        </is>
      </c>
      <c r="D7669" t="inlineStr">
        <is>
          <t>b6885f18d203a61176418c1fb3764815</t>
        </is>
      </c>
      <c r="E7669" t="inlineStr">
        <is>
          <t>paid_search</t>
        </is>
      </c>
      <c r="F7669">
        <f>IFERROR(MATCH(A7669,Deals!$A$2:$A$843,0),"")</f>
        <v/>
      </c>
      <c r="G7669">
        <f>IF(F7669="",0,1)</f>
        <v/>
      </c>
      <c r="H7669" s="29">
        <f>IF(F7669="","",INDEX(Deals!$E$2:$E$843,F7669))</f>
        <v/>
      </c>
      <c r="I7669">
        <f>IF(F7669="","",INDEX(Deals!$D$2:$D$843,F7669))</f>
        <v/>
      </c>
      <c r="J7669">
        <f>IF(F7669="","",INT(H7669)-B7669)</f>
        <v/>
      </c>
      <c r="K7669">
        <f>IF(B7669&gt;=Settings!$C$5,1,0)</f>
        <v/>
      </c>
    </row>
    <row r="7670">
      <c r="A7670" t="inlineStr">
        <is>
          <t>c7226ffd4a80a6abfd8b4e348e11e7a0</t>
        </is>
      </c>
      <c r="B7670" s="29" t="n">
        <v>43157</v>
      </c>
      <c r="C7670" t="inlineStr">
        <is>
          <t>2018-02</t>
        </is>
      </c>
      <c r="D7670" t="inlineStr">
        <is>
          <t>88740e65d5d6b056e0cda098e1ea6313</t>
        </is>
      </c>
      <c r="E7670" t="inlineStr">
        <is>
          <t>social</t>
        </is>
      </c>
      <c r="F7670">
        <f>IFERROR(MATCH(A7670,Deals!$A$2:$A$843,0),"")</f>
        <v/>
      </c>
      <c r="G7670">
        <f>IF(F7670="",0,1)</f>
        <v/>
      </c>
      <c r="H7670" s="29">
        <f>IF(F7670="","",INDEX(Deals!$E$2:$E$843,F7670))</f>
        <v/>
      </c>
      <c r="I7670">
        <f>IF(F7670="","",INDEX(Deals!$D$2:$D$843,F7670))</f>
        <v/>
      </c>
      <c r="J7670">
        <f>IF(F7670="","",INT(H7670)-B7670)</f>
        <v/>
      </c>
      <c r="K7670">
        <f>IF(B7670&gt;=Settings!$C$5,1,0)</f>
        <v/>
      </c>
    </row>
    <row r="7671">
      <c r="A7671" t="inlineStr">
        <is>
          <t>795614ab85fa0cbf19bdc16c075a0d2c</t>
        </is>
      </c>
      <c r="B7671" s="29" t="n">
        <v>43199</v>
      </c>
      <c r="C7671" t="inlineStr">
        <is>
          <t>2018-04</t>
        </is>
      </c>
      <c r="D7671" t="inlineStr">
        <is>
          <t>908dad5b22342480f5cc055b8dd55e7e</t>
        </is>
      </c>
      <c r="E7671" t="inlineStr">
        <is>
          <t>other_publicities</t>
        </is>
      </c>
      <c r="F7671">
        <f>IFERROR(MATCH(A7671,Deals!$A$2:$A$843,0),"")</f>
        <v/>
      </c>
      <c r="G7671">
        <f>IF(F7671="",0,1)</f>
        <v/>
      </c>
      <c r="H7671" s="29">
        <f>IF(F7671="","",INDEX(Deals!$E$2:$E$843,F7671))</f>
        <v/>
      </c>
      <c r="I7671">
        <f>IF(F7671="","",INDEX(Deals!$D$2:$D$843,F7671))</f>
        <v/>
      </c>
      <c r="J7671">
        <f>IF(F7671="","",INT(H7671)-B7671)</f>
        <v/>
      </c>
      <c r="K7671">
        <f>IF(B7671&gt;=Settings!$C$5,1,0)</f>
        <v/>
      </c>
    </row>
    <row r="7672">
      <c r="A7672" t="inlineStr">
        <is>
          <t>5a85461739094491a96bb30267640454</t>
        </is>
      </c>
      <c r="B7672" s="29" t="n">
        <v>43178</v>
      </c>
      <c r="C7672" t="inlineStr">
        <is>
          <t>2018-03</t>
        </is>
      </c>
      <c r="D7672" t="inlineStr">
        <is>
          <t>c35447dcd1a50b2e2ee3184be602b597</t>
        </is>
      </c>
      <c r="E7672" t="inlineStr">
        <is>
          <t>social</t>
        </is>
      </c>
      <c r="F7672">
        <f>IFERROR(MATCH(A7672,Deals!$A$2:$A$843,0),"")</f>
        <v/>
      </c>
      <c r="G7672">
        <f>IF(F7672="",0,1)</f>
        <v/>
      </c>
      <c r="H7672" s="29">
        <f>IF(F7672="","",INDEX(Deals!$E$2:$E$843,F7672))</f>
        <v/>
      </c>
      <c r="I7672">
        <f>IF(F7672="","",INDEX(Deals!$D$2:$D$843,F7672))</f>
        <v/>
      </c>
      <c r="J7672">
        <f>IF(F7672="","",INT(H7672)-B7672)</f>
        <v/>
      </c>
      <c r="K7672">
        <f>IF(B7672&gt;=Settings!$C$5,1,0)</f>
        <v/>
      </c>
    </row>
    <row r="7673">
      <c r="A7673" t="inlineStr">
        <is>
          <t>6dfaf51d9dac5fdcda240b043eb561d5</t>
        </is>
      </c>
      <c r="B7673" s="29" t="n">
        <v>43215</v>
      </c>
      <c r="C7673" t="inlineStr">
        <is>
          <t>2018-04</t>
        </is>
      </c>
      <c r="D7673" t="inlineStr">
        <is>
          <t>f80696b73d17fb34f5c4fde157f119d8</t>
        </is>
      </c>
      <c r="E7673" t="inlineStr">
        <is>
          <t>organic_search</t>
        </is>
      </c>
      <c r="F7673">
        <f>IFERROR(MATCH(A7673,Deals!$A$2:$A$843,0),"")</f>
        <v/>
      </c>
      <c r="G7673">
        <f>IF(F7673="",0,1)</f>
        <v/>
      </c>
      <c r="H7673" s="29">
        <f>IF(F7673="","",INDEX(Deals!$E$2:$E$843,F7673))</f>
        <v/>
      </c>
      <c r="I7673">
        <f>IF(F7673="","",INDEX(Deals!$D$2:$D$843,F7673))</f>
        <v/>
      </c>
      <c r="J7673">
        <f>IF(F7673="","",INT(H7673)-B7673)</f>
        <v/>
      </c>
      <c r="K7673">
        <f>IF(B7673&gt;=Settings!$C$5,1,0)</f>
        <v/>
      </c>
    </row>
    <row r="7674">
      <c r="A7674" t="inlineStr">
        <is>
          <t>4611b8ff403bea67637c3f1911940668</t>
        </is>
      </c>
      <c r="B7674" s="29" t="n">
        <v>43132</v>
      </c>
      <c r="C7674" t="inlineStr">
        <is>
          <t>2018-02</t>
        </is>
      </c>
      <c r="D7674" t="inlineStr">
        <is>
          <t>b48ec5f3b04e9068441002a19df93c6c</t>
        </is>
      </c>
      <c r="E7674" t="inlineStr">
        <is>
          <t>paid_search</t>
        </is>
      </c>
      <c r="F7674">
        <f>IFERROR(MATCH(A7674,Deals!$A$2:$A$843,0),"")</f>
        <v/>
      </c>
      <c r="G7674">
        <f>IF(F7674="",0,1)</f>
        <v/>
      </c>
      <c r="H7674" s="29">
        <f>IF(F7674="","",INDEX(Deals!$E$2:$E$843,F7674))</f>
        <v/>
      </c>
      <c r="I7674">
        <f>IF(F7674="","",INDEX(Deals!$D$2:$D$843,F7674))</f>
        <v/>
      </c>
      <c r="J7674">
        <f>IF(F7674="","",INT(H7674)-B7674)</f>
        <v/>
      </c>
      <c r="K7674">
        <f>IF(B7674&gt;=Settings!$C$5,1,0)</f>
        <v/>
      </c>
    </row>
    <row r="7675">
      <c r="A7675" t="inlineStr">
        <is>
          <t>b3999f2198b3a6ddc547b84352c90e9c</t>
        </is>
      </c>
      <c r="B7675" s="29" t="n">
        <v>43067</v>
      </c>
      <c r="C7675" t="inlineStr">
        <is>
          <t>2017-11</t>
        </is>
      </c>
      <c r="D7675" t="inlineStr">
        <is>
          <t>b76ef37428e6799c421989521c0e5077</t>
        </is>
      </c>
      <c r="E7675" t="inlineStr">
        <is>
          <t>unknown</t>
        </is>
      </c>
      <c r="F7675">
        <f>IFERROR(MATCH(A7675,Deals!$A$2:$A$843,0),"")</f>
        <v/>
      </c>
      <c r="G7675">
        <f>IF(F7675="",0,1)</f>
        <v/>
      </c>
      <c r="H7675" s="29">
        <f>IF(F7675="","",INDEX(Deals!$E$2:$E$843,F7675))</f>
        <v/>
      </c>
      <c r="I7675">
        <f>IF(F7675="","",INDEX(Deals!$D$2:$D$843,F7675))</f>
        <v/>
      </c>
      <c r="J7675">
        <f>IF(F7675="","",INT(H7675)-B7675)</f>
        <v/>
      </c>
      <c r="K7675">
        <f>IF(B7675&gt;=Settings!$C$5,1,0)</f>
        <v/>
      </c>
    </row>
    <row r="7676">
      <c r="A7676" t="inlineStr">
        <is>
          <t>325ff4fd5d36bfc4a9cd47fc5be2ee48</t>
        </is>
      </c>
      <c r="B7676" s="29" t="n">
        <v>43122</v>
      </c>
      <c r="C7676" t="inlineStr">
        <is>
          <t>2018-01</t>
        </is>
      </c>
      <c r="D7676" t="inlineStr">
        <is>
          <t>22c29808c4f815213303f8933030604c</t>
        </is>
      </c>
      <c r="E7676" t="inlineStr">
        <is>
          <t>organic_search</t>
        </is>
      </c>
      <c r="F7676">
        <f>IFERROR(MATCH(A7676,Deals!$A$2:$A$843,0),"")</f>
        <v/>
      </c>
      <c r="G7676">
        <f>IF(F7676="",0,1)</f>
        <v/>
      </c>
      <c r="H7676" s="29">
        <f>IF(F7676="","",INDEX(Deals!$E$2:$E$843,F7676))</f>
        <v/>
      </c>
      <c r="I7676">
        <f>IF(F7676="","",INDEX(Deals!$D$2:$D$843,F7676))</f>
        <v/>
      </c>
      <c r="J7676">
        <f>IF(F7676="","",INT(H7676)-B7676)</f>
        <v/>
      </c>
      <c r="K7676">
        <f>IF(B7676&gt;=Settings!$C$5,1,0)</f>
        <v/>
      </c>
    </row>
    <row r="7677">
      <c r="A7677" t="inlineStr">
        <is>
          <t>54267af4b3906ad3c872894bf7093993</t>
        </is>
      </c>
      <c r="B7677" s="29" t="n">
        <v>43248</v>
      </c>
      <c r="C7677" t="inlineStr">
        <is>
          <t>2018-05</t>
        </is>
      </c>
      <c r="D7677" t="inlineStr">
        <is>
          <t>b76ef37428e6799c421989521c0e5077</t>
        </is>
      </c>
      <c r="E7677" t="inlineStr">
        <is>
          <t>unknown</t>
        </is>
      </c>
      <c r="F7677">
        <f>IFERROR(MATCH(A7677,Deals!$A$2:$A$843,0),"")</f>
        <v/>
      </c>
      <c r="G7677">
        <f>IF(F7677="",0,1)</f>
        <v/>
      </c>
      <c r="H7677" s="29">
        <f>IF(F7677="","",INDEX(Deals!$E$2:$E$843,F7677))</f>
        <v/>
      </c>
      <c r="I7677">
        <f>IF(F7677="","",INDEX(Deals!$D$2:$D$843,F7677))</f>
        <v/>
      </c>
      <c r="J7677">
        <f>IF(F7677="","",INT(H7677)-B7677)</f>
        <v/>
      </c>
      <c r="K7677">
        <f>IF(B7677&gt;=Settings!$C$5,1,0)</f>
        <v/>
      </c>
    </row>
    <row r="7678">
      <c r="A7678" t="inlineStr">
        <is>
          <t>737db06851aa4224553a728773b50123</t>
        </is>
      </c>
      <c r="B7678" s="29" t="n">
        <v>43119</v>
      </c>
      <c r="C7678" t="inlineStr">
        <is>
          <t>2018-01</t>
        </is>
      </c>
      <c r="D7678" t="inlineStr">
        <is>
          <t>99b00c6e27db383d844d1763dbcbfe06</t>
        </is>
      </c>
      <c r="E7678" t="inlineStr">
        <is>
          <t>direct_traffic</t>
        </is>
      </c>
      <c r="F7678">
        <f>IFERROR(MATCH(A7678,Deals!$A$2:$A$843,0),"")</f>
        <v/>
      </c>
      <c r="G7678">
        <f>IF(F7678="",0,1)</f>
        <v/>
      </c>
      <c r="H7678" s="29">
        <f>IF(F7678="","",INDEX(Deals!$E$2:$E$843,F7678))</f>
        <v/>
      </c>
      <c r="I7678">
        <f>IF(F7678="","",INDEX(Deals!$D$2:$D$843,F7678))</f>
        <v/>
      </c>
      <c r="J7678">
        <f>IF(F7678="","",INT(H7678)-B7678)</f>
        <v/>
      </c>
      <c r="K7678">
        <f>IF(B7678&gt;=Settings!$C$5,1,0)</f>
        <v/>
      </c>
    </row>
    <row r="7679">
      <c r="A7679" t="inlineStr">
        <is>
          <t>850660ba5cb014184e5cc0e6b3d4c6bb</t>
        </is>
      </c>
      <c r="B7679" s="29" t="n">
        <v>43089</v>
      </c>
      <c r="C7679" t="inlineStr">
        <is>
          <t>2017-12</t>
        </is>
      </c>
      <c r="D7679" t="inlineStr">
        <is>
          <t>bddebc4f4d44106c427bd00695840e64</t>
        </is>
      </c>
      <c r="E7679" t="inlineStr">
        <is>
          <t>email</t>
        </is>
      </c>
      <c r="F7679">
        <f>IFERROR(MATCH(A7679,Deals!$A$2:$A$843,0),"")</f>
        <v/>
      </c>
      <c r="G7679">
        <f>IF(F7679="",0,1)</f>
        <v/>
      </c>
      <c r="H7679" s="29">
        <f>IF(F7679="","",INDEX(Deals!$E$2:$E$843,F7679))</f>
        <v/>
      </c>
      <c r="I7679">
        <f>IF(F7679="","",INDEX(Deals!$D$2:$D$843,F7679))</f>
        <v/>
      </c>
      <c r="J7679">
        <f>IF(F7679="","",INT(H7679)-B7679)</f>
        <v/>
      </c>
      <c r="K7679">
        <f>IF(B7679&gt;=Settings!$C$5,1,0)</f>
        <v/>
      </c>
    </row>
    <row r="7680">
      <c r="A7680" t="inlineStr">
        <is>
          <t>6e36950e15944681218ed134d85575e3</t>
        </is>
      </c>
      <c r="B7680" s="29" t="n">
        <v>43192</v>
      </c>
      <c r="C7680" t="inlineStr">
        <is>
          <t>2018-04</t>
        </is>
      </c>
      <c r="D7680" t="inlineStr">
        <is>
          <t>87e8cbe800fd79c7109fb24081c1c31d</t>
        </is>
      </c>
      <c r="E7680" t="inlineStr">
        <is>
          <t>organic_search</t>
        </is>
      </c>
      <c r="F7680">
        <f>IFERROR(MATCH(A7680,Deals!$A$2:$A$843,0),"")</f>
        <v/>
      </c>
      <c r="G7680">
        <f>IF(F7680="",0,1)</f>
        <v/>
      </c>
      <c r="H7680" s="29">
        <f>IF(F7680="","",INDEX(Deals!$E$2:$E$843,F7680))</f>
        <v/>
      </c>
      <c r="I7680">
        <f>IF(F7680="","",INDEX(Deals!$D$2:$D$843,F7680))</f>
        <v/>
      </c>
      <c r="J7680">
        <f>IF(F7680="","",INT(H7680)-B7680)</f>
        <v/>
      </c>
      <c r="K7680">
        <f>IF(B7680&gt;=Settings!$C$5,1,0)</f>
        <v/>
      </c>
    </row>
    <row r="7681">
      <c r="A7681" t="inlineStr">
        <is>
          <t>42d15f0a37b7d0a151bb2ca9cc7e5548</t>
        </is>
      </c>
      <c r="B7681" s="29" t="n">
        <v>43110</v>
      </c>
      <c r="C7681" t="inlineStr">
        <is>
          <t>2018-01</t>
        </is>
      </c>
      <c r="D7681" t="inlineStr">
        <is>
          <t>b76ef37428e6799c421989521c0e5077</t>
        </is>
      </c>
      <c r="E7681" t="inlineStr">
        <is>
          <t>unknown</t>
        </is>
      </c>
      <c r="F7681">
        <f>IFERROR(MATCH(A7681,Deals!$A$2:$A$843,0),"")</f>
        <v/>
      </c>
      <c r="G7681">
        <f>IF(F7681="",0,1)</f>
        <v/>
      </c>
      <c r="H7681" s="29">
        <f>IF(F7681="","",INDEX(Deals!$E$2:$E$843,F7681))</f>
        <v/>
      </c>
      <c r="I7681">
        <f>IF(F7681="","",INDEX(Deals!$D$2:$D$843,F7681))</f>
        <v/>
      </c>
      <c r="J7681">
        <f>IF(F7681="","",INT(H7681)-B7681)</f>
        <v/>
      </c>
      <c r="K7681">
        <f>IF(B7681&gt;=Settings!$C$5,1,0)</f>
        <v/>
      </c>
    </row>
    <row r="7682">
      <c r="A7682" t="inlineStr">
        <is>
          <t>862690c612c4c41a2ddceb9bf7a5c848</t>
        </is>
      </c>
      <c r="B7682" s="29" t="n">
        <v>43146</v>
      </c>
      <c r="C7682" t="inlineStr">
        <is>
          <t>2018-02</t>
        </is>
      </c>
      <c r="D7682" t="inlineStr">
        <is>
          <t>b76ef37428e6799c421989521c0e5077</t>
        </is>
      </c>
      <c r="E7682" t="inlineStr">
        <is>
          <t>unknown</t>
        </is>
      </c>
      <c r="F7682">
        <f>IFERROR(MATCH(A7682,Deals!$A$2:$A$843,0),"")</f>
        <v/>
      </c>
      <c r="G7682">
        <f>IF(F7682="",0,1)</f>
        <v/>
      </c>
      <c r="H7682" s="29">
        <f>IF(F7682="","",INDEX(Deals!$E$2:$E$843,F7682))</f>
        <v/>
      </c>
      <c r="I7682">
        <f>IF(F7682="","",INDEX(Deals!$D$2:$D$843,F7682))</f>
        <v/>
      </c>
      <c r="J7682">
        <f>IF(F7682="","",INT(H7682)-B7682)</f>
        <v/>
      </c>
      <c r="K7682">
        <f>IF(B7682&gt;=Settings!$C$5,1,0)</f>
        <v/>
      </c>
    </row>
    <row r="7683">
      <c r="A7683" t="inlineStr">
        <is>
          <t>76609909f975f3db5b8e50e4cb9ec136</t>
        </is>
      </c>
      <c r="B7683" s="29" t="n">
        <v>43172</v>
      </c>
      <c r="C7683" t="inlineStr">
        <is>
          <t>2018-03</t>
        </is>
      </c>
      <c r="D7683" t="inlineStr">
        <is>
          <t>b6885f18d203a61176418c1fb3764815</t>
        </is>
      </c>
      <c r="E7683" t="inlineStr">
        <is>
          <t>paid_search</t>
        </is>
      </c>
      <c r="F7683">
        <f>IFERROR(MATCH(A7683,Deals!$A$2:$A$843,0),"")</f>
        <v/>
      </c>
      <c r="G7683">
        <f>IF(F7683="",0,1)</f>
        <v/>
      </c>
      <c r="H7683" s="29">
        <f>IF(F7683="","",INDEX(Deals!$E$2:$E$843,F7683))</f>
        <v/>
      </c>
      <c r="I7683">
        <f>IF(F7683="","",INDEX(Deals!$D$2:$D$843,F7683))</f>
        <v/>
      </c>
      <c r="J7683">
        <f>IF(F7683="","",INT(H7683)-B7683)</f>
        <v/>
      </c>
      <c r="K7683">
        <f>IF(B7683&gt;=Settings!$C$5,1,0)</f>
        <v/>
      </c>
    </row>
    <row r="7684">
      <c r="A7684" t="inlineStr">
        <is>
          <t>10b56f2764c9a07ce26b86162142e1d7</t>
        </is>
      </c>
      <c r="B7684" s="29" t="n">
        <v>43167</v>
      </c>
      <c r="C7684" t="inlineStr">
        <is>
          <t>2018-03</t>
        </is>
      </c>
      <c r="D7684" t="inlineStr">
        <is>
          <t>e492ee5eaf1697716985cc6f33f9cd9b</t>
        </is>
      </c>
      <c r="E7684" t="inlineStr">
        <is>
          <t>referral</t>
        </is>
      </c>
      <c r="F7684">
        <f>IFERROR(MATCH(A7684,Deals!$A$2:$A$843,0),"")</f>
        <v/>
      </c>
      <c r="G7684">
        <f>IF(F7684="",0,1)</f>
        <v/>
      </c>
      <c r="H7684" s="29">
        <f>IF(F7684="","",INDEX(Deals!$E$2:$E$843,F7684))</f>
        <v/>
      </c>
      <c r="I7684">
        <f>IF(F7684="","",INDEX(Deals!$D$2:$D$843,F7684))</f>
        <v/>
      </c>
      <c r="J7684">
        <f>IF(F7684="","",INT(H7684)-B7684)</f>
        <v/>
      </c>
      <c r="K7684">
        <f>IF(B7684&gt;=Settings!$C$5,1,0)</f>
        <v/>
      </c>
    </row>
    <row r="7685">
      <c r="A7685" t="inlineStr">
        <is>
          <t>4c41d58a8d3340206fb70ffc06e9f718</t>
        </is>
      </c>
      <c r="B7685" s="29" t="n">
        <v>43160</v>
      </c>
      <c r="C7685" t="inlineStr">
        <is>
          <t>2018-03</t>
        </is>
      </c>
      <c r="D7685" t="inlineStr">
        <is>
          <t>22c29808c4f815213303f8933030604c</t>
        </is>
      </c>
      <c r="E7685" t="inlineStr">
        <is>
          <t>organic_search</t>
        </is>
      </c>
      <c r="F7685">
        <f>IFERROR(MATCH(A7685,Deals!$A$2:$A$843,0),"")</f>
        <v/>
      </c>
      <c r="G7685">
        <f>IF(F7685="",0,1)</f>
        <v/>
      </c>
      <c r="H7685" s="29">
        <f>IF(F7685="","",INDEX(Deals!$E$2:$E$843,F7685))</f>
        <v/>
      </c>
      <c r="I7685">
        <f>IF(F7685="","",INDEX(Deals!$D$2:$D$843,F7685))</f>
        <v/>
      </c>
      <c r="J7685">
        <f>IF(F7685="","",INT(H7685)-B7685)</f>
        <v/>
      </c>
      <c r="K7685">
        <f>IF(B7685&gt;=Settings!$C$5,1,0)</f>
        <v/>
      </c>
    </row>
    <row r="7686">
      <c r="A7686" t="inlineStr">
        <is>
          <t>791f78a00e0b81a19ffa063501dee865</t>
        </is>
      </c>
      <c r="B7686" s="29" t="n">
        <v>43068</v>
      </c>
      <c r="C7686" t="inlineStr">
        <is>
          <t>2017-11</t>
        </is>
      </c>
      <c r="D7686" t="inlineStr">
        <is>
          <t>b76ef37428e6799c421989521c0e5077</t>
        </is>
      </c>
      <c r="E7686" t="inlineStr">
        <is>
          <t>paid_search</t>
        </is>
      </c>
      <c r="F7686">
        <f>IFERROR(MATCH(A7686,Deals!$A$2:$A$843,0),"")</f>
        <v/>
      </c>
      <c r="G7686">
        <f>IF(F7686="",0,1)</f>
        <v/>
      </c>
      <c r="H7686" s="29">
        <f>IF(F7686="","",INDEX(Deals!$E$2:$E$843,F7686))</f>
        <v/>
      </c>
      <c r="I7686">
        <f>IF(F7686="","",INDEX(Deals!$D$2:$D$843,F7686))</f>
        <v/>
      </c>
      <c r="J7686">
        <f>IF(F7686="","",INT(H7686)-B7686)</f>
        <v/>
      </c>
      <c r="K7686">
        <f>IF(B7686&gt;=Settings!$C$5,1,0)</f>
        <v/>
      </c>
    </row>
    <row r="7687">
      <c r="A7687" t="inlineStr">
        <is>
          <t>7cc538b1337957dae283c30ad46def38</t>
        </is>
      </c>
      <c r="B7687" s="29" t="n">
        <v>43221</v>
      </c>
      <c r="C7687" t="inlineStr">
        <is>
          <t>2018-05</t>
        </is>
      </c>
      <c r="D7687" t="inlineStr">
        <is>
          <t>58326e62183c14b0c03085c33b9fdc44</t>
        </is>
      </c>
      <c r="E7687" t="inlineStr">
        <is>
          <t>(missing)</t>
        </is>
      </c>
      <c r="F7687">
        <f>IFERROR(MATCH(A7687,Deals!$A$2:$A$843,0),"")</f>
        <v/>
      </c>
      <c r="G7687">
        <f>IF(F7687="",0,1)</f>
        <v/>
      </c>
      <c r="H7687" s="29">
        <f>IF(F7687="","",INDEX(Deals!$E$2:$E$843,F7687))</f>
        <v/>
      </c>
      <c r="I7687">
        <f>IF(F7687="","",INDEX(Deals!$D$2:$D$843,F7687))</f>
        <v/>
      </c>
      <c r="J7687">
        <f>IF(F7687="","",INT(H7687)-B7687)</f>
        <v/>
      </c>
      <c r="K7687">
        <f>IF(B7687&gt;=Settings!$C$5,1,0)</f>
        <v/>
      </c>
    </row>
    <row r="7688">
      <c r="A7688" t="inlineStr">
        <is>
          <t>0b8a492f911a8150392301d2682c0f19</t>
        </is>
      </c>
      <c r="B7688" s="29" t="n">
        <v>43104</v>
      </c>
      <c r="C7688" t="inlineStr">
        <is>
          <t>2018-01</t>
        </is>
      </c>
      <c r="D7688" t="inlineStr">
        <is>
          <t>a7982125ff7aa3b2054c6e44f9d28522</t>
        </is>
      </c>
      <c r="E7688" t="inlineStr">
        <is>
          <t>organic_search</t>
        </is>
      </c>
      <c r="F7688">
        <f>IFERROR(MATCH(A7688,Deals!$A$2:$A$843,0),"")</f>
        <v/>
      </c>
      <c r="G7688">
        <f>IF(F7688="",0,1)</f>
        <v/>
      </c>
      <c r="H7688" s="29">
        <f>IF(F7688="","",INDEX(Deals!$E$2:$E$843,F7688))</f>
        <v/>
      </c>
      <c r="I7688">
        <f>IF(F7688="","",INDEX(Deals!$D$2:$D$843,F7688))</f>
        <v/>
      </c>
      <c r="J7688">
        <f>IF(F7688="","",INT(H7688)-B7688)</f>
        <v/>
      </c>
      <c r="K7688">
        <f>IF(B7688&gt;=Settings!$C$5,1,0)</f>
        <v/>
      </c>
    </row>
    <row r="7689">
      <c r="A7689" t="inlineStr">
        <is>
          <t>e6401fdedbe7b5eb6113a585d1502e73</t>
        </is>
      </c>
      <c r="B7689" s="29" t="n">
        <v>43145</v>
      </c>
      <c r="C7689" t="inlineStr">
        <is>
          <t>2018-02</t>
        </is>
      </c>
      <c r="D7689" t="inlineStr">
        <is>
          <t>40dec9f3d5259a3d2dbcdab2114fae47</t>
        </is>
      </c>
      <c r="E7689" t="inlineStr">
        <is>
          <t>paid_search</t>
        </is>
      </c>
      <c r="F7689">
        <f>IFERROR(MATCH(A7689,Deals!$A$2:$A$843,0),"")</f>
        <v/>
      </c>
      <c r="G7689">
        <f>IF(F7689="",0,1)</f>
        <v/>
      </c>
      <c r="H7689" s="29">
        <f>IF(F7689="","",INDEX(Deals!$E$2:$E$843,F7689))</f>
        <v/>
      </c>
      <c r="I7689">
        <f>IF(F7689="","",INDEX(Deals!$D$2:$D$843,F7689))</f>
        <v/>
      </c>
      <c r="J7689">
        <f>IF(F7689="","",INT(H7689)-B7689)</f>
        <v/>
      </c>
      <c r="K7689">
        <f>IF(B7689&gt;=Settings!$C$5,1,0)</f>
        <v/>
      </c>
    </row>
    <row r="7690">
      <c r="A7690" t="inlineStr">
        <is>
          <t>5330f5fa350679fb680ac438824048bd</t>
        </is>
      </c>
      <c r="B7690" s="29" t="n">
        <v>43003</v>
      </c>
      <c r="C7690" t="inlineStr">
        <is>
          <t>2017-09</t>
        </is>
      </c>
      <c r="D7690" t="inlineStr">
        <is>
          <t>8d912d37229efff168ceba5d640cc4a1</t>
        </is>
      </c>
      <c r="E7690" t="inlineStr">
        <is>
          <t>referral</t>
        </is>
      </c>
      <c r="F7690">
        <f>IFERROR(MATCH(A7690,Deals!$A$2:$A$843,0),"")</f>
        <v/>
      </c>
      <c r="G7690">
        <f>IF(F7690="",0,1)</f>
        <v/>
      </c>
      <c r="H7690" s="29">
        <f>IF(F7690="","",INDEX(Deals!$E$2:$E$843,F7690))</f>
        <v/>
      </c>
      <c r="I7690">
        <f>IF(F7690="","",INDEX(Deals!$D$2:$D$843,F7690))</f>
        <v/>
      </c>
      <c r="J7690">
        <f>IF(F7690="","",INT(H7690)-B7690)</f>
        <v/>
      </c>
      <c r="K7690">
        <f>IF(B7690&gt;=Settings!$C$5,1,0)</f>
        <v/>
      </c>
    </row>
    <row r="7691">
      <c r="A7691" t="inlineStr">
        <is>
          <t>d5cb61eef98bd237e41bc2225263f823</t>
        </is>
      </c>
      <c r="B7691" s="29" t="n">
        <v>43156</v>
      </c>
      <c r="C7691" t="inlineStr">
        <is>
          <t>2018-02</t>
        </is>
      </c>
      <c r="D7691" t="inlineStr">
        <is>
          <t>f017be4dbf86243af5c1ebed0cff36a2</t>
        </is>
      </c>
      <c r="E7691" t="inlineStr">
        <is>
          <t>paid_search</t>
        </is>
      </c>
      <c r="F7691">
        <f>IFERROR(MATCH(A7691,Deals!$A$2:$A$843,0),"")</f>
        <v/>
      </c>
      <c r="G7691">
        <f>IF(F7691="",0,1)</f>
        <v/>
      </c>
      <c r="H7691" s="29">
        <f>IF(F7691="","",INDEX(Deals!$E$2:$E$843,F7691))</f>
        <v/>
      </c>
      <c r="I7691">
        <f>IF(F7691="","",INDEX(Deals!$D$2:$D$843,F7691))</f>
        <v/>
      </c>
      <c r="J7691">
        <f>IF(F7691="","",INT(H7691)-B7691)</f>
        <v/>
      </c>
      <c r="K7691">
        <f>IF(B7691&gt;=Settings!$C$5,1,0)</f>
        <v/>
      </c>
    </row>
    <row r="7692">
      <c r="A7692" t="inlineStr">
        <is>
          <t>f21b26f488cbceca3df0d6e56972110c</t>
        </is>
      </c>
      <c r="B7692" s="29" t="n">
        <v>43200</v>
      </c>
      <c r="C7692" t="inlineStr">
        <is>
          <t>2018-04</t>
        </is>
      </c>
      <c r="D7692" t="inlineStr">
        <is>
          <t>f017be4dbf86243af5c1ebed0cff36a2</t>
        </is>
      </c>
      <c r="E7692" t="inlineStr">
        <is>
          <t>direct_traffic</t>
        </is>
      </c>
      <c r="F7692">
        <f>IFERROR(MATCH(A7692,Deals!$A$2:$A$843,0),"")</f>
        <v/>
      </c>
      <c r="G7692">
        <f>IF(F7692="",0,1)</f>
        <v/>
      </c>
      <c r="H7692" s="29">
        <f>IF(F7692="","",INDEX(Deals!$E$2:$E$843,F7692))</f>
        <v/>
      </c>
      <c r="I7692">
        <f>IF(F7692="","",INDEX(Deals!$D$2:$D$843,F7692))</f>
        <v/>
      </c>
      <c r="J7692">
        <f>IF(F7692="","",INT(H7692)-B7692)</f>
        <v/>
      </c>
      <c r="K7692">
        <f>IF(B7692&gt;=Settings!$C$5,1,0)</f>
        <v/>
      </c>
    </row>
    <row r="7693">
      <c r="A7693" t="inlineStr">
        <is>
          <t>d01ff946debcea49b8eac60c3413ddff</t>
        </is>
      </c>
      <c r="B7693" s="29" t="n">
        <v>43138</v>
      </c>
      <c r="C7693" t="inlineStr">
        <is>
          <t>2018-02</t>
        </is>
      </c>
      <c r="D7693" t="inlineStr">
        <is>
          <t>40dec9f3d5259a3d2dbcdab2114fae47</t>
        </is>
      </c>
      <c r="E7693" t="inlineStr">
        <is>
          <t>organic_search</t>
        </is>
      </c>
      <c r="F7693">
        <f>IFERROR(MATCH(A7693,Deals!$A$2:$A$843,0),"")</f>
        <v/>
      </c>
      <c r="G7693">
        <f>IF(F7693="",0,1)</f>
        <v/>
      </c>
      <c r="H7693" s="29">
        <f>IF(F7693="","",INDEX(Deals!$E$2:$E$843,F7693))</f>
        <v/>
      </c>
      <c r="I7693">
        <f>IF(F7693="","",INDEX(Deals!$D$2:$D$843,F7693))</f>
        <v/>
      </c>
      <c r="J7693">
        <f>IF(F7693="","",INT(H7693)-B7693)</f>
        <v/>
      </c>
      <c r="K7693">
        <f>IF(B7693&gt;=Settings!$C$5,1,0)</f>
        <v/>
      </c>
    </row>
    <row r="7694">
      <c r="A7694" t="inlineStr">
        <is>
          <t>af28a85a546aa0390db3d31fee2c6db4</t>
        </is>
      </c>
      <c r="B7694" s="29" t="n">
        <v>43132</v>
      </c>
      <c r="C7694" t="inlineStr">
        <is>
          <t>2018-02</t>
        </is>
      </c>
      <c r="D7694" t="inlineStr">
        <is>
          <t>73f31a40697cc90a86c1273563ac230e</t>
        </is>
      </c>
      <c r="E7694" t="inlineStr">
        <is>
          <t>other</t>
        </is>
      </c>
      <c r="F7694">
        <f>IFERROR(MATCH(A7694,Deals!$A$2:$A$843,0),"")</f>
        <v/>
      </c>
      <c r="G7694">
        <f>IF(F7694="",0,1)</f>
        <v/>
      </c>
      <c r="H7694" s="29">
        <f>IF(F7694="","",INDEX(Deals!$E$2:$E$843,F7694))</f>
        <v/>
      </c>
      <c r="I7694">
        <f>IF(F7694="","",INDEX(Deals!$D$2:$D$843,F7694))</f>
        <v/>
      </c>
      <c r="J7694">
        <f>IF(F7694="","",INT(H7694)-B7694)</f>
        <v/>
      </c>
      <c r="K7694">
        <f>IF(B7694&gt;=Settings!$C$5,1,0)</f>
        <v/>
      </c>
    </row>
    <row r="7695">
      <c r="A7695" t="inlineStr">
        <is>
          <t>6197642a2f218aa4cdc6af1ba8f213bf</t>
        </is>
      </c>
      <c r="B7695" s="29" t="n">
        <v>43195</v>
      </c>
      <c r="C7695" t="inlineStr">
        <is>
          <t>2018-04</t>
        </is>
      </c>
      <c r="D7695" t="inlineStr">
        <is>
          <t>22c29808c4f815213303f8933030604c</t>
        </is>
      </c>
      <c r="E7695" t="inlineStr">
        <is>
          <t>referral</t>
        </is>
      </c>
      <c r="F7695">
        <f>IFERROR(MATCH(A7695,Deals!$A$2:$A$843,0),"")</f>
        <v/>
      </c>
      <c r="G7695">
        <f>IF(F7695="",0,1)</f>
        <v/>
      </c>
      <c r="H7695" s="29">
        <f>IF(F7695="","",INDEX(Deals!$E$2:$E$843,F7695))</f>
        <v/>
      </c>
      <c r="I7695">
        <f>IF(F7695="","",INDEX(Deals!$D$2:$D$843,F7695))</f>
        <v/>
      </c>
      <c r="J7695">
        <f>IF(F7695="","",INT(H7695)-B7695)</f>
        <v/>
      </c>
      <c r="K7695">
        <f>IF(B7695&gt;=Settings!$C$5,1,0)</f>
        <v/>
      </c>
    </row>
    <row r="7696">
      <c r="A7696" t="inlineStr">
        <is>
          <t>9b9ccfbe805fb9ea06df2000df9d86c9</t>
        </is>
      </c>
      <c r="B7696" s="29" t="n">
        <v>43104</v>
      </c>
      <c r="C7696" t="inlineStr">
        <is>
          <t>2018-01</t>
        </is>
      </c>
      <c r="D7696" t="inlineStr">
        <is>
          <t>b6885f18d203a61176418c1fb3764815</t>
        </is>
      </c>
      <c r="E7696" t="inlineStr">
        <is>
          <t>unknown</t>
        </is>
      </c>
      <c r="F7696">
        <f>IFERROR(MATCH(A7696,Deals!$A$2:$A$843,0),"")</f>
        <v/>
      </c>
      <c r="G7696">
        <f>IF(F7696="",0,1)</f>
        <v/>
      </c>
      <c r="H7696" s="29">
        <f>IF(F7696="","",INDEX(Deals!$E$2:$E$843,F7696))</f>
        <v/>
      </c>
      <c r="I7696">
        <f>IF(F7696="","",INDEX(Deals!$D$2:$D$843,F7696))</f>
        <v/>
      </c>
      <c r="J7696">
        <f>IF(F7696="","",INT(H7696)-B7696)</f>
        <v/>
      </c>
      <c r="K7696">
        <f>IF(B7696&gt;=Settings!$C$5,1,0)</f>
        <v/>
      </c>
    </row>
    <row r="7697">
      <c r="A7697" t="inlineStr">
        <is>
          <t>9918961d312bbd91e66cc3d6dd0661e4</t>
        </is>
      </c>
      <c r="B7697" s="29" t="n">
        <v>43038</v>
      </c>
      <c r="C7697" t="inlineStr">
        <is>
          <t>2017-10</t>
        </is>
      </c>
      <c r="D7697" t="inlineStr">
        <is>
          <t>f98c2bd96ac4a5d9476734e790c91384</t>
        </is>
      </c>
      <c r="E7697" t="inlineStr">
        <is>
          <t>organic_search</t>
        </is>
      </c>
      <c r="F7697">
        <f>IFERROR(MATCH(A7697,Deals!$A$2:$A$843,0),"")</f>
        <v/>
      </c>
      <c r="G7697">
        <f>IF(F7697="",0,1)</f>
        <v/>
      </c>
      <c r="H7697" s="29">
        <f>IF(F7697="","",INDEX(Deals!$E$2:$E$843,F7697))</f>
        <v/>
      </c>
      <c r="I7697">
        <f>IF(F7697="","",INDEX(Deals!$D$2:$D$843,F7697))</f>
        <v/>
      </c>
      <c r="J7697">
        <f>IF(F7697="","",INT(H7697)-B7697)</f>
        <v/>
      </c>
      <c r="K7697">
        <f>IF(B7697&gt;=Settings!$C$5,1,0)</f>
        <v/>
      </c>
    </row>
    <row r="7698">
      <c r="A7698" t="inlineStr">
        <is>
          <t>41d727696cfe79387a8644bba00cd45e</t>
        </is>
      </c>
      <c r="B7698" s="29" t="n">
        <v>43201</v>
      </c>
      <c r="C7698" t="inlineStr">
        <is>
          <t>2018-04</t>
        </is>
      </c>
      <c r="D7698" t="inlineStr">
        <is>
          <t>aa6c941b72ed890d9c43511f94bafab2</t>
        </is>
      </c>
      <c r="E7698" t="inlineStr">
        <is>
          <t>email</t>
        </is>
      </c>
      <c r="F7698">
        <f>IFERROR(MATCH(A7698,Deals!$A$2:$A$843,0),"")</f>
        <v/>
      </c>
      <c r="G7698">
        <f>IF(F7698="",0,1)</f>
        <v/>
      </c>
      <c r="H7698" s="29">
        <f>IF(F7698="","",INDEX(Deals!$E$2:$E$843,F7698))</f>
        <v/>
      </c>
      <c r="I7698">
        <f>IF(F7698="","",INDEX(Deals!$D$2:$D$843,F7698))</f>
        <v/>
      </c>
      <c r="J7698">
        <f>IF(F7698="","",INT(H7698)-B7698)</f>
        <v/>
      </c>
      <c r="K7698">
        <f>IF(B7698&gt;=Settings!$C$5,1,0)</f>
        <v/>
      </c>
    </row>
    <row r="7699">
      <c r="A7699" t="inlineStr">
        <is>
          <t>2faee87e8295a785ed8bd638907b5852</t>
        </is>
      </c>
      <c r="B7699" s="29" t="n">
        <v>43172</v>
      </c>
      <c r="C7699" t="inlineStr">
        <is>
          <t>2018-03</t>
        </is>
      </c>
      <c r="D7699" t="inlineStr">
        <is>
          <t>daa9619c6f8ed06d059265dca0f9257f</t>
        </is>
      </c>
      <c r="E7699" t="inlineStr">
        <is>
          <t>unknown</t>
        </is>
      </c>
      <c r="F7699">
        <f>IFERROR(MATCH(A7699,Deals!$A$2:$A$843,0),"")</f>
        <v/>
      </c>
      <c r="G7699">
        <f>IF(F7699="",0,1)</f>
        <v/>
      </c>
      <c r="H7699" s="29">
        <f>IF(F7699="","",INDEX(Deals!$E$2:$E$843,F7699))</f>
        <v/>
      </c>
      <c r="I7699">
        <f>IF(F7699="","",INDEX(Deals!$D$2:$D$843,F7699))</f>
        <v/>
      </c>
      <c r="J7699">
        <f>IF(F7699="","",INT(H7699)-B7699)</f>
        <v/>
      </c>
      <c r="K7699">
        <f>IF(B7699&gt;=Settings!$C$5,1,0)</f>
        <v/>
      </c>
    </row>
    <row r="7700">
      <c r="A7700" t="inlineStr">
        <is>
          <t>c718e60757f35ef35e0a9040b0a3f2a1</t>
        </is>
      </c>
      <c r="B7700" s="29" t="n">
        <v>43123</v>
      </c>
      <c r="C7700" t="inlineStr">
        <is>
          <t>2018-01</t>
        </is>
      </c>
      <c r="D7700" t="inlineStr">
        <is>
          <t>0218f6be0b76aca72ab4d00ee9e8cf10</t>
        </is>
      </c>
      <c r="E7700" t="inlineStr">
        <is>
          <t>direct_traffic</t>
        </is>
      </c>
      <c r="F7700">
        <f>IFERROR(MATCH(A7700,Deals!$A$2:$A$843,0),"")</f>
        <v/>
      </c>
      <c r="G7700">
        <f>IF(F7700="",0,1)</f>
        <v/>
      </c>
      <c r="H7700" s="29">
        <f>IF(F7700="","",INDEX(Deals!$E$2:$E$843,F7700))</f>
        <v/>
      </c>
      <c r="I7700">
        <f>IF(F7700="","",INDEX(Deals!$D$2:$D$843,F7700))</f>
        <v/>
      </c>
      <c r="J7700">
        <f>IF(F7700="","",INT(H7700)-B7700)</f>
        <v/>
      </c>
      <c r="K7700">
        <f>IF(B7700&gt;=Settings!$C$5,1,0)</f>
        <v/>
      </c>
    </row>
    <row r="7701">
      <c r="A7701" t="inlineStr">
        <is>
          <t>5b88f3e86f89a892d7677fffad99c65f</t>
        </is>
      </c>
      <c r="B7701" s="29" t="n">
        <v>43159</v>
      </c>
      <c r="C7701" t="inlineStr">
        <is>
          <t>2018-02</t>
        </is>
      </c>
      <c r="D7701" t="inlineStr">
        <is>
          <t>b76ef37428e6799c421989521c0e5077</t>
        </is>
      </c>
      <c r="E7701" t="inlineStr">
        <is>
          <t>unknown</t>
        </is>
      </c>
      <c r="F7701">
        <f>IFERROR(MATCH(A7701,Deals!$A$2:$A$843,0),"")</f>
        <v/>
      </c>
      <c r="G7701">
        <f>IF(F7701="",0,1)</f>
        <v/>
      </c>
      <c r="H7701" s="29">
        <f>IF(F7701="","",INDEX(Deals!$E$2:$E$843,F7701))</f>
        <v/>
      </c>
      <c r="I7701">
        <f>IF(F7701="","",INDEX(Deals!$D$2:$D$843,F7701))</f>
        <v/>
      </c>
      <c r="J7701">
        <f>IF(F7701="","",INT(H7701)-B7701)</f>
        <v/>
      </c>
      <c r="K7701">
        <f>IF(B7701&gt;=Settings!$C$5,1,0)</f>
        <v/>
      </c>
    </row>
    <row r="7702">
      <c r="A7702" t="inlineStr">
        <is>
          <t>b14269d1ed541bba71d224891c0c1d07</t>
        </is>
      </c>
      <c r="B7702" s="29" t="n">
        <v>43208</v>
      </c>
      <c r="C7702" t="inlineStr">
        <is>
          <t>2018-04</t>
        </is>
      </c>
      <c r="D7702" t="inlineStr">
        <is>
          <t>9fa37f5177115156b1814ffc237402a6</t>
        </is>
      </c>
      <c r="E7702" t="inlineStr">
        <is>
          <t>paid_search</t>
        </is>
      </c>
      <c r="F7702">
        <f>IFERROR(MATCH(A7702,Deals!$A$2:$A$843,0),"")</f>
        <v/>
      </c>
      <c r="G7702">
        <f>IF(F7702="",0,1)</f>
        <v/>
      </c>
      <c r="H7702" s="29">
        <f>IF(F7702="","",INDEX(Deals!$E$2:$E$843,F7702))</f>
        <v/>
      </c>
      <c r="I7702">
        <f>IF(F7702="","",INDEX(Deals!$D$2:$D$843,F7702))</f>
        <v/>
      </c>
      <c r="J7702">
        <f>IF(F7702="","",INT(H7702)-B7702)</f>
        <v/>
      </c>
      <c r="K7702">
        <f>IF(B7702&gt;=Settings!$C$5,1,0)</f>
        <v/>
      </c>
    </row>
    <row r="7703">
      <c r="A7703" t="inlineStr">
        <is>
          <t>3d506847947985f1615169e670d9ec3d</t>
        </is>
      </c>
      <c r="B7703" s="29" t="n">
        <v>43145</v>
      </c>
      <c r="C7703" t="inlineStr">
        <is>
          <t>2018-02</t>
        </is>
      </c>
      <c r="D7703" t="inlineStr">
        <is>
          <t>22c29808c4f815213303f8933030604c</t>
        </is>
      </c>
      <c r="E7703" t="inlineStr">
        <is>
          <t>organic_search</t>
        </is>
      </c>
      <c r="F7703">
        <f>IFERROR(MATCH(A7703,Deals!$A$2:$A$843,0),"")</f>
        <v/>
      </c>
      <c r="G7703">
        <f>IF(F7703="",0,1)</f>
        <v/>
      </c>
      <c r="H7703" s="29">
        <f>IF(F7703="","",INDEX(Deals!$E$2:$E$843,F7703))</f>
        <v/>
      </c>
      <c r="I7703">
        <f>IF(F7703="","",INDEX(Deals!$D$2:$D$843,F7703))</f>
        <v/>
      </c>
      <c r="J7703">
        <f>IF(F7703="","",INT(H7703)-B7703)</f>
        <v/>
      </c>
      <c r="K7703">
        <f>IF(B7703&gt;=Settings!$C$5,1,0)</f>
        <v/>
      </c>
    </row>
    <row r="7704">
      <c r="A7704" t="inlineStr">
        <is>
          <t>0f7ed2f93b7fca39a181ccd93607aaa1</t>
        </is>
      </c>
      <c r="B7704" s="29" t="n">
        <v>43243</v>
      </c>
      <c r="C7704" t="inlineStr">
        <is>
          <t>2018-05</t>
        </is>
      </c>
      <c r="D7704" t="inlineStr">
        <is>
          <t>e492ee5eaf1697716985cc6f33f9cd9b</t>
        </is>
      </c>
      <c r="E7704" t="inlineStr">
        <is>
          <t>organic_search</t>
        </is>
      </c>
      <c r="F7704">
        <f>IFERROR(MATCH(A7704,Deals!$A$2:$A$843,0),"")</f>
        <v/>
      </c>
      <c r="G7704">
        <f>IF(F7704="",0,1)</f>
        <v/>
      </c>
      <c r="H7704" s="29">
        <f>IF(F7704="","",INDEX(Deals!$E$2:$E$843,F7704))</f>
        <v/>
      </c>
      <c r="I7704">
        <f>IF(F7704="","",INDEX(Deals!$D$2:$D$843,F7704))</f>
        <v/>
      </c>
      <c r="J7704">
        <f>IF(F7704="","",INT(H7704)-B7704)</f>
        <v/>
      </c>
      <c r="K7704">
        <f>IF(B7704&gt;=Settings!$C$5,1,0)</f>
        <v/>
      </c>
    </row>
    <row r="7705">
      <c r="A7705" t="inlineStr">
        <is>
          <t>f4f0db416cc2e7a1fe919311127e9ece</t>
        </is>
      </c>
      <c r="B7705" s="29" t="n">
        <v>43104</v>
      </c>
      <c r="C7705" t="inlineStr">
        <is>
          <t>2018-01</t>
        </is>
      </c>
      <c r="D7705" t="inlineStr">
        <is>
          <t>0f7f8ed9a1db8fc2a42e273972db10d4</t>
        </is>
      </c>
      <c r="E7705" t="inlineStr">
        <is>
          <t>paid_search</t>
        </is>
      </c>
      <c r="F7705">
        <f>IFERROR(MATCH(A7705,Deals!$A$2:$A$843,0),"")</f>
        <v/>
      </c>
      <c r="G7705">
        <f>IF(F7705="",0,1)</f>
        <v/>
      </c>
      <c r="H7705" s="29">
        <f>IF(F7705="","",INDEX(Deals!$E$2:$E$843,F7705))</f>
        <v/>
      </c>
      <c r="I7705">
        <f>IF(F7705="","",INDEX(Deals!$D$2:$D$843,F7705))</f>
        <v/>
      </c>
      <c r="J7705">
        <f>IF(F7705="","",INT(H7705)-B7705)</f>
        <v/>
      </c>
      <c r="K7705">
        <f>IF(B7705&gt;=Settings!$C$5,1,0)</f>
        <v/>
      </c>
    </row>
    <row r="7706">
      <c r="A7706" t="inlineStr">
        <is>
          <t>1910b507e88a983ce6245c6a8ac53c09</t>
        </is>
      </c>
      <c r="B7706" s="29" t="n">
        <v>43104</v>
      </c>
      <c r="C7706" t="inlineStr">
        <is>
          <t>2018-01</t>
        </is>
      </c>
      <c r="D7706" t="inlineStr">
        <is>
          <t>b76ef37428e6799c421989521c0e5077</t>
        </is>
      </c>
      <c r="E7706" t="inlineStr">
        <is>
          <t>unknown</t>
        </is>
      </c>
      <c r="F7706">
        <f>IFERROR(MATCH(A7706,Deals!$A$2:$A$843,0),"")</f>
        <v/>
      </c>
      <c r="G7706">
        <f>IF(F7706="",0,1)</f>
        <v/>
      </c>
      <c r="H7706" s="29">
        <f>IF(F7706="","",INDEX(Deals!$E$2:$E$843,F7706))</f>
        <v/>
      </c>
      <c r="I7706">
        <f>IF(F7706="","",INDEX(Deals!$D$2:$D$843,F7706))</f>
        <v/>
      </c>
      <c r="J7706">
        <f>IF(F7706="","",INT(H7706)-B7706)</f>
        <v/>
      </c>
      <c r="K7706">
        <f>IF(B7706&gt;=Settings!$C$5,1,0)</f>
        <v/>
      </c>
    </row>
    <row r="7707">
      <c r="A7707" t="inlineStr">
        <is>
          <t>3e76e57fbbbb23dc59e6445191203a3f</t>
        </is>
      </c>
      <c r="B7707" s="29" t="n">
        <v>43230</v>
      </c>
      <c r="C7707" t="inlineStr">
        <is>
          <t>2018-05</t>
        </is>
      </c>
      <c r="D7707" t="inlineStr">
        <is>
          <t>cb049134a163b197ad8f8df03af26d63</t>
        </is>
      </c>
      <c r="E7707" t="inlineStr">
        <is>
          <t>social</t>
        </is>
      </c>
      <c r="F7707">
        <f>IFERROR(MATCH(A7707,Deals!$A$2:$A$843,0),"")</f>
        <v/>
      </c>
      <c r="G7707">
        <f>IF(F7707="",0,1)</f>
        <v/>
      </c>
      <c r="H7707" s="29">
        <f>IF(F7707="","",INDEX(Deals!$E$2:$E$843,F7707))</f>
        <v/>
      </c>
      <c r="I7707">
        <f>IF(F7707="","",INDEX(Deals!$D$2:$D$843,F7707))</f>
        <v/>
      </c>
      <c r="J7707">
        <f>IF(F7707="","",INT(H7707)-B7707)</f>
        <v/>
      </c>
      <c r="K7707">
        <f>IF(B7707&gt;=Settings!$C$5,1,0)</f>
        <v/>
      </c>
    </row>
    <row r="7708">
      <c r="A7708" t="inlineStr">
        <is>
          <t>9c2bfd97ce00ce9553bdc0f34c3532b6</t>
        </is>
      </c>
      <c r="B7708" s="29" t="n">
        <v>43243</v>
      </c>
      <c r="C7708" t="inlineStr">
        <is>
          <t>2018-05</t>
        </is>
      </c>
      <c r="D7708" t="inlineStr">
        <is>
          <t>1ceb590cd1e00c7ee95220971f82693d</t>
        </is>
      </c>
      <c r="E7708" t="inlineStr">
        <is>
          <t>paid_search</t>
        </is>
      </c>
      <c r="F7708">
        <f>IFERROR(MATCH(A7708,Deals!$A$2:$A$843,0),"")</f>
        <v/>
      </c>
      <c r="G7708">
        <f>IF(F7708="",0,1)</f>
        <v/>
      </c>
      <c r="H7708" s="29">
        <f>IF(F7708="","",INDEX(Deals!$E$2:$E$843,F7708))</f>
        <v/>
      </c>
      <c r="I7708">
        <f>IF(F7708="","",INDEX(Deals!$D$2:$D$843,F7708))</f>
        <v/>
      </c>
      <c r="J7708">
        <f>IF(F7708="","",INT(H7708)-B7708)</f>
        <v/>
      </c>
      <c r="K7708">
        <f>IF(B7708&gt;=Settings!$C$5,1,0)</f>
        <v/>
      </c>
    </row>
    <row r="7709">
      <c r="A7709" t="inlineStr">
        <is>
          <t>380cbada0c579524d75d048afda52b77</t>
        </is>
      </c>
      <c r="B7709" s="29" t="n">
        <v>43177</v>
      </c>
      <c r="C7709" t="inlineStr">
        <is>
          <t>2018-03</t>
        </is>
      </c>
      <c r="D7709" t="inlineStr">
        <is>
          <t>330b9d44078a1ae5a221d655dcb77afa</t>
        </is>
      </c>
      <c r="E7709" t="inlineStr">
        <is>
          <t>email</t>
        </is>
      </c>
      <c r="F7709">
        <f>IFERROR(MATCH(A7709,Deals!$A$2:$A$843,0),"")</f>
        <v/>
      </c>
      <c r="G7709">
        <f>IF(F7709="",0,1)</f>
        <v/>
      </c>
      <c r="H7709" s="29">
        <f>IF(F7709="","",INDEX(Deals!$E$2:$E$843,F7709))</f>
        <v/>
      </c>
      <c r="I7709">
        <f>IF(F7709="","",INDEX(Deals!$D$2:$D$843,F7709))</f>
        <v/>
      </c>
      <c r="J7709">
        <f>IF(F7709="","",INT(H7709)-B7709)</f>
        <v/>
      </c>
      <c r="K7709">
        <f>IF(B7709&gt;=Settings!$C$5,1,0)</f>
        <v/>
      </c>
    </row>
    <row r="7710">
      <c r="A7710" t="inlineStr">
        <is>
          <t>f3ef4cfeab43e65e8a071821a2e70522</t>
        </is>
      </c>
      <c r="B7710" s="29" t="n">
        <v>43189</v>
      </c>
      <c r="C7710" t="inlineStr">
        <is>
          <t>2018-03</t>
        </is>
      </c>
      <c r="D7710" t="inlineStr">
        <is>
          <t>a77dcf0bf420ced5e37baae9b5daffa4</t>
        </is>
      </c>
      <c r="E7710" t="inlineStr">
        <is>
          <t>social</t>
        </is>
      </c>
      <c r="F7710">
        <f>IFERROR(MATCH(A7710,Deals!$A$2:$A$843,0),"")</f>
        <v/>
      </c>
      <c r="G7710">
        <f>IF(F7710="",0,1)</f>
        <v/>
      </c>
      <c r="H7710" s="29">
        <f>IF(F7710="","",INDEX(Deals!$E$2:$E$843,F7710))</f>
        <v/>
      </c>
      <c r="I7710">
        <f>IF(F7710="","",INDEX(Deals!$D$2:$D$843,F7710))</f>
        <v/>
      </c>
      <c r="J7710">
        <f>IF(F7710="","",INT(H7710)-B7710)</f>
        <v/>
      </c>
      <c r="K7710">
        <f>IF(B7710&gt;=Settings!$C$5,1,0)</f>
        <v/>
      </c>
    </row>
    <row r="7711">
      <c r="A7711" t="inlineStr">
        <is>
          <t>3327d2a42b3c91cf73eaef07f32e80b6</t>
        </is>
      </c>
      <c r="B7711" s="29" t="n">
        <v>43224</v>
      </c>
      <c r="C7711" t="inlineStr">
        <is>
          <t>2018-05</t>
        </is>
      </c>
      <c r="D7711" t="inlineStr">
        <is>
          <t>36120633c8737035fbabf079082f4ec1</t>
        </is>
      </c>
      <c r="E7711" t="inlineStr">
        <is>
          <t>paid_search</t>
        </is>
      </c>
      <c r="F7711">
        <f>IFERROR(MATCH(A7711,Deals!$A$2:$A$843,0),"")</f>
        <v/>
      </c>
      <c r="G7711">
        <f>IF(F7711="",0,1)</f>
        <v/>
      </c>
      <c r="H7711" s="29">
        <f>IF(F7711="","",INDEX(Deals!$E$2:$E$843,F7711))</f>
        <v/>
      </c>
      <c r="I7711">
        <f>IF(F7711="","",INDEX(Deals!$D$2:$D$843,F7711))</f>
        <v/>
      </c>
      <c r="J7711">
        <f>IF(F7711="","",INT(H7711)-B7711)</f>
        <v/>
      </c>
      <c r="K7711">
        <f>IF(B7711&gt;=Settings!$C$5,1,0)</f>
        <v/>
      </c>
    </row>
    <row r="7712">
      <c r="A7712" t="inlineStr">
        <is>
          <t>6c1f11f779599fe6d280c41d644ed43b</t>
        </is>
      </c>
      <c r="B7712" s="29" t="n">
        <v>43171</v>
      </c>
      <c r="C7712" t="inlineStr">
        <is>
          <t>2018-03</t>
        </is>
      </c>
      <c r="D7712" t="inlineStr">
        <is>
          <t>6b6c0934205e87702519d1cce24055f9</t>
        </is>
      </c>
      <c r="E7712" t="inlineStr">
        <is>
          <t>(missing)</t>
        </is>
      </c>
      <c r="F7712">
        <f>IFERROR(MATCH(A7712,Deals!$A$2:$A$843,0),"")</f>
        <v/>
      </c>
      <c r="G7712">
        <f>IF(F7712="",0,1)</f>
        <v/>
      </c>
      <c r="H7712" s="29">
        <f>IF(F7712="","",INDEX(Deals!$E$2:$E$843,F7712))</f>
        <v/>
      </c>
      <c r="I7712">
        <f>IF(F7712="","",INDEX(Deals!$D$2:$D$843,F7712))</f>
        <v/>
      </c>
      <c r="J7712">
        <f>IF(F7712="","",INT(H7712)-B7712)</f>
        <v/>
      </c>
      <c r="K7712">
        <f>IF(B7712&gt;=Settings!$C$5,1,0)</f>
        <v/>
      </c>
    </row>
    <row r="7713">
      <c r="A7713" t="inlineStr">
        <is>
          <t>cbf58b1eaf9036896b5f53f8769f2b6c</t>
        </is>
      </c>
      <c r="B7713" s="29" t="n">
        <v>43067</v>
      </c>
      <c r="C7713" t="inlineStr">
        <is>
          <t>2017-11</t>
        </is>
      </c>
      <c r="D7713" t="inlineStr">
        <is>
          <t>ce1a65abd0973638f1c887a6efcfa82d</t>
        </is>
      </c>
      <c r="E7713" t="inlineStr">
        <is>
          <t>organic_search</t>
        </is>
      </c>
      <c r="F7713">
        <f>IFERROR(MATCH(A7713,Deals!$A$2:$A$843,0),"")</f>
        <v/>
      </c>
      <c r="G7713">
        <f>IF(F7713="",0,1)</f>
        <v/>
      </c>
      <c r="H7713" s="29">
        <f>IF(F7713="","",INDEX(Deals!$E$2:$E$843,F7713))</f>
        <v/>
      </c>
      <c r="I7713">
        <f>IF(F7713="","",INDEX(Deals!$D$2:$D$843,F7713))</f>
        <v/>
      </c>
      <c r="J7713">
        <f>IF(F7713="","",INT(H7713)-B7713)</f>
        <v/>
      </c>
      <c r="K7713">
        <f>IF(B7713&gt;=Settings!$C$5,1,0)</f>
        <v/>
      </c>
    </row>
    <row r="7714">
      <c r="A7714" t="inlineStr">
        <is>
          <t>1960f728c26175c4b3ccfac49a2679cf</t>
        </is>
      </c>
      <c r="B7714" s="29" t="n">
        <v>43167</v>
      </c>
      <c r="C7714" t="inlineStr">
        <is>
          <t>2018-03</t>
        </is>
      </c>
      <c r="D7714" t="inlineStr">
        <is>
          <t>40dec9f3d5259a3d2dbcdab2114fae47</t>
        </is>
      </c>
      <c r="E7714" t="inlineStr">
        <is>
          <t>paid_search</t>
        </is>
      </c>
      <c r="F7714">
        <f>IFERROR(MATCH(A7714,Deals!$A$2:$A$843,0),"")</f>
        <v/>
      </c>
      <c r="G7714">
        <f>IF(F7714="",0,1)</f>
        <v/>
      </c>
      <c r="H7714" s="29">
        <f>IF(F7714="","",INDEX(Deals!$E$2:$E$843,F7714))</f>
        <v/>
      </c>
      <c r="I7714">
        <f>IF(F7714="","",INDEX(Deals!$D$2:$D$843,F7714))</f>
        <v/>
      </c>
      <c r="J7714">
        <f>IF(F7714="","",INT(H7714)-B7714)</f>
        <v/>
      </c>
      <c r="K7714">
        <f>IF(B7714&gt;=Settings!$C$5,1,0)</f>
        <v/>
      </c>
    </row>
    <row r="7715">
      <c r="A7715" t="inlineStr">
        <is>
          <t>3223fed48f30bbdc0f6040b466516bcb</t>
        </is>
      </c>
      <c r="B7715" s="29" t="n">
        <v>43111</v>
      </c>
      <c r="C7715" t="inlineStr">
        <is>
          <t>2018-01</t>
        </is>
      </c>
      <c r="D7715" t="inlineStr">
        <is>
          <t>b76ef37428e6799c421989521c0e5077</t>
        </is>
      </c>
      <c r="E7715" t="inlineStr">
        <is>
          <t>unknown</t>
        </is>
      </c>
      <c r="F7715">
        <f>IFERROR(MATCH(A7715,Deals!$A$2:$A$843,0),"")</f>
        <v/>
      </c>
      <c r="G7715">
        <f>IF(F7715="",0,1)</f>
        <v/>
      </c>
      <c r="H7715" s="29">
        <f>IF(F7715="","",INDEX(Deals!$E$2:$E$843,F7715))</f>
        <v/>
      </c>
      <c r="I7715">
        <f>IF(F7715="","",INDEX(Deals!$D$2:$D$843,F7715))</f>
        <v/>
      </c>
      <c r="J7715">
        <f>IF(F7715="","",INT(H7715)-B7715)</f>
        <v/>
      </c>
      <c r="K7715">
        <f>IF(B7715&gt;=Settings!$C$5,1,0)</f>
        <v/>
      </c>
    </row>
    <row r="7716">
      <c r="A7716" t="inlineStr">
        <is>
          <t>60438b39047b64189d7cc0a6f7dd5df8</t>
        </is>
      </c>
      <c r="B7716" s="29" t="n">
        <v>43240</v>
      </c>
      <c r="C7716" t="inlineStr">
        <is>
          <t>2018-05</t>
        </is>
      </c>
      <c r="D7716" t="inlineStr">
        <is>
          <t>c2fbb52ea85264169ad5109ee7775d06</t>
        </is>
      </c>
      <c r="E7716" t="inlineStr">
        <is>
          <t>direct_traffic</t>
        </is>
      </c>
      <c r="F7716">
        <f>IFERROR(MATCH(A7716,Deals!$A$2:$A$843,0),"")</f>
        <v/>
      </c>
      <c r="G7716">
        <f>IF(F7716="",0,1)</f>
        <v/>
      </c>
      <c r="H7716" s="29">
        <f>IF(F7716="","",INDEX(Deals!$E$2:$E$843,F7716))</f>
        <v/>
      </c>
      <c r="I7716">
        <f>IF(F7716="","",INDEX(Deals!$D$2:$D$843,F7716))</f>
        <v/>
      </c>
      <c r="J7716">
        <f>IF(F7716="","",INT(H7716)-B7716)</f>
        <v/>
      </c>
      <c r="K7716">
        <f>IF(B7716&gt;=Settings!$C$5,1,0)</f>
        <v/>
      </c>
    </row>
    <row r="7717">
      <c r="A7717" t="inlineStr">
        <is>
          <t>e2d05fe61187d1bc4928a253d09f087e</t>
        </is>
      </c>
      <c r="B7717" s="29" t="n">
        <v>43122</v>
      </c>
      <c r="C7717" t="inlineStr">
        <is>
          <t>2018-01</t>
        </is>
      </c>
      <c r="D7717" t="inlineStr">
        <is>
          <t>733adfe409c752b5c200bf23fa2f22d0</t>
        </is>
      </c>
      <c r="E7717" t="inlineStr">
        <is>
          <t>paid_search</t>
        </is>
      </c>
      <c r="F7717">
        <f>IFERROR(MATCH(A7717,Deals!$A$2:$A$843,0),"")</f>
        <v/>
      </c>
      <c r="G7717">
        <f>IF(F7717="",0,1)</f>
        <v/>
      </c>
      <c r="H7717" s="29">
        <f>IF(F7717="","",INDEX(Deals!$E$2:$E$843,F7717))</f>
        <v/>
      </c>
      <c r="I7717">
        <f>IF(F7717="","",INDEX(Deals!$D$2:$D$843,F7717))</f>
        <v/>
      </c>
      <c r="J7717">
        <f>IF(F7717="","",INT(H7717)-B7717)</f>
        <v/>
      </c>
      <c r="K7717">
        <f>IF(B7717&gt;=Settings!$C$5,1,0)</f>
        <v/>
      </c>
    </row>
    <row r="7718">
      <c r="A7718" t="inlineStr">
        <is>
          <t>e8a0ec28fc4273aa546f3abb6a3c24d9</t>
        </is>
      </c>
      <c r="B7718" s="29" t="n">
        <v>43218</v>
      </c>
      <c r="C7718" t="inlineStr">
        <is>
          <t>2018-04</t>
        </is>
      </c>
      <c r="D7718" t="inlineStr">
        <is>
          <t>58326e62183c14b0c03085c33b9fdc44</t>
        </is>
      </c>
      <c r="E7718" t="inlineStr">
        <is>
          <t>social</t>
        </is>
      </c>
      <c r="F7718">
        <f>IFERROR(MATCH(A7718,Deals!$A$2:$A$843,0),"")</f>
        <v/>
      </c>
      <c r="G7718">
        <f>IF(F7718="",0,1)</f>
        <v/>
      </c>
      <c r="H7718" s="29">
        <f>IF(F7718="","",INDEX(Deals!$E$2:$E$843,F7718))</f>
        <v/>
      </c>
      <c r="I7718">
        <f>IF(F7718="","",INDEX(Deals!$D$2:$D$843,F7718))</f>
        <v/>
      </c>
      <c r="J7718">
        <f>IF(F7718="","",INT(H7718)-B7718)</f>
        <v/>
      </c>
      <c r="K7718">
        <f>IF(B7718&gt;=Settings!$C$5,1,0)</f>
        <v/>
      </c>
    </row>
    <row r="7719">
      <c r="A7719" t="inlineStr">
        <is>
          <t>4b650319cca0b2d0480d58b5c6451a28</t>
        </is>
      </c>
      <c r="B7719" s="29" t="n">
        <v>43195</v>
      </c>
      <c r="C7719" t="inlineStr">
        <is>
          <t>2018-04</t>
        </is>
      </c>
      <c r="D7719" t="inlineStr">
        <is>
          <t>40dec9f3d5259a3d2dbcdab2114fae47</t>
        </is>
      </c>
      <c r="E7719" t="inlineStr">
        <is>
          <t>paid_search</t>
        </is>
      </c>
      <c r="F7719">
        <f>IFERROR(MATCH(A7719,Deals!$A$2:$A$843,0),"")</f>
        <v/>
      </c>
      <c r="G7719">
        <f>IF(F7719="",0,1)</f>
        <v/>
      </c>
      <c r="H7719" s="29">
        <f>IF(F7719="","",INDEX(Deals!$E$2:$E$843,F7719))</f>
        <v/>
      </c>
      <c r="I7719">
        <f>IF(F7719="","",INDEX(Deals!$D$2:$D$843,F7719))</f>
        <v/>
      </c>
      <c r="J7719">
        <f>IF(F7719="","",INT(H7719)-B7719)</f>
        <v/>
      </c>
      <c r="K7719">
        <f>IF(B7719&gt;=Settings!$C$5,1,0)</f>
        <v/>
      </c>
    </row>
    <row r="7720">
      <c r="A7720" t="inlineStr">
        <is>
          <t>68af34529bb4ab8575457d9e16801849</t>
        </is>
      </c>
      <c r="B7720" s="29" t="n">
        <v>43027</v>
      </c>
      <c r="C7720" t="inlineStr">
        <is>
          <t>2017-10</t>
        </is>
      </c>
      <c r="D7720" t="inlineStr">
        <is>
          <t>88740e65d5d6b056e0cda098e1ea6313</t>
        </is>
      </c>
      <c r="E7720" t="inlineStr">
        <is>
          <t>organic_search</t>
        </is>
      </c>
      <c r="F7720">
        <f>IFERROR(MATCH(A7720,Deals!$A$2:$A$843,0),"")</f>
        <v/>
      </c>
      <c r="G7720">
        <f>IF(F7720="",0,1)</f>
        <v/>
      </c>
      <c r="H7720" s="29">
        <f>IF(F7720="","",INDEX(Deals!$E$2:$E$843,F7720))</f>
        <v/>
      </c>
      <c r="I7720">
        <f>IF(F7720="","",INDEX(Deals!$D$2:$D$843,F7720))</f>
        <v/>
      </c>
      <c r="J7720">
        <f>IF(F7720="","",INT(H7720)-B7720)</f>
        <v/>
      </c>
      <c r="K7720">
        <f>IF(B7720&gt;=Settings!$C$5,1,0)</f>
        <v/>
      </c>
    </row>
    <row r="7721">
      <c r="A7721" t="inlineStr">
        <is>
          <t>ae6272b0342a76d5a6ba771b94ac048c</t>
        </is>
      </c>
      <c r="B7721" s="29" t="n">
        <v>43199</v>
      </c>
      <c r="C7721" t="inlineStr">
        <is>
          <t>2018-04</t>
        </is>
      </c>
      <c r="D7721" t="inlineStr">
        <is>
          <t>120ad10683075526ee1b3b00489dafec</t>
        </is>
      </c>
      <c r="E7721" t="inlineStr">
        <is>
          <t>paid_search</t>
        </is>
      </c>
      <c r="F7721">
        <f>IFERROR(MATCH(A7721,Deals!$A$2:$A$843,0),"")</f>
        <v/>
      </c>
      <c r="G7721">
        <f>IF(F7721="",0,1)</f>
        <v/>
      </c>
      <c r="H7721" s="29">
        <f>IF(F7721="","",INDEX(Deals!$E$2:$E$843,F7721))</f>
        <v/>
      </c>
      <c r="I7721">
        <f>IF(F7721="","",INDEX(Deals!$D$2:$D$843,F7721))</f>
        <v/>
      </c>
      <c r="J7721">
        <f>IF(F7721="","",INT(H7721)-B7721)</f>
        <v/>
      </c>
      <c r="K7721">
        <f>IF(B7721&gt;=Settings!$C$5,1,0)</f>
        <v/>
      </c>
    </row>
    <row r="7722">
      <c r="A7722" t="inlineStr">
        <is>
          <t>5f2397a240ce3565d4d3b82b0db2fc65</t>
        </is>
      </c>
      <c r="B7722" s="29" t="n">
        <v>42975</v>
      </c>
      <c r="C7722" t="inlineStr">
        <is>
          <t>2017-08</t>
        </is>
      </c>
      <c r="D7722" t="inlineStr">
        <is>
          <t>22c29808c4f815213303f8933030604c</t>
        </is>
      </c>
      <c r="E7722" t="inlineStr">
        <is>
          <t>direct_traffic</t>
        </is>
      </c>
      <c r="F7722">
        <f>IFERROR(MATCH(A7722,Deals!$A$2:$A$843,0),"")</f>
        <v/>
      </c>
      <c r="G7722">
        <f>IF(F7722="",0,1)</f>
        <v/>
      </c>
      <c r="H7722" s="29">
        <f>IF(F7722="","",INDEX(Deals!$E$2:$E$843,F7722))</f>
        <v/>
      </c>
      <c r="I7722">
        <f>IF(F7722="","",INDEX(Deals!$D$2:$D$843,F7722))</f>
        <v/>
      </c>
      <c r="J7722">
        <f>IF(F7722="","",INT(H7722)-B7722)</f>
        <v/>
      </c>
      <c r="K7722">
        <f>IF(B7722&gt;=Settings!$C$5,1,0)</f>
        <v/>
      </c>
    </row>
    <row r="7723">
      <c r="A7723" t="inlineStr">
        <is>
          <t>d4db78e389387c2d6f0b5404cbc61fc5</t>
        </is>
      </c>
      <c r="B7723" s="29" t="n">
        <v>43192</v>
      </c>
      <c r="C7723" t="inlineStr">
        <is>
          <t>2018-04</t>
        </is>
      </c>
      <c r="D7723" t="inlineStr">
        <is>
          <t>58326e62183c14b0c03085c33b9fdc44</t>
        </is>
      </c>
      <c r="E7723" t="inlineStr">
        <is>
          <t>social</t>
        </is>
      </c>
      <c r="F7723">
        <f>IFERROR(MATCH(A7723,Deals!$A$2:$A$843,0),"")</f>
        <v/>
      </c>
      <c r="G7723">
        <f>IF(F7723="",0,1)</f>
        <v/>
      </c>
      <c r="H7723" s="29">
        <f>IF(F7723="","",INDEX(Deals!$E$2:$E$843,F7723))</f>
        <v/>
      </c>
      <c r="I7723">
        <f>IF(F7723="","",INDEX(Deals!$D$2:$D$843,F7723))</f>
        <v/>
      </c>
      <c r="J7723">
        <f>IF(F7723="","",INT(H7723)-B7723)</f>
        <v/>
      </c>
      <c r="K7723">
        <f>IF(B7723&gt;=Settings!$C$5,1,0)</f>
        <v/>
      </c>
    </row>
    <row r="7724">
      <c r="A7724" t="inlineStr">
        <is>
          <t>32df267df52b7749c84e7e6321c1378b</t>
        </is>
      </c>
      <c r="B7724" s="29" t="n">
        <v>43160</v>
      </c>
      <c r="C7724" t="inlineStr">
        <is>
          <t>2018-03</t>
        </is>
      </c>
      <c r="D7724" t="inlineStr">
        <is>
          <t>1d4ddc25ccaa2adeded340b6eda66182</t>
        </is>
      </c>
      <c r="E7724" t="inlineStr">
        <is>
          <t>direct_traffic</t>
        </is>
      </c>
      <c r="F7724">
        <f>IFERROR(MATCH(A7724,Deals!$A$2:$A$843,0),"")</f>
        <v/>
      </c>
      <c r="G7724">
        <f>IF(F7724="",0,1)</f>
        <v/>
      </c>
      <c r="H7724" s="29">
        <f>IF(F7724="","",INDEX(Deals!$E$2:$E$843,F7724))</f>
        <v/>
      </c>
      <c r="I7724">
        <f>IF(F7724="","",INDEX(Deals!$D$2:$D$843,F7724))</f>
        <v/>
      </c>
      <c r="J7724">
        <f>IF(F7724="","",INT(H7724)-B7724)</f>
        <v/>
      </c>
      <c r="K7724">
        <f>IF(B7724&gt;=Settings!$C$5,1,0)</f>
        <v/>
      </c>
    </row>
    <row r="7725">
      <c r="A7725" t="inlineStr">
        <is>
          <t>b45e759c405f0c30ca3b26dbae3f0424</t>
        </is>
      </c>
      <c r="B7725" s="29" t="n">
        <v>43129</v>
      </c>
      <c r="C7725" t="inlineStr">
        <is>
          <t>2018-01</t>
        </is>
      </c>
      <c r="D7725" t="inlineStr">
        <is>
          <t>241f79c7a8fe0270f4fb79fcbbcd17ad</t>
        </is>
      </c>
      <c r="E7725" t="inlineStr">
        <is>
          <t>paid_search</t>
        </is>
      </c>
      <c r="F7725">
        <f>IFERROR(MATCH(A7725,Deals!$A$2:$A$843,0),"")</f>
        <v/>
      </c>
      <c r="G7725">
        <f>IF(F7725="",0,1)</f>
        <v/>
      </c>
      <c r="H7725" s="29">
        <f>IF(F7725="","",INDEX(Deals!$E$2:$E$843,F7725))</f>
        <v/>
      </c>
      <c r="I7725">
        <f>IF(F7725="","",INDEX(Deals!$D$2:$D$843,F7725))</f>
        <v/>
      </c>
      <c r="J7725">
        <f>IF(F7725="","",INT(H7725)-B7725)</f>
        <v/>
      </c>
      <c r="K7725">
        <f>IF(B7725&gt;=Settings!$C$5,1,0)</f>
        <v/>
      </c>
    </row>
    <row r="7726">
      <c r="A7726" t="inlineStr">
        <is>
          <t>74a190a673b9880b825416fd36a44eb3</t>
        </is>
      </c>
      <c r="B7726" s="29" t="n">
        <v>42995</v>
      </c>
      <c r="C7726" t="inlineStr">
        <is>
          <t>2017-09</t>
        </is>
      </c>
      <c r="D7726" t="inlineStr">
        <is>
          <t>22c29808c4f815213303f8933030604c</t>
        </is>
      </c>
      <c r="E7726" t="inlineStr">
        <is>
          <t>direct_traffic</t>
        </is>
      </c>
      <c r="F7726">
        <f>IFERROR(MATCH(A7726,Deals!$A$2:$A$843,0),"")</f>
        <v/>
      </c>
      <c r="G7726">
        <f>IF(F7726="",0,1)</f>
        <v/>
      </c>
      <c r="H7726" s="29">
        <f>IF(F7726="","",INDEX(Deals!$E$2:$E$843,F7726))</f>
        <v/>
      </c>
      <c r="I7726">
        <f>IF(F7726="","",INDEX(Deals!$D$2:$D$843,F7726))</f>
        <v/>
      </c>
      <c r="J7726">
        <f>IF(F7726="","",INT(H7726)-B7726)</f>
        <v/>
      </c>
      <c r="K7726">
        <f>IF(B7726&gt;=Settings!$C$5,1,0)</f>
        <v/>
      </c>
    </row>
    <row r="7727">
      <c r="A7727" t="inlineStr">
        <is>
          <t>017326cd529b9126139a294e682c0495</t>
        </is>
      </c>
      <c r="B7727" s="29" t="n">
        <v>43157</v>
      </c>
      <c r="C7727" t="inlineStr">
        <is>
          <t>2018-02</t>
        </is>
      </c>
      <c r="D7727" t="inlineStr">
        <is>
          <t>97f34946d127e73fb33c3d86ecca344c</t>
        </is>
      </c>
      <c r="E7727" t="inlineStr">
        <is>
          <t>unknown</t>
        </is>
      </c>
      <c r="F7727">
        <f>IFERROR(MATCH(A7727,Deals!$A$2:$A$843,0),"")</f>
        <v/>
      </c>
      <c r="G7727">
        <f>IF(F7727="",0,1)</f>
        <v/>
      </c>
      <c r="H7727" s="29">
        <f>IF(F7727="","",INDEX(Deals!$E$2:$E$843,F7727))</f>
        <v/>
      </c>
      <c r="I7727">
        <f>IF(F7727="","",INDEX(Deals!$D$2:$D$843,F7727))</f>
        <v/>
      </c>
      <c r="J7727">
        <f>IF(F7727="","",INT(H7727)-B7727)</f>
        <v/>
      </c>
      <c r="K7727">
        <f>IF(B7727&gt;=Settings!$C$5,1,0)</f>
        <v/>
      </c>
    </row>
    <row r="7728">
      <c r="A7728" t="inlineStr">
        <is>
          <t>b7517a0edb64409325721909b041132a</t>
        </is>
      </c>
      <c r="B7728" s="29" t="n">
        <v>43222</v>
      </c>
      <c r="C7728" t="inlineStr">
        <is>
          <t>2018-05</t>
        </is>
      </c>
      <c r="D7728" t="inlineStr">
        <is>
          <t>c6f28f804cf6330e6de735ef6e6fe95c</t>
        </is>
      </c>
      <c r="E7728" t="inlineStr">
        <is>
          <t>organic_search</t>
        </is>
      </c>
      <c r="F7728">
        <f>IFERROR(MATCH(A7728,Deals!$A$2:$A$843,0),"")</f>
        <v/>
      </c>
      <c r="G7728">
        <f>IF(F7728="",0,1)</f>
        <v/>
      </c>
      <c r="H7728" s="29">
        <f>IF(F7728="","",INDEX(Deals!$E$2:$E$843,F7728))</f>
        <v/>
      </c>
      <c r="I7728">
        <f>IF(F7728="","",INDEX(Deals!$D$2:$D$843,F7728))</f>
        <v/>
      </c>
      <c r="J7728">
        <f>IF(F7728="","",INT(H7728)-B7728)</f>
        <v/>
      </c>
      <c r="K7728">
        <f>IF(B7728&gt;=Settings!$C$5,1,0)</f>
        <v/>
      </c>
    </row>
    <row r="7729">
      <c r="A7729" t="inlineStr">
        <is>
          <t>9df8f89419b75c9328447be871147cac</t>
        </is>
      </c>
      <c r="B7729" s="29" t="n">
        <v>43138</v>
      </c>
      <c r="C7729" t="inlineStr">
        <is>
          <t>2018-02</t>
        </is>
      </c>
      <c r="D7729" t="inlineStr">
        <is>
          <t>40dec9f3d5259a3d2dbcdab2114fae47</t>
        </is>
      </c>
      <c r="E7729" t="inlineStr">
        <is>
          <t>unknown</t>
        </is>
      </c>
      <c r="F7729">
        <f>IFERROR(MATCH(A7729,Deals!$A$2:$A$843,0),"")</f>
        <v/>
      </c>
      <c r="G7729">
        <f>IF(F7729="",0,1)</f>
        <v/>
      </c>
      <c r="H7729" s="29">
        <f>IF(F7729="","",INDEX(Deals!$E$2:$E$843,F7729))</f>
        <v/>
      </c>
      <c r="I7729">
        <f>IF(F7729="","",INDEX(Deals!$D$2:$D$843,F7729))</f>
        <v/>
      </c>
      <c r="J7729">
        <f>IF(F7729="","",INT(H7729)-B7729)</f>
        <v/>
      </c>
      <c r="K7729">
        <f>IF(B7729&gt;=Settings!$C$5,1,0)</f>
        <v/>
      </c>
    </row>
    <row r="7730">
      <c r="A7730" t="inlineStr">
        <is>
          <t>9cf7f7608bc4393fef791f39b1b179b8</t>
        </is>
      </c>
      <c r="B7730" s="29" t="n">
        <v>43069</v>
      </c>
      <c r="C7730" t="inlineStr">
        <is>
          <t>2017-11</t>
        </is>
      </c>
      <c r="D7730" t="inlineStr">
        <is>
          <t>88740e65d5d6b056e0cda098e1ea6313</t>
        </is>
      </c>
      <c r="E7730" t="inlineStr">
        <is>
          <t>social</t>
        </is>
      </c>
      <c r="F7730">
        <f>IFERROR(MATCH(A7730,Deals!$A$2:$A$843,0),"")</f>
        <v/>
      </c>
      <c r="G7730">
        <f>IF(F7730="",0,1)</f>
        <v/>
      </c>
      <c r="H7730" s="29">
        <f>IF(F7730="","",INDEX(Deals!$E$2:$E$843,F7730))</f>
        <v/>
      </c>
      <c r="I7730">
        <f>IF(F7730="","",INDEX(Deals!$D$2:$D$843,F7730))</f>
        <v/>
      </c>
      <c r="J7730">
        <f>IF(F7730="","",INT(H7730)-B7730)</f>
        <v/>
      </c>
      <c r="K7730">
        <f>IF(B7730&gt;=Settings!$C$5,1,0)</f>
        <v/>
      </c>
    </row>
    <row r="7731">
      <c r="A7731" t="inlineStr">
        <is>
          <t>d4b60729388ac1c3435ee0fcefba1ebe</t>
        </is>
      </c>
      <c r="B7731" s="29" t="n">
        <v>43241</v>
      </c>
      <c r="C7731" t="inlineStr">
        <is>
          <t>2018-05</t>
        </is>
      </c>
      <c r="D7731" t="inlineStr">
        <is>
          <t>8ff57dffc365fcb5233232fff6e6bfd0</t>
        </is>
      </c>
      <c r="E7731" t="inlineStr">
        <is>
          <t>unknown</t>
        </is>
      </c>
      <c r="F7731">
        <f>IFERROR(MATCH(A7731,Deals!$A$2:$A$843,0),"")</f>
        <v/>
      </c>
      <c r="G7731">
        <f>IF(F7731="",0,1)</f>
        <v/>
      </c>
      <c r="H7731" s="29">
        <f>IF(F7731="","",INDEX(Deals!$E$2:$E$843,F7731))</f>
        <v/>
      </c>
      <c r="I7731">
        <f>IF(F7731="","",INDEX(Deals!$D$2:$D$843,F7731))</f>
        <v/>
      </c>
      <c r="J7731">
        <f>IF(F7731="","",INT(H7731)-B7731)</f>
        <v/>
      </c>
      <c r="K7731">
        <f>IF(B7731&gt;=Settings!$C$5,1,0)</f>
        <v/>
      </c>
    </row>
    <row r="7732">
      <c r="A7732" t="inlineStr">
        <is>
          <t>255ca2107423f7f52254a5564d6d04ad</t>
        </is>
      </c>
      <c r="B7732" s="29" t="n">
        <v>43243</v>
      </c>
      <c r="C7732" t="inlineStr">
        <is>
          <t>2018-05</t>
        </is>
      </c>
      <c r="D7732" t="inlineStr">
        <is>
          <t>b76ef37428e6799c421989521c0e5077</t>
        </is>
      </c>
      <c r="E7732" t="inlineStr">
        <is>
          <t>referral</t>
        </is>
      </c>
      <c r="F7732">
        <f>IFERROR(MATCH(A7732,Deals!$A$2:$A$843,0),"")</f>
        <v/>
      </c>
      <c r="G7732">
        <f>IF(F7732="",0,1)</f>
        <v/>
      </c>
      <c r="H7732" s="29">
        <f>IF(F7732="","",INDEX(Deals!$E$2:$E$843,F7732))</f>
        <v/>
      </c>
      <c r="I7732">
        <f>IF(F7732="","",INDEX(Deals!$D$2:$D$843,F7732))</f>
        <v/>
      </c>
      <c r="J7732">
        <f>IF(F7732="","",INT(H7732)-B7732)</f>
        <v/>
      </c>
      <c r="K7732">
        <f>IF(B7732&gt;=Settings!$C$5,1,0)</f>
        <v/>
      </c>
    </row>
    <row r="7733">
      <c r="A7733" t="inlineStr">
        <is>
          <t>f25077a39c1aaddc902d97e5832940ae</t>
        </is>
      </c>
      <c r="B7733" s="29" t="n">
        <v>43136</v>
      </c>
      <c r="C7733" t="inlineStr">
        <is>
          <t>2018-02</t>
        </is>
      </c>
      <c r="D7733" t="inlineStr">
        <is>
          <t>b48ec5f3b04e9068441002a19df93c6c</t>
        </is>
      </c>
      <c r="E7733" t="inlineStr">
        <is>
          <t>organic_search</t>
        </is>
      </c>
      <c r="F7733">
        <f>IFERROR(MATCH(A7733,Deals!$A$2:$A$843,0),"")</f>
        <v/>
      </c>
      <c r="G7733">
        <f>IF(F7733="",0,1)</f>
        <v/>
      </c>
      <c r="H7733" s="29">
        <f>IF(F7733="","",INDEX(Deals!$E$2:$E$843,F7733))</f>
        <v/>
      </c>
      <c r="I7733">
        <f>IF(F7733="","",INDEX(Deals!$D$2:$D$843,F7733))</f>
        <v/>
      </c>
      <c r="J7733">
        <f>IF(F7733="","",INT(H7733)-B7733)</f>
        <v/>
      </c>
      <c r="K7733">
        <f>IF(B7733&gt;=Settings!$C$5,1,0)</f>
        <v/>
      </c>
    </row>
    <row r="7734">
      <c r="A7734" t="inlineStr">
        <is>
          <t>187d2a7a5a7fef62a52fb0721e5ab448</t>
        </is>
      </c>
      <c r="B7734" s="29" t="n">
        <v>43242</v>
      </c>
      <c r="C7734" t="inlineStr">
        <is>
          <t>2018-05</t>
        </is>
      </c>
      <c r="D7734" t="inlineStr">
        <is>
          <t>fa5a0151e1f37d0055a3478fbb48827a</t>
        </is>
      </c>
      <c r="E7734" t="inlineStr">
        <is>
          <t>paid_search</t>
        </is>
      </c>
      <c r="F7734">
        <f>IFERROR(MATCH(A7734,Deals!$A$2:$A$843,0),"")</f>
        <v/>
      </c>
      <c r="G7734">
        <f>IF(F7734="",0,1)</f>
        <v/>
      </c>
      <c r="H7734" s="29">
        <f>IF(F7734="","",INDEX(Deals!$E$2:$E$843,F7734))</f>
        <v/>
      </c>
      <c r="I7734">
        <f>IF(F7734="","",INDEX(Deals!$D$2:$D$843,F7734))</f>
        <v/>
      </c>
      <c r="J7734">
        <f>IF(F7734="","",INT(H7734)-B7734)</f>
        <v/>
      </c>
      <c r="K7734">
        <f>IF(B7734&gt;=Settings!$C$5,1,0)</f>
        <v/>
      </c>
    </row>
    <row r="7735">
      <c r="A7735" t="inlineStr">
        <is>
          <t>bf7f645c0623a3c5d461d251339e5c9b</t>
        </is>
      </c>
      <c r="B7735" s="29" t="n">
        <v>43237</v>
      </c>
      <c r="C7735" t="inlineStr">
        <is>
          <t>2018-05</t>
        </is>
      </c>
      <c r="D7735" t="inlineStr">
        <is>
          <t>58326e62183c14b0c03085c33b9fdc44</t>
        </is>
      </c>
      <c r="E7735" t="inlineStr">
        <is>
          <t>social</t>
        </is>
      </c>
      <c r="F7735">
        <f>IFERROR(MATCH(A7735,Deals!$A$2:$A$843,0),"")</f>
        <v/>
      </c>
      <c r="G7735">
        <f>IF(F7735="",0,1)</f>
        <v/>
      </c>
      <c r="H7735" s="29">
        <f>IF(F7735="","",INDEX(Deals!$E$2:$E$843,F7735))</f>
        <v/>
      </c>
      <c r="I7735">
        <f>IF(F7735="","",INDEX(Deals!$D$2:$D$843,F7735))</f>
        <v/>
      </c>
      <c r="J7735">
        <f>IF(F7735="","",INT(H7735)-B7735)</f>
        <v/>
      </c>
      <c r="K7735">
        <f>IF(B7735&gt;=Settings!$C$5,1,0)</f>
        <v/>
      </c>
    </row>
    <row r="7736">
      <c r="A7736" t="inlineStr">
        <is>
          <t>104aaa348cdf955361b5e9d57cda3394</t>
        </is>
      </c>
      <c r="B7736" s="29" t="n">
        <v>43229</v>
      </c>
      <c r="C7736" t="inlineStr">
        <is>
          <t>2018-05</t>
        </is>
      </c>
      <c r="D7736" t="inlineStr">
        <is>
          <t>872eb32141128a5320bfe7b8cf80fc14</t>
        </is>
      </c>
      <c r="E7736" t="inlineStr">
        <is>
          <t>direct_traffic</t>
        </is>
      </c>
      <c r="F7736">
        <f>IFERROR(MATCH(A7736,Deals!$A$2:$A$843,0),"")</f>
        <v/>
      </c>
      <c r="G7736">
        <f>IF(F7736="",0,1)</f>
        <v/>
      </c>
      <c r="H7736" s="29">
        <f>IF(F7736="","",INDEX(Deals!$E$2:$E$843,F7736))</f>
        <v/>
      </c>
      <c r="I7736">
        <f>IF(F7736="","",INDEX(Deals!$D$2:$D$843,F7736))</f>
        <v/>
      </c>
      <c r="J7736">
        <f>IF(F7736="","",INT(H7736)-B7736)</f>
        <v/>
      </c>
      <c r="K7736">
        <f>IF(B7736&gt;=Settings!$C$5,1,0)</f>
        <v/>
      </c>
    </row>
    <row r="7737">
      <c r="A7737" t="inlineStr">
        <is>
          <t>513622713be8b84fd8d5b783f6fc82b5</t>
        </is>
      </c>
      <c r="B7737" s="29" t="n">
        <v>43062</v>
      </c>
      <c r="C7737" t="inlineStr">
        <is>
          <t>2017-11</t>
        </is>
      </c>
      <c r="D7737" t="inlineStr">
        <is>
          <t>88740e65d5d6b056e0cda098e1ea6313</t>
        </is>
      </c>
      <c r="E7737" t="inlineStr">
        <is>
          <t>social</t>
        </is>
      </c>
      <c r="F7737">
        <f>IFERROR(MATCH(A7737,Deals!$A$2:$A$843,0),"")</f>
        <v/>
      </c>
      <c r="G7737">
        <f>IF(F7737="",0,1)</f>
        <v/>
      </c>
      <c r="H7737" s="29">
        <f>IF(F7737="","",INDEX(Deals!$E$2:$E$843,F7737))</f>
        <v/>
      </c>
      <c r="I7737">
        <f>IF(F7737="","",INDEX(Deals!$D$2:$D$843,F7737))</f>
        <v/>
      </c>
      <c r="J7737">
        <f>IF(F7737="","",INT(H7737)-B7737)</f>
        <v/>
      </c>
      <c r="K7737">
        <f>IF(B7737&gt;=Settings!$C$5,1,0)</f>
        <v/>
      </c>
    </row>
    <row r="7738">
      <c r="A7738" t="inlineStr">
        <is>
          <t>9d02fd65cff13e89550c41c900dc347a</t>
        </is>
      </c>
      <c r="B7738" s="29" t="n">
        <v>43234</v>
      </c>
      <c r="C7738" t="inlineStr">
        <is>
          <t>2018-05</t>
        </is>
      </c>
      <c r="D7738" t="inlineStr">
        <is>
          <t>30077c17f2ec5010a82e37ad8925b95f</t>
        </is>
      </c>
      <c r="E7738" t="inlineStr">
        <is>
          <t>organic_search</t>
        </is>
      </c>
      <c r="F7738">
        <f>IFERROR(MATCH(A7738,Deals!$A$2:$A$843,0),"")</f>
        <v/>
      </c>
      <c r="G7738">
        <f>IF(F7738="",0,1)</f>
        <v/>
      </c>
      <c r="H7738" s="29">
        <f>IF(F7738="","",INDEX(Deals!$E$2:$E$843,F7738))</f>
        <v/>
      </c>
      <c r="I7738">
        <f>IF(F7738="","",INDEX(Deals!$D$2:$D$843,F7738))</f>
        <v/>
      </c>
      <c r="J7738">
        <f>IF(F7738="","",INT(H7738)-B7738)</f>
        <v/>
      </c>
      <c r="K7738">
        <f>IF(B7738&gt;=Settings!$C$5,1,0)</f>
        <v/>
      </c>
    </row>
    <row r="7739">
      <c r="A7739" t="inlineStr">
        <is>
          <t>788e8dcccb8757a5a7f29481ec1d6fc0</t>
        </is>
      </c>
      <c r="B7739" s="29" t="n">
        <v>43150</v>
      </c>
      <c r="C7739" t="inlineStr">
        <is>
          <t>2018-02</t>
        </is>
      </c>
      <c r="D7739" t="inlineStr">
        <is>
          <t>88740e65d5d6b056e0cda098e1ea6313</t>
        </is>
      </c>
      <c r="E7739" t="inlineStr">
        <is>
          <t>social</t>
        </is>
      </c>
      <c r="F7739">
        <f>IFERROR(MATCH(A7739,Deals!$A$2:$A$843,0),"")</f>
        <v/>
      </c>
      <c r="G7739">
        <f>IF(F7739="",0,1)</f>
        <v/>
      </c>
      <c r="H7739" s="29">
        <f>IF(F7739="","",INDEX(Deals!$E$2:$E$843,F7739))</f>
        <v/>
      </c>
      <c r="I7739">
        <f>IF(F7739="","",INDEX(Deals!$D$2:$D$843,F7739))</f>
        <v/>
      </c>
      <c r="J7739">
        <f>IF(F7739="","",INT(H7739)-B7739)</f>
        <v/>
      </c>
      <c r="K7739">
        <f>IF(B7739&gt;=Settings!$C$5,1,0)</f>
        <v/>
      </c>
    </row>
    <row r="7740">
      <c r="A7740" t="inlineStr">
        <is>
          <t>b3b3f9d84108bc32a2e41264b0497938</t>
        </is>
      </c>
      <c r="B7740" s="29" t="n">
        <v>43103</v>
      </c>
      <c r="C7740" t="inlineStr">
        <is>
          <t>2018-01</t>
        </is>
      </c>
      <c r="D7740" t="inlineStr">
        <is>
          <t>40dec9f3d5259a3d2dbcdab2114fae47</t>
        </is>
      </c>
      <c r="E7740" t="inlineStr">
        <is>
          <t>paid_search</t>
        </is>
      </c>
      <c r="F7740">
        <f>IFERROR(MATCH(A7740,Deals!$A$2:$A$843,0),"")</f>
        <v/>
      </c>
      <c r="G7740">
        <f>IF(F7740="",0,1)</f>
        <v/>
      </c>
      <c r="H7740" s="29">
        <f>IF(F7740="","",INDEX(Deals!$E$2:$E$843,F7740))</f>
        <v/>
      </c>
      <c r="I7740">
        <f>IF(F7740="","",INDEX(Deals!$D$2:$D$843,F7740))</f>
        <v/>
      </c>
      <c r="J7740">
        <f>IF(F7740="","",INT(H7740)-B7740)</f>
        <v/>
      </c>
      <c r="K7740">
        <f>IF(B7740&gt;=Settings!$C$5,1,0)</f>
        <v/>
      </c>
    </row>
    <row r="7741">
      <c r="A7741" t="inlineStr">
        <is>
          <t>197b422c8f32c16605c5a4a1b25659b5</t>
        </is>
      </c>
      <c r="B7741" s="29" t="n">
        <v>42985</v>
      </c>
      <c r="C7741" t="inlineStr">
        <is>
          <t>2017-09</t>
        </is>
      </c>
      <c r="D7741" t="inlineStr">
        <is>
          <t>22c29808c4f815213303f8933030604c</t>
        </is>
      </c>
      <c r="E7741" t="inlineStr">
        <is>
          <t>organic_search</t>
        </is>
      </c>
      <c r="F7741">
        <f>IFERROR(MATCH(A7741,Deals!$A$2:$A$843,0),"")</f>
        <v/>
      </c>
      <c r="G7741">
        <f>IF(F7741="",0,1)</f>
        <v/>
      </c>
      <c r="H7741" s="29">
        <f>IF(F7741="","",INDEX(Deals!$E$2:$E$843,F7741))</f>
        <v/>
      </c>
      <c r="I7741">
        <f>IF(F7741="","",INDEX(Deals!$D$2:$D$843,F7741))</f>
        <v/>
      </c>
      <c r="J7741">
        <f>IF(F7741="","",INT(H7741)-B7741)</f>
        <v/>
      </c>
      <c r="K7741">
        <f>IF(B7741&gt;=Settings!$C$5,1,0)</f>
        <v/>
      </c>
    </row>
    <row r="7742">
      <c r="A7742" t="inlineStr">
        <is>
          <t>3d6696255f0c90fc3f3e3f2d6267e8cc</t>
        </is>
      </c>
      <c r="B7742" s="29" t="n">
        <v>43241</v>
      </c>
      <c r="C7742" t="inlineStr">
        <is>
          <t>2018-05</t>
        </is>
      </c>
      <c r="D7742" t="inlineStr">
        <is>
          <t>73f31a40697cc90a86c1273563ac230e</t>
        </is>
      </c>
      <c r="E7742" t="inlineStr">
        <is>
          <t>referral</t>
        </is>
      </c>
      <c r="F7742">
        <f>IFERROR(MATCH(A7742,Deals!$A$2:$A$843,0),"")</f>
        <v/>
      </c>
      <c r="G7742">
        <f>IF(F7742="",0,1)</f>
        <v/>
      </c>
      <c r="H7742" s="29">
        <f>IF(F7742="","",INDEX(Deals!$E$2:$E$843,F7742))</f>
        <v/>
      </c>
      <c r="I7742">
        <f>IF(F7742="","",INDEX(Deals!$D$2:$D$843,F7742))</f>
        <v/>
      </c>
      <c r="J7742">
        <f>IF(F7742="","",INT(H7742)-B7742)</f>
        <v/>
      </c>
      <c r="K7742">
        <f>IF(B7742&gt;=Settings!$C$5,1,0)</f>
        <v/>
      </c>
    </row>
    <row r="7743">
      <c r="A7743" t="inlineStr">
        <is>
          <t>495cd6b045fdfa107a9536275bba0509</t>
        </is>
      </c>
      <c r="B7743" s="29" t="n">
        <v>43182</v>
      </c>
      <c r="C7743" t="inlineStr">
        <is>
          <t>2018-03</t>
        </is>
      </c>
      <c r="D7743" t="inlineStr">
        <is>
          <t>22c29808c4f815213303f8933030604c</t>
        </is>
      </c>
      <c r="E7743" t="inlineStr">
        <is>
          <t>organic_search</t>
        </is>
      </c>
      <c r="F7743">
        <f>IFERROR(MATCH(A7743,Deals!$A$2:$A$843,0),"")</f>
        <v/>
      </c>
      <c r="G7743">
        <f>IF(F7743="",0,1)</f>
        <v/>
      </c>
      <c r="H7743" s="29">
        <f>IF(F7743="","",INDEX(Deals!$E$2:$E$843,F7743))</f>
        <v/>
      </c>
      <c r="I7743">
        <f>IF(F7743="","",INDEX(Deals!$D$2:$D$843,F7743))</f>
        <v/>
      </c>
      <c r="J7743">
        <f>IF(F7743="","",INT(H7743)-B7743)</f>
        <v/>
      </c>
      <c r="K7743">
        <f>IF(B7743&gt;=Settings!$C$5,1,0)</f>
        <v/>
      </c>
    </row>
    <row r="7744">
      <c r="A7744" t="inlineStr">
        <is>
          <t>92fe0f14f026db9c6631440f5b5cf0dc</t>
        </is>
      </c>
      <c r="B7744" s="29" t="n">
        <v>43165</v>
      </c>
      <c r="C7744" t="inlineStr">
        <is>
          <t>2018-03</t>
        </is>
      </c>
      <c r="D7744" t="inlineStr">
        <is>
          <t>ff3416719616ad4921acb8c74e21d6f0</t>
        </is>
      </c>
      <c r="E7744" t="inlineStr">
        <is>
          <t>organic_search</t>
        </is>
      </c>
      <c r="F7744">
        <f>IFERROR(MATCH(A7744,Deals!$A$2:$A$843,0),"")</f>
        <v/>
      </c>
      <c r="G7744">
        <f>IF(F7744="",0,1)</f>
        <v/>
      </c>
      <c r="H7744" s="29">
        <f>IF(F7744="","",INDEX(Deals!$E$2:$E$843,F7744))</f>
        <v/>
      </c>
      <c r="I7744">
        <f>IF(F7744="","",INDEX(Deals!$D$2:$D$843,F7744))</f>
        <v/>
      </c>
      <c r="J7744">
        <f>IF(F7744="","",INT(H7744)-B7744)</f>
        <v/>
      </c>
      <c r="K7744">
        <f>IF(B7744&gt;=Settings!$C$5,1,0)</f>
        <v/>
      </c>
    </row>
    <row r="7745">
      <c r="A7745" t="inlineStr">
        <is>
          <t>8e9f22434774cce976973717448380b4</t>
        </is>
      </c>
      <c r="B7745" s="29" t="n">
        <v>42921</v>
      </c>
      <c r="C7745" t="inlineStr">
        <is>
          <t>2017-07</t>
        </is>
      </c>
      <c r="D7745" t="inlineStr">
        <is>
          <t>0218f6be0b76aca72ab4d00ee9e8cf10</t>
        </is>
      </c>
      <c r="E7745" t="inlineStr">
        <is>
          <t>paid_search</t>
        </is>
      </c>
      <c r="F7745">
        <f>IFERROR(MATCH(A7745,Deals!$A$2:$A$843,0),"")</f>
        <v/>
      </c>
      <c r="G7745">
        <f>IF(F7745="",0,1)</f>
        <v/>
      </c>
      <c r="H7745" s="29">
        <f>IF(F7745="","",INDEX(Deals!$E$2:$E$843,F7745))</f>
        <v/>
      </c>
      <c r="I7745">
        <f>IF(F7745="","",INDEX(Deals!$D$2:$D$843,F7745))</f>
        <v/>
      </c>
      <c r="J7745">
        <f>IF(F7745="","",INT(H7745)-B7745)</f>
        <v/>
      </c>
      <c r="K7745">
        <f>IF(B7745&gt;=Settings!$C$5,1,0)</f>
        <v/>
      </c>
    </row>
    <row r="7746">
      <c r="A7746" t="inlineStr">
        <is>
          <t>73103ddd969c87aee1a6cfe805b7dbd4</t>
        </is>
      </c>
      <c r="B7746" s="29" t="n">
        <v>43205</v>
      </c>
      <c r="C7746" t="inlineStr">
        <is>
          <t>2018-04</t>
        </is>
      </c>
      <c r="D7746" t="inlineStr">
        <is>
          <t>68f817c510c978e3a3a7474ad2aeb75c</t>
        </is>
      </c>
      <c r="E7746" t="inlineStr">
        <is>
          <t>paid_search</t>
        </is>
      </c>
      <c r="F7746">
        <f>IFERROR(MATCH(A7746,Deals!$A$2:$A$843,0),"")</f>
        <v/>
      </c>
      <c r="G7746">
        <f>IF(F7746="",0,1)</f>
        <v/>
      </c>
      <c r="H7746" s="29">
        <f>IF(F7746="","",INDEX(Deals!$E$2:$E$843,F7746))</f>
        <v/>
      </c>
      <c r="I7746">
        <f>IF(F7746="","",INDEX(Deals!$D$2:$D$843,F7746))</f>
        <v/>
      </c>
      <c r="J7746">
        <f>IF(F7746="","",INT(H7746)-B7746)</f>
        <v/>
      </c>
      <c r="K7746">
        <f>IF(B7746&gt;=Settings!$C$5,1,0)</f>
        <v/>
      </c>
    </row>
    <row r="7747">
      <c r="A7747" t="inlineStr">
        <is>
          <t>116491a3880b172b226b7282823549f3</t>
        </is>
      </c>
      <c r="B7747" s="29" t="n">
        <v>43189</v>
      </c>
      <c r="C7747" t="inlineStr">
        <is>
          <t>2018-03</t>
        </is>
      </c>
      <c r="D7747" t="inlineStr">
        <is>
          <t>e492ee5eaf1697716985cc6f33f9cd9b</t>
        </is>
      </c>
      <c r="E7747" t="inlineStr">
        <is>
          <t>organic_search</t>
        </is>
      </c>
      <c r="F7747">
        <f>IFERROR(MATCH(A7747,Deals!$A$2:$A$843,0),"")</f>
        <v/>
      </c>
      <c r="G7747">
        <f>IF(F7747="",0,1)</f>
        <v/>
      </c>
      <c r="H7747" s="29">
        <f>IF(F7747="","",INDEX(Deals!$E$2:$E$843,F7747))</f>
        <v/>
      </c>
      <c r="I7747">
        <f>IF(F7747="","",INDEX(Deals!$D$2:$D$843,F7747))</f>
        <v/>
      </c>
      <c r="J7747">
        <f>IF(F7747="","",INT(H7747)-B7747)</f>
        <v/>
      </c>
      <c r="K7747">
        <f>IF(B7747&gt;=Settings!$C$5,1,0)</f>
        <v/>
      </c>
    </row>
    <row r="7748">
      <c r="A7748" t="inlineStr">
        <is>
          <t>8fde209ba4175cca35703a1095cfeec9</t>
        </is>
      </c>
      <c r="B7748" s="29" t="n">
        <v>43172</v>
      </c>
      <c r="C7748" t="inlineStr">
        <is>
          <t>2018-03</t>
        </is>
      </c>
      <c r="D7748" t="inlineStr">
        <is>
          <t>e492ee5eaf1697716985cc6f33f9cd9b</t>
        </is>
      </c>
      <c r="E7748" t="inlineStr">
        <is>
          <t>organic_search</t>
        </is>
      </c>
      <c r="F7748">
        <f>IFERROR(MATCH(A7748,Deals!$A$2:$A$843,0),"")</f>
        <v/>
      </c>
      <c r="G7748">
        <f>IF(F7748="",0,1)</f>
        <v/>
      </c>
      <c r="H7748" s="29">
        <f>IF(F7748="","",INDEX(Deals!$E$2:$E$843,F7748))</f>
        <v/>
      </c>
      <c r="I7748">
        <f>IF(F7748="","",INDEX(Deals!$D$2:$D$843,F7748))</f>
        <v/>
      </c>
      <c r="J7748">
        <f>IF(F7748="","",INT(H7748)-B7748)</f>
        <v/>
      </c>
      <c r="K7748">
        <f>IF(B7748&gt;=Settings!$C$5,1,0)</f>
        <v/>
      </c>
    </row>
    <row r="7749">
      <c r="A7749" t="inlineStr">
        <is>
          <t>3e184e77033653ed680e6a72159e7d69</t>
        </is>
      </c>
      <c r="B7749" s="29" t="n">
        <v>43010</v>
      </c>
      <c r="C7749" t="inlineStr">
        <is>
          <t>2017-10</t>
        </is>
      </c>
      <c r="D7749" t="inlineStr">
        <is>
          <t>15cf89bab2c3163b4f9d8601d108f8b2</t>
        </is>
      </c>
      <c r="E7749" t="inlineStr">
        <is>
          <t>organic_search</t>
        </is>
      </c>
      <c r="F7749">
        <f>IFERROR(MATCH(A7749,Deals!$A$2:$A$843,0),"")</f>
        <v/>
      </c>
      <c r="G7749">
        <f>IF(F7749="",0,1)</f>
        <v/>
      </c>
      <c r="H7749" s="29">
        <f>IF(F7749="","",INDEX(Deals!$E$2:$E$843,F7749))</f>
        <v/>
      </c>
      <c r="I7749">
        <f>IF(F7749="","",INDEX(Deals!$D$2:$D$843,F7749))</f>
        <v/>
      </c>
      <c r="J7749">
        <f>IF(F7749="","",INT(H7749)-B7749)</f>
        <v/>
      </c>
      <c r="K7749">
        <f>IF(B7749&gt;=Settings!$C$5,1,0)</f>
        <v/>
      </c>
    </row>
    <row r="7750">
      <c r="A7750" t="inlineStr">
        <is>
          <t>1a4006a93b50abce284841937782b2cf</t>
        </is>
      </c>
      <c r="B7750" s="29" t="n">
        <v>43230</v>
      </c>
      <c r="C7750" t="inlineStr">
        <is>
          <t>2018-05</t>
        </is>
      </c>
      <c r="D7750" t="inlineStr">
        <is>
          <t>fa5a0151e1f37d0055a3478fbb48827a</t>
        </is>
      </c>
      <c r="E7750" t="inlineStr">
        <is>
          <t>paid_search</t>
        </is>
      </c>
      <c r="F7750">
        <f>IFERROR(MATCH(A7750,Deals!$A$2:$A$843,0),"")</f>
        <v/>
      </c>
      <c r="G7750">
        <f>IF(F7750="",0,1)</f>
        <v/>
      </c>
      <c r="H7750" s="29">
        <f>IF(F7750="","",INDEX(Deals!$E$2:$E$843,F7750))</f>
        <v/>
      </c>
      <c r="I7750">
        <f>IF(F7750="","",INDEX(Deals!$D$2:$D$843,F7750))</f>
        <v/>
      </c>
      <c r="J7750">
        <f>IF(F7750="","",INT(H7750)-B7750)</f>
        <v/>
      </c>
      <c r="K7750">
        <f>IF(B7750&gt;=Settings!$C$5,1,0)</f>
        <v/>
      </c>
    </row>
    <row r="7751">
      <c r="A7751" t="inlineStr">
        <is>
          <t>c4d8eae871684a2bddeb72d46fe8a030</t>
        </is>
      </c>
      <c r="B7751" s="29" t="n">
        <v>43185</v>
      </c>
      <c r="C7751" t="inlineStr">
        <is>
          <t>2018-03</t>
        </is>
      </c>
      <c r="D7751" t="inlineStr">
        <is>
          <t>36120633c8737035fbabf079082f4ec1</t>
        </is>
      </c>
      <c r="E7751" t="inlineStr">
        <is>
          <t>paid_search</t>
        </is>
      </c>
      <c r="F7751">
        <f>IFERROR(MATCH(A7751,Deals!$A$2:$A$843,0),"")</f>
        <v/>
      </c>
      <c r="G7751">
        <f>IF(F7751="",0,1)</f>
        <v/>
      </c>
      <c r="H7751" s="29">
        <f>IF(F7751="","",INDEX(Deals!$E$2:$E$843,F7751))</f>
        <v/>
      </c>
      <c r="I7751">
        <f>IF(F7751="","",INDEX(Deals!$D$2:$D$843,F7751))</f>
        <v/>
      </c>
      <c r="J7751">
        <f>IF(F7751="","",INT(H7751)-B7751)</f>
        <v/>
      </c>
      <c r="K7751">
        <f>IF(B7751&gt;=Settings!$C$5,1,0)</f>
        <v/>
      </c>
    </row>
    <row r="7752">
      <c r="A7752" t="inlineStr">
        <is>
          <t>6c1e751ccd093d6fecc68ea485e32c99</t>
        </is>
      </c>
      <c r="B7752" s="29" t="n">
        <v>43000</v>
      </c>
      <c r="C7752" t="inlineStr">
        <is>
          <t>2017-09</t>
        </is>
      </c>
      <c r="D7752" t="inlineStr">
        <is>
          <t>298895230612f85f0742434fc434ad10</t>
        </is>
      </c>
      <c r="E7752" t="inlineStr">
        <is>
          <t>email</t>
        </is>
      </c>
      <c r="F7752">
        <f>IFERROR(MATCH(A7752,Deals!$A$2:$A$843,0),"")</f>
        <v/>
      </c>
      <c r="G7752">
        <f>IF(F7752="",0,1)</f>
        <v/>
      </c>
      <c r="H7752" s="29">
        <f>IF(F7752="","",INDEX(Deals!$E$2:$E$843,F7752))</f>
        <v/>
      </c>
      <c r="I7752">
        <f>IF(F7752="","",INDEX(Deals!$D$2:$D$843,F7752))</f>
        <v/>
      </c>
      <c r="J7752">
        <f>IF(F7752="","",INT(H7752)-B7752)</f>
        <v/>
      </c>
      <c r="K7752">
        <f>IF(B7752&gt;=Settings!$C$5,1,0)</f>
        <v/>
      </c>
    </row>
    <row r="7753">
      <c r="A7753" t="inlineStr">
        <is>
          <t>073e5e79f59c74ffd24ba6dc6648ce7c</t>
        </is>
      </c>
      <c r="B7753" s="29" t="n">
        <v>43234</v>
      </c>
      <c r="C7753" t="inlineStr">
        <is>
          <t>2018-05</t>
        </is>
      </c>
      <c r="D7753" t="inlineStr">
        <is>
          <t>3b86d7e8c33da2767ad2af9782f383d5</t>
        </is>
      </c>
      <c r="E7753" t="inlineStr">
        <is>
          <t>referral</t>
        </is>
      </c>
      <c r="F7753">
        <f>IFERROR(MATCH(A7753,Deals!$A$2:$A$843,0),"")</f>
        <v/>
      </c>
      <c r="G7753">
        <f>IF(F7753="",0,1)</f>
        <v/>
      </c>
      <c r="H7753" s="29">
        <f>IF(F7753="","",INDEX(Deals!$E$2:$E$843,F7753))</f>
        <v/>
      </c>
      <c r="I7753">
        <f>IF(F7753="","",INDEX(Deals!$D$2:$D$843,F7753))</f>
        <v/>
      </c>
      <c r="J7753">
        <f>IF(F7753="","",INT(H7753)-B7753)</f>
        <v/>
      </c>
      <c r="K7753">
        <f>IF(B7753&gt;=Settings!$C$5,1,0)</f>
        <v/>
      </c>
    </row>
    <row r="7754">
      <c r="A7754" t="inlineStr">
        <is>
          <t>7d4b139b99fa4e14170492f54032c321</t>
        </is>
      </c>
      <c r="B7754" s="29" t="n">
        <v>43148</v>
      </c>
      <c r="C7754" t="inlineStr">
        <is>
          <t>2018-02</t>
        </is>
      </c>
      <c r="D7754" t="inlineStr">
        <is>
          <t>22c29808c4f815213303f8933030604c</t>
        </is>
      </c>
      <c r="E7754" t="inlineStr">
        <is>
          <t>paid_search</t>
        </is>
      </c>
      <c r="F7754">
        <f>IFERROR(MATCH(A7754,Deals!$A$2:$A$843,0),"")</f>
        <v/>
      </c>
      <c r="G7754">
        <f>IF(F7754="",0,1)</f>
        <v/>
      </c>
      <c r="H7754" s="29">
        <f>IF(F7754="","",INDEX(Deals!$E$2:$E$843,F7754))</f>
        <v/>
      </c>
      <c r="I7754">
        <f>IF(F7754="","",INDEX(Deals!$D$2:$D$843,F7754))</f>
        <v/>
      </c>
      <c r="J7754">
        <f>IF(F7754="","",INT(H7754)-B7754)</f>
        <v/>
      </c>
      <c r="K7754">
        <f>IF(B7754&gt;=Settings!$C$5,1,0)</f>
        <v/>
      </c>
    </row>
    <row r="7755">
      <c r="A7755" t="inlineStr">
        <is>
          <t>83507bf96216e11ddc2e0773263cc2b2</t>
        </is>
      </c>
      <c r="B7755" s="29" t="n">
        <v>43199</v>
      </c>
      <c r="C7755" t="inlineStr">
        <is>
          <t>2018-04</t>
        </is>
      </c>
      <c r="D7755" t="inlineStr">
        <is>
          <t>908dad5b22342480f5cc055b8dd55e7e</t>
        </is>
      </c>
      <c r="E7755" t="inlineStr">
        <is>
          <t>email</t>
        </is>
      </c>
      <c r="F7755">
        <f>IFERROR(MATCH(A7755,Deals!$A$2:$A$843,0),"")</f>
        <v/>
      </c>
      <c r="G7755">
        <f>IF(F7755="",0,1)</f>
        <v/>
      </c>
      <c r="H7755" s="29">
        <f>IF(F7755="","",INDEX(Deals!$E$2:$E$843,F7755))</f>
        <v/>
      </c>
      <c r="I7755">
        <f>IF(F7755="","",INDEX(Deals!$D$2:$D$843,F7755))</f>
        <v/>
      </c>
      <c r="J7755">
        <f>IF(F7755="","",INT(H7755)-B7755)</f>
        <v/>
      </c>
      <c r="K7755">
        <f>IF(B7755&gt;=Settings!$C$5,1,0)</f>
        <v/>
      </c>
    </row>
    <row r="7756">
      <c r="A7756" t="inlineStr">
        <is>
          <t>3e4a3f9ecab2d513b6782748c9e0a884</t>
        </is>
      </c>
      <c r="B7756" s="29" t="n">
        <v>43224</v>
      </c>
      <c r="C7756" t="inlineStr">
        <is>
          <t>2018-05</t>
        </is>
      </c>
      <c r="D7756" t="inlineStr">
        <is>
          <t>22c29808c4f815213303f8933030604c</t>
        </is>
      </c>
      <c r="E7756" t="inlineStr">
        <is>
          <t>organic_search</t>
        </is>
      </c>
      <c r="F7756">
        <f>IFERROR(MATCH(A7756,Deals!$A$2:$A$843,0),"")</f>
        <v/>
      </c>
      <c r="G7756">
        <f>IF(F7756="",0,1)</f>
        <v/>
      </c>
      <c r="H7756" s="29">
        <f>IF(F7756="","",INDEX(Deals!$E$2:$E$843,F7756))</f>
        <v/>
      </c>
      <c r="I7756">
        <f>IF(F7756="","",INDEX(Deals!$D$2:$D$843,F7756))</f>
        <v/>
      </c>
      <c r="J7756">
        <f>IF(F7756="","",INT(H7756)-B7756)</f>
        <v/>
      </c>
      <c r="K7756">
        <f>IF(B7756&gt;=Settings!$C$5,1,0)</f>
        <v/>
      </c>
    </row>
    <row r="7757">
      <c r="A7757" t="inlineStr">
        <is>
          <t>166bf93d96d1a0d031c4adf62034ce3f</t>
        </is>
      </c>
      <c r="B7757" s="29" t="n">
        <v>43143</v>
      </c>
      <c r="C7757" t="inlineStr">
        <is>
          <t>2018-02</t>
        </is>
      </c>
      <c r="D7757" t="inlineStr">
        <is>
          <t>ce1a65abd0973638f1c887a6efcfa82d</t>
        </is>
      </c>
      <c r="E7757" t="inlineStr">
        <is>
          <t>referral</t>
        </is>
      </c>
      <c r="F7757">
        <f>IFERROR(MATCH(A7757,Deals!$A$2:$A$843,0),"")</f>
        <v/>
      </c>
      <c r="G7757">
        <f>IF(F7757="",0,1)</f>
        <v/>
      </c>
      <c r="H7757" s="29">
        <f>IF(F7757="","",INDEX(Deals!$E$2:$E$843,F7757))</f>
        <v/>
      </c>
      <c r="I7757">
        <f>IF(F7757="","",INDEX(Deals!$D$2:$D$843,F7757))</f>
        <v/>
      </c>
      <c r="J7757">
        <f>IF(F7757="","",INT(H7757)-B7757)</f>
        <v/>
      </c>
      <c r="K7757">
        <f>IF(B7757&gt;=Settings!$C$5,1,0)</f>
        <v/>
      </c>
    </row>
    <row r="7758">
      <c r="A7758" t="inlineStr">
        <is>
          <t>f8327b26a178ba557a59ace3378c2f95</t>
        </is>
      </c>
      <c r="B7758" s="29" t="n">
        <v>43201</v>
      </c>
      <c r="C7758" t="inlineStr">
        <is>
          <t>2018-04</t>
        </is>
      </c>
      <c r="D7758" t="inlineStr">
        <is>
          <t>22c29808c4f815213303f8933030604c</t>
        </is>
      </c>
      <c r="E7758" t="inlineStr">
        <is>
          <t>organic_search</t>
        </is>
      </c>
      <c r="F7758">
        <f>IFERROR(MATCH(A7758,Deals!$A$2:$A$843,0),"")</f>
        <v/>
      </c>
      <c r="G7758">
        <f>IF(F7758="",0,1)</f>
        <v/>
      </c>
      <c r="H7758" s="29">
        <f>IF(F7758="","",INDEX(Deals!$E$2:$E$843,F7758))</f>
        <v/>
      </c>
      <c r="I7758">
        <f>IF(F7758="","",INDEX(Deals!$D$2:$D$843,F7758))</f>
        <v/>
      </c>
      <c r="J7758">
        <f>IF(F7758="","",INT(H7758)-B7758)</f>
        <v/>
      </c>
      <c r="K7758">
        <f>IF(B7758&gt;=Settings!$C$5,1,0)</f>
        <v/>
      </c>
    </row>
    <row r="7759">
      <c r="A7759" t="inlineStr">
        <is>
          <t>e42a68e0a57044cc230ac7c901756c1d</t>
        </is>
      </c>
      <c r="B7759" s="29" t="n">
        <v>43115</v>
      </c>
      <c r="C7759" t="inlineStr">
        <is>
          <t>2018-01</t>
        </is>
      </c>
      <c r="D7759" t="inlineStr">
        <is>
          <t>f017be4dbf86243af5c1ebed0cff36a2</t>
        </is>
      </c>
      <c r="E7759" t="inlineStr">
        <is>
          <t>organic_search</t>
        </is>
      </c>
      <c r="F7759">
        <f>IFERROR(MATCH(A7759,Deals!$A$2:$A$843,0),"")</f>
        <v/>
      </c>
      <c r="G7759">
        <f>IF(F7759="",0,1)</f>
        <v/>
      </c>
      <c r="H7759" s="29">
        <f>IF(F7759="","",INDEX(Deals!$E$2:$E$843,F7759))</f>
        <v/>
      </c>
      <c r="I7759">
        <f>IF(F7759="","",INDEX(Deals!$D$2:$D$843,F7759))</f>
        <v/>
      </c>
      <c r="J7759">
        <f>IF(F7759="","",INT(H7759)-B7759)</f>
        <v/>
      </c>
      <c r="K7759">
        <f>IF(B7759&gt;=Settings!$C$5,1,0)</f>
        <v/>
      </c>
    </row>
    <row r="7760">
      <c r="A7760" t="inlineStr">
        <is>
          <t>c5cb484bd251d37d9cfecf49e8cf38db</t>
        </is>
      </c>
      <c r="B7760" s="29" t="n">
        <v>43160</v>
      </c>
      <c r="C7760" t="inlineStr">
        <is>
          <t>2018-03</t>
        </is>
      </c>
      <c r="D7760" t="inlineStr">
        <is>
          <t>65d9f9d71e562365e8b44037c2888d98</t>
        </is>
      </c>
      <c r="E7760" t="inlineStr">
        <is>
          <t>social</t>
        </is>
      </c>
      <c r="F7760">
        <f>IFERROR(MATCH(A7760,Deals!$A$2:$A$843,0),"")</f>
        <v/>
      </c>
      <c r="G7760">
        <f>IF(F7760="",0,1)</f>
        <v/>
      </c>
      <c r="H7760" s="29">
        <f>IF(F7760="","",INDEX(Deals!$E$2:$E$843,F7760))</f>
        <v/>
      </c>
      <c r="I7760">
        <f>IF(F7760="","",INDEX(Deals!$D$2:$D$843,F7760))</f>
        <v/>
      </c>
      <c r="J7760">
        <f>IF(F7760="","",INT(H7760)-B7760)</f>
        <v/>
      </c>
      <c r="K7760">
        <f>IF(B7760&gt;=Settings!$C$5,1,0)</f>
        <v/>
      </c>
    </row>
    <row r="7761">
      <c r="A7761" t="inlineStr">
        <is>
          <t>2dbe0192a67555d8bb72ec22c1fd677a</t>
        </is>
      </c>
      <c r="B7761" s="29" t="n">
        <v>43207</v>
      </c>
      <c r="C7761" t="inlineStr">
        <is>
          <t>2018-04</t>
        </is>
      </c>
      <c r="D7761" t="inlineStr">
        <is>
          <t>58326e62183c14b0c03085c33b9fdc44</t>
        </is>
      </c>
      <c r="E7761" t="inlineStr">
        <is>
          <t>social</t>
        </is>
      </c>
      <c r="F7761">
        <f>IFERROR(MATCH(A7761,Deals!$A$2:$A$843,0),"")</f>
        <v/>
      </c>
      <c r="G7761">
        <f>IF(F7761="",0,1)</f>
        <v/>
      </c>
      <c r="H7761" s="29">
        <f>IF(F7761="","",INDEX(Deals!$E$2:$E$843,F7761))</f>
        <v/>
      </c>
      <c r="I7761">
        <f>IF(F7761="","",INDEX(Deals!$D$2:$D$843,F7761))</f>
        <v/>
      </c>
      <c r="J7761">
        <f>IF(F7761="","",INT(H7761)-B7761)</f>
        <v/>
      </c>
      <c r="K7761">
        <f>IF(B7761&gt;=Settings!$C$5,1,0)</f>
        <v/>
      </c>
    </row>
    <row r="7762">
      <c r="A7762" t="inlineStr">
        <is>
          <t>7a9118e1f63540b5093abdba27ab6e07</t>
        </is>
      </c>
      <c r="B7762" s="29" t="n">
        <v>43142</v>
      </c>
      <c r="C7762" t="inlineStr">
        <is>
          <t>2018-02</t>
        </is>
      </c>
      <c r="D7762" t="inlineStr">
        <is>
          <t>83f9898dfc5a0485fb93dd9f7f8bf482</t>
        </is>
      </c>
      <c r="E7762" t="inlineStr">
        <is>
          <t>other_publicities</t>
        </is>
      </c>
      <c r="F7762">
        <f>IFERROR(MATCH(A7762,Deals!$A$2:$A$843,0),"")</f>
        <v/>
      </c>
      <c r="G7762">
        <f>IF(F7762="",0,1)</f>
        <v/>
      </c>
      <c r="H7762" s="29">
        <f>IF(F7762="","",INDEX(Deals!$E$2:$E$843,F7762))</f>
        <v/>
      </c>
      <c r="I7762">
        <f>IF(F7762="","",INDEX(Deals!$D$2:$D$843,F7762))</f>
        <v/>
      </c>
      <c r="J7762">
        <f>IF(F7762="","",INT(H7762)-B7762)</f>
        <v/>
      </c>
      <c r="K7762">
        <f>IF(B7762&gt;=Settings!$C$5,1,0)</f>
        <v/>
      </c>
    </row>
    <row r="7763">
      <c r="A7763" t="inlineStr">
        <is>
          <t>d69b9159a37a710d16b67c5e61e2e219</t>
        </is>
      </c>
      <c r="B7763" s="29" t="n">
        <v>43052</v>
      </c>
      <c r="C7763" t="inlineStr">
        <is>
          <t>2017-11</t>
        </is>
      </c>
      <c r="D7763" t="inlineStr">
        <is>
          <t>966098efaef7a4d665be6b0cb617541b</t>
        </is>
      </c>
      <c r="E7763" t="inlineStr">
        <is>
          <t>email</t>
        </is>
      </c>
      <c r="F7763">
        <f>IFERROR(MATCH(A7763,Deals!$A$2:$A$843,0),"")</f>
        <v/>
      </c>
      <c r="G7763">
        <f>IF(F7763="",0,1)</f>
        <v/>
      </c>
      <c r="H7763" s="29">
        <f>IF(F7763="","",INDEX(Deals!$E$2:$E$843,F7763))</f>
        <v/>
      </c>
      <c r="I7763">
        <f>IF(F7763="","",INDEX(Deals!$D$2:$D$843,F7763))</f>
        <v/>
      </c>
      <c r="J7763">
        <f>IF(F7763="","",INT(H7763)-B7763)</f>
        <v/>
      </c>
      <c r="K7763">
        <f>IF(B7763&gt;=Settings!$C$5,1,0)</f>
        <v/>
      </c>
    </row>
    <row r="7764">
      <c r="A7764" t="inlineStr">
        <is>
          <t>e13963f0c129b9da11f1e4721f423745</t>
        </is>
      </c>
      <c r="B7764" s="29" t="n">
        <v>43243</v>
      </c>
      <c r="C7764" t="inlineStr">
        <is>
          <t>2018-05</t>
        </is>
      </c>
      <c r="D7764" t="inlineStr">
        <is>
          <t>5dc848e7dd9418dffe183215b8ff0bc1</t>
        </is>
      </c>
      <c r="E7764" t="inlineStr">
        <is>
          <t>paid_search</t>
        </is>
      </c>
      <c r="F7764">
        <f>IFERROR(MATCH(A7764,Deals!$A$2:$A$843,0),"")</f>
        <v/>
      </c>
      <c r="G7764">
        <f>IF(F7764="",0,1)</f>
        <v/>
      </c>
      <c r="H7764" s="29">
        <f>IF(F7764="","",INDEX(Deals!$E$2:$E$843,F7764))</f>
        <v/>
      </c>
      <c r="I7764">
        <f>IF(F7764="","",INDEX(Deals!$D$2:$D$843,F7764))</f>
        <v/>
      </c>
      <c r="J7764">
        <f>IF(F7764="","",INT(H7764)-B7764)</f>
        <v/>
      </c>
      <c r="K7764">
        <f>IF(B7764&gt;=Settings!$C$5,1,0)</f>
        <v/>
      </c>
    </row>
    <row r="7765">
      <c r="A7765" t="inlineStr">
        <is>
          <t>b1889589a5ee94e527c59f8578b30218</t>
        </is>
      </c>
      <c r="B7765" s="29" t="n">
        <v>43248</v>
      </c>
      <c r="C7765" t="inlineStr">
        <is>
          <t>2018-05</t>
        </is>
      </c>
      <c r="D7765" t="inlineStr">
        <is>
          <t>40dec9f3d5259a3d2dbcdab2114fae47</t>
        </is>
      </c>
      <c r="E7765" t="inlineStr">
        <is>
          <t>paid_search</t>
        </is>
      </c>
      <c r="F7765">
        <f>IFERROR(MATCH(A7765,Deals!$A$2:$A$843,0),"")</f>
        <v/>
      </c>
      <c r="G7765">
        <f>IF(F7765="",0,1)</f>
        <v/>
      </c>
      <c r="H7765" s="29">
        <f>IF(F7765="","",INDEX(Deals!$E$2:$E$843,F7765))</f>
        <v/>
      </c>
      <c r="I7765">
        <f>IF(F7765="","",INDEX(Deals!$D$2:$D$843,F7765))</f>
        <v/>
      </c>
      <c r="J7765">
        <f>IF(F7765="","",INT(H7765)-B7765)</f>
        <v/>
      </c>
      <c r="K7765">
        <f>IF(B7765&gt;=Settings!$C$5,1,0)</f>
        <v/>
      </c>
    </row>
    <row r="7766">
      <c r="A7766" t="inlineStr">
        <is>
          <t>a5a0c5ac425e42b153a40f2395a98acb</t>
        </is>
      </c>
      <c r="B7766" s="29" t="n">
        <v>43144</v>
      </c>
      <c r="C7766" t="inlineStr">
        <is>
          <t>2018-02</t>
        </is>
      </c>
      <c r="D7766" t="inlineStr">
        <is>
          <t>22c29808c4f815213303f8933030604c</t>
        </is>
      </c>
      <c r="E7766" t="inlineStr">
        <is>
          <t>paid_search</t>
        </is>
      </c>
      <c r="F7766">
        <f>IFERROR(MATCH(A7766,Deals!$A$2:$A$843,0),"")</f>
        <v/>
      </c>
      <c r="G7766">
        <f>IF(F7766="",0,1)</f>
        <v/>
      </c>
      <c r="H7766" s="29">
        <f>IF(F7766="","",INDEX(Deals!$E$2:$E$843,F7766))</f>
        <v/>
      </c>
      <c r="I7766">
        <f>IF(F7766="","",INDEX(Deals!$D$2:$D$843,F7766))</f>
        <v/>
      </c>
      <c r="J7766">
        <f>IF(F7766="","",INT(H7766)-B7766)</f>
        <v/>
      </c>
      <c r="K7766">
        <f>IF(B7766&gt;=Settings!$C$5,1,0)</f>
        <v/>
      </c>
    </row>
    <row r="7767">
      <c r="A7767" t="inlineStr">
        <is>
          <t>9447b7e2c724174c9af773d5f1b64263</t>
        </is>
      </c>
      <c r="B7767" s="29" t="n">
        <v>43154</v>
      </c>
      <c r="C7767" t="inlineStr">
        <is>
          <t>2018-02</t>
        </is>
      </c>
      <c r="D7767" t="inlineStr">
        <is>
          <t>36120633c8737035fbabf079082f4ec1</t>
        </is>
      </c>
      <c r="E7767" t="inlineStr">
        <is>
          <t>organic_search</t>
        </is>
      </c>
      <c r="F7767">
        <f>IFERROR(MATCH(A7767,Deals!$A$2:$A$843,0),"")</f>
        <v/>
      </c>
      <c r="G7767">
        <f>IF(F7767="",0,1)</f>
        <v/>
      </c>
      <c r="H7767" s="29">
        <f>IF(F7767="","",INDEX(Deals!$E$2:$E$843,F7767))</f>
        <v/>
      </c>
      <c r="I7767">
        <f>IF(F7767="","",INDEX(Deals!$D$2:$D$843,F7767))</f>
        <v/>
      </c>
      <c r="J7767">
        <f>IF(F7767="","",INT(H7767)-B7767)</f>
        <v/>
      </c>
      <c r="K7767">
        <f>IF(B7767&gt;=Settings!$C$5,1,0)</f>
        <v/>
      </c>
    </row>
    <row r="7768">
      <c r="A7768" t="inlineStr">
        <is>
          <t>456a517146c2c0321b45c98540856387</t>
        </is>
      </c>
      <c r="B7768" s="29" t="n">
        <v>43145</v>
      </c>
      <c r="C7768" t="inlineStr">
        <is>
          <t>2018-02</t>
        </is>
      </c>
      <c r="D7768" t="inlineStr">
        <is>
          <t>30077c17f2ec5010a82e37ad8925b95f</t>
        </is>
      </c>
      <c r="E7768" t="inlineStr">
        <is>
          <t>organic_search</t>
        </is>
      </c>
      <c r="F7768">
        <f>IFERROR(MATCH(A7768,Deals!$A$2:$A$843,0),"")</f>
        <v/>
      </c>
      <c r="G7768">
        <f>IF(F7768="",0,1)</f>
        <v/>
      </c>
      <c r="H7768" s="29">
        <f>IF(F7768="","",INDEX(Deals!$E$2:$E$843,F7768))</f>
        <v/>
      </c>
      <c r="I7768">
        <f>IF(F7768="","",INDEX(Deals!$D$2:$D$843,F7768))</f>
        <v/>
      </c>
      <c r="J7768">
        <f>IF(F7768="","",INT(H7768)-B7768)</f>
        <v/>
      </c>
      <c r="K7768">
        <f>IF(B7768&gt;=Settings!$C$5,1,0)</f>
        <v/>
      </c>
    </row>
    <row r="7769">
      <c r="A7769" t="inlineStr">
        <is>
          <t>77a2de98440845afecb786997668d516</t>
        </is>
      </c>
      <c r="B7769" s="29" t="n">
        <v>43171</v>
      </c>
      <c r="C7769" t="inlineStr">
        <is>
          <t>2018-03</t>
        </is>
      </c>
      <c r="D7769" t="inlineStr">
        <is>
          <t>f017be4dbf86243af5c1ebed0cff36a2</t>
        </is>
      </c>
      <c r="E7769" t="inlineStr">
        <is>
          <t>organic_search</t>
        </is>
      </c>
      <c r="F7769">
        <f>IFERROR(MATCH(A7769,Deals!$A$2:$A$843,0),"")</f>
        <v/>
      </c>
      <c r="G7769">
        <f>IF(F7769="",0,1)</f>
        <v/>
      </c>
      <c r="H7769" s="29">
        <f>IF(F7769="","",INDEX(Deals!$E$2:$E$843,F7769))</f>
        <v/>
      </c>
      <c r="I7769">
        <f>IF(F7769="","",INDEX(Deals!$D$2:$D$843,F7769))</f>
        <v/>
      </c>
      <c r="J7769">
        <f>IF(F7769="","",INT(H7769)-B7769)</f>
        <v/>
      </c>
      <c r="K7769">
        <f>IF(B7769&gt;=Settings!$C$5,1,0)</f>
        <v/>
      </c>
    </row>
    <row r="7770">
      <c r="A7770" t="inlineStr">
        <is>
          <t>f4435c4b14dcf4635efd9f8ed62290c7</t>
        </is>
      </c>
      <c r="B7770" s="29" t="n">
        <v>43243</v>
      </c>
      <c r="C7770" t="inlineStr">
        <is>
          <t>2018-05</t>
        </is>
      </c>
      <c r="D7770" t="inlineStr">
        <is>
          <t>a7982125ff7aa3b2054c6e44f9d28522</t>
        </is>
      </c>
      <c r="E7770" t="inlineStr">
        <is>
          <t>display</t>
        </is>
      </c>
      <c r="F7770">
        <f>IFERROR(MATCH(A7770,Deals!$A$2:$A$843,0),"")</f>
        <v/>
      </c>
      <c r="G7770">
        <f>IF(F7770="",0,1)</f>
        <v/>
      </c>
      <c r="H7770" s="29">
        <f>IF(F7770="","",INDEX(Deals!$E$2:$E$843,F7770))</f>
        <v/>
      </c>
      <c r="I7770">
        <f>IF(F7770="","",INDEX(Deals!$D$2:$D$843,F7770))</f>
        <v/>
      </c>
      <c r="J7770">
        <f>IF(F7770="","",INT(H7770)-B7770)</f>
        <v/>
      </c>
      <c r="K7770">
        <f>IF(B7770&gt;=Settings!$C$5,1,0)</f>
        <v/>
      </c>
    </row>
    <row r="7771">
      <c r="A7771" t="inlineStr">
        <is>
          <t>502193081905426c7c32d2a78089bb35</t>
        </is>
      </c>
      <c r="B7771" s="29" t="n">
        <v>43045</v>
      </c>
      <c r="C7771" t="inlineStr">
        <is>
          <t>2017-11</t>
        </is>
      </c>
      <c r="D7771" t="inlineStr">
        <is>
          <t>88740e65d5d6b056e0cda098e1ea6313</t>
        </is>
      </c>
      <c r="E7771" t="inlineStr">
        <is>
          <t>social</t>
        </is>
      </c>
      <c r="F7771">
        <f>IFERROR(MATCH(A7771,Deals!$A$2:$A$843,0),"")</f>
        <v/>
      </c>
      <c r="G7771">
        <f>IF(F7771="",0,1)</f>
        <v/>
      </c>
      <c r="H7771" s="29">
        <f>IF(F7771="","",INDEX(Deals!$E$2:$E$843,F7771))</f>
        <v/>
      </c>
      <c r="I7771">
        <f>IF(F7771="","",INDEX(Deals!$D$2:$D$843,F7771))</f>
        <v/>
      </c>
      <c r="J7771">
        <f>IF(F7771="","",INT(H7771)-B7771)</f>
        <v/>
      </c>
      <c r="K7771">
        <f>IF(B7771&gt;=Settings!$C$5,1,0)</f>
        <v/>
      </c>
    </row>
    <row r="7772">
      <c r="A7772" t="inlineStr">
        <is>
          <t>37a58819258c4653097f0f9ee6b5aa3d</t>
        </is>
      </c>
      <c r="B7772" s="29" t="n">
        <v>43158</v>
      </c>
      <c r="C7772" t="inlineStr">
        <is>
          <t>2018-02</t>
        </is>
      </c>
      <c r="D7772" t="inlineStr">
        <is>
          <t>36120633c8737035fbabf079082f4ec1</t>
        </is>
      </c>
      <c r="E7772" t="inlineStr">
        <is>
          <t>social</t>
        </is>
      </c>
      <c r="F7772">
        <f>IFERROR(MATCH(A7772,Deals!$A$2:$A$843,0),"")</f>
        <v/>
      </c>
      <c r="G7772">
        <f>IF(F7772="",0,1)</f>
        <v/>
      </c>
      <c r="H7772" s="29">
        <f>IF(F7772="","",INDEX(Deals!$E$2:$E$843,F7772))</f>
        <v/>
      </c>
      <c r="I7772">
        <f>IF(F7772="","",INDEX(Deals!$D$2:$D$843,F7772))</f>
        <v/>
      </c>
      <c r="J7772">
        <f>IF(F7772="","",INT(H7772)-B7772)</f>
        <v/>
      </c>
      <c r="K7772">
        <f>IF(B7772&gt;=Settings!$C$5,1,0)</f>
        <v/>
      </c>
    </row>
    <row r="7773">
      <c r="A7773" t="inlineStr">
        <is>
          <t>74b453162e9ba8058b626bbc825e67b4</t>
        </is>
      </c>
      <c r="B7773" s="29" t="n">
        <v>43102</v>
      </c>
      <c r="C7773" t="inlineStr">
        <is>
          <t>2018-01</t>
        </is>
      </c>
      <c r="D7773" t="inlineStr">
        <is>
          <t>b76ef37428e6799c421989521c0e5077</t>
        </is>
      </c>
      <c r="E7773" t="inlineStr">
        <is>
          <t>unknown</t>
        </is>
      </c>
      <c r="F7773">
        <f>IFERROR(MATCH(A7773,Deals!$A$2:$A$843,0),"")</f>
        <v/>
      </c>
      <c r="G7773">
        <f>IF(F7773="",0,1)</f>
        <v/>
      </c>
      <c r="H7773" s="29">
        <f>IF(F7773="","",INDEX(Deals!$E$2:$E$843,F7773))</f>
        <v/>
      </c>
      <c r="I7773">
        <f>IF(F7773="","",INDEX(Deals!$D$2:$D$843,F7773))</f>
        <v/>
      </c>
      <c r="J7773">
        <f>IF(F7773="","",INT(H7773)-B7773)</f>
        <v/>
      </c>
      <c r="K7773">
        <f>IF(B7773&gt;=Settings!$C$5,1,0)</f>
        <v/>
      </c>
    </row>
    <row r="7774">
      <c r="A7774" t="inlineStr">
        <is>
          <t>2436974dd1c97a19bbc99fc38204feea</t>
        </is>
      </c>
      <c r="B7774" s="29" t="n">
        <v>43117</v>
      </c>
      <c r="C7774" t="inlineStr">
        <is>
          <t>2018-01</t>
        </is>
      </c>
      <c r="D7774" t="inlineStr">
        <is>
          <t>88740e65d5d6b056e0cda098e1ea6313</t>
        </is>
      </c>
      <c r="E7774" t="inlineStr">
        <is>
          <t>social</t>
        </is>
      </c>
      <c r="F7774">
        <f>IFERROR(MATCH(A7774,Deals!$A$2:$A$843,0),"")</f>
        <v/>
      </c>
      <c r="G7774">
        <f>IF(F7774="",0,1)</f>
        <v/>
      </c>
      <c r="H7774" s="29">
        <f>IF(F7774="","",INDEX(Deals!$E$2:$E$843,F7774))</f>
        <v/>
      </c>
      <c r="I7774">
        <f>IF(F7774="","",INDEX(Deals!$D$2:$D$843,F7774))</f>
        <v/>
      </c>
      <c r="J7774">
        <f>IF(F7774="","",INT(H7774)-B7774)</f>
        <v/>
      </c>
      <c r="K7774">
        <f>IF(B7774&gt;=Settings!$C$5,1,0)</f>
        <v/>
      </c>
    </row>
    <row r="7775">
      <c r="A7775" t="inlineStr">
        <is>
          <t>c86af7db552f16a11c2e3308074154ac</t>
        </is>
      </c>
      <c r="B7775" s="29" t="n">
        <v>43132</v>
      </c>
      <c r="C7775" t="inlineStr">
        <is>
          <t>2018-02</t>
        </is>
      </c>
      <c r="D7775" t="inlineStr">
        <is>
          <t>88740e65d5d6b056e0cda098e1ea6313</t>
        </is>
      </c>
      <c r="E7775" t="inlineStr">
        <is>
          <t>social</t>
        </is>
      </c>
      <c r="F7775">
        <f>IFERROR(MATCH(A7775,Deals!$A$2:$A$843,0),"")</f>
        <v/>
      </c>
      <c r="G7775">
        <f>IF(F7775="",0,1)</f>
        <v/>
      </c>
      <c r="H7775" s="29">
        <f>IF(F7775="","",INDEX(Deals!$E$2:$E$843,F7775))</f>
        <v/>
      </c>
      <c r="I7775">
        <f>IF(F7775="","",INDEX(Deals!$D$2:$D$843,F7775))</f>
        <v/>
      </c>
      <c r="J7775">
        <f>IF(F7775="","",INT(H7775)-B7775)</f>
        <v/>
      </c>
      <c r="K7775">
        <f>IF(B7775&gt;=Settings!$C$5,1,0)</f>
        <v/>
      </c>
    </row>
    <row r="7776">
      <c r="A7776" t="inlineStr">
        <is>
          <t>43f2d164f59b9d81dc49422105116067</t>
        </is>
      </c>
      <c r="B7776" s="29" t="n">
        <v>43185</v>
      </c>
      <c r="C7776" t="inlineStr">
        <is>
          <t>2018-03</t>
        </is>
      </c>
      <c r="D7776" t="inlineStr">
        <is>
          <t>ce1a65abd0973638f1c887a6efcfa82d</t>
        </is>
      </c>
      <c r="E7776" t="inlineStr">
        <is>
          <t>organic_search</t>
        </is>
      </c>
      <c r="F7776">
        <f>IFERROR(MATCH(A7776,Deals!$A$2:$A$843,0),"")</f>
        <v/>
      </c>
      <c r="G7776">
        <f>IF(F7776="",0,1)</f>
        <v/>
      </c>
      <c r="H7776" s="29">
        <f>IF(F7776="","",INDEX(Deals!$E$2:$E$843,F7776))</f>
        <v/>
      </c>
      <c r="I7776">
        <f>IF(F7776="","",INDEX(Deals!$D$2:$D$843,F7776))</f>
        <v/>
      </c>
      <c r="J7776">
        <f>IF(F7776="","",INT(H7776)-B7776)</f>
        <v/>
      </c>
      <c r="K7776">
        <f>IF(B7776&gt;=Settings!$C$5,1,0)</f>
        <v/>
      </c>
    </row>
    <row r="7777">
      <c r="A7777" t="inlineStr">
        <is>
          <t>98bf5944d8892949be852e1e409e1010</t>
        </is>
      </c>
      <c r="B7777" s="29" t="n">
        <v>43162</v>
      </c>
      <c r="C7777" t="inlineStr">
        <is>
          <t>2018-03</t>
        </is>
      </c>
      <c r="D7777" t="inlineStr">
        <is>
          <t>40dec9f3d5259a3d2dbcdab2114fae47</t>
        </is>
      </c>
      <c r="E7777" t="inlineStr">
        <is>
          <t>paid_search</t>
        </is>
      </c>
      <c r="F7777">
        <f>IFERROR(MATCH(A7777,Deals!$A$2:$A$843,0),"")</f>
        <v/>
      </c>
      <c r="G7777">
        <f>IF(F7777="",0,1)</f>
        <v/>
      </c>
      <c r="H7777" s="29">
        <f>IF(F7777="","",INDEX(Deals!$E$2:$E$843,F7777))</f>
        <v/>
      </c>
      <c r="I7777">
        <f>IF(F7777="","",INDEX(Deals!$D$2:$D$843,F7777))</f>
        <v/>
      </c>
      <c r="J7777">
        <f>IF(F7777="","",INT(H7777)-B7777)</f>
        <v/>
      </c>
      <c r="K7777">
        <f>IF(B7777&gt;=Settings!$C$5,1,0)</f>
        <v/>
      </c>
    </row>
    <row r="7778">
      <c r="A7778" t="inlineStr">
        <is>
          <t>5138b4394084bfe582a7366ceb0b6770</t>
        </is>
      </c>
      <c r="B7778" s="29" t="n">
        <v>43129</v>
      </c>
      <c r="C7778" t="inlineStr">
        <is>
          <t>2018-01</t>
        </is>
      </c>
      <c r="D7778" t="inlineStr">
        <is>
          <t>88740e65d5d6b056e0cda098e1ea6313</t>
        </is>
      </c>
      <c r="E7778" t="inlineStr">
        <is>
          <t>social</t>
        </is>
      </c>
      <c r="F7778">
        <f>IFERROR(MATCH(A7778,Deals!$A$2:$A$843,0),"")</f>
        <v/>
      </c>
      <c r="G7778">
        <f>IF(F7778="",0,1)</f>
        <v/>
      </c>
      <c r="H7778" s="29">
        <f>IF(F7778="","",INDEX(Deals!$E$2:$E$843,F7778))</f>
        <v/>
      </c>
      <c r="I7778">
        <f>IF(F7778="","",INDEX(Deals!$D$2:$D$843,F7778))</f>
        <v/>
      </c>
      <c r="J7778">
        <f>IF(F7778="","",INT(H7778)-B7778)</f>
        <v/>
      </c>
      <c r="K7778">
        <f>IF(B7778&gt;=Settings!$C$5,1,0)</f>
        <v/>
      </c>
    </row>
    <row r="7779">
      <c r="A7779" t="inlineStr">
        <is>
          <t>91e1dd5f3d0336288082f26734c6de08</t>
        </is>
      </c>
      <c r="B7779" s="29" t="n">
        <v>43129</v>
      </c>
      <c r="C7779" t="inlineStr">
        <is>
          <t>2018-01</t>
        </is>
      </c>
      <c r="D7779" t="inlineStr">
        <is>
          <t>22c29808c4f815213303f8933030604c</t>
        </is>
      </c>
      <c r="E7779" t="inlineStr">
        <is>
          <t>organic_search</t>
        </is>
      </c>
      <c r="F7779">
        <f>IFERROR(MATCH(A7779,Deals!$A$2:$A$843,0),"")</f>
        <v/>
      </c>
      <c r="G7779">
        <f>IF(F7779="",0,1)</f>
        <v/>
      </c>
      <c r="H7779" s="29">
        <f>IF(F7779="","",INDEX(Deals!$E$2:$E$843,F7779))</f>
        <v/>
      </c>
      <c r="I7779">
        <f>IF(F7779="","",INDEX(Deals!$D$2:$D$843,F7779))</f>
        <v/>
      </c>
      <c r="J7779">
        <f>IF(F7779="","",INT(H7779)-B7779)</f>
        <v/>
      </c>
      <c r="K7779">
        <f>IF(B7779&gt;=Settings!$C$5,1,0)</f>
        <v/>
      </c>
    </row>
    <row r="7780">
      <c r="A7780" t="inlineStr">
        <is>
          <t>d956458b294b3c3210ced019c6cdd236</t>
        </is>
      </c>
      <c r="B7780" s="29" t="n">
        <v>43123</v>
      </c>
      <c r="C7780" t="inlineStr">
        <is>
          <t>2018-01</t>
        </is>
      </c>
      <c r="D7780" t="inlineStr">
        <is>
          <t>22c29808c4f815213303f8933030604c</t>
        </is>
      </c>
      <c r="E7780" t="inlineStr">
        <is>
          <t>organic_search</t>
        </is>
      </c>
      <c r="F7780">
        <f>IFERROR(MATCH(A7780,Deals!$A$2:$A$843,0),"")</f>
        <v/>
      </c>
      <c r="G7780">
        <f>IF(F7780="",0,1)</f>
        <v/>
      </c>
      <c r="H7780" s="29">
        <f>IF(F7780="","",INDEX(Deals!$E$2:$E$843,F7780))</f>
        <v/>
      </c>
      <c r="I7780">
        <f>IF(F7780="","",INDEX(Deals!$D$2:$D$843,F7780))</f>
        <v/>
      </c>
      <c r="J7780">
        <f>IF(F7780="","",INT(H7780)-B7780)</f>
        <v/>
      </c>
      <c r="K7780">
        <f>IF(B7780&gt;=Settings!$C$5,1,0)</f>
        <v/>
      </c>
    </row>
    <row r="7781">
      <c r="A7781" t="inlineStr">
        <is>
          <t>3a7c2a3144427d8921928f3ab3112bf7</t>
        </is>
      </c>
      <c r="B7781" s="29" t="n">
        <v>43140</v>
      </c>
      <c r="C7781" t="inlineStr">
        <is>
          <t>2018-02</t>
        </is>
      </c>
      <c r="D7781" t="inlineStr">
        <is>
          <t>88740e65d5d6b056e0cda098e1ea6313</t>
        </is>
      </c>
      <c r="E7781" t="inlineStr">
        <is>
          <t>unknown</t>
        </is>
      </c>
      <c r="F7781">
        <f>IFERROR(MATCH(A7781,Deals!$A$2:$A$843,0),"")</f>
        <v/>
      </c>
      <c r="G7781">
        <f>IF(F7781="",0,1)</f>
        <v/>
      </c>
      <c r="H7781" s="29">
        <f>IF(F7781="","",INDEX(Deals!$E$2:$E$843,F7781))</f>
        <v/>
      </c>
      <c r="I7781">
        <f>IF(F7781="","",INDEX(Deals!$D$2:$D$843,F7781))</f>
        <v/>
      </c>
      <c r="J7781">
        <f>IF(F7781="","",INT(H7781)-B7781)</f>
        <v/>
      </c>
      <c r="K7781">
        <f>IF(B7781&gt;=Settings!$C$5,1,0)</f>
        <v/>
      </c>
    </row>
    <row r="7782">
      <c r="A7782" t="inlineStr">
        <is>
          <t>56531bdc6a5bd4b17cc9210fd9633fa4</t>
        </is>
      </c>
      <c r="B7782" s="29" t="n">
        <v>43226</v>
      </c>
      <c r="C7782" t="inlineStr">
        <is>
          <t>2018-05</t>
        </is>
      </c>
      <c r="D7782" t="inlineStr">
        <is>
          <t>58326e62183c14b0c03085c33b9fdc44</t>
        </is>
      </c>
      <c r="E7782" t="inlineStr">
        <is>
          <t>social</t>
        </is>
      </c>
      <c r="F7782">
        <f>IFERROR(MATCH(A7782,Deals!$A$2:$A$843,0),"")</f>
        <v/>
      </c>
      <c r="G7782">
        <f>IF(F7782="",0,1)</f>
        <v/>
      </c>
      <c r="H7782" s="29">
        <f>IF(F7782="","",INDEX(Deals!$E$2:$E$843,F7782))</f>
        <v/>
      </c>
      <c r="I7782">
        <f>IF(F7782="","",INDEX(Deals!$D$2:$D$843,F7782))</f>
        <v/>
      </c>
      <c r="J7782">
        <f>IF(F7782="","",INT(H7782)-B7782)</f>
        <v/>
      </c>
      <c r="K7782">
        <f>IF(B7782&gt;=Settings!$C$5,1,0)</f>
        <v/>
      </c>
    </row>
    <row r="7783">
      <c r="A7783" t="inlineStr">
        <is>
          <t>d626dd0e6150aeaad279e4f4bdfad8ab</t>
        </is>
      </c>
      <c r="B7783" s="29" t="n">
        <v>43046</v>
      </c>
      <c r="C7783" t="inlineStr">
        <is>
          <t>2017-11</t>
        </is>
      </c>
      <c r="D7783" t="inlineStr">
        <is>
          <t>87780f7c05ecd79791bde76af663db15</t>
        </is>
      </c>
      <c r="E7783" t="inlineStr">
        <is>
          <t>social</t>
        </is>
      </c>
      <c r="F7783">
        <f>IFERROR(MATCH(A7783,Deals!$A$2:$A$843,0),"")</f>
        <v/>
      </c>
      <c r="G7783">
        <f>IF(F7783="",0,1)</f>
        <v/>
      </c>
      <c r="H7783" s="29">
        <f>IF(F7783="","",INDEX(Deals!$E$2:$E$843,F7783))</f>
        <v/>
      </c>
      <c r="I7783">
        <f>IF(F7783="","",INDEX(Deals!$D$2:$D$843,F7783))</f>
        <v/>
      </c>
      <c r="J7783">
        <f>IF(F7783="","",INT(H7783)-B7783)</f>
        <v/>
      </c>
      <c r="K7783">
        <f>IF(B7783&gt;=Settings!$C$5,1,0)</f>
        <v/>
      </c>
    </row>
    <row r="7784">
      <c r="A7784" t="inlineStr">
        <is>
          <t>1acc40b7524b3a02423b562ffbd13ff6</t>
        </is>
      </c>
      <c r="B7784" s="29" t="n">
        <v>43209</v>
      </c>
      <c r="C7784" t="inlineStr">
        <is>
          <t>2018-04</t>
        </is>
      </c>
      <c r="D7784" t="inlineStr">
        <is>
          <t>15cf89bab2c3163b4f9d8601d108f8b2</t>
        </is>
      </c>
      <c r="E7784" t="inlineStr">
        <is>
          <t>organic_search</t>
        </is>
      </c>
      <c r="F7784">
        <f>IFERROR(MATCH(A7784,Deals!$A$2:$A$843,0),"")</f>
        <v/>
      </c>
      <c r="G7784">
        <f>IF(F7784="",0,1)</f>
        <v/>
      </c>
      <c r="H7784" s="29">
        <f>IF(F7784="","",INDEX(Deals!$E$2:$E$843,F7784))</f>
        <v/>
      </c>
      <c r="I7784">
        <f>IF(F7784="","",INDEX(Deals!$D$2:$D$843,F7784))</f>
        <v/>
      </c>
      <c r="J7784">
        <f>IF(F7784="","",INT(H7784)-B7784)</f>
        <v/>
      </c>
      <c r="K7784">
        <f>IF(B7784&gt;=Settings!$C$5,1,0)</f>
        <v/>
      </c>
    </row>
    <row r="7785">
      <c r="A7785" t="inlineStr">
        <is>
          <t>702c7c3c2936d1b5a651c1cd184b2e7f</t>
        </is>
      </c>
      <c r="B7785" s="29" t="n">
        <v>43247</v>
      </c>
      <c r="C7785" t="inlineStr">
        <is>
          <t>2018-05</t>
        </is>
      </c>
      <c r="D7785" t="inlineStr">
        <is>
          <t>b76ef37428e6799c421989521c0e5077</t>
        </is>
      </c>
      <c r="E7785" t="inlineStr">
        <is>
          <t>organic_search</t>
        </is>
      </c>
      <c r="F7785">
        <f>IFERROR(MATCH(A7785,Deals!$A$2:$A$843,0),"")</f>
        <v/>
      </c>
      <c r="G7785">
        <f>IF(F7785="",0,1)</f>
        <v/>
      </c>
      <c r="H7785" s="29">
        <f>IF(F7785="","",INDEX(Deals!$E$2:$E$843,F7785))</f>
        <v/>
      </c>
      <c r="I7785">
        <f>IF(F7785="","",INDEX(Deals!$D$2:$D$843,F7785))</f>
        <v/>
      </c>
      <c r="J7785">
        <f>IF(F7785="","",INT(H7785)-B7785)</f>
        <v/>
      </c>
      <c r="K7785">
        <f>IF(B7785&gt;=Settings!$C$5,1,0)</f>
        <v/>
      </c>
    </row>
    <row r="7786">
      <c r="A7786" t="inlineStr">
        <is>
          <t>c5d566ec3c2d5e81193cec5703b0c71c</t>
        </is>
      </c>
      <c r="B7786" s="29" t="n">
        <v>43046</v>
      </c>
      <c r="C7786" t="inlineStr">
        <is>
          <t>2017-11</t>
        </is>
      </c>
      <c r="D7786" t="inlineStr">
        <is>
          <t>0b37d43dbde6452cdd94c17bf61a88e4</t>
        </is>
      </c>
      <c r="E7786" t="inlineStr">
        <is>
          <t>direct_traffic</t>
        </is>
      </c>
      <c r="F7786">
        <f>IFERROR(MATCH(A7786,Deals!$A$2:$A$843,0),"")</f>
        <v/>
      </c>
      <c r="G7786">
        <f>IF(F7786="",0,1)</f>
        <v/>
      </c>
      <c r="H7786" s="29">
        <f>IF(F7786="","",INDEX(Deals!$E$2:$E$843,F7786))</f>
        <v/>
      </c>
      <c r="I7786">
        <f>IF(F7786="","",INDEX(Deals!$D$2:$D$843,F7786))</f>
        <v/>
      </c>
      <c r="J7786">
        <f>IF(F7786="","",INT(H7786)-B7786)</f>
        <v/>
      </c>
      <c r="K7786">
        <f>IF(B7786&gt;=Settings!$C$5,1,0)</f>
        <v/>
      </c>
    </row>
    <row r="7787">
      <c r="A7787" t="inlineStr">
        <is>
          <t>4fb8803544d0328d810a66b3d9a75c47</t>
        </is>
      </c>
      <c r="B7787" s="29" t="n">
        <v>43240</v>
      </c>
      <c r="C7787" t="inlineStr">
        <is>
          <t>2018-05</t>
        </is>
      </c>
      <c r="D7787" t="inlineStr">
        <is>
          <t>22c29808c4f815213303f8933030604c</t>
        </is>
      </c>
      <c r="E7787" t="inlineStr">
        <is>
          <t>direct_traffic</t>
        </is>
      </c>
      <c r="F7787">
        <f>IFERROR(MATCH(A7787,Deals!$A$2:$A$843,0),"")</f>
        <v/>
      </c>
      <c r="G7787">
        <f>IF(F7787="",0,1)</f>
        <v/>
      </c>
      <c r="H7787" s="29">
        <f>IF(F7787="","",INDEX(Deals!$E$2:$E$843,F7787))</f>
        <v/>
      </c>
      <c r="I7787">
        <f>IF(F7787="","",INDEX(Deals!$D$2:$D$843,F7787))</f>
        <v/>
      </c>
      <c r="J7787">
        <f>IF(F7787="","",INT(H7787)-B7787)</f>
        <v/>
      </c>
      <c r="K7787">
        <f>IF(B7787&gt;=Settings!$C$5,1,0)</f>
        <v/>
      </c>
    </row>
    <row r="7788">
      <c r="A7788" t="inlineStr">
        <is>
          <t>2b3c3b0699a961dabc0e33f47f9d835a</t>
        </is>
      </c>
      <c r="B7788" s="29" t="n">
        <v>43201</v>
      </c>
      <c r="C7788" t="inlineStr">
        <is>
          <t>2018-04</t>
        </is>
      </c>
      <c r="D7788" t="inlineStr">
        <is>
          <t>58326e62183c14b0c03085c33b9fdc44</t>
        </is>
      </c>
      <c r="E7788" t="inlineStr">
        <is>
          <t>social</t>
        </is>
      </c>
      <c r="F7788">
        <f>IFERROR(MATCH(A7788,Deals!$A$2:$A$843,0),"")</f>
        <v/>
      </c>
      <c r="G7788">
        <f>IF(F7788="",0,1)</f>
        <v/>
      </c>
      <c r="H7788" s="29">
        <f>IF(F7788="","",INDEX(Deals!$E$2:$E$843,F7788))</f>
        <v/>
      </c>
      <c r="I7788">
        <f>IF(F7788="","",INDEX(Deals!$D$2:$D$843,F7788))</f>
        <v/>
      </c>
      <c r="J7788">
        <f>IF(F7788="","",INT(H7788)-B7788)</f>
        <v/>
      </c>
      <c r="K7788">
        <f>IF(B7788&gt;=Settings!$C$5,1,0)</f>
        <v/>
      </c>
    </row>
    <row r="7789">
      <c r="A7789" t="inlineStr">
        <is>
          <t>7029a498c4f596f73b35504df9bab02a</t>
        </is>
      </c>
      <c r="B7789" s="29" t="n">
        <v>43217</v>
      </c>
      <c r="C7789" t="inlineStr">
        <is>
          <t>2018-04</t>
        </is>
      </c>
      <c r="D7789" t="inlineStr">
        <is>
          <t>f80696b73d17fb34f5c4fde157f119d8</t>
        </is>
      </c>
      <c r="E7789" t="inlineStr">
        <is>
          <t>email</t>
        </is>
      </c>
      <c r="F7789">
        <f>IFERROR(MATCH(A7789,Deals!$A$2:$A$843,0),"")</f>
        <v/>
      </c>
      <c r="G7789">
        <f>IF(F7789="",0,1)</f>
        <v/>
      </c>
      <c r="H7789" s="29">
        <f>IF(F7789="","",INDEX(Deals!$E$2:$E$843,F7789))</f>
        <v/>
      </c>
      <c r="I7789">
        <f>IF(F7789="","",INDEX(Deals!$D$2:$D$843,F7789))</f>
        <v/>
      </c>
      <c r="J7789">
        <f>IF(F7789="","",INT(H7789)-B7789)</f>
        <v/>
      </c>
      <c r="K7789">
        <f>IF(B7789&gt;=Settings!$C$5,1,0)</f>
        <v/>
      </c>
    </row>
    <row r="7790">
      <c r="A7790" t="inlineStr">
        <is>
          <t>93de42b079dbd3509c11c6ce85d823c1</t>
        </is>
      </c>
      <c r="B7790" s="29" t="n">
        <v>43212</v>
      </c>
      <c r="C7790" t="inlineStr">
        <is>
          <t>2018-04</t>
        </is>
      </c>
      <c r="D7790" t="inlineStr">
        <is>
          <t>649b7b8b46b254497e92038d88f6ced8</t>
        </is>
      </c>
      <c r="E7790" t="inlineStr">
        <is>
          <t>social</t>
        </is>
      </c>
      <c r="F7790">
        <f>IFERROR(MATCH(A7790,Deals!$A$2:$A$843,0),"")</f>
        <v/>
      </c>
      <c r="G7790">
        <f>IF(F7790="",0,1)</f>
        <v/>
      </c>
      <c r="H7790" s="29">
        <f>IF(F7790="","",INDEX(Deals!$E$2:$E$843,F7790))</f>
        <v/>
      </c>
      <c r="I7790">
        <f>IF(F7790="","",INDEX(Deals!$D$2:$D$843,F7790))</f>
        <v/>
      </c>
      <c r="J7790">
        <f>IF(F7790="","",INT(H7790)-B7790)</f>
        <v/>
      </c>
      <c r="K7790">
        <f>IF(B7790&gt;=Settings!$C$5,1,0)</f>
        <v/>
      </c>
    </row>
    <row r="7791">
      <c r="A7791" t="inlineStr">
        <is>
          <t>b3d72af547b23265305eda666dd749f9</t>
        </is>
      </c>
      <c r="B7791" s="29" t="n">
        <v>43128</v>
      </c>
      <c r="C7791" t="inlineStr">
        <is>
          <t>2018-01</t>
        </is>
      </c>
      <c r="D7791" t="inlineStr">
        <is>
          <t>7fa6214d82e911d070f51ef79381b956</t>
        </is>
      </c>
      <c r="E7791" t="inlineStr">
        <is>
          <t>organic_search</t>
        </is>
      </c>
      <c r="F7791">
        <f>IFERROR(MATCH(A7791,Deals!$A$2:$A$843,0),"")</f>
        <v/>
      </c>
      <c r="G7791">
        <f>IF(F7791="",0,1)</f>
        <v/>
      </c>
      <c r="H7791" s="29">
        <f>IF(F7791="","",INDEX(Deals!$E$2:$E$843,F7791))</f>
        <v/>
      </c>
      <c r="I7791">
        <f>IF(F7791="","",INDEX(Deals!$D$2:$D$843,F7791))</f>
        <v/>
      </c>
      <c r="J7791">
        <f>IF(F7791="","",INT(H7791)-B7791)</f>
        <v/>
      </c>
      <c r="K7791">
        <f>IF(B7791&gt;=Settings!$C$5,1,0)</f>
        <v/>
      </c>
    </row>
    <row r="7792">
      <c r="A7792" t="inlineStr">
        <is>
          <t>f7f9aec108283fc34065ced39c301528</t>
        </is>
      </c>
      <c r="B7792" s="29" t="n">
        <v>43151</v>
      </c>
      <c r="C7792" t="inlineStr">
        <is>
          <t>2018-02</t>
        </is>
      </c>
      <c r="D7792" t="inlineStr">
        <is>
          <t>27cd3540bace1f4a4b2bc6d319b0553c</t>
        </is>
      </c>
      <c r="E7792" t="inlineStr">
        <is>
          <t>unknown</t>
        </is>
      </c>
      <c r="F7792">
        <f>IFERROR(MATCH(A7792,Deals!$A$2:$A$843,0),"")</f>
        <v/>
      </c>
      <c r="G7792">
        <f>IF(F7792="",0,1)</f>
        <v/>
      </c>
      <c r="H7792" s="29">
        <f>IF(F7792="","",INDEX(Deals!$E$2:$E$843,F7792))</f>
        <v/>
      </c>
      <c r="I7792">
        <f>IF(F7792="","",INDEX(Deals!$D$2:$D$843,F7792))</f>
        <v/>
      </c>
      <c r="J7792">
        <f>IF(F7792="","",INT(H7792)-B7792)</f>
        <v/>
      </c>
      <c r="K7792">
        <f>IF(B7792&gt;=Settings!$C$5,1,0)</f>
        <v/>
      </c>
    </row>
    <row r="7793">
      <c r="A7793" t="inlineStr">
        <is>
          <t>d0dcbef5a8ea4e3440294882ca3d7cfb</t>
        </is>
      </c>
      <c r="B7793" s="29" t="n">
        <v>43172</v>
      </c>
      <c r="C7793" t="inlineStr">
        <is>
          <t>2018-03</t>
        </is>
      </c>
      <c r="D7793" t="inlineStr">
        <is>
          <t>b76ef37428e6799c421989521c0e5077</t>
        </is>
      </c>
      <c r="E7793" t="inlineStr">
        <is>
          <t>unknown</t>
        </is>
      </c>
      <c r="F7793">
        <f>IFERROR(MATCH(A7793,Deals!$A$2:$A$843,0),"")</f>
        <v/>
      </c>
      <c r="G7793">
        <f>IF(F7793="",0,1)</f>
        <v/>
      </c>
      <c r="H7793" s="29">
        <f>IF(F7793="","",INDEX(Deals!$E$2:$E$843,F7793))</f>
        <v/>
      </c>
      <c r="I7793">
        <f>IF(F7793="","",INDEX(Deals!$D$2:$D$843,F7793))</f>
        <v/>
      </c>
      <c r="J7793">
        <f>IF(F7793="","",INT(H7793)-B7793)</f>
        <v/>
      </c>
      <c r="K7793">
        <f>IF(B7793&gt;=Settings!$C$5,1,0)</f>
        <v/>
      </c>
    </row>
    <row r="7794">
      <c r="A7794" t="inlineStr">
        <is>
          <t>db86b46760e47dba2bc98b9558aa20cb</t>
        </is>
      </c>
      <c r="B7794" s="29" t="n">
        <v>43138</v>
      </c>
      <c r="C7794" t="inlineStr">
        <is>
          <t>2018-02</t>
        </is>
      </c>
      <c r="D7794" t="inlineStr">
        <is>
          <t>b76ef37428e6799c421989521c0e5077</t>
        </is>
      </c>
      <c r="E7794" t="inlineStr">
        <is>
          <t>paid_search</t>
        </is>
      </c>
      <c r="F7794">
        <f>IFERROR(MATCH(A7794,Deals!$A$2:$A$843,0),"")</f>
        <v/>
      </c>
      <c r="G7794">
        <f>IF(F7794="",0,1)</f>
        <v/>
      </c>
      <c r="H7794" s="29">
        <f>IF(F7794="","",INDEX(Deals!$E$2:$E$843,F7794))</f>
        <v/>
      </c>
      <c r="I7794">
        <f>IF(F7794="","",INDEX(Deals!$D$2:$D$843,F7794))</f>
        <v/>
      </c>
      <c r="J7794">
        <f>IF(F7794="","",INT(H7794)-B7794)</f>
        <v/>
      </c>
      <c r="K7794">
        <f>IF(B7794&gt;=Settings!$C$5,1,0)</f>
        <v/>
      </c>
    </row>
    <row r="7795">
      <c r="A7795" t="inlineStr">
        <is>
          <t>96bd45d5e935c252c3aa57552a94af25</t>
        </is>
      </c>
      <c r="B7795" s="29" t="n">
        <v>42971</v>
      </c>
      <c r="C7795" t="inlineStr">
        <is>
          <t>2017-08</t>
        </is>
      </c>
      <c r="D7795" t="inlineStr">
        <is>
          <t>e492ee5eaf1697716985cc6f33f9cd9b</t>
        </is>
      </c>
      <c r="E7795" t="inlineStr">
        <is>
          <t>organic_search</t>
        </is>
      </c>
      <c r="F7795">
        <f>IFERROR(MATCH(A7795,Deals!$A$2:$A$843,0),"")</f>
        <v/>
      </c>
      <c r="G7795">
        <f>IF(F7795="",0,1)</f>
        <v/>
      </c>
      <c r="H7795" s="29">
        <f>IF(F7795="","",INDEX(Deals!$E$2:$E$843,F7795))</f>
        <v/>
      </c>
      <c r="I7795">
        <f>IF(F7795="","",INDEX(Deals!$D$2:$D$843,F7795))</f>
        <v/>
      </c>
      <c r="J7795">
        <f>IF(F7795="","",INT(H7795)-B7795)</f>
        <v/>
      </c>
      <c r="K7795">
        <f>IF(B7795&gt;=Settings!$C$5,1,0)</f>
        <v/>
      </c>
    </row>
    <row r="7796">
      <c r="A7796" t="inlineStr">
        <is>
          <t>32a2bacb528ea401c06b17376cad237e</t>
        </is>
      </c>
      <c r="B7796" s="29" t="n">
        <v>43014</v>
      </c>
      <c r="C7796" t="inlineStr">
        <is>
          <t>2017-10</t>
        </is>
      </c>
      <c r="D7796" t="inlineStr">
        <is>
          <t>a7982125ff7aa3b2054c6e44f9d28522</t>
        </is>
      </c>
      <c r="E7796" t="inlineStr">
        <is>
          <t>paid_search</t>
        </is>
      </c>
      <c r="F7796">
        <f>IFERROR(MATCH(A7796,Deals!$A$2:$A$843,0),"")</f>
        <v/>
      </c>
      <c r="G7796">
        <f>IF(F7796="",0,1)</f>
        <v/>
      </c>
      <c r="H7796" s="29">
        <f>IF(F7796="","",INDEX(Deals!$E$2:$E$843,F7796))</f>
        <v/>
      </c>
      <c r="I7796">
        <f>IF(F7796="","",INDEX(Deals!$D$2:$D$843,F7796))</f>
        <v/>
      </c>
      <c r="J7796">
        <f>IF(F7796="","",INT(H7796)-B7796)</f>
        <v/>
      </c>
      <c r="K7796">
        <f>IF(B7796&gt;=Settings!$C$5,1,0)</f>
        <v/>
      </c>
    </row>
    <row r="7797">
      <c r="A7797" t="inlineStr">
        <is>
          <t>9cd4fbcdff1e2235166f1ccd5b4398ea</t>
        </is>
      </c>
      <c r="B7797" s="29" t="n">
        <v>43187</v>
      </c>
      <c r="C7797" t="inlineStr">
        <is>
          <t>2018-03</t>
        </is>
      </c>
      <c r="D7797" t="inlineStr">
        <is>
          <t>58326e62183c14b0c03085c33b9fdc44</t>
        </is>
      </c>
      <c r="E7797" t="inlineStr">
        <is>
          <t>social</t>
        </is>
      </c>
      <c r="F7797">
        <f>IFERROR(MATCH(A7797,Deals!$A$2:$A$843,0),"")</f>
        <v/>
      </c>
      <c r="G7797">
        <f>IF(F7797="",0,1)</f>
        <v/>
      </c>
      <c r="H7797" s="29">
        <f>IF(F7797="","",INDEX(Deals!$E$2:$E$843,F7797))</f>
        <v/>
      </c>
      <c r="I7797">
        <f>IF(F7797="","",INDEX(Deals!$D$2:$D$843,F7797))</f>
        <v/>
      </c>
      <c r="J7797">
        <f>IF(F7797="","",INT(H7797)-B7797)</f>
        <v/>
      </c>
      <c r="K7797">
        <f>IF(B7797&gt;=Settings!$C$5,1,0)</f>
        <v/>
      </c>
    </row>
    <row r="7798">
      <c r="A7798" t="inlineStr">
        <is>
          <t>9e06933b93b8ec7f863656f6f08f0417</t>
        </is>
      </c>
      <c r="B7798" s="29" t="n">
        <v>43246</v>
      </c>
      <c r="C7798" t="inlineStr">
        <is>
          <t>2018-05</t>
        </is>
      </c>
      <c r="D7798" t="inlineStr">
        <is>
          <t>5dc848e7dd9418dffe183215b8ff0bc1</t>
        </is>
      </c>
      <c r="E7798" t="inlineStr">
        <is>
          <t>paid_search</t>
        </is>
      </c>
      <c r="F7798">
        <f>IFERROR(MATCH(A7798,Deals!$A$2:$A$843,0),"")</f>
        <v/>
      </c>
      <c r="G7798">
        <f>IF(F7798="",0,1)</f>
        <v/>
      </c>
      <c r="H7798" s="29">
        <f>IF(F7798="","",INDEX(Deals!$E$2:$E$843,F7798))</f>
        <v/>
      </c>
      <c r="I7798">
        <f>IF(F7798="","",INDEX(Deals!$D$2:$D$843,F7798))</f>
        <v/>
      </c>
      <c r="J7798">
        <f>IF(F7798="","",INT(H7798)-B7798)</f>
        <v/>
      </c>
      <c r="K7798">
        <f>IF(B7798&gt;=Settings!$C$5,1,0)</f>
        <v/>
      </c>
    </row>
    <row r="7799">
      <c r="A7799" t="inlineStr">
        <is>
          <t>f8e8ce58b493febecbbf3c12b18353dc</t>
        </is>
      </c>
      <c r="B7799" s="29" t="n">
        <v>43158</v>
      </c>
      <c r="C7799" t="inlineStr">
        <is>
          <t>2018-02</t>
        </is>
      </c>
      <c r="D7799" t="inlineStr">
        <is>
          <t>b76ef37428e6799c421989521c0e5077</t>
        </is>
      </c>
      <c r="E7799" t="inlineStr">
        <is>
          <t>unknown</t>
        </is>
      </c>
      <c r="F7799">
        <f>IFERROR(MATCH(A7799,Deals!$A$2:$A$843,0),"")</f>
        <v/>
      </c>
      <c r="G7799">
        <f>IF(F7799="",0,1)</f>
        <v/>
      </c>
      <c r="H7799" s="29">
        <f>IF(F7799="","",INDEX(Deals!$E$2:$E$843,F7799))</f>
        <v/>
      </c>
      <c r="I7799">
        <f>IF(F7799="","",INDEX(Deals!$D$2:$D$843,F7799))</f>
        <v/>
      </c>
      <c r="J7799">
        <f>IF(F7799="","",INT(H7799)-B7799)</f>
        <v/>
      </c>
      <c r="K7799">
        <f>IF(B7799&gt;=Settings!$C$5,1,0)</f>
        <v/>
      </c>
    </row>
    <row r="7800">
      <c r="A7800" t="inlineStr">
        <is>
          <t>1292e5b9689d1e616e2034b44e1e701a</t>
        </is>
      </c>
      <c r="B7800" s="29" t="n">
        <v>43241</v>
      </c>
      <c r="C7800" t="inlineStr">
        <is>
          <t>2018-05</t>
        </is>
      </c>
      <c r="D7800" t="inlineStr">
        <is>
          <t>58326e62183c14b0c03085c33b9fdc44</t>
        </is>
      </c>
      <c r="E7800" t="inlineStr">
        <is>
          <t>unknown</t>
        </is>
      </c>
      <c r="F7800">
        <f>IFERROR(MATCH(A7800,Deals!$A$2:$A$843,0),"")</f>
        <v/>
      </c>
      <c r="G7800">
        <f>IF(F7800="",0,1)</f>
        <v/>
      </c>
      <c r="H7800" s="29">
        <f>IF(F7800="","",INDEX(Deals!$E$2:$E$843,F7800))</f>
        <v/>
      </c>
      <c r="I7800">
        <f>IF(F7800="","",INDEX(Deals!$D$2:$D$843,F7800))</f>
        <v/>
      </c>
      <c r="J7800">
        <f>IF(F7800="","",INT(H7800)-B7800)</f>
        <v/>
      </c>
      <c r="K7800">
        <f>IF(B7800&gt;=Settings!$C$5,1,0)</f>
        <v/>
      </c>
    </row>
    <row r="7801">
      <c r="A7801" t="inlineStr">
        <is>
          <t>b4f6990eb781c566de8d91cb6fe6ca5d</t>
        </is>
      </c>
      <c r="B7801" s="29" t="n">
        <v>43138</v>
      </c>
      <c r="C7801" t="inlineStr">
        <is>
          <t>2018-02</t>
        </is>
      </c>
      <c r="D7801" t="inlineStr">
        <is>
          <t>616767b0bfb0a97510747d8bbcc40290</t>
        </is>
      </c>
      <c r="E7801" t="inlineStr">
        <is>
          <t>paid_search</t>
        </is>
      </c>
      <c r="F7801">
        <f>IFERROR(MATCH(A7801,Deals!$A$2:$A$843,0),"")</f>
        <v/>
      </c>
      <c r="G7801">
        <f>IF(F7801="",0,1)</f>
        <v/>
      </c>
      <c r="H7801" s="29">
        <f>IF(F7801="","",INDEX(Deals!$E$2:$E$843,F7801))</f>
        <v/>
      </c>
      <c r="I7801">
        <f>IF(F7801="","",INDEX(Deals!$D$2:$D$843,F7801))</f>
        <v/>
      </c>
      <c r="J7801">
        <f>IF(F7801="","",INT(H7801)-B7801)</f>
        <v/>
      </c>
      <c r="K7801">
        <f>IF(B7801&gt;=Settings!$C$5,1,0)</f>
        <v/>
      </c>
    </row>
    <row r="7802">
      <c r="A7802" t="inlineStr">
        <is>
          <t>c66a17731d03038e82f6cbdd325c3fdd</t>
        </is>
      </c>
      <c r="B7802" s="29" t="n">
        <v>43201</v>
      </c>
      <c r="C7802" t="inlineStr">
        <is>
          <t>2018-04</t>
        </is>
      </c>
      <c r="D7802" t="inlineStr">
        <is>
          <t>b76ef37428e6799c421989521c0e5077</t>
        </is>
      </c>
      <c r="E7802" t="inlineStr">
        <is>
          <t>unknown</t>
        </is>
      </c>
      <c r="F7802">
        <f>IFERROR(MATCH(A7802,Deals!$A$2:$A$843,0),"")</f>
        <v/>
      </c>
      <c r="G7802">
        <f>IF(F7802="",0,1)</f>
        <v/>
      </c>
      <c r="H7802" s="29">
        <f>IF(F7802="","",INDEX(Deals!$E$2:$E$843,F7802))</f>
        <v/>
      </c>
      <c r="I7802">
        <f>IF(F7802="","",INDEX(Deals!$D$2:$D$843,F7802))</f>
        <v/>
      </c>
      <c r="J7802">
        <f>IF(F7802="","",INT(H7802)-B7802)</f>
        <v/>
      </c>
      <c r="K7802">
        <f>IF(B7802&gt;=Settings!$C$5,1,0)</f>
        <v/>
      </c>
    </row>
    <row r="7803">
      <c r="A7803" t="inlineStr">
        <is>
          <t>cef5d42e943133ca564a6edad3f5f8c8</t>
        </is>
      </c>
      <c r="B7803" s="29" t="n">
        <v>43240</v>
      </c>
      <c r="C7803" t="inlineStr">
        <is>
          <t>2018-05</t>
        </is>
      </c>
      <c r="D7803" t="inlineStr">
        <is>
          <t>f017be4dbf86243af5c1ebed0cff36a2</t>
        </is>
      </c>
      <c r="E7803" t="inlineStr">
        <is>
          <t>paid_search</t>
        </is>
      </c>
      <c r="F7803">
        <f>IFERROR(MATCH(A7803,Deals!$A$2:$A$843,0),"")</f>
        <v/>
      </c>
      <c r="G7803">
        <f>IF(F7803="",0,1)</f>
        <v/>
      </c>
      <c r="H7803" s="29">
        <f>IF(F7803="","",INDEX(Deals!$E$2:$E$843,F7803))</f>
        <v/>
      </c>
      <c r="I7803">
        <f>IF(F7803="","",INDEX(Deals!$D$2:$D$843,F7803))</f>
        <v/>
      </c>
      <c r="J7803">
        <f>IF(F7803="","",INT(H7803)-B7803)</f>
        <v/>
      </c>
      <c r="K7803">
        <f>IF(B7803&gt;=Settings!$C$5,1,0)</f>
        <v/>
      </c>
    </row>
    <row r="7804">
      <c r="A7804" t="inlineStr">
        <is>
          <t>27848a3b8b38339b73bc30ff9deff7a2</t>
        </is>
      </c>
      <c r="B7804" s="29" t="n">
        <v>43216</v>
      </c>
      <c r="C7804" t="inlineStr">
        <is>
          <t>2018-04</t>
        </is>
      </c>
      <c r="D7804" t="inlineStr">
        <is>
          <t>0b353d6bc27566f1d238313c33d95f56</t>
        </is>
      </c>
      <c r="E7804" t="inlineStr">
        <is>
          <t>organic_search</t>
        </is>
      </c>
      <c r="F7804">
        <f>IFERROR(MATCH(A7804,Deals!$A$2:$A$843,0),"")</f>
        <v/>
      </c>
      <c r="G7804">
        <f>IF(F7804="",0,1)</f>
        <v/>
      </c>
      <c r="H7804" s="29">
        <f>IF(F7804="","",INDEX(Deals!$E$2:$E$843,F7804))</f>
        <v/>
      </c>
      <c r="I7804">
        <f>IF(F7804="","",INDEX(Deals!$D$2:$D$843,F7804))</f>
        <v/>
      </c>
      <c r="J7804">
        <f>IF(F7804="","",INT(H7804)-B7804)</f>
        <v/>
      </c>
      <c r="K7804">
        <f>IF(B7804&gt;=Settings!$C$5,1,0)</f>
        <v/>
      </c>
    </row>
    <row r="7805">
      <c r="A7805" t="inlineStr">
        <is>
          <t>b1769d94389e6138512b844516977225</t>
        </is>
      </c>
      <c r="B7805" s="29" t="n">
        <v>43122</v>
      </c>
      <c r="C7805" t="inlineStr">
        <is>
          <t>2018-01</t>
        </is>
      </c>
      <c r="D7805" t="inlineStr">
        <is>
          <t>b48ec5f3b04e9068441002a19df93c6c</t>
        </is>
      </c>
      <c r="E7805" t="inlineStr">
        <is>
          <t>direct_traffic</t>
        </is>
      </c>
      <c r="F7805">
        <f>IFERROR(MATCH(A7805,Deals!$A$2:$A$843,0),"")</f>
        <v/>
      </c>
      <c r="G7805">
        <f>IF(F7805="",0,1)</f>
        <v/>
      </c>
      <c r="H7805" s="29">
        <f>IF(F7805="","",INDEX(Deals!$E$2:$E$843,F7805))</f>
        <v/>
      </c>
      <c r="I7805">
        <f>IF(F7805="","",INDEX(Deals!$D$2:$D$843,F7805))</f>
        <v/>
      </c>
      <c r="J7805">
        <f>IF(F7805="","",INT(H7805)-B7805)</f>
        <v/>
      </c>
      <c r="K7805">
        <f>IF(B7805&gt;=Settings!$C$5,1,0)</f>
        <v/>
      </c>
    </row>
    <row r="7806">
      <c r="A7806" t="inlineStr">
        <is>
          <t>9b56450adfcd114a0498a60457ebdeff</t>
        </is>
      </c>
      <c r="B7806" s="29" t="n">
        <v>43164</v>
      </c>
      <c r="C7806" t="inlineStr">
        <is>
          <t>2018-03</t>
        </is>
      </c>
      <c r="D7806" t="inlineStr">
        <is>
          <t>40dec9f3d5259a3d2dbcdab2114fae47</t>
        </is>
      </c>
      <c r="E7806" t="inlineStr">
        <is>
          <t>paid_search</t>
        </is>
      </c>
      <c r="F7806">
        <f>IFERROR(MATCH(A7806,Deals!$A$2:$A$843,0),"")</f>
        <v/>
      </c>
      <c r="G7806">
        <f>IF(F7806="",0,1)</f>
        <v/>
      </c>
      <c r="H7806" s="29">
        <f>IF(F7806="","",INDEX(Deals!$E$2:$E$843,F7806))</f>
        <v/>
      </c>
      <c r="I7806">
        <f>IF(F7806="","",INDEX(Deals!$D$2:$D$843,F7806))</f>
        <v/>
      </c>
      <c r="J7806">
        <f>IF(F7806="","",INT(H7806)-B7806)</f>
        <v/>
      </c>
      <c r="K7806">
        <f>IF(B7806&gt;=Settings!$C$5,1,0)</f>
        <v/>
      </c>
    </row>
    <row r="7807">
      <c r="A7807" t="inlineStr">
        <is>
          <t>10ccbc807a1cb01c8137c26e0dcfe6d8</t>
        </is>
      </c>
      <c r="B7807" s="29" t="n">
        <v>43172</v>
      </c>
      <c r="C7807" t="inlineStr">
        <is>
          <t>2018-03</t>
        </is>
      </c>
      <c r="D7807" t="inlineStr">
        <is>
          <t>f017be4dbf86243af5c1ebed0cff36a2</t>
        </is>
      </c>
      <c r="E7807" t="inlineStr">
        <is>
          <t>social</t>
        </is>
      </c>
      <c r="F7807">
        <f>IFERROR(MATCH(A7807,Deals!$A$2:$A$843,0),"")</f>
        <v/>
      </c>
      <c r="G7807">
        <f>IF(F7807="",0,1)</f>
        <v/>
      </c>
      <c r="H7807" s="29">
        <f>IF(F7807="","",INDEX(Deals!$E$2:$E$843,F7807))</f>
        <v/>
      </c>
      <c r="I7807">
        <f>IF(F7807="","",INDEX(Deals!$D$2:$D$843,F7807))</f>
        <v/>
      </c>
      <c r="J7807">
        <f>IF(F7807="","",INT(H7807)-B7807)</f>
        <v/>
      </c>
      <c r="K7807">
        <f>IF(B7807&gt;=Settings!$C$5,1,0)</f>
        <v/>
      </c>
    </row>
    <row r="7808">
      <c r="A7808" t="inlineStr">
        <is>
          <t>6784ac07a6aeb1433c961ace509971d0</t>
        </is>
      </c>
      <c r="B7808" s="29" t="n">
        <v>42971</v>
      </c>
      <c r="C7808" t="inlineStr">
        <is>
          <t>2017-08</t>
        </is>
      </c>
      <c r="D7808" t="inlineStr">
        <is>
          <t>22c29808c4f815213303f8933030604c</t>
        </is>
      </c>
      <c r="E7808" t="inlineStr">
        <is>
          <t>organic_search</t>
        </is>
      </c>
      <c r="F7808">
        <f>IFERROR(MATCH(A7808,Deals!$A$2:$A$843,0),"")</f>
        <v/>
      </c>
      <c r="G7808">
        <f>IF(F7808="",0,1)</f>
        <v/>
      </c>
      <c r="H7808" s="29">
        <f>IF(F7808="","",INDEX(Deals!$E$2:$E$843,F7808))</f>
        <v/>
      </c>
      <c r="I7808">
        <f>IF(F7808="","",INDEX(Deals!$D$2:$D$843,F7808))</f>
        <v/>
      </c>
      <c r="J7808">
        <f>IF(F7808="","",INT(H7808)-B7808)</f>
        <v/>
      </c>
      <c r="K7808">
        <f>IF(B7808&gt;=Settings!$C$5,1,0)</f>
        <v/>
      </c>
    </row>
    <row r="7809">
      <c r="A7809" t="inlineStr">
        <is>
          <t>8b1364fb14bc6ba5b3cf81ea852dbd4f</t>
        </is>
      </c>
      <c r="B7809" s="29" t="n">
        <v>43215</v>
      </c>
      <c r="C7809" t="inlineStr">
        <is>
          <t>2018-04</t>
        </is>
      </c>
      <c r="D7809" t="inlineStr">
        <is>
          <t>58326e62183c14b0c03085c33b9fdc44</t>
        </is>
      </c>
      <c r="E7809" t="inlineStr">
        <is>
          <t>social</t>
        </is>
      </c>
      <c r="F7809">
        <f>IFERROR(MATCH(A7809,Deals!$A$2:$A$843,0),"")</f>
        <v/>
      </c>
      <c r="G7809">
        <f>IF(F7809="",0,1)</f>
        <v/>
      </c>
      <c r="H7809" s="29">
        <f>IF(F7809="","",INDEX(Deals!$E$2:$E$843,F7809))</f>
        <v/>
      </c>
      <c r="I7809">
        <f>IF(F7809="","",INDEX(Deals!$D$2:$D$843,F7809))</f>
        <v/>
      </c>
      <c r="J7809">
        <f>IF(F7809="","",INT(H7809)-B7809)</f>
        <v/>
      </c>
      <c r="K7809">
        <f>IF(B7809&gt;=Settings!$C$5,1,0)</f>
        <v/>
      </c>
    </row>
    <row r="7810">
      <c r="A7810" t="inlineStr">
        <is>
          <t>b0a5b62f84451f65fd79ef6c0c79738b</t>
        </is>
      </c>
      <c r="B7810" s="29" t="n">
        <v>43170</v>
      </c>
      <c r="C7810" t="inlineStr">
        <is>
          <t>2018-03</t>
        </is>
      </c>
      <c r="D7810" t="inlineStr">
        <is>
          <t>88740e65d5d6b056e0cda098e1ea6313</t>
        </is>
      </c>
      <c r="E7810" t="inlineStr">
        <is>
          <t>social</t>
        </is>
      </c>
      <c r="F7810">
        <f>IFERROR(MATCH(A7810,Deals!$A$2:$A$843,0),"")</f>
        <v/>
      </c>
      <c r="G7810">
        <f>IF(F7810="",0,1)</f>
        <v/>
      </c>
      <c r="H7810" s="29">
        <f>IF(F7810="","",INDEX(Deals!$E$2:$E$843,F7810))</f>
        <v/>
      </c>
      <c r="I7810">
        <f>IF(F7810="","",INDEX(Deals!$D$2:$D$843,F7810))</f>
        <v/>
      </c>
      <c r="J7810">
        <f>IF(F7810="","",INT(H7810)-B7810)</f>
        <v/>
      </c>
      <c r="K7810">
        <f>IF(B7810&gt;=Settings!$C$5,1,0)</f>
        <v/>
      </c>
    </row>
    <row r="7811">
      <c r="A7811" t="inlineStr">
        <is>
          <t>2f233bb83fcd9c49e2959f96f2463b64</t>
        </is>
      </c>
      <c r="B7811" s="29" t="n">
        <v>43119</v>
      </c>
      <c r="C7811" t="inlineStr">
        <is>
          <t>2018-01</t>
        </is>
      </c>
      <c r="D7811" t="inlineStr">
        <is>
          <t>b76ef37428e6799c421989521c0e5077</t>
        </is>
      </c>
      <c r="E7811" t="inlineStr">
        <is>
          <t>unknown</t>
        </is>
      </c>
      <c r="F7811">
        <f>IFERROR(MATCH(A7811,Deals!$A$2:$A$843,0),"")</f>
        <v/>
      </c>
      <c r="G7811">
        <f>IF(F7811="",0,1)</f>
        <v/>
      </c>
      <c r="H7811" s="29">
        <f>IF(F7811="","",INDEX(Deals!$E$2:$E$843,F7811))</f>
        <v/>
      </c>
      <c r="I7811">
        <f>IF(F7811="","",INDEX(Deals!$D$2:$D$843,F7811))</f>
        <v/>
      </c>
      <c r="J7811">
        <f>IF(F7811="","",INT(H7811)-B7811)</f>
        <v/>
      </c>
      <c r="K7811">
        <f>IF(B7811&gt;=Settings!$C$5,1,0)</f>
        <v/>
      </c>
    </row>
    <row r="7812">
      <c r="A7812" t="inlineStr">
        <is>
          <t>dbb5cf0768cb6a85d7de098809a1a907</t>
        </is>
      </c>
      <c r="B7812" s="29" t="n">
        <v>43019</v>
      </c>
      <c r="C7812" t="inlineStr">
        <is>
          <t>2017-10</t>
        </is>
      </c>
      <c r="D7812" t="inlineStr">
        <is>
          <t>b51b5a040fd76d72567c599481147956</t>
        </is>
      </c>
      <c r="E7812" t="inlineStr">
        <is>
          <t>organic_search</t>
        </is>
      </c>
      <c r="F7812">
        <f>IFERROR(MATCH(A7812,Deals!$A$2:$A$843,0),"")</f>
        <v/>
      </c>
      <c r="G7812">
        <f>IF(F7812="",0,1)</f>
        <v/>
      </c>
      <c r="H7812" s="29">
        <f>IF(F7812="","",INDEX(Deals!$E$2:$E$843,F7812))</f>
        <v/>
      </c>
      <c r="I7812">
        <f>IF(F7812="","",INDEX(Deals!$D$2:$D$843,F7812))</f>
        <v/>
      </c>
      <c r="J7812">
        <f>IF(F7812="","",INT(H7812)-B7812)</f>
        <v/>
      </c>
      <c r="K7812">
        <f>IF(B7812&gt;=Settings!$C$5,1,0)</f>
        <v/>
      </c>
    </row>
    <row r="7813">
      <c r="A7813" t="inlineStr">
        <is>
          <t>ce91e4af71deaa47491da4eeb35e4535</t>
        </is>
      </c>
      <c r="B7813" s="29" t="n">
        <v>43158</v>
      </c>
      <c r="C7813" t="inlineStr">
        <is>
          <t>2018-02</t>
        </is>
      </c>
      <c r="D7813" t="inlineStr">
        <is>
          <t>ce1a65abd0973638f1c887a6efcfa82d</t>
        </is>
      </c>
      <c r="E7813" t="inlineStr">
        <is>
          <t>direct_traffic</t>
        </is>
      </c>
      <c r="F7813">
        <f>IFERROR(MATCH(A7813,Deals!$A$2:$A$843,0),"")</f>
        <v/>
      </c>
      <c r="G7813">
        <f>IF(F7813="",0,1)</f>
        <v/>
      </c>
      <c r="H7813" s="29">
        <f>IF(F7813="","",INDEX(Deals!$E$2:$E$843,F7813))</f>
        <v/>
      </c>
      <c r="I7813">
        <f>IF(F7813="","",INDEX(Deals!$D$2:$D$843,F7813))</f>
        <v/>
      </c>
      <c r="J7813">
        <f>IF(F7813="","",INT(H7813)-B7813)</f>
        <v/>
      </c>
      <c r="K7813">
        <f>IF(B7813&gt;=Settings!$C$5,1,0)</f>
        <v/>
      </c>
    </row>
    <row r="7814">
      <c r="A7814" t="inlineStr">
        <is>
          <t>9e7c75dad869b2691a339a70cf105f0e</t>
        </is>
      </c>
      <c r="B7814" s="29" t="n">
        <v>43172</v>
      </c>
      <c r="C7814" t="inlineStr">
        <is>
          <t>2018-03</t>
        </is>
      </c>
      <c r="D7814" t="inlineStr">
        <is>
          <t>e022029a28bad406d6f3e74512ebebc2</t>
        </is>
      </c>
      <c r="E7814" t="inlineStr">
        <is>
          <t>other</t>
        </is>
      </c>
      <c r="F7814">
        <f>IFERROR(MATCH(A7814,Deals!$A$2:$A$843,0),"")</f>
        <v/>
      </c>
      <c r="G7814">
        <f>IF(F7814="",0,1)</f>
        <v/>
      </c>
      <c r="H7814" s="29">
        <f>IF(F7814="","",INDEX(Deals!$E$2:$E$843,F7814))</f>
        <v/>
      </c>
      <c r="I7814">
        <f>IF(F7814="","",INDEX(Deals!$D$2:$D$843,F7814))</f>
        <v/>
      </c>
      <c r="J7814">
        <f>IF(F7814="","",INT(H7814)-B7814)</f>
        <v/>
      </c>
      <c r="K7814">
        <f>IF(B7814&gt;=Settings!$C$5,1,0)</f>
        <v/>
      </c>
    </row>
    <row r="7815">
      <c r="A7815" t="inlineStr">
        <is>
          <t>1db2d761017113fbfd4246f0402ac4e0</t>
        </is>
      </c>
      <c r="B7815" s="29" t="n">
        <v>43104</v>
      </c>
      <c r="C7815" t="inlineStr">
        <is>
          <t>2018-01</t>
        </is>
      </c>
      <c r="D7815" t="inlineStr">
        <is>
          <t>ce1a65abd0973638f1c887a6efcfa82d</t>
        </is>
      </c>
      <c r="E7815" t="inlineStr">
        <is>
          <t>organic_search</t>
        </is>
      </c>
      <c r="F7815">
        <f>IFERROR(MATCH(A7815,Deals!$A$2:$A$843,0),"")</f>
        <v/>
      </c>
      <c r="G7815">
        <f>IF(F7815="",0,1)</f>
        <v/>
      </c>
      <c r="H7815" s="29">
        <f>IF(F7815="","",INDEX(Deals!$E$2:$E$843,F7815))</f>
        <v/>
      </c>
      <c r="I7815">
        <f>IF(F7815="","",INDEX(Deals!$D$2:$D$843,F7815))</f>
        <v/>
      </c>
      <c r="J7815">
        <f>IF(F7815="","",INT(H7815)-B7815)</f>
        <v/>
      </c>
      <c r="K7815">
        <f>IF(B7815&gt;=Settings!$C$5,1,0)</f>
        <v/>
      </c>
    </row>
    <row r="7816">
      <c r="A7816" t="inlineStr">
        <is>
          <t>bef333dfc39823e29ac4808457f06dec</t>
        </is>
      </c>
      <c r="B7816" s="29" t="n">
        <v>43192</v>
      </c>
      <c r="C7816" t="inlineStr">
        <is>
          <t>2018-04</t>
        </is>
      </c>
      <c r="D7816" t="inlineStr">
        <is>
          <t>22c29808c4f815213303f8933030604c</t>
        </is>
      </c>
      <c r="E7816" t="inlineStr">
        <is>
          <t>organic_search</t>
        </is>
      </c>
      <c r="F7816">
        <f>IFERROR(MATCH(A7816,Deals!$A$2:$A$843,0),"")</f>
        <v/>
      </c>
      <c r="G7816">
        <f>IF(F7816="",0,1)</f>
        <v/>
      </c>
      <c r="H7816" s="29">
        <f>IF(F7816="","",INDEX(Deals!$E$2:$E$843,F7816))</f>
        <v/>
      </c>
      <c r="I7816">
        <f>IF(F7816="","",INDEX(Deals!$D$2:$D$843,F7816))</f>
        <v/>
      </c>
      <c r="J7816">
        <f>IF(F7816="","",INT(H7816)-B7816)</f>
        <v/>
      </c>
      <c r="K7816">
        <f>IF(B7816&gt;=Settings!$C$5,1,0)</f>
        <v/>
      </c>
    </row>
    <row r="7817">
      <c r="A7817" t="inlineStr">
        <is>
          <t>11a3068dc8264bacd2a731440bb0dc92</t>
        </is>
      </c>
      <c r="B7817" s="29" t="n">
        <v>43137</v>
      </c>
      <c r="C7817" t="inlineStr">
        <is>
          <t>2018-02</t>
        </is>
      </c>
      <c r="D7817" t="inlineStr">
        <is>
          <t>e42a14209c69c3e9cc6b042620465f12</t>
        </is>
      </c>
      <c r="E7817" t="inlineStr">
        <is>
          <t>email</t>
        </is>
      </c>
      <c r="F7817">
        <f>IFERROR(MATCH(A7817,Deals!$A$2:$A$843,0),"")</f>
        <v/>
      </c>
      <c r="G7817">
        <f>IF(F7817="",0,1)</f>
        <v/>
      </c>
      <c r="H7817" s="29">
        <f>IF(F7817="","",INDEX(Deals!$E$2:$E$843,F7817))</f>
        <v/>
      </c>
      <c r="I7817">
        <f>IF(F7817="","",INDEX(Deals!$D$2:$D$843,F7817))</f>
        <v/>
      </c>
      <c r="J7817">
        <f>IF(F7817="","",INT(H7817)-B7817)</f>
        <v/>
      </c>
      <c r="K7817">
        <f>IF(B7817&gt;=Settings!$C$5,1,0)</f>
        <v/>
      </c>
    </row>
    <row r="7818">
      <c r="A7818" t="inlineStr">
        <is>
          <t>307ff87c3d21fb547787c584c5c9e957</t>
        </is>
      </c>
      <c r="B7818" s="29" t="n">
        <v>43221</v>
      </c>
      <c r="C7818" t="inlineStr">
        <is>
          <t>2018-05</t>
        </is>
      </c>
      <c r="D7818" t="inlineStr">
        <is>
          <t>58326e62183c14b0c03085c33b9fdc44</t>
        </is>
      </c>
      <c r="E7818" t="inlineStr">
        <is>
          <t>social</t>
        </is>
      </c>
      <c r="F7818">
        <f>IFERROR(MATCH(A7818,Deals!$A$2:$A$843,0),"")</f>
        <v/>
      </c>
      <c r="G7818">
        <f>IF(F7818="",0,1)</f>
        <v/>
      </c>
      <c r="H7818" s="29">
        <f>IF(F7818="","",INDEX(Deals!$E$2:$E$843,F7818))</f>
        <v/>
      </c>
      <c r="I7818">
        <f>IF(F7818="","",INDEX(Deals!$D$2:$D$843,F7818))</f>
        <v/>
      </c>
      <c r="J7818">
        <f>IF(F7818="","",INT(H7818)-B7818)</f>
        <v/>
      </c>
      <c r="K7818">
        <f>IF(B7818&gt;=Settings!$C$5,1,0)</f>
        <v/>
      </c>
    </row>
    <row r="7819">
      <c r="A7819" t="inlineStr">
        <is>
          <t>93794ee11802a7bb4f49c8d18f87bbd6</t>
        </is>
      </c>
      <c r="B7819" s="29" t="n">
        <v>43104</v>
      </c>
      <c r="C7819" t="inlineStr">
        <is>
          <t>2018-01</t>
        </is>
      </c>
      <c r="D7819" t="inlineStr">
        <is>
          <t>f017be4dbf86243af5c1ebed0cff36a2</t>
        </is>
      </c>
      <c r="E7819" t="inlineStr">
        <is>
          <t>organic_search</t>
        </is>
      </c>
      <c r="F7819">
        <f>IFERROR(MATCH(A7819,Deals!$A$2:$A$843,0),"")</f>
        <v/>
      </c>
      <c r="G7819">
        <f>IF(F7819="",0,1)</f>
        <v/>
      </c>
      <c r="H7819" s="29">
        <f>IF(F7819="","",INDEX(Deals!$E$2:$E$843,F7819))</f>
        <v/>
      </c>
      <c r="I7819">
        <f>IF(F7819="","",INDEX(Deals!$D$2:$D$843,F7819))</f>
        <v/>
      </c>
      <c r="J7819">
        <f>IF(F7819="","",INT(H7819)-B7819)</f>
        <v/>
      </c>
      <c r="K7819">
        <f>IF(B7819&gt;=Settings!$C$5,1,0)</f>
        <v/>
      </c>
    </row>
    <row r="7820">
      <c r="A7820" t="inlineStr">
        <is>
          <t>35c0435bac5b49fc667bd23a5c49fea1</t>
        </is>
      </c>
      <c r="B7820" s="29" t="n">
        <v>43041</v>
      </c>
      <c r="C7820" t="inlineStr">
        <is>
          <t>2017-11</t>
        </is>
      </c>
      <c r="D7820" t="inlineStr">
        <is>
          <t>88740e65d5d6b056e0cda098e1ea6313</t>
        </is>
      </c>
      <c r="E7820" t="inlineStr">
        <is>
          <t>social</t>
        </is>
      </c>
      <c r="F7820">
        <f>IFERROR(MATCH(A7820,Deals!$A$2:$A$843,0),"")</f>
        <v/>
      </c>
      <c r="G7820">
        <f>IF(F7820="",0,1)</f>
        <v/>
      </c>
      <c r="H7820" s="29">
        <f>IF(F7820="","",INDEX(Deals!$E$2:$E$843,F7820))</f>
        <v/>
      </c>
      <c r="I7820">
        <f>IF(F7820="","",INDEX(Deals!$D$2:$D$843,F7820))</f>
        <v/>
      </c>
      <c r="J7820">
        <f>IF(F7820="","",INT(H7820)-B7820)</f>
        <v/>
      </c>
      <c r="K7820">
        <f>IF(B7820&gt;=Settings!$C$5,1,0)</f>
        <v/>
      </c>
    </row>
    <row r="7821">
      <c r="A7821" t="inlineStr">
        <is>
          <t>fc6c40a57bca562c8067d1062eb91e6c</t>
        </is>
      </c>
      <c r="B7821" s="29" t="n">
        <v>43245</v>
      </c>
      <c r="C7821" t="inlineStr">
        <is>
          <t>2018-05</t>
        </is>
      </c>
      <c r="D7821" t="inlineStr">
        <is>
          <t>007f9098284a86ee80ddeb25d53e0af8</t>
        </is>
      </c>
      <c r="E7821" t="inlineStr">
        <is>
          <t>paid_search</t>
        </is>
      </c>
      <c r="F7821">
        <f>IFERROR(MATCH(A7821,Deals!$A$2:$A$843,0),"")</f>
        <v/>
      </c>
      <c r="G7821">
        <f>IF(F7821="",0,1)</f>
        <v/>
      </c>
      <c r="H7821" s="29">
        <f>IF(F7821="","",INDEX(Deals!$E$2:$E$843,F7821))</f>
        <v/>
      </c>
      <c r="I7821">
        <f>IF(F7821="","",INDEX(Deals!$D$2:$D$843,F7821))</f>
        <v/>
      </c>
      <c r="J7821">
        <f>IF(F7821="","",INT(H7821)-B7821)</f>
        <v/>
      </c>
      <c r="K7821">
        <f>IF(B7821&gt;=Settings!$C$5,1,0)</f>
        <v/>
      </c>
    </row>
    <row r="7822">
      <c r="A7822" t="inlineStr">
        <is>
          <t>9c37f52f0de5fb6ee4ee1d8cb7a0b085</t>
        </is>
      </c>
      <c r="B7822" s="29" t="n">
        <v>42935</v>
      </c>
      <c r="C7822" t="inlineStr">
        <is>
          <t>2017-07</t>
        </is>
      </c>
      <c r="D7822" t="inlineStr">
        <is>
          <t>c2f7f172d3275d27cba772ab70ac3052</t>
        </is>
      </c>
      <c r="E7822" t="inlineStr">
        <is>
          <t>organic_search</t>
        </is>
      </c>
      <c r="F7822">
        <f>IFERROR(MATCH(A7822,Deals!$A$2:$A$843,0),"")</f>
        <v/>
      </c>
      <c r="G7822">
        <f>IF(F7822="",0,1)</f>
        <v/>
      </c>
      <c r="H7822" s="29">
        <f>IF(F7822="","",INDEX(Deals!$E$2:$E$843,F7822))</f>
        <v/>
      </c>
      <c r="I7822">
        <f>IF(F7822="","",INDEX(Deals!$D$2:$D$843,F7822))</f>
        <v/>
      </c>
      <c r="J7822">
        <f>IF(F7822="","",INT(H7822)-B7822)</f>
        <v/>
      </c>
      <c r="K7822">
        <f>IF(B7822&gt;=Settings!$C$5,1,0)</f>
        <v/>
      </c>
    </row>
    <row r="7823">
      <c r="A7823" t="inlineStr">
        <is>
          <t>56753cb5591dcacaf6a4ced19e611f21</t>
        </is>
      </c>
      <c r="B7823" s="29" t="n">
        <v>43233</v>
      </c>
      <c r="C7823" t="inlineStr">
        <is>
          <t>2018-05</t>
        </is>
      </c>
      <c r="D7823" t="inlineStr">
        <is>
          <t>ea0650174e273c41e12002dcdd4708be</t>
        </is>
      </c>
      <c r="E7823" t="inlineStr">
        <is>
          <t>organic_search</t>
        </is>
      </c>
      <c r="F7823">
        <f>IFERROR(MATCH(A7823,Deals!$A$2:$A$843,0),"")</f>
        <v/>
      </c>
      <c r="G7823">
        <f>IF(F7823="",0,1)</f>
        <v/>
      </c>
      <c r="H7823" s="29">
        <f>IF(F7823="","",INDEX(Deals!$E$2:$E$843,F7823))</f>
        <v/>
      </c>
      <c r="I7823">
        <f>IF(F7823="","",INDEX(Deals!$D$2:$D$843,F7823))</f>
        <v/>
      </c>
      <c r="J7823">
        <f>IF(F7823="","",INT(H7823)-B7823)</f>
        <v/>
      </c>
      <c r="K7823">
        <f>IF(B7823&gt;=Settings!$C$5,1,0)</f>
        <v/>
      </c>
    </row>
    <row r="7824">
      <c r="A7824" t="inlineStr">
        <is>
          <t>8fe74e773f8d8198eaf3fd830ee305e5</t>
        </is>
      </c>
      <c r="B7824" s="29" t="n">
        <v>43223</v>
      </c>
      <c r="C7824" t="inlineStr">
        <is>
          <t>2018-05</t>
        </is>
      </c>
      <c r="D7824" t="inlineStr">
        <is>
          <t>58326e62183c14b0c03085c33b9fdc44</t>
        </is>
      </c>
      <c r="E7824" t="inlineStr">
        <is>
          <t>social</t>
        </is>
      </c>
      <c r="F7824">
        <f>IFERROR(MATCH(A7824,Deals!$A$2:$A$843,0),"")</f>
        <v/>
      </c>
      <c r="G7824">
        <f>IF(F7824="",0,1)</f>
        <v/>
      </c>
      <c r="H7824" s="29">
        <f>IF(F7824="","",INDEX(Deals!$E$2:$E$843,F7824))</f>
        <v/>
      </c>
      <c r="I7824">
        <f>IF(F7824="","",INDEX(Deals!$D$2:$D$843,F7824))</f>
        <v/>
      </c>
      <c r="J7824">
        <f>IF(F7824="","",INT(H7824)-B7824)</f>
        <v/>
      </c>
      <c r="K7824">
        <f>IF(B7824&gt;=Settings!$C$5,1,0)</f>
        <v/>
      </c>
    </row>
    <row r="7825">
      <c r="A7825" t="inlineStr">
        <is>
          <t>f752167fca2ecaf38964ffaff639b8d8</t>
        </is>
      </c>
      <c r="B7825" s="29" t="n">
        <v>43130</v>
      </c>
      <c r="C7825" t="inlineStr">
        <is>
          <t>2018-01</t>
        </is>
      </c>
      <c r="D7825" t="inlineStr">
        <is>
          <t>c797693346e9dcf3275d3e40bc3ddc1d</t>
        </is>
      </c>
      <c r="E7825" t="inlineStr">
        <is>
          <t>organic_search</t>
        </is>
      </c>
      <c r="F7825">
        <f>IFERROR(MATCH(A7825,Deals!$A$2:$A$843,0),"")</f>
        <v/>
      </c>
      <c r="G7825">
        <f>IF(F7825="",0,1)</f>
        <v/>
      </c>
      <c r="H7825" s="29">
        <f>IF(F7825="","",INDEX(Deals!$E$2:$E$843,F7825))</f>
        <v/>
      </c>
      <c r="I7825">
        <f>IF(F7825="","",INDEX(Deals!$D$2:$D$843,F7825))</f>
        <v/>
      </c>
      <c r="J7825">
        <f>IF(F7825="","",INT(H7825)-B7825)</f>
        <v/>
      </c>
      <c r="K7825">
        <f>IF(B7825&gt;=Settings!$C$5,1,0)</f>
        <v/>
      </c>
    </row>
    <row r="7826">
      <c r="A7826" t="inlineStr">
        <is>
          <t>4b10621b1d422c19578583a0030ad7c8</t>
        </is>
      </c>
      <c r="B7826" s="29" t="n">
        <v>43242</v>
      </c>
      <c r="C7826" t="inlineStr">
        <is>
          <t>2018-05</t>
        </is>
      </c>
      <c r="D7826" t="inlineStr">
        <is>
          <t>5215a2f4c4cb554cb18c8de3b4f06df5</t>
        </is>
      </c>
      <c r="E7826" t="inlineStr">
        <is>
          <t>email</t>
        </is>
      </c>
      <c r="F7826">
        <f>IFERROR(MATCH(A7826,Deals!$A$2:$A$843,0),"")</f>
        <v/>
      </c>
      <c r="G7826">
        <f>IF(F7826="",0,1)</f>
        <v/>
      </c>
      <c r="H7826" s="29">
        <f>IF(F7826="","",INDEX(Deals!$E$2:$E$843,F7826))</f>
        <v/>
      </c>
      <c r="I7826">
        <f>IF(F7826="","",INDEX(Deals!$D$2:$D$843,F7826))</f>
        <v/>
      </c>
      <c r="J7826">
        <f>IF(F7826="","",INT(H7826)-B7826)</f>
        <v/>
      </c>
      <c r="K7826">
        <f>IF(B7826&gt;=Settings!$C$5,1,0)</f>
        <v/>
      </c>
    </row>
    <row r="7827">
      <c r="A7827" t="inlineStr">
        <is>
          <t>49b16bb8d40a3f0e2bba9ba44b65bfd9</t>
        </is>
      </c>
      <c r="B7827" s="29" t="n">
        <v>43197</v>
      </c>
      <c r="C7827" t="inlineStr">
        <is>
          <t>2018-04</t>
        </is>
      </c>
      <c r="D7827" t="inlineStr">
        <is>
          <t>649b7b8b46b254497e92038d88f6ced8</t>
        </is>
      </c>
      <c r="E7827" t="inlineStr">
        <is>
          <t>social</t>
        </is>
      </c>
      <c r="F7827">
        <f>IFERROR(MATCH(A7827,Deals!$A$2:$A$843,0),"")</f>
        <v/>
      </c>
      <c r="G7827">
        <f>IF(F7827="",0,1)</f>
        <v/>
      </c>
      <c r="H7827" s="29">
        <f>IF(F7827="","",INDEX(Deals!$E$2:$E$843,F7827))</f>
        <v/>
      </c>
      <c r="I7827">
        <f>IF(F7827="","",INDEX(Deals!$D$2:$D$843,F7827))</f>
        <v/>
      </c>
      <c r="J7827">
        <f>IF(F7827="","",INT(H7827)-B7827)</f>
        <v/>
      </c>
      <c r="K7827">
        <f>IF(B7827&gt;=Settings!$C$5,1,0)</f>
        <v/>
      </c>
    </row>
    <row r="7828">
      <c r="A7828" t="inlineStr">
        <is>
          <t>b6bbd11daf9d7d31ffa787379614cd4f</t>
        </is>
      </c>
      <c r="B7828" s="29" t="n">
        <v>43194</v>
      </c>
      <c r="C7828" t="inlineStr">
        <is>
          <t>2018-04</t>
        </is>
      </c>
      <c r="D7828" t="inlineStr">
        <is>
          <t>f017be4dbf86243af5c1ebed0cff36a2</t>
        </is>
      </c>
      <c r="E7828" t="inlineStr">
        <is>
          <t>paid_search</t>
        </is>
      </c>
      <c r="F7828">
        <f>IFERROR(MATCH(A7828,Deals!$A$2:$A$843,0),"")</f>
        <v/>
      </c>
      <c r="G7828">
        <f>IF(F7828="",0,1)</f>
        <v/>
      </c>
      <c r="H7828" s="29">
        <f>IF(F7828="","",INDEX(Deals!$E$2:$E$843,F7828))</f>
        <v/>
      </c>
      <c r="I7828">
        <f>IF(F7828="","",INDEX(Deals!$D$2:$D$843,F7828))</f>
        <v/>
      </c>
      <c r="J7828">
        <f>IF(F7828="","",INT(H7828)-B7828)</f>
        <v/>
      </c>
      <c r="K7828">
        <f>IF(B7828&gt;=Settings!$C$5,1,0)</f>
        <v/>
      </c>
    </row>
    <row r="7829">
      <c r="A7829" t="inlineStr">
        <is>
          <t>2cd4bb83e6bedb9b0b038e3350a5d41b</t>
        </is>
      </c>
      <c r="B7829" s="29" t="n">
        <v>43173</v>
      </c>
      <c r="C7829" t="inlineStr">
        <is>
          <t>2018-03</t>
        </is>
      </c>
      <c r="D7829" t="inlineStr">
        <is>
          <t>a7982125ff7aa3b2054c6e44f9d28522</t>
        </is>
      </c>
      <c r="E7829" t="inlineStr">
        <is>
          <t>organic_search</t>
        </is>
      </c>
      <c r="F7829">
        <f>IFERROR(MATCH(A7829,Deals!$A$2:$A$843,0),"")</f>
        <v/>
      </c>
      <c r="G7829">
        <f>IF(F7829="",0,1)</f>
        <v/>
      </c>
      <c r="H7829" s="29">
        <f>IF(F7829="","",INDEX(Deals!$E$2:$E$843,F7829))</f>
        <v/>
      </c>
      <c r="I7829">
        <f>IF(F7829="","",INDEX(Deals!$D$2:$D$843,F7829))</f>
        <v/>
      </c>
      <c r="J7829">
        <f>IF(F7829="","",INT(H7829)-B7829)</f>
        <v/>
      </c>
      <c r="K7829">
        <f>IF(B7829&gt;=Settings!$C$5,1,0)</f>
        <v/>
      </c>
    </row>
    <row r="7830">
      <c r="A7830" t="inlineStr">
        <is>
          <t>f42c61b0473deca6a719dfce6c235d8f</t>
        </is>
      </c>
      <c r="B7830" s="29" t="n">
        <v>43227</v>
      </c>
      <c r="C7830" t="inlineStr">
        <is>
          <t>2018-05</t>
        </is>
      </c>
      <c r="D7830" t="inlineStr">
        <is>
          <t>30534107aa0013db92899c96a1017d0b</t>
        </is>
      </c>
      <c r="E7830" t="inlineStr">
        <is>
          <t>paid_search</t>
        </is>
      </c>
      <c r="F7830">
        <f>IFERROR(MATCH(A7830,Deals!$A$2:$A$843,0),"")</f>
        <v/>
      </c>
      <c r="G7830">
        <f>IF(F7830="",0,1)</f>
        <v/>
      </c>
      <c r="H7830" s="29">
        <f>IF(F7830="","",INDEX(Deals!$E$2:$E$843,F7830))</f>
        <v/>
      </c>
      <c r="I7830">
        <f>IF(F7830="","",INDEX(Deals!$D$2:$D$843,F7830))</f>
        <v/>
      </c>
      <c r="J7830">
        <f>IF(F7830="","",INT(H7830)-B7830)</f>
        <v/>
      </c>
      <c r="K7830">
        <f>IF(B7830&gt;=Settings!$C$5,1,0)</f>
        <v/>
      </c>
    </row>
    <row r="7831">
      <c r="A7831" t="inlineStr">
        <is>
          <t>c29b6bce1a5651a80b6953f683046957</t>
        </is>
      </c>
      <c r="B7831" s="29" t="n">
        <v>43201</v>
      </c>
      <c r="C7831" t="inlineStr">
        <is>
          <t>2018-04</t>
        </is>
      </c>
      <c r="D7831" t="inlineStr">
        <is>
          <t>e492ee5eaf1697716985cc6f33f9cd9b</t>
        </is>
      </c>
      <c r="E7831" t="inlineStr">
        <is>
          <t>organic_search</t>
        </is>
      </c>
      <c r="F7831">
        <f>IFERROR(MATCH(A7831,Deals!$A$2:$A$843,0),"")</f>
        <v/>
      </c>
      <c r="G7831">
        <f>IF(F7831="",0,1)</f>
        <v/>
      </c>
      <c r="H7831" s="29">
        <f>IF(F7831="","",INDEX(Deals!$E$2:$E$843,F7831))</f>
        <v/>
      </c>
      <c r="I7831">
        <f>IF(F7831="","",INDEX(Deals!$D$2:$D$843,F7831))</f>
        <v/>
      </c>
      <c r="J7831">
        <f>IF(F7831="","",INT(H7831)-B7831)</f>
        <v/>
      </c>
      <c r="K7831">
        <f>IF(B7831&gt;=Settings!$C$5,1,0)</f>
        <v/>
      </c>
    </row>
    <row r="7832">
      <c r="A7832" t="inlineStr">
        <is>
          <t>d768001e841bc0bd089acc6f816d0699</t>
        </is>
      </c>
      <c r="B7832" s="29" t="n">
        <v>43153</v>
      </c>
      <c r="C7832" t="inlineStr">
        <is>
          <t>2018-02</t>
        </is>
      </c>
      <c r="D7832" t="inlineStr">
        <is>
          <t>ce1a65abd0973638f1c887a6efcfa82d</t>
        </is>
      </c>
      <c r="E7832" t="inlineStr">
        <is>
          <t>social</t>
        </is>
      </c>
      <c r="F7832">
        <f>IFERROR(MATCH(A7832,Deals!$A$2:$A$843,0),"")</f>
        <v/>
      </c>
      <c r="G7832">
        <f>IF(F7832="",0,1)</f>
        <v/>
      </c>
      <c r="H7832" s="29">
        <f>IF(F7832="","",INDEX(Deals!$E$2:$E$843,F7832))</f>
        <v/>
      </c>
      <c r="I7832">
        <f>IF(F7832="","",INDEX(Deals!$D$2:$D$843,F7832))</f>
        <v/>
      </c>
      <c r="J7832">
        <f>IF(F7832="","",INT(H7832)-B7832)</f>
        <v/>
      </c>
      <c r="K7832">
        <f>IF(B7832&gt;=Settings!$C$5,1,0)</f>
        <v/>
      </c>
    </row>
    <row r="7833">
      <c r="A7833" t="inlineStr">
        <is>
          <t>c6c209418814b5cee2107e6e744bb737</t>
        </is>
      </c>
      <c r="B7833" s="29" t="n">
        <v>43017</v>
      </c>
      <c r="C7833" t="inlineStr">
        <is>
          <t>2017-10</t>
        </is>
      </c>
      <c r="D7833" t="inlineStr">
        <is>
          <t>1722481ac9e5371e5099dea226b5421d</t>
        </is>
      </c>
      <c r="E7833" t="inlineStr">
        <is>
          <t>paid_search</t>
        </is>
      </c>
      <c r="F7833">
        <f>IFERROR(MATCH(A7833,Deals!$A$2:$A$843,0),"")</f>
        <v/>
      </c>
      <c r="G7833">
        <f>IF(F7833="",0,1)</f>
        <v/>
      </c>
      <c r="H7833" s="29">
        <f>IF(F7833="","",INDEX(Deals!$E$2:$E$843,F7833))</f>
        <v/>
      </c>
      <c r="I7833">
        <f>IF(F7833="","",INDEX(Deals!$D$2:$D$843,F7833))</f>
        <v/>
      </c>
      <c r="J7833">
        <f>IF(F7833="","",INT(H7833)-B7833)</f>
        <v/>
      </c>
      <c r="K7833">
        <f>IF(B7833&gt;=Settings!$C$5,1,0)</f>
        <v/>
      </c>
    </row>
    <row r="7834">
      <c r="A7834" t="inlineStr">
        <is>
          <t>dab535b8d9d6a461c471b20b44253c60</t>
        </is>
      </c>
      <c r="B7834" s="29" t="n">
        <v>43224</v>
      </c>
      <c r="C7834" t="inlineStr">
        <is>
          <t>2018-05</t>
        </is>
      </c>
      <c r="D7834" t="inlineStr">
        <is>
          <t>a0fbc0263cb98bdb0d72b9f9f283a172</t>
        </is>
      </c>
      <c r="E7834" t="inlineStr">
        <is>
          <t>paid_search</t>
        </is>
      </c>
      <c r="F7834">
        <f>IFERROR(MATCH(A7834,Deals!$A$2:$A$843,0),"")</f>
        <v/>
      </c>
      <c r="G7834">
        <f>IF(F7834="",0,1)</f>
        <v/>
      </c>
      <c r="H7834" s="29">
        <f>IF(F7834="","",INDEX(Deals!$E$2:$E$843,F7834))</f>
        <v/>
      </c>
      <c r="I7834">
        <f>IF(F7834="","",INDEX(Deals!$D$2:$D$843,F7834))</f>
        <v/>
      </c>
      <c r="J7834">
        <f>IF(F7834="","",INT(H7834)-B7834)</f>
        <v/>
      </c>
      <c r="K7834">
        <f>IF(B7834&gt;=Settings!$C$5,1,0)</f>
        <v/>
      </c>
    </row>
    <row r="7835">
      <c r="A7835" t="inlineStr">
        <is>
          <t>5087a1fbd11fc3d96dc93b3e11376bda</t>
        </is>
      </c>
      <c r="B7835" s="29" t="n">
        <v>43223</v>
      </c>
      <c r="C7835" t="inlineStr">
        <is>
          <t>2018-05</t>
        </is>
      </c>
      <c r="D7835" t="inlineStr">
        <is>
          <t>40dec9f3d5259a3d2dbcdab2114fae47</t>
        </is>
      </c>
      <c r="E7835" t="inlineStr">
        <is>
          <t>paid_search</t>
        </is>
      </c>
      <c r="F7835">
        <f>IFERROR(MATCH(A7835,Deals!$A$2:$A$843,0),"")</f>
        <v/>
      </c>
      <c r="G7835">
        <f>IF(F7835="",0,1)</f>
        <v/>
      </c>
      <c r="H7835" s="29">
        <f>IF(F7835="","",INDEX(Deals!$E$2:$E$843,F7835))</f>
        <v/>
      </c>
      <c r="I7835">
        <f>IF(F7835="","",INDEX(Deals!$D$2:$D$843,F7835))</f>
        <v/>
      </c>
      <c r="J7835">
        <f>IF(F7835="","",INT(H7835)-B7835)</f>
        <v/>
      </c>
      <c r="K7835">
        <f>IF(B7835&gt;=Settings!$C$5,1,0)</f>
        <v/>
      </c>
    </row>
    <row r="7836">
      <c r="A7836" t="inlineStr">
        <is>
          <t>c76fe7111af8d7e72949a0ec852dfde5</t>
        </is>
      </c>
      <c r="B7836" s="29" t="n">
        <v>43204</v>
      </c>
      <c r="C7836" t="inlineStr">
        <is>
          <t>2018-04</t>
        </is>
      </c>
      <c r="D7836" t="inlineStr">
        <is>
          <t>58326e62183c14b0c03085c33b9fdc44</t>
        </is>
      </c>
      <c r="E7836" t="inlineStr">
        <is>
          <t>social</t>
        </is>
      </c>
      <c r="F7836">
        <f>IFERROR(MATCH(A7836,Deals!$A$2:$A$843,0),"")</f>
        <v/>
      </c>
      <c r="G7836">
        <f>IF(F7836="",0,1)</f>
        <v/>
      </c>
      <c r="H7836" s="29">
        <f>IF(F7836="","",INDEX(Deals!$E$2:$E$843,F7836))</f>
        <v/>
      </c>
      <c r="I7836">
        <f>IF(F7836="","",INDEX(Deals!$D$2:$D$843,F7836))</f>
        <v/>
      </c>
      <c r="J7836">
        <f>IF(F7836="","",INT(H7836)-B7836)</f>
        <v/>
      </c>
      <c r="K7836">
        <f>IF(B7836&gt;=Settings!$C$5,1,0)</f>
        <v/>
      </c>
    </row>
    <row r="7837">
      <c r="A7837" t="inlineStr">
        <is>
          <t>d69768607bc09f0dbfa0669da46ef6fc</t>
        </is>
      </c>
      <c r="B7837" s="29" t="n">
        <v>43204</v>
      </c>
      <c r="C7837" t="inlineStr">
        <is>
          <t>2018-04</t>
        </is>
      </c>
      <c r="D7837" t="inlineStr">
        <is>
          <t>ce1a65abd0973638f1c887a6efcfa82d</t>
        </is>
      </c>
      <c r="E7837" t="inlineStr">
        <is>
          <t>paid_search</t>
        </is>
      </c>
      <c r="F7837">
        <f>IFERROR(MATCH(A7837,Deals!$A$2:$A$843,0),"")</f>
        <v/>
      </c>
      <c r="G7837">
        <f>IF(F7837="",0,1)</f>
        <v/>
      </c>
      <c r="H7837" s="29">
        <f>IF(F7837="","",INDEX(Deals!$E$2:$E$843,F7837))</f>
        <v/>
      </c>
      <c r="I7837">
        <f>IF(F7837="","",INDEX(Deals!$D$2:$D$843,F7837))</f>
        <v/>
      </c>
      <c r="J7837">
        <f>IF(F7837="","",INT(H7837)-B7837)</f>
        <v/>
      </c>
      <c r="K7837">
        <f>IF(B7837&gt;=Settings!$C$5,1,0)</f>
        <v/>
      </c>
    </row>
    <row r="7838">
      <c r="A7838" t="inlineStr">
        <is>
          <t>414bec0a996ed32f9183ce8a86c40e0f</t>
        </is>
      </c>
      <c r="B7838" s="29" t="n">
        <v>43158</v>
      </c>
      <c r="C7838" t="inlineStr">
        <is>
          <t>2018-02</t>
        </is>
      </c>
      <c r="D7838" t="inlineStr">
        <is>
          <t>22c29808c4f815213303f8933030604c</t>
        </is>
      </c>
      <c r="E7838" t="inlineStr">
        <is>
          <t>paid_search</t>
        </is>
      </c>
      <c r="F7838">
        <f>IFERROR(MATCH(A7838,Deals!$A$2:$A$843,0),"")</f>
        <v/>
      </c>
      <c r="G7838">
        <f>IF(F7838="",0,1)</f>
        <v/>
      </c>
      <c r="H7838" s="29">
        <f>IF(F7838="","",INDEX(Deals!$E$2:$E$843,F7838))</f>
        <v/>
      </c>
      <c r="I7838">
        <f>IF(F7838="","",INDEX(Deals!$D$2:$D$843,F7838))</f>
        <v/>
      </c>
      <c r="J7838">
        <f>IF(F7838="","",INT(H7838)-B7838)</f>
        <v/>
      </c>
      <c r="K7838">
        <f>IF(B7838&gt;=Settings!$C$5,1,0)</f>
        <v/>
      </c>
    </row>
    <row r="7839">
      <c r="A7839" t="inlineStr">
        <is>
          <t>fa028cf21c88b7a84194306e1b37968c</t>
        </is>
      </c>
      <c r="B7839" s="29" t="n">
        <v>43192</v>
      </c>
      <c r="C7839" t="inlineStr">
        <is>
          <t>2018-04</t>
        </is>
      </c>
      <c r="D7839" t="inlineStr">
        <is>
          <t>ce1a65abd0973638f1c887a6efcfa82d</t>
        </is>
      </c>
      <c r="E7839" t="inlineStr">
        <is>
          <t>display</t>
        </is>
      </c>
      <c r="F7839">
        <f>IFERROR(MATCH(A7839,Deals!$A$2:$A$843,0),"")</f>
        <v/>
      </c>
      <c r="G7839">
        <f>IF(F7839="",0,1)</f>
        <v/>
      </c>
      <c r="H7839" s="29">
        <f>IF(F7839="","",INDEX(Deals!$E$2:$E$843,F7839))</f>
        <v/>
      </c>
      <c r="I7839">
        <f>IF(F7839="","",INDEX(Deals!$D$2:$D$843,F7839))</f>
        <v/>
      </c>
      <c r="J7839">
        <f>IF(F7839="","",INT(H7839)-B7839)</f>
        <v/>
      </c>
      <c r="K7839">
        <f>IF(B7839&gt;=Settings!$C$5,1,0)</f>
        <v/>
      </c>
    </row>
    <row r="7840">
      <c r="A7840" t="inlineStr">
        <is>
          <t>c0da43734b3ba823109bb5a29ae4cec9</t>
        </is>
      </c>
      <c r="B7840" s="29" t="n">
        <v>42941</v>
      </c>
      <c r="C7840" t="inlineStr">
        <is>
          <t>2017-07</t>
        </is>
      </c>
      <c r="D7840" t="inlineStr">
        <is>
          <t>b6885f18d203a61176418c1fb3764815</t>
        </is>
      </c>
      <c r="E7840" t="inlineStr">
        <is>
          <t>paid_search</t>
        </is>
      </c>
      <c r="F7840">
        <f>IFERROR(MATCH(A7840,Deals!$A$2:$A$843,0),"")</f>
        <v/>
      </c>
      <c r="G7840">
        <f>IF(F7840="",0,1)</f>
        <v/>
      </c>
      <c r="H7840" s="29">
        <f>IF(F7840="","",INDEX(Deals!$E$2:$E$843,F7840))</f>
        <v/>
      </c>
      <c r="I7840">
        <f>IF(F7840="","",INDEX(Deals!$D$2:$D$843,F7840))</f>
        <v/>
      </c>
      <c r="J7840">
        <f>IF(F7840="","",INT(H7840)-B7840)</f>
        <v/>
      </c>
      <c r="K7840">
        <f>IF(B7840&gt;=Settings!$C$5,1,0)</f>
        <v/>
      </c>
    </row>
    <row r="7841">
      <c r="A7841" t="inlineStr">
        <is>
          <t>f99f66c4ee12dec951c234ad811b6716</t>
        </is>
      </c>
      <c r="B7841" s="29" t="n">
        <v>43245</v>
      </c>
      <c r="C7841" t="inlineStr">
        <is>
          <t>2018-05</t>
        </is>
      </c>
      <c r="D7841" t="inlineStr">
        <is>
          <t>b76ef37428e6799c421989521c0e5077</t>
        </is>
      </c>
      <c r="E7841" t="inlineStr">
        <is>
          <t>unknown</t>
        </is>
      </c>
      <c r="F7841">
        <f>IFERROR(MATCH(A7841,Deals!$A$2:$A$843,0),"")</f>
        <v/>
      </c>
      <c r="G7841">
        <f>IF(F7841="",0,1)</f>
        <v/>
      </c>
      <c r="H7841" s="29">
        <f>IF(F7841="","",INDEX(Deals!$E$2:$E$843,F7841))</f>
        <v/>
      </c>
      <c r="I7841">
        <f>IF(F7841="","",INDEX(Deals!$D$2:$D$843,F7841))</f>
        <v/>
      </c>
      <c r="J7841">
        <f>IF(F7841="","",INT(H7841)-B7841)</f>
        <v/>
      </c>
      <c r="K7841">
        <f>IF(B7841&gt;=Settings!$C$5,1,0)</f>
        <v/>
      </c>
    </row>
    <row r="7842">
      <c r="A7842" t="inlineStr">
        <is>
          <t>f9cfda111d54261aaba42282a9569f7e</t>
        </is>
      </c>
      <c r="B7842" s="29" t="n">
        <v>43223</v>
      </c>
      <c r="C7842" t="inlineStr">
        <is>
          <t>2018-05</t>
        </is>
      </c>
      <c r="D7842" t="inlineStr">
        <is>
          <t>22c29808c4f815213303f8933030604c</t>
        </is>
      </c>
      <c r="E7842" t="inlineStr">
        <is>
          <t>organic_search</t>
        </is>
      </c>
      <c r="F7842">
        <f>IFERROR(MATCH(A7842,Deals!$A$2:$A$843,0),"")</f>
        <v/>
      </c>
      <c r="G7842">
        <f>IF(F7842="",0,1)</f>
        <v/>
      </c>
      <c r="H7842" s="29">
        <f>IF(F7842="","",INDEX(Deals!$E$2:$E$843,F7842))</f>
        <v/>
      </c>
      <c r="I7842">
        <f>IF(F7842="","",INDEX(Deals!$D$2:$D$843,F7842))</f>
        <v/>
      </c>
      <c r="J7842">
        <f>IF(F7842="","",INT(H7842)-B7842)</f>
        <v/>
      </c>
      <c r="K7842">
        <f>IF(B7842&gt;=Settings!$C$5,1,0)</f>
        <v/>
      </c>
    </row>
    <row r="7843">
      <c r="A7843" t="inlineStr">
        <is>
          <t>50907a3f9889b7ea9ce755f67a05fb37</t>
        </is>
      </c>
      <c r="B7843" s="29" t="n">
        <v>43196</v>
      </c>
      <c r="C7843" t="inlineStr">
        <is>
          <t>2018-04</t>
        </is>
      </c>
      <c r="D7843" t="inlineStr">
        <is>
          <t>58326e62183c14b0c03085c33b9fdc44</t>
        </is>
      </c>
      <c r="E7843" t="inlineStr">
        <is>
          <t>social</t>
        </is>
      </c>
      <c r="F7843">
        <f>IFERROR(MATCH(A7843,Deals!$A$2:$A$843,0),"")</f>
        <v/>
      </c>
      <c r="G7843">
        <f>IF(F7843="",0,1)</f>
        <v/>
      </c>
      <c r="H7843" s="29">
        <f>IF(F7843="","",INDEX(Deals!$E$2:$E$843,F7843))</f>
        <v/>
      </c>
      <c r="I7843">
        <f>IF(F7843="","",INDEX(Deals!$D$2:$D$843,F7843))</f>
        <v/>
      </c>
      <c r="J7843">
        <f>IF(F7843="","",INT(H7843)-B7843)</f>
        <v/>
      </c>
      <c r="K7843">
        <f>IF(B7843&gt;=Settings!$C$5,1,0)</f>
        <v/>
      </c>
    </row>
    <row r="7844">
      <c r="A7844" t="inlineStr">
        <is>
          <t>8f4a20534264fce22dc1a12a6d8e6158</t>
        </is>
      </c>
      <c r="B7844" s="29" t="n">
        <v>43163</v>
      </c>
      <c r="C7844" t="inlineStr">
        <is>
          <t>2018-03</t>
        </is>
      </c>
      <c r="D7844" t="inlineStr">
        <is>
          <t>e492ee5eaf1697716985cc6f33f9cd9b</t>
        </is>
      </c>
      <c r="E7844" t="inlineStr">
        <is>
          <t>direct_traffic</t>
        </is>
      </c>
      <c r="F7844">
        <f>IFERROR(MATCH(A7844,Deals!$A$2:$A$843,0),"")</f>
        <v/>
      </c>
      <c r="G7844">
        <f>IF(F7844="",0,1)</f>
        <v/>
      </c>
      <c r="H7844" s="29">
        <f>IF(F7844="","",INDEX(Deals!$E$2:$E$843,F7844))</f>
        <v/>
      </c>
      <c r="I7844">
        <f>IF(F7844="","",INDEX(Deals!$D$2:$D$843,F7844))</f>
        <v/>
      </c>
      <c r="J7844">
        <f>IF(F7844="","",INT(H7844)-B7844)</f>
        <v/>
      </c>
      <c r="K7844">
        <f>IF(B7844&gt;=Settings!$C$5,1,0)</f>
        <v/>
      </c>
    </row>
    <row r="7845">
      <c r="A7845" t="inlineStr">
        <is>
          <t>9983a45ec612b9372871ef63ee241b31</t>
        </is>
      </c>
      <c r="B7845" s="29" t="n">
        <v>43011</v>
      </c>
      <c r="C7845" t="inlineStr">
        <is>
          <t>2017-10</t>
        </is>
      </c>
      <c r="D7845" t="inlineStr">
        <is>
          <t>ff3416719616ad4921acb8c74e21d6f0</t>
        </is>
      </c>
      <c r="E7845" t="inlineStr">
        <is>
          <t>paid_search</t>
        </is>
      </c>
      <c r="F7845">
        <f>IFERROR(MATCH(A7845,Deals!$A$2:$A$843,0),"")</f>
        <v/>
      </c>
      <c r="G7845">
        <f>IF(F7845="",0,1)</f>
        <v/>
      </c>
      <c r="H7845" s="29">
        <f>IF(F7845="","",INDEX(Deals!$E$2:$E$843,F7845))</f>
        <v/>
      </c>
      <c r="I7845">
        <f>IF(F7845="","",INDEX(Deals!$D$2:$D$843,F7845))</f>
        <v/>
      </c>
      <c r="J7845">
        <f>IF(F7845="","",INT(H7845)-B7845)</f>
        <v/>
      </c>
      <c r="K7845">
        <f>IF(B7845&gt;=Settings!$C$5,1,0)</f>
        <v/>
      </c>
    </row>
    <row r="7846">
      <c r="A7846" t="inlineStr">
        <is>
          <t>bfbce620784832da20ffb55cf4bc3607</t>
        </is>
      </c>
      <c r="B7846" s="29" t="n">
        <v>43190</v>
      </c>
      <c r="C7846" t="inlineStr">
        <is>
          <t>2018-03</t>
        </is>
      </c>
      <c r="D7846" t="inlineStr">
        <is>
          <t>a77dcf0bf420ced5e37baae9b5daffa4</t>
        </is>
      </c>
      <c r="E7846" t="inlineStr">
        <is>
          <t>social</t>
        </is>
      </c>
      <c r="F7846">
        <f>IFERROR(MATCH(A7846,Deals!$A$2:$A$843,0),"")</f>
        <v/>
      </c>
      <c r="G7846">
        <f>IF(F7846="",0,1)</f>
        <v/>
      </c>
      <c r="H7846" s="29">
        <f>IF(F7846="","",INDEX(Deals!$E$2:$E$843,F7846))</f>
        <v/>
      </c>
      <c r="I7846">
        <f>IF(F7846="","",INDEX(Deals!$D$2:$D$843,F7846))</f>
        <v/>
      </c>
      <c r="J7846">
        <f>IF(F7846="","",INT(H7846)-B7846)</f>
        <v/>
      </c>
      <c r="K7846">
        <f>IF(B7846&gt;=Settings!$C$5,1,0)</f>
        <v/>
      </c>
    </row>
    <row r="7847">
      <c r="A7847" t="inlineStr">
        <is>
          <t>35e1d9679148d95fdb4f567db207ae06</t>
        </is>
      </c>
      <c r="B7847" s="29" t="n">
        <v>43175</v>
      </c>
      <c r="C7847" t="inlineStr">
        <is>
          <t>2018-03</t>
        </is>
      </c>
      <c r="D7847" t="inlineStr">
        <is>
          <t>d27094ded8d5242d4d2ba9d7e5f176b4</t>
        </is>
      </c>
      <c r="E7847" t="inlineStr">
        <is>
          <t>unknown</t>
        </is>
      </c>
      <c r="F7847">
        <f>IFERROR(MATCH(A7847,Deals!$A$2:$A$843,0),"")</f>
        <v/>
      </c>
      <c r="G7847">
        <f>IF(F7847="",0,1)</f>
        <v/>
      </c>
      <c r="H7847" s="29">
        <f>IF(F7847="","",INDEX(Deals!$E$2:$E$843,F7847))</f>
        <v/>
      </c>
      <c r="I7847">
        <f>IF(F7847="","",INDEX(Deals!$D$2:$D$843,F7847))</f>
        <v/>
      </c>
      <c r="J7847">
        <f>IF(F7847="","",INT(H7847)-B7847)</f>
        <v/>
      </c>
      <c r="K7847">
        <f>IF(B7847&gt;=Settings!$C$5,1,0)</f>
        <v/>
      </c>
    </row>
    <row r="7848">
      <c r="A7848" t="inlineStr">
        <is>
          <t>6c79b082e5ab45a46ba189931dc646c1</t>
        </is>
      </c>
      <c r="B7848" s="29" t="n">
        <v>43171</v>
      </c>
      <c r="C7848" t="inlineStr">
        <is>
          <t>2018-03</t>
        </is>
      </c>
      <c r="D7848" t="inlineStr">
        <is>
          <t>65d9f9d71e562365e8b44037c2888d98</t>
        </is>
      </c>
      <c r="E7848" t="inlineStr">
        <is>
          <t>unknown</t>
        </is>
      </c>
      <c r="F7848">
        <f>IFERROR(MATCH(A7848,Deals!$A$2:$A$843,0),"")</f>
        <v/>
      </c>
      <c r="G7848">
        <f>IF(F7848="",0,1)</f>
        <v/>
      </c>
      <c r="H7848" s="29">
        <f>IF(F7848="","",INDEX(Deals!$E$2:$E$843,F7848))</f>
        <v/>
      </c>
      <c r="I7848">
        <f>IF(F7848="","",INDEX(Deals!$D$2:$D$843,F7848))</f>
        <v/>
      </c>
      <c r="J7848">
        <f>IF(F7848="","",INT(H7848)-B7848)</f>
        <v/>
      </c>
      <c r="K7848">
        <f>IF(B7848&gt;=Settings!$C$5,1,0)</f>
        <v/>
      </c>
    </row>
    <row r="7849">
      <c r="A7849" t="inlineStr">
        <is>
          <t>6ed1b690afebbb531e2ddc3d7799e260</t>
        </is>
      </c>
      <c r="B7849" s="29" t="n">
        <v>43234</v>
      </c>
      <c r="C7849" t="inlineStr">
        <is>
          <t>2018-05</t>
        </is>
      </c>
      <c r="D7849" t="inlineStr">
        <is>
          <t>58326e62183c14b0c03085c33b9fdc44</t>
        </is>
      </c>
      <c r="E7849" t="inlineStr">
        <is>
          <t>social</t>
        </is>
      </c>
      <c r="F7849">
        <f>IFERROR(MATCH(A7849,Deals!$A$2:$A$843,0),"")</f>
        <v/>
      </c>
      <c r="G7849">
        <f>IF(F7849="",0,1)</f>
        <v/>
      </c>
      <c r="H7849" s="29">
        <f>IF(F7849="","",INDEX(Deals!$E$2:$E$843,F7849))</f>
        <v/>
      </c>
      <c r="I7849">
        <f>IF(F7849="","",INDEX(Deals!$D$2:$D$843,F7849))</f>
        <v/>
      </c>
      <c r="J7849">
        <f>IF(F7849="","",INT(H7849)-B7849)</f>
        <v/>
      </c>
      <c r="K7849">
        <f>IF(B7849&gt;=Settings!$C$5,1,0)</f>
        <v/>
      </c>
    </row>
    <row r="7850">
      <c r="A7850" t="inlineStr">
        <is>
          <t>84037c86334bb0dc014f73da6bb04dca</t>
        </is>
      </c>
      <c r="B7850" s="29" t="n">
        <v>43014</v>
      </c>
      <c r="C7850" t="inlineStr">
        <is>
          <t>2017-10</t>
        </is>
      </c>
      <c r="D7850" t="inlineStr">
        <is>
          <t>a56671a54260a44923d32c2f08fad39c</t>
        </is>
      </c>
      <c r="E7850" t="inlineStr">
        <is>
          <t>paid_search</t>
        </is>
      </c>
      <c r="F7850">
        <f>IFERROR(MATCH(A7850,Deals!$A$2:$A$843,0),"")</f>
        <v/>
      </c>
      <c r="G7850">
        <f>IF(F7850="",0,1)</f>
        <v/>
      </c>
      <c r="H7850" s="29">
        <f>IF(F7850="","",INDEX(Deals!$E$2:$E$843,F7850))</f>
        <v/>
      </c>
      <c r="I7850">
        <f>IF(F7850="","",INDEX(Deals!$D$2:$D$843,F7850))</f>
        <v/>
      </c>
      <c r="J7850">
        <f>IF(F7850="","",INT(H7850)-B7850)</f>
        <v/>
      </c>
      <c r="K7850">
        <f>IF(B7850&gt;=Settings!$C$5,1,0)</f>
        <v/>
      </c>
    </row>
    <row r="7851">
      <c r="A7851" t="inlineStr">
        <is>
          <t>39a596c509dd1baf1008133b48dc8040</t>
        </is>
      </c>
      <c r="B7851" s="29" t="n">
        <v>43052</v>
      </c>
      <c r="C7851" t="inlineStr">
        <is>
          <t>2017-11</t>
        </is>
      </c>
      <c r="D7851" t="inlineStr">
        <is>
          <t>f03e241af08912ba7ffb65d69b0eb4d9</t>
        </is>
      </c>
      <c r="E7851" t="inlineStr">
        <is>
          <t>unknown</t>
        </is>
      </c>
      <c r="F7851">
        <f>IFERROR(MATCH(A7851,Deals!$A$2:$A$843,0),"")</f>
        <v/>
      </c>
      <c r="G7851">
        <f>IF(F7851="",0,1)</f>
        <v/>
      </c>
      <c r="H7851" s="29">
        <f>IF(F7851="","",INDEX(Deals!$E$2:$E$843,F7851))</f>
        <v/>
      </c>
      <c r="I7851">
        <f>IF(F7851="","",INDEX(Deals!$D$2:$D$843,F7851))</f>
        <v/>
      </c>
      <c r="J7851">
        <f>IF(F7851="","",INT(H7851)-B7851)</f>
        <v/>
      </c>
      <c r="K7851">
        <f>IF(B7851&gt;=Settings!$C$5,1,0)</f>
        <v/>
      </c>
    </row>
    <row r="7852">
      <c r="A7852" t="inlineStr">
        <is>
          <t>e12612acc5951b13ed502266385b8108</t>
        </is>
      </c>
      <c r="B7852" s="29" t="n">
        <v>43016</v>
      </c>
      <c r="C7852" t="inlineStr">
        <is>
          <t>2017-10</t>
        </is>
      </c>
      <c r="D7852" t="inlineStr">
        <is>
          <t>88740e65d5d6b056e0cda098e1ea6313</t>
        </is>
      </c>
      <c r="E7852" t="inlineStr">
        <is>
          <t>social</t>
        </is>
      </c>
      <c r="F7852">
        <f>IFERROR(MATCH(A7852,Deals!$A$2:$A$843,0),"")</f>
        <v/>
      </c>
      <c r="G7852">
        <f>IF(F7852="",0,1)</f>
        <v/>
      </c>
      <c r="H7852" s="29">
        <f>IF(F7852="","",INDEX(Deals!$E$2:$E$843,F7852))</f>
        <v/>
      </c>
      <c r="I7852">
        <f>IF(F7852="","",INDEX(Deals!$D$2:$D$843,F7852))</f>
        <v/>
      </c>
      <c r="J7852">
        <f>IF(F7852="","",INT(H7852)-B7852)</f>
        <v/>
      </c>
      <c r="K7852">
        <f>IF(B7852&gt;=Settings!$C$5,1,0)</f>
        <v/>
      </c>
    </row>
    <row r="7853">
      <c r="A7853" t="inlineStr">
        <is>
          <t>9d9f448d935a04af924537c9aae20e2f</t>
        </is>
      </c>
      <c r="B7853" s="29" t="n">
        <v>43237</v>
      </c>
      <c r="C7853" t="inlineStr">
        <is>
          <t>2018-05</t>
        </is>
      </c>
      <c r="D7853" t="inlineStr">
        <is>
          <t>1ceb590cd1e00c7ee95220971f82693d</t>
        </is>
      </c>
      <c r="E7853" t="inlineStr">
        <is>
          <t>paid_search</t>
        </is>
      </c>
      <c r="F7853">
        <f>IFERROR(MATCH(A7853,Deals!$A$2:$A$843,0),"")</f>
        <v/>
      </c>
      <c r="G7853">
        <f>IF(F7853="",0,1)</f>
        <v/>
      </c>
      <c r="H7853" s="29">
        <f>IF(F7853="","",INDEX(Deals!$E$2:$E$843,F7853))</f>
        <v/>
      </c>
      <c r="I7853">
        <f>IF(F7853="","",INDEX(Deals!$D$2:$D$843,F7853))</f>
        <v/>
      </c>
      <c r="J7853">
        <f>IF(F7853="","",INT(H7853)-B7853)</f>
        <v/>
      </c>
      <c r="K7853">
        <f>IF(B7853&gt;=Settings!$C$5,1,0)</f>
        <v/>
      </c>
    </row>
    <row r="7854">
      <c r="A7854" t="inlineStr">
        <is>
          <t>ee24544795bf59a8343731c3501c6b4e</t>
        </is>
      </c>
      <c r="B7854" s="29" t="n">
        <v>43112</v>
      </c>
      <c r="C7854" t="inlineStr">
        <is>
          <t>2018-01</t>
        </is>
      </c>
      <c r="D7854" t="inlineStr">
        <is>
          <t>88740e65d5d6b056e0cda098e1ea6313</t>
        </is>
      </c>
      <c r="E7854" t="inlineStr">
        <is>
          <t>social</t>
        </is>
      </c>
      <c r="F7854">
        <f>IFERROR(MATCH(A7854,Deals!$A$2:$A$843,0),"")</f>
        <v/>
      </c>
      <c r="G7854">
        <f>IF(F7854="",0,1)</f>
        <v/>
      </c>
      <c r="H7854" s="29">
        <f>IF(F7854="","",INDEX(Deals!$E$2:$E$843,F7854))</f>
        <v/>
      </c>
      <c r="I7854">
        <f>IF(F7854="","",INDEX(Deals!$D$2:$D$843,F7854))</f>
        <v/>
      </c>
      <c r="J7854">
        <f>IF(F7854="","",INT(H7854)-B7854)</f>
        <v/>
      </c>
      <c r="K7854">
        <f>IF(B7854&gt;=Settings!$C$5,1,0)</f>
        <v/>
      </c>
    </row>
    <row r="7855">
      <c r="A7855" t="inlineStr">
        <is>
          <t>3c5cacc351984a48a50d065f662789df</t>
        </is>
      </c>
      <c r="B7855" s="29" t="n">
        <v>43229</v>
      </c>
      <c r="C7855" t="inlineStr">
        <is>
          <t>2018-05</t>
        </is>
      </c>
      <c r="D7855" t="inlineStr">
        <is>
          <t>2f08471dfb83baef522f952438a36f6e</t>
        </is>
      </c>
      <c r="E7855" t="inlineStr">
        <is>
          <t>organic_search</t>
        </is>
      </c>
      <c r="F7855">
        <f>IFERROR(MATCH(A7855,Deals!$A$2:$A$843,0),"")</f>
        <v/>
      </c>
      <c r="G7855">
        <f>IF(F7855="",0,1)</f>
        <v/>
      </c>
      <c r="H7855" s="29">
        <f>IF(F7855="","",INDEX(Deals!$E$2:$E$843,F7855))</f>
        <v/>
      </c>
      <c r="I7855">
        <f>IF(F7855="","",INDEX(Deals!$D$2:$D$843,F7855))</f>
        <v/>
      </c>
      <c r="J7855">
        <f>IF(F7855="","",INT(H7855)-B7855)</f>
        <v/>
      </c>
      <c r="K7855">
        <f>IF(B7855&gt;=Settings!$C$5,1,0)</f>
        <v/>
      </c>
    </row>
    <row r="7856">
      <c r="A7856" t="inlineStr">
        <is>
          <t>3cd1c4392e843ee92aa39f89f0d2382b</t>
        </is>
      </c>
      <c r="B7856" s="29" t="n">
        <v>43205</v>
      </c>
      <c r="C7856" t="inlineStr">
        <is>
          <t>2018-04</t>
        </is>
      </c>
      <c r="D7856" t="inlineStr">
        <is>
          <t>649b7b8b46b254497e92038d88f6ced8</t>
        </is>
      </c>
      <c r="E7856" t="inlineStr">
        <is>
          <t>social</t>
        </is>
      </c>
      <c r="F7856">
        <f>IFERROR(MATCH(A7856,Deals!$A$2:$A$843,0),"")</f>
        <v/>
      </c>
      <c r="G7856">
        <f>IF(F7856="",0,1)</f>
        <v/>
      </c>
      <c r="H7856" s="29">
        <f>IF(F7856="","",INDEX(Deals!$E$2:$E$843,F7856))</f>
        <v/>
      </c>
      <c r="I7856">
        <f>IF(F7856="","",INDEX(Deals!$D$2:$D$843,F7856))</f>
        <v/>
      </c>
      <c r="J7856">
        <f>IF(F7856="","",INT(H7856)-B7856)</f>
        <v/>
      </c>
      <c r="K7856">
        <f>IF(B7856&gt;=Settings!$C$5,1,0)</f>
        <v/>
      </c>
    </row>
    <row r="7857">
      <c r="A7857" t="inlineStr">
        <is>
          <t>0a7c563b1e75f1d3555ac12218da520e</t>
        </is>
      </c>
      <c r="B7857" s="29" t="n">
        <v>43188</v>
      </c>
      <c r="C7857" t="inlineStr">
        <is>
          <t>2018-03</t>
        </is>
      </c>
      <c r="D7857" t="inlineStr">
        <is>
          <t>58326e62183c14b0c03085c33b9fdc44</t>
        </is>
      </c>
      <c r="E7857" t="inlineStr">
        <is>
          <t>social</t>
        </is>
      </c>
      <c r="F7857">
        <f>IFERROR(MATCH(A7857,Deals!$A$2:$A$843,0),"")</f>
        <v/>
      </c>
      <c r="G7857">
        <f>IF(F7857="",0,1)</f>
        <v/>
      </c>
      <c r="H7857" s="29">
        <f>IF(F7857="","",INDEX(Deals!$E$2:$E$843,F7857))</f>
        <v/>
      </c>
      <c r="I7857">
        <f>IF(F7857="","",INDEX(Deals!$D$2:$D$843,F7857))</f>
        <v/>
      </c>
      <c r="J7857">
        <f>IF(F7857="","",INT(H7857)-B7857)</f>
        <v/>
      </c>
      <c r="K7857">
        <f>IF(B7857&gt;=Settings!$C$5,1,0)</f>
        <v/>
      </c>
    </row>
    <row r="7858">
      <c r="A7858" t="inlineStr">
        <is>
          <t>c5c8f54138e6b9a67eeb4b5d186b27d0</t>
        </is>
      </c>
      <c r="B7858" s="29" t="n">
        <v>43214</v>
      </c>
      <c r="C7858" t="inlineStr">
        <is>
          <t>2018-04</t>
        </is>
      </c>
      <c r="D7858" t="inlineStr">
        <is>
          <t>f4cb9c7b1dc31afca77d4896d2ae8d4b</t>
        </is>
      </c>
      <c r="E7858" t="inlineStr">
        <is>
          <t>direct_traffic</t>
        </is>
      </c>
      <c r="F7858">
        <f>IFERROR(MATCH(A7858,Deals!$A$2:$A$843,0),"")</f>
        <v/>
      </c>
      <c r="G7858">
        <f>IF(F7858="",0,1)</f>
        <v/>
      </c>
      <c r="H7858" s="29">
        <f>IF(F7858="","",INDEX(Deals!$E$2:$E$843,F7858))</f>
        <v/>
      </c>
      <c r="I7858">
        <f>IF(F7858="","",INDEX(Deals!$D$2:$D$843,F7858))</f>
        <v/>
      </c>
      <c r="J7858">
        <f>IF(F7858="","",INT(H7858)-B7858)</f>
        <v/>
      </c>
      <c r="K7858">
        <f>IF(B7858&gt;=Settings!$C$5,1,0)</f>
        <v/>
      </c>
    </row>
    <row r="7859">
      <c r="A7859" t="inlineStr">
        <is>
          <t>4d5b1d7451664f7b4d7359d1f4ea0c88</t>
        </is>
      </c>
      <c r="B7859" s="29" t="n">
        <v>43211</v>
      </c>
      <c r="C7859" t="inlineStr">
        <is>
          <t>2018-04</t>
        </is>
      </c>
      <c r="D7859" t="inlineStr">
        <is>
          <t>22c29808c4f815213303f8933030604c</t>
        </is>
      </c>
      <c r="E7859" t="inlineStr">
        <is>
          <t>referral</t>
        </is>
      </c>
      <c r="F7859">
        <f>IFERROR(MATCH(A7859,Deals!$A$2:$A$843,0),"")</f>
        <v/>
      </c>
      <c r="G7859">
        <f>IF(F7859="",0,1)</f>
        <v/>
      </c>
      <c r="H7859" s="29">
        <f>IF(F7859="","",INDEX(Deals!$E$2:$E$843,F7859))</f>
        <v/>
      </c>
      <c r="I7859">
        <f>IF(F7859="","",INDEX(Deals!$D$2:$D$843,F7859))</f>
        <v/>
      </c>
      <c r="J7859">
        <f>IF(F7859="","",INT(H7859)-B7859)</f>
        <v/>
      </c>
      <c r="K7859">
        <f>IF(B7859&gt;=Settings!$C$5,1,0)</f>
        <v/>
      </c>
    </row>
    <row r="7860">
      <c r="A7860" t="inlineStr">
        <is>
          <t>66221bae97a54a1d31b0319c30437bdd</t>
        </is>
      </c>
      <c r="B7860" s="29" t="n">
        <v>43138</v>
      </c>
      <c r="C7860" t="inlineStr">
        <is>
          <t>2018-02</t>
        </is>
      </c>
      <c r="D7860" t="inlineStr">
        <is>
          <t>ce1a65abd0973638f1c887a6efcfa82d</t>
        </is>
      </c>
      <c r="E7860" t="inlineStr">
        <is>
          <t>organic_search</t>
        </is>
      </c>
      <c r="F7860">
        <f>IFERROR(MATCH(A7860,Deals!$A$2:$A$843,0),"")</f>
        <v/>
      </c>
      <c r="G7860">
        <f>IF(F7860="",0,1)</f>
        <v/>
      </c>
      <c r="H7860" s="29">
        <f>IF(F7860="","",INDEX(Deals!$E$2:$E$843,F7860))</f>
        <v/>
      </c>
      <c r="I7860">
        <f>IF(F7860="","",INDEX(Deals!$D$2:$D$843,F7860))</f>
        <v/>
      </c>
      <c r="J7860">
        <f>IF(F7860="","",INT(H7860)-B7860)</f>
        <v/>
      </c>
      <c r="K7860">
        <f>IF(B7860&gt;=Settings!$C$5,1,0)</f>
        <v/>
      </c>
    </row>
    <row r="7861">
      <c r="A7861" t="inlineStr">
        <is>
          <t>c40c01024a2299498ce379d3253daec4</t>
        </is>
      </c>
      <c r="B7861" s="29" t="n">
        <v>43188</v>
      </c>
      <c r="C7861" t="inlineStr">
        <is>
          <t>2018-03</t>
        </is>
      </c>
      <c r="D7861" t="inlineStr">
        <is>
          <t>f98c2bd96ac4a5d9476734e790c91384</t>
        </is>
      </c>
      <c r="E7861" t="inlineStr">
        <is>
          <t>organic_search</t>
        </is>
      </c>
      <c r="F7861">
        <f>IFERROR(MATCH(A7861,Deals!$A$2:$A$843,0),"")</f>
        <v/>
      </c>
      <c r="G7861">
        <f>IF(F7861="",0,1)</f>
        <v/>
      </c>
      <c r="H7861" s="29">
        <f>IF(F7861="","",INDEX(Deals!$E$2:$E$843,F7861))</f>
        <v/>
      </c>
      <c r="I7861">
        <f>IF(F7861="","",INDEX(Deals!$D$2:$D$843,F7861))</f>
        <v/>
      </c>
      <c r="J7861">
        <f>IF(F7861="","",INT(H7861)-B7861)</f>
        <v/>
      </c>
      <c r="K7861">
        <f>IF(B7861&gt;=Settings!$C$5,1,0)</f>
        <v/>
      </c>
    </row>
    <row r="7862">
      <c r="A7862" t="inlineStr">
        <is>
          <t>bf3b50067c565f050a653d29f443ccf8</t>
        </is>
      </c>
      <c r="B7862" s="29" t="n">
        <v>42962</v>
      </c>
      <c r="C7862" t="inlineStr">
        <is>
          <t>2017-08</t>
        </is>
      </c>
      <c r="D7862" t="inlineStr">
        <is>
          <t>aeac92c0f5ae22a04ed3b746cce3a1b6</t>
        </is>
      </c>
      <c r="E7862" t="inlineStr">
        <is>
          <t>organic_search</t>
        </is>
      </c>
      <c r="F7862">
        <f>IFERROR(MATCH(A7862,Deals!$A$2:$A$843,0),"")</f>
        <v/>
      </c>
      <c r="G7862">
        <f>IF(F7862="",0,1)</f>
        <v/>
      </c>
      <c r="H7862" s="29">
        <f>IF(F7862="","",INDEX(Deals!$E$2:$E$843,F7862))</f>
        <v/>
      </c>
      <c r="I7862">
        <f>IF(F7862="","",INDEX(Deals!$D$2:$D$843,F7862))</f>
        <v/>
      </c>
      <c r="J7862">
        <f>IF(F7862="","",INT(H7862)-B7862)</f>
        <v/>
      </c>
      <c r="K7862">
        <f>IF(B7862&gt;=Settings!$C$5,1,0)</f>
        <v/>
      </c>
    </row>
    <row r="7863">
      <c r="A7863" t="inlineStr">
        <is>
          <t>d1b611ebe627df0447e9f3fafc4f14cf</t>
        </is>
      </c>
      <c r="B7863" s="29" t="n">
        <v>42996</v>
      </c>
      <c r="C7863" t="inlineStr">
        <is>
          <t>2017-09</t>
        </is>
      </c>
      <c r="D7863" t="inlineStr">
        <is>
          <t>b217afa2c1f4cb502423005639878f6d</t>
        </is>
      </c>
      <c r="E7863" t="inlineStr">
        <is>
          <t>paid_search</t>
        </is>
      </c>
      <c r="F7863">
        <f>IFERROR(MATCH(A7863,Deals!$A$2:$A$843,0),"")</f>
        <v/>
      </c>
      <c r="G7863">
        <f>IF(F7863="",0,1)</f>
        <v/>
      </c>
      <c r="H7863" s="29">
        <f>IF(F7863="","",INDEX(Deals!$E$2:$E$843,F7863))</f>
        <v/>
      </c>
      <c r="I7863">
        <f>IF(F7863="","",INDEX(Deals!$D$2:$D$843,F7863))</f>
        <v/>
      </c>
      <c r="J7863">
        <f>IF(F7863="","",INT(H7863)-B7863)</f>
        <v/>
      </c>
      <c r="K7863">
        <f>IF(B7863&gt;=Settings!$C$5,1,0)</f>
        <v/>
      </c>
    </row>
    <row r="7864">
      <c r="A7864" t="inlineStr">
        <is>
          <t>7711010121e869ead8a928fa035b48df</t>
        </is>
      </c>
      <c r="B7864" s="29" t="n">
        <v>42941</v>
      </c>
      <c r="C7864" t="inlineStr">
        <is>
          <t>2017-07</t>
        </is>
      </c>
      <c r="D7864" t="inlineStr">
        <is>
          <t>3cd2a8301d5395f21cdd3094c9eaa2f4</t>
        </is>
      </c>
      <c r="E7864" t="inlineStr">
        <is>
          <t>paid_search</t>
        </is>
      </c>
      <c r="F7864">
        <f>IFERROR(MATCH(A7864,Deals!$A$2:$A$843,0),"")</f>
        <v/>
      </c>
      <c r="G7864">
        <f>IF(F7864="",0,1)</f>
        <v/>
      </c>
      <c r="H7864" s="29">
        <f>IF(F7864="","",INDEX(Deals!$E$2:$E$843,F7864))</f>
        <v/>
      </c>
      <c r="I7864">
        <f>IF(F7864="","",INDEX(Deals!$D$2:$D$843,F7864))</f>
        <v/>
      </c>
      <c r="J7864">
        <f>IF(F7864="","",INT(H7864)-B7864)</f>
        <v/>
      </c>
      <c r="K7864">
        <f>IF(B7864&gt;=Settings!$C$5,1,0)</f>
        <v/>
      </c>
    </row>
    <row r="7865">
      <c r="A7865" t="inlineStr">
        <is>
          <t>7998ee341a2b3ffe1f5b8f11c0e78d11</t>
        </is>
      </c>
      <c r="B7865" s="29" t="n">
        <v>43195</v>
      </c>
      <c r="C7865" t="inlineStr">
        <is>
          <t>2018-04</t>
        </is>
      </c>
      <c r="D7865" t="inlineStr">
        <is>
          <t>b76ef37428e6799c421989521c0e5077</t>
        </is>
      </c>
      <c r="E7865" t="inlineStr">
        <is>
          <t>unknown</t>
        </is>
      </c>
      <c r="F7865">
        <f>IFERROR(MATCH(A7865,Deals!$A$2:$A$843,0),"")</f>
        <v/>
      </c>
      <c r="G7865">
        <f>IF(F7865="",0,1)</f>
        <v/>
      </c>
      <c r="H7865" s="29">
        <f>IF(F7865="","",INDEX(Deals!$E$2:$E$843,F7865))</f>
        <v/>
      </c>
      <c r="I7865">
        <f>IF(F7865="","",INDEX(Deals!$D$2:$D$843,F7865))</f>
        <v/>
      </c>
      <c r="J7865">
        <f>IF(F7865="","",INT(H7865)-B7865)</f>
        <v/>
      </c>
      <c r="K7865">
        <f>IF(B7865&gt;=Settings!$C$5,1,0)</f>
        <v/>
      </c>
    </row>
    <row r="7866">
      <c r="A7866" t="inlineStr">
        <is>
          <t>49897811809958b58faed4230f03e432</t>
        </is>
      </c>
      <c r="B7866" s="29" t="n">
        <v>43122</v>
      </c>
      <c r="C7866" t="inlineStr">
        <is>
          <t>2018-01</t>
        </is>
      </c>
      <c r="D7866" t="inlineStr">
        <is>
          <t>241f79c7a8fe0270f4fb79fcbbcd17ad</t>
        </is>
      </c>
      <c r="E7866" t="inlineStr">
        <is>
          <t>paid_search</t>
        </is>
      </c>
      <c r="F7866">
        <f>IFERROR(MATCH(A7866,Deals!$A$2:$A$843,0),"")</f>
        <v/>
      </c>
      <c r="G7866">
        <f>IF(F7866="",0,1)</f>
        <v/>
      </c>
      <c r="H7866" s="29">
        <f>IF(F7866="","",INDEX(Deals!$E$2:$E$843,F7866))</f>
        <v/>
      </c>
      <c r="I7866">
        <f>IF(F7866="","",INDEX(Deals!$D$2:$D$843,F7866))</f>
        <v/>
      </c>
      <c r="J7866">
        <f>IF(F7866="","",INT(H7866)-B7866)</f>
        <v/>
      </c>
      <c r="K7866">
        <f>IF(B7866&gt;=Settings!$C$5,1,0)</f>
        <v/>
      </c>
    </row>
    <row r="7867">
      <c r="A7867" t="inlineStr">
        <is>
          <t>830c8e7e327466f868edbc4d3071118e</t>
        </is>
      </c>
      <c r="B7867" s="29" t="n">
        <v>43195</v>
      </c>
      <c r="C7867" t="inlineStr">
        <is>
          <t>2018-04</t>
        </is>
      </c>
      <c r="D7867" t="inlineStr">
        <is>
          <t>ea0650174e273c41e12002dcdd4708be</t>
        </is>
      </c>
      <c r="E7867" t="inlineStr">
        <is>
          <t>organic_search</t>
        </is>
      </c>
      <c r="F7867">
        <f>IFERROR(MATCH(A7867,Deals!$A$2:$A$843,0),"")</f>
        <v/>
      </c>
      <c r="G7867">
        <f>IF(F7867="",0,1)</f>
        <v/>
      </c>
      <c r="H7867" s="29">
        <f>IF(F7867="","",INDEX(Deals!$E$2:$E$843,F7867))</f>
        <v/>
      </c>
      <c r="I7867">
        <f>IF(F7867="","",INDEX(Deals!$D$2:$D$843,F7867))</f>
        <v/>
      </c>
      <c r="J7867">
        <f>IF(F7867="","",INT(H7867)-B7867)</f>
        <v/>
      </c>
      <c r="K7867">
        <f>IF(B7867&gt;=Settings!$C$5,1,0)</f>
        <v/>
      </c>
    </row>
    <row r="7868">
      <c r="A7868" t="inlineStr">
        <is>
          <t>030ed9e0b2210f2207c3d0b9638898c3</t>
        </is>
      </c>
      <c r="B7868" s="29" t="n">
        <v>43175</v>
      </c>
      <c r="C7868" t="inlineStr">
        <is>
          <t>2018-03</t>
        </is>
      </c>
      <c r="D7868" t="inlineStr">
        <is>
          <t>ce1a65abd0973638f1c887a6efcfa82d</t>
        </is>
      </c>
      <c r="E7868" t="inlineStr">
        <is>
          <t>organic_search</t>
        </is>
      </c>
      <c r="F7868">
        <f>IFERROR(MATCH(A7868,Deals!$A$2:$A$843,0),"")</f>
        <v/>
      </c>
      <c r="G7868">
        <f>IF(F7868="",0,1)</f>
        <v/>
      </c>
      <c r="H7868" s="29">
        <f>IF(F7868="","",INDEX(Deals!$E$2:$E$843,F7868))</f>
        <v/>
      </c>
      <c r="I7868">
        <f>IF(F7868="","",INDEX(Deals!$D$2:$D$843,F7868))</f>
        <v/>
      </c>
      <c r="J7868">
        <f>IF(F7868="","",INT(H7868)-B7868)</f>
        <v/>
      </c>
      <c r="K7868">
        <f>IF(B7868&gt;=Settings!$C$5,1,0)</f>
        <v/>
      </c>
    </row>
    <row r="7869">
      <c r="A7869" t="inlineStr">
        <is>
          <t>13c8eb07b2dc376126e669fbc4a57f73</t>
        </is>
      </c>
      <c r="B7869" s="29" t="n">
        <v>43020</v>
      </c>
      <c r="C7869" t="inlineStr">
        <is>
          <t>2017-10</t>
        </is>
      </c>
      <c r="D7869" t="inlineStr">
        <is>
          <t>88740e65d5d6b056e0cda098e1ea6313</t>
        </is>
      </c>
      <c r="E7869" t="inlineStr">
        <is>
          <t>social</t>
        </is>
      </c>
      <c r="F7869">
        <f>IFERROR(MATCH(A7869,Deals!$A$2:$A$843,0),"")</f>
        <v/>
      </c>
      <c r="G7869">
        <f>IF(F7869="",0,1)</f>
        <v/>
      </c>
      <c r="H7869" s="29">
        <f>IF(F7869="","",INDEX(Deals!$E$2:$E$843,F7869))</f>
        <v/>
      </c>
      <c r="I7869">
        <f>IF(F7869="","",INDEX(Deals!$D$2:$D$843,F7869))</f>
        <v/>
      </c>
      <c r="J7869">
        <f>IF(F7869="","",INT(H7869)-B7869)</f>
        <v/>
      </c>
      <c r="K7869">
        <f>IF(B7869&gt;=Settings!$C$5,1,0)</f>
        <v/>
      </c>
    </row>
    <row r="7870">
      <c r="A7870" t="inlineStr">
        <is>
          <t>3b510fa4087ca05a29852aae1bbcd9fa</t>
        </is>
      </c>
      <c r="B7870" s="29" t="n">
        <v>43157</v>
      </c>
      <c r="C7870" t="inlineStr">
        <is>
          <t>2018-02</t>
        </is>
      </c>
      <c r="D7870" t="inlineStr">
        <is>
          <t>7fa6214d82e911d070f51ef79381b956</t>
        </is>
      </c>
      <c r="E7870" t="inlineStr">
        <is>
          <t>direct_traffic</t>
        </is>
      </c>
      <c r="F7870">
        <f>IFERROR(MATCH(A7870,Deals!$A$2:$A$843,0),"")</f>
        <v/>
      </c>
      <c r="G7870">
        <f>IF(F7870="",0,1)</f>
        <v/>
      </c>
      <c r="H7870" s="29">
        <f>IF(F7870="","",INDEX(Deals!$E$2:$E$843,F7870))</f>
        <v/>
      </c>
      <c r="I7870">
        <f>IF(F7870="","",INDEX(Deals!$D$2:$D$843,F7870))</f>
        <v/>
      </c>
      <c r="J7870">
        <f>IF(F7870="","",INT(H7870)-B7870)</f>
        <v/>
      </c>
      <c r="K7870">
        <f>IF(B7870&gt;=Settings!$C$5,1,0)</f>
        <v/>
      </c>
    </row>
    <row r="7871">
      <c r="A7871" t="inlineStr">
        <is>
          <t>0f46fe677ed856f99805fd8ec9236575</t>
        </is>
      </c>
      <c r="B7871" s="29" t="n">
        <v>43094</v>
      </c>
      <c r="C7871" t="inlineStr">
        <is>
          <t>2017-12</t>
        </is>
      </c>
      <c r="D7871" t="inlineStr">
        <is>
          <t>22c29808c4f815213303f8933030604c</t>
        </is>
      </c>
      <c r="E7871" t="inlineStr">
        <is>
          <t>organic_search</t>
        </is>
      </c>
      <c r="F7871">
        <f>IFERROR(MATCH(A7871,Deals!$A$2:$A$843,0),"")</f>
        <v/>
      </c>
      <c r="G7871">
        <f>IF(F7871="",0,1)</f>
        <v/>
      </c>
      <c r="H7871" s="29">
        <f>IF(F7871="","",INDEX(Deals!$E$2:$E$843,F7871))</f>
        <v/>
      </c>
      <c r="I7871">
        <f>IF(F7871="","",INDEX(Deals!$D$2:$D$843,F7871))</f>
        <v/>
      </c>
      <c r="J7871">
        <f>IF(F7871="","",INT(H7871)-B7871)</f>
        <v/>
      </c>
      <c r="K7871">
        <f>IF(B7871&gt;=Settings!$C$5,1,0)</f>
        <v/>
      </c>
    </row>
    <row r="7872">
      <c r="A7872" t="inlineStr">
        <is>
          <t>aa4b8d815476f638191851b529731a57</t>
        </is>
      </c>
      <c r="B7872" s="29" t="n">
        <v>43213</v>
      </c>
      <c r="C7872" t="inlineStr">
        <is>
          <t>2018-04</t>
        </is>
      </c>
      <c r="D7872" t="inlineStr">
        <is>
          <t>9fa37f5177115156b1814ffc237402a6</t>
        </is>
      </c>
      <c r="E7872" t="inlineStr">
        <is>
          <t>paid_search</t>
        </is>
      </c>
      <c r="F7872">
        <f>IFERROR(MATCH(A7872,Deals!$A$2:$A$843,0),"")</f>
        <v/>
      </c>
      <c r="G7872">
        <f>IF(F7872="",0,1)</f>
        <v/>
      </c>
      <c r="H7872" s="29">
        <f>IF(F7872="","",INDEX(Deals!$E$2:$E$843,F7872))</f>
        <v/>
      </c>
      <c r="I7872">
        <f>IF(F7872="","",INDEX(Deals!$D$2:$D$843,F7872))</f>
        <v/>
      </c>
      <c r="J7872">
        <f>IF(F7872="","",INT(H7872)-B7872)</f>
        <v/>
      </c>
      <c r="K7872">
        <f>IF(B7872&gt;=Settings!$C$5,1,0)</f>
        <v/>
      </c>
    </row>
    <row r="7873">
      <c r="A7873" t="inlineStr">
        <is>
          <t>37bb803fba5c4ed939d68a30b1d0d867</t>
        </is>
      </c>
      <c r="B7873" s="29" t="n">
        <v>43192</v>
      </c>
      <c r="C7873" t="inlineStr">
        <is>
          <t>2018-04</t>
        </is>
      </c>
      <c r="D7873" t="inlineStr">
        <is>
          <t>22c29808c4f815213303f8933030604c</t>
        </is>
      </c>
      <c r="E7873" t="inlineStr">
        <is>
          <t>organic_search</t>
        </is>
      </c>
      <c r="F7873">
        <f>IFERROR(MATCH(A7873,Deals!$A$2:$A$843,0),"")</f>
        <v/>
      </c>
      <c r="G7873">
        <f>IF(F7873="",0,1)</f>
        <v/>
      </c>
      <c r="H7873" s="29">
        <f>IF(F7873="","",INDEX(Deals!$E$2:$E$843,F7873))</f>
        <v/>
      </c>
      <c r="I7873">
        <f>IF(F7873="","",INDEX(Deals!$D$2:$D$843,F7873))</f>
        <v/>
      </c>
      <c r="J7873">
        <f>IF(F7873="","",INT(H7873)-B7873)</f>
        <v/>
      </c>
      <c r="K7873">
        <f>IF(B7873&gt;=Settings!$C$5,1,0)</f>
        <v/>
      </c>
    </row>
    <row r="7874">
      <c r="A7874" t="inlineStr">
        <is>
          <t>2d21fefd587c8429da8c2233d1d12346</t>
        </is>
      </c>
      <c r="B7874" s="29" t="n">
        <v>43070</v>
      </c>
      <c r="C7874" t="inlineStr">
        <is>
          <t>2017-12</t>
        </is>
      </c>
      <c r="D7874" t="inlineStr">
        <is>
          <t>1722481ac9e5371e5099dea226b5421d</t>
        </is>
      </c>
      <c r="E7874" t="inlineStr">
        <is>
          <t>organic_search</t>
        </is>
      </c>
      <c r="F7874">
        <f>IFERROR(MATCH(A7874,Deals!$A$2:$A$843,0),"")</f>
        <v/>
      </c>
      <c r="G7874">
        <f>IF(F7874="",0,1)</f>
        <v/>
      </c>
      <c r="H7874" s="29">
        <f>IF(F7874="","",INDEX(Deals!$E$2:$E$843,F7874))</f>
        <v/>
      </c>
      <c r="I7874">
        <f>IF(F7874="","",INDEX(Deals!$D$2:$D$843,F7874))</f>
        <v/>
      </c>
      <c r="J7874">
        <f>IF(F7874="","",INT(H7874)-B7874)</f>
        <v/>
      </c>
      <c r="K7874">
        <f>IF(B7874&gt;=Settings!$C$5,1,0)</f>
        <v/>
      </c>
    </row>
    <row r="7875">
      <c r="A7875" t="inlineStr">
        <is>
          <t>99ee2d61ce22795acc55825466a1150f</t>
        </is>
      </c>
      <c r="B7875" s="29" t="n">
        <v>43179</v>
      </c>
      <c r="C7875" t="inlineStr">
        <is>
          <t>2018-03</t>
        </is>
      </c>
      <c r="D7875" t="inlineStr">
        <is>
          <t>36120633c8737035fbabf079082f4ec1</t>
        </is>
      </c>
      <c r="E7875" t="inlineStr">
        <is>
          <t>paid_search</t>
        </is>
      </c>
      <c r="F7875">
        <f>IFERROR(MATCH(A7875,Deals!$A$2:$A$843,0),"")</f>
        <v/>
      </c>
      <c r="G7875">
        <f>IF(F7875="",0,1)</f>
        <v/>
      </c>
      <c r="H7875" s="29">
        <f>IF(F7875="","",INDEX(Deals!$E$2:$E$843,F7875))</f>
        <v/>
      </c>
      <c r="I7875">
        <f>IF(F7875="","",INDEX(Deals!$D$2:$D$843,F7875))</f>
        <v/>
      </c>
      <c r="J7875">
        <f>IF(F7875="","",INT(H7875)-B7875)</f>
        <v/>
      </c>
      <c r="K7875">
        <f>IF(B7875&gt;=Settings!$C$5,1,0)</f>
        <v/>
      </c>
    </row>
    <row r="7876">
      <c r="A7876" t="inlineStr">
        <is>
          <t>44694d5609682428dac3aad206bad13b</t>
        </is>
      </c>
      <c r="B7876" s="29" t="n">
        <v>43105</v>
      </c>
      <c r="C7876" t="inlineStr">
        <is>
          <t>2018-01</t>
        </is>
      </c>
      <c r="D7876" t="inlineStr">
        <is>
          <t>65d9f9d71e562365e8b44037c2888d98</t>
        </is>
      </c>
      <c r="E7876" t="inlineStr">
        <is>
          <t>organic_search</t>
        </is>
      </c>
      <c r="F7876">
        <f>IFERROR(MATCH(A7876,Deals!$A$2:$A$843,0),"")</f>
        <v/>
      </c>
      <c r="G7876">
        <f>IF(F7876="",0,1)</f>
        <v/>
      </c>
      <c r="H7876" s="29">
        <f>IF(F7876="","",INDEX(Deals!$E$2:$E$843,F7876))</f>
        <v/>
      </c>
      <c r="I7876">
        <f>IF(F7876="","",INDEX(Deals!$D$2:$D$843,F7876))</f>
        <v/>
      </c>
      <c r="J7876">
        <f>IF(F7876="","",INT(H7876)-B7876)</f>
        <v/>
      </c>
      <c r="K7876">
        <f>IF(B7876&gt;=Settings!$C$5,1,0)</f>
        <v/>
      </c>
    </row>
    <row r="7877">
      <c r="A7877" t="inlineStr">
        <is>
          <t>25dcf1554f13c36b512dfe907acc77d3</t>
        </is>
      </c>
      <c r="B7877" s="29" t="n">
        <v>43069</v>
      </c>
      <c r="C7877" t="inlineStr">
        <is>
          <t>2017-11</t>
        </is>
      </c>
      <c r="D7877" t="inlineStr">
        <is>
          <t>87780f7c05ecd79791bde76af663db15</t>
        </is>
      </c>
      <c r="E7877" t="inlineStr">
        <is>
          <t>social</t>
        </is>
      </c>
      <c r="F7877">
        <f>IFERROR(MATCH(A7877,Deals!$A$2:$A$843,0),"")</f>
        <v/>
      </c>
      <c r="G7877">
        <f>IF(F7877="",0,1)</f>
        <v/>
      </c>
      <c r="H7877" s="29">
        <f>IF(F7877="","",INDEX(Deals!$E$2:$E$843,F7877))</f>
        <v/>
      </c>
      <c r="I7877">
        <f>IF(F7877="","",INDEX(Deals!$D$2:$D$843,F7877))</f>
        <v/>
      </c>
      <c r="J7877">
        <f>IF(F7877="","",INT(H7877)-B7877)</f>
        <v/>
      </c>
      <c r="K7877">
        <f>IF(B7877&gt;=Settings!$C$5,1,0)</f>
        <v/>
      </c>
    </row>
    <row r="7878">
      <c r="A7878" t="inlineStr">
        <is>
          <t>b2ec3778d61b7fbba65a900aebc41c1a</t>
        </is>
      </c>
      <c r="B7878" s="29" t="n">
        <v>43146</v>
      </c>
      <c r="C7878" t="inlineStr">
        <is>
          <t>2018-02</t>
        </is>
      </c>
      <c r="D7878" t="inlineStr">
        <is>
          <t>22c29808c4f815213303f8933030604c</t>
        </is>
      </c>
      <c r="E7878" t="inlineStr">
        <is>
          <t>direct_traffic</t>
        </is>
      </c>
      <c r="F7878">
        <f>IFERROR(MATCH(A7878,Deals!$A$2:$A$843,0),"")</f>
        <v/>
      </c>
      <c r="G7878">
        <f>IF(F7878="",0,1)</f>
        <v/>
      </c>
      <c r="H7878" s="29">
        <f>IF(F7878="","",INDEX(Deals!$E$2:$E$843,F7878))</f>
        <v/>
      </c>
      <c r="I7878">
        <f>IF(F7878="","",INDEX(Deals!$D$2:$D$843,F7878))</f>
        <v/>
      </c>
      <c r="J7878">
        <f>IF(F7878="","",INT(H7878)-B7878)</f>
        <v/>
      </c>
      <c r="K7878">
        <f>IF(B7878&gt;=Settings!$C$5,1,0)</f>
        <v/>
      </c>
    </row>
    <row r="7879">
      <c r="A7879" t="inlineStr">
        <is>
          <t>77fec91772e29a92c267237b080fbc82</t>
        </is>
      </c>
      <c r="B7879" s="29" t="n">
        <v>43247</v>
      </c>
      <c r="C7879" t="inlineStr">
        <is>
          <t>2018-05</t>
        </is>
      </c>
      <c r="D7879" t="inlineStr">
        <is>
          <t>22c29808c4f815213303f8933030604c</t>
        </is>
      </c>
      <c r="E7879" t="inlineStr">
        <is>
          <t>organic_search</t>
        </is>
      </c>
      <c r="F7879">
        <f>IFERROR(MATCH(A7879,Deals!$A$2:$A$843,0),"")</f>
        <v/>
      </c>
      <c r="G7879">
        <f>IF(F7879="",0,1)</f>
        <v/>
      </c>
      <c r="H7879" s="29">
        <f>IF(F7879="","",INDEX(Deals!$E$2:$E$843,F7879))</f>
        <v/>
      </c>
      <c r="I7879">
        <f>IF(F7879="","",INDEX(Deals!$D$2:$D$843,F7879))</f>
        <v/>
      </c>
      <c r="J7879">
        <f>IF(F7879="","",INT(H7879)-B7879)</f>
        <v/>
      </c>
      <c r="K7879">
        <f>IF(B7879&gt;=Settings!$C$5,1,0)</f>
        <v/>
      </c>
    </row>
    <row r="7880">
      <c r="A7880" t="inlineStr">
        <is>
          <t>5735438d64589c7672b1b246cc3b2b24</t>
        </is>
      </c>
      <c r="B7880" s="29" t="n">
        <v>43195</v>
      </c>
      <c r="C7880" t="inlineStr">
        <is>
          <t>2018-04</t>
        </is>
      </c>
      <c r="D7880" t="inlineStr">
        <is>
          <t>1ceb590cd1e00c7ee95220971f82693d</t>
        </is>
      </c>
      <c r="E7880" t="inlineStr">
        <is>
          <t>(missing)</t>
        </is>
      </c>
      <c r="F7880">
        <f>IFERROR(MATCH(A7880,Deals!$A$2:$A$843,0),"")</f>
        <v/>
      </c>
      <c r="G7880">
        <f>IF(F7880="",0,1)</f>
        <v/>
      </c>
      <c r="H7880" s="29">
        <f>IF(F7880="","",INDEX(Deals!$E$2:$E$843,F7880))</f>
        <v/>
      </c>
      <c r="I7880">
        <f>IF(F7880="","",INDEX(Deals!$D$2:$D$843,F7880))</f>
        <v/>
      </c>
      <c r="J7880">
        <f>IF(F7880="","",INT(H7880)-B7880)</f>
        <v/>
      </c>
      <c r="K7880">
        <f>IF(B7880&gt;=Settings!$C$5,1,0)</f>
        <v/>
      </c>
    </row>
    <row r="7881">
      <c r="A7881" t="inlineStr">
        <is>
          <t>876bd8a49af1c7633e997e95654588d9</t>
        </is>
      </c>
      <c r="B7881" s="29" t="n">
        <v>43236</v>
      </c>
      <c r="C7881" t="inlineStr">
        <is>
          <t>2018-05</t>
        </is>
      </c>
      <c r="D7881" t="inlineStr">
        <is>
          <t>e492ee5eaf1697716985cc6f33f9cd9b</t>
        </is>
      </c>
      <c r="E7881" t="inlineStr">
        <is>
          <t>organic_search</t>
        </is>
      </c>
      <c r="F7881">
        <f>IFERROR(MATCH(A7881,Deals!$A$2:$A$843,0),"")</f>
        <v/>
      </c>
      <c r="G7881">
        <f>IF(F7881="",0,1)</f>
        <v/>
      </c>
      <c r="H7881" s="29">
        <f>IF(F7881="","",INDEX(Deals!$E$2:$E$843,F7881))</f>
        <v/>
      </c>
      <c r="I7881">
        <f>IF(F7881="","",INDEX(Deals!$D$2:$D$843,F7881))</f>
        <v/>
      </c>
      <c r="J7881">
        <f>IF(F7881="","",INT(H7881)-B7881)</f>
        <v/>
      </c>
      <c r="K7881">
        <f>IF(B7881&gt;=Settings!$C$5,1,0)</f>
        <v/>
      </c>
    </row>
    <row r="7882">
      <c r="A7882" t="inlineStr">
        <is>
          <t>d55b6a81203f5a5ae6f362c483f36ff1</t>
        </is>
      </c>
      <c r="B7882" s="29" t="n">
        <v>42983</v>
      </c>
      <c r="C7882" t="inlineStr">
        <is>
          <t>2017-09</t>
        </is>
      </c>
      <c r="D7882" t="inlineStr">
        <is>
          <t>87732658ba41d8775e8577df347a64db</t>
        </is>
      </c>
      <c r="E7882" t="inlineStr">
        <is>
          <t>social</t>
        </is>
      </c>
      <c r="F7882">
        <f>IFERROR(MATCH(A7882,Deals!$A$2:$A$843,0),"")</f>
        <v/>
      </c>
      <c r="G7882">
        <f>IF(F7882="",0,1)</f>
        <v/>
      </c>
      <c r="H7882" s="29">
        <f>IF(F7882="","",INDEX(Deals!$E$2:$E$843,F7882))</f>
        <v/>
      </c>
      <c r="I7882">
        <f>IF(F7882="","",INDEX(Deals!$D$2:$D$843,F7882))</f>
        <v/>
      </c>
      <c r="J7882">
        <f>IF(F7882="","",INT(H7882)-B7882)</f>
        <v/>
      </c>
      <c r="K7882">
        <f>IF(B7882&gt;=Settings!$C$5,1,0)</f>
        <v/>
      </c>
    </row>
    <row r="7883">
      <c r="A7883" t="inlineStr">
        <is>
          <t>b30e79970c7c9cc69f33fe293107d894</t>
        </is>
      </c>
      <c r="B7883" s="29" t="n">
        <v>43199</v>
      </c>
      <c r="C7883" t="inlineStr">
        <is>
          <t>2018-04</t>
        </is>
      </c>
      <c r="D7883" t="inlineStr">
        <is>
          <t>58326e62183c14b0c03085c33b9fdc44</t>
        </is>
      </c>
      <c r="E7883" t="inlineStr">
        <is>
          <t>social</t>
        </is>
      </c>
      <c r="F7883">
        <f>IFERROR(MATCH(A7883,Deals!$A$2:$A$843,0),"")</f>
        <v/>
      </c>
      <c r="G7883">
        <f>IF(F7883="",0,1)</f>
        <v/>
      </c>
      <c r="H7883" s="29">
        <f>IF(F7883="","",INDEX(Deals!$E$2:$E$843,F7883))</f>
        <v/>
      </c>
      <c r="I7883">
        <f>IF(F7883="","",INDEX(Deals!$D$2:$D$843,F7883))</f>
        <v/>
      </c>
      <c r="J7883">
        <f>IF(F7883="","",INT(H7883)-B7883)</f>
        <v/>
      </c>
      <c r="K7883">
        <f>IF(B7883&gt;=Settings!$C$5,1,0)</f>
        <v/>
      </c>
    </row>
    <row r="7884">
      <c r="A7884" t="inlineStr">
        <is>
          <t>601c4fff3aeb8b4c5e7b89fde7a6ba34</t>
        </is>
      </c>
      <c r="B7884" s="29" t="n">
        <v>43118</v>
      </c>
      <c r="C7884" t="inlineStr">
        <is>
          <t>2018-01</t>
        </is>
      </c>
      <c r="D7884" t="inlineStr">
        <is>
          <t>08940bbad6e96fc4e620f2d9a00b1db4</t>
        </is>
      </c>
      <c r="E7884" t="inlineStr">
        <is>
          <t>organic_search</t>
        </is>
      </c>
      <c r="F7884">
        <f>IFERROR(MATCH(A7884,Deals!$A$2:$A$843,0),"")</f>
        <v/>
      </c>
      <c r="G7884">
        <f>IF(F7884="",0,1)</f>
        <v/>
      </c>
      <c r="H7884" s="29">
        <f>IF(F7884="","",INDEX(Deals!$E$2:$E$843,F7884))</f>
        <v/>
      </c>
      <c r="I7884">
        <f>IF(F7884="","",INDEX(Deals!$D$2:$D$843,F7884))</f>
        <v/>
      </c>
      <c r="J7884">
        <f>IF(F7884="","",INT(H7884)-B7884)</f>
        <v/>
      </c>
      <c r="K7884">
        <f>IF(B7884&gt;=Settings!$C$5,1,0)</f>
        <v/>
      </c>
    </row>
    <row r="7885">
      <c r="A7885" t="inlineStr">
        <is>
          <t>a0c5216bf6f3fb7bcc2200e78618c778</t>
        </is>
      </c>
      <c r="B7885" s="29" t="n">
        <v>43015</v>
      </c>
      <c r="C7885" t="inlineStr">
        <is>
          <t>2017-10</t>
        </is>
      </c>
      <c r="D7885" t="inlineStr">
        <is>
          <t>88740e65d5d6b056e0cda098e1ea6313</t>
        </is>
      </c>
      <c r="E7885" t="inlineStr">
        <is>
          <t>social</t>
        </is>
      </c>
      <c r="F7885">
        <f>IFERROR(MATCH(A7885,Deals!$A$2:$A$843,0),"")</f>
        <v/>
      </c>
      <c r="G7885">
        <f>IF(F7885="",0,1)</f>
        <v/>
      </c>
      <c r="H7885" s="29">
        <f>IF(F7885="","",INDEX(Deals!$E$2:$E$843,F7885))</f>
        <v/>
      </c>
      <c r="I7885">
        <f>IF(F7885="","",INDEX(Deals!$D$2:$D$843,F7885))</f>
        <v/>
      </c>
      <c r="J7885">
        <f>IF(F7885="","",INT(H7885)-B7885)</f>
        <v/>
      </c>
      <c r="K7885">
        <f>IF(B7885&gt;=Settings!$C$5,1,0)</f>
        <v/>
      </c>
    </row>
    <row r="7886">
      <c r="A7886" t="inlineStr">
        <is>
          <t>b41d773d96c92dc45260232ed8129134</t>
        </is>
      </c>
      <c r="B7886" s="29" t="n">
        <v>43222</v>
      </c>
      <c r="C7886" t="inlineStr">
        <is>
          <t>2018-05</t>
        </is>
      </c>
      <c r="D7886" t="inlineStr">
        <is>
          <t>5f8ff9510f85e3e9dcb1d74965bf8d48</t>
        </is>
      </c>
      <c r="E7886" t="inlineStr">
        <is>
          <t>organic_search</t>
        </is>
      </c>
      <c r="F7886">
        <f>IFERROR(MATCH(A7886,Deals!$A$2:$A$843,0),"")</f>
        <v/>
      </c>
      <c r="G7886">
        <f>IF(F7886="",0,1)</f>
        <v/>
      </c>
      <c r="H7886" s="29">
        <f>IF(F7886="","",INDEX(Deals!$E$2:$E$843,F7886))</f>
        <v/>
      </c>
      <c r="I7886">
        <f>IF(F7886="","",INDEX(Deals!$D$2:$D$843,F7886))</f>
        <v/>
      </c>
      <c r="J7886">
        <f>IF(F7886="","",INT(H7886)-B7886)</f>
        <v/>
      </c>
      <c r="K7886">
        <f>IF(B7886&gt;=Settings!$C$5,1,0)</f>
        <v/>
      </c>
    </row>
    <row r="7887">
      <c r="A7887" t="inlineStr">
        <is>
          <t>f2dfb1d3d8632126dab09d09f52c70b4</t>
        </is>
      </c>
      <c r="B7887" s="29" t="n">
        <v>43195</v>
      </c>
      <c r="C7887" t="inlineStr">
        <is>
          <t>2018-04</t>
        </is>
      </c>
      <c r="D7887" t="inlineStr">
        <is>
          <t>ce1a65abd0973638f1c887a6efcfa82d</t>
        </is>
      </c>
      <c r="E7887" t="inlineStr">
        <is>
          <t>referral</t>
        </is>
      </c>
      <c r="F7887">
        <f>IFERROR(MATCH(A7887,Deals!$A$2:$A$843,0),"")</f>
        <v/>
      </c>
      <c r="G7887">
        <f>IF(F7887="",0,1)</f>
        <v/>
      </c>
      <c r="H7887" s="29">
        <f>IF(F7887="","",INDEX(Deals!$E$2:$E$843,F7887))</f>
        <v/>
      </c>
      <c r="I7887">
        <f>IF(F7887="","",INDEX(Deals!$D$2:$D$843,F7887))</f>
        <v/>
      </c>
      <c r="J7887">
        <f>IF(F7887="","",INT(H7887)-B7887)</f>
        <v/>
      </c>
      <c r="K7887">
        <f>IF(B7887&gt;=Settings!$C$5,1,0)</f>
        <v/>
      </c>
    </row>
    <row r="7888">
      <c r="A7888" t="inlineStr">
        <is>
          <t>d4b949cac7611fae5f8dee7eae4f6caf</t>
        </is>
      </c>
      <c r="B7888" s="29" t="n">
        <v>43120</v>
      </c>
      <c r="C7888" t="inlineStr">
        <is>
          <t>2018-01</t>
        </is>
      </c>
      <c r="D7888" t="inlineStr">
        <is>
          <t>f017be4dbf86243af5c1ebed0cff36a2</t>
        </is>
      </c>
      <c r="E7888" t="inlineStr">
        <is>
          <t>direct_traffic</t>
        </is>
      </c>
      <c r="F7888">
        <f>IFERROR(MATCH(A7888,Deals!$A$2:$A$843,0),"")</f>
        <v/>
      </c>
      <c r="G7888">
        <f>IF(F7888="",0,1)</f>
        <v/>
      </c>
      <c r="H7888" s="29">
        <f>IF(F7888="","",INDEX(Deals!$E$2:$E$843,F7888))</f>
        <v/>
      </c>
      <c r="I7888">
        <f>IF(F7888="","",INDEX(Deals!$D$2:$D$843,F7888))</f>
        <v/>
      </c>
      <c r="J7888">
        <f>IF(F7888="","",INT(H7888)-B7888)</f>
        <v/>
      </c>
      <c r="K7888">
        <f>IF(B7888&gt;=Settings!$C$5,1,0)</f>
        <v/>
      </c>
    </row>
    <row r="7889">
      <c r="A7889" t="inlineStr">
        <is>
          <t>febb75eccd1101d84a2aa5eb87859ce0</t>
        </is>
      </c>
      <c r="B7889" s="29" t="n">
        <v>42962</v>
      </c>
      <c r="C7889" t="inlineStr">
        <is>
          <t>2017-08</t>
        </is>
      </c>
      <c r="D7889" t="inlineStr">
        <is>
          <t>87732658ba41d8775e8577df347a64db</t>
        </is>
      </c>
      <c r="E7889" t="inlineStr">
        <is>
          <t>social</t>
        </is>
      </c>
      <c r="F7889">
        <f>IFERROR(MATCH(A7889,Deals!$A$2:$A$843,0),"")</f>
        <v/>
      </c>
      <c r="G7889">
        <f>IF(F7889="",0,1)</f>
        <v/>
      </c>
      <c r="H7889" s="29">
        <f>IF(F7889="","",INDEX(Deals!$E$2:$E$843,F7889))</f>
        <v/>
      </c>
      <c r="I7889">
        <f>IF(F7889="","",INDEX(Deals!$D$2:$D$843,F7889))</f>
        <v/>
      </c>
      <c r="J7889">
        <f>IF(F7889="","",INT(H7889)-B7889)</f>
        <v/>
      </c>
      <c r="K7889">
        <f>IF(B7889&gt;=Settings!$C$5,1,0)</f>
        <v/>
      </c>
    </row>
    <row r="7890">
      <c r="A7890" t="inlineStr">
        <is>
          <t>781875806d0ec961e50faa879b057e97</t>
        </is>
      </c>
      <c r="B7890" s="29" t="n">
        <v>42969</v>
      </c>
      <c r="C7890" t="inlineStr">
        <is>
          <t>2017-08</t>
        </is>
      </c>
      <c r="D7890" t="inlineStr">
        <is>
          <t>3cd2a8301d5395f21cdd3094c9eaa2f4</t>
        </is>
      </c>
      <c r="E7890" t="inlineStr">
        <is>
          <t>paid_search</t>
        </is>
      </c>
      <c r="F7890">
        <f>IFERROR(MATCH(A7890,Deals!$A$2:$A$843,0),"")</f>
        <v/>
      </c>
      <c r="G7890">
        <f>IF(F7890="",0,1)</f>
        <v/>
      </c>
      <c r="H7890" s="29">
        <f>IF(F7890="","",INDEX(Deals!$E$2:$E$843,F7890))</f>
        <v/>
      </c>
      <c r="I7890">
        <f>IF(F7890="","",INDEX(Deals!$D$2:$D$843,F7890))</f>
        <v/>
      </c>
      <c r="J7890">
        <f>IF(F7890="","",INT(H7890)-B7890)</f>
        <v/>
      </c>
      <c r="K7890">
        <f>IF(B7890&gt;=Settings!$C$5,1,0)</f>
        <v/>
      </c>
    </row>
    <row r="7891">
      <c r="A7891" t="inlineStr">
        <is>
          <t>2c5343ac475f639320f822c448fdf93d</t>
        </is>
      </c>
      <c r="B7891" s="29" t="n">
        <v>43151</v>
      </c>
      <c r="C7891" t="inlineStr">
        <is>
          <t>2018-02</t>
        </is>
      </c>
      <c r="D7891" t="inlineStr">
        <is>
          <t>40dec9f3d5259a3d2dbcdab2114fae47</t>
        </is>
      </c>
      <c r="E7891" t="inlineStr">
        <is>
          <t>organic_search</t>
        </is>
      </c>
      <c r="F7891">
        <f>IFERROR(MATCH(A7891,Deals!$A$2:$A$843,0),"")</f>
        <v/>
      </c>
      <c r="G7891">
        <f>IF(F7891="",0,1)</f>
        <v/>
      </c>
      <c r="H7891" s="29">
        <f>IF(F7891="","",INDEX(Deals!$E$2:$E$843,F7891))</f>
        <v/>
      </c>
      <c r="I7891">
        <f>IF(F7891="","",INDEX(Deals!$D$2:$D$843,F7891))</f>
        <v/>
      </c>
      <c r="J7891">
        <f>IF(F7891="","",INT(H7891)-B7891)</f>
        <v/>
      </c>
      <c r="K7891">
        <f>IF(B7891&gt;=Settings!$C$5,1,0)</f>
        <v/>
      </c>
    </row>
    <row r="7892">
      <c r="A7892" t="inlineStr">
        <is>
          <t>5adc3ad31cc0aa43aaab7f4e75a9f00d</t>
        </is>
      </c>
      <c r="B7892" s="29" t="n">
        <v>43223</v>
      </c>
      <c r="C7892" t="inlineStr">
        <is>
          <t>2018-05</t>
        </is>
      </c>
      <c r="D7892" t="inlineStr">
        <is>
          <t>15cf89bab2c3163b4f9d8601d108f8b2</t>
        </is>
      </c>
      <c r="E7892" t="inlineStr">
        <is>
          <t>social</t>
        </is>
      </c>
      <c r="F7892">
        <f>IFERROR(MATCH(A7892,Deals!$A$2:$A$843,0),"")</f>
        <v/>
      </c>
      <c r="G7892">
        <f>IF(F7892="",0,1)</f>
        <v/>
      </c>
      <c r="H7892" s="29">
        <f>IF(F7892="","",INDEX(Deals!$E$2:$E$843,F7892))</f>
        <v/>
      </c>
      <c r="I7892">
        <f>IF(F7892="","",INDEX(Deals!$D$2:$D$843,F7892))</f>
        <v/>
      </c>
      <c r="J7892">
        <f>IF(F7892="","",INT(H7892)-B7892)</f>
        <v/>
      </c>
      <c r="K7892">
        <f>IF(B7892&gt;=Settings!$C$5,1,0)</f>
        <v/>
      </c>
    </row>
    <row r="7893">
      <c r="A7893" t="inlineStr">
        <is>
          <t>6ea6f37c28354e994795384f82e200d2</t>
        </is>
      </c>
      <c r="B7893" s="29" t="n">
        <v>43107</v>
      </c>
      <c r="C7893" t="inlineStr">
        <is>
          <t>2018-01</t>
        </is>
      </c>
      <c r="D7893" t="inlineStr">
        <is>
          <t>22c29808c4f815213303f8933030604c</t>
        </is>
      </c>
      <c r="E7893" t="inlineStr">
        <is>
          <t>organic_search</t>
        </is>
      </c>
      <c r="F7893">
        <f>IFERROR(MATCH(A7893,Deals!$A$2:$A$843,0),"")</f>
        <v/>
      </c>
      <c r="G7893">
        <f>IF(F7893="",0,1)</f>
        <v/>
      </c>
      <c r="H7893" s="29">
        <f>IF(F7893="","",INDEX(Deals!$E$2:$E$843,F7893))</f>
        <v/>
      </c>
      <c r="I7893">
        <f>IF(F7893="","",INDEX(Deals!$D$2:$D$843,F7893))</f>
        <v/>
      </c>
      <c r="J7893">
        <f>IF(F7893="","",INT(H7893)-B7893)</f>
        <v/>
      </c>
      <c r="K7893">
        <f>IF(B7893&gt;=Settings!$C$5,1,0)</f>
        <v/>
      </c>
    </row>
    <row r="7894">
      <c r="A7894" t="inlineStr">
        <is>
          <t>f93c6b06973fcb6c973f776382a3a2fb</t>
        </is>
      </c>
      <c r="B7894" s="29" t="n">
        <v>43222</v>
      </c>
      <c r="C7894" t="inlineStr">
        <is>
          <t>2018-05</t>
        </is>
      </c>
      <c r="D7894" t="inlineStr">
        <is>
          <t>fb58285f6f6c4e504dfa628de116cae8</t>
        </is>
      </c>
      <c r="E7894" t="inlineStr">
        <is>
          <t>paid_search</t>
        </is>
      </c>
      <c r="F7894">
        <f>IFERROR(MATCH(A7894,Deals!$A$2:$A$843,0),"")</f>
        <v/>
      </c>
      <c r="G7894">
        <f>IF(F7894="",0,1)</f>
        <v/>
      </c>
      <c r="H7894" s="29">
        <f>IF(F7894="","",INDEX(Deals!$E$2:$E$843,F7894))</f>
        <v/>
      </c>
      <c r="I7894">
        <f>IF(F7894="","",INDEX(Deals!$D$2:$D$843,F7894))</f>
        <v/>
      </c>
      <c r="J7894">
        <f>IF(F7894="","",INT(H7894)-B7894)</f>
        <v/>
      </c>
      <c r="K7894">
        <f>IF(B7894&gt;=Settings!$C$5,1,0)</f>
        <v/>
      </c>
    </row>
    <row r="7895">
      <c r="A7895" t="inlineStr">
        <is>
          <t>02d3da8fbcddd08b35d3a740f584d899</t>
        </is>
      </c>
      <c r="B7895" s="29" t="n">
        <v>43229</v>
      </c>
      <c r="C7895" t="inlineStr">
        <is>
          <t>2018-05</t>
        </is>
      </c>
      <c r="D7895" t="inlineStr">
        <is>
          <t>1ceb590cd1e00c7ee95220971f82693d</t>
        </is>
      </c>
      <c r="E7895" t="inlineStr">
        <is>
          <t>paid_search</t>
        </is>
      </c>
      <c r="F7895">
        <f>IFERROR(MATCH(A7895,Deals!$A$2:$A$843,0),"")</f>
        <v/>
      </c>
      <c r="G7895">
        <f>IF(F7895="",0,1)</f>
        <v/>
      </c>
      <c r="H7895" s="29">
        <f>IF(F7895="","",INDEX(Deals!$E$2:$E$843,F7895))</f>
        <v/>
      </c>
      <c r="I7895">
        <f>IF(F7895="","",INDEX(Deals!$D$2:$D$843,F7895))</f>
        <v/>
      </c>
      <c r="J7895">
        <f>IF(F7895="","",INT(H7895)-B7895)</f>
        <v/>
      </c>
      <c r="K7895">
        <f>IF(B7895&gt;=Settings!$C$5,1,0)</f>
        <v/>
      </c>
    </row>
    <row r="7896">
      <c r="A7896" t="inlineStr">
        <is>
          <t>87ee3cf48112fd3290871601831017c4</t>
        </is>
      </c>
      <c r="B7896" s="29" t="n">
        <v>43178</v>
      </c>
      <c r="C7896" t="inlineStr">
        <is>
          <t>2018-03</t>
        </is>
      </c>
      <c r="D7896" t="inlineStr">
        <is>
          <t>330b9d44078a1ae5a221d655dcb77afa</t>
        </is>
      </c>
      <c r="E7896" t="inlineStr">
        <is>
          <t>email</t>
        </is>
      </c>
      <c r="F7896">
        <f>IFERROR(MATCH(A7896,Deals!$A$2:$A$843,0),"")</f>
        <v/>
      </c>
      <c r="G7896">
        <f>IF(F7896="",0,1)</f>
        <v/>
      </c>
      <c r="H7896" s="29">
        <f>IF(F7896="","",INDEX(Deals!$E$2:$E$843,F7896))</f>
        <v/>
      </c>
      <c r="I7896">
        <f>IF(F7896="","",INDEX(Deals!$D$2:$D$843,F7896))</f>
        <v/>
      </c>
      <c r="J7896">
        <f>IF(F7896="","",INT(H7896)-B7896)</f>
        <v/>
      </c>
      <c r="K7896">
        <f>IF(B7896&gt;=Settings!$C$5,1,0)</f>
        <v/>
      </c>
    </row>
    <row r="7897">
      <c r="A7897" t="inlineStr">
        <is>
          <t>ccce275184c5d8f1fea8923c49d9f396</t>
        </is>
      </c>
      <c r="B7897" s="29" t="n">
        <v>43202</v>
      </c>
      <c r="C7897" t="inlineStr">
        <is>
          <t>2018-04</t>
        </is>
      </c>
      <c r="D7897" t="inlineStr">
        <is>
          <t>58326e62183c14b0c03085c33b9fdc44</t>
        </is>
      </c>
      <c r="E7897" t="inlineStr">
        <is>
          <t>social</t>
        </is>
      </c>
      <c r="F7897">
        <f>IFERROR(MATCH(A7897,Deals!$A$2:$A$843,0),"")</f>
        <v/>
      </c>
      <c r="G7897">
        <f>IF(F7897="",0,1)</f>
        <v/>
      </c>
      <c r="H7897" s="29">
        <f>IF(F7897="","",INDEX(Deals!$E$2:$E$843,F7897))</f>
        <v/>
      </c>
      <c r="I7897">
        <f>IF(F7897="","",INDEX(Deals!$D$2:$D$843,F7897))</f>
        <v/>
      </c>
      <c r="J7897">
        <f>IF(F7897="","",INT(H7897)-B7897)</f>
        <v/>
      </c>
      <c r="K7897">
        <f>IF(B7897&gt;=Settings!$C$5,1,0)</f>
        <v/>
      </c>
    </row>
    <row r="7898">
      <c r="A7898" t="inlineStr">
        <is>
          <t>991becb4d6456d01dad848301495f0ea</t>
        </is>
      </c>
      <c r="B7898" s="29" t="n">
        <v>42927</v>
      </c>
      <c r="C7898" t="inlineStr">
        <is>
          <t>2017-07</t>
        </is>
      </c>
      <c r="D7898" t="inlineStr">
        <is>
          <t>d1bad8bf984bd4d7ee08f814ca589897</t>
        </is>
      </c>
      <c r="E7898" t="inlineStr">
        <is>
          <t>paid_search</t>
        </is>
      </c>
      <c r="F7898">
        <f>IFERROR(MATCH(A7898,Deals!$A$2:$A$843,0),"")</f>
        <v/>
      </c>
      <c r="G7898">
        <f>IF(F7898="",0,1)</f>
        <v/>
      </c>
      <c r="H7898" s="29">
        <f>IF(F7898="","",INDEX(Deals!$E$2:$E$843,F7898))</f>
        <v/>
      </c>
      <c r="I7898">
        <f>IF(F7898="","",INDEX(Deals!$D$2:$D$843,F7898))</f>
        <v/>
      </c>
      <c r="J7898">
        <f>IF(F7898="","",INT(H7898)-B7898)</f>
        <v/>
      </c>
      <c r="K7898">
        <f>IF(B7898&gt;=Settings!$C$5,1,0)</f>
        <v/>
      </c>
    </row>
    <row r="7899">
      <c r="A7899" t="inlineStr">
        <is>
          <t>b38ae5435c226e04ee0fd19aeb51d00c</t>
        </is>
      </c>
      <c r="B7899" s="29" t="n">
        <v>43111</v>
      </c>
      <c r="C7899" t="inlineStr">
        <is>
          <t>2018-01</t>
        </is>
      </c>
      <c r="D7899" t="inlineStr">
        <is>
          <t>88740e65d5d6b056e0cda098e1ea6313</t>
        </is>
      </c>
      <c r="E7899" t="inlineStr">
        <is>
          <t>unknown</t>
        </is>
      </c>
      <c r="F7899">
        <f>IFERROR(MATCH(A7899,Deals!$A$2:$A$843,0),"")</f>
        <v/>
      </c>
      <c r="G7899">
        <f>IF(F7899="",0,1)</f>
        <v/>
      </c>
      <c r="H7899" s="29">
        <f>IF(F7899="","",INDEX(Deals!$E$2:$E$843,F7899))</f>
        <v/>
      </c>
      <c r="I7899">
        <f>IF(F7899="","",INDEX(Deals!$D$2:$D$843,F7899))</f>
        <v/>
      </c>
      <c r="J7899">
        <f>IF(F7899="","",INT(H7899)-B7899)</f>
        <v/>
      </c>
      <c r="K7899">
        <f>IF(B7899&gt;=Settings!$C$5,1,0)</f>
        <v/>
      </c>
    </row>
    <row r="7900">
      <c r="A7900" t="inlineStr">
        <is>
          <t>3f4b1d9d2b6b462288ff6d8ff9e6a5fe</t>
        </is>
      </c>
      <c r="B7900" s="29" t="n">
        <v>43242</v>
      </c>
      <c r="C7900" t="inlineStr">
        <is>
          <t>2018-05</t>
        </is>
      </c>
      <c r="D7900" t="inlineStr">
        <is>
          <t>58326e62183c14b0c03085c33b9fdc44</t>
        </is>
      </c>
      <c r="E7900" t="inlineStr">
        <is>
          <t>social</t>
        </is>
      </c>
      <c r="F7900">
        <f>IFERROR(MATCH(A7900,Deals!$A$2:$A$843,0),"")</f>
        <v/>
      </c>
      <c r="G7900">
        <f>IF(F7900="",0,1)</f>
        <v/>
      </c>
      <c r="H7900" s="29">
        <f>IF(F7900="","",INDEX(Deals!$E$2:$E$843,F7900))</f>
        <v/>
      </c>
      <c r="I7900">
        <f>IF(F7900="","",INDEX(Deals!$D$2:$D$843,F7900))</f>
        <v/>
      </c>
      <c r="J7900">
        <f>IF(F7900="","",INT(H7900)-B7900)</f>
        <v/>
      </c>
      <c r="K7900">
        <f>IF(B7900&gt;=Settings!$C$5,1,0)</f>
        <v/>
      </c>
    </row>
    <row r="7901">
      <c r="A7901" t="inlineStr">
        <is>
          <t>eb60df0b3ed1230d4d205e0d190cdd86</t>
        </is>
      </c>
      <c r="B7901" s="29" t="n">
        <v>43249</v>
      </c>
      <c r="C7901" t="inlineStr">
        <is>
          <t>2018-05</t>
        </is>
      </c>
      <c r="D7901" t="inlineStr">
        <is>
          <t>ce1a65abd0973638f1c887a6efcfa82d</t>
        </is>
      </c>
      <c r="E7901" t="inlineStr">
        <is>
          <t>paid_search</t>
        </is>
      </c>
      <c r="F7901">
        <f>IFERROR(MATCH(A7901,Deals!$A$2:$A$843,0),"")</f>
        <v/>
      </c>
      <c r="G7901">
        <f>IF(F7901="",0,1)</f>
        <v/>
      </c>
      <c r="H7901" s="29">
        <f>IF(F7901="","",INDEX(Deals!$E$2:$E$843,F7901))</f>
        <v/>
      </c>
      <c r="I7901">
        <f>IF(F7901="","",INDEX(Deals!$D$2:$D$843,F7901))</f>
        <v/>
      </c>
      <c r="J7901">
        <f>IF(F7901="","",INT(H7901)-B7901)</f>
        <v/>
      </c>
      <c r="K7901">
        <f>IF(B7901&gt;=Settings!$C$5,1,0)</f>
        <v/>
      </c>
    </row>
    <row r="7902">
      <c r="A7902" t="inlineStr">
        <is>
          <t>c60e0a0674f9b469a9cbfd26c549f233</t>
        </is>
      </c>
      <c r="B7902" s="29" t="n">
        <v>43153</v>
      </c>
      <c r="C7902" t="inlineStr">
        <is>
          <t>2018-02</t>
        </is>
      </c>
      <c r="D7902" t="inlineStr">
        <is>
          <t>2228a43ac0bc372e25f9569e69fc9015</t>
        </is>
      </c>
      <c r="E7902" t="inlineStr">
        <is>
          <t>email</t>
        </is>
      </c>
      <c r="F7902">
        <f>IFERROR(MATCH(A7902,Deals!$A$2:$A$843,0),"")</f>
        <v/>
      </c>
      <c r="G7902">
        <f>IF(F7902="",0,1)</f>
        <v/>
      </c>
      <c r="H7902" s="29">
        <f>IF(F7902="","",INDEX(Deals!$E$2:$E$843,F7902))</f>
        <v/>
      </c>
      <c r="I7902">
        <f>IF(F7902="","",INDEX(Deals!$D$2:$D$843,F7902))</f>
        <v/>
      </c>
      <c r="J7902">
        <f>IF(F7902="","",INT(H7902)-B7902)</f>
        <v/>
      </c>
      <c r="K7902">
        <f>IF(B7902&gt;=Settings!$C$5,1,0)</f>
        <v/>
      </c>
    </row>
    <row r="7903">
      <c r="A7903" t="inlineStr">
        <is>
          <t>1729dfd557d42fb1bd4ebbd02d526800</t>
        </is>
      </c>
      <c r="B7903" s="29" t="n">
        <v>43148</v>
      </c>
      <c r="C7903" t="inlineStr">
        <is>
          <t>2018-02</t>
        </is>
      </c>
      <c r="D7903" t="inlineStr">
        <is>
          <t>bdaeb752e5c3caa215ebe04c61e22325</t>
        </is>
      </c>
      <c r="E7903" t="inlineStr">
        <is>
          <t>paid_search</t>
        </is>
      </c>
      <c r="F7903">
        <f>IFERROR(MATCH(A7903,Deals!$A$2:$A$843,0),"")</f>
        <v/>
      </c>
      <c r="G7903">
        <f>IF(F7903="",0,1)</f>
        <v/>
      </c>
      <c r="H7903" s="29">
        <f>IF(F7903="","",INDEX(Deals!$E$2:$E$843,F7903))</f>
        <v/>
      </c>
      <c r="I7903">
        <f>IF(F7903="","",INDEX(Deals!$D$2:$D$843,F7903))</f>
        <v/>
      </c>
      <c r="J7903">
        <f>IF(F7903="","",INT(H7903)-B7903)</f>
        <v/>
      </c>
      <c r="K7903">
        <f>IF(B7903&gt;=Settings!$C$5,1,0)</f>
        <v/>
      </c>
    </row>
    <row r="7904">
      <c r="A7904" t="inlineStr">
        <is>
          <t>57ce0427b9e3b1b777b3efcf5684452e</t>
        </is>
      </c>
      <c r="B7904" s="29" t="n">
        <v>42942</v>
      </c>
      <c r="C7904" t="inlineStr">
        <is>
          <t>2017-07</t>
        </is>
      </c>
      <c r="D7904" t="inlineStr">
        <is>
          <t>b76ef37428e6799c421989521c0e5077</t>
        </is>
      </c>
      <c r="E7904" t="inlineStr">
        <is>
          <t>referral</t>
        </is>
      </c>
      <c r="F7904">
        <f>IFERROR(MATCH(A7904,Deals!$A$2:$A$843,0),"")</f>
        <v/>
      </c>
      <c r="G7904">
        <f>IF(F7904="",0,1)</f>
        <v/>
      </c>
      <c r="H7904" s="29">
        <f>IF(F7904="","",INDEX(Deals!$E$2:$E$843,F7904))</f>
        <v/>
      </c>
      <c r="I7904">
        <f>IF(F7904="","",INDEX(Deals!$D$2:$D$843,F7904))</f>
        <v/>
      </c>
      <c r="J7904">
        <f>IF(F7904="","",INT(H7904)-B7904)</f>
        <v/>
      </c>
      <c r="K7904">
        <f>IF(B7904&gt;=Settings!$C$5,1,0)</f>
        <v/>
      </c>
    </row>
    <row r="7905">
      <c r="A7905" t="inlineStr">
        <is>
          <t>98826328c3a60215e53b342560084571</t>
        </is>
      </c>
      <c r="B7905" s="29" t="n">
        <v>43194</v>
      </c>
      <c r="C7905" t="inlineStr">
        <is>
          <t>2018-04</t>
        </is>
      </c>
      <c r="D7905" t="inlineStr">
        <is>
          <t>73f31a40697cc90a86c1273563ac230e</t>
        </is>
      </c>
      <c r="E7905" t="inlineStr">
        <is>
          <t>other</t>
        </is>
      </c>
      <c r="F7905">
        <f>IFERROR(MATCH(A7905,Deals!$A$2:$A$843,0),"")</f>
        <v/>
      </c>
      <c r="G7905">
        <f>IF(F7905="",0,1)</f>
        <v/>
      </c>
      <c r="H7905" s="29">
        <f>IF(F7905="","",INDEX(Deals!$E$2:$E$843,F7905))</f>
        <v/>
      </c>
      <c r="I7905">
        <f>IF(F7905="","",INDEX(Deals!$D$2:$D$843,F7905))</f>
        <v/>
      </c>
      <c r="J7905">
        <f>IF(F7905="","",INT(H7905)-B7905)</f>
        <v/>
      </c>
      <c r="K7905">
        <f>IF(B7905&gt;=Settings!$C$5,1,0)</f>
        <v/>
      </c>
    </row>
    <row r="7906">
      <c r="A7906" t="inlineStr">
        <is>
          <t>9bad02571a0355e4a035c155db391fcc</t>
        </is>
      </c>
      <c r="B7906" s="29" t="n">
        <v>43248</v>
      </c>
      <c r="C7906" t="inlineStr">
        <is>
          <t>2018-05</t>
        </is>
      </c>
      <c r="D7906" t="inlineStr">
        <is>
          <t>0b353d6bc27566f1d238313c33d95f56</t>
        </is>
      </c>
      <c r="E7906" t="inlineStr">
        <is>
          <t>organic_search</t>
        </is>
      </c>
      <c r="F7906">
        <f>IFERROR(MATCH(A7906,Deals!$A$2:$A$843,0),"")</f>
        <v/>
      </c>
      <c r="G7906">
        <f>IF(F7906="",0,1)</f>
        <v/>
      </c>
      <c r="H7906" s="29">
        <f>IF(F7906="","",INDEX(Deals!$E$2:$E$843,F7906))</f>
        <v/>
      </c>
      <c r="I7906">
        <f>IF(F7906="","",INDEX(Deals!$D$2:$D$843,F7906))</f>
        <v/>
      </c>
      <c r="J7906">
        <f>IF(F7906="","",INT(H7906)-B7906)</f>
        <v/>
      </c>
      <c r="K7906">
        <f>IF(B7906&gt;=Settings!$C$5,1,0)</f>
        <v/>
      </c>
    </row>
    <row r="7907">
      <c r="A7907" t="inlineStr">
        <is>
          <t>57c50209953cb4fb4c0e9b9631f3802c</t>
        </is>
      </c>
      <c r="B7907" s="29" t="n">
        <v>43010</v>
      </c>
      <c r="C7907" t="inlineStr">
        <is>
          <t>2017-10</t>
        </is>
      </c>
      <c r="D7907" t="inlineStr">
        <is>
          <t>71ef148e8a549ba85ca27271a3a94c26</t>
        </is>
      </c>
      <c r="E7907" t="inlineStr">
        <is>
          <t>display</t>
        </is>
      </c>
      <c r="F7907">
        <f>IFERROR(MATCH(A7907,Deals!$A$2:$A$843,0),"")</f>
        <v/>
      </c>
      <c r="G7907">
        <f>IF(F7907="",0,1)</f>
        <v/>
      </c>
      <c r="H7907" s="29">
        <f>IF(F7907="","",INDEX(Deals!$E$2:$E$843,F7907))</f>
        <v/>
      </c>
      <c r="I7907">
        <f>IF(F7907="","",INDEX(Deals!$D$2:$D$843,F7907))</f>
        <v/>
      </c>
      <c r="J7907">
        <f>IF(F7907="","",INT(H7907)-B7907)</f>
        <v/>
      </c>
      <c r="K7907">
        <f>IF(B7907&gt;=Settings!$C$5,1,0)</f>
        <v/>
      </c>
    </row>
    <row r="7908">
      <c r="A7908" t="inlineStr">
        <is>
          <t>8e3ecc6d79b651cabc3b9403543358dd</t>
        </is>
      </c>
      <c r="B7908" s="29" t="n">
        <v>43169</v>
      </c>
      <c r="C7908" t="inlineStr">
        <is>
          <t>2018-03</t>
        </is>
      </c>
      <c r="D7908" t="inlineStr">
        <is>
          <t>40dec9f3d5259a3d2dbcdab2114fae47</t>
        </is>
      </c>
      <c r="E7908" t="inlineStr">
        <is>
          <t>organic_search</t>
        </is>
      </c>
      <c r="F7908">
        <f>IFERROR(MATCH(A7908,Deals!$A$2:$A$843,0),"")</f>
        <v/>
      </c>
      <c r="G7908">
        <f>IF(F7908="",0,1)</f>
        <v/>
      </c>
      <c r="H7908" s="29">
        <f>IF(F7908="","",INDEX(Deals!$E$2:$E$843,F7908))</f>
        <v/>
      </c>
      <c r="I7908">
        <f>IF(F7908="","",INDEX(Deals!$D$2:$D$843,F7908))</f>
        <v/>
      </c>
      <c r="J7908">
        <f>IF(F7908="","",INT(H7908)-B7908)</f>
        <v/>
      </c>
      <c r="K7908">
        <f>IF(B7908&gt;=Settings!$C$5,1,0)</f>
        <v/>
      </c>
    </row>
    <row r="7909">
      <c r="A7909" t="inlineStr">
        <is>
          <t>51d77b425e84359a1f4b46c585879681</t>
        </is>
      </c>
      <c r="B7909" s="29" t="n">
        <v>43027</v>
      </c>
      <c r="C7909" t="inlineStr">
        <is>
          <t>2017-10</t>
        </is>
      </c>
      <c r="D7909" t="inlineStr">
        <is>
          <t>e492ee5eaf1697716985cc6f33f9cd9b</t>
        </is>
      </c>
      <c r="E7909" t="inlineStr">
        <is>
          <t>organic_search</t>
        </is>
      </c>
      <c r="F7909">
        <f>IFERROR(MATCH(A7909,Deals!$A$2:$A$843,0),"")</f>
        <v/>
      </c>
      <c r="G7909">
        <f>IF(F7909="",0,1)</f>
        <v/>
      </c>
      <c r="H7909" s="29">
        <f>IF(F7909="","",INDEX(Deals!$E$2:$E$843,F7909))</f>
        <v/>
      </c>
      <c r="I7909">
        <f>IF(F7909="","",INDEX(Deals!$D$2:$D$843,F7909))</f>
        <v/>
      </c>
      <c r="J7909">
        <f>IF(F7909="","",INT(H7909)-B7909)</f>
        <v/>
      </c>
      <c r="K7909">
        <f>IF(B7909&gt;=Settings!$C$5,1,0)</f>
        <v/>
      </c>
    </row>
    <row r="7910">
      <c r="A7910" t="inlineStr">
        <is>
          <t>dbc6f53e8aa4b30d61366ddc81b17a91</t>
        </is>
      </c>
      <c r="B7910" s="29" t="n">
        <v>43192</v>
      </c>
      <c r="C7910" t="inlineStr">
        <is>
          <t>2018-04</t>
        </is>
      </c>
      <c r="D7910" t="inlineStr">
        <is>
          <t>b76ef37428e6799c421989521c0e5077</t>
        </is>
      </c>
      <c r="E7910" t="inlineStr">
        <is>
          <t>paid_search</t>
        </is>
      </c>
      <c r="F7910">
        <f>IFERROR(MATCH(A7910,Deals!$A$2:$A$843,0),"")</f>
        <v/>
      </c>
      <c r="G7910">
        <f>IF(F7910="",0,1)</f>
        <v/>
      </c>
      <c r="H7910" s="29">
        <f>IF(F7910="","",INDEX(Deals!$E$2:$E$843,F7910))</f>
        <v/>
      </c>
      <c r="I7910">
        <f>IF(F7910="","",INDEX(Deals!$D$2:$D$843,F7910))</f>
        <v/>
      </c>
      <c r="J7910">
        <f>IF(F7910="","",INT(H7910)-B7910)</f>
        <v/>
      </c>
      <c r="K7910">
        <f>IF(B7910&gt;=Settings!$C$5,1,0)</f>
        <v/>
      </c>
    </row>
    <row r="7911">
      <c r="A7911" t="inlineStr">
        <is>
          <t>54430319f44a3febe74012d9ced38a1d</t>
        </is>
      </c>
      <c r="B7911" s="29" t="n">
        <v>43228</v>
      </c>
      <c r="C7911" t="inlineStr">
        <is>
          <t>2018-05</t>
        </is>
      </c>
      <c r="D7911" t="inlineStr">
        <is>
          <t>58326e62183c14b0c03085c33b9fdc44</t>
        </is>
      </c>
      <c r="E7911" t="inlineStr">
        <is>
          <t>unknown</t>
        </is>
      </c>
      <c r="F7911">
        <f>IFERROR(MATCH(A7911,Deals!$A$2:$A$843,0),"")</f>
        <v/>
      </c>
      <c r="G7911">
        <f>IF(F7911="",0,1)</f>
        <v/>
      </c>
      <c r="H7911" s="29">
        <f>IF(F7911="","",INDEX(Deals!$E$2:$E$843,F7911))</f>
        <v/>
      </c>
      <c r="I7911">
        <f>IF(F7911="","",INDEX(Deals!$D$2:$D$843,F7911))</f>
        <v/>
      </c>
      <c r="J7911">
        <f>IF(F7911="","",INT(H7911)-B7911)</f>
        <v/>
      </c>
      <c r="K7911">
        <f>IF(B7911&gt;=Settings!$C$5,1,0)</f>
        <v/>
      </c>
    </row>
    <row r="7912">
      <c r="A7912" t="inlineStr">
        <is>
          <t>05bb87bcfec4c38739c5eb3340247cf1</t>
        </is>
      </c>
      <c r="B7912" s="29" t="n">
        <v>43160</v>
      </c>
      <c r="C7912" t="inlineStr">
        <is>
          <t>2018-03</t>
        </is>
      </c>
      <c r="D7912" t="inlineStr">
        <is>
          <t>313edefdee4adcd34e8cbec1854ba5a9</t>
        </is>
      </c>
      <c r="E7912" t="inlineStr">
        <is>
          <t>organic_search</t>
        </is>
      </c>
      <c r="F7912">
        <f>IFERROR(MATCH(A7912,Deals!$A$2:$A$843,0),"")</f>
        <v/>
      </c>
      <c r="G7912">
        <f>IF(F7912="",0,1)</f>
        <v/>
      </c>
      <c r="H7912" s="29">
        <f>IF(F7912="","",INDEX(Deals!$E$2:$E$843,F7912))</f>
        <v/>
      </c>
      <c r="I7912">
        <f>IF(F7912="","",INDEX(Deals!$D$2:$D$843,F7912))</f>
        <v/>
      </c>
      <c r="J7912">
        <f>IF(F7912="","",INT(H7912)-B7912)</f>
        <v/>
      </c>
      <c r="K7912">
        <f>IF(B7912&gt;=Settings!$C$5,1,0)</f>
        <v/>
      </c>
    </row>
    <row r="7913">
      <c r="A7913" t="inlineStr">
        <is>
          <t>72477e4cbc223fd605cdf76361cbe0a6</t>
        </is>
      </c>
      <c r="B7913" s="29" t="n">
        <v>43145</v>
      </c>
      <c r="C7913" t="inlineStr">
        <is>
          <t>2018-02</t>
        </is>
      </c>
      <c r="D7913" t="inlineStr">
        <is>
          <t>b76ef37428e6799c421989521c0e5077</t>
        </is>
      </c>
      <c r="E7913" t="inlineStr">
        <is>
          <t>unknown</t>
        </is>
      </c>
      <c r="F7913">
        <f>IFERROR(MATCH(A7913,Deals!$A$2:$A$843,0),"")</f>
        <v/>
      </c>
      <c r="G7913">
        <f>IF(F7913="",0,1)</f>
        <v/>
      </c>
      <c r="H7913" s="29">
        <f>IF(F7913="","",INDEX(Deals!$E$2:$E$843,F7913))</f>
        <v/>
      </c>
      <c r="I7913">
        <f>IF(F7913="","",INDEX(Deals!$D$2:$D$843,F7913))</f>
        <v/>
      </c>
      <c r="J7913">
        <f>IF(F7913="","",INT(H7913)-B7913)</f>
        <v/>
      </c>
      <c r="K7913">
        <f>IF(B7913&gt;=Settings!$C$5,1,0)</f>
        <v/>
      </c>
    </row>
    <row r="7914">
      <c r="A7914" t="inlineStr">
        <is>
          <t>14fab9101cde27b123722210d1a1836f</t>
        </is>
      </c>
      <c r="B7914" s="29" t="n">
        <v>43126</v>
      </c>
      <c r="C7914" t="inlineStr">
        <is>
          <t>2018-01</t>
        </is>
      </c>
      <c r="D7914" t="inlineStr">
        <is>
          <t>e492ee5eaf1697716985cc6f33f9cd9b</t>
        </is>
      </c>
      <c r="E7914" t="inlineStr">
        <is>
          <t>email</t>
        </is>
      </c>
      <c r="F7914">
        <f>IFERROR(MATCH(A7914,Deals!$A$2:$A$843,0),"")</f>
        <v/>
      </c>
      <c r="G7914">
        <f>IF(F7914="",0,1)</f>
        <v/>
      </c>
      <c r="H7914" s="29">
        <f>IF(F7914="","",INDEX(Deals!$E$2:$E$843,F7914))</f>
        <v/>
      </c>
      <c r="I7914">
        <f>IF(F7914="","",INDEX(Deals!$D$2:$D$843,F7914))</f>
        <v/>
      </c>
      <c r="J7914">
        <f>IF(F7914="","",INT(H7914)-B7914)</f>
        <v/>
      </c>
      <c r="K7914">
        <f>IF(B7914&gt;=Settings!$C$5,1,0)</f>
        <v/>
      </c>
    </row>
    <row r="7915">
      <c r="A7915" t="inlineStr">
        <is>
          <t>b6f94d0f54cf94a6a70af82a57c7c130</t>
        </is>
      </c>
      <c r="B7915" s="29" t="n">
        <v>43172</v>
      </c>
      <c r="C7915" t="inlineStr">
        <is>
          <t>2018-03</t>
        </is>
      </c>
      <c r="D7915" t="inlineStr">
        <is>
          <t>22c29808c4f815213303f8933030604c</t>
        </is>
      </c>
      <c r="E7915" t="inlineStr">
        <is>
          <t>organic_search</t>
        </is>
      </c>
      <c r="F7915">
        <f>IFERROR(MATCH(A7915,Deals!$A$2:$A$843,0),"")</f>
        <v/>
      </c>
      <c r="G7915">
        <f>IF(F7915="",0,1)</f>
        <v/>
      </c>
      <c r="H7915" s="29">
        <f>IF(F7915="","",INDEX(Deals!$E$2:$E$843,F7915))</f>
        <v/>
      </c>
      <c r="I7915">
        <f>IF(F7915="","",INDEX(Deals!$D$2:$D$843,F7915))</f>
        <v/>
      </c>
      <c r="J7915">
        <f>IF(F7915="","",INT(H7915)-B7915)</f>
        <v/>
      </c>
      <c r="K7915">
        <f>IF(B7915&gt;=Settings!$C$5,1,0)</f>
        <v/>
      </c>
    </row>
    <row r="7916">
      <c r="A7916" t="inlineStr">
        <is>
          <t>245710681d51a6dfb80ab06683f3be01</t>
        </is>
      </c>
      <c r="B7916" s="29" t="n">
        <v>43213</v>
      </c>
      <c r="C7916" t="inlineStr">
        <is>
          <t>2018-04</t>
        </is>
      </c>
      <c r="D7916" t="inlineStr">
        <is>
          <t>b76ef37428e6799c421989521c0e5077</t>
        </is>
      </c>
      <c r="E7916" t="inlineStr">
        <is>
          <t>organic_search</t>
        </is>
      </c>
      <c r="F7916">
        <f>IFERROR(MATCH(A7916,Deals!$A$2:$A$843,0),"")</f>
        <v/>
      </c>
      <c r="G7916">
        <f>IF(F7916="",0,1)</f>
        <v/>
      </c>
      <c r="H7916" s="29">
        <f>IF(F7916="","",INDEX(Deals!$E$2:$E$843,F7916))</f>
        <v/>
      </c>
      <c r="I7916">
        <f>IF(F7916="","",INDEX(Deals!$D$2:$D$843,F7916))</f>
        <v/>
      </c>
      <c r="J7916">
        <f>IF(F7916="","",INT(H7916)-B7916)</f>
        <v/>
      </c>
      <c r="K7916">
        <f>IF(B7916&gt;=Settings!$C$5,1,0)</f>
        <v/>
      </c>
    </row>
    <row r="7917">
      <c r="A7917" t="inlineStr">
        <is>
          <t>f24225f22f15bced3886d8fa30b6cca3</t>
        </is>
      </c>
      <c r="B7917" s="29" t="n">
        <v>43169</v>
      </c>
      <c r="C7917" t="inlineStr">
        <is>
          <t>2018-03</t>
        </is>
      </c>
      <c r="D7917" t="inlineStr">
        <is>
          <t>4aab772aeb9833c170d8ea5413e02eac</t>
        </is>
      </c>
      <c r="E7917" t="inlineStr">
        <is>
          <t>paid_search</t>
        </is>
      </c>
      <c r="F7917">
        <f>IFERROR(MATCH(A7917,Deals!$A$2:$A$843,0),"")</f>
        <v/>
      </c>
      <c r="G7917">
        <f>IF(F7917="",0,1)</f>
        <v/>
      </c>
      <c r="H7917" s="29">
        <f>IF(F7917="","",INDEX(Deals!$E$2:$E$843,F7917))</f>
        <v/>
      </c>
      <c r="I7917">
        <f>IF(F7917="","",INDEX(Deals!$D$2:$D$843,F7917))</f>
        <v/>
      </c>
      <c r="J7917">
        <f>IF(F7917="","",INT(H7917)-B7917)</f>
        <v/>
      </c>
      <c r="K7917">
        <f>IF(B7917&gt;=Settings!$C$5,1,0)</f>
        <v/>
      </c>
    </row>
    <row r="7918">
      <c r="A7918" t="inlineStr">
        <is>
          <t>e2f925f4bbb3c006b9add15fcf797a78</t>
        </is>
      </c>
      <c r="B7918" s="29" t="n">
        <v>42927</v>
      </c>
      <c r="C7918" t="inlineStr">
        <is>
          <t>2017-07</t>
        </is>
      </c>
      <c r="D7918" t="inlineStr">
        <is>
          <t>c754e5846c791d26b1c34070c41adf6e</t>
        </is>
      </c>
      <c r="E7918" t="inlineStr">
        <is>
          <t>other</t>
        </is>
      </c>
      <c r="F7918">
        <f>IFERROR(MATCH(A7918,Deals!$A$2:$A$843,0),"")</f>
        <v/>
      </c>
      <c r="G7918">
        <f>IF(F7918="",0,1)</f>
        <v/>
      </c>
      <c r="H7918" s="29">
        <f>IF(F7918="","",INDEX(Deals!$E$2:$E$843,F7918))</f>
        <v/>
      </c>
      <c r="I7918">
        <f>IF(F7918="","",INDEX(Deals!$D$2:$D$843,F7918))</f>
        <v/>
      </c>
      <c r="J7918">
        <f>IF(F7918="","",INT(H7918)-B7918)</f>
        <v/>
      </c>
      <c r="K7918">
        <f>IF(B7918&gt;=Settings!$C$5,1,0)</f>
        <v/>
      </c>
    </row>
    <row r="7919">
      <c r="A7919" t="inlineStr">
        <is>
          <t>512f3a7ea5520eae3b54a77c0497489e</t>
        </is>
      </c>
      <c r="B7919" s="29" t="n">
        <v>43070</v>
      </c>
      <c r="C7919" t="inlineStr">
        <is>
          <t>2017-12</t>
        </is>
      </c>
      <c r="D7919" t="inlineStr">
        <is>
          <t>ffc62d6945fd1423539ec6d96326c37c</t>
        </is>
      </c>
      <c r="E7919" t="inlineStr">
        <is>
          <t>display</t>
        </is>
      </c>
      <c r="F7919">
        <f>IFERROR(MATCH(A7919,Deals!$A$2:$A$843,0),"")</f>
        <v/>
      </c>
      <c r="G7919">
        <f>IF(F7919="",0,1)</f>
        <v/>
      </c>
      <c r="H7919" s="29">
        <f>IF(F7919="","",INDEX(Deals!$E$2:$E$843,F7919))</f>
        <v/>
      </c>
      <c r="I7919">
        <f>IF(F7919="","",INDEX(Deals!$D$2:$D$843,F7919))</f>
        <v/>
      </c>
      <c r="J7919">
        <f>IF(F7919="","",INT(H7919)-B7919)</f>
        <v/>
      </c>
      <c r="K7919">
        <f>IF(B7919&gt;=Settings!$C$5,1,0)</f>
        <v/>
      </c>
    </row>
    <row r="7920">
      <c r="A7920" t="inlineStr">
        <is>
          <t>075c4cf9e46f14578f4397e16a2b3f4e</t>
        </is>
      </c>
      <c r="B7920" s="29" t="n">
        <v>43096</v>
      </c>
      <c r="C7920" t="inlineStr">
        <is>
          <t>2017-12</t>
        </is>
      </c>
      <c r="D7920" t="inlineStr">
        <is>
          <t>e492ee5eaf1697716985cc6f33f9cd9b</t>
        </is>
      </c>
      <c r="E7920" t="inlineStr">
        <is>
          <t>email</t>
        </is>
      </c>
      <c r="F7920">
        <f>IFERROR(MATCH(A7920,Deals!$A$2:$A$843,0),"")</f>
        <v/>
      </c>
      <c r="G7920">
        <f>IF(F7920="",0,1)</f>
        <v/>
      </c>
      <c r="H7920" s="29">
        <f>IF(F7920="","",INDEX(Deals!$E$2:$E$843,F7920))</f>
        <v/>
      </c>
      <c r="I7920">
        <f>IF(F7920="","",INDEX(Deals!$D$2:$D$843,F7920))</f>
        <v/>
      </c>
      <c r="J7920">
        <f>IF(F7920="","",INT(H7920)-B7920)</f>
        <v/>
      </c>
      <c r="K7920">
        <f>IF(B7920&gt;=Settings!$C$5,1,0)</f>
        <v/>
      </c>
    </row>
    <row r="7921">
      <c r="A7921" t="inlineStr">
        <is>
          <t>5cbf35a46932a51cc63f40aeeb5f2a16</t>
        </is>
      </c>
      <c r="B7921" s="29" t="n">
        <v>43038</v>
      </c>
      <c r="C7921" t="inlineStr">
        <is>
          <t>2017-10</t>
        </is>
      </c>
      <c r="D7921" t="inlineStr">
        <is>
          <t>87780f7c05ecd79791bde76af663db15</t>
        </is>
      </c>
      <c r="E7921" t="inlineStr">
        <is>
          <t>social</t>
        </is>
      </c>
      <c r="F7921">
        <f>IFERROR(MATCH(A7921,Deals!$A$2:$A$843,0),"")</f>
        <v/>
      </c>
      <c r="G7921">
        <f>IF(F7921="",0,1)</f>
        <v/>
      </c>
      <c r="H7921" s="29">
        <f>IF(F7921="","",INDEX(Deals!$E$2:$E$843,F7921))</f>
        <v/>
      </c>
      <c r="I7921">
        <f>IF(F7921="","",INDEX(Deals!$D$2:$D$843,F7921))</f>
        <v/>
      </c>
      <c r="J7921">
        <f>IF(F7921="","",INT(H7921)-B7921)</f>
        <v/>
      </c>
      <c r="K7921">
        <f>IF(B7921&gt;=Settings!$C$5,1,0)</f>
        <v/>
      </c>
    </row>
    <row r="7922">
      <c r="A7922" t="inlineStr">
        <is>
          <t>d72ed463540d810c634272bb19e3de1a</t>
        </is>
      </c>
      <c r="B7922" s="29" t="n">
        <v>43178</v>
      </c>
      <c r="C7922" t="inlineStr">
        <is>
          <t>2018-03</t>
        </is>
      </c>
      <c r="D7922" t="inlineStr">
        <is>
          <t>909e333f8f23574f93115bd3d402e202</t>
        </is>
      </c>
      <c r="E7922" t="inlineStr">
        <is>
          <t>organic_search</t>
        </is>
      </c>
      <c r="F7922">
        <f>IFERROR(MATCH(A7922,Deals!$A$2:$A$843,0),"")</f>
        <v/>
      </c>
      <c r="G7922">
        <f>IF(F7922="",0,1)</f>
        <v/>
      </c>
      <c r="H7922" s="29">
        <f>IF(F7922="","",INDEX(Deals!$E$2:$E$843,F7922))</f>
        <v/>
      </c>
      <c r="I7922">
        <f>IF(F7922="","",INDEX(Deals!$D$2:$D$843,F7922))</f>
        <v/>
      </c>
      <c r="J7922">
        <f>IF(F7922="","",INT(H7922)-B7922)</f>
        <v/>
      </c>
      <c r="K7922">
        <f>IF(B7922&gt;=Settings!$C$5,1,0)</f>
        <v/>
      </c>
    </row>
    <row r="7923">
      <c r="A7923" t="inlineStr">
        <is>
          <t>c34fc4c9109e2813107616f91f8c252d</t>
        </is>
      </c>
      <c r="B7923" s="29" t="n">
        <v>43222</v>
      </c>
      <c r="C7923" t="inlineStr">
        <is>
          <t>2018-05</t>
        </is>
      </c>
      <c r="D7923" t="inlineStr">
        <is>
          <t>e42a14209c69c3e9cc6b042620465f12</t>
        </is>
      </c>
      <c r="E7923" t="inlineStr">
        <is>
          <t>email</t>
        </is>
      </c>
      <c r="F7923">
        <f>IFERROR(MATCH(A7923,Deals!$A$2:$A$843,0),"")</f>
        <v/>
      </c>
      <c r="G7923">
        <f>IF(F7923="",0,1)</f>
        <v/>
      </c>
      <c r="H7923" s="29">
        <f>IF(F7923="","",INDEX(Deals!$E$2:$E$843,F7923))</f>
        <v/>
      </c>
      <c r="I7923">
        <f>IF(F7923="","",INDEX(Deals!$D$2:$D$843,F7923))</f>
        <v/>
      </c>
      <c r="J7923">
        <f>IF(F7923="","",INT(H7923)-B7923)</f>
        <v/>
      </c>
      <c r="K7923">
        <f>IF(B7923&gt;=Settings!$C$5,1,0)</f>
        <v/>
      </c>
    </row>
    <row r="7924">
      <c r="A7924" t="inlineStr">
        <is>
          <t>9508e33866145631ca76768f61282f2c</t>
        </is>
      </c>
      <c r="B7924" s="29" t="n">
        <v>43194</v>
      </c>
      <c r="C7924" t="inlineStr">
        <is>
          <t>2018-04</t>
        </is>
      </c>
      <c r="D7924" t="inlineStr">
        <is>
          <t>22c29808c4f815213303f8933030604c</t>
        </is>
      </c>
      <c r="E7924" t="inlineStr">
        <is>
          <t>organic_search</t>
        </is>
      </c>
      <c r="F7924">
        <f>IFERROR(MATCH(A7924,Deals!$A$2:$A$843,0),"")</f>
        <v/>
      </c>
      <c r="G7924">
        <f>IF(F7924="",0,1)</f>
        <v/>
      </c>
      <c r="H7924" s="29">
        <f>IF(F7924="","",INDEX(Deals!$E$2:$E$843,F7924))</f>
        <v/>
      </c>
      <c r="I7924">
        <f>IF(F7924="","",INDEX(Deals!$D$2:$D$843,F7924))</f>
        <v/>
      </c>
      <c r="J7924">
        <f>IF(F7924="","",INT(H7924)-B7924)</f>
        <v/>
      </c>
      <c r="K7924">
        <f>IF(B7924&gt;=Settings!$C$5,1,0)</f>
        <v/>
      </c>
    </row>
    <row r="7925">
      <c r="A7925" t="inlineStr">
        <is>
          <t>64d3742f8a1795f31142a0f006484817</t>
        </is>
      </c>
      <c r="B7925" s="29" t="n">
        <v>43142</v>
      </c>
      <c r="C7925" t="inlineStr">
        <is>
          <t>2018-02</t>
        </is>
      </c>
      <c r="D7925" t="inlineStr">
        <is>
          <t>d83b0d0e48c8447d1d5507a44027a955</t>
        </is>
      </c>
      <c r="E7925" t="inlineStr">
        <is>
          <t>organic_search</t>
        </is>
      </c>
      <c r="F7925">
        <f>IFERROR(MATCH(A7925,Deals!$A$2:$A$843,0),"")</f>
        <v/>
      </c>
      <c r="G7925">
        <f>IF(F7925="",0,1)</f>
        <v/>
      </c>
      <c r="H7925" s="29">
        <f>IF(F7925="","",INDEX(Deals!$E$2:$E$843,F7925))</f>
        <v/>
      </c>
      <c r="I7925">
        <f>IF(F7925="","",INDEX(Deals!$D$2:$D$843,F7925))</f>
        <v/>
      </c>
      <c r="J7925">
        <f>IF(F7925="","",INT(H7925)-B7925)</f>
        <v/>
      </c>
      <c r="K7925">
        <f>IF(B7925&gt;=Settings!$C$5,1,0)</f>
        <v/>
      </c>
    </row>
    <row r="7926">
      <c r="A7926" t="inlineStr">
        <is>
          <t>2c573a074732c9dad456e1e9f9ffc238</t>
        </is>
      </c>
      <c r="B7926" s="29" t="n">
        <v>42957</v>
      </c>
      <c r="C7926" t="inlineStr">
        <is>
          <t>2017-08</t>
        </is>
      </c>
      <c r="D7926" t="inlineStr">
        <is>
          <t>87732658ba41d8775e8577df347a64db</t>
        </is>
      </c>
      <c r="E7926" t="inlineStr">
        <is>
          <t>social</t>
        </is>
      </c>
      <c r="F7926">
        <f>IFERROR(MATCH(A7926,Deals!$A$2:$A$843,0),"")</f>
        <v/>
      </c>
      <c r="G7926">
        <f>IF(F7926="",0,1)</f>
        <v/>
      </c>
      <c r="H7926" s="29">
        <f>IF(F7926="","",INDEX(Deals!$E$2:$E$843,F7926))</f>
        <v/>
      </c>
      <c r="I7926">
        <f>IF(F7926="","",INDEX(Deals!$D$2:$D$843,F7926))</f>
        <v/>
      </c>
      <c r="J7926">
        <f>IF(F7926="","",INT(H7926)-B7926)</f>
        <v/>
      </c>
      <c r="K7926">
        <f>IF(B7926&gt;=Settings!$C$5,1,0)</f>
        <v/>
      </c>
    </row>
    <row r="7927">
      <c r="A7927" t="inlineStr">
        <is>
          <t>492a376be4d38d1c868d037cd4e8df1e</t>
        </is>
      </c>
      <c r="B7927" s="29" t="n">
        <v>43195</v>
      </c>
      <c r="C7927" t="inlineStr">
        <is>
          <t>2018-04</t>
        </is>
      </c>
      <c r="D7927" t="inlineStr">
        <is>
          <t>649b7b8b46b254497e92038d88f6ced8</t>
        </is>
      </c>
      <c r="E7927" t="inlineStr">
        <is>
          <t>paid_search</t>
        </is>
      </c>
      <c r="F7927">
        <f>IFERROR(MATCH(A7927,Deals!$A$2:$A$843,0),"")</f>
        <v/>
      </c>
      <c r="G7927">
        <f>IF(F7927="",0,1)</f>
        <v/>
      </c>
      <c r="H7927" s="29">
        <f>IF(F7927="","",INDEX(Deals!$E$2:$E$843,F7927))</f>
        <v/>
      </c>
      <c r="I7927">
        <f>IF(F7927="","",INDEX(Deals!$D$2:$D$843,F7927))</f>
        <v/>
      </c>
      <c r="J7927">
        <f>IF(F7927="","",INT(H7927)-B7927)</f>
        <v/>
      </c>
      <c r="K7927">
        <f>IF(B7927&gt;=Settings!$C$5,1,0)</f>
        <v/>
      </c>
    </row>
    <row r="7928">
      <c r="A7928" t="inlineStr">
        <is>
          <t>b3d5cd16656bd872844d94e6c00ac9f3</t>
        </is>
      </c>
      <c r="B7928" s="29" t="n">
        <v>43185</v>
      </c>
      <c r="C7928" t="inlineStr">
        <is>
          <t>2018-03</t>
        </is>
      </c>
      <c r="D7928" t="inlineStr">
        <is>
          <t>fa5a0151e1f37d0055a3478fbb48827a</t>
        </is>
      </c>
      <c r="E7928" t="inlineStr">
        <is>
          <t>paid_search</t>
        </is>
      </c>
      <c r="F7928">
        <f>IFERROR(MATCH(A7928,Deals!$A$2:$A$843,0),"")</f>
        <v/>
      </c>
      <c r="G7928">
        <f>IF(F7928="",0,1)</f>
        <v/>
      </c>
      <c r="H7928" s="29">
        <f>IF(F7928="","",INDEX(Deals!$E$2:$E$843,F7928))</f>
        <v/>
      </c>
      <c r="I7928">
        <f>IF(F7928="","",INDEX(Deals!$D$2:$D$843,F7928))</f>
        <v/>
      </c>
      <c r="J7928">
        <f>IF(F7928="","",INT(H7928)-B7928)</f>
        <v/>
      </c>
      <c r="K7928">
        <f>IF(B7928&gt;=Settings!$C$5,1,0)</f>
        <v/>
      </c>
    </row>
    <row r="7929">
      <c r="A7929" t="inlineStr">
        <is>
          <t>fc37c234a9b820027243ea2255da90b7</t>
        </is>
      </c>
      <c r="B7929" s="29" t="n">
        <v>43166</v>
      </c>
      <c r="C7929" t="inlineStr">
        <is>
          <t>2018-03</t>
        </is>
      </c>
      <c r="D7929" t="inlineStr">
        <is>
          <t>65d9f9d71e562365e8b44037c2888d98</t>
        </is>
      </c>
      <c r="E7929" t="inlineStr">
        <is>
          <t>organic_search</t>
        </is>
      </c>
      <c r="F7929">
        <f>IFERROR(MATCH(A7929,Deals!$A$2:$A$843,0),"")</f>
        <v/>
      </c>
      <c r="G7929">
        <f>IF(F7929="",0,1)</f>
        <v/>
      </c>
      <c r="H7929" s="29">
        <f>IF(F7929="","",INDEX(Deals!$E$2:$E$843,F7929))</f>
        <v/>
      </c>
      <c r="I7929">
        <f>IF(F7929="","",INDEX(Deals!$D$2:$D$843,F7929))</f>
        <v/>
      </c>
      <c r="J7929">
        <f>IF(F7929="","",INT(H7929)-B7929)</f>
        <v/>
      </c>
      <c r="K7929">
        <f>IF(B7929&gt;=Settings!$C$5,1,0)</f>
        <v/>
      </c>
    </row>
    <row r="7930">
      <c r="A7930" t="inlineStr">
        <is>
          <t>064ee9c7b1d8179b19b0ae50d19bdf86</t>
        </is>
      </c>
      <c r="B7930" s="29" t="n">
        <v>43125</v>
      </c>
      <c r="C7930" t="inlineStr">
        <is>
          <t>2018-01</t>
        </is>
      </c>
      <c r="D7930" t="inlineStr">
        <is>
          <t>241f79c7a8fe0270f4fb79fcbbcd17ad</t>
        </is>
      </c>
      <c r="E7930" t="inlineStr">
        <is>
          <t>paid_search</t>
        </is>
      </c>
      <c r="F7930">
        <f>IFERROR(MATCH(A7930,Deals!$A$2:$A$843,0),"")</f>
        <v/>
      </c>
      <c r="G7930">
        <f>IF(F7930="",0,1)</f>
        <v/>
      </c>
      <c r="H7930" s="29">
        <f>IF(F7930="","",INDEX(Deals!$E$2:$E$843,F7930))</f>
        <v/>
      </c>
      <c r="I7930">
        <f>IF(F7930="","",INDEX(Deals!$D$2:$D$843,F7930))</f>
        <v/>
      </c>
      <c r="J7930">
        <f>IF(F7930="","",INT(H7930)-B7930)</f>
        <v/>
      </c>
      <c r="K7930">
        <f>IF(B7930&gt;=Settings!$C$5,1,0)</f>
        <v/>
      </c>
    </row>
    <row r="7931">
      <c r="A7931" t="inlineStr">
        <is>
          <t>81623160a21568ddbc0a8173ebbf1670</t>
        </is>
      </c>
      <c r="B7931" s="29" t="n">
        <v>43146</v>
      </c>
      <c r="C7931" t="inlineStr">
        <is>
          <t>2018-02</t>
        </is>
      </c>
      <c r="D7931" t="inlineStr">
        <is>
          <t>6ec35d2451cfa0e2e1c8595ec4ad099d</t>
        </is>
      </c>
      <c r="E7931" t="inlineStr">
        <is>
          <t>direct_traffic</t>
        </is>
      </c>
      <c r="F7931">
        <f>IFERROR(MATCH(A7931,Deals!$A$2:$A$843,0),"")</f>
        <v/>
      </c>
      <c r="G7931">
        <f>IF(F7931="",0,1)</f>
        <v/>
      </c>
      <c r="H7931" s="29">
        <f>IF(F7931="","",INDEX(Deals!$E$2:$E$843,F7931))</f>
        <v/>
      </c>
      <c r="I7931">
        <f>IF(F7931="","",INDEX(Deals!$D$2:$D$843,F7931))</f>
        <v/>
      </c>
      <c r="J7931">
        <f>IF(F7931="","",INT(H7931)-B7931)</f>
        <v/>
      </c>
      <c r="K7931">
        <f>IF(B7931&gt;=Settings!$C$5,1,0)</f>
        <v/>
      </c>
    </row>
    <row r="7932">
      <c r="A7932" t="inlineStr">
        <is>
          <t>125ffbed680fa712eaa4e8460b5449a6</t>
        </is>
      </c>
      <c r="B7932" s="29" t="n">
        <v>43060</v>
      </c>
      <c r="C7932" t="inlineStr">
        <is>
          <t>2017-11</t>
        </is>
      </c>
      <c r="D7932" t="inlineStr">
        <is>
          <t>b76ef37428e6799c421989521c0e5077</t>
        </is>
      </c>
      <c r="E7932" t="inlineStr">
        <is>
          <t>unknown</t>
        </is>
      </c>
      <c r="F7932">
        <f>IFERROR(MATCH(A7932,Deals!$A$2:$A$843,0),"")</f>
        <v/>
      </c>
      <c r="G7932">
        <f>IF(F7932="",0,1)</f>
        <v/>
      </c>
      <c r="H7932" s="29">
        <f>IF(F7932="","",INDEX(Deals!$E$2:$E$843,F7932))</f>
        <v/>
      </c>
      <c r="I7932">
        <f>IF(F7932="","",INDEX(Deals!$D$2:$D$843,F7932))</f>
        <v/>
      </c>
      <c r="J7932">
        <f>IF(F7932="","",INT(H7932)-B7932)</f>
        <v/>
      </c>
      <c r="K7932">
        <f>IF(B7932&gt;=Settings!$C$5,1,0)</f>
        <v/>
      </c>
    </row>
    <row r="7933">
      <c r="A7933" t="inlineStr">
        <is>
          <t>f8e1b8b3a3fe9b27a64dfcaaa8fc6054</t>
        </is>
      </c>
      <c r="B7933" s="29" t="n">
        <v>43124</v>
      </c>
      <c r="C7933" t="inlineStr">
        <is>
          <t>2018-01</t>
        </is>
      </c>
      <c r="D7933" t="inlineStr">
        <is>
          <t>0f7f8ed9a1db8fc2a42e273972db10d4</t>
        </is>
      </c>
      <c r="E7933" t="inlineStr">
        <is>
          <t>organic_search</t>
        </is>
      </c>
      <c r="F7933">
        <f>IFERROR(MATCH(A7933,Deals!$A$2:$A$843,0),"")</f>
        <v/>
      </c>
      <c r="G7933">
        <f>IF(F7933="",0,1)</f>
        <v/>
      </c>
      <c r="H7933" s="29">
        <f>IF(F7933="","",INDEX(Deals!$E$2:$E$843,F7933))</f>
        <v/>
      </c>
      <c r="I7933">
        <f>IF(F7933="","",INDEX(Deals!$D$2:$D$843,F7933))</f>
        <v/>
      </c>
      <c r="J7933">
        <f>IF(F7933="","",INT(H7933)-B7933)</f>
        <v/>
      </c>
      <c r="K7933">
        <f>IF(B7933&gt;=Settings!$C$5,1,0)</f>
        <v/>
      </c>
    </row>
    <row r="7934">
      <c r="A7934" t="inlineStr">
        <is>
          <t>836226ba462e8af1f51f9e5c798b228e</t>
        </is>
      </c>
      <c r="B7934" s="29" t="n">
        <v>43196</v>
      </c>
      <c r="C7934" t="inlineStr">
        <is>
          <t>2018-04</t>
        </is>
      </c>
      <c r="D7934" t="inlineStr">
        <is>
          <t>b76ef37428e6799c421989521c0e5077</t>
        </is>
      </c>
      <c r="E7934" t="inlineStr">
        <is>
          <t>unknown</t>
        </is>
      </c>
      <c r="F7934">
        <f>IFERROR(MATCH(A7934,Deals!$A$2:$A$843,0),"")</f>
        <v/>
      </c>
      <c r="G7934">
        <f>IF(F7934="",0,1)</f>
        <v/>
      </c>
      <c r="H7934" s="29">
        <f>IF(F7934="","",INDEX(Deals!$E$2:$E$843,F7934))</f>
        <v/>
      </c>
      <c r="I7934">
        <f>IF(F7934="","",INDEX(Deals!$D$2:$D$843,F7934))</f>
        <v/>
      </c>
      <c r="J7934">
        <f>IF(F7934="","",INT(H7934)-B7934)</f>
        <v/>
      </c>
      <c r="K7934">
        <f>IF(B7934&gt;=Settings!$C$5,1,0)</f>
        <v/>
      </c>
    </row>
    <row r="7935">
      <c r="A7935" t="inlineStr">
        <is>
          <t>1ff499dfd246597828e415c43589fb4f</t>
        </is>
      </c>
      <c r="B7935" s="29" t="n">
        <v>43112</v>
      </c>
      <c r="C7935" t="inlineStr">
        <is>
          <t>2018-01</t>
        </is>
      </c>
      <c r="D7935" t="inlineStr">
        <is>
          <t>22c29808c4f815213303f8933030604c</t>
        </is>
      </c>
      <c r="E7935" t="inlineStr">
        <is>
          <t>organic_search</t>
        </is>
      </c>
      <c r="F7935">
        <f>IFERROR(MATCH(A7935,Deals!$A$2:$A$843,0),"")</f>
        <v/>
      </c>
      <c r="G7935">
        <f>IF(F7935="",0,1)</f>
        <v/>
      </c>
      <c r="H7935" s="29">
        <f>IF(F7935="","",INDEX(Deals!$E$2:$E$843,F7935))</f>
        <v/>
      </c>
      <c r="I7935">
        <f>IF(F7935="","",INDEX(Deals!$D$2:$D$843,F7935))</f>
        <v/>
      </c>
      <c r="J7935">
        <f>IF(F7935="","",INT(H7935)-B7935)</f>
        <v/>
      </c>
      <c r="K7935">
        <f>IF(B7935&gt;=Settings!$C$5,1,0)</f>
        <v/>
      </c>
    </row>
    <row r="7936">
      <c r="A7936" t="inlineStr">
        <is>
          <t>324bacc7aab550b824bbd20d352cbff4</t>
        </is>
      </c>
      <c r="B7936" s="29" t="n">
        <v>42940</v>
      </c>
      <c r="C7936" t="inlineStr">
        <is>
          <t>2017-07</t>
        </is>
      </c>
      <c r="D7936" t="inlineStr">
        <is>
          <t>5ce25abc7206b8285aa756867eb2c590</t>
        </is>
      </c>
      <c r="E7936" t="inlineStr">
        <is>
          <t>display</t>
        </is>
      </c>
      <c r="F7936">
        <f>IFERROR(MATCH(A7936,Deals!$A$2:$A$843,0),"")</f>
        <v/>
      </c>
      <c r="G7936">
        <f>IF(F7936="",0,1)</f>
        <v/>
      </c>
      <c r="H7936" s="29">
        <f>IF(F7936="","",INDEX(Deals!$E$2:$E$843,F7936))</f>
        <v/>
      </c>
      <c r="I7936">
        <f>IF(F7936="","",INDEX(Deals!$D$2:$D$843,F7936))</f>
        <v/>
      </c>
      <c r="J7936">
        <f>IF(F7936="","",INT(H7936)-B7936)</f>
        <v/>
      </c>
      <c r="K7936">
        <f>IF(B7936&gt;=Settings!$C$5,1,0)</f>
        <v/>
      </c>
    </row>
    <row r="7937">
      <c r="A7937" t="inlineStr">
        <is>
          <t>c071c86446066d4de2ba1551614a08c8</t>
        </is>
      </c>
      <c r="B7937" s="29" t="n">
        <v>42969</v>
      </c>
      <c r="C7937" t="inlineStr">
        <is>
          <t>2017-08</t>
        </is>
      </c>
      <c r="D7937" t="inlineStr">
        <is>
          <t>b76ef37428e6799c421989521c0e5077</t>
        </is>
      </c>
      <c r="E7937" t="inlineStr">
        <is>
          <t>unknown</t>
        </is>
      </c>
      <c r="F7937">
        <f>IFERROR(MATCH(A7937,Deals!$A$2:$A$843,0),"")</f>
        <v/>
      </c>
      <c r="G7937">
        <f>IF(F7937="",0,1)</f>
        <v/>
      </c>
      <c r="H7937" s="29">
        <f>IF(F7937="","",INDEX(Deals!$E$2:$E$843,F7937))</f>
        <v/>
      </c>
      <c r="I7937">
        <f>IF(F7937="","",INDEX(Deals!$D$2:$D$843,F7937))</f>
        <v/>
      </c>
      <c r="J7937">
        <f>IF(F7937="","",INT(H7937)-B7937)</f>
        <v/>
      </c>
      <c r="K7937">
        <f>IF(B7937&gt;=Settings!$C$5,1,0)</f>
        <v/>
      </c>
    </row>
    <row r="7938">
      <c r="A7938" t="inlineStr">
        <is>
          <t>6f7fcdd58aa703d420609c5a8a77917c</t>
        </is>
      </c>
      <c r="B7938" s="29" t="n">
        <v>43201</v>
      </c>
      <c r="C7938" t="inlineStr">
        <is>
          <t>2018-04</t>
        </is>
      </c>
      <c r="D7938" t="inlineStr">
        <is>
          <t>22c29808c4f815213303f8933030604c</t>
        </is>
      </c>
      <c r="E7938" t="inlineStr">
        <is>
          <t>paid_search</t>
        </is>
      </c>
      <c r="F7938">
        <f>IFERROR(MATCH(A7938,Deals!$A$2:$A$843,0),"")</f>
        <v/>
      </c>
      <c r="G7938">
        <f>IF(F7938="",0,1)</f>
        <v/>
      </c>
      <c r="H7938" s="29">
        <f>IF(F7938="","",INDEX(Deals!$E$2:$E$843,F7938))</f>
        <v/>
      </c>
      <c r="I7938">
        <f>IF(F7938="","",INDEX(Deals!$D$2:$D$843,F7938))</f>
        <v/>
      </c>
      <c r="J7938">
        <f>IF(F7938="","",INT(H7938)-B7938)</f>
        <v/>
      </c>
      <c r="K7938">
        <f>IF(B7938&gt;=Settings!$C$5,1,0)</f>
        <v/>
      </c>
    </row>
    <row r="7939">
      <c r="A7939" t="inlineStr">
        <is>
          <t>3811144c4ecfaedd25d117c92fe210b0</t>
        </is>
      </c>
      <c r="B7939" s="29" t="n">
        <v>43154</v>
      </c>
      <c r="C7939" t="inlineStr">
        <is>
          <t>2018-02</t>
        </is>
      </c>
      <c r="D7939" t="inlineStr">
        <is>
          <t>fbc24da54d531c6204ae2d17b1090bb1</t>
        </is>
      </c>
      <c r="E7939" t="inlineStr">
        <is>
          <t>paid_search</t>
        </is>
      </c>
      <c r="F7939">
        <f>IFERROR(MATCH(A7939,Deals!$A$2:$A$843,0),"")</f>
        <v/>
      </c>
      <c r="G7939">
        <f>IF(F7939="",0,1)</f>
        <v/>
      </c>
      <c r="H7939" s="29">
        <f>IF(F7939="","",INDEX(Deals!$E$2:$E$843,F7939))</f>
        <v/>
      </c>
      <c r="I7939">
        <f>IF(F7939="","",INDEX(Deals!$D$2:$D$843,F7939))</f>
        <v/>
      </c>
      <c r="J7939">
        <f>IF(F7939="","",INT(H7939)-B7939)</f>
        <v/>
      </c>
      <c r="K7939">
        <f>IF(B7939&gt;=Settings!$C$5,1,0)</f>
        <v/>
      </c>
    </row>
    <row r="7940">
      <c r="A7940" t="inlineStr">
        <is>
          <t>a8c5a574b9a94333c257c08bc2879291</t>
        </is>
      </c>
      <c r="B7940" s="29" t="n">
        <v>43054</v>
      </c>
      <c r="C7940" t="inlineStr">
        <is>
          <t>2017-11</t>
        </is>
      </c>
      <c r="D7940" t="inlineStr">
        <is>
          <t>b6885f18d203a61176418c1fb3764815</t>
        </is>
      </c>
      <c r="E7940" t="inlineStr">
        <is>
          <t>paid_search</t>
        </is>
      </c>
      <c r="F7940">
        <f>IFERROR(MATCH(A7940,Deals!$A$2:$A$843,0),"")</f>
        <v/>
      </c>
      <c r="G7940">
        <f>IF(F7940="",0,1)</f>
        <v/>
      </c>
      <c r="H7940" s="29">
        <f>IF(F7940="","",INDEX(Deals!$E$2:$E$843,F7940))</f>
        <v/>
      </c>
      <c r="I7940">
        <f>IF(F7940="","",INDEX(Deals!$D$2:$D$843,F7940))</f>
        <v/>
      </c>
      <c r="J7940">
        <f>IF(F7940="","",INT(H7940)-B7940)</f>
        <v/>
      </c>
      <c r="K7940">
        <f>IF(B7940&gt;=Settings!$C$5,1,0)</f>
        <v/>
      </c>
    </row>
    <row r="7941">
      <c r="A7941" t="inlineStr">
        <is>
          <t>48cb245f831df4938c87ddae93da0a32</t>
        </is>
      </c>
      <c r="B7941" s="29" t="n">
        <v>43168</v>
      </c>
      <c r="C7941" t="inlineStr">
        <is>
          <t>2018-03</t>
        </is>
      </c>
      <c r="D7941" t="inlineStr">
        <is>
          <t>ce1a65abd0973638f1c887a6efcfa82d</t>
        </is>
      </c>
      <c r="E7941" t="inlineStr">
        <is>
          <t>direct_traffic</t>
        </is>
      </c>
      <c r="F7941">
        <f>IFERROR(MATCH(A7941,Deals!$A$2:$A$843,0),"")</f>
        <v/>
      </c>
      <c r="G7941">
        <f>IF(F7941="",0,1)</f>
        <v/>
      </c>
      <c r="H7941" s="29">
        <f>IF(F7941="","",INDEX(Deals!$E$2:$E$843,F7941))</f>
        <v/>
      </c>
      <c r="I7941">
        <f>IF(F7941="","",INDEX(Deals!$D$2:$D$843,F7941))</f>
        <v/>
      </c>
      <c r="J7941">
        <f>IF(F7941="","",INT(H7941)-B7941)</f>
        <v/>
      </c>
      <c r="K7941">
        <f>IF(B7941&gt;=Settings!$C$5,1,0)</f>
        <v/>
      </c>
    </row>
    <row r="7942">
      <c r="A7942" t="inlineStr">
        <is>
          <t>7b76aabbcca9301ca0f8604376a1908b</t>
        </is>
      </c>
      <c r="B7942" s="29" t="n">
        <v>43129</v>
      </c>
      <c r="C7942" t="inlineStr">
        <is>
          <t>2018-01</t>
        </is>
      </c>
      <c r="D7942" t="inlineStr">
        <is>
          <t>ce1a65abd0973638f1c887a6efcfa82d</t>
        </is>
      </c>
      <c r="E7942" t="inlineStr">
        <is>
          <t>organic_search</t>
        </is>
      </c>
      <c r="F7942">
        <f>IFERROR(MATCH(A7942,Deals!$A$2:$A$843,0),"")</f>
        <v/>
      </c>
      <c r="G7942">
        <f>IF(F7942="",0,1)</f>
        <v/>
      </c>
      <c r="H7942" s="29">
        <f>IF(F7942="","",INDEX(Deals!$E$2:$E$843,F7942))</f>
        <v/>
      </c>
      <c r="I7942">
        <f>IF(F7942="","",INDEX(Deals!$D$2:$D$843,F7942))</f>
        <v/>
      </c>
      <c r="J7942">
        <f>IF(F7942="","",INT(H7942)-B7942)</f>
        <v/>
      </c>
      <c r="K7942">
        <f>IF(B7942&gt;=Settings!$C$5,1,0)</f>
        <v/>
      </c>
    </row>
    <row r="7943">
      <c r="A7943" t="inlineStr">
        <is>
          <t>ad52498830facdfb560d81b5620b66ae</t>
        </is>
      </c>
      <c r="B7943" s="29" t="n">
        <v>43131</v>
      </c>
      <c r="C7943" t="inlineStr">
        <is>
          <t>2018-01</t>
        </is>
      </c>
      <c r="D7943" t="inlineStr">
        <is>
          <t>65d9f9d71e562365e8b44037c2888d98</t>
        </is>
      </c>
      <c r="E7943" t="inlineStr">
        <is>
          <t>organic_search</t>
        </is>
      </c>
      <c r="F7943">
        <f>IFERROR(MATCH(A7943,Deals!$A$2:$A$843,0),"")</f>
        <v/>
      </c>
      <c r="G7943">
        <f>IF(F7943="",0,1)</f>
        <v/>
      </c>
      <c r="H7943" s="29">
        <f>IF(F7943="","",INDEX(Deals!$E$2:$E$843,F7943))</f>
        <v/>
      </c>
      <c r="I7943">
        <f>IF(F7943="","",INDEX(Deals!$D$2:$D$843,F7943))</f>
        <v/>
      </c>
      <c r="J7943">
        <f>IF(F7943="","",INT(H7943)-B7943)</f>
        <v/>
      </c>
      <c r="K7943">
        <f>IF(B7943&gt;=Settings!$C$5,1,0)</f>
        <v/>
      </c>
    </row>
    <row r="7944">
      <c r="A7944" t="inlineStr">
        <is>
          <t>a0e278e882f1eb24248fe91b3411e42a</t>
        </is>
      </c>
      <c r="B7944" s="29" t="n">
        <v>42986</v>
      </c>
      <c r="C7944" t="inlineStr">
        <is>
          <t>2017-09</t>
        </is>
      </c>
      <c r="D7944" t="inlineStr">
        <is>
          <t>b76ef37428e6799c421989521c0e5077</t>
        </is>
      </c>
      <c r="E7944" t="inlineStr">
        <is>
          <t>unknown</t>
        </is>
      </c>
      <c r="F7944">
        <f>IFERROR(MATCH(A7944,Deals!$A$2:$A$843,0),"")</f>
        <v/>
      </c>
      <c r="G7944">
        <f>IF(F7944="",0,1)</f>
        <v/>
      </c>
      <c r="H7944" s="29">
        <f>IF(F7944="","",INDEX(Deals!$E$2:$E$843,F7944))</f>
        <v/>
      </c>
      <c r="I7944">
        <f>IF(F7944="","",INDEX(Deals!$D$2:$D$843,F7944))</f>
        <v/>
      </c>
      <c r="J7944">
        <f>IF(F7944="","",INT(H7944)-B7944)</f>
        <v/>
      </c>
      <c r="K7944">
        <f>IF(B7944&gt;=Settings!$C$5,1,0)</f>
        <v/>
      </c>
    </row>
    <row r="7945">
      <c r="A7945" t="inlineStr">
        <is>
          <t>cd803c8ab3c2afa5430eeb195bcebe6a</t>
        </is>
      </c>
      <c r="B7945" s="29" t="n">
        <v>43186</v>
      </c>
      <c r="C7945" t="inlineStr">
        <is>
          <t>2018-03</t>
        </is>
      </c>
      <c r="D7945" t="inlineStr">
        <is>
          <t>c494978688ccf66ad9fad3d6a3338c22</t>
        </is>
      </c>
      <c r="E7945" t="inlineStr">
        <is>
          <t>email</t>
        </is>
      </c>
      <c r="F7945">
        <f>IFERROR(MATCH(A7945,Deals!$A$2:$A$843,0),"")</f>
        <v/>
      </c>
      <c r="G7945">
        <f>IF(F7945="",0,1)</f>
        <v/>
      </c>
      <c r="H7945" s="29">
        <f>IF(F7945="","",INDEX(Deals!$E$2:$E$843,F7945))</f>
        <v/>
      </c>
      <c r="I7945">
        <f>IF(F7945="","",INDEX(Deals!$D$2:$D$843,F7945))</f>
        <v/>
      </c>
      <c r="J7945">
        <f>IF(F7945="","",INT(H7945)-B7945)</f>
        <v/>
      </c>
      <c r="K7945">
        <f>IF(B7945&gt;=Settings!$C$5,1,0)</f>
        <v/>
      </c>
    </row>
    <row r="7946">
      <c r="A7946" t="inlineStr">
        <is>
          <t>32842e5dcc326280949f03bf9ae8f784</t>
        </is>
      </c>
      <c r="B7946" s="29" t="n">
        <v>43194</v>
      </c>
      <c r="C7946" t="inlineStr">
        <is>
          <t>2018-04</t>
        </is>
      </c>
      <c r="D7946" t="inlineStr">
        <is>
          <t>b76ef37428e6799c421989521c0e5077</t>
        </is>
      </c>
      <c r="E7946" t="inlineStr">
        <is>
          <t>paid_search</t>
        </is>
      </c>
      <c r="F7946">
        <f>IFERROR(MATCH(A7946,Deals!$A$2:$A$843,0),"")</f>
        <v/>
      </c>
      <c r="G7946">
        <f>IF(F7946="",0,1)</f>
        <v/>
      </c>
      <c r="H7946" s="29">
        <f>IF(F7946="","",INDEX(Deals!$E$2:$E$843,F7946))</f>
        <v/>
      </c>
      <c r="I7946">
        <f>IF(F7946="","",INDEX(Deals!$D$2:$D$843,F7946))</f>
        <v/>
      </c>
      <c r="J7946">
        <f>IF(F7946="","",INT(H7946)-B7946)</f>
        <v/>
      </c>
      <c r="K7946">
        <f>IF(B7946&gt;=Settings!$C$5,1,0)</f>
        <v/>
      </c>
    </row>
    <row r="7947">
      <c r="A7947" t="inlineStr">
        <is>
          <t>eb429c58556d7816b74e84654a8ea7dc</t>
        </is>
      </c>
      <c r="B7947" s="29" t="n">
        <v>43165</v>
      </c>
      <c r="C7947" t="inlineStr">
        <is>
          <t>2018-03</t>
        </is>
      </c>
      <c r="D7947" t="inlineStr">
        <is>
          <t>0b37d43dbde6452cdd94c17bf61a88e4</t>
        </is>
      </c>
      <c r="E7947" t="inlineStr">
        <is>
          <t>paid_search</t>
        </is>
      </c>
      <c r="F7947">
        <f>IFERROR(MATCH(A7947,Deals!$A$2:$A$843,0),"")</f>
        <v/>
      </c>
      <c r="G7947">
        <f>IF(F7947="",0,1)</f>
        <v/>
      </c>
      <c r="H7947" s="29">
        <f>IF(F7947="","",INDEX(Deals!$E$2:$E$843,F7947))</f>
        <v/>
      </c>
      <c r="I7947">
        <f>IF(F7947="","",INDEX(Deals!$D$2:$D$843,F7947))</f>
        <v/>
      </c>
      <c r="J7947">
        <f>IF(F7947="","",INT(H7947)-B7947)</f>
        <v/>
      </c>
      <c r="K7947">
        <f>IF(B7947&gt;=Settings!$C$5,1,0)</f>
        <v/>
      </c>
    </row>
    <row r="7948">
      <c r="A7948" t="inlineStr">
        <is>
          <t>ec0f87b9257fc1cc6276cfc1ce887d69</t>
        </is>
      </c>
      <c r="B7948" s="29" t="n">
        <v>43137</v>
      </c>
      <c r="C7948" t="inlineStr">
        <is>
          <t>2018-02</t>
        </is>
      </c>
      <c r="D7948" t="inlineStr">
        <is>
          <t>c2f7f172d3275d27cba772ab70ac3052</t>
        </is>
      </c>
      <c r="E7948" t="inlineStr">
        <is>
          <t>organic_search</t>
        </is>
      </c>
      <c r="F7948">
        <f>IFERROR(MATCH(A7948,Deals!$A$2:$A$843,0),"")</f>
        <v/>
      </c>
      <c r="G7948">
        <f>IF(F7948="",0,1)</f>
        <v/>
      </c>
      <c r="H7948" s="29">
        <f>IF(F7948="","",INDEX(Deals!$E$2:$E$843,F7948))</f>
        <v/>
      </c>
      <c r="I7948">
        <f>IF(F7948="","",INDEX(Deals!$D$2:$D$843,F7948))</f>
        <v/>
      </c>
      <c r="J7948">
        <f>IF(F7948="","",INT(H7948)-B7948)</f>
        <v/>
      </c>
      <c r="K7948">
        <f>IF(B7948&gt;=Settings!$C$5,1,0)</f>
        <v/>
      </c>
    </row>
    <row r="7949">
      <c r="A7949" t="inlineStr">
        <is>
          <t>06fb19e620ff0639ab07f26b4f1b1107</t>
        </is>
      </c>
      <c r="B7949" s="29" t="n">
        <v>42958</v>
      </c>
      <c r="C7949" t="inlineStr">
        <is>
          <t>2017-08</t>
        </is>
      </c>
      <c r="D7949" t="inlineStr">
        <is>
          <t>71ef148e8a549ba85ca27271a3a94c26</t>
        </is>
      </c>
      <c r="E7949" t="inlineStr">
        <is>
          <t>email</t>
        </is>
      </c>
      <c r="F7949">
        <f>IFERROR(MATCH(A7949,Deals!$A$2:$A$843,0),"")</f>
        <v/>
      </c>
      <c r="G7949">
        <f>IF(F7949="",0,1)</f>
        <v/>
      </c>
      <c r="H7949" s="29">
        <f>IF(F7949="","",INDEX(Deals!$E$2:$E$843,F7949))</f>
        <v/>
      </c>
      <c r="I7949">
        <f>IF(F7949="","",INDEX(Deals!$D$2:$D$843,F7949))</f>
        <v/>
      </c>
      <c r="J7949">
        <f>IF(F7949="","",INT(H7949)-B7949)</f>
        <v/>
      </c>
      <c r="K7949">
        <f>IF(B7949&gt;=Settings!$C$5,1,0)</f>
        <v/>
      </c>
    </row>
    <row r="7950">
      <c r="A7950" t="inlineStr">
        <is>
          <t>467df6e5f3be06ac88b2dbcaf92afcc5</t>
        </is>
      </c>
      <c r="B7950" s="29" t="n">
        <v>43166</v>
      </c>
      <c r="C7950" t="inlineStr">
        <is>
          <t>2018-03</t>
        </is>
      </c>
      <c r="D7950" t="inlineStr">
        <is>
          <t>da14b7e2eb0d1eecf65abbd05a31c87d</t>
        </is>
      </c>
      <c r="E7950" t="inlineStr">
        <is>
          <t>unknown</t>
        </is>
      </c>
      <c r="F7950">
        <f>IFERROR(MATCH(A7950,Deals!$A$2:$A$843,0),"")</f>
        <v/>
      </c>
      <c r="G7950">
        <f>IF(F7950="",0,1)</f>
        <v/>
      </c>
      <c r="H7950" s="29">
        <f>IF(F7950="","",INDEX(Deals!$E$2:$E$843,F7950))</f>
        <v/>
      </c>
      <c r="I7950">
        <f>IF(F7950="","",INDEX(Deals!$D$2:$D$843,F7950))</f>
        <v/>
      </c>
      <c r="J7950">
        <f>IF(F7950="","",INT(H7950)-B7950)</f>
        <v/>
      </c>
      <c r="K7950">
        <f>IF(B7950&gt;=Settings!$C$5,1,0)</f>
        <v/>
      </c>
    </row>
    <row r="7951">
      <c r="A7951" t="inlineStr">
        <is>
          <t>4031da8c46633e955c265b95ba0d9b24</t>
        </is>
      </c>
      <c r="B7951" s="29" t="n">
        <v>43054</v>
      </c>
      <c r="C7951" t="inlineStr">
        <is>
          <t>2017-11</t>
        </is>
      </c>
      <c r="D7951" t="inlineStr">
        <is>
          <t>40dec9f3d5259a3d2dbcdab2114fae47</t>
        </is>
      </c>
      <c r="E7951" t="inlineStr">
        <is>
          <t>organic_search</t>
        </is>
      </c>
      <c r="F7951">
        <f>IFERROR(MATCH(A7951,Deals!$A$2:$A$843,0),"")</f>
        <v/>
      </c>
      <c r="G7951">
        <f>IF(F7951="",0,1)</f>
        <v/>
      </c>
      <c r="H7951" s="29">
        <f>IF(F7951="","",INDEX(Deals!$E$2:$E$843,F7951))</f>
        <v/>
      </c>
      <c r="I7951">
        <f>IF(F7951="","",INDEX(Deals!$D$2:$D$843,F7951))</f>
        <v/>
      </c>
      <c r="J7951">
        <f>IF(F7951="","",INT(H7951)-B7951)</f>
        <v/>
      </c>
      <c r="K7951">
        <f>IF(B7951&gt;=Settings!$C$5,1,0)</f>
        <v/>
      </c>
    </row>
    <row r="7952">
      <c r="A7952" t="inlineStr">
        <is>
          <t>eac5c2290889d8dcdb447d15336568f8</t>
        </is>
      </c>
      <c r="B7952" s="29" t="n">
        <v>43134</v>
      </c>
      <c r="C7952" t="inlineStr">
        <is>
          <t>2018-02</t>
        </is>
      </c>
      <c r="D7952" t="inlineStr">
        <is>
          <t>88740e65d5d6b056e0cda098e1ea6313</t>
        </is>
      </c>
      <c r="E7952" t="inlineStr">
        <is>
          <t>social</t>
        </is>
      </c>
      <c r="F7952">
        <f>IFERROR(MATCH(A7952,Deals!$A$2:$A$843,0),"")</f>
        <v/>
      </c>
      <c r="G7952">
        <f>IF(F7952="",0,1)</f>
        <v/>
      </c>
      <c r="H7952" s="29">
        <f>IF(F7952="","",INDEX(Deals!$E$2:$E$843,F7952))</f>
        <v/>
      </c>
      <c r="I7952">
        <f>IF(F7952="","",INDEX(Deals!$D$2:$D$843,F7952))</f>
        <v/>
      </c>
      <c r="J7952">
        <f>IF(F7952="","",INT(H7952)-B7952)</f>
        <v/>
      </c>
      <c r="K7952">
        <f>IF(B7952&gt;=Settings!$C$5,1,0)</f>
        <v/>
      </c>
    </row>
    <row r="7953">
      <c r="A7953" t="inlineStr">
        <is>
          <t>965b0629796556420a03de497e780a03</t>
        </is>
      </c>
      <c r="B7953" s="29" t="n">
        <v>43242</v>
      </c>
      <c r="C7953" t="inlineStr">
        <is>
          <t>2018-05</t>
        </is>
      </c>
      <c r="D7953" t="inlineStr">
        <is>
          <t>22c29808c4f815213303f8933030604c</t>
        </is>
      </c>
      <c r="E7953" t="inlineStr">
        <is>
          <t>organic_search</t>
        </is>
      </c>
      <c r="F7953">
        <f>IFERROR(MATCH(A7953,Deals!$A$2:$A$843,0),"")</f>
        <v/>
      </c>
      <c r="G7953">
        <f>IF(F7953="",0,1)</f>
        <v/>
      </c>
      <c r="H7953" s="29">
        <f>IF(F7953="","",INDEX(Deals!$E$2:$E$843,F7953))</f>
        <v/>
      </c>
      <c r="I7953">
        <f>IF(F7953="","",INDEX(Deals!$D$2:$D$843,F7953))</f>
        <v/>
      </c>
      <c r="J7953">
        <f>IF(F7953="","",INT(H7953)-B7953)</f>
        <v/>
      </c>
      <c r="K7953">
        <f>IF(B7953&gt;=Settings!$C$5,1,0)</f>
        <v/>
      </c>
    </row>
    <row r="7954">
      <c r="A7954" t="inlineStr">
        <is>
          <t>a727a09bb3214ae41122b455ab5f4cb1</t>
        </is>
      </c>
      <c r="B7954" s="29" t="n">
        <v>43234</v>
      </c>
      <c r="C7954" t="inlineStr">
        <is>
          <t>2018-05</t>
        </is>
      </c>
      <c r="D7954" t="inlineStr">
        <is>
          <t>58326e62183c14b0c03085c33b9fdc44</t>
        </is>
      </c>
      <c r="E7954" t="inlineStr">
        <is>
          <t>social</t>
        </is>
      </c>
      <c r="F7954">
        <f>IFERROR(MATCH(A7954,Deals!$A$2:$A$843,0),"")</f>
        <v/>
      </c>
      <c r="G7954">
        <f>IF(F7954="",0,1)</f>
        <v/>
      </c>
      <c r="H7954" s="29">
        <f>IF(F7954="","",INDEX(Deals!$E$2:$E$843,F7954))</f>
        <v/>
      </c>
      <c r="I7954">
        <f>IF(F7954="","",INDEX(Deals!$D$2:$D$843,F7954))</f>
        <v/>
      </c>
      <c r="J7954">
        <f>IF(F7954="","",INT(H7954)-B7954)</f>
        <v/>
      </c>
      <c r="K7954">
        <f>IF(B7954&gt;=Settings!$C$5,1,0)</f>
        <v/>
      </c>
    </row>
    <row r="7955">
      <c r="A7955" t="inlineStr">
        <is>
          <t>2ae099e72bd2a9b0dd9b67188cda4961</t>
        </is>
      </c>
      <c r="B7955" s="29" t="n">
        <v>43162</v>
      </c>
      <c r="C7955" t="inlineStr">
        <is>
          <t>2018-03</t>
        </is>
      </c>
      <c r="D7955" t="inlineStr">
        <is>
          <t>88740e65d5d6b056e0cda098e1ea6313</t>
        </is>
      </c>
      <c r="E7955" t="inlineStr">
        <is>
          <t>social</t>
        </is>
      </c>
      <c r="F7955">
        <f>IFERROR(MATCH(A7955,Deals!$A$2:$A$843,0),"")</f>
        <v/>
      </c>
      <c r="G7955">
        <f>IF(F7955="",0,1)</f>
        <v/>
      </c>
      <c r="H7955" s="29">
        <f>IF(F7955="","",INDEX(Deals!$E$2:$E$843,F7955))</f>
        <v/>
      </c>
      <c r="I7955">
        <f>IF(F7955="","",INDEX(Deals!$D$2:$D$843,F7955))</f>
        <v/>
      </c>
      <c r="J7955">
        <f>IF(F7955="","",INT(H7955)-B7955)</f>
        <v/>
      </c>
      <c r="K7955">
        <f>IF(B7955&gt;=Settings!$C$5,1,0)</f>
        <v/>
      </c>
    </row>
    <row r="7956">
      <c r="A7956" t="inlineStr">
        <is>
          <t>40a15ab98098e23765f5fe601366d8a9</t>
        </is>
      </c>
      <c r="B7956" s="29" t="n">
        <v>43137</v>
      </c>
      <c r="C7956" t="inlineStr">
        <is>
          <t>2018-02</t>
        </is>
      </c>
      <c r="D7956" t="inlineStr">
        <is>
          <t>b48ec5f3b04e9068441002a19df93c6c</t>
        </is>
      </c>
      <c r="E7956" t="inlineStr">
        <is>
          <t>organic_search</t>
        </is>
      </c>
      <c r="F7956">
        <f>IFERROR(MATCH(A7956,Deals!$A$2:$A$843,0),"")</f>
        <v/>
      </c>
      <c r="G7956">
        <f>IF(F7956="",0,1)</f>
        <v/>
      </c>
      <c r="H7956" s="29">
        <f>IF(F7956="","",INDEX(Deals!$E$2:$E$843,F7956))</f>
        <v/>
      </c>
      <c r="I7956">
        <f>IF(F7956="","",INDEX(Deals!$D$2:$D$843,F7956))</f>
        <v/>
      </c>
      <c r="J7956">
        <f>IF(F7956="","",INT(H7956)-B7956)</f>
        <v/>
      </c>
      <c r="K7956">
        <f>IF(B7956&gt;=Settings!$C$5,1,0)</f>
        <v/>
      </c>
    </row>
    <row r="7957">
      <c r="A7957" t="inlineStr">
        <is>
          <t>2b6da6092f93450493beec6d5a778351</t>
        </is>
      </c>
      <c r="B7957" s="29" t="n">
        <v>43213</v>
      </c>
      <c r="C7957" t="inlineStr">
        <is>
          <t>2018-04</t>
        </is>
      </c>
      <c r="D7957" t="inlineStr">
        <is>
          <t>22c29808c4f815213303f8933030604c</t>
        </is>
      </c>
      <c r="E7957" t="inlineStr">
        <is>
          <t>organic_search</t>
        </is>
      </c>
      <c r="F7957">
        <f>IFERROR(MATCH(A7957,Deals!$A$2:$A$843,0),"")</f>
        <v/>
      </c>
      <c r="G7957">
        <f>IF(F7957="",0,1)</f>
        <v/>
      </c>
      <c r="H7957" s="29">
        <f>IF(F7957="","",INDEX(Deals!$E$2:$E$843,F7957))</f>
        <v/>
      </c>
      <c r="I7957">
        <f>IF(F7957="","",INDEX(Deals!$D$2:$D$843,F7957))</f>
        <v/>
      </c>
      <c r="J7957">
        <f>IF(F7957="","",INT(H7957)-B7957)</f>
        <v/>
      </c>
      <c r="K7957">
        <f>IF(B7957&gt;=Settings!$C$5,1,0)</f>
        <v/>
      </c>
    </row>
    <row r="7958">
      <c r="A7958" t="inlineStr">
        <is>
          <t>e6b5c4f9b23ce25d8722f4f8f395db85</t>
        </is>
      </c>
      <c r="B7958" s="29" t="n">
        <v>43187</v>
      </c>
      <c r="C7958" t="inlineStr">
        <is>
          <t>2018-03</t>
        </is>
      </c>
      <c r="D7958" t="inlineStr">
        <is>
          <t>ea0650174e273c41e12002dcdd4708be</t>
        </is>
      </c>
      <c r="E7958" t="inlineStr">
        <is>
          <t>paid_search</t>
        </is>
      </c>
      <c r="F7958">
        <f>IFERROR(MATCH(A7958,Deals!$A$2:$A$843,0),"")</f>
        <v/>
      </c>
      <c r="G7958">
        <f>IF(F7958="",0,1)</f>
        <v/>
      </c>
      <c r="H7958" s="29">
        <f>IF(F7958="","",INDEX(Deals!$E$2:$E$843,F7958))</f>
        <v/>
      </c>
      <c r="I7958">
        <f>IF(F7958="","",INDEX(Deals!$D$2:$D$843,F7958))</f>
        <v/>
      </c>
      <c r="J7958">
        <f>IF(F7958="","",INT(H7958)-B7958)</f>
        <v/>
      </c>
      <c r="K7958">
        <f>IF(B7958&gt;=Settings!$C$5,1,0)</f>
        <v/>
      </c>
    </row>
    <row r="7959">
      <c r="A7959" t="inlineStr">
        <is>
          <t>df3a043824d19c571b85b4b1d8ebd29d</t>
        </is>
      </c>
      <c r="B7959" s="29" t="n">
        <v>43181</v>
      </c>
      <c r="C7959" t="inlineStr">
        <is>
          <t>2018-03</t>
        </is>
      </c>
      <c r="D7959" t="inlineStr">
        <is>
          <t>2228a43ac0bc372e25f9569e69fc9015</t>
        </is>
      </c>
      <c r="E7959" t="inlineStr">
        <is>
          <t>social</t>
        </is>
      </c>
      <c r="F7959">
        <f>IFERROR(MATCH(A7959,Deals!$A$2:$A$843,0),"")</f>
        <v/>
      </c>
      <c r="G7959">
        <f>IF(F7959="",0,1)</f>
        <v/>
      </c>
      <c r="H7959" s="29">
        <f>IF(F7959="","",INDEX(Deals!$E$2:$E$843,F7959))</f>
        <v/>
      </c>
      <c r="I7959">
        <f>IF(F7959="","",INDEX(Deals!$D$2:$D$843,F7959))</f>
        <v/>
      </c>
      <c r="J7959">
        <f>IF(F7959="","",INT(H7959)-B7959)</f>
        <v/>
      </c>
      <c r="K7959">
        <f>IF(B7959&gt;=Settings!$C$5,1,0)</f>
        <v/>
      </c>
    </row>
    <row r="7960">
      <c r="A7960" t="inlineStr">
        <is>
          <t>62be10fcc6aa7b1ac58ba2fedbb6ff2f</t>
        </is>
      </c>
      <c r="B7960" s="29" t="n">
        <v>43165</v>
      </c>
      <c r="C7960" t="inlineStr">
        <is>
          <t>2018-03</t>
        </is>
      </c>
      <c r="D7960" t="inlineStr">
        <is>
          <t>120ad10683075526ee1b3b00489dafec</t>
        </is>
      </c>
      <c r="E7960" t="inlineStr">
        <is>
          <t>email</t>
        </is>
      </c>
      <c r="F7960">
        <f>IFERROR(MATCH(A7960,Deals!$A$2:$A$843,0),"")</f>
        <v/>
      </c>
      <c r="G7960">
        <f>IF(F7960="",0,1)</f>
        <v/>
      </c>
      <c r="H7960" s="29">
        <f>IF(F7960="","",INDEX(Deals!$E$2:$E$843,F7960))</f>
        <v/>
      </c>
      <c r="I7960">
        <f>IF(F7960="","",INDEX(Deals!$D$2:$D$843,F7960))</f>
        <v/>
      </c>
      <c r="J7960">
        <f>IF(F7960="","",INT(H7960)-B7960)</f>
        <v/>
      </c>
      <c r="K7960">
        <f>IF(B7960&gt;=Settings!$C$5,1,0)</f>
        <v/>
      </c>
    </row>
    <row r="7961">
      <c r="A7961" t="inlineStr">
        <is>
          <t>8843fd390986d3bb3917f6f2916053f3</t>
        </is>
      </c>
      <c r="B7961" s="29" t="n">
        <v>43223</v>
      </c>
      <c r="C7961" t="inlineStr">
        <is>
          <t>2018-05</t>
        </is>
      </c>
      <c r="D7961" t="inlineStr">
        <is>
          <t>30534107aa0013db92899c96a1017d0b</t>
        </is>
      </c>
      <c r="E7961" t="inlineStr">
        <is>
          <t>social</t>
        </is>
      </c>
      <c r="F7961">
        <f>IFERROR(MATCH(A7961,Deals!$A$2:$A$843,0),"")</f>
        <v/>
      </c>
      <c r="G7961">
        <f>IF(F7961="",0,1)</f>
        <v/>
      </c>
      <c r="H7961" s="29">
        <f>IF(F7961="","",INDEX(Deals!$E$2:$E$843,F7961))</f>
        <v/>
      </c>
      <c r="I7961">
        <f>IF(F7961="","",INDEX(Deals!$D$2:$D$843,F7961))</f>
        <v/>
      </c>
      <c r="J7961">
        <f>IF(F7961="","",INT(H7961)-B7961)</f>
        <v/>
      </c>
      <c r="K7961">
        <f>IF(B7961&gt;=Settings!$C$5,1,0)</f>
        <v/>
      </c>
    </row>
    <row r="7962">
      <c r="A7962" t="inlineStr">
        <is>
          <t>676207ddcc8087437135a4b461fc07cb</t>
        </is>
      </c>
      <c r="B7962" s="29" t="n">
        <v>43198</v>
      </c>
      <c r="C7962" t="inlineStr">
        <is>
          <t>2018-04</t>
        </is>
      </c>
      <c r="D7962" t="inlineStr">
        <is>
          <t>58326e62183c14b0c03085c33b9fdc44</t>
        </is>
      </c>
      <c r="E7962" t="inlineStr">
        <is>
          <t>social</t>
        </is>
      </c>
      <c r="F7962">
        <f>IFERROR(MATCH(A7962,Deals!$A$2:$A$843,0),"")</f>
        <v/>
      </c>
      <c r="G7962">
        <f>IF(F7962="",0,1)</f>
        <v/>
      </c>
      <c r="H7962" s="29">
        <f>IF(F7962="","",INDEX(Deals!$E$2:$E$843,F7962))</f>
        <v/>
      </c>
      <c r="I7962">
        <f>IF(F7962="","",INDEX(Deals!$D$2:$D$843,F7962))</f>
        <v/>
      </c>
      <c r="J7962">
        <f>IF(F7962="","",INT(H7962)-B7962)</f>
        <v/>
      </c>
      <c r="K7962">
        <f>IF(B7962&gt;=Settings!$C$5,1,0)</f>
        <v/>
      </c>
    </row>
    <row r="7963">
      <c r="A7963" t="inlineStr">
        <is>
          <t>055bac208ceea65244da625816501e94</t>
        </is>
      </c>
      <c r="B7963" s="29" t="n">
        <v>43137</v>
      </c>
      <c r="C7963" t="inlineStr">
        <is>
          <t>2018-02</t>
        </is>
      </c>
      <c r="D7963" t="inlineStr">
        <is>
          <t>ce1a65abd0973638f1c887a6efcfa82d</t>
        </is>
      </c>
      <c r="E7963" t="inlineStr">
        <is>
          <t>referral</t>
        </is>
      </c>
      <c r="F7963">
        <f>IFERROR(MATCH(A7963,Deals!$A$2:$A$843,0),"")</f>
        <v/>
      </c>
      <c r="G7963">
        <f>IF(F7963="",0,1)</f>
        <v/>
      </c>
      <c r="H7963" s="29">
        <f>IF(F7963="","",INDEX(Deals!$E$2:$E$843,F7963))</f>
        <v/>
      </c>
      <c r="I7963">
        <f>IF(F7963="","",INDEX(Deals!$D$2:$D$843,F7963))</f>
        <v/>
      </c>
      <c r="J7963">
        <f>IF(F7963="","",INT(H7963)-B7963)</f>
        <v/>
      </c>
      <c r="K7963">
        <f>IF(B7963&gt;=Settings!$C$5,1,0)</f>
        <v/>
      </c>
    </row>
    <row r="7964">
      <c r="A7964" t="inlineStr">
        <is>
          <t>1cc968d13f0a4655b22c287f7b13debb</t>
        </is>
      </c>
      <c r="B7964" s="29" t="n">
        <v>43202</v>
      </c>
      <c r="C7964" t="inlineStr">
        <is>
          <t>2018-04</t>
        </is>
      </c>
      <c r="D7964" t="inlineStr">
        <is>
          <t>58326e62183c14b0c03085c33b9fdc44</t>
        </is>
      </c>
      <c r="E7964" t="inlineStr">
        <is>
          <t>social</t>
        </is>
      </c>
      <c r="F7964">
        <f>IFERROR(MATCH(A7964,Deals!$A$2:$A$843,0),"")</f>
        <v/>
      </c>
      <c r="G7964">
        <f>IF(F7964="",0,1)</f>
        <v/>
      </c>
      <c r="H7964" s="29">
        <f>IF(F7964="","",INDEX(Deals!$E$2:$E$843,F7964))</f>
        <v/>
      </c>
      <c r="I7964">
        <f>IF(F7964="","",INDEX(Deals!$D$2:$D$843,F7964))</f>
        <v/>
      </c>
      <c r="J7964">
        <f>IF(F7964="","",INT(H7964)-B7964)</f>
        <v/>
      </c>
      <c r="K7964">
        <f>IF(B7964&gt;=Settings!$C$5,1,0)</f>
        <v/>
      </c>
    </row>
    <row r="7965">
      <c r="A7965" t="inlineStr">
        <is>
          <t>b3ccc9cda16e771cb1b087a0c29cc07c</t>
        </is>
      </c>
      <c r="B7965" s="29" t="n">
        <v>43229</v>
      </c>
      <c r="C7965" t="inlineStr">
        <is>
          <t>2018-05</t>
        </is>
      </c>
      <c r="D7965" t="inlineStr">
        <is>
          <t>35c9b150ab36fe584c1f24fd458c453a</t>
        </is>
      </c>
      <c r="E7965" t="inlineStr">
        <is>
          <t>organic_search</t>
        </is>
      </c>
      <c r="F7965">
        <f>IFERROR(MATCH(A7965,Deals!$A$2:$A$843,0),"")</f>
        <v/>
      </c>
      <c r="G7965">
        <f>IF(F7965="",0,1)</f>
        <v/>
      </c>
      <c r="H7965" s="29">
        <f>IF(F7965="","",INDEX(Deals!$E$2:$E$843,F7965))</f>
        <v/>
      </c>
      <c r="I7965">
        <f>IF(F7965="","",INDEX(Deals!$D$2:$D$843,F7965))</f>
        <v/>
      </c>
      <c r="J7965">
        <f>IF(F7965="","",INT(H7965)-B7965)</f>
        <v/>
      </c>
      <c r="K7965">
        <f>IF(B7965&gt;=Settings!$C$5,1,0)</f>
        <v/>
      </c>
    </row>
    <row r="7966">
      <c r="A7966" t="inlineStr">
        <is>
          <t>f1fc635f9e6f3c7c0da596e0e4043d9a</t>
        </is>
      </c>
      <c r="B7966" s="29" t="n">
        <v>43246</v>
      </c>
      <c r="C7966" t="inlineStr">
        <is>
          <t>2018-05</t>
        </is>
      </c>
      <c r="D7966" t="inlineStr">
        <is>
          <t>58326e62183c14b0c03085c33b9fdc44</t>
        </is>
      </c>
      <c r="E7966" t="inlineStr">
        <is>
          <t>social</t>
        </is>
      </c>
      <c r="F7966">
        <f>IFERROR(MATCH(A7966,Deals!$A$2:$A$843,0),"")</f>
        <v/>
      </c>
      <c r="G7966">
        <f>IF(F7966="",0,1)</f>
        <v/>
      </c>
      <c r="H7966" s="29">
        <f>IF(F7966="","",INDEX(Deals!$E$2:$E$843,F7966))</f>
        <v/>
      </c>
      <c r="I7966">
        <f>IF(F7966="","",INDEX(Deals!$D$2:$D$843,F7966))</f>
        <v/>
      </c>
      <c r="J7966">
        <f>IF(F7966="","",INT(H7966)-B7966)</f>
        <v/>
      </c>
      <c r="K7966">
        <f>IF(B7966&gt;=Settings!$C$5,1,0)</f>
        <v/>
      </c>
    </row>
    <row r="7967">
      <c r="A7967" t="inlineStr">
        <is>
          <t>98b18a14a0472c9e4a4eb0bb77ae3592</t>
        </is>
      </c>
      <c r="B7967" s="29" t="n">
        <v>43134</v>
      </c>
      <c r="C7967" t="inlineStr">
        <is>
          <t>2018-02</t>
        </is>
      </c>
      <c r="D7967" t="inlineStr">
        <is>
          <t>22c29808c4f815213303f8933030604c</t>
        </is>
      </c>
      <c r="E7967" t="inlineStr">
        <is>
          <t>organic_search</t>
        </is>
      </c>
      <c r="F7967">
        <f>IFERROR(MATCH(A7967,Deals!$A$2:$A$843,0),"")</f>
        <v/>
      </c>
      <c r="G7967">
        <f>IF(F7967="",0,1)</f>
        <v/>
      </c>
      <c r="H7967" s="29">
        <f>IF(F7967="","",INDEX(Deals!$E$2:$E$843,F7967))</f>
        <v/>
      </c>
      <c r="I7967">
        <f>IF(F7967="","",INDEX(Deals!$D$2:$D$843,F7967))</f>
        <v/>
      </c>
      <c r="J7967">
        <f>IF(F7967="","",INT(H7967)-B7967)</f>
        <v/>
      </c>
      <c r="K7967">
        <f>IF(B7967&gt;=Settings!$C$5,1,0)</f>
        <v/>
      </c>
    </row>
    <row r="7968">
      <c r="A7968" t="inlineStr">
        <is>
          <t>c5e212421256cf0dcf335940944bc162</t>
        </is>
      </c>
      <c r="B7968" s="29" t="n">
        <v>43088</v>
      </c>
      <c r="C7968" t="inlineStr">
        <is>
          <t>2017-12</t>
        </is>
      </c>
      <c r="D7968" t="inlineStr">
        <is>
          <t>7fa6214d82e911d070f51ef79381b956</t>
        </is>
      </c>
      <c r="E7968" t="inlineStr">
        <is>
          <t>direct_traffic</t>
        </is>
      </c>
      <c r="F7968">
        <f>IFERROR(MATCH(A7968,Deals!$A$2:$A$843,0),"")</f>
        <v/>
      </c>
      <c r="G7968">
        <f>IF(F7968="",0,1)</f>
        <v/>
      </c>
      <c r="H7968" s="29">
        <f>IF(F7968="","",INDEX(Deals!$E$2:$E$843,F7968))</f>
        <v/>
      </c>
      <c r="I7968">
        <f>IF(F7968="","",INDEX(Deals!$D$2:$D$843,F7968))</f>
        <v/>
      </c>
      <c r="J7968">
        <f>IF(F7968="","",INT(H7968)-B7968)</f>
        <v/>
      </c>
      <c r="K7968">
        <f>IF(B7968&gt;=Settings!$C$5,1,0)</f>
        <v/>
      </c>
    </row>
    <row r="7969">
      <c r="A7969" t="inlineStr">
        <is>
          <t>f27e4860cdd0eb27a3d1113428a941e0</t>
        </is>
      </c>
      <c r="B7969" s="29" t="n">
        <v>43170</v>
      </c>
      <c r="C7969" t="inlineStr">
        <is>
          <t>2018-03</t>
        </is>
      </c>
      <c r="D7969" t="inlineStr">
        <is>
          <t>d83b0d0e48c8447d1d5507a44027a955</t>
        </is>
      </c>
      <c r="E7969" t="inlineStr">
        <is>
          <t>organic_search</t>
        </is>
      </c>
      <c r="F7969">
        <f>IFERROR(MATCH(A7969,Deals!$A$2:$A$843,0),"")</f>
        <v/>
      </c>
      <c r="G7969">
        <f>IF(F7969="",0,1)</f>
        <v/>
      </c>
      <c r="H7969" s="29">
        <f>IF(F7969="","",INDEX(Deals!$E$2:$E$843,F7969))</f>
        <v/>
      </c>
      <c r="I7969">
        <f>IF(F7969="","",INDEX(Deals!$D$2:$D$843,F7969))</f>
        <v/>
      </c>
      <c r="J7969">
        <f>IF(F7969="","",INT(H7969)-B7969)</f>
        <v/>
      </c>
      <c r="K7969">
        <f>IF(B7969&gt;=Settings!$C$5,1,0)</f>
        <v/>
      </c>
    </row>
    <row r="7970">
      <c r="A7970" t="inlineStr">
        <is>
          <t>876dcde308d3410fbdb2bfefc5ffea06</t>
        </is>
      </c>
      <c r="B7970" s="29" t="n">
        <v>43218</v>
      </c>
      <c r="C7970" t="inlineStr">
        <is>
          <t>2018-04</t>
        </is>
      </c>
      <c r="D7970" t="inlineStr">
        <is>
          <t>30534107aa0013db92899c96a1017d0b</t>
        </is>
      </c>
      <c r="E7970" t="inlineStr">
        <is>
          <t>social</t>
        </is>
      </c>
      <c r="F7970">
        <f>IFERROR(MATCH(A7970,Deals!$A$2:$A$843,0),"")</f>
        <v/>
      </c>
      <c r="G7970">
        <f>IF(F7970="",0,1)</f>
        <v/>
      </c>
      <c r="H7970" s="29">
        <f>IF(F7970="","",INDEX(Deals!$E$2:$E$843,F7970))</f>
        <v/>
      </c>
      <c r="I7970">
        <f>IF(F7970="","",INDEX(Deals!$D$2:$D$843,F7970))</f>
        <v/>
      </c>
      <c r="J7970">
        <f>IF(F7970="","",INT(H7970)-B7970)</f>
        <v/>
      </c>
      <c r="K7970">
        <f>IF(B7970&gt;=Settings!$C$5,1,0)</f>
        <v/>
      </c>
    </row>
    <row r="7971">
      <c r="A7971" t="inlineStr">
        <is>
          <t>dd813fde7c3bf5f3b947d7d401d8fba4</t>
        </is>
      </c>
      <c r="B7971" s="29" t="n">
        <v>42968</v>
      </c>
      <c r="C7971" t="inlineStr">
        <is>
          <t>2017-08</t>
        </is>
      </c>
      <c r="D7971" t="inlineStr">
        <is>
          <t>128d8c3f32b8aa66b5bcbe4e26dfc78d</t>
        </is>
      </c>
      <c r="E7971" t="inlineStr">
        <is>
          <t>organic_search</t>
        </is>
      </c>
      <c r="F7971">
        <f>IFERROR(MATCH(A7971,Deals!$A$2:$A$843,0),"")</f>
        <v/>
      </c>
      <c r="G7971">
        <f>IF(F7971="",0,1)</f>
        <v/>
      </c>
      <c r="H7971" s="29">
        <f>IF(F7971="","",INDEX(Deals!$E$2:$E$843,F7971))</f>
        <v/>
      </c>
      <c r="I7971">
        <f>IF(F7971="","",INDEX(Deals!$D$2:$D$843,F7971))</f>
        <v/>
      </c>
      <c r="J7971">
        <f>IF(F7971="","",INT(H7971)-B7971)</f>
        <v/>
      </c>
      <c r="K7971">
        <f>IF(B7971&gt;=Settings!$C$5,1,0)</f>
        <v/>
      </c>
    </row>
    <row r="7972">
      <c r="A7972" t="inlineStr">
        <is>
          <t>7fc8ade4c669c685b1e15f30982d3f65</t>
        </is>
      </c>
      <c r="B7972" s="29" t="n">
        <v>43159</v>
      </c>
      <c r="C7972" t="inlineStr">
        <is>
          <t>2018-02</t>
        </is>
      </c>
      <c r="D7972" t="inlineStr">
        <is>
          <t>f98c2bd96ac4a5d9476734e790c91384</t>
        </is>
      </c>
      <c r="E7972" t="inlineStr">
        <is>
          <t>direct_traffic</t>
        </is>
      </c>
      <c r="F7972">
        <f>IFERROR(MATCH(A7972,Deals!$A$2:$A$843,0),"")</f>
        <v/>
      </c>
      <c r="G7972">
        <f>IF(F7972="",0,1)</f>
        <v/>
      </c>
      <c r="H7972" s="29">
        <f>IF(F7972="","",INDEX(Deals!$E$2:$E$843,F7972))</f>
        <v/>
      </c>
      <c r="I7972">
        <f>IF(F7972="","",INDEX(Deals!$D$2:$D$843,F7972))</f>
        <v/>
      </c>
      <c r="J7972">
        <f>IF(F7972="","",INT(H7972)-B7972)</f>
        <v/>
      </c>
      <c r="K7972">
        <f>IF(B7972&gt;=Settings!$C$5,1,0)</f>
        <v/>
      </c>
    </row>
    <row r="7973">
      <c r="A7973" t="inlineStr">
        <is>
          <t>d26ae53c9441b24e4286842b32b98637</t>
        </is>
      </c>
      <c r="B7973" s="29" t="n">
        <v>43196</v>
      </c>
      <c r="C7973" t="inlineStr">
        <is>
          <t>2018-04</t>
        </is>
      </c>
      <c r="D7973" t="inlineStr">
        <is>
          <t>58326e62183c14b0c03085c33b9fdc44</t>
        </is>
      </c>
      <c r="E7973" t="inlineStr">
        <is>
          <t>social</t>
        </is>
      </c>
      <c r="F7973">
        <f>IFERROR(MATCH(A7973,Deals!$A$2:$A$843,0),"")</f>
        <v/>
      </c>
      <c r="G7973">
        <f>IF(F7973="",0,1)</f>
        <v/>
      </c>
      <c r="H7973" s="29">
        <f>IF(F7973="","",INDEX(Deals!$E$2:$E$843,F7973))</f>
        <v/>
      </c>
      <c r="I7973">
        <f>IF(F7973="","",INDEX(Deals!$D$2:$D$843,F7973))</f>
        <v/>
      </c>
      <c r="J7973">
        <f>IF(F7973="","",INT(H7973)-B7973)</f>
        <v/>
      </c>
      <c r="K7973">
        <f>IF(B7973&gt;=Settings!$C$5,1,0)</f>
        <v/>
      </c>
    </row>
    <row r="7974">
      <c r="A7974" t="inlineStr">
        <is>
          <t>c712da56ef432ac2c0485556cf452be6</t>
        </is>
      </c>
      <c r="B7974" s="29" t="n">
        <v>43096</v>
      </c>
      <c r="C7974" t="inlineStr">
        <is>
          <t>2017-12</t>
        </is>
      </c>
      <c r="D7974" t="inlineStr">
        <is>
          <t>58f8c0a253663304e348e81298bc255e</t>
        </is>
      </c>
      <c r="E7974" t="inlineStr">
        <is>
          <t>organic_search</t>
        </is>
      </c>
      <c r="F7974">
        <f>IFERROR(MATCH(A7974,Deals!$A$2:$A$843,0),"")</f>
        <v/>
      </c>
      <c r="G7974">
        <f>IF(F7974="",0,1)</f>
        <v/>
      </c>
      <c r="H7974" s="29">
        <f>IF(F7974="","",INDEX(Deals!$E$2:$E$843,F7974))</f>
        <v/>
      </c>
      <c r="I7974">
        <f>IF(F7974="","",INDEX(Deals!$D$2:$D$843,F7974))</f>
        <v/>
      </c>
      <c r="J7974">
        <f>IF(F7974="","",INT(H7974)-B7974)</f>
        <v/>
      </c>
      <c r="K7974">
        <f>IF(B7974&gt;=Settings!$C$5,1,0)</f>
        <v/>
      </c>
    </row>
    <row r="7975">
      <c r="A7975" t="inlineStr">
        <is>
          <t>e7f70a2ff45e44c7399bebacf3e4771d</t>
        </is>
      </c>
      <c r="B7975" s="29" t="n">
        <v>43128</v>
      </c>
      <c r="C7975" t="inlineStr">
        <is>
          <t>2018-01</t>
        </is>
      </c>
      <c r="D7975" t="inlineStr">
        <is>
          <t>22c29808c4f815213303f8933030604c</t>
        </is>
      </c>
      <c r="E7975" t="inlineStr">
        <is>
          <t>organic_search</t>
        </is>
      </c>
      <c r="F7975">
        <f>IFERROR(MATCH(A7975,Deals!$A$2:$A$843,0),"")</f>
        <v/>
      </c>
      <c r="G7975">
        <f>IF(F7975="",0,1)</f>
        <v/>
      </c>
      <c r="H7975" s="29">
        <f>IF(F7975="","",INDEX(Deals!$E$2:$E$843,F7975))</f>
        <v/>
      </c>
      <c r="I7975">
        <f>IF(F7975="","",INDEX(Deals!$D$2:$D$843,F7975))</f>
        <v/>
      </c>
      <c r="J7975">
        <f>IF(F7975="","",INT(H7975)-B7975)</f>
        <v/>
      </c>
      <c r="K7975">
        <f>IF(B7975&gt;=Settings!$C$5,1,0)</f>
        <v/>
      </c>
    </row>
    <row r="7976">
      <c r="A7976" t="inlineStr">
        <is>
          <t>ee91ec70d1074ec43bfd4fa7bf9abec9</t>
        </is>
      </c>
      <c r="B7976" s="29" t="n">
        <v>43195</v>
      </c>
      <c r="C7976" t="inlineStr">
        <is>
          <t>2018-04</t>
        </is>
      </c>
      <c r="D7976" t="inlineStr">
        <is>
          <t>1ec5f5ec77c51a968271b2ca9862907d</t>
        </is>
      </c>
      <c r="E7976" t="inlineStr">
        <is>
          <t>paid_search</t>
        </is>
      </c>
      <c r="F7976">
        <f>IFERROR(MATCH(A7976,Deals!$A$2:$A$843,0),"")</f>
        <v/>
      </c>
      <c r="G7976">
        <f>IF(F7976="",0,1)</f>
        <v/>
      </c>
      <c r="H7976" s="29">
        <f>IF(F7976="","",INDEX(Deals!$E$2:$E$843,F7976))</f>
        <v/>
      </c>
      <c r="I7976">
        <f>IF(F7976="","",INDEX(Deals!$D$2:$D$843,F7976))</f>
        <v/>
      </c>
      <c r="J7976">
        <f>IF(F7976="","",INT(H7976)-B7976)</f>
        <v/>
      </c>
      <c r="K7976">
        <f>IF(B7976&gt;=Settings!$C$5,1,0)</f>
        <v/>
      </c>
    </row>
    <row r="7977">
      <c r="A7977" t="inlineStr">
        <is>
          <t>cf911f83947bf6be88b36a02b5512288</t>
        </is>
      </c>
      <c r="B7977" s="29" t="n">
        <v>43220</v>
      </c>
      <c r="C7977" t="inlineStr">
        <is>
          <t>2018-04</t>
        </is>
      </c>
      <c r="D7977" t="inlineStr">
        <is>
          <t>b817df3a69949ef27ed885bfcbfd5125</t>
        </is>
      </c>
      <c r="E7977" t="inlineStr">
        <is>
          <t>unknown</t>
        </is>
      </c>
      <c r="F7977">
        <f>IFERROR(MATCH(A7977,Deals!$A$2:$A$843,0),"")</f>
        <v/>
      </c>
      <c r="G7977">
        <f>IF(F7977="",0,1)</f>
        <v/>
      </c>
      <c r="H7977" s="29">
        <f>IF(F7977="","",INDEX(Deals!$E$2:$E$843,F7977))</f>
        <v/>
      </c>
      <c r="I7977">
        <f>IF(F7977="","",INDEX(Deals!$D$2:$D$843,F7977))</f>
        <v/>
      </c>
      <c r="J7977">
        <f>IF(F7977="","",INT(H7977)-B7977)</f>
        <v/>
      </c>
      <c r="K7977">
        <f>IF(B7977&gt;=Settings!$C$5,1,0)</f>
        <v/>
      </c>
    </row>
    <row r="7978">
      <c r="A7978" t="inlineStr">
        <is>
          <t>ace213affb48c3db008eee07d97bfb94</t>
        </is>
      </c>
      <c r="B7978" s="29" t="n">
        <v>43178</v>
      </c>
      <c r="C7978" t="inlineStr">
        <is>
          <t>2018-03</t>
        </is>
      </c>
      <c r="D7978" t="inlineStr">
        <is>
          <t>f017be4dbf86243af5c1ebed0cff36a2</t>
        </is>
      </c>
      <c r="E7978" t="inlineStr">
        <is>
          <t>organic_search</t>
        </is>
      </c>
      <c r="F7978">
        <f>IFERROR(MATCH(A7978,Deals!$A$2:$A$843,0),"")</f>
        <v/>
      </c>
      <c r="G7978">
        <f>IF(F7978="",0,1)</f>
        <v/>
      </c>
      <c r="H7978" s="29">
        <f>IF(F7978="","",INDEX(Deals!$E$2:$E$843,F7978))</f>
        <v/>
      </c>
      <c r="I7978">
        <f>IF(F7978="","",INDEX(Deals!$D$2:$D$843,F7978))</f>
        <v/>
      </c>
      <c r="J7978">
        <f>IF(F7978="","",INT(H7978)-B7978)</f>
        <v/>
      </c>
      <c r="K7978">
        <f>IF(B7978&gt;=Settings!$C$5,1,0)</f>
        <v/>
      </c>
    </row>
    <row r="7979">
      <c r="A7979" t="inlineStr">
        <is>
          <t>ffb55afa1e1b9f61c3696cc12f69b6d2</t>
        </is>
      </c>
      <c r="B7979" s="29" t="n">
        <v>43083</v>
      </c>
      <c r="C7979" t="inlineStr">
        <is>
          <t>2017-12</t>
        </is>
      </c>
      <c r="D7979" t="inlineStr">
        <is>
          <t>1722481ac9e5371e5099dea226b5421d</t>
        </is>
      </c>
      <c r="E7979" t="inlineStr">
        <is>
          <t>unknown</t>
        </is>
      </c>
      <c r="F7979">
        <f>IFERROR(MATCH(A7979,Deals!$A$2:$A$843,0),"")</f>
        <v/>
      </c>
      <c r="G7979">
        <f>IF(F7979="",0,1)</f>
        <v/>
      </c>
      <c r="H7979" s="29">
        <f>IF(F7979="","",INDEX(Deals!$E$2:$E$843,F7979))</f>
        <v/>
      </c>
      <c r="I7979">
        <f>IF(F7979="","",INDEX(Deals!$D$2:$D$843,F7979))</f>
        <v/>
      </c>
      <c r="J7979">
        <f>IF(F7979="","",INT(H7979)-B7979)</f>
        <v/>
      </c>
      <c r="K7979">
        <f>IF(B7979&gt;=Settings!$C$5,1,0)</f>
        <v/>
      </c>
    </row>
    <row r="7980">
      <c r="A7980" t="inlineStr">
        <is>
          <t>df9a2abe2ad3f2d8758b675ac8331ecf</t>
        </is>
      </c>
      <c r="B7980" s="29" t="n">
        <v>43187</v>
      </c>
      <c r="C7980" t="inlineStr">
        <is>
          <t>2018-03</t>
        </is>
      </c>
      <c r="D7980" t="inlineStr">
        <is>
          <t>a7982125ff7aa3b2054c6e44f9d28522</t>
        </is>
      </c>
      <c r="E7980" t="inlineStr">
        <is>
          <t>organic_search</t>
        </is>
      </c>
      <c r="F7980">
        <f>IFERROR(MATCH(A7980,Deals!$A$2:$A$843,0),"")</f>
        <v/>
      </c>
      <c r="G7980">
        <f>IF(F7980="",0,1)</f>
        <v/>
      </c>
      <c r="H7980" s="29">
        <f>IF(F7980="","",INDEX(Deals!$E$2:$E$843,F7980))</f>
        <v/>
      </c>
      <c r="I7980">
        <f>IF(F7980="","",INDEX(Deals!$D$2:$D$843,F7980))</f>
        <v/>
      </c>
      <c r="J7980">
        <f>IF(F7980="","",INT(H7980)-B7980)</f>
        <v/>
      </c>
      <c r="K7980">
        <f>IF(B7980&gt;=Settings!$C$5,1,0)</f>
        <v/>
      </c>
    </row>
    <row r="7981">
      <c r="A7981" t="inlineStr">
        <is>
          <t>2f88d23e18b9c290f92240a327d865e8</t>
        </is>
      </c>
      <c r="B7981" s="29" t="n">
        <v>42948</v>
      </c>
      <c r="C7981" t="inlineStr">
        <is>
          <t>2017-08</t>
        </is>
      </c>
      <c r="D7981" t="inlineStr">
        <is>
          <t>3683ba5726e741af4b8b02bcaef4e7b3</t>
        </is>
      </c>
      <c r="E7981" t="inlineStr">
        <is>
          <t>organic_search</t>
        </is>
      </c>
      <c r="F7981">
        <f>IFERROR(MATCH(A7981,Deals!$A$2:$A$843,0),"")</f>
        <v/>
      </c>
      <c r="G7981">
        <f>IF(F7981="",0,1)</f>
        <v/>
      </c>
      <c r="H7981" s="29">
        <f>IF(F7981="","",INDEX(Deals!$E$2:$E$843,F7981))</f>
        <v/>
      </c>
      <c r="I7981">
        <f>IF(F7981="","",INDEX(Deals!$D$2:$D$843,F7981))</f>
        <v/>
      </c>
      <c r="J7981">
        <f>IF(F7981="","",INT(H7981)-B7981)</f>
        <v/>
      </c>
      <c r="K7981">
        <f>IF(B7981&gt;=Settings!$C$5,1,0)</f>
        <v/>
      </c>
    </row>
    <row r="7982">
      <c r="A7982" t="inlineStr">
        <is>
          <t>781870bb5979fcc948dcc48da5fb798a</t>
        </is>
      </c>
      <c r="B7982" s="29" t="n">
        <v>43173</v>
      </c>
      <c r="C7982" t="inlineStr">
        <is>
          <t>2018-03</t>
        </is>
      </c>
      <c r="D7982" t="inlineStr">
        <is>
          <t>88740e65d5d6b056e0cda098e1ea6313</t>
        </is>
      </c>
      <c r="E7982" t="inlineStr">
        <is>
          <t>social</t>
        </is>
      </c>
      <c r="F7982">
        <f>IFERROR(MATCH(A7982,Deals!$A$2:$A$843,0),"")</f>
        <v/>
      </c>
      <c r="G7982">
        <f>IF(F7982="",0,1)</f>
        <v/>
      </c>
      <c r="H7982" s="29">
        <f>IF(F7982="","",INDEX(Deals!$E$2:$E$843,F7982))</f>
        <v/>
      </c>
      <c r="I7982">
        <f>IF(F7982="","",INDEX(Deals!$D$2:$D$843,F7982))</f>
        <v/>
      </c>
      <c r="J7982">
        <f>IF(F7982="","",INT(H7982)-B7982)</f>
        <v/>
      </c>
      <c r="K7982">
        <f>IF(B7982&gt;=Settings!$C$5,1,0)</f>
        <v/>
      </c>
    </row>
    <row r="7983">
      <c r="A7983" t="inlineStr">
        <is>
          <t>a4e42bba44a8f1050a8a57e5ead9a43c</t>
        </is>
      </c>
      <c r="B7983" s="29" t="n">
        <v>43143</v>
      </c>
      <c r="C7983" t="inlineStr">
        <is>
          <t>2018-02</t>
        </is>
      </c>
      <c r="D7983" t="inlineStr">
        <is>
          <t>e492ee5eaf1697716985cc6f33f9cd9b</t>
        </is>
      </c>
      <c r="E7983" t="inlineStr">
        <is>
          <t>paid_search</t>
        </is>
      </c>
      <c r="F7983">
        <f>IFERROR(MATCH(A7983,Deals!$A$2:$A$843,0),"")</f>
        <v/>
      </c>
      <c r="G7983">
        <f>IF(F7983="",0,1)</f>
        <v/>
      </c>
      <c r="H7983" s="29">
        <f>IF(F7983="","",INDEX(Deals!$E$2:$E$843,F7983))</f>
        <v/>
      </c>
      <c r="I7983">
        <f>IF(F7983="","",INDEX(Deals!$D$2:$D$843,F7983))</f>
        <v/>
      </c>
      <c r="J7983">
        <f>IF(F7983="","",INT(H7983)-B7983)</f>
        <v/>
      </c>
      <c r="K7983">
        <f>IF(B7983&gt;=Settings!$C$5,1,0)</f>
        <v/>
      </c>
    </row>
    <row r="7984">
      <c r="A7984" t="inlineStr">
        <is>
          <t>3ebe2a87a58cf391399b0bf0cb53c8ae</t>
        </is>
      </c>
      <c r="B7984" s="29" t="n">
        <v>43234</v>
      </c>
      <c r="C7984" t="inlineStr">
        <is>
          <t>2018-05</t>
        </is>
      </c>
      <c r="D7984" t="inlineStr">
        <is>
          <t>22c29808c4f815213303f8933030604c</t>
        </is>
      </c>
      <c r="E7984" t="inlineStr">
        <is>
          <t>referral</t>
        </is>
      </c>
      <c r="F7984">
        <f>IFERROR(MATCH(A7984,Deals!$A$2:$A$843,0),"")</f>
        <v/>
      </c>
      <c r="G7984">
        <f>IF(F7984="",0,1)</f>
        <v/>
      </c>
      <c r="H7984" s="29">
        <f>IF(F7984="","",INDEX(Deals!$E$2:$E$843,F7984))</f>
        <v/>
      </c>
      <c r="I7984">
        <f>IF(F7984="","",INDEX(Deals!$D$2:$D$843,F7984))</f>
        <v/>
      </c>
      <c r="J7984">
        <f>IF(F7984="","",INT(H7984)-B7984)</f>
        <v/>
      </c>
      <c r="K7984">
        <f>IF(B7984&gt;=Settings!$C$5,1,0)</f>
        <v/>
      </c>
    </row>
    <row r="7985">
      <c r="A7985" t="inlineStr">
        <is>
          <t>8723201570415eb23b4f095d8c20a27c</t>
        </is>
      </c>
      <c r="B7985" s="29" t="n">
        <v>43238</v>
      </c>
      <c r="C7985" t="inlineStr">
        <is>
          <t>2018-05</t>
        </is>
      </c>
      <c r="D7985" t="inlineStr">
        <is>
          <t>b76ef37428e6799c421989521c0e5077</t>
        </is>
      </c>
      <c r="E7985" t="inlineStr">
        <is>
          <t>organic_search</t>
        </is>
      </c>
      <c r="F7985">
        <f>IFERROR(MATCH(A7985,Deals!$A$2:$A$843,0),"")</f>
        <v/>
      </c>
      <c r="G7985">
        <f>IF(F7985="",0,1)</f>
        <v/>
      </c>
      <c r="H7985" s="29">
        <f>IF(F7985="","",INDEX(Deals!$E$2:$E$843,F7985))</f>
        <v/>
      </c>
      <c r="I7985">
        <f>IF(F7985="","",INDEX(Deals!$D$2:$D$843,F7985))</f>
        <v/>
      </c>
      <c r="J7985">
        <f>IF(F7985="","",INT(H7985)-B7985)</f>
        <v/>
      </c>
      <c r="K7985">
        <f>IF(B7985&gt;=Settings!$C$5,1,0)</f>
        <v/>
      </c>
    </row>
    <row r="7986">
      <c r="A7986" t="inlineStr">
        <is>
          <t>734ec5296d8357fa809ab7ff73b4740e</t>
        </is>
      </c>
      <c r="B7986" s="29" t="n">
        <v>43115</v>
      </c>
      <c r="C7986" t="inlineStr">
        <is>
          <t>2018-01</t>
        </is>
      </c>
      <c r="D7986" t="inlineStr">
        <is>
          <t>b76ef37428e6799c421989521c0e5077</t>
        </is>
      </c>
      <c r="E7986" t="inlineStr">
        <is>
          <t>unknown</t>
        </is>
      </c>
      <c r="F7986">
        <f>IFERROR(MATCH(A7986,Deals!$A$2:$A$843,0),"")</f>
        <v/>
      </c>
      <c r="G7986">
        <f>IF(F7986="",0,1)</f>
        <v/>
      </c>
      <c r="H7986" s="29">
        <f>IF(F7986="","",INDEX(Deals!$E$2:$E$843,F7986))</f>
        <v/>
      </c>
      <c r="I7986">
        <f>IF(F7986="","",INDEX(Deals!$D$2:$D$843,F7986))</f>
        <v/>
      </c>
      <c r="J7986">
        <f>IF(F7986="","",INT(H7986)-B7986)</f>
        <v/>
      </c>
      <c r="K7986">
        <f>IF(B7986&gt;=Settings!$C$5,1,0)</f>
        <v/>
      </c>
    </row>
    <row r="7987">
      <c r="A7987" t="inlineStr">
        <is>
          <t>a1d2a5b05d09395f32299a4d270a9a32</t>
        </is>
      </c>
      <c r="B7987" s="29" t="n">
        <v>43181</v>
      </c>
      <c r="C7987" t="inlineStr">
        <is>
          <t>2018-03</t>
        </is>
      </c>
      <c r="D7987" t="inlineStr">
        <is>
          <t>0b37d43dbde6452cdd94c17bf61a88e4</t>
        </is>
      </c>
      <c r="E7987" t="inlineStr">
        <is>
          <t>organic_search</t>
        </is>
      </c>
      <c r="F7987">
        <f>IFERROR(MATCH(A7987,Deals!$A$2:$A$843,0),"")</f>
        <v/>
      </c>
      <c r="G7987">
        <f>IF(F7987="",0,1)</f>
        <v/>
      </c>
      <c r="H7987" s="29">
        <f>IF(F7987="","",INDEX(Deals!$E$2:$E$843,F7987))</f>
        <v/>
      </c>
      <c r="I7987">
        <f>IF(F7987="","",INDEX(Deals!$D$2:$D$843,F7987))</f>
        <v/>
      </c>
      <c r="J7987">
        <f>IF(F7987="","",INT(H7987)-B7987)</f>
        <v/>
      </c>
      <c r="K7987">
        <f>IF(B7987&gt;=Settings!$C$5,1,0)</f>
        <v/>
      </c>
    </row>
    <row r="7988">
      <c r="A7988" t="inlineStr">
        <is>
          <t>72abde3bc8e85397733b3f40f0bb3649</t>
        </is>
      </c>
      <c r="B7988" s="29" t="n">
        <v>43220</v>
      </c>
      <c r="C7988" t="inlineStr">
        <is>
          <t>2018-04</t>
        </is>
      </c>
      <c r="D7988" t="inlineStr">
        <is>
          <t>b76ef37428e6799c421989521c0e5077</t>
        </is>
      </c>
      <c r="E7988" t="inlineStr">
        <is>
          <t>unknown</t>
        </is>
      </c>
      <c r="F7988">
        <f>IFERROR(MATCH(A7988,Deals!$A$2:$A$843,0),"")</f>
        <v/>
      </c>
      <c r="G7988">
        <f>IF(F7988="",0,1)</f>
        <v/>
      </c>
      <c r="H7988" s="29">
        <f>IF(F7988="","",INDEX(Deals!$E$2:$E$843,F7988))</f>
        <v/>
      </c>
      <c r="I7988">
        <f>IF(F7988="","",INDEX(Deals!$D$2:$D$843,F7988))</f>
        <v/>
      </c>
      <c r="J7988">
        <f>IF(F7988="","",INT(H7988)-B7988)</f>
        <v/>
      </c>
      <c r="K7988">
        <f>IF(B7988&gt;=Settings!$C$5,1,0)</f>
        <v/>
      </c>
    </row>
    <row r="7989">
      <c r="A7989" t="inlineStr">
        <is>
          <t>4d30aee468b68ec5e3fb9f53d4e50eea</t>
        </is>
      </c>
      <c r="B7989" s="29" t="n">
        <v>43165</v>
      </c>
      <c r="C7989" t="inlineStr">
        <is>
          <t>2018-03</t>
        </is>
      </c>
      <c r="D7989" t="inlineStr">
        <is>
          <t>b76ef37428e6799c421989521c0e5077</t>
        </is>
      </c>
      <c r="E7989" t="inlineStr">
        <is>
          <t>unknown</t>
        </is>
      </c>
      <c r="F7989">
        <f>IFERROR(MATCH(A7989,Deals!$A$2:$A$843,0),"")</f>
        <v/>
      </c>
      <c r="G7989">
        <f>IF(F7989="",0,1)</f>
        <v/>
      </c>
      <c r="H7989" s="29">
        <f>IF(F7989="","",INDEX(Deals!$E$2:$E$843,F7989))</f>
        <v/>
      </c>
      <c r="I7989">
        <f>IF(F7989="","",INDEX(Deals!$D$2:$D$843,F7989))</f>
        <v/>
      </c>
      <c r="J7989">
        <f>IF(F7989="","",INT(H7989)-B7989)</f>
        <v/>
      </c>
      <c r="K7989">
        <f>IF(B7989&gt;=Settings!$C$5,1,0)</f>
        <v/>
      </c>
    </row>
    <row r="7990">
      <c r="A7990" t="inlineStr">
        <is>
          <t>9c0309e638a30971dfa0572062088e7c</t>
        </is>
      </c>
      <c r="B7990" s="29" t="n">
        <v>43152</v>
      </c>
      <c r="C7990" t="inlineStr">
        <is>
          <t>2018-02</t>
        </is>
      </c>
      <c r="D7990" t="inlineStr">
        <is>
          <t>37cf94070e940a694969304de58debe1</t>
        </is>
      </c>
      <c r="E7990" t="inlineStr">
        <is>
          <t>paid_search</t>
        </is>
      </c>
      <c r="F7990">
        <f>IFERROR(MATCH(A7990,Deals!$A$2:$A$843,0),"")</f>
        <v/>
      </c>
      <c r="G7990">
        <f>IF(F7990="",0,1)</f>
        <v/>
      </c>
      <c r="H7990" s="29">
        <f>IF(F7990="","",INDEX(Deals!$E$2:$E$843,F7990))</f>
        <v/>
      </c>
      <c r="I7990">
        <f>IF(F7990="","",INDEX(Deals!$D$2:$D$843,F7990))</f>
        <v/>
      </c>
      <c r="J7990">
        <f>IF(F7990="","",INT(H7990)-B7990)</f>
        <v/>
      </c>
      <c r="K7990">
        <f>IF(B7990&gt;=Settings!$C$5,1,0)</f>
        <v/>
      </c>
    </row>
    <row r="7991">
      <c r="A7991" t="inlineStr">
        <is>
          <t>dcf5cd105900373d89923a5bc7b34452</t>
        </is>
      </c>
      <c r="B7991" s="29" t="n">
        <v>43121</v>
      </c>
      <c r="C7991" t="inlineStr">
        <is>
          <t>2018-01</t>
        </is>
      </c>
      <c r="D7991" t="inlineStr">
        <is>
          <t>e492ee5eaf1697716985cc6f33f9cd9b</t>
        </is>
      </c>
      <c r="E7991" t="inlineStr">
        <is>
          <t>paid_search</t>
        </is>
      </c>
      <c r="F7991">
        <f>IFERROR(MATCH(A7991,Deals!$A$2:$A$843,0),"")</f>
        <v/>
      </c>
      <c r="G7991">
        <f>IF(F7991="",0,1)</f>
        <v/>
      </c>
      <c r="H7991" s="29">
        <f>IF(F7991="","",INDEX(Deals!$E$2:$E$843,F7991))</f>
        <v/>
      </c>
      <c r="I7991">
        <f>IF(F7991="","",INDEX(Deals!$D$2:$D$843,F7991))</f>
        <v/>
      </c>
      <c r="J7991">
        <f>IF(F7991="","",INT(H7991)-B7991)</f>
        <v/>
      </c>
      <c r="K7991">
        <f>IF(B7991&gt;=Settings!$C$5,1,0)</f>
        <v/>
      </c>
    </row>
    <row r="7992">
      <c r="A7992" t="inlineStr">
        <is>
          <t>3039a72740ccf74a6c840aacbef79b0b</t>
        </is>
      </c>
      <c r="B7992" s="29" t="n">
        <v>43151</v>
      </c>
      <c r="C7992" t="inlineStr">
        <is>
          <t>2018-02</t>
        </is>
      </c>
      <c r="D7992" t="inlineStr">
        <is>
          <t>54d5e01ab35155d4bd8cf723fc6f04a0</t>
        </is>
      </c>
      <c r="E7992" t="inlineStr">
        <is>
          <t>email</t>
        </is>
      </c>
      <c r="F7992">
        <f>IFERROR(MATCH(A7992,Deals!$A$2:$A$843,0),"")</f>
        <v/>
      </c>
      <c r="G7992">
        <f>IF(F7992="",0,1)</f>
        <v/>
      </c>
      <c r="H7992" s="29">
        <f>IF(F7992="","",INDEX(Deals!$E$2:$E$843,F7992))</f>
        <v/>
      </c>
      <c r="I7992">
        <f>IF(F7992="","",INDEX(Deals!$D$2:$D$843,F7992))</f>
        <v/>
      </c>
      <c r="J7992">
        <f>IF(F7992="","",INT(H7992)-B7992)</f>
        <v/>
      </c>
      <c r="K7992">
        <f>IF(B7992&gt;=Settings!$C$5,1,0)</f>
        <v/>
      </c>
    </row>
    <row r="7993">
      <c r="A7993" t="inlineStr">
        <is>
          <t>2e57665b8faf05c967a801eb5aedfa0a</t>
        </is>
      </c>
      <c r="B7993" s="29" t="n">
        <v>43245</v>
      </c>
      <c r="C7993" t="inlineStr">
        <is>
          <t>2018-05</t>
        </is>
      </c>
      <c r="D7993" t="inlineStr">
        <is>
          <t>40dec9f3d5259a3d2dbcdab2114fae47</t>
        </is>
      </c>
      <c r="E7993" t="inlineStr">
        <is>
          <t>paid_search</t>
        </is>
      </c>
      <c r="F7993">
        <f>IFERROR(MATCH(A7993,Deals!$A$2:$A$843,0),"")</f>
        <v/>
      </c>
      <c r="G7993">
        <f>IF(F7993="",0,1)</f>
        <v/>
      </c>
      <c r="H7993" s="29">
        <f>IF(F7993="","",INDEX(Deals!$E$2:$E$843,F7993))</f>
        <v/>
      </c>
      <c r="I7993">
        <f>IF(F7993="","",INDEX(Deals!$D$2:$D$843,F7993))</f>
        <v/>
      </c>
      <c r="J7993">
        <f>IF(F7993="","",INT(H7993)-B7993)</f>
        <v/>
      </c>
      <c r="K7993">
        <f>IF(B7993&gt;=Settings!$C$5,1,0)</f>
        <v/>
      </c>
    </row>
    <row r="7994">
      <c r="A7994" t="inlineStr">
        <is>
          <t>c24f9ae141fa02c7fa1deea7e1149557</t>
        </is>
      </c>
      <c r="B7994" s="29" t="n">
        <v>43107</v>
      </c>
      <c r="C7994" t="inlineStr">
        <is>
          <t>2018-01</t>
        </is>
      </c>
      <c r="D7994" t="inlineStr">
        <is>
          <t>88740e65d5d6b056e0cda098e1ea6313</t>
        </is>
      </c>
      <c r="E7994" t="inlineStr">
        <is>
          <t>social</t>
        </is>
      </c>
      <c r="F7994">
        <f>IFERROR(MATCH(A7994,Deals!$A$2:$A$843,0),"")</f>
        <v/>
      </c>
      <c r="G7994">
        <f>IF(F7994="",0,1)</f>
        <v/>
      </c>
      <c r="H7994" s="29">
        <f>IF(F7994="","",INDEX(Deals!$E$2:$E$843,F7994))</f>
        <v/>
      </c>
      <c r="I7994">
        <f>IF(F7994="","",INDEX(Deals!$D$2:$D$843,F7994))</f>
        <v/>
      </c>
      <c r="J7994">
        <f>IF(F7994="","",INT(H7994)-B7994)</f>
        <v/>
      </c>
      <c r="K7994">
        <f>IF(B7994&gt;=Settings!$C$5,1,0)</f>
        <v/>
      </c>
    </row>
    <row r="7995">
      <c r="A7995" t="inlineStr">
        <is>
          <t>aedd87de3760230b3c1e74e37b875a38</t>
        </is>
      </c>
      <c r="B7995" s="29" t="n">
        <v>42962</v>
      </c>
      <c r="C7995" t="inlineStr">
        <is>
          <t>2017-08</t>
        </is>
      </c>
      <c r="D7995" t="inlineStr">
        <is>
          <t>92bd5f77d493a36dac9bddb66d1b9dbf</t>
        </is>
      </c>
      <c r="E7995" t="inlineStr">
        <is>
          <t>organic_search</t>
        </is>
      </c>
      <c r="F7995">
        <f>IFERROR(MATCH(A7995,Deals!$A$2:$A$843,0),"")</f>
        <v/>
      </c>
      <c r="G7995">
        <f>IF(F7995="",0,1)</f>
        <v/>
      </c>
      <c r="H7995" s="29">
        <f>IF(F7995="","",INDEX(Deals!$E$2:$E$843,F7995))</f>
        <v/>
      </c>
      <c r="I7995">
        <f>IF(F7995="","",INDEX(Deals!$D$2:$D$843,F7995))</f>
        <v/>
      </c>
      <c r="J7995">
        <f>IF(F7995="","",INT(H7995)-B7995)</f>
        <v/>
      </c>
      <c r="K7995">
        <f>IF(B7995&gt;=Settings!$C$5,1,0)</f>
        <v/>
      </c>
    </row>
    <row r="7996">
      <c r="A7996" t="inlineStr">
        <is>
          <t>40955be51cc85c5a5a6cdd12b19e9f10</t>
        </is>
      </c>
      <c r="B7996" s="29" t="n">
        <v>43135</v>
      </c>
      <c r="C7996" t="inlineStr">
        <is>
          <t>2018-02</t>
        </is>
      </c>
      <c r="D7996" t="inlineStr">
        <is>
          <t>88740e65d5d6b056e0cda098e1ea6313</t>
        </is>
      </c>
      <c r="E7996" t="inlineStr">
        <is>
          <t>social</t>
        </is>
      </c>
      <c r="F7996">
        <f>IFERROR(MATCH(A7996,Deals!$A$2:$A$843,0),"")</f>
        <v/>
      </c>
      <c r="G7996">
        <f>IF(F7996="",0,1)</f>
        <v/>
      </c>
      <c r="H7996" s="29">
        <f>IF(F7996="","",INDEX(Deals!$E$2:$E$843,F7996))</f>
        <v/>
      </c>
      <c r="I7996">
        <f>IF(F7996="","",INDEX(Deals!$D$2:$D$843,F7996))</f>
        <v/>
      </c>
      <c r="J7996">
        <f>IF(F7996="","",INT(H7996)-B7996)</f>
        <v/>
      </c>
      <c r="K7996">
        <f>IF(B7996&gt;=Settings!$C$5,1,0)</f>
        <v/>
      </c>
    </row>
    <row r="7997">
      <c r="A7997" t="inlineStr">
        <is>
          <t>feaba3ffcd2ff97501696c7f9a42f41c</t>
        </is>
      </c>
      <c r="B7997" s="29" t="n">
        <v>43242</v>
      </c>
      <c r="C7997" t="inlineStr">
        <is>
          <t>2018-05</t>
        </is>
      </c>
      <c r="D7997" t="inlineStr">
        <is>
          <t>e42a14209c69c3e9cc6b042620465f12</t>
        </is>
      </c>
      <c r="E7997" t="inlineStr">
        <is>
          <t>paid_search</t>
        </is>
      </c>
      <c r="F7997">
        <f>IFERROR(MATCH(A7997,Deals!$A$2:$A$843,0),"")</f>
        <v/>
      </c>
      <c r="G7997">
        <f>IF(F7997="",0,1)</f>
        <v/>
      </c>
      <c r="H7997" s="29">
        <f>IF(F7997="","",INDEX(Deals!$E$2:$E$843,F7997))</f>
        <v/>
      </c>
      <c r="I7997">
        <f>IF(F7997="","",INDEX(Deals!$D$2:$D$843,F7997))</f>
        <v/>
      </c>
      <c r="J7997">
        <f>IF(F7997="","",INT(H7997)-B7997)</f>
        <v/>
      </c>
      <c r="K7997">
        <f>IF(B7997&gt;=Settings!$C$5,1,0)</f>
        <v/>
      </c>
    </row>
    <row r="7998">
      <c r="A7998" t="inlineStr">
        <is>
          <t>a79cb53cd009ab92e0143b92baa2407b</t>
        </is>
      </c>
      <c r="B7998" s="29" t="n">
        <v>43186</v>
      </c>
      <c r="C7998" t="inlineStr">
        <is>
          <t>2018-03</t>
        </is>
      </c>
      <c r="D7998" t="inlineStr">
        <is>
          <t>c494978688ccf66ad9fad3d6a3338c22</t>
        </is>
      </c>
      <c r="E7998" t="inlineStr">
        <is>
          <t>paid_search</t>
        </is>
      </c>
      <c r="F7998">
        <f>IFERROR(MATCH(A7998,Deals!$A$2:$A$843,0),"")</f>
        <v/>
      </c>
      <c r="G7998">
        <f>IF(F7998="",0,1)</f>
        <v/>
      </c>
      <c r="H7998" s="29">
        <f>IF(F7998="","",INDEX(Deals!$E$2:$E$843,F7998))</f>
        <v/>
      </c>
      <c r="I7998">
        <f>IF(F7998="","",INDEX(Deals!$D$2:$D$843,F7998))</f>
        <v/>
      </c>
      <c r="J7998">
        <f>IF(F7998="","",INT(H7998)-B7998)</f>
        <v/>
      </c>
      <c r="K7998">
        <f>IF(B7998&gt;=Settings!$C$5,1,0)</f>
        <v/>
      </c>
    </row>
    <row r="7999">
      <c r="A7999" t="inlineStr">
        <is>
          <t>68f049a23ab109c6a0f6989bb9a02994</t>
        </is>
      </c>
      <c r="B7999" s="29" t="n">
        <v>42974</v>
      </c>
      <c r="C7999" t="inlineStr">
        <is>
          <t>2017-08</t>
        </is>
      </c>
      <c r="D7999" t="inlineStr">
        <is>
          <t>b48ec5f3b04e9068441002a19df93c6c</t>
        </is>
      </c>
      <c r="E7999" t="inlineStr">
        <is>
          <t>organic_search</t>
        </is>
      </c>
      <c r="F7999">
        <f>IFERROR(MATCH(A7999,Deals!$A$2:$A$843,0),"")</f>
        <v/>
      </c>
      <c r="G7999">
        <f>IF(F7999="",0,1)</f>
        <v/>
      </c>
      <c r="H7999" s="29">
        <f>IF(F7999="","",INDEX(Deals!$E$2:$E$843,F7999))</f>
        <v/>
      </c>
      <c r="I7999">
        <f>IF(F7999="","",INDEX(Deals!$D$2:$D$843,F7999))</f>
        <v/>
      </c>
      <c r="J7999">
        <f>IF(F7999="","",INT(H7999)-B7999)</f>
        <v/>
      </c>
      <c r="K7999">
        <f>IF(B7999&gt;=Settings!$C$5,1,0)</f>
        <v/>
      </c>
    </row>
    <row r="8000">
      <c r="A8000" t="inlineStr">
        <is>
          <t>4f8c96e2509b984329044c6682c88ee9</t>
        </is>
      </c>
      <c r="B8000" s="29" t="n">
        <v>43014</v>
      </c>
      <c r="C8000" t="inlineStr">
        <is>
          <t>2017-10</t>
        </is>
      </c>
      <c r="D8000" t="inlineStr">
        <is>
          <t>a56671a54260a44923d32c2f08fad39c</t>
        </is>
      </c>
      <c r="E8000" t="inlineStr">
        <is>
          <t>organic_search</t>
        </is>
      </c>
      <c r="F8000">
        <f>IFERROR(MATCH(A8000,Deals!$A$2:$A$843,0),"")</f>
        <v/>
      </c>
      <c r="G8000">
        <f>IF(F8000="",0,1)</f>
        <v/>
      </c>
      <c r="H8000" s="29">
        <f>IF(F8000="","",INDEX(Deals!$E$2:$E$843,F8000))</f>
        <v/>
      </c>
      <c r="I8000">
        <f>IF(F8000="","",INDEX(Deals!$D$2:$D$843,F8000))</f>
        <v/>
      </c>
      <c r="J8000">
        <f>IF(F8000="","",INT(H8000)-B8000)</f>
        <v/>
      </c>
      <c r="K8000">
        <f>IF(B8000&gt;=Settings!$C$5,1,0)</f>
        <v/>
      </c>
    </row>
    <row r="8001">
      <c r="A8001" t="inlineStr">
        <is>
          <t>8a6492305a5fbcdcdd1a7f5a90764c07</t>
        </is>
      </c>
      <c r="B8001" s="29" t="n">
        <v>43111</v>
      </c>
      <c r="C8001" t="inlineStr">
        <is>
          <t>2018-01</t>
        </is>
      </c>
      <c r="D8001" t="inlineStr">
        <is>
          <t>b76ef37428e6799c421989521c0e5077</t>
        </is>
      </c>
      <c r="E8001" t="inlineStr">
        <is>
          <t>direct_traffic</t>
        </is>
      </c>
      <c r="F8001">
        <f>IFERROR(MATCH(A8001,Deals!$A$2:$A$843,0),"")</f>
        <v/>
      </c>
      <c r="G8001">
        <f>IF(F8001="",0,1)</f>
        <v/>
      </c>
      <c r="H8001" s="29">
        <f>IF(F8001="","",INDEX(Deals!$E$2:$E$843,F8001))</f>
        <v/>
      </c>
      <c r="I8001">
        <f>IF(F8001="","",INDEX(Deals!$D$2:$D$843,F8001))</f>
        <v/>
      </c>
      <c r="J8001">
        <f>IF(F8001="","",INT(H8001)-B8001)</f>
        <v/>
      </c>
      <c r="K8001">
        <f>IF(B8001&gt;=Settings!$C$5,1,0)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B7785"/>
    <outlinePr summaryBelow="1" summaryRight="1"/>
    <pageSetUpPr/>
  </sheetPr>
  <dimension ref="A1:N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27" t="inlineStr">
        <is>
          <t>mql_id</t>
        </is>
      </c>
      <c r="B1" s="27" t="inlineStr">
        <is>
          <t>seller_id</t>
        </is>
      </c>
      <c r="C1" s="27" t="inlineStr">
        <is>
          <t>sdr_id</t>
        </is>
      </c>
      <c r="D1" s="27" t="inlineStr">
        <is>
          <t>sr_id</t>
        </is>
      </c>
      <c r="E1" s="27" t="inlineStr">
        <is>
          <t>won_date</t>
        </is>
      </c>
      <c r="F1" s="27" t="inlineStr">
        <is>
          <t>business_segment</t>
        </is>
      </c>
      <c r="G1" s="27" t="inlineStr">
        <is>
          <t>lead_type</t>
        </is>
      </c>
      <c r="H1" s="27" t="inlineStr">
        <is>
          <t>lead_behaviour_profile</t>
        </is>
      </c>
      <c r="I1" s="27" t="inlineStr">
        <is>
          <t>has_company</t>
        </is>
      </c>
      <c r="J1" s="27" t="inlineStr">
        <is>
          <t>has_gtin</t>
        </is>
      </c>
      <c r="K1" s="27" t="inlineStr">
        <is>
          <t>average_stock</t>
        </is>
      </c>
      <c r="L1" s="27" t="inlineStr">
        <is>
          <t>business_type</t>
        </is>
      </c>
      <c r="M1" s="27" t="inlineStr">
        <is>
          <t>declared_product_catalog_size</t>
        </is>
      </c>
      <c r="N1" s="27" t="inlineStr">
        <is>
          <t>declared_monthly_revenue</t>
        </is>
      </c>
    </row>
    <row r="2">
      <c r="A2" t="inlineStr">
        <is>
          <t>5420aad7fec3549a85876ba1c529bd84</t>
        </is>
      </c>
      <c r="B2" t="inlineStr">
        <is>
          <t>2c43fb513632d29b3b58df74816f1b06</t>
        </is>
      </c>
      <c r="C2" t="inlineStr">
        <is>
          <t>a8387c01a09e99ce014107505b92388c</t>
        </is>
      </c>
      <c r="D2" t="inlineStr">
        <is>
          <t>4ef15afb4b2723d8f3d81e51ec7afefe</t>
        </is>
      </c>
      <c r="E2" s="30" t="n">
        <v>43157.83256944444</v>
      </c>
      <c r="F2" t="inlineStr">
        <is>
          <t>pet</t>
        </is>
      </c>
      <c r="G2" t="inlineStr">
        <is>
          <t>online_medium</t>
        </is>
      </c>
      <c r="H2" t="inlineStr">
        <is>
          <t>cat</t>
        </is>
      </c>
      <c r="L2" t="inlineStr">
        <is>
          <t>reseller</t>
        </is>
      </c>
      <c r="N2" t="n">
        <v>0</v>
      </c>
    </row>
    <row r="3">
      <c r="A3" t="inlineStr">
        <is>
          <t>a555fb36b9368110ede0f043dfc3b9a0</t>
        </is>
      </c>
      <c r="B3" t="inlineStr">
        <is>
          <t>bbb7d7893a450660432ea6652310ebb7</t>
        </is>
      </c>
      <c r="C3" t="inlineStr">
        <is>
          <t>09285259593c61296eef10c734121d5b</t>
        </is>
      </c>
      <c r="D3" t="inlineStr">
        <is>
          <t>d3d1e91a157ea7f90548eef82f1955e3</t>
        </is>
      </c>
      <c r="E3" s="30" t="n">
        <v>43228.84582175926</v>
      </c>
      <c r="F3" t="inlineStr">
        <is>
          <t>car_accessories</t>
        </is>
      </c>
      <c r="G3" t="inlineStr">
        <is>
          <t>industry</t>
        </is>
      </c>
      <c r="H3" t="inlineStr">
        <is>
          <t>eagle</t>
        </is>
      </c>
      <c r="L3" t="inlineStr">
        <is>
          <t>reseller</t>
        </is>
      </c>
      <c r="N3" t="n">
        <v>0</v>
      </c>
    </row>
    <row r="4">
      <c r="A4" t="inlineStr">
        <is>
          <t>327174d3648a2d047e8940d7d15204ca</t>
        </is>
      </c>
      <c r="B4" t="inlineStr">
        <is>
          <t>612170e34b97004b3ba37eae81836b4c</t>
        </is>
      </c>
      <c r="C4" t="inlineStr">
        <is>
          <t>b90f87164b5f8c2cfa5c8572834dbe3f</t>
        </is>
      </c>
      <c r="D4" t="inlineStr">
        <is>
          <t>6565aa9ce3178a5caf6171827af3a9ba</t>
        </is>
      </c>
      <c r="E4" s="30" t="n">
        <v>43256.72734953704</v>
      </c>
      <c r="F4" t="inlineStr">
        <is>
          <t>home_appliances</t>
        </is>
      </c>
      <c r="G4" t="inlineStr">
        <is>
          <t>online_big</t>
        </is>
      </c>
      <c r="H4" t="inlineStr">
        <is>
          <t>cat</t>
        </is>
      </c>
      <c r="L4" t="inlineStr">
        <is>
          <t>reseller</t>
        </is>
      </c>
      <c r="N4" t="n">
        <v>0</v>
      </c>
    </row>
    <row r="5">
      <c r="A5" t="inlineStr">
        <is>
          <t>f5fee8f7da74f4887f5bcae2bafb6dd6</t>
        </is>
      </c>
      <c r="B5" t="inlineStr">
        <is>
          <t>21e1781e36faf92725dde4730a88ca0f</t>
        </is>
      </c>
      <c r="C5" t="inlineStr">
        <is>
          <t>56bf83c4bb35763a51c2baab501b4c67</t>
        </is>
      </c>
      <c r="D5" t="inlineStr">
        <is>
          <t>d3d1e91a157ea7f90548eef82f1955e3</t>
        </is>
      </c>
      <c r="E5" s="30" t="n">
        <v>43117.57711805555</v>
      </c>
      <c r="F5" t="inlineStr">
        <is>
          <t>food_drink</t>
        </is>
      </c>
      <c r="G5" t="inlineStr">
        <is>
          <t>online_small</t>
        </is>
      </c>
      <c r="L5" t="inlineStr">
        <is>
          <t>reseller</t>
        </is>
      </c>
      <c r="N5" t="n">
        <v>0</v>
      </c>
    </row>
    <row r="6">
      <c r="A6" t="inlineStr">
        <is>
          <t>ffe640179b554e295c167a2f6be528e0</t>
        </is>
      </c>
      <c r="B6" t="inlineStr">
        <is>
          <t>ed8cb7b190ceb6067227478e48cf8dde</t>
        </is>
      </c>
      <c r="C6" t="inlineStr">
        <is>
          <t>4b339f9567d060bcea4f5136b9f5949e</t>
        </is>
      </c>
      <c r="D6" t="inlineStr">
        <is>
          <t>d3d1e91a157ea7f90548eef82f1955e3</t>
        </is>
      </c>
      <c r="E6" s="30" t="n">
        <v>43284.84565972222</v>
      </c>
      <c r="F6" t="inlineStr">
        <is>
          <t>home_appliances</t>
        </is>
      </c>
      <c r="G6" t="inlineStr">
        <is>
          <t>industry</t>
        </is>
      </c>
      <c r="H6" t="inlineStr">
        <is>
          <t>wolf</t>
        </is>
      </c>
      <c r="L6" t="inlineStr">
        <is>
          <t>manufacturer</t>
        </is>
      </c>
      <c r="N6" t="n">
        <v>0</v>
      </c>
    </row>
    <row r="7">
      <c r="A7" t="inlineStr">
        <is>
          <t>b94fba7670eeb44dce2a0d8eb790e9f5</t>
        </is>
      </c>
      <c r="B7" t="inlineStr">
        <is>
          <t>1c742ac33582852aaf3bcfbf5893abcf</t>
        </is>
      </c>
      <c r="C7" t="inlineStr">
        <is>
          <t>fdb16d3cbbeb5798f2f66c4096be026d</t>
        </is>
      </c>
      <c r="D7" t="inlineStr">
        <is>
          <t>495d4e95a8cf8bbf8b432b612a2aa328</t>
        </is>
      </c>
      <c r="E7" s="30" t="n">
        <v>43138.75283564815</v>
      </c>
      <c r="F7" t="inlineStr">
        <is>
          <t>health_beauty</t>
        </is>
      </c>
      <c r="G7" t="inlineStr">
        <is>
          <t>online_medium</t>
        </is>
      </c>
      <c r="L7" t="inlineStr">
        <is>
          <t>manufacturer</t>
        </is>
      </c>
      <c r="N7" t="n">
        <v>0</v>
      </c>
    </row>
    <row r="8">
      <c r="A8" t="inlineStr">
        <is>
          <t>c3e30ed7ac989117c7e1e719b4ac128f</t>
        </is>
      </c>
      <c r="B8" t="inlineStr">
        <is>
          <t>92d7568ad0c5c76fd7d341b2d46f24d6</t>
        </is>
      </c>
      <c r="C8" t="inlineStr">
        <is>
          <t>4b339f9567d060bcea4f5136b9f5949e</t>
        </is>
      </c>
      <c r="D8" t="inlineStr">
        <is>
          <t>85fc447d336637ba1df43e793199fbc8</t>
        </is>
      </c>
      <c r="E8" s="30" t="n">
        <v>43206.76275462963</v>
      </c>
      <c r="F8" t="inlineStr">
        <is>
          <t>computers</t>
        </is>
      </c>
      <c r="G8" t="inlineStr">
        <is>
          <t>online_medium</t>
        </is>
      </c>
      <c r="H8" t="inlineStr">
        <is>
          <t>wolf</t>
        </is>
      </c>
      <c r="L8" t="inlineStr">
        <is>
          <t>reseller</t>
        </is>
      </c>
      <c r="N8" t="n">
        <v>0</v>
      </c>
    </row>
    <row r="9">
      <c r="A9" t="inlineStr">
        <is>
          <t>b02c89251106e1fdd9d92744be9f94f2</t>
        </is>
      </c>
      <c r="B9" t="inlineStr">
        <is>
          <t>44ed138eca6214d572ce1d813fb0049b</t>
        </is>
      </c>
      <c r="C9" t="inlineStr">
        <is>
          <t>34d40cdaf94010a1d05b0d6212f9e909</t>
        </is>
      </c>
      <c r="D9" t="inlineStr">
        <is>
          <t>4ef15afb4b2723d8f3d81e51ec7afefe</t>
        </is>
      </c>
      <c r="E9" s="30" t="n">
        <v>43207.7096875</v>
      </c>
      <c r="F9" t="inlineStr">
        <is>
          <t>health_beauty</t>
        </is>
      </c>
      <c r="G9" t="inlineStr">
        <is>
          <t>offline</t>
        </is>
      </c>
      <c r="H9" t="inlineStr">
        <is>
          <t>cat</t>
        </is>
      </c>
      <c r="L9" t="inlineStr">
        <is>
          <t>manufacturer</t>
        </is>
      </c>
      <c r="N9" t="n">
        <v>0</v>
      </c>
    </row>
    <row r="10">
      <c r="A10" t="inlineStr">
        <is>
          <t>a90a37898cc5f2718385a2fb981caaff</t>
        </is>
      </c>
      <c r="B10" t="inlineStr">
        <is>
          <t>0b28859cd04d23edefee9c591fb03cd8</t>
        </is>
      </c>
      <c r="C10" t="inlineStr">
        <is>
          <t>f42a2bd194f7802ab052a815c8de65b7</t>
        </is>
      </c>
      <c r="D10" t="inlineStr">
        <is>
          <t>6565aa9ce3178a5caf6171827af3a9ba</t>
        </is>
      </c>
      <c r="E10" s="30" t="n">
        <v>43234.77586805556</v>
      </c>
      <c r="F10" t="inlineStr">
        <is>
          <t>household_utilities</t>
        </is>
      </c>
      <c r="G10" t="inlineStr">
        <is>
          <t>offline</t>
        </is>
      </c>
      <c r="H10" t="inlineStr">
        <is>
          <t>eagle</t>
        </is>
      </c>
      <c r="L10" t="inlineStr">
        <is>
          <t>reseller</t>
        </is>
      </c>
      <c r="N10" t="n">
        <v>0</v>
      </c>
    </row>
    <row r="11">
      <c r="A11" t="inlineStr">
        <is>
          <t>0173e8d8b1d94a355b440fb67388f532</t>
        </is>
      </c>
      <c r="B11" t="inlineStr">
        <is>
          <t>87d73636a3acf123e842bb890a4db036</t>
        </is>
      </c>
      <c r="C11" t="inlineStr">
        <is>
          <t>9d12ef1a7eca3ec58c545c678af7869c</t>
        </is>
      </c>
      <c r="D11" t="inlineStr">
        <is>
          <t>9e4d1098a3b0f5da39b0bc48f9876645</t>
        </is>
      </c>
      <c r="E11" s="30" t="n">
        <v>43214.125</v>
      </c>
      <c r="F11" t="inlineStr">
        <is>
          <t>household_utilities</t>
        </is>
      </c>
      <c r="G11" t="inlineStr">
        <is>
          <t>online_medium</t>
        </is>
      </c>
      <c r="H11" t="inlineStr">
        <is>
          <t>eagle</t>
        </is>
      </c>
      <c r="L11" t="inlineStr">
        <is>
          <t>manufacturer</t>
        </is>
      </c>
      <c r="N11" t="n">
        <v>0</v>
      </c>
    </row>
    <row r="12">
      <c r="A12" t="inlineStr">
        <is>
          <t>4e4e70d504b4c0006c8287dedc99d0fc</t>
        </is>
      </c>
      <c r="B12" t="inlineStr">
        <is>
          <t>f7a0d94e966c5665355a182d5b199fcf</t>
        </is>
      </c>
      <c r="C12" t="inlineStr">
        <is>
          <t>fdb16d3cbbeb5798f2f66c4096be026d</t>
        </is>
      </c>
      <c r="D12" t="inlineStr">
        <is>
          <t>4ef15afb4b2723d8f3d81e51ec7afefe</t>
        </is>
      </c>
      <c r="E12" s="30" t="n">
        <v>43159.82099537037</v>
      </c>
      <c r="F12" t="inlineStr">
        <is>
          <t>construction_tools_house_garden</t>
        </is>
      </c>
      <c r="G12" t="inlineStr">
        <is>
          <t>online_medium</t>
        </is>
      </c>
      <c r="H12" t="inlineStr">
        <is>
          <t>cat</t>
        </is>
      </c>
      <c r="L12" t="inlineStr">
        <is>
          <t>reseller</t>
        </is>
      </c>
      <c r="N12" t="n">
        <v>0</v>
      </c>
    </row>
    <row r="13">
      <c r="A13" t="inlineStr">
        <is>
          <t>408a9c4a79800232ac656249af3162eb</t>
        </is>
      </c>
      <c r="B13" t="inlineStr">
        <is>
          <t>b566ab0ef88016e00422755e305103c6</t>
        </is>
      </c>
      <c r="C13" t="inlineStr">
        <is>
          <t>de63de0d10a6012430098db33c679b0b</t>
        </is>
      </c>
      <c r="D13" t="inlineStr">
        <is>
          <t>d3d1e91a157ea7f90548eef82f1955e3</t>
        </is>
      </c>
      <c r="E13" s="30" t="n">
        <v>43154.57962962963</v>
      </c>
      <c r="F13" t="inlineStr">
        <is>
          <t>construction_tools_house_garden</t>
        </is>
      </c>
      <c r="G13" t="inlineStr">
        <is>
          <t>online_big</t>
        </is>
      </c>
      <c r="H13" t="inlineStr">
        <is>
          <t>cat</t>
        </is>
      </c>
      <c r="L13" t="inlineStr">
        <is>
          <t>reseller</t>
        </is>
      </c>
      <c r="N13" t="n">
        <v>0</v>
      </c>
    </row>
    <row r="14">
      <c r="A14" t="inlineStr">
        <is>
          <t>c556184b3fe2087834850b68fa435cee</t>
        </is>
      </c>
      <c r="B14" t="inlineStr">
        <is>
          <t>2d2322d842118867781fc737e96d59a1</t>
        </is>
      </c>
      <c r="C14" t="inlineStr">
        <is>
          <t>09285259593c61296eef10c734121d5b</t>
        </is>
      </c>
      <c r="D14" t="inlineStr">
        <is>
          <t>2695de1affa7750089c0455f8ce27021</t>
        </is>
      </c>
      <c r="E14" s="30" t="n">
        <v>43242.55842592593</v>
      </c>
      <c r="F14" t="inlineStr">
        <is>
          <t>household_utilities</t>
        </is>
      </c>
      <c r="G14" t="inlineStr">
        <is>
          <t>online_medium</t>
        </is>
      </c>
      <c r="H14" t="inlineStr">
        <is>
          <t>cat</t>
        </is>
      </c>
      <c r="L14" t="inlineStr">
        <is>
          <t>reseller</t>
        </is>
      </c>
      <c r="N14" t="n">
        <v>0</v>
      </c>
    </row>
    <row r="15">
      <c r="A15" t="inlineStr">
        <is>
          <t>67455a0673f5cf26deae5b270c003e83</t>
        </is>
      </c>
      <c r="B15" t="inlineStr">
        <is>
          <t>e7012030d0fdd1d3ca504f6de7909c35</t>
        </is>
      </c>
      <c r="C15" t="inlineStr">
        <is>
          <t>4b339f9567d060bcea4f5136b9f5949e</t>
        </is>
      </c>
      <c r="D15" t="inlineStr">
        <is>
          <t>9ae085775a198122c5586fa830ff7f2b</t>
        </is>
      </c>
      <c r="E15" s="30" t="n">
        <v>43265.60439814815</v>
      </c>
      <c r="F15" t="inlineStr">
        <is>
          <t>toys</t>
        </is>
      </c>
      <c r="G15" t="inlineStr">
        <is>
          <t>online_big</t>
        </is>
      </c>
      <c r="H15" t="inlineStr">
        <is>
          <t>wolf</t>
        </is>
      </c>
      <c r="L15" t="inlineStr">
        <is>
          <t>reseller</t>
        </is>
      </c>
      <c r="N15" t="n">
        <v>0</v>
      </c>
    </row>
    <row r="16">
      <c r="A16" t="inlineStr">
        <is>
          <t>ab11f58a6bf7036a656364b0ba68fb74</t>
        </is>
      </c>
      <c r="B16" t="inlineStr">
        <is>
          <t>9e7c5f4d7770eab65738cca38f9efccf</t>
        </is>
      </c>
      <c r="C16" t="inlineStr">
        <is>
          <t>068066e24f0c643eb1d089c7dd20cd73</t>
        </is>
      </c>
      <c r="D16" t="inlineStr">
        <is>
          <t>de63de0d10a6012430098db33c679b0b</t>
        </is>
      </c>
      <c r="E16" s="30" t="n">
        <v>43200.125</v>
      </c>
      <c r="F16" t="inlineStr">
        <is>
          <t>sports_leisure</t>
        </is>
      </c>
      <c r="G16" t="inlineStr">
        <is>
          <t>online_medium</t>
        </is>
      </c>
      <c r="H16" t="inlineStr">
        <is>
          <t>cat</t>
        </is>
      </c>
      <c r="L16" t="inlineStr">
        <is>
          <t>reseller</t>
        </is>
      </c>
      <c r="N16" t="n">
        <v>0</v>
      </c>
    </row>
    <row r="17">
      <c r="A17" t="inlineStr">
        <is>
          <t>bae38661a27f6228ba38c36e766ed769</t>
        </is>
      </c>
      <c r="B17" t="inlineStr">
        <is>
          <t>6a6b1614baaaf766293c17d8cb8c5a9d</t>
        </is>
      </c>
      <c r="C17" t="inlineStr">
        <is>
          <t>f42a2bd194f7802ab052a815c8de65b7</t>
        </is>
      </c>
      <c r="D17" t="inlineStr">
        <is>
          <t>495d4e95a8cf8bbf8b432b612a2aa328</t>
        </is>
      </c>
      <c r="E17" s="30" t="n">
        <v>43353.59584490741</v>
      </c>
      <c r="F17" t="inlineStr">
        <is>
          <t>stationery</t>
        </is>
      </c>
      <c r="G17" t="inlineStr">
        <is>
          <t>industry</t>
        </is>
      </c>
      <c r="H17" t="inlineStr">
        <is>
          <t>cat</t>
        </is>
      </c>
      <c r="K17" t="inlineStr">
        <is>
          <t>20-50</t>
        </is>
      </c>
      <c r="L17" t="inlineStr">
        <is>
          <t>reseller</t>
        </is>
      </c>
      <c r="M17" t="n">
        <v>2000</v>
      </c>
      <c r="N17" t="n">
        <v>100000</v>
      </c>
    </row>
    <row r="18">
      <c r="A18" t="inlineStr">
        <is>
          <t>450b97a48568c3118ff397f73abe4e4a</t>
        </is>
      </c>
      <c r="B18" t="inlineStr">
        <is>
          <t>df91910b6a03bb2e3358fa6a35e32f6f</t>
        </is>
      </c>
      <c r="C18" t="inlineStr">
        <is>
          <t>09285259593c61296eef10c734121d5b</t>
        </is>
      </c>
      <c r="D18" t="inlineStr">
        <is>
          <t>060c0a26f19f4d66b42e0d8796688490</t>
        </is>
      </c>
      <c r="E18" s="30" t="n">
        <v>43200.806875</v>
      </c>
      <c r="F18" t="inlineStr">
        <is>
          <t>food_drink</t>
        </is>
      </c>
      <c r="G18" t="inlineStr">
        <is>
          <t>online_medium</t>
        </is>
      </c>
      <c r="H18" t="inlineStr">
        <is>
          <t>cat</t>
        </is>
      </c>
      <c r="L18" t="inlineStr">
        <is>
          <t>manufacturer</t>
        </is>
      </c>
      <c r="N18" t="n">
        <v>0</v>
      </c>
    </row>
    <row r="19">
      <c r="A19" t="inlineStr">
        <is>
          <t>9878253904482726e741460a99adba86</t>
        </is>
      </c>
      <c r="B19" t="inlineStr">
        <is>
          <t>92d46311e4fa7583d14c351fdc881af6</t>
        </is>
      </c>
      <c r="C19" t="inlineStr">
        <is>
          <t>de63de0d10a6012430098db33c679b0b</t>
        </is>
      </c>
      <c r="D19" t="inlineStr">
        <is>
          <t>4ef15afb4b2723d8f3d81e51ec7afefe</t>
        </is>
      </c>
      <c r="E19" s="30" t="n">
        <v>43126.72483796296</v>
      </c>
      <c r="F19" t="inlineStr">
        <is>
          <t>food_supplement</t>
        </is>
      </c>
      <c r="G19" t="inlineStr">
        <is>
          <t>industry</t>
        </is>
      </c>
      <c r="L19" t="inlineStr">
        <is>
          <t>manufacturer</t>
        </is>
      </c>
      <c r="N19" t="n">
        <v>0</v>
      </c>
    </row>
    <row r="20">
      <c r="A20" t="inlineStr">
        <is>
          <t>ed3d878bf23177e7075ce07578841047</t>
        </is>
      </c>
      <c r="B20" t="inlineStr">
        <is>
          <t>249f0e9905a6e06ad6c6bea7547ab9f6</t>
        </is>
      </c>
      <c r="C20" t="inlineStr">
        <is>
          <t>9d12ef1a7eca3ec58c545c678af7869c</t>
        </is>
      </c>
      <c r="D20" t="inlineStr">
        <is>
          <t>fbf4aef3f6915dc0c3c97d6812522f6a</t>
        </is>
      </c>
      <c r="E20" s="30" t="n">
        <v>43231.7939699074</v>
      </c>
      <c r="F20" t="inlineStr">
        <is>
          <t>home_decor</t>
        </is>
      </c>
      <c r="G20" t="inlineStr">
        <is>
          <t>online_medium</t>
        </is>
      </c>
      <c r="H20" t="inlineStr">
        <is>
          <t>cat</t>
        </is>
      </c>
      <c r="L20" t="inlineStr">
        <is>
          <t>manufacturer</t>
        </is>
      </c>
      <c r="N20" t="n">
        <v>0</v>
      </c>
    </row>
    <row r="21">
      <c r="A21" t="inlineStr">
        <is>
          <t>119ce5d79e3c006a9e46967bff271cb2</t>
        </is>
      </c>
      <c r="B21" t="inlineStr">
        <is>
          <t>b494891378bd8f4560abe576c52deacd</t>
        </is>
      </c>
      <c r="C21" t="inlineStr">
        <is>
          <t>b90f87164b5f8c2cfa5c8572834dbe3f</t>
        </is>
      </c>
      <c r="D21" t="inlineStr">
        <is>
          <t>4ef15afb4b2723d8f3d81e51ec7afefe</t>
        </is>
      </c>
      <c r="E21" s="30" t="n">
        <v>43270.58914351852</v>
      </c>
      <c r="F21" t="inlineStr">
        <is>
          <t>health_beauty</t>
        </is>
      </c>
      <c r="G21" t="inlineStr">
        <is>
          <t>online_top</t>
        </is>
      </c>
      <c r="H21" t="inlineStr">
        <is>
          <t>cat</t>
        </is>
      </c>
      <c r="L21" t="inlineStr">
        <is>
          <t>reseller</t>
        </is>
      </c>
      <c r="N21" t="n">
        <v>0</v>
      </c>
    </row>
    <row r="22">
      <c r="A22" t="inlineStr">
        <is>
          <t>1f4e960dc47c49ab5c2a495e00055f64</t>
        </is>
      </c>
      <c r="B22" t="inlineStr">
        <is>
          <t>8c45b4bc4b5c1e2a4e789b4466a39b77</t>
        </is>
      </c>
      <c r="C22" t="inlineStr">
        <is>
          <t>56bf83c4bb35763a51c2baab501b4c67</t>
        </is>
      </c>
      <c r="D22" t="inlineStr">
        <is>
          <t>c638112b43f1d1b86dcabb0da720c901</t>
        </is>
      </c>
      <c r="E22" s="30" t="n">
        <v>43138.58127314815</v>
      </c>
      <c r="F22" t="inlineStr">
        <is>
          <t>bed_bath_table</t>
        </is>
      </c>
      <c r="G22" t="inlineStr">
        <is>
          <t>offline</t>
        </is>
      </c>
      <c r="L22" t="inlineStr">
        <is>
          <t>reseller</t>
        </is>
      </c>
      <c r="N22" t="n">
        <v>0</v>
      </c>
    </row>
    <row r="23">
      <c r="A23" t="inlineStr">
        <is>
          <t>05d287893f5f083739da863da2c4b6f8</t>
        </is>
      </c>
      <c r="B23" t="inlineStr">
        <is>
          <t>49f6ca9231352dedda1ad1176ce70531</t>
        </is>
      </c>
      <c r="C23" t="inlineStr">
        <is>
          <t>9e4d1098a3b0f5da39b0bc48f9876645</t>
        </is>
      </c>
      <c r="D23" t="inlineStr">
        <is>
          <t>060c0a26f19f4d66b42e0d8796688490</t>
        </is>
      </c>
      <c r="E23" s="30" t="n">
        <v>43206.54802083333</v>
      </c>
      <c r="F23" t="inlineStr">
        <is>
          <t>health_beauty</t>
        </is>
      </c>
      <c r="G23" t="inlineStr">
        <is>
          <t>online_small</t>
        </is>
      </c>
      <c r="H23" t="inlineStr">
        <is>
          <t>cat</t>
        </is>
      </c>
      <c r="L23" t="inlineStr">
        <is>
          <t>reseller</t>
        </is>
      </c>
      <c r="N23" t="n">
        <v>0</v>
      </c>
    </row>
    <row r="24">
      <c r="A24" t="inlineStr">
        <is>
          <t>0b97be8b4b408a3a0780a32e0a143a7f</t>
        </is>
      </c>
      <c r="B24" t="inlineStr">
        <is>
          <t>7d13fca15225358621be4086e1eb0964</t>
        </is>
      </c>
      <c r="C24" t="inlineStr">
        <is>
          <t>56bf83c4bb35763a51c2baab501b4c67</t>
        </is>
      </c>
      <c r="D24" t="inlineStr">
        <is>
          <t>9ae085775a198122c5586fa830ff7f2b</t>
        </is>
      </c>
      <c r="E24" s="30" t="n">
        <v>43139.72238425926</v>
      </c>
      <c r="F24" t="inlineStr">
        <is>
          <t>watches</t>
        </is>
      </c>
      <c r="G24" t="inlineStr">
        <is>
          <t>online_big</t>
        </is>
      </c>
      <c r="L24" t="inlineStr">
        <is>
          <t>reseller</t>
        </is>
      </c>
      <c r="N24" t="n">
        <v>0</v>
      </c>
    </row>
    <row r="25">
      <c r="A25" t="inlineStr">
        <is>
          <t>2552a7b886c1710f36be92ac29b1362d</t>
        </is>
      </c>
      <c r="B25" t="inlineStr">
        <is>
          <t>efa89b428cbc422ba9313b4fc6feafc7</t>
        </is>
      </c>
      <c r="C25" t="inlineStr">
        <is>
          <t>56bf83c4bb35763a51c2baab501b4c67</t>
        </is>
      </c>
      <c r="D25" t="inlineStr">
        <is>
          <t>d3d1e91a157ea7f90548eef82f1955e3</t>
        </is>
      </c>
      <c r="E25" s="30" t="n">
        <v>43147.52217592593</v>
      </c>
      <c r="F25" t="inlineStr">
        <is>
          <t>fashion_accessories</t>
        </is>
      </c>
      <c r="G25" t="inlineStr">
        <is>
          <t>online_beginner</t>
        </is>
      </c>
      <c r="L25" t="inlineStr">
        <is>
          <t>manufacturer</t>
        </is>
      </c>
      <c r="N25" t="n">
        <v>0</v>
      </c>
    </row>
    <row r="26">
      <c r="A26" t="inlineStr">
        <is>
          <t>59c0665c39a2bb9c8776d66f4e8b8f66</t>
        </is>
      </c>
      <c r="B26" t="inlineStr">
        <is>
          <t>cb3666965a560e723403683bd378a5f7</t>
        </is>
      </c>
      <c r="C26" t="inlineStr">
        <is>
          <t>fdb16d3cbbeb5798f2f66c4096be026d</t>
        </is>
      </c>
      <c r="D26" t="inlineStr">
        <is>
          <t>4ef15afb4b2723d8f3d81e51ec7afefe</t>
        </is>
      </c>
      <c r="E26" s="30" t="n">
        <v>43153.52795138889</v>
      </c>
      <c r="F26" t="inlineStr">
        <is>
          <t>jewerly</t>
        </is>
      </c>
      <c r="G26" t="inlineStr">
        <is>
          <t>online_medium</t>
        </is>
      </c>
      <c r="L26" t="inlineStr">
        <is>
          <t>manufacturer</t>
        </is>
      </c>
      <c r="N26" t="n">
        <v>0</v>
      </c>
    </row>
    <row r="27">
      <c r="A27" t="inlineStr">
        <is>
          <t>4151b0029636a1c55afcce9283ac7902</t>
        </is>
      </c>
      <c r="B27" t="inlineStr">
        <is>
          <t>e819bcfade7b5d88a27325eb6cfd62c5</t>
        </is>
      </c>
      <c r="C27" t="inlineStr">
        <is>
          <t>068066e24f0c643eb1d089c7dd20cd73</t>
        </is>
      </c>
      <c r="D27" t="inlineStr">
        <is>
          <t>9ae085775a198122c5586fa830ff7f2b</t>
        </is>
      </c>
      <c r="E27" s="30" t="n">
        <v>43143.55431712963</v>
      </c>
      <c r="F27" t="inlineStr">
        <is>
          <t>home_decor</t>
        </is>
      </c>
      <c r="G27" t="inlineStr">
        <is>
          <t>industry</t>
        </is>
      </c>
      <c r="L27" t="inlineStr">
        <is>
          <t>manufacturer</t>
        </is>
      </c>
      <c r="N27" t="n">
        <v>0</v>
      </c>
    </row>
    <row r="28">
      <c r="A28" t="inlineStr">
        <is>
          <t>fc4166d1b1e192f650ee2d807b54c943</t>
        </is>
      </c>
      <c r="B28" t="inlineStr">
        <is>
          <t>70c27847eca8195c983ed7e798c56743</t>
        </is>
      </c>
      <c r="C28" t="inlineStr">
        <is>
          <t>fdb16d3cbbeb5798f2f66c4096be026d</t>
        </is>
      </c>
      <c r="D28" t="inlineStr">
        <is>
          <t>4ef15afb4b2723d8f3d81e51ec7afefe</t>
        </is>
      </c>
      <c r="E28" s="30" t="n">
        <v>43139.87342592593</v>
      </c>
      <c r="F28" t="inlineStr">
        <is>
          <t>pet</t>
        </is>
      </c>
      <c r="G28" t="inlineStr">
        <is>
          <t>online_small</t>
        </is>
      </c>
      <c r="L28" t="inlineStr">
        <is>
          <t>reseller</t>
        </is>
      </c>
      <c r="N28" t="n">
        <v>0</v>
      </c>
    </row>
    <row r="29">
      <c r="A29" t="inlineStr">
        <is>
          <t>85e43237b3fb87d881c757f44f1b0357</t>
        </is>
      </c>
      <c r="B29" t="inlineStr">
        <is>
          <t>556a6409838156ea299c9d1f9e2dde43</t>
        </is>
      </c>
      <c r="C29" t="inlineStr">
        <is>
          <t>4b339f9567d060bcea4f5136b9f5949e</t>
        </is>
      </c>
      <c r="D29" t="inlineStr">
        <is>
          <t>fbf4aef3f6915dc0c3c97d6812522f6a</t>
        </is>
      </c>
      <c r="E29" s="30" t="n">
        <v>43196.87006944444</v>
      </c>
      <c r="F29" t="inlineStr">
        <is>
          <t>household_utilities</t>
        </is>
      </c>
      <c r="G29" t="inlineStr">
        <is>
          <t>industry</t>
        </is>
      </c>
      <c r="H29" t="inlineStr">
        <is>
          <t>shark</t>
        </is>
      </c>
      <c r="L29" t="inlineStr">
        <is>
          <t>reseller</t>
        </is>
      </c>
      <c r="N29" t="n">
        <v>0</v>
      </c>
    </row>
    <row r="30">
      <c r="A30" t="inlineStr">
        <is>
          <t>9ce2e101957dc53e3e89cc8e1599aa60</t>
        </is>
      </c>
      <c r="B30" t="inlineStr">
        <is>
          <t>a4fc6eadaff1576af888509a53420f6a</t>
        </is>
      </c>
      <c r="C30" t="inlineStr">
        <is>
          <t>09285259593c61296eef10c734121d5b</t>
        </is>
      </c>
      <c r="D30" t="inlineStr">
        <is>
          <t>6565aa9ce3178a5caf6171827af3a9ba</t>
        </is>
      </c>
      <c r="E30" s="30" t="n">
        <v>43203.51930555556</v>
      </c>
      <c r="F30" t="inlineStr">
        <is>
          <t>computers</t>
        </is>
      </c>
      <c r="G30" t="inlineStr">
        <is>
          <t>online_beginner</t>
        </is>
      </c>
      <c r="H30" t="inlineStr">
        <is>
          <t>cat</t>
        </is>
      </c>
      <c r="L30" t="inlineStr">
        <is>
          <t>reseller</t>
        </is>
      </c>
      <c r="N30" t="n">
        <v>0</v>
      </c>
    </row>
    <row r="31">
      <c r="A31" t="inlineStr">
        <is>
          <t>9a6b65aedf8177783035f3a53ca21ed1</t>
        </is>
      </c>
      <c r="B31" t="inlineStr">
        <is>
          <t>0975b0dd18febd1008391fa53dff0891</t>
        </is>
      </c>
      <c r="C31" t="inlineStr">
        <is>
          <t>370c9f455f93a9a96cbe9bea48e70033</t>
        </is>
      </c>
      <c r="D31" t="inlineStr">
        <is>
          <t>85fc447d336637ba1df43e793199fbc8</t>
        </is>
      </c>
      <c r="E31" s="30" t="n">
        <v>43208.75148148148</v>
      </c>
      <c r="F31" t="inlineStr">
        <is>
          <t>party</t>
        </is>
      </c>
      <c r="G31" t="inlineStr">
        <is>
          <t>online_medium</t>
        </is>
      </c>
      <c r="H31" t="inlineStr">
        <is>
          <t>eagle</t>
        </is>
      </c>
      <c r="L31" t="inlineStr">
        <is>
          <t>manufacturer</t>
        </is>
      </c>
      <c r="N31" t="n">
        <v>0</v>
      </c>
    </row>
    <row r="32">
      <c r="A32" t="inlineStr">
        <is>
          <t>4bb1ec1ff58ad39558e8468054bfc469</t>
        </is>
      </c>
      <c r="B32" t="inlineStr">
        <is>
          <t>4fae87d32467e18eb46e4a76a0a0b9ce</t>
        </is>
      </c>
      <c r="C32" t="inlineStr">
        <is>
          <t>9d12ef1a7eca3ec58c545c678af7869c</t>
        </is>
      </c>
      <c r="D32" t="inlineStr">
        <is>
          <t>a8387c01a09e99ce014107505b92388c</t>
        </is>
      </c>
      <c r="E32" s="30" t="n">
        <v>43300.75424768519</v>
      </c>
      <c r="F32" t="inlineStr">
        <is>
          <t>small_appliances</t>
        </is>
      </c>
      <c r="G32" t="inlineStr">
        <is>
          <t>online_medium</t>
        </is>
      </c>
      <c r="H32" t="inlineStr">
        <is>
          <t>cat</t>
        </is>
      </c>
      <c r="I32" t="b">
        <v>1</v>
      </c>
      <c r="J32" t="b">
        <v>1</v>
      </c>
      <c r="K32" t="inlineStr">
        <is>
          <t>20-50</t>
        </is>
      </c>
      <c r="L32" t="inlineStr">
        <is>
          <t>reseller</t>
        </is>
      </c>
      <c r="N32" t="n">
        <v>0</v>
      </c>
    </row>
    <row r="33">
      <c r="A33" t="inlineStr">
        <is>
          <t>c34eb63cd098bf4be03d53462d7ecba2</t>
        </is>
      </c>
      <c r="B33" t="inlineStr">
        <is>
          <t>3525be8392a4fa3274c459bcfee41eef</t>
        </is>
      </c>
      <c r="C33" t="inlineStr">
        <is>
          <t>4b339f9567d060bcea4f5136b9f5949e</t>
        </is>
      </c>
      <c r="D33" t="inlineStr">
        <is>
          <t>de63de0d10a6012430098db33c679b0b</t>
        </is>
      </c>
      <c r="E33" s="30" t="n">
        <v>43285.63017361111</v>
      </c>
      <c r="F33" t="inlineStr">
        <is>
          <t>food_supplement</t>
        </is>
      </c>
      <c r="G33" t="inlineStr">
        <is>
          <t>online_small</t>
        </is>
      </c>
      <c r="H33" t="inlineStr">
        <is>
          <t>cat</t>
        </is>
      </c>
      <c r="L33" t="inlineStr">
        <is>
          <t>reseller</t>
        </is>
      </c>
      <c r="N33" t="n">
        <v>0</v>
      </c>
    </row>
    <row r="34">
      <c r="A34" t="inlineStr">
        <is>
          <t>e428d5580f729d23e6070e43c492e424</t>
        </is>
      </c>
      <c r="B34" t="inlineStr">
        <is>
          <t>8b181ee5518df84f18f4e1a43fe07923</t>
        </is>
      </c>
      <c r="C34" t="inlineStr">
        <is>
          <t>09285259593c61296eef10c734121d5b</t>
        </is>
      </c>
      <c r="D34" t="inlineStr">
        <is>
          <t>de63de0d10a6012430098db33c679b0b</t>
        </is>
      </c>
      <c r="E34" s="30" t="n">
        <v>43215.125</v>
      </c>
      <c r="F34" t="inlineStr">
        <is>
          <t>health_beauty</t>
        </is>
      </c>
      <c r="G34" t="inlineStr">
        <is>
          <t>online_medium</t>
        </is>
      </c>
      <c r="H34" t="inlineStr">
        <is>
          <t>shark</t>
        </is>
      </c>
      <c r="L34" t="inlineStr">
        <is>
          <t>reseller</t>
        </is>
      </c>
      <c r="N34" t="n">
        <v>0</v>
      </c>
    </row>
    <row r="35">
      <c r="A35" t="inlineStr">
        <is>
          <t>e3c91316d8f28b18d96869aebbb7c3ec</t>
        </is>
      </c>
      <c r="B35" t="inlineStr">
        <is>
          <t>d594982fd877af63ace38ea1fca27c76</t>
        </is>
      </c>
      <c r="C35" t="inlineStr">
        <is>
          <t>09285259593c61296eef10c734121d5b</t>
        </is>
      </c>
      <c r="D35" t="inlineStr">
        <is>
          <t>fbf4aef3f6915dc0c3c97d6812522f6a</t>
        </is>
      </c>
      <c r="E35" s="30" t="n">
        <v>43256.72261574074</v>
      </c>
      <c r="F35" t="inlineStr">
        <is>
          <t>audio_video_electronics</t>
        </is>
      </c>
      <c r="G35" t="inlineStr">
        <is>
          <t>industry</t>
        </is>
      </c>
      <c r="H35" t="inlineStr">
        <is>
          <t>wolf</t>
        </is>
      </c>
      <c r="L35" t="inlineStr">
        <is>
          <t>reseller</t>
        </is>
      </c>
      <c r="N35" t="n">
        <v>0</v>
      </c>
    </row>
    <row r="36">
      <c r="A36" t="inlineStr">
        <is>
          <t>72e81de94dfc0373b006ca75e9c851a1</t>
        </is>
      </c>
      <c r="B36" t="inlineStr">
        <is>
          <t>2f1e89e231b096f4ff1f55dfe8607a7b</t>
        </is>
      </c>
      <c r="C36" t="inlineStr">
        <is>
          <t>e7dff61b78bebffa71678e126ce669ad</t>
        </is>
      </c>
      <c r="D36" t="inlineStr">
        <is>
          <t>068066e24f0c643eb1d089c7dd20cd73</t>
        </is>
      </c>
      <c r="E36" s="30" t="n">
        <v>43404.70484953704</v>
      </c>
      <c r="F36" t="inlineStr">
        <is>
          <t>computers</t>
        </is>
      </c>
      <c r="G36" t="inlineStr">
        <is>
          <t>online_medium</t>
        </is>
      </c>
      <c r="H36" t="inlineStr">
        <is>
          <t>cat</t>
        </is>
      </c>
      <c r="I36" t="b">
        <v>1</v>
      </c>
      <c r="K36" t="inlineStr">
        <is>
          <t>1-5</t>
        </is>
      </c>
      <c r="L36" t="inlineStr">
        <is>
          <t>reseller</t>
        </is>
      </c>
      <c r="M36" t="n">
        <v>80</v>
      </c>
      <c r="N36" t="n">
        <v>0</v>
      </c>
    </row>
    <row r="37">
      <c r="A37" t="inlineStr">
        <is>
          <t>1cbfa9c878ef8692c1ae21e4cfa11000</t>
        </is>
      </c>
      <c r="B37" t="inlineStr">
        <is>
          <t>90269579385b838ce9bd577dcec278a4</t>
        </is>
      </c>
      <c r="C37" t="inlineStr">
        <is>
          <t>34d40cdaf94010a1d05b0d6212f9e909</t>
        </is>
      </c>
      <c r="D37" t="inlineStr">
        <is>
          <t>85fc447d336637ba1df43e793199fbc8</t>
        </is>
      </c>
      <c r="E37" s="30" t="n">
        <v>43250.61377314815</v>
      </c>
      <c r="F37" t="inlineStr">
        <is>
          <t>pet</t>
        </is>
      </c>
      <c r="G37" t="inlineStr">
        <is>
          <t>industry</t>
        </is>
      </c>
      <c r="H37" t="inlineStr">
        <is>
          <t>cat</t>
        </is>
      </c>
      <c r="L37" t="inlineStr">
        <is>
          <t>manufacturer</t>
        </is>
      </c>
      <c r="N37" t="n">
        <v>0</v>
      </c>
    </row>
    <row r="38">
      <c r="A38" t="inlineStr">
        <is>
          <t>b055fc7de322786cd9ddc996cb6e72ff</t>
        </is>
      </c>
      <c r="B38" t="inlineStr">
        <is>
          <t>398cb257329ef7af7f1943a8974a3cbc</t>
        </is>
      </c>
      <c r="C38" t="inlineStr">
        <is>
          <t>a8387c01a09e99ce014107505b92388c</t>
        </is>
      </c>
      <c r="D38" t="inlineStr">
        <is>
          <t>9ae085775a198122c5586fa830ff7f2b</t>
        </is>
      </c>
      <c r="E38" s="30" t="n">
        <v>43165.51769675926</v>
      </c>
      <c r="F38" t="inlineStr">
        <is>
          <t>food_drink</t>
        </is>
      </c>
      <c r="G38" t="inlineStr">
        <is>
          <t>online_medium</t>
        </is>
      </c>
      <c r="H38" t="inlineStr">
        <is>
          <t>cat</t>
        </is>
      </c>
      <c r="L38" t="inlineStr">
        <is>
          <t>manufacturer</t>
        </is>
      </c>
      <c r="N38" t="n">
        <v>0</v>
      </c>
    </row>
    <row r="39">
      <c r="A39" t="inlineStr">
        <is>
          <t>a8d2884db49e0769ad4a0b8dce2e143c</t>
        </is>
      </c>
      <c r="B39" t="inlineStr">
        <is>
          <t>d65f74c704563bcb8baa915fbf8cfa1e</t>
        </is>
      </c>
      <c r="C39" t="inlineStr">
        <is>
          <t>6aa3b86a83d784b05f0e37e26b20860d</t>
        </is>
      </c>
      <c r="D39" t="inlineStr">
        <is>
          <t>de63de0d10a6012430098db33c679b0b</t>
        </is>
      </c>
      <c r="E39" s="30" t="n">
        <v>43370.52153935185</v>
      </c>
      <c r="F39" t="inlineStr">
        <is>
          <t>health_beauty</t>
        </is>
      </c>
      <c r="G39" t="inlineStr">
        <is>
          <t>online_medium</t>
        </is>
      </c>
      <c r="H39" t="inlineStr">
        <is>
          <t>cat</t>
        </is>
      </c>
      <c r="J39" t="b">
        <v>0</v>
      </c>
      <c r="L39" t="inlineStr">
        <is>
          <t>reseller</t>
        </is>
      </c>
      <c r="M39" t="n">
        <v>15</v>
      </c>
      <c r="N39" t="n">
        <v>20000</v>
      </c>
    </row>
    <row r="40">
      <c r="A40" t="inlineStr">
        <is>
          <t>d955b97b28c2966211c9de2fe22fefbd</t>
        </is>
      </c>
      <c r="B40" t="inlineStr">
        <is>
          <t>26e2c91ef821e1ff8985f408788fe35b</t>
        </is>
      </c>
      <c r="C40" t="inlineStr">
        <is>
          <t>4b339f9567d060bcea4f5136b9f5949e</t>
        </is>
      </c>
      <c r="D40" t="inlineStr">
        <is>
          <t>6565aa9ce3178a5caf6171827af3a9ba</t>
        </is>
      </c>
      <c r="E40" s="30" t="n">
        <v>43137.65710648148</v>
      </c>
      <c r="F40" t="inlineStr">
        <is>
          <t>bed_bath_table</t>
        </is>
      </c>
      <c r="G40" t="inlineStr">
        <is>
          <t>online_beginner</t>
        </is>
      </c>
      <c r="L40" t="inlineStr">
        <is>
          <t>manufacturer</t>
        </is>
      </c>
      <c r="N40" t="n">
        <v>0</v>
      </c>
    </row>
    <row r="41">
      <c r="A41" t="inlineStr">
        <is>
          <t>1d7cc0f1d0b54eac3609c5222246595b</t>
        </is>
      </c>
      <c r="B41" t="inlineStr">
        <is>
          <t>dedcab67899479e4ea5dcc4eba47f587</t>
        </is>
      </c>
      <c r="C41" t="inlineStr">
        <is>
          <t>56bf83c4bb35763a51c2baab501b4c67</t>
        </is>
      </c>
      <c r="D41" t="inlineStr">
        <is>
          <t>d3d1e91a157ea7f90548eef82f1955e3</t>
        </is>
      </c>
      <c r="E41" s="30" t="n">
        <v>43235.75376157407</v>
      </c>
      <c r="F41" t="inlineStr">
        <is>
          <t>car_accessories</t>
        </is>
      </c>
      <c r="G41" t="inlineStr">
        <is>
          <t>online_medium</t>
        </is>
      </c>
      <c r="L41" t="inlineStr">
        <is>
          <t>reseller</t>
        </is>
      </c>
      <c r="N41" t="n">
        <v>0</v>
      </c>
    </row>
    <row r="42">
      <c r="A42" t="inlineStr">
        <is>
          <t>78f9eb91b8c7b3b3967fab18283ec614</t>
        </is>
      </c>
      <c r="B42" t="inlineStr">
        <is>
          <t>ca4b77513ac2040591b0d8fae6958380</t>
        </is>
      </c>
      <c r="C42" t="inlineStr">
        <is>
          <t>370c9f455f93a9a96cbe9bea48e70033</t>
        </is>
      </c>
      <c r="D42" t="inlineStr">
        <is>
          <t>a8387c01a09e99ce014107505b92388c</t>
        </is>
      </c>
      <c r="E42" s="30" t="n">
        <v>43262.52826388889</v>
      </c>
      <c r="F42" t="inlineStr">
        <is>
          <t>health_beauty</t>
        </is>
      </c>
      <c r="G42" t="inlineStr">
        <is>
          <t>online_medium</t>
        </is>
      </c>
      <c r="H42" t="inlineStr">
        <is>
          <t>cat</t>
        </is>
      </c>
      <c r="L42" t="inlineStr">
        <is>
          <t>reseller</t>
        </is>
      </c>
      <c r="N42" t="n">
        <v>0</v>
      </c>
    </row>
    <row r="43">
      <c r="A43" t="inlineStr">
        <is>
          <t>20fcec0873b39b4df3df34140d77d6e7</t>
        </is>
      </c>
      <c r="B43" t="inlineStr">
        <is>
          <t>cee3c487c56d29554a22d112af618301</t>
        </is>
      </c>
      <c r="C43" t="inlineStr">
        <is>
          <t>084b6fbb10729ed4da8c3d3f5a3ae7c9</t>
        </is>
      </c>
      <c r="D43" t="inlineStr">
        <is>
          <t>0a0fb2b07d841f84fb6714e35c723075</t>
        </is>
      </c>
      <c r="E43" s="30" t="n">
        <v>43418.75299768519</v>
      </c>
      <c r="F43" t="inlineStr">
        <is>
          <t>other</t>
        </is>
      </c>
      <c r="G43" t="inlineStr">
        <is>
          <t>other</t>
        </is>
      </c>
      <c r="H43" t="inlineStr">
        <is>
          <t>cat</t>
        </is>
      </c>
      <c r="I43" t="b">
        <v>0</v>
      </c>
      <c r="J43" t="b">
        <v>0</v>
      </c>
      <c r="K43" t="inlineStr">
        <is>
          <t>1-5</t>
        </is>
      </c>
      <c r="L43" t="inlineStr">
        <is>
          <t>other</t>
        </is>
      </c>
      <c r="M43" t="n">
        <v>120</v>
      </c>
      <c r="N43" t="n">
        <v>6000</v>
      </c>
    </row>
    <row r="44">
      <c r="A44" t="inlineStr">
        <is>
          <t>0a1643cb73c25878cc845d5594059afe</t>
        </is>
      </c>
      <c r="B44" t="inlineStr">
        <is>
          <t>ae9d6bb89361dff26edbccc7e1c2911d</t>
        </is>
      </c>
      <c r="C44" t="inlineStr">
        <is>
          <t>068066e24f0c643eb1d089c7dd20cd73</t>
        </is>
      </c>
      <c r="D44" t="inlineStr">
        <is>
          <t>2695de1affa7750089c0455f8ce27021</t>
        </is>
      </c>
      <c r="E44" s="30" t="n">
        <v>43217.58440972222</v>
      </c>
      <c r="F44" t="inlineStr">
        <is>
          <t>fashion_accessories</t>
        </is>
      </c>
      <c r="G44" t="inlineStr">
        <is>
          <t>online_beginner</t>
        </is>
      </c>
      <c r="H44" t="inlineStr">
        <is>
          <t>cat</t>
        </is>
      </c>
      <c r="L44" t="inlineStr">
        <is>
          <t>manufacturer</t>
        </is>
      </c>
      <c r="N44" t="n">
        <v>0</v>
      </c>
    </row>
    <row r="45">
      <c r="A45" t="inlineStr">
        <is>
          <t>92c7eacf759c266a7663d63876d84223</t>
        </is>
      </c>
      <c r="B45" t="inlineStr">
        <is>
          <t>da3eab58892c04039f4cd5ecb09ae260</t>
        </is>
      </c>
      <c r="C45" t="inlineStr">
        <is>
          <t>9d12ef1a7eca3ec58c545c678af7869c</t>
        </is>
      </c>
      <c r="D45" t="inlineStr">
        <is>
          <t>c638112b43f1d1b86dcabb0da720c901</t>
        </is>
      </c>
      <c r="E45" s="30" t="n">
        <v>43186.80138888889</v>
      </c>
      <c r="F45" t="inlineStr">
        <is>
          <t>home_decor</t>
        </is>
      </c>
      <c r="G45" t="inlineStr">
        <is>
          <t>offline</t>
        </is>
      </c>
      <c r="H45" t="inlineStr">
        <is>
          <t>eagle</t>
        </is>
      </c>
      <c r="L45" t="inlineStr">
        <is>
          <t>manufacturer</t>
        </is>
      </c>
      <c r="N45" t="n">
        <v>0</v>
      </c>
    </row>
    <row r="46">
      <c r="A46" t="inlineStr">
        <is>
          <t>f72a53e19c3310188cedd074226312c9</t>
        </is>
      </c>
      <c r="B46" t="inlineStr">
        <is>
          <t>6e4a902d1054e4e17aa6eab87fac1c75</t>
        </is>
      </c>
      <c r="C46" t="inlineStr">
        <is>
          <t>34d40cdaf94010a1d05b0d6212f9e909</t>
        </is>
      </c>
      <c r="D46" t="inlineStr">
        <is>
          <t>2695de1affa7750089c0455f8ce27021</t>
        </is>
      </c>
      <c r="E46" s="30" t="n">
        <v>43269.58194444444</v>
      </c>
      <c r="F46" t="inlineStr">
        <is>
          <t>audio_video_electronics</t>
        </is>
      </c>
      <c r="G46" t="inlineStr">
        <is>
          <t>offline</t>
        </is>
      </c>
      <c r="H46" t="inlineStr">
        <is>
          <t>wolf</t>
        </is>
      </c>
      <c r="L46" t="inlineStr">
        <is>
          <t>reseller</t>
        </is>
      </c>
      <c r="N46" t="n">
        <v>0</v>
      </c>
    </row>
    <row r="47">
      <c r="A47" t="inlineStr">
        <is>
          <t>d25814a309be54d1d2279a4ff921ea28</t>
        </is>
      </c>
      <c r="B47" t="inlineStr">
        <is>
          <t>2d42ebcda99fd55f6f4bc2f1ca035d50</t>
        </is>
      </c>
      <c r="C47" t="inlineStr">
        <is>
          <t>4b339f9567d060bcea4f5136b9f5949e</t>
        </is>
      </c>
      <c r="D47" t="inlineStr">
        <is>
          <t>9e4d1098a3b0f5da39b0bc48f9876645</t>
        </is>
      </c>
      <c r="E47" s="30" t="n">
        <v>43201.125</v>
      </c>
      <c r="F47" t="inlineStr">
        <is>
          <t>home_decor</t>
        </is>
      </c>
      <c r="G47" t="inlineStr">
        <is>
          <t>online_big</t>
        </is>
      </c>
      <c r="H47" t="inlineStr">
        <is>
          <t>cat</t>
        </is>
      </c>
      <c r="L47" t="inlineStr">
        <is>
          <t>reseller</t>
        </is>
      </c>
      <c r="N47" t="n">
        <v>0</v>
      </c>
    </row>
    <row r="48">
      <c r="A48" t="inlineStr">
        <is>
          <t>e3ed7cb7b47e4079cb9fef895846b3e2</t>
        </is>
      </c>
      <c r="B48" t="inlineStr">
        <is>
          <t>04843805947f0fc584fc1969b6e50fe7</t>
        </is>
      </c>
      <c r="C48" t="inlineStr">
        <is>
          <t>9d12ef1a7eca3ec58c545c678af7869c</t>
        </is>
      </c>
      <c r="D48" t="inlineStr">
        <is>
          <t>fbf4aef3f6915dc0c3c97d6812522f6a</t>
        </is>
      </c>
      <c r="E48" s="30" t="n">
        <v>43208.70185185185</v>
      </c>
      <c r="F48" t="inlineStr">
        <is>
          <t>home_decor</t>
        </is>
      </c>
      <c r="G48" t="inlineStr">
        <is>
          <t>online_big</t>
        </is>
      </c>
      <c r="H48" t="inlineStr">
        <is>
          <t>cat</t>
        </is>
      </c>
      <c r="L48" t="inlineStr">
        <is>
          <t>manufacturer</t>
        </is>
      </c>
      <c r="N48" t="n">
        <v>0</v>
      </c>
    </row>
    <row r="49">
      <c r="A49" t="inlineStr">
        <is>
          <t>413e4eb37de01f40522e28ecdc268639</t>
        </is>
      </c>
      <c r="B49" t="inlineStr">
        <is>
          <t>d9d057968270cdb30c14cba606d5dc90</t>
        </is>
      </c>
      <c r="C49" t="inlineStr">
        <is>
          <t>4b339f9567d060bcea4f5136b9f5949e</t>
        </is>
      </c>
      <c r="D49" t="inlineStr">
        <is>
          <t>495d4e95a8cf8bbf8b432b612a2aa328</t>
        </is>
      </c>
      <c r="E49" s="30" t="n">
        <v>43188.74215277778</v>
      </c>
      <c r="F49" t="inlineStr">
        <is>
          <t>car_accessories</t>
        </is>
      </c>
      <c r="G49" t="inlineStr">
        <is>
          <t>online_medium</t>
        </is>
      </c>
      <c r="L49" t="inlineStr">
        <is>
          <t>reseller</t>
        </is>
      </c>
      <c r="N49" t="n">
        <v>0</v>
      </c>
    </row>
    <row r="50">
      <c r="A50" t="inlineStr">
        <is>
          <t>c1e598764329cc9c377ef1d029be8ceb</t>
        </is>
      </c>
      <c r="B50" t="inlineStr">
        <is>
          <t>d4dcd3a31f5f19aea2f258a568517a4f</t>
        </is>
      </c>
      <c r="C50" t="inlineStr">
        <is>
          <t>fdb16d3cbbeb5798f2f66c4096be026d</t>
        </is>
      </c>
      <c r="D50" t="inlineStr">
        <is>
          <t>060c0a26f19f4d66b42e0d8796688490</t>
        </is>
      </c>
      <c r="E50" s="30" t="n">
        <v>43153.55446759259</v>
      </c>
      <c r="F50" t="inlineStr">
        <is>
          <t>food_drink</t>
        </is>
      </c>
      <c r="G50" t="inlineStr">
        <is>
          <t>industry</t>
        </is>
      </c>
      <c r="L50" t="inlineStr">
        <is>
          <t>manufacturer</t>
        </is>
      </c>
      <c r="N50" t="n">
        <v>0</v>
      </c>
    </row>
    <row r="51">
      <c r="A51" t="inlineStr">
        <is>
          <t>9cca8d684240e24dd459f2d439fae30c</t>
        </is>
      </c>
      <c r="B51" t="inlineStr">
        <is>
          <t>28760737b4b82d4479ddff8db5e9f71f</t>
        </is>
      </c>
      <c r="C51" t="inlineStr">
        <is>
          <t>9e4d1098a3b0f5da39b0bc48f9876645</t>
        </is>
      </c>
      <c r="D51" t="inlineStr">
        <is>
          <t>4ef15afb4b2723d8f3d81e51ec7afefe</t>
        </is>
      </c>
      <c r="E51" s="30" t="n">
        <v>43158.83625</v>
      </c>
      <c r="F51" t="inlineStr">
        <is>
          <t>pet</t>
        </is>
      </c>
      <c r="G51" t="inlineStr">
        <is>
          <t>online_medium</t>
        </is>
      </c>
      <c r="H51" t="inlineStr">
        <is>
          <t>cat</t>
        </is>
      </c>
      <c r="L51" t="inlineStr">
        <is>
          <t>manufacturer</t>
        </is>
      </c>
      <c r="N51" t="n">
        <v>0</v>
      </c>
    </row>
    <row r="52">
      <c r="A52" t="inlineStr">
        <is>
          <t>0d99b130d767e50e22b528261ffe5550</t>
        </is>
      </c>
      <c r="B52" t="inlineStr">
        <is>
          <t>0dccb6973ef48a00fbcccfe907181ab0</t>
        </is>
      </c>
      <c r="C52" t="inlineStr">
        <is>
          <t>34d40cdaf94010a1d05b0d6212f9e909</t>
        </is>
      </c>
      <c r="D52" t="inlineStr">
        <is>
          <t>a8387c01a09e99ce014107505b92388c</t>
        </is>
      </c>
      <c r="E52" s="30" t="n">
        <v>43262.5029050926</v>
      </c>
      <c r="F52" t="inlineStr">
        <is>
          <t>food_supplement</t>
        </is>
      </c>
      <c r="G52" t="inlineStr">
        <is>
          <t>online_beginner</t>
        </is>
      </c>
      <c r="H52" t="inlineStr">
        <is>
          <t>cat</t>
        </is>
      </c>
      <c r="L52" t="inlineStr">
        <is>
          <t>reseller</t>
        </is>
      </c>
      <c r="N52" t="n">
        <v>0</v>
      </c>
    </row>
    <row r="53">
      <c r="A53" t="inlineStr">
        <is>
          <t>7c9ac4388867d4cc3f1cf9c05ad7e944</t>
        </is>
      </c>
      <c r="B53" t="inlineStr">
        <is>
          <t>751e274377499a8503fd6243ad9c56f6</t>
        </is>
      </c>
      <c r="C53" t="inlineStr">
        <is>
          <t>9749123c950bf8363ace42cb1c2d0815</t>
        </is>
      </c>
      <c r="D53" t="inlineStr">
        <is>
          <t>4ef15afb4b2723d8f3d81e51ec7afefe</t>
        </is>
      </c>
      <c r="E53" s="30" t="n">
        <v>43311.60753472222</v>
      </c>
      <c r="F53" t="inlineStr">
        <is>
          <t>audio_video_electronics</t>
        </is>
      </c>
      <c r="G53" t="inlineStr">
        <is>
          <t>online_big</t>
        </is>
      </c>
      <c r="H53" t="inlineStr">
        <is>
          <t>cat</t>
        </is>
      </c>
      <c r="L53" t="inlineStr">
        <is>
          <t>reseller</t>
        </is>
      </c>
      <c r="N53" t="n">
        <v>0</v>
      </c>
    </row>
    <row r="54">
      <c r="A54" t="inlineStr">
        <is>
          <t>2c5d0b35798bffadf8f67ef0af84d183</t>
        </is>
      </c>
      <c r="B54" t="inlineStr">
        <is>
          <t>93a55b2252867fd7df54c78cbd5c6d95</t>
        </is>
      </c>
      <c r="C54" t="inlineStr">
        <is>
          <t>56bf83c4bb35763a51c2baab501b4c67</t>
        </is>
      </c>
      <c r="D54" t="inlineStr">
        <is>
          <t>fbf4aef3f6915dc0c3c97d6812522f6a</t>
        </is>
      </c>
      <c r="E54" s="30" t="n">
        <v>43192.59760416667</v>
      </c>
      <c r="F54" t="inlineStr">
        <is>
          <t>construction_tools_house_garden</t>
        </is>
      </c>
      <c r="G54" t="inlineStr">
        <is>
          <t>offline</t>
        </is>
      </c>
      <c r="H54" t="inlineStr">
        <is>
          <t>cat</t>
        </is>
      </c>
      <c r="L54" t="inlineStr">
        <is>
          <t>reseller</t>
        </is>
      </c>
      <c r="N54" t="n">
        <v>0</v>
      </c>
    </row>
    <row r="55">
      <c r="A55" t="inlineStr">
        <is>
          <t>e5860ae00103b3869a25d940345bf0fd</t>
        </is>
      </c>
      <c r="B55" t="inlineStr">
        <is>
          <t>1185ae3e5ac0463c854dad54fc8fc9e1</t>
        </is>
      </c>
      <c r="C55" t="inlineStr">
        <is>
          <t>34d40cdaf94010a1d05b0d6212f9e909</t>
        </is>
      </c>
      <c r="D55" t="inlineStr">
        <is>
          <t>495d4e95a8cf8bbf8b432b612a2aa328</t>
        </is>
      </c>
      <c r="E55" s="30" t="n">
        <v>43203.53512731481</v>
      </c>
      <c r="F55" t="inlineStr">
        <is>
          <t>bags_backpacks</t>
        </is>
      </c>
      <c r="G55" t="inlineStr">
        <is>
          <t>industry</t>
        </is>
      </c>
      <c r="H55" t="inlineStr">
        <is>
          <t>cat</t>
        </is>
      </c>
      <c r="L55" t="inlineStr">
        <is>
          <t>manufacturer</t>
        </is>
      </c>
      <c r="N55" t="n">
        <v>0</v>
      </c>
    </row>
    <row r="56">
      <c r="A56" t="inlineStr">
        <is>
          <t>014c073ef65e4a7ef73acd61cf606164</t>
        </is>
      </c>
      <c r="B56" t="inlineStr">
        <is>
          <t>2646baaf662d4d92ac48f047e35db92d</t>
        </is>
      </c>
      <c r="C56" t="inlineStr">
        <is>
          <t>9d12ef1a7eca3ec58c545c678af7869c</t>
        </is>
      </c>
      <c r="D56" t="inlineStr">
        <is>
          <t>4ef15afb4b2723d8f3d81e51ec7afefe</t>
        </is>
      </c>
      <c r="E56" s="30" t="n">
        <v>43182.79645833333</v>
      </c>
      <c r="F56" t="inlineStr">
        <is>
          <t>construction_tools_house_garden</t>
        </is>
      </c>
      <c r="G56" t="inlineStr">
        <is>
          <t>online_medium</t>
        </is>
      </c>
      <c r="H56" t="inlineStr">
        <is>
          <t>eagle</t>
        </is>
      </c>
      <c r="L56" t="inlineStr">
        <is>
          <t>reseller</t>
        </is>
      </c>
      <c r="N56" t="n">
        <v>0</v>
      </c>
    </row>
    <row r="57">
      <c r="A57" t="inlineStr">
        <is>
          <t>3a91a097116d6c8b32d41e0c81dd1e9c</t>
        </is>
      </c>
      <c r="B57" t="inlineStr">
        <is>
          <t>e433f5fd4050e3352b5d83522b7fe24b</t>
        </is>
      </c>
      <c r="C57" t="inlineStr">
        <is>
          <t>a8387c01a09e99ce014107505b92388c</t>
        </is>
      </c>
      <c r="D57" t="inlineStr">
        <is>
          <t>9e4d1098a3b0f5da39b0bc48f9876645</t>
        </is>
      </c>
      <c r="E57" s="30" t="n">
        <v>43216.125</v>
      </c>
      <c r="F57" t="inlineStr">
        <is>
          <t>construction_tools_house_garden</t>
        </is>
      </c>
      <c r="G57" t="inlineStr">
        <is>
          <t>online_medium</t>
        </is>
      </c>
      <c r="H57" t="inlineStr">
        <is>
          <t>cat</t>
        </is>
      </c>
      <c r="L57" t="inlineStr">
        <is>
          <t>manufacturer</t>
        </is>
      </c>
      <c r="N57" t="n">
        <v>0</v>
      </c>
    </row>
    <row r="58">
      <c r="A58" t="inlineStr">
        <is>
          <t>1030d227d3fe9ed0555666c4ffd14ab1</t>
        </is>
      </c>
      <c r="B58" t="inlineStr">
        <is>
          <t>5cc5fe3c6e303fb7656ee7b0ca21ed58</t>
        </is>
      </c>
      <c r="C58" t="inlineStr">
        <is>
          <t>9e4d1098a3b0f5da39b0bc48f9876645</t>
        </is>
      </c>
      <c r="D58" t="inlineStr">
        <is>
          <t>6565aa9ce3178a5caf6171827af3a9ba</t>
        </is>
      </c>
      <c r="E58" s="30" t="n">
        <v>43171.55637731482</v>
      </c>
      <c r="F58" t="inlineStr">
        <is>
          <t>jewerly</t>
        </is>
      </c>
      <c r="G58" t="inlineStr">
        <is>
          <t>online_small</t>
        </is>
      </c>
      <c r="H58" t="inlineStr">
        <is>
          <t>cat</t>
        </is>
      </c>
      <c r="L58" t="inlineStr">
        <is>
          <t>reseller</t>
        </is>
      </c>
      <c r="N58" t="n">
        <v>0</v>
      </c>
    </row>
    <row r="59">
      <c r="A59" t="inlineStr">
        <is>
          <t>1c69de363482d0cbc9b6da97cb49757a</t>
        </is>
      </c>
      <c r="B59" t="inlineStr">
        <is>
          <t>dc64d75cc406bb0697be983831430e60</t>
        </is>
      </c>
      <c r="C59" t="inlineStr">
        <is>
          <t>f42a2bd194f7802ab052a815c8de65b7</t>
        </is>
      </c>
      <c r="D59" t="inlineStr">
        <is>
          <t>85fc447d336637ba1df43e793199fbc8</t>
        </is>
      </c>
      <c r="E59" s="30" t="n">
        <v>43220.88444444445</v>
      </c>
      <c r="F59" t="inlineStr">
        <is>
          <t>audio_video_electronics</t>
        </is>
      </c>
      <c r="G59" t="inlineStr">
        <is>
          <t>online_small</t>
        </is>
      </c>
      <c r="H59" t="inlineStr">
        <is>
          <t>cat</t>
        </is>
      </c>
      <c r="L59" t="inlineStr">
        <is>
          <t>reseller</t>
        </is>
      </c>
      <c r="N59" t="n">
        <v>0</v>
      </c>
    </row>
    <row r="60">
      <c r="A60" t="inlineStr">
        <is>
          <t>415ae4e297c08fd8790a5b1e1ba8482e</t>
        </is>
      </c>
      <c r="B60" t="inlineStr">
        <is>
          <t>08d1c9478fb0d7d7fcac9c0da4e82fc7</t>
        </is>
      </c>
      <c r="C60" t="inlineStr">
        <is>
          <t>4b339f9567d060bcea4f5136b9f5949e</t>
        </is>
      </c>
      <c r="D60" t="inlineStr">
        <is>
          <t>de63de0d10a6012430098db33c679b0b</t>
        </is>
      </c>
      <c r="E60" s="30" t="n">
        <v>43217.56597222222</v>
      </c>
      <c r="F60" t="inlineStr">
        <is>
          <t>home_decor</t>
        </is>
      </c>
      <c r="G60" t="inlineStr">
        <is>
          <t>online_medium</t>
        </is>
      </c>
      <c r="H60" t="inlineStr">
        <is>
          <t>wolf</t>
        </is>
      </c>
      <c r="L60" t="inlineStr">
        <is>
          <t>manufacturer</t>
        </is>
      </c>
      <c r="N60" t="n">
        <v>0</v>
      </c>
    </row>
    <row r="61">
      <c r="A61" t="inlineStr">
        <is>
          <t>a55b94066766f2d29fc22a3bb52d78f6</t>
        </is>
      </c>
      <c r="B61" t="inlineStr">
        <is>
          <t>5181ea7b0d346ed14c5c07f0ff22b2b4</t>
        </is>
      </c>
      <c r="C61" t="inlineStr">
        <is>
          <t>fdb16d3cbbeb5798f2f66c4096be026d</t>
        </is>
      </c>
      <c r="D61" t="inlineStr">
        <is>
          <t>4ef15afb4b2723d8f3d81e51ec7afefe</t>
        </is>
      </c>
      <c r="E61" s="30" t="n">
        <v>43347.5937962963</v>
      </c>
      <c r="F61" t="inlineStr">
        <is>
          <t>toys</t>
        </is>
      </c>
      <c r="G61" t="inlineStr">
        <is>
          <t>online_big</t>
        </is>
      </c>
      <c r="H61" t="inlineStr">
        <is>
          <t>cat</t>
        </is>
      </c>
      <c r="K61" t="inlineStr">
        <is>
          <t>5-20</t>
        </is>
      </c>
      <c r="L61" t="inlineStr">
        <is>
          <t>reseller</t>
        </is>
      </c>
      <c r="M61" t="n">
        <v>1000</v>
      </c>
      <c r="N61" t="n">
        <v>180000</v>
      </c>
    </row>
    <row r="62">
      <c r="A62" t="inlineStr">
        <is>
          <t>f5da97d441cd42b0b26c10145b71a923</t>
        </is>
      </c>
      <c r="B62" t="inlineStr">
        <is>
          <t>ee2fbacc2fc3794e656cc4d933d59ce7</t>
        </is>
      </c>
      <c r="C62" t="inlineStr">
        <is>
          <t>9d12ef1a7eca3ec58c545c678af7869c</t>
        </is>
      </c>
      <c r="D62" t="inlineStr">
        <is>
          <t>fbf4aef3f6915dc0c3c97d6812522f6a</t>
        </is>
      </c>
      <c r="E62" s="30" t="n">
        <v>43238.75581018518</v>
      </c>
      <c r="F62" t="inlineStr">
        <is>
          <t>small_appliances</t>
        </is>
      </c>
      <c r="G62" t="inlineStr">
        <is>
          <t>online_big</t>
        </is>
      </c>
      <c r="H62" t="inlineStr">
        <is>
          <t>cat</t>
        </is>
      </c>
      <c r="L62" t="inlineStr">
        <is>
          <t>reseller</t>
        </is>
      </c>
      <c r="N62" t="n">
        <v>0</v>
      </c>
    </row>
    <row r="63">
      <c r="A63" t="inlineStr">
        <is>
          <t>682e8ae60182137d74d90ada9e0947d8</t>
        </is>
      </c>
      <c r="B63" t="inlineStr">
        <is>
          <t>7fc87cc3e89b3d1d5cabdca32f8485aa</t>
        </is>
      </c>
      <c r="C63" t="inlineStr">
        <is>
          <t>a8387c01a09e99ce014107505b92388c</t>
        </is>
      </c>
      <c r="D63" t="inlineStr">
        <is>
          <t>4ef15afb4b2723d8f3d81e51ec7afefe</t>
        </is>
      </c>
      <c r="E63" s="30" t="n">
        <v>43158.80540509259</v>
      </c>
      <c r="F63" t="inlineStr">
        <is>
          <t>home_office_furniture</t>
        </is>
      </c>
      <c r="G63" t="inlineStr">
        <is>
          <t>offline</t>
        </is>
      </c>
      <c r="H63" t="inlineStr">
        <is>
          <t>cat</t>
        </is>
      </c>
      <c r="L63" t="inlineStr">
        <is>
          <t>manufacturer</t>
        </is>
      </c>
      <c r="N63" t="n">
        <v>0</v>
      </c>
    </row>
    <row r="64">
      <c r="A64" t="inlineStr">
        <is>
          <t>77abef21c838da55e14ffc88016ce91f</t>
        </is>
      </c>
      <c r="B64" t="inlineStr">
        <is>
          <t>eba08391609dfda5c016fdd264f9383b</t>
        </is>
      </c>
      <c r="C64" t="inlineStr">
        <is>
          <t>068066e24f0c643eb1d089c7dd20cd73</t>
        </is>
      </c>
      <c r="D64" t="inlineStr">
        <is>
          <t>6565aa9ce3178a5caf6171827af3a9ba</t>
        </is>
      </c>
      <c r="E64" s="30" t="n">
        <v>43112.67184027778</v>
      </c>
      <c r="F64" t="inlineStr">
        <is>
          <t>home_decor</t>
        </is>
      </c>
      <c r="G64" t="inlineStr">
        <is>
          <t>online_medium</t>
        </is>
      </c>
      <c r="L64" t="inlineStr">
        <is>
          <t>reseller</t>
        </is>
      </c>
      <c r="N64" t="n">
        <v>0</v>
      </c>
    </row>
    <row r="65">
      <c r="A65" t="inlineStr">
        <is>
          <t>46d9834fa62209a6504b2aabe46d7bfb</t>
        </is>
      </c>
      <c r="B65" t="inlineStr">
        <is>
          <t>8b3317388df29d5fa94360a486ad3356</t>
        </is>
      </c>
      <c r="C65" t="inlineStr">
        <is>
          <t>56bf83c4bb35763a51c2baab501b4c67</t>
        </is>
      </c>
      <c r="D65" t="inlineStr">
        <is>
          <t>6565aa9ce3178a5caf6171827af3a9ba</t>
        </is>
      </c>
      <c r="E65" s="30" t="n">
        <v>43157.53178240741</v>
      </c>
      <c r="F65" t="inlineStr">
        <is>
          <t>car_accessories</t>
        </is>
      </c>
      <c r="G65" t="inlineStr">
        <is>
          <t>online_medium</t>
        </is>
      </c>
      <c r="H65" t="inlineStr">
        <is>
          <t>cat</t>
        </is>
      </c>
      <c r="L65" t="inlineStr">
        <is>
          <t>reseller</t>
        </is>
      </c>
      <c r="N65" t="n">
        <v>0</v>
      </c>
    </row>
    <row r="66">
      <c r="A66" t="inlineStr">
        <is>
          <t>009ff90f082aaa9fcd6e14caf65c7cc6</t>
        </is>
      </c>
      <c r="B66" t="inlineStr">
        <is>
          <t>134285d1f41da5c13a756ee8142c8a4e</t>
        </is>
      </c>
      <c r="C66" t="inlineStr">
        <is>
          <t>a8387c01a09e99ce014107505b92388c</t>
        </is>
      </c>
      <c r="D66" t="inlineStr">
        <is>
          <t>9e4d1098a3b0f5da39b0bc48f9876645</t>
        </is>
      </c>
      <c r="E66" s="30" t="n">
        <v>43193.125</v>
      </c>
      <c r="F66" t="inlineStr">
        <is>
          <t>car_accessories</t>
        </is>
      </c>
      <c r="G66" t="inlineStr">
        <is>
          <t>online_big</t>
        </is>
      </c>
      <c r="H66" t="inlineStr">
        <is>
          <t>cat</t>
        </is>
      </c>
      <c r="L66" t="inlineStr">
        <is>
          <t>reseller</t>
        </is>
      </c>
      <c r="N66" t="n">
        <v>0</v>
      </c>
    </row>
    <row r="67">
      <c r="A67" t="inlineStr">
        <is>
          <t>29b97ecc5839e61efb7bdc25e979d8c6</t>
        </is>
      </c>
      <c r="B67" t="inlineStr">
        <is>
          <t>e9e446d01bd10a97a8ffcfc4a3a20cb2</t>
        </is>
      </c>
      <c r="C67" t="inlineStr">
        <is>
          <t>09285259593c61296eef10c734121d5b</t>
        </is>
      </c>
      <c r="D67" t="inlineStr">
        <is>
          <t>d3d1e91a157ea7f90548eef82f1955e3</t>
        </is>
      </c>
      <c r="E67" s="30" t="n">
        <v>43217.67496527778</v>
      </c>
      <c r="F67" t="inlineStr">
        <is>
          <t>health_beauty</t>
        </is>
      </c>
      <c r="G67" t="inlineStr">
        <is>
          <t>online_medium</t>
        </is>
      </c>
      <c r="H67" t="inlineStr">
        <is>
          <t>cat</t>
        </is>
      </c>
      <c r="L67" t="inlineStr">
        <is>
          <t>reseller</t>
        </is>
      </c>
      <c r="N67" t="n">
        <v>0</v>
      </c>
    </row>
    <row r="68">
      <c r="A68" t="inlineStr">
        <is>
          <t>8d6be534a8bdd08e11efe57c6ce3dd21</t>
        </is>
      </c>
      <c r="B68" t="inlineStr">
        <is>
          <t>6061155addc1e54b4cfb51c1c2a32ad8</t>
        </is>
      </c>
      <c r="C68" t="inlineStr">
        <is>
          <t>a8387c01a09e99ce014107505b92388c</t>
        </is>
      </c>
      <c r="D68" t="inlineStr">
        <is>
          <t>2695de1affa7750089c0455f8ce27021</t>
        </is>
      </c>
      <c r="E68" s="30" t="n">
        <v>43217.86435185185</v>
      </c>
      <c r="F68" t="inlineStr">
        <is>
          <t>pet</t>
        </is>
      </c>
      <c r="G68" t="inlineStr">
        <is>
          <t>online_small</t>
        </is>
      </c>
      <c r="H68" t="inlineStr">
        <is>
          <t>cat</t>
        </is>
      </c>
      <c r="L68" t="inlineStr">
        <is>
          <t>reseller</t>
        </is>
      </c>
      <c r="N68" t="n">
        <v>0</v>
      </c>
    </row>
    <row r="69">
      <c r="A69" t="inlineStr">
        <is>
          <t>4979feabd6097fb6100fd36c3c32aae0</t>
        </is>
      </c>
      <c r="B69" t="inlineStr">
        <is>
          <t>bba8d0c234a52b87b3957037a215d1a4</t>
        </is>
      </c>
      <c r="C69" t="inlineStr">
        <is>
          <t>56bf83c4bb35763a51c2baab501b4c67</t>
        </is>
      </c>
      <c r="D69" t="inlineStr">
        <is>
          <t>c638112b43f1d1b86dcabb0da720c901</t>
        </is>
      </c>
      <c r="E69" s="30" t="n">
        <v>43153.88043981481</v>
      </c>
      <c r="F69" t="inlineStr">
        <is>
          <t>home_decor</t>
        </is>
      </c>
      <c r="G69" t="inlineStr">
        <is>
          <t>online_small</t>
        </is>
      </c>
      <c r="H69" t="inlineStr">
        <is>
          <t>cat</t>
        </is>
      </c>
      <c r="L69" t="inlineStr">
        <is>
          <t>manufacturer</t>
        </is>
      </c>
      <c r="N69" t="n">
        <v>0</v>
      </c>
    </row>
    <row r="70">
      <c r="A70" t="inlineStr">
        <is>
          <t>5985e72b3752e4749926885db1b45be4</t>
        </is>
      </c>
      <c r="B70" t="inlineStr">
        <is>
          <t>044668ccd5316b12a7cf0d54a156e3e9</t>
        </is>
      </c>
      <c r="C70" t="inlineStr">
        <is>
          <t>56bf83c4bb35763a51c2baab501b4c67</t>
        </is>
      </c>
      <c r="D70" t="inlineStr">
        <is>
          <t>4ef15afb4b2723d8f3d81e51ec7afefe</t>
        </is>
      </c>
      <c r="E70" s="30" t="n">
        <v>43131.87515046296</v>
      </c>
      <c r="F70" t="inlineStr">
        <is>
          <t>food_drink</t>
        </is>
      </c>
      <c r="G70" t="inlineStr">
        <is>
          <t>offline</t>
        </is>
      </c>
      <c r="L70" t="inlineStr">
        <is>
          <t>reseller</t>
        </is>
      </c>
      <c r="N70" t="n">
        <v>0</v>
      </c>
    </row>
    <row r="71">
      <c r="A71" t="inlineStr">
        <is>
          <t>048bb2f901e2c6f99bc9d26b78b47129</t>
        </is>
      </c>
      <c r="B71" t="inlineStr">
        <is>
          <t>fc813dd7e04b8a1c9c10e8e9c10cd5f9</t>
        </is>
      </c>
      <c r="C71" t="inlineStr">
        <is>
          <t>0a0fb2b07d841f84fb6714e35c723075</t>
        </is>
      </c>
      <c r="D71" t="inlineStr">
        <is>
          <t>4ef15afb4b2723d8f3d81e51ec7afefe</t>
        </is>
      </c>
      <c r="E71" s="30" t="n">
        <v>43276.81509259259</v>
      </c>
      <c r="F71" t="inlineStr">
        <is>
          <t>music_instruments</t>
        </is>
      </c>
      <c r="G71" t="inlineStr">
        <is>
          <t>industry</t>
        </is>
      </c>
      <c r="H71" t="inlineStr">
        <is>
          <t>cat</t>
        </is>
      </c>
      <c r="L71" t="inlineStr">
        <is>
          <t>reseller</t>
        </is>
      </c>
      <c r="N71" t="n">
        <v>0</v>
      </c>
    </row>
    <row r="72">
      <c r="A72" t="inlineStr">
        <is>
          <t>58caf27a48e7930aefd5437298d64a70</t>
        </is>
      </c>
      <c r="B72" t="inlineStr">
        <is>
          <t>922f6795c9e65f2485d4e63af76586ff</t>
        </is>
      </c>
      <c r="C72" t="inlineStr">
        <is>
          <t>45749fb708130f78d0db07d8d80f030b</t>
        </is>
      </c>
      <c r="D72" t="inlineStr">
        <is>
          <t>34d40cdaf94010a1d05b0d6212f9e909</t>
        </is>
      </c>
      <c r="E72" s="30" t="n">
        <v>43364.76267361111</v>
      </c>
      <c r="F72" t="inlineStr">
        <is>
          <t>bed_bath_table</t>
        </is>
      </c>
      <c r="G72" t="inlineStr">
        <is>
          <t>online_medium</t>
        </is>
      </c>
      <c r="H72" t="inlineStr">
        <is>
          <t>cat, wolf</t>
        </is>
      </c>
      <c r="I72" t="b">
        <v>1</v>
      </c>
      <c r="J72" t="b">
        <v>1</v>
      </c>
      <c r="K72" t="inlineStr">
        <is>
          <t>5-20</t>
        </is>
      </c>
      <c r="L72" t="inlineStr">
        <is>
          <t>reseller</t>
        </is>
      </c>
      <c r="M72" t="n">
        <v>50</v>
      </c>
      <c r="N72" t="n">
        <v>30000</v>
      </c>
    </row>
    <row r="73">
      <c r="A73" t="inlineStr">
        <is>
          <t>2b094148a9d10109b903715267c4dd14</t>
        </is>
      </c>
      <c r="B73" t="inlineStr">
        <is>
          <t>224167f6e956da2f71c0e8dbdaa8bbf0</t>
        </is>
      </c>
      <c r="C73" t="inlineStr">
        <is>
          <t>56bf83c4bb35763a51c2baab501b4c67</t>
        </is>
      </c>
      <c r="D73" t="inlineStr">
        <is>
          <t>4ef15afb4b2723d8f3d81e51ec7afefe</t>
        </is>
      </c>
      <c r="E73" s="30" t="n">
        <v>43171.55150462963</v>
      </c>
      <c r="F73" t="inlineStr">
        <is>
          <t>computers</t>
        </is>
      </c>
      <c r="G73" t="inlineStr">
        <is>
          <t>offline</t>
        </is>
      </c>
      <c r="H73" t="inlineStr">
        <is>
          <t>eagle</t>
        </is>
      </c>
      <c r="L73" t="inlineStr">
        <is>
          <t>reseller</t>
        </is>
      </c>
      <c r="N73" t="n">
        <v>0</v>
      </c>
    </row>
    <row r="74">
      <c r="A74" t="inlineStr">
        <is>
          <t>e5f15cc640c8a7408103dd190ced966c</t>
        </is>
      </c>
      <c r="B74" t="inlineStr">
        <is>
          <t>30a81d8cf85fb2ada1b1b094c9583a95</t>
        </is>
      </c>
      <c r="C74" t="inlineStr">
        <is>
          <t>068066e24f0c643eb1d089c7dd20cd73</t>
        </is>
      </c>
      <c r="D74" t="inlineStr">
        <is>
          <t>4ef15afb4b2723d8f3d81e51ec7afefe</t>
        </is>
      </c>
      <c r="E74" s="30" t="n">
        <v>43119.70240740741</v>
      </c>
      <c r="F74" t="inlineStr">
        <is>
          <t>pet</t>
        </is>
      </c>
      <c r="G74" t="inlineStr">
        <is>
          <t>online_top</t>
        </is>
      </c>
      <c r="L74" t="inlineStr">
        <is>
          <t>reseller</t>
        </is>
      </c>
      <c r="N74" t="n">
        <v>0</v>
      </c>
    </row>
    <row r="75">
      <c r="A75" t="inlineStr">
        <is>
          <t>a15880813bd2f137e9f6922cbb7255bf</t>
        </is>
      </c>
      <c r="B75" t="inlineStr">
        <is>
          <t>7e417525a6ce49b708fd384e580fe3c4</t>
        </is>
      </c>
      <c r="C75" t="inlineStr">
        <is>
          <t>a8387c01a09e99ce014107505b92388c</t>
        </is>
      </c>
      <c r="D75" t="inlineStr">
        <is>
          <t>6565aa9ce3178a5caf6171827af3a9ba</t>
        </is>
      </c>
      <c r="E75" s="30" t="n">
        <v>43193.72216435185</v>
      </c>
      <c r="F75" t="inlineStr">
        <is>
          <t>home_decor</t>
        </is>
      </c>
      <c r="G75" t="inlineStr">
        <is>
          <t>online_medium</t>
        </is>
      </c>
      <c r="H75" t="inlineStr">
        <is>
          <t>cat</t>
        </is>
      </c>
      <c r="L75" t="inlineStr">
        <is>
          <t>manufacturer</t>
        </is>
      </c>
      <c r="N75" t="n">
        <v>0</v>
      </c>
    </row>
    <row r="76">
      <c r="A76" t="inlineStr">
        <is>
          <t>3bcc8997df233ab581f30dd65f14698c</t>
        </is>
      </c>
      <c r="B76" t="inlineStr">
        <is>
          <t>b6cac2bb2d83cae903e336e6a993c795</t>
        </is>
      </c>
      <c r="C76" t="inlineStr">
        <is>
          <t>34d40cdaf94010a1d05b0d6212f9e909</t>
        </is>
      </c>
      <c r="D76" t="inlineStr">
        <is>
          <t>de63de0d10a6012430098db33c679b0b</t>
        </is>
      </c>
      <c r="E76" s="30" t="n">
        <v>43213.6052662037</v>
      </c>
      <c r="F76" t="inlineStr">
        <is>
          <t>car_accessories</t>
        </is>
      </c>
      <c r="G76" t="inlineStr">
        <is>
          <t>online_big</t>
        </is>
      </c>
      <c r="H76" t="inlineStr">
        <is>
          <t>cat</t>
        </is>
      </c>
      <c r="L76" t="inlineStr">
        <is>
          <t>reseller</t>
        </is>
      </c>
      <c r="N76" t="n">
        <v>0</v>
      </c>
    </row>
    <row r="77">
      <c r="A77" t="inlineStr">
        <is>
          <t>afac78e614dac1a1470030ea55c08eef</t>
        </is>
      </c>
      <c r="B77" t="inlineStr">
        <is>
          <t>0ddefe3c7a032b91f4e25b9c3a08fca1</t>
        </is>
      </c>
      <c r="C77" t="inlineStr">
        <is>
          <t>de63de0d10a6012430098db33c679b0b</t>
        </is>
      </c>
      <c r="D77" t="inlineStr">
        <is>
          <t>6565aa9ce3178a5caf6171827af3a9ba</t>
        </is>
      </c>
      <c r="E77" s="30" t="n">
        <v>43140.64989583333</v>
      </c>
      <c r="F77" t="inlineStr">
        <is>
          <t>household_utilities</t>
        </is>
      </c>
      <c r="G77" t="inlineStr">
        <is>
          <t>online_small</t>
        </is>
      </c>
      <c r="H77" t="inlineStr">
        <is>
          <t>cat</t>
        </is>
      </c>
      <c r="L77" t="inlineStr">
        <is>
          <t>reseller</t>
        </is>
      </c>
      <c r="N77" t="n">
        <v>0</v>
      </c>
    </row>
    <row r="78">
      <c r="A78" t="inlineStr">
        <is>
          <t>d0b2ef3bdc9ed0fce3d672ec52dc9c00</t>
        </is>
      </c>
      <c r="B78" t="inlineStr">
        <is>
          <t>45dfe11016c782d99a19f93dd34c300d</t>
        </is>
      </c>
      <c r="C78" t="inlineStr">
        <is>
          <t>a8387c01a09e99ce014107505b92388c</t>
        </is>
      </c>
      <c r="D78" t="inlineStr">
        <is>
          <t>060c0a26f19f4d66b42e0d8796688490</t>
        </is>
      </c>
      <c r="E78" s="30" t="n">
        <v>43175.59553240741</v>
      </c>
      <c r="F78" t="inlineStr">
        <is>
          <t>car_accessories</t>
        </is>
      </c>
      <c r="G78" t="inlineStr">
        <is>
          <t>online_medium</t>
        </is>
      </c>
      <c r="H78" t="inlineStr">
        <is>
          <t>cat</t>
        </is>
      </c>
      <c r="L78" t="inlineStr">
        <is>
          <t>reseller</t>
        </is>
      </c>
      <c r="N78" t="n">
        <v>0</v>
      </c>
    </row>
    <row r="79">
      <c r="A79" t="inlineStr">
        <is>
          <t>496515dec2a1c280f145f6ccb34851fb</t>
        </is>
      </c>
      <c r="B79" t="inlineStr">
        <is>
          <t>6f835fd4be26989b1b064399da346143</t>
        </is>
      </c>
      <c r="C79" t="inlineStr">
        <is>
          <t>09285259593c61296eef10c734121d5b</t>
        </is>
      </c>
      <c r="D79" t="inlineStr">
        <is>
          <t>d3d1e91a157ea7f90548eef82f1955e3</t>
        </is>
      </c>
      <c r="E79" s="30" t="n">
        <v>43217.67320601852</v>
      </c>
      <c r="F79" t="inlineStr">
        <is>
          <t>audio_video_electronics</t>
        </is>
      </c>
      <c r="G79" t="inlineStr">
        <is>
          <t>online_medium</t>
        </is>
      </c>
      <c r="H79" t="inlineStr">
        <is>
          <t>wolf</t>
        </is>
      </c>
      <c r="L79" t="inlineStr">
        <is>
          <t>reseller</t>
        </is>
      </c>
      <c r="N79" t="n">
        <v>0</v>
      </c>
    </row>
    <row r="80">
      <c r="A80" t="inlineStr">
        <is>
          <t>17c77fd570aa86b74387fae66d9d4edd</t>
        </is>
      </c>
      <c r="B80" t="inlineStr">
        <is>
          <t>3e35a8bb43569389d3cebef0ce820f69</t>
        </is>
      </c>
      <c r="C80" t="inlineStr">
        <is>
          <t>de63de0d10a6012430098db33c679b0b</t>
        </is>
      </c>
      <c r="D80" t="inlineStr">
        <is>
          <t>4ef15afb4b2723d8f3d81e51ec7afefe</t>
        </is>
      </c>
      <c r="E80" s="30" t="n">
        <v>43118.46458333333</v>
      </c>
      <c r="F80" t="inlineStr">
        <is>
          <t>food_drink</t>
        </is>
      </c>
      <c r="G80" t="inlineStr">
        <is>
          <t>industry</t>
        </is>
      </c>
      <c r="L80" t="inlineStr">
        <is>
          <t>reseller</t>
        </is>
      </c>
      <c r="N80" t="n">
        <v>0</v>
      </c>
    </row>
    <row r="81">
      <c r="A81" t="inlineStr">
        <is>
          <t>cc4ec90b270b9f1de8dc2d8864425252</t>
        </is>
      </c>
      <c r="B81" t="inlineStr">
        <is>
          <t>a7d0f8dd44f57ef6de7f7f02e3d82630</t>
        </is>
      </c>
      <c r="C81" t="inlineStr">
        <is>
          <t>b90f87164b5f8c2cfa5c8572834dbe3f</t>
        </is>
      </c>
      <c r="D81" t="inlineStr">
        <is>
          <t>85fc447d336637ba1df43e793199fbc8</t>
        </is>
      </c>
      <c r="E81" s="30" t="n">
        <v>43217.90185185185</v>
      </c>
      <c r="F81" t="inlineStr">
        <is>
          <t>health_beauty</t>
        </is>
      </c>
      <c r="G81" t="inlineStr">
        <is>
          <t>online_medium</t>
        </is>
      </c>
      <c r="H81" t="inlineStr">
        <is>
          <t>cat</t>
        </is>
      </c>
      <c r="L81" t="inlineStr">
        <is>
          <t>reseller</t>
        </is>
      </c>
      <c r="N81" t="n">
        <v>0</v>
      </c>
    </row>
    <row r="82">
      <c r="A82" t="inlineStr">
        <is>
          <t>f0b314f185b80cf35d986e298db53fe3</t>
        </is>
      </c>
      <c r="B82" t="inlineStr">
        <is>
          <t>a663d9c3797e90eac99ff60939416a56</t>
        </is>
      </c>
      <c r="C82" t="inlineStr">
        <is>
          <t>34d40cdaf94010a1d05b0d6212f9e909</t>
        </is>
      </c>
      <c r="D82" t="inlineStr">
        <is>
          <t>060c0a26f19f4d66b42e0d8796688490</t>
        </is>
      </c>
      <c r="E82" s="30" t="n">
        <v>43217.88094907408</v>
      </c>
      <c r="F82" t="inlineStr">
        <is>
          <t>computers</t>
        </is>
      </c>
      <c r="G82" t="inlineStr">
        <is>
          <t>online_beginner</t>
        </is>
      </c>
      <c r="H82" t="inlineStr">
        <is>
          <t>cat</t>
        </is>
      </c>
      <c r="L82" t="inlineStr">
        <is>
          <t>reseller</t>
        </is>
      </c>
      <c r="N82" t="n">
        <v>0</v>
      </c>
    </row>
    <row r="83">
      <c r="A83" t="inlineStr">
        <is>
          <t>902a621ebb8a96c516d34a58334eb0ee</t>
        </is>
      </c>
      <c r="B83" t="inlineStr">
        <is>
          <t>2aef4c8187ab057d6f1b7e0e636aa481</t>
        </is>
      </c>
      <c r="C83" t="inlineStr">
        <is>
          <t>e7dff61b78bebffa71678e126ce669ad</t>
        </is>
      </c>
      <c r="D83" t="inlineStr">
        <is>
          <t>a8387c01a09e99ce014107505b92388c</t>
        </is>
      </c>
      <c r="E83" s="30" t="n">
        <v>43340.71494212963</v>
      </c>
      <c r="F83" t="inlineStr">
        <is>
          <t>construction_tools_house_garden</t>
        </is>
      </c>
      <c r="G83" t="inlineStr">
        <is>
          <t>online_beginner</t>
        </is>
      </c>
      <c r="L83" t="inlineStr">
        <is>
          <t>reseller</t>
        </is>
      </c>
      <c r="M83" t="n">
        <v>4</v>
      </c>
      <c r="N83" t="n">
        <v>6</v>
      </c>
    </row>
    <row r="84">
      <c r="A84" t="inlineStr">
        <is>
          <t>a1ad46372861ecf61fdab04c7bf5082e</t>
        </is>
      </c>
      <c r="B84" t="inlineStr">
        <is>
          <t>8e3338430e8b66d28aa88fa892a00063</t>
        </is>
      </c>
      <c r="C84" t="inlineStr">
        <is>
          <t>9e4d1098a3b0f5da39b0bc48f9876645</t>
        </is>
      </c>
      <c r="D84" t="inlineStr">
        <is>
          <t>fbf4aef3f6915dc0c3c97d6812522f6a</t>
        </is>
      </c>
      <c r="E84" s="30" t="n">
        <v>43157.85575231481</v>
      </c>
      <c r="F84" t="inlineStr">
        <is>
          <t>home_decor</t>
        </is>
      </c>
      <c r="G84" t="inlineStr">
        <is>
          <t>online_small</t>
        </is>
      </c>
      <c r="H84" t="inlineStr">
        <is>
          <t>cat</t>
        </is>
      </c>
      <c r="L84" t="inlineStr">
        <is>
          <t>reseller</t>
        </is>
      </c>
      <c r="N84" t="n">
        <v>0</v>
      </c>
    </row>
    <row r="85">
      <c r="A85" t="inlineStr">
        <is>
          <t>7893b5468710641ad87f8b4aa1b8777d</t>
        </is>
      </c>
      <c r="B85" t="inlineStr">
        <is>
          <t>3084dcdea01fe4f2d556540e6b2e873d</t>
        </is>
      </c>
      <c r="C85" t="inlineStr">
        <is>
          <t>068066e24f0c643eb1d089c7dd20cd73</t>
        </is>
      </c>
      <c r="D85" t="inlineStr">
        <is>
          <t>060c0a26f19f4d66b42e0d8796688490</t>
        </is>
      </c>
      <c r="E85" s="30" t="n">
        <v>43193.78898148148</v>
      </c>
      <c r="F85" t="inlineStr">
        <is>
          <t>construction_tools_house_garden</t>
        </is>
      </c>
      <c r="G85" t="inlineStr">
        <is>
          <t>industry</t>
        </is>
      </c>
      <c r="H85" t="inlineStr">
        <is>
          <t>cat</t>
        </is>
      </c>
      <c r="L85" t="inlineStr">
        <is>
          <t>reseller</t>
        </is>
      </c>
      <c r="N85" t="n">
        <v>0</v>
      </c>
    </row>
    <row r="86">
      <c r="A86" t="inlineStr">
        <is>
          <t>a82596c6fd3ed643b18a2a942eb6ddc9</t>
        </is>
      </c>
      <c r="B86" t="inlineStr">
        <is>
          <t>a213f1bd6458f4a158f3746cb2514559</t>
        </is>
      </c>
      <c r="C86" t="inlineStr">
        <is>
          <t>de63de0d10a6012430098db33c679b0b</t>
        </is>
      </c>
      <c r="D86" t="inlineStr">
        <is>
          <t>d3d1e91a157ea7f90548eef82f1955e3</t>
        </is>
      </c>
      <c r="E86" s="30" t="n">
        <v>43216.67063657408</v>
      </c>
      <c r="F86" t="inlineStr">
        <is>
          <t>computers</t>
        </is>
      </c>
      <c r="G86" t="inlineStr">
        <is>
          <t>online_beginner</t>
        </is>
      </c>
      <c r="L86" t="inlineStr">
        <is>
          <t>reseller</t>
        </is>
      </c>
      <c r="N86" t="n">
        <v>0</v>
      </c>
    </row>
    <row r="87">
      <c r="A87" t="inlineStr">
        <is>
          <t>36f6d5bde803873f6bffe9949f258935</t>
        </is>
      </c>
      <c r="B87" t="inlineStr">
        <is>
          <t>a56e351445e5863fc8960640ba9190c7</t>
        </is>
      </c>
      <c r="C87" t="inlineStr">
        <is>
          <t>9e4d1098a3b0f5da39b0bc48f9876645</t>
        </is>
      </c>
      <c r="D87" t="inlineStr">
        <is>
          <t>495d4e95a8cf8bbf8b432b612a2aa328</t>
        </is>
      </c>
      <c r="E87" s="30" t="n">
        <v>43157.83483796296</v>
      </c>
      <c r="F87" t="inlineStr">
        <is>
          <t>home_decor</t>
        </is>
      </c>
      <c r="G87" t="inlineStr">
        <is>
          <t>online_small</t>
        </is>
      </c>
      <c r="H87" t="inlineStr">
        <is>
          <t>cat</t>
        </is>
      </c>
      <c r="L87" t="inlineStr">
        <is>
          <t>reseller</t>
        </is>
      </c>
      <c r="N87" t="n">
        <v>0</v>
      </c>
    </row>
    <row r="88">
      <c r="A88" t="inlineStr">
        <is>
          <t>4ddc45a9de1065695a90e87be37471c0</t>
        </is>
      </c>
      <c r="B88" t="inlineStr">
        <is>
          <t>9d590e1df0faffd9ceaa1f0f0ea9af2f</t>
        </is>
      </c>
      <c r="C88" t="inlineStr">
        <is>
          <t>e7dff61b78bebffa71678e126ce669ad</t>
        </is>
      </c>
      <c r="D88" t="inlineStr">
        <is>
          <t>2695de1affa7750089c0455f8ce27021</t>
        </is>
      </c>
      <c r="E88" s="30" t="n">
        <v>43364.78459490741</v>
      </c>
      <c r="F88" t="inlineStr">
        <is>
          <t>audio_video_electronics</t>
        </is>
      </c>
      <c r="G88" t="inlineStr">
        <is>
          <t>online_medium</t>
        </is>
      </c>
      <c r="H88" t="inlineStr">
        <is>
          <t>wolf</t>
        </is>
      </c>
      <c r="I88" t="b">
        <v>1</v>
      </c>
      <c r="J88" t="b">
        <v>1</v>
      </c>
      <c r="K88" t="inlineStr">
        <is>
          <t>5-20</t>
        </is>
      </c>
      <c r="L88" t="inlineStr">
        <is>
          <t>reseller</t>
        </is>
      </c>
      <c r="M88" t="n">
        <v>50</v>
      </c>
      <c r="N88" t="n">
        <v>0</v>
      </c>
    </row>
    <row r="89">
      <c r="A89" t="inlineStr">
        <is>
          <t>d2c1295f655a2d436edda96084211820</t>
        </is>
      </c>
      <c r="B89" t="inlineStr">
        <is>
          <t>f49987b20beada69981c57899ffd1095</t>
        </is>
      </c>
      <c r="C89" t="inlineStr">
        <is>
          <t>9d12ef1a7eca3ec58c545c678af7869c</t>
        </is>
      </c>
      <c r="D89" t="inlineStr">
        <is>
          <t>56bf83c4bb35763a51c2baab501b4c67</t>
        </is>
      </c>
      <c r="E89" s="30" t="n">
        <v>43315.73680555556</v>
      </c>
      <c r="F89" t="inlineStr">
        <is>
          <t>home_office_furniture</t>
        </is>
      </c>
      <c r="G89" t="inlineStr">
        <is>
          <t>online_medium</t>
        </is>
      </c>
      <c r="H89" t="inlineStr">
        <is>
          <t>wolf</t>
        </is>
      </c>
      <c r="L89" t="inlineStr">
        <is>
          <t>reseller</t>
        </is>
      </c>
      <c r="N89" t="n">
        <v>0</v>
      </c>
    </row>
    <row r="90">
      <c r="A90" t="inlineStr">
        <is>
          <t>1cfef7cfd8d26b1ecb8b0eccca6366ca</t>
        </is>
      </c>
      <c r="B90" t="inlineStr">
        <is>
          <t>5cb4a72356883c59790dc8309cddea2f</t>
        </is>
      </c>
      <c r="C90" t="inlineStr">
        <is>
          <t>068066e24f0c643eb1d089c7dd20cd73</t>
        </is>
      </c>
      <c r="D90" t="inlineStr">
        <is>
          <t>9ae085775a198122c5586fa830ff7f2b</t>
        </is>
      </c>
      <c r="E90" s="30" t="n">
        <v>43130.68769675926</v>
      </c>
      <c r="F90" t="inlineStr">
        <is>
          <t>home_decor</t>
        </is>
      </c>
      <c r="G90" t="inlineStr">
        <is>
          <t>online_medium</t>
        </is>
      </c>
      <c r="L90" t="inlineStr">
        <is>
          <t>manufacturer</t>
        </is>
      </c>
      <c r="N90" t="n">
        <v>0</v>
      </c>
    </row>
    <row r="91">
      <c r="A91" t="inlineStr">
        <is>
          <t>2708ccf204c47df56b5469327e900581</t>
        </is>
      </c>
      <c r="B91" t="inlineStr">
        <is>
          <t>fcdd820084f17e9982427971e4e9d47f</t>
        </is>
      </c>
      <c r="C91" t="inlineStr">
        <is>
          <t>de63de0d10a6012430098db33c679b0b</t>
        </is>
      </c>
      <c r="D91" t="inlineStr">
        <is>
          <t>4ef15afb4b2723d8f3d81e51ec7afefe</t>
        </is>
      </c>
      <c r="E91" s="30" t="n">
        <v>43146.73520833333</v>
      </c>
      <c r="F91" t="inlineStr">
        <is>
          <t>household_utilities</t>
        </is>
      </c>
      <c r="G91" t="inlineStr">
        <is>
          <t>online_big</t>
        </is>
      </c>
      <c r="L91" t="inlineStr">
        <is>
          <t>manufacturer</t>
        </is>
      </c>
      <c r="N91" t="n">
        <v>0</v>
      </c>
    </row>
    <row r="92">
      <c r="A92" t="inlineStr">
        <is>
          <t>44ebc4e28c99d8aeaead73b4b70cc5e9</t>
        </is>
      </c>
      <c r="B92" t="inlineStr">
        <is>
          <t>131fcb0a0c9a47bba4474aacff0f14b7</t>
        </is>
      </c>
      <c r="C92" t="inlineStr">
        <is>
          <t>370c9f455f93a9a96cbe9bea48e70033</t>
        </is>
      </c>
      <c r="D92" t="inlineStr">
        <is>
          <t>9e4d1098a3b0f5da39b0bc48f9876645</t>
        </is>
      </c>
      <c r="E92" s="30" t="n">
        <v>43210.125</v>
      </c>
      <c r="F92" t="inlineStr">
        <is>
          <t>home_appliances</t>
        </is>
      </c>
      <c r="G92" t="inlineStr">
        <is>
          <t>online_medium</t>
        </is>
      </c>
      <c r="H92" t="inlineStr">
        <is>
          <t>cat</t>
        </is>
      </c>
      <c r="L92" t="inlineStr">
        <is>
          <t>reseller</t>
        </is>
      </c>
      <c r="N92" t="n">
        <v>0</v>
      </c>
    </row>
    <row r="93">
      <c r="A93" t="inlineStr">
        <is>
          <t>62e44187d92348c552952aa4bf152e90</t>
        </is>
      </c>
      <c r="B93" t="inlineStr">
        <is>
          <t>3d5d0dc7073a299e31fa718ce1bc00b6</t>
        </is>
      </c>
      <c r="C93" t="inlineStr">
        <is>
          <t>09285259593c61296eef10c734121d5b</t>
        </is>
      </c>
      <c r="D93" t="inlineStr">
        <is>
          <t>4ef15afb4b2723d8f3d81e51ec7afefe</t>
        </is>
      </c>
      <c r="E93" s="30" t="n">
        <v>43227.69592592592</v>
      </c>
      <c r="F93" t="inlineStr">
        <is>
          <t>health_beauty</t>
        </is>
      </c>
      <c r="G93" t="inlineStr">
        <is>
          <t>online_medium</t>
        </is>
      </c>
      <c r="H93" t="inlineStr">
        <is>
          <t>cat</t>
        </is>
      </c>
      <c r="L93" t="inlineStr">
        <is>
          <t>reseller</t>
        </is>
      </c>
      <c r="N93" t="n">
        <v>0</v>
      </c>
    </row>
    <row r="94">
      <c r="A94" t="inlineStr">
        <is>
          <t>5931bbfb35cc483290f5dd6a9fda8ee5</t>
        </is>
      </c>
      <c r="B94" t="inlineStr">
        <is>
          <t>0db0dce302e414422ed38aabd133ae04</t>
        </is>
      </c>
      <c r="C94" t="inlineStr">
        <is>
          <t>4b339f9567d060bcea4f5136b9f5949e</t>
        </is>
      </c>
      <c r="D94" t="inlineStr">
        <is>
          <t>2695de1affa7750089c0455f8ce27021</t>
        </is>
      </c>
      <c r="E94" s="30" t="n">
        <v>43269.53230324074</v>
      </c>
      <c r="F94" t="inlineStr">
        <is>
          <t>food_supplement</t>
        </is>
      </c>
      <c r="G94" t="inlineStr">
        <is>
          <t>industry</t>
        </is>
      </c>
      <c r="H94" t="inlineStr">
        <is>
          <t>wolf</t>
        </is>
      </c>
      <c r="L94" t="inlineStr">
        <is>
          <t>manufacturer</t>
        </is>
      </c>
      <c r="N94" t="n">
        <v>0</v>
      </c>
    </row>
    <row r="95">
      <c r="A95" t="inlineStr">
        <is>
          <t>0f2ad81c100f7a6c7475bd26ceb76cbf</t>
        </is>
      </c>
      <c r="B95" t="inlineStr">
        <is>
          <t>3492e68f37fd1df87f4f2f2ea247f445</t>
        </is>
      </c>
      <c r="C95" t="inlineStr">
        <is>
          <t>9e4d1098a3b0f5da39b0bc48f9876645</t>
        </is>
      </c>
      <c r="D95" t="inlineStr">
        <is>
          <t>6565aa9ce3178a5caf6171827af3a9ba</t>
        </is>
      </c>
      <c r="E95" s="30" t="n">
        <v>43143.78201388889</v>
      </c>
      <c r="F95" t="inlineStr">
        <is>
          <t>car_accessories</t>
        </is>
      </c>
      <c r="G95" t="inlineStr">
        <is>
          <t>online_medium</t>
        </is>
      </c>
      <c r="H95" t="inlineStr">
        <is>
          <t>cat</t>
        </is>
      </c>
      <c r="L95" t="inlineStr">
        <is>
          <t>reseller</t>
        </is>
      </c>
      <c r="N95" t="n">
        <v>0</v>
      </c>
    </row>
    <row r="96">
      <c r="A96" t="inlineStr">
        <is>
          <t>cfccca319397a5ea2bb11bd90b0d925d</t>
        </is>
      </c>
      <c r="B96" t="inlineStr">
        <is>
          <t>ba143b05f0110f0dc71ad71b4466ce92</t>
        </is>
      </c>
      <c r="C96" t="inlineStr">
        <is>
          <t>370c9f455f93a9a96cbe9bea48e70033</t>
        </is>
      </c>
      <c r="D96" t="inlineStr">
        <is>
          <t>9e4d1098a3b0f5da39b0bc48f9876645</t>
        </is>
      </c>
      <c r="E96" s="30" t="n">
        <v>43207.80018518519</v>
      </c>
      <c r="F96" t="inlineStr">
        <is>
          <t>books</t>
        </is>
      </c>
      <c r="G96" t="inlineStr">
        <is>
          <t>online_big</t>
        </is>
      </c>
      <c r="H96" t="inlineStr">
        <is>
          <t>cat</t>
        </is>
      </c>
      <c r="L96" t="inlineStr">
        <is>
          <t>reseller</t>
        </is>
      </c>
      <c r="N96" t="n">
        <v>0</v>
      </c>
    </row>
    <row r="97">
      <c r="A97" t="inlineStr">
        <is>
          <t>7281f75a3496aa1e3643f44cd5773a65</t>
        </is>
      </c>
      <c r="B97" t="inlineStr">
        <is>
          <t>309405cfad0d11cd1ec6bb5d02c70c6b</t>
        </is>
      </c>
      <c r="C97" t="inlineStr">
        <is>
          <t>4b339f9567d060bcea4f5136b9f5949e</t>
        </is>
      </c>
      <c r="D97" t="inlineStr">
        <is>
          <t>495d4e95a8cf8bbf8b432b612a2aa328</t>
        </is>
      </c>
      <c r="E97" s="30" t="n">
        <v>43249.84752314815</v>
      </c>
      <c r="F97" t="inlineStr">
        <is>
          <t>construction_tools_house_garden</t>
        </is>
      </c>
      <c r="G97" t="inlineStr">
        <is>
          <t>online_big</t>
        </is>
      </c>
      <c r="H97" t="inlineStr">
        <is>
          <t>cat</t>
        </is>
      </c>
      <c r="L97" t="inlineStr">
        <is>
          <t>manufacturer</t>
        </is>
      </c>
      <c r="N97" t="n">
        <v>0</v>
      </c>
    </row>
    <row r="98">
      <c r="A98" t="inlineStr">
        <is>
          <t>1fcceea4a8f4e128f39d1fe92d66a0d9</t>
        </is>
      </c>
      <c r="B98" t="inlineStr">
        <is>
          <t>e52d2f15bba4aff8a1e2bd12b40fdfbc</t>
        </is>
      </c>
      <c r="C98" t="inlineStr">
        <is>
          <t>f42a2bd194f7802ab052a815c8de65b7</t>
        </is>
      </c>
      <c r="D98" t="inlineStr">
        <is>
          <t>4ef15afb4b2723d8f3d81e51ec7afefe</t>
        </is>
      </c>
      <c r="E98" s="30" t="n">
        <v>43266.82587962963</v>
      </c>
      <c r="F98" t="inlineStr">
        <is>
          <t>household_utilities</t>
        </is>
      </c>
      <c r="H98" t="inlineStr">
        <is>
          <t>cat</t>
        </is>
      </c>
      <c r="L98" t="inlineStr">
        <is>
          <t>reseller</t>
        </is>
      </c>
      <c r="N98" t="n">
        <v>0</v>
      </c>
    </row>
    <row r="99">
      <c r="A99" t="inlineStr">
        <is>
          <t>1e2a84cd1c6fcd7b7a07f49f1cf7f6cc</t>
        </is>
      </c>
      <c r="B99" t="inlineStr">
        <is>
          <t>f4009c6b30765309a251c26bc458e0e5</t>
        </is>
      </c>
      <c r="C99" t="inlineStr">
        <is>
          <t>e7dff61b78bebffa71678e126ce669ad</t>
        </is>
      </c>
      <c r="D99" t="inlineStr">
        <is>
          <t>9ae085775a198122c5586fa830ff7f2b</t>
        </is>
      </c>
      <c r="E99" s="30" t="n">
        <v>43319.82461805556</v>
      </c>
      <c r="F99" t="inlineStr">
        <is>
          <t>stationery</t>
        </is>
      </c>
      <c r="G99" t="inlineStr">
        <is>
          <t>industry</t>
        </is>
      </c>
      <c r="H99" t="inlineStr">
        <is>
          <t>eagle, wolf</t>
        </is>
      </c>
      <c r="I99" t="b">
        <v>1</v>
      </c>
      <c r="J99" t="b">
        <v>1</v>
      </c>
      <c r="K99" t="inlineStr">
        <is>
          <t>200+</t>
        </is>
      </c>
      <c r="L99" t="inlineStr">
        <is>
          <t>reseller</t>
        </is>
      </c>
      <c r="N99" t="n">
        <v>0</v>
      </c>
    </row>
    <row r="100">
      <c r="A100" t="inlineStr">
        <is>
          <t>1ab8d42d9e4a6b86010ac0a10c58fa86</t>
        </is>
      </c>
      <c r="B100" t="inlineStr">
        <is>
          <t>11fb6f6d341adbe19e81733701704635</t>
        </is>
      </c>
      <c r="C100" t="inlineStr">
        <is>
          <t>f42a2bd194f7802ab052a815c8de65b7</t>
        </is>
      </c>
      <c r="D100" t="inlineStr">
        <is>
          <t>9ae085775a198122c5586fa830ff7f2b</t>
        </is>
      </c>
      <c r="E100" s="30" t="n">
        <v>43266.89782407408</v>
      </c>
      <c r="F100" t="inlineStr">
        <is>
          <t>home_decor</t>
        </is>
      </c>
      <c r="G100" t="inlineStr">
        <is>
          <t>online_medium</t>
        </is>
      </c>
      <c r="H100" t="inlineStr">
        <is>
          <t>wolf</t>
        </is>
      </c>
      <c r="L100" t="inlineStr">
        <is>
          <t>reseller</t>
        </is>
      </c>
      <c r="N100" t="n">
        <v>0</v>
      </c>
    </row>
    <row r="101">
      <c r="A101" t="inlineStr">
        <is>
          <t>b5372c821691eff5fb470f33af079a64</t>
        </is>
      </c>
      <c r="B101" t="inlineStr">
        <is>
          <t>42fac6337d0f14ecdc18a82bfe6dd076</t>
        </is>
      </c>
      <c r="C101" t="inlineStr">
        <is>
          <t>4b339f9567d060bcea4f5136b9f5949e</t>
        </is>
      </c>
      <c r="D101" t="inlineStr">
        <is>
          <t>fbf4aef3f6915dc0c3c97d6812522f6a</t>
        </is>
      </c>
      <c r="E101" s="30" t="n">
        <v>43126.85137731482</v>
      </c>
      <c r="F101" t="inlineStr">
        <is>
          <t>household_utilities</t>
        </is>
      </c>
      <c r="G101" t="inlineStr">
        <is>
          <t>industry</t>
        </is>
      </c>
      <c r="L101" t="inlineStr">
        <is>
          <t>reseller</t>
        </is>
      </c>
      <c r="N101" t="n">
        <v>0</v>
      </c>
    </row>
    <row r="102">
      <c r="A102" t="inlineStr">
        <is>
          <t>165d6a6256273a3430fa4891413ac2f0</t>
        </is>
      </c>
      <c r="B102" t="inlineStr">
        <is>
          <t>e0cfd7ece071eb006b1670ea64d0904e</t>
        </is>
      </c>
      <c r="C102" t="inlineStr">
        <is>
          <t>f42a2bd194f7802ab052a815c8de65b7</t>
        </is>
      </c>
      <c r="D102" t="inlineStr">
        <is>
          <t>9d12ef1a7eca3ec58c545c678af7869c</t>
        </is>
      </c>
      <c r="E102" s="30" t="n">
        <v>43368.49658564815</v>
      </c>
      <c r="F102" t="inlineStr">
        <is>
          <t>construction_tools_house_garden</t>
        </is>
      </c>
      <c r="G102" t="inlineStr">
        <is>
          <t>offline</t>
        </is>
      </c>
      <c r="H102" t="inlineStr">
        <is>
          <t>cat</t>
        </is>
      </c>
      <c r="L102" t="inlineStr">
        <is>
          <t>reseller</t>
        </is>
      </c>
      <c r="M102" t="n">
        <v>400</v>
      </c>
      <c r="N102" t="n">
        <v>100000</v>
      </c>
    </row>
    <row r="103">
      <c r="A103" t="inlineStr">
        <is>
          <t>de1dbe3b8d524c96d50c30f2467c4bc6</t>
        </is>
      </c>
      <c r="B103" t="inlineStr">
        <is>
          <t>841fba8f46ab4edd1bb086f53735000e</t>
        </is>
      </c>
      <c r="C103" t="inlineStr">
        <is>
          <t>4b339f9567d060bcea4f5136b9f5949e</t>
        </is>
      </c>
      <c r="D103" t="inlineStr">
        <is>
          <t>85fc447d336637ba1df43e793199fbc8</t>
        </is>
      </c>
      <c r="E103" s="30" t="n">
        <v>43196.73643518519</v>
      </c>
      <c r="F103" t="inlineStr">
        <is>
          <t>car_accessories</t>
        </is>
      </c>
      <c r="G103" t="inlineStr">
        <is>
          <t>online_top</t>
        </is>
      </c>
      <c r="H103" t="inlineStr">
        <is>
          <t>cat</t>
        </is>
      </c>
      <c r="L103" t="inlineStr">
        <is>
          <t>reseller</t>
        </is>
      </c>
      <c r="N103" t="n">
        <v>0</v>
      </c>
    </row>
    <row r="104">
      <c r="A104" t="inlineStr">
        <is>
          <t>4e6e15ac583426150b75fc9b2951c7b1</t>
        </is>
      </c>
      <c r="B104" t="inlineStr">
        <is>
          <t>a333655afd62d4ef51f55ac7c58abb34</t>
        </is>
      </c>
      <c r="C104" t="inlineStr">
        <is>
          <t>4b339f9567d060bcea4f5136b9f5949e</t>
        </is>
      </c>
      <c r="D104" t="inlineStr">
        <is>
          <t>4b339f9567d060bcea4f5136b9f5949e</t>
        </is>
      </c>
      <c r="E104" s="30" t="n">
        <v>43293.88496527778</v>
      </c>
      <c r="F104" t="inlineStr">
        <is>
          <t>car_accessories</t>
        </is>
      </c>
      <c r="G104" t="inlineStr">
        <is>
          <t>online_big</t>
        </is>
      </c>
      <c r="H104" t="inlineStr">
        <is>
          <t>wolf</t>
        </is>
      </c>
      <c r="L104" t="inlineStr">
        <is>
          <t>reseller</t>
        </is>
      </c>
      <c r="N104" t="n">
        <v>0</v>
      </c>
    </row>
    <row r="105">
      <c r="A105" t="inlineStr">
        <is>
          <t>080261e4427a081fc6e637b654f590ee</t>
        </is>
      </c>
      <c r="B105" t="inlineStr">
        <is>
          <t>ade45994b717ccee333492330fbf037b</t>
        </is>
      </c>
      <c r="C105" t="inlineStr">
        <is>
          <t>068066e24f0c643eb1d089c7dd20cd73</t>
        </is>
      </c>
      <c r="D105" t="inlineStr">
        <is>
          <t>85fc447d336637ba1df43e793199fbc8</t>
        </is>
      </c>
      <c r="E105" s="30" t="n">
        <v>43173.51273148148</v>
      </c>
      <c r="F105" t="inlineStr">
        <is>
          <t>audio_video_electronics</t>
        </is>
      </c>
      <c r="G105" t="inlineStr">
        <is>
          <t>online_big</t>
        </is>
      </c>
      <c r="H105" t="inlineStr">
        <is>
          <t>cat</t>
        </is>
      </c>
      <c r="L105" t="inlineStr">
        <is>
          <t>reseller</t>
        </is>
      </c>
      <c r="N105" t="n">
        <v>0</v>
      </c>
    </row>
    <row r="106">
      <c r="A106" t="inlineStr">
        <is>
          <t>f9c43d70a22ac65ce5fa816a4c34f8f0</t>
        </is>
      </c>
      <c r="B106" t="inlineStr">
        <is>
          <t>784fca1939f4ad6c73be249a80b17d18</t>
        </is>
      </c>
      <c r="C106" t="inlineStr">
        <is>
          <t>9e4d1098a3b0f5da39b0bc48f9876645</t>
        </is>
      </c>
      <c r="D106" t="inlineStr">
        <is>
          <t>85fc447d336637ba1df43e793199fbc8</t>
        </is>
      </c>
      <c r="E106" s="30" t="n">
        <v>43187.94296296296</v>
      </c>
      <c r="F106" t="inlineStr">
        <is>
          <t>baby</t>
        </is>
      </c>
      <c r="G106" t="inlineStr">
        <is>
          <t>online_small</t>
        </is>
      </c>
      <c r="H106" t="inlineStr">
        <is>
          <t>wolf</t>
        </is>
      </c>
      <c r="L106" t="inlineStr">
        <is>
          <t>manufacturer</t>
        </is>
      </c>
      <c r="N106" t="n">
        <v>0</v>
      </c>
    </row>
    <row r="107">
      <c r="A107" t="inlineStr">
        <is>
          <t>42e452a93e736373dd9281c113eff2b7</t>
        </is>
      </c>
      <c r="B107" t="inlineStr">
        <is>
          <t>da6a60cc8cc724fe51be021ff8be779c</t>
        </is>
      </c>
      <c r="C107" t="inlineStr">
        <is>
          <t>0a0fb2b07d841f84fb6714e35c723075</t>
        </is>
      </c>
      <c r="D107" t="inlineStr">
        <is>
          <t>495d4e95a8cf8bbf8b432b612a2aa328</t>
        </is>
      </c>
      <c r="E107" s="30" t="n">
        <v>43234.67151620371</v>
      </c>
      <c r="F107" t="inlineStr">
        <is>
          <t>books</t>
        </is>
      </c>
      <c r="G107" t="inlineStr">
        <is>
          <t>online_big</t>
        </is>
      </c>
      <c r="H107" t="inlineStr">
        <is>
          <t>cat</t>
        </is>
      </c>
      <c r="L107" t="inlineStr">
        <is>
          <t>reseller</t>
        </is>
      </c>
      <c r="N107" t="n">
        <v>0</v>
      </c>
    </row>
    <row r="108">
      <c r="A108" t="inlineStr">
        <is>
          <t>67c34b9630469b3c13b7982316ffe7a1</t>
        </is>
      </c>
      <c r="B108" t="inlineStr">
        <is>
          <t>6e985a12b7b98f0a15b7bf90cc882f61</t>
        </is>
      </c>
      <c r="C108" t="inlineStr">
        <is>
          <t>56bf83c4bb35763a51c2baab501b4c67</t>
        </is>
      </c>
      <c r="D108" t="inlineStr">
        <is>
          <t>c638112b43f1d1b86dcabb0da720c901</t>
        </is>
      </c>
      <c r="E108" s="30" t="n">
        <v>43122.55453703704</v>
      </c>
      <c r="F108" t="inlineStr">
        <is>
          <t>home_office_furniture</t>
        </is>
      </c>
      <c r="G108" t="inlineStr">
        <is>
          <t>industry</t>
        </is>
      </c>
      <c r="L108" t="inlineStr">
        <is>
          <t>reseller</t>
        </is>
      </c>
      <c r="N108" t="n">
        <v>0</v>
      </c>
    </row>
    <row r="109">
      <c r="A109" t="inlineStr">
        <is>
          <t>bde34e7721e5a33091503ba45b3f8ea5</t>
        </is>
      </c>
      <c r="B109" t="inlineStr">
        <is>
          <t>a69aa24cec11168e7e39a3fbc727e925</t>
        </is>
      </c>
      <c r="C109" t="inlineStr">
        <is>
          <t>4b339f9567d060bcea4f5136b9f5949e</t>
        </is>
      </c>
      <c r="D109" t="inlineStr">
        <is>
          <t>495d4e95a8cf8bbf8b432b612a2aa328</t>
        </is>
      </c>
      <c r="E109" s="30" t="n">
        <v>43220.125</v>
      </c>
      <c r="F109" t="inlineStr">
        <is>
          <t>health_beauty</t>
        </is>
      </c>
      <c r="G109" t="inlineStr">
        <is>
          <t>online_big</t>
        </is>
      </c>
      <c r="H109" t="inlineStr">
        <is>
          <t>cat</t>
        </is>
      </c>
      <c r="L109" t="inlineStr">
        <is>
          <t>reseller</t>
        </is>
      </c>
      <c r="N109" t="n">
        <v>0</v>
      </c>
    </row>
    <row r="110">
      <c r="A110" t="inlineStr">
        <is>
          <t>1124225a47b3f07185073f3df3b449bf</t>
        </is>
      </c>
      <c r="B110" t="inlineStr">
        <is>
          <t>faf3ee2764599d114d7e8f25d4c19845</t>
        </is>
      </c>
      <c r="C110" t="inlineStr">
        <is>
          <t>9749123c950bf8363ace42cb1c2d0815</t>
        </is>
      </c>
      <c r="D110" t="inlineStr">
        <is>
          <t>2695de1affa7750089c0455f8ce27021</t>
        </is>
      </c>
      <c r="E110" s="30" t="n">
        <v>43354.8095949074</v>
      </c>
      <c r="F110" t="inlineStr">
        <is>
          <t>home_decor</t>
        </is>
      </c>
      <c r="G110" t="inlineStr">
        <is>
          <t>online_big</t>
        </is>
      </c>
      <c r="H110" t="inlineStr">
        <is>
          <t>wolf</t>
        </is>
      </c>
      <c r="L110" t="inlineStr">
        <is>
          <t>reseller</t>
        </is>
      </c>
      <c r="M110" t="n">
        <v>800</v>
      </c>
      <c r="N110" t="n">
        <v>100000</v>
      </c>
    </row>
    <row r="111">
      <c r="A111" t="inlineStr">
        <is>
          <t>ac68bc93ecc07d7daec8ce924ca09b0c</t>
        </is>
      </c>
      <c r="B111" t="inlineStr">
        <is>
          <t>6025c79c035c3d772133b8b8238463b2</t>
        </is>
      </c>
      <c r="C111" t="inlineStr">
        <is>
          <t>b90f87164b5f8c2cfa5c8572834dbe3f</t>
        </is>
      </c>
      <c r="D111" t="inlineStr">
        <is>
          <t>56bf83c4bb35763a51c2baab501b4c67</t>
        </is>
      </c>
      <c r="E111" s="30" t="n">
        <v>43230.79697916667</v>
      </c>
      <c r="F111" t="inlineStr">
        <is>
          <t>car_accessories</t>
        </is>
      </c>
      <c r="G111" t="inlineStr">
        <is>
          <t>online_medium</t>
        </is>
      </c>
      <c r="H111" t="inlineStr">
        <is>
          <t>wolf</t>
        </is>
      </c>
      <c r="L111" t="inlineStr">
        <is>
          <t>reseller</t>
        </is>
      </c>
      <c r="N111" t="n">
        <v>0</v>
      </c>
    </row>
    <row r="112">
      <c r="A112" t="inlineStr">
        <is>
          <t>cd46a0224c83d17b825ebc226df3479c</t>
        </is>
      </c>
      <c r="B112" t="inlineStr">
        <is>
          <t>e1643dff33666ca629e3644c02738179</t>
        </is>
      </c>
      <c r="C112" t="inlineStr">
        <is>
          <t>9e4d1098a3b0f5da39b0bc48f9876645</t>
        </is>
      </c>
      <c r="D112" t="inlineStr">
        <is>
          <t>9ae085775a198122c5586fa830ff7f2b</t>
        </is>
      </c>
      <c r="E112" s="30" t="n">
        <v>43172.6222337963</v>
      </c>
      <c r="F112" t="inlineStr">
        <is>
          <t>household_utilities</t>
        </is>
      </c>
      <c r="G112" t="inlineStr">
        <is>
          <t>offline</t>
        </is>
      </c>
      <c r="H112" t="inlineStr">
        <is>
          <t>eagle</t>
        </is>
      </c>
      <c r="L112" t="inlineStr">
        <is>
          <t>reseller</t>
        </is>
      </c>
      <c r="N112" t="n">
        <v>0</v>
      </c>
    </row>
    <row r="113">
      <c r="A113" t="inlineStr">
        <is>
          <t>3cc3bc10218cf509ba24613cda41d940</t>
        </is>
      </c>
      <c r="B113" t="inlineStr">
        <is>
          <t>cc63f0dd2acba93ffed4fe9f8e0321fa</t>
        </is>
      </c>
      <c r="C113" t="inlineStr">
        <is>
          <t>0a0fb2b07d841f84fb6714e35c723075</t>
        </is>
      </c>
      <c r="D113" t="inlineStr">
        <is>
          <t>9e4d1098a3b0f5da39b0bc48f9876645</t>
        </is>
      </c>
      <c r="E113" s="30" t="n">
        <v>43214.125</v>
      </c>
      <c r="F113" t="inlineStr">
        <is>
          <t>home_office_furniture</t>
        </is>
      </c>
      <c r="G113" t="inlineStr">
        <is>
          <t>online_beginner</t>
        </is>
      </c>
      <c r="H113" t="inlineStr">
        <is>
          <t>eagle</t>
        </is>
      </c>
      <c r="L113" t="inlineStr">
        <is>
          <t>reseller</t>
        </is>
      </c>
      <c r="N113" t="n">
        <v>0</v>
      </c>
    </row>
    <row r="114">
      <c r="A114" t="inlineStr">
        <is>
          <t>b223756da60ed5012d1d302bc9f50f6e</t>
        </is>
      </c>
      <c r="B114" t="inlineStr">
        <is>
          <t>bb2afe2061d53c6968aa0cffa233a8ec</t>
        </is>
      </c>
      <c r="C114" t="inlineStr">
        <is>
          <t>9e4d1098a3b0f5da39b0bc48f9876645</t>
        </is>
      </c>
      <c r="D114" t="inlineStr">
        <is>
          <t>85fc447d336637ba1df43e793199fbc8</t>
        </is>
      </c>
      <c r="E114" s="30" t="n">
        <v>43196.74726851852</v>
      </c>
      <c r="F114" t="inlineStr">
        <is>
          <t>sports_leisure</t>
        </is>
      </c>
      <c r="G114" t="inlineStr">
        <is>
          <t>online_medium</t>
        </is>
      </c>
      <c r="H114" t="inlineStr">
        <is>
          <t>cat</t>
        </is>
      </c>
      <c r="L114" t="inlineStr">
        <is>
          <t>reseller</t>
        </is>
      </c>
      <c r="N114" t="n">
        <v>0</v>
      </c>
    </row>
    <row r="115">
      <c r="A115" t="inlineStr">
        <is>
          <t>4144092976e61a9c32e1c7b205d85452</t>
        </is>
      </c>
      <c r="B115" t="inlineStr">
        <is>
          <t>ba56ae8ab7eb61b0c3f064f9661eb15c</t>
        </is>
      </c>
      <c r="C115" t="inlineStr">
        <is>
          <t>4b339f9567d060bcea4f5136b9f5949e</t>
        </is>
      </c>
      <c r="D115" t="inlineStr">
        <is>
          <t>9ae085775a198122c5586fa830ff7f2b</t>
        </is>
      </c>
      <c r="E115" s="30" t="n">
        <v>43132.52309027778</v>
      </c>
      <c r="F115" t="inlineStr">
        <is>
          <t>books</t>
        </is>
      </c>
      <c r="G115" t="inlineStr">
        <is>
          <t>online_medium</t>
        </is>
      </c>
      <c r="L115" t="inlineStr">
        <is>
          <t>manufacturer</t>
        </is>
      </c>
      <c r="N115" t="n">
        <v>0</v>
      </c>
    </row>
    <row r="116">
      <c r="A116" t="inlineStr">
        <is>
          <t>b30be338efa14f74a40949dbafd02b57</t>
        </is>
      </c>
      <c r="B116" t="inlineStr">
        <is>
          <t>c8cc60ffd415254af5d9b9f34f32c369</t>
        </is>
      </c>
      <c r="C116" t="inlineStr">
        <is>
          <t>068066e24f0c643eb1d089c7dd20cd73</t>
        </is>
      </c>
      <c r="D116" t="inlineStr">
        <is>
          <t>fbf4aef3f6915dc0c3c97d6812522f6a</t>
        </is>
      </c>
      <c r="E116" s="30" t="n">
        <v>43220.8494212963</v>
      </c>
      <c r="F116" t="inlineStr">
        <is>
          <t>pet</t>
        </is>
      </c>
      <c r="G116" t="inlineStr">
        <is>
          <t>online_medium</t>
        </is>
      </c>
      <c r="H116" t="inlineStr">
        <is>
          <t>cat</t>
        </is>
      </c>
      <c r="L116" t="inlineStr">
        <is>
          <t>reseller</t>
        </is>
      </c>
      <c r="N116" t="n">
        <v>0</v>
      </c>
    </row>
    <row r="117">
      <c r="A117" t="inlineStr">
        <is>
          <t>7c68935a1dfb1fc8fb714797e7cbf805</t>
        </is>
      </c>
      <c r="B117" t="inlineStr">
        <is>
          <t>6267923376872bb45a1c804aed0f1e73</t>
        </is>
      </c>
      <c r="C117" t="inlineStr">
        <is>
          <t>56bf83c4bb35763a51c2baab501b4c67</t>
        </is>
      </c>
      <c r="D117" t="inlineStr">
        <is>
          <t>c638112b43f1d1b86dcabb0da720c901</t>
        </is>
      </c>
      <c r="E117" s="30" t="n">
        <v>43187.78849537037</v>
      </c>
      <c r="F117" t="inlineStr">
        <is>
          <t>household_utilities</t>
        </is>
      </c>
      <c r="G117" t="inlineStr">
        <is>
          <t>industry</t>
        </is>
      </c>
      <c r="H117" t="inlineStr">
        <is>
          <t>eagle</t>
        </is>
      </c>
      <c r="L117" t="inlineStr">
        <is>
          <t>manufacturer</t>
        </is>
      </c>
      <c r="N117" t="n">
        <v>0</v>
      </c>
    </row>
    <row r="118">
      <c r="A118" t="inlineStr">
        <is>
          <t>8551ef0d517bfc756cb31e0477ac4adc</t>
        </is>
      </c>
      <c r="B118" t="inlineStr">
        <is>
          <t>c1849d4d32d7a6cecd5aa471809d3135</t>
        </is>
      </c>
      <c r="C118" t="inlineStr">
        <is>
          <t>b90f87164b5f8c2cfa5c8572834dbe3f</t>
        </is>
      </c>
      <c r="D118" t="inlineStr">
        <is>
          <t>4ef15afb4b2723d8f3d81e51ec7afefe</t>
        </is>
      </c>
      <c r="E118" s="30" t="n">
        <v>43238.53320601852</v>
      </c>
      <c r="F118" t="inlineStr">
        <is>
          <t>party</t>
        </is>
      </c>
      <c r="G118" t="inlineStr">
        <is>
          <t>offline</t>
        </is>
      </c>
      <c r="H118" t="inlineStr">
        <is>
          <t>cat</t>
        </is>
      </c>
      <c r="L118" t="inlineStr">
        <is>
          <t>manufacturer</t>
        </is>
      </c>
      <c r="N118" t="n">
        <v>0</v>
      </c>
    </row>
    <row r="119">
      <c r="A119" t="inlineStr">
        <is>
          <t>fc0a87e43ede1f423412583293815598</t>
        </is>
      </c>
      <c r="B119" t="inlineStr">
        <is>
          <t>90c523952c5622d268addb6d93a7212f</t>
        </is>
      </c>
      <c r="C119" t="inlineStr">
        <is>
          <t>f42a2bd194f7802ab052a815c8de65b7</t>
        </is>
      </c>
      <c r="D119" t="inlineStr">
        <is>
          <t>d3d1e91a157ea7f90548eef82f1955e3</t>
        </is>
      </c>
      <c r="E119" s="30" t="n">
        <v>43332.58322916667</v>
      </c>
      <c r="F119" t="inlineStr">
        <is>
          <t>audio_video_electronics</t>
        </is>
      </c>
      <c r="G119" t="inlineStr">
        <is>
          <t>online_beginner</t>
        </is>
      </c>
      <c r="H119" t="inlineStr">
        <is>
          <t>cat</t>
        </is>
      </c>
      <c r="I119" t="b">
        <v>1</v>
      </c>
      <c r="J119" t="b">
        <v>1</v>
      </c>
      <c r="L119" t="inlineStr">
        <is>
          <t>reseller</t>
        </is>
      </c>
      <c r="M119" t="n">
        <v>5</v>
      </c>
      <c r="N119" t="n">
        <v>0</v>
      </c>
    </row>
    <row r="120">
      <c r="A120" t="inlineStr">
        <is>
          <t>57648ec099f2451be828fb2e27d8f46a</t>
        </is>
      </c>
      <c r="B120" t="inlineStr">
        <is>
          <t>0ab97fdbae52ec0e877efdf9b310528e</t>
        </is>
      </c>
      <c r="C120" t="inlineStr">
        <is>
          <t>370c9f455f93a9a96cbe9bea48e70033</t>
        </is>
      </c>
      <c r="D120" t="inlineStr">
        <is>
          <t>4ef15afb4b2723d8f3d81e51ec7afefe</t>
        </is>
      </c>
      <c r="E120" s="30" t="n">
        <v>43203.8599537037</v>
      </c>
      <c r="F120" t="inlineStr">
        <is>
          <t>food_drink</t>
        </is>
      </c>
      <c r="G120" t="inlineStr">
        <is>
          <t>online_medium</t>
        </is>
      </c>
      <c r="H120" t="inlineStr">
        <is>
          <t>cat</t>
        </is>
      </c>
      <c r="L120" t="inlineStr">
        <is>
          <t>reseller</t>
        </is>
      </c>
      <c r="N120" t="n">
        <v>0</v>
      </c>
    </row>
    <row r="121">
      <c r="A121" t="inlineStr">
        <is>
          <t>d768d7e09a6f9ff4146a1659635cf304</t>
        </is>
      </c>
      <c r="B121" t="inlineStr">
        <is>
          <t>f233b575e585413f12fe2f847d922447</t>
        </is>
      </c>
      <c r="C121" t="inlineStr">
        <is>
          <t>282f16e20d50cb18d05182e80f6b9dd6</t>
        </is>
      </c>
      <c r="D121" t="inlineStr">
        <is>
          <t>d3d1e91a157ea7f90548eef82f1955e3</t>
        </is>
      </c>
      <c r="E121" s="30" t="n">
        <v>43403.76464120371</v>
      </c>
      <c r="F121" t="inlineStr">
        <is>
          <t>household_utilities</t>
        </is>
      </c>
      <c r="G121" t="inlineStr">
        <is>
          <t>online_big</t>
        </is>
      </c>
      <c r="H121" t="inlineStr">
        <is>
          <t>wolf</t>
        </is>
      </c>
      <c r="I121" t="b">
        <v>1</v>
      </c>
      <c r="J121" t="b">
        <v>0</v>
      </c>
      <c r="K121" t="inlineStr">
        <is>
          <t>1-5</t>
        </is>
      </c>
      <c r="L121" t="inlineStr">
        <is>
          <t>reseller</t>
        </is>
      </c>
      <c r="M121" t="n">
        <v>100</v>
      </c>
      <c r="N121" t="n">
        <v>150000</v>
      </c>
    </row>
    <row r="122">
      <c r="A122" t="inlineStr">
        <is>
          <t>cdb36ea731ecf2d69881eaff7220b10e</t>
        </is>
      </c>
      <c r="B122" t="inlineStr">
        <is>
          <t>7d2af2d0dc5a86742cda2e5da38c1ac7</t>
        </is>
      </c>
      <c r="C122" t="inlineStr">
        <is>
          <t>9e4d1098a3b0f5da39b0bc48f9876645</t>
        </is>
      </c>
      <c r="D122" t="inlineStr">
        <is>
          <t>c638112b43f1d1b86dcabb0da720c901</t>
        </is>
      </c>
      <c r="E122" s="30" t="n">
        <v>43178.125</v>
      </c>
      <c r="F122" t="inlineStr">
        <is>
          <t>audio_video_electronics</t>
        </is>
      </c>
      <c r="G122" t="inlineStr">
        <is>
          <t>online_medium</t>
        </is>
      </c>
      <c r="L122" t="inlineStr">
        <is>
          <t>reseller</t>
        </is>
      </c>
      <c r="N122" t="n">
        <v>0</v>
      </c>
    </row>
    <row r="123">
      <c r="A123" t="inlineStr">
        <is>
          <t>06bc22c1b089be523e97524b67084ca0</t>
        </is>
      </c>
      <c r="B123" t="inlineStr">
        <is>
          <t>71729348559edea55a3e7a2bc2a2986d</t>
        </is>
      </c>
      <c r="C123" t="inlineStr">
        <is>
          <t>4b339f9567d060bcea4f5136b9f5949e</t>
        </is>
      </c>
      <c r="D123" t="inlineStr">
        <is>
          <t>fbf4aef3f6915dc0c3c97d6812522f6a</t>
        </is>
      </c>
      <c r="E123" s="30" t="n">
        <v>43257.74337962963</v>
      </c>
      <c r="F123" t="inlineStr">
        <is>
          <t>health_beauty</t>
        </is>
      </c>
      <c r="G123" t="inlineStr">
        <is>
          <t>online_medium</t>
        </is>
      </c>
      <c r="H123" t="inlineStr">
        <is>
          <t>cat</t>
        </is>
      </c>
      <c r="L123" t="inlineStr">
        <is>
          <t>manufacturer</t>
        </is>
      </c>
      <c r="N123" t="n">
        <v>0</v>
      </c>
    </row>
    <row r="124">
      <c r="A124" t="inlineStr">
        <is>
          <t>d6e0ddfc5b05597877a7d5036789a3a1</t>
        </is>
      </c>
      <c r="B124" t="inlineStr">
        <is>
          <t>4125d9385a25e82d2f72d3a0fd55bc3f</t>
        </is>
      </c>
      <c r="C124" t="inlineStr">
        <is>
          <t>a8387c01a09e99ce014107505b92388c</t>
        </is>
      </c>
      <c r="D124" t="inlineStr">
        <is>
          <t>9e4d1098a3b0f5da39b0bc48f9876645</t>
        </is>
      </c>
      <c r="E124" s="30" t="n">
        <v>43195.62929398148</v>
      </c>
      <c r="F124" t="inlineStr">
        <is>
          <t>home_decor</t>
        </is>
      </c>
      <c r="G124" t="inlineStr">
        <is>
          <t>online_medium</t>
        </is>
      </c>
      <c r="H124" t="inlineStr">
        <is>
          <t>cat</t>
        </is>
      </c>
      <c r="L124" t="inlineStr">
        <is>
          <t>reseller</t>
        </is>
      </c>
      <c r="N124" t="n">
        <v>0</v>
      </c>
    </row>
    <row r="125">
      <c r="A125" t="inlineStr">
        <is>
          <t>66744053f818d4032f5ba881340db020</t>
        </is>
      </c>
      <c r="B125" t="inlineStr">
        <is>
          <t>5f5a58930c3c35f3b5af264f34fb8c85</t>
        </is>
      </c>
      <c r="C125" t="inlineStr">
        <is>
          <t>4b339f9567d060bcea4f5136b9f5949e</t>
        </is>
      </c>
      <c r="D125" t="inlineStr">
        <is>
          <t>495d4e95a8cf8bbf8b432b612a2aa328</t>
        </is>
      </c>
      <c r="E125" s="30" t="n">
        <v>43157.71326388889</v>
      </c>
      <c r="F125" t="inlineStr">
        <is>
          <t>air_conditioning</t>
        </is>
      </c>
      <c r="G125" t="inlineStr">
        <is>
          <t>online_medium</t>
        </is>
      </c>
      <c r="H125" t="inlineStr">
        <is>
          <t>wolf</t>
        </is>
      </c>
      <c r="L125" t="inlineStr">
        <is>
          <t>reseller</t>
        </is>
      </c>
      <c r="N125" t="n">
        <v>0</v>
      </c>
    </row>
    <row r="126">
      <c r="A126" t="inlineStr">
        <is>
          <t>6dcca2f79e4a4672f7c91f58385b4582</t>
        </is>
      </c>
      <c r="B126" t="inlineStr">
        <is>
          <t>94eead2f1cdacbf7ba5c5a0bdbe4cf1f</t>
        </is>
      </c>
      <c r="C126" t="inlineStr">
        <is>
          <t>f42a2bd194f7802ab052a815c8de65b7</t>
        </is>
      </c>
      <c r="D126" t="inlineStr">
        <is>
          <t>de63de0d10a6012430098db33c679b0b</t>
        </is>
      </c>
      <c r="E126" s="30" t="n">
        <v>43217.59120370371</v>
      </c>
      <c r="F126" t="inlineStr">
        <is>
          <t>household_utilities</t>
        </is>
      </c>
      <c r="G126" t="inlineStr">
        <is>
          <t>offline</t>
        </is>
      </c>
      <c r="H126" t="inlineStr">
        <is>
          <t>wolf</t>
        </is>
      </c>
      <c r="L126" t="inlineStr">
        <is>
          <t>reseller</t>
        </is>
      </c>
      <c r="N126" t="n">
        <v>0</v>
      </c>
    </row>
    <row r="127">
      <c r="A127" t="inlineStr">
        <is>
          <t>e73083572cc595460842f5090da94662</t>
        </is>
      </c>
      <c r="B127" t="inlineStr">
        <is>
          <t>facd538cb53fa082bffaeee65521020a</t>
        </is>
      </c>
      <c r="C127" t="inlineStr">
        <is>
          <t>370c9f455f93a9a96cbe9bea48e70033</t>
        </is>
      </c>
      <c r="D127" t="inlineStr">
        <is>
          <t>34d40cdaf94010a1d05b0d6212f9e909</t>
        </is>
      </c>
      <c r="E127" s="30" t="n">
        <v>43360.50229166666</v>
      </c>
      <c r="F127" t="inlineStr">
        <is>
          <t>car_accessories</t>
        </is>
      </c>
      <c r="G127" t="inlineStr">
        <is>
          <t>offline</t>
        </is>
      </c>
      <c r="H127" t="inlineStr">
        <is>
          <t>eagle</t>
        </is>
      </c>
      <c r="K127" t="inlineStr">
        <is>
          <t>1-5</t>
        </is>
      </c>
      <c r="L127" t="inlineStr">
        <is>
          <t>reseller</t>
        </is>
      </c>
      <c r="M127" t="n">
        <v>50</v>
      </c>
      <c r="N127" t="n">
        <v>10000</v>
      </c>
    </row>
    <row r="128">
      <c r="A128" t="inlineStr">
        <is>
          <t>6fba9ab96aa12c4c9d01e74b66a74485</t>
        </is>
      </c>
      <c r="B128" t="inlineStr">
        <is>
          <t>09c34a8e333be37851747c27525a4e53</t>
        </is>
      </c>
      <c r="C128" t="inlineStr">
        <is>
          <t>9d12ef1a7eca3ec58c545c678af7869c</t>
        </is>
      </c>
      <c r="D128" t="inlineStr">
        <is>
          <t>068066e24f0c643eb1d089c7dd20cd73</t>
        </is>
      </c>
      <c r="E128" s="30" t="n">
        <v>43235.84804398148</v>
      </c>
      <c r="F128" t="inlineStr">
        <is>
          <t>pet</t>
        </is>
      </c>
      <c r="G128" t="inlineStr">
        <is>
          <t>online_small</t>
        </is>
      </c>
      <c r="H128" t="inlineStr">
        <is>
          <t>eagle</t>
        </is>
      </c>
      <c r="L128" t="inlineStr">
        <is>
          <t>reseller</t>
        </is>
      </c>
      <c r="N128" t="n">
        <v>0</v>
      </c>
    </row>
    <row r="129">
      <c r="A129" t="inlineStr">
        <is>
          <t>fa027edbceb48e6657770c2985172201</t>
        </is>
      </c>
      <c r="B129" t="inlineStr">
        <is>
          <t>8fbd63429be6d3e5e6d1a709b6464802</t>
        </is>
      </c>
      <c r="C129" t="inlineStr">
        <is>
          <t>fdb16d3cbbeb5798f2f66c4096be026d</t>
        </is>
      </c>
      <c r="D129" t="inlineStr">
        <is>
          <t>9ae085775a198122c5586fa830ff7f2b</t>
        </is>
      </c>
      <c r="E129" s="30" t="n">
        <v>43123.74895833333</v>
      </c>
      <c r="F129" t="inlineStr">
        <is>
          <t>car_accessories</t>
        </is>
      </c>
      <c r="G129" t="inlineStr">
        <is>
          <t>industry</t>
        </is>
      </c>
      <c r="L129" t="inlineStr">
        <is>
          <t>reseller</t>
        </is>
      </c>
      <c r="N129" t="n">
        <v>0</v>
      </c>
    </row>
    <row r="130">
      <c r="A130" t="inlineStr">
        <is>
          <t>83d5aac46c097426773520489cda201c</t>
        </is>
      </c>
      <c r="B130" t="inlineStr">
        <is>
          <t>a28120fc27b206d3bc355b57040baf7a</t>
        </is>
      </c>
      <c r="C130" t="inlineStr">
        <is>
          <t>a8387c01a09e99ce014107505b92388c</t>
        </is>
      </c>
      <c r="D130" t="inlineStr">
        <is>
          <t>9e4d1098a3b0f5da39b0bc48f9876645</t>
        </is>
      </c>
      <c r="E130" s="30" t="n">
        <v>43220.54633101852</v>
      </c>
      <c r="F130" t="inlineStr">
        <is>
          <t>audio_video_electronics</t>
        </is>
      </c>
      <c r="G130" t="inlineStr">
        <is>
          <t>industry</t>
        </is>
      </c>
      <c r="H130" t="inlineStr">
        <is>
          <t>cat</t>
        </is>
      </c>
      <c r="L130" t="inlineStr">
        <is>
          <t>reseller</t>
        </is>
      </c>
      <c r="N130" t="n">
        <v>0</v>
      </c>
    </row>
    <row r="131">
      <c r="A131" t="inlineStr">
        <is>
          <t>a562fd35af2738ce6d88f785ef4eb134</t>
        </is>
      </c>
      <c r="B131" t="inlineStr">
        <is>
          <t>b16d3dadc47d4eb18be3d88bad0775ce</t>
        </is>
      </c>
      <c r="C131" t="inlineStr">
        <is>
          <t>a8387c01a09e99ce014107505b92388c</t>
        </is>
      </c>
      <c r="D131" t="inlineStr">
        <is>
          <t>fbf4aef3f6915dc0c3c97d6812522f6a</t>
        </is>
      </c>
      <c r="E131" s="30" t="n">
        <v>43187.67459490741</v>
      </c>
      <c r="F131" t="inlineStr">
        <is>
          <t>sports_leisure</t>
        </is>
      </c>
      <c r="G131" t="inlineStr">
        <is>
          <t>online_medium</t>
        </is>
      </c>
      <c r="H131" t="inlineStr">
        <is>
          <t>cat</t>
        </is>
      </c>
      <c r="L131" t="inlineStr">
        <is>
          <t>manufacturer</t>
        </is>
      </c>
      <c r="N131" t="n">
        <v>0</v>
      </c>
    </row>
    <row r="132">
      <c r="A132" t="inlineStr">
        <is>
          <t>288ba9abad93ef50e6a76089ae84aab3</t>
        </is>
      </c>
      <c r="B132" t="inlineStr">
        <is>
          <t>a8fee0ab6206634206f782c32e41a2a4</t>
        </is>
      </c>
      <c r="C132" t="inlineStr">
        <is>
          <t>e7dff61b78bebffa71678e126ce669ad</t>
        </is>
      </c>
      <c r="D132" t="inlineStr">
        <is>
          <t>4b339f9567d060bcea4f5136b9f5949e</t>
        </is>
      </c>
      <c r="E132" s="30" t="n">
        <v>43335.53240740741</v>
      </c>
      <c r="F132" t="inlineStr">
        <is>
          <t>health_beauty</t>
        </is>
      </c>
      <c r="G132" t="inlineStr">
        <is>
          <t>online_medium</t>
        </is>
      </c>
      <c r="H132" t="inlineStr">
        <is>
          <t>cat</t>
        </is>
      </c>
      <c r="I132" t="b">
        <v>1</v>
      </c>
      <c r="J132" t="b">
        <v>1</v>
      </c>
      <c r="K132" t="inlineStr">
        <is>
          <t>50-200</t>
        </is>
      </c>
      <c r="L132" t="inlineStr">
        <is>
          <t>reseller</t>
        </is>
      </c>
      <c r="M132" t="n">
        <v>300</v>
      </c>
      <c r="N132" t="n">
        <v>25000</v>
      </c>
    </row>
    <row r="133">
      <c r="A133" t="inlineStr">
        <is>
          <t>ab1417ecaf41d8fb741fade9be0b8ab1</t>
        </is>
      </c>
      <c r="B133" t="inlineStr">
        <is>
          <t>dd5450b022b2d00a2145a66331e1aef6</t>
        </is>
      </c>
      <c r="C133" t="inlineStr">
        <is>
          <t>9e4d1098a3b0f5da39b0bc48f9876645</t>
        </is>
      </c>
      <c r="D133" t="inlineStr">
        <is>
          <t>495d4e95a8cf8bbf8b432b612a2aa328</t>
        </is>
      </c>
      <c r="E133" s="30" t="n">
        <v>43150.72701388889</v>
      </c>
      <c r="F133" t="inlineStr">
        <is>
          <t>household_utilities</t>
        </is>
      </c>
      <c r="G133" t="inlineStr">
        <is>
          <t>online_medium</t>
        </is>
      </c>
      <c r="H133" t="inlineStr">
        <is>
          <t>wolf</t>
        </is>
      </c>
      <c r="L133" t="inlineStr">
        <is>
          <t>reseller</t>
        </is>
      </c>
      <c r="N133" t="n">
        <v>0</v>
      </c>
    </row>
    <row r="134">
      <c r="A134" t="inlineStr">
        <is>
          <t>d6137197f40a5b7916e5e9cbbbab739e</t>
        </is>
      </c>
      <c r="B134" t="inlineStr">
        <is>
          <t>f887581ec486ee8eec9ed933310848e0</t>
        </is>
      </c>
      <c r="C134" t="inlineStr">
        <is>
          <t>09285259593c61296eef10c734121d5b</t>
        </is>
      </c>
      <c r="D134" t="inlineStr">
        <is>
          <t>de63de0d10a6012430098db33c679b0b</t>
        </is>
      </c>
      <c r="E134" s="30" t="n">
        <v>43251.90576388889</v>
      </c>
      <c r="F134" t="inlineStr">
        <is>
          <t>car_accessories</t>
        </is>
      </c>
      <c r="G134" t="inlineStr">
        <is>
          <t>online_medium</t>
        </is>
      </c>
      <c r="H134" t="inlineStr">
        <is>
          <t>cat</t>
        </is>
      </c>
      <c r="L134" t="inlineStr">
        <is>
          <t>reseller</t>
        </is>
      </c>
      <c r="N134" t="n">
        <v>0</v>
      </c>
    </row>
    <row r="135">
      <c r="A135" t="inlineStr">
        <is>
          <t>bd0027406f48f714d12dc1de747133cf</t>
        </is>
      </c>
      <c r="B135" t="inlineStr">
        <is>
          <t>f89e46b812b06f22508f89873565ce6c</t>
        </is>
      </c>
      <c r="C135" t="inlineStr">
        <is>
          <t>56bf83c4bb35763a51c2baab501b4c67</t>
        </is>
      </c>
      <c r="D135" t="inlineStr">
        <is>
          <t>56bf83c4bb35763a51c2baab501b4c67</t>
        </is>
      </c>
      <c r="E135" s="30" t="n">
        <v>43220.85005787037</v>
      </c>
      <c r="F135" t="inlineStr">
        <is>
          <t>food_supplement</t>
        </is>
      </c>
      <c r="G135" t="inlineStr">
        <is>
          <t>offline</t>
        </is>
      </c>
      <c r="L135" t="inlineStr">
        <is>
          <t>reseller</t>
        </is>
      </c>
      <c r="N135" t="n">
        <v>0</v>
      </c>
    </row>
    <row r="136">
      <c r="A136" t="inlineStr">
        <is>
          <t>9b6edcffd428da99ae60cc01049a8403</t>
        </is>
      </c>
      <c r="B136" t="inlineStr">
        <is>
          <t>845e8036c3f7bf62099352f5ed910240</t>
        </is>
      </c>
      <c r="C136" t="inlineStr">
        <is>
          <t>34d40cdaf94010a1d05b0d6212f9e909</t>
        </is>
      </c>
      <c r="D136" t="inlineStr">
        <is>
          <t>4ef15afb4b2723d8f3d81e51ec7afefe</t>
        </is>
      </c>
      <c r="E136" s="30" t="n">
        <v>43223.125</v>
      </c>
      <c r="F136" t="inlineStr">
        <is>
          <t>bed_bath_table</t>
        </is>
      </c>
      <c r="G136" t="inlineStr">
        <is>
          <t>online_big</t>
        </is>
      </c>
      <c r="H136" t="inlineStr">
        <is>
          <t>cat</t>
        </is>
      </c>
      <c r="L136" t="inlineStr">
        <is>
          <t>reseller</t>
        </is>
      </c>
      <c r="N136" t="n">
        <v>0</v>
      </c>
    </row>
    <row r="137">
      <c r="A137" t="inlineStr">
        <is>
          <t>d6140c51d9f0507b9a747e63e335be7d</t>
        </is>
      </c>
      <c r="B137" t="inlineStr">
        <is>
          <t>ce9d7ae0d0fe0a747bc46cf3f089cfaa</t>
        </is>
      </c>
      <c r="C137" t="inlineStr">
        <is>
          <t>0a0fb2b07d841f84fb6714e35c723075</t>
        </is>
      </c>
      <c r="D137" t="inlineStr">
        <is>
          <t>495d4e95a8cf8bbf8b432b612a2aa328</t>
        </is>
      </c>
      <c r="E137" s="30" t="n">
        <v>43271.77159722222</v>
      </c>
      <c r="F137" t="inlineStr">
        <is>
          <t>audio_video_electronics</t>
        </is>
      </c>
      <c r="G137" t="inlineStr">
        <is>
          <t>industry</t>
        </is>
      </c>
      <c r="H137" t="inlineStr">
        <is>
          <t>cat</t>
        </is>
      </c>
      <c r="L137" t="inlineStr">
        <is>
          <t>reseller</t>
        </is>
      </c>
      <c r="N137" t="n">
        <v>0</v>
      </c>
    </row>
    <row r="138">
      <c r="A138" t="inlineStr">
        <is>
          <t>7f12bc8cffb170e083ea5c5296272b97</t>
        </is>
      </c>
      <c r="B138" t="inlineStr">
        <is>
          <t>f049a72cf58fd31b11f8919cade515e7</t>
        </is>
      </c>
      <c r="C138" t="inlineStr">
        <is>
          <t>4b339f9567d060bcea4f5136b9f5949e</t>
        </is>
      </c>
      <c r="D138" t="inlineStr">
        <is>
          <t>2695de1affa7750089c0455f8ce27021</t>
        </is>
      </c>
      <c r="E138" s="30" t="n">
        <v>43244.92811342593</v>
      </c>
      <c r="F138" t="inlineStr">
        <is>
          <t>audio_video_electronics</t>
        </is>
      </c>
      <c r="G138" t="inlineStr">
        <is>
          <t>online_beginner</t>
        </is>
      </c>
      <c r="H138" t="inlineStr">
        <is>
          <t>cat</t>
        </is>
      </c>
      <c r="L138" t="inlineStr">
        <is>
          <t>reseller</t>
        </is>
      </c>
      <c r="N138" t="n">
        <v>0</v>
      </c>
    </row>
    <row r="139">
      <c r="A139" t="inlineStr">
        <is>
          <t>d9734d3817f40bb704b7cc4984ec39b0</t>
        </is>
      </c>
      <c r="B139" t="inlineStr">
        <is>
          <t>117cfc326c6d50da67ca858ff5c0c852</t>
        </is>
      </c>
      <c r="C139" t="inlineStr">
        <is>
          <t>4b339f9567d060bcea4f5136b9f5949e</t>
        </is>
      </c>
      <c r="D139" t="inlineStr">
        <is>
          <t>d3d1e91a157ea7f90548eef82f1955e3</t>
        </is>
      </c>
      <c r="E139" s="30" t="n">
        <v>43188.84726851852</v>
      </c>
      <c r="F139" t="inlineStr">
        <is>
          <t>household_utilities</t>
        </is>
      </c>
      <c r="G139" t="inlineStr">
        <is>
          <t>online_medium</t>
        </is>
      </c>
      <c r="H139" t="inlineStr">
        <is>
          <t>wolf</t>
        </is>
      </c>
      <c r="L139" t="inlineStr">
        <is>
          <t>reseller</t>
        </is>
      </c>
      <c r="N139" t="n">
        <v>0</v>
      </c>
    </row>
    <row r="140">
      <c r="A140" t="inlineStr">
        <is>
          <t>8f24f9bb371471be344cdb6fbcd99688</t>
        </is>
      </c>
      <c r="B140" t="inlineStr">
        <is>
          <t>c6d5704d1ed91beed0114bcd9d3367bb</t>
        </is>
      </c>
      <c r="C140" t="inlineStr">
        <is>
          <t>de63de0d10a6012430098db33c679b0b</t>
        </is>
      </c>
      <c r="D140" t="inlineStr">
        <is>
          <t>d3d1e91a157ea7f90548eef82f1955e3</t>
        </is>
      </c>
      <c r="E140" s="30" t="n">
        <v>43164.78009259259</v>
      </c>
      <c r="F140" t="inlineStr">
        <is>
          <t>home_decor</t>
        </is>
      </c>
      <c r="G140" t="inlineStr">
        <is>
          <t>online_beginner</t>
        </is>
      </c>
      <c r="L140" t="inlineStr">
        <is>
          <t>manufacturer</t>
        </is>
      </c>
      <c r="N140" t="n">
        <v>0</v>
      </c>
    </row>
    <row r="141">
      <c r="A141" t="inlineStr">
        <is>
          <t>1bd7d4eac464cde6f86349cbe0d61385</t>
        </is>
      </c>
      <c r="B141" t="inlineStr">
        <is>
          <t>049197f741ca0cde891420fc72fba3e5</t>
        </is>
      </c>
      <c r="C141" t="inlineStr">
        <is>
          <t>56bf83c4bb35763a51c2baab501b4c67</t>
        </is>
      </c>
      <c r="D141" t="inlineStr">
        <is>
          <t>2695de1affa7750089c0455f8ce27021</t>
        </is>
      </c>
      <c r="E141" s="30" t="n">
        <v>43209.91712962963</v>
      </c>
      <c r="F141" t="inlineStr">
        <is>
          <t>pet</t>
        </is>
      </c>
      <c r="G141" t="inlineStr">
        <is>
          <t>offline</t>
        </is>
      </c>
      <c r="H141" t="inlineStr">
        <is>
          <t>cat</t>
        </is>
      </c>
      <c r="L141" t="inlineStr">
        <is>
          <t>reseller</t>
        </is>
      </c>
      <c r="N141" t="n">
        <v>0</v>
      </c>
    </row>
    <row r="142">
      <c r="A142" t="inlineStr">
        <is>
          <t>a85d745228d0257adc11fd790a31cee5</t>
        </is>
      </c>
      <c r="B142" t="inlineStr">
        <is>
          <t>116e5ef667d05e59c8b95acd02670ff3</t>
        </is>
      </c>
      <c r="C142" t="inlineStr">
        <is>
          <t>fdb16d3cbbeb5798f2f66c4096be026d</t>
        </is>
      </c>
      <c r="D142" t="inlineStr">
        <is>
          <t>4ef15afb4b2723d8f3d81e51ec7afefe</t>
        </is>
      </c>
      <c r="E142" s="30" t="n">
        <v>43179.58459490741</v>
      </c>
      <c r="F142" t="inlineStr">
        <is>
          <t>health_beauty</t>
        </is>
      </c>
      <c r="G142" t="inlineStr">
        <is>
          <t>online_small</t>
        </is>
      </c>
      <c r="H142" t="inlineStr">
        <is>
          <t>cat</t>
        </is>
      </c>
      <c r="L142" t="inlineStr">
        <is>
          <t>reseller</t>
        </is>
      </c>
      <c r="N142" t="n">
        <v>0</v>
      </c>
    </row>
    <row r="143">
      <c r="A143" t="inlineStr">
        <is>
          <t>bc18cd01dacdd62719e6b4d59248c5e1</t>
        </is>
      </c>
      <c r="B143" t="inlineStr">
        <is>
          <t>f1fdf2d13186575751aa25876536d85c</t>
        </is>
      </c>
      <c r="C143" t="inlineStr">
        <is>
          <t>9e4d1098a3b0f5da39b0bc48f9876645</t>
        </is>
      </c>
      <c r="D143" t="inlineStr">
        <is>
          <t>2695de1affa7750089c0455f8ce27021</t>
        </is>
      </c>
      <c r="E143" s="30" t="n">
        <v>43181.54641203704</v>
      </c>
      <c r="F143" t="inlineStr">
        <is>
          <t>sports_leisure</t>
        </is>
      </c>
      <c r="G143" t="inlineStr">
        <is>
          <t>online_big</t>
        </is>
      </c>
      <c r="H143" t="inlineStr">
        <is>
          <t>eagle</t>
        </is>
      </c>
      <c r="L143" t="inlineStr">
        <is>
          <t>reseller</t>
        </is>
      </c>
      <c r="N143" t="n">
        <v>0</v>
      </c>
    </row>
    <row r="144">
      <c r="A144" t="inlineStr">
        <is>
          <t>d1d35acfd20d413bbda1eae8e208f0b5</t>
        </is>
      </c>
      <c r="B144" t="inlineStr">
        <is>
          <t>b64d51f0435e884e8de603b1655155ae</t>
        </is>
      </c>
      <c r="C144" t="inlineStr">
        <is>
          <t>068066e24f0c643eb1d089c7dd20cd73</t>
        </is>
      </c>
      <c r="D144" t="inlineStr">
        <is>
          <t>9ae085775a198122c5586fa830ff7f2b</t>
        </is>
      </c>
      <c r="E144" s="30" t="n">
        <v>43146.67119212963</v>
      </c>
      <c r="F144" t="inlineStr">
        <is>
          <t>household_utilities</t>
        </is>
      </c>
      <c r="G144" t="inlineStr">
        <is>
          <t>online_medium</t>
        </is>
      </c>
      <c r="L144" t="inlineStr">
        <is>
          <t>reseller</t>
        </is>
      </c>
      <c r="N144" t="n">
        <v>0</v>
      </c>
    </row>
    <row r="145">
      <c r="A145" t="inlineStr">
        <is>
          <t>48a8b46e7ea342b913b50c7087f78162</t>
        </is>
      </c>
      <c r="B145" t="inlineStr">
        <is>
          <t>56e361f411e38dcef17cdc2a3d99628b</t>
        </is>
      </c>
      <c r="C145" t="inlineStr">
        <is>
          <t>9d12ef1a7eca3ec58c545c678af7869c</t>
        </is>
      </c>
      <c r="D145" t="inlineStr">
        <is>
          <t>4ef15afb4b2723d8f3d81e51ec7afefe</t>
        </is>
      </c>
      <c r="E145" s="30" t="n">
        <v>43230.80309027778</v>
      </c>
      <c r="F145" t="inlineStr">
        <is>
          <t>audio_video_electronics</t>
        </is>
      </c>
      <c r="G145" t="inlineStr">
        <is>
          <t>industry</t>
        </is>
      </c>
      <c r="H145" t="inlineStr">
        <is>
          <t>cat</t>
        </is>
      </c>
      <c r="L145" t="inlineStr">
        <is>
          <t>manufacturer</t>
        </is>
      </c>
      <c r="N145" t="n">
        <v>0</v>
      </c>
    </row>
    <row r="146">
      <c r="A146" t="inlineStr">
        <is>
          <t>30c5ba4650eee4a5550cdfa16fb4f195</t>
        </is>
      </c>
      <c r="B146" t="inlineStr">
        <is>
          <t>cac876b37d3abcd6bd76caca30277996</t>
        </is>
      </c>
      <c r="C146" t="inlineStr">
        <is>
          <t>de63de0d10a6012430098db33c679b0b</t>
        </is>
      </c>
      <c r="D146" t="inlineStr">
        <is>
          <t>d3d1e91a157ea7f90548eef82f1955e3</t>
        </is>
      </c>
      <c r="E146" s="30" t="n">
        <v>43129.71792824074</v>
      </c>
      <c r="F146" t="inlineStr">
        <is>
          <t>home_decor</t>
        </is>
      </c>
      <c r="G146" t="inlineStr">
        <is>
          <t>online_big</t>
        </is>
      </c>
      <c r="L146" t="inlineStr">
        <is>
          <t>reseller</t>
        </is>
      </c>
      <c r="N146" t="n">
        <v>0</v>
      </c>
    </row>
    <row r="147">
      <c r="A147" t="inlineStr">
        <is>
          <t>60a7799873854c9ccd549ec39c8efddf</t>
        </is>
      </c>
      <c r="B147" t="inlineStr">
        <is>
          <t>a414555ce331b8c8aea4a9cb8395194d</t>
        </is>
      </c>
      <c r="C147" t="inlineStr">
        <is>
          <t>4b339f9567d060bcea4f5136b9f5949e</t>
        </is>
      </c>
      <c r="D147" t="inlineStr">
        <is>
          <t>2695de1affa7750089c0455f8ce27021</t>
        </is>
      </c>
      <c r="E147" s="30" t="n">
        <v>43129.83931712963</v>
      </c>
      <c r="F147" t="inlineStr">
        <is>
          <t>home_appliances</t>
        </is>
      </c>
      <c r="G147" t="inlineStr">
        <is>
          <t>online_medium</t>
        </is>
      </c>
      <c r="L147" t="inlineStr">
        <is>
          <t>reseller</t>
        </is>
      </c>
      <c r="N147" t="n">
        <v>0</v>
      </c>
    </row>
    <row r="148">
      <c r="A148" t="inlineStr">
        <is>
          <t>428a96d781ccb96d757bbf82f8242d95</t>
        </is>
      </c>
      <c r="B148" t="inlineStr">
        <is>
          <t>c54679b132454625907c773d273d4126</t>
        </is>
      </c>
      <c r="C148" t="inlineStr">
        <is>
          <t>068066e24f0c643eb1d089c7dd20cd73</t>
        </is>
      </c>
      <c r="D148" t="inlineStr">
        <is>
          <t>4ef15afb4b2723d8f3d81e51ec7afefe</t>
        </is>
      </c>
      <c r="E148" s="30" t="n">
        <v>43108.80193287037</v>
      </c>
      <c r="F148" t="inlineStr">
        <is>
          <t>health_beauty</t>
        </is>
      </c>
      <c r="G148" t="inlineStr">
        <is>
          <t>online_medium</t>
        </is>
      </c>
      <c r="L148" t="inlineStr">
        <is>
          <t>manufacturer</t>
        </is>
      </c>
      <c r="N148" t="n">
        <v>0</v>
      </c>
    </row>
    <row r="149">
      <c r="A149" t="inlineStr">
        <is>
          <t>21c55cb2ff8f7ce34b89f7cc8cf71d9f</t>
        </is>
      </c>
      <c r="B149" t="inlineStr">
        <is>
          <t>4a82168aaef173cbb6e46ae88728f919</t>
        </is>
      </c>
      <c r="C149" t="inlineStr">
        <is>
          <t>9d12ef1a7eca3ec58c545c678af7869c</t>
        </is>
      </c>
      <c r="D149" t="inlineStr">
        <is>
          <t>a8387c01a09e99ce014107505b92388c</t>
        </is>
      </c>
      <c r="E149" s="30" t="n">
        <v>43222.74792824074</v>
      </c>
      <c r="F149" t="inlineStr">
        <is>
          <t>health_beauty</t>
        </is>
      </c>
      <c r="G149" t="inlineStr">
        <is>
          <t>online_big</t>
        </is>
      </c>
      <c r="H149" t="inlineStr">
        <is>
          <t>wolf</t>
        </is>
      </c>
      <c r="L149" t="inlineStr">
        <is>
          <t>reseller</t>
        </is>
      </c>
      <c r="N149" t="n">
        <v>0</v>
      </c>
    </row>
    <row r="150">
      <c r="A150" t="inlineStr">
        <is>
          <t>4952d2ac78b534c78d7a21c60a236e4c</t>
        </is>
      </c>
      <c r="B150" t="inlineStr">
        <is>
          <t>41b9c7bfadf5f42b93b7bfbae1b84494</t>
        </is>
      </c>
      <c r="C150" t="inlineStr">
        <is>
          <t>56bf83c4bb35763a51c2baab501b4c67</t>
        </is>
      </c>
      <c r="D150" t="inlineStr">
        <is>
          <t>fbf4aef3f6915dc0c3c97d6812522f6a</t>
        </is>
      </c>
      <c r="E150" s="30" t="n">
        <v>43115.82732638889</v>
      </c>
      <c r="F150" t="inlineStr">
        <is>
          <t>audio_video_electronics</t>
        </is>
      </c>
      <c r="G150" t="inlineStr">
        <is>
          <t>online_small</t>
        </is>
      </c>
      <c r="L150" t="inlineStr">
        <is>
          <t>reseller</t>
        </is>
      </c>
      <c r="N150" t="n">
        <v>0</v>
      </c>
    </row>
    <row r="151">
      <c r="A151" t="inlineStr">
        <is>
          <t>d90b1c32b55f731e8a2072bfad782fdd</t>
        </is>
      </c>
      <c r="B151" t="inlineStr">
        <is>
          <t>d8d9567d0bfb0bc7eb845a205ba42657</t>
        </is>
      </c>
      <c r="C151" t="inlineStr">
        <is>
          <t>4b339f9567d060bcea4f5136b9f5949e</t>
        </is>
      </c>
      <c r="D151" t="inlineStr">
        <is>
          <t>d3d1e91a157ea7f90548eef82f1955e3</t>
        </is>
      </c>
      <c r="E151" s="30" t="n">
        <v>43140.57025462963</v>
      </c>
      <c r="F151" t="inlineStr">
        <is>
          <t>books</t>
        </is>
      </c>
      <c r="G151" t="inlineStr">
        <is>
          <t>online_medium</t>
        </is>
      </c>
      <c r="H151" t="inlineStr">
        <is>
          <t>wolf</t>
        </is>
      </c>
      <c r="L151" t="inlineStr">
        <is>
          <t>reseller</t>
        </is>
      </c>
      <c r="N151" t="n">
        <v>0</v>
      </c>
    </row>
    <row r="152">
      <c r="A152" t="inlineStr">
        <is>
          <t>6dfdc6a7e91f5d20a16c956c33974ca5</t>
        </is>
      </c>
      <c r="B152" t="inlineStr">
        <is>
          <t>3ab971ce71839580d2ae5b4e40fe8044</t>
        </is>
      </c>
      <c r="C152" t="inlineStr">
        <is>
          <t>a8387c01a09e99ce014107505b92388c</t>
        </is>
      </c>
      <c r="D152" t="inlineStr">
        <is>
          <t>2695de1affa7750089c0455f8ce27021</t>
        </is>
      </c>
      <c r="E152" s="30" t="n">
        <v>43217.58002314815</v>
      </c>
      <c r="F152" t="inlineStr">
        <is>
          <t>home_decor</t>
        </is>
      </c>
      <c r="G152" t="inlineStr">
        <is>
          <t>online_big</t>
        </is>
      </c>
      <c r="H152" t="inlineStr">
        <is>
          <t>cat</t>
        </is>
      </c>
      <c r="L152" t="inlineStr">
        <is>
          <t>reseller</t>
        </is>
      </c>
      <c r="N152" t="n">
        <v>0</v>
      </c>
    </row>
    <row r="153">
      <c r="A153" t="inlineStr">
        <is>
          <t>ffdd99e05df27c02a2fb1669d49e0c76</t>
        </is>
      </c>
      <c r="B153" t="inlineStr">
        <is>
          <t>02f623a8eb246f3c5f7c2f96462654e6</t>
        </is>
      </c>
      <c r="C153" t="inlineStr">
        <is>
          <t>370c9f455f93a9a96cbe9bea48e70033</t>
        </is>
      </c>
      <c r="D153" t="inlineStr">
        <is>
          <t>56bf83c4bb35763a51c2baab501b4c67</t>
        </is>
      </c>
      <c r="E153" s="30" t="n">
        <v>43208.84466435185</v>
      </c>
      <c r="F153" t="inlineStr">
        <is>
          <t>sports_leisure</t>
        </is>
      </c>
      <c r="G153" t="inlineStr">
        <is>
          <t>online_medium</t>
        </is>
      </c>
      <c r="H153" t="inlineStr">
        <is>
          <t>eagle</t>
        </is>
      </c>
      <c r="L153" t="inlineStr">
        <is>
          <t>reseller</t>
        </is>
      </c>
      <c r="N153" t="n">
        <v>0</v>
      </c>
    </row>
    <row r="154">
      <c r="A154" t="inlineStr">
        <is>
          <t>e73b38ff519142fdc3723ddf4a3a5825</t>
        </is>
      </c>
      <c r="B154" t="inlineStr">
        <is>
          <t>11a559e252a8d167a8ccea7abcf357f3</t>
        </is>
      </c>
      <c r="C154" t="inlineStr">
        <is>
          <t>fdb16d3cbbeb5798f2f66c4096be026d</t>
        </is>
      </c>
      <c r="D154" t="inlineStr">
        <is>
          <t>fbf4aef3f6915dc0c3c97d6812522f6a</t>
        </is>
      </c>
      <c r="E154" s="30" t="n">
        <v>43119.724375</v>
      </c>
      <c r="F154" t="inlineStr">
        <is>
          <t>construction_tools_house_garden</t>
        </is>
      </c>
      <c r="G154" t="inlineStr">
        <is>
          <t>online_medium</t>
        </is>
      </c>
      <c r="L154" t="inlineStr">
        <is>
          <t>manufacturer</t>
        </is>
      </c>
      <c r="N154" t="n">
        <v>0</v>
      </c>
    </row>
    <row r="155">
      <c r="A155" t="inlineStr">
        <is>
          <t>eea8870139b7780b13870d4299006da2</t>
        </is>
      </c>
      <c r="B155" t="inlineStr">
        <is>
          <t>cec13d4723ba59aae2a6663b99129a49</t>
        </is>
      </c>
      <c r="C155" t="inlineStr">
        <is>
          <t>09285259593c61296eef10c734121d5b</t>
        </is>
      </c>
      <c r="D155" t="inlineStr">
        <is>
          <t>6565aa9ce3178a5caf6171827af3a9ba</t>
        </is>
      </c>
      <c r="E155" s="30" t="n">
        <v>43194.57653935185</v>
      </c>
      <c r="F155" t="inlineStr">
        <is>
          <t>car_accessories</t>
        </is>
      </c>
      <c r="G155" t="inlineStr">
        <is>
          <t>online_medium</t>
        </is>
      </c>
      <c r="H155" t="inlineStr">
        <is>
          <t>cat</t>
        </is>
      </c>
      <c r="L155" t="inlineStr">
        <is>
          <t>reseller</t>
        </is>
      </c>
      <c r="N155" t="n">
        <v>0</v>
      </c>
    </row>
    <row r="156">
      <c r="A156" t="inlineStr">
        <is>
          <t>271a299f0893b2173e77162c5c768b89</t>
        </is>
      </c>
      <c r="B156" t="inlineStr">
        <is>
          <t>0ca9bd8db4679bc89692acdfcd96b6c4</t>
        </is>
      </c>
      <c r="C156" t="inlineStr">
        <is>
          <t>4b339f9567d060bcea4f5136b9f5949e</t>
        </is>
      </c>
      <c r="D156" t="inlineStr">
        <is>
          <t>de63de0d10a6012430098db33c679b0b</t>
        </is>
      </c>
      <c r="E156" s="30" t="n">
        <v>43243.90771990741</v>
      </c>
      <c r="F156" t="inlineStr">
        <is>
          <t>health_beauty</t>
        </is>
      </c>
      <c r="G156" t="inlineStr">
        <is>
          <t>online_big</t>
        </is>
      </c>
      <c r="H156" t="inlineStr">
        <is>
          <t>cat</t>
        </is>
      </c>
      <c r="L156" t="inlineStr">
        <is>
          <t>reseller</t>
        </is>
      </c>
      <c r="N156" t="n">
        <v>0</v>
      </c>
    </row>
    <row r="157">
      <c r="A157" t="inlineStr">
        <is>
          <t>1b061b1cec6b5898e5326992d9461610</t>
        </is>
      </c>
      <c r="B157" t="inlineStr">
        <is>
          <t>351cc0833086e30c04f3b0a15dbc3e93</t>
        </is>
      </c>
      <c r="C157" t="inlineStr">
        <is>
          <t>9d12ef1a7eca3ec58c545c678af7869c</t>
        </is>
      </c>
      <c r="D157" t="inlineStr">
        <is>
          <t>de63de0d10a6012430098db33c679b0b</t>
        </is>
      </c>
      <c r="E157" s="30" t="n">
        <v>43346.80269675926</v>
      </c>
      <c r="F157" t="inlineStr">
        <is>
          <t>household_utilities</t>
        </is>
      </c>
      <c r="G157" t="inlineStr">
        <is>
          <t>online_big</t>
        </is>
      </c>
      <c r="H157" t="inlineStr">
        <is>
          <t>cat</t>
        </is>
      </c>
      <c r="K157" t="inlineStr">
        <is>
          <t>5-20</t>
        </is>
      </c>
      <c r="L157" t="inlineStr">
        <is>
          <t>reseller</t>
        </is>
      </c>
      <c r="M157" t="n">
        <v>1000</v>
      </c>
      <c r="N157" t="n">
        <v>0</v>
      </c>
    </row>
    <row r="158">
      <c r="A158" t="inlineStr">
        <is>
          <t>c028b7dd285d13e19ff7a4cabf8bf700</t>
        </is>
      </c>
      <c r="B158" t="inlineStr">
        <is>
          <t>6aa3928696eab49a19a466e665a649fd</t>
        </is>
      </c>
      <c r="C158" t="inlineStr">
        <is>
          <t>068066e24f0c643eb1d089c7dd20cd73</t>
        </is>
      </c>
      <c r="D158" t="inlineStr">
        <is>
          <t>9ae085775a198122c5586fa830ff7f2b</t>
        </is>
      </c>
      <c r="E158" s="30" t="n">
        <v>43138.56960648148</v>
      </c>
      <c r="F158" t="inlineStr">
        <is>
          <t>health_beauty</t>
        </is>
      </c>
      <c r="G158" t="inlineStr">
        <is>
          <t>online_medium</t>
        </is>
      </c>
      <c r="L158" t="inlineStr">
        <is>
          <t>reseller</t>
        </is>
      </c>
      <c r="N158" t="n">
        <v>0</v>
      </c>
    </row>
    <row r="159">
      <c r="A159" t="inlineStr">
        <is>
          <t>90513943523077ad07582e989457ccec</t>
        </is>
      </c>
      <c r="B159" t="inlineStr">
        <is>
          <t>539ed9e19811677513447759be5eccfc</t>
        </is>
      </c>
      <c r="C159" t="inlineStr">
        <is>
          <t>34d40cdaf94010a1d05b0d6212f9e909</t>
        </is>
      </c>
      <c r="D159" t="inlineStr">
        <is>
          <t>068066e24f0c643eb1d089c7dd20cd73</t>
        </is>
      </c>
      <c r="E159" s="30" t="n">
        <v>43235.76157407407</v>
      </c>
      <c r="F159" t="inlineStr">
        <is>
          <t>home_decor</t>
        </is>
      </c>
      <c r="G159" t="inlineStr">
        <is>
          <t>industry</t>
        </is>
      </c>
      <c r="H159" t="inlineStr">
        <is>
          <t>cat</t>
        </is>
      </c>
      <c r="L159" t="inlineStr">
        <is>
          <t>reseller</t>
        </is>
      </c>
      <c r="N159" t="n">
        <v>0</v>
      </c>
    </row>
    <row r="160">
      <c r="A160" t="inlineStr">
        <is>
          <t>080cc5a4ec71a747e260e274bdb13b64</t>
        </is>
      </c>
      <c r="B160" t="inlineStr">
        <is>
          <t>d7827b2af99326a03b0ed9c7a24db0d3</t>
        </is>
      </c>
      <c r="C160" t="inlineStr">
        <is>
          <t>9e4d1098a3b0f5da39b0bc48f9876645</t>
        </is>
      </c>
      <c r="D160" t="inlineStr">
        <is>
          <t>6565aa9ce3178a5caf6171827af3a9ba</t>
        </is>
      </c>
      <c r="E160" s="30" t="n">
        <v>43188.68696759259</v>
      </c>
      <c r="F160" t="inlineStr">
        <is>
          <t>construction_tools_house_garden</t>
        </is>
      </c>
      <c r="G160" t="inlineStr">
        <is>
          <t>online_big</t>
        </is>
      </c>
      <c r="H160" t="inlineStr">
        <is>
          <t>cat</t>
        </is>
      </c>
      <c r="L160" t="inlineStr">
        <is>
          <t>reseller</t>
        </is>
      </c>
      <c r="N160" t="n">
        <v>0</v>
      </c>
    </row>
    <row r="161">
      <c r="A161" t="inlineStr">
        <is>
          <t>3f2a136272ab1bc4ee09e0695becffd1</t>
        </is>
      </c>
      <c r="B161" t="inlineStr">
        <is>
          <t>6c6d00f0561125a66cffac53cfe3f913</t>
        </is>
      </c>
      <c r="C161" t="inlineStr">
        <is>
          <t>f42a2bd194f7802ab052a815c8de65b7</t>
        </is>
      </c>
      <c r="D161" t="inlineStr">
        <is>
          <t>85fc447d336637ba1df43e793199fbc8</t>
        </is>
      </c>
      <c r="E161" s="30" t="n">
        <v>43312.93684027778</v>
      </c>
      <c r="F161" t="inlineStr">
        <is>
          <t>food_drink</t>
        </is>
      </c>
      <c r="G161" t="inlineStr">
        <is>
          <t>online_beginner</t>
        </is>
      </c>
      <c r="H161" t="inlineStr">
        <is>
          <t>wolf</t>
        </is>
      </c>
      <c r="L161" t="inlineStr">
        <is>
          <t>manufacturer</t>
        </is>
      </c>
      <c r="N161" t="n">
        <v>0</v>
      </c>
    </row>
    <row r="162">
      <c r="A162" t="inlineStr">
        <is>
          <t>a4fa73f413400524fef474c93faa5e02</t>
        </is>
      </c>
      <c r="B162" t="inlineStr">
        <is>
          <t>bd4431c1a8dfa744b59e1e2a8bc99b9e</t>
        </is>
      </c>
      <c r="C162" t="inlineStr">
        <is>
          <t>56bf83c4bb35763a51c2baab501b4c67</t>
        </is>
      </c>
      <c r="D162" t="inlineStr">
        <is>
          <t>495d4e95a8cf8bbf8b432b612a2aa328</t>
        </is>
      </c>
      <c r="E162" s="30" t="n">
        <v>43126.75922453704</v>
      </c>
      <c r="F162" t="inlineStr">
        <is>
          <t>health_beauty</t>
        </is>
      </c>
      <c r="G162" t="inlineStr">
        <is>
          <t>offline</t>
        </is>
      </c>
      <c r="L162" t="inlineStr">
        <is>
          <t>reseller</t>
        </is>
      </c>
      <c r="N162" t="n">
        <v>0</v>
      </c>
    </row>
    <row r="163">
      <c r="A163" t="inlineStr">
        <is>
          <t>bd503b6e91ef50d1c4c169476158e8eb</t>
        </is>
      </c>
      <c r="B163" t="inlineStr">
        <is>
          <t>4a1917ef994878940e1fb03eeb787ad7</t>
        </is>
      </c>
      <c r="C163" t="inlineStr">
        <is>
          <t>9d12ef1a7eca3ec58c545c678af7869c</t>
        </is>
      </c>
      <c r="D163" t="inlineStr">
        <is>
          <t>4ef15afb4b2723d8f3d81e51ec7afefe</t>
        </is>
      </c>
      <c r="E163" s="30" t="n">
        <v>43199.72828703704</v>
      </c>
      <c r="F163" t="inlineStr">
        <is>
          <t>phone_mobile</t>
        </is>
      </c>
      <c r="G163" t="inlineStr">
        <is>
          <t>industry</t>
        </is>
      </c>
      <c r="H163" t="inlineStr">
        <is>
          <t>eagle</t>
        </is>
      </c>
      <c r="L163" t="inlineStr">
        <is>
          <t>reseller</t>
        </is>
      </c>
      <c r="N163" t="n">
        <v>0</v>
      </c>
    </row>
    <row r="164">
      <c r="A164" t="inlineStr">
        <is>
          <t>f6127362ba4727c54d742b7ab1ae7c1c</t>
        </is>
      </c>
      <c r="B164" t="inlineStr">
        <is>
          <t>c0aff2da32c17759d30b22fb0af6649d</t>
        </is>
      </c>
      <c r="C164" t="inlineStr">
        <is>
          <t>4b339f9567d060bcea4f5136b9f5949e</t>
        </is>
      </c>
      <c r="D164" t="inlineStr">
        <is>
          <t>6565aa9ce3178a5caf6171827af3a9ba</t>
        </is>
      </c>
      <c r="E164" s="30" t="n">
        <v>43210.55892361111</v>
      </c>
      <c r="F164" t="inlineStr">
        <is>
          <t>music_instruments</t>
        </is>
      </c>
      <c r="G164" t="inlineStr">
        <is>
          <t>online_medium</t>
        </is>
      </c>
      <c r="H164" t="inlineStr">
        <is>
          <t>wolf</t>
        </is>
      </c>
      <c r="L164" t="inlineStr">
        <is>
          <t>reseller</t>
        </is>
      </c>
      <c r="N164" t="n">
        <v>0</v>
      </c>
    </row>
    <row r="165">
      <c r="A165" t="inlineStr">
        <is>
          <t>2448225d3dfa0dc52632c746aa76b66e</t>
        </is>
      </c>
      <c r="B165" t="inlineStr">
        <is>
          <t>cb6c9f5888a7a090c75beaf615925792</t>
        </is>
      </c>
      <c r="C165" t="inlineStr">
        <is>
          <t>a8387c01a09e99ce014107505b92388c</t>
        </is>
      </c>
      <c r="D165" t="inlineStr">
        <is>
          <t>4ef15afb4b2723d8f3d81e51ec7afefe</t>
        </is>
      </c>
      <c r="E165" s="30" t="n">
        <v>43210.79467592593</v>
      </c>
      <c r="F165" t="inlineStr">
        <is>
          <t>construction_tools_house_garden</t>
        </is>
      </c>
      <c r="G165" t="inlineStr">
        <is>
          <t>online_medium</t>
        </is>
      </c>
      <c r="H165" t="inlineStr">
        <is>
          <t>eagle</t>
        </is>
      </c>
      <c r="L165" t="inlineStr">
        <is>
          <t>reseller</t>
        </is>
      </c>
      <c r="N165" t="n">
        <v>0</v>
      </c>
    </row>
    <row r="166">
      <c r="A166" t="inlineStr">
        <is>
          <t>f49a02e0f135ae9f2bcf60f55bcd0174</t>
        </is>
      </c>
      <c r="B166" t="inlineStr">
        <is>
          <t>f212a20c700f5a7c3d4de5ef38e02c42</t>
        </is>
      </c>
      <c r="C166" t="inlineStr">
        <is>
          <t>370c9f455f93a9a96cbe9bea48e70033</t>
        </is>
      </c>
      <c r="D166" t="inlineStr">
        <is>
          <t>d3d1e91a157ea7f90548eef82f1955e3</t>
        </is>
      </c>
      <c r="E166" s="30" t="n">
        <v>43322.54239583333</v>
      </c>
      <c r="F166" t="inlineStr">
        <is>
          <t>audio_video_electronics</t>
        </is>
      </c>
      <c r="G166" t="inlineStr">
        <is>
          <t>online_medium</t>
        </is>
      </c>
      <c r="H166" t="inlineStr">
        <is>
          <t>cat</t>
        </is>
      </c>
      <c r="I166" t="b">
        <v>1</v>
      </c>
      <c r="J166" t="b">
        <v>1</v>
      </c>
      <c r="K166" t="inlineStr">
        <is>
          <t>50-200</t>
        </is>
      </c>
      <c r="L166" t="inlineStr">
        <is>
          <t>reseller</t>
        </is>
      </c>
      <c r="N166" t="n">
        <v>0</v>
      </c>
    </row>
    <row r="167">
      <c r="A167" t="inlineStr">
        <is>
          <t>c36d210f50e7ef3103da68ab61efd093</t>
        </is>
      </c>
      <c r="B167" t="inlineStr">
        <is>
          <t>59cea8e446d3834393058e7e0666b6fb</t>
        </is>
      </c>
      <c r="C167" t="inlineStr">
        <is>
          <t>9d12ef1a7eca3ec58c545c678af7869c</t>
        </is>
      </c>
      <c r="D167" t="inlineStr">
        <is>
          <t>d3d1e91a157ea7f90548eef82f1955e3</t>
        </is>
      </c>
      <c r="E167" s="30" t="n">
        <v>43228.51298611111</v>
      </c>
      <c r="F167" t="inlineStr">
        <is>
          <t>small_appliances</t>
        </is>
      </c>
      <c r="G167" t="inlineStr">
        <is>
          <t>online_big</t>
        </is>
      </c>
      <c r="H167" t="inlineStr">
        <is>
          <t>eagle</t>
        </is>
      </c>
      <c r="L167" t="inlineStr">
        <is>
          <t>reseller</t>
        </is>
      </c>
      <c r="N167" t="n">
        <v>0</v>
      </c>
    </row>
    <row r="168">
      <c r="A168" t="inlineStr">
        <is>
          <t>384b5bdbe32117213b87f8f5e0604be4</t>
        </is>
      </c>
      <c r="B168" t="inlineStr">
        <is>
          <t>2cb98e27ce1c18abdb42209b34c382a7</t>
        </is>
      </c>
      <c r="C168" t="inlineStr">
        <is>
          <t>a8387c01a09e99ce014107505b92388c</t>
        </is>
      </c>
      <c r="D168" t="inlineStr">
        <is>
          <t>9ae085775a198122c5586fa830ff7f2b</t>
        </is>
      </c>
      <c r="E168" s="30" t="n">
        <v>43159.125</v>
      </c>
      <c r="F168" t="inlineStr">
        <is>
          <t>car_accessories</t>
        </is>
      </c>
      <c r="G168" t="inlineStr">
        <is>
          <t>online_beginner</t>
        </is>
      </c>
      <c r="H168" t="inlineStr">
        <is>
          <t>cat</t>
        </is>
      </c>
      <c r="L168" t="inlineStr">
        <is>
          <t>reseller</t>
        </is>
      </c>
      <c r="N168" t="n">
        <v>0</v>
      </c>
    </row>
    <row r="169">
      <c r="A169" t="inlineStr">
        <is>
          <t>6c465ed53d17739467c95fe414d8e056</t>
        </is>
      </c>
      <c r="B169" t="inlineStr">
        <is>
          <t>3289d8c3eef4873f91ce0b1343c0dd58</t>
        </is>
      </c>
      <c r="C169" t="inlineStr">
        <is>
          <t>a8387c01a09e99ce014107505b92388c</t>
        </is>
      </c>
      <c r="D169" t="inlineStr">
        <is>
          <t>4ef15afb4b2723d8f3d81e51ec7afefe</t>
        </is>
      </c>
      <c r="E169" s="30" t="n">
        <v>43216.83644675926</v>
      </c>
      <c r="F169" t="inlineStr">
        <is>
          <t>sports_leisure</t>
        </is>
      </c>
      <c r="G169" t="inlineStr">
        <is>
          <t>online_small</t>
        </is>
      </c>
      <c r="H169" t="inlineStr">
        <is>
          <t>cat</t>
        </is>
      </c>
      <c r="L169" t="inlineStr">
        <is>
          <t>manufacturer</t>
        </is>
      </c>
      <c r="N169" t="n">
        <v>0</v>
      </c>
    </row>
    <row r="170">
      <c r="A170" t="inlineStr">
        <is>
          <t>f74b25a7dc1504cf5a3b964a990266ff</t>
        </is>
      </c>
      <c r="B170" t="inlineStr">
        <is>
          <t>55c26bcb609f480eb7868594245febb5</t>
        </is>
      </c>
      <c r="C170" t="inlineStr">
        <is>
          <t>56bf83c4bb35763a51c2baab501b4c67</t>
        </is>
      </c>
      <c r="D170" t="inlineStr">
        <is>
          <t>d3d1e91a157ea7f90548eef82f1955e3</t>
        </is>
      </c>
      <c r="E170" s="30" t="n">
        <v>43160.62413194445</v>
      </c>
      <c r="F170" t="inlineStr">
        <is>
          <t>baby</t>
        </is>
      </c>
      <c r="G170" t="inlineStr">
        <is>
          <t>online_big</t>
        </is>
      </c>
      <c r="H170" t="inlineStr">
        <is>
          <t>cat</t>
        </is>
      </c>
      <c r="L170" t="inlineStr">
        <is>
          <t>reseller</t>
        </is>
      </c>
      <c r="N170" t="n">
        <v>0</v>
      </c>
    </row>
    <row r="171">
      <c r="A171" t="inlineStr">
        <is>
          <t>57e65b6fc1f2e47c402deeee25bba1aa</t>
        </is>
      </c>
      <c r="B171" t="inlineStr">
        <is>
          <t>5c3460cd3e8a984382ae254e7dd20d9f</t>
        </is>
      </c>
      <c r="C171" t="inlineStr">
        <is>
          <t>f6c6ab65a1c732f154b371401448be6d</t>
        </is>
      </c>
      <c r="D171" t="inlineStr">
        <is>
          <t>495d4e95a8cf8bbf8b432b612a2aa328</t>
        </is>
      </c>
      <c r="E171" s="30" t="n">
        <v>43110.76048611111</v>
      </c>
      <c r="F171" t="inlineStr">
        <is>
          <t>baby</t>
        </is>
      </c>
      <c r="G171" t="inlineStr">
        <is>
          <t>online_small</t>
        </is>
      </c>
      <c r="L171" t="inlineStr">
        <is>
          <t>reseller</t>
        </is>
      </c>
      <c r="N171" t="n">
        <v>0</v>
      </c>
    </row>
    <row r="172">
      <c r="A172" t="inlineStr">
        <is>
          <t>107fce5988735e531cae0da812db9a62</t>
        </is>
      </c>
      <c r="B172" t="inlineStr">
        <is>
          <t>e979bb42fb660609fe056a6bea03761f</t>
        </is>
      </c>
      <c r="C172" t="inlineStr">
        <is>
          <t>09285259593c61296eef10c734121d5b</t>
        </is>
      </c>
      <c r="D172" t="inlineStr">
        <is>
          <t>d3d1e91a157ea7f90548eef82f1955e3</t>
        </is>
      </c>
      <c r="E172" s="30" t="n">
        <v>43217.125</v>
      </c>
      <c r="F172" t="inlineStr">
        <is>
          <t>jewerly</t>
        </is>
      </c>
      <c r="G172" t="inlineStr">
        <is>
          <t>online_small</t>
        </is>
      </c>
      <c r="H172" t="inlineStr">
        <is>
          <t>cat</t>
        </is>
      </c>
      <c r="L172" t="inlineStr">
        <is>
          <t>reseller</t>
        </is>
      </c>
      <c r="N172" t="n">
        <v>0</v>
      </c>
    </row>
    <row r="173">
      <c r="A173" t="inlineStr">
        <is>
          <t>e903c166f2335f821f495e4419b4821b</t>
        </is>
      </c>
      <c r="B173" t="inlineStr">
        <is>
          <t>bcafb8538edd43b166274b25c60b7458</t>
        </is>
      </c>
      <c r="C173" t="inlineStr">
        <is>
          <t>34d40cdaf94010a1d05b0d6212f9e909</t>
        </is>
      </c>
      <c r="D173" t="inlineStr">
        <is>
          <t>495d4e95a8cf8bbf8b432b612a2aa328</t>
        </is>
      </c>
      <c r="E173" s="30" t="n">
        <v>43277.53563657407</v>
      </c>
      <c r="F173" t="inlineStr">
        <is>
          <t>audio_video_electronics</t>
        </is>
      </c>
      <c r="G173" t="inlineStr">
        <is>
          <t>online_big</t>
        </is>
      </c>
      <c r="H173" t="inlineStr">
        <is>
          <t>cat</t>
        </is>
      </c>
      <c r="L173" t="inlineStr">
        <is>
          <t>reseller</t>
        </is>
      </c>
      <c r="N173" t="n">
        <v>0</v>
      </c>
    </row>
    <row r="174">
      <c r="A174" t="inlineStr">
        <is>
          <t>e430deb739cc669ad740c421931bc8f8</t>
        </is>
      </c>
      <c r="B174" t="inlineStr">
        <is>
          <t>0e72c1a751b496722a6cb1f10653b62a</t>
        </is>
      </c>
      <c r="C174" t="inlineStr">
        <is>
          <t>4b339f9567d060bcea4f5136b9f5949e</t>
        </is>
      </c>
      <c r="D174" t="inlineStr">
        <is>
          <t>c638112b43f1d1b86dcabb0da720c901</t>
        </is>
      </c>
      <c r="E174" s="30" t="n">
        <v>43171.76724537037</v>
      </c>
      <c r="F174" t="inlineStr">
        <is>
          <t>books</t>
        </is>
      </c>
      <c r="G174" t="inlineStr">
        <is>
          <t>industry</t>
        </is>
      </c>
      <c r="H174" t="inlineStr">
        <is>
          <t>wolf</t>
        </is>
      </c>
      <c r="L174" t="inlineStr">
        <is>
          <t>reseller</t>
        </is>
      </c>
      <c r="N174" t="n">
        <v>0</v>
      </c>
    </row>
    <row r="175">
      <c r="A175" t="inlineStr">
        <is>
          <t>2b736f73615495dbfc8c911ef6378747</t>
        </is>
      </c>
      <c r="B175" t="inlineStr">
        <is>
          <t>abcb0f101902cd0ca5bfddc35ddab560</t>
        </is>
      </c>
      <c r="C175" t="inlineStr">
        <is>
          <t>9d12ef1a7eca3ec58c545c678af7869c</t>
        </is>
      </c>
      <c r="D175" t="inlineStr">
        <is>
          <t>068066e24f0c643eb1d089c7dd20cd73</t>
        </is>
      </c>
      <c r="E175" s="30" t="n">
        <v>43292.62418981481</v>
      </c>
      <c r="F175" t="inlineStr">
        <is>
          <t>home_decor</t>
        </is>
      </c>
      <c r="G175" t="inlineStr">
        <is>
          <t>online_medium</t>
        </is>
      </c>
      <c r="L175" t="inlineStr">
        <is>
          <t>manufacturer</t>
        </is>
      </c>
      <c r="N175" t="n">
        <v>0</v>
      </c>
    </row>
    <row r="176">
      <c r="A176" t="inlineStr">
        <is>
          <t>cd9e8a4a222eb86428130d42fc684ca5</t>
        </is>
      </c>
      <c r="B176" t="inlineStr">
        <is>
          <t>ae7ab174effdead6c241e547e4ca13f0</t>
        </is>
      </c>
      <c r="C176" t="inlineStr">
        <is>
          <t>4b339f9567d060bcea4f5136b9f5949e</t>
        </is>
      </c>
      <c r="D176" t="inlineStr">
        <is>
          <t>6565aa9ce3178a5caf6171827af3a9ba</t>
        </is>
      </c>
      <c r="E176" s="30" t="n">
        <v>43194.88700231481</v>
      </c>
      <c r="F176" t="inlineStr">
        <is>
          <t>household_utilities</t>
        </is>
      </c>
      <c r="G176" t="inlineStr">
        <is>
          <t>online_medium</t>
        </is>
      </c>
      <c r="H176" t="inlineStr">
        <is>
          <t>cat</t>
        </is>
      </c>
      <c r="L176" t="inlineStr">
        <is>
          <t>manufacturer</t>
        </is>
      </c>
      <c r="N176" t="n">
        <v>0</v>
      </c>
    </row>
    <row r="177">
      <c r="A177" t="inlineStr">
        <is>
          <t>d8de81eff6dfe582a05bc6981879f01a</t>
        </is>
      </c>
      <c r="B177" t="inlineStr">
        <is>
          <t>f85612e1b253b37d88329fdc16e8f32f</t>
        </is>
      </c>
      <c r="C177" t="inlineStr">
        <is>
          <t>9d12ef1a7eca3ec58c545c678af7869c</t>
        </is>
      </c>
      <c r="D177" t="inlineStr">
        <is>
          <t>495d4e95a8cf8bbf8b432b612a2aa328</t>
        </is>
      </c>
      <c r="E177" s="30" t="n">
        <v>43193.7703587963</v>
      </c>
      <c r="F177" t="inlineStr">
        <is>
          <t>pet</t>
        </is>
      </c>
      <c r="G177" t="inlineStr">
        <is>
          <t>online_big</t>
        </is>
      </c>
      <c r="H177" t="inlineStr">
        <is>
          <t>cat</t>
        </is>
      </c>
      <c r="L177" t="inlineStr">
        <is>
          <t>reseller</t>
        </is>
      </c>
      <c r="N177" t="n">
        <v>0</v>
      </c>
    </row>
    <row r="178">
      <c r="A178" t="inlineStr">
        <is>
          <t>aadd608980d2f5f7ee3942cc912eef00</t>
        </is>
      </c>
      <c r="B178" t="inlineStr">
        <is>
          <t>1d953075c2f0dd990bacf27b83b330f1</t>
        </is>
      </c>
      <c r="C178" t="inlineStr">
        <is>
          <t>4b339f9567d060bcea4f5136b9f5949e</t>
        </is>
      </c>
      <c r="D178" t="inlineStr">
        <is>
          <t>4ef15afb4b2723d8f3d81e51ec7afefe</t>
        </is>
      </c>
      <c r="E178" s="30" t="n">
        <v>43271.51678240741</v>
      </c>
      <c r="F178" t="inlineStr">
        <is>
          <t>computers</t>
        </is>
      </c>
      <c r="G178" t="inlineStr">
        <is>
          <t>online_medium</t>
        </is>
      </c>
      <c r="H178" t="inlineStr">
        <is>
          <t>cat, wolf</t>
        </is>
      </c>
      <c r="L178" t="inlineStr">
        <is>
          <t>reseller</t>
        </is>
      </c>
      <c r="N178" t="n">
        <v>0</v>
      </c>
    </row>
    <row r="179">
      <c r="A179" t="inlineStr">
        <is>
          <t>d88a45e680327e0b22a34020d8f78252</t>
        </is>
      </c>
      <c r="B179" t="inlineStr">
        <is>
          <t>9261d76c62caaf0b24677c2ceb7f8f20</t>
        </is>
      </c>
      <c r="C179" t="inlineStr">
        <is>
          <t>0a0fb2b07d841f84fb6714e35c723075</t>
        </is>
      </c>
      <c r="D179" t="inlineStr">
        <is>
          <t>de63de0d10a6012430098db33c679b0b</t>
        </is>
      </c>
      <c r="E179" s="30" t="n">
        <v>43242.8928125</v>
      </c>
      <c r="F179" t="inlineStr">
        <is>
          <t>household_utilities</t>
        </is>
      </c>
      <c r="G179" t="inlineStr">
        <is>
          <t>industry</t>
        </is>
      </c>
      <c r="H179" t="inlineStr">
        <is>
          <t>cat</t>
        </is>
      </c>
      <c r="L179" t="inlineStr">
        <is>
          <t>reseller</t>
        </is>
      </c>
      <c r="N179" t="n">
        <v>0</v>
      </c>
    </row>
    <row r="180">
      <c r="A180" t="inlineStr">
        <is>
          <t>a552e1db6a1c7dbac243c72a8d3140bb</t>
        </is>
      </c>
      <c r="B180" t="inlineStr">
        <is>
          <t>def312fb44a52de894acf688498ce1fc</t>
        </is>
      </c>
      <c r="C180" t="inlineStr">
        <is>
          <t>56bf83c4bb35763a51c2baab501b4c67</t>
        </is>
      </c>
      <c r="D180" t="inlineStr">
        <is>
          <t>9ae085775a198122c5586fa830ff7f2b</t>
        </is>
      </c>
      <c r="E180" s="30" t="n">
        <v>43131.56513888889</v>
      </c>
      <c r="F180" t="inlineStr">
        <is>
          <t>home_decor</t>
        </is>
      </c>
      <c r="G180" t="inlineStr">
        <is>
          <t>online_medium</t>
        </is>
      </c>
      <c r="L180" t="inlineStr">
        <is>
          <t>manufacturer</t>
        </is>
      </c>
      <c r="N180" t="n">
        <v>0</v>
      </c>
    </row>
    <row r="181">
      <c r="A181" t="inlineStr">
        <is>
          <t>e2e57ded5b59a2058dd5855564c6b5ea</t>
        </is>
      </c>
      <c r="B181" t="inlineStr">
        <is>
          <t>160851d3ece7aa1a510f8d1a4bb8a8af</t>
        </is>
      </c>
      <c r="C181" t="inlineStr">
        <is>
          <t>b90f87164b5f8c2cfa5c8572834dbe3f</t>
        </is>
      </c>
      <c r="D181" t="inlineStr">
        <is>
          <t>4b339f9567d060bcea4f5136b9f5949e</t>
        </is>
      </c>
      <c r="E181" s="30" t="n">
        <v>43299.85032407408</v>
      </c>
      <c r="F181" t="inlineStr">
        <is>
          <t>construction_tools_house_garden</t>
        </is>
      </c>
      <c r="G181" t="inlineStr">
        <is>
          <t>industry</t>
        </is>
      </c>
      <c r="H181" t="inlineStr">
        <is>
          <t>cat</t>
        </is>
      </c>
      <c r="I181" t="b">
        <v>1</v>
      </c>
      <c r="J181" t="b">
        <v>1</v>
      </c>
      <c r="K181" t="inlineStr">
        <is>
          <t>200+</t>
        </is>
      </c>
      <c r="L181" t="inlineStr">
        <is>
          <t>manufacturer</t>
        </is>
      </c>
      <c r="N181" t="n">
        <v>0</v>
      </c>
    </row>
    <row r="182">
      <c r="A182" t="inlineStr">
        <is>
          <t>098d6dd896e6740f88282b48495d47ef</t>
        </is>
      </c>
      <c r="B182" t="inlineStr">
        <is>
          <t>c004e5ea15737026cecaee0447e00b75</t>
        </is>
      </c>
      <c r="C182" t="inlineStr">
        <is>
          <t>9e4d1098a3b0f5da39b0bc48f9876645</t>
        </is>
      </c>
      <c r="D182" t="inlineStr">
        <is>
          <t>85fc447d336637ba1df43e793199fbc8</t>
        </is>
      </c>
      <c r="E182" s="30" t="n">
        <v>43185.81363425926</v>
      </c>
      <c r="F182" t="inlineStr">
        <is>
          <t>construction_tools_house_garden</t>
        </is>
      </c>
      <c r="G182" t="inlineStr">
        <is>
          <t>offline</t>
        </is>
      </c>
      <c r="H182" t="inlineStr">
        <is>
          <t>shark</t>
        </is>
      </c>
      <c r="L182" t="inlineStr">
        <is>
          <t>reseller</t>
        </is>
      </c>
      <c r="N182" t="n">
        <v>0</v>
      </c>
    </row>
    <row r="183">
      <c r="A183" t="inlineStr">
        <is>
          <t>d0b16c2b9e945575082a7e81f6f933b0</t>
        </is>
      </c>
      <c r="B183" t="inlineStr">
        <is>
          <t>7ff588a03c2aeae4fbd23f9ae64b760d</t>
        </is>
      </c>
      <c r="C183" t="inlineStr">
        <is>
          <t>370c9f455f93a9a96cbe9bea48e70033</t>
        </is>
      </c>
      <c r="D183" t="inlineStr">
        <is>
          <t>de63de0d10a6012430098db33c679b0b</t>
        </is>
      </c>
      <c r="E183" s="30" t="n">
        <v>43241.85315972222</v>
      </c>
      <c r="F183" t="inlineStr">
        <is>
          <t>car_accessories</t>
        </is>
      </c>
      <c r="G183" t="inlineStr">
        <is>
          <t>online_big</t>
        </is>
      </c>
      <c r="H183" t="inlineStr">
        <is>
          <t>cat</t>
        </is>
      </c>
      <c r="L183" t="inlineStr">
        <is>
          <t>reseller</t>
        </is>
      </c>
      <c r="N183" t="n">
        <v>0</v>
      </c>
    </row>
    <row r="184">
      <c r="A184" t="inlineStr">
        <is>
          <t>512182619d12ae0863827b7e5ab97f19</t>
        </is>
      </c>
      <c r="B184" t="inlineStr">
        <is>
          <t>880ce4951cf857ab1d9e0b75c1d856f4</t>
        </is>
      </c>
      <c r="C184" t="inlineStr">
        <is>
          <t>de63de0d10a6012430098db33c679b0b</t>
        </is>
      </c>
      <c r="D184" t="inlineStr">
        <is>
          <t>9ae085775a198122c5586fa830ff7f2b</t>
        </is>
      </c>
      <c r="E184" s="30" t="n">
        <v>43131.08333333334</v>
      </c>
      <c r="F184" t="inlineStr">
        <is>
          <t>car_accessories</t>
        </is>
      </c>
      <c r="G184" t="inlineStr">
        <is>
          <t>industry</t>
        </is>
      </c>
      <c r="L184" t="inlineStr">
        <is>
          <t>reseller</t>
        </is>
      </c>
      <c r="N184" t="n">
        <v>0</v>
      </c>
    </row>
    <row r="185">
      <c r="A185" t="inlineStr">
        <is>
          <t>0951c34dc17cf35be31bb59fa96435df</t>
        </is>
      </c>
      <c r="B185" t="inlineStr">
        <is>
          <t>9e6967d3cf386d284251784b18ccb485</t>
        </is>
      </c>
      <c r="C185" t="inlineStr">
        <is>
          <t>a8387c01a09e99ce014107505b92388c</t>
        </is>
      </c>
      <c r="D185" t="inlineStr">
        <is>
          <t>56bf83c4bb35763a51c2baab501b4c67</t>
        </is>
      </c>
      <c r="E185" s="30" t="n">
        <v>43203.57072916667</v>
      </c>
      <c r="F185" t="inlineStr">
        <is>
          <t>construction_tools_house_garden</t>
        </is>
      </c>
      <c r="G185" t="inlineStr">
        <is>
          <t>online_big</t>
        </is>
      </c>
      <c r="H185" t="inlineStr">
        <is>
          <t>cat</t>
        </is>
      </c>
      <c r="L185" t="inlineStr">
        <is>
          <t>reseller</t>
        </is>
      </c>
      <c r="N185" t="n">
        <v>0</v>
      </c>
    </row>
    <row r="186">
      <c r="A186" t="inlineStr">
        <is>
          <t>8292c2c5afbab7549123a2640e22044a</t>
        </is>
      </c>
      <c r="B186" t="inlineStr">
        <is>
          <t>e9c2dc0dd4ac38448289be644ac94f42</t>
        </is>
      </c>
      <c r="C186" t="inlineStr">
        <is>
          <t>0a0fb2b07d841f84fb6714e35c723075</t>
        </is>
      </c>
      <c r="D186" t="inlineStr">
        <is>
          <t>de63de0d10a6012430098db33c679b0b</t>
        </is>
      </c>
      <c r="E186" s="30" t="n">
        <v>43271.77287037037</v>
      </c>
      <c r="F186" t="inlineStr">
        <is>
          <t>sports_leisure</t>
        </is>
      </c>
      <c r="G186" t="inlineStr">
        <is>
          <t>online_medium</t>
        </is>
      </c>
      <c r="H186" t="inlineStr">
        <is>
          <t>shark</t>
        </is>
      </c>
      <c r="L186" t="inlineStr">
        <is>
          <t>reseller</t>
        </is>
      </c>
      <c r="N186" t="n">
        <v>0</v>
      </c>
    </row>
    <row r="187">
      <c r="A187" t="inlineStr">
        <is>
          <t>7270ec1d67725ee992193adf9e9f2637</t>
        </is>
      </c>
      <c r="B187" t="inlineStr">
        <is>
          <t>964ff64dc05b13811c6d0f41e0aa5f6b</t>
        </is>
      </c>
      <c r="C187" t="inlineStr">
        <is>
          <t>4b339f9567d060bcea4f5136b9f5949e</t>
        </is>
      </c>
      <c r="D187" t="inlineStr">
        <is>
          <t>85fc447d336637ba1df43e793199fbc8</t>
        </is>
      </c>
      <c r="E187" s="30" t="n">
        <v>43201.60849537037</v>
      </c>
      <c r="F187" t="inlineStr">
        <is>
          <t>home_decor</t>
        </is>
      </c>
      <c r="G187" t="inlineStr">
        <is>
          <t>online_big</t>
        </is>
      </c>
      <c r="H187" t="inlineStr">
        <is>
          <t>shark</t>
        </is>
      </c>
      <c r="L187" t="inlineStr">
        <is>
          <t>manufacturer</t>
        </is>
      </c>
      <c r="N187" t="n">
        <v>0</v>
      </c>
    </row>
    <row r="188">
      <c r="A188" t="inlineStr">
        <is>
          <t>a93dc621a446eb77129989e557dd50d0</t>
        </is>
      </c>
      <c r="B188" t="inlineStr">
        <is>
          <t>ec5b3cd9d6bf0a880edfda73562a7cea</t>
        </is>
      </c>
      <c r="C188" t="inlineStr">
        <is>
          <t>9d12ef1a7eca3ec58c545c678af7869c</t>
        </is>
      </c>
      <c r="D188" t="inlineStr">
        <is>
          <t>2695de1affa7750089c0455f8ce27021</t>
        </is>
      </c>
      <c r="E188" s="30" t="n">
        <v>43262.60356481482</v>
      </c>
      <c r="G188" t="inlineStr">
        <is>
          <t>industry</t>
        </is>
      </c>
      <c r="L188" t="inlineStr">
        <is>
          <t>reseller</t>
        </is>
      </c>
      <c r="N188" t="n">
        <v>0</v>
      </c>
    </row>
    <row r="189">
      <c r="A189" t="inlineStr">
        <is>
          <t>e911087c91c63c9d3e7ee83e372d10f7</t>
        </is>
      </c>
      <c r="B189" t="inlineStr">
        <is>
          <t>1997c740529040d6a2244d2e818acb50</t>
        </is>
      </c>
      <c r="C189" t="inlineStr">
        <is>
          <t>4b339f9567d060bcea4f5136b9f5949e</t>
        </is>
      </c>
      <c r="D189" t="inlineStr">
        <is>
          <t>9ae085775a198122c5586fa830ff7f2b</t>
        </is>
      </c>
      <c r="E189" s="30" t="n">
        <v>43157.87440972222</v>
      </c>
      <c r="F189" t="inlineStr">
        <is>
          <t>audio_video_electronics</t>
        </is>
      </c>
      <c r="G189" t="inlineStr">
        <is>
          <t>online_big</t>
        </is>
      </c>
      <c r="H189" t="inlineStr">
        <is>
          <t>wolf</t>
        </is>
      </c>
      <c r="L189" t="inlineStr">
        <is>
          <t>reseller</t>
        </is>
      </c>
      <c r="N189" t="n">
        <v>0</v>
      </c>
    </row>
    <row r="190">
      <c r="A190" t="inlineStr">
        <is>
          <t>6a10f542e6f79265c34a405dbc928e37</t>
        </is>
      </c>
      <c r="B190" t="inlineStr">
        <is>
          <t>6fcc97197c64771f3c18aea3aa9d3913</t>
        </is>
      </c>
      <c r="C190" t="inlineStr">
        <is>
          <t>2b63542749aa9caf15f21816da1db341</t>
        </is>
      </c>
      <c r="D190" t="inlineStr">
        <is>
          <t>4ef15afb4b2723d8f3d81e51ec7afefe</t>
        </is>
      </c>
      <c r="E190" s="30" t="n">
        <v>43397.81497685185</v>
      </c>
      <c r="F190" t="inlineStr">
        <is>
          <t>construction_tools_house_garden</t>
        </is>
      </c>
      <c r="G190" t="inlineStr">
        <is>
          <t>industry</t>
        </is>
      </c>
      <c r="H190" t="inlineStr">
        <is>
          <t>cat</t>
        </is>
      </c>
      <c r="L190" t="inlineStr">
        <is>
          <t>manufacturer</t>
        </is>
      </c>
      <c r="M190" t="n">
        <v>10</v>
      </c>
      <c r="N190" t="n">
        <v>50000000</v>
      </c>
    </row>
    <row r="191">
      <c r="A191" t="inlineStr">
        <is>
          <t>4de20dd98d2ca78fd643bdc4f0a6359b</t>
        </is>
      </c>
      <c r="B191" t="inlineStr">
        <is>
          <t>1cbdc7cf130a41fd13a3c2a7d2fcfda7</t>
        </is>
      </c>
      <c r="C191" t="inlineStr">
        <is>
          <t>9e4d1098a3b0f5da39b0bc48f9876645</t>
        </is>
      </c>
      <c r="D191" t="inlineStr">
        <is>
          <t>6565aa9ce3178a5caf6171827af3a9ba</t>
        </is>
      </c>
      <c r="E191" s="30" t="n">
        <v>43175.81918981481</v>
      </c>
      <c r="F191" t="inlineStr">
        <is>
          <t>bed_bath_table</t>
        </is>
      </c>
      <c r="G191" t="inlineStr">
        <is>
          <t>offline</t>
        </is>
      </c>
      <c r="H191" t="inlineStr">
        <is>
          <t>eagle</t>
        </is>
      </c>
      <c r="L191" t="inlineStr">
        <is>
          <t>reseller</t>
        </is>
      </c>
      <c r="N191" t="n">
        <v>0</v>
      </c>
    </row>
    <row r="192">
      <c r="A192" t="inlineStr">
        <is>
          <t>4a907eba6a8d0223e39ee7d45672e26b</t>
        </is>
      </c>
      <c r="B192" t="inlineStr">
        <is>
          <t>75fe775fe1a7ad296e77ea7e66b35ac3</t>
        </is>
      </c>
      <c r="C192" t="inlineStr">
        <is>
          <t>9d12ef1a7eca3ec58c545c678af7869c</t>
        </is>
      </c>
      <c r="D192" t="inlineStr">
        <is>
          <t>56bf83c4bb35763a51c2baab501b4c67</t>
        </is>
      </c>
      <c r="E192" s="30" t="n">
        <v>43294.84371527778</v>
      </c>
      <c r="F192" t="inlineStr">
        <is>
          <t>home_decor</t>
        </is>
      </c>
      <c r="G192" t="inlineStr">
        <is>
          <t>offline</t>
        </is>
      </c>
      <c r="H192" t="inlineStr">
        <is>
          <t>cat</t>
        </is>
      </c>
      <c r="L192" t="inlineStr">
        <is>
          <t>reseller</t>
        </is>
      </c>
      <c r="N192" t="n">
        <v>0</v>
      </c>
    </row>
    <row r="193">
      <c r="A193" t="inlineStr">
        <is>
          <t>1e8e96e5a2857a7645534e99f20928b7</t>
        </is>
      </c>
      <c r="B193" t="inlineStr">
        <is>
          <t>9e545d0501bd685bba148d9f631093f1</t>
        </is>
      </c>
      <c r="C193" t="inlineStr">
        <is>
          <t>de63de0d10a6012430098db33c679b0b</t>
        </is>
      </c>
      <c r="D193" t="inlineStr">
        <is>
          <t>060c0a26f19f4d66b42e0d8796688490</t>
        </is>
      </c>
      <c r="E193" s="30" t="n">
        <v>43153.55284722222</v>
      </c>
      <c r="F193" t="inlineStr">
        <is>
          <t>construction_tools_house_garden</t>
        </is>
      </c>
      <c r="G193" t="inlineStr">
        <is>
          <t>online_big</t>
        </is>
      </c>
      <c r="L193" t="inlineStr">
        <is>
          <t>reseller</t>
        </is>
      </c>
      <c r="N193" t="n">
        <v>0</v>
      </c>
    </row>
    <row r="194">
      <c r="A194" t="inlineStr">
        <is>
          <t>8cfebc3e119ed2fe0dd172eb59b0a595</t>
        </is>
      </c>
      <c r="B194" t="inlineStr">
        <is>
          <t>40105cb0aec41563d24ccc7b90ae7083</t>
        </is>
      </c>
      <c r="C194" t="inlineStr">
        <is>
          <t>370c9f455f93a9a96cbe9bea48e70033</t>
        </is>
      </c>
      <c r="D194" t="inlineStr">
        <is>
          <t>85fc447d336637ba1df43e793199fbc8</t>
        </is>
      </c>
      <c r="E194" s="30" t="n">
        <v>43342.91693287037</v>
      </c>
      <c r="F194" t="inlineStr">
        <is>
          <t>home_decor</t>
        </is>
      </c>
      <c r="G194" t="inlineStr">
        <is>
          <t>industry</t>
        </is>
      </c>
      <c r="H194" t="inlineStr">
        <is>
          <t>cat</t>
        </is>
      </c>
      <c r="I194" t="b">
        <v>1</v>
      </c>
      <c r="J194" t="b">
        <v>1</v>
      </c>
      <c r="K194" t="inlineStr">
        <is>
          <t>200+</t>
        </is>
      </c>
      <c r="L194" t="inlineStr">
        <is>
          <t>manufacturer</t>
        </is>
      </c>
      <c r="M194" t="n">
        <v>40</v>
      </c>
      <c r="N194" t="n">
        <v>100000</v>
      </c>
    </row>
    <row r="195">
      <c r="A195" t="inlineStr">
        <is>
          <t>bf3e0df27b04abb4c107ab4df9955b29</t>
        </is>
      </c>
      <c r="B195" t="inlineStr">
        <is>
          <t>b1116e9a35b2fa91eb4a0af8e73cdc3a</t>
        </is>
      </c>
      <c r="C195" t="inlineStr">
        <is>
          <t>9d12ef1a7eca3ec58c545c678af7869c</t>
        </is>
      </c>
      <c r="D195" t="inlineStr">
        <is>
          <t>d3d1e91a157ea7f90548eef82f1955e3</t>
        </is>
      </c>
      <c r="E195" s="30" t="n">
        <v>43265.78571759259</v>
      </c>
      <c r="F195" t="inlineStr">
        <is>
          <t>small_appliances</t>
        </is>
      </c>
      <c r="G195" t="inlineStr">
        <is>
          <t>industry</t>
        </is>
      </c>
      <c r="H195" t="inlineStr">
        <is>
          <t>eagle, wolf</t>
        </is>
      </c>
      <c r="L195" t="inlineStr">
        <is>
          <t>manufacturer</t>
        </is>
      </c>
      <c r="N195" t="n">
        <v>0</v>
      </c>
    </row>
    <row r="196">
      <c r="A196" t="inlineStr">
        <is>
          <t>853beae72ddb4f7a9b8c7c50dc0127e2</t>
        </is>
      </c>
      <c r="B196" t="inlineStr">
        <is>
          <t>17595577347283c0140226df762e2e6b</t>
        </is>
      </c>
      <c r="C196" t="inlineStr">
        <is>
          <t>9d12ef1a7eca3ec58c545c678af7869c</t>
        </is>
      </c>
      <c r="D196" t="inlineStr">
        <is>
          <t>068066e24f0c643eb1d089c7dd20cd73</t>
        </is>
      </c>
      <c r="E196" s="30" t="n">
        <v>43284.51855324074</v>
      </c>
      <c r="F196" t="inlineStr">
        <is>
          <t>bed_bath_table</t>
        </is>
      </c>
      <c r="G196" t="inlineStr">
        <is>
          <t>online_medium</t>
        </is>
      </c>
      <c r="H196" t="inlineStr">
        <is>
          <t>cat</t>
        </is>
      </c>
      <c r="L196" t="inlineStr">
        <is>
          <t>reseller</t>
        </is>
      </c>
      <c r="N196" t="n">
        <v>0</v>
      </c>
    </row>
    <row r="197">
      <c r="A197" t="inlineStr">
        <is>
          <t>3c803c1d8fef5385ca87aa1f8952338e</t>
        </is>
      </c>
      <c r="B197" t="inlineStr">
        <is>
          <t>271b8923c6a549e02d3c9fd1f8c0422b</t>
        </is>
      </c>
      <c r="C197" t="inlineStr">
        <is>
          <t>f42a2bd194f7802ab052a815c8de65b7</t>
        </is>
      </c>
      <c r="D197" t="inlineStr">
        <is>
          <t>85fc447d336637ba1df43e793199fbc8</t>
        </is>
      </c>
      <c r="E197" s="30" t="n">
        <v>43252.69822916666</v>
      </c>
      <c r="F197" t="inlineStr">
        <is>
          <t>household_utilities</t>
        </is>
      </c>
      <c r="G197" t="inlineStr">
        <is>
          <t>offline</t>
        </is>
      </c>
      <c r="H197" t="inlineStr">
        <is>
          <t>cat</t>
        </is>
      </c>
      <c r="L197" t="inlineStr">
        <is>
          <t>reseller</t>
        </is>
      </c>
      <c r="N197" t="n">
        <v>0</v>
      </c>
    </row>
    <row r="198">
      <c r="A198" t="inlineStr">
        <is>
          <t>3b9c2023b5da0ffe9aa0a39285c836c6</t>
        </is>
      </c>
      <c r="B198" t="inlineStr">
        <is>
          <t>d7cb3f744255259a4ded02cb354f5bcf</t>
        </is>
      </c>
      <c r="C198" t="inlineStr">
        <is>
          <t>de63de0d10a6012430098db33c679b0b</t>
        </is>
      </c>
      <c r="D198" t="inlineStr">
        <is>
          <t>9ae085775a198122c5586fa830ff7f2b</t>
        </is>
      </c>
      <c r="E198" s="30" t="n">
        <v>43157.67488425926</v>
      </c>
      <c r="F198" t="inlineStr">
        <is>
          <t>home_decor</t>
        </is>
      </c>
      <c r="G198" t="inlineStr">
        <is>
          <t>online_medium</t>
        </is>
      </c>
      <c r="L198" t="inlineStr">
        <is>
          <t>manufacturer</t>
        </is>
      </c>
      <c r="N198" t="n">
        <v>0</v>
      </c>
    </row>
    <row r="199">
      <c r="A199" t="inlineStr">
        <is>
          <t>fe1fa775d818957a76304c35e1939355</t>
        </is>
      </c>
      <c r="B199" t="inlineStr">
        <is>
          <t>618b0524377e106190c0c91cacdb4b78</t>
        </is>
      </c>
      <c r="C199" t="inlineStr">
        <is>
          <t>09285259593c61296eef10c734121d5b</t>
        </is>
      </c>
      <c r="D199" t="inlineStr">
        <is>
          <t>2695de1affa7750089c0455f8ce27021</t>
        </is>
      </c>
      <c r="E199" s="30" t="n">
        <v>43231.125</v>
      </c>
      <c r="F199" t="inlineStr">
        <is>
          <t>car_accessories</t>
        </is>
      </c>
      <c r="G199" t="inlineStr">
        <is>
          <t>online_medium</t>
        </is>
      </c>
      <c r="H199" t="inlineStr">
        <is>
          <t>cat</t>
        </is>
      </c>
      <c r="L199" t="inlineStr">
        <is>
          <t>reseller</t>
        </is>
      </c>
      <c r="N199" t="n">
        <v>0</v>
      </c>
    </row>
    <row r="200">
      <c r="A200" t="inlineStr">
        <is>
          <t>5641240ccf2611004c76234f4afb8f90</t>
        </is>
      </c>
      <c r="B200" t="inlineStr">
        <is>
          <t>231e2c768bf979ec59ff743f16a442ce</t>
        </is>
      </c>
      <c r="C200" t="inlineStr">
        <is>
          <t>fdb16d3cbbeb5798f2f66c4096be026d</t>
        </is>
      </c>
      <c r="D200" t="inlineStr">
        <is>
          <t>9ae085775a198122c5586fa830ff7f2b</t>
        </is>
      </c>
      <c r="E200" s="30" t="n">
        <v>43235.79423611111</v>
      </c>
      <c r="F200" t="inlineStr">
        <is>
          <t>audio_video_electronics</t>
        </is>
      </c>
      <c r="G200" t="inlineStr">
        <is>
          <t>industry</t>
        </is>
      </c>
      <c r="L200" t="inlineStr">
        <is>
          <t>reseller</t>
        </is>
      </c>
      <c r="N200" t="n">
        <v>0</v>
      </c>
    </row>
    <row r="201">
      <c r="A201" t="inlineStr">
        <is>
          <t>3cab34e6c6a51d1f2ca8e76908c62368</t>
        </is>
      </c>
      <c r="B201" t="inlineStr">
        <is>
          <t>44717f64ec2a457979cf83c429077666</t>
        </is>
      </c>
      <c r="C201" t="inlineStr">
        <is>
          <t>a8387c01a09e99ce014107505b92388c</t>
        </is>
      </c>
      <c r="D201" t="inlineStr">
        <is>
          <t>2695de1affa7750089c0455f8ce27021</t>
        </is>
      </c>
      <c r="E201" s="30" t="n">
        <v>43195.79532407408</v>
      </c>
      <c r="F201" t="inlineStr">
        <is>
          <t>handcrafted</t>
        </is>
      </c>
      <c r="G201" t="inlineStr">
        <is>
          <t>online_medium</t>
        </is>
      </c>
      <c r="H201" t="inlineStr">
        <is>
          <t>cat</t>
        </is>
      </c>
      <c r="L201" t="inlineStr">
        <is>
          <t>reseller</t>
        </is>
      </c>
      <c r="N201" t="n">
        <v>0</v>
      </c>
    </row>
    <row r="202">
      <c r="A202" t="inlineStr">
        <is>
          <t>bfaf03e3d41e25b94457fadfbc4521eb</t>
        </is>
      </c>
      <c r="B202" t="inlineStr">
        <is>
          <t>b0289c0c1f9f84008e7b4dbf795c4676</t>
        </is>
      </c>
      <c r="C202" t="inlineStr">
        <is>
          <t>56bf83c4bb35763a51c2baab501b4c67</t>
        </is>
      </c>
      <c r="D202" t="inlineStr">
        <is>
          <t>fbf4aef3f6915dc0c3c97d6812522f6a</t>
        </is>
      </c>
      <c r="E202" s="30" t="n">
        <v>43112.76802083333</v>
      </c>
      <c r="F202" t="inlineStr">
        <is>
          <t>music_instruments</t>
        </is>
      </c>
      <c r="G202" t="inlineStr">
        <is>
          <t>online_small</t>
        </is>
      </c>
      <c r="L202" t="inlineStr">
        <is>
          <t>reseller</t>
        </is>
      </c>
      <c r="N202" t="n">
        <v>0</v>
      </c>
    </row>
    <row r="203">
      <c r="A203" t="inlineStr">
        <is>
          <t>e2e3fb19cb1f4edf8c601bab9adbad86</t>
        </is>
      </c>
      <c r="B203" t="inlineStr">
        <is>
          <t>31be790e64fc99f8ff48ec2bd18a3104</t>
        </is>
      </c>
      <c r="C203" t="inlineStr">
        <is>
          <t>09285259593c61296eef10c734121d5b</t>
        </is>
      </c>
      <c r="D203" t="inlineStr">
        <is>
          <t>a8387c01a09e99ce014107505b92388c</t>
        </is>
      </c>
      <c r="E203" s="30" t="n">
        <v>43280.84502314815</v>
      </c>
      <c r="F203" t="inlineStr">
        <is>
          <t>household_utilities</t>
        </is>
      </c>
      <c r="G203" t="inlineStr">
        <is>
          <t>online_beginner</t>
        </is>
      </c>
      <c r="H203" t="inlineStr">
        <is>
          <t>eagle</t>
        </is>
      </c>
      <c r="L203" t="inlineStr">
        <is>
          <t>reseller</t>
        </is>
      </c>
      <c r="N203" t="n">
        <v>0</v>
      </c>
    </row>
    <row r="204">
      <c r="A204" t="inlineStr">
        <is>
          <t>9675f0018d103531e073a3da2945df41</t>
        </is>
      </c>
      <c r="B204" t="inlineStr">
        <is>
          <t>b0ec35adb04cfa85d3e0ff3f79c186a3</t>
        </is>
      </c>
      <c r="C204" t="inlineStr">
        <is>
          <t>4b339f9567d060bcea4f5136b9f5949e</t>
        </is>
      </c>
      <c r="D204" t="inlineStr">
        <is>
          <t>4ef15afb4b2723d8f3d81e51ec7afefe</t>
        </is>
      </c>
      <c r="E204" s="30" t="n">
        <v>43237.9080787037</v>
      </c>
      <c r="F204" t="inlineStr">
        <is>
          <t>home_office_furniture</t>
        </is>
      </c>
      <c r="G204" t="inlineStr">
        <is>
          <t>industry</t>
        </is>
      </c>
      <c r="H204" t="inlineStr">
        <is>
          <t>eagle</t>
        </is>
      </c>
      <c r="L204" t="inlineStr">
        <is>
          <t>manufacturer</t>
        </is>
      </c>
      <c r="N204" t="n">
        <v>0</v>
      </c>
    </row>
    <row r="205">
      <c r="A205" t="inlineStr">
        <is>
          <t>3172362312fcf09d96f02125f66b74f5</t>
        </is>
      </c>
      <c r="B205" t="inlineStr">
        <is>
          <t>fa7cc273072520346449b9e89329768a</t>
        </is>
      </c>
      <c r="C205" t="inlineStr">
        <is>
          <t>0a0fb2b07d841f84fb6714e35c723075</t>
        </is>
      </c>
      <c r="D205" t="inlineStr">
        <is>
          <t>34d40cdaf94010a1d05b0d6212f9e909</t>
        </is>
      </c>
      <c r="E205" s="30" t="n">
        <v>43322.6990625</v>
      </c>
      <c r="F205" t="inlineStr">
        <is>
          <t>audio_video_electronics</t>
        </is>
      </c>
      <c r="G205" t="inlineStr">
        <is>
          <t>online_beginner</t>
        </is>
      </c>
      <c r="H205" t="inlineStr">
        <is>
          <t>cat</t>
        </is>
      </c>
      <c r="I205" t="b">
        <v>1</v>
      </c>
      <c r="J205" t="b">
        <v>1</v>
      </c>
      <c r="K205" t="inlineStr">
        <is>
          <t>200+</t>
        </is>
      </c>
      <c r="L205" t="inlineStr">
        <is>
          <t>reseller</t>
        </is>
      </c>
      <c r="N205" t="n">
        <v>0</v>
      </c>
    </row>
    <row r="206">
      <c r="A206" t="inlineStr">
        <is>
          <t>0de705dc7d8026cc9b2128b775e4c35e</t>
        </is>
      </c>
      <c r="B206" t="inlineStr">
        <is>
          <t>120476eb7a04c149d14772edaf5d9bf2</t>
        </is>
      </c>
      <c r="C206" t="inlineStr">
        <is>
          <t>b90f87164b5f8c2cfa5c8572834dbe3f</t>
        </is>
      </c>
      <c r="D206" t="inlineStr">
        <is>
          <t>85fc447d336637ba1df43e793199fbc8</t>
        </is>
      </c>
      <c r="E206" s="30" t="n">
        <v>43276.77934027778</v>
      </c>
      <c r="F206" t="inlineStr">
        <is>
          <t>construction_tools_house_garden</t>
        </is>
      </c>
      <c r="G206" t="inlineStr">
        <is>
          <t>online_big</t>
        </is>
      </c>
      <c r="H206" t="inlineStr">
        <is>
          <t>wolf</t>
        </is>
      </c>
      <c r="L206" t="inlineStr">
        <is>
          <t>reseller</t>
        </is>
      </c>
      <c r="N206" t="n">
        <v>0</v>
      </c>
    </row>
    <row r="207">
      <c r="A207" t="inlineStr">
        <is>
          <t>1accc1c92278a9bc2bbc6a8002026b25</t>
        </is>
      </c>
      <c r="B207" t="inlineStr">
        <is>
          <t>7df961ce758538004de6db0f5b9d7b6f</t>
        </is>
      </c>
      <c r="C207" t="inlineStr">
        <is>
          <t>a8387c01a09e99ce014107505b92388c</t>
        </is>
      </c>
      <c r="D207" t="inlineStr">
        <is>
          <t>2695de1affa7750089c0455f8ce27021</t>
        </is>
      </c>
      <c r="E207" s="30" t="n">
        <v>43207.61923611111</v>
      </c>
      <c r="F207" t="inlineStr">
        <is>
          <t>home_decor</t>
        </is>
      </c>
      <c r="G207" t="inlineStr">
        <is>
          <t>online_small</t>
        </is>
      </c>
      <c r="H207" t="inlineStr">
        <is>
          <t>cat</t>
        </is>
      </c>
      <c r="L207" t="inlineStr">
        <is>
          <t>reseller</t>
        </is>
      </c>
      <c r="N207" t="n">
        <v>0</v>
      </c>
    </row>
    <row r="208">
      <c r="A208" t="inlineStr">
        <is>
          <t>0e327f32dbb22d433600688b7e9af0db</t>
        </is>
      </c>
      <c r="B208" t="inlineStr">
        <is>
          <t>cee4320453079d554562dee0753d7d43</t>
        </is>
      </c>
      <c r="C208" t="inlineStr">
        <is>
          <t>b34f6eba10f46bf9a657a01c108a8284</t>
        </is>
      </c>
      <c r="D208" t="inlineStr">
        <is>
          <t>068066e24f0c643eb1d089c7dd20cd73</t>
        </is>
      </c>
      <c r="E208" s="30" t="n">
        <v>43333.88020833334</v>
      </c>
      <c r="F208" t="inlineStr">
        <is>
          <t>health_beauty</t>
        </is>
      </c>
      <c r="G208" t="inlineStr">
        <is>
          <t>online_medium</t>
        </is>
      </c>
      <c r="H208" t="inlineStr">
        <is>
          <t>shark</t>
        </is>
      </c>
      <c r="I208" t="b">
        <v>1</v>
      </c>
      <c r="J208" t="b">
        <v>1</v>
      </c>
      <c r="K208" t="inlineStr">
        <is>
          <t>5-20</t>
        </is>
      </c>
      <c r="L208" t="inlineStr">
        <is>
          <t>reseller</t>
        </is>
      </c>
      <c r="M208" t="n">
        <v>500</v>
      </c>
      <c r="N208" t="n">
        <v>30000</v>
      </c>
    </row>
    <row r="209">
      <c r="A209" t="inlineStr">
        <is>
          <t>3db893ff5d6c0e9dccfed451a741853f</t>
        </is>
      </c>
      <c r="B209" t="inlineStr">
        <is>
          <t>21f3118106d69d16dfe7d5aaf37cb242</t>
        </is>
      </c>
      <c r="C209" t="inlineStr">
        <is>
          <t>9749123c950bf8363ace42cb1c2d0815</t>
        </is>
      </c>
      <c r="D209" t="inlineStr">
        <is>
          <t>4ef15afb4b2723d8f3d81e51ec7afefe</t>
        </is>
      </c>
      <c r="E209" s="30" t="n">
        <v>43311.85452546296</v>
      </c>
      <c r="F209" t="inlineStr">
        <is>
          <t>car_accessories</t>
        </is>
      </c>
      <c r="G209" t="inlineStr">
        <is>
          <t>online_big</t>
        </is>
      </c>
      <c r="H209" t="inlineStr">
        <is>
          <t>cat, wolf</t>
        </is>
      </c>
      <c r="I209" t="b">
        <v>1</v>
      </c>
      <c r="J209" t="b">
        <v>1</v>
      </c>
      <c r="K209" t="inlineStr">
        <is>
          <t>50-200</t>
        </is>
      </c>
      <c r="L209" t="inlineStr">
        <is>
          <t>reseller</t>
        </is>
      </c>
      <c r="N209" t="n">
        <v>0</v>
      </c>
    </row>
    <row r="210">
      <c r="A210" t="inlineStr">
        <is>
          <t>8f118ab2a5c0d99362fb67e29856acab</t>
        </is>
      </c>
      <c r="B210" t="inlineStr">
        <is>
          <t>94d76e96eedd976258cd3278ce56d5f2</t>
        </is>
      </c>
      <c r="C210" t="inlineStr">
        <is>
          <t>56bf83c4bb35763a51c2baab501b4c67</t>
        </is>
      </c>
      <c r="D210" t="inlineStr">
        <is>
          <t>4ef15afb4b2723d8f3d81e51ec7afefe</t>
        </is>
      </c>
      <c r="E210" s="30" t="n">
        <v>43138.86078703704</v>
      </c>
      <c r="F210" t="inlineStr">
        <is>
          <t>construction_tools_house_garden</t>
        </is>
      </c>
      <c r="G210" t="inlineStr">
        <is>
          <t>online_big</t>
        </is>
      </c>
      <c r="L210" t="inlineStr">
        <is>
          <t>manufacturer</t>
        </is>
      </c>
      <c r="N210" t="n">
        <v>0</v>
      </c>
    </row>
    <row r="211">
      <c r="A211" t="inlineStr">
        <is>
          <t>626dc1c3716c817b064632fded168e35</t>
        </is>
      </c>
      <c r="B211" t="inlineStr">
        <is>
          <t>b5e7d871b063f34de611e8b448e63f2e</t>
        </is>
      </c>
      <c r="C211" t="inlineStr">
        <is>
          <t>56bf83c4bb35763a51c2baab501b4c67</t>
        </is>
      </c>
      <c r="D211" t="inlineStr">
        <is>
          <t>6565aa9ce3178a5caf6171827af3a9ba</t>
        </is>
      </c>
      <c r="E211" s="30" t="n">
        <v>43157.67347222222</v>
      </c>
      <c r="F211" t="inlineStr">
        <is>
          <t>health_beauty</t>
        </is>
      </c>
      <c r="G211" t="inlineStr">
        <is>
          <t>offline</t>
        </is>
      </c>
      <c r="H211" t="inlineStr">
        <is>
          <t>eagle</t>
        </is>
      </c>
      <c r="L211" t="inlineStr">
        <is>
          <t>manufacturer</t>
        </is>
      </c>
      <c r="N211" t="n">
        <v>0</v>
      </c>
    </row>
    <row r="212">
      <c r="A212" t="inlineStr">
        <is>
          <t>4433c8475916d6e6ebb8cf4994d2f1d1</t>
        </is>
      </c>
      <c r="B212" t="inlineStr">
        <is>
          <t>04ed0495537199603d4930fc5c0dd026</t>
        </is>
      </c>
      <c r="C212" t="inlineStr">
        <is>
          <t>09285259593c61296eef10c734121d5b</t>
        </is>
      </c>
      <c r="D212" t="inlineStr">
        <is>
          <t>56bf83c4bb35763a51c2baab501b4c67</t>
        </is>
      </c>
      <c r="E212" s="30" t="n">
        <v>43217.58842592593</v>
      </c>
      <c r="F212" t="inlineStr">
        <is>
          <t>audio_video_electronics</t>
        </is>
      </c>
      <c r="G212" t="inlineStr">
        <is>
          <t>offline</t>
        </is>
      </c>
      <c r="H212" t="inlineStr">
        <is>
          <t>cat</t>
        </is>
      </c>
      <c r="L212" t="inlineStr">
        <is>
          <t>reseller</t>
        </is>
      </c>
      <c r="N212" t="n">
        <v>0</v>
      </c>
    </row>
    <row r="213">
      <c r="A213" t="inlineStr">
        <is>
          <t>667f061b738858573caad66f5cc56b32</t>
        </is>
      </c>
      <c r="B213" t="inlineStr">
        <is>
          <t>96c1c7f1f24470915da80563cd1202ea</t>
        </is>
      </c>
      <c r="C213" t="inlineStr">
        <is>
          <t>e7dff61b78bebffa71678e126ce669ad</t>
        </is>
      </c>
      <c r="D213" t="inlineStr">
        <is>
          <t>d3d1e91a157ea7f90548eef82f1955e3</t>
        </is>
      </c>
      <c r="E213" s="30" t="n">
        <v>43320.68230324074</v>
      </c>
      <c r="F213" t="inlineStr">
        <is>
          <t>audio_video_electronics</t>
        </is>
      </c>
      <c r="G213" t="inlineStr">
        <is>
          <t>online_medium</t>
        </is>
      </c>
      <c r="H213" t="inlineStr">
        <is>
          <t>cat</t>
        </is>
      </c>
      <c r="L213" t="inlineStr">
        <is>
          <t>reseller</t>
        </is>
      </c>
      <c r="N213" t="n">
        <v>0</v>
      </c>
    </row>
    <row r="214">
      <c r="A214" t="inlineStr">
        <is>
          <t>843966e79e757cf797b7dfe514e30af1</t>
        </is>
      </c>
      <c r="B214" t="inlineStr">
        <is>
          <t>1f74801bb8b05750ce5e7597b685bd13</t>
        </is>
      </c>
      <c r="C214" t="inlineStr">
        <is>
          <t>34d40cdaf94010a1d05b0d6212f9e909</t>
        </is>
      </c>
      <c r="D214" t="inlineStr">
        <is>
          <t>2695de1affa7750089c0455f8ce27021</t>
        </is>
      </c>
      <c r="E214" s="30" t="n">
        <v>43269.57752314815</v>
      </c>
      <c r="F214" t="inlineStr">
        <is>
          <t>food_supplement</t>
        </is>
      </c>
      <c r="G214" t="inlineStr">
        <is>
          <t>offline</t>
        </is>
      </c>
      <c r="H214" t="inlineStr">
        <is>
          <t>eagle</t>
        </is>
      </c>
      <c r="L214" t="inlineStr">
        <is>
          <t>reseller</t>
        </is>
      </c>
      <c r="N214" t="n">
        <v>0</v>
      </c>
    </row>
    <row r="215">
      <c r="A215" t="inlineStr">
        <is>
          <t>cf8f0678e67cb002c2b68f9f68629885</t>
        </is>
      </c>
      <c r="B215" t="inlineStr">
        <is>
          <t>bed6d1f6c4664ab8cf3abf3821727756</t>
        </is>
      </c>
      <c r="C215" t="inlineStr">
        <is>
          <t>068066e24f0c643eb1d089c7dd20cd73</t>
        </is>
      </c>
      <c r="D215" t="inlineStr">
        <is>
          <t>85fc447d336637ba1df43e793199fbc8</t>
        </is>
      </c>
      <c r="E215" s="30" t="n">
        <v>43181.889375</v>
      </c>
      <c r="F215" t="inlineStr">
        <is>
          <t>construction_tools_house_garden</t>
        </is>
      </c>
      <c r="G215" t="inlineStr">
        <is>
          <t>industry</t>
        </is>
      </c>
      <c r="H215" t="inlineStr">
        <is>
          <t>shark</t>
        </is>
      </c>
      <c r="L215" t="inlineStr">
        <is>
          <t>reseller</t>
        </is>
      </c>
      <c r="N215" t="n">
        <v>0</v>
      </c>
    </row>
    <row r="216">
      <c r="A216" t="inlineStr">
        <is>
          <t>299d8968ef74c5086cb3ee21f13ed27a</t>
        </is>
      </c>
      <c r="B216" t="inlineStr">
        <is>
          <t>377bc18334c78dd2f1535ef22a3ad225</t>
        </is>
      </c>
      <c r="C216" t="inlineStr">
        <is>
          <t>56bf83c4bb35763a51c2baab501b4c67</t>
        </is>
      </c>
      <c r="D216" t="inlineStr">
        <is>
          <t>85fc447d336637ba1df43e793199fbc8</t>
        </is>
      </c>
      <c r="E216" s="30" t="n">
        <v>43166.92259259259</v>
      </c>
      <c r="F216" t="inlineStr">
        <is>
          <t>car_accessories</t>
        </is>
      </c>
      <c r="G216" t="inlineStr">
        <is>
          <t>online_big</t>
        </is>
      </c>
      <c r="H216" t="inlineStr">
        <is>
          <t>cat</t>
        </is>
      </c>
      <c r="L216" t="inlineStr">
        <is>
          <t>reseller</t>
        </is>
      </c>
      <c r="N216" t="n">
        <v>0</v>
      </c>
    </row>
    <row r="217">
      <c r="A217" t="inlineStr">
        <is>
          <t>e9dcae4d924ac8fff2334db6e5b99482</t>
        </is>
      </c>
      <c r="B217" t="inlineStr">
        <is>
          <t>51fdd5d43db628fada4588f89aba3e8e</t>
        </is>
      </c>
      <c r="C217" t="inlineStr">
        <is>
          <t>9d12ef1a7eca3ec58c545c678af7869c</t>
        </is>
      </c>
      <c r="D217" t="inlineStr">
        <is>
          <t>de63de0d10a6012430098db33c679b0b</t>
        </is>
      </c>
      <c r="E217" s="30" t="n">
        <v>43201.84709490741</v>
      </c>
      <c r="F217" t="inlineStr">
        <is>
          <t>car_accessories</t>
        </is>
      </c>
      <c r="G217" t="inlineStr">
        <is>
          <t>offline</t>
        </is>
      </c>
      <c r="H217" t="inlineStr">
        <is>
          <t>cat</t>
        </is>
      </c>
      <c r="L217" t="inlineStr">
        <is>
          <t>reseller</t>
        </is>
      </c>
      <c r="N217" t="n">
        <v>0</v>
      </c>
    </row>
    <row r="218">
      <c r="A218" t="inlineStr">
        <is>
          <t>081c243a74472af67b65145cff5221c7</t>
        </is>
      </c>
      <c r="B218" t="inlineStr">
        <is>
          <t>58f1a6197ed863543e0136bdedb3fce2</t>
        </is>
      </c>
      <c r="C218" t="inlineStr">
        <is>
          <t>4b339f9567d060bcea4f5136b9f5949e</t>
        </is>
      </c>
      <c r="D218" t="inlineStr">
        <is>
          <t>c638112b43f1d1b86dcabb0da720c901</t>
        </is>
      </c>
      <c r="E218" s="30" t="n">
        <v>43158.7294212963</v>
      </c>
      <c r="F218" t="inlineStr">
        <is>
          <t>fashion_accessories</t>
        </is>
      </c>
      <c r="G218" t="inlineStr">
        <is>
          <t>online_medium</t>
        </is>
      </c>
      <c r="H218" t="inlineStr">
        <is>
          <t>eagle</t>
        </is>
      </c>
      <c r="L218" t="inlineStr">
        <is>
          <t>reseller</t>
        </is>
      </c>
      <c r="N218" t="n">
        <v>0</v>
      </c>
    </row>
    <row r="219">
      <c r="A219" t="inlineStr">
        <is>
          <t>39ecc5282d4511dca4c757113e1312d1</t>
        </is>
      </c>
      <c r="B219" t="inlineStr">
        <is>
          <t>65febd49fd28ec955651299159b1f527</t>
        </is>
      </c>
      <c r="C219" t="inlineStr">
        <is>
          <t>a8387c01a09e99ce014107505b92388c</t>
        </is>
      </c>
      <c r="D219" t="inlineStr">
        <is>
          <t>d3d1e91a157ea7f90548eef82f1955e3</t>
        </is>
      </c>
      <c r="E219" s="30" t="n">
        <v>43178.79082175926</v>
      </c>
      <c r="F219" t="inlineStr">
        <is>
          <t>household_utilities</t>
        </is>
      </c>
      <c r="G219" t="inlineStr">
        <is>
          <t>online_big</t>
        </is>
      </c>
      <c r="L219" t="inlineStr">
        <is>
          <t>reseller</t>
        </is>
      </c>
      <c r="N219" t="n">
        <v>0</v>
      </c>
    </row>
    <row r="220">
      <c r="A220" t="inlineStr">
        <is>
          <t>02c1f06978b821b2996ec257932f2947</t>
        </is>
      </c>
      <c r="B220" t="inlineStr">
        <is>
          <t>9b1585752613ec342d03bbab9997ec48</t>
        </is>
      </c>
      <c r="C220" t="inlineStr">
        <is>
          <t>f42a2bd194f7802ab052a815c8de65b7</t>
        </is>
      </c>
      <c r="D220" t="inlineStr">
        <is>
          <t>de63de0d10a6012430098db33c679b0b</t>
        </is>
      </c>
      <c r="E220" s="30" t="n">
        <v>43231.59920138889</v>
      </c>
      <c r="F220" t="inlineStr">
        <is>
          <t>car_accessories</t>
        </is>
      </c>
      <c r="G220" t="inlineStr">
        <is>
          <t>offline</t>
        </is>
      </c>
      <c r="H220" t="inlineStr">
        <is>
          <t>cat</t>
        </is>
      </c>
      <c r="L220" t="inlineStr">
        <is>
          <t>reseller</t>
        </is>
      </c>
      <c r="N220" t="n">
        <v>0</v>
      </c>
    </row>
    <row r="221">
      <c r="A221" t="inlineStr">
        <is>
          <t>072446c6aa02c85a9a91d6a75116def5</t>
        </is>
      </c>
      <c r="B221" t="inlineStr">
        <is>
          <t>cbf09e831b0c11f6f23ffb51004db972</t>
        </is>
      </c>
      <c r="C221" t="inlineStr">
        <is>
          <t>068066e24f0c643eb1d089c7dd20cd73</t>
        </is>
      </c>
      <c r="D221" t="inlineStr">
        <is>
          <t>de63de0d10a6012430098db33c679b0b</t>
        </is>
      </c>
      <c r="E221" s="30" t="n">
        <v>43200.76388888889</v>
      </c>
      <c r="F221" t="inlineStr">
        <is>
          <t>household_utilities</t>
        </is>
      </c>
      <c r="G221" t="inlineStr">
        <is>
          <t>online_top</t>
        </is>
      </c>
      <c r="H221" t="inlineStr">
        <is>
          <t>cat</t>
        </is>
      </c>
      <c r="L221" t="inlineStr">
        <is>
          <t>reseller</t>
        </is>
      </c>
      <c r="N221" t="n">
        <v>0</v>
      </c>
    </row>
    <row r="222">
      <c r="A222" t="inlineStr">
        <is>
          <t>0d8b45d95dc4bd9712dc67f87db79a8e</t>
        </is>
      </c>
      <c r="B222" t="inlineStr">
        <is>
          <t>4f0d637c1197fd65405ebd755ac9f86b</t>
        </is>
      </c>
      <c r="C222" t="inlineStr">
        <is>
          <t>56bf83c4bb35763a51c2baab501b4c67</t>
        </is>
      </c>
      <c r="D222" t="inlineStr">
        <is>
          <t>de63de0d10a6012430098db33c679b0b</t>
        </is>
      </c>
      <c r="E222" s="30" t="n">
        <v>43171.88945601852</v>
      </c>
      <c r="F222" t="inlineStr">
        <is>
          <t>health_beauty</t>
        </is>
      </c>
      <c r="G222" t="inlineStr">
        <is>
          <t>online_medium</t>
        </is>
      </c>
      <c r="H222" t="inlineStr">
        <is>
          <t>cat</t>
        </is>
      </c>
      <c r="L222" t="inlineStr">
        <is>
          <t>reseller</t>
        </is>
      </c>
      <c r="N222" t="n">
        <v>0</v>
      </c>
    </row>
    <row r="223">
      <c r="A223" t="inlineStr">
        <is>
          <t>f88920d4589dae7abec2eb05fca153e3</t>
        </is>
      </c>
      <c r="B223" t="inlineStr">
        <is>
          <t>026c6180cd86d6069dad573ce69b465e</t>
        </is>
      </c>
      <c r="C223" t="inlineStr">
        <is>
          <t>9d12ef1a7eca3ec58c545c678af7869c</t>
        </is>
      </c>
      <c r="D223" t="inlineStr">
        <is>
          <t>068066e24f0c643eb1d089c7dd20cd73</t>
        </is>
      </c>
      <c r="E223" s="30" t="n">
        <v>43376.52008101852</v>
      </c>
      <c r="F223" t="inlineStr">
        <is>
          <t>household_utilities</t>
        </is>
      </c>
      <c r="G223" t="inlineStr">
        <is>
          <t>online_small</t>
        </is>
      </c>
      <c r="H223" t="inlineStr">
        <is>
          <t>eagle</t>
        </is>
      </c>
      <c r="K223" t="inlineStr">
        <is>
          <t>1-5</t>
        </is>
      </c>
      <c r="L223" t="inlineStr">
        <is>
          <t>manufacturer</t>
        </is>
      </c>
      <c r="M223" t="n">
        <v>4</v>
      </c>
      <c r="N223" t="n">
        <v>0</v>
      </c>
    </row>
    <row r="224">
      <c r="A224" t="inlineStr">
        <is>
          <t>10b83e434ddcd9c79ad2b9be2fd0aa84</t>
        </is>
      </c>
      <c r="B224" t="inlineStr">
        <is>
          <t>0691fc6052b1918d775ac6ff8275eb01</t>
        </is>
      </c>
      <c r="C224" t="inlineStr">
        <is>
          <t>fdb16d3cbbeb5798f2f66c4096be026d</t>
        </is>
      </c>
      <c r="D224" t="inlineStr">
        <is>
          <t>fbf4aef3f6915dc0c3c97d6812522f6a</t>
        </is>
      </c>
      <c r="E224" s="30" t="n">
        <v>43112.08333333334</v>
      </c>
      <c r="F224" t="inlineStr">
        <is>
          <t>home_decor</t>
        </is>
      </c>
      <c r="G224" t="inlineStr">
        <is>
          <t>online_medium</t>
        </is>
      </c>
      <c r="L224" t="inlineStr">
        <is>
          <t>manufacturer</t>
        </is>
      </c>
      <c r="N224" t="n">
        <v>0</v>
      </c>
    </row>
    <row r="225">
      <c r="A225" t="inlineStr">
        <is>
          <t>dcebacc996ed40656c7097704c600386</t>
        </is>
      </c>
      <c r="B225" t="inlineStr">
        <is>
          <t>d50f6d198921d51b24544738b29d2b0e</t>
        </is>
      </c>
      <c r="C225" t="inlineStr">
        <is>
          <t>09285259593c61296eef10c734121d5b</t>
        </is>
      </c>
      <c r="D225" t="inlineStr">
        <is>
          <t>85fc447d336637ba1df43e793199fbc8</t>
        </is>
      </c>
      <c r="E225" s="30" t="n">
        <v>43255.58</v>
      </c>
      <c r="F225" t="inlineStr">
        <is>
          <t>food_drink</t>
        </is>
      </c>
      <c r="G225" t="inlineStr">
        <is>
          <t>industry</t>
        </is>
      </c>
      <c r="H225" t="inlineStr">
        <is>
          <t>cat</t>
        </is>
      </c>
      <c r="L225" t="inlineStr">
        <is>
          <t>manufacturer</t>
        </is>
      </c>
      <c r="N225" t="n">
        <v>0</v>
      </c>
    </row>
    <row r="226">
      <c r="A226" t="inlineStr">
        <is>
          <t>e4dcab5f7c33b62eb67f0a87c1b7f162</t>
        </is>
      </c>
      <c r="B226" t="inlineStr">
        <is>
          <t>9485222b0bad29d3b0e860fa5ec1fdd4</t>
        </is>
      </c>
      <c r="C226" t="inlineStr">
        <is>
          <t>4b339f9567d060bcea4f5136b9f5949e</t>
        </is>
      </c>
      <c r="D226" t="inlineStr">
        <is>
          <t>9749123c950bf8363ace42cb1c2d0815</t>
        </is>
      </c>
      <c r="E226" s="30" t="n">
        <v>43356.125</v>
      </c>
      <c r="F226" t="inlineStr">
        <is>
          <t>construction_tools_house_garden</t>
        </is>
      </c>
      <c r="G226" t="inlineStr">
        <is>
          <t>industry</t>
        </is>
      </c>
      <c r="H226" t="inlineStr">
        <is>
          <t>wolf</t>
        </is>
      </c>
      <c r="I226" t="b">
        <v>1</v>
      </c>
      <c r="J226" t="b">
        <v>0</v>
      </c>
      <c r="K226" t="inlineStr">
        <is>
          <t>50-200</t>
        </is>
      </c>
      <c r="L226" t="inlineStr">
        <is>
          <t>manufacturer</t>
        </is>
      </c>
      <c r="M226" t="n">
        <v>100</v>
      </c>
      <c r="N226" t="n">
        <v>0</v>
      </c>
    </row>
    <row r="227">
      <c r="A227" t="inlineStr">
        <is>
          <t>9f73f765160d33280216b73b6378c068</t>
        </is>
      </c>
      <c r="B227" t="inlineStr">
        <is>
          <t>28fadc495e06e64b5d15d54959f2cee1</t>
        </is>
      </c>
      <c r="C227" t="inlineStr">
        <is>
          <t>068066e24f0c643eb1d089c7dd20cd73</t>
        </is>
      </c>
      <c r="D227" t="inlineStr">
        <is>
          <t>c638112b43f1d1b86dcabb0da720c901</t>
        </is>
      </c>
      <c r="E227" s="30" t="n">
        <v>43131.67971064815</v>
      </c>
      <c r="F227" t="inlineStr">
        <is>
          <t>watches</t>
        </is>
      </c>
      <c r="G227" t="inlineStr">
        <is>
          <t>online_top</t>
        </is>
      </c>
      <c r="L227" t="inlineStr">
        <is>
          <t>reseller</t>
        </is>
      </c>
      <c r="N227" t="n">
        <v>0</v>
      </c>
    </row>
    <row r="228">
      <c r="A228" t="inlineStr">
        <is>
          <t>fe75268bb28b40ef89979d0ec2c54497</t>
        </is>
      </c>
      <c r="B228" t="inlineStr">
        <is>
          <t>dbdd0ec73a4817971d962698f2fea022</t>
        </is>
      </c>
      <c r="C228" t="inlineStr">
        <is>
          <t>068066e24f0c643eb1d089c7dd20cd73</t>
        </is>
      </c>
      <c r="D228" t="inlineStr">
        <is>
          <t>fbf4aef3f6915dc0c3c97d6812522f6a</t>
        </is>
      </c>
      <c r="E228" s="30" t="n">
        <v>43133.54734953704</v>
      </c>
      <c r="F228" t="inlineStr">
        <is>
          <t>health_beauty</t>
        </is>
      </c>
      <c r="G228" t="inlineStr">
        <is>
          <t>online_big</t>
        </is>
      </c>
      <c r="L228" t="inlineStr">
        <is>
          <t>manufacturer</t>
        </is>
      </c>
      <c r="N228" t="n">
        <v>0</v>
      </c>
    </row>
    <row r="229">
      <c r="A229" t="inlineStr">
        <is>
          <t>bd0c413c4350a9a29fb9bec5de64e2a6</t>
        </is>
      </c>
      <c r="B229" t="inlineStr">
        <is>
          <t>2aeedd049dc20e7171f43110fd0d6821</t>
        </is>
      </c>
      <c r="C229" t="inlineStr">
        <is>
          <t>9d12ef1a7eca3ec58c545c678af7869c</t>
        </is>
      </c>
      <c r="D229" t="inlineStr">
        <is>
          <t>495d4e95a8cf8bbf8b432b612a2aa328</t>
        </is>
      </c>
      <c r="E229" s="30" t="n">
        <v>43264.69284722222</v>
      </c>
      <c r="F229" t="inlineStr">
        <is>
          <t>construction_tools_house_garden</t>
        </is>
      </c>
      <c r="G229" t="inlineStr">
        <is>
          <t>industry</t>
        </is>
      </c>
      <c r="H229" t="inlineStr">
        <is>
          <t>cat</t>
        </is>
      </c>
      <c r="L229" t="inlineStr">
        <is>
          <t>reseller</t>
        </is>
      </c>
      <c r="N229" t="n">
        <v>0</v>
      </c>
    </row>
    <row r="230">
      <c r="A230" t="inlineStr">
        <is>
          <t>409b474080e928bbb5664659407b5947</t>
        </is>
      </c>
      <c r="B230" t="inlineStr">
        <is>
          <t>6a60bd6a4afd5fc86b75b47ec502df7b</t>
        </is>
      </c>
      <c r="C230" t="inlineStr">
        <is>
          <t>34d40cdaf94010a1d05b0d6212f9e909</t>
        </is>
      </c>
      <c r="D230" t="inlineStr">
        <is>
          <t>de63de0d10a6012430098db33c679b0b</t>
        </is>
      </c>
      <c r="E230" s="30" t="n">
        <v>43236.74201388889</v>
      </c>
      <c r="F230" t="inlineStr">
        <is>
          <t>health_beauty</t>
        </is>
      </c>
      <c r="G230" t="inlineStr">
        <is>
          <t>online_small</t>
        </is>
      </c>
      <c r="H230" t="inlineStr">
        <is>
          <t>cat</t>
        </is>
      </c>
      <c r="L230" t="inlineStr">
        <is>
          <t>reseller</t>
        </is>
      </c>
      <c r="N230" t="n">
        <v>0</v>
      </c>
    </row>
    <row r="231">
      <c r="A231" t="inlineStr">
        <is>
          <t>2b73fd917ee9cc38ec528df06d5b8561</t>
        </is>
      </c>
      <c r="B231" t="inlineStr">
        <is>
          <t>46bec94e1e0fc413b6adb1d1bd175477</t>
        </is>
      </c>
      <c r="C231" t="inlineStr">
        <is>
          <t>b90f87164b5f8c2cfa5c8572834dbe3f</t>
        </is>
      </c>
      <c r="D231" t="inlineStr">
        <is>
          <t>85fc447d336637ba1df43e793199fbc8</t>
        </is>
      </c>
      <c r="E231" s="30" t="n">
        <v>43245.69232638889</v>
      </c>
      <c r="F231" t="inlineStr">
        <is>
          <t>food_supplement</t>
        </is>
      </c>
      <c r="G231" t="inlineStr">
        <is>
          <t>online_small</t>
        </is>
      </c>
      <c r="H231" t="inlineStr">
        <is>
          <t>eagle</t>
        </is>
      </c>
      <c r="L231" t="inlineStr">
        <is>
          <t>manufacturer</t>
        </is>
      </c>
      <c r="N231" t="n">
        <v>0</v>
      </c>
    </row>
    <row r="232">
      <c r="A232" t="inlineStr">
        <is>
          <t>06f38e7909709a72b521a4a9d1c05841</t>
        </is>
      </c>
      <c r="B232" t="inlineStr">
        <is>
          <t>73df8d9e8f8c54d0d42feb9bf58c718c</t>
        </is>
      </c>
      <c r="C232" t="inlineStr">
        <is>
          <t>de63de0d10a6012430098db33c679b0b</t>
        </is>
      </c>
      <c r="D232" t="inlineStr">
        <is>
          <t>d3d1e91a157ea7f90548eef82f1955e3</t>
        </is>
      </c>
      <c r="E232" s="30" t="n">
        <v>43256.90789351852</v>
      </c>
      <c r="F232" t="inlineStr">
        <is>
          <t>home_office_furniture</t>
        </is>
      </c>
      <c r="G232" t="inlineStr">
        <is>
          <t>online_medium</t>
        </is>
      </c>
      <c r="L232" t="inlineStr">
        <is>
          <t>manufacturer</t>
        </is>
      </c>
      <c r="N232" t="n">
        <v>0</v>
      </c>
    </row>
    <row r="233">
      <c r="A233" t="inlineStr">
        <is>
          <t>8928ccba6d94d5f1481c1065330c6066</t>
        </is>
      </c>
      <c r="B233" t="inlineStr">
        <is>
          <t>dd22fbe4df5d84be25176054640b696d</t>
        </is>
      </c>
      <c r="C233" t="inlineStr">
        <is>
          <t>f42a2bd194f7802ab052a815c8de65b7</t>
        </is>
      </c>
      <c r="D233" t="inlineStr">
        <is>
          <t>fbf4aef3f6915dc0c3c97d6812522f6a</t>
        </is>
      </c>
      <c r="E233" s="30" t="n">
        <v>43262.52512731482</v>
      </c>
      <c r="F233" t="inlineStr">
        <is>
          <t>food_drink</t>
        </is>
      </c>
      <c r="G233" t="inlineStr">
        <is>
          <t>industry</t>
        </is>
      </c>
      <c r="H233" t="inlineStr">
        <is>
          <t>cat</t>
        </is>
      </c>
      <c r="L233" t="inlineStr">
        <is>
          <t>manufacturer</t>
        </is>
      </c>
      <c r="N233" t="n">
        <v>0</v>
      </c>
    </row>
    <row r="234">
      <c r="A234" t="inlineStr">
        <is>
          <t>58b26e6eaeb6ed078b51e6cde7925d71</t>
        </is>
      </c>
      <c r="B234" t="inlineStr">
        <is>
          <t>2aa8585964d74f71e334a6c3de2ddc27</t>
        </is>
      </c>
      <c r="C234" t="inlineStr">
        <is>
          <t>4b339f9567d060bcea4f5136b9f5949e</t>
        </is>
      </c>
      <c r="D234" t="inlineStr">
        <is>
          <t>4ef15afb4b2723d8f3d81e51ec7afefe</t>
        </is>
      </c>
      <c r="E234" s="30" t="n">
        <v>43136.77545138889</v>
      </c>
      <c r="F234" t="inlineStr">
        <is>
          <t>fashion_accessories</t>
        </is>
      </c>
      <c r="G234" t="inlineStr">
        <is>
          <t>online_small</t>
        </is>
      </c>
      <c r="L234" t="inlineStr">
        <is>
          <t>reseller</t>
        </is>
      </c>
      <c r="N234" t="n">
        <v>0</v>
      </c>
    </row>
    <row r="235">
      <c r="A235" t="inlineStr">
        <is>
          <t>15992174039ff729f588d6c82cf022c1</t>
        </is>
      </c>
      <c r="B235" t="inlineStr">
        <is>
          <t>6cd5309bfee39493f71de0350e837b3d</t>
        </is>
      </c>
      <c r="C235" t="inlineStr">
        <is>
          <t>de63de0d10a6012430098db33c679b0b</t>
        </is>
      </c>
      <c r="D235" t="inlineStr">
        <is>
          <t>c638112b43f1d1b86dcabb0da720c901</t>
        </is>
      </c>
      <c r="E235" s="30" t="n">
        <v>43146.76490740741</v>
      </c>
      <c r="F235" t="inlineStr">
        <is>
          <t>car_accessories</t>
        </is>
      </c>
      <c r="G235" t="inlineStr">
        <is>
          <t>offline</t>
        </is>
      </c>
      <c r="H235" t="inlineStr">
        <is>
          <t>cat</t>
        </is>
      </c>
      <c r="L235" t="inlineStr">
        <is>
          <t>reseller</t>
        </is>
      </c>
      <c r="N235" t="n">
        <v>0</v>
      </c>
    </row>
    <row r="236">
      <c r="A236" t="inlineStr">
        <is>
          <t>239ce949b3bcb25a0c47779fe37c80e0</t>
        </is>
      </c>
      <c r="B236" t="inlineStr">
        <is>
          <t>caa9bc43a9fe8cf9c564ddd8a03cc4a6</t>
        </is>
      </c>
      <c r="C236" t="inlineStr">
        <is>
          <t>9d12ef1a7eca3ec58c545c678af7869c</t>
        </is>
      </c>
      <c r="D236" t="inlineStr">
        <is>
          <t>4ef15afb4b2723d8f3d81e51ec7afefe</t>
        </is>
      </c>
      <c r="E236" s="30" t="n">
        <v>43187.67351851852</v>
      </c>
      <c r="F236" t="inlineStr">
        <is>
          <t>toys</t>
        </is>
      </c>
      <c r="G236" t="inlineStr">
        <is>
          <t>online_medium</t>
        </is>
      </c>
      <c r="H236" t="inlineStr">
        <is>
          <t>cat</t>
        </is>
      </c>
      <c r="L236" t="inlineStr">
        <is>
          <t>reseller</t>
        </is>
      </c>
      <c r="N236" t="n">
        <v>0</v>
      </c>
    </row>
    <row r="237">
      <c r="A237" t="inlineStr">
        <is>
          <t>b8bb2a1d59f4ecae0646fc039b75391e</t>
        </is>
      </c>
      <c r="B237" t="inlineStr">
        <is>
          <t>fe87f472055fbcf1d7e691c00b1560dc</t>
        </is>
      </c>
      <c r="C237" t="inlineStr">
        <is>
          <t>56bf83c4bb35763a51c2baab501b4c67</t>
        </is>
      </c>
      <c r="D237" t="inlineStr">
        <is>
          <t>495d4e95a8cf8bbf8b432b612a2aa328</t>
        </is>
      </c>
      <c r="E237" s="30" t="n">
        <v>43123.52865740741</v>
      </c>
      <c r="F237" t="inlineStr">
        <is>
          <t>home_decor</t>
        </is>
      </c>
      <c r="G237" t="inlineStr">
        <is>
          <t>online_medium</t>
        </is>
      </c>
      <c r="L237" t="inlineStr">
        <is>
          <t>reseller</t>
        </is>
      </c>
      <c r="N237" t="n">
        <v>0</v>
      </c>
    </row>
    <row r="238">
      <c r="A238" t="inlineStr">
        <is>
          <t>6d78dcbeb39103c047f486abd2519ee4</t>
        </is>
      </c>
      <c r="B238" t="inlineStr">
        <is>
          <t>366b6b05f39997f102dc5179de14d43c</t>
        </is>
      </c>
      <c r="C238" t="inlineStr">
        <is>
          <t>e7dff61b78bebffa71678e126ce669ad</t>
        </is>
      </c>
      <c r="D238" t="inlineStr">
        <is>
          <t>9749123c950bf8363ace42cb1c2d0815</t>
        </is>
      </c>
      <c r="E238" s="30" t="n">
        <v>43374.51929398148</v>
      </c>
      <c r="F238" t="inlineStr">
        <is>
          <t>health_beauty</t>
        </is>
      </c>
      <c r="G238" t="inlineStr">
        <is>
          <t>online_small</t>
        </is>
      </c>
      <c r="H238" t="inlineStr">
        <is>
          <t>wolf</t>
        </is>
      </c>
      <c r="I238" t="b">
        <v>1</v>
      </c>
      <c r="J238" t="b">
        <v>1</v>
      </c>
      <c r="K238" t="inlineStr">
        <is>
          <t>200+</t>
        </is>
      </c>
      <c r="L238" t="inlineStr">
        <is>
          <t>reseller</t>
        </is>
      </c>
      <c r="M238" t="n">
        <v>200</v>
      </c>
      <c r="N238" t="n">
        <v>210000</v>
      </c>
    </row>
    <row r="239">
      <c r="A239" t="inlineStr">
        <is>
          <t>4fbe9e8a0ace3a44f0a9e1d7fe41da02</t>
        </is>
      </c>
      <c r="B239" t="inlineStr">
        <is>
          <t>9169e322ad3419286d1e5ee8f1c3b3f0</t>
        </is>
      </c>
      <c r="C239" t="inlineStr">
        <is>
          <t>e7dff61b78bebffa71678e126ce669ad</t>
        </is>
      </c>
      <c r="D239" t="inlineStr">
        <is>
          <t>34d40cdaf94010a1d05b0d6212f9e909</t>
        </is>
      </c>
      <c r="E239" s="30" t="n">
        <v>43405.65018518519</v>
      </c>
      <c r="F239" t="inlineStr">
        <is>
          <t>perfume</t>
        </is>
      </c>
      <c r="G239" t="inlineStr">
        <is>
          <t>online_medium</t>
        </is>
      </c>
      <c r="H239" t="inlineStr">
        <is>
          <t>eagle</t>
        </is>
      </c>
      <c r="I239" t="b">
        <v>1</v>
      </c>
      <c r="J239" t="b">
        <v>1</v>
      </c>
      <c r="K239" t="inlineStr">
        <is>
          <t>5-20</t>
        </is>
      </c>
      <c r="L239" t="inlineStr">
        <is>
          <t>reseller</t>
        </is>
      </c>
      <c r="M239" t="n">
        <v>20</v>
      </c>
      <c r="N239" t="n">
        <v>15000</v>
      </c>
    </row>
    <row r="240">
      <c r="A240" t="inlineStr">
        <is>
          <t>6c6094f256f51e83fe02bce6091163e7</t>
        </is>
      </c>
      <c r="B240" t="inlineStr">
        <is>
          <t>da4d149c0ddbac90557103ac0a0ec356</t>
        </is>
      </c>
      <c r="C240" t="inlineStr">
        <is>
          <t>068066e24f0c643eb1d089c7dd20cd73</t>
        </is>
      </c>
      <c r="D240" t="inlineStr">
        <is>
          <t>6565aa9ce3178a5caf6171827af3a9ba</t>
        </is>
      </c>
      <c r="E240" s="30" t="n">
        <v>43111.72</v>
      </c>
      <c r="F240" t="inlineStr">
        <is>
          <t>sports_leisure</t>
        </is>
      </c>
      <c r="G240" t="inlineStr">
        <is>
          <t>online_medium</t>
        </is>
      </c>
      <c r="L240" t="inlineStr">
        <is>
          <t>reseller</t>
        </is>
      </c>
      <c r="N240" t="n">
        <v>0</v>
      </c>
    </row>
    <row r="241">
      <c r="A241" t="inlineStr">
        <is>
          <t>0b32d6a87c09c32b3cd90dfd5ef5699f</t>
        </is>
      </c>
      <c r="B241" t="inlineStr">
        <is>
          <t>4dd7866cf496e0c2fcfc93a4589dc1be</t>
        </is>
      </c>
      <c r="C241" t="inlineStr">
        <is>
          <t>a8387c01a09e99ce014107505b92388c</t>
        </is>
      </c>
      <c r="D241" t="inlineStr">
        <is>
          <t>2695de1affa7750089c0455f8ce27021</t>
        </is>
      </c>
      <c r="E241" s="30" t="n">
        <v>43217.58618055555</v>
      </c>
      <c r="F241" t="inlineStr">
        <is>
          <t>fashion_accessories</t>
        </is>
      </c>
      <c r="G241" t="inlineStr">
        <is>
          <t>online_medium</t>
        </is>
      </c>
      <c r="H241" t="inlineStr">
        <is>
          <t>cat</t>
        </is>
      </c>
      <c r="N241" t="n">
        <v>0</v>
      </c>
    </row>
    <row r="242">
      <c r="A242" t="inlineStr">
        <is>
          <t>f63f7107398c54c17b5d14eadfa76842</t>
        </is>
      </c>
      <c r="B242" t="inlineStr">
        <is>
          <t>bc2579cde838eb0fa8477f7efb1298d1</t>
        </is>
      </c>
      <c r="C242" t="inlineStr">
        <is>
          <t>34d40cdaf94010a1d05b0d6212f9e909</t>
        </is>
      </c>
      <c r="D242" t="inlineStr">
        <is>
          <t>068066e24f0c643eb1d089c7dd20cd73</t>
        </is>
      </c>
      <c r="E242" s="30" t="n">
        <v>43230.84037037037</v>
      </c>
      <c r="F242" t="inlineStr">
        <is>
          <t>household_utilities</t>
        </is>
      </c>
      <c r="G242" t="inlineStr">
        <is>
          <t>offline</t>
        </is>
      </c>
      <c r="H242" t="inlineStr">
        <is>
          <t>cat</t>
        </is>
      </c>
      <c r="L242" t="inlineStr">
        <is>
          <t>reseller</t>
        </is>
      </c>
      <c r="N242" t="n">
        <v>0</v>
      </c>
    </row>
    <row r="243">
      <c r="A243" t="inlineStr">
        <is>
          <t>10fa97233fb64af4b6ce8316d0bc2eca</t>
        </is>
      </c>
      <c r="B243" t="inlineStr">
        <is>
          <t>693660429f9dc4ff704eb3d88dad54d7</t>
        </is>
      </c>
      <c r="C243" t="inlineStr">
        <is>
          <t>4b339f9567d060bcea4f5136b9f5949e</t>
        </is>
      </c>
      <c r="D243" t="inlineStr">
        <is>
          <t>6565aa9ce3178a5caf6171827af3a9ba</t>
        </is>
      </c>
      <c r="E243" s="30" t="n">
        <v>43245.89248842592</v>
      </c>
      <c r="F243" t="inlineStr">
        <is>
          <t>audio_video_electronics</t>
        </is>
      </c>
      <c r="G243" t="inlineStr">
        <is>
          <t>online_medium</t>
        </is>
      </c>
      <c r="H243" t="inlineStr">
        <is>
          <t>wolf</t>
        </is>
      </c>
      <c r="L243" t="inlineStr">
        <is>
          <t>reseller</t>
        </is>
      </c>
      <c r="N243" t="n">
        <v>0</v>
      </c>
    </row>
    <row r="244">
      <c r="A244" t="inlineStr">
        <is>
          <t>cdd41e8e7e609526df11a959b953cc0d</t>
        </is>
      </c>
      <c r="B244" t="inlineStr">
        <is>
          <t>7d7866a99a8656a42c7ff6352a433410</t>
        </is>
      </c>
      <c r="C244" t="inlineStr">
        <is>
          <t>34d40cdaf94010a1d05b0d6212f9e909</t>
        </is>
      </c>
      <c r="D244" t="inlineStr">
        <is>
          <t>068066e24f0c643eb1d089c7dd20cd73</t>
        </is>
      </c>
      <c r="E244" s="30" t="n">
        <v>43250.9374537037</v>
      </c>
      <c r="F244" t="inlineStr">
        <is>
          <t>household_utilities</t>
        </is>
      </c>
      <c r="G244" t="inlineStr">
        <is>
          <t>offline</t>
        </is>
      </c>
      <c r="H244" t="inlineStr">
        <is>
          <t>cat</t>
        </is>
      </c>
      <c r="L244" t="inlineStr">
        <is>
          <t>reseller</t>
        </is>
      </c>
      <c r="N244" t="n">
        <v>0</v>
      </c>
    </row>
    <row r="245">
      <c r="A245" t="inlineStr">
        <is>
          <t>3c13b54db21952663b5775d142be0ed2</t>
        </is>
      </c>
      <c r="B245" t="inlineStr">
        <is>
          <t>657969cca82e884d272385ec0ef06edd</t>
        </is>
      </c>
      <c r="C245" t="inlineStr">
        <is>
          <t>fdb16d3cbbeb5798f2f66c4096be026d</t>
        </is>
      </c>
      <c r="D245" t="inlineStr">
        <is>
          <t>060c0a26f19f4d66b42e0d8796688490</t>
        </is>
      </c>
      <c r="E245" s="30" t="n">
        <v>43139.79398148148</v>
      </c>
      <c r="F245" t="inlineStr">
        <is>
          <t>fashion_accessories</t>
        </is>
      </c>
      <c r="G245" t="inlineStr">
        <is>
          <t>industry</t>
        </is>
      </c>
      <c r="L245" t="inlineStr">
        <is>
          <t>reseller</t>
        </is>
      </c>
      <c r="N245" t="n">
        <v>0</v>
      </c>
    </row>
    <row r="246">
      <c r="A246" t="inlineStr">
        <is>
          <t>a0604c9d9ef23fbf7cb7be5091201041</t>
        </is>
      </c>
      <c r="B246" t="inlineStr">
        <is>
          <t>b7140ce94c4514bf136a2c3f98e0476c</t>
        </is>
      </c>
      <c r="C246" t="inlineStr">
        <is>
          <t>b90f87164b5f8c2cfa5c8572834dbe3f</t>
        </is>
      </c>
      <c r="D246" t="inlineStr">
        <is>
          <t>d3d1e91a157ea7f90548eef82f1955e3</t>
        </is>
      </c>
      <c r="E246" s="30" t="n">
        <v>43312.83439814814</v>
      </c>
      <c r="F246" t="inlineStr">
        <is>
          <t>audio_video_electronics</t>
        </is>
      </c>
      <c r="G246" t="inlineStr">
        <is>
          <t>online_small</t>
        </is>
      </c>
      <c r="H246" t="inlineStr">
        <is>
          <t>cat</t>
        </is>
      </c>
      <c r="L246" t="inlineStr">
        <is>
          <t>reseller</t>
        </is>
      </c>
      <c r="N246" t="n">
        <v>0</v>
      </c>
    </row>
    <row r="247">
      <c r="A247" t="inlineStr">
        <is>
          <t>88e3fa7a7462c4ce017655ee2ea2ad46</t>
        </is>
      </c>
      <c r="B247" t="inlineStr">
        <is>
          <t>a50397ac35dc51ce40c4c3117828e4ec</t>
        </is>
      </c>
      <c r="C247" t="inlineStr">
        <is>
          <t>4b339f9567d060bcea4f5136b9f5949e</t>
        </is>
      </c>
      <c r="D247" t="inlineStr">
        <is>
          <t>fbf4aef3f6915dc0c3c97d6812522f6a</t>
        </is>
      </c>
      <c r="E247" s="30" t="n">
        <v>43187.79564814815</v>
      </c>
      <c r="F247" t="inlineStr">
        <is>
          <t>audio_video_electronics</t>
        </is>
      </c>
      <c r="G247" t="inlineStr">
        <is>
          <t>industry</t>
        </is>
      </c>
      <c r="H247" t="inlineStr">
        <is>
          <t>eagle</t>
        </is>
      </c>
      <c r="L247" t="inlineStr">
        <is>
          <t>reseller</t>
        </is>
      </c>
      <c r="N247" t="n">
        <v>0</v>
      </c>
    </row>
    <row r="248">
      <c r="A248" t="inlineStr">
        <is>
          <t>867b587b7c0da5f1af73b47803e60859</t>
        </is>
      </c>
      <c r="B248" t="inlineStr">
        <is>
          <t>d65d93b215feab3f997441e1e0a98ca5</t>
        </is>
      </c>
      <c r="C248" t="inlineStr">
        <is>
          <t>a8387c01a09e99ce014107505b92388c</t>
        </is>
      </c>
      <c r="D248" t="inlineStr">
        <is>
          <t>068066e24f0c643eb1d089c7dd20cd73</t>
        </is>
      </c>
      <c r="E248" s="30" t="n">
        <v>43234.8097337963</v>
      </c>
      <c r="F248" t="inlineStr">
        <is>
          <t>computers</t>
        </is>
      </c>
      <c r="G248" t="inlineStr">
        <is>
          <t>offline</t>
        </is>
      </c>
      <c r="H248" t="inlineStr">
        <is>
          <t>cat</t>
        </is>
      </c>
      <c r="L248" t="inlineStr">
        <is>
          <t>reseller</t>
        </is>
      </c>
      <c r="N248" t="n">
        <v>0</v>
      </c>
    </row>
    <row r="249">
      <c r="A249" t="inlineStr">
        <is>
          <t>5bee2861956d76fe35e91c33bc4a81b3</t>
        </is>
      </c>
      <c r="B249" t="inlineStr">
        <is>
          <t>dda37071807e404c5bb2a1590c66326f</t>
        </is>
      </c>
      <c r="C249" t="inlineStr">
        <is>
          <t>4b339f9567d060bcea4f5136b9f5949e</t>
        </is>
      </c>
      <c r="D249" t="inlineStr">
        <is>
          <t>4ef15afb4b2723d8f3d81e51ec7afefe</t>
        </is>
      </c>
      <c r="E249" s="30" t="n">
        <v>43185.83918981482</v>
      </c>
      <c r="F249" t="inlineStr">
        <is>
          <t>bags_backpacks</t>
        </is>
      </c>
      <c r="G249" t="inlineStr">
        <is>
          <t>online_small</t>
        </is>
      </c>
      <c r="H249" t="inlineStr">
        <is>
          <t>eagle</t>
        </is>
      </c>
      <c r="L249" t="inlineStr">
        <is>
          <t>manufacturer</t>
        </is>
      </c>
      <c r="N249" t="n">
        <v>0</v>
      </c>
    </row>
    <row r="250">
      <c r="A250" t="inlineStr">
        <is>
          <t>1e2001dab6238763e58c775cba225a16</t>
        </is>
      </c>
      <c r="B250" t="inlineStr">
        <is>
          <t>85be0b7181c48c393007b0002fdec79c</t>
        </is>
      </c>
      <c r="C250" t="inlineStr">
        <is>
          <t>0cdad77786224a7cefea567b8c75c3c1</t>
        </is>
      </c>
      <c r="D250" t="inlineStr">
        <is>
          <t>6565aa9ce3178a5caf6171827af3a9ba</t>
        </is>
      </c>
      <c r="E250" s="30" t="n">
        <v>43220.86605324074</v>
      </c>
      <c r="F250" t="inlineStr">
        <is>
          <t>construction_tools_house_garden</t>
        </is>
      </c>
      <c r="G250" t="inlineStr">
        <is>
          <t>online_medium</t>
        </is>
      </c>
      <c r="H250" t="inlineStr">
        <is>
          <t>cat</t>
        </is>
      </c>
      <c r="L250" t="inlineStr">
        <is>
          <t>reseller</t>
        </is>
      </c>
      <c r="N250" t="n">
        <v>0</v>
      </c>
    </row>
    <row r="251">
      <c r="A251" t="inlineStr">
        <is>
          <t>37d92d59a2b02e0256aa1d2bddcfa50d</t>
        </is>
      </c>
      <c r="B251" t="inlineStr">
        <is>
          <t>671585f5a2af58b6e276bc01003c0d2b</t>
        </is>
      </c>
      <c r="C251" t="inlineStr">
        <is>
          <t>4b339f9567d060bcea4f5136b9f5949e</t>
        </is>
      </c>
      <c r="D251" t="inlineStr">
        <is>
          <t>4ef15afb4b2723d8f3d81e51ec7afefe</t>
        </is>
      </c>
      <c r="E251" s="30" t="n">
        <v>43270.82945601852</v>
      </c>
      <c r="F251" t="inlineStr">
        <is>
          <t>household_utilities</t>
        </is>
      </c>
      <c r="G251" t="inlineStr">
        <is>
          <t>online_medium</t>
        </is>
      </c>
      <c r="L251" t="inlineStr">
        <is>
          <t>manufacturer</t>
        </is>
      </c>
      <c r="N251" t="n">
        <v>0</v>
      </c>
    </row>
    <row r="252">
      <c r="A252" t="inlineStr">
        <is>
          <t>503831c6265361a08aa4113b4d867178</t>
        </is>
      </c>
      <c r="B252" t="inlineStr">
        <is>
          <t>4a1f694197d05fe70026b016a7316b41</t>
        </is>
      </c>
      <c r="C252" t="inlineStr">
        <is>
          <t>de63de0d10a6012430098db33c679b0b</t>
        </is>
      </c>
      <c r="D252" t="inlineStr">
        <is>
          <t>4ef15afb4b2723d8f3d81e51ec7afefe</t>
        </is>
      </c>
      <c r="E252" s="30" t="n">
        <v>43133.47596064815</v>
      </c>
      <c r="F252" t="inlineStr">
        <is>
          <t>home_decor</t>
        </is>
      </c>
      <c r="G252" t="inlineStr">
        <is>
          <t>online_medium</t>
        </is>
      </c>
      <c r="L252" t="inlineStr">
        <is>
          <t>reseller</t>
        </is>
      </c>
      <c r="N252" t="n">
        <v>0</v>
      </c>
    </row>
    <row r="253">
      <c r="A253" t="inlineStr">
        <is>
          <t>bc55d3363ee659d6ab6c908b932c7705</t>
        </is>
      </c>
      <c r="B253" t="inlineStr">
        <is>
          <t>3d3ccf2b2f8134b10dce9dd446f0e075</t>
        </is>
      </c>
      <c r="C253" t="inlineStr">
        <is>
          <t>f42a2bd194f7802ab052a815c8de65b7</t>
        </is>
      </c>
      <c r="D253" t="inlineStr">
        <is>
          <t>2695de1affa7750089c0455f8ce27021</t>
        </is>
      </c>
      <c r="E253" s="30" t="n">
        <v>43215.76993055556</v>
      </c>
      <c r="F253" t="inlineStr">
        <is>
          <t>home_decor</t>
        </is>
      </c>
      <c r="G253" t="inlineStr">
        <is>
          <t>online_medium</t>
        </is>
      </c>
      <c r="H253" t="inlineStr">
        <is>
          <t>cat</t>
        </is>
      </c>
      <c r="L253" t="inlineStr">
        <is>
          <t>reseller</t>
        </is>
      </c>
      <c r="N253" t="n">
        <v>0</v>
      </c>
    </row>
    <row r="254">
      <c r="A254" t="inlineStr">
        <is>
          <t>1b34d47c57a081fbfeec93a1065e69bd</t>
        </is>
      </c>
      <c r="B254" t="inlineStr">
        <is>
          <t>2cb6eb1b7185064167657fa09f541105</t>
        </is>
      </c>
      <c r="C254" t="inlineStr">
        <is>
          <t>068066e24f0c643eb1d089c7dd20cd73</t>
        </is>
      </c>
      <c r="D254" t="inlineStr">
        <is>
          <t>fbf4aef3f6915dc0c3c97d6812522f6a</t>
        </is>
      </c>
      <c r="E254" s="30" t="n">
        <v>43115.71805555555</v>
      </c>
      <c r="F254" t="inlineStr">
        <is>
          <t>home_decor</t>
        </is>
      </c>
      <c r="G254" t="inlineStr">
        <is>
          <t>online_medium</t>
        </is>
      </c>
      <c r="L254" t="inlineStr">
        <is>
          <t>manufacturer</t>
        </is>
      </c>
      <c r="N254" t="n">
        <v>0</v>
      </c>
    </row>
    <row r="255">
      <c r="A255" t="inlineStr">
        <is>
          <t>fef0383cea937628ff95eb48ba1ffd17</t>
        </is>
      </c>
      <c r="B255" t="inlineStr">
        <is>
          <t>0fe3372ef9bebf177e6cb95fa0340fb6</t>
        </is>
      </c>
      <c r="C255" t="inlineStr">
        <is>
          <t>4b339f9567d060bcea4f5136b9f5949e</t>
        </is>
      </c>
      <c r="D255" t="inlineStr">
        <is>
          <t>2695de1affa7750089c0455f8ce27021</t>
        </is>
      </c>
      <c r="E255" s="30" t="n">
        <v>43332.5525</v>
      </c>
      <c r="F255" t="inlineStr">
        <is>
          <t>construction_tools_house_garden</t>
        </is>
      </c>
      <c r="G255" t="inlineStr">
        <is>
          <t>offline</t>
        </is>
      </c>
      <c r="H255" t="inlineStr">
        <is>
          <t>shark</t>
        </is>
      </c>
      <c r="L255" t="inlineStr">
        <is>
          <t>reseller</t>
        </is>
      </c>
      <c r="N255" t="n">
        <v>0</v>
      </c>
    </row>
    <row r="256">
      <c r="A256" t="inlineStr">
        <is>
          <t>f89b10e626692ac7a87c19d69f261db2</t>
        </is>
      </c>
      <c r="B256" t="inlineStr">
        <is>
          <t>964cb238d75d1e6c6e1f88adcdf14f42</t>
        </is>
      </c>
      <c r="C256" t="inlineStr">
        <is>
          <t>a8387c01a09e99ce014107505b92388c</t>
        </is>
      </c>
      <c r="D256" t="inlineStr">
        <is>
          <t>060c0a26f19f4d66b42e0d8796688490</t>
        </is>
      </c>
      <c r="E256" s="30" t="n">
        <v>43166.60059027778</v>
      </c>
      <c r="F256" t="inlineStr">
        <is>
          <t>construction_tools_house_garden</t>
        </is>
      </c>
      <c r="G256" t="inlineStr">
        <is>
          <t>online_medium</t>
        </is>
      </c>
      <c r="H256" t="inlineStr">
        <is>
          <t>cat</t>
        </is>
      </c>
      <c r="L256" t="inlineStr">
        <is>
          <t>manufacturer</t>
        </is>
      </c>
      <c r="N256" t="n">
        <v>0</v>
      </c>
    </row>
    <row r="257">
      <c r="A257" t="inlineStr">
        <is>
          <t>1d0949fd6674f963b44662838ef3ae09</t>
        </is>
      </c>
      <c r="B257" t="inlineStr">
        <is>
          <t>167bde8a09cb3196874f3f7e2753a98d</t>
        </is>
      </c>
      <c r="C257" t="inlineStr">
        <is>
          <t>fdb16d3cbbeb5798f2f66c4096be026d</t>
        </is>
      </c>
      <c r="D257" t="inlineStr">
        <is>
          <t>9ae085775a198122c5586fa830ff7f2b</t>
        </is>
      </c>
      <c r="E257" s="30" t="n">
        <v>43129.86368055556</v>
      </c>
      <c r="F257" t="inlineStr">
        <is>
          <t>toys</t>
        </is>
      </c>
      <c r="G257" t="inlineStr">
        <is>
          <t>industry</t>
        </is>
      </c>
      <c r="L257" t="inlineStr">
        <is>
          <t>manufacturer</t>
        </is>
      </c>
      <c r="N257" t="n">
        <v>0</v>
      </c>
    </row>
    <row r="258">
      <c r="A258" t="inlineStr">
        <is>
          <t>a463cac2327534f6f02563ffbdf92918</t>
        </is>
      </c>
      <c r="B258" t="inlineStr">
        <is>
          <t>c84592044b180dec206770c38603814b</t>
        </is>
      </c>
      <c r="C258" t="inlineStr">
        <is>
          <t>fdb16d3cbbeb5798f2f66c4096be026d</t>
        </is>
      </c>
      <c r="D258" t="inlineStr">
        <is>
          <t>4ef15afb4b2723d8f3d81e51ec7afefe</t>
        </is>
      </c>
      <c r="E258" s="30" t="n">
        <v>43130.75458333334</v>
      </c>
      <c r="F258" t="inlineStr">
        <is>
          <t>audio_video_electronics</t>
        </is>
      </c>
      <c r="G258" t="inlineStr">
        <is>
          <t>online_medium</t>
        </is>
      </c>
      <c r="L258" t="inlineStr">
        <is>
          <t>reseller</t>
        </is>
      </c>
      <c r="N258" t="n">
        <v>0</v>
      </c>
    </row>
    <row r="259">
      <c r="A259" t="inlineStr">
        <is>
          <t>4b4234f02431d2179f5d18fd1db0ef8e</t>
        </is>
      </c>
      <c r="B259" t="inlineStr">
        <is>
          <t>c3e1abd72a42fe690fcd89cf5720fe29</t>
        </is>
      </c>
      <c r="C259" t="inlineStr">
        <is>
          <t>9d12ef1a7eca3ec58c545c678af7869c</t>
        </is>
      </c>
      <c r="D259" t="inlineStr">
        <is>
          <t>d3d1e91a157ea7f90548eef82f1955e3</t>
        </is>
      </c>
      <c r="E259" s="30" t="n">
        <v>43217.52814814815</v>
      </c>
      <c r="F259" t="inlineStr">
        <is>
          <t>pet</t>
        </is>
      </c>
      <c r="G259" t="inlineStr">
        <is>
          <t>online_big</t>
        </is>
      </c>
      <c r="H259" t="inlineStr">
        <is>
          <t>eagle</t>
        </is>
      </c>
      <c r="L259" t="inlineStr">
        <is>
          <t>reseller</t>
        </is>
      </c>
      <c r="N259" t="n">
        <v>0</v>
      </c>
    </row>
    <row r="260">
      <c r="A260" t="inlineStr">
        <is>
          <t>05ede5cedad6c61ef99376296b0699ef</t>
        </is>
      </c>
      <c r="B260" t="inlineStr">
        <is>
          <t>4d0041cdbe51b4617d95c70b19decc74</t>
        </is>
      </c>
      <c r="C260" t="inlineStr">
        <is>
          <t>068066e24f0c643eb1d089c7dd20cd73</t>
        </is>
      </c>
      <c r="D260" t="inlineStr">
        <is>
          <t>85fc447d336637ba1df43e793199fbc8</t>
        </is>
      </c>
      <c r="E260" s="30" t="n">
        <v>43210.81206018518</v>
      </c>
      <c r="F260" t="inlineStr">
        <is>
          <t>car_accessories</t>
        </is>
      </c>
      <c r="G260" t="inlineStr">
        <is>
          <t>industry</t>
        </is>
      </c>
      <c r="H260" t="inlineStr">
        <is>
          <t>eagle</t>
        </is>
      </c>
      <c r="L260" t="inlineStr">
        <is>
          <t>reseller</t>
        </is>
      </c>
      <c r="N260" t="n">
        <v>0</v>
      </c>
    </row>
    <row r="261">
      <c r="A261" t="inlineStr">
        <is>
          <t>8aa7c17161d6a6270218e8a7b0806263</t>
        </is>
      </c>
      <c r="B261" t="inlineStr">
        <is>
          <t>4e0bb097aa0fb4e2f9a146b77698427a</t>
        </is>
      </c>
      <c r="C261" t="inlineStr">
        <is>
          <t>4b339f9567d060bcea4f5136b9f5949e</t>
        </is>
      </c>
      <c r="D261" t="inlineStr">
        <is>
          <t>495d4e95a8cf8bbf8b432b612a2aa328</t>
        </is>
      </c>
      <c r="E261" s="30" t="n">
        <v>43119.08333333334</v>
      </c>
      <c r="F261" t="inlineStr">
        <is>
          <t>car_accessories</t>
        </is>
      </c>
      <c r="G261" t="inlineStr">
        <is>
          <t>offline</t>
        </is>
      </c>
      <c r="L261" t="inlineStr">
        <is>
          <t>reseller</t>
        </is>
      </c>
      <c r="N261" t="n">
        <v>0</v>
      </c>
    </row>
    <row r="262">
      <c r="A262" t="inlineStr">
        <is>
          <t>90d2301e323b1809708324229782def2</t>
        </is>
      </c>
      <c r="B262" t="inlineStr">
        <is>
          <t>77e81c45f03c23a7b43dbb0bdd905dff</t>
        </is>
      </c>
      <c r="C262" t="inlineStr">
        <is>
          <t>de63de0d10a6012430098db33c679b0b</t>
        </is>
      </c>
      <c r="D262" t="inlineStr">
        <is>
          <t>fbf4aef3f6915dc0c3c97d6812522f6a</t>
        </is>
      </c>
      <c r="E262" s="30" t="n">
        <v>43112.57601851852</v>
      </c>
      <c r="F262" t="inlineStr">
        <is>
          <t>health_beauty</t>
        </is>
      </c>
      <c r="G262" t="inlineStr">
        <is>
          <t>online_small</t>
        </is>
      </c>
      <c r="L262" t="inlineStr">
        <is>
          <t>manufacturer</t>
        </is>
      </c>
      <c r="N262" t="n">
        <v>0</v>
      </c>
    </row>
    <row r="263">
      <c r="A263" t="inlineStr">
        <is>
          <t>e5d0a99e3684733914f594116839e0c2</t>
        </is>
      </c>
      <c r="B263" t="inlineStr">
        <is>
          <t>2fa13c8bd5705d279f7ed5cc9ec61c68</t>
        </is>
      </c>
      <c r="C263" t="inlineStr">
        <is>
          <t>fdb16d3cbbeb5798f2f66c4096be026d</t>
        </is>
      </c>
      <c r="D263" t="inlineStr">
        <is>
          <t>fbf4aef3f6915dc0c3c97d6812522f6a</t>
        </is>
      </c>
      <c r="E263" s="30" t="n">
        <v>43118.08333333334</v>
      </c>
      <c r="F263" t="inlineStr">
        <is>
          <t>health_beauty</t>
        </is>
      </c>
      <c r="G263" t="inlineStr">
        <is>
          <t>online_medium</t>
        </is>
      </c>
      <c r="L263" t="inlineStr">
        <is>
          <t>reseller</t>
        </is>
      </c>
      <c r="N263" t="n">
        <v>0</v>
      </c>
    </row>
    <row r="264">
      <c r="A264" t="inlineStr">
        <is>
          <t>790d8fa56e05ff05080e6e66fae0272a</t>
        </is>
      </c>
      <c r="B264" t="inlineStr">
        <is>
          <t>9e54d45e5f30ed4f296bd25d4edada20</t>
        </is>
      </c>
      <c r="C264" t="inlineStr">
        <is>
          <t>4b339f9567d060bcea4f5136b9f5949e</t>
        </is>
      </c>
      <c r="D264" t="inlineStr">
        <is>
          <t>4ef15afb4b2723d8f3d81e51ec7afefe</t>
        </is>
      </c>
      <c r="E264" s="30" t="n">
        <v>43194.87172453704</v>
      </c>
      <c r="F264" t="inlineStr">
        <is>
          <t>music_instruments</t>
        </is>
      </c>
      <c r="G264" t="inlineStr">
        <is>
          <t>online_small</t>
        </is>
      </c>
      <c r="H264" t="inlineStr">
        <is>
          <t>wolf</t>
        </is>
      </c>
      <c r="L264" t="inlineStr">
        <is>
          <t>reseller</t>
        </is>
      </c>
      <c r="N264" t="n">
        <v>0</v>
      </c>
    </row>
    <row r="265">
      <c r="A265" t="inlineStr">
        <is>
          <t>0c117e6a0b3f700bd997a11500a5c2e2</t>
        </is>
      </c>
      <c r="B265" t="inlineStr">
        <is>
          <t>596d3b6f78d5a703bfce24b801d2fbdb</t>
        </is>
      </c>
      <c r="C265" t="inlineStr">
        <is>
          <t>4b339f9567d060bcea4f5136b9f5949e</t>
        </is>
      </c>
      <c r="D265" t="inlineStr">
        <is>
          <t>de63de0d10a6012430098db33c679b0b</t>
        </is>
      </c>
      <c r="E265" s="30" t="n">
        <v>43277.71769675926</v>
      </c>
      <c r="F265" t="inlineStr">
        <is>
          <t>health_beauty</t>
        </is>
      </c>
      <c r="G265" t="inlineStr">
        <is>
          <t>industry</t>
        </is>
      </c>
      <c r="H265" t="inlineStr">
        <is>
          <t>wolf</t>
        </is>
      </c>
      <c r="L265" t="inlineStr">
        <is>
          <t>reseller</t>
        </is>
      </c>
      <c r="N265" t="n">
        <v>0</v>
      </c>
    </row>
    <row r="266">
      <c r="A266" t="inlineStr">
        <is>
          <t>3461d99a30c72933c66cac4f1c02bd14</t>
        </is>
      </c>
      <c r="B266" t="inlineStr">
        <is>
          <t>18e694e0e48ed6f7aa3f24aade5fd697</t>
        </is>
      </c>
      <c r="C266" t="inlineStr">
        <is>
          <t>4b339f9567d060bcea4f5136b9f5949e</t>
        </is>
      </c>
      <c r="D266" t="inlineStr">
        <is>
          <t>d3d1e91a157ea7f90548eef82f1955e3</t>
        </is>
      </c>
      <c r="E266" s="30" t="n">
        <v>43186.125</v>
      </c>
      <c r="F266" t="inlineStr">
        <is>
          <t>computers</t>
        </is>
      </c>
      <c r="G266" t="inlineStr">
        <is>
          <t>online_medium</t>
        </is>
      </c>
      <c r="H266" t="inlineStr">
        <is>
          <t>wolf</t>
        </is>
      </c>
      <c r="L266" t="inlineStr">
        <is>
          <t>reseller</t>
        </is>
      </c>
      <c r="N266" t="n">
        <v>0</v>
      </c>
    </row>
    <row r="267">
      <c r="A267" t="inlineStr">
        <is>
          <t>0338bf13624f52beaca91ec4a23c860c</t>
        </is>
      </c>
      <c r="B267" t="inlineStr">
        <is>
          <t>667ee4b0aece58908fae3fd1649b7e6c</t>
        </is>
      </c>
      <c r="C267" t="inlineStr">
        <is>
          <t>9d12ef1a7eca3ec58c545c678af7869c</t>
        </is>
      </c>
      <c r="D267" t="inlineStr">
        <is>
          <t>495d4e95a8cf8bbf8b432b612a2aa328</t>
        </is>
      </c>
      <c r="E267" s="30" t="n">
        <v>43220.56255787037</v>
      </c>
      <c r="F267" t="inlineStr">
        <is>
          <t>handcrafted</t>
        </is>
      </c>
      <c r="G267" t="inlineStr">
        <is>
          <t>online_medium</t>
        </is>
      </c>
      <c r="H267" t="inlineStr">
        <is>
          <t>eagle</t>
        </is>
      </c>
      <c r="N267" t="n">
        <v>0</v>
      </c>
    </row>
    <row r="268">
      <c r="A268" t="inlineStr">
        <is>
          <t>245e57794c369c8617378e285ee9755c</t>
        </is>
      </c>
      <c r="B268" t="inlineStr">
        <is>
          <t>fd435faa3c0422b60440ea3480d0e77c</t>
        </is>
      </c>
      <c r="C268" t="inlineStr">
        <is>
          <t>9749123c950bf8363ace42cb1c2d0815</t>
        </is>
      </c>
      <c r="D268" t="inlineStr">
        <is>
          <t>d3d1e91a157ea7f90548eef82f1955e3</t>
        </is>
      </c>
      <c r="E268" s="30" t="n">
        <v>43307.71042824074</v>
      </c>
      <c r="F268" t="inlineStr">
        <is>
          <t>music_instruments</t>
        </is>
      </c>
      <c r="G268" t="inlineStr">
        <is>
          <t>online_big</t>
        </is>
      </c>
      <c r="H268" t="inlineStr">
        <is>
          <t>eagle</t>
        </is>
      </c>
      <c r="L268" t="inlineStr">
        <is>
          <t>reseller</t>
        </is>
      </c>
      <c r="N268" t="n">
        <v>0</v>
      </c>
    </row>
    <row r="269">
      <c r="A269" t="inlineStr">
        <is>
          <t>b9ed46d1ff01c4fb8e3f2453091804d0</t>
        </is>
      </c>
      <c r="B269" t="inlineStr">
        <is>
          <t>7816cd9c5b1238e320545f5bf7eb80e8</t>
        </is>
      </c>
      <c r="C269" t="inlineStr">
        <is>
          <t>b90f87164b5f8c2cfa5c8572834dbe3f</t>
        </is>
      </c>
      <c r="D269" t="inlineStr">
        <is>
          <t>4ef15afb4b2723d8f3d81e51ec7afefe</t>
        </is>
      </c>
      <c r="E269" s="30" t="n">
        <v>43234.82081018519</v>
      </c>
      <c r="F269" t="inlineStr">
        <is>
          <t>construction_tools_house_garden</t>
        </is>
      </c>
      <c r="G269" t="inlineStr">
        <is>
          <t>online_big</t>
        </is>
      </c>
      <c r="H269" t="inlineStr">
        <is>
          <t>cat</t>
        </is>
      </c>
      <c r="L269" t="inlineStr">
        <is>
          <t>reseller</t>
        </is>
      </c>
      <c r="N269" t="n">
        <v>0</v>
      </c>
    </row>
    <row r="270">
      <c r="A270" t="inlineStr">
        <is>
          <t>38427015e9934ea855bd9adcdf32055f</t>
        </is>
      </c>
      <c r="B270" t="inlineStr">
        <is>
          <t>713a71465d58d5315a36788861dfec4a</t>
        </is>
      </c>
      <c r="C270" t="inlineStr">
        <is>
          <t>fdb16d3cbbeb5798f2f66c4096be026d</t>
        </is>
      </c>
      <c r="D270" t="inlineStr">
        <is>
          <t>495d4e95a8cf8bbf8b432b612a2aa328</t>
        </is>
      </c>
      <c r="E270" s="30" t="n">
        <v>43122.73861111111</v>
      </c>
      <c r="F270" t="inlineStr">
        <is>
          <t>stationery</t>
        </is>
      </c>
      <c r="G270" t="inlineStr">
        <is>
          <t>industry</t>
        </is>
      </c>
      <c r="L270" t="inlineStr">
        <is>
          <t>reseller</t>
        </is>
      </c>
      <c r="N270" t="n">
        <v>0</v>
      </c>
    </row>
    <row r="271">
      <c r="A271" t="inlineStr">
        <is>
          <t>c3daacb733cbbe636db5b70ace98d520</t>
        </is>
      </c>
      <c r="B271" t="inlineStr">
        <is>
          <t>4d54524ebf3e26769edc397a2eb26462</t>
        </is>
      </c>
      <c r="C271" t="inlineStr">
        <is>
          <t>4b339f9567d060bcea4f5136b9f5949e</t>
        </is>
      </c>
      <c r="D271" t="inlineStr">
        <is>
          <t>4ef15afb4b2723d8f3d81e51ec7afefe</t>
        </is>
      </c>
      <c r="E271" s="30" t="n">
        <v>43238.54530092593</v>
      </c>
      <c r="F271" t="inlineStr">
        <is>
          <t>computers</t>
        </is>
      </c>
      <c r="G271" t="inlineStr">
        <is>
          <t>online_top</t>
        </is>
      </c>
      <c r="H271" t="inlineStr">
        <is>
          <t>cat</t>
        </is>
      </c>
      <c r="L271" t="inlineStr">
        <is>
          <t>reseller</t>
        </is>
      </c>
      <c r="N271" t="n">
        <v>0</v>
      </c>
    </row>
    <row r="272">
      <c r="A272" t="inlineStr">
        <is>
          <t>593f4a8705fd0d72d47efb651bdfb135</t>
        </is>
      </c>
      <c r="B272" t="inlineStr">
        <is>
          <t>8dc50970bc5ef0bf96e6dc401caf0c1c</t>
        </is>
      </c>
      <c r="C272" t="inlineStr">
        <is>
          <t>9d12ef1a7eca3ec58c545c678af7869c</t>
        </is>
      </c>
      <c r="D272" t="inlineStr">
        <is>
          <t>4ef15afb4b2723d8f3d81e51ec7afefe</t>
        </is>
      </c>
      <c r="E272" s="30" t="n">
        <v>43243.87567129629</v>
      </c>
      <c r="F272" t="inlineStr">
        <is>
          <t>home_office_furniture</t>
        </is>
      </c>
      <c r="G272" t="inlineStr">
        <is>
          <t>online_medium</t>
        </is>
      </c>
      <c r="H272" t="inlineStr">
        <is>
          <t>eagle</t>
        </is>
      </c>
      <c r="L272" t="inlineStr">
        <is>
          <t>reseller</t>
        </is>
      </c>
      <c r="N272" t="n">
        <v>0</v>
      </c>
    </row>
    <row r="273">
      <c r="A273" t="inlineStr">
        <is>
          <t>be8eca3856293b0591f6240af2b62091</t>
        </is>
      </c>
      <c r="B273" t="inlineStr">
        <is>
          <t>c963a25b8671419c6ce9eebe8fd03218</t>
        </is>
      </c>
      <c r="C273" t="inlineStr">
        <is>
          <t>0cdad77786224a7cefea567b8c75c3c1</t>
        </is>
      </c>
      <c r="D273" t="inlineStr">
        <is>
          <t>c638112b43f1d1b86dcabb0da720c901</t>
        </is>
      </c>
      <c r="E273" s="30" t="n">
        <v>43172.66104166667</v>
      </c>
      <c r="F273" t="inlineStr">
        <is>
          <t>home_decor</t>
        </is>
      </c>
      <c r="G273" t="inlineStr">
        <is>
          <t>online_medium</t>
        </is>
      </c>
      <c r="H273" t="inlineStr">
        <is>
          <t>cat</t>
        </is>
      </c>
      <c r="L273" t="inlineStr">
        <is>
          <t>manufacturer</t>
        </is>
      </c>
      <c r="N273" t="n">
        <v>0</v>
      </c>
    </row>
    <row r="274">
      <c r="A274" t="inlineStr">
        <is>
          <t>42e63e1b4d6aa921fd566bdef26e5ef4</t>
        </is>
      </c>
      <c r="B274" t="inlineStr">
        <is>
          <t>2aafae69bf4c41fbd94053d9413e87ee</t>
        </is>
      </c>
      <c r="C274" t="inlineStr">
        <is>
          <t>068066e24f0c643eb1d089c7dd20cd73</t>
        </is>
      </c>
      <c r="D274" t="inlineStr">
        <is>
          <t>fbf4aef3f6915dc0c3c97d6812522f6a</t>
        </is>
      </c>
      <c r="E274" s="30" t="n">
        <v>43209.59240740741</v>
      </c>
      <c r="F274" t="inlineStr">
        <is>
          <t>stationery</t>
        </is>
      </c>
      <c r="G274" t="inlineStr">
        <is>
          <t>online_medium</t>
        </is>
      </c>
      <c r="H274" t="inlineStr">
        <is>
          <t>cat</t>
        </is>
      </c>
      <c r="L274" t="inlineStr">
        <is>
          <t>manufacturer</t>
        </is>
      </c>
      <c r="N274" t="n">
        <v>0</v>
      </c>
    </row>
    <row r="275">
      <c r="A275" t="inlineStr">
        <is>
          <t>d57b5430f8c6a9fa9d91cb60bd237336</t>
        </is>
      </c>
      <c r="B275" t="inlineStr">
        <is>
          <t>3c6b1149911003e599410f60c7735bc6</t>
        </is>
      </c>
      <c r="C275" t="inlineStr">
        <is>
          <t>9e4d1098a3b0f5da39b0bc48f9876645</t>
        </is>
      </c>
      <c r="D275" t="inlineStr">
        <is>
          <t>4ef15afb4b2723d8f3d81e51ec7afefe</t>
        </is>
      </c>
      <c r="E275" s="30" t="n">
        <v>43159.80225694444</v>
      </c>
      <c r="F275" t="inlineStr">
        <is>
          <t>audio_video_electronics</t>
        </is>
      </c>
      <c r="G275" t="inlineStr">
        <is>
          <t>online_medium</t>
        </is>
      </c>
      <c r="H275" t="inlineStr">
        <is>
          <t>cat</t>
        </is>
      </c>
      <c r="L275" t="inlineStr">
        <is>
          <t>reseller</t>
        </is>
      </c>
      <c r="N275" t="n">
        <v>0</v>
      </c>
    </row>
    <row r="276">
      <c r="A276" t="inlineStr">
        <is>
          <t>3505514e9f9ba3724fc51cb3278e0e67</t>
        </is>
      </c>
      <c r="B276" t="inlineStr">
        <is>
          <t>9ebf0ac03992f6240c8339820ed03581</t>
        </is>
      </c>
      <c r="C276" t="inlineStr">
        <is>
          <t>b90f87164b5f8c2cfa5c8572834dbe3f</t>
        </is>
      </c>
      <c r="D276" t="inlineStr">
        <is>
          <t>2695de1affa7750089c0455f8ce27021</t>
        </is>
      </c>
      <c r="E276" s="30" t="n">
        <v>43314.73074074074</v>
      </c>
      <c r="F276" t="inlineStr">
        <is>
          <t>small_appliances</t>
        </is>
      </c>
      <c r="G276" t="inlineStr">
        <is>
          <t>online_big</t>
        </is>
      </c>
      <c r="H276" t="inlineStr">
        <is>
          <t>cat, wolf</t>
        </is>
      </c>
      <c r="I276" t="b">
        <v>1</v>
      </c>
      <c r="J276" t="b">
        <v>1</v>
      </c>
      <c r="K276" t="inlineStr">
        <is>
          <t>50-200</t>
        </is>
      </c>
      <c r="L276" t="inlineStr">
        <is>
          <t>reseller</t>
        </is>
      </c>
      <c r="N276" t="n">
        <v>0</v>
      </c>
    </row>
    <row r="277">
      <c r="A277" t="inlineStr">
        <is>
          <t>fdd68c10c38eb2811cbf1e13bc95b5a1</t>
        </is>
      </c>
      <c r="B277" t="inlineStr">
        <is>
          <t>65d5e688c5bba88c62953b3a97264d54</t>
        </is>
      </c>
      <c r="C277" t="inlineStr">
        <is>
          <t>9d12ef1a7eca3ec58c545c678af7869c</t>
        </is>
      </c>
      <c r="D277" t="inlineStr">
        <is>
          <t>d3d1e91a157ea7f90548eef82f1955e3</t>
        </is>
      </c>
      <c r="E277" s="30" t="n">
        <v>43208.84652777778</v>
      </c>
      <c r="F277" t="inlineStr">
        <is>
          <t>home_office_furniture</t>
        </is>
      </c>
      <c r="G277" t="inlineStr">
        <is>
          <t>offline</t>
        </is>
      </c>
      <c r="H277" t="inlineStr">
        <is>
          <t>cat</t>
        </is>
      </c>
      <c r="L277" t="inlineStr">
        <is>
          <t>manufacturer</t>
        </is>
      </c>
      <c r="N277" t="n">
        <v>0</v>
      </c>
    </row>
    <row r="278">
      <c r="A278" t="inlineStr">
        <is>
          <t>f7066703eb3987f21f0d102ea8caaeb5</t>
        </is>
      </c>
      <c r="B278" t="inlineStr">
        <is>
          <t>013d100f608a64ec8275c038aedeb064</t>
        </is>
      </c>
      <c r="C278" t="inlineStr">
        <is>
          <t>a8387c01a09e99ce014107505b92388c</t>
        </is>
      </c>
      <c r="D278" t="inlineStr">
        <is>
          <t>495d4e95a8cf8bbf8b432b612a2aa328</t>
        </is>
      </c>
      <c r="E278" s="30" t="n">
        <v>43196.59399305555</v>
      </c>
      <c r="F278" t="inlineStr">
        <is>
          <t>food_supplement</t>
        </is>
      </c>
      <c r="G278" t="inlineStr">
        <is>
          <t>online_top</t>
        </is>
      </c>
      <c r="L278" t="inlineStr">
        <is>
          <t>reseller</t>
        </is>
      </c>
      <c r="N278" t="n">
        <v>0</v>
      </c>
    </row>
    <row r="279">
      <c r="A279" t="inlineStr">
        <is>
          <t>8423896e04d8cc356ddbb29d4cc9288d</t>
        </is>
      </c>
      <c r="B279" t="inlineStr">
        <is>
          <t>d66c11a9572221d92fbb8c4897db5f9b</t>
        </is>
      </c>
      <c r="C279" t="inlineStr">
        <is>
          <t>a8387c01a09e99ce014107505b92388c</t>
        </is>
      </c>
      <c r="D279" t="inlineStr">
        <is>
          <t>4ef15afb4b2723d8f3d81e51ec7afefe</t>
        </is>
      </c>
      <c r="E279" s="30" t="n">
        <v>43204.125</v>
      </c>
      <c r="F279" t="inlineStr">
        <is>
          <t>household_utilities</t>
        </is>
      </c>
      <c r="G279" t="inlineStr">
        <is>
          <t>industry</t>
        </is>
      </c>
      <c r="H279" t="inlineStr">
        <is>
          <t>cat</t>
        </is>
      </c>
      <c r="L279" t="inlineStr">
        <is>
          <t>manufacturer</t>
        </is>
      </c>
      <c r="N279" t="n">
        <v>0</v>
      </c>
    </row>
    <row r="280">
      <c r="A280" t="inlineStr">
        <is>
          <t>54007efbb2ae51f02c995466f0738caa</t>
        </is>
      </c>
      <c r="B280" t="inlineStr">
        <is>
          <t>7d91f9d655df761fd0cf119733a61e74</t>
        </is>
      </c>
      <c r="C280" t="inlineStr">
        <is>
          <t>b90f87164b5f8c2cfa5c8572834dbe3f</t>
        </is>
      </c>
      <c r="D280" t="inlineStr">
        <is>
          <t>9d12ef1a7eca3ec58c545c678af7869c</t>
        </is>
      </c>
      <c r="E280" s="30" t="n">
        <v>43326.58121527778</v>
      </c>
      <c r="F280" t="inlineStr">
        <is>
          <t>perfume</t>
        </is>
      </c>
      <c r="G280" t="inlineStr">
        <is>
          <t>online_medium</t>
        </is>
      </c>
      <c r="H280" t="inlineStr">
        <is>
          <t>cat</t>
        </is>
      </c>
      <c r="I280" t="b">
        <v>1</v>
      </c>
      <c r="J280" t="b">
        <v>1</v>
      </c>
      <c r="K280" t="inlineStr">
        <is>
          <t>5-20</t>
        </is>
      </c>
      <c r="L280" t="inlineStr">
        <is>
          <t>reseller</t>
        </is>
      </c>
      <c r="M280" t="n">
        <v>400</v>
      </c>
      <c r="N280" t="n">
        <v>0</v>
      </c>
    </row>
    <row r="281">
      <c r="A281" t="inlineStr">
        <is>
          <t>1991b2c8479598ad84ed59f5446bb589</t>
        </is>
      </c>
      <c r="B281" t="inlineStr">
        <is>
          <t>77d0bfeb12a6711682cc61a508f87313</t>
        </is>
      </c>
      <c r="C281" t="inlineStr">
        <is>
          <t>f42a2bd194f7802ab052a815c8de65b7</t>
        </is>
      </c>
      <c r="D281" t="inlineStr">
        <is>
          <t>85fc447d336637ba1df43e793199fbc8</t>
        </is>
      </c>
      <c r="E281" s="30" t="n">
        <v>43243.58140046296</v>
      </c>
      <c r="F281" t="inlineStr">
        <is>
          <t>health_beauty</t>
        </is>
      </c>
      <c r="G281" t="inlineStr">
        <is>
          <t>online_beginner</t>
        </is>
      </c>
      <c r="H281" t="inlineStr">
        <is>
          <t>cat</t>
        </is>
      </c>
      <c r="L281" t="inlineStr">
        <is>
          <t>reseller</t>
        </is>
      </c>
      <c r="N281" t="n">
        <v>0</v>
      </c>
    </row>
    <row r="282">
      <c r="A282" t="inlineStr">
        <is>
          <t>180d9ac0990bb42907fe9cc7aa3eb5a1</t>
        </is>
      </c>
      <c r="B282" t="inlineStr">
        <is>
          <t>01fd077212124329bac32490e8ef80d9</t>
        </is>
      </c>
      <c r="C282" t="inlineStr">
        <is>
          <t>09285259593c61296eef10c734121d5b</t>
        </is>
      </c>
      <c r="D282" t="inlineStr">
        <is>
          <t>85fc447d336637ba1df43e793199fbc8</t>
        </is>
      </c>
      <c r="E282" s="30" t="n">
        <v>43187.9484375</v>
      </c>
      <c r="F282" t="inlineStr">
        <is>
          <t>household_utilities</t>
        </is>
      </c>
      <c r="G282" t="inlineStr">
        <is>
          <t>online_medium</t>
        </is>
      </c>
      <c r="H282" t="inlineStr">
        <is>
          <t>cat</t>
        </is>
      </c>
      <c r="L282" t="inlineStr">
        <is>
          <t>reseller</t>
        </is>
      </c>
      <c r="N282" t="n">
        <v>0</v>
      </c>
    </row>
    <row r="283">
      <c r="A283" t="inlineStr">
        <is>
          <t>0c28423a88b5dbffd0d1ee2aec41efd0</t>
        </is>
      </c>
      <c r="B283" t="inlineStr">
        <is>
          <t>c0199604c0ca0863cd20b95aadd24427</t>
        </is>
      </c>
      <c r="C283" t="inlineStr">
        <is>
          <t>4b339f9567d060bcea4f5136b9f5949e</t>
        </is>
      </c>
      <c r="D283" t="inlineStr">
        <is>
          <t>85fc447d336637ba1df43e793199fbc8</t>
        </is>
      </c>
      <c r="E283" s="30" t="n">
        <v>43196.90528935185</v>
      </c>
      <c r="F283" t="inlineStr">
        <is>
          <t>phone_mobile</t>
        </is>
      </c>
      <c r="G283" t="inlineStr">
        <is>
          <t>online_medium</t>
        </is>
      </c>
      <c r="H283" t="inlineStr">
        <is>
          <t>eagle</t>
        </is>
      </c>
      <c r="L283" t="inlineStr">
        <is>
          <t>reseller</t>
        </is>
      </c>
      <c r="N283" t="n">
        <v>0</v>
      </c>
    </row>
    <row r="284">
      <c r="A284" t="inlineStr">
        <is>
          <t>af1ea7c59c7e37f0b95b48bc972ceb67</t>
        </is>
      </c>
      <c r="B284" t="inlineStr">
        <is>
          <t>7461606ae81596a71b8a98fd0f2460b2</t>
        </is>
      </c>
      <c r="C284" t="inlineStr">
        <is>
          <t>9d12ef1a7eca3ec58c545c678af7869c</t>
        </is>
      </c>
      <c r="D284" t="inlineStr">
        <is>
          <t>56bf83c4bb35763a51c2baab501b4c67</t>
        </is>
      </c>
      <c r="E284" s="30" t="n">
        <v>43245.75322916666</v>
      </c>
      <c r="F284" t="inlineStr">
        <is>
          <t>home_office_furniture</t>
        </is>
      </c>
      <c r="G284" t="inlineStr">
        <is>
          <t>offline</t>
        </is>
      </c>
      <c r="H284" t="inlineStr">
        <is>
          <t>cat</t>
        </is>
      </c>
      <c r="L284" t="inlineStr">
        <is>
          <t>reseller</t>
        </is>
      </c>
      <c r="N284" t="n">
        <v>0</v>
      </c>
    </row>
    <row r="285">
      <c r="A285" t="inlineStr">
        <is>
          <t>cb92c899ab0e2c0fcf4d4e11e9930f6a</t>
        </is>
      </c>
      <c r="B285" t="inlineStr">
        <is>
          <t>9d213f303afae4983637247556438ede</t>
        </is>
      </c>
      <c r="C285" t="inlineStr">
        <is>
          <t>34d40cdaf94010a1d05b0d6212f9e909</t>
        </is>
      </c>
      <c r="D285" t="inlineStr">
        <is>
          <t>a8387c01a09e99ce014107505b92388c</t>
        </is>
      </c>
      <c r="E285" s="30" t="n">
        <v>43231.53261574074</v>
      </c>
      <c r="F285" t="inlineStr">
        <is>
          <t>bed_bath_table</t>
        </is>
      </c>
      <c r="G285" t="inlineStr">
        <is>
          <t>online_big</t>
        </is>
      </c>
      <c r="H285" t="inlineStr">
        <is>
          <t>cat</t>
        </is>
      </c>
      <c r="L285" t="inlineStr">
        <is>
          <t>reseller</t>
        </is>
      </c>
      <c r="N285" t="n">
        <v>0</v>
      </c>
    </row>
    <row r="286">
      <c r="A286" t="inlineStr">
        <is>
          <t>6bdffb19c15963b8e630b6a1861b477f</t>
        </is>
      </c>
      <c r="B286" t="inlineStr">
        <is>
          <t>76bf0e3e7d311d9069d4512cc1a232d7</t>
        </is>
      </c>
      <c r="C286" t="inlineStr">
        <is>
          <t>34d40cdaf94010a1d05b0d6212f9e909</t>
        </is>
      </c>
      <c r="D286" t="inlineStr">
        <is>
          <t>9e4d1098a3b0f5da39b0bc48f9876645</t>
        </is>
      </c>
      <c r="E286" s="30" t="n">
        <v>43214.59690972222</v>
      </c>
      <c r="F286" t="inlineStr">
        <is>
          <t>home_decor</t>
        </is>
      </c>
      <c r="G286" t="inlineStr">
        <is>
          <t>online_small</t>
        </is>
      </c>
      <c r="H286" t="inlineStr">
        <is>
          <t>cat</t>
        </is>
      </c>
      <c r="L286" t="inlineStr">
        <is>
          <t>manufacturer</t>
        </is>
      </c>
      <c r="N286" t="n">
        <v>0</v>
      </c>
    </row>
    <row r="287">
      <c r="A287" t="inlineStr">
        <is>
          <t>834e43588167648b6f83961cf22f940e</t>
        </is>
      </c>
      <c r="B287" t="inlineStr">
        <is>
          <t>4ff8d644ff76721b86fdc7c75c48d4a6</t>
        </is>
      </c>
      <c r="C287" t="inlineStr">
        <is>
          <t>4b339f9567d060bcea4f5136b9f5949e</t>
        </is>
      </c>
      <c r="D287" t="inlineStr">
        <is>
          <t>a8387c01a09e99ce014107505b92388c</t>
        </is>
      </c>
      <c r="E287" s="30" t="n">
        <v>43231.8065162037</v>
      </c>
      <c r="F287" t="inlineStr">
        <is>
          <t>car_accessories</t>
        </is>
      </c>
      <c r="G287" t="inlineStr">
        <is>
          <t>online_medium</t>
        </is>
      </c>
      <c r="H287" t="inlineStr">
        <is>
          <t>cat</t>
        </is>
      </c>
      <c r="L287" t="inlineStr">
        <is>
          <t>reseller</t>
        </is>
      </c>
      <c r="N287" t="n">
        <v>0</v>
      </c>
    </row>
    <row r="288">
      <c r="A288" t="inlineStr">
        <is>
          <t>688026f6edb29cc7c96b287b186b03c9</t>
        </is>
      </c>
      <c r="B288" t="inlineStr">
        <is>
          <t>59ddca14932ec5557c099a51c4d5a58e</t>
        </is>
      </c>
      <c r="C288" t="inlineStr">
        <is>
          <t>0a0fb2b07d841f84fb6714e35c723075</t>
        </is>
      </c>
      <c r="D288" t="inlineStr">
        <is>
          <t>de63de0d10a6012430098db33c679b0b</t>
        </is>
      </c>
      <c r="E288" s="30" t="n">
        <v>43217.56070601852</v>
      </c>
      <c r="F288" t="inlineStr">
        <is>
          <t>food_supplement</t>
        </is>
      </c>
      <c r="G288" t="inlineStr">
        <is>
          <t>online_small</t>
        </is>
      </c>
      <c r="H288" t="inlineStr">
        <is>
          <t>cat</t>
        </is>
      </c>
      <c r="L288" t="inlineStr">
        <is>
          <t>reseller</t>
        </is>
      </c>
      <c r="N288" t="n">
        <v>0</v>
      </c>
    </row>
    <row r="289">
      <c r="A289" t="inlineStr">
        <is>
          <t>439c56de17208ac25a2abee9beca46f7</t>
        </is>
      </c>
      <c r="B289" t="inlineStr">
        <is>
          <t>8c9348f33ae3dada25c99c99ade2af78</t>
        </is>
      </c>
      <c r="C289" t="inlineStr">
        <is>
          <t>a8387c01a09e99ce014107505b92388c</t>
        </is>
      </c>
      <c r="D289" t="inlineStr">
        <is>
          <t>56bf83c4bb35763a51c2baab501b4c67</t>
        </is>
      </c>
      <c r="E289" s="30" t="n">
        <v>43215.90601851852</v>
      </c>
      <c r="F289" t="inlineStr">
        <is>
          <t>construction_tools_house_garden</t>
        </is>
      </c>
      <c r="G289" t="inlineStr">
        <is>
          <t>online_small</t>
        </is>
      </c>
      <c r="H289" t="inlineStr">
        <is>
          <t>cat</t>
        </is>
      </c>
      <c r="L289" t="inlineStr">
        <is>
          <t>reseller</t>
        </is>
      </c>
      <c r="N289" t="n">
        <v>0</v>
      </c>
    </row>
    <row r="290">
      <c r="A290" t="inlineStr">
        <is>
          <t>ed1f42da2c5662307df13fe5648b05bf</t>
        </is>
      </c>
      <c r="B290" t="inlineStr">
        <is>
          <t>89c4c1dfaab405a37514bda5243b0206</t>
        </is>
      </c>
      <c r="C290" t="inlineStr">
        <is>
          <t>34d40cdaf94010a1d05b0d6212f9e909</t>
        </is>
      </c>
      <c r="D290" t="inlineStr">
        <is>
          <t>a8387c01a09e99ce014107505b92388c</t>
        </is>
      </c>
      <c r="E290" s="30" t="n">
        <v>43336.125</v>
      </c>
      <c r="F290" t="inlineStr">
        <is>
          <t>sports_leisure</t>
        </is>
      </c>
      <c r="G290" t="inlineStr">
        <is>
          <t>online_small</t>
        </is>
      </c>
      <c r="H290" t="inlineStr">
        <is>
          <t>cat</t>
        </is>
      </c>
      <c r="K290" t="inlineStr">
        <is>
          <t>5-20</t>
        </is>
      </c>
      <c r="L290" t="inlineStr">
        <is>
          <t>reseller</t>
        </is>
      </c>
      <c r="M290" t="n">
        <v>100</v>
      </c>
      <c r="N290" t="n">
        <v>0</v>
      </c>
    </row>
    <row r="291">
      <c r="A291" t="inlineStr">
        <is>
          <t>9577014358ebabb5010e7513a7439a82</t>
        </is>
      </c>
      <c r="B291" t="inlineStr">
        <is>
          <t>f1b854361f4e15d5851b494df66f22b2</t>
        </is>
      </c>
      <c r="C291" t="inlineStr">
        <is>
          <t>370c9f455f93a9a96cbe9bea48e70033</t>
        </is>
      </c>
      <c r="D291" t="inlineStr">
        <is>
          <t>85fc447d336637ba1df43e793199fbc8</t>
        </is>
      </c>
      <c r="E291" s="30" t="n">
        <v>43201.67030092593</v>
      </c>
      <c r="F291" t="inlineStr">
        <is>
          <t>pet</t>
        </is>
      </c>
      <c r="G291" t="inlineStr">
        <is>
          <t>online_big</t>
        </is>
      </c>
      <c r="H291" t="inlineStr">
        <is>
          <t>cat</t>
        </is>
      </c>
      <c r="L291" t="inlineStr">
        <is>
          <t>manufacturer</t>
        </is>
      </c>
      <c r="N291" t="n">
        <v>0</v>
      </c>
    </row>
    <row r="292">
      <c r="A292" t="inlineStr">
        <is>
          <t>c6c02ef92aa0dcb6c333a27cfb22d47c</t>
        </is>
      </c>
      <c r="B292" t="inlineStr">
        <is>
          <t>c8665a4dd081a2c436b1cd921079d0d9</t>
        </is>
      </c>
      <c r="C292" t="inlineStr">
        <is>
          <t>4b339f9567d060bcea4f5136b9f5949e</t>
        </is>
      </c>
      <c r="D292" t="inlineStr">
        <is>
          <t>6565aa9ce3178a5caf6171827af3a9ba</t>
        </is>
      </c>
      <c r="E292" s="30" t="n">
        <v>43230.7175462963</v>
      </c>
      <c r="F292" t="inlineStr">
        <is>
          <t>car_accessories</t>
        </is>
      </c>
      <c r="G292" t="inlineStr">
        <is>
          <t>online_medium</t>
        </is>
      </c>
      <c r="H292" t="inlineStr">
        <is>
          <t>wolf</t>
        </is>
      </c>
      <c r="L292" t="inlineStr">
        <is>
          <t>reseller</t>
        </is>
      </c>
      <c r="N292" t="n">
        <v>0</v>
      </c>
    </row>
    <row r="293">
      <c r="A293" t="inlineStr">
        <is>
          <t>22c0b2a19a05fff19e92fab5a0b7728b</t>
        </is>
      </c>
      <c r="B293" t="inlineStr">
        <is>
          <t>138dbe45fc62f1e244378131a6801526</t>
        </is>
      </c>
      <c r="C293" t="inlineStr">
        <is>
          <t>9d12ef1a7eca3ec58c545c678af7869c</t>
        </is>
      </c>
      <c r="D293" t="inlineStr">
        <is>
          <t>9e4d1098a3b0f5da39b0bc48f9876645</t>
        </is>
      </c>
      <c r="E293" s="30" t="n">
        <v>43215.7219212963</v>
      </c>
      <c r="F293" t="inlineStr">
        <is>
          <t>household_utilities</t>
        </is>
      </c>
      <c r="G293" t="inlineStr">
        <is>
          <t>online_medium</t>
        </is>
      </c>
      <c r="H293" t="inlineStr">
        <is>
          <t>eagle</t>
        </is>
      </c>
      <c r="L293" t="inlineStr">
        <is>
          <t>reseller</t>
        </is>
      </c>
      <c r="N293" t="n">
        <v>0</v>
      </c>
    </row>
    <row r="294">
      <c r="A294" t="inlineStr">
        <is>
          <t>41fb0fd43593de7d24448de9f5aea38e</t>
        </is>
      </c>
      <c r="B294" t="inlineStr">
        <is>
          <t>b25ec1aff84400104d63eadc3b3052fa</t>
        </is>
      </c>
      <c r="C294" t="inlineStr">
        <is>
          <t>9e4d1098a3b0f5da39b0bc48f9876645</t>
        </is>
      </c>
      <c r="D294" t="inlineStr">
        <is>
          <t>2695de1affa7750089c0455f8ce27021</t>
        </is>
      </c>
      <c r="E294" s="30" t="n">
        <v>43178.83664351852</v>
      </c>
      <c r="F294" t="inlineStr">
        <is>
          <t>audio_video_electronics</t>
        </is>
      </c>
      <c r="G294" t="inlineStr">
        <is>
          <t>offline</t>
        </is>
      </c>
      <c r="H294" t="inlineStr">
        <is>
          <t>cat</t>
        </is>
      </c>
      <c r="L294" t="inlineStr">
        <is>
          <t>reseller</t>
        </is>
      </c>
      <c r="N294" t="n">
        <v>0</v>
      </c>
    </row>
    <row r="295">
      <c r="A295" t="inlineStr">
        <is>
          <t>7b27ab2fbcbe3b67935da0694742ed0e</t>
        </is>
      </c>
      <c r="B295" t="inlineStr">
        <is>
          <t>3917f19baf48b61b7c9a106ea10ad953</t>
        </is>
      </c>
      <c r="C295" t="inlineStr">
        <is>
          <t>de63de0d10a6012430098db33c679b0b</t>
        </is>
      </c>
      <c r="D295" t="inlineStr">
        <is>
          <t>6565aa9ce3178a5caf6171827af3a9ba</t>
        </is>
      </c>
      <c r="E295" s="30" t="n">
        <v>43147.78606481481</v>
      </c>
      <c r="F295" t="inlineStr">
        <is>
          <t>small_appliances</t>
        </is>
      </c>
      <c r="G295" t="inlineStr">
        <is>
          <t>online_big</t>
        </is>
      </c>
      <c r="L295" t="inlineStr">
        <is>
          <t>reseller</t>
        </is>
      </c>
      <c r="N295" t="n">
        <v>0</v>
      </c>
    </row>
    <row r="296">
      <c r="A296" t="inlineStr">
        <is>
          <t>bea6f48261d29b0dba555367e277f670</t>
        </is>
      </c>
      <c r="B296" t="inlineStr">
        <is>
          <t>eb72802c83dc7547529c9546d1a9b8ef</t>
        </is>
      </c>
      <c r="C296" t="inlineStr">
        <is>
          <t>4b339f9567d060bcea4f5136b9f5949e</t>
        </is>
      </c>
      <c r="D296" t="inlineStr">
        <is>
          <t>6565aa9ce3178a5caf6171827af3a9ba</t>
        </is>
      </c>
      <c r="E296" s="30" t="n">
        <v>43220.73831018519</v>
      </c>
      <c r="F296" t="inlineStr">
        <is>
          <t>health_beauty</t>
        </is>
      </c>
      <c r="G296" t="inlineStr">
        <is>
          <t>online_medium</t>
        </is>
      </c>
      <c r="H296" t="inlineStr">
        <is>
          <t>wolf</t>
        </is>
      </c>
      <c r="L296" t="inlineStr">
        <is>
          <t>reseller</t>
        </is>
      </c>
      <c r="N296" t="n">
        <v>0</v>
      </c>
    </row>
    <row r="297">
      <c r="A297" t="inlineStr">
        <is>
          <t>84ca5950143557353793f24e65e1af22</t>
        </is>
      </c>
      <c r="B297" t="inlineStr">
        <is>
          <t>b67d6c666e8dce1d078c882825e12704</t>
        </is>
      </c>
      <c r="C297" t="inlineStr">
        <is>
          <t>0a0fb2b07d841f84fb6714e35c723075</t>
        </is>
      </c>
      <c r="D297" t="inlineStr">
        <is>
          <t>6565aa9ce3178a5caf6171827af3a9ba</t>
        </is>
      </c>
      <c r="E297" s="30" t="n">
        <v>43210.60180555555</v>
      </c>
      <c r="F297" t="inlineStr">
        <is>
          <t>sports_leisure</t>
        </is>
      </c>
      <c r="G297" t="inlineStr">
        <is>
          <t>online_medium</t>
        </is>
      </c>
      <c r="H297" t="inlineStr">
        <is>
          <t>eagle</t>
        </is>
      </c>
      <c r="L297" t="inlineStr">
        <is>
          <t>reseller</t>
        </is>
      </c>
      <c r="N297" t="n">
        <v>0</v>
      </c>
    </row>
    <row r="298">
      <c r="A298" t="inlineStr">
        <is>
          <t>68482ad368c7b9779cf50a7164815379</t>
        </is>
      </c>
      <c r="B298" t="inlineStr">
        <is>
          <t>980640c45d7a4635885491d077167e4d</t>
        </is>
      </c>
      <c r="C298" t="inlineStr">
        <is>
          <t>4b339f9567d060bcea4f5136b9f5949e</t>
        </is>
      </c>
      <c r="D298" t="inlineStr">
        <is>
          <t>de63de0d10a6012430098db33c679b0b</t>
        </is>
      </c>
      <c r="E298" s="30" t="n">
        <v>43244.85082175926</v>
      </c>
      <c r="F298" t="inlineStr">
        <is>
          <t>bags_backpacks</t>
        </is>
      </c>
      <c r="G298" t="inlineStr">
        <is>
          <t>online_medium</t>
        </is>
      </c>
      <c r="H298" t="inlineStr">
        <is>
          <t>cat</t>
        </is>
      </c>
      <c r="L298" t="inlineStr">
        <is>
          <t>reseller</t>
        </is>
      </c>
      <c r="N298" t="n">
        <v>0</v>
      </c>
    </row>
    <row r="299">
      <c r="A299" t="inlineStr">
        <is>
          <t>70699f79c6aeddeb2d322d7074c2f366</t>
        </is>
      </c>
      <c r="B299" t="inlineStr">
        <is>
          <t>d84ecc09e7c9517825a219be37aca08b</t>
        </is>
      </c>
      <c r="C299" t="inlineStr">
        <is>
          <t>f42a2bd194f7802ab052a815c8de65b7</t>
        </is>
      </c>
      <c r="D299" t="inlineStr">
        <is>
          <t>2695de1affa7750089c0455f8ce27021</t>
        </is>
      </c>
      <c r="E299" s="30" t="n">
        <v>43208.81012731481</v>
      </c>
      <c r="F299" t="inlineStr">
        <is>
          <t>car_accessories</t>
        </is>
      </c>
      <c r="G299" t="inlineStr">
        <is>
          <t>offline</t>
        </is>
      </c>
      <c r="H299" t="inlineStr">
        <is>
          <t>shark</t>
        </is>
      </c>
      <c r="L299" t="inlineStr">
        <is>
          <t>manufacturer</t>
        </is>
      </c>
      <c r="N299" t="n">
        <v>0</v>
      </c>
    </row>
    <row r="300">
      <c r="A300" t="inlineStr">
        <is>
          <t>29ed0987440c24898ae109b05a1d3f8e</t>
        </is>
      </c>
      <c r="B300" t="inlineStr">
        <is>
          <t>dc7192adf8ba09569261f4a8d576afe0</t>
        </is>
      </c>
      <c r="C300" t="inlineStr">
        <is>
          <t>b90f87164b5f8c2cfa5c8572834dbe3f</t>
        </is>
      </c>
      <c r="D300" t="inlineStr">
        <is>
          <t>4ef15afb4b2723d8f3d81e51ec7afefe</t>
        </is>
      </c>
      <c r="E300" s="30" t="n">
        <v>43231.86030092592</v>
      </c>
      <c r="F300" t="inlineStr">
        <is>
          <t>household_utilities</t>
        </is>
      </c>
      <c r="G300" t="inlineStr">
        <is>
          <t>online_medium</t>
        </is>
      </c>
      <c r="H300" t="inlineStr">
        <is>
          <t>cat</t>
        </is>
      </c>
      <c r="L300" t="inlineStr">
        <is>
          <t>reseller</t>
        </is>
      </c>
      <c r="N300" t="n">
        <v>0</v>
      </c>
    </row>
    <row r="301">
      <c r="A301" t="inlineStr">
        <is>
          <t>85fb7822c0e202d4b3bb8c1ad5e0280c</t>
        </is>
      </c>
      <c r="B301" t="inlineStr">
        <is>
          <t>43037711a5c131786d1633e96185d278</t>
        </is>
      </c>
      <c r="C301" t="inlineStr">
        <is>
          <t>a8387c01a09e99ce014107505b92388c</t>
        </is>
      </c>
      <c r="D301" t="inlineStr">
        <is>
          <t>c638112b43f1d1b86dcabb0da720c901</t>
        </is>
      </c>
      <c r="E301" s="30" t="n">
        <v>43174.63394675926</v>
      </c>
      <c r="F301" t="inlineStr">
        <is>
          <t>pet</t>
        </is>
      </c>
      <c r="G301" t="inlineStr">
        <is>
          <t>online_big</t>
        </is>
      </c>
      <c r="H301" t="inlineStr">
        <is>
          <t>cat</t>
        </is>
      </c>
      <c r="L301" t="inlineStr">
        <is>
          <t>reseller</t>
        </is>
      </c>
      <c r="N301" t="n">
        <v>0</v>
      </c>
    </row>
    <row r="302">
      <c r="A302" t="inlineStr">
        <is>
          <t>99bc9f7d864b6291861728d671d61890</t>
        </is>
      </c>
      <c r="B302" t="inlineStr">
        <is>
          <t>3b2386b23bc4807a467c2ea5770cdd80</t>
        </is>
      </c>
      <c r="C302" t="inlineStr">
        <is>
          <t>a8387c01a09e99ce014107505b92388c</t>
        </is>
      </c>
      <c r="D302" t="inlineStr">
        <is>
          <t>495d4e95a8cf8bbf8b432b612a2aa328</t>
        </is>
      </c>
      <c r="E302" s="30" t="n">
        <v>43214.71189814815</v>
      </c>
      <c r="F302" t="inlineStr">
        <is>
          <t>household_utilities</t>
        </is>
      </c>
      <c r="G302" t="inlineStr">
        <is>
          <t>online_medium</t>
        </is>
      </c>
      <c r="H302" t="inlineStr">
        <is>
          <t>cat</t>
        </is>
      </c>
      <c r="L302" t="inlineStr">
        <is>
          <t>manufacturer</t>
        </is>
      </c>
      <c r="N302" t="n">
        <v>0</v>
      </c>
    </row>
    <row r="303">
      <c r="A303" t="inlineStr">
        <is>
          <t>0c1a046883bb8a4141228501feece7c1</t>
        </is>
      </c>
      <c r="B303" t="inlineStr">
        <is>
          <t>c30eb4a935f1ea375393aa691a69b19c</t>
        </is>
      </c>
      <c r="C303" t="inlineStr">
        <is>
          <t>4b339f9567d060bcea4f5136b9f5949e</t>
        </is>
      </c>
      <c r="D303" t="inlineStr">
        <is>
          <t>2695de1affa7750089c0455f8ce27021</t>
        </is>
      </c>
      <c r="E303" s="30" t="n">
        <v>43152.52108796296</v>
      </c>
      <c r="F303" t="inlineStr">
        <is>
          <t>audio_video_electronics</t>
        </is>
      </c>
      <c r="G303" t="inlineStr">
        <is>
          <t>online_medium</t>
        </is>
      </c>
      <c r="H303" t="inlineStr">
        <is>
          <t>cat</t>
        </is>
      </c>
      <c r="L303" t="inlineStr">
        <is>
          <t>reseller</t>
        </is>
      </c>
      <c r="N303" t="n">
        <v>0</v>
      </c>
    </row>
    <row r="304">
      <c r="A304" t="inlineStr">
        <is>
          <t>ab65e1a4d850fa15d38469a1ad02ce90</t>
        </is>
      </c>
      <c r="B304" t="inlineStr">
        <is>
          <t>ffad1e7127fb622cb64a900751590acd</t>
        </is>
      </c>
      <c r="C304" t="inlineStr">
        <is>
          <t>56bf83c4bb35763a51c2baab501b4c67</t>
        </is>
      </c>
      <c r="D304" t="inlineStr">
        <is>
          <t>9ae085775a198122c5586fa830ff7f2b</t>
        </is>
      </c>
      <c r="E304" s="30" t="n">
        <v>43133.86304398148</v>
      </c>
      <c r="F304" t="inlineStr">
        <is>
          <t>home_decor</t>
        </is>
      </c>
      <c r="G304" t="inlineStr">
        <is>
          <t>online_medium</t>
        </is>
      </c>
      <c r="L304" t="inlineStr">
        <is>
          <t>manufacturer</t>
        </is>
      </c>
      <c r="N304" t="n">
        <v>0</v>
      </c>
    </row>
    <row r="305">
      <c r="A305" t="inlineStr">
        <is>
          <t>2f45fb6d3d46af0423ad2813249ac4a2</t>
        </is>
      </c>
      <c r="B305" t="inlineStr">
        <is>
          <t>7b98de631987e26dd6d803490c43a13c</t>
        </is>
      </c>
      <c r="C305" t="inlineStr">
        <is>
          <t>56bf83c4bb35763a51c2baab501b4c67</t>
        </is>
      </c>
      <c r="D305" t="inlineStr">
        <is>
          <t>56bf83c4bb35763a51c2baab501b4c67</t>
        </is>
      </c>
      <c r="E305" s="30" t="n">
        <v>43228.72130787037</v>
      </c>
      <c r="F305" t="inlineStr">
        <is>
          <t>construction_tools_house_garden</t>
        </is>
      </c>
      <c r="G305" t="inlineStr">
        <is>
          <t>industry</t>
        </is>
      </c>
      <c r="H305" t="inlineStr">
        <is>
          <t>cat</t>
        </is>
      </c>
      <c r="L305" t="inlineStr">
        <is>
          <t>manufacturer</t>
        </is>
      </c>
      <c r="N305" t="n">
        <v>0</v>
      </c>
    </row>
    <row r="306">
      <c r="A306" t="inlineStr">
        <is>
          <t>c733f4f772bfa7b8702ccb81887f8333</t>
        </is>
      </c>
      <c r="B306" t="inlineStr">
        <is>
          <t>77d81755dbf8e62faa0fb683e1a802c6</t>
        </is>
      </c>
      <c r="C306" t="inlineStr">
        <is>
          <t>068066e24f0c643eb1d089c7dd20cd73</t>
        </is>
      </c>
      <c r="D306" t="inlineStr">
        <is>
          <t>9e4d1098a3b0f5da39b0bc48f9876645</t>
        </is>
      </c>
      <c r="E306" s="30" t="n">
        <v>43218.125</v>
      </c>
      <c r="F306" t="inlineStr">
        <is>
          <t>home_appliances</t>
        </is>
      </c>
      <c r="G306" t="inlineStr">
        <is>
          <t>online_top</t>
        </is>
      </c>
      <c r="H306" t="inlineStr">
        <is>
          <t>cat</t>
        </is>
      </c>
      <c r="L306" t="inlineStr">
        <is>
          <t>reseller</t>
        </is>
      </c>
      <c r="N306" t="n">
        <v>0</v>
      </c>
    </row>
    <row r="307">
      <c r="A307" t="inlineStr">
        <is>
          <t>a06df17094fd9599cad32555b897a0d3</t>
        </is>
      </c>
      <c r="B307" t="inlineStr">
        <is>
          <t>70bf57d811208f8923b41bbd499a67a4</t>
        </is>
      </c>
      <c r="C307" t="inlineStr">
        <is>
          <t>f42a2bd194f7802ab052a815c8de65b7</t>
        </is>
      </c>
      <c r="D307" t="inlineStr">
        <is>
          <t>4ef15afb4b2723d8f3d81e51ec7afefe</t>
        </is>
      </c>
      <c r="E307" s="30" t="n">
        <v>43259.50725694445</v>
      </c>
      <c r="F307" t="inlineStr">
        <is>
          <t>small_appliances</t>
        </is>
      </c>
      <c r="G307" t="inlineStr">
        <is>
          <t>online_medium</t>
        </is>
      </c>
      <c r="H307" t="inlineStr">
        <is>
          <t>cat</t>
        </is>
      </c>
      <c r="L307" t="inlineStr">
        <is>
          <t>reseller</t>
        </is>
      </c>
      <c r="N307" t="n">
        <v>0</v>
      </c>
    </row>
    <row r="308">
      <c r="A308" t="inlineStr">
        <is>
          <t>a7949e3bfe0d90df9ba1700365ac42c9</t>
        </is>
      </c>
      <c r="B308" t="inlineStr">
        <is>
          <t>4018093c0809ddcb1f633ed5cc3f5eb2</t>
        </is>
      </c>
      <c r="C308" t="inlineStr">
        <is>
          <t>56bf83c4bb35763a51c2baab501b4c67</t>
        </is>
      </c>
      <c r="D308" t="inlineStr">
        <is>
          <t>495d4e95a8cf8bbf8b432b612a2aa328</t>
        </is>
      </c>
      <c r="E308" s="30" t="n">
        <v>43168.72547453704</v>
      </c>
      <c r="F308" t="inlineStr">
        <is>
          <t>home_decor</t>
        </is>
      </c>
      <c r="G308" t="inlineStr">
        <is>
          <t>online_medium</t>
        </is>
      </c>
      <c r="H308" t="inlineStr">
        <is>
          <t>cat</t>
        </is>
      </c>
      <c r="L308" t="inlineStr">
        <is>
          <t>manufacturer</t>
        </is>
      </c>
      <c r="N308" t="n">
        <v>0</v>
      </c>
    </row>
    <row r="309">
      <c r="A309" t="inlineStr">
        <is>
          <t>c2bb2199cb1cff125e02122597fbfb29</t>
        </is>
      </c>
      <c r="B309" t="inlineStr">
        <is>
          <t>4de7a9f2b6acffd74c9f148f8902b854</t>
        </is>
      </c>
      <c r="C309" t="inlineStr">
        <is>
          <t>f42a2bd194f7802ab052a815c8de65b7</t>
        </is>
      </c>
      <c r="D309" t="inlineStr">
        <is>
          <t>2695de1affa7750089c0455f8ce27021</t>
        </is>
      </c>
      <c r="E309" s="30" t="n">
        <v>43374.52182870371</v>
      </c>
      <c r="F309" t="inlineStr">
        <is>
          <t>watches</t>
        </is>
      </c>
      <c r="G309" t="inlineStr">
        <is>
          <t>online_medium</t>
        </is>
      </c>
      <c r="H309" t="inlineStr">
        <is>
          <t>shark, cat</t>
        </is>
      </c>
      <c r="I309" t="b">
        <v>1</v>
      </c>
      <c r="J309" t="b">
        <v>1</v>
      </c>
      <c r="K309" t="inlineStr">
        <is>
          <t>200+</t>
        </is>
      </c>
      <c r="L309" t="inlineStr">
        <is>
          <t>reseller</t>
        </is>
      </c>
      <c r="N309" t="n">
        <v>0</v>
      </c>
    </row>
    <row r="310">
      <c r="A310" t="inlineStr">
        <is>
          <t>5f7526ec1bdd6eebdf4f7d0054cfe163</t>
        </is>
      </c>
      <c r="B310" t="inlineStr">
        <is>
          <t>bc8c8d665ec4664d286be0d521722b19</t>
        </is>
      </c>
      <c r="C310" t="inlineStr">
        <is>
          <t>4b339f9567d060bcea4f5136b9f5949e</t>
        </is>
      </c>
      <c r="D310" t="inlineStr">
        <is>
          <t>6565aa9ce3178a5caf6171827af3a9ba</t>
        </is>
      </c>
      <c r="E310" s="30" t="n">
        <v>43207.72097222223</v>
      </c>
      <c r="F310" t="inlineStr">
        <is>
          <t>food_drink</t>
        </is>
      </c>
      <c r="G310" t="inlineStr">
        <is>
          <t>online_medium</t>
        </is>
      </c>
      <c r="H310" t="inlineStr">
        <is>
          <t>wolf</t>
        </is>
      </c>
      <c r="L310" t="inlineStr">
        <is>
          <t>reseller</t>
        </is>
      </c>
      <c r="N310" t="n">
        <v>0</v>
      </c>
    </row>
    <row r="311">
      <c r="A311" t="inlineStr">
        <is>
          <t>1024cf4dc7f44bc2296769309fcfb4e5</t>
        </is>
      </c>
      <c r="B311" t="inlineStr">
        <is>
          <t>a63bfbaa882c8f4542891b4e2246cc7f</t>
        </is>
      </c>
      <c r="C311" t="inlineStr">
        <is>
          <t>34d40cdaf94010a1d05b0d6212f9e909</t>
        </is>
      </c>
      <c r="D311" t="inlineStr">
        <is>
          <t>4ef15afb4b2723d8f3d81e51ec7afefe</t>
        </is>
      </c>
      <c r="E311" s="30" t="n">
        <v>43244.674375</v>
      </c>
      <c r="F311" t="inlineStr">
        <is>
          <t>health_beauty</t>
        </is>
      </c>
      <c r="G311" t="inlineStr">
        <is>
          <t>online_big</t>
        </is>
      </c>
      <c r="H311" t="inlineStr">
        <is>
          <t>cat</t>
        </is>
      </c>
      <c r="L311" t="inlineStr">
        <is>
          <t>reseller</t>
        </is>
      </c>
      <c r="N311" t="n">
        <v>0</v>
      </c>
    </row>
    <row r="312">
      <c r="A312" t="inlineStr">
        <is>
          <t>352409af828b39fe2353dfbe5e813752</t>
        </is>
      </c>
      <c r="B312" t="inlineStr">
        <is>
          <t>33d677f27a69b84051204ee4ae76eaca</t>
        </is>
      </c>
      <c r="C312" t="inlineStr">
        <is>
          <t>fdb16d3cbbeb5798f2f66c4096be026d</t>
        </is>
      </c>
      <c r="D312" t="inlineStr">
        <is>
          <t>9ae085775a198122c5586fa830ff7f2b</t>
        </is>
      </c>
      <c r="E312" s="30" t="n">
        <v>43110.8200462963</v>
      </c>
      <c r="F312" t="inlineStr">
        <is>
          <t>food_drink</t>
        </is>
      </c>
      <c r="G312" t="inlineStr">
        <is>
          <t>offline</t>
        </is>
      </c>
      <c r="L312" t="inlineStr">
        <is>
          <t>reseller</t>
        </is>
      </c>
      <c r="N312" t="n">
        <v>0</v>
      </c>
    </row>
    <row r="313">
      <c r="A313" t="inlineStr">
        <is>
          <t>b1e32544dc409b126235d7b5bc98246e</t>
        </is>
      </c>
      <c r="B313" t="inlineStr">
        <is>
          <t>92887d76687f9477f1c7f759bc4a225b</t>
        </is>
      </c>
      <c r="C313" t="inlineStr">
        <is>
          <t>a8387c01a09e99ce014107505b92388c</t>
        </is>
      </c>
      <c r="D313" t="inlineStr">
        <is>
          <t>d3d1e91a157ea7f90548eef82f1955e3</t>
        </is>
      </c>
      <c r="E313" s="30" t="n">
        <v>43166.125</v>
      </c>
      <c r="F313" t="inlineStr">
        <is>
          <t>home_office_furniture</t>
        </is>
      </c>
      <c r="G313" t="inlineStr">
        <is>
          <t>online_beginner</t>
        </is>
      </c>
      <c r="H313" t="inlineStr">
        <is>
          <t>cat</t>
        </is>
      </c>
      <c r="L313" t="inlineStr">
        <is>
          <t>reseller</t>
        </is>
      </c>
      <c r="N313" t="n">
        <v>0</v>
      </c>
    </row>
    <row r="314">
      <c r="A314" t="inlineStr">
        <is>
          <t>bf5b131e6aee15fa373fb4d113b4a65c</t>
        </is>
      </c>
      <c r="B314" t="inlineStr">
        <is>
          <t>8a8835a43bda99fd37310ad76c457510</t>
        </is>
      </c>
      <c r="C314" t="inlineStr">
        <is>
          <t>34d40cdaf94010a1d05b0d6212f9e909</t>
        </is>
      </c>
      <c r="D314" t="inlineStr">
        <is>
          <t>fbf4aef3f6915dc0c3c97d6812522f6a</t>
        </is>
      </c>
      <c r="E314" s="30" t="n">
        <v>43237.50663194444</v>
      </c>
      <c r="F314" t="inlineStr">
        <is>
          <t>car_accessories</t>
        </is>
      </c>
      <c r="G314" t="inlineStr">
        <is>
          <t>online_big</t>
        </is>
      </c>
      <c r="H314" t="inlineStr">
        <is>
          <t>cat</t>
        </is>
      </c>
      <c r="L314" t="inlineStr">
        <is>
          <t>reseller</t>
        </is>
      </c>
      <c r="N314" t="n">
        <v>0</v>
      </c>
    </row>
    <row r="315">
      <c r="A315" t="inlineStr">
        <is>
          <t>ee488918cd8d11b893067864f9dabddb</t>
        </is>
      </c>
      <c r="B315" t="inlineStr">
        <is>
          <t>0873d9f8f36123f8d910f4760e788cfb</t>
        </is>
      </c>
      <c r="C315" t="inlineStr">
        <is>
          <t>068066e24f0c643eb1d089c7dd20cd73</t>
        </is>
      </c>
      <c r="D315" t="inlineStr">
        <is>
          <t>060c0a26f19f4d66b42e0d8796688490</t>
        </is>
      </c>
      <c r="E315" s="30" t="n">
        <v>43186.125</v>
      </c>
      <c r="F315" t="inlineStr">
        <is>
          <t>audio_video_electronics</t>
        </is>
      </c>
      <c r="G315" t="inlineStr">
        <is>
          <t>online_medium</t>
        </is>
      </c>
      <c r="H315" t="inlineStr">
        <is>
          <t>cat</t>
        </is>
      </c>
      <c r="L315" t="inlineStr">
        <is>
          <t>reseller</t>
        </is>
      </c>
      <c r="N315" t="n">
        <v>0</v>
      </c>
    </row>
    <row r="316">
      <c r="A316" t="inlineStr">
        <is>
          <t>145bce9926e5e1adbddd13d9ee519c3e</t>
        </is>
      </c>
      <c r="B316" t="inlineStr">
        <is>
          <t>59bbc819b99a733f02f0d6b49d1c253d</t>
        </is>
      </c>
      <c r="C316" t="inlineStr">
        <is>
          <t>068066e24f0c643eb1d089c7dd20cd73</t>
        </is>
      </c>
      <c r="D316" t="inlineStr">
        <is>
          <t>2695de1affa7750089c0455f8ce27021</t>
        </is>
      </c>
      <c r="E316" s="30" t="n">
        <v>43137.08333333334</v>
      </c>
      <c r="F316" t="inlineStr">
        <is>
          <t>car_accessories</t>
        </is>
      </c>
      <c r="G316" t="inlineStr">
        <is>
          <t>online_medium</t>
        </is>
      </c>
      <c r="L316" t="inlineStr">
        <is>
          <t>reseller</t>
        </is>
      </c>
      <c r="N316" t="n">
        <v>0</v>
      </c>
    </row>
    <row r="317">
      <c r="A317" t="inlineStr">
        <is>
          <t>aa65c38536b38e859fdecdcea7335154</t>
        </is>
      </c>
      <c r="B317" t="inlineStr">
        <is>
          <t>61b18775be84fb700a6b2d0ba097bf66</t>
        </is>
      </c>
      <c r="C317" t="inlineStr">
        <is>
          <t>9e4d1098a3b0f5da39b0bc48f9876645</t>
        </is>
      </c>
      <c r="D317" t="inlineStr">
        <is>
          <t>c638112b43f1d1b86dcabb0da720c901</t>
        </is>
      </c>
      <c r="E317" s="30" t="n">
        <v>43158.80074074074</v>
      </c>
      <c r="F317" t="inlineStr">
        <is>
          <t>pet</t>
        </is>
      </c>
      <c r="G317" t="inlineStr">
        <is>
          <t>industry</t>
        </is>
      </c>
      <c r="H317" t="inlineStr">
        <is>
          <t>eagle</t>
        </is>
      </c>
      <c r="L317" t="inlineStr">
        <is>
          <t>reseller</t>
        </is>
      </c>
      <c r="N317" t="n">
        <v>0</v>
      </c>
    </row>
    <row r="318">
      <c r="A318" t="inlineStr">
        <is>
          <t>24227051b98de30e484412134e0d0e49</t>
        </is>
      </c>
      <c r="B318" t="inlineStr">
        <is>
          <t>761681a821d8275bc79f552116d06869</t>
        </is>
      </c>
      <c r="C318" t="inlineStr">
        <is>
          <t>068066e24f0c643eb1d089c7dd20cd73</t>
        </is>
      </c>
      <c r="D318" t="inlineStr">
        <is>
          <t>495d4e95a8cf8bbf8b432b612a2aa328</t>
        </is>
      </c>
      <c r="E318" s="30" t="n">
        <v>43116.08333333334</v>
      </c>
      <c r="F318" t="inlineStr">
        <is>
          <t>home_decor</t>
        </is>
      </c>
      <c r="G318" t="inlineStr">
        <is>
          <t>online_big</t>
        </is>
      </c>
      <c r="L318" t="inlineStr">
        <is>
          <t>reseller</t>
        </is>
      </c>
      <c r="N318" t="n">
        <v>0</v>
      </c>
    </row>
    <row r="319">
      <c r="A319" t="inlineStr">
        <is>
          <t>e29db7c8b090e8df0246f5a54cd72799</t>
        </is>
      </c>
      <c r="B319" t="inlineStr">
        <is>
          <t>1a8e2d9c38b84a9702ac7922924b0573</t>
        </is>
      </c>
      <c r="C319" t="inlineStr">
        <is>
          <t>de63de0d10a6012430098db33c679b0b</t>
        </is>
      </c>
      <c r="D319" t="inlineStr">
        <is>
          <t>4ef15afb4b2723d8f3d81e51ec7afefe</t>
        </is>
      </c>
      <c r="E319" s="30" t="n">
        <v>43122.71646990741</v>
      </c>
      <c r="F319" t="inlineStr">
        <is>
          <t>household_utilities</t>
        </is>
      </c>
      <c r="G319" t="inlineStr">
        <is>
          <t>industry</t>
        </is>
      </c>
      <c r="L319" t="inlineStr">
        <is>
          <t>manufacturer</t>
        </is>
      </c>
      <c r="N319" t="n">
        <v>0</v>
      </c>
    </row>
    <row r="320">
      <c r="A320" t="inlineStr">
        <is>
          <t>5290b66ff9e0c1115614365d8e20f10c</t>
        </is>
      </c>
      <c r="B320" t="inlineStr">
        <is>
          <t>ab2a1539d7cdbddcfb6b568447ed767d</t>
        </is>
      </c>
      <c r="C320" t="inlineStr">
        <is>
          <t>9749123c950bf8363ace42cb1c2d0815</t>
        </is>
      </c>
      <c r="D320" t="inlineStr">
        <is>
          <t>495d4e95a8cf8bbf8b432b612a2aa328</t>
        </is>
      </c>
      <c r="E320" s="30" t="n">
        <v>43329.61180555556</v>
      </c>
      <c r="F320" t="inlineStr">
        <is>
          <t>party</t>
        </is>
      </c>
      <c r="G320" t="inlineStr">
        <is>
          <t>online_medium</t>
        </is>
      </c>
      <c r="H320" t="inlineStr">
        <is>
          <t>cat</t>
        </is>
      </c>
      <c r="I320" t="b">
        <v>1</v>
      </c>
      <c r="J320" t="b">
        <v>1</v>
      </c>
      <c r="K320" t="inlineStr">
        <is>
          <t>20-50</t>
        </is>
      </c>
      <c r="L320" t="inlineStr">
        <is>
          <t>reseller</t>
        </is>
      </c>
      <c r="M320" t="n">
        <v>500</v>
      </c>
      <c r="N320" t="n">
        <v>20000</v>
      </c>
    </row>
    <row r="321">
      <c r="A321" t="inlineStr">
        <is>
          <t>b145d383541b505a53c5715a21385f80</t>
        </is>
      </c>
      <c r="B321" t="inlineStr">
        <is>
          <t>a66aed6f85eb3f719792329338875b72</t>
        </is>
      </c>
      <c r="C321" t="inlineStr">
        <is>
          <t>34d40cdaf94010a1d05b0d6212f9e909</t>
        </is>
      </c>
      <c r="D321" t="inlineStr">
        <is>
          <t>de63de0d10a6012430098db33c679b0b</t>
        </is>
      </c>
      <c r="E321" s="30" t="n">
        <v>43210.51284722222</v>
      </c>
      <c r="F321" t="inlineStr">
        <is>
          <t>food_supplement</t>
        </is>
      </c>
      <c r="G321" t="inlineStr">
        <is>
          <t>offline</t>
        </is>
      </c>
      <c r="H321" t="inlineStr">
        <is>
          <t>cat</t>
        </is>
      </c>
      <c r="L321" t="inlineStr">
        <is>
          <t>reseller</t>
        </is>
      </c>
      <c r="N321" t="n">
        <v>0</v>
      </c>
    </row>
    <row r="322">
      <c r="A322" t="inlineStr">
        <is>
          <t>a58f8a3280b2dd6440d88af9decb9b1f</t>
        </is>
      </c>
      <c r="B322" t="inlineStr">
        <is>
          <t>c32fc744b9160ac853450488e3cfea93</t>
        </is>
      </c>
      <c r="C322" t="inlineStr">
        <is>
          <t>9e4d1098a3b0f5da39b0bc48f9876645</t>
        </is>
      </c>
      <c r="D322" t="inlineStr">
        <is>
          <t>85fc447d336637ba1df43e793199fbc8</t>
        </is>
      </c>
      <c r="E322" s="30" t="n">
        <v>43164.87086805556</v>
      </c>
      <c r="F322" t="inlineStr">
        <is>
          <t>food_supplement</t>
        </is>
      </c>
      <c r="G322" t="inlineStr">
        <is>
          <t>online_medium</t>
        </is>
      </c>
      <c r="H322" t="inlineStr">
        <is>
          <t>cat</t>
        </is>
      </c>
      <c r="L322" t="inlineStr">
        <is>
          <t>reseller</t>
        </is>
      </c>
      <c r="N322" t="n">
        <v>0</v>
      </c>
    </row>
    <row r="323">
      <c r="A323" t="inlineStr">
        <is>
          <t>4c898465f7e0becf53dd933ab2a1b6f9</t>
        </is>
      </c>
      <c r="B323" t="inlineStr">
        <is>
          <t>08083b94b3c7e0847502a026125dbfbd</t>
        </is>
      </c>
      <c r="C323" t="inlineStr">
        <is>
          <t>4b339f9567d060bcea4f5136b9f5949e</t>
        </is>
      </c>
      <c r="D323" t="inlineStr">
        <is>
          <t>fbf4aef3f6915dc0c3c97d6812522f6a</t>
        </is>
      </c>
      <c r="E323" s="30" t="n">
        <v>43255.78738425926</v>
      </c>
      <c r="F323" t="inlineStr">
        <is>
          <t>construction_tools_house_garden</t>
        </is>
      </c>
      <c r="G323" t="inlineStr">
        <is>
          <t>online_top</t>
        </is>
      </c>
      <c r="H323" t="inlineStr">
        <is>
          <t>cat</t>
        </is>
      </c>
      <c r="L323" t="inlineStr">
        <is>
          <t>reseller</t>
        </is>
      </c>
      <c r="N323" t="n">
        <v>0</v>
      </c>
    </row>
    <row r="324">
      <c r="A324" t="inlineStr">
        <is>
          <t>3469f647707d7517364600b07bd45816</t>
        </is>
      </c>
      <c r="B324" t="inlineStr">
        <is>
          <t>165b1235e9e9942cb5fae67103576fb0</t>
        </is>
      </c>
      <c r="C324" t="inlineStr">
        <is>
          <t>068066e24f0c643eb1d089c7dd20cd73</t>
        </is>
      </c>
      <c r="D324" t="inlineStr">
        <is>
          <t>495d4e95a8cf8bbf8b432b612a2aa328</t>
        </is>
      </c>
      <c r="E324" s="30" t="n">
        <v>43220.6677662037</v>
      </c>
      <c r="F324" t="inlineStr">
        <is>
          <t>home_decor</t>
        </is>
      </c>
      <c r="G324" t="inlineStr">
        <is>
          <t>online_big</t>
        </is>
      </c>
      <c r="H324" t="inlineStr">
        <is>
          <t>cat</t>
        </is>
      </c>
      <c r="L324" t="inlineStr">
        <is>
          <t>reseller</t>
        </is>
      </c>
      <c r="N324" t="n">
        <v>0</v>
      </c>
    </row>
    <row r="325">
      <c r="A325" t="inlineStr">
        <is>
          <t>19c777b5bed02ee09375ce374cf653f1</t>
        </is>
      </c>
      <c r="B325" t="inlineStr">
        <is>
          <t>13a6bea45beacabbd2d7551940020653</t>
        </is>
      </c>
      <c r="C325" t="inlineStr">
        <is>
          <t>09285259593c61296eef10c734121d5b</t>
        </is>
      </c>
      <c r="D325" t="inlineStr">
        <is>
          <t>6565aa9ce3178a5caf6171827af3a9ba</t>
        </is>
      </c>
      <c r="E325" s="30" t="n">
        <v>43208.69217592593</v>
      </c>
      <c r="F325" t="inlineStr">
        <is>
          <t>construction_tools_house_garden</t>
        </is>
      </c>
      <c r="G325" t="inlineStr">
        <is>
          <t>online_medium</t>
        </is>
      </c>
      <c r="H325" t="inlineStr">
        <is>
          <t>cat</t>
        </is>
      </c>
      <c r="L325" t="inlineStr">
        <is>
          <t>manufacturer</t>
        </is>
      </c>
      <c r="N325" t="n">
        <v>0</v>
      </c>
    </row>
    <row r="326">
      <c r="A326" t="inlineStr">
        <is>
          <t>fc723a87e241c9b3c2e5fd4df4ff8e9d</t>
        </is>
      </c>
      <c r="B326" t="inlineStr">
        <is>
          <t>9803a40e82e45418ab7fb84091af5231</t>
        </is>
      </c>
      <c r="C326" t="inlineStr">
        <is>
          <t>4b339f9567d060bcea4f5136b9f5949e</t>
        </is>
      </c>
      <c r="D326" t="inlineStr">
        <is>
          <t>c638112b43f1d1b86dcabb0da720c901</t>
        </is>
      </c>
      <c r="E326" s="30" t="n">
        <v>43168.59606481482</v>
      </c>
      <c r="F326" t="inlineStr">
        <is>
          <t>audio_video_electronics</t>
        </is>
      </c>
      <c r="G326" t="inlineStr">
        <is>
          <t>online_big</t>
        </is>
      </c>
      <c r="H326" t="inlineStr">
        <is>
          <t>cat</t>
        </is>
      </c>
      <c r="L326" t="inlineStr">
        <is>
          <t>reseller</t>
        </is>
      </c>
      <c r="N326" t="n">
        <v>0</v>
      </c>
    </row>
    <row r="327">
      <c r="A327" t="inlineStr">
        <is>
          <t>a7a8f7739ddc1abdd3bf7d4f9d8a911f</t>
        </is>
      </c>
      <c r="B327" t="inlineStr">
        <is>
          <t>ec8463980a4e0ea9f8517aea1ed0c419</t>
        </is>
      </c>
      <c r="C327" t="inlineStr">
        <is>
          <t>4b339f9567d060bcea4f5136b9f5949e</t>
        </is>
      </c>
      <c r="D327" t="inlineStr">
        <is>
          <t>9e4d1098a3b0f5da39b0bc48f9876645</t>
        </is>
      </c>
      <c r="E327" s="30" t="n">
        <v>43199.79067129629</v>
      </c>
      <c r="F327" t="inlineStr">
        <is>
          <t>home_decor</t>
        </is>
      </c>
      <c r="G327" t="inlineStr">
        <is>
          <t>online_medium</t>
        </is>
      </c>
      <c r="H327" t="inlineStr">
        <is>
          <t>shark</t>
        </is>
      </c>
      <c r="L327" t="inlineStr">
        <is>
          <t>manufacturer</t>
        </is>
      </c>
      <c r="N327" t="n">
        <v>0</v>
      </c>
    </row>
    <row r="328">
      <c r="A328" t="inlineStr">
        <is>
          <t>9e7f111f15db1aa3830cd806660d7b97</t>
        </is>
      </c>
      <c r="B328" t="inlineStr">
        <is>
          <t>80b2f7568a7016771f58c5b981da3ae3</t>
        </is>
      </c>
      <c r="C328" t="inlineStr">
        <is>
          <t>370c9f455f93a9a96cbe9bea48e70033</t>
        </is>
      </c>
      <c r="D328" t="inlineStr">
        <is>
          <t>d3d1e91a157ea7f90548eef82f1955e3</t>
        </is>
      </c>
      <c r="E328" s="30" t="n">
        <v>43241.72866898148</v>
      </c>
      <c r="F328" t="inlineStr">
        <is>
          <t>health_beauty</t>
        </is>
      </c>
      <c r="G328" t="inlineStr">
        <is>
          <t>industry</t>
        </is>
      </c>
      <c r="H328" t="inlineStr">
        <is>
          <t>shark</t>
        </is>
      </c>
      <c r="N328" t="n">
        <v>0</v>
      </c>
    </row>
    <row r="329">
      <c r="A329" t="inlineStr">
        <is>
          <t>768a02c350549c32585575742d6c29da</t>
        </is>
      </c>
      <c r="B329" t="inlineStr">
        <is>
          <t>e52a436a49da33527c29e1b5fbd09317</t>
        </is>
      </c>
      <c r="C329" t="inlineStr">
        <is>
          <t>34d40cdaf94010a1d05b0d6212f9e909</t>
        </is>
      </c>
      <c r="D329" t="inlineStr">
        <is>
          <t>2695de1affa7750089c0455f8ce27021</t>
        </is>
      </c>
      <c r="E329" s="30" t="n">
        <v>43234.80350694444</v>
      </c>
      <c r="F329" t="inlineStr">
        <is>
          <t>food_drink</t>
        </is>
      </c>
      <c r="G329" t="inlineStr">
        <is>
          <t>industry</t>
        </is>
      </c>
      <c r="H329" t="inlineStr">
        <is>
          <t>eagle</t>
        </is>
      </c>
      <c r="L329" t="inlineStr">
        <is>
          <t>manufacturer</t>
        </is>
      </c>
      <c r="N329" t="n">
        <v>0</v>
      </c>
    </row>
    <row r="330">
      <c r="A330" t="inlineStr">
        <is>
          <t>647715020a35f278c5ff9de26e2a4f9b</t>
        </is>
      </c>
      <c r="B330" t="inlineStr">
        <is>
          <t>f9eda05b67bef472deaddbba84aca289</t>
        </is>
      </c>
      <c r="C330" t="inlineStr">
        <is>
          <t>56bf83c4bb35763a51c2baab501b4c67</t>
        </is>
      </c>
      <c r="D330" t="inlineStr">
        <is>
          <t>4ef15afb4b2723d8f3d81e51ec7afefe</t>
        </is>
      </c>
      <c r="E330" s="30" t="n">
        <v>43166.71652777777</v>
      </c>
      <c r="F330" t="inlineStr">
        <is>
          <t>watches</t>
        </is>
      </c>
      <c r="G330" t="inlineStr">
        <is>
          <t>offline</t>
        </is>
      </c>
      <c r="H330" t="inlineStr">
        <is>
          <t>eagle</t>
        </is>
      </c>
      <c r="L330" t="inlineStr">
        <is>
          <t>reseller</t>
        </is>
      </c>
      <c r="N330" t="n">
        <v>0</v>
      </c>
    </row>
    <row r="331">
      <c r="A331" t="inlineStr">
        <is>
          <t>a0a7ffa593070c447c15f66e0aab9785</t>
        </is>
      </c>
      <c r="B331" t="inlineStr">
        <is>
          <t>ffa6adafb71b807dc13159e26431354c</t>
        </is>
      </c>
      <c r="C331" t="inlineStr">
        <is>
          <t>9e4d1098a3b0f5da39b0bc48f9876645</t>
        </is>
      </c>
      <c r="D331" t="inlineStr">
        <is>
          <t>6565aa9ce3178a5caf6171827af3a9ba</t>
        </is>
      </c>
      <c r="E331" s="30" t="n">
        <v>43151.7391087963</v>
      </c>
      <c r="F331" t="inlineStr">
        <is>
          <t>car_accessories</t>
        </is>
      </c>
      <c r="G331" t="inlineStr">
        <is>
          <t>online_big</t>
        </is>
      </c>
      <c r="H331" t="inlineStr">
        <is>
          <t>eagle</t>
        </is>
      </c>
      <c r="L331" t="inlineStr">
        <is>
          <t>manufacturer</t>
        </is>
      </c>
      <c r="N331" t="n">
        <v>0</v>
      </c>
    </row>
    <row r="332">
      <c r="A332" t="inlineStr">
        <is>
          <t>55dbee9943100076f718829ec0359185</t>
        </is>
      </c>
      <c r="B332" t="inlineStr">
        <is>
          <t>14c9e2cbff9aaf67afd967798a651733</t>
        </is>
      </c>
      <c r="C332" t="inlineStr">
        <is>
          <t>56bf83c4bb35763a51c2baab501b4c67</t>
        </is>
      </c>
      <c r="D332" t="inlineStr">
        <is>
          <t>6565aa9ce3178a5caf6171827af3a9ba</t>
        </is>
      </c>
      <c r="E332" s="30" t="n">
        <v>43182.74905092592</v>
      </c>
      <c r="F332" t="inlineStr">
        <is>
          <t>food_supplement</t>
        </is>
      </c>
      <c r="G332" t="inlineStr">
        <is>
          <t>online_big</t>
        </is>
      </c>
      <c r="H332" t="inlineStr">
        <is>
          <t>cat</t>
        </is>
      </c>
      <c r="L332" t="inlineStr">
        <is>
          <t>reseller</t>
        </is>
      </c>
      <c r="N332" t="n">
        <v>0</v>
      </c>
    </row>
    <row r="333">
      <c r="A333" t="inlineStr">
        <is>
          <t>4fdeceef54c4e757fdbf8ea9132b22c9</t>
        </is>
      </c>
      <c r="B333" t="inlineStr">
        <is>
          <t>447d377bdb757058acb569025ee18a93</t>
        </is>
      </c>
      <c r="C333" t="inlineStr">
        <is>
          <t>4b339f9567d060bcea4f5136b9f5949e</t>
        </is>
      </c>
      <c r="D333" t="inlineStr">
        <is>
          <t>fbf4aef3f6915dc0c3c97d6812522f6a</t>
        </is>
      </c>
      <c r="E333" s="30" t="n">
        <v>43126.5165625</v>
      </c>
      <c r="F333" t="inlineStr">
        <is>
          <t>toys</t>
        </is>
      </c>
      <c r="G333" t="inlineStr">
        <is>
          <t>online_medium</t>
        </is>
      </c>
      <c r="L333" t="inlineStr">
        <is>
          <t>reseller</t>
        </is>
      </c>
      <c r="N333" t="n">
        <v>0</v>
      </c>
    </row>
    <row r="334">
      <c r="A334" t="inlineStr">
        <is>
          <t>d348734a9ee240ebc4c0937a6e755621</t>
        </is>
      </c>
      <c r="B334" t="inlineStr">
        <is>
          <t>f0533bc9cc3111a0b2f8198157a34571</t>
        </is>
      </c>
      <c r="C334" t="inlineStr">
        <is>
          <t>56bf83c4bb35763a51c2baab501b4c67</t>
        </is>
      </c>
      <c r="D334" t="inlineStr">
        <is>
          <t>060c0a26f19f4d66b42e0d8796688490</t>
        </is>
      </c>
      <c r="E334" s="30" t="n">
        <v>43138.75769675926</v>
      </c>
      <c r="F334" t="inlineStr">
        <is>
          <t>health_beauty</t>
        </is>
      </c>
      <c r="G334" t="inlineStr">
        <is>
          <t>online_medium</t>
        </is>
      </c>
      <c r="L334" t="inlineStr">
        <is>
          <t>reseller</t>
        </is>
      </c>
      <c r="N334" t="n">
        <v>0</v>
      </c>
    </row>
    <row r="335">
      <c r="A335" t="inlineStr">
        <is>
          <t>0f7a3e9f4a5a415ee8d01aa7ad65ab7a</t>
        </is>
      </c>
      <c r="B335" t="inlineStr">
        <is>
          <t>1f7dfad2cb384ea4d2d7e1ffbd78c407</t>
        </is>
      </c>
      <c r="C335" t="inlineStr">
        <is>
          <t>34d40cdaf94010a1d05b0d6212f9e909</t>
        </is>
      </c>
      <c r="D335" t="inlineStr">
        <is>
          <t>9e4d1098a3b0f5da39b0bc48f9876645</t>
        </is>
      </c>
      <c r="E335" s="30" t="n">
        <v>43210.125</v>
      </c>
      <c r="F335" t="inlineStr">
        <is>
          <t>toys</t>
        </is>
      </c>
      <c r="G335" t="inlineStr">
        <is>
          <t>industry</t>
        </is>
      </c>
      <c r="H335" t="inlineStr">
        <is>
          <t>cat</t>
        </is>
      </c>
      <c r="L335" t="inlineStr">
        <is>
          <t>manufacturer</t>
        </is>
      </c>
      <c r="N335" t="n">
        <v>0</v>
      </c>
    </row>
    <row r="336">
      <c r="A336" t="inlineStr">
        <is>
          <t>04921466d09d50f6541fdd33b322c876</t>
        </is>
      </c>
      <c r="B336" t="inlineStr">
        <is>
          <t>8de8fe3af4449ed695d2434c933ed73e</t>
        </is>
      </c>
      <c r="C336" t="inlineStr">
        <is>
          <t>4b339f9567d060bcea4f5136b9f5949e</t>
        </is>
      </c>
      <c r="D336" t="inlineStr">
        <is>
          <t>56bf83c4bb35763a51c2baab501b4c67</t>
        </is>
      </c>
      <c r="E336" s="30" t="n">
        <v>43259.79844907407</v>
      </c>
      <c r="F336" t="inlineStr">
        <is>
          <t>air_conditioning</t>
        </is>
      </c>
      <c r="G336" t="inlineStr">
        <is>
          <t>online_medium</t>
        </is>
      </c>
      <c r="H336" t="inlineStr">
        <is>
          <t>shark</t>
        </is>
      </c>
      <c r="L336" t="inlineStr">
        <is>
          <t>reseller</t>
        </is>
      </c>
      <c r="N336" t="n">
        <v>0</v>
      </c>
    </row>
    <row r="337">
      <c r="A337" t="inlineStr">
        <is>
          <t>9b6e0fb52eba76006d3d11ead82fad4d</t>
        </is>
      </c>
      <c r="B337" t="inlineStr">
        <is>
          <t>ceb123995e945aab9f7c259819f70a2e</t>
        </is>
      </c>
      <c r="C337" t="inlineStr">
        <is>
          <t>45749fb708130f78d0db07d8d80f030b</t>
        </is>
      </c>
      <c r="D337" t="inlineStr">
        <is>
          <t>9749123c950bf8363ace42cb1c2d0815</t>
        </is>
      </c>
      <c r="E337" s="30" t="n">
        <v>43383.05273148148</v>
      </c>
      <c r="F337" t="inlineStr">
        <is>
          <t>construction_tools_house_garden</t>
        </is>
      </c>
      <c r="G337" t="inlineStr">
        <is>
          <t>online_medium</t>
        </is>
      </c>
      <c r="H337" t="inlineStr">
        <is>
          <t>wolf</t>
        </is>
      </c>
      <c r="I337" t="b">
        <v>1</v>
      </c>
      <c r="J337" t="b">
        <v>0</v>
      </c>
      <c r="K337" t="inlineStr">
        <is>
          <t>20-50</t>
        </is>
      </c>
      <c r="L337" t="inlineStr">
        <is>
          <t>reseller</t>
        </is>
      </c>
      <c r="M337" t="n">
        <v>20</v>
      </c>
      <c r="N337" t="n">
        <v>15000</v>
      </c>
    </row>
    <row r="338">
      <c r="A338" t="inlineStr">
        <is>
          <t>e84d3444422cda735543114cf5df6b95</t>
        </is>
      </c>
      <c r="B338" t="inlineStr">
        <is>
          <t>db2956745b3a8e9f3785c99f34b5d25e</t>
        </is>
      </c>
      <c r="C338" t="inlineStr">
        <is>
          <t>9d12ef1a7eca3ec58c545c678af7869c</t>
        </is>
      </c>
      <c r="D338" t="inlineStr">
        <is>
          <t>de63de0d10a6012430098db33c679b0b</t>
        </is>
      </c>
      <c r="E338" s="30" t="n">
        <v>43181.81601851852</v>
      </c>
      <c r="F338" t="inlineStr">
        <is>
          <t>audio_video_electronics</t>
        </is>
      </c>
      <c r="G338" t="inlineStr">
        <is>
          <t>online_medium</t>
        </is>
      </c>
      <c r="H338" t="inlineStr">
        <is>
          <t>cat</t>
        </is>
      </c>
      <c r="L338" t="inlineStr">
        <is>
          <t>manufacturer</t>
        </is>
      </c>
      <c r="N338" t="n">
        <v>0</v>
      </c>
    </row>
    <row r="339">
      <c r="A339" t="inlineStr">
        <is>
          <t>70e177868d7bc383ce3ea10b6f976ada</t>
        </is>
      </c>
      <c r="B339" t="inlineStr">
        <is>
          <t>c5f7e746b7e6d07def6c0dae9903279b</t>
        </is>
      </c>
      <c r="C339" t="inlineStr">
        <is>
          <t>56bf83c4bb35763a51c2baab501b4c67</t>
        </is>
      </c>
      <c r="D339" t="inlineStr">
        <is>
          <t>d3d1e91a157ea7f90548eef82f1955e3</t>
        </is>
      </c>
      <c r="E339" s="30" t="n">
        <v>43160.51581018518</v>
      </c>
      <c r="F339" t="inlineStr">
        <is>
          <t>pet</t>
        </is>
      </c>
      <c r="G339" t="inlineStr">
        <is>
          <t>industry</t>
        </is>
      </c>
      <c r="L339" t="inlineStr">
        <is>
          <t>reseller</t>
        </is>
      </c>
      <c r="N339" t="n">
        <v>0</v>
      </c>
    </row>
    <row r="340">
      <c r="A340" t="inlineStr">
        <is>
          <t>cdca41db5ada4bf3e8e608a495066165</t>
        </is>
      </c>
      <c r="B340" t="inlineStr">
        <is>
          <t>bf28429c4b2c63d4a66f2a1ef89e7cfa</t>
        </is>
      </c>
      <c r="C340" t="inlineStr">
        <is>
          <t>fdb16d3cbbeb5798f2f66c4096be026d</t>
        </is>
      </c>
      <c r="D340" t="inlineStr">
        <is>
          <t>d3d1e91a157ea7f90548eef82f1955e3</t>
        </is>
      </c>
      <c r="E340" s="30" t="n">
        <v>43147.83972222222</v>
      </c>
      <c r="F340" t="inlineStr">
        <is>
          <t>computers</t>
        </is>
      </c>
      <c r="G340" t="inlineStr">
        <is>
          <t>online_medium</t>
        </is>
      </c>
      <c r="H340" t="inlineStr">
        <is>
          <t>cat</t>
        </is>
      </c>
      <c r="L340" t="inlineStr">
        <is>
          <t>reseller</t>
        </is>
      </c>
      <c r="N340" t="n">
        <v>0</v>
      </c>
    </row>
    <row r="341">
      <c r="A341" t="inlineStr">
        <is>
          <t>479f751686a3b7f1783994dd56619558</t>
        </is>
      </c>
      <c r="B341" t="inlineStr">
        <is>
          <t>684ffe8bd167b50565e8546d7a99ec63</t>
        </is>
      </c>
      <c r="C341" t="inlineStr">
        <is>
          <t>9d12ef1a7eca3ec58c545c678af7869c</t>
        </is>
      </c>
      <c r="D341" t="inlineStr">
        <is>
          <t>2695de1affa7750089c0455f8ce27021</t>
        </is>
      </c>
      <c r="E341" s="30" t="n">
        <v>43207.75887731482</v>
      </c>
      <c r="F341" t="inlineStr">
        <is>
          <t>home_decor</t>
        </is>
      </c>
      <c r="G341" t="inlineStr">
        <is>
          <t>online_medium</t>
        </is>
      </c>
      <c r="H341" t="inlineStr">
        <is>
          <t>wolf</t>
        </is>
      </c>
      <c r="L341" t="inlineStr">
        <is>
          <t>manufacturer</t>
        </is>
      </c>
      <c r="N341" t="n">
        <v>0</v>
      </c>
    </row>
    <row r="342">
      <c r="A342" t="inlineStr">
        <is>
          <t>b43f5f80ddc7bcfebd6cd94e13554e4a</t>
        </is>
      </c>
      <c r="B342" t="inlineStr">
        <is>
          <t>0fca1de8751a104ca87890f19f363d4d</t>
        </is>
      </c>
      <c r="C342" t="inlineStr">
        <is>
          <t>56bf83c4bb35763a51c2baab501b4c67</t>
        </is>
      </c>
      <c r="D342" t="inlineStr">
        <is>
          <t>de63de0d10a6012430098db33c679b0b</t>
        </is>
      </c>
      <c r="E342" s="30" t="n">
        <v>43175.59894675926</v>
      </c>
      <c r="F342" t="inlineStr">
        <is>
          <t>bags_backpacks</t>
        </is>
      </c>
      <c r="G342" t="inlineStr">
        <is>
          <t>online_small</t>
        </is>
      </c>
      <c r="H342" t="inlineStr">
        <is>
          <t>eagle</t>
        </is>
      </c>
      <c r="L342" t="inlineStr">
        <is>
          <t>manufacturer</t>
        </is>
      </c>
      <c r="N342" t="n">
        <v>0</v>
      </c>
    </row>
    <row r="343">
      <c r="A343" t="inlineStr">
        <is>
          <t>860e39bc33e7c4ca4c26ec67979cc290</t>
        </is>
      </c>
      <c r="B343" t="inlineStr">
        <is>
          <t>4bfc7a4a1cf8d4d2121c27422d9e50b5</t>
        </is>
      </c>
      <c r="C343" t="inlineStr">
        <is>
          <t>a8387c01a09e99ce014107505b92388c</t>
        </is>
      </c>
      <c r="D343" t="inlineStr">
        <is>
          <t>2695de1affa7750089c0455f8ce27021</t>
        </is>
      </c>
      <c r="E343" s="30" t="n">
        <v>43167.125</v>
      </c>
      <c r="F343" t="inlineStr">
        <is>
          <t>home_decor</t>
        </is>
      </c>
      <c r="G343" t="inlineStr">
        <is>
          <t>online_big</t>
        </is>
      </c>
      <c r="H343" t="inlineStr">
        <is>
          <t>cat</t>
        </is>
      </c>
      <c r="L343" t="inlineStr">
        <is>
          <t>reseller</t>
        </is>
      </c>
      <c r="N343" t="n">
        <v>0</v>
      </c>
    </row>
    <row r="344">
      <c r="A344" t="inlineStr">
        <is>
          <t>03ba283fed2772f4e477eea4f0f236b8</t>
        </is>
      </c>
      <c r="B344" t="inlineStr">
        <is>
          <t>98d634015211a1cd9b861e59b6d1b79b</t>
        </is>
      </c>
      <c r="C344" t="inlineStr">
        <is>
          <t>4b339f9567d060bcea4f5136b9f5949e</t>
        </is>
      </c>
      <c r="D344" t="inlineStr">
        <is>
          <t>fbf4aef3f6915dc0c3c97d6812522f6a</t>
        </is>
      </c>
      <c r="E344" s="30" t="n">
        <v>43175.58157407407</v>
      </c>
      <c r="F344" t="inlineStr">
        <is>
          <t>food_drink</t>
        </is>
      </c>
      <c r="G344" t="inlineStr">
        <is>
          <t>online_medium</t>
        </is>
      </c>
      <c r="H344" t="inlineStr">
        <is>
          <t>cat</t>
        </is>
      </c>
      <c r="L344" t="inlineStr">
        <is>
          <t>manufacturer</t>
        </is>
      </c>
      <c r="N344" t="n">
        <v>0</v>
      </c>
    </row>
    <row r="345">
      <c r="A345" t="inlineStr">
        <is>
          <t>9f11e692a2a53a8382be86ee9713763c</t>
        </is>
      </c>
      <c r="B345" t="inlineStr">
        <is>
          <t>6267b2cd3c8d9bfa2cc778c11d54e76c</t>
        </is>
      </c>
      <c r="C345" t="inlineStr">
        <is>
          <t>fdb16d3cbbeb5798f2f66c4096be026d</t>
        </is>
      </c>
      <c r="D345" t="inlineStr">
        <is>
          <t>6565aa9ce3178a5caf6171827af3a9ba</t>
        </is>
      </c>
      <c r="E345" s="30" t="n">
        <v>43174.79888888889</v>
      </c>
      <c r="F345" t="inlineStr">
        <is>
          <t>jewerly</t>
        </is>
      </c>
      <c r="G345" t="inlineStr">
        <is>
          <t>industry</t>
        </is>
      </c>
      <c r="L345" t="inlineStr">
        <is>
          <t>reseller</t>
        </is>
      </c>
      <c r="N345" t="n">
        <v>0</v>
      </c>
    </row>
    <row r="346">
      <c r="A346" t="inlineStr">
        <is>
          <t>f613b01d52b86da04ae810f173d5aaef</t>
        </is>
      </c>
      <c r="B346" t="inlineStr">
        <is>
          <t>f093be9f8ecb3904adb95cbe76434e1c</t>
        </is>
      </c>
      <c r="C346" t="inlineStr">
        <is>
          <t>370c9f455f93a9a96cbe9bea48e70033</t>
        </is>
      </c>
      <c r="D346" t="inlineStr">
        <is>
          <t>2695de1affa7750089c0455f8ce27021</t>
        </is>
      </c>
      <c r="E346" s="30" t="n">
        <v>43398.71986111111</v>
      </c>
      <c r="F346" t="inlineStr">
        <is>
          <t>music_instruments</t>
        </is>
      </c>
      <c r="G346" t="inlineStr">
        <is>
          <t>online_beginner</t>
        </is>
      </c>
      <c r="H346" t="inlineStr">
        <is>
          <t>cat</t>
        </is>
      </c>
      <c r="L346" t="inlineStr">
        <is>
          <t>manufacturer</t>
        </is>
      </c>
      <c r="M346" t="n">
        <v>100</v>
      </c>
      <c r="N346" t="n">
        <v>0</v>
      </c>
    </row>
    <row r="347">
      <c r="A347" t="inlineStr">
        <is>
          <t>a045219c760c6f765dfb3c5a6abf54c0</t>
        </is>
      </c>
      <c r="B347" t="inlineStr">
        <is>
          <t>6e1706430e9dda78c8d2d5dd1f36d545</t>
        </is>
      </c>
      <c r="C347" t="inlineStr">
        <is>
          <t>4b339f9567d060bcea4f5136b9f5949e</t>
        </is>
      </c>
      <c r="D347" t="inlineStr">
        <is>
          <t>6565aa9ce3178a5caf6171827af3a9ba</t>
        </is>
      </c>
      <c r="E347" s="30" t="n">
        <v>43220.87400462963</v>
      </c>
      <c r="F347" t="inlineStr">
        <is>
          <t>food_supplement</t>
        </is>
      </c>
      <c r="G347" t="inlineStr">
        <is>
          <t>industry</t>
        </is>
      </c>
      <c r="H347" t="inlineStr">
        <is>
          <t>cat</t>
        </is>
      </c>
      <c r="L347" t="inlineStr">
        <is>
          <t>manufacturer</t>
        </is>
      </c>
      <c r="N347" t="n">
        <v>0</v>
      </c>
    </row>
    <row r="348">
      <c r="A348" t="inlineStr">
        <is>
          <t>ba7fb7aa93b1203a1f5e19b0857870e3</t>
        </is>
      </c>
      <c r="B348" t="inlineStr">
        <is>
          <t>bec568278124768c474ee90971ca94d1</t>
        </is>
      </c>
      <c r="C348" t="inlineStr">
        <is>
          <t>4b339f9567d060bcea4f5136b9f5949e</t>
        </is>
      </c>
      <c r="D348" t="inlineStr">
        <is>
          <t>2695de1affa7750089c0455f8ce27021</t>
        </is>
      </c>
      <c r="E348" s="30" t="n">
        <v>43256.56587962963</v>
      </c>
      <c r="F348" t="inlineStr">
        <is>
          <t>home_decor</t>
        </is>
      </c>
      <c r="G348" t="inlineStr">
        <is>
          <t>online_beginner</t>
        </is>
      </c>
      <c r="H348" t="inlineStr">
        <is>
          <t>cat</t>
        </is>
      </c>
      <c r="L348" t="inlineStr">
        <is>
          <t>reseller</t>
        </is>
      </c>
      <c r="N348" t="n">
        <v>0</v>
      </c>
    </row>
    <row r="349">
      <c r="A349" t="inlineStr">
        <is>
          <t>d2108470e2824da1f619e91a0e4784d0</t>
        </is>
      </c>
      <c r="B349" t="inlineStr">
        <is>
          <t>762fafdaa57a532ee0119731697579dd</t>
        </is>
      </c>
      <c r="C349" t="inlineStr">
        <is>
          <t>068066e24f0c643eb1d089c7dd20cd73</t>
        </is>
      </c>
      <c r="D349" t="inlineStr">
        <is>
          <t>d3d1e91a157ea7f90548eef82f1955e3</t>
        </is>
      </c>
      <c r="E349" s="30" t="n">
        <v>43159.92876157408</v>
      </c>
      <c r="F349" t="inlineStr">
        <is>
          <t>toys</t>
        </is>
      </c>
      <c r="G349" t="inlineStr">
        <is>
          <t>online_beginner</t>
        </is>
      </c>
      <c r="H349" t="inlineStr">
        <is>
          <t>cat</t>
        </is>
      </c>
      <c r="L349" t="inlineStr">
        <is>
          <t>reseller</t>
        </is>
      </c>
      <c r="N349" t="n">
        <v>0</v>
      </c>
    </row>
    <row r="350">
      <c r="A350" t="inlineStr">
        <is>
          <t>d8da124409cad437d5d2c35b101e3b91</t>
        </is>
      </c>
      <c r="B350" t="inlineStr">
        <is>
          <t>d263fa444c1504a75cbca5cc465f592a</t>
        </is>
      </c>
      <c r="C350" t="inlineStr">
        <is>
          <t>56bf83c4bb35763a51c2baab501b4c67</t>
        </is>
      </c>
      <c r="D350" t="inlineStr">
        <is>
          <t>6565aa9ce3178a5caf6171827af3a9ba</t>
        </is>
      </c>
      <c r="E350" s="30" t="n">
        <v>43188.52415509259</v>
      </c>
      <c r="F350" t="inlineStr">
        <is>
          <t>gifts</t>
        </is>
      </c>
      <c r="G350" t="inlineStr">
        <is>
          <t>offline</t>
        </is>
      </c>
      <c r="L350" t="inlineStr">
        <is>
          <t>reseller</t>
        </is>
      </c>
      <c r="N350" t="n">
        <v>0</v>
      </c>
    </row>
    <row r="351">
      <c r="A351" t="inlineStr">
        <is>
          <t>37e3398f030e206491f4a61b69d39faa</t>
        </is>
      </c>
      <c r="B351" t="inlineStr">
        <is>
          <t>cb9942fc1981289d7e809573bc69c7db</t>
        </is>
      </c>
      <c r="C351" t="inlineStr">
        <is>
          <t>6b13bcea409754a002210eb96b8aad4a</t>
        </is>
      </c>
      <c r="D351" t="inlineStr">
        <is>
          <t>6565aa9ce3178a5caf6171827af3a9ba</t>
        </is>
      </c>
      <c r="E351" s="30" t="n">
        <v>43122.55700231482</v>
      </c>
      <c r="F351" t="inlineStr">
        <is>
          <t>books</t>
        </is>
      </c>
      <c r="G351" t="inlineStr">
        <is>
          <t>online_small</t>
        </is>
      </c>
      <c r="L351" t="inlineStr">
        <is>
          <t>manufacturer</t>
        </is>
      </c>
      <c r="N351" t="n">
        <v>0</v>
      </c>
    </row>
    <row r="352">
      <c r="A352" t="inlineStr">
        <is>
          <t>b5d3329593899c7a29511c6110bdc575</t>
        </is>
      </c>
      <c r="B352" t="inlineStr">
        <is>
          <t>2cadea330183af560c84a87409e5c0e0</t>
        </is>
      </c>
      <c r="C352" t="inlineStr">
        <is>
          <t>9e4d1098a3b0f5da39b0bc48f9876645</t>
        </is>
      </c>
      <c r="D352" t="inlineStr">
        <is>
          <t>c638112b43f1d1b86dcabb0da720c901</t>
        </is>
      </c>
      <c r="E352" s="30" t="n">
        <v>43178.76401620371</v>
      </c>
      <c r="F352" t="inlineStr">
        <is>
          <t>car_accessories</t>
        </is>
      </c>
      <c r="G352" t="inlineStr">
        <is>
          <t>online_medium</t>
        </is>
      </c>
      <c r="H352" t="inlineStr">
        <is>
          <t>cat</t>
        </is>
      </c>
      <c r="L352" t="inlineStr">
        <is>
          <t>reseller</t>
        </is>
      </c>
      <c r="N352" t="n">
        <v>0</v>
      </c>
    </row>
    <row r="353">
      <c r="A353" t="inlineStr">
        <is>
          <t>56e421575126bfe4c0592353bab5cfe6</t>
        </is>
      </c>
      <c r="B353" t="inlineStr">
        <is>
          <t>1f080fb8ad65b21e195b903bd366ae68</t>
        </is>
      </c>
      <c r="C353" t="inlineStr">
        <is>
          <t>370c9f455f93a9a96cbe9bea48e70033</t>
        </is>
      </c>
      <c r="D353" t="inlineStr">
        <is>
          <t>56bf83c4bb35763a51c2baab501b4c67</t>
        </is>
      </c>
      <c r="E353" s="30" t="n">
        <v>43258.583125</v>
      </c>
      <c r="F353" t="inlineStr">
        <is>
          <t>pet</t>
        </is>
      </c>
      <c r="G353" t="inlineStr">
        <is>
          <t>online_medium</t>
        </is>
      </c>
      <c r="H353" t="inlineStr">
        <is>
          <t>cat</t>
        </is>
      </c>
      <c r="L353" t="inlineStr">
        <is>
          <t>reseller</t>
        </is>
      </c>
      <c r="N353" t="n">
        <v>0</v>
      </c>
    </row>
    <row r="354">
      <c r="A354" t="inlineStr">
        <is>
          <t>50cd562760a5819b07a9da2239046ef0</t>
        </is>
      </c>
      <c r="B354" t="inlineStr">
        <is>
          <t>95081451c156a9d11136ecfc5422a20f</t>
        </is>
      </c>
      <c r="C354" t="inlineStr">
        <is>
          <t>068066e24f0c643eb1d089c7dd20cd73</t>
        </is>
      </c>
      <c r="D354" t="inlineStr">
        <is>
          <t>6565aa9ce3178a5caf6171827af3a9ba</t>
        </is>
      </c>
      <c r="E354" s="30" t="n">
        <v>43214.58670138889</v>
      </c>
      <c r="F354" t="inlineStr">
        <is>
          <t>car_accessories</t>
        </is>
      </c>
      <c r="G354" t="inlineStr">
        <is>
          <t>online_medium</t>
        </is>
      </c>
      <c r="H354" t="inlineStr">
        <is>
          <t>cat</t>
        </is>
      </c>
      <c r="L354" t="inlineStr">
        <is>
          <t>reseller</t>
        </is>
      </c>
      <c r="N354" t="n">
        <v>0</v>
      </c>
    </row>
    <row r="355">
      <c r="A355" t="inlineStr">
        <is>
          <t>888a8ba5a910f3b25c9b95dedfdc04b2</t>
        </is>
      </c>
      <c r="B355" t="inlineStr">
        <is>
          <t>b30aab8e0bdb2b3876d33df69222cc5b</t>
        </is>
      </c>
      <c r="C355" t="inlineStr">
        <is>
          <t>f42a2bd194f7802ab052a815c8de65b7</t>
        </is>
      </c>
      <c r="D355" t="inlineStr">
        <is>
          <t>9749123c950bf8363ace42cb1c2d0815</t>
        </is>
      </c>
      <c r="E355" s="30" t="n">
        <v>43346.125</v>
      </c>
      <c r="F355" t="inlineStr">
        <is>
          <t>household_utilities</t>
        </is>
      </c>
      <c r="G355" t="inlineStr">
        <is>
          <t>offline</t>
        </is>
      </c>
      <c r="H355" t="inlineStr">
        <is>
          <t>wolf</t>
        </is>
      </c>
      <c r="I355" t="b">
        <v>1</v>
      </c>
      <c r="J355" t="b">
        <v>1</v>
      </c>
      <c r="L355" t="inlineStr">
        <is>
          <t>reseller</t>
        </is>
      </c>
      <c r="M355" t="n">
        <v>1</v>
      </c>
      <c r="N355" t="n">
        <v>0</v>
      </c>
    </row>
    <row r="356">
      <c r="A356" t="inlineStr">
        <is>
          <t>1160b456c2b0d88893e20daf51f80f39</t>
        </is>
      </c>
      <c r="B356" t="inlineStr">
        <is>
          <t>bd57c88dfa162e7a0f5284a25935af65</t>
        </is>
      </c>
      <c r="C356" t="inlineStr">
        <is>
          <t>4b339f9567d060bcea4f5136b9f5949e</t>
        </is>
      </c>
      <c r="D356" t="inlineStr">
        <is>
          <t>6565aa9ce3178a5caf6171827af3a9ba</t>
        </is>
      </c>
      <c r="E356" s="30" t="n">
        <v>43266.58671296296</v>
      </c>
      <c r="F356" t="inlineStr">
        <is>
          <t>home_decor</t>
        </is>
      </c>
      <c r="G356" t="inlineStr">
        <is>
          <t>industry</t>
        </is>
      </c>
      <c r="H356" t="inlineStr">
        <is>
          <t>cat</t>
        </is>
      </c>
      <c r="L356" t="inlineStr">
        <is>
          <t>manufacturer</t>
        </is>
      </c>
      <c r="N356" t="n">
        <v>0</v>
      </c>
    </row>
    <row r="357">
      <c r="A357" t="inlineStr">
        <is>
          <t>da96552c519b38a0d1b5dabc42e6be00</t>
        </is>
      </c>
      <c r="B357" t="inlineStr">
        <is>
          <t>b03a9c9814f98280b6d91cb560eeda5b</t>
        </is>
      </c>
      <c r="C357" t="inlineStr">
        <is>
          <t>0a0fb2b07d841f84fb6714e35c723075</t>
        </is>
      </c>
      <c r="D357" t="inlineStr">
        <is>
          <t>6565aa9ce3178a5caf6171827af3a9ba</t>
        </is>
      </c>
      <c r="E357" s="30" t="n">
        <v>43263.82945601852</v>
      </c>
      <c r="F357" t="inlineStr">
        <is>
          <t>car_accessories</t>
        </is>
      </c>
      <c r="G357" t="inlineStr">
        <is>
          <t>industry</t>
        </is>
      </c>
      <c r="H357" t="inlineStr">
        <is>
          <t>eagle</t>
        </is>
      </c>
      <c r="L357" t="inlineStr">
        <is>
          <t>reseller</t>
        </is>
      </c>
      <c r="N357" t="n">
        <v>0</v>
      </c>
    </row>
    <row r="358">
      <c r="A358" t="inlineStr">
        <is>
          <t>3fc2d2c3597b3e7b87c17651f98f6c22</t>
        </is>
      </c>
      <c r="B358" t="inlineStr">
        <is>
          <t>6514418ce691fad2663207c14a1fc1f4</t>
        </is>
      </c>
      <c r="C358" t="inlineStr">
        <is>
          <t>b90f87164b5f8c2cfa5c8572834dbe3f</t>
        </is>
      </c>
      <c r="D358" t="inlineStr">
        <is>
          <t>9ae085775a198122c5586fa830ff7f2b</t>
        </is>
      </c>
      <c r="E358" s="30" t="n">
        <v>43340.89643518518</v>
      </c>
      <c r="F358" t="inlineStr">
        <is>
          <t>food_drink</t>
        </is>
      </c>
      <c r="G358" t="inlineStr">
        <is>
          <t>industry</t>
        </is>
      </c>
      <c r="H358" t="inlineStr">
        <is>
          <t>cat</t>
        </is>
      </c>
      <c r="I358" t="b">
        <v>0</v>
      </c>
      <c r="J358" t="b">
        <v>1</v>
      </c>
      <c r="K358" t="inlineStr">
        <is>
          <t>50-200</t>
        </is>
      </c>
      <c r="L358" t="inlineStr">
        <is>
          <t>reseller</t>
        </is>
      </c>
      <c r="N358" t="n">
        <v>0</v>
      </c>
    </row>
    <row r="359">
      <c r="A359" t="inlineStr">
        <is>
          <t>70217dd96da535e0b862ae12245c8906</t>
        </is>
      </c>
      <c r="B359" t="inlineStr">
        <is>
          <t>3f9be91358837bff69df67edfa3e42e8</t>
        </is>
      </c>
      <c r="C359" t="inlineStr">
        <is>
          <t>9e4d1098a3b0f5da39b0bc48f9876645</t>
        </is>
      </c>
      <c r="D359" t="inlineStr">
        <is>
          <t>495d4e95a8cf8bbf8b432b612a2aa328</t>
        </is>
      </c>
      <c r="E359" s="30" t="n">
        <v>43160.73938657407</v>
      </c>
      <c r="F359" t="inlineStr">
        <is>
          <t>pet</t>
        </is>
      </c>
      <c r="G359" t="inlineStr">
        <is>
          <t>online_medium</t>
        </is>
      </c>
      <c r="H359" t="inlineStr">
        <is>
          <t>cat</t>
        </is>
      </c>
      <c r="L359" t="inlineStr">
        <is>
          <t>reseller</t>
        </is>
      </c>
      <c r="N359" t="n">
        <v>0</v>
      </c>
    </row>
    <row r="360">
      <c r="A360" t="inlineStr">
        <is>
          <t>e633a3d4fb3db2c7665c170c80db6717</t>
        </is>
      </c>
      <c r="B360" t="inlineStr">
        <is>
          <t>c1319b7d63c25ad7838d268fec93d0fa</t>
        </is>
      </c>
      <c r="C360" t="inlineStr">
        <is>
          <t>56bf83c4bb35763a51c2baab501b4c67</t>
        </is>
      </c>
      <c r="D360" t="inlineStr">
        <is>
          <t>de63de0d10a6012430098db33c679b0b</t>
        </is>
      </c>
      <c r="E360" s="30" t="n">
        <v>43220.90835648148</v>
      </c>
      <c r="F360" t="inlineStr">
        <is>
          <t>audio_video_electronics</t>
        </is>
      </c>
      <c r="G360" t="inlineStr">
        <is>
          <t>online_big</t>
        </is>
      </c>
      <c r="H360" t="inlineStr">
        <is>
          <t>cat</t>
        </is>
      </c>
      <c r="L360" t="inlineStr">
        <is>
          <t>manufacturer</t>
        </is>
      </c>
      <c r="N360" t="n">
        <v>0</v>
      </c>
    </row>
    <row r="361">
      <c r="A361" t="inlineStr">
        <is>
          <t>29237848f862237c97d24f2cd71f89c9</t>
        </is>
      </c>
      <c r="B361" t="inlineStr">
        <is>
          <t>b6a59a960c14aab3c683a673d03ca2ab</t>
        </is>
      </c>
      <c r="C361" t="inlineStr">
        <is>
          <t>56bf83c4bb35763a51c2baab501b4c67</t>
        </is>
      </c>
      <c r="D361" t="inlineStr">
        <is>
          <t>4ef15afb4b2723d8f3d81e51ec7afefe</t>
        </is>
      </c>
      <c r="E361" s="30" t="n">
        <v>43123.48174768518</v>
      </c>
      <c r="F361" t="inlineStr">
        <is>
          <t>health_beauty</t>
        </is>
      </c>
      <c r="G361" t="inlineStr">
        <is>
          <t>offline</t>
        </is>
      </c>
      <c r="L361" t="inlineStr">
        <is>
          <t>reseller</t>
        </is>
      </c>
      <c r="N361" t="n">
        <v>0</v>
      </c>
    </row>
    <row r="362">
      <c r="A362" t="inlineStr">
        <is>
          <t>a4caf71cf38708eaf17117f78fa61c9f</t>
        </is>
      </c>
      <c r="B362" t="inlineStr">
        <is>
          <t>871708b5b0c28260241a7ddbcec894c3</t>
        </is>
      </c>
      <c r="C362" t="inlineStr">
        <is>
          <t>068066e24f0c643eb1d089c7dd20cd73</t>
        </is>
      </c>
      <c r="D362" t="inlineStr">
        <is>
          <t>060c0a26f19f4d66b42e0d8796688490</t>
        </is>
      </c>
      <c r="E362" s="30" t="n">
        <v>43209.75731481481</v>
      </c>
      <c r="F362" t="inlineStr">
        <is>
          <t>toys</t>
        </is>
      </c>
      <c r="G362" t="inlineStr">
        <is>
          <t>online_medium</t>
        </is>
      </c>
      <c r="H362" t="inlineStr">
        <is>
          <t>cat</t>
        </is>
      </c>
      <c r="L362" t="inlineStr">
        <is>
          <t>manufacturer</t>
        </is>
      </c>
      <c r="N362" t="n">
        <v>0</v>
      </c>
    </row>
    <row r="363">
      <c r="A363" t="inlineStr">
        <is>
          <t>3d98ceed3d2937a5e819cd5b239220a3</t>
        </is>
      </c>
      <c r="B363" t="inlineStr">
        <is>
          <t>4867209cb29b56b92893d7bde3ce8012</t>
        </is>
      </c>
      <c r="C363" t="inlineStr">
        <is>
          <t>de63de0d10a6012430098db33c679b0b</t>
        </is>
      </c>
      <c r="D363" t="inlineStr">
        <is>
          <t>4ef15afb4b2723d8f3d81e51ec7afefe</t>
        </is>
      </c>
      <c r="E363" s="30" t="n">
        <v>43129.47704861111</v>
      </c>
      <c r="F363" t="inlineStr">
        <is>
          <t>health_beauty</t>
        </is>
      </c>
      <c r="G363" t="inlineStr">
        <is>
          <t>online_small</t>
        </is>
      </c>
      <c r="L363" t="inlineStr">
        <is>
          <t>manufacturer</t>
        </is>
      </c>
      <c r="N363" t="n">
        <v>0</v>
      </c>
    </row>
    <row r="364">
      <c r="A364" t="inlineStr">
        <is>
          <t>e9356c402558dcf285db53208880d47e</t>
        </is>
      </c>
      <c r="B364" t="inlineStr">
        <is>
          <t>e9179018f5d095c744e8a333264f99d1</t>
        </is>
      </c>
      <c r="C364" t="inlineStr">
        <is>
          <t>9e4d1098a3b0f5da39b0bc48f9876645</t>
        </is>
      </c>
      <c r="D364" t="inlineStr">
        <is>
          <t>060c0a26f19f4d66b42e0d8796688490</t>
        </is>
      </c>
      <c r="E364" s="30" t="n">
        <v>43164.53641203704</v>
      </c>
      <c r="F364" t="inlineStr">
        <is>
          <t>construction_tools_house_garden</t>
        </is>
      </c>
      <c r="G364" t="inlineStr">
        <is>
          <t>industry</t>
        </is>
      </c>
      <c r="H364" t="inlineStr">
        <is>
          <t>eagle</t>
        </is>
      </c>
      <c r="L364" t="inlineStr">
        <is>
          <t>reseller</t>
        </is>
      </c>
      <c r="N364" t="n">
        <v>0</v>
      </c>
    </row>
    <row r="365">
      <c r="A365" t="inlineStr">
        <is>
          <t>5c490b208aeecdb2af2f4b6fb696a6fe</t>
        </is>
      </c>
      <c r="B365" t="inlineStr">
        <is>
          <t>5e8fbfbb0b53e303caf57d7408627b73</t>
        </is>
      </c>
      <c r="C365" t="inlineStr">
        <is>
          <t>9d12ef1a7eca3ec58c545c678af7869c</t>
        </is>
      </c>
      <c r="D365" t="inlineStr">
        <is>
          <t>de63de0d10a6012430098db33c679b0b</t>
        </is>
      </c>
      <c r="E365" s="30" t="n">
        <v>43182.83076388889</v>
      </c>
      <c r="F365" t="inlineStr">
        <is>
          <t>home_decor</t>
        </is>
      </c>
      <c r="G365" t="inlineStr">
        <is>
          <t>online_small</t>
        </is>
      </c>
      <c r="H365" t="inlineStr">
        <is>
          <t>cat</t>
        </is>
      </c>
      <c r="L365" t="inlineStr">
        <is>
          <t>manufacturer</t>
        </is>
      </c>
      <c r="N365" t="n">
        <v>0</v>
      </c>
    </row>
    <row r="366">
      <c r="A366" t="inlineStr">
        <is>
          <t>a397cbaf77babef6e8fbbe9b72c7bee7</t>
        </is>
      </c>
      <c r="B366" t="inlineStr">
        <is>
          <t>946a07c34ff7e9eafa2d0ad6c45340ec</t>
        </is>
      </c>
      <c r="C366" t="inlineStr">
        <is>
          <t>4b339f9567d060bcea4f5136b9f5949e</t>
        </is>
      </c>
      <c r="D366" t="inlineStr">
        <is>
          <t>d3d1e91a157ea7f90548eef82f1955e3</t>
        </is>
      </c>
      <c r="E366" s="30" t="n">
        <v>43175.84915509259</v>
      </c>
      <c r="F366" t="inlineStr">
        <is>
          <t>construction_tools_house_garden</t>
        </is>
      </c>
      <c r="G366" t="inlineStr">
        <is>
          <t>online_medium</t>
        </is>
      </c>
      <c r="L366" t="inlineStr">
        <is>
          <t>reseller</t>
        </is>
      </c>
      <c r="N366" t="n">
        <v>0</v>
      </c>
    </row>
    <row r="367">
      <c r="A367" t="inlineStr">
        <is>
          <t>518f741fa426a51c73533c621e5c8107</t>
        </is>
      </c>
      <c r="B367" t="inlineStr">
        <is>
          <t>d4ffeb15b67e81ff9af2b4252d99fb7e</t>
        </is>
      </c>
      <c r="C367" t="inlineStr">
        <is>
          <t>068066e24f0c643eb1d089c7dd20cd73</t>
        </is>
      </c>
      <c r="D367" t="inlineStr">
        <is>
          <t>de63de0d10a6012430098db33c679b0b</t>
        </is>
      </c>
      <c r="E367" s="30" t="n">
        <v>43194.72996527778</v>
      </c>
      <c r="F367" t="inlineStr">
        <is>
          <t>bags_backpacks</t>
        </is>
      </c>
      <c r="G367" t="inlineStr">
        <is>
          <t>online_medium</t>
        </is>
      </c>
      <c r="H367" t="inlineStr">
        <is>
          <t>cat</t>
        </is>
      </c>
      <c r="L367" t="inlineStr">
        <is>
          <t>reseller</t>
        </is>
      </c>
      <c r="N367" t="n">
        <v>0</v>
      </c>
    </row>
    <row r="368">
      <c r="A368" t="inlineStr">
        <is>
          <t>7c01802bb3674e5af58547b0395bcb2d</t>
        </is>
      </c>
      <c r="B368" t="inlineStr">
        <is>
          <t>5e9f5bd34e0830569f05c9d4f56e04a8</t>
        </is>
      </c>
      <c r="C368" t="inlineStr">
        <is>
          <t>9e4d1098a3b0f5da39b0bc48f9876645</t>
        </is>
      </c>
      <c r="D368" t="inlineStr">
        <is>
          <t>fbf4aef3f6915dc0c3c97d6812522f6a</t>
        </is>
      </c>
      <c r="E368" s="30" t="n">
        <v>43187.125</v>
      </c>
      <c r="F368" t="inlineStr">
        <is>
          <t>bags_backpacks</t>
        </is>
      </c>
      <c r="G368" t="inlineStr">
        <is>
          <t>online_medium</t>
        </is>
      </c>
      <c r="H368" t="inlineStr">
        <is>
          <t>eagle</t>
        </is>
      </c>
      <c r="L368" t="inlineStr">
        <is>
          <t>manufacturer</t>
        </is>
      </c>
      <c r="N368" t="n">
        <v>0</v>
      </c>
    </row>
    <row r="369">
      <c r="A369" t="inlineStr">
        <is>
          <t>abcb67d98a01dcf18478fd47823a8dad</t>
        </is>
      </c>
      <c r="B369" t="inlineStr">
        <is>
          <t>b3a449163f5fe8657f2f0c83f41e7a5a</t>
        </is>
      </c>
      <c r="C369" t="inlineStr">
        <is>
          <t>4b339f9567d060bcea4f5136b9f5949e</t>
        </is>
      </c>
      <c r="D369" t="inlineStr">
        <is>
          <t>de63de0d10a6012430098db33c679b0b</t>
        </is>
      </c>
      <c r="E369" s="30" t="n">
        <v>43241.58806712963</v>
      </c>
      <c r="F369" t="inlineStr">
        <is>
          <t>toys</t>
        </is>
      </c>
      <c r="G369" t="inlineStr">
        <is>
          <t>online_medium</t>
        </is>
      </c>
      <c r="H369" t="inlineStr">
        <is>
          <t>eagle</t>
        </is>
      </c>
      <c r="L369" t="inlineStr">
        <is>
          <t>reseller</t>
        </is>
      </c>
      <c r="N369" t="n">
        <v>0</v>
      </c>
    </row>
    <row r="370">
      <c r="A370" t="inlineStr">
        <is>
          <t>8f8161d3a6bdf6a3ba5b28fd35725356</t>
        </is>
      </c>
      <c r="B370" t="inlineStr">
        <is>
          <t>c03fd7fd50f9f421847d970502fe5d26</t>
        </is>
      </c>
      <c r="C370" t="inlineStr">
        <is>
          <t>370c9f455f93a9a96cbe9bea48e70033</t>
        </is>
      </c>
      <c r="D370" t="inlineStr">
        <is>
          <t>4ef15afb4b2723d8f3d81e51ec7afefe</t>
        </is>
      </c>
      <c r="E370" s="30" t="n">
        <v>43201.93142361111</v>
      </c>
      <c r="F370" t="inlineStr">
        <is>
          <t>fashion_accessories</t>
        </is>
      </c>
      <c r="G370" t="inlineStr">
        <is>
          <t>online_beginner</t>
        </is>
      </c>
      <c r="H370" t="inlineStr">
        <is>
          <t>eagle</t>
        </is>
      </c>
      <c r="L370" t="inlineStr">
        <is>
          <t>reseller</t>
        </is>
      </c>
      <c r="N370" t="n">
        <v>0</v>
      </c>
    </row>
    <row r="371">
      <c r="A371" t="inlineStr">
        <is>
          <t>6e4e57e5aacf1a8feffa258c2c6ff947</t>
        </is>
      </c>
      <c r="B371" t="inlineStr">
        <is>
          <t>d8bf0fc082fd4a77fc2e5679b6c00133</t>
        </is>
      </c>
      <c r="C371" t="inlineStr">
        <is>
          <t>09285259593c61296eef10c734121d5b</t>
        </is>
      </c>
      <c r="D371" t="inlineStr">
        <is>
          <t>d3d1e91a157ea7f90548eef82f1955e3</t>
        </is>
      </c>
      <c r="E371" s="30" t="n">
        <v>43196.125</v>
      </c>
      <c r="F371" t="inlineStr">
        <is>
          <t>construction_tools_house_garden</t>
        </is>
      </c>
      <c r="G371" t="inlineStr">
        <is>
          <t>online_medium</t>
        </is>
      </c>
      <c r="H371" t="inlineStr">
        <is>
          <t>wolf</t>
        </is>
      </c>
      <c r="L371" t="inlineStr">
        <is>
          <t>reseller</t>
        </is>
      </c>
      <c r="N371" t="n">
        <v>0</v>
      </c>
    </row>
    <row r="372">
      <c r="A372" t="inlineStr">
        <is>
          <t>384008daaa0f14b58912d8648101fdd0</t>
        </is>
      </c>
      <c r="B372" t="inlineStr">
        <is>
          <t>8a432f4e5b471f8da497d7dc517666e2</t>
        </is>
      </c>
      <c r="C372" t="inlineStr">
        <is>
          <t>9e4d1098a3b0f5da39b0bc48f9876645</t>
        </is>
      </c>
      <c r="D372" t="inlineStr">
        <is>
          <t>c638112b43f1d1b86dcabb0da720c901</t>
        </is>
      </c>
      <c r="E372" s="30" t="n">
        <v>43171.72923611111</v>
      </c>
      <c r="F372" t="inlineStr">
        <is>
          <t>bed_bath_table</t>
        </is>
      </c>
      <c r="G372" t="inlineStr">
        <is>
          <t>online_big</t>
        </is>
      </c>
      <c r="H372" t="inlineStr">
        <is>
          <t>cat</t>
        </is>
      </c>
      <c r="L372" t="inlineStr">
        <is>
          <t>reseller</t>
        </is>
      </c>
      <c r="N372" t="n">
        <v>0</v>
      </c>
    </row>
    <row r="373">
      <c r="A373" t="inlineStr">
        <is>
          <t>2b9eb12abdcf58e92fcf797a1eb2983d</t>
        </is>
      </c>
      <c r="B373" t="inlineStr">
        <is>
          <t>108ca0788dee2b34051cd325dd9eafed</t>
        </is>
      </c>
      <c r="C373" t="inlineStr">
        <is>
          <t>4b339f9567d060bcea4f5136b9f5949e</t>
        </is>
      </c>
      <c r="D373" t="inlineStr">
        <is>
          <t>2695de1affa7750089c0455f8ce27021</t>
        </is>
      </c>
      <c r="E373" s="30" t="n">
        <v>43193.86662037037</v>
      </c>
      <c r="F373" t="inlineStr">
        <is>
          <t>bed_bath_table</t>
        </is>
      </c>
      <c r="G373" t="inlineStr">
        <is>
          <t>online_medium</t>
        </is>
      </c>
      <c r="H373" t="inlineStr">
        <is>
          <t>cat</t>
        </is>
      </c>
      <c r="L373" t="inlineStr">
        <is>
          <t>reseller</t>
        </is>
      </c>
      <c r="N373" t="n">
        <v>0</v>
      </c>
    </row>
    <row r="374">
      <c r="A374" t="inlineStr">
        <is>
          <t>586e57a7ef16035bd85e2dcf44248130</t>
        </is>
      </c>
      <c r="B374" t="inlineStr">
        <is>
          <t>03a2a6dcbe45d639c4dc2a0d24769c40</t>
        </is>
      </c>
      <c r="C374" t="inlineStr">
        <is>
          <t>de63de0d10a6012430098db33c679b0b</t>
        </is>
      </c>
      <c r="D374" t="inlineStr">
        <is>
          <t>4ef15afb4b2723d8f3d81e51ec7afefe</t>
        </is>
      </c>
      <c r="E374" s="30" t="n">
        <v>43140.75775462963</v>
      </c>
      <c r="F374" t="inlineStr">
        <is>
          <t>construction_tools_house_garden</t>
        </is>
      </c>
      <c r="G374" t="inlineStr">
        <is>
          <t>online_beginner</t>
        </is>
      </c>
      <c r="L374" t="inlineStr">
        <is>
          <t>reseller</t>
        </is>
      </c>
      <c r="N374" t="n">
        <v>0</v>
      </c>
    </row>
    <row r="375">
      <c r="A375" t="inlineStr">
        <is>
          <t>99fc32e3c05e03597a692c4fd9a9d162</t>
        </is>
      </c>
      <c r="B375" t="inlineStr">
        <is>
          <t>6a38087bc8ad4f89ff453561005f6dea</t>
        </is>
      </c>
      <c r="C375" t="inlineStr">
        <is>
          <t>b90f87164b5f8c2cfa5c8572834dbe3f</t>
        </is>
      </c>
      <c r="D375" t="inlineStr">
        <is>
          <t>4ef15afb4b2723d8f3d81e51ec7afefe</t>
        </is>
      </c>
      <c r="E375" s="30" t="n">
        <v>43231.89313657407</v>
      </c>
      <c r="F375" t="inlineStr">
        <is>
          <t>computers</t>
        </is>
      </c>
      <c r="G375" t="inlineStr">
        <is>
          <t>online_big</t>
        </is>
      </c>
      <c r="H375" t="inlineStr">
        <is>
          <t>cat</t>
        </is>
      </c>
      <c r="L375" t="inlineStr">
        <is>
          <t>reseller</t>
        </is>
      </c>
      <c r="N375" t="n">
        <v>0</v>
      </c>
    </row>
    <row r="376">
      <c r="A376" t="inlineStr">
        <is>
          <t>e866f5b284008f65db1641dae437f9c2</t>
        </is>
      </c>
      <c r="B376" t="inlineStr">
        <is>
          <t>d9a84e1403de8da0c3aa531d6d108ba6</t>
        </is>
      </c>
      <c r="C376" t="inlineStr">
        <is>
          <t>4b339f9567d060bcea4f5136b9f5949e</t>
        </is>
      </c>
      <c r="D376" t="inlineStr">
        <is>
          <t>4ef15afb4b2723d8f3d81e51ec7afefe</t>
        </is>
      </c>
      <c r="E376" s="30" t="n">
        <v>43130.48171296297</v>
      </c>
      <c r="F376" t="inlineStr">
        <is>
          <t>toys</t>
        </is>
      </c>
      <c r="G376" t="inlineStr">
        <is>
          <t>online_medium</t>
        </is>
      </c>
      <c r="L376" t="inlineStr">
        <is>
          <t>reseller</t>
        </is>
      </c>
      <c r="N376" t="n">
        <v>0</v>
      </c>
    </row>
    <row r="377">
      <c r="A377" t="inlineStr">
        <is>
          <t>e5c8f30b30415b1fc94d820ba9d4d08c</t>
        </is>
      </c>
      <c r="B377" t="inlineStr">
        <is>
          <t>f12d3c2a14729ae461b920c11fe20fdc</t>
        </is>
      </c>
      <c r="C377" t="inlineStr">
        <is>
          <t>fdb16d3cbbeb5798f2f66c4096be026d</t>
        </is>
      </c>
      <c r="D377" t="inlineStr">
        <is>
          <t>fbf4aef3f6915dc0c3c97d6812522f6a</t>
        </is>
      </c>
      <c r="E377" s="30" t="n">
        <v>43133.54928240741</v>
      </c>
      <c r="F377" t="inlineStr">
        <is>
          <t>home_decor</t>
        </is>
      </c>
      <c r="G377" t="inlineStr">
        <is>
          <t>online_big</t>
        </is>
      </c>
      <c r="L377" t="inlineStr">
        <is>
          <t>reseller</t>
        </is>
      </c>
      <c r="N377" t="n">
        <v>0</v>
      </c>
    </row>
    <row r="378">
      <c r="A378" t="inlineStr">
        <is>
          <t>fa5e2d8f160a9160ba19cf589cdc017b</t>
        </is>
      </c>
      <c r="B378" t="inlineStr">
        <is>
          <t>cdb142290473bb9442f55741e430682e</t>
        </is>
      </c>
      <c r="C378" t="inlineStr">
        <is>
          <t>068066e24f0c643eb1d089c7dd20cd73</t>
        </is>
      </c>
      <c r="D378" t="inlineStr">
        <is>
          <t>4ef15afb4b2723d8f3d81e51ec7afefe</t>
        </is>
      </c>
      <c r="E378" s="30" t="n">
        <v>43201.63600694444</v>
      </c>
      <c r="F378" t="inlineStr">
        <is>
          <t>home_decor</t>
        </is>
      </c>
      <c r="G378" t="inlineStr">
        <is>
          <t>online_medium</t>
        </is>
      </c>
      <c r="H378" t="inlineStr">
        <is>
          <t>cat</t>
        </is>
      </c>
      <c r="L378" t="inlineStr">
        <is>
          <t>manufacturer</t>
        </is>
      </c>
      <c r="N378" t="n">
        <v>0</v>
      </c>
    </row>
    <row r="379">
      <c r="A379" t="inlineStr">
        <is>
          <t>3efcf88e3453fc6d9ce464e51d3a81d4</t>
        </is>
      </c>
      <c r="B379" t="inlineStr">
        <is>
          <t>a8739afb32aaa45e01815ca76f76f54b</t>
        </is>
      </c>
      <c r="C379" t="inlineStr">
        <is>
          <t>9e4d1098a3b0f5da39b0bc48f9876645</t>
        </is>
      </c>
      <c r="D379" t="inlineStr">
        <is>
          <t>495d4e95a8cf8bbf8b432b612a2aa328</t>
        </is>
      </c>
      <c r="E379" s="30" t="n">
        <v>43159.71945601852</v>
      </c>
      <c r="F379" t="inlineStr">
        <is>
          <t>car_accessories</t>
        </is>
      </c>
      <c r="G379" t="inlineStr">
        <is>
          <t>online_big</t>
        </is>
      </c>
      <c r="H379" t="inlineStr">
        <is>
          <t>eagle</t>
        </is>
      </c>
      <c r="L379" t="inlineStr">
        <is>
          <t>reseller</t>
        </is>
      </c>
      <c r="N379" t="n">
        <v>0</v>
      </c>
    </row>
    <row r="380">
      <c r="A380" t="inlineStr">
        <is>
          <t>1360d3a80eca6292f33a04f7aebb5fee</t>
        </is>
      </c>
      <c r="B380" t="inlineStr">
        <is>
          <t>12e6ecc830aa50dcace131431d90f426</t>
        </is>
      </c>
      <c r="C380" t="inlineStr">
        <is>
          <t>45749fb708130f78d0db07d8d80f030b</t>
        </is>
      </c>
      <c r="D380" t="inlineStr">
        <is>
          <t>9ae085775a198122c5586fa830ff7f2b</t>
        </is>
      </c>
      <c r="E380" s="30" t="n">
        <v>43283.56961805555</v>
      </c>
      <c r="F380" t="inlineStr">
        <is>
          <t>home_decor</t>
        </is>
      </c>
      <c r="G380" t="inlineStr">
        <is>
          <t>industry</t>
        </is>
      </c>
      <c r="H380" t="inlineStr">
        <is>
          <t>cat</t>
        </is>
      </c>
      <c r="L380" t="inlineStr">
        <is>
          <t>manufacturer</t>
        </is>
      </c>
      <c r="N380" t="n">
        <v>0</v>
      </c>
    </row>
    <row r="381">
      <c r="A381" t="inlineStr">
        <is>
          <t>9375fea0a120ddcc052f02b81cde38fe</t>
        </is>
      </c>
      <c r="B381" t="inlineStr">
        <is>
          <t>a6a52627793bc24c517d364354c20f6f</t>
        </is>
      </c>
      <c r="C381" t="inlineStr">
        <is>
          <t>34d40cdaf94010a1d05b0d6212f9e909</t>
        </is>
      </c>
      <c r="D381" t="inlineStr">
        <is>
          <t>2695de1affa7750089c0455f8ce27021</t>
        </is>
      </c>
      <c r="E381" s="30" t="n">
        <v>43238.85261574074</v>
      </c>
      <c r="F381" t="inlineStr">
        <is>
          <t>home_decor</t>
        </is>
      </c>
      <c r="G381" t="inlineStr">
        <is>
          <t>online_small</t>
        </is>
      </c>
      <c r="H381" t="inlineStr">
        <is>
          <t>eagle</t>
        </is>
      </c>
      <c r="L381" t="inlineStr">
        <is>
          <t>reseller</t>
        </is>
      </c>
      <c r="N381" t="n">
        <v>0</v>
      </c>
    </row>
    <row r="382">
      <c r="A382" t="inlineStr">
        <is>
          <t>3da19335c0dfd2c484d977ca16bfebd2</t>
        </is>
      </c>
      <c r="B382" t="inlineStr">
        <is>
          <t>5bf397d04035b5f45cc41e82ec106803</t>
        </is>
      </c>
      <c r="C382" t="inlineStr">
        <is>
          <t>068066e24f0c643eb1d089c7dd20cd73</t>
        </is>
      </c>
      <c r="D382" t="inlineStr">
        <is>
          <t>2695de1affa7750089c0455f8ce27021</t>
        </is>
      </c>
      <c r="E382" s="30" t="n">
        <v>43172.71971064815</v>
      </c>
      <c r="F382" t="inlineStr">
        <is>
          <t>household_utilities</t>
        </is>
      </c>
      <c r="G382" t="inlineStr">
        <is>
          <t>offline</t>
        </is>
      </c>
      <c r="H382" t="inlineStr">
        <is>
          <t>cat</t>
        </is>
      </c>
      <c r="L382" t="inlineStr">
        <is>
          <t>reseller</t>
        </is>
      </c>
      <c r="N382" t="n">
        <v>0</v>
      </c>
    </row>
    <row r="383">
      <c r="A383" t="inlineStr">
        <is>
          <t>7318634fbf3172a58af7c638ddc76184</t>
        </is>
      </c>
      <c r="B383" t="inlineStr">
        <is>
          <t>bbe9a13ea83539951c8edfc200565bad</t>
        </is>
      </c>
      <c r="C383" t="inlineStr">
        <is>
          <t>09285259593c61296eef10c734121d5b</t>
        </is>
      </c>
      <c r="D383" t="inlineStr">
        <is>
          <t>d3d1e91a157ea7f90548eef82f1955e3</t>
        </is>
      </c>
      <c r="E383" s="30" t="n">
        <v>43216.56944444445</v>
      </c>
      <c r="F383" t="inlineStr">
        <is>
          <t>home_decor</t>
        </is>
      </c>
      <c r="G383" t="inlineStr">
        <is>
          <t>online_big</t>
        </is>
      </c>
      <c r="H383" t="inlineStr">
        <is>
          <t>cat</t>
        </is>
      </c>
      <c r="L383" t="inlineStr">
        <is>
          <t>manufacturer</t>
        </is>
      </c>
      <c r="N383" t="n">
        <v>0</v>
      </c>
    </row>
    <row r="384">
      <c r="A384" t="inlineStr">
        <is>
          <t>963637be23e343ea96024053fdecd723</t>
        </is>
      </c>
      <c r="B384" t="inlineStr">
        <is>
          <t>e00c0a3af0718a2ecf6618c84cd1b1ff</t>
        </is>
      </c>
      <c r="C384" t="inlineStr">
        <is>
          <t>09285259593c61296eef10c734121d5b</t>
        </is>
      </c>
      <c r="D384" t="inlineStr">
        <is>
          <t>9749123c950bf8363ace42cb1c2d0815</t>
        </is>
      </c>
      <c r="E384" s="30" t="n">
        <v>43405.49155092592</v>
      </c>
      <c r="F384" t="inlineStr">
        <is>
          <t>fashion_accessories</t>
        </is>
      </c>
      <c r="G384" t="inlineStr">
        <is>
          <t>industry</t>
        </is>
      </c>
      <c r="H384" t="inlineStr">
        <is>
          <t>cat</t>
        </is>
      </c>
      <c r="I384" t="b">
        <v>1</v>
      </c>
      <c r="J384" t="b">
        <v>1</v>
      </c>
      <c r="K384" t="inlineStr">
        <is>
          <t>20-50</t>
        </is>
      </c>
      <c r="L384" t="inlineStr">
        <is>
          <t>reseller</t>
        </is>
      </c>
      <c r="M384" t="n">
        <v>200</v>
      </c>
      <c r="N384" t="n">
        <v>0</v>
      </c>
    </row>
    <row r="385">
      <c r="A385" t="inlineStr">
        <is>
          <t>9b4e84017d08b6576f1282367901c964</t>
        </is>
      </c>
      <c r="B385" t="inlineStr">
        <is>
          <t>8bee95b757e33c86511de3f9311100b9</t>
        </is>
      </c>
      <c r="C385" t="inlineStr">
        <is>
          <t>fdb16d3cbbeb5798f2f66c4096be026d</t>
        </is>
      </c>
      <c r="D385" t="inlineStr">
        <is>
          <t>6565aa9ce3178a5caf6171827af3a9ba</t>
        </is>
      </c>
      <c r="E385" s="30" t="n">
        <v>43158.57929398148</v>
      </c>
      <c r="F385" t="inlineStr">
        <is>
          <t>car_accessories</t>
        </is>
      </c>
      <c r="G385" t="inlineStr">
        <is>
          <t>online_medium</t>
        </is>
      </c>
      <c r="H385" t="inlineStr">
        <is>
          <t>wolf</t>
        </is>
      </c>
      <c r="L385" t="inlineStr">
        <is>
          <t>reseller</t>
        </is>
      </c>
      <c r="N385" t="n">
        <v>0</v>
      </c>
    </row>
    <row r="386">
      <c r="A386" t="inlineStr">
        <is>
          <t>4dcfeaf97d0aec9f35e384d9c3624b39</t>
        </is>
      </c>
      <c r="B386" t="inlineStr">
        <is>
          <t>d1ef48b38baca7e831711c4a0aeb398f</t>
        </is>
      </c>
      <c r="C386" t="inlineStr">
        <is>
          <t>068066e24f0c643eb1d089c7dd20cd73</t>
        </is>
      </c>
      <c r="D386" t="inlineStr">
        <is>
          <t>2695de1affa7750089c0455f8ce27021</t>
        </is>
      </c>
      <c r="E386" s="30" t="n">
        <v>43146.72415509259</v>
      </c>
      <c r="F386" t="inlineStr">
        <is>
          <t>construction_tools_house_garden</t>
        </is>
      </c>
      <c r="G386" t="inlineStr">
        <is>
          <t>online_medium</t>
        </is>
      </c>
      <c r="L386" t="inlineStr">
        <is>
          <t>reseller</t>
        </is>
      </c>
      <c r="N386" t="n">
        <v>0</v>
      </c>
    </row>
    <row r="387">
      <c r="A387" t="inlineStr">
        <is>
          <t>a6807243689c76d0e34230e8e6ce5ca9</t>
        </is>
      </c>
      <c r="B387" t="inlineStr">
        <is>
          <t>e5cbe890e679490127e9a390b46bbd20</t>
        </is>
      </c>
      <c r="C387" t="inlineStr">
        <is>
          <t>f42a2bd194f7802ab052a815c8de65b7</t>
        </is>
      </c>
      <c r="D387" t="inlineStr">
        <is>
          <t>2695de1affa7750089c0455f8ce27021</t>
        </is>
      </c>
      <c r="E387" s="30" t="n">
        <v>43215.91981481481</v>
      </c>
      <c r="F387" t="inlineStr">
        <is>
          <t>food_supplement</t>
        </is>
      </c>
      <c r="G387" t="inlineStr">
        <is>
          <t>online_top</t>
        </is>
      </c>
      <c r="H387" t="inlineStr">
        <is>
          <t>eagle</t>
        </is>
      </c>
      <c r="L387" t="inlineStr">
        <is>
          <t>manufacturer</t>
        </is>
      </c>
      <c r="N387" t="n">
        <v>0</v>
      </c>
    </row>
    <row r="388">
      <c r="A388" t="inlineStr">
        <is>
          <t>0d7c4c62f923a1527f1e9e5bb30e5d60</t>
        </is>
      </c>
      <c r="B388" t="inlineStr">
        <is>
          <t>e6bb1e7ea5580c5b9f0970407b3f8c7b</t>
        </is>
      </c>
      <c r="C388" t="inlineStr">
        <is>
          <t>068066e24f0c643eb1d089c7dd20cd73</t>
        </is>
      </c>
      <c r="D388" t="inlineStr">
        <is>
          <t>9ae085775a198122c5586fa830ff7f2b</t>
        </is>
      </c>
      <c r="E388" s="30" t="n">
        <v>43188.75900462963</v>
      </c>
      <c r="F388" t="inlineStr">
        <is>
          <t>construction_tools_house_garden</t>
        </is>
      </c>
      <c r="G388" t="inlineStr">
        <is>
          <t>online_medium</t>
        </is>
      </c>
      <c r="H388" t="inlineStr">
        <is>
          <t>cat</t>
        </is>
      </c>
      <c r="L388" t="inlineStr">
        <is>
          <t>manufacturer</t>
        </is>
      </c>
      <c r="N388" t="n">
        <v>0</v>
      </c>
    </row>
    <row r="389">
      <c r="A389" t="inlineStr">
        <is>
          <t>24b23168fdaa0d98e9119081cd4fdd3e</t>
        </is>
      </c>
      <c r="B389" t="inlineStr">
        <is>
          <t>0b0c50f6ddac7e6e7ed9d513ec122c74</t>
        </is>
      </c>
      <c r="C389" t="inlineStr">
        <is>
          <t>09285259593c61296eef10c734121d5b</t>
        </is>
      </c>
      <c r="D389" t="inlineStr">
        <is>
          <t>2695de1affa7750089c0455f8ce27021</t>
        </is>
      </c>
      <c r="E389" s="30" t="n">
        <v>43257.57887731482</v>
      </c>
      <c r="F389" t="inlineStr">
        <is>
          <t>household_utilities</t>
        </is>
      </c>
      <c r="G389" t="inlineStr">
        <is>
          <t>online_small</t>
        </is>
      </c>
      <c r="H389" t="inlineStr">
        <is>
          <t>cat</t>
        </is>
      </c>
      <c r="L389" t="inlineStr">
        <is>
          <t>manufacturer</t>
        </is>
      </c>
      <c r="N389" t="n">
        <v>0</v>
      </c>
    </row>
    <row r="390">
      <c r="A390" t="inlineStr">
        <is>
          <t>4e92cdeada5b8e753d95bc8c5c219f6d</t>
        </is>
      </c>
      <c r="B390" t="inlineStr">
        <is>
          <t>723cd880edaacdb998898b67c8f9da30</t>
        </is>
      </c>
      <c r="C390" t="inlineStr">
        <is>
          <t>068066e24f0c643eb1d089c7dd20cd73</t>
        </is>
      </c>
      <c r="D390" t="inlineStr">
        <is>
          <t>85fc447d336637ba1df43e793199fbc8</t>
        </is>
      </c>
      <c r="E390" s="30" t="n">
        <v>43168.84210648148</v>
      </c>
      <c r="F390" t="inlineStr">
        <is>
          <t>bed_bath_table</t>
        </is>
      </c>
      <c r="G390" t="inlineStr">
        <is>
          <t>online_medium</t>
        </is>
      </c>
      <c r="L390" t="inlineStr">
        <is>
          <t>reseller</t>
        </is>
      </c>
      <c r="N390" t="n">
        <v>0</v>
      </c>
    </row>
    <row r="391">
      <c r="A391" t="inlineStr">
        <is>
          <t>c263e540e76c57607b5e1b613fbc8732</t>
        </is>
      </c>
      <c r="B391" t="inlineStr">
        <is>
          <t>a2fbfee48b1a9b455b126c70e421ec91</t>
        </is>
      </c>
      <c r="C391" t="inlineStr">
        <is>
          <t>a8387c01a09e99ce014107505b92388c</t>
        </is>
      </c>
      <c r="D391" t="inlineStr">
        <is>
          <t>85fc447d336637ba1df43e793199fbc8</t>
        </is>
      </c>
      <c r="E391" s="30" t="n">
        <v>43215.68224537037</v>
      </c>
      <c r="F391" t="inlineStr">
        <is>
          <t>gifts</t>
        </is>
      </c>
      <c r="G391" t="inlineStr">
        <is>
          <t>online_beginner</t>
        </is>
      </c>
      <c r="H391" t="inlineStr">
        <is>
          <t>cat</t>
        </is>
      </c>
      <c r="L391" t="inlineStr">
        <is>
          <t>reseller</t>
        </is>
      </c>
      <c r="N391" t="n">
        <v>0</v>
      </c>
    </row>
    <row r="392">
      <c r="A392" t="inlineStr">
        <is>
          <t>3c0e7686e6e39489f6a45f6c7ec0dddb</t>
        </is>
      </c>
      <c r="B392" t="inlineStr">
        <is>
          <t>7020bbe82544a814b5665a2887119267</t>
        </is>
      </c>
      <c r="C392" t="inlineStr">
        <is>
          <t>9d12ef1a7eca3ec58c545c678af7869c</t>
        </is>
      </c>
      <c r="D392" t="inlineStr">
        <is>
          <t>a8387c01a09e99ce014107505b92388c</t>
        </is>
      </c>
      <c r="E392" s="30" t="n">
        <v>43245.62516203704</v>
      </c>
      <c r="F392" t="inlineStr">
        <is>
          <t>health_beauty</t>
        </is>
      </c>
      <c r="G392" t="inlineStr">
        <is>
          <t>online_medium</t>
        </is>
      </c>
      <c r="H392" t="inlineStr">
        <is>
          <t>wolf</t>
        </is>
      </c>
      <c r="L392" t="inlineStr">
        <is>
          <t>reseller</t>
        </is>
      </c>
      <c r="N392" t="n">
        <v>0</v>
      </c>
    </row>
    <row r="393">
      <c r="A393" t="inlineStr">
        <is>
          <t>18f5d73a3c6b68160f6aa7fd089423b3</t>
        </is>
      </c>
      <c r="B393" t="inlineStr">
        <is>
          <t>36f98ad67cc981f50ce8aed093d5783c</t>
        </is>
      </c>
      <c r="C393" t="inlineStr">
        <is>
          <t>f42a2bd194f7802ab052a815c8de65b7</t>
        </is>
      </c>
      <c r="D393" t="inlineStr">
        <is>
          <t>9ae085775a198122c5586fa830ff7f2b</t>
        </is>
      </c>
      <c r="E393" s="30" t="n">
        <v>43236.56418981482</v>
      </c>
      <c r="F393" t="inlineStr">
        <is>
          <t>audio_video_electronics</t>
        </is>
      </c>
      <c r="G393" t="inlineStr">
        <is>
          <t>online_small</t>
        </is>
      </c>
      <c r="H393" t="inlineStr">
        <is>
          <t>eagle</t>
        </is>
      </c>
      <c r="L393" t="inlineStr">
        <is>
          <t>reseller</t>
        </is>
      </c>
      <c r="N393" t="n">
        <v>0</v>
      </c>
    </row>
    <row r="394">
      <c r="A394" t="inlineStr">
        <is>
          <t>010ed37e44e2fdc175b4c5c6c930805a</t>
        </is>
      </c>
      <c r="B394" t="inlineStr">
        <is>
          <t>8c6d188ef073e289887bc52bc37f3e61</t>
        </is>
      </c>
      <c r="C394" t="inlineStr">
        <is>
          <t>068066e24f0c643eb1d089c7dd20cd73</t>
        </is>
      </c>
      <c r="D394" t="inlineStr">
        <is>
          <t>9749123c950bf8363ace42cb1c2d0815</t>
        </is>
      </c>
      <c r="E394" s="30" t="n">
        <v>43357.61377314815</v>
      </c>
      <c r="F394" t="inlineStr">
        <is>
          <t>audio_video_electronics</t>
        </is>
      </c>
      <c r="G394" t="inlineStr">
        <is>
          <t>online_medium</t>
        </is>
      </c>
      <c r="H394" t="inlineStr">
        <is>
          <t>cat</t>
        </is>
      </c>
      <c r="I394" t="b">
        <v>1</v>
      </c>
      <c r="J394" t="b">
        <v>1</v>
      </c>
      <c r="K394" t="inlineStr">
        <is>
          <t>5-20</t>
        </is>
      </c>
      <c r="L394" t="inlineStr">
        <is>
          <t>reseller</t>
        </is>
      </c>
      <c r="M394" t="n">
        <v>70</v>
      </c>
      <c r="N394" t="n">
        <v>250000</v>
      </c>
    </row>
    <row r="395">
      <c r="A395" t="inlineStr">
        <is>
          <t>b83a52c035258ed43d787106b1765e35</t>
        </is>
      </c>
      <c r="B395" t="inlineStr">
        <is>
          <t>99a6380f4dd5ed504cd8003d94d0be25</t>
        </is>
      </c>
      <c r="C395" t="inlineStr">
        <is>
          <t>b90f87164b5f8c2cfa5c8572834dbe3f</t>
        </is>
      </c>
      <c r="D395" t="inlineStr">
        <is>
          <t>9ae085775a198122c5586fa830ff7f2b</t>
        </is>
      </c>
      <c r="E395" s="30" t="n">
        <v>43320.88501157407</v>
      </c>
      <c r="F395" t="inlineStr">
        <is>
          <t>home_decor</t>
        </is>
      </c>
      <c r="L395" t="inlineStr">
        <is>
          <t>reseller</t>
        </is>
      </c>
      <c r="N395" t="n">
        <v>0</v>
      </c>
    </row>
    <row r="396">
      <c r="A396" t="inlineStr">
        <is>
          <t>0d6080ffaadf8f8fd9648afb791c29c2</t>
        </is>
      </c>
      <c r="B396" t="inlineStr">
        <is>
          <t>83c465a786b06574376909b35ef6752a</t>
        </is>
      </c>
      <c r="C396" t="inlineStr">
        <is>
          <t>09285259593c61296eef10c734121d5b</t>
        </is>
      </c>
      <c r="D396" t="inlineStr">
        <is>
          <t>d3d1e91a157ea7f90548eef82f1955e3</t>
        </is>
      </c>
      <c r="E396" s="30" t="n">
        <v>43213.81006944444</v>
      </c>
      <c r="F396" t="inlineStr">
        <is>
          <t>handcrafted</t>
        </is>
      </c>
      <c r="G396" t="inlineStr">
        <is>
          <t>offline</t>
        </is>
      </c>
      <c r="H396" t="inlineStr">
        <is>
          <t>eagle</t>
        </is>
      </c>
      <c r="N396" t="n">
        <v>0</v>
      </c>
    </row>
    <row r="397">
      <c r="A397" t="inlineStr">
        <is>
          <t>973f72ab89f64e22470778a9bd1ea10f</t>
        </is>
      </c>
      <c r="B397" t="inlineStr">
        <is>
          <t>6c99c983ce3b6ba0ab813e6790e81691</t>
        </is>
      </c>
      <c r="C397" t="inlineStr">
        <is>
          <t>068066e24f0c643eb1d089c7dd20cd73</t>
        </is>
      </c>
      <c r="D397" t="inlineStr">
        <is>
          <t>d3d1e91a157ea7f90548eef82f1955e3</t>
        </is>
      </c>
      <c r="E397" s="30" t="n">
        <v>43206.7675</v>
      </c>
      <c r="F397" t="inlineStr">
        <is>
          <t>toys</t>
        </is>
      </c>
      <c r="G397" t="inlineStr">
        <is>
          <t>online_small</t>
        </is>
      </c>
      <c r="H397" t="inlineStr">
        <is>
          <t>cat</t>
        </is>
      </c>
      <c r="L397" t="inlineStr">
        <is>
          <t>reseller</t>
        </is>
      </c>
      <c r="N397" t="n">
        <v>0</v>
      </c>
    </row>
    <row r="398">
      <c r="A398" t="inlineStr">
        <is>
          <t>bb221b9bbbf25cc108cffe12fe10fbc2</t>
        </is>
      </c>
      <c r="B398" t="inlineStr">
        <is>
          <t>5e105f5c9f63f5f1fd75d6cb942e55b1</t>
        </is>
      </c>
      <c r="C398" t="inlineStr">
        <is>
          <t>068066e24f0c643eb1d089c7dd20cd73</t>
        </is>
      </c>
      <c r="D398" t="inlineStr">
        <is>
          <t>6565aa9ce3178a5caf6171827af3a9ba</t>
        </is>
      </c>
      <c r="E398" s="30" t="n">
        <v>43130.48751157407</v>
      </c>
      <c r="F398" t="inlineStr">
        <is>
          <t>home_decor</t>
        </is>
      </c>
      <c r="G398" t="inlineStr">
        <is>
          <t>online_medium</t>
        </is>
      </c>
      <c r="L398" t="inlineStr">
        <is>
          <t>manufacturer</t>
        </is>
      </c>
      <c r="N398" t="n">
        <v>0</v>
      </c>
    </row>
    <row r="399">
      <c r="A399" t="inlineStr">
        <is>
          <t>fff8db9478d2fd72df65a67ee6b62f67</t>
        </is>
      </c>
      <c r="B399" t="inlineStr">
        <is>
          <t>bdae679a9b282249bc23b9b69dae9a99</t>
        </is>
      </c>
      <c r="C399" t="inlineStr">
        <is>
          <t>4b339f9567d060bcea4f5136b9f5949e</t>
        </is>
      </c>
      <c r="D399" t="inlineStr">
        <is>
          <t>6565aa9ce3178a5caf6171827af3a9ba</t>
        </is>
      </c>
      <c r="E399" s="30" t="n">
        <v>43124.63876157408</v>
      </c>
      <c r="F399" t="inlineStr">
        <is>
          <t>construction_tools_house_garden</t>
        </is>
      </c>
      <c r="G399" t="inlineStr">
        <is>
          <t>online_medium</t>
        </is>
      </c>
      <c r="L399" t="inlineStr">
        <is>
          <t>reseller</t>
        </is>
      </c>
      <c r="N399" t="n">
        <v>0</v>
      </c>
    </row>
    <row r="400">
      <c r="A400" t="inlineStr">
        <is>
          <t>d2ac71782272659e7171150d20d59158</t>
        </is>
      </c>
      <c r="B400" t="inlineStr">
        <is>
          <t>3387acafd8bea46d73fc50cc9f7e2a9a</t>
        </is>
      </c>
      <c r="C400" t="inlineStr">
        <is>
          <t>34d40cdaf94010a1d05b0d6212f9e909</t>
        </is>
      </c>
      <c r="D400" t="inlineStr">
        <is>
          <t>2695de1affa7750089c0455f8ce27021</t>
        </is>
      </c>
      <c r="E400" s="30" t="n">
        <v>43235.88685185185</v>
      </c>
      <c r="F400" t="inlineStr">
        <is>
          <t>computers</t>
        </is>
      </c>
      <c r="G400" t="inlineStr">
        <is>
          <t>online_big</t>
        </is>
      </c>
      <c r="H400" t="inlineStr">
        <is>
          <t>cat</t>
        </is>
      </c>
      <c r="L400" t="inlineStr">
        <is>
          <t>reseller</t>
        </is>
      </c>
      <c r="N400" t="n">
        <v>0</v>
      </c>
    </row>
    <row r="401">
      <c r="A401" t="inlineStr">
        <is>
          <t>085df4d5a370218b679cfab2121cd194</t>
        </is>
      </c>
      <c r="B401" t="inlineStr">
        <is>
          <t>52a50b42accf164f9f019941e5759d9b</t>
        </is>
      </c>
      <c r="C401" t="inlineStr">
        <is>
          <t>0a0fb2b07d841f84fb6714e35c723075</t>
        </is>
      </c>
      <c r="D401" t="inlineStr">
        <is>
          <t>a8387c01a09e99ce014107505b92388c</t>
        </is>
      </c>
      <c r="E401" s="30" t="n">
        <v>43224.125</v>
      </c>
      <c r="F401" t="inlineStr">
        <is>
          <t>food_drink</t>
        </is>
      </c>
      <c r="G401" t="inlineStr">
        <is>
          <t>online_small</t>
        </is>
      </c>
      <c r="H401" t="inlineStr">
        <is>
          <t>eagle</t>
        </is>
      </c>
      <c r="L401" t="inlineStr">
        <is>
          <t>manufacturer</t>
        </is>
      </c>
      <c r="N401" t="n">
        <v>0</v>
      </c>
    </row>
    <row r="402">
      <c r="A402" t="inlineStr">
        <is>
          <t>b68eec99f3b66e98022e60843901fe3e</t>
        </is>
      </c>
      <c r="B402" t="inlineStr">
        <is>
          <t>45f04cd6eccb0a2ab2ed62d4939ca2d2</t>
        </is>
      </c>
      <c r="C402" t="inlineStr">
        <is>
          <t>4b339f9567d060bcea4f5136b9f5949e</t>
        </is>
      </c>
      <c r="D402" t="inlineStr">
        <is>
          <t>85fc447d336637ba1df43e793199fbc8</t>
        </is>
      </c>
      <c r="E402" s="30" t="n">
        <v>43175.82802083333</v>
      </c>
      <c r="F402" t="inlineStr">
        <is>
          <t>household_utilities</t>
        </is>
      </c>
      <c r="G402" t="inlineStr">
        <is>
          <t>online_top</t>
        </is>
      </c>
      <c r="H402" t="inlineStr">
        <is>
          <t>shark</t>
        </is>
      </c>
      <c r="L402" t="inlineStr">
        <is>
          <t>reseller</t>
        </is>
      </c>
      <c r="N402" t="n">
        <v>0</v>
      </c>
    </row>
    <row r="403">
      <c r="A403" t="inlineStr">
        <is>
          <t>cbcb32994827a5c4ef1b8a630a4fa66e</t>
        </is>
      </c>
      <c r="B403" t="inlineStr">
        <is>
          <t>da7039f29f90ce5b4846ffc0fcc93beb</t>
        </is>
      </c>
      <c r="C403" t="inlineStr">
        <is>
          <t>56bf83c4bb35763a51c2baab501b4c67</t>
        </is>
      </c>
      <c r="D403" t="inlineStr">
        <is>
          <t>4ef15afb4b2723d8f3d81e51ec7afefe</t>
        </is>
      </c>
      <c r="E403" s="30" t="n">
        <v>43158.71762731481</v>
      </c>
      <c r="F403" t="inlineStr">
        <is>
          <t>audio_video_electronics</t>
        </is>
      </c>
      <c r="G403" t="inlineStr">
        <is>
          <t>online_medium</t>
        </is>
      </c>
      <c r="H403" t="inlineStr">
        <is>
          <t>cat</t>
        </is>
      </c>
      <c r="L403" t="inlineStr">
        <is>
          <t>reseller</t>
        </is>
      </c>
      <c r="N403" t="n">
        <v>0</v>
      </c>
    </row>
    <row r="404">
      <c r="A404" t="inlineStr">
        <is>
          <t>3ce39e5e8a82aa26e73fb52221089d5e</t>
        </is>
      </c>
      <c r="B404" t="inlineStr">
        <is>
          <t>59055625da956ae84296c08491141984</t>
        </is>
      </c>
      <c r="C404" t="inlineStr">
        <is>
          <t>4b339f9567d060bcea4f5136b9f5949e</t>
        </is>
      </c>
      <c r="D404" t="inlineStr">
        <is>
          <t>fbf4aef3f6915dc0c3c97d6812522f6a</t>
        </is>
      </c>
      <c r="E404" s="30" t="n">
        <v>43220.81145833333</v>
      </c>
      <c r="F404" t="inlineStr">
        <is>
          <t>construction_tools_house_garden</t>
        </is>
      </c>
      <c r="G404" t="inlineStr">
        <is>
          <t>online_medium</t>
        </is>
      </c>
      <c r="H404" t="inlineStr">
        <is>
          <t>eagle</t>
        </is>
      </c>
      <c r="L404" t="inlineStr">
        <is>
          <t>reseller</t>
        </is>
      </c>
      <c r="N404" t="n">
        <v>0</v>
      </c>
    </row>
    <row r="405">
      <c r="A405" t="inlineStr">
        <is>
          <t>614a4db226bdaf4ffdbf60e37eda9213</t>
        </is>
      </c>
      <c r="B405" t="inlineStr">
        <is>
          <t>47ff0b75e3609b6b80fbd1450384a623</t>
        </is>
      </c>
      <c r="C405" t="inlineStr">
        <is>
          <t>f42a2bd194f7802ab052a815c8de65b7</t>
        </is>
      </c>
      <c r="D405" t="inlineStr">
        <is>
          <t>85fc447d336637ba1df43e793199fbc8</t>
        </is>
      </c>
      <c r="E405" s="30" t="n">
        <v>43224.125</v>
      </c>
      <c r="F405" t="inlineStr">
        <is>
          <t>home_decor</t>
        </is>
      </c>
      <c r="G405" t="inlineStr">
        <is>
          <t>industry</t>
        </is>
      </c>
      <c r="H405" t="inlineStr">
        <is>
          <t>cat</t>
        </is>
      </c>
      <c r="L405" t="inlineStr">
        <is>
          <t>manufacturer</t>
        </is>
      </c>
      <c r="N405" t="n">
        <v>0</v>
      </c>
    </row>
    <row r="406">
      <c r="A406" t="inlineStr">
        <is>
          <t>3de2f5d6b216073b662a9e202fb4b556</t>
        </is>
      </c>
      <c r="B406" t="inlineStr">
        <is>
          <t>f22a247b79dd22ecd91dc8e3b2a1b07c</t>
        </is>
      </c>
      <c r="C406" t="inlineStr">
        <is>
          <t>a8387c01a09e99ce014107505b92388c</t>
        </is>
      </c>
      <c r="D406" t="inlineStr">
        <is>
          <t>4ef15afb4b2723d8f3d81e51ec7afefe</t>
        </is>
      </c>
      <c r="E406" s="30" t="n">
        <v>43208.5890162037</v>
      </c>
      <c r="F406" t="inlineStr">
        <is>
          <t>health_beauty</t>
        </is>
      </c>
      <c r="G406" t="inlineStr">
        <is>
          <t>online_medium</t>
        </is>
      </c>
      <c r="H406" t="inlineStr">
        <is>
          <t>cat</t>
        </is>
      </c>
      <c r="L406" t="inlineStr">
        <is>
          <t>manufacturer</t>
        </is>
      </c>
      <c r="N406" t="n">
        <v>0</v>
      </c>
    </row>
    <row r="407">
      <c r="A407" t="inlineStr">
        <is>
          <t>b53cbe6da81db747a73e52a5a48d2703</t>
        </is>
      </c>
      <c r="B407" t="inlineStr">
        <is>
          <t>87193a47e93a5c1912254392431f524d</t>
        </is>
      </c>
      <c r="C407" t="inlineStr">
        <is>
          <t>56bf83c4bb35763a51c2baab501b4c67</t>
        </is>
      </c>
      <c r="D407" t="inlineStr">
        <is>
          <t>c638112b43f1d1b86dcabb0da720c901</t>
        </is>
      </c>
      <c r="E407" s="30" t="n">
        <v>43146.60907407408</v>
      </c>
      <c r="F407" t="inlineStr">
        <is>
          <t>health_beauty</t>
        </is>
      </c>
      <c r="G407" t="inlineStr">
        <is>
          <t>online_small</t>
        </is>
      </c>
      <c r="H407" t="inlineStr">
        <is>
          <t>cat</t>
        </is>
      </c>
      <c r="L407" t="inlineStr">
        <is>
          <t>manufacturer</t>
        </is>
      </c>
      <c r="N407" t="n">
        <v>0</v>
      </c>
    </row>
    <row r="408">
      <c r="A408" t="inlineStr">
        <is>
          <t>a02248212328cdea5940d1c050f6c6e1</t>
        </is>
      </c>
      <c r="B408" t="inlineStr">
        <is>
          <t>b12cce16926aca79e4dc5483947792cc</t>
        </is>
      </c>
      <c r="C408" t="inlineStr">
        <is>
          <t>09285259593c61296eef10c734121d5b</t>
        </is>
      </c>
      <c r="D408" t="inlineStr">
        <is>
          <t>4ef15afb4b2723d8f3d81e51ec7afefe</t>
        </is>
      </c>
      <c r="E408" s="30" t="n">
        <v>43217.68333333333</v>
      </c>
      <c r="F408" t="inlineStr">
        <is>
          <t>car_accessories</t>
        </is>
      </c>
      <c r="G408" t="inlineStr">
        <is>
          <t>online_medium</t>
        </is>
      </c>
      <c r="H408" t="inlineStr">
        <is>
          <t>wolf</t>
        </is>
      </c>
      <c r="L408" t="inlineStr">
        <is>
          <t>reseller</t>
        </is>
      </c>
      <c r="N408" t="n">
        <v>0</v>
      </c>
    </row>
    <row r="409">
      <c r="A409" t="inlineStr">
        <is>
          <t>de615d957b9c5f4b8fd48893f7267a15</t>
        </is>
      </c>
      <c r="B409" t="inlineStr">
        <is>
          <t>98932494b926a74eda339b76ce0b4bc0</t>
        </is>
      </c>
      <c r="C409" t="inlineStr">
        <is>
          <t>370c9f455f93a9a96cbe9bea48e70033</t>
        </is>
      </c>
      <c r="D409" t="inlineStr">
        <is>
          <t>85fc447d336637ba1df43e793199fbc8</t>
        </is>
      </c>
      <c r="E409" s="30" t="n">
        <v>43245.9424537037</v>
      </c>
      <c r="F409" t="inlineStr">
        <is>
          <t>sports_leisure</t>
        </is>
      </c>
      <c r="G409" t="inlineStr">
        <is>
          <t>online_big</t>
        </is>
      </c>
      <c r="H409" t="inlineStr">
        <is>
          <t>cat</t>
        </is>
      </c>
      <c r="L409" t="inlineStr">
        <is>
          <t>reseller</t>
        </is>
      </c>
      <c r="N409" t="n">
        <v>0</v>
      </c>
    </row>
    <row r="410">
      <c r="A410" t="inlineStr">
        <is>
          <t>50523d9bd9d5d9a44bbc2f778954c5ae</t>
        </is>
      </c>
      <c r="B410" t="inlineStr">
        <is>
          <t>9966324e28b7fa38165d2d3d12d53b7f</t>
        </is>
      </c>
      <c r="C410" t="inlineStr">
        <is>
          <t>e7dff61b78bebffa71678e126ce669ad</t>
        </is>
      </c>
      <c r="D410" t="inlineStr">
        <is>
          <t>de63de0d10a6012430098db33c679b0b</t>
        </is>
      </c>
      <c r="E410" s="30" t="n">
        <v>43367.86506944444</v>
      </c>
      <c r="F410" t="inlineStr">
        <is>
          <t>phone_mobile</t>
        </is>
      </c>
      <c r="G410" t="inlineStr">
        <is>
          <t>online_big</t>
        </is>
      </c>
      <c r="H410" t="inlineStr">
        <is>
          <t>shark</t>
        </is>
      </c>
      <c r="I410" t="b">
        <v>1</v>
      </c>
      <c r="J410" t="b">
        <v>1</v>
      </c>
      <c r="K410" t="inlineStr">
        <is>
          <t>20-50</t>
        </is>
      </c>
      <c r="L410" t="inlineStr">
        <is>
          <t>reseller</t>
        </is>
      </c>
      <c r="M410" t="n">
        <v>45</v>
      </c>
      <c r="N410" t="n">
        <v>8000000</v>
      </c>
    </row>
    <row r="411">
      <c r="A411" t="inlineStr">
        <is>
          <t>08a7223e876a045d511074e8c9c8e937</t>
        </is>
      </c>
      <c r="B411" t="inlineStr">
        <is>
          <t>7cae39bbb9e55772693688c5afd957e6</t>
        </is>
      </c>
      <c r="C411" t="inlineStr">
        <is>
          <t>a8387c01a09e99ce014107505b92388c</t>
        </is>
      </c>
      <c r="D411" t="inlineStr">
        <is>
          <t>9ae085775a198122c5586fa830ff7f2b</t>
        </is>
      </c>
      <c r="E411" s="30" t="n">
        <v>43166.58105324074</v>
      </c>
      <c r="F411" t="inlineStr">
        <is>
          <t>bags_backpacks</t>
        </is>
      </c>
      <c r="G411" t="inlineStr">
        <is>
          <t>online_medium</t>
        </is>
      </c>
      <c r="H411" t="inlineStr">
        <is>
          <t>cat</t>
        </is>
      </c>
      <c r="L411" t="inlineStr">
        <is>
          <t>reseller</t>
        </is>
      </c>
      <c r="N411" t="n">
        <v>0</v>
      </c>
    </row>
    <row r="412">
      <c r="A412" t="inlineStr">
        <is>
          <t>47a752e75a196b3b4edd825252ccf97f</t>
        </is>
      </c>
      <c r="B412" t="inlineStr">
        <is>
          <t>bb7ad8a45c027be8ab075b8e465f8ca0</t>
        </is>
      </c>
      <c r="C412" t="inlineStr">
        <is>
          <t>068066e24f0c643eb1d089c7dd20cd73</t>
        </is>
      </c>
      <c r="D412" t="inlineStr">
        <is>
          <t>a8387c01a09e99ce014107505b92388c</t>
        </is>
      </c>
      <c r="E412" s="30" t="n">
        <v>43241.83009259259</v>
      </c>
      <c r="F412" t="inlineStr">
        <is>
          <t>household_utilities</t>
        </is>
      </c>
      <c r="G412" t="inlineStr">
        <is>
          <t>industry</t>
        </is>
      </c>
      <c r="H412" t="inlineStr">
        <is>
          <t>cat</t>
        </is>
      </c>
      <c r="L412" t="inlineStr">
        <is>
          <t>manufacturer</t>
        </is>
      </c>
      <c r="N412" t="n">
        <v>0</v>
      </c>
    </row>
    <row r="413">
      <c r="A413" t="inlineStr">
        <is>
          <t>f1a425f699458e09372b5da49c06fd33</t>
        </is>
      </c>
      <c r="B413" t="inlineStr">
        <is>
          <t>3b945b144f631e998d7e484cc48b3783</t>
        </is>
      </c>
      <c r="C413" t="inlineStr">
        <is>
          <t>56bf83c4bb35763a51c2baab501b4c67</t>
        </is>
      </c>
      <c r="D413" t="inlineStr">
        <is>
          <t>068066e24f0c643eb1d089c7dd20cd73</t>
        </is>
      </c>
      <c r="E413" s="30" t="n">
        <v>43332.87902777778</v>
      </c>
      <c r="F413" t="inlineStr">
        <is>
          <t>computers</t>
        </is>
      </c>
      <c r="G413" t="inlineStr">
        <is>
          <t>online_small</t>
        </is>
      </c>
      <c r="L413" t="inlineStr">
        <is>
          <t>reseller</t>
        </is>
      </c>
      <c r="M413" t="n">
        <v>20</v>
      </c>
      <c r="N413" t="n">
        <v>40000</v>
      </c>
    </row>
    <row r="414">
      <c r="A414" t="inlineStr">
        <is>
          <t>450b9ff6579ee8138f673984554e8a93</t>
        </is>
      </c>
      <c r="B414" t="inlineStr">
        <is>
          <t>1cbd32d00d01bb8087a5eb088612fd9c</t>
        </is>
      </c>
      <c r="C414" t="inlineStr">
        <is>
          <t>4b339f9567d060bcea4f5136b9f5949e</t>
        </is>
      </c>
      <c r="D414" t="inlineStr">
        <is>
          <t>d3d1e91a157ea7f90548eef82f1955e3</t>
        </is>
      </c>
      <c r="E414" s="30" t="n">
        <v>43222.59967592593</v>
      </c>
      <c r="F414" t="inlineStr">
        <is>
          <t>health_beauty</t>
        </is>
      </c>
      <c r="G414" t="inlineStr">
        <is>
          <t>online_big</t>
        </is>
      </c>
      <c r="H414" t="inlineStr">
        <is>
          <t>cat</t>
        </is>
      </c>
      <c r="L414" t="inlineStr">
        <is>
          <t>reseller</t>
        </is>
      </c>
      <c r="N414" t="n">
        <v>0</v>
      </c>
    </row>
    <row r="415">
      <c r="A415" t="inlineStr">
        <is>
          <t>e3c586bec59ecb0430e34fb6bc37fb8d</t>
        </is>
      </c>
      <c r="B415" t="inlineStr">
        <is>
          <t>28d365edb9c888771df5915b575f8f34</t>
        </is>
      </c>
      <c r="C415" t="inlineStr">
        <is>
          <t>34d40cdaf94010a1d05b0d6212f9e909</t>
        </is>
      </c>
      <c r="D415" t="inlineStr">
        <is>
          <t>85fc447d336637ba1df43e793199fbc8</t>
        </is>
      </c>
      <c r="E415" s="30" t="n">
        <v>43244.69957175926</v>
      </c>
      <c r="F415" t="inlineStr">
        <is>
          <t>home_decor</t>
        </is>
      </c>
      <c r="G415" t="inlineStr">
        <is>
          <t>online_beginner</t>
        </is>
      </c>
      <c r="H415" t="inlineStr">
        <is>
          <t>cat</t>
        </is>
      </c>
      <c r="L415" t="inlineStr">
        <is>
          <t>reseller</t>
        </is>
      </c>
      <c r="N415" t="n">
        <v>0</v>
      </c>
    </row>
    <row r="416">
      <c r="A416" t="inlineStr">
        <is>
          <t>c2174952a0255de7fb31b91a037f1e16</t>
        </is>
      </c>
      <c r="B416" t="inlineStr">
        <is>
          <t>67edf85a314145ec81e546794dbc31cc</t>
        </is>
      </c>
      <c r="C416" t="inlineStr">
        <is>
          <t>de63de0d10a6012430098db33c679b0b</t>
        </is>
      </c>
      <c r="D416" t="inlineStr">
        <is>
          <t>d3d1e91a157ea7f90548eef82f1955e3</t>
        </is>
      </c>
      <c r="E416" s="30" t="n">
        <v>43118.83527777778</v>
      </c>
      <c r="F416" t="inlineStr">
        <is>
          <t>construction_tools_house_garden</t>
        </is>
      </c>
      <c r="G416" t="inlineStr">
        <is>
          <t>online_big</t>
        </is>
      </c>
      <c r="L416" t="inlineStr">
        <is>
          <t>reseller</t>
        </is>
      </c>
      <c r="N416" t="n">
        <v>0</v>
      </c>
    </row>
    <row r="417">
      <c r="A417" t="inlineStr">
        <is>
          <t>6c5532cd89a43796f19e4ac21f3b8c72</t>
        </is>
      </c>
      <c r="B417" t="inlineStr">
        <is>
          <t>4f6bf26bd1ecc9aa855e9cce6869b566</t>
        </is>
      </c>
      <c r="C417" t="inlineStr">
        <is>
          <t>4b339f9567d060bcea4f5136b9f5949e</t>
        </is>
      </c>
      <c r="D417" t="inlineStr">
        <is>
          <t>495d4e95a8cf8bbf8b432b612a2aa328</t>
        </is>
      </c>
      <c r="E417" s="30" t="n">
        <v>43231.72518518518</v>
      </c>
      <c r="F417" t="inlineStr">
        <is>
          <t>audio_video_electronics</t>
        </is>
      </c>
      <c r="G417" t="inlineStr">
        <is>
          <t>online_medium</t>
        </is>
      </c>
      <c r="H417" t="inlineStr">
        <is>
          <t>wolf</t>
        </is>
      </c>
      <c r="L417" t="inlineStr">
        <is>
          <t>reseller</t>
        </is>
      </c>
      <c r="N417" t="n">
        <v>0</v>
      </c>
    </row>
    <row r="418">
      <c r="A418" t="inlineStr">
        <is>
          <t>115f08592f4c2bb29013efbbc46608fc</t>
        </is>
      </c>
      <c r="B418" t="inlineStr">
        <is>
          <t>ffc470761de7d0232558ba5e786e57b7</t>
        </is>
      </c>
      <c r="C418" t="inlineStr">
        <is>
          <t>4b339f9567d060bcea4f5136b9f5949e</t>
        </is>
      </c>
      <c r="D418" t="inlineStr">
        <is>
          <t>4ef15afb4b2723d8f3d81e51ec7afefe</t>
        </is>
      </c>
      <c r="E418" s="30" t="n">
        <v>43145.49200231482</v>
      </c>
      <c r="F418" t="inlineStr">
        <is>
          <t>construction_tools_house_garden</t>
        </is>
      </c>
      <c r="G418" t="inlineStr">
        <is>
          <t>online_big</t>
        </is>
      </c>
      <c r="L418" t="inlineStr">
        <is>
          <t>reseller</t>
        </is>
      </c>
      <c r="N418" t="n">
        <v>0</v>
      </c>
    </row>
    <row r="419">
      <c r="A419" t="inlineStr">
        <is>
          <t>ff89e8ee1db049c810a2da86c84c6bd5</t>
        </is>
      </c>
      <c r="B419" t="inlineStr">
        <is>
          <t>07de60b03d150fb3ea09eab5da5e4c8b</t>
        </is>
      </c>
      <c r="C419" t="inlineStr">
        <is>
          <t>de63de0d10a6012430098db33c679b0b</t>
        </is>
      </c>
      <c r="D419" t="inlineStr">
        <is>
          <t>d3d1e91a157ea7f90548eef82f1955e3</t>
        </is>
      </c>
      <c r="E419" s="30" t="n">
        <v>43124.71842592592</v>
      </c>
      <c r="F419" t="inlineStr">
        <is>
          <t>bed_bath_table</t>
        </is>
      </c>
      <c r="G419" t="inlineStr">
        <is>
          <t>industry</t>
        </is>
      </c>
      <c r="L419" t="inlineStr">
        <is>
          <t>manufacturer</t>
        </is>
      </c>
      <c r="N419" t="n">
        <v>0</v>
      </c>
    </row>
    <row r="420">
      <c r="A420" t="inlineStr">
        <is>
          <t>2b9b8e32584fe9897d8aedde5bc04ed7</t>
        </is>
      </c>
      <c r="B420" t="inlineStr">
        <is>
          <t>86ff3eaef0267069cc891a2ed9d10a17</t>
        </is>
      </c>
      <c r="C420" t="inlineStr">
        <is>
          <t>068066e24f0c643eb1d089c7dd20cd73</t>
        </is>
      </c>
      <c r="D420" t="inlineStr">
        <is>
          <t>060c0a26f19f4d66b42e0d8796688490</t>
        </is>
      </c>
      <c r="E420" s="30" t="n">
        <v>43188.75479166667</v>
      </c>
      <c r="F420" t="inlineStr">
        <is>
          <t>sports_leisure</t>
        </is>
      </c>
      <c r="G420" t="inlineStr">
        <is>
          <t>online_medium</t>
        </is>
      </c>
      <c r="H420" t="inlineStr">
        <is>
          <t>cat</t>
        </is>
      </c>
      <c r="L420" t="inlineStr">
        <is>
          <t>reseller</t>
        </is>
      </c>
      <c r="N420" t="n">
        <v>0</v>
      </c>
    </row>
    <row r="421">
      <c r="A421" t="inlineStr">
        <is>
          <t>bb10ba1898d78d59bb76db2493ca511c</t>
        </is>
      </c>
      <c r="B421" t="inlineStr">
        <is>
          <t>299c89a525fee36c567f4fe72f038100</t>
        </is>
      </c>
      <c r="C421" t="inlineStr">
        <is>
          <t>068066e24f0c643eb1d089c7dd20cd73</t>
        </is>
      </c>
      <c r="D421" t="inlineStr">
        <is>
          <t>495d4e95a8cf8bbf8b432b612a2aa328</t>
        </is>
      </c>
      <c r="E421" s="30" t="n">
        <v>43159.125</v>
      </c>
      <c r="F421" t="inlineStr">
        <is>
          <t>audio_video_electronics</t>
        </is>
      </c>
      <c r="G421" t="inlineStr">
        <is>
          <t>online_big</t>
        </is>
      </c>
      <c r="L421" t="inlineStr">
        <is>
          <t>manufacturer</t>
        </is>
      </c>
      <c r="N421" t="n">
        <v>0</v>
      </c>
    </row>
    <row r="422">
      <c r="A422" t="inlineStr">
        <is>
          <t>d94101ad400cbaf86b951c78f8172039</t>
        </is>
      </c>
      <c r="B422" t="inlineStr">
        <is>
          <t>fc7adf89a5d4fb88c007094fdae351c4</t>
        </is>
      </c>
      <c r="C422" t="inlineStr">
        <is>
          <t>068066e24f0c643eb1d089c7dd20cd73</t>
        </is>
      </c>
      <c r="D422" t="inlineStr">
        <is>
          <t>d3d1e91a157ea7f90548eef82f1955e3</t>
        </is>
      </c>
      <c r="E422" s="30" t="n">
        <v>43158.51612268519</v>
      </c>
      <c r="F422" t="inlineStr">
        <is>
          <t>handcrafted</t>
        </is>
      </c>
      <c r="G422" t="inlineStr">
        <is>
          <t>online_big</t>
        </is>
      </c>
      <c r="H422" t="inlineStr">
        <is>
          <t>cat</t>
        </is>
      </c>
      <c r="L422" t="inlineStr">
        <is>
          <t>reseller</t>
        </is>
      </c>
      <c r="N422" t="n">
        <v>0</v>
      </c>
    </row>
    <row r="423">
      <c r="A423" t="inlineStr">
        <is>
          <t>f5f0711534e0b5d69c8e4206dd17cd88</t>
        </is>
      </c>
      <c r="B423" t="inlineStr">
        <is>
          <t>f66425655311542de5db64f27d0d5651</t>
        </is>
      </c>
      <c r="C423" t="inlineStr">
        <is>
          <t>4b339f9567d060bcea4f5136b9f5949e</t>
        </is>
      </c>
      <c r="D423" t="inlineStr">
        <is>
          <t>4ef15afb4b2723d8f3d81e51ec7afefe</t>
        </is>
      </c>
      <c r="E423" s="30" t="n">
        <v>43178.73337962963</v>
      </c>
      <c r="F423" t="inlineStr">
        <is>
          <t>car_accessories</t>
        </is>
      </c>
      <c r="G423" t="inlineStr">
        <is>
          <t>online_medium</t>
        </is>
      </c>
      <c r="H423" t="inlineStr">
        <is>
          <t>cat</t>
        </is>
      </c>
      <c r="L423" t="inlineStr">
        <is>
          <t>reseller</t>
        </is>
      </c>
      <c r="N423" t="n">
        <v>0</v>
      </c>
    </row>
    <row r="424">
      <c r="A424" t="inlineStr">
        <is>
          <t>04f8b803895d585e29bf21162e49cc84</t>
        </is>
      </c>
      <c r="B424" t="inlineStr">
        <is>
          <t>3ea08c48e851106d2f584349daba335f</t>
        </is>
      </c>
      <c r="C424" t="inlineStr">
        <is>
          <t>068066e24f0c643eb1d089c7dd20cd73</t>
        </is>
      </c>
      <c r="D424" t="inlineStr">
        <is>
          <t>4ef15afb4b2723d8f3d81e51ec7afefe</t>
        </is>
      </c>
      <c r="E424" s="30" t="n">
        <v>43209.71618055556</v>
      </c>
      <c r="F424" t="inlineStr">
        <is>
          <t>baby</t>
        </is>
      </c>
      <c r="G424" t="inlineStr">
        <is>
          <t>online_medium</t>
        </is>
      </c>
      <c r="H424" t="inlineStr">
        <is>
          <t>cat</t>
        </is>
      </c>
      <c r="L424" t="inlineStr">
        <is>
          <t>manufacturer</t>
        </is>
      </c>
      <c r="N424" t="n">
        <v>0</v>
      </c>
    </row>
    <row r="425">
      <c r="A425" t="inlineStr">
        <is>
          <t>57a80e778f3d755b4f2166e6a60826fd</t>
        </is>
      </c>
      <c r="B425" t="inlineStr">
        <is>
          <t>bea51724befa11664f1d44a92ba8f4c3</t>
        </is>
      </c>
      <c r="C425" t="inlineStr">
        <is>
          <t>de63de0d10a6012430098db33c679b0b</t>
        </is>
      </c>
      <c r="D425" t="inlineStr">
        <is>
          <t>d3d1e91a157ea7f90548eef82f1955e3</t>
        </is>
      </c>
      <c r="E425" s="30" t="n">
        <v>43208.79260416667</v>
      </c>
      <c r="F425" t="inlineStr">
        <is>
          <t>jewerly</t>
        </is>
      </c>
      <c r="G425" t="inlineStr">
        <is>
          <t>online_beginner</t>
        </is>
      </c>
      <c r="L425" t="inlineStr">
        <is>
          <t>manufacturer</t>
        </is>
      </c>
      <c r="N425" t="n">
        <v>0</v>
      </c>
    </row>
    <row r="426">
      <c r="A426" t="inlineStr">
        <is>
          <t>5c3fd6f239bbbd47b94fb424c8827b2e</t>
        </is>
      </c>
      <c r="B426" t="inlineStr">
        <is>
          <t>528f22dfa20a3de9375b2b38e49cc617</t>
        </is>
      </c>
      <c r="C426" t="inlineStr">
        <is>
          <t>068066e24f0c643eb1d089c7dd20cd73</t>
        </is>
      </c>
      <c r="D426" t="inlineStr">
        <is>
          <t>de63de0d10a6012430098db33c679b0b</t>
        </is>
      </c>
      <c r="E426" s="30" t="n">
        <v>43224.125</v>
      </c>
      <c r="F426" t="inlineStr">
        <is>
          <t>home_decor</t>
        </is>
      </c>
      <c r="G426" t="inlineStr">
        <is>
          <t>online_beginner</t>
        </is>
      </c>
      <c r="H426" t="inlineStr">
        <is>
          <t>eagle</t>
        </is>
      </c>
      <c r="L426" t="inlineStr">
        <is>
          <t>reseller</t>
        </is>
      </c>
      <c r="N426" t="n">
        <v>0</v>
      </c>
    </row>
    <row r="427">
      <c r="A427" t="inlineStr">
        <is>
          <t>099c0eddd44f937ac2facf3a72263b7f</t>
        </is>
      </c>
      <c r="B427" t="inlineStr">
        <is>
          <t>2d34636518ba88f5349b732fcf8ba2e4</t>
        </is>
      </c>
      <c r="C427" t="inlineStr">
        <is>
          <t>de63de0d10a6012430098db33c679b0b</t>
        </is>
      </c>
      <c r="D427" t="inlineStr">
        <is>
          <t>6565aa9ce3178a5caf6171827af3a9ba</t>
        </is>
      </c>
      <c r="E427" s="30" t="n">
        <v>43150.84821759259</v>
      </c>
      <c r="F427" t="inlineStr">
        <is>
          <t>computers</t>
        </is>
      </c>
      <c r="G427" t="inlineStr">
        <is>
          <t>industry</t>
        </is>
      </c>
      <c r="L427" t="inlineStr">
        <is>
          <t>reseller</t>
        </is>
      </c>
      <c r="N427" t="n">
        <v>0</v>
      </c>
    </row>
    <row r="428">
      <c r="A428" t="inlineStr">
        <is>
          <t>644b522e92999426ab230d94a4bb4512</t>
        </is>
      </c>
      <c r="B428" t="inlineStr">
        <is>
          <t>e6cf587c2552879f7471e7e8c993ea1c</t>
        </is>
      </c>
      <c r="C428" t="inlineStr">
        <is>
          <t>4b339f9567d060bcea4f5136b9f5949e</t>
        </is>
      </c>
      <c r="D428" t="inlineStr">
        <is>
          <t>85fc447d336637ba1df43e793199fbc8</t>
        </is>
      </c>
      <c r="E428" s="30" t="n">
        <v>43227.76572916667</v>
      </c>
      <c r="F428" t="inlineStr">
        <is>
          <t>car_accessories</t>
        </is>
      </c>
      <c r="G428" t="inlineStr">
        <is>
          <t>online_medium</t>
        </is>
      </c>
      <c r="H428" t="inlineStr">
        <is>
          <t>wolf</t>
        </is>
      </c>
      <c r="L428" t="inlineStr">
        <is>
          <t>reseller</t>
        </is>
      </c>
      <c r="N428" t="n">
        <v>0</v>
      </c>
    </row>
    <row r="429">
      <c r="A429" t="inlineStr">
        <is>
          <t>d2e8ac40dc18011d5ecd890846f36ec1</t>
        </is>
      </c>
      <c r="B429" t="inlineStr">
        <is>
          <t>503ad3c3811010c6ba4577f411724b13</t>
        </is>
      </c>
      <c r="C429" t="inlineStr">
        <is>
          <t>9d12ef1a7eca3ec58c545c678af7869c</t>
        </is>
      </c>
      <c r="D429" t="inlineStr">
        <is>
          <t>4ef15afb4b2723d8f3d81e51ec7afefe</t>
        </is>
      </c>
      <c r="E429" s="30" t="n">
        <v>43217.125</v>
      </c>
      <c r="F429" t="inlineStr">
        <is>
          <t>food_drink</t>
        </is>
      </c>
      <c r="G429" t="inlineStr">
        <is>
          <t>offline</t>
        </is>
      </c>
      <c r="H429" t="inlineStr">
        <is>
          <t>eagle</t>
        </is>
      </c>
      <c r="L429" t="inlineStr">
        <is>
          <t>reseller</t>
        </is>
      </c>
      <c r="N429" t="n">
        <v>0</v>
      </c>
    </row>
    <row r="430">
      <c r="A430" t="inlineStr">
        <is>
          <t>ee7230dec6c5cf2229f0a706a265ca49</t>
        </is>
      </c>
      <c r="B430" t="inlineStr">
        <is>
          <t>e8dba4d70f7f2b20e775d09cae01142d</t>
        </is>
      </c>
      <c r="C430" t="inlineStr">
        <is>
          <t>34d40cdaf94010a1d05b0d6212f9e909</t>
        </is>
      </c>
      <c r="D430" t="inlineStr">
        <is>
          <t>a8387c01a09e99ce014107505b92388c</t>
        </is>
      </c>
      <c r="E430" s="30" t="n">
        <v>43234.84440972222</v>
      </c>
      <c r="F430" t="inlineStr">
        <is>
          <t>bags_backpacks</t>
        </is>
      </c>
      <c r="G430" t="inlineStr">
        <is>
          <t>online_big</t>
        </is>
      </c>
      <c r="H430" t="inlineStr">
        <is>
          <t>cat</t>
        </is>
      </c>
      <c r="L430" t="inlineStr">
        <is>
          <t>reseller</t>
        </is>
      </c>
      <c r="N430" t="n">
        <v>0</v>
      </c>
    </row>
    <row r="431">
      <c r="A431" t="inlineStr">
        <is>
          <t>05b99715f32c973f929cd22735389966</t>
        </is>
      </c>
      <c r="B431" t="inlineStr">
        <is>
          <t>bbe87dce25ba8b38bb61cc7210a3f10b</t>
        </is>
      </c>
      <c r="C431" t="inlineStr">
        <is>
          <t>9e4d1098a3b0f5da39b0bc48f9876645</t>
        </is>
      </c>
      <c r="D431" t="inlineStr">
        <is>
          <t>85fc447d336637ba1df43e793199fbc8</t>
        </is>
      </c>
      <c r="E431" s="30" t="n">
        <v>43181.63018518518</v>
      </c>
      <c r="F431" t="inlineStr">
        <is>
          <t>construction_tools_house_garden</t>
        </is>
      </c>
      <c r="G431" t="inlineStr">
        <is>
          <t>online_big</t>
        </is>
      </c>
      <c r="H431" t="inlineStr">
        <is>
          <t>cat</t>
        </is>
      </c>
      <c r="L431" t="inlineStr">
        <is>
          <t>reseller</t>
        </is>
      </c>
      <c r="N431" t="n">
        <v>0</v>
      </c>
    </row>
    <row r="432">
      <c r="A432" t="inlineStr">
        <is>
          <t>f9cb3124b5a22b133f21273ef2cb0695</t>
        </is>
      </c>
      <c r="B432" t="inlineStr">
        <is>
          <t>9e3f08af3b6caa76962b05087eed5425</t>
        </is>
      </c>
      <c r="C432" t="inlineStr">
        <is>
          <t>09285259593c61296eef10c734121d5b</t>
        </is>
      </c>
      <c r="D432" t="inlineStr">
        <is>
          <t>fbf4aef3f6915dc0c3c97d6812522f6a</t>
        </is>
      </c>
      <c r="E432" s="30" t="n">
        <v>43206.70701388889</v>
      </c>
      <c r="F432" t="inlineStr">
        <is>
          <t>construction_tools_house_garden</t>
        </is>
      </c>
      <c r="G432" t="inlineStr">
        <is>
          <t>online_medium</t>
        </is>
      </c>
      <c r="H432" t="inlineStr">
        <is>
          <t>eagle</t>
        </is>
      </c>
      <c r="L432" t="inlineStr">
        <is>
          <t>manufacturer</t>
        </is>
      </c>
      <c r="N432" t="n">
        <v>0</v>
      </c>
    </row>
    <row r="433">
      <c r="A433" t="inlineStr">
        <is>
          <t>2a0433fde38b262e5db7db757057c7c0</t>
        </is>
      </c>
      <c r="B433" t="inlineStr">
        <is>
          <t>94165aea8a35c3c21499cbcae239b16c</t>
        </is>
      </c>
      <c r="C433" t="inlineStr">
        <is>
          <t>56bf83c4bb35763a51c2baab501b4c67</t>
        </is>
      </c>
      <c r="D433" t="inlineStr">
        <is>
          <t>4ef15afb4b2723d8f3d81e51ec7afefe</t>
        </is>
      </c>
      <c r="E433" s="30" t="n">
        <v>43175.59328703704</v>
      </c>
      <c r="F433" t="inlineStr">
        <is>
          <t>car_accessories</t>
        </is>
      </c>
      <c r="G433" t="inlineStr">
        <is>
          <t>online_medium</t>
        </is>
      </c>
      <c r="H433" t="inlineStr">
        <is>
          <t>eagle</t>
        </is>
      </c>
      <c r="L433" t="inlineStr">
        <is>
          <t>reseller</t>
        </is>
      </c>
      <c r="N433" t="n">
        <v>0</v>
      </c>
    </row>
    <row r="434">
      <c r="A434" t="inlineStr">
        <is>
          <t>a244f80bac3293a03b71b032e0e09ce5</t>
        </is>
      </c>
      <c r="B434" t="inlineStr">
        <is>
          <t>43ac443db8d4fbfb1454aa1364404264</t>
        </is>
      </c>
      <c r="C434" t="inlineStr">
        <is>
          <t>9d12ef1a7eca3ec58c545c678af7869c</t>
        </is>
      </c>
      <c r="D434" t="inlineStr">
        <is>
          <t>6565aa9ce3178a5caf6171827af3a9ba</t>
        </is>
      </c>
      <c r="E434" s="30" t="n">
        <v>43196.70600694444</v>
      </c>
      <c r="F434" t="inlineStr">
        <is>
          <t>car_accessories</t>
        </is>
      </c>
      <c r="G434" t="inlineStr">
        <is>
          <t>online_medium</t>
        </is>
      </c>
      <c r="H434" t="inlineStr">
        <is>
          <t>eagle</t>
        </is>
      </c>
      <c r="L434" t="inlineStr">
        <is>
          <t>reseller</t>
        </is>
      </c>
      <c r="N434" t="n">
        <v>0</v>
      </c>
    </row>
    <row r="435">
      <c r="A435" t="inlineStr">
        <is>
          <t>dca7085d5af68e91d19ed7cb75e1dd86</t>
        </is>
      </c>
      <c r="B435" t="inlineStr">
        <is>
          <t>54212aa507a8696b0766046bd3aecdc3</t>
        </is>
      </c>
      <c r="C435" t="inlineStr">
        <is>
          <t>4b339f9567d060bcea4f5136b9f5949e</t>
        </is>
      </c>
      <c r="D435" t="inlineStr">
        <is>
          <t>6565aa9ce3178a5caf6171827af3a9ba</t>
        </is>
      </c>
      <c r="E435" s="30" t="n">
        <v>43174.53039351852</v>
      </c>
      <c r="F435" t="inlineStr">
        <is>
          <t>jewerly</t>
        </is>
      </c>
      <c r="G435" t="inlineStr">
        <is>
          <t>industry</t>
        </is>
      </c>
      <c r="H435" t="inlineStr">
        <is>
          <t>cat</t>
        </is>
      </c>
      <c r="N435" t="n">
        <v>0</v>
      </c>
    </row>
    <row r="436">
      <c r="A436" t="inlineStr">
        <is>
          <t>3efcdd8c4998017c9578b28a059f72e4</t>
        </is>
      </c>
      <c r="B436" t="inlineStr">
        <is>
          <t>267116eae2e631a965ef86be260f9278</t>
        </is>
      </c>
      <c r="C436" t="inlineStr">
        <is>
          <t>56bf83c4bb35763a51c2baab501b4c67</t>
        </is>
      </c>
      <c r="D436" t="inlineStr">
        <is>
          <t>495d4e95a8cf8bbf8b432b612a2aa328</t>
        </is>
      </c>
      <c r="E436" s="30" t="n">
        <v>43166.79476851852</v>
      </c>
      <c r="F436" t="inlineStr">
        <is>
          <t>fashion_accessories</t>
        </is>
      </c>
      <c r="G436" t="inlineStr">
        <is>
          <t>online_small</t>
        </is>
      </c>
      <c r="H436" t="inlineStr">
        <is>
          <t>eagle</t>
        </is>
      </c>
      <c r="L436" t="inlineStr">
        <is>
          <t>manufacturer</t>
        </is>
      </c>
      <c r="N436" t="n">
        <v>0</v>
      </c>
    </row>
    <row r="437">
      <c r="A437" t="inlineStr">
        <is>
          <t>53be01f4f05aebe9d0c69268ac1999ce</t>
        </is>
      </c>
      <c r="B437" t="inlineStr">
        <is>
          <t>3d2531eccfbde1d7c8db7a3a12fb267a</t>
        </is>
      </c>
      <c r="C437" t="inlineStr">
        <is>
          <t>9e4d1098a3b0f5da39b0bc48f9876645</t>
        </is>
      </c>
      <c r="D437" t="inlineStr">
        <is>
          <t>2695de1affa7750089c0455f8ce27021</t>
        </is>
      </c>
      <c r="E437" s="30" t="n">
        <v>43168.53425925926</v>
      </c>
      <c r="F437" t="inlineStr">
        <is>
          <t>music_instruments</t>
        </is>
      </c>
      <c r="G437" t="inlineStr">
        <is>
          <t>online_medium</t>
        </is>
      </c>
      <c r="L437" t="inlineStr">
        <is>
          <t>reseller</t>
        </is>
      </c>
      <c r="N437" t="n">
        <v>0</v>
      </c>
    </row>
    <row r="438">
      <c r="A438" t="inlineStr">
        <is>
          <t>501f06dacc74edd54022151f71c8960b</t>
        </is>
      </c>
      <c r="B438" t="inlineStr">
        <is>
          <t>770145ac7913d8d3ace8aa83a1304938</t>
        </is>
      </c>
      <c r="C438" t="inlineStr">
        <is>
          <t>9d12ef1a7eca3ec58c545c678af7869c</t>
        </is>
      </c>
      <c r="D438" t="inlineStr">
        <is>
          <t>4ef15afb4b2723d8f3d81e51ec7afefe</t>
        </is>
      </c>
      <c r="E438" s="30" t="n">
        <v>43185.87109953703</v>
      </c>
      <c r="F438" t="inlineStr">
        <is>
          <t>bed_bath_table</t>
        </is>
      </c>
      <c r="G438" t="inlineStr">
        <is>
          <t>online_medium</t>
        </is>
      </c>
      <c r="H438" t="inlineStr">
        <is>
          <t>cat</t>
        </is>
      </c>
      <c r="L438" t="inlineStr">
        <is>
          <t>manufacturer</t>
        </is>
      </c>
      <c r="N438" t="n">
        <v>0</v>
      </c>
    </row>
    <row r="439">
      <c r="A439" t="inlineStr">
        <is>
          <t>c07c69d716213f5eb297e2721115daca</t>
        </is>
      </c>
      <c r="B439" t="inlineStr">
        <is>
          <t>cf8ca2db83470a73b7cebdd86ea96fb9</t>
        </is>
      </c>
      <c r="C439" t="inlineStr">
        <is>
          <t>56bf83c4bb35763a51c2baab501b4c67</t>
        </is>
      </c>
      <c r="D439" t="inlineStr">
        <is>
          <t>9ae085775a198122c5586fa830ff7f2b</t>
        </is>
      </c>
      <c r="E439" s="30" t="n">
        <v>43180.67837962963</v>
      </c>
      <c r="F439" t="inlineStr">
        <is>
          <t>phone_mobile</t>
        </is>
      </c>
      <c r="G439" t="inlineStr">
        <is>
          <t>industry</t>
        </is>
      </c>
      <c r="H439" t="inlineStr">
        <is>
          <t>eagle</t>
        </is>
      </c>
      <c r="L439" t="inlineStr">
        <is>
          <t>reseller</t>
        </is>
      </c>
      <c r="N439" t="n">
        <v>0</v>
      </c>
    </row>
    <row r="440">
      <c r="A440" t="inlineStr">
        <is>
          <t>9c6dc3ff593093879a0eaf172f13589a</t>
        </is>
      </c>
      <c r="B440" t="inlineStr">
        <is>
          <t>b6584a94139a5dd427c5b2d918116197</t>
        </is>
      </c>
      <c r="C440" t="inlineStr">
        <is>
          <t>4b339f9567d060bcea4f5136b9f5949e</t>
        </is>
      </c>
      <c r="D440" t="inlineStr">
        <is>
          <t>d3d1e91a157ea7f90548eef82f1955e3</t>
        </is>
      </c>
      <c r="E440" s="30" t="n">
        <v>43171.54216435185</v>
      </c>
      <c r="F440" t="inlineStr">
        <is>
          <t>bags_backpacks</t>
        </is>
      </c>
      <c r="G440" t="inlineStr">
        <is>
          <t>online_small</t>
        </is>
      </c>
      <c r="L440" t="inlineStr">
        <is>
          <t>manufacturer</t>
        </is>
      </c>
      <c r="N440" t="n">
        <v>0</v>
      </c>
    </row>
    <row r="441">
      <c r="A441" t="inlineStr">
        <is>
          <t>7375737cbc45eaf7c478be2858e294ca</t>
        </is>
      </c>
      <c r="B441" t="inlineStr">
        <is>
          <t>89d394e1e062b0c231c559196aa7e18c</t>
        </is>
      </c>
      <c r="C441" t="inlineStr">
        <is>
          <t>34d40cdaf94010a1d05b0d6212f9e909</t>
        </is>
      </c>
      <c r="D441" t="inlineStr">
        <is>
          <t>de63de0d10a6012430098db33c679b0b</t>
        </is>
      </c>
      <c r="E441" s="30" t="n">
        <v>43222.72868055556</v>
      </c>
      <c r="F441" t="inlineStr">
        <is>
          <t>computers</t>
        </is>
      </c>
      <c r="G441" t="inlineStr">
        <is>
          <t>offline</t>
        </is>
      </c>
      <c r="H441" t="inlineStr">
        <is>
          <t>cat</t>
        </is>
      </c>
      <c r="L441" t="inlineStr">
        <is>
          <t>reseller</t>
        </is>
      </c>
      <c r="N441" t="n">
        <v>0</v>
      </c>
    </row>
    <row r="442">
      <c r="A442" t="inlineStr">
        <is>
          <t>e3ad7bdd4df4a7d9653820d9d67d4e49</t>
        </is>
      </c>
      <c r="B442" t="inlineStr">
        <is>
          <t>2f7c0e24a8a8fa5c807b59f66c2e9637</t>
        </is>
      </c>
      <c r="C442" t="inlineStr">
        <is>
          <t>4b339f9567d060bcea4f5136b9f5949e</t>
        </is>
      </c>
      <c r="D442" t="inlineStr">
        <is>
          <t>4b339f9567d060bcea4f5136b9f5949e</t>
        </is>
      </c>
      <c r="E442" s="30" t="n">
        <v>43290.125</v>
      </c>
      <c r="F442" t="inlineStr">
        <is>
          <t>sports_leisure</t>
        </is>
      </c>
      <c r="G442" t="inlineStr">
        <is>
          <t>online_medium</t>
        </is>
      </c>
      <c r="H442" t="inlineStr">
        <is>
          <t>cat</t>
        </is>
      </c>
      <c r="N442" t="n">
        <v>0</v>
      </c>
    </row>
    <row r="443">
      <c r="A443" t="inlineStr">
        <is>
          <t>ed68030ad096167305ee933b382d92f4</t>
        </is>
      </c>
      <c r="B443" t="inlineStr">
        <is>
          <t>81cce42d33ddf3d4f89f1d476b5e35e7</t>
        </is>
      </c>
      <c r="C443" t="inlineStr">
        <is>
          <t>0a0fb2b07d841f84fb6714e35c723075</t>
        </is>
      </c>
      <c r="D443" t="inlineStr">
        <is>
          <t>495d4e95a8cf8bbf8b432b612a2aa328</t>
        </is>
      </c>
      <c r="E443" s="30" t="n">
        <v>43250.56538194444</v>
      </c>
      <c r="F443" t="inlineStr">
        <is>
          <t>health_beauty</t>
        </is>
      </c>
      <c r="G443" t="inlineStr">
        <is>
          <t>industry</t>
        </is>
      </c>
      <c r="H443" t="inlineStr">
        <is>
          <t>eagle</t>
        </is>
      </c>
      <c r="L443" t="inlineStr">
        <is>
          <t>reseller</t>
        </is>
      </c>
      <c r="N443" t="n">
        <v>0</v>
      </c>
    </row>
    <row r="444">
      <c r="A444" t="inlineStr">
        <is>
          <t>d238f0c1fbf6fccb32a3f8efcf03e3b8</t>
        </is>
      </c>
      <c r="B444" t="inlineStr">
        <is>
          <t>68c701b433babf6e12018f1a674d3228</t>
        </is>
      </c>
      <c r="C444" t="inlineStr">
        <is>
          <t>f42a2bd194f7802ab052a815c8de65b7</t>
        </is>
      </c>
      <c r="D444" t="inlineStr">
        <is>
          <t>2695de1affa7750089c0455f8ce27021</t>
        </is>
      </c>
      <c r="E444" s="30" t="n">
        <v>43229.70284722222</v>
      </c>
      <c r="F444" t="inlineStr">
        <is>
          <t>home_decor</t>
        </is>
      </c>
      <c r="G444" t="inlineStr">
        <is>
          <t>offline</t>
        </is>
      </c>
      <c r="H444" t="inlineStr">
        <is>
          <t>cat</t>
        </is>
      </c>
      <c r="L444" t="inlineStr">
        <is>
          <t>manufacturer</t>
        </is>
      </c>
      <c r="N444" t="n">
        <v>0</v>
      </c>
    </row>
    <row r="445">
      <c r="A445" t="inlineStr">
        <is>
          <t>35dae000552fd88cce58a6571998738c</t>
        </is>
      </c>
      <c r="B445" t="inlineStr">
        <is>
          <t>184725737946a1a938bbbd1a9e978103</t>
        </is>
      </c>
      <c r="C445" t="inlineStr">
        <is>
          <t>370c9f455f93a9a96cbe9bea48e70033</t>
        </is>
      </c>
      <c r="D445" t="inlineStr">
        <is>
          <t>9e4d1098a3b0f5da39b0bc48f9876645</t>
        </is>
      </c>
      <c r="E445" s="30" t="n">
        <v>43210.86707175926</v>
      </c>
      <c r="F445" t="inlineStr">
        <is>
          <t>fashion_accessories</t>
        </is>
      </c>
      <c r="G445" t="inlineStr">
        <is>
          <t>online_big</t>
        </is>
      </c>
      <c r="H445" t="inlineStr">
        <is>
          <t>cat</t>
        </is>
      </c>
      <c r="L445" t="inlineStr">
        <is>
          <t>reseller</t>
        </is>
      </c>
      <c r="N445" t="n">
        <v>0</v>
      </c>
    </row>
    <row r="446">
      <c r="A446" t="inlineStr">
        <is>
          <t>012fa44d6752ee07c167165cb8c6f11c</t>
        </is>
      </c>
      <c r="B446" t="inlineStr">
        <is>
          <t>528e4514f9339c1c3dd7535fd1a2d8cb</t>
        </is>
      </c>
      <c r="C446" t="inlineStr">
        <is>
          <t>9e4d1098a3b0f5da39b0bc48f9876645</t>
        </is>
      </c>
      <c r="D446" t="inlineStr">
        <is>
          <t>4ef15afb4b2723d8f3d81e51ec7afefe</t>
        </is>
      </c>
      <c r="E446" s="30" t="n">
        <v>43167.62625</v>
      </c>
      <c r="F446" t="inlineStr">
        <is>
          <t>home_decor</t>
        </is>
      </c>
      <c r="G446" t="inlineStr">
        <is>
          <t>online_small</t>
        </is>
      </c>
      <c r="H446" t="inlineStr">
        <is>
          <t>wolf</t>
        </is>
      </c>
      <c r="L446" t="inlineStr">
        <is>
          <t>manufacturer</t>
        </is>
      </c>
      <c r="N446" t="n">
        <v>0</v>
      </c>
    </row>
    <row r="447">
      <c r="A447" t="inlineStr">
        <is>
          <t>d73084414361442cb1fd4d659b395c38</t>
        </is>
      </c>
      <c r="B447" t="inlineStr">
        <is>
          <t>2ba91c7ad80ff88b23b7db823b43c233</t>
        </is>
      </c>
      <c r="C447" t="inlineStr">
        <is>
          <t>068066e24f0c643eb1d089c7dd20cd73</t>
        </is>
      </c>
      <c r="D447" t="inlineStr">
        <is>
          <t>495d4e95a8cf8bbf8b432b612a2aa328</t>
        </is>
      </c>
      <c r="E447" s="30" t="n">
        <v>43118.47388888889</v>
      </c>
      <c r="F447" t="inlineStr">
        <is>
          <t>pet</t>
        </is>
      </c>
      <c r="L447" t="inlineStr">
        <is>
          <t>reseller</t>
        </is>
      </c>
      <c r="N447" t="n">
        <v>0</v>
      </c>
    </row>
    <row r="448">
      <c r="A448" t="inlineStr">
        <is>
          <t>fb24fdefb6d2dd80651f6c1a87bc0d7f</t>
        </is>
      </c>
      <c r="B448" t="inlineStr">
        <is>
          <t>bf0d50a6410d487dc97d2baac0a8c0be</t>
        </is>
      </c>
      <c r="C448" t="inlineStr">
        <is>
          <t>56bf83c4bb35763a51c2baab501b4c67</t>
        </is>
      </c>
      <c r="D448" t="inlineStr">
        <is>
          <t>2695de1affa7750089c0455f8ce27021</t>
        </is>
      </c>
      <c r="E448" s="30" t="n">
        <v>43199.76581018518</v>
      </c>
      <c r="F448" t="inlineStr">
        <is>
          <t>home_decor</t>
        </is>
      </c>
      <c r="G448" t="inlineStr">
        <is>
          <t>online_medium</t>
        </is>
      </c>
      <c r="H448" t="inlineStr">
        <is>
          <t>cat</t>
        </is>
      </c>
      <c r="L448" t="inlineStr">
        <is>
          <t>manufacturer</t>
        </is>
      </c>
      <c r="N448" t="n">
        <v>0</v>
      </c>
    </row>
    <row r="449">
      <c r="A449" t="inlineStr">
        <is>
          <t>ab712090eb9a27881b63080c859147de</t>
        </is>
      </c>
      <c r="B449" t="inlineStr">
        <is>
          <t>18d5b01a5ca858cf540df954e063978d</t>
        </is>
      </c>
      <c r="C449" t="inlineStr">
        <is>
          <t>068066e24f0c643eb1d089c7dd20cd73</t>
        </is>
      </c>
      <c r="D449" t="inlineStr">
        <is>
          <t>9ae085775a198122c5586fa830ff7f2b</t>
        </is>
      </c>
      <c r="E449" s="30" t="n">
        <v>43133.69734953704</v>
      </c>
      <c r="F449" t="inlineStr">
        <is>
          <t>audio_video_electronics</t>
        </is>
      </c>
      <c r="L449" t="inlineStr">
        <is>
          <t>reseller</t>
        </is>
      </c>
      <c r="N449" t="n">
        <v>0</v>
      </c>
    </row>
    <row r="450">
      <c r="A450" t="inlineStr">
        <is>
          <t>3d25d97d74b25fda24861545538d0475</t>
        </is>
      </c>
      <c r="B450" t="inlineStr">
        <is>
          <t>ce77b964b9986a57b37b928be67d9959</t>
        </is>
      </c>
      <c r="C450" t="inlineStr">
        <is>
          <t>068066e24f0c643eb1d089c7dd20cd73</t>
        </is>
      </c>
      <c r="D450" t="inlineStr">
        <is>
          <t>060c0a26f19f4d66b42e0d8796688490</t>
        </is>
      </c>
      <c r="E450" s="30" t="n">
        <v>43154.5027662037</v>
      </c>
      <c r="F450" t="inlineStr">
        <is>
          <t>food_supplement</t>
        </is>
      </c>
      <c r="G450" t="inlineStr">
        <is>
          <t>online_medium</t>
        </is>
      </c>
      <c r="H450" t="inlineStr">
        <is>
          <t>wolf</t>
        </is>
      </c>
      <c r="L450" t="inlineStr">
        <is>
          <t>reseller</t>
        </is>
      </c>
      <c r="N450" t="n">
        <v>0</v>
      </c>
    </row>
    <row r="451">
      <c r="A451" t="inlineStr">
        <is>
          <t>f220cfabf79009211ae4493c75c742a9</t>
        </is>
      </c>
      <c r="B451" t="inlineStr">
        <is>
          <t>1b69e7630792e60471efca457d5b57af</t>
        </is>
      </c>
      <c r="C451" t="inlineStr">
        <is>
          <t>370c9f455f93a9a96cbe9bea48e70033</t>
        </is>
      </c>
      <c r="D451" t="inlineStr">
        <is>
          <t>6565aa9ce3178a5caf6171827af3a9ba</t>
        </is>
      </c>
      <c r="E451" s="30" t="n">
        <v>43327.79833333333</v>
      </c>
      <c r="F451" t="inlineStr">
        <is>
          <t>handcrafted</t>
        </is>
      </c>
      <c r="G451" t="inlineStr">
        <is>
          <t>online_medium</t>
        </is>
      </c>
      <c r="H451" t="inlineStr">
        <is>
          <t>eagle</t>
        </is>
      </c>
      <c r="L451" t="inlineStr">
        <is>
          <t>manufacturer</t>
        </is>
      </c>
      <c r="M451" t="n">
        <v>22</v>
      </c>
      <c r="N451" t="n">
        <v>0</v>
      </c>
    </row>
    <row r="452">
      <c r="A452" t="inlineStr">
        <is>
          <t>16b2e31fefe580e6aab327e53949bc14</t>
        </is>
      </c>
      <c r="B452" t="inlineStr">
        <is>
          <t>9da15f4a4ea758d9eeb49000dbe57e22</t>
        </is>
      </c>
      <c r="C452" t="inlineStr">
        <is>
          <t>a8387c01a09e99ce014107505b92388c</t>
        </is>
      </c>
      <c r="D452" t="inlineStr">
        <is>
          <t>495d4e95a8cf8bbf8b432b612a2aa328</t>
        </is>
      </c>
      <c r="E452" s="30" t="n">
        <v>43168.125</v>
      </c>
      <c r="F452" t="inlineStr">
        <is>
          <t>home_decor</t>
        </is>
      </c>
      <c r="G452" t="inlineStr">
        <is>
          <t>online_medium</t>
        </is>
      </c>
      <c r="H452" t="inlineStr">
        <is>
          <t>wolf</t>
        </is>
      </c>
      <c r="L452" t="inlineStr">
        <is>
          <t>reseller</t>
        </is>
      </c>
      <c r="N452" t="n">
        <v>0</v>
      </c>
    </row>
    <row r="453">
      <c r="A453" t="inlineStr">
        <is>
          <t>67577e94367b2efc073a5c9085a0e31d</t>
        </is>
      </c>
      <c r="B453" t="inlineStr">
        <is>
          <t>5a4473aa20aec979dea3eee0822165aa</t>
        </is>
      </c>
      <c r="C453" t="inlineStr">
        <is>
          <t>45749fb708130f78d0db07d8d80f030b</t>
        </is>
      </c>
      <c r="D453" t="inlineStr">
        <is>
          <t>068066e24f0c643eb1d089c7dd20cd73</t>
        </is>
      </c>
      <c r="E453" s="30" t="n">
        <v>43383.6915162037</v>
      </c>
      <c r="F453" t="inlineStr">
        <is>
          <t>fashion_accessories</t>
        </is>
      </c>
      <c r="G453" t="inlineStr">
        <is>
          <t>offline</t>
        </is>
      </c>
      <c r="H453" t="inlineStr">
        <is>
          <t>wolf</t>
        </is>
      </c>
      <c r="I453" t="b">
        <v>1</v>
      </c>
      <c r="J453" t="b">
        <v>1</v>
      </c>
      <c r="K453" t="inlineStr">
        <is>
          <t>1-5</t>
        </is>
      </c>
      <c r="L453" t="inlineStr">
        <is>
          <t>manufacturer</t>
        </is>
      </c>
      <c r="M453" t="n">
        <v>15</v>
      </c>
      <c r="N453" t="n">
        <v>0</v>
      </c>
    </row>
    <row r="454">
      <c r="A454" t="inlineStr">
        <is>
          <t>4b28b220ac44eb9727640e0b78cc622c</t>
        </is>
      </c>
      <c r="B454" t="inlineStr">
        <is>
          <t>573becd44db78cee00182ec4a5594806</t>
        </is>
      </c>
      <c r="C454" t="inlineStr">
        <is>
          <t>34d40cdaf94010a1d05b0d6212f9e909</t>
        </is>
      </c>
      <c r="D454" t="inlineStr">
        <is>
          <t>6565aa9ce3178a5caf6171827af3a9ba</t>
        </is>
      </c>
      <c r="E454" s="30" t="n">
        <v>43210.84123842593</v>
      </c>
      <c r="F454" t="inlineStr">
        <is>
          <t>household_utilities</t>
        </is>
      </c>
      <c r="G454" t="inlineStr">
        <is>
          <t>online_big</t>
        </is>
      </c>
      <c r="H454" t="inlineStr">
        <is>
          <t>cat</t>
        </is>
      </c>
      <c r="L454" t="inlineStr">
        <is>
          <t>reseller</t>
        </is>
      </c>
      <c r="N454" t="n">
        <v>0</v>
      </c>
    </row>
    <row r="455">
      <c r="A455" t="inlineStr">
        <is>
          <t>04ecc73f538bcc74df709fe9281e08b8</t>
        </is>
      </c>
      <c r="B455" t="inlineStr">
        <is>
          <t>0a85ebe4e328db81ac9109781205e2f7</t>
        </is>
      </c>
      <c r="C455" t="inlineStr">
        <is>
          <t>56bf83c4bb35763a51c2baab501b4c67</t>
        </is>
      </c>
      <c r="D455" t="inlineStr">
        <is>
          <t>4ef15afb4b2723d8f3d81e51ec7afefe</t>
        </is>
      </c>
      <c r="E455" s="30" t="n">
        <v>43174.71763888889</v>
      </c>
      <c r="F455" t="inlineStr">
        <is>
          <t>home_decor</t>
        </is>
      </c>
      <c r="G455" t="inlineStr">
        <is>
          <t>online_medium</t>
        </is>
      </c>
      <c r="H455" t="inlineStr">
        <is>
          <t>eagle</t>
        </is>
      </c>
      <c r="L455" t="inlineStr">
        <is>
          <t>manufacturer</t>
        </is>
      </c>
      <c r="N455" t="n">
        <v>0</v>
      </c>
    </row>
    <row r="456">
      <c r="A456" t="inlineStr">
        <is>
          <t>7fd23d812013ce3b530b821d855bccbf</t>
        </is>
      </c>
      <c r="B456" t="inlineStr">
        <is>
          <t>7f5e4d5efad7e44b91115dd1decb65f3</t>
        </is>
      </c>
      <c r="C456" t="inlineStr">
        <is>
          <t>068066e24f0c643eb1d089c7dd20cd73</t>
        </is>
      </c>
      <c r="D456" t="inlineStr">
        <is>
          <t>4ef15afb4b2723d8f3d81e51ec7afefe</t>
        </is>
      </c>
      <c r="E456" s="30" t="n">
        <v>43199.87825231482</v>
      </c>
      <c r="F456" t="inlineStr">
        <is>
          <t>audio_video_electronics</t>
        </is>
      </c>
      <c r="G456" t="inlineStr">
        <is>
          <t>online_medium</t>
        </is>
      </c>
      <c r="L456" t="inlineStr">
        <is>
          <t>reseller</t>
        </is>
      </c>
      <c r="N456" t="n">
        <v>0</v>
      </c>
    </row>
    <row r="457">
      <c r="A457" t="inlineStr">
        <is>
          <t>9e7dc95c541eb2d8bf26affe1089821f</t>
        </is>
      </c>
      <c r="B457" t="inlineStr">
        <is>
          <t>b18791c7580856ccf7c72d22acd59873</t>
        </is>
      </c>
      <c r="C457" t="inlineStr">
        <is>
          <t>34d40cdaf94010a1d05b0d6212f9e909</t>
        </is>
      </c>
      <c r="D457" t="inlineStr">
        <is>
          <t>a8387c01a09e99ce014107505b92388c</t>
        </is>
      </c>
      <c r="E457" s="30" t="n">
        <v>43270.8783912037</v>
      </c>
      <c r="F457" t="inlineStr">
        <is>
          <t>fashion_accessories</t>
        </is>
      </c>
      <c r="G457" t="inlineStr">
        <is>
          <t>offline</t>
        </is>
      </c>
      <c r="H457" t="inlineStr">
        <is>
          <t>eagle</t>
        </is>
      </c>
      <c r="L457" t="inlineStr">
        <is>
          <t>reseller</t>
        </is>
      </c>
      <c r="N457" t="n">
        <v>0</v>
      </c>
    </row>
    <row r="458">
      <c r="A458" t="inlineStr">
        <is>
          <t>fca7ac68a9bcfe7ec3a017257471f198</t>
        </is>
      </c>
      <c r="B458" t="inlineStr">
        <is>
          <t>48fa294ea8e32148c8dba7a692b72bfc</t>
        </is>
      </c>
      <c r="C458" t="inlineStr">
        <is>
          <t>9e4d1098a3b0f5da39b0bc48f9876645</t>
        </is>
      </c>
      <c r="D458" t="inlineStr">
        <is>
          <t>6565aa9ce3178a5caf6171827af3a9ba</t>
        </is>
      </c>
      <c r="E458" s="30" t="n">
        <v>43202.52487268519</v>
      </c>
      <c r="F458" t="inlineStr">
        <is>
          <t>sports_leisure</t>
        </is>
      </c>
      <c r="G458" t="inlineStr">
        <is>
          <t>industry</t>
        </is>
      </c>
      <c r="H458" t="inlineStr">
        <is>
          <t>cat</t>
        </is>
      </c>
      <c r="L458" t="inlineStr">
        <is>
          <t>reseller</t>
        </is>
      </c>
      <c r="N458" t="n">
        <v>0</v>
      </c>
    </row>
    <row r="459">
      <c r="A459" t="inlineStr">
        <is>
          <t>e4ccb212806eb5e35794b3ebbdf1f6b6</t>
        </is>
      </c>
      <c r="B459" t="inlineStr">
        <is>
          <t>1b4b28463457a256e9a784ebe2a8f630</t>
        </is>
      </c>
      <c r="C459" t="inlineStr">
        <is>
          <t>a8387c01a09e99ce014107505b92388c</t>
        </is>
      </c>
      <c r="D459" t="inlineStr">
        <is>
          <t>4ef15afb4b2723d8f3d81e51ec7afefe</t>
        </is>
      </c>
      <c r="E459" s="30" t="n">
        <v>43213.86115740741</v>
      </c>
      <c r="F459" t="inlineStr">
        <is>
          <t>car_accessories</t>
        </is>
      </c>
      <c r="G459" t="inlineStr">
        <is>
          <t>online_medium</t>
        </is>
      </c>
      <c r="H459" t="inlineStr">
        <is>
          <t>cat</t>
        </is>
      </c>
      <c r="L459" t="inlineStr">
        <is>
          <t>reseller</t>
        </is>
      </c>
      <c r="N459" t="n">
        <v>0</v>
      </c>
    </row>
    <row r="460">
      <c r="A460" t="inlineStr">
        <is>
          <t>c7f1da0a5723f5afd7996648fa9c20d5</t>
        </is>
      </c>
      <c r="B460" t="inlineStr">
        <is>
          <t>42fa4ee7240e9b8eb4576358ec142ba7</t>
        </is>
      </c>
      <c r="C460" t="inlineStr">
        <is>
          <t>de63de0d10a6012430098db33c679b0b</t>
        </is>
      </c>
      <c r="D460" t="inlineStr">
        <is>
          <t>d3d1e91a157ea7f90548eef82f1955e3</t>
        </is>
      </c>
      <c r="E460" s="30" t="n">
        <v>43129.51091435185</v>
      </c>
      <c r="F460" t="inlineStr">
        <is>
          <t>household_utilities</t>
        </is>
      </c>
      <c r="G460" t="inlineStr">
        <is>
          <t>online_medium</t>
        </is>
      </c>
      <c r="L460" t="inlineStr">
        <is>
          <t>reseller</t>
        </is>
      </c>
      <c r="N460" t="n">
        <v>0</v>
      </c>
    </row>
    <row r="461">
      <c r="A461" t="inlineStr">
        <is>
          <t>7c3e1a45e4127c0eb25d7a8b7250da5b</t>
        </is>
      </c>
      <c r="B461" t="inlineStr">
        <is>
          <t>89a51f50b8095ea78d5768f34c13a76f</t>
        </is>
      </c>
      <c r="C461" t="inlineStr">
        <is>
          <t>068066e24f0c643eb1d089c7dd20cd73</t>
        </is>
      </c>
      <c r="D461" t="inlineStr">
        <is>
          <t>060c0a26f19f4d66b42e0d8796688490</t>
        </is>
      </c>
      <c r="E461" s="30" t="n">
        <v>43200.80350694444</v>
      </c>
      <c r="F461" t="inlineStr">
        <is>
          <t>health_beauty</t>
        </is>
      </c>
      <c r="G461" t="inlineStr">
        <is>
          <t>online_small</t>
        </is>
      </c>
      <c r="L461" t="inlineStr">
        <is>
          <t>reseller</t>
        </is>
      </c>
      <c r="N461" t="n">
        <v>0</v>
      </c>
    </row>
    <row r="462">
      <c r="A462" t="inlineStr">
        <is>
          <t>8e12ae4ee6dc484ecf2277a19b845658</t>
        </is>
      </c>
      <c r="B462" t="inlineStr">
        <is>
          <t>f9ec7093df3a7b346b7bcf7864069ca3</t>
        </is>
      </c>
      <c r="C462" t="inlineStr">
        <is>
          <t>4b339f9567d060bcea4f5136b9f5949e</t>
        </is>
      </c>
      <c r="D462" t="inlineStr">
        <is>
          <t>495d4e95a8cf8bbf8b432b612a2aa328</t>
        </is>
      </c>
      <c r="E462" s="30" t="n">
        <v>43231.71483796297</v>
      </c>
      <c r="F462" t="inlineStr">
        <is>
          <t>small_appliances</t>
        </is>
      </c>
      <c r="G462" t="inlineStr">
        <is>
          <t>online_medium</t>
        </is>
      </c>
      <c r="H462" t="inlineStr">
        <is>
          <t>cat</t>
        </is>
      </c>
      <c r="L462" t="inlineStr">
        <is>
          <t>reseller</t>
        </is>
      </c>
      <c r="N462" t="n">
        <v>0</v>
      </c>
    </row>
    <row r="463">
      <c r="A463" t="inlineStr">
        <is>
          <t>e75d0b169ffeb90d4b805790ce68a239</t>
        </is>
      </c>
      <c r="B463" t="inlineStr">
        <is>
          <t>7238a95bb63ef7e498389fb863b834a1</t>
        </is>
      </c>
      <c r="C463" t="inlineStr">
        <is>
          <t>9e4d1098a3b0f5da39b0bc48f9876645</t>
        </is>
      </c>
      <c r="D463" t="inlineStr">
        <is>
          <t>85fc447d336637ba1df43e793199fbc8</t>
        </is>
      </c>
      <c r="E463" s="30" t="n">
        <v>43185.50509259259</v>
      </c>
      <c r="F463" t="inlineStr">
        <is>
          <t>construction_tools_house_garden</t>
        </is>
      </c>
      <c r="G463" t="inlineStr">
        <is>
          <t>online_big</t>
        </is>
      </c>
      <c r="H463" t="inlineStr">
        <is>
          <t>cat</t>
        </is>
      </c>
      <c r="L463" t="inlineStr">
        <is>
          <t>manufacturer</t>
        </is>
      </c>
      <c r="N463" t="n">
        <v>0</v>
      </c>
    </row>
    <row r="464">
      <c r="A464" t="inlineStr">
        <is>
          <t>7ccf00b6949c12d2df1963c60fad4f25</t>
        </is>
      </c>
      <c r="B464" t="inlineStr">
        <is>
          <t>294e164108bc80d8fbf5ee39c448461c</t>
        </is>
      </c>
      <c r="C464" t="inlineStr">
        <is>
          <t>9d12ef1a7eca3ec58c545c678af7869c</t>
        </is>
      </c>
      <c r="D464" t="inlineStr">
        <is>
          <t>4ef15afb4b2723d8f3d81e51ec7afefe</t>
        </is>
      </c>
      <c r="E464" s="30" t="n">
        <v>43193.86056712963</v>
      </c>
      <c r="F464" t="inlineStr">
        <is>
          <t>car_accessories</t>
        </is>
      </c>
      <c r="G464" t="inlineStr">
        <is>
          <t>offline</t>
        </is>
      </c>
      <c r="H464" t="inlineStr">
        <is>
          <t>wolf</t>
        </is>
      </c>
      <c r="L464" t="inlineStr">
        <is>
          <t>reseller</t>
        </is>
      </c>
      <c r="N464" t="n">
        <v>0</v>
      </c>
    </row>
    <row r="465">
      <c r="A465" t="inlineStr">
        <is>
          <t>08fdf1038af7dd3070bdcd18922e23b2</t>
        </is>
      </c>
      <c r="B465" t="inlineStr">
        <is>
          <t>850913d59ce317156b00f3705f1c3edb</t>
        </is>
      </c>
      <c r="C465" t="inlineStr">
        <is>
          <t>4b339f9567d060bcea4f5136b9f5949e</t>
        </is>
      </c>
      <c r="D465" t="inlineStr">
        <is>
          <t>d3d1e91a157ea7f90548eef82f1955e3</t>
        </is>
      </c>
      <c r="E465" s="30" t="n">
        <v>43139.72862268519</v>
      </c>
      <c r="F465" t="inlineStr">
        <is>
          <t>phone_mobile</t>
        </is>
      </c>
      <c r="G465" t="inlineStr">
        <is>
          <t>online_medium</t>
        </is>
      </c>
      <c r="L465" t="inlineStr">
        <is>
          <t>reseller</t>
        </is>
      </c>
      <c r="N465" t="n">
        <v>0</v>
      </c>
    </row>
    <row r="466">
      <c r="A466" t="inlineStr">
        <is>
          <t>fe7fdf179234f77c4d0ab2ea82a82c52</t>
        </is>
      </c>
      <c r="B466" t="inlineStr">
        <is>
          <t>e19d488f67425e5a884abb42dfa0c458</t>
        </is>
      </c>
      <c r="C466" t="inlineStr">
        <is>
          <t>f42a2bd194f7802ab052a815c8de65b7</t>
        </is>
      </c>
      <c r="D466" t="inlineStr">
        <is>
          <t>85fc447d336637ba1df43e793199fbc8</t>
        </is>
      </c>
      <c r="E466" s="30" t="n">
        <v>43342.9407175926</v>
      </c>
      <c r="F466" t="inlineStr">
        <is>
          <t>car_accessories</t>
        </is>
      </c>
      <c r="G466" t="inlineStr">
        <is>
          <t>online_small</t>
        </is>
      </c>
      <c r="H466" t="inlineStr">
        <is>
          <t>cat</t>
        </is>
      </c>
      <c r="I466" t="b">
        <v>1</v>
      </c>
      <c r="J466" t="b">
        <v>0</v>
      </c>
      <c r="K466" t="inlineStr">
        <is>
          <t>unknown</t>
        </is>
      </c>
      <c r="L466" t="inlineStr">
        <is>
          <t>reseller</t>
        </is>
      </c>
      <c r="M466" t="n">
        <v>40</v>
      </c>
      <c r="N466" t="n">
        <v>0</v>
      </c>
    </row>
    <row r="467">
      <c r="A467" t="inlineStr">
        <is>
          <t>b2fb7865dfca2461177cbad7ec520b0e</t>
        </is>
      </c>
      <c r="B467" t="inlineStr">
        <is>
          <t>e1c76f339ebd5460999f25a2aa8c92c5</t>
        </is>
      </c>
      <c r="C467" t="inlineStr">
        <is>
          <t>56bf83c4bb35763a51c2baab501b4c67</t>
        </is>
      </c>
      <c r="D467" t="inlineStr">
        <is>
          <t>c638112b43f1d1b86dcabb0da720c901</t>
        </is>
      </c>
      <c r="E467" s="30" t="n">
        <v>43139.71527777778</v>
      </c>
      <c r="F467" t="inlineStr">
        <is>
          <t>small_appliances</t>
        </is>
      </c>
      <c r="G467" t="inlineStr">
        <is>
          <t>online_medium</t>
        </is>
      </c>
      <c r="N467" t="n">
        <v>0</v>
      </c>
    </row>
    <row r="468">
      <c r="A468" t="inlineStr">
        <is>
          <t>5ebfa70416c6e41452ddde4ce2b536ac</t>
        </is>
      </c>
      <c r="B468" t="inlineStr">
        <is>
          <t>72c38a04bd6a1c3dbc5298425a0db86d</t>
        </is>
      </c>
      <c r="C468" t="inlineStr">
        <is>
          <t>068066e24f0c643eb1d089c7dd20cd73</t>
        </is>
      </c>
      <c r="D468" t="inlineStr">
        <is>
          <t>c638112b43f1d1b86dcabb0da720c901</t>
        </is>
      </c>
      <c r="E468" s="30" t="n">
        <v>43165.47872685185</v>
      </c>
      <c r="F468" t="inlineStr">
        <is>
          <t>audio_video_electronics</t>
        </is>
      </c>
      <c r="G468" t="inlineStr">
        <is>
          <t>online_beginner</t>
        </is>
      </c>
      <c r="H468" t="inlineStr">
        <is>
          <t>cat</t>
        </is>
      </c>
      <c r="L468" t="inlineStr">
        <is>
          <t>reseller</t>
        </is>
      </c>
      <c r="N468" t="n">
        <v>0</v>
      </c>
    </row>
    <row r="469">
      <c r="A469" t="inlineStr">
        <is>
          <t>9064926a39ede3627d76ffcc643bd773</t>
        </is>
      </c>
      <c r="B469" t="inlineStr">
        <is>
          <t>6de5884cc604dc6798577fbf91e86836</t>
        </is>
      </c>
      <c r="C469" t="inlineStr">
        <is>
          <t>068066e24f0c643eb1d089c7dd20cd73</t>
        </is>
      </c>
      <c r="D469" t="inlineStr">
        <is>
          <t>060c0a26f19f4d66b42e0d8796688490</t>
        </is>
      </c>
      <c r="E469" s="30" t="n">
        <v>43186.7484837963</v>
      </c>
      <c r="F469" t="inlineStr">
        <is>
          <t>jewerly</t>
        </is>
      </c>
      <c r="G469" t="inlineStr">
        <is>
          <t>online_medium</t>
        </is>
      </c>
      <c r="H469" t="inlineStr">
        <is>
          <t>wolf</t>
        </is>
      </c>
      <c r="L469" t="inlineStr">
        <is>
          <t>reseller</t>
        </is>
      </c>
      <c r="N469" t="n">
        <v>0</v>
      </c>
    </row>
    <row r="470">
      <c r="A470" t="inlineStr">
        <is>
          <t>44f24b3c093ffe8bb756db22f86a9a2f</t>
        </is>
      </c>
      <c r="B470" t="inlineStr">
        <is>
          <t>ce4f1d45100bd92470c482527f73f72d</t>
        </is>
      </c>
      <c r="C470" t="inlineStr">
        <is>
          <t>068066e24f0c643eb1d089c7dd20cd73</t>
        </is>
      </c>
      <c r="D470" t="inlineStr">
        <is>
          <t>4ef15afb4b2723d8f3d81e51ec7afefe</t>
        </is>
      </c>
      <c r="E470" s="30" t="n">
        <v>43188.73961805556</v>
      </c>
      <c r="F470" t="inlineStr">
        <is>
          <t>phone_mobile</t>
        </is>
      </c>
      <c r="G470" t="inlineStr">
        <is>
          <t>industry</t>
        </is>
      </c>
      <c r="H470" t="inlineStr">
        <is>
          <t>cat</t>
        </is>
      </c>
      <c r="L470" t="inlineStr">
        <is>
          <t>reseller</t>
        </is>
      </c>
      <c r="N470" t="n">
        <v>0</v>
      </c>
    </row>
    <row r="471">
      <c r="A471" t="inlineStr">
        <is>
          <t>b05d4080611fca7960d66263f2b29fa5</t>
        </is>
      </c>
      <c r="B471" t="inlineStr">
        <is>
          <t>7d2d952e020034f05b4b7a7222563d89</t>
        </is>
      </c>
      <c r="C471" t="inlineStr">
        <is>
          <t>de63de0d10a6012430098db33c679b0b</t>
        </is>
      </c>
      <c r="D471" t="inlineStr">
        <is>
          <t>6565aa9ce3178a5caf6171827af3a9ba</t>
        </is>
      </c>
      <c r="E471" s="30" t="n">
        <v>43153.56158564815</v>
      </c>
      <c r="F471" t="inlineStr">
        <is>
          <t>food_drink</t>
        </is>
      </c>
      <c r="G471" t="inlineStr">
        <is>
          <t>industry</t>
        </is>
      </c>
      <c r="L471" t="inlineStr">
        <is>
          <t>manufacturer</t>
        </is>
      </c>
      <c r="N471" t="n">
        <v>0</v>
      </c>
    </row>
    <row r="472">
      <c r="A472" t="inlineStr">
        <is>
          <t>f593b9ead8801922f74f0a5329e31486</t>
        </is>
      </c>
      <c r="B472" t="inlineStr">
        <is>
          <t>e157c96a8e7711636119c6af8e7cf85f</t>
        </is>
      </c>
      <c r="C472" t="inlineStr">
        <is>
          <t>068066e24f0c643eb1d089c7dd20cd73</t>
        </is>
      </c>
      <c r="D472" t="inlineStr">
        <is>
          <t>c638112b43f1d1b86dcabb0da720c901</t>
        </is>
      </c>
      <c r="E472" s="30" t="n">
        <v>43157.61560185185</v>
      </c>
      <c r="F472" t="inlineStr">
        <is>
          <t>sports_leisure</t>
        </is>
      </c>
      <c r="G472" t="inlineStr">
        <is>
          <t>online_medium</t>
        </is>
      </c>
      <c r="H472" t="inlineStr">
        <is>
          <t>cat</t>
        </is>
      </c>
      <c r="N472" t="n">
        <v>0</v>
      </c>
    </row>
    <row r="473">
      <c r="A473" t="inlineStr">
        <is>
          <t>c2dd0b60035ad00b08f81244a20b4860</t>
        </is>
      </c>
      <c r="B473" t="inlineStr">
        <is>
          <t>57df9869a600bd6b7c405f2a862eccfb</t>
        </is>
      </c>
      <c r="C473" t="inlineStr">
        <is>
          <t>56bf83c4bb35763a51c2baab501b4c67</t>
        </is>
      </c>
      <c r="D473" t="inlineStr">
        <is>
          <t>4ef15afb4b2723d8f3d81e51ec7afefe</t>
        </is>
      </c>
      <c r="E473" s="30" t="n">
        <v>43116.5252662037</v>
      </c>
      <c r="F473" t="inlineStr">
        <is>
          <t>household_utilities</t>
        </is>
      </c>
      <c r="G473" t="inlineStr">
        <is>
          <t>online_medium</t>
        </is>
      </c>
      <c r="L473" t="inlineStr">
        <is>
          <t>manufacturer</t>
        </is>
      </c>
      <c r="N473" t="n">
        <v>0</v>
      </c>
    </row>
    <row r="474">
      <c r="A474" t="inlineStr">
        <is>
          <t>5ca05341418f09367540f05484d0b650</t>
        </is>
      </c>
      <c r="B474" t="inlineStr">
        <is>
          <t>fdde1d384dea864917f6b8f2d330986e</t>
        </is>
      </c>
      <c r="C474" t="inlineStr">
        <is>
          <t>de63de0d10a6012430098db33c679b0b</t>
        </is>
      </c>
      <c r="D474" t="inlineStr">
        <is>
          <t>4ef15afb4b2723d8f3d81e51ec7afefe</t>
        </is>
      </c>
      <c r="E474" s="30" t="n">
        <v>43123.77120370371</v>
      </c>
      <c r="F474" t="inlineStr">
        <is>
          <t>party</t>
        </is>
      </c>
      <c r="G474" t="inlineStr">
        <is>
          <t>offline</t>
        </is>
      </c>
      <c r="L474" t="inlineStr">
        <is>
          <t>manufacturer</t>
        </is>
      </c>
      <c r="N474" t="n">
        <v>0</v>
      </c>
    </row>
    <row r="475">
      <c r="A475" t="inlineStr">
        <is>
          <t>92732d8798add606646430bbd6748bfd</t>
        </is>
      </c>
      <c r="B475" t="inlineStr">
        <is>
          <t>2fc89ae84d3c48eda4b268408f6ad6d7</t>
        </is>
      </c>
      <c r="C475" t="inlineStr">
        <is>
          <t>9d12ef1a7eca3ec58c545c678af7869c</t>
        </is>
      </c>
      <c r="D475" t="inlineStr">
        <is>
          <t>a8387c01a09e99ce014107505b92388c</t>
        </is>
      </c>
      <c r="E475" s="30" t="n">
        <v>43291.66469907408</v>
      </c>
      <c r="F475" t="inlineStr">
        <is>
          <t>watches</t>
        </is>
      </c>
      <c r="G475" t="inlineStr">
        <is>
          <t>online_medium</t>
        </is>
      </c>
      <c r="H475" t="inlineStr">
        <is>
          <t>eagle</t>
        </is>
      </c>
      <c r="I475" t="b">
        <v>1</v>
      </c>
      <c r="J475" t="b">
        <v>1</v>
      </c>
      <c r="K475" t="inlineStr">
        <is>
          <t>5-20</t>
        </is>
      </c>
      <c r="L475" t="inlineStr">
        <is>
          <t>reseller</t>
        </is>
      </c>
      <c r="N475" t="n">
        <v>0</v>
      </c>
    </row>
    <row r="476">
      <c r="A476" t="inlineStr">
        <is>
          <t>8aa25d565a8891e68d123138a137622b</t>
        </is>
      </c>
      <c r="B476" t="inlineStr">
        <is>
          <t>bfee0cb1dc3d4e4a2d625daeafaa3d3e</t>
        </is>
      </c>
      <c r="C476" t="inlineStr">
        <is>
          <t>9e4d1098a3b0f5da39b0bc48f9876645</t>
        </is>
      </c>
      <c r="D476" t="inlineStr">
        <is>
          <t>fbf4aef3f6915dc0c3c97d6812522f6a</t>
        </is>
      </c>
      <c r="E476" s="30" t="n">
        <v>43202.89788194445</v>
      </c>
      <c r="F476" t="inlineStr">
        <is>
          <t>pet</t>
        </is>
      </c>
      <c r="G476" t="inlineStr">
        <is>
          <t>offline</t>
        </is>
      </c>
      <c r="H476" t="inlineStr">
        <is>
          <t>cat</t>
        </is>
      </c>
      <c r="L476" t="inlineStr">
        <is>
          <t>reseller</t>
        </is>
      </c>
      <c r="N476" t="n">
        <v>0</v>
      </c>
    </row>
    <row r="477">
      <c r="A477" t="inlineStr">
        <is>
          <t>b47ea67781941189af94d2e217161684</t>
        </is>
      </c>
      <c r="B477" t="inlineStr">
        <is>
          <t>4e480be820e37de1444325ff358c9296</t>
        </is>
      </c>
      <c r="C477" t="inlineStr">
        <is>
          <t>370c9f455f93a9a96cbe9bea48e70033</t>
        </is>
      </c>
      <c r="D477" t="inlineStr">
        <is>
          <t>fbf4aef3f6915dc0c3c97d6812522f6a</t>
        </is>
      </c>
      <c r="E477" s="30" t="n">
        <v>43250.74303240741</v>
      </c>
      <c r="F477" t="inlineStr">
        <is>
          <t>car_accessories</t>
        </is>
      </c>
      <c r="G477" t="inlineStr">
        <is>
          <t>online_big</t>
        </is>
      </c>
      <c r="H477" t="inlineStr">
        <is>
          <t>cat</t>
        </is>
      </c>
      <c r="L477" t="inlineStr">
        <is>
          <t>reseller</t>
        </is>
      </c>
      <c r="N477" t="n">
        <v>0</v>
      </c>
    </row>
    <row r="478">
      <c r="A478" t="inlineStr">
        <is>
          <t>f5386ed31571beed0361427ff58a9778</t>
        </is>
      </c>
      <c r="B478" t="inlineStr">
        <is>
          <t>ce4755084bc097113867e6454f8f5e52</t>
        </is>
      </c>
      <c r="C478" t="inlineStr">
        <is>
          <t>370c9f455f93a9a96cbe9bea48e70033</t>
        </is>
      </c>
      <c r="D478" t="inlineStr">
        <is>
          <t>d3d1e91a157ea7f90548eef82f1955e3</t>
        </is>
      </c>
      <c r="E478" s="30" t="n">
        <v>43228.74234953704</v>
      </c>
      <c r="F478" t="inlineStr">
        <is>
          <t>health_beauty</t>
        </is>
      </c>
      <c r="G478" t="inlineStr">
        <is>
          <t>industry</t>
        </is>
      </c>
      <c r="H478" t="inlineStr">
        <is>
          <t>cat</t>
        </is>
      </c>
      <c r="L478" t="inlineStr">
        <is>
          <t>manufacturer</t>
        </is>
      </c>
      <c r="N478" t="n">
        <v>0</v>
      </c>
    </row>
    <row r="479">
      <c r="A479" t="inlineStr">
        <is>
          <t>000dd3543ac84d906eae52e7c779bb2a</t>
        </is>
      </c>
      <c r="B479" t="inlineStr">
        <is>
          <t>500b5e25308adf85bbc0bbc52c3dc05b</t>
        </is>
      </c>
      <c r="C479" t="inlineStr">
        <is>
          <t>a8387c01a09e99ce014107505b92388c</t>
        </is>
      </c>
      <c r="D479" t="inlineStr">
        <is>
          <t>9e4d1098a3b0f5da39b0bc48f9876645</t>
        </is>
      </c>
      <c r="E479" s="30" t="n">
        <v>43214.125</v>
      </c>
      <c r="F479" t="inlineStr">
        <is>
          <t>home_decor</t>
        </is>
      </c>
      <c r="G479" t="inlineStr">
        <is>
          <t>industry</t>
        </is>
      </c>
      <c r="H479" t="inlineStr">
        <is>
          <t>cat</t>
        </is>
      </c>
      <c r="L479" t="inlineStr">
        <is>
          <t>manufacturer</t>
        </is>
      </c>
      <c r="N479" t="n">
        <v>0</v>
      </c>
    </row>
    <row r="480">
      <c r="A480" t="inlineStr">
        <is>
          <t>d1d99ef14bb813e29718b9b4df53de52</t>
        </is>
      </c>
      <c r="B480" t="inlineStr">
        <is>
          <t>ca7c6bd577e559472af1c699de9e764e</t>
        </is>
      </c>
      <c r="C480" t="inlineStr">
        <is>
          <t>a8387c01a09e99ce014107505b92388c</t>
        </is>
      </c>
      <c r="D480" t="inlineStr">
        <is>
          <t>9ae085775a198122c5586fa830ff7f2b</t>
        </is>
      </c>
      <c r="E480" s="30" t="n">
        <v>43174.88173611111</v>
      </c>
      <c r="F480" t="inlineStr">
        <is>
          <t>health_beauty</t>
        </is>
      </c>
      <c r="G480" t="inlineStr">
        <is>
          <t>online_medium</t>
        </is>
      </c>
      <c r="H480" t="inlineStr">
        <is>
          <t>cat</t>
        </is>
      </c>
      <c r="L480" t="inlineStr">
        <is>
          <t>reseller</t>
        </is>
      </c>
      <c r="N480" t="n">
        <v>0</v>
      </c>
    </row>
    <row r="481">
      <c r="A481" t="inlineStr">
        <is>
          <t>16a50d670cfa9afa1ebd0022240fb0f9</t>
        </is>
      </c>
      <c r="B481" t="inlineStr">
        <is>
          <t>2866098c2a38fb723ee05f5b65635df0</t>
        </is>
      </c>
      <c r="C481" t="inlineStr">
        <is>
          <t>56bf83c4bb35763a51c2baab501b4c67</t>
        </is>
      </c>
      <c r="D481" t="inlineStr">
        <is>
          <t>9ae085775a198122c5586fa830ff7f2b</t>
        </is>
      </c>
      <c r="E481" s="30" t="n">
        <v>43140.65743055556</v>
      </c>
      <c r="F481" t="inlineStr">
        <is>
          <t>fashion_accessories</t>
        </is>
      </c>
      <c r="G481" t="inlineStr">
        <is>
          <t>online_beginner</t>
        </is>
      </c>
      <c r="L481" t="inlineStr">
        <is>
          <t>reseller</t>
        </is>
      </c>
      <c r="N481" t="n">
        <v>0</v>
      </c>
    </row>
    <row r="482">
      <c r="A482" t="inlineStr">
        <is>
          <t>cc1d6397370f680339bb84ca6ad55267</t>
        </is>
      </c>
      <c r="B482" t="inlineStr">
        <is>
          <t>767f9c7cc8d4c288b891893b61f3a2ca</t>
        </is>
      </c>
      <c r="C482" t="inlineStr">
        <is>
          <t>56bf83c4bb35763a51c2baab501b4c67</t>
        </is>
      </c>
      <c r="D482" t="inlineStr">
        <is>
          <t>6565aa9ce3178a5caf6171827af3a9ba</t>
        </is>
      </c>
      <c r="E482" s="30" t="n">
        <v>43165.5619212963</v>
      </c>
      <c r="F482" t="inlineStr">
        <is>
          <t>food_supplement</t>
        </is>
      </c>
      <c r="G482" t="inlineStr">
        <is>
          <t>offline</t>
        </is>
      </c>
      <c r="H482" t="inlineStr">
        <is>
          <t>cat</t>
        </is>
      </c>
      <c r="L482" t="inlineStr">
        <is>
          <t>manufacturer</t>
        </is>
      </c>
      <c r="N482" t="n">
        <v>0</v>
      </c>
    </row>
    <row r="483">
      <c r="A483" t="inlineStr">
        <is>
          <t>91bf42fe769d7f395d8f11b747000def</t>
        </is>
      </c>
      <c r="B483" t="inlineStr">
        <is>
          <t>19d7a4faa5de92caef9ad5128e6b1467</t>
        </is>
      </c>
      <c r="C483" t="inlineStr">
        <is>
          <t>9e4d1098a3b0f5da39b0bc48f9876645</t>
        </is>
      </c>
      <c r="D483" t="inlineStr">
        <is>
          <t>495d4e95a8cf8bbf8b432b612a2aa328</t>
        </is>
      </c>
      <c r="E483" s="30" t="n">
        <v>43173.51689814815</v>
      </c>
      <c r="F483" t="inlineStr">
        <is>
          <t>home_decor</t>
        </is>
      </c>
      <c r="G483" t="inlineStr">
        <is>
          <t>online_medium</t>
        </is>
      </c>
      <c r="H483" t="inlineStr">
        <is>
          <t>cat</t>
        </is>
      </c>
      <c r="L483" t="inlineStr">
        <is>
          <t>manufacturer</t>
        </is>
      </c>
      <c r="N483" t="n">
        <v>0</v>
      </c>
    </row>
    <row r="484">
      <c r="A484" t="inlineStr">
        <is>
          <t>c5b432382d5978b94676426a32725dff</t>
        </is>
      </c>
      <c r="B484" t="inlineStr">
        <is>
          <t>3cbdc3237aa8afe44324bda4a1ccf676</t>
        </is>
      </c>
      <c r="C484" t="inlineStr">
        <is>
          <t>b34f6eba10f46bf9a657a01c108a8284</t>
        </is>
      </c>
      <c r="D484" t="inlineStr">
        <is>
          <t>a8387c01a09e99ce014107505b92388c</t>
        </is>
      </c>
      <c r="E484" s="30" t="n">
        <v>43376.77278935185</v>
      </c>
      <c r="F484" t="inlineStr">
        <is>
          <t>car_accessories</t>
        </is>
      </c>
      <c r="G484" t="inlineStr">
        <is>
          <t>offline</t>
        </is>
      </c>
      <c r="L484" t="inlineStr">
        <is>
          <t>reseller</t>
        </is>
      </c>
      <c r="M484" t="n">
        <v>300</v>
      </c>
      <c r="N484" t="n">
        <v>100000</v>
      </c>
    </row>
    <row r="485">
      <c r="A485" t="inlineStr">
        <is>
          <t>c56202b66d431a16fbc0260c3d2bd1f6</t>
        </is>
      </c>
      <c r="B485" t="inlineStr">
        <is>
          <t>d687681225767af6d214d1b3ae13f66a</t>
        </is>
      </c>
      <c r="C485" t="inlineStr">
        <is>
          <t>4b339f9567d060bcea4f5136b9f5949e</t>
        </is>
      </c>
      <c r="D485" t="inlineStr">
        <is>
          <t>2695de1affa7750089c0455f8ce27021</t>
        </is>
      </c>
      <c r="E485" s="30" t="n">
        <v>43262.80819444444</v>
      </c>
      <c r="F485" t="inlineStr">
        <is>
          <t>food_supplement</t>
        </is>
      </c>
      <c r="G485" t="inlineStr">
        <is>
          <t>offline</t>
        </is>
      </c>
      <c r="H485" t="inlineStr">
        <is>
          <t>cat</t>
        </is>
      </c>
      <c r="L485" t="inlineStr">
        <is>
          <t>reseller</t>
        </is>
      </c>
      <c r="N485" t="n">
        <v>0</v>
      </c>
    </row>
    <row r="486">
      <c r="A486" t="inlineStr">
        <is>
          <t>fa49eb69043e202e2370b17f86bb10a8</t>
        </is>
      </c>
      <c r="B486" t="inlineStr">
        <is>
          <t>13511db12ac61e2f89c53b72a944a60b</t>
        </is>
      </c>
      <c r="C486" t="inlineStr">
        <is>
          <t>4b339f9567d060bcea4f5136b9f5949e</t>
        </is>
      </c>
      <c r="D486" t="inlineStr">
        <is>
          <t>4ef15afb4b2723d8f3d81e51ec7afefe</t>
        </is>
      </c>
      <c r="E486" s="30" t="n">
        <v>43153.75270833333</v>
      </c>
      <c r="F486" t="inlineStr">
        <is>
          <t>car_accessories</t>
        </is>
      </c>
      <c r="G486" t="inlineStr">
        <is>
          <t>online_big</t>
        </is>
      </c>
      <c r="H486" t="inlineStr">
        <is>
          <t>wolf</t>
        </is>
      </c>
      <c r="L486" t="inlineStr">
        <is>
          <t>manufacturer</t>
        </is>
      </c>
      <c r="N486" t="n">
        <v>0</v>
      </c>
    </row>
    <row r="487">
      <c r="A487" t="inlineStr">
        <is>
          <t>31aa9651503a33c7f28f2a6e4d46b6e0</t>
        </is>
      </c>
      <c r="B487" t="inlineStr">
        <is>
          <t>d3dcf0604eabf0224fbd5948b5e02f69</t>
        </is>
      </c>
      <c r="C487" t="inlineStr">
        <is>
          <t>de63de0d10a6012430098db33c679b0b</t>
        </is>
      </c>
      <c r="D487" t="inlineStr">
        <is>
          <t>4ef15afb4b2723d8f3d81e51ec7afefe</t>
        </is>
      </c>
      <c r="E487" s="30" t="n">
        <v>43133.47425925926</v>
      </c>
      <c r="F487" t="inlineStr">
        <is>
          <t>music_instruments</t>
        </is>
      </c>
      <c r="G487" t="inlineStr">
        <is>
          <t>online_medium</t>
        </is>
      </c>
      <c r="L487" t="inlineStr">
        <is>
          <t>reseller</t>
        </is>
      </c>
      <c r="N487" t="n">
        <v>0</v>
      </c>
    </row>
    <row r="488">
      <c r="A488" t="inlineStr">
        <is>
          <t>c9b03be66eee564123ecf4b66c25986a</t>
        </is>
      </c>
      <c r="B488" t="inlineStr">
        <is>
          <t>7ade73f1b9b4e965f9009a4c3a7e2c15</t>
        </is>
      </c>
      <c r="C488" t="inlineStr">
        <is>
          <t>56bf83c4bb35763a51c2baab501b4c67</t>
        </is>
      </c>
      <c r="D488" t="inlineStr">
        <is>
          <t>c638112b43f1d1b86dcabb0da720c901</t>
        </is>
      </c>
      <c r="E488" s="30" t="n">
        <v>43181.55203703704</v>
      </c>
      <c r="F488" t="inlineStr">
        <is>
          <t>household_utilities</t>
        </is>
      </c>
      <c r="G488" t="inlineStr">
        <is>
          <t>online_medium</t>
        </is>
      </c>
      <c r="H488" t="inlineStr">
        <is>
          <t>eagle</t>
        </is>
      </c>
      <c r="L488" t="inlineStr">
        <is>
          <t>manufacturer</t>
        </is>
      </c>
      <c r="N488" t="n">
        <v>0</v>
      </c>
    </row>
    <row r="489">
      <c r="A489" t="inlineStr">
        <is>
          <t>2b6a1d360326583e2b95118913845eb5</t>
        </is>
      </c>
      <c r="B489" t="inlineStr">
        <is>
          <t>87d3c3aeb3ead335511b3ce315eb341e</t>
        </is>
      </c>
      <c r="C489" t="inlineStr">
        <is>
          <t>b90f87164b5f8c2cfa5c8572834dbe3f</t>
        </is>
      </c>
      <c r="D489" t="inlineStr">
        <is>
          <t>a8387c01a09e99ce014107505b92388c</t>
        </is>
      </c>
      <c r="E489" s="30" t="n">
        <v>43234.55930555556</v>
      </c>
      <c r="F489" t="inlineStr">
        <is>
          <t>toys</t>
        </is>
      </c>
      <c r="G489" t="inlineStr">
        <is>
          <t>offline</t>
        </is>
      </c>
      <c r="H489" t="inlineStr">
        <is>
          <t>cat</t>
        </is>
      </c>
      <c r="L489" t="inlineStr">
        <is>
          <t>reseller</t>
        </is>
      </c>
      <c r="N489" t="n">
        <v>0</v>
      </c>
    </row>
    <row r="490">
      <c r="A490" t="inlineStr">
        <is>
          <t>3b3f06f94891410cd5cec559abe7cff8</t>
        </is>
      </c>
      <c r="B490" t="inlineStr">
        <is>
          <t>9cec48faacf156410e6c576bcefdade5</t>
        </is>
      </c>
      <c r="C490" t="inlineStr">
        <is>
          <t>a8387c01a09e99ce014107505b92388c</t>
        </is>
      </c>
      <c r="D490" t="inlineStr">
        <is>
          <t>9e4d1098a3b0f5da39b0bc48f9876645</t>
        </is>
      </c>
      <c r="E490" s="30" t="n">
        <v>43202.5853125</v>
      </c>
      <c r="F490" t="inlineStr">
        <is>
          <t>construction_tools_house_garden</t>
        </is>
      </c>
      <c r="G490" t="inlineStr">
        <is>
          <t>online_medium</t>
        </is>
      </c>
      <c r="H490" t="inlineStr">
        <is>
          <t>eagle</t>
        </is>
      </c>
      <c r="L490" t="inlineStr">
        <is>
          <t>reseller</t>
        </is>
      </c>
      <c r="N490" t="n">
        <v>0</v>
      </c>
    </row>
    <row r="491">
      <c r="A491" t="inlineStr">
        <is>
          <t>dd61b41d5b91a9a09e504f025a87553b</t>
        </is>
      </c>
      <c r="B491" t="inlineStr">
        <is>
          <t>ae45df84722b1d15c5f32b23a095746c</t>
        </is>
      </c>
      <c r="C491" t="inlineStr">
        <is>
          <t>de63de0d10a6012430098db33c679b0b</t>
        </is>
      </c>
      <c r="D491" t="inlineStr">
        <is>
          <t>4ef15afb4b2723d8f3d81e51ec7afefe</t>
        </is>
      </c>
      <c r="E491" s="30" t="n">
        <v>43130.73576388889</v>
      </c>
      <c r="F491" t="inlineStr">
        <is>
          <t>health_beauty</t>
        </is>
      </c>
      <c r="G491" t="inlineStr">
        <is>
          <t>online_small</t>
        </is>
      </c>
      <c r="L491" t="inlineStr">
        <is>
          <t>reseller</t>
        </is>
      </c>
      <c r="N491" t="n">
        <v>0</v>
      </c>
    </row>
    <row r="492">
      <c r="A492" t="inlineStr">
        <is>
          <t>8b0a6e823972477463ff90b9e804a70c</t>
        </is>
      </c>
      <c r="B492" t="inlineStr">
        <is>
          <t>cad9969167c09b48ae6f1d123f7fa68d</t>
        </is>
      </c>
      <c r="C492" t="inlineStr">
        <is>
          <t>fdb16d3cbbeb5798f2f66c4096be026d</t>
        </is>
      </c>
      <c r="D492" t="inlineStr">
        <is>
          <t>4ef15afb4b2723d8f3d81e51ec7afefe</t>
        </is>
      </c>
      <c r="E492" s="30" t="n">
        <v>43138.65653935185</v>
      </c>
      <c r="F492" t="inlineStr">
        <is>
          <t>home_decor</t>
        </is>
      </c>
      <c r="G492" t="inlineStr">
        <is>
          <t>online_small</t>
        </is>
      </c>
      <c r="L492" t="inlineStr">
        <is>
          <t>reseller</t>
        </is>
      </c>
      <c r="N492" t="n">
        <v>0</v>
      </c>
    </row>
    <row r="493">
      <c r="A493" t="inlineStr">
        <is>
          <t>44d37f9019983d92ead37f855133415b</t>
        </is>
      </c>
      <c r="B493" t="inlineStr">
        <is>
          <t>8f014a85666ef7e6a98b99a7e136bacc</t>
        </is>
      </c>
      <c r="C493" t="inlineStr">
        <is>
          <t>de63de0d10a6012430098db33c679b0b</t>
        </is>
      </c>
      <c r="D493" t="inlineStr">
        <is>
          <t>d3d1e91a157ea7f90548eef82f1955e3</t>
        </is>
      </c>
      <c r="E493" s="30" t="n">
        <v>43119.08333333334</v>
      </c>
      <c r="F493" t="inlineStr">
        <is>
          <t>bags_backpacks</t>
        </is>
      </c>
      <c r="G493" t="inlineStr">
        <is>
          <t>online_small</t>
        </is>
      </c>
      <c r="L493" t="inlineStr">
        <is>
          <t>reseller</t>
        </is>
      </c>
      <c r="N493" t="n">
        <v>0</v>
      </c>
    </row>
    <row r="494">
      <c r="A494" t="inlineStr">
        <is>
          <t>c242ee43f6d34d89ee71b02fbc5e88a7</t>
        </is>
      </c>
      <c r="B494" t="inlineStr">
        <is>
          <t>85044848b1b767db2a4a58526adef4b4</t>
        </is>
      </c>
      <c r="C494" t="inlineStr">
        <is>
          <t>4b339f9567d060bcea4f5136b9f5949e</t>
        </is>
      </c>
      <c r="D494" t="inlineStr">
        <is>
          <t>c638112b43f1d1b86dcabb0da720c901</t>
        </is>
      </c>
      <c r="E494" s="30" t="n">
        <v>43136.83597222222</v>
      </c>
      <c r="F494" t="inlineStr">
        <is>
          <t>phone_mobile</t>
        </is>
      </c>
      <c r="G494" t="inlineStr">
        <is>
          <t>offline</t>
        </is>
      </c>
      <c r="L494" t="inlineStr">
        <is>
          <t>reseller</t>
        </is>
      </c>
      <c r="N494" t="n">
        <v>0</v>
      </c>
    </row>
    <row r="495">
      <c r="A495" t="inlineStr">
        <is>
          <t>7290c4082936311a3295b7c9ca7bda8f</t>
        </is>
      </c>
      <c r="B495" t="inlineStr">
        <is>
          <t>9c1c0c36cd23c20897e473901a8fb149</t>
        </is>
      </c>
      <c r="C495" t="inlineStr">
        <is>
          <t>9e4d1098a3b0f5da39b0bc48f9876645</t>
        </is>
      </c>
      <c r="D495" t="inlineStr">
        <is>
          <t>fbf4aef3f6915dc0c3c97d6812522f6a</t>
        </is>
      </c>
      <c r="E495" s="30" t="n">
        <v>43178.85170138889</v>
      </c>
      <c r="F495" t="inlineStr">
        <is>
          <t>food_drink</t>
        </is>
      </c>
      <c r="G495" t="inlineStr">
        <is>
          <t>online_medium</t>
        </is>
      </c>
      <c r="H495" t="inlineStr">
        <is>
          <t>cat</t>
        </is>
      </c>
      <c r="L495" t="inlineStr">
        <is>
          <t>reseller</t>
        </is>
      </c>
      <c r="N495" t="n">
        <v>0</v>
      </c>
    </row>
    <row r="496">
      <c r="A496" t="inlineStr">
        <is>
          <t>0ace14f7dd3d8e29870664c6fa021440</t>
        </is>
      </c>
      <c r="B496" t="inlineStr">
        <is>
          <t>ce20a2ec1514c25e16f2b5b39bc818f0</t>
        </is>
      </c>
      <c r="C496" t="inlineStr">
        <is>
          <t>56bf83c4bb35763a51c2baab501b4c67</t>
        </is>
      </c>
      <c r="D496" t="inlineStr">
        <is>
          <t>060c0a26f19f4d66b42e0d8796688490</t>
        </is>
      </c>
      <c r="E496" s="30" t="n">
        <v>43136.75725694445</v>
      </c>
      <c r="F496" t="inlineStr">
        <is>
          <t>pet</t>
        </is>
      </c>
      <c r="G496" t="inlineStr">
        <is>
          <t>online_medium</t>
        </is>
      </c>
      <c r="L496" t="inlineStr">
        <is>
          <t>reseller</t>
        </is>
      </c>
      <c r="N496" t="n">
        <v>0</v>
      </c>
    </row>
    <row r="497">
      <c r="A497" t="inlineStr">
        <is>
          <t>1d015de3059eb8754a365b5bbc735818</t>
        </is>
      </c>
      <c r="B497" t="inlineStr">
        <is>
          <t>2157c762d011d8bdf2097f45d80df0ef</t>
        </is>
      </c>
      <c r="C497" t="inlineStr">
        <is>
          <t>f42a2bd194f7802ab052a815c8de65b7</t>
        </is>
      </c>
      <c r="D497" t="inlineStr">
        <is>
          <t>56bf83c4bb35763a51c2baab501b4c67</t>
        </is>
      </c>
      <c r="E497" s="30" t="n">
        <v>43299.78348379629</v>
      </c>
      <c r="F497" t="inlineStr">
        <is>
          <t>health_beauty</t>
        </is>
      </c>
      <c r="G497" t="inlineStr">
        <is>
          <t>online_big</t>
        </is>
      </c>
      <c r="H497" t="inlineStr">
        <is>
          <t>cat</t>
        </is>
      </c>
      <c r="L497" t="inlineStr">
        <is>
          <t>manufacturer</t>
        </is>
      </c>
      <c r="N497" t="n">
        <v>0</v>
      </c>
    </row>
    <row r="498">
      <c r="A498" t="inlineStr">
        <is>
          <t>f2258c61a8b46c0620005f5949fb11b8</t>
        </is>
      </c>
      <c r="B498" t="inlineStr">
        <is>
          <t>cad10cc982ab6a391570c211b995c17c</t>
        </is>
      </c>
      <c r="C498" t="inlineStr">
        <is>
          <t>068066e24f0c643eb1d089c7dd20cd73</t>
        </is>
      </c>
      <c r="D498" t="inlineStr">
        <is>
          <t>6565aa9ce3178a5caf6171827af3a9ba</t>
        </is>
      </c>
      <c r="E498" s="30" t="n">
        <v>43173.70282407408</v>
      </c>
      <c r="F498" t="inlineStr">
        <is>
          <t>pet</t>
        </is>
      </c>
      <c r="G498" t="inlineStr">
        <is>
          <t>online_medium</t>
        </is>
      </c>
      <c r="H498" t="inlineStr">
        <is>
          <t>wolf</t>
        </is>
      </c>
      <c r="L498" t="inlineStr">
        <is>
          <t>reseller</t>
        </is>
      </c>
      <c r="N498" t="n">
        <v>0</v>
      </c>
    </row>
    <row r="499">
      <c r="A499" t="inlineStr">
        <is>
          <t>f4854d16f1c74c2e64a5b01933a04ada</t>
        </is>
      </c>
      <c r="B499" t="inlineStr">
        <is>
          <t>fe1f84058e11c26fe9582167f47c343c</t>
        </is>
      </c>
      <c r="C499" t="inlineStr">
        <is>
          <t>34d40cdaf94010a1d05b0d6212f9e909</t>
        </is>
      </c>
      <c r="D499" t="inlineStr">
        <is>
          <t>6565aa9ce3178a5caf6171827af3a9ba</t>
        </is>
      </c>
      <c r="E499" s="30" t="n">
        <v>43234.56724537037</v>
      </c>
      <c r="F499" t="inlineStr">
        <is>
          <t>bags_backpacks</t>
        </is>
      </c>
      <c r="G499" t="inlineStr">
        <is>
          <t>online_medium</t>
        </is>
      </c>
      <c r="H499" t="inlineStr">
        <is>
          <t>cat</t>
        </is>
      </c>
      <c r="L499" t="inlineStr">
        <is>
          <t>reseller</t>
        </is>
      </c>
      <c r="N499" t="n">
        <v>0</v>
      </c>
    </row>
    <row r="500">
      <c r="A500" t="inlineStr">
        <is>
          <t>52427b6097c05044266c10cf110bb16c</t>
        </is>
      </c>
      <c r="B500" t="inlineStr">
        <is>
          <t>b89f350d98e85cdac1137510bd7b566e</t>
        </is>
      </c>
      <c r="C500" t="inlineStr">
        <is>
          <t>34d40cdaf94010a1d05b0d6212f9e909</t>
        </is>
      </c>
      <c r="D500" t="inlineStr">
        <is>
          <t>56bf83c4bb35763a51c2baab501b4c67</t>
        </is>
      </c>
      <c r="E500" s="30" t="n">
        <v>43220.77097222222</v>
      </c>
      <c r="F500" t="inlineStr">
        <is>
          <t>baby</t>
        </is>
      </c>
      <c r="G500" t="inlineStr">
        <is>
          <t>online_beginner</t>
        </is>
      </c>
      <c r="H500" t="inlineStr">
        <is>
          <t>cat</t>
        </is>
      </c>
      <c r="L500" t="inlineStr">
        <is>
          <t>manufacturer</t>
        </is>
      </c>
      <c r="N500" t="n">
        <v>0</v>
      </c>
    </row>
    <row r="501">
      <c r="A501" t="inlineStr">
        <is>
          <t>da740a2d739707c310f3762453b41359</t>
        </is>
      </c>
      <c r="B501" t="inlineStr">
        <is>
          <t>f085a186e0ab15cb03a8bf46e07a8397</t>
        </is>
      </c>
      <c r="C501" t="inlineStr">
        <is>
          <t>de63de0d10a6012430098db33c679b0b</t>
        </is>
      </c>
      <c r="D501" t="inlineStr">
        <is>
          <t>4ef15afb4b2723d8f3d81e51ec7afefe</t>
        </is>
      </c>
      <c r="E501" s="30" t="n">
        <v>43124.48162037037</v>
      </c>
      <c r="F501" t="inlineStr">
        <is>
          <t>computers</t>
        </is>
      </c>
      <c r="G501" t="inlineStr">
        <is>
          <t>online_big</t>
        </is>
      </c>
      <c r="L501" t="inlineStr">
        <is>
          <t>reseller</t>
        </is>
      </c>
      <c r="N501" t="n">
        <v>0</v>
      </c>
    </row>
    <row r="502">
      <c r="A502" t="inlineStr">
        <is>
          <t>cd39b2fcf60d4580dbe25b82be3fd1ab</t>
        </is>
      </c>
      <c r="B502" t="inlineStr">
        <is>
          <t>72bb43f9683adea77d240b7985e2dfa2</t>
        </is>
      </c>
      <c r="C502" t="inlineStr">
        <is>
          <t>4b339f9567d060bcea4f5136b9f5949e</t>
        </is>
      </c>
      <c r="D502" t="inlineStr">
        <is>
          <t>495d4e95a8cf8bbf8b432b612a2aa328</t>
        </is>
      </c>
      <c r="E502" s="30" t="n">
        <v>43186.125</v>
      </c>
      <c r="F502" t="inlineStr">
        <is>
          <t>pet</t>
        </is>
      </c>
      <c r="G502" t="inlineStr">
        <is>
          <t>online_medium</t>
        </is>
      </c>
      <c r="H502" t="inlineStr">
        <is>
          <t>wolf</t>
        </is>
      </c>
      <c r="L502" t="inlineStr">
        <is>
          <t>reseller</t>
        </is>
      </c>
      <c r="N502" t="n">
        <v>0</v>
      </c>
    </row>
    <row r="503">
      <c r="A503" t="inlineStr">
        <is>
          <t>5b6359f4589fe6e5a4856110f0480240</t>
        </is>
      </c>
      <c r="B503" t="inlineStr">
        <is>
          <t>e77e2e91d8ba596f5bce16b906255fe0</t>
        </is>
      </c>
      <c r="C503" t="inlineStr">
        <is>
          <t>f42a2bd194f7802ab052a815c8de65b7</t>
        </is>
      </c>
      <c r="D503" t="inlineStr">
        <is>
          <t>85fc447d336637ba1df43e793199fbc8</t>
        </is>
      </c>
      <c r="E503" s="30" t="n">
        <v>43242.53099537037</v>
      </c>
      <c r="F503" t="inlineStr">
        <is>
          <t>books</t>
        </is>
      </c>
      <c r="G503" t="inlineStr">
        <is>
          <t>online_beginner</t>
        </is>
      </c>
      <c r="H503" t="inlineStr">
        <is>
          <t>wolf</t>
        </is>
      </c>
      <c r="L503" t="inlineStr">
        <is>
          <t>manufacturer</t>
        </is>
      </c>
      <c r="N503" t="n">
        <v>0</v>
      </c>
    </row>
    <row r="504">
      <c r="A504" t="inlineStr">
        <is>
          <t>3532ba8963b76ecaa46dc6d6f055a31a</t>
        </is>
      </c>
      <c r="B504" t="inlineStr">
        <is>
          <t>7d7d2b7a51328016102d4528c411d630</t>
        </is>
      </c>
      <c r="C504" t="inlineStr">
        <is>
          <t>56bf83c4bb35763a51c2baab501b4c67</t>
        </is>
      </c>
      <c r="D504" t="inlineStr">
        <is>
          <t>4ef15afb4b2723d8f3d81e51ec7afefe</t>
        </is>
      </c>
      <c r="E504" s="30" t="n">
        <v>43173.51642361111</v>
      </c>
      <c r="F504" t="inlineStr">
        <is>
          <t>home_decor</t>
        </is>
      </c>
      <c r="G504" t="inlineStr">
        <is>
          <t>offline</t>
        </is>
      </c>
      <c r="H504" t="inlineStr">
        <is>
          <t>cat</t>
        </is>
      </c>
      <c r="L504" t="inlineStr">
        <is>
          <t>reseller</t>
        </is>
      </c>
      <c r="N504" t="n">
        <v>0</v>
      </c>
    </row>
    <row r="505">
      <c r="A505" t="inlineStr">
        <is>
          <t>6451343e4f4041fb19ddf7b9dc58538b</t>
        </is>
      </c>
      <c r="B505" t="inlineStr">
        <is>
          <t>651530bf5c607240ccdd89a30c9c9712</t>
        </is>
      </c>
      <c r="C505" t="inlineStr">
        <is>
          <t>370c9f455f93a9a96cbe9bea48e70033</t>
        </is>
      </c>
      <c r="D505" t="inlineStr">
        <is>
          <t>85fc447d336637ba1df43e793199fbc8</t>
        </is>
      </c>
      <c r="E505" s="30" t="n">
        <v>43278.63363425926</v>
      </c>
      <c r="F505" t="inlineStr">
        <is>
          <t>bags_backpacks</t>
        </is>
      </c>
      <c r="G505" t="inlineStr">
        <is>
          <t>industry</t>
        </is>
      </c>
      <c r="H505" t="inlineStr">
        <is>
          <t>wolf</t>
        </is>
      </c>
      <c r="L505" t="inlineStr">
        <is>
          <t>manufacturer</t>
        </is>
      </c>
      <c r="N505" t="n">
        <v>0</v>
      </c>
    </row>
    <row r="506">
      <c r="A506" t="inlineStr">
        <is>
          <t>5ee85f64aafcce6b24e3e1171a475ea6</t>
        </is>
      </c>
      <c r="B506" t="inlineStr">
        <is>
          <t>d8887be1427e48581e65fed5faf03bce</t>
        </is>
      </c>
      <c r="C506" t="inlineStr">
        <is>
          <t>33dd30594303eb0ebe12a556d612c437</t>
        </is>
      </c>
      <c r="D506" t="inlineStr">
        <is>
          <t>d3d1e91a157ea7f90548eef82f1955e3</t>
        </is>
      </c>
      <c r="E506" s="30" t="n">
        <v>43333.52122685185</v>
      </c>
      <c r="F506" t="inlineStr">
        <is>
          <t>computers</t>
        </is>
      </c>
      <c r="G506" t="inlineStr">
        <is>
          <t>online_medium</t>
        </is>
      </c>
      <c r="H506" t="inlineStr">
        <is>
          <t>cat</t>
        </is>
      </c>
      <c r="I506" t="b">
        <v>1</v>
      </c>
      <c r="J506" t="b">
        <v>1</v>
      </c>
      <c r="K506" t="inlineStr">
        <is>
          <t>1-5</t>
        </is>
      </c>
      <c r="L506" t="inlineStr">
        <is>
          <t>reseller</t>
        </is>
      </c>
      <c r="M506" t="n">
        <v>30</v>
      </c>
      <c r="N506" t="n">
        <v>5000</v>
      </c>
    </row>
    <row r="507">
      <c r="A507" t="inlineStr">
        <is>
          <t>2fdef625a264874c1a4081ca24dd479d</t>
        </is>
      </c>
      <c r="B507" t="inlineStr">
        <is>
          <t>5670f4db5b62c43d542e1b2d56b0cf7c</t>
        </is>
      </c>
      <c r="C507" t="inlineStr">
        <is>
          <t>9d12ef1a7eca3ec58c545c678af7869c</t>
        </is>
      </c>
      <c r="D507" t="inlineStr">
        <is>
          <t>4ef15afb4b2723d8f3d81e51ec7afefe</t>
        </is>
      </c>
      <c r="E507" s="30" t="n">
        <v>43185.86287037037</v>
      </c>
      <c r="F507" t="inlineStr">
        <is>
          <t>health_beauty</t>
        </is>
      </c>
      <c r="G507" t="inlineStr">
        <is>
          <t>online_big</t>
        </is>
      </c>
      <c r="H507" t="inlineStr">
        <is>
          <t>eagle</t>
        </is>
      </c>
      <c r="L507" t="inlineStr">
        <is>
          <t>reseller</t>
        </is>
      </c>
      <c r="N507" t="n">
        <v>0</v>
      </c>
    </row>
    <row r="508">
      <c r="A508" t="inlineStr">
        <is>
          <t>b8a54e345fa5fa48d9f72b7cd514240d</t>
        </is>
      </c>
      <c r="B508" t="inlineStr">
        <is>
          <t>98151b0a22aa6e9ac06a7bb854fa6959</t>
        </is>
      </c>
      <c r="C508" t="inlineStr">
        <is>
          <t>4b339f9567d060bcea4f5136b9f5949e</t>
        </is>
      </c>
      <c r="D508" t="inlineStr">
        <is>
          <t>85fc447d336637ba1df43e793199fbc8</t>
        </is>
      </c>
      <c r="E508" s="30" t="n">
        <v>43220.60225694445</v>
      </c>
      <c r="F508" t="inlineStr">
        <is>
          <t>home_decor</t>
        </is>
      </c>
      <c r="G508" t="inlineStr">
        <is>
          <t>industry</t>
        </is>
      </c>
      <c r="H508" t="inlineStr">
        <is>
          <t>cat</t>
        </is>
      </c>
      <c r="L508" t="inlineStr">
        <is>
          <t>manufacturer</t>
        </is>
      </c>
      <c r="N508" t="n">
        <v>0</v>
      </c>
    </row>
    <row r="509">
      <c r="A509" t="inlineStr">
        <is>
          <t>a78562b316f0578286ddea6e6eaf2c63</t>
        </is>
      </c>
      <c r="B509" t="inlineStr">
        <is>
          <t>929f342384a6607afe143d789ade1316</t>
        </is>
      </c>
      <c r="C509" t="inlineStr">
        <is>
          <t>a8387c01a09e99ce014107505b92388c</t>
        </is>
      </c>
      <c r="D509" t="inlineStr">
        <is>
          <t>4ef15afb4b2723d8f3d81e51ec7afefe</t>
        </is>
      </c>
      <c r="E509" s="30" t="n">
        <v>43201.56877314814</v>
      </c>
      <c r="F509" t="inlineStr">
        <is>
          <t>construction_tools_house_garden</t>
        </is>
      </c>
      <c r="G509" t="inlineStr">
        <is>
          <t>online_small</t>
        </is>
      </c>
      <c r="H509" t="inlineStr">
        <is>
          <t>cat</t>
        </is>
      </c>
      <c r="L509" t="inlineStr">
        <is>
          <t>reseller</t>
        </is>
      </c>
      <c r="N509" t="n">
        <v>0</v>
      </c>
    </row>
    <row r="510">
      <c r="A510" t="inlineStr">
        <is>
          <t>c0760e4171db0cd649bda18fcd314e33</t>
        </is>
      </c>
      <c r="B510" t="inlineStr">
        <is>
          <t>4c18691b6037662be2df78a765d98ab5</t>
        </is>
      </c>
      <c r="C510" t="inlineStr">
        <is>
          <t>fdb16d3cbbeb5798f2f66c4096be026d</t>
        </is>
      </c>
      <c r="D510" t="inlineStr">
        <is>
          <t>fbf4aef3f6915dc0c3c97d6812522f6a</t>
        </is>
      </c>
      <c r="E510" s="30" t="n">
        <v>43122.64503472222</v>
      </c>
      <c r="F510" t="inlineStr">
        <is>
          <t>household_utilities</t>
        </is>
      </c>
      <c r="G510" t="inlineStr">
        <is>
          <t>online_small</t>
        </is>
      </c>
      <c r="L510" t="inlineStr">
        <is>
          <t>reseller</t>
        </is>
      </c>
      <c r="N510" t="n">
        <v>0</v>
      </c>
    </row>
    <row r="511">
      <c r="A511" t="inlineStr">
        <is>
          <t>9ef248df74556f4768271660f5ef5f7b</t>
        </is>
      </c>
      <c r="B511" t="inlineStr">
        <is>
          <t>aa2640d851ec322526f1295bbeb20092</t>
        </is>
      </c>
      <c r="C511" t="inlineStr">
        <is>
          <t>4b339f9567d060bcea4f5136b9f5949e</t>
        </is>
      </c>
      <c r="D511" t="inlineStr">
        <is>
          <t>6565aa9ce3178a5caf6171827af3a9ba</t>
        </is>
      </c>
      <c r="E511" s="30" t="n">
        <v>43138.46847222222</v>
      </c>
      <c r="F511" t="inlineStr">
        <is>
          <t>home_decor</t>
        </is>
      </c>
      <c r="G511" t="inlineStr">
        <is>
          <t>online_medium</t>
        </is>
      </c>
      <c r="L511" t="inlineStr">
        <is>
          <t>reseller</t>
        </is>
      </c>
      <c r="N511" t="n">
        <v>0</v>
      </c>
    </row>
    <row r="512">
      <c r="A512" t="inlineStr">
        <is>
          <t>4532f03593699ffdfd5fc1b58540190e</t>
        </is>
      </c>
      <c r="B512" t="inlineStr">
        <is>
          <t>19d62d484cba71963c93f0f00ab42013</t>
        </is>
      </c>
      <c r="C512" t="inlineStr">
        <is>
          <t>068066e24f0c643eb1d089c7dd20cd73</t>
        </is>
      </c>
      <c r="D512" t="inlineStr">
        <is>
          <t>fbf4aef3f6915dc0c3c97d6812522f6a</t>
        </is>
      </c>
      <c r="E512" s="30" t="n">
        <v>43173.82212962963</v>
      </c>
      <c r="F512" t="inlineStr">
        <is>
          <t>home_decor</t>
        </is>
      </c>
      <c r="G512" t="inlineStr">
        <is>
          <t>online_top</t>
        </is>
      </c>
      <c r="H512" t="inlineStr">
        <is>
          <t>cat</t>
        </is>
      </c>
      <c r="L512" t="inlineStr">
        <is>
          <t>manufacturer</t>
        </is>
      </c>
      <c r="N512" t="n">
        <v>0</v>
      </c>
    </row>
    <row r="513">
      <c r="A513" t="inlineStr">
        <is>
          <t>dada30935bcfc75c69e651430ea8815f</t>
        </is>
      </c>
      <c r="B513" t="inlineStr">
        <is>
          <t>f2c87addc7e39e1c73457c4ec85ed728</t>
        </is>
      </c>
      <c r="C513" t="inlineStr">
        <is>
          <t>33dd30594303eb0ebe12a556d612c437</t>
        </is>
      </c>
      <c r="D513" t="inlineStr">
        <is>
          <t>4b339f9567d060bcea4f5136b9f5949e</t>
        </is>
      </c>
      <c r="E513" s="30" t="n">
        <v>43370.73337962963</v>
      </c>
      <c r="F513" t="inlineStr">
        <is>
          <t>bed_bath_table</t>
        </is>
      </c>
      <c r="G513" t="inlineStr">
        <is>
          <t>online_medium</t>
        </is>
      </c>
      <c r="H513" t="inlineStr">
        <is>
          <t>cat</t>
        </is>
      </c>
      <c r="I513" t="b">
        <v>0</v>
      </c>
      <c r="J513" t="b">
        <v>1</v>
      </c>
      <c r="K513" t="inlineStr">
        <is>
          <t>50-200</t>
        </is>
      </c>
      <c r="L513" t="inlineStr">
        <is>
          <t>reseller</t>
        </is>
      </c>
      <c r="M513" t="n">
        <v>85</v>
      </c>
      <c r="N513" t="n">
        <v>0</v>
      </c>
    </row>
    <row r="514">
      <c r="A514" t="inlineStr">
        <is>
          <t>e9631bea70bc3ae4018bff0eac2c0986</t>
        </is>
      </c>
      <c r="B514" t="inlineStr">
        <is>
          <t>5b0cc932433fa5184b5b94bfe6bcc256</t>
        </is>
      </c>
      <c r="C514" t="inlineStr">
        <is>
          <t>370c9f455f93a9a96cbe9bea48e70033</t>
        </is>
      </c>
      <c r="D514" t="inlineStr">
        <is>
          <t>a8387c01a09e99ce014107505b92388c</t>
        </is>
      </c>
      <c r="E514" s="30" t="n">
        <v>43237.52934027778</v>
      </c>
      <c r="F514" t="inlineStr">
        <is>
          <t>home_decor</t>
        </is>
      </c>
      <c r="G514" t="inlineStr">
        <is>
          <t>online_medium</t>
        </is>
      </c>
      <c r="H514" t="inlineStr">
        <is>
          <t>eagle</t>
        </is>
      </c>
      <c r="L514" t="inlineStr">
        <is>
          <t>manufacturer</t>
        </is>
      </c>
      <c r="N514" t="n">
        <v>0</v>
      </c>
    </row>
    <row r="515">
      <c r="A515" t="inlineStr">
        <is>
          <t>1dbafa1bd602541ba5249cf8cc388acf</t>
        </is>
      </c>
      <c r="B515" t="inlineStr">
        <is>
          <t>252b493131fc46ee4a19fbfcbd565676</t>
        </is>
      </c>
      <c r="C515" t="inlineStr">
        <is>
          <t>0a0fb2b07d841f84fb6714e35c723075</t>
        </is>
      </c>
      <c r="D515" t="inlineStr">
        <is>
          <t>4ef15afb4b2723d8f3d81e51ec7afefe</t>
        </is>
      </c>
      <c r="E515" s="30" t="n">
        <v>43255.53318287037</v>
      </c>
      <c r="F515" t="inlineStr">
        <is>
          <t>computers</t>
        </is>
      </c>
      <c r="G515" t="inlineStr">
        <is>
          <t>online_medium</t>
        </is>
      </c>
      <c r="H515" t="inlineStr">
        <is>
          <t>cat</t>
        </is>
      </c>
      <c r="L515" t="inlineStr">
        <is>
          <t>reseller</t>
        </is>
      </c>
      <c r="N515" t="n">
        <v>0</v>
      </c>
    </row>
    <row r="516">
      <c r="A516" t="inlineStr">
        <is>
          <t>d92949512f85bf2db92ad19b662922f6</t>
        </is>
      </c>
      <c r="B516" t="inlineStr">
        <is>
          <t>0502e5d79bd91b34b68cef9b3b45230c</t>
        </is>
      </c>
      <c r="C516" t="inlineStr">
        <is>
          <t>9d12ef1a7eca3ec58c545c678af7869c</t>
        </is>
      </c>
      <c r="D516" t="inlineStr">
        <is>
          <t>068066e24f0c643eb1d089c7dd20cd73</t>
        </is>
      </c>
      <c r="E516" s="30" t="n">
        <v>43238.81435185186</v>
      </c>
      <c r="F516" t="inlineStr">
        <is>
          <t>health_beauty</t>
        </is>
      </c>
      <c r="G516" t="inlineStr">
        <is>
          <t>online_medium</t>
        </is>
      </c>
      <c r="H516" t="inlineStr">
        <is>
          <t>eagle</t>
        </is>
      </c>
      <c r="L516" t="inlineStr">
        <is>
          <t>reseller</t>
        </is>
      </c>
      <c r="N516" t="n">
        <v>0</v>
      </c>
    </row>
    <row r="517">
      <c r="A517" t="inlineStr">
        <is>
          <t>dcee66ccb49a492ae42c446c0cc01b3a</t>
        </is>
      </c>
      <c r="B517" t="inlineStr">
        <is>
          <t>cd2169d9f31ff6fbb9ca3373b0c9e354</t>
        </is>
      </c>
      <c r="C517" t="inlineStr">
        <is>
          <t>068066e24f0c643eb1d089c7dd20cd73</t>
        </is>
      </c>
      <c r="D517" t="inlineStr">
        <is>
          <t>85fc447d336637ba1df43e793199fbc8</t>
        </is>
      </c>
      <c r="E517" s="30" t="n">
        <v>43213.87993055556</v>
      </c>
      <c r="F517" t="inlineStr">
        <is>
          <t>audio_video_electronics</t>
        </is>
      </c>
      <c r="G517" t="inlineStr">
        <is>
          <t>online_medium</t>
        </is>
      </c>
      <c r="H517" t="inlineStr">
        <is>
          <t>cat</t>
        </is>
      </c>
      <c r="L517" t="inlineStr">
        <is>
          <t>reseller</t>
        </is>
      </c>
      <c r="N517" t="n">
        <v>0</v>
      </c>
    </row>
    <row r="518">
      <c r="A518" t="inlineStr">
        <is>
          <t>4a357e43fba47afd6d96c6f6524ade53</t>
        </is>
      </c>
      <c r="B518" t="inlineStr">
        <is>
          <t>9aa388272ee334b6ae07bc73706e254a</t>
        </is>
      </c>
      <c r="C518" t="inlineStr">
        <is>
          <t>068066e24f0c643eb1d089c7dd20cd73</t>
        </is>
      </c>
      <c r="D518" t="inlineStr">
        <is>
          <t>d3d1e91a157ea7f90548eef82f1955e3</t>
        </is>
      </c>
      <c r="E518" s="30" t="n">
        <v>43150.82574074074</v>
      </c>
      <c r="F518" t="inlineStr">
        <is>
          <t>bed_bath_table</t>
        </is>
      </c>
      <c r="G518" t="inlineStr">
        <is>
          <t>online_medium</t>
        </is>
      </c>
      <c r="L518" t="inlineStr">
        <is>
          <t>manufacturer</t>
        </is>
      </c>
      <c r="N518" t="n">
        <v>0</v>
      </c>
    </row>
    <row r="519">
      <c r="A519" t="inlineStr">
        <is>
          <t>fceb58eea3ffda92cf9ab32fd9e5fe0d</t>
        </is>
      </c>
      <c r="B519" t="inlineStr">
        <is>
          <t>dc00a47754c9e2eda1f84b0bff6ee95e</t>
        </is>
      </c>
      <c r="C519" t="inlineStr">
        <is>
          <t>a8387c01a09e99ce014107505b92388c</t>
        </is>
      </c>
      <c r="D519" t="inlineStr">
        <is>
          <t>2695de1affa7750089c0455f8ce27021</t>
        </is>
      </c>
      <c r="E519" s="30" t="n">
        <v>43213.55827546296</v>
      </c>
      <c r="F519" t="inlineStr">
        <is>
          <t>stationery</t>
        </is>
      </c>
      <c r="G519" t="inlineStr">
        <is>
          <t>offline</t>
        </is>
      </c>
      <c r="H519" t="inlineStr">
        <is>
          <t>cat</t>
        </is>
      </c>
      <c r="L519" t="inlineStr">
        <is>
          <t>reseller</t>
        </is>
      </c>
      <c r="N519" t="n">
        <v>0</v>
      </c>
    </row>
    <row r="520">
      <c r="A520" t="inlineStr">
        <is>
          <t>63d196328512c582293ce6c845521bb6</t>
        </is>
      </c>
      <c r="B520" t="inlineStr">
        <is>
          <t>1fe5540d7c1c37a595fefbacd5570d9e</t>
        </is>
      </c>
      <c r="C520" t="inlineStr">
        <is>
          <t>0a0fb2b07d841f84fb6714e35c723075</t>
        </is>
      </c>
      <c r="D520" t="inlineStr">
        <is>
          <t>34d40cdaf94010a1d05b0d6212f9e909</t>
        </is>
      </c>
      <c r="E520" s="30" t="n">
        <v>43301.76266203704</v>
      </c>
      <c r="F520" t="inlineStr">
        <is>
          <t>computers</t>
        </is>
      </c>
      <c r="G520" t="inlineStr">
        <is>
          <t>online_medium</t>
        </is>
      </c>
      <c r="H520" t="inlineStr">
        <is>
          <t>eagle</t>
        </is>
      </c>
      <c r="I520" t="b">
        <v>0</v>
      </c>
      <c r="J520" t="b">
        <v>1</v>
      </c>
      <c r="K520" t="inlineStr">
        <is>
          <t>50-200</t>
        </is>
      </c>
      <c r="L520" t="inlineStr">
        <is>
          <t>reseller</t>
        </is>
      </c>
      <c r="N520" t="n">
        <v>0</v>
      </c>
    </row>
    <row r="521">
      <c r="A521" t="inlineStr">
        <is>
          <t>cd60cded04fede4abccff6e0dea36f6e</t>
        </is>
      </c>
      <c r="B521" t="inlineStr">
        <is>
          <t>dd3c4f2160ceb84483c6ef84ddc541e0</t>
        </is>
      </c>
      <c r="C521" t="inlineStr">
        <is>
          <t>a8387c01a09e99ce014107505b92388c</t>
        </is>
      </c>
      <c r="D521" t="inlineStr">
        <is>
          <t>4ef15afb4b2723d8f3d81e51ec7afefe</t>
        </is>
      </c>
      <c r="E521" s="30" t="n">
        <v>43301.85439814815</v>
      </c>
      <c r="F521" t="inlineStr">
        <is>
          <t>handcrafted</t>
        </is>
      </c>
      <c r="G521" t="inlineStr">
        <is>
          <t>offline</t>
        </is>
      </c>
      <c r="H521" t="inlineStr">
        <is>
          <t>wolf</t>
        </is>
      </c>
      <c r="L521" t="inlineStr">
        <is>
          <t>manufacturer</t>
        </is>
      </c>
      <c r="N521" t="n">
        <v>0</v>
      </c>
    </row>
    <row r="522">
      <c r="A522" t="inlineStr">
        <is>
          <t>6fd8a9e989f62bd98e7d20c2f81b1519</t>
        </is>
      </c>
      <c r="B522" t="inlineStr">
        <is>
          <t>bce6a5ecf98e99fd2a8868b15c51f04b</t>
        </is>
      </c>
      <c r="C522" t="inlineStr">
        <is>
          <t>068066e24f0c643eb1d089c7dd20cd73</t>
        </is>
      </c>
      <c r="D522" t="inlineStr">
        <is>
          <t>d3d1e91a157ea7f90548eef82f1955e3</t>
        </is>
      </c>
      <c r="E522" s="30" t="n">
        <v>43203.125</v>
      </c>
      <c r="F522" t="inlineStr">
        <is>
          <t>watches</t>
        </is>
      </c>
      <c r="G522" t="inlineStr">
        <is>
          <t>online_medium</t>
        </is>
      </c>
      <c r="H522" t="inlineStr">
        <is>
          <t>cat</t>
        </is>
      </c>
      <c r="L522" t="inlineStr">
        <is>
          <t>reseller</t>
        </is>
      </c>
      <c r="N522" t="n">
        <v>0</v>
      </c>
    </row>
    <row r="523">
      <c r="A523" t="inlineStr">
        <is>
          <t>e03c43e6cfff88b9e06badf1de66b950</t>
        </is>
      </c>
      <c r="B523" t="inlineStr">
        <is>
          <t>5f4ffce0fafd72596bcb09d1467981c2</t>
        </is>
      </c>
      <c r="C523" t="inlineStr">
        <is>
          <t>0a0fb2b07d841f84fb6714e35c723075</t>
        </is>
      </c>
      <c r="D523" t="inlineStr">
        <is>
          <t>068066e24f0c643eb1d089c7dd20cd73</t>
        </is>
      </c>
      <c r="E523" s="30" t="n">
        <v>43290.53815972222</v>
      </c>
      <c r="F523" t="inlineStr">
        <is>
          <t>health_beauty</t>
        </is>
      </c>
      <c r="G523" t="inlineStr">
        <is>
          <t>online_medium</t>
        </is>
      </c>
      <c r="H523" t="inlineStr">
        <is>
          <t>eagle</t>
        </is>
      </c>
      <c r="L523" t="inlineStr">
        <is>
          <t>manufacturer</t>
        </is>
      </c>
      <c r="N523" t="n">
        <v>0</v>
      </c>
    </row>
    <row r="524">
      <c r="A524" t="inlineStr">
        <is>
          <t>33d81348225fe436802063fc73e6f2c5</t>
        </is>
      </c>
      <c r="B524" t="inlineStr">
        <is>
          <t>902c99f1ac505c0d18778b61bcd636f7</t>
        </is>
      </c>
      <c r="C524" t="inlineStr">
        <is>
          <t>a8387c01a09e99ce014107505b92388c</t>
        </is>
      </c>
      <c r="D524" t="inlineStr">
        <is>
          <t>85fc447d336637ba1df43e793199fbc8</t>
        </is>
      </c>
      <c r="E524" s="30" t="n">
        <v>43294.49513888889</v>
      </c>
      <c r="F524" t="inlineStr">
        <is>
          <t>gifts</t>
        </is>
      </c>
      <c r="G524" t="inlineStr">
        <is>
          <t>online_medium</t>
        </is>
      </c>
      <c r="H524" t="inlineStr">
        <is>
          <t>cat</t>
        </is>
      </c>
      <c r="L524" t="inlineStr">
        <is>
          <t>reseller</t>
        </is>
      </c>
      <c r="N524" t="n">
        <v>0</v>
      </c>
    </row>
    <row r="525">
      <c r="A525" t="inlineStr">
        <is>
          <t>ac2adbbec7f0d2fffad8e21d5e8a58e1</t>
        </is>
      </c>
      <c r="B525" t="inlineStr">
        <is>
          <t>2e7ea2aafec5835e781b21d6d1faf1f1</t>
        </is>
      </c>
      <c r="C525" t="inlineStr">
        <is>
          <t>068066e24f0c643eb1d089c7dd20cd73</t>
        </is>
      </c>
      <c r="D525" t="inlineStr">
        <is>
          <t>495d4e95a8cf8bbf8b432b612a2aa328</t>
        </is>
      </c>
      <c r="E525" s="30" t="n">
        <v>43241.73716435185</v>
      </c>
      <c r="F525" t="inlineStr">
        <is>
          <t>health_beauty</t>
        </is>
      </c>
      <c r="G525" t="inlineStr">
        <is>
          <t>online_medium</t>
        </is>
      </c>
      <c r="H525" t="inlineStr">
        <is>
          <t>cat</t>
        </is>
      </c>
      <c r="L525" t="inlineStr">
        <is>
          <t>reseller</t>
        </is>
      </c>
      <c r="N525" t="n">
        <v>0</v>
      </c>
    </row>
    <row r="526">
      <c r="A526" t="inlineStr">
        <is>
          <t>8dcedd6884e553e55dfb6298a6f6cd94</t>
        </is>
      </c>
      <c r="B526" t="inlineStr">
        <is>
          <t>b3809b8d4394588a47c8470ea331e135</t>
        </is>
      </c>
      <c r="C526" t="inlineStr">
        <is>
          <t>370c9f455f93a9a96cbe9bea48e70033</t>
        </is>
      </c>
      <c r="D526" t="inlineStr">
        <is>
          <t>85fc447d336637ba1df43e793199fbc8</t>
        </is>
      </c>
      <c r="E526" s="30" t="n">
        <v>43200.81559027778</v>
      </c>
      <c r="F526" t="inlineStr">
        <is>
          <t>audio_video_electronics</t>
        </is>
      </c>
      <c r="G526" t="inlineStr">
        <is>
          <t>online_medium</t>
        </is>
      </c>
      <c r="H526" t="inlineStr">
        <is>
          <t>cat</t>
        </is>
      </c>
      <c r="L526" t="inlineStr">
        <is>
          <t>reseller</t>
        </is>
      </c>
      <c r="N526" t="n">
        <v>0</v>
      </c>
    </row>
    <row r="527">
      <c r="A527" t="inlineStr">
        <is>
          <t>ba0773260354774c193b04f6af910192</t>
        </is>
      </c>
      <c r="B527" t="inlineStr">
        <is>
          <t>674207551483fec113276b67b0d871ff</t>
        </is>
      </c>
      <c r="C527" t="inlineStr">
        <is>
          <t>4b339f9567d060bcea4f5136b9f5949e</t>
        </is>
      </c>
      <c r="D527" t="inlineStr">
        <is>
          <t>6565aa9ce3178a5caf6171827af3a9ba</t>
        </is>
      </c>
      <c r="E527" s="30" t="n">
        <v>43188.71225694445</v>
      </c>
      <c r="F527" t="inlineStr">
        <is>
          <t>household_utilities</t>
        </is>
      </c>
      <c r="G527" t="inlineStr">
        <is>
          <t>online_medium</t>
        </is>
      </c>
      <c r="H527" t="inlineStr">
        <is>
          <t>wolf</t>
        </is>
      </c>
      <c r="L527" t="inlineStr">
        <is>
          <t>manufacturer</t>
        </is>
      </c>
      <c r="N527" t="n">
        <v>0</v>
      </c>
    </row>
    <row r="528">
      <c r="A528" t="inlineStr">
        <is>
          <t>f5772c97a8e2bcf909674d8701480d55</t>
        </is>
      </c>
      <c r="B528" t="inlineStr">
        <is>
          <t>63c6951772f3f4fc4e40ffd24207fd19</t>
        </is>
      </c>
      <c r="C528" t="inlineStr">
        <is>
          <t>4b339f9567d060bcea4f5136b9f5949e</t>
        </is>
      </c>
      <c r="D528" t="inlineStr">
        <is>
          <t>060c0a26f19f4d66b42e0d8796688490</t>
        </is>
      </c>
      <c r="E528" s="30" t="n">
        <v>43168.57349537037</v>
      </c>
      <c r="F528" t="inlineStr">
        <is>
          <t>phone_mobile</t>
        </is>
      </c>
      <c r="G528" t="inlineStr">
        <is>
          <t>online_big</t>
        </is>
      </c>
      <c r="H528" t="inlineStr">
        <is>
          <t>cat</t>
        </is>
      </c>
      <c r="L528" t="inlineStr">
        <is>
          <t>reseller</t>
        </is>
      </c>
      <c r="N528" t="n">
        <v>0</v>
      </c>
    </row>
    <row r="529">
      <c r="A529" t="inlineStr">
        <is>
          <t>4926b735eb624e5de200880635cc272a</t>
        </is>
      </c>
      <c r="B529" t="inlineStr">
        <is>
          <t>2ec7ffe99ecc5afc2e48920c9d1fbff6</t>
        </is>
      </c>
      <c r="C529" t="inlineStr">
        <is>
          <t>56bf83c4bb35763a51c2baab501b4c67</t>
        </is>
      </c>
      <c r="D529" t="inlineStr">
        <is>
          <t>4ef15afb4b2723d8f3d81e51ec7afefe</t>
        </is>
      </c>
      <c r="E529" s="30" t="n">
        <v>43112.51633101852</v>
      </c>
      <c r="F529" t="inlineStr">
        <is>
          <t>air_conditioning</t>
        </is>
      </c>
      <c r="G529" t="inlineStr">
        <is>
          <t>online_big</t>
        </is>
      </c>
      <c r="L529" t="inlineStr">
        <is>
          <t>reseller</t>
        </is>
      </c>
      <c r="N529" t="n">
        <v>0</v>
      </c>
    </row>
    <row r="530">
      <c r="A530" t="inlineStr">
        <is>
          <t>28f36aa85fbadc0663c2df15a5af35db</t>
        </is>
      </c>
      <c r="B530" t="inlineStr">
        <is>
          <t>455befea1bb853c75ccbca94cff26e5c</t>
        </is>
      </c>
      <c r="C530" t="inlineStr">
        <is>
          <t>f42a2bd194f7802ab052a815c8de65b7</t>
        </is>
      </c>
      <c r="D530" t="inlineStr">
        <is>
          <t>de63de0d10a6012430098db33c679b0b</t>
        </is>
      </c>
      <c r="E530" s="30" t="n">
        <v>43210.68712962963</v>
      </c>
      <c r="F530" t="inlineStr">
        <is>
          <t>phone_mobile</t>
        </is>
      </c>
      <c r="G530" t="inlineStr">
        <is>
          <t>offline</t>
        </is>
      </c>
      <c r="H530" t="inlineStr">
        <is>
          <t>cat</t>
        </is>
      </c>
      <c r="N530" t="n">
        <v>0</v>
      </c>
    </row>
    <row r="531">
      <c r="A531" t="inlineStr">
        <is>
          <t>0383bd4aa37e8dd109be3864bc703eda</t>
        </is>
      </c>
      <c r="B531" t="inlineStr">
        <is>
          <t>9fbe791853dbd2e3894d85162a8ff934</t>
        </is>
      </c>
      <c r="C531" t="inlineStr">
        <is>
          <t>45749fb708130f78d0db07d8d80f030b</t>
        </is>
      </c>
      <c r="D531" t="inlineStr">
        <is>
          <t>4b339f9567d060bcea4f5136b9f5949e</t>
        </is>
      </c>
      <c r="E531" s="30" t="n">
        <v>43375.8928125</v>
      </c>
      <c r="F531" t="inlineStr">
        <is>
          <t>car_accessories</t>
        </is>
      </c>
      <c r="G531" t="inlineStr">
        <is>
          <t>online_medium</t>
        </is>
      </c>
      <c r="H531" t="inlineStr">
        <is>
          <t>cat</t>
        </is>
      </c>
      <c r="I531" t="b">
        <v>1</v>
      </c>
      <c r="J531" t="b">
        <v>1</v>
      </c>
      <c r="K531" t="inlineStr">
        <is>
          <t>5-20</t>
        </is>
      </c>
      <c r="L531" t="inlineStr">
        <is>
          <t>reseller</t>
        </is>
      </c>
      <c r="M531" t="n">
        <v>75</v>
      </c>
      <c r="N531" t="n">
        <v>25000</v>
      </c>
    </row>
    <row r="532">
      <c r="A532" t="inlineStr">
        <is>
          <t>80f3f5f7b631b0e974a4a4627672e73a</t>
        </is>
      </c>
      <c r="B532" t="inlineStr">
        <is>
          <t>dace965ca58120f92f8d742a9fa1864b</t>
        </is>
      </c>
      <c r="C532" t="inlineStr">
        <is>
          <t>de63de0d10a6012430098db33c679b0b</t>
        </is>
      </c>
      <c r="D532" t="inlineStr">
        <is>
          <t>d3d1e91a157ea7f90548eef82f1955e3</t>
        </is>
      </c>
      <c r="E532" s="30" t="n">
        <v>43130.51222222222</v>
      </c>
      <c r="F532" t="inlineStr">
        <is>
          <t>health_beauty</t>
        </is>
      </c>
      <c r="G532" t="inlineStr">
        <is>
          <t>online_beginner</t>
        </is>
      </c>
      <c r="L532" t="inlineStr">
        <is>
          <t>reseller</t>
        </is>
      </c>
      <c r="N532" t="n">
        <v>0</v>
      </c>
    </row>
    <row r="533">
      <c r="A533" t="inlineStr">
        <is>
          <t>20c1fd3638caa5d1dce50b6c0b7fc409</t>
        </is>
      </c>
      <c r="B533" t="inlineStr">
        <is>
          <t>ea4e9ce63a2134743b4a92777437fcdd</t>
        </is>
      </c>
      <c r="C533" t="inlineStr">
        <is>
          <t>9e4d1098a3b0f5da39b0bc48f9876645</t>
        </is>
      </c>
      <c r="D533" t="inlineStr">
        <is>
          <t>060c0a26f19f4d66b42e0d8796688490</t>
        </is>
      </c>
      <c r="E533" s="30" t="n">
        <v>43179.57862268519</v>
      </c>
      <c r="F533" t="inlineStr">
        <is>
          <t>audio_video_electronics</t>
        </is>
      </c>
      <c r="G533" t="inlineStr">
        <is>
          <t>online_medium</t>
        </is>
      </c>
      <c r="H533" t="inlineStr">
        <is>
          <t>cat</t>
        </is>
      </c>
      <c r="L533" t="inlineStr">
        <is>
          <t>manufacturer</t>
        </is>
      </c>
      <c r="N533" t="n">
        <v>0</v>
      </c>
    </row>
    <row r="534">
      <c r="A534" t="inlineStr">
        <is>
          <t>5177d7712d018e49b0015adfdc2bb393</t>
        </is>
      </c>
      <c r="B534" t="inlineStr">
        <is>
          <t>19d2a3535e887b30be7081676fb1a499</t>
        </is>
      </c>
      <c r="C534" t="inlineStr">
        <is>
          <t>a8387c01a09e99ce014107505b92388c</t>
        </is>
      </c>
      <c r="D534" t="inlineStr">
        <is>
          <t>495d4e95a8cf8bbf8b432b612a2aa328</t>
        </is>
      </c>
      <c r="E534" s="30" t="n">
        <v>43203.125</v>
      </c>
      <c r="F534" t="inlineStr">
        <is>
          <t>stationery</t>
        </is>
      </c>
      <c r="G534" t="inlineStr">
        <is>
          <t>offline</t>
        </is>
      </c>
      <c r="H534" t="inlineStr">
        <is>
          <t>cat</t>
        </is>
      </c>
      <c r="L534" t="inlineStr">
        <is>
          <t>reseller</t>
        </is>
      </c>
      <c r="N534" t="n">
        <v>0</v>
      </c>
    </row>
    <row r="535">
      <c r="A535" t="inlineStr">
        <is>
          <t>3f972cdb5e257034c5ad72bd3b0ed184</t>
        </is>
      </c>
      <c r="B535" t="inlineStr">
        <is>
          <t>a0ed0c00bfd64109d4ea03c97cc12486</t>
        </is>
      </c>
      <c r="C535" t="inlineStr">
        <is>
          <t>0a0fb2b07d841f84fb6714e35c723075</t>
        </is>
      </c>
      <c r="D535" t="inlineStr">
        <is>
          <t>068066e24f0c643eb1d089c7dd20cd73</t>
        </is>
      </c>
      <c r="E535" s="30" t="n">
        <v>43381.72387731481</v>
      </c>
      <c r="F535" t="inlineStr">
        <is>
          <t>home_decor</t>
        </is>
      </c>
      <c r="G535" t="inlineStr">
        <is>
          <t>online_medium</t>
        </is>
      </c>
      <c r="H535" t="inlineStr">
        <is>
          <t>wolf</t>
        </is>
      </c>
      <c r="I535" t="b">
        <v>1</v>
      </c>
      <c r="J535" t="b">
        <v>1</v>
      </c>
      <c r="K535" t="inlineStr">
        <is>
          <t>1-5</t>
        </is>
      </c>
      <c r="L535" t="inlineStr">
        <is>
          <t>reseller</t>
        </is>
      </c>
      <c r="M535" t="n">
        <v>70</v>
      </c>
      <c r="N535" t="n">
        <v>30000</v>
      </c>
    </row>
    <row r="536">
      <c r="A536" t="inlineStr">
        <is>
          <t>b440cc1f36911a5256b3dc30a1d599ba</t>
        </is>
      </c>
      <c r="B536" t="inlineStr">
        <is>
          <t>8116eb23b96c15ec02dd90632371494c</t>
        </is>
      </c>
      <c r="C536" t="inlineStr">
        <is>
          <t>de63de0d10a6012430098db33c679b0b</t>
        </is>
      </c>
      <c r="D536" t="inlineStr">
        <is>
          <t>9ae085775a198122c5586fa830ff7f2b</t>
        </is>
      </c>
      <c r="E536" s="30" t="n">
        <v>43129.44157407407</v>
      </c>
      <c r="F536" t="inlineStr">
        <is>
          <t>bags_backpacks</t>
        </is>
      </c>
      <c r="G536" t="inlineStr">
        <is>
          <t>online_beginner</t>
        </is>
      </c>
      <c r="L536" t="inlineStr">
        <is>
          <t>manufacturer</t>
        </is>
      </c>
      <c r="N536" t="n">
        <v>0</v>
      </c>
    </row>
    <row r="537">
      <c r="A537" t="inlineStr">
        <is>
          <t>5b7fc89c42ee0f99a9db33e8baed5c52</t>
        </is>
      </c>
      <c r="B537" t="inlineStr">
        <is>
          <t>39cd336c2436c88d88096f7ef9305026</t>
        </is>
      </c>
      <c r="C537" t="inlineStr">
        <is>
          <t>9e4d1098a3b0f5da39b0bc48f9876645</t>
        </is>
      </c>
      <c r="D537" t="inlineStr">
        <is>
          <t>85fc447d336637ba1df43e793199fbc8</t>
        </is>
      </c>
      <c r="E537" s="30" t="n">
        <v>43186.89782407408</v>
      </c>
      <c r="F537" t="inlineStr">
        <is>
          <t>home_decor</t>
        </is>
      </c>
      <c r="G537" t="inlineStr">
        <is>
          <t>online_medium</t>
        </is>
      </c>
      <c r="H537" t="inlineStr">
        <is>
          <t>cat</t>
        </is>
      </c>
      <c r="L537" t="inlineStr">
        <is>
          <t>manufacturer</t>
        </is>
      </c>
      <c r="N537" t="n">
        <v>0</v>
      </c>
    </row>
    <row r="538">
      <c r="A538" t="inlineStr">
        <is>
          <t>d3acf9ea06733ab725beeec8333da403</t>
        </is>
      </c>
      <c r="B538" t="inlineStr">
        <is>
          <t>48e954b2da4f6a750c844173b347ed40</t>
        </is>
      </c>
      <c r="C538" t="inlineStr">
        <is>
          <t>4b339f9567d060bcea4f5136b9f5949e</t>
        </is>
      </c>
      <c r="D538" t="inlineStr">
        <is>
          <t>d3d1e91a157ea7f90548eef82f1955e3</t>
        </is>
      </c>
      <c r="E538" s="30" t="n">
        <v>43146.51709490741</v>
      </c>
      <c r="F538" t="inlineStr">
        <is>
          <t>food_drink</t>
        </is>
      </c>
      <c r="G538" t="inlineStr">
        <is>
          <t>online_small</t>
        </is>
      </c>
      <c r="L538" t="inlineStr">
        <is>
          <t>reseller</t>
        </is>
      </c>
      <c r="N538" t="n">
        <v>0</v>
      </c>
    </row>
    <row r="539">
      <c r="A539" t="inlineStr">
        <is>
          <t>bfa4c8f989b5998d069da0a75550a7ce</t>
        </is>
      </c>
      <c r="B539" t="inlineStr">
        <is>
          <t>694892adec9a8e54155c2a2e99b6bd0c</t>
        </is>
      </c>
      <c r="C539" t="inlineStr">
        <is>
          <t>9d12ef1a7eca3ec58c545c678af7869c</t>
        </is>
      </c>
      <c r="D539" t="inlineStr">
        <is>
          <t>de63de0d10a6012430098db33c679b0b</t>
        </is>
      </c>
      <c r="E539" s="30" t="n">
        <v>43193.5146875</v>
      </c>
      <c r="F539" t="inlineStr">
        <is>
          <t>car_accessories</t>
        </is>
      </c>
      <c r="G539" t="inlineStr">
        <is>
          <t>offline</t>
        </is>
      </c>
      <c r="H539" t="inlineStr">
        <is>
          <t>cat</t>
        </is>
      </c>
      <c r="L539" t="inlineStr">
        <is>
          <t>reseller</t>
        </is>
      </c>
      <c r="N539" t="n">
        <v>0</v>
      </c>
    </row>
    <row r="540">
      <c r="A540" t="inlineStr">
        <is>
          <t>0dabd1a1be08da96cd6fa993b9afb0a8</t>
        </is>
      </c>
      <c r="B540" t="inlineStr">
        <is>
          <t>a0b6a15b3b776d289bb0eca2d9115eaa</t>
        </is>
      </c>
      <c r="C540" t="inlineStr">
        <is>
          <t>e7dff61b78bebffa71678e126ce669ad</t>
        </is>
      </c>
      <c r="D540" t="inlineStr">
        <is>
          <t>de63de0d10a6012430098db33c679b0b</t>
        </is>
      </c>
      <c r="E540" s="30" t="n">
        <v>43402.70484953704</v>
      </c>
      <c r="F540" t="inlineStr">
        <is>
          <t>toys</t>
        </is>
      </c>
      <c r="G540" t="inlineStr">
        <is>
          <t>online_medium</t>
        </is>
      </c>
      <c r="H540" t="inlineStr">
        <is>
          <t>eagle</t>
        </is>
      </c>
      <c r="I540" t="b">
        <v>1</v>
      </c>
      <c r="J540" t="b">
        <v>1</v>
      </c>
      <c r="K540" t="inlineStr">
        <is>
          <t>5-20</t>
        </is>
      </c>
      <c r="L540" t="inlineStr">
        <is>
          <t>reseller</t>
        </is>
      </c>
      <c r="M540" t="n">
        <v>100</v>
      </c>
      <c r="N540" t="n">
        <v>4000</v>
      </c>
    </row>
    <row r="541">
      <c r="A541" t="inlineStr">
        <is>
          <t>9ab8da6ebb84a25f23233a3a2e8cfc11</t>
        </is>
      </c>
      <c r="B541" t="inlineStr">
        <is>
          <t>f177c11663deb4c3c07af399b26f5110</t>
        </is>
      </c>
      <c r="C541" t="inlineStr">
        <is>
          <t>068066e24f0c643eb1d089c7dd20cd73</t>
        </is>
      </c>
      <c r="D541" t="inlineStr">
        <is>
          <t>9ae085775a198122c5586fa830ff7f2b</t>
        </is>
      </c>
      <c r="E541" s="30" t="n">
        <v>43235.56248842592</v>
      </c>
      <c r="F541" t="inlineStr">
        <is>
          <t>car_accessories</t>
        </is>
      </c>
      <c r="G541" t="inlineStr">
        <is>
          <t>online_medium</t>
        </is>
      </c>
      <c r="L541" t="inlineStr">
        <is>
          <t>reseller</t>
        </is>
      </c>
      <c r="N541" t="n">
        <v>0</v>
      </c>
    </row>
    <row r="542">
      <c r="A542" t="inlineStr">
        <is>
          <t>80a19b2bee623d67010812c64f360300</t>
        </is>
      </c>
      <c r="B542" t="inlineStr">
        <is>
          <t>abc39d62971a3ef6d4b285f65513006f</t>
        </is>
      </c>
      <c r="C542" t="inlineStr">
        <is>
          <t>370c9f455f93a9a96cbe9bea48e70033</t>
        </is>
      </c>
      <c r="D542" t="inlineStr">
        <is>
          <t>068066e24f0c643eb1d089c7dd20cd73</t>
        </is>
      </c>
      <c r="E542" s="30" t="n">
        <v>43397.4816087963</v>
      </c>
      <c r="F542" t="inlineStr">
        <is>
          <t>books</t>
        </is>
      </c>
      <c r="G542" t="inlineStr">
        <is>
          <t>online_medium</t>
        </is>
      </c>
      <c r="H542" t="inlineStr">
        <is>
          <t>wolf</t>
        </is>
      </c>
      <c r="K542" t="inlineStr">
        <is>
          <t>5-20</t>
        </is>
      </c>
      <c r="L542" t="inlineStr">
        <is>
          <t>reseller</t>
        </is>
      </c>
      <c r="M542" t="n">
        <v>30</v>
      </c>
      <c r="N542" t="n">
        <v>0</v>
      </c>
    </row>
    <row r="543">
      <c r="A543" t="inlineStr">
        <is>
          <t>820f7970418d010d52a1c1db2d3c1d65</t>
        </is>
      </c>
      <c r="B543" t="inlineStr">
        <is>
          <t>28c7d8743fbc8679f484868cc0fcaefb</t>
        </is>
      </c>
      <c r="C543" t="inlineStr">
        <is>
          <t>9d12ef1a7eca3ec58c545c678af7869c</t>
        </is>
      </c>
      <c r="D543" t="inlineStr">
        <is>
          <t>4ef15afb4b2723d8f3d81e51ec7afefe</t>
        </is>
      </c>
      <c r="E543" s="30" t="n">
        <v>43182.82777777778</v>
      </c>
      <c r="F543" t="inlineStr">
        <is>
          <t>health_beauty</t>
        </is>
      </c>
      <c r="G543" t="inlineStr">
        <is>
          <t>offline</t>
        </is>
      </c>
      <c r="H543" t="inlineStr">
        <is>
          <t>wolf</t>
        </is>
      </c>
      <c r="L543" t="inlineStr">
        <is>
          <t>reseller</t>
        </is>
      </c>
      <c r="N543" t="n">
        <v>0</v>
      </c>
    </row>
    <row r="544">
      <c r="A544" t="inlineStr">
        <is>
          <t>c22f68de5bdce96fee03e21ca08d898d</t>
        </is>
      </c>
      <c r="B544" t="inlineStr">
        <is>
          <t>b15dd2f0fabf60d00bb3bc95834fb45d</t>
        </is>
      </c>
      <c r="C544" t="inlineStr">
        <is>
          <t>33dd30594303eb0ebe12a556d612c437</t>
        </is>
      </c>
      <c r="D544" t="inlineStr">
        <is>
          <t>068066e24f0c643eb1d089c7dd20cd73</t>
        </is>
      </c>
      <c r="E544" s="30" t="n">
        <v>43349.68829861111</v>
      </c>
      <c r="F544" t="inlineStr">
        <is>
          <t>construction_tools_house_garden</t>
        </is>
      </c>
      <c r="G544" t="inlineStr">
        <is>
          <t>offline</t>
        </is>
      </c>
      <c r="H544" t="inlineStr">
        <is>
          <t>cat</t>
        </is>
      </c>
      <c r="I544" t="b">
        <v>1</v>
      </c>
      <c r="J544" t="b">
        <v>1</v>
      </c>
      <c r="K544" t="inlineStr">
        <is>
          <t>5-20</t>
        </is>
      </c>
      <c r="L544" t="inlineStr">
        <is>
          <t>reseller</t>
        </is>
      </c>
      <c r="M544" t="n">
        <v>10</v>
      </c>
      <c r="N544" t="n">
        <v>0</v>
      </c>
    </row>
    <row r="545">
      <c r="A545" t="inlineStr">
        <is>
          <t>0456932dafd6f6b56f142efaa19ea8ed</t>
        </is>
      </c>
      <c r="B545" t="inlineStr">
        <is>
          <t>c38c6d00a783927b6a3df86ea650ed4f</t>
        </is>
      </c>
      <c r="C545" t="inlineStr">
        <is>
          <t>068066e24f0c643eb1d089c7dd20cd73</t>
        </is>
      </c>
      <c r="D545" t="inlineStr">
        <is>
          <t>d3d1e91a157ea7f90548eef82f1955e3</t>
        </is>
      </c>
      <c r="E545" s="30" t="n">
        <v>43217.84030092593</v>
      </c>
      <c r="F545" t="inlineStr">
        <is>
          <t>audio_video_electronics</t>
        </is>
      </c>
      <c r="G545" t="inlineStr">
        <is>
          <t>online_small</t>
        </is>
      </c>
      <c r="H545" t="inlineStr">
        <is>
          <t>cat</t>
        </is>
      </c>
      <c r="L545" t="inlineStr">
        <is>
          <t>reseller</t>
        </is>
      </c>
      <c r="N545" t="n">
        <v>0</v>
      </c>
    </row>
    <row r="546">
      <c r="A546" t="inlineStr">
        <is>
          <t>c9535ee549d198a4b146a5a81e0a6450</t>
        </is>
      </c>
      <c r="B546" t="inlineStr">
        <is>
          <t>186cdd1b2df32caa72cfb410bba768d3</t>
        </is>
      </c>
      <c r="C546" t="inlineStr">
        <is>
          <t>4b339f9567d060bcea4f5136b9f5949e</t>
        </is>
      </c>
      <c r="D546" t="inlineStr">
        <is>
          <t>060c0a26f19f4d66b42e0d8796688490</t>
        </is>
      </c>
      <c r="E546" s="30" t="n">
        <v>43160.82518518518</v>
      </c>
      <c r="F546" t="inlineStr">
        <is>
          <t>household_utilities</t>
        </is>
      </c>
      <c r="G546" t="inlineStr">
        <is>
          <t>online_small</t>
        </is>
      </c>
      <c r="H546" t="inlineStr">
        <is>
          <t>wolf</t>
        </is>
      </c>
      <c r="L546" t="inlineStr">
        <is>
          <t>reseller</t>
        </is>
      </c>
      <c r="N546" t="n">
        <v>0</v>
      </c>
    </row>
    <row r="547">
      <c r="A547" t="inlineStr">
        <is>
          <t>6fb435d98ce368e0b727cec0f8a2ccfb</t>
        </is>
      </c>
      <c r="B547" t="inlineStr">
        <is>
          <t>fac1a9017ade7bdc94058fc1c969f355</t>
        </is>
      </c>
      <c r="C547" t="inlineStr">
        <is>
          <t>4b339f9567d060bcea4f5136b9f5949e</t>
        </is>
      </c>
      <c r="D547" t="inlineStr">
        <is>
          <t>fbf4aef3f6915dc0c3c97d6812522f6a</t>
        </is>
      </c>
      <c r="E547" s="30" t="n">
        <v>43217.52752314815</v>
      </c>
      <c r="F547" t="inlineStr">
        <is>
          <t>computers</t>
        </is>
      </c>
      <c r="G547" t="inlineStr">
        <is>
          <t>online_medium</t>
        </is>
      </c>
      <c r="H547" t="inlineStr">
        <is>
          <t>wolf</t>
        </is>
      </c>
      <c r="L547" t="inlineStr">
        <is>
          <t>reseller</t>
        </is>
      </c>
      <c r="N547" t="n">
        <v>0</v>
      </c>
    </row>
    <row r="548">
      <c r="A548" t="inlineStr">
        <is>
          <t>719a6e5ecb3067f0725a36f477404c5c</t>
        </is>
      </c>
      <c r="B548" t="inlineStr">
        <is>
          <t>269c5fc9fcadee614364c3620c30a1f9</t>
        </is>
      </c>
      <c r="C548" t="inlineStr">
        <is>
          <t>370c9f455f93a9a96cbe9bea48e70033</t>
        </is>
      </c>
      <c r="D548" t="inlineStr">
        <is>
          <t>6565aa9ce3178a5caf6171827af3a9ba</t>
        </is>
      </c>
      <c r="E548" s="30" t="n">
        <v>43272.5277662037</v>
      </c>
      <c r="F548" t="inlineStr">
        <is>
          <t>bags_backpacks</t>
        </is>
      </c>
      <c r="G548" t="inlineStr">
        <is>
          <t>offline</t>
        </is>
      </c>
      <c r="H548" t="inlineStr">
        <is>
          <t>wolf</t>
        </is>
      </c>
      <c r="L548" t="inlineStr">
        <is>
          <t>reseller</t>
        </is>
      </c>
      <c r="N548" t="n">
        <v>0</v>
      </c>
    </row>
    <row r="549">
      <c r="A549" t="inlineStr">
        <is>
          <t>e0bcbf50b9afa71ee130b94dfe8bcf2e</t>
        </is>
      </c>
      <c r="B549" t="inlineStr">
        <is>
          <t>516e7738bd8f735ac19a010ee5450d8d</t>
        </is>
      </c>
      <c r="C549" t="inlineStr">
        <is>
          <t>9d12ef1a7eca3ec58c545c678af7869c</t>
        </is>
      </c>
      <c r="D549" t="inlineStr">
        <is>
          <t>495d4e95a8cf8bbf8b432b612a2aa328</t>
        </is>
      </c>
      <c r="E549" s="30" t="n">
        <v>43228.56428240741</v>
      </c>
      <c r="F549" t="inlineStr">
        <is>
          <t>health_beauty</t>
        </is>
      </c>
      <c r="G549" t="inlineStr">
        <is>
          <t>online_small</t>
        </is>
      </c>
      <c r="H549" t="inlineStr">
        <is>
          <t>cat</t>
        </is>
      </c>
      <c r="L549" t="inlineStr">
        <is>
          <t>reseller</t>
        </is>
      </c>
      <c r="N549" t="n">
        <v>0</v>
      </c>
    </row>
    <row r="550">
      <c r="A550" t="inlineStr">
        <is>
          <t>10d6786c2646e4ef82973b3045096882</t>
        </is>
      </c>
      <c r="B550" t="inlineStr">
        <is>
          <t>fb66238168277301f44d960416bf5c1f</t>
        </is>
      </c>
      <c r="C550" t="inlineStr">
        <is>
          <t>34d40cdaf94010a1d05b0d6212f9e909</t>
        </is>
      </c>
      <c r="D550" t="inlineStr">
        <is>
          <t>9ae085775a198122c5586fa830ff7f2b</t>
        </is>
      </c>
      <c r="E550" s="30" t="n">
        <v>43378.52488425926</v>
      </c>
      <c r="F550" t="inlineStr">
        <is>
          <t>fashion_accessories</t>
        </is>
      </c>
      <c r="G550" t="inlineStr">
        <is>
          <t>online_small</t>
        </is>
      </c>
      <c r="H550" t="inlineStr">
        <is>
          <t>cat</t>
        </is>
      </c>
      <c r="L550" t="inlineStr">
        <is>
          <t>manufacturer</t>
        </is>
      </c>
      <c r="N550" t="n">
        <v>0</v>
      </c>
    </row>
    <row r="551">
      <c r="A551" t="inlineStr">
        <is>
          <t>79304cca1ad8a247a9bafffd5f4db436</t>
        </is>
      </c>
      <c r="B551" t="inlineStr">
        <is>
          <t>8ba4b332e611171e234324cf3f9f28e3</t>
        </is>
      </c>
      <c r="C551" t="inlineStr">
        <is>
          <t>fdb16d3cbbeb5798f2f66c4096be026d</t>
        </is>
      </c>
      <c r="D551" t="inlineStr">
        <is>
          <t>060c0a26f19f4d66b42e0d8796688490</t>
        </is>
      </c>
      <c r="E551" s="30" t="n">
        <v>43145.71622685185</v>
      </c>
      <c r="F551" t="inlineStr">
        <is>
          <t>food_drink</t>
        </is>
      </c>
      <c r="G551" t="inlineStr">
        <is>
          <t>industry</t>
        </is>
      </c>
      <c r="L551" t="inlineStr">
        <is>
          <t>manufacturer</t>
        </is>
      </c>
      <c r="N551" t="n">
        <v>0</v>
      </c>
    </row>
    <row r="552">
      <c r="A552" t="inlineStr">
        <is>
          <t>8999714b474171439f0c56236609a287</t>
        </is>
      </c>
      <c r="B552" t="inlineStr">
        <is>
          <t>4ac30efebddcd090914475c8201899b4</t>
        </is>
      </c>
      <c r="C552" t="inlineStr">
        <is>
          <t>fdb16d3cbbeb5798f2f66c4096be026d</t>
        </is>
      </c>
      <c r="D552" t="inlineStr">
        <is>
          <t>9ae085775a198122c5586fa830ff7f2b</t>
        </is>
      </c>
      <c r="E552" s="30" t="n">
        <v>43129.08333333334</v>
      </c>
      <c r="F552" t="inlineStr">
        <is>
          <t>home_decor</t>
        </is>
      </c>
      <c r="G552" t="inlineStr">
        <is>
          <t>industry</t>
        </is>
      </c>
      <c r="L552" t="inlineStr">
        <is>
          <t>reseller</t>
        </is>
      </c>
      <c r="N552" t="n">
        <v>0</v>
      </c>
    </row>
    <row r="553">
      <c r="A553" t="inlineStr">
        <is>
          <t>d8bbc05a9852cf8c785e2b05c5ba1bd9</t>
        </is>
      </c>
      <c r="B553" t="inlineStr">
        <is>
          <t>5544a079319b0984ee5d3ea03ea57da2</t>
        </is>
      </c>
      <c r="C553" t="inlineStr">
        <is>
          <t>56bf83c4bb35763a51c2baab501b4c67</t>
        </is>
      </c>
      <c r="D553" t="inlineStr">
        <is>
          <t>c638112b43f1d1b86dcabb0da720c901</t>
        </is>
      </c>
      <c r="E553" s="30" t="n">
        <v>43150.88119212963</v>
      </c>
      <c r="F553" t="inlineStr">
        <is>
          <t>computers</t>
        </is>
      </c>
      <c r="G553" t="inlineStr">
        <is>
          <t>online_medium</t>
        </is>
      </c>
      <c r="H553" t="inlineStr">
        <is>
          <t>cat</t>
        </is>
      </c>
      <c r="L553" t="inlineStr">
        <is>
          <t>reseller</t>
        </is>
      </c>
      <c r="N553" t="n">
        <v>0</v>
      </c>
    </row>
    <row r="554">
      <c r="A554" t="inlineStr">
        <is>
          <t>b37245bd5e22836dea166c9bf1ce3715</t>
        </is>
      </c>
      <c r="B554" t="inlineStr">
        <is>
          <t>8caafb23d9d6b7e75485fcc2bdc260e0</t>
        </is>
      </c>
      <c r="C554" t="inlineStr">
        <is>
          <t>9d12ef1a7eca3ec58c545c678af7869c</t>
        </is>
      </c>
      <c r="D554" t="inlineStr">
        <is>
          <t>fbf4aef3f6915dc0c3c97d6812522f6a</t>
        </is>
      </c>
      <c r="E554" s="30" t="n">
        <v>43230.75774305555</v>
      </c>
      <c r="F554" t="inlineStr">
        <is>
          <t>home_appliances</t>
        </is>
      </c>
      <c r="G554" t="inlineStr">
        <is>
          <t>online_medium</t>
        </is>
      </c>
      <c r="H554" t="inlineStr">
        <is>
          <t>eagle</t>
        </is>
      </c>
      <c r="L554" t="inlineStr">
        <is>
          <t>reseller</t>
        </is>
      </c>
      <c r="N554" t="n">
        <v>0</v>
      </c>
    </row>
    <row r="555">
      <c r="A555" t="inlineStr">
        <is>
          <t>98f57d973e7f90b1b813f13e5ebd847c</t>
        </is>
      </c>
      <c r="B555" t="inlineStr">
        <is>
          <t>dd27d8e77c7920dc26f5da40bf65ce73</t>
        </is>
      </c>
      <c r="C555" t="inlineStr">
        <is>
          <t>f42a2bd194f7802ab052a815c8de65b7</t>
        </is>
      </c>
      <c r="D555" t="inlineStr">
        <is>
          <t>de63de0d10a6012430098db33c679b0b</t>
        </is>
      </c>
      <c r="E555" s="30" t="n">
        <v>43347.60702546296</v>
      </c>
      <c r="F555" t="inlineStr">
        <is>
          <t>car_accessories</t>
        </is>
      </c>
      <c r="G555" t="inlineStr">
        <is>
          <t>offline</t>
        </is>
      </c>
      <c r="H555" t="inlineStr">
        <is>
          <t>cat</t>
        </is>
      </c>
      <c r="J555" t="b">
        <v>1</v>
      </c>
      <c r="L555" t="inlineStr">
        <is>
          <t>reseller</t>
        </is>
      </c>
      <c r="M555" t="n">
        <v>600</v>
      </c>
      <c r="N555" t="n">
        <v>0</v>
      </c>
    </row>
    <row r="556">
      <c r="A556" t="inlineStr">
        <is>
          <t>8df878a8e746bb16f57beaa0615b5693</t>
        </is>
      </c>
      <c r="B556" t="inlineStr">
        <is>
          <t>de83e0600df76319c24c3670ebcb2d5f</t>
        </is>
      </c>
      <c r="C556" t="inlineStr">
        <is>
          <t>4b339f9567d060bcea4f5136b9f5949e</t>
        </is>
      </c>
      <c r="D556" t="inlineStr">
        <is>
          <t>9e4d1098a3b0f5da39b0bc48f9876645</t>
        </is>
      </c>
      <c r="E556" s="30" t="n">
        <v>43203.91200231481</v>
      </c>
      <c r="F556" t="inlineStr">
        <is>
          <t>home_decor</t>
        </is>
      </c>
      <c r="G556" t="inlineStr">
        <is>
          <t>online_small</t>
        </is>
      </c>
      <c r="H556" t="inlineStr">
        <is>
          <t>cat</t>
        </is>
      </c>
      <c r="L556" t="inlineStr">
        <is>
          <t>manufacturer</t>
        </is>
      </c>
      <c r="N556" t="n">
        <v>0</v>
      </c>
    </row>
    <row r="557">
      <c r="A557" t="inlineStr">
        <is>
          <t>07c70f3b440791aa82c370d17910f32f</t>
        </is>
      </c>
      <c r="B557" t="inlineStr">
        <is>
          <t>85182120f8a3331fcddb54f27a77dda2</t>
        </is>
      </c>
      <c r="C557" t="inlineStr">
        <is>
          <t>4b339f9567d060bcea4f5136b9f5949e</t>
        </is>
      </c>
      <c r="D557" t="inlineStr">
        <is>
          <t>fbf4aef3f6915dc0c3c97d6812522f6a</t>
        </is>
      </c>
      <c r="E557" s="30" t="n">
        <v>43161.68079861111</v>
      </c>
      <c r="F557" t="inlineStr">
        <is>
          <t>sports_leisure</t>
        </is>
      </c>
      <c r="G557" t="inlineStr">
        <is>
          <t>online_medium</t>
        </is>
      </c>
      <c r="L557" t="inlineStr">
        <is>
          <t>reseller</t>
        </is>
      </c>
      <c r="N557" t="n">
        <v>0</v>
      </c>
    </row>
    <row r="558">
      <c r="A558" t="inlineStr">
        <is>
          <t>bf38970e96dee81ef0b4b76c2feb1a2a</t>
        </is>
      </c>
      <c r="B558" t="inlineStr">
        <is>
          <t>bb219facd42c2384181e8f3330b42df9</t>
        </is>
      </c>
      <c r="C558" t="inlineStr">
        <is>
          <t>068066e24f0c643eb1d089c7dd20cd73</t>
        </is>
      </c>
      <c r="D558" t="inlineStr">
        <is>
          <t>495d4e95a8cf8bbf8b432b612a2aa328</t>
        </is>
      </c>
      <c r="E558" s="30" t="n">
        <v>43151.81950231481</v>
      </c>
      <c r="F558" t="inlineStr">
        <is>
          <t>baby</t>
        </is>
      </c>
      <c r="G558" t="inlineStr">
        <is>
          <t>online_medium</t>
        </is>
      </c>
      <c r="H558" t="inlineStr">
        <is>
          <t>cat</t>
        </is>
      </c>
      <c r="L558" t="inlineStr">
        <is>
          <t>reseller</t>
        </is>
      </c>
      <c r="N558" t="n">
        <v>0</v>
      </c>
    </row>
    <row r="559">
      <c r="A559" t="inlineStr">
        <is>
          <t>c14a716bc18a0f87296c2ec10bfe8929</t>
        </is>
      </c>
      <c r="B559" t="inlineStr">
        <is>
          <t>788e857f317e53de488d393e65a80f45</t>
        </is>
      </c>
      <c r="C559" t="inlineStr">
        <is>
          <t>4b339f9567d060bcea4f5136b9f5949e</t>
        </is>
      </c>
      <c r="D559" t="inlineStr">
        <is>
          <t>4ef15afb4b2723d8f3d81e51ec7afefe</t>
        </is>
      </c>
      <c r="E559" s="30" t="n">
        <v>43195.61413194444</v>
      </c>
      <c r="F559" t="inlineStr">
        <is>
          <t>bags_backpacks</t>
        </is>
      </c>
      <c r="G559" t="inlineStr">
        <is>
          <t>online_medium</t>
        </is>
      </c>
      <c r="H559" t="inlineStr">
        <is>
          <t>wolf</t>
        </is>
      </c>
      <c r="L559" t="inlineStr">
        <is>
          <t>manufacturer</t>
        </is>
      </c>
      <c r="N559" t="n">
        <v>0</v>
      </c>
    </row>
    <row r="560">
      <c r="A560" t="inlineStr">
        <is>
          <t>86b283c5d439e7c9a64dca8e850c5ebc</t>
        </is>
      </c>
      <c r="B560" t="inlineStr">
        <is>
          <t>a99634624f85b4f63f87bc334b846962</t>
        </is>
      </c>
      <c r="C560" t="inlineStr">
        <is>
          <t>09285259593c61296eef10c734121d5b</t>
        </is>
      </c>
      <c r="D560" t="inlineStr">
        <is>
          <t>2695de1affa7750089c0455f8ce27021</t>
        </is>
      </c>
      <c r="E560" s="30" t="n">
        <v>43185.91438657408</v>
      </c>
      <c r="F560" t="inlineStr">
        <is>
          <t>home_decor</t>
        </is>
      </c>
      <c r="G560" t="inlineStr">
        <is>
          <t>online_medium</t>
        </is>
      </c>
      <c r="H560" t="inlineStr">
        <is>
          <t>eagle</t>
        </is>
      </c>
      <c r="L560" t="inlineStr">
        <is>
          <t>manufacturer</t>
        </is>
      </c>
      <c r="N560" t="n">
        <v>0</v>
      </c>
    </row>
    <row r="561">
      <c r="A561" t="inlineStr">
        <is>
          <t>d6beac7184414a6487a7edade4c0f2ef</t>
        </is>
      </c>
      <c r="B561" t="inlineStr">
        <is>
          <t>b8caedd58f7afe8fea08b95f272bc080</t>
        </is>
      </c>
      <c r="C561" t="inlineStr">
        <is>
          <t>370c9f455f93a9a96cbe9bea48e70033</t>
        </is>
      </c>
      <c r="D561" t="inlineStr">
        <is>
          <t>56bf83c4bb35763a51c2baab501b4c67</t>
        </is>
      </c>
      <c r="E561" s="30" t="n">
        <v>43222.72417824074</v>
      </c>
      <c r="F561" t="inlineStr">
        <is>
          <t>car_accessories</t>
        </is>
      </c>
      <c r="G561" t="inlineStr">
        <is>
          <t>online_medium</t>
        </is>
      </c>
      <c r="H561" t="inlineStr">
        <is>
          <t>cat</t>
        </is>
      </c>
      <c r="L561" t="inlineStr">
        <is>
          <t>reseller</t>
        </is>
      </c>
      <c r="N561" t="n">
        <v>0</v>
      </c>
    </row>
    <row r="562">
      <c r="A562" t="inlineStr">
        <is>
          <t>b64eccfaa3c560d142a15ca43a0ddc98</t>
        </is>
      </c>
      <c r="B562" t="inlineStr">
        <is>
          <t>3844ab927429de8fcb426e4886024ee9</t>
        </is>
      </c>
      <c r="C562" t="inlineStr">
        <is>
          <t>370c9f455f93a9a96cbe9bea48e70033</t>
        </is>
      </c>
      <c r="D562" t="inlineStr">
        <is>
          <t>068066e24f0c643eb1d089c7dd20cd73</t>
        </is>
      </c>
      <c r="E562" s="30" t="n">
        <v>43334.55189814815</v>
      </c>
      <c r="F562" t="inlineStr">
        <is>
          <t>health_beauty</t>
        </is>
      </c>
      <c r="G562" t="inlineStr">
        <is>
          <t>online_medium</t>
        </is>
      </c>
      <c r="H562" t="inlineStr">
        <is>
          <t>cat, wolf</t>
        </is>
      </c>
      <c r="I562" t="b">
        <v>1</v>
      </c>
      <c r="J562" t="b">
        <v>1</v>
      </c>
      <c r="K562" t="inlineStr">
        <is>
          <t>50-200</t>
        </is>
      </c>
      <c r="L562" t="inlineStr">
        <is>
          <t>reseller</t>
        </is>
      </c>
      <c r="M562" t="n">
        <v>50</v>
      </c>
      <c r="N562" t="n">
        <v>10000</v>
      </c>
    </row>
    <row r="563">
      <c r="A563" t="inlineStr">
        <is>
          <t>9678fa54dc9751a0633fe25843f900b4</t>
        </is>
      </c>
      <c r="B563" t="inlineStr">
        <is>
          <t>c7471f493e0cf386881d09659a4a32a4</t>
        </is>
      </c>
      <c r="C563" t="inlineStr">
        <is>
          <t>de63de0d10a6012430098db33c679b0b</t>
        </is>
      </c>
      <c r="D563" t="inlineStr">
        <is>
          <t>6565aa9ce3178a5caf6171827af3a9ba</t>
        </is>
      </c>
      <c r="E563" s="30" t="n">
        <v>43154.85273148148</v>
      </c>
      <c r="F563" t="inlineStr">
        <is>
          <t>toys</t>
        </is>
      </c>
      <c r="G563" t="inlineStr">
        <is>
          <t>offline</t>
        </is>
      </c>
      <c r="H563" t="inlineStr">
        <is>
          <t>cat</t>
        </is>
      </c>
      <c r="L563" t="inlineStr">
        <is>
          <t>reseller</t>
        </is>
      </c>
      <c r="N563" t="n">
        <v>0</v>
      </c>
    </row>
    <row r="564">
      <c r="A564" t="inlineStr">
        <is>
          <t>85ac6feb584b665e85664974c546cfec</t>
        </is>
      </c>
      <c r="B564" t="inlineStr">
        <is>
          <t>74636e24f01da9268b0ed88dacd8513e</t>
        </is>
      </c>
      <c r="C564" t="inlineStr">
        <is>
          <t>56bf83c4bb35763a51c2baab501b4c67</t>
        </is>
      </c>
      <c r="D564" t="inlineStr">
        <is>
          <t>9ae085775a198122c5586fa830ff7f2b</t>
        </is>
      </c>
      <c r="E564" s="30" t="n">
        <v>43159.68052083333</v>
      </c>
      <c r="F564" t="inlineStr">
        <is>
          <t>toys</t>
        </is>
      </c>
      <c r="G564" t="inlineStr">
        <is>
          <t>online_medium</t>
        </is>
      </c>
      <c r="H564" t="inlineStr">
        <is>
          <t>cat</t>
        </is>
      </c>
      <c r="L564" t="inlineStr">
        <is>
          <t>reseller</t>
        </is>
      </c>
      <c r="N564" t="n">
        <v>0</v>
      </c>
    </row>
    <row r="565">
      <c r="A565" t="inlineStr">
        <is>
          <t>75743dbfcf177f2885a59b460017feee</t>
        </is>
      </c>
      <c r="B565" t="inlineStr">
        <is>
          <t>2039c5e51785b5dde7cf93ccb3b7be2c</t>
        </is>
      </c>
      <c r="C565" t="inlineStr">
        <is>
          <t>4b339f9567d060bcea4f5136b9f5949e</t>
        </is>
      </c>
      <c r="D565" t="inlineStr">
        <is>
          <t>2695de1affa7750089c0455f8ce27021</t>
        </is>
      </c>
      <c r="E565" s="30" t="n">
        <v>43265.65539351852</v>
      </c>
      <c r="F565" t="inlineStr">
        <is>
          <t>audio_video_electronics</t>
        </is>
      </c>
      <c r="G565" t="inlineStr">
        <is>
          <t>online_beginner</t>
        </is>
      </c>
      <c r="H565" t="inlineStr">
        <is>
          <t>wolf</t>
        </is>
      </c>
      <c r="L565" t="inlineStr">
        <is>
          <t>reseller</t>
        </is>
      </c>
      <c r="N565" t="n">
        <v>0</v>
      </c>
    </row>
    <row r="566">
      <c r="A566" t="inlineStr">
        <is>
          <t>418f995ca45e4394daa4447bd637ec4d</t>
        </is>
      </c>
      <c r="B566" t="inlineStr">
        <is>
          <t>bb94878eed7bad1bdd88e19f6c322f8e</t>
        </is>
      </c>
      <c r="C566" t="inlineStr">
        <is>
          <t>370c9f455f93a9a96cbe9bea48e70033</t>
        </is>
      </c>
      <c r="D566" t="inlineStr">
        <is>
          <t>4ef15afb4b2723d8f3d81e51ec7afefe</t>
        </is>
      </c>
      <c r="E566" s="30" t="n">
        <v>43203.7587037037</v>
      </c>
      <c r="F566" t="inlineStr">
        <is>
          <t>audio_video_electronics</t>
        </is>
      </c>
      <c r="G566" t="inlineStr">
        <is>
          <t>online_medium</t>
        </is>
      </c>
      <c r="H566" t="inlineStr">
        <is>
          <t>eagle</t>
        </is>
      </c>
      <c r="L566" t="inlineStr">
        <is>
          <t>reseller</t>
        </is>
      </c>
      <c r="N566" t="n">
        <v>0</v>
      </c>
    </row>
    <row r="567">
      <c r="A567" t="inlineStr">
        <is>
          <t>37ff30ea1566d0236fbe68c74def55bd</t>
        </is>
      </c>
      <c r="B567" t="inlineStr">
        <is>
          <t>9ac4f14370b1e24ddc58be041b7f99df</t>
        </is>
      </c>
      <c r="C567" t="inlineStr">
        <is>
          <t>56bf83c4bb35763a51c2baab501b4c67</t>
        </is>
      </c>
      <c r="D567" t="inlineStr">
        <is>
          <t>4ef15afb4b2723d8f3d81e51ec7afefe</t>
        </is>
      </c>
      <c r="E567" s="30" t="n">
        <v>43131.69506944445</v>
      </c>
      <c r="F567" t="inlineStr">
        <is>
          <t>bags_backpacks</t>
        </is>
      </c>
      <c r="G567" t="inlineStr">
        <is>
          <t>online_medium</t>
        </is>
      </c>
      <c r="L567" t="inlineStr">
        <is>
          <t>manufacturer</t>
        </is>
      </c>
      <c r="N567" t="n">
        <v>0</v>
      </c>
    </row>
    <row r="568">
      <c r="A568" t="inlineStr">
        <is>
          <t>803fce03a8d1123afbbdbbbad0c4377d</t>
        </is>
      </c>
      <c r="B568" t="inlineStr">
        <is>
          <t>fe53fc6949a462475c07fcb57ead57ce</t>
        </is>
      </c>
      <c r="C568" t="inlineStr">
        <is>
          <t>9e4d1098a3b0f5da39b0bc48f9876645</t>
        </is>
      </c>
      <c r="D568" t="inlineStr">
        <is>
          <t>9ae085775a198122c5586fa830ff7f2b</t>
        </is>
      </c>
      <c r="E568" s="30" t="n">
        <v>43168.83744212963</v>
      </c>
      <c r="F568" t="inlineStr">
        <is>
          <t>home_decor</t>
        </is>
      </c>
      <c r="G568" t="inlineStr">
        <is>
          <t>offline</t>
        </is>
      </c>
      <c r="H568" t="inlineStr">
        <is>
          <t>shark</t>
        </is>
      </c>
      <c r="L568" t="inlineStr">
        <is>
          <t>manufacturer</t>
        </is>
      </c>
      <c r="N568" t="n">
        <v>0</v>
      </c>
    </row>
    <row r="569">
      <c r="A569" t="inlineStr">
        <is>
          <t>9bde09f29256de88f4897345646c850c</t>
        </is>
      </c>
      <c r="B569" t="inlineStr">
        <is>
          <t>a11a0e0ca67423425691db355cff69b0</t>
        </is>
      </c>
      <c r="C569" t="inlineStr">
        <is>
          <t>b90f87164b5f8c2cfa5c8572834dbe3f</t>
        </is>
      </c>
      <c r="D569" t="inlineStr">
        <is>
          <t>d3d1e91a157ea7f90548eef82f1955e3</t>
        </is>
      </c>
      <c r="E569" s="30" t="n">
        <v>43224.125</v>
      </c>
      <c r="F569" t="inlineStr">
        <is>
          <t>car_accessories</t>
        </is>
      </c>
      <c r="G569" t="inlineStr">
        <is>
          <t>online_medium</t>
        </is>
      </c>
      <c r="H569" t="inlineStr">
        <is>
          <t>cat</t>
        </is>
      </c>
      <c r="L569" t="inlineStr">
        <is>
          <t>manufacturer</t>
        </is>
      </c>
      <c r="N569" t="n">
        <v>0</v>
      </c>
    </row>
    <row r="570">
      <c r="A570" t="inlineStr">
        <is>
          <t>1d656ca6611216968c7c89914031e043</t>
        </is>
      </c>
      <c r="B570" t="inlineStr">
        <is>
          <t>89757206b887aed36f3e18d858460fea</t>
        </is>
      </c>
      <c r="C570" t="inlineStr">
        <is>
          <t>4b339f9567d060bcea4f5136b9f5949e</t>
        </is>
      </c>
      <c r="D570" t="inlineStr">
        <is>
          <t>c638112b43f1d1b86dcabb0da720c901</t>
        </is>
      </c>
      <c r="E570" s="30" t="n">
        <v>43158.87018518519</v>
      </c>
      <c r="F570" t="inlineStr">
        <is>
          <t>bags_backpacks</t>
        </is>
      </c>
      <c r="G570" t="inlineStr">
        <is>
          <t>online_medium</t>
        </is>
      </c>
      <c r="H570" t="inlineStr">
        <is>
          <t>wolf</t>
        </is>
      </c>
      <c r="L570" t="inlineStr">
        <is>
          <t>reseller</t>
        </is>
      </c>
      <c r="N570" t="n">
        <v>0</v>
      </c>
    </row>
    <row r="571">
      <c r="A571" t="inlineStr">
        <is>
          <t>abcbe3ee8523b90b416337f0abd94a53</t>
        </is>
      </c>
      <c r="B571" t="inlineStr">
        <is>
          <t>6bd503a8230299c9316fb0f726933927</t>
        </is>
      </c>
      <c r="C571" t="inlineStr">
        <is>
          <t>09285259593c61296eef10c734121d5b</t>
        </is>
      </c>
      <c r="D571" t="inlineStr">
        <is>
          <t>068066e24f0c643eb1d089c7dd20cd73</t>
        </is>
      </c>
      <c r="E571" s="30" t="n">
        <v>43241.88982638889</v>
      </c>
      <c r="F571" t="inlineStr">
        <is>
          <t>health_beauty</t>
        </is>
      </c>
      <c r="G571" t="inlineStr">
        <is>
          <t>online_big</t>
        </is>
      </c>
      <c r="H571" t="inlineStr">
        <is>
          <t>wolf</t>
        </is>
      </c>
      <c r="L571" t="inlineStr">
        <is>
          <t>reseller</t>
        </is>
      </c>
      <c r="N571" t="n">
        <v>0</v>
      </c>
    </row>
    <row r="572">
      <c r="A572" t="inlineStr">
        <is>
          <t>746ac26956df2d6be2b2c66c26b62fda</t>
        </is>
      </c>
      <c r="B572" t="inlineStr">
        <is>
          <t>3903c788ded8dc03b5ebab37a2f3e9a1</t>
        </is>
      </c>
      <c r="C572" t="inlineStr">
        <is>
          <t>09285259593c61296eef10c734121d5b</t>
        </is>
      </c>
      <c r="D572" t="inlineStr">
        <is>
          <t>d3d1e91a157ea7f90548eef82f1955e3</t>
        </is>
      </c>
      <c r="E572" s="30" t="n">
        <v>43199.5184837963</v>
      </c>
      <c r="F572" t="inlineStr">
        <is>
          <t>household_utilities</t>
        </is>
      </c>
      <c r="G572" t="inlineStr">
        <is>
          <t>online_big</t>
        </is>
      </c>
      <c r="H572" t="inlineStr">
        <is>
          <t>wolf</t>
        </is>
      </c>
      <c r="L572" t="inlineStr">
        <is>
          <t>reseller</t>
        </is>
      </c>
      <c r="N572" t="n">
        <v>0</v>
      </c>
    </row>
    <row r="573">
      <c r="A573" t="inlineStr">
        <is>
          <t>7f6401a2da5927d2c2fe3b6b946a9f37</t>
        </is>
      </c>
      <c r="B573" t="inlineStr">
        <is>
          <t>837db36e3b34fffca8725343601a74a7</t>
        </is>
      </c>
      <c r="C573" t="inlineStr">
        <is>
          <t>09285259593c61296eef10c734121d5b</t>
        </is>
      </c>
      <c r="D573" t="inlineStr">
        <is>
          <t>85fc447d336637ba1df43e793199fbc8</t>
        </is>
      </c>
      <c r="E573" s="30" t="n">
        <v>43293.83100694444</v>
      </c>
      <c r="F573" t="inlineStr">
        <is>
          <t>food_drink</t>
        </is>
      </c>
      <c r="G573" t="inlineStr">
        <is>
          <t>industry</t>
        </is>
      </c>
      <c r="H573" t="inlineStr">
        <is>
          <t>wolf</t>
        </is>
      </c>
      <c r="L573" t="inlineStr">
        <is>
          <t>manufacturer</t>
        </is>
      </c>
      <c r="N573" t="n">
        <v>0</v>
      </c>
    </row>
    <row r="574">
      <c r="A574" t="inlineStr">
        <is>
          <t>51d81424aa2d36bf4248ae8a4a3cc885</t>
        </is>
      </c>
      <c r="B574" t="inlineStr">
        <is>
          <t>62b967c1884c0e9ca8b9dba64be0b136</t>
        </is>
      </c>
      <c r="C574" t="inlineStr">
        <is>
          <t>323cff2ceea1814239bc2c7e614d260d</t>
        </is>
      </c>
      <c r="D574" t="inlineStr">
        <is>
          <t>4b339f9567d060bcea4f5136b9f5949e</t>
        </is>
      </c>
      <c r="E574" s="30" t="n">
        <v>43312.56197916667</v>
      </c>
      <c r="F574" t="inlineStr">
        <is>
          <t>audio_video_electronics</t>
        </is>
      </c>
      <c r="G574" t="inlineStr">
        <is>
          <t>online_medium</t>
        </is>
      </c>
      <c r="H574" t="inlineStr">
        <is>
          <t>cat</t>
        </is>
      </c>
      <c r="I574" t="b">
        <v>1</v>
      </c>
      <c r="J574" t="b">
        <v>1</v>
      </c>
      <c r="K574" t="inlineStr">
        <is>
          <t>50-200</t>
        </is>
      </c>
      <c r="L574" t="inlineStr">
        <is>
          <t>reseller</t>
        </is>
      </c>
      <c r="N574" t="n">
        <v>0</v>
      </c>
    </row>
    <row r="575">
      <c r="A575" t="inlineStr">
        <is>
          <t>51b030d05fdce1d571c4f55eed93d323</t>
        </is>
      </c>
      <c r="B575" t="inlineStr">
        <is>
          <t>e58a75d874cd483e80fb3ba9aa35db51</t>
        </is>
      </c>
      <c r="C575" t="inlineStr">
        <is>
          <t>56bf83c4bb35763a51c2baab501b4c67</t>
        </is>
      </c>
      <c r="D575" t="inlineStr">
        <is>
          <t>495d4e95a8cf8bbf8b432b612a2aa328</t>
        </is>
      </c>
      <c r="E575" s="30" t="n">
        <v>43083.47931712963</v>
      </c>
      <c r="F575" t="inlineStr">
        <is>
          <t>health_beauty</t>
        </is>
      </c>
      <c r="G575" t="inlineStr">
        <is>
          <t>online_small</t>
        </is>
      </c>
      <c r="L575" t="inlineStr">
        <is>
          <t>manufacturer</t>
        </is>
      </c>
      <c r="N575" t="n">
        <v>0</v>
      </c>
    </row>
    <row r="576">
      <c r="A576" t="inlineStr">
        <is>
          <t>62a081b993506561f522af260073cb18</t>
        </is>
      </c>
      <c r="B576" t="inlineStr">
        <is>
          <t>094ced053e257ae8cae57205592d6712</t>
        </is>
      </c>
      <c r="C576" t="inlineStr">
        <is>
          <t>9e4d1098a3b0f5da39b0bc48f9876645</t>
        </is>
      </c>
      <c r="D576" t="inlineStr">
        <is>
          <t>4ef15afb4b2723d8f3d81e51ec7afefe</t>
        </is>
      </c>
      <c r="E576" s="30" t="n">
        <v>43172.52303240741</v>
      </c>
      <c r="F576" t="inlineStr">
        <is>
          <t>health_beauty</t>
        </is>
      </c>
      <c r="G576" t="inlineStr">
        <is>
          <t>online_medium</t>
        </is>
      </c>
      <c r="H576" t="inlineStr">
        <is>
          <t>cat</t>
        </is>
      </c>
      <c r="L576" t="inlineStr">
        <is>
          <t>reseller</t>
        </is>
      </c>
      <c r="N576" t="n">
        <v>0</v>
      </c>
    </row>
    <row r="577">
      <c r="A577" t="inlineStr">
        <is>
          <t>df2782c019d0d66a88af774011e8ab29</t>
        </is>
      </c>
      <c r="B577" t="inlineStr">
        <is>
          <t>2bee35533016f9992645dd6df0eca7e4</t>
        </is>
      </c>
      <c r="C577" t="inlineStr">
        <is>
          <t>f6c6ab65a1c732f154b371401448be6d</t>
        </is>
      </c>
      <c r="D577" t="inlineStr">
        <is>
          <t>fbf4aef3f6915dc0c3c97d6812522f6a</t>
        </is>
      </c>
      <c r="E577" s="30" t="n">
        <v>43195.55418981481</v>
      </c>
      <c r="F577" t="inlineStr">
        <is>
          <t>home_decor</t>
        </is>
      </c>
      <c r="G577" t="inlineStr">
        <is>
          <t>online_medium</t>
        </is>
      </c>
      <c r="L577" t="inlineStr">
        <is>
          <t>manufacturer</t>
        </is>
      </c>
      <c r="N577" t="n">
        <v>0</v>
      </c>
    </row>
    <row r="578">
      <c r="A578" t="inlineStr">
        <is>
          <t>bc419ad99b06b6b3e155039d714e2061</t>
        </is>
      </c>
      <c r="B578" t="inlineStr">
        <is>
          <t>54583ab379489add547fe47b628db589</t>
        </is>
      </c>
      <c r="C578" t="inlineStr">
        <is>
          <t>4b339f9567d060bcea4f5136b9f5949e</t>
        </is>
      </c>
      <c r="D578" t="inlineStr">
        <is>
          <t>4ef15afb4b2723d8f3d81e51ec7afefe</t>
        </is>
      </c>
      <c r="E578" s="30" t="n">
        <v>43250.6718287037</v>
      </c>
      <c r="F578" t="inlineStr">
        <is>
          <t>baby</t>
        </is>
      </c>
      <c r="G578" t="inlineStr">
        <is>
          <t>online_medium</t>
        </is>
      </c>
      <c r="H578" t="inlineStr">
        <is>
          <t>cat</t>
        </is>
      </c>
      <c r="L578" t="inlineStr">
        <is>
          <t>reseller</t>
        </is>
      </c>
      <c r="N578" t="n">
        <v>0</v>
      </c>
    </row>
    <row r="579">
      <c r="A579" t="inlineStr">
        <is>
          <t>92ad56ab29e347d1779a07879d38c67a</t>
        </is>
      </c>
      <c r="B579" t="inlineStr">
        <is>
          <t>c846aef46d0aa00378cc6c24fd7fb474</t>
        </is>
      </c>
      <c r="C579" t="inlineStr">
        <is>
          <t>9d12ef1a7eca3ec58c545c678af7869c</t>
        </is>
      </c>
      <c r="D579" t="inlineStr">
        <is>
          <t>85fc447d336637ba1df43e793199fbc8</t>
        </is>
      </c>
      <c r="E579" s="30" t="n">
        <v>43213.6784375</v>
      </c>
      <c r="F579" t="inlineStr">
        <is>
          <t>household_utilities</t>
        </is>
      </c>
      <c r="G579" t="inlineStr">
        <is>
          <t>industry</t>
        </is>
      </c>
      <c r="H579" t="inlineStr">
        <is>
          <t>cat</t>
        </is>
      </c>
      <c r="L579" t="inlineStr">
        <is>
          <t>manufacturer</t>
        </is>
      </c>
      <c r="N579" t="n">
        <v>0</v>
      </c>
    </row>
    <row r="580">
      <c r="A580" t="inlineStr">
        <is>
          <t>c92c413cead7d8b67a89850ba352e1d1</t>
        </is>
      </c>
      <c r="B580" t="inlineStr">
        <is>
          <t>c092292535a57dacd95a8765f5518f87</t>
        </is>
      </c>
      <c r="C580" t="inlineStr">
        <is>
          <t>9e4d1098a3b0f5da39b0bc48f9876645</t>
        </is>
      </c>
      <c r="D580" t="inlineStr">
        <is>
          <t>6565aa9ce3178a5caf6171827af3a9ba</t>
        </is>
      </c>
      <c r="E580" s="30" t="n">
        <v>43185.67189814815</v>
      </c>
      <c r="F580" t="inlineStr">
        <is>
          <t>construction_tools_house_garden</t>
        </is>
      </c>
      <c r="G580" t="inlineStr">
        <is>
          <t>online_medium</t>
        </is>
      </c>
      <c r="H580" t="inlineStr">
        <is>
          <t>cat</t>
        </is>
      </c>
      <c r="L580" t="inlineStr">
        <is>
          <t>reseller</t>
        </is>
      </c>
      <c r="N580" t="n">
        <v>0</v>
      </c>
    </row>
    <row r="581">
      <c r="A581" t="inlineStr">
        <is>
          <t>00dc5000951c268cc8655294daf67b1b</t>
        </is>
      </c>
      <c r="B581" t="inlineStr">
        <is>
          <t>00065220becb8785e2cf78355eb9bf68</t>
        </is>
      </c>
      <c r="C581" t="inlineStr">
        <is>
          <t>9d12ef1a7eca3ec58c545c678af7869c</t>
        </is>
      </c>
      <c r="D581" t="inlineStr">
        <is>
          <t>de63de0d10a6012430098db33c679b0b</t>
        </is>
      </c>
      <c r="E581" s="30" t="n">
        <v>43291.48252314814</v>
      </c>
      <c r="F581" t="inlineStr">
        <is>
          <t>handcrafted</t>
        </is>
      </c>
      <c r="G581" t="inlineStr">
        <is>
          <t>online_medium</t>
        </is>
      </c>
      <c r="H581" t="inlineStr">
        <is>
          <t>cat</t>
        </is>
      </c>
      <c r="I581" t="b">
        <v>0</v>
      </c>
      <c r="J581" t="b">
        <v>0</v>
      </c>
      <c r="K581" t="inlineStr">
        <is>
          <t>20-50</t>
        </is>
      </c>
      <c r="L581" t="inlineStr">
        <is>
          <t>reseller</t>
        </is>
      </c>
      <c r="N581" t="n">
        <v>0</v>
      </c>
    </row>
    <row r="582">
      <c r="A582" t="inlineStr">
        <is>
          <t>7b6ad2297d3beb569ddf3ee1ce22ffa8</t>
        </is>
      </c>
      <c r="B582" t="inlineStr">
        <is>
          <t>c70c1b0d8ca86052f45a432a38b73958</t>
        </is>
      </c>
      <c r="C582" t="inlineStr">
        <is>
          <t>9e4d1098a3b0f5da39b0bc48f9876645</t>
        </is>
      </c>
      <c r="D582" t="inlineStr">
        <is>
          <t>060c0a26f19f4d66b42e0d8796688490</t>
        </is>
      </c>
      <c r="E582" s="30" t="n">
        <v>43172.90247685185</v>
      </c>
      <c r="F582" t="inlineStr">
        <is>
          <t>health_beauty</t>
        </is>
      </c>
      <c r="G582" t="inlineStr">
        <is>
          <t>online_medium</t>
        </is>
      </c>
      <c r="H582" t="inlineStr">
        <is>
          <t>shark</t>
        </is>
      </c>
      <c r="L582" t="inlineStr">
        <is>
          <t>reseller</t>
        </is>
      </c>
      <c r="N582" t="n">
        <v>0</v>
      </c>
    </row>
    <row r="583">
      <c r="A583" t="inlineStr">
        <is>
          <t>07e3b175a6c00f310d4e7e4b17df1304</t>
        </is>
      </c>
      <c r="B583" t="inlineStr">
        <is>
          <t>8ec9a02e1c573e5ebf9133968d9b0042</t>
        </is>
      </c>
      <c r="C583" t="inlineStr">
        <is>
          <t>9e4d1098a3b0f5da39b0bc48f9876645</t>
        </is>
      </c>
      <c r="D583" t="inlineStr">
        <is>
          <t>495d4e95a8cf8bbf8b432b612a2aa328</t>
        </is>
      </c>
      <c r="E583" s="30" t="n">
        <v>43159.89181712963</v>
      </c>
      <c r="F583" t="inlineStr">
        <is>
          <t>home_office_furniture</t>
        </is>
      </c>
      <c r="G583" t="inlineStr">
        <is>
          <t>industry</t>
        </is>
      </c>
      <c r="H583" t="inlineStr">
        <is>
          <t>cat</t>
        </is>
      </c>
      <c r="L583" t="inlineStr">
        <is>
          <t>manufacturer</t>
        </is>
      </c>
      <c r="N583" t="n">
        <v>0</v>
      </c>
    </row>
    <row r="584">
      <c r="A584" t="inlineStr">
        <is>
          <t>64c6e872abc90f8a480908b92521e25a</t>
        </is>
      </c>
      <c r="B584" t="inlineStr">
        <is>
          <t>a53f60f05f822b5c621a50ff6a5cb362</t>
        </is>
      </c>
      <c r="C584" t="inlineStr">
        <is>
          <t>4b339f9567d060bcea4f5136b9f5949e</t>
        </is>
      </c>
      <c r="D584" t="inlineStr">
        <is>
          <t>85fc447d336637ba1df43e793199fbc8</t>
        </is>
      </c>
      <c r="E584" s="30" t="n">
        <v>43194.78702546296</v>
      </c>
      <c r="F584" t="inlineStr">
        <is>
          <t>home_decor</t>
        </is>
      </c>
      <c r="G584" t="inlineStr">
        <is>
          <t>online_big</t>
        </is>
      </c>
      <c r="H584" t="inlineStr">
        <is>
          <t>wolf</t>
        </is>
      </c>
      <c r="L584" t="inlineStr">
        <is>
          <t>manufacturer</t>
        </is>
      </c>
      <c r="N584" t="n">
        <v>0</v>
      </c>
    </row>
    <row r="585">
      <c r="A585" t="inlineStr">
        <is>
          <t>d75057842b733134576d690d1d9509a2</t>
        </is>
      </c>
      <c r="B585" t="inlineStr">
        <is>
          <t>a86bf7a9ba609d0527f10ea8f0a5446c</t>
        </is>
      </c>
      <c r="C585" t="inlineStr">
        <is>
          <t>f42a2bd194f7802ab052a815c8de65b7</t>
        </is>
      </c>
      <c r="D585" t="inlineStr">
        <is>
          <t>6565aa9ce3178a5caf6171827af3a9ba</t>
        </is>
      </c>
      <c r="E585" s="30" t="n">
        <v>43228.84318287037</v>
      </c>
      <c r="F585" t="inlineStr">
        <is>
          <t>sports_leisure</t>
        </is>
      </c>
      <c r="G585" t="inlineStr">
        <is>
          <t>offline</t>
        </is>
      </c>
      <c r="H585" t="inlineStr">
        <is>
          <t>eagle</t>
        </is>
      </c>
      <c r="L585" t="inlineStr">
        <is>
          <t>manufacturer</t>
        </is>
      </c>
      <c r="N585" t="n">
        <v>0</v>
      </c>
    </row>
    <row r="586">
      <c r="A586" t="inlineStr">
        <is>
          <t>89599d85cfa823d8886146af161ea5b3</t>
        </is>
      </c>
      <c r="B586" t="inlineStr">
        <is>
          <t>88ef59b51bdaa941d10a853429f2b6ce</t>
        </is>
      </c>
      <c r="C586" t="inlineStr">
        <is>
          <t>9d12ef1a7eca3ec58c545c678af7869c</t>
        </is>
      </c>
      <c r="D586" t="inlineStr">
        <is>
          <t>fbf4aef3f6915dc0c3c97d6812522f6a</t>
        </is>
      </c>
      <c r="E586" s="30" t="n">
        <v>43208.83744212963</v>
      </c>
      <c r="F586" t="inlineStr">
        <is>
          <t>audio_video_electronics</t>
        </is>
      </c>
      <c r="G586" t="inlineStr">
        <is>
          <t>online_medium</t>
        </is>
      </c>
      <c r="H586" t="inlineStr">
        <is>
          <t>cat</t>
        </is>
      </c>
      <c r="L586" t="inlineStr">
        <is>
          <t>reseller</t>
        </is>
      </c>
      <c r="N586" t="n">
        <v>0</v>
      </c>
    </row>
    <row r="587">
      <c r="A587" t="inlineStr">
        <is>
          <t>d6f0ffd9dd59848ed1b74ad799489755</t>
        </is>
      </c>
      <c r="B587" t="inlineStr">
        <is>
          <t>7d81e74a4755b552267cd5e081563028</t>
        </is>
      </c>
      <c r="C587" t="inlineStr">
        <is>
          <t>a8387c01a09e99ce014107505b92388c</t>
        </is>
      </c>
      <c r="D587" t="inlineStr">
        <is>
          <t>a8387c01a09e99ce014107505b92388c</t>
        </is>
      </c>
      <c r="E587" s="30" t="n">
        <v>43234.51806712963</v>
      </c>
      <c r="F587" t="inlineStr">
        <is>
          <t>construction_tools_house_garden</t>
        </is>
      </c>
      <c r="G587" t="inlineStr">
        <is>
          <t>industry</t>
        </is>
      </c>
      <c r="H587" t="inlineStr">
        <is>
          <t>cat</t>
        </is>
      </c>
      <c r="L587" t="inlineStr">
        <is>
          <t>manufacturer</t>
        </is>
      </c>
      <c r="N587" t="n">
        <v>0</v>
      </c>
    </row>
    <row r="588">
      <c r="A588" t="inlineStr">
        <is>
          <t>9af787c1e7409f0866ade669dba8f697</t>
        </is>
      </c>
      <c r="B588" t="inlineStr">
        <is>
          <t>9b1f656ca3060f8af17a50d8a024b533</t>
        </is>
      </c>
      <c r="C588" t="inlineStr">
        <is>
          <t>370c9f455f93a9a96cbe9bea48e70033</t>
        </is>
      </c>
      <c r="D588" t="inlineStr">
        <is>
          <t>a8387c01a09e99ce014107505b92388c</t>
        </is>
      </c>
      <c r="E588" s="30" t="n">
        <v>43235.85701388889</v>
      </c>
      <c r="F588" t="inlineStr">
        <is>
          <t>construction_tools_house_garden</t>
        </is>
      </c>
      <c r="G588" t="inlineStr">
        <is>
          <t>online_medium</t>
        </is>
      </c>
      <c r="H588" t="inlineStr">
        <is>
          <t>eagle</t>
        </is>
      </c>
      <c r="L588" t="inlineStr">
        <is>
          <t>reseller</t>
        </is>
      </c>
      <c r="N588" t="n">
        <v>0</v>
      </c>
    </row>
    <row r="589">
      <c r="A589" t="inlineStr">
        <is>
          <t>6e668e75a724c96385d31729d5f7759b</t>
        </is>
      </c>
      <c r="B589" t="inlineStr">
        <is>
          <t>f50d9d5fa45cba8c1a6b643987810c34</t>
        </is>
      </c>
      <c r="C589" t="inlineStr">
        <is>
          <t>b34f6eba10f46bf9a657a01c108a8284</t>
        </is>
      </c>
      <c r="D589" t="inlineStr">
        <is>
          <t>85fc447d336637ba1df43e793199fbc8</t>
        </is>
      </c>
      <c r="E589" s="30" t="n">
        <v>43336.49592592593</v>
      </c>
      <c r="F589" t="inlineStr">
        <is>
          <t>construction_tools_house_garden</t>
        </is>
      </c>
      <c r="G589" t="inlineStr">
        <is>
          <t>online_big</t>
        </is>
      </c>
      <c r="H589" t="inlineStr">
        <is>
          <t>cat</t>
        </is>
      </c>
      <c r="I589" t="b">
        <v>1</v>
      </c>
      <c r="J589" t="b">
        <v>1</v>
      </c>
      <c r="K589" t="inlineStr">
        <is>
          <t>50-200</t>
        </is>
      </c>
      <c r="L589" t="inlineStr">
        <is>
          <t>reseller</t>
        </is>
      </c>
      <c r="M589" t="n">
        <v>300</v>
      </c>
      <c r="N589" t="n">
        <v>0</v>
      </c>
    </row>
    <row r="590">
      <c r="A590" t="inlineStr">
        <is>
          <t>d5f8ca8f1c429e41c73b370ad2fb45a1</t>
        </is>
      </c>
      <c r="B590" t="inlineStr">
        <is>
          <t>f3c747c1913de1af068d8feb79900063</t>
        </is>
      </c>
      <c r="C590" t="inlineStr">
        <is>
          <t>09285259593c61296eef10c734121d5b</t>
        </is>
      </c>
      <c r="D590" t="inlineStr">
        <is>
          <t>fbf4aef3f6915dc0c3c97d6812522f6a</t>
        </is>
      </c>
      <c r="E590" s="30" t="n">
        <v>43196.68582175926</v>
      </c>
      <c r="F590" t="inlineStr">
        <is>
          <t>religious</t>
        </is>
      </c>
      <c r="G590" t="inlineStr">
        <is>
          <t>online_small</t>
        </is>
      </c>
      <c r="H590" t="inlineStr">
        <is>
          <t>cat</t>
        </is>
      </c>
      <c r="L590" t="inlineStr">
        <is>
          <t>manufacturer</t>
        </is>
      </c>
      <c r="N590" t="n">
        <v>0</v>
      </c>
    </row>
    <row r="591">
      <c r="A591" t="inlineStr">
        <is>
          <t>30c1778642a506dbd803a0fa5ece533e</t>
        </is>
      </c>
      <c r="B591" t="inlineStr">
        <is>
          <t>157497483bb7876340ea4441c9bd1774</t>
        </is>
      </c>
      <c r="C591" t="inlineStr">
        <is>
          <t>f42a2bd194f7802ab052a815c8de65b7</t>
        </is>
      </c>
      <c r="D591" t="inlineStr">
        <is>
          <t>495d4e95a8cf8bbf8b432b612a2aa328</t>
        </is>
      </c>
      <c r="E591" s="30" t="n">
        <v>43332.7437037037</v>
      </c>
      <c r="F591" t="inlineStr">
        <is>
          <t>pet</t>
        </is>
      </c>
      <c r="G591" t="inlineStr">
        <is>
          <t>industry</t>
        </is>
      </c>
      <c r="H591" t="inlineStr">
        <is>
          <t>wolf</t>
        </is>
      </c>
      <c r="K591" t="inlineStr">
        <is>
          <t>50-200</t>
        </is>
      </c>
      <c r="L591" t="inlineStr">
        <is>
          <t>reseller</t>
        </is>
      </c>
      <c r="M591" t="n">
        <v>50</v>
      </c>
      <c r="N591" t="n">
        <v>300000</v>
      </c>
    </row>
    <row r="592">
      <c r="A592" t="inlineStr">
        <is>
          <t>95f2351eb791917e3e1cee823cf25969</t>
        </is>
      </c>
      <c r="B592" t="inlineStr">
        <is>
          <t>b031973a2fadbc89767531a45ca39e40</t>
        </is>
      </c>
      <c r="C592" t="inlineStr">
        <is>
          <t>09285259593c61296eef10c734121d5b</t>
        </is>
      </c>
      <c r="D592" t="inlineStr">
        <is>
          <t>2695de1affa7750089c0455f8ce27021</t>
        </is>
      </c>
      <c r="E592" s="30" t="n">
        <v>43217.67890046296</v>
      </c>
      <c r="F592" t="inlineStr">
        <is>
          <t>health_beauty</t>
        </is>
      </c>
      <c r="G592" t="inlineStr">
        <is>
          <t>offline</t>
        </is>
      </c>
      <c r="H592" t="inlineStr">
        <is>
          <t>cat</t>
        </is>
      </c>
      <c r="L592" t="inlineStr">
        <is>
          <t>reseller</t>
        </is>
      </c>
      <c r="N592" t="n">
        <v>0</v>
      </c>
    </row>
    <row r="593">
      <c r="A593" t="inlineStr">
        <is>
          <t>4388a23da67b154b780b78dd7ea4636e</t>
        </is>
      </c>
      <c r="B593" t="inlineStr">
        <is>
          <t>0255dc67cb6bad298606136951ab1877</t>
        </is>
      </c>
      <c r="C593" t="inlineStr">
        <is>
          <t>4b339f9567d060bcea4f5136b9f5949e</t>
        </is>
      </c>
      <c r="D593" t="inlineStr">
        <is>
          <t>6565aa9ce3178a5caf6171827af3a9ba</t>
        </is>
      </c>
      <c r="E593" s="30" t="n">
        <v>43165.7840625</v>
      </c>
      <c r="F593" t="inlineStr">
        <is>
          <t>computers</t>
        </is>
      </c>
      <c r="G593" t="inlineStr">
        <is>
          <t>online_medium</t>
        </is>
      </c>
      <c r="H593" t="inlineStr">
        <is>
          <t>wolf</t>
        </is>
      </c>
      <c r="L593" t="inlineStr">
        <is>
          <t>reseller</t>
        </is>
      </c>
      <c r="N593" t="n">
        <v>0</v>
      </c>
    </row>
    <row r="594">
      <c r="A594" t="inlineStr">
        <is>
          <t>c262b62c257bb4e97a9618c9bf4bacf5</t>
        </is>
      </c>
      <c r="B594" t="inlineStr">
        <is>
          <t>a2d528e2abdf88afe0d245519b3b3d65</t>
        </is>
      </c>
      <c r="C594" t="inlineStr">
        <is>
          <t>370c9f455f93a9a96cbe9bea48e70033</t>
        </is>
      </c>
      <c r="D594" t="inlineStr">
        <is>
          <t>de63de0d10a6012430098db33c679b0b</t>
        </is>
      </c>
      <c r="E594" s="30" t="n">
        <v>43220.125</v>
      </c>
      <c r="F594" t="inlineStr">
        <is>
          <t>car_accessories</t>
        </is>
      </c>
      <c r="G594" t="inlineStr">
        <is>
          <t>industry</t>
        </is>
      </c>
      <c r="H594" t="inlineStr">
        <is>
          <t>eagle</t>
        </is>
      </c>
      <c r="L594" t="inlineStr">
        <is>
          <t>manufacturer</t>
        </is>
      </c>
      <c r="N594" t="n">
        <v>0</v>
      </c>
    </row>
    <row r="595">
      <c r="A595" t="inlineStr">
        <is>
          <t>bd47dc58209bc820d555f935bf055e40</t>
        </is>
      </c>
      <c r="B595" t="inlineStr">
        <is>
          <t>77a515caa36327151d1cc6c32a9f00e1</t>
        </is>
      </c>
      <c r="C595" t="inlineStr">
        <is>
          <t>de63de0d10a6012430098db33c679b0b</t>
        </is>
      </c>
      <c r="D595" t="inlineStr">
        <is>
          <t>4ef15afb4b2723d8f3d81e51ec7afefe</t>
        </is>
      </c>
      <c r="E595" s="30" t="n">
        <v>43146.62403935185</v>
      </c>
      <c r="F595" t="inlineStr">
        <is>
          <t>stationery</t>
        </is>
      </c>
      <c r="G595" t="inlineStr">
        <is>
          <t>industry</t>
        </is>
      </c>
      <c r="H595" t="inlineStr">
        <is>
          <t>cat</t>
        </is>
      </c>
      <c r="L595" t="inlineStr">
        <is>
          <t>manufacturer</t>
        </is>
      </c>
      <c r="N595" t="n">
        <v>0</v>
      </c>
    </row>
    <row r="596">
      <c r="A596" t="inlineStr">
        <is>
          <t>8257329475414b1eaf3dc731440e01a7</t>
        </is>
      </c>
      <c r="B596" t="inlineStr">
        <is>
          <t>ba90964cff9b9e0e6f32b23b82465f7b</t>
        </is>
      </c>
      <c r="C596" t="inlineStr">
        <is>
          <t>56bf83c4bb35763a51c2baab501b4c67</t>
        </is>
      </c>
      <c r="D596" t="inlineStr">
        <is>
          <t>c638112b43f1d1b86dcabb0da720c901</t>
        </is>
      </c>
      <c r="E596" s="30" t="n">
        <v>43140.71594907407</v>
      </c>
      <c r="F596" t="inlineStr">
        <is>
          <t>small_appliances</t>
        </is>
      </c>
      <c r="H596" t="inlineStr">
        <is>
          <t>cat</t>
        </is>
      </c>
      <c r="L596" t="inlineStr">
        <is>
          <t>reseller</t>
        </is>
      </c>
      <c r="N596" t="n">
        <v>0</v>
      </c>
    </row>
    <row r="597">
      <c r="A597" t="inlineStr">
        <is>
          <t>8661d5d36e6ade1beb145e7154f96310</t>
        </is>
      </c>
      <c r="B597" t="inlineStr">
        <is>
          <t>791a644d62fbd7a1fdabda6fc610bf33</t>
        </is>
      </c>
      <c r="C597" t="inlineStr">
        <is>
          <t>4b339f9567d060bcea4f5136b9f5949e</t>
        </is>
      </c>
      <c r="D597" t="inlineStr">
        <is>
          <t>d3d1e91a157ea7f90548eef82f1955e3</t>
        </is>
      </c>
      <c r="E597" s="30" t="n">
        <v>43215.8049537037</v>
      </c>
      <c r="F597" t="inlineStr">
        <is>
          <t>car_accessories</t>
        </is>
      </c>
      <c r="G597" t="inlineStr">
        <is>
          <t>industry</t>
        </is>
      </c>
      <c r="H597" t="inlineStr">
        <is>
          <t>shark</t>
        </is>
      </c>
      <c r="L597" t="inlineStr">
        <is>
          <t>manufacturer</t>
        </is>
      </c>
      <c r="N597" t="n">
        <v>0</v>
      </c>
    </row>
    <row r="598">
      <c r="A598" t="inlineStr">
        <is>
          <t>d0dde222e608c66b65d44776bd8b4092</t>
        </is>
      </c>
      <c r="B598" t="inlineStr">
        <is>
          <t>df1183c2b82ee7ce304ed60ced00949c</t>
        </is>
      </c>
      <c r="C598" t="inlineStr">
        <is>
          <t>4b339f9567d060bcea4f5136b9f5949e</t>
        </is>
      </c>
      <c r="D598" t="inlineStr">
        <is>
          <t>060c0a26f19f4d66b42e0d8796688490</t>
        </is>
      </c>
      <c r="E598" s="30" t="n">
        <v>43203.49782407407</v>
      </c>
      <c r="F598" t="inlineStr">
        <is>
          <t>health_beauty</t>
        </is>
      </c>
      <c r="G598" t="inlineStr">
        <is>
          <t>offline</t>
        </is>
      </c>
      <c r="H598" t="inlineStr">
        <is>
          <t>cat</t>
        </is>
      </c>
      <c r="L598" t="inlineStr">
        <is>
          <t>reseller</t>
        </is>
      </c>
      <c r="N598" t="n">
        <v>0</v>
      </c>
    </row>
    <row r="599">
      <c r="A599" t="inlineStr">
        <is>
          <t>33bedbbf5f4322acc36ecf15bd34cc57</t>
        </is>
      </c>
      <c r="B599" t="inlineStr">
        <is>
          <t>0ffe89723de9b21041556d02e9b21a8b</t>
        </is>
      </c>
      <c r="C599" t="inlineStr">
        <is>
          <t>de63de0d10a6012430098db33c679b0b</t>
        </is>
      </c>
      <c r="D599" t="inlineStr">
        <is>
          <t>d3d1e91a157ea7f90548eef82f1955e3</t>
        </is>
      </c>
      <c r="E599" s="30" t="n">
        <v>43125.62771990741</v>
      </c>
      <c r="F599" t="inlineStr">
        <is>
          <t>home_decor</t>
        </is>
      </c>
      <c r="G599" t="inlineStr">
        <is>
          <t>online_medium</t>
        </is>
      </c>
      <c r="L599" t="inlineStr">
        <is>
          <t>reseller</t>
        </is>
      </c>
      <c r="N599" t="n">
        <v>0</v>
      </c>
    </row>
    <row r="600">
      <c r="A600" t="inlineStr">
        <is>
          <t>5f1a8a8fddbc8a5ff4bf0f111dc69ff4</t>
        </is>
      </c>
      <c r="B600" t="inlineStr">
        <is>
          <t>43402bdf22aa2310e8f99e2f94f78628</t>
        </is>
      </c>
      <c r="C600" t="inlineStr">
        <is>
          <t>a8387c01a09e99ce014107505b92388c</t>
        </is>
      </c>
      <c r="D600" t="inlineStr">
        <is>
          <t>85fc447d336637ba1df43e793199fbc8</t>
        </is>
      </c>
      <c r="E600" s="30" t="n">
        <v>43195.78189814815</v>
      </c>
      <c r="F600" t="inlineStr">
        <is>
          <t>home_office_furniture</t>
        </is>
      </c>
      <c r="G600" t="inlineStr">
        <is>
          <t>industry</t>
        </is>
      </c>
      <c r="H600" t="inlineStr">
        <is>
          <t>cat</t>
        </is>
      </c>
      <c r="L600" t="inlineStr">
        <is>
          <t>manufacturer</t>
        </is>
      </c>
      <c r="N600" t="n">
        <v>0</v>
      </c>
    </row>
    <row r="601">
      <c r="A601" t="inlineStr">
        <is>
          <t>3559ec2c1c4f29266d1c1eb0f1164549</t>
        </is>
      </c>
      <c r="B601" t="inlineStr">
        <is>
          <t>28f10b1c5e5abb9d4857745bede6147c</t>
        </is>
      </c>
      <c r="C601" t="inlineStr">
        <is>
          <t>370c9f455f93a9a96cbe9bea48e70033</t>
        </is>
      </c>
      <c r="D601" t="inlineStr">
        <is>
          <t>85fc447d336637ba1df43e793199fbc8</t>
        </is>
      </c>
      <c r="E601" s="30" t="n">
        <v>43200.5874537037</v>
      </c>
      <c r="F601" t="inlineStr">
        <is>
          <t>audio_video_electronics</t>
        </is>
      </c>
      <c r="G601" t="inlineStr">
        <is>
          <t>online_big</t>
        </is>
      </c>
      <c r="H601" t="inlineStr">
        <is>
          <t>cat</t>
        </is>
      </c>
      <c r="L601" t="inlineStr">
        <is>
          <t>reseller</t>
        </is>
      </c>
      <c r="N601" t="n">
        <v>0</v>
      </c>
    </row>
    <row r="602">
      <c r="A602" t="inlineStr">
        <is>
          <t>efe655d620d2d3d55ab8b2b6c86a945d</t>
        </is>
      </c>
      <c r="B602" t="inlineStr">
        <is>
          <t>414cc02d780baaa13439c37bd89641ef</t>
        </is>
      </c>
      <c r="C602" t="inlineStr">
        <is>
          <t>56bf83c4bb35763a51c2baab501b4c67</t>
        </is>
      </c>
      <c r="D602" t="inlineStr">
        <is>
          <t>c638112b43f1d1b86dcabb0da720c901</t>
        </is>
      </c>
      <c r="E602" s="30" t="n">
        <v>43157.77228009259</v>
      </c>
      <c r="F602" t="inlineStr">
        <is>
          <t>car_accessories</t>
        </is>
      </c>
      <c r="G602" t="inlineStr">
        <is>
          <t>online_medium</t>
        </is>
      </c>
      <c r="H602" t="inlineStr">
        <is>
          <t>cat</t>
        </is>
      </c>
      <c r="L602" t="inlineStr">
        <is>
          <t>reseller</t>
        </is>
      </c>
      <c r="N602" t="n">
        <v>0</v>
      </c>
    </row>
    <row r="603">
      <c r="A603" t="inlineStr">
        <is>
          <t>ddbfc14f2f93b8eeb75d4b11a876b7ba</t>
        </is>
      </c>
      <c r="B603" t="inlineStr">
        <is>
          <t>1961c3e1272bfeceb05d0b78b5bbfdaf</t>
        </is>
      </c>
      <c r="C603" t="inlineStr">
        <is>
          <t>b90f87164b5f8c2cfa5c8572834dbe3f</t>
        </is>
      </c>
      <c r="D603" t="inlineStr">
        <is>
          <t>495d4e95a8cf8bbf8b432b612a2aa328</t>
        </is>
      </c>
      <c r="E603" s="30" t="n">
        <v>43258.59811342593</v>
      </c>
      <c r="F603" t="inlineStr">
        <is>
          <t>games_consoles</t>
        </is>
      </c>
      <c r="G603" t="inlineStr">
        <is>
          <t>online_medium</t>
        </is>
      </c>
      <c r="H603" t="inlineStr">
        <is>
          <t>eagle, cat</t>
        </is>
      </c>
      <c r="L603" t="inlineStr">
        <is>
          <t>reseller</t>
        </is>
      </c>
      <c r="N603" t="n">
        <v>0</v>
      </c>
    </row>
    <row r="604">
      <c r="A604" t="inlineStr">
        <is>
          <t>b6b8870c2b130a562fbe89fb0bb9518a</t>
        </is>
      </c>
      <c r="B604" t="inlineStr">
        <is>
          <t>68175a6b26cdbc4b3a51ed5353276e4d</t>
        </is>
      </c>
      <c r="C604" t="inlineStr">
        <is>
          <t>fdb16d3cbbeb5798f2f66c4096be026d</t>
        </is>
      </c>
      <c r="D604" t="inlineStr">
        <is>
          <t>4ef15afb4b2723d8f3d81e51ec7afefe</t>
        </is>
      </c>
      <c r="E604" s="30" t="n">
        <v>43131.8665625</v>
      </c>
      <c r="F604" t="inlineStr">
        <is>
          <t>home_office_furniture</t>
        </is>
      </c>
      <c r="G604" t="inlineStr">
        <is>
          <t>industry</t>
        </is>
      </c>
      <c r="L604" t="inlineStr">
        <is>
          <t>manufacturer</t>
        </is>
      </c>
      <c r="N604" t="n">
        <v>0</v>
      </c>
    </row>
    <row r="605">
      <c r="A605" t="inlineStr">
        <is>
          <t>1dec44d3b8974e86ab337f1755cd893e</t>
        </is>
      </c>
      <c r="B605" t="inlineStr">
        <is>
          <t>7adbd3210a7b3cc2235e225eef33574d</t>
        </is>
      </c>
      <c r="C605" t="inlineStr">
        <is>
          <t>370c9f455f93a9a96cbe9bea48e70033</t>
        </is>
      </c>
      <c r="D605" t="inlineStr">
        <is>
          <t>85fc447d336637ba1df43e793199fbc8</t>
        </is>
      </c>
      <c r="E605" s="30" t="n">
        <v>43200.91940972222</v>
      </c>
      <c r="F605" t="inlineStr">
        <is>
          <t>household_utilities</t>
        </is>
      </c>
      <c r="G605" t="inlineStr">
        <is>
          <t>online_medium</t>
        </is>
      </c>
      <c r="H605" t="inlineStr">
        <is>
          <t>cat</t>
        </is>
      </c>
      <c r="L605" t="inlineStr">
        <is>
          <t>reseller</t>
        </is>
      </c>
      <c r="N605" t="n">
        <v>0</v>
      </c>
    </row>
    <row r="606">
      <c r="A606" t="inlineStr">
        <is>
          <t>356222b46d95b7fb1215f652ea9fd2f3</t>
        </is>
      </c>
      <c r="B606" t="inlineStr">
        <is>
          <t>0b9164d3b23215d4dfee8a045a3a1b3d</t>
        </is>
      </c>
      <c r="C606" t="inlineStr">
        <is>
          <t>4b339f9567d060bcea4f5136b9f5949e</t>
        </is>
      </c>
      <c r="D606" t="inlineStr">
        <is>
          <t>85fc447d336637ba1df43e793199fbc8</t>
        </is>
      </c>
      <c r="E606" s="30" t="n">
        <v>43201.79170138889</v>
      </c>
      <c r="F606" t="inlineStr">
        <is>
          <t>home_decor</t>
        </is>
      </c>
      <c r="G606" t="inlineStr">
        <is>
          <t>offline</t>
        </is>
      </c>
      <c r="H606" t="inlineStr">
        <is>
          <t>cat</t>
        </is>
      </c>
      <c r="L606" t="inlineStr">
        <is>
          <t>reseller</t>
        </is>
      </c>
      <c r="N606" t="n">
        <v>0</v>
      </c>
    </row>
    <row r="607">
      <c r="A607" t="inlineStr">
        <is>
          <t>b39ac02ff5021fed10cb9988a23d5d02</t>
        </is>
      </c>
      <c r="B607" t="inlineStr">
        <is>
          <t>7c7d0dee362960b1d9b01fe7284e19ba</t>
        </is>
      </c>
      <c r="C607" t="inlineStr">
        <is>
          <t>6aa3b86a83d784b05f0e37e26b20860d</t>
        </is>
      </c>
      <c r="D607" t="inlineStr">
        <is>
          <t>56bf83c4bb35763a51c2baab501b4c67</t>
        </is>
      </c>
      <c r="E607" s="30" t="n">
        <v>43335.91390046296</v>
      </c>
      <c r="F607" t="inlineStr">
        <is>
          <t>home_decor</t>
        </is>
      </c>
      <c r="G607" t="inlineStr">
        <is>
          <t>online_small</t>
        </is>
      </c>
      <c r="H607" t="inlineStr">
        <is>
          <t>shark</t>
        </is>
      </c>
      <c r="I607" t="b">
        <v>1</v>
      </c>
      <c r="J607" t="b">
        <v>1</v>
      </c>
      <c r="L607" t="inlineStr">
        <is>
          <t>manufacturer</t>
        </is>
      </c>
      <c r="M607" t="n">
        <v>400</v>
      </c>
      <c r="N607" t="n">
        <v>300000</v>
      </c>
    </row>
    <row r="608">
      <c r="A608" t="inlineStr">
        <is>
          <t>bc916355c4b4bff29473d27f0a214b84</t>
        </is>
      </c>
      <c r="B608" t="inlineStr">
        <is>
          <t>9f716fbca2fbec913c646e6c60f25b60</t>
        </is>
      </c>
      <c r="C608" t="inlineStr">
        <is>
          <t>de63de0d10a6012430098db33c679b0b</t>
        </is>
      </c>
      <c r="D608" t="inlineStr">
        <is>
          <t>4ef15afb4b2723d8f3d81e51ec7afefe</t>
        </is>
      </c>
      <c r="E608" s="30" t="n">
        <v>43138.82938657407</v>
      </c>
      <c r="F608" t="inlineStr">
        <is>
          <t>health_beauty</t>
        </is>
      </c>
      <c r="G608" t="inlineStr">
        <is>
          <t>industry</t>
        </is>
      </c>
      <c r="L608" t="inlineStr">
        <is>
          <t>reseller</t>
        </is>
      </c>
      <c r="N608" t="n">
        <v>0</v>
      </c>
    </row>
    <row r="609">
      <c r="A609" t="inlineStr">
        <is>
          <t>19d0170c5a9f7120fdcb2c34e9373f68</t>
        </is>
      </c>
      <c r="B609" t="inlineStr">
        <is>
          <t>b8cb8fd0484ee4f796b41e363dcd303d</t>
        </is>
      </c>
      <c r="C609" t="inlineStr">
        <is>
          <t>9d12ef1a7eca3ec58c545c678af7869c</t>
        </is>
      </c>
      <c r="D609" t="inlineStr">
        <is>
          <t>068066e24f0c643eb1d089c7dd20cd73</t>
        </is>
      </c>
      <c r="E609" s="30" t="n">
        <v>43235.84908564815</v>
      </c>
      <c r="F609" t="inlineStr">
        <is>
          <t>computers</t>
        </is>
      </c>
      <c r="G609" t="inlineStr">
        <is>
          <t>offline</t>
        </is>
      </c>
      <c r="H609" t="inlineStr">
        <is>
          <t>eagle</t>
        </is>
      </c>
      <c r="L609" t="inlineStr">
        <is>
          <t>reseller</t>
        </is>
      </c>
      <c r="N609" t="n">
        <v>0</v>
      </c>
    </row>
    <row r="610">
      <c r="A610" t="inlineStr">
        <is>
          <t>1ce04284ef15be769958c668292573b8</t>
        </is>
      </c>
      <c r="B610" t="inlineStr">
        <is>
          <t>33cbbec1e7e1044aaf11d152172c776f</t>
        </is>
      </c>
      <c r="C610" t="inlineStr">
        <is>
          <t>de63de0d10a6012430098db33c679b0b</t>
        </is>
      </c>
      <c r="D610" t="inlineStr">
        <is>
          <t>6565aa9ce3178a5caf6171827af3a9ba</t>
        </is>
      </c>
      <c r="E610" s="30" t="n">
        <v>43165.56078703704</v>
      </c>
      <c r="F610" t="inlineStr">
        <is>
          <t>household_utilities</t>
        </is>
      </c>
      <c r="G610" t="inlineStr">
        <is>
          <t>online_big</t>
        </is>
      </c>
      <c r="L610" t="inlineStr">
        <is>
          <t>reseller</t>
        </is>
      </c>
      <c r="N610" t="n">
        <v>0</v>
      </c>
    </row>
    <row r="611">
      <c r="A611" t="inlineStr">
        <is>
          <t>dc5cd6ec5b2df75ead63c98d5963e732</t>
        </is>
      </c>
      <c r="B611" t="inlineStr">
        <is>
          <t>d82168bc00226dc72728bc957d2539bc</t>
        </is>
      </c>
      <c r="C611" t="inlineStr">
        <is>
          <t>e7dff61b78bebffa71678e126ce669ad</t>
        </is>
      </c>
      <c r="D611" t="inlineStr">
        <is>
          <t>2695de1affa7750089c0455f8ce27021</t>
        </is>
      </c>
      <c r="E611" s="30" t="n">
        <v>43298.71013888889</v>
      </c>
      <c r="F611" t="inlineStr">
        <is>
          <t>handcrafted</t>
        </is>
      </c>
      <c r="G611" t="inlineStr">
        <is>
          <t>online_small</t>
        </is>
      </c>
      <c r="H611" t="inlineStr">
        <is>
          <t>cat</t>
        </is>
      </c>
      <c r="L611" t="inlineStr">
        <is>
          <t>manufacturer</t>
        </is>
      </c>
      <c r="N611" t="n">
        <v>0</v>
      </c>
    </row>
    <row r="612">
      <c r="A612" t="inlineStr">
        <is>
          <t>ca7ca7ea7912312362a50c3754c1cc2d</t>
        </is>
      </c>
      <c r="B612" t="inlineStr">
        <is>
          <t>97e50a621f8e801f4baf69e08687c192</t>
        </is>
      </c>
      <c r="C612" t="inlineStr">
        <is>
          <t>de63de0d10a6012430098db33c679b0b</t>
        </is>
      </c>
      <c r="D612" t="inlineStr">
        <is>
          <t>4ef15afb4b2723d8f3d81e51ec7afefe</t>
        </is>
      </c>
      <c r="E612" s="30" t="n">
        <v>43139.85309027778</v>
      </c>
      <c r="F612" t="inlineStr">
        <is>
          <t>toys</t>
        </is>
      </c>
      <c r="G612" t="inlineStr">
        <is>
          <t>online_small</t>
        </is>
      </c>
      <c r="L612" t="inlineStr">
        <is>
          <t>reseller</t>
        </is>
      </c>
      <c r="N612" t="n">
        <v>0</v>
      </c>
    </row>
    <row r="613">
      <c r="A613" t="inlineStr">
        <is>
          <t>f46657d673d95ccf8d12b1075ab7c653</t>
        </is>
      </c>
      <c r="B613" t="inlineStr">
        <is>
          <t>f0ec78809fe0bc3edb11c9fe5b97b059</t>
        </is>
      </c>
      <c r="C613" t="inlineStr">
        <is>
          <t>4b339f9567d060bcea4f5136b9f5949e</t>
        </is>
      </c>
      <c r="D613" t="inlineStr">
        <is>
          <t>060c0a26f19f4d66b42e0d8796688490</t>
        </is>
      </c>
      <c r="E613" s="30" t="n">
        <v>43178.52850694444</v>
      </c>
      <c r="F613" t="inlineStr">
        <is>
          <t>household_utilities</t>
        </is>
      </c>
      <c r="G613" t="inlineStr">
        <is>
          <t>online_medium</t>
        </is>
      </c>
      <c r="H613" t="inlineStr">
        <is>
          <t>cat</t>
        </is>
      </c>
      <c r="L613" t="inlineStr">
        <is>
          <t>reseller</t>
        </is>
      </c>
      <c r="N613" t="n">
        <v>0</v>
      </c>
    </row>
    <row r="614">
      <c r="A614" t="inlineStr">
        <is>
          <t>7a2c5f44c553096c00bd05e62c4f3771</t>
        </is>
      </c>
      <c r="B614" t="inlineStr">
        <is>
          <t>6ebf4eceee4dd9847201c82e77ef8123</t>
        </is>
      </c>
      <c r="C614" t="inlineStr">
        <is>
          <t>09285259593c61296eef10c734121d5b</t>
        </is>
      </c>
      <c r="D614" t="inlineStr">
        <is>
          <t>9ae085775a198122c5586fa830ff7f2b</t>
        </is>
      </c>
      <c r="E614" s="30" t="n">
        <v>43186.61667824074</v>
      </c>
      <c r="F614" t="inlineStr">
        <is>
          <t>health_beauty</t>
        </is>
      </c>
      <c r="G614" t="inlineStr">
        <is>
          <t>online_beginner</t>
        </is>
      </c>
      <c r="H614" t="inlineStr">
        <is>
          <t>cat</t>
        </is>
      </c>
      <c r="L614" t="inlineStr">
        <is>
          <t>reseller</t>
        </is>
      </c>
      <c r="N614" t="n">
        <v>0</v>
      </c>
    </row>
    <row r="615">
      <c r="A615" t="inlineStr">
        <is>
          <t>ac894bcbadb0692e692ba49e19bc219b</t>
        </is>
      </c>
      <c r="B615" t="inlineStr">
        <is>
          <t>02df983480ff75ead8a031a3c7a849ad</t>
        </is>
      </c>
      <c r="C615" t="inlineStr">
        <is>
          <t>370c9f455f93a9a96cbe9bea48e70033</t>
        </is>
      </c>
      <c r="D615" t="inlineStr">
        <is>
          <t>4ef15afb4b2723d8f3d81e51ec7afefe</t>
        </is>
      </c>
      <c r="E615" s="30" t="n">
        <v>43208.79581018518</v>
      </c>
      <c r="F615" t="inlineStr">
        <is>
          <t>phone_mobile</t>
        </is>
      </c>
      <c r="G615" t="inlineStr">
        <is>
          <t>offline</t>
        </is>
      </c>
      <c r="H615" t="inlineStr">
        <is>
          <t>eagle</t>
        </is>
      </c>
      <c r="L615" t="inlineStr">
        <is>
          <t>reseller</t>
        </is>
      </c>
      <c r="N615" t="n">
        <v>0</v>
      </c>
    </row>
    <row r="616">
      <c r="A616" t="inlineStr">
        <is>
          <t>796e2f57fd87b9b44251e692e269f0bf</t>
        </is>
      </c>
      <c r="B616" t="inlineStr">
        <is>
          <t>594f9aaa48e5bf431f011ddc5669b0d5</t>
        </is>
      </c>
      <c r="C616" t="inlineStr">
        <is>
          <t>068066e24f0c643eb1d089c7dd20cd73</t>
        </is>
      </c>
      <c r="D616" t="inlineStr">
        <is>
          <t>56bf83c4bb35763a51c2baab501b4c67</t>
        </is>
      </c>
      <c r="E616" s="30" t="n">
        <v>43196.82099537037</v>
      </c>
      <c r="F616" t="inlineStr">
        <is>
          <t>bags_backpacks</t>
        </is>
      </c>
      <c r="G616" t="inlineStr">
        <is>
          <t>online_medium</t>
        </is>
      </c>
      <c r="H616" t="inlineStr">
        <is>
          <t>cat</t>
        </is>
      </c>
      <c r="L616" t="inlineStr">
        <is>
          <t>reseller</t>
        </is>
      </c>
      <c r="N616" t="n">
        <v>0</v>
      </c>
    </row>
    <row r="617">
      <c r="A617" t="inlineStr">
        <is>
          <t>b9e0ea8939615cd9008530f5f4e5e54d</t>
        </is>
      </c>
      <c r="B617" t="inlineStr">
        <is>
          <t>4675c38ffdf3a0c9e9665f629c5c713b</t>
        </is>
      </c>
      <c r="C617" t="inlineStr">
        <is>
          <t>de63de0d10a6012430098db33c679b0b</t>
        </is>
      </c>
      <c r="D617" t="inlineStr">
        <is>
          <t>c638112b43f1d1b86dcabb0da720c901</t>
        </is>
      </c>
      <c r="E617" s="30" t="n">
        <v>43137.67436342593</v>
      </c>
      <c r="F617" t="inlineStr">
        <is>
          <t>home_decor</t>
        </is>
      </c>
      <c r="G617" t="inlineStr">
        <is>
          <t>online_medium</t>
        </is>
      </c>
      <c r="L617" t="inlineStr">
        <is>
          <t>reseller</t>
        </is>
      </c>
      <c r="N617" t="n">
        <v>0</v>
      </c>
    </row>
    <row r="618">
      <c r="A618" t="inlineStr">
        <is>
          <t>f5baaf0afe419681731ec3d30dafd954</t>
        </is>
      </c>
      <c r="B618" t="inlineStr">
        <is>
          <t>fb6e76ca64c0cc2c2dee53219e685f4b</t>
        </is>
      </c>
      <c r="C618" t="inlineStr">
        <is>
          <t>4b339f9567d060bcea4f5136b9f5949e</t>
        </is>
      </c>
      <c r="D618" t="inlineStr">
        <is>
          <t>d3d1e91a157ea7f90548eef82f1955e3</t>
        </is>
      </c>
      <c r="E618" s="30" t="n">
        <v>43230.81016203704</v>
      </c>
      <c r="F618" t="inlineStr">
        <is>
          <t>games_consoles</t>
        </is>
      </c>
      <c r="G618" t="inlineStr">
        <is>
          <t>online_big</t>
        </is>
      </c>
      <c r="H618" t="inlineStr">
        <is>
          <t>cat</t>
        </is>
      </c>
      <c r="L618" t="inlineStr">
        <is>
          <t>reseller</t>
        </is>
      </c>
      <c r="N618" t="n">
        <v>0</v>
      </c>
    </row>
    <row r="619">
      <c r="A619" t="inlineStr">
        <is>
          <t>15aea757696aaf9af950992f299b6789</t>
        </is>
      </c>
      <c r="B619" t="inlineStr">
        <is>
          <t>e504a4e2efaa45cbff7e268a2c58c956</t>
        </is>
      </c>
      <c r="C619" t="inlineStr">
        <is>
          <t>4b339f9567d060bcea4f5136b9f5949e</t>
        </is>
      </c>
      <c r="D619" t="inlineStr">
        <is>
          <t>c638112b43f1d1b86dcabb0da720c901</t>
        </is>
      </c>
      <c r="E619" s="30" t="n">
        <v>43187.89032407408</v>
      </c>
      <c r="F619" t="inlineStr">
        <is>
          <t>home_decor</t>
        </is>
      </c>
      <c r="G619" t="inlineStr">
        <is>
          <t>industry</t>
        </is>
      </c>
      <c r="H619" t="inlineStr">
        <is>
          <t>wolf</t>
        </is>
      </c>
      <c r="L619" t="inlineStr">
        <is>
          <t>manufacturer</t>
        </is>
      </c>
      <c r="N619" t="n">
        <v>0</v>
      </c>
    </row>
    <row r="620">
      <c r="A620" t="inlineStr">
        <is>
          <t>8ba72c13888964788024b12e39aef6de</t>
        </is>
      </c>
      <c r="B620" t="inlineStr">
        <is>
          <t>6b90f847357d8981edd79a1eb1bf0acb</t>
        </is>
      </c>
      <c r="C620" t="inlineStr">
        <is>
          <t>f42a2bd194f7802ab052a815c8de65b7</t>
        </is>
      </c>
      <c r="D620" t="inlineStr">
        <is>
          <t>d3d1e91a157ea7f90548eef82f1955e3</t>
        </is>
      </c>
      <c r="E620" s="30" t="n">
        <v>43237.72413194444</v>
      </c>
      <c r="F620" t="inlineStr">
        <is>
          <t>construction_tools_house_garden</t>
        </is>
      </c>
      <c r="G620" t="inlineStr">
        <is>
          <t>online_medium</t>
        </is>
      </c>
      <c r="H620" t="inlineStr">
        <is>
          <t>cat</t>
        </is>
      </c>
      <c r="L620" t="inlineStr">
        <is>
          <t>reseller</t>
        </is>
      </c>
      <c r="N620" t="n">
        <v>0</v>
      </c>
    </row>
    <row r="621">
      <c r="A621" t="inlineStr">
        <is>
          <t>5b2aad03528f0d771e8332451010d045</t>
        </is>
      </c>
      <c r="B621" t="inlineStr">
        <is>
          <t>eaeec4fdcdc91ead735718ae9bebcd8e</t>
        </is>
      </c>
      <c r="C621" t="inlineStr">
        <is>
          <t>56bf83c4bb35763a51c2baab501b4c67</t>
        </is>
      </c>
      <c r="D621" t="inlineStr">
        <is>
          <t>c638112b43f1d1b86dcabb0da720c901</t>
        </is>
      </c>
      <c r="E621" s="30" t="n">
        <v>43183.125</v>
      </c>
      <c r="F621" t="inlineStr">
        <is>
          <t>health_beauty</t>
        </is>
      </c>
      <c r="G621" t="inlineStr">
        <is>
          <t>offline</t>
        </is>
      </c>
      <c r="H621" t="inlineStr">
        <is>
          <t>cat</t>
        </is>
      </c>
      <c r="L621" t="inlineStr">
        <is>
          <t>manufacturer</t>
        </is>
      </c>
      <c r="N621" t="n">
        <v>0</v>
      </c>
    </row>
    <row r="622">
      <c r="A622" t="inlineStr">
        <is>
          <t>cc7ae92e162840095c5bfa89acbcc478</t>
        </is>
      </c>
      <c r="B622" t="inlineStr">
        <is>
          <t>5a4236931428800e9d9cc04af0987118</t>
        </is>
      </c>
      <c r="C622" t="inlineStr">
        <is>
          <t>4b339f9567d060bcea4f5136b9f5949e</t>
        </is>
      </c>
      <c r="D622" t="inlineStr">
        <is>
          <t>6565aa9ce3178a5caf6171827af3a9ba</t>
        </is>
      </c>
      <c r="E622" s="30" t="n">
        <v>43258.56282407408</v>
      </c>
      <c r="F622" t="inlineStr">
        <is>
          <t>household_utilities</t>
        </is>
      </c>
      <c r="G622" t="inlineStr">
        <is>
          <t>online_medium</t>
        </is>
      </c>
      <c r="H622" t="inlineStr">
        <is>
          <t>cat</t>
        </is>
      </c>
      <c r="L622" t="inlineStr">
        <is>
          <t>reseller</t>
        </is>
      </c>
      <c r="N622" t="n">
        <v>0</v>
      </c>
    </row>
    <row r="623">
      <c r="A623" t="inlineStr">
        <is>
          <t>fea6d3c362395ffa975ea4fd8d5d8ebb</t>
        </is>
      </c>
      <c r="B623" t="inlineStr">
        <is>
          <t>9e96cf88816c531ac19a680a2fdb78a7</t>
        </is>
      </c>
      <c r="C623" t="inlineStr">
        <is>
          <t>56bf83c4bb35763a51c2baab501b4c67</t>
        </is>
      </c>
      <c r="D623" t="inlineStr">
        <is>
          <t>d3d1e91a157ea7f90548eef82f1955e3</t>
        </is>
      </c>
      <c r="E623" s="30" t="n">
        <v>43173.51039351852</v>
      </c>
      <c r="F623" t="inlineStr">
        <is>
          <t>home_office_furniture</t>
        </is>
      </c>
      <c r="G623" t="inlineStr">
        <is>
          <t>online_big</t>
        </is>
      </c>
      <c r="H623" t="inlineStr">
        <is>
          <t>eagle</t>
        </is>
      </c>
      <c r="L623" t="inlineStr">
        <is>
          <t>manufacturer</t>
        </is>
      </c>
      <c r="N623" t="n">
        <v>0</v>
      </c>
    </row>
    <row r="624">
      <c r="A624" t="inlineStr">
        <is>
          <t>6fec8c1ba9b9aa79bd26e09fc8aae3eb</t>
        </is>
      </c>
      <c r="B624" t="inlineStr">
        <is>
          <t>603bb4eeb3f0927e59e253357a9ca06b</t>
        </is>
      </c>
      <c r="C624" t="inlineStr">
        <is>
          <t>9e4d1098a3b0f5da39b0bc48f9876645</t>
        </is>
      </c>
      <c r="D624" t="inlineStr">
        <is>
          <t>85fc447d336637ba1df43e793199fbc8</t>
        </is>
      </c>
      <c r="E624" s="30" t="n">
        <v>43188.57620370371</v>
      </c>
      <c r="F624" t="inlineStr">
        <is>
          <t>handcrafted</t>
        </is>
      </c>
      <c r="G624" t="inlineStr">
        <is>
          <t>offline</t>
        </is>
      </c>
      <c r="H624" t="inlineStr">
        <is>
          <t>cat</t>
        </is>
      </c>
      <c r="L624" t="inlineStr">
        <is>
          <t>manufacturer</t>
        </is>
      </c>
      <c r="N624" t="n">
        <v>0</v>
      </c>
    </row>
    <row r="625">
      <c r="A625" t="inlineStr">
        <is>
          <t>f4812a8b0f238b290cb25f11a975edf3</t>
        </is>
      </c>
      <c r="B625" t="inlineStr">
        <is>
          <t>5e7730e8ae6bffdee755a8d31e6b77a4</t>
        </is>
      </c>
      <c r="C625" t="inlineStr">
        <is>
          <t>4b339f9567d060bcea4f5136b9f5949e</t>
        </is>
      </c>
      <c r="D625" t="inlineStr">
        <is>
          <t>4ef15afb4b2723d8f3d81e51ec7afefe</t>
        </is>
      </c>
      <c r="E625" s="30" t="n">
        <v>43234.83180555556</v>
      </c>
      <c r="F625" t="inlineStr">
        <is>
          <t>small_appliances</t>
        </is>
      </c>
      <c r="G625" t="inlineStr">
        <is>
          <t>industry</t>
        </is>
      </c>
      <c r="H625" t="inlineStr">
        <is>
          <t>wolf</t>
        </is>
      </c>
      <c r="L625" t="inlineStr">
        <is>
          <t>manufacturer</t>
        </is>
      </c>
      <c r="N625" t="n">
        <v>0</v>
      </c>
    </row>
    <row r="626">
      <c r="A626" t="inlineStr">
        <is>
          <t>34aba6f934aa1a8de795d088a6875d28</t>
        </is>
      </c>
      <c r="B626" t="inlineStr">
        <is>
          <t>2c2c9832d1bb38c5b0034a3b47d313ee</t>
        </is>
      </c>
      <c r="C626" t="inlineStr">
        <is>
          <t>9d12ef1a7eca3ec58c545c678af7869c</t>
        </is>
      </c>
      <c r="D626" t="inlineStr">
        <is>
          <t>fbf4aef3f6915dc0c3c97d6812522f6a</t>
        </is>
      </c>
      <c r="E626" s="30" t="n">
        <v>43203.6815162037</v>
      </c>
      <c r="F626" t="inlineStr">
        <is>
          <t>health_beauty</t>
        </is>
      </c>
      <c r="G626" t="inlineStr">
        <is>
          <t>industry</t>
        </is>
      </c>
      <c r="H626" t="inlineStr">
        <is>
          <t>cat</t>
        </is>
      </c>
      <c r="L626" t="inlineStr">
        <is>
          <t>manufacturer</t>
        </is>
      </c>
      <c r="N626" t="n">
        <v>0</v>
      </c>
    </row>
    <row r="627">
      <c r="A627" t="inlineStr">
        <is>
          <t>d79c868179307f1cf78d0a12c56e2bf9</t>
        </is>
      </c>
      <c r="B627" t="inlineStr">
        <is>
          <t>25ca84afdd32ede184dba55631c55274</t>
        </is>
      </c>
      <c r="C627" t="inlineStr">
        <is>
          <t>e7dff61b78bebffa71678e126ce669ad</t>
        </is>
      </c>
      <c r="D627" t="inlineStr">
        <is>
          <t>068066e24f0c643eb1d089c7dd20cd73</t>
        </is>
      </c>
      <c r="E627" s="30" t="n">
        <v>43342.52239583333</v>
      </c>
      <c r="F627" t="inlineStr">
        <is>
          <t>computers</t>
        </is>
      </c>
      <c r="G627" t="inlineStr">
        <is>
          <t>online_big</t>
        </is>
      </c>
      <c r="H627" t="inlineStr">
        <is>
          <t>shark, wolf</t>
        </is>
      </c>
      <c r="I627" t="b">
        <v>1</v>
      </c>
      <c r="J627" t="b">
        <v>1</v>
      </c>
      <c r="K627" t="inlineStr">
        <is>
          <t>5-20</t>
        </is>
      </c>
      <c r="L627" t="inlineStr">
        <is>
          <t>reseller</t>
        </is>
      </c>
      <c r="M627" t="n">
        <v>47</v>
      </c>
      <c r="N627" t="n">
        <v>60000</v>
      </c>
    </row>
    <row r="628">
      <c r="A628" t="inlineStr">
        <is>
          <t>a2de60ae969948c62475144651c21281</t>
        </is>
      </c>
      <c r="B628" t="inlineStr">
        <is>
          <t>08220245c361752c4f7bdc9a39821dbe</t>
        </is>
      </c>
      <c r="C628" t="inlineStr">
        <is>
          <t>a8387c01a09e99ce014107505b92388c</t>
        </is>
      </c>
      <c r="D628" t="inlineStr">
        <is>
          <t>9e4d1098a3b0f5da39b0bc48f9876645</t>
        </is>
      </c>
      <c r="E628" s="30" t="n">
        <v>43195.63277777778</v>
      </c>
      <c r="F628" t="inlineStr">
        <is>
          <t>car_accessories</t>
        </is>
      </c>
      <c r="G628" t="inlineStr">
        <is>
          <t>online_medium</t>
        </is>
      </c>
      <c r="H628" t="inlineStr">
        <is>
          <t>cat</t>
        </is>
      </c>
      <c r="L628" t="inlineStr">
        <is>
          <t>manufacturer</t>
        </is>
      </c>
      <c r="N628" t="n">
        <v>0</v>
      </c>
    </row>
    <row r="629">
      <c r="A629" t="inlineStr">
        <is>
          <t>f2e5f6f0caaa54cb5161d5cd753cf57f</t>
        </is>
      </c>
      <c r="B629" t="inlineStr">
        <is>
          <t>d622a61456dcbf4cc960221e15ac48b7</t>
        </is>
      </c>
      <c r="C629" t="inlineStr">
        <is>
          <t>56bf83c4bb35763a51c2baab501b4c67</t>
        </is>
      </c>
      <c r="D629" t="inlineStr">
        <is>
          <t>4ef15afb4b2723d8f3d81e51ec7afefe</t>
        </is>
      </c>
      <c r="E629" s="30" t="n">
        <v>43159.76540509259</v>
      </c>
      <c r="F629" t="inlineStr">
        <is>
          <t>baby</t>
        </is>
      </c>
      <c r="G629" t="inlineStr">
        <is>
          <t>offline</t>
        </is>
      </c>
      <c r="H629" t="inlineStr">
        <is>
          <t>eagle</t>
        </is>
      </c>
      <c r="L629" t="inlineStr">
        <is>
          <t>reseller</t>
        </is>
      </c>
      <c r="N629" t="n">
        <v>0</v>
      </c>
    </row>
    <row r="630">
      <c r="A630" t="inlineStr">
        <is>
          <t>2d425507027fe5ccf5e23dc6bf98af4b</t>
        </is>
      </c>
      <c r="B630" t="inlineStr">
        <is>
          <t>34fe2ce0770697c1b8b35c13a8e2f7d4</t>
        </is>
      </c>
      <c r="C630" t="inlineStr">
        <is>
          <t>f42a2bd194f7802ab052a815c8de65b7</t>
        </is>
      </c>
      <c r="D630" t="inlineStr">
        <is>
          <t>de63de0d10a6012430098db33c679b0b</t>
        </is>
      </c>
      <c r="E630" s="30" t="n">
        <v>43329.81234953704</v>
      </c>
      <c r="F630" t="inlineStr">
        <is>
          <t>watches</t>
        </is>
      </c>
      <c r="G630" t="inlineStr">
        <is>
          <t>online_beginner</t>
        </is>
      </c>
      <c r="H630" t="inlineStr">
        <is>
          <t>cat</t>
        </is>
      </c>
      <c r="I630" t="b">
        <v>1</v>
      </c>
      <c r="J630" t="b">
        <v>1</v>
      </c>
      <c r="K630" t="inlineStr">
        <is>
          <t>5-20</t>
        </is>
      </c>
      <c r="L630" t="inlineStr">
        <is>
          <t>reseller</t>
        </is>
      </c>
      <c r="M630" t="n">
        <v>12</v>
      </c>
      <c r="N630" t="n">
        <v>1000</v>
      </c>
    </row>
    <row r="631">
      <c r="A631" t="inlineStr">
        <is>
          <t>9af7ea3259a69623a41b6e8bf98a52b4</t>
        </is>
      </c>
      <c r="B631" t="inlineStr">
        <is>
          <t>1832c08bba48a37868d4093259e8c288</t>
        </is>
      </c>
      <c r="C631" t="inlineStr">
        <is>
          <t>5b7ce8c2b0fe4c2f52a0763046914ef4</t>
        </is>
      </c>
      <c r="D631" t="inlineStr">
        <is>
          <t>9d12ef1a7eca3ec58c545c678af7869c</t>
        </is>
      </c>
      <c r="E631" s="30" t="n">
        <v>43404.80413194445</v>
      </c>
      <c r="F631" t="inlineStr">
        <is>
          <t>home_decor</t>
        </is>
      </c>
      <c r="G631" t="inlineStr">
        <is>
          <t>offline</t>
        </is>
      </c>
      <c r="H631" t="inlineStr">
        <is>
          <t>cat</t>
        </is>
      </c>
      <c r="J631" t="b">
        <v>1</v>
      </c>
      <c r="K631" t="inlineStr">
        <is>
          <t>20-50</t>
        </is>
      </c>
      <c r="L631" t="inlineStr">
        <is>
          <t>reseller</t>
        </is>
      </c>
      <c r="M631" t="n">
        <v>120</v>
      </c>
      <c r="N631" t="n">
        <v>60000</v>
      </c>
    </row>
    <row r="632">
      <c r="A632" t="inlineStr">
        <is>
          <t>45f4ec2f92cda096fc01052b9f53dd89</t>
        </is>
      </c>
      <c r="B632" t="inlineStr">
        <is>
          <t>d63f306de130e0391d38a792541723b8</t>
        </is>
      </c>
      <c r="C632" t="inlineStr">
        <is>
          <t>9d12ef1a7eca3ec58c545c678af7869c</t>
        </is>
      </c>
      <c r="D632" t="inlineStr">
        <is>
          <t>4ef15afb4b2723d8f3d81e51ec7afefe</t>
        </is>
      </c>
      <c r="E632" s="30" t="n">
        <v>43215.66931712963</v>
      </c>
      <c r="F632" t="inlineStr">
        <is>
          <t>car_accessories</t>
        </is>
      </c>
      <c r="G632" t="inlineStr">
        <is>
          <t>online_medium</t>
        </is>
      </c>
      <c r="H632" t="inlineStr">
        <is>
          <t>cat</t>
        </is>
      </c>
      <c r="L632" t="inlineStr">
        <is>
          <t>reseller</t>
        </is>
      </c>
      <c r="N632" t="n">
        <v>0</v>
      </c>
    </row>
    <row r="633">
      <c r="A633" t="inlineStr">
        <is>
          <t>88a7d45c0b4b7c6d948ffff9e0be1de4</t>
        </is>
      </c>
      <c r="B633" t="inlineStr">
        <is>
          <t>49388b546c8a96b96e9f15b5980b1cd7</t>
        </is>
      </c>
      <c r="C633" t="inlineStr">
        <is>
          <t>de63de0d10a6012430098db33c679b0b</t>
        </is>
      </c>
      <c r="D633" t="inlineStr">
        <is>
          <t>060c0a26f19f4d66b42e0d8796688490</t>
        </is>
      </c>
      <c r="E633" s="30" t="n">
        <v>43171.69493055555</v>
      </c>
      <c r="F633" t="inlineStr">
        <is>
          <t>bed_bath_table</t>
        </is>
      </c>
      <c r="G633" t="inlineStr">
        <is>
          <t>online_beginner</t>
        </is>
      </c>
      <c r="H633" t="inlineStr">
        <is>
          <t>wolf</t>
        </is>
      </c>
      <c r="L633" t="inlineStr">
        <is>
          <t>reseller</t>
        </is>
      </c>
      <c r="N633" t="n">
        <v>0</v>
      </c>
    </row>
    <row r="634">
      <c r="A634" t="inlineStr">
        <is>
          <t>26b54d75fad5660ca6471905fe1793cf</t>
        </is>
      </c>
      <c r="B634" t="inlineStr">
        <is>
          <t>596849622429351f47b32e6cae1055ff</t>
        </is>
      </c>
      <c r="C634" t="inlineStr">
        <is>
          <t>a8387c01a09e99ce014107505b92388c</t>
        </is>
      </c>
      <c r="D634" t="inlineStr">
        <is>
          <t>56bf83c4bb35763a51c2baab501b4c67</t>
        </is>
      </c>
      <c r="E634" s="30" t="n">
        <v>43206.51850694444</v>
      </c>
      <c r="F634" t="inlineStr">
        <is>
          <t>phone_mobile</t>
        </is>
      </c>
      <c r="G634" t="inlineStr">
        <is>
          <t>online_medium</t>
        </is>
      </c>
      <c r="H634" t="inlineStr">
        <is>
          <t>cat</t>
        </is>
      </c>
      <c r="L634" t="inlineStr">
        <is>
          <t>reseller</t>
        </is>
      </c>
      <c r="N634" t="n">
        <v>0</v>
      </c>
    </row>
    <row r="635">
      <c r="A635" t="inlineStr">
        <is>
          <t>8e8336b19eec4f492acff4a97a5a4bf4</t>
        </is>
      </c>
      <c r="B635" t="inlineStr">
        <is>
          <t>9140ef75cc8211c4035935e80e567204</t>
        </is>
      </c>
      <c r="C635" t="inlineStr">
        <is>
          <t>34d40cdaf94010a1d05b0d6212f9e909</t>
        </is>
      </c>
      <c r="D635" t="inlineStr">
        <is>
          <t>4ef15afb4b2723d8f3d81e51ec7afefe</t>
        </is>
      </c>
      <c r="E635" s="30" t="n">
        <v>43256.75042824074</v>
      </c>
      <c r="F635" t="inlineStr">
        <is>
          <t>pet</t>
        </is>
      </c>
      <c r="G635" t="inlineStr">
        <is>
          <t>industry</t>
        </is>
      </c>
      <c r="H635" t="inlineStr">
        <is>
          <t>eagle</t>
        </is>
      </c>
      <c r="L635" t="inlineStr">
        <is>
          <t>manufacturer</t>
        </is>
      </c>
      <c r="N635" t="n">
        <v>0</v>
      </c>
    </row>
    <row r="636">
      <c r="A636" t="inlineStr">
        <is>
          <t>2b35567523c67c1a9c32ef101ae7bc73</t>
        </is>
      </c>
      <c r="B636" t="inlineStr">
        <is>
          <t>7dd3be74c6cd6800d809935ff47bd3bf</t>
        </is>
      </c>
      <c r="C636" t="inlineStr">
        <is>
          <t>9e4d1098a3b0f5da39b0bc48f9876645</t>
        </is>
      </c>
      <c r="D636" t="inlineStr">
        <is>
          <t>fbf4aef3f6915dc0c3c97d6812522f6a</t>
        </is>
      </c>
      <c r="E636" s="30" t="n">
        <v>43180.54421296297</v>
      </c>
      <c r="F636" t="inlineStr">
        <is>
          <t>health_beauty</t>
        </is>
      </c>
      <c r="G636" t="inlineStr">
        <is>
          <t>offline</t>
        </is>
      </c>
      <c r="H636" t="inlineStr">
        <is>
          <t>cat</t>
        </is>
      </c>
      <c r="L636" t="inlineStr">
        <is>
          <t>manufacturer</t>
        </is>
      </c>
      <c r="N636" t="n">
        <v>0</v>
      </c>
    </row>
    <row r="637">
      <c r="A637" t="inlineStr">
        <is>
          <t>5ce2c548b89181fc2a9b18df3882603e</t>
        </is>
      </c>
      <c r="B637" t="inlineStr">
        <is>
          <t>5fff4dd813a9fe1ce972a80407e16457</t>
        </is>
      </c>
      <c r="C637" t="inlineStr">
        <is>
          <t>a8387c01a09e99ce014107505b92388c</t>
        </is>
      </c>
      <c r="D637" t="inlineStr">
        <is>
          <t>6565aa9ce3178a5caf6171827af3a9ba</t>
        </is>
      </c>
      <c r="E637" s="30" t="n">
        <v>43200.7655787037</v>
      </c>
      <c r="F637" t="inlineStr">
        <is>
          <t>home_decor</t>
        </is>
      </c>
      <c r="G637" t="inlineStr">
        <is>
          <t>online_beginner</t>
        </is>
      </c>
      <c r="H637" t="inlineStr">
        <is>
          <t>cat</t>
        </is>
      </c>
      <c r="L637" t="inlineStr">
        <is>
          <t>manufacturer</t>
        </is>
      </c>
      <c r="N637" t="n">
        <v>0</v>
      </c>
    </row>
    <row r="638">
      <c r="A638" t="inlineStr">
        <is>
          <t>c9be6fa4a4d011709bfa79908b2a1238</t>
        </is>
      </c>
      <c r="B638" t="inlineStr">
        <is>
          <t>465b4d6f3d04fac8957c6017541df171</t>
        </is>
      </c>
      <c r="C638" t="inlineStr">
        <is>
          <t>a8387c01a09e99ce014107505b92388c</t>
        </is>
      </c>
      <c r="D638" t="inlineStr">
        <is>
          <t>c638112b43f1d1b86dcabb0da720c901</t>
        </is>
      </c>
      <c r="E638" s="30" t="n">
        <v>43181.54319444444</v>
      </c>
      <c r="F638" t="inlineStr">
        <is>
          <t>health_beauty</t>
        </is>
      </c>
      <c r="G638" t="inlineStr">
        <is>
          <t>online_beginner</t>
        </is>
      </c>
      <c r="H638" t="inlineStr">
        <is>
          <t>cat</t>
        </is>
      </c>
      <c r="L638" t="inlineStr">
        <is>
          <t>manufacturer</t>
        </is>
      </c>
      <c r="N638" t="n">
        <v>0</v>
      </c>
    </row>
    <row r="639">
      <c r="A639" t="inlineStr">
        <is>
          <t>e66292f43e32d3b92d2c00229a6afe55</t>
        </is>
      </c>
      <c r="B639" t="inlineStr">
        <is>
          <t>7614a7c196be837b0eba0a3811e51b29</t>
        </is>
      </c>
      <c r="C639" t="inlineStr">
        <is>
          <t>4b339f9567d060bcea4f5136b9f5949e</t>
        </is>
      </c>
      <c r="D639" t="inlineStr">
        <is>
          <t>4ef15afb4b2723d8f3d81e51ec7afefe</t>
        </is>
      </c>
      <c r="E639" s="30" t="n">
        <v>43206.61782407408</v>
      </c>
      <c r="F639" t="inlineStr">
        <is>
          <t>bed_bath_table</t>
        </is>
      </c>
      <c r="G639" t="inlineStr">
        <is>
          <t>online_big</t>
        </is>
      </c>
      <c r="H639" t="inlineStr">
        <is>
          <t>wolf</t>
        </is>
      </c>
      <c r="L639" t="inlineStr">
        <is>
          <t>manufacturer</t>
        </is>
      </c>
      <c r="N639" t="n">
        <v>0</v>
      </c>
    </row>
    <row r="640">
      <c r="A640" t="inlineStr">
        <is>
          <t>92c9627a1529f28cb04691b9fe1f6ec8</t>
        </is>
      </c>
      <c r="B640" t="inlineStr">
        <is>
          <t>63972c86dd9a38da4f3d8b5ccec2ee60</t>
        </is>
      </c>
      <c r="C640" t="inlineStr">
        <is>
          <t>0a0fb2b07d841f84fb6714e35c723075</t>
        </is>
      </c>
      <c r="D640" t="inlineStr">
        <is>
          <t>9ae085775a198122c5586fa830ff7f2b</t>
        </is>
      </c>
      <c r="E640" s="30" t="n">
        <v>43294.82375</v>
      </c>
      <c r="F640" t="inlineStr">
        <is>
          <t>jewerly</t>
        </is>
      </c>
      <c r="G640" t="inlineStr">
        <is>
          <t>offline</t>
        </is>
      </c>
      <c r="L640" t="inlineStr">
        <is>
          <t>reseller</t>
        </is>
      </c>
      <c r="N640" t="n">
        <v>0</v>
      </c>
    </row>
    <row r="641">
      <c r="A641" t="inlineStr">
        <is>
          <t>44c115ec4cfd1287a92e824ff941aa3e</t>
        </is>
      </c>
      <c r="B641" t="inlineStr">
        <is>
          <t>493a261e134421b6d9d997900fa56a5f</t>
        </is>
      </c>
      <c r="C641" t="inlineStr">
        <is>
          <t>4b339f9567d060bcea4f5136b9f5949e</t>
        </is>
      </c>
      <c r="D641" t="inlineStr">
        <is>
          <t>4ef15afb4b2723d8f3d81e51ec7afefe</t>
        </is>
      </c>
      <c r="E641" s="30" t="n">
        <v>43175.68119212963</v>
      </c>
      <c r="F641" t="inlineStr">
        <is>
          <t>construction_tools_house_garden</t>
        </is>
      </c>
      <c r="G641" t="inlineStr">
        <is>
          <t>online_big</t>
        </is>
      </c>
      <c r="H641" t="inlineStr">
        <is>
          <t>wolf</t>
        </is>
      </c>
      <c r="L641" t="inlineStr">
        <is>
          <t>reseller</t>
        </is>
      </c>
      <c r="N641" t="n">
        <v>0</v>
      </c>
    </row>
    <row r="642">
      <c r="A642" t="inlineStr">
        <is>
          <t>1f539e92146eac32306bcb0f8ba374ec</t>
        </is>
      </c>
      <c r="B642" t="inlineStr">
        <is>
          <t>8ff95b78fd27130aef0a3b68b7124c51</t>
        </is>
      </c>
      <c r="C642" t="inlineStr">
        <is>
          <t>4b339f9567d060bcea4f5136b9f5949e</t>
        </is>
      </c>
      <c r="D642" t="inlineStr">
        <is>
          <t>c638112b43f1d1b86dcabb0da720c901</t>
        </is>
      </c>
      <c r="E642" s="30" t="n">
        <v>43154.48616898148</v>
      </c>
      <c r="F642" t="inlineStr">
        <is>
          <t>party</t>
        </is>
      </c>
      <c r="G642" t="inlineStr">
        <is>
          <t>offline</t>
        </is>
      </c>
      <c r="L642" t="inlineStr">
        <is>
          <t>manufacturer</t>
        </is>
      </c>
      <c r="N642" t="n">
        <v>0</v>
      </c>
    </row>
    <row r="643">
      <c r="A643" t="inlineStr">
        <is>
          <t>e758533feded97683d573154714a195b</t>
        </is>
      </c>
      <c r="B643" t="inlineStr">
        <is>
          <t>985c92cc412091f8529c12d7f23d3fef</t>
        </is>
      </c>
      <c r="C643" t="inlineStr">
        <is>
          <t>a8387c01a09e99ce014107505b92388c</t>
        </is>
      </c>
      <c r="D643" t="inlineStr">
        <is>
          <t>d3d1e91a157ea7f90548eef82f1955e3</t>
        </is>
      </c>
      <c r="E643" s="30" t="n">
        <v>43208.6971412037</v>
      </c>
      <c r="F643" t="inlineStr">
        <is>
          <t>health_beauty</t>
        </is>
      </c>
      <c r="G643" t="inlineStr">
        <is>
          <t>offline</t>
        </is>
      </c>
      <c r="H643" t="inlineStr">
        <is>
          <t>eagle</t>
        </is>
      </c>
      <c r="L643" t="inlineStr">
        <is>
          <t>reseller</t>
        </is>
      </c>
      <c r="N643" t="n">
        <v>0</v>
      </c>
    </row>
    <row r="644">
      <c r="A644" t="inlineStr">
        <is>
          <t>6456e5e81dd87446f811df77548e6a6b</t>
        </is>
      </c>
      <c r="B644" t="inlineStr">
        <is>
          <t>76e8c36299440e255379b5fa7f03f272</t>
        </is>
      </c>
      <c r="C644" t="inlineStr">
        <is>
          <t>45749fb708130f78d0db07d8d80f030b</t>
        </is>
      </c>
      <c r="D644" t="inlineStr">
        <is>
          <t>34d40cdaf94010a1d05b0d6212f9e909</t>
        </is>
      </c>
      <c r="E644" s="30" t="n">
        <v>43363.71741898148</v>
      </c>
      <c r="F644" t="inlineStr">
        <is>
          <t>food_drink</t>
        </is>
      </c>
      <c r="G644" t="inlineStr">
        <is>
          <t>offline</t>
        </is>
      </c>
      <c r="H644" t="inlineStr">
        <is>
          <t>cat, wolf</t>
        </is>
      </c>
      <c r="I644" t="b">
        <v>1</v>
      </c>
      <c r="J644" t="b">
        <v>1</v>
      </c>
      <c r="K644" t="inlineStr">
        <is>
          <t>5-20</t>
        </is>
      </c>
      <c r="L644" t="inlineStr">
        <is>
          <t>reseller</t>
        </is>
      </c>
      <c r="M644" t="n">
        <v>50</v>
      </c>
      <c r="N644" t="n">
        <v>10000</v>
      </c>
    </row>
    <row r="645">
      <c r="A645" t="inlineStr">
        <is>
          <t>e8caf5068d097fe43a132fbc1152bdd8</t>
        </is>
      </c>
      <c r="B645" t="inlineStr">
        <is>
          <t>26677ff8d8321b864317019c728ac010</t>
        </is>
      </c>
      <c r="C645" t="inlineStr">
        <is>
          <t>4b339f9567d060bcea4f5136b9f5949e</t>
        </is>
      </c>
      <c r="D645" t="inlineStr">
        <is>
          <t>de63de0d10a6012430098db33c679b0b</t>
        </is>
      </c>
      <c r="E645" s="30" t="n">
        <v>43202.125</v>
      </c>
      <c r="F645" t="inlineStr">
        <is>
          <t>construction_tools_house_garden</t>
        </is>
      </c>
      <c r="G645" t="inlineStr">
        <is>
          <t>online_medium</t>
        </is>
      </c>
      <c r="H645" t="inlineStr">
        <is>
          <t>cat</t>
        </is>
      </c>
      <c r="L645" t="inlineStr">
        <is>
          <t>reseller</t>
        </is>
      </c>
      <c r="N645" t="n">
        <v>0</v>
      </c>
    </row>
    <row r="646">
      <c r="A646" t="inlineStr">
        <is>
          <t>9ea89671c9ac8a9c53062381b303f4d4</t>
        </is>
      </c>
      <c r="B646" t="inlineStr">
        <is>
          <t>c7bb64409aa480bb7d0335faaaf3d242</t>
        </is>
      </c>
      <c r="C646" t="inlineStr">
        <is>
          <t>09285259593c61296eef10c734121d5b</t>
        </is>
      </c>
      <c r="D646" t="inlineStr">
        <is>
          <t>495d4e95a8cf8bbf8b432b612a2aa328</t>
        </is>
      </c>
      <c r="E646" s="30" t="n">
        <v>43201.71429398148</v>
      </c>
      <c r="F646" t="inlineStr">
        <is>
          <t>car_accessories</t>
        </is>
      </c>
      <c r="G646" t="inlineStr">
        <is>
          <t>online_big</t>
        </is>
      </c>
      <c r="H646" t="inlineStr">
        <is>
          <t>cat</t>
        </is>
      </c>
      <c r="L646" t="inlineStr">
        <is>
          <t>reseller</t>
        </is>
      </c>
      <c r="N646" t="n">
        <v>0</v>
      </c>
    </row>
    <row r="647">
      <c r="A647" t="inlineStr">
        <is>
          <t>5d23750fc8ccf6284ca2ef9063c7b395</t>
        </is>
      </c>
      <c r="B647" t="inlineStr">
        <is>
          <t>1e26c56af8d48424e1df0140a2401f83</t>
        </is>
      </c>
      <c r="C647" t="inlineStr">
        <is>
          <t>9e4d1098a3b0f5da39b0bc48f9876645</t>
        </is>
      </c>
      <c r="D647" t="inlineStr">
        <is>
          <t>fbf4aef3f6915dc0c3c97d6812522f6a</t>
        </is>
      </c>
      <c r="E647" s="30" t="n">
        <v>43157.54372685185</v>
      </c>
      <c r="F647" t="inlineStr">
        <is>
          <t>construction_tools_house_garden</t>
        </is>
      </c>
      <c r="G647" t="inlineStr">
        <is>
          <t>offline</t>
        </is>
      </c>
      <c r="H647" t="inlineStr">
        <is>
          <t>cat</t>
        </is>
      </c>
      <c r="L647" t="inlineStr">
        <is>
          <t>reseller</t>
        </is>
      </c>
      <c r="N647" t="n">
        <v>0</v>
      </c>
    </row>
    <row r="648">
      <c r="A648" t="inlineStr">
        <is>
          <t>058172f0764ed2bfad2c7aa7cb9ae15f</t>
        </is>
      </c>
      <c r="B648" t="inlineStr">
        <is>
          <t>8c818d927ba4145304edccf74293f8b6</t>
        </is>
      </c>
      <c r="C648" t="inlineStr">
        <is>
          <t>b90f87164b5f8c2cfa5c8572834dbe3f</t>
        </is>
      </c>
      <c r="D648" t="inlineStr">
        <is>
          <t>34d40cdaf94010a1d05b0d6212f9e909</t>
        </is>
      </c>
      <c r="E648" s="30" t="n">
        <v>43402.62085648148</v>
      </c>
      <c r="F648" t="inlineStr">
        <is>
          <t>household_utilities</t>
        </is>
      </c>
      <c r="G648" t="inlineStr">
        <is>
          <t>industry</t>
        </is>
      </c>
      <c r="H648" t="inlineStr">
        <is>
          <t>eagle</t>
        </is>
      </c>
      <c r="L648" t="inlineStr">
        <is>
          <t>manufacturer</t>
        </is>
      </c>
      <c r="M648" t="n">
        <v>20</v>
      </c>
      <c r="N648" t="n">
        <v>5000</v>
      </c>
    </row>
    <row r="649">
      <c r="A649" t="inlineStr">
        <is>
          <t>3138f2d16a2894a0b029ac115da88f8f</t>
        </is>
      </c>
      <c r="B649" t="inlineStr">
        <is>
          <t>daf565f087a52def0fd5c5825b3661bc</t>
        </is>
      </c>
      <c r="C649" t="inlineStr">
        <is>
          <t>a8387c01a09e99ce014107505b92388c</t>
        </is>
      </c>
      <c r="D649" t="inlineStr">
        <is>
          <t>6565aa9ce3178a5caf6171827af3a9ba</t>
        </is>
      </c>
      <c r="E649" s="30" t="n">
        <v>43187.55649305556</v>
      </c>
      <c r="F649" t="inlineStr">
        <is>
          <t>home_decor</t>
        </is>
      </c>
      <c r="G649" t="inlineStr">
        <is>
          <t>online_big</t>
        </is>
      </c>
      <c r="H649" t="inlineStr">
        <is>
          <t>cat</t>
        </is>
      </c>
      <c r="L649" t="inlineStr">
        <is>
          <t>reseller</t>
        </is>
      </c>
      <c r="N649" t="n">
        <v>0</v>
      </c>
    </row>
    <row r="650">
      <c r="A650" t="inlineStr">
        <is>
          <t>b4994d8000b83caf4875f9cf28664194</t>
        </is>
      </c>
      <c r="B650" t="inlineStr">
        <is>
          <t>7ee00840eff17f731c41f35b12184c96</t>
        </is>
      </c>
      <c r="C650" t="inlineStr">
        <is>
          <t>9749123c950bf8363ace42cb1c2d0815</t>
        </is>
      </c>
      <c r="D650" t="inlineStr">
        <is>
          <t>a8387c01a09e99ce014107505b92388c</t>
        </is>
      </c>
      <c r="E650" s="30" t="n">
        <v>43294.91572916666</v>
      </c>
      <c r="F650" t="inlineStr">
        <is>
          <t>computers</t>
        </is>
      </c>
      <c r="G650" t="inlineStr">
        <is>
          <t>online_beginner</t>
        </is>
      </c>
      <c r="H650" t="inlineStr">
        <is>
          <t>cat</t>
        </is>
      </c>
      <c r="L650" t="inlineStr">
        <is>
          <t>reseller</t>
        </is>
      </c>
      <c r="N650" t="n">
        <v>0</v>
      </c>
    </row>
    <row r="651">
      <c r="A651" t="inlineStr">
        <is>
          <t>acc0e9c96173c579c90c05de205a2b63</t>
        </is>
      </c>
      <c r="B651" t="inlineStr">
        <is>
          <t>9c7fd21e0aa159b20da593371f08ff7c</t>
        </is>
      </c>
      <c r="C651" t="inlineStr">
        <is>
          <t>4b339f9567d060bcea4f5136b9f5949e</t>
        </is>
      </c>
      <c r="D651" t="inlineStr">
        <is>
          <t>2695de1affa7750089c0455f8ce27021</t>
        </is>
      </c>
      <c r="E651" s="30" t="n">
        <v>43147.49775462963</v>
      </c>
      <c r="F651" t="inlineStr">
        <is>
          <t>audio_video_electronics</t>
        </is>
      </c>
      <c r="G651" t="inlineStr">
        <is>
          <t>online_medium</t>
        </is>
      </c>
      <c r="H651" t="inlineStr">
        <is>
          <t>cat</t>
        </is>
      </c>
      <c r="L651" t="inlineStr">
        <is>
          <t>reseller</t>
        </is>
      </c>
      <c r="N651" t="n">
        <v>0</v>
      </c>
    </row>
    <row r="652">
      <c r="A652" t="inlineStr">
        <is>
          <t>df5f39b59210605db5d0afb2ddac38a6</t>
        </is>
      </c>
      <c r="B652" t="inlineStr">
        <is>
          <t>f002671b6ff4042e52a52aaccba44c0e</t>
        </is>
      </c>
      <c r="C652" t="inlineStr">
        <is>
          <t>9e4d1098a3b0f5da39b0bc48f9876645</t>
        </is>
      </c>
      <c r="D652" t="inlineStr">
        <is>
          <t>2695de1affa7750089c0455f8ce27021</t>
        </is>
      </c>
      <c r="E652" s="30" t="n">
        <v>43173.7302199074</v>
      </c>
      <c r="F652" t="inlineStr">
        <is>
          <t>handcrafted</t>
        </is>
      </c>
      <c r="G652" t="inlineStr">
        <is>
          <t>online_small</t>
        </is>
      </c>
      <c r="H652" t="inlineStr">
        <is>
          <t>cat</t>
        </is>
      </c>
      <c r="L652" t="inlineStr">
        <is>
          <t>manufacturer</t>
        </is>
      </c>
      <c r="N652" t="n">
        <v>0</v>
      </c>
    </row>
    <row r="653">
      <c r="A653" t="inlineStr">
        <is>
          <t>d78e4f87a5a597a1c8f2663af303e65b</t>
        </is>
      </c>
      <c r="B653" t="inlineStr">
        <is>
          <t>cb141ec6f444a4cb7a2400aaf80b6fc3</t>
        </is>
      </c>
      <c r="C653" t="inlineStr">
        <is>
          <t>370c9f455f93a9a96cbe9bea48e70033</t>
        </is>
      </c>
      <c r="D653" t="inlineStr">
        <is>
          <t>85fc447d336637ba1df43e793199fbc8</t>
        </is>
      </c>
      <c r="E653" s="30" t="n">
        <v>43283.72247685185</v>
      </c>
      <c r="F653" t="inlineStr">
        <is>
          <t>health_beauty</t>
        </is>
      </c>
      <c r="G653" t="inlineStr">
        <is>
          <t>online_medium</t>
        </is>
      </c>
      <c r="H653" t="inlineStr">
        <is>
          <t>cat</t>
        </is>
      </c>
      <c r="L653" t="inlineStr">
        <is>
          <t>reseller</t>
        </is>
      </c>
      <c r="N653" t="n">
        <v>0</v>
      </c>
    </row>
    <row r="654">
      <c r="A654" t="inlineStr">
        <is>
          <t>f487c050e3c1f3c31f85b9f818ccc0c2</t>
        </is>
      </c>
      <c r="B654" t="inlineStr">
        <is>
          <t>508808d438fe2ff972ed13bb8f4a82e2</t>
        </is>
      </c>
      <c r="C654" t="inlineStr">
        <is>
          <t>370c9f455f93a9a96cbe9bea48e70033</t>
        </is>
      </c>
      <c r="D654" t="inlineStr">
        <is>
          <t>34d40cdaf94010a1d05b0d6212f9e909</t>
        </is>
      </c>
      <c r="E654" s="30" t="n">
        <v>43305.83063657407</v>
      </c>
      <c r="F654" t="inlineStr">
        <is>
          <t>home_decor</t>
        </is>
      </c>
      <c r="G654" t="inlineStr">
        <is>
          <t>online_big</t>
        </is>
      </c>
      <c r="H654" t="inlineStr">
        <is>
          <t>cat</t>
        </is>
      </c>
      <c r="L654" t="inlineStr">
        <is>
          <t>reseller</t>
        </is>
      </c>
      <c r="N654" t="n">
        <v>0</v>
      </c>
    </row>
    <row r="655">
      <c r="A655" t="inlineStr">
        <is>
          <t>ff3e7e5ca2f0e0d94bff1aabf7ed6ff3</t>
        </is>
      </c>
      <c r="B655" t="inlineStr">
        <is>
          <t>5084f696554075b9a98403b769f31cd5</t>
        </is>
      </c>
      <c r="C655" t="inlineStr">
        <is>
          <t>9e4d1098a3b0f5da39b0bc48f9876645</t>
        </is>
      </c>
      <c r="D655" t="inlineStr">
        <is>
          <t>495d4e95a8cf8bbf8b432b612a2aa328</t>
        </is>
      </c>
      <c r="E655" s="30" t="n">
        <v>43192.54402777777</v>
      </c>
      <c r="F655" t="inlineStr">
        <is>
          <t>home_decor</t>
        </is>
      </c>
      <c r="G655" t="inlineStr">
        <is>
          <t>online_medium</t>
        </is>
      </c>
      <c r="H655" t="inlineStr">
        <is>
          <t>cat</t>
        </is>
      </c>
      <c r="L655" t="inlineStr">
        <is>
          <t>manufacturer</t>
        </is>
      </c>
      <c r="N655" t="n">
        <v>0</v>
      </c>
    </row>
    <row r="656">
      <c r="A656" t="inlineStr">
        <is>
          <t>ec2f34a30d5b87ed1d3e9de2741ddabc</t>
        </is>
      </c>
      <c r="B656" t="inlineStr">
        <is>
          <t>246eefbebdc0c11402ec404e1589de43</t>
        </is>
      </c>
      <c r="C656" t="inlineStr">
        <is>
          <t>0a0fb2b07d841f84fb6714e35c723075</t>
        </is>
      </c>
      <c r="D656" t="inlineStr">
        <is>
          <t>85fc447d336637ba1df43e793199fbc8</t>
        </is>
      </c>
      <c r="E656" s="30" t="n">
        <v>43231.67792824074</v>
      </c>
      <c r="F656" t="inlineStr">
        <is>
          <t>health_beauty</t>
        </is>
      </c>
      <c r="G656" t="inlineStr">
        <is>
          <t>online_small</t>
        </is>
      </c>
      <c r="H656" t="inlineStr">
        <is>
          <t>eagle</t>
        </is>
      </c>
      <c r="L656" t="inlineStr">
        <is>
          <t>manufacturer</t>
        </is>
      </c>
      <c r="N656" t="n">
        <v>0</v>
      </c>
    </row>
    <row r="657">
      <c r="A657" t="inlineStr">
        <is>
          <t>dedd5db8f760f36dd41fba0d5e94308b</t>
        </is>
      </c>
      <c r="B657" t="inlineStr">
        <is>
          <t>41da412d33e8da4f22baf55cb1bde82c</t>
        </is>
      </c>
      <c r="C657" t="inlineStr">
        <is>
          <t>f6c6ab65a1c732f154b371401448be6d</t>
        </is>
      </c>
      <c r="D657" t="inlineStr">
        <is>
          <t>060c0a26f19f4d66b42e0d8796688490</t>
        </is>
      </c>
      <c r="E657" s="30" t="n">
        <v>43080.75516203704</v>
      </c>
      <c r="F657" t="inlineStr">
        <is>
          <t>food_supplement</t>
        </is>
      </c>
      <c r="G657" t="inlineStr">
        <is>
          <t>industry</t>
        </is>
      </c>
      <c r="L657" t="inlineStr">
        <is>
          <t>manufacturer</t>
        </is>
      </c>
      <c r="N657" t="n">
        <v>0</v>
      </c>
    </row>
    <row r="658">
      <c r="A658" t="inlineStr">
        <is>
          <t>0a634763cc1a09532dd8cbf0e74e3d48</t>
        </is>
      </c>
      <c r="B658" t="inlineStr">
        <is>
          <t>8c4e430c5e662c328d3c84d334871709</t>
        </is>
      </c>
      <c r="C658" t="inlineStr">
        <is>
          <t>323cff2ceea1814239bc2c7e614d260d</t>
        </is>
      </c>
      <c r="D658" t="inlineStr">
        <is>
          <t>9ae085775a198122c5586fa830ff7f2b</t>
        </is>
      </c>
      <c r="E658" s="30" t="n">
        <v>43294.73528935185</v>
      </c>
      <c r="F658" t="inlineStr">
        <is>
          <t>pet</t>
        </is>
      </c>
      <c r="G658" t="inlineStr">
        <is>
          <t>online_beginner</t>
        </is>
      </c>
      <c r="H658" t="inlineStr">
        <is>
          <t>wolf</t>
        </is>
      </c>
      <c r="I658" t="b">
        <v>1</v>
      </c>
      <c r="J658" t="b">
        <v>1</v>
      </c>
      <c r="K658" t="inlineStr">
        <is>
          <t>5-20</t>
        </is>
      </c>
      <c r="L658" t="inlineStr">
        <is>
          <t>reseller</t>
        </is>
      </c>
      <c r="N658" t="n">
        <v>0</v>
      </c>
    </row>
    <row r="659">
      <c r="A659" t="inlineStr">
        <is>
          <t>7ac6d80c42fdb4020030b1cb9ed708f5</t>
        </is>
      </c>
      <c r="B659" t="inlineStr">
        <is>
          <t>cfe94489ddd337d1e29e12f2a7205d10</t>
        </is>
      </c>
      <c r="C659" t="inlineStr">
        <is>
          <t>4b339f9567d060bcea4f5136b9f5949e</t>
        </is>
      </c>
      <c r="D659" t="inlineStr">
        <is>
          <t>9ae085775a198122c5586fa830ff7f2b</t>
        </is>
      </c>
      <c r="E659" s="30" t="n">
        <v>43122.08333333334</v>
      </c>
      <c r="F659" t="inlineStr">
        <is>
          <t>construction_tools_house_garden</t>
        </is>
      </c>
      <c r="G659" t="inlineStr">
        <is>
          <t>online_medium</t>
        </is>
      </c>
      <c r="L659" t="inlineStr">
        <is>
          <t>reseller</t>
        </is>
      </c>
      <c r="N659" t="n">
        <v>0</v>
      </c>
    </row>
    <row r="660">
      <c r="A660" t="inlineStr">
        <is>
          <t>d62e62abe24dcaa94f9e1b3678477b51</t>
        </is>
      </c>
      <c r="B660" t="inlineStr">
        <is>
          <t>c611f4ce9ce875bcc063fa97fd4d7d12</t>
        </is>
      </c>
      <c r="C660" t="inlineStr">
        <is>
          <t>4b339f9567d060bcea4f5136b9f5949e</t>
        </is>
      </c>
      <c r="D660" t="inlineStr">
        <is>
          <t>85fc447d336637ba1df43e793199fbc8</t>
        </is>
      </c>
      <c r="E660" s="30" t="n">
        <v>43178.86070601852</v>
      </c>
      <c r="F660" t="inlineStr">
        <is>
          <t>construction_tools_house_garden</t>
        </is>
      </c>
      <c r="G660" t="inlineStr">
        <is>
          <t>online_medium</t>
        </is>
      </c>
      <c r="H660" t="inlineStr">
        <is>
          <t>cat</t>
        </is>
      </c>
      <c r="L660" t="inlineStr">
        <is>
          <t>manufacturer</t>
        </is>
      </c>
      <c r="N660" t="n">
        <v>0</v>
      </c>
    </row>
    <row r="661">
      <c r="A661" t="inlineStr">
        <is>
          <t>b97dc9b1917a076d96da7c0ae4e2ed72</t>
        </is>
      </c>
      <c r="B661" t="inlineStr">
        <is>
          <t>376643e536ea9ab265065925112a876a</t>
        </is>
      </c>
      <c r="C661" t="inlineStr">
        <is>
          <t>9d12ef1a7eca3ec58c545c678af7869c</t>
        </is>
      </c>
      <c r="D661" t="inlineStr">
        <is>
          <t>fbf4aef3f6915dc0c3c97d6812522f6a</t>
        </is>
      </c>
      <c r="E661" s="30" t="n">
        <v>43237.125</v>
      </c>
      <c r="F661" t="inlineStr">
        <is>
          <t>household_utilities</t>
        </is>
      </c>
      <c r="G661" t="inlineStr">
        <is>
          <t>industry</t>
        </is>
      </c>
      <c r="H661" t="inlineStr">
        <is>
          <t>eagle</t>
        </is>
      </c>
      <c r="L661" t="inlineStr">
        <is>
          <t>manufacturer</t>
        </is>
      </c>
      <c r="N661" t="n">
        <v>0</v>
      </c>
    </row>
    <row r="662">
      <c r="A662" t="inlineStr">
        <is>
          <t>7f95cccd5ccfb40b086d93e209d08ebf</t>
        </is>
      </c>
      <c r="B662" t="inlineStr">
        <is>
          <t>b28c0625f1f26655cfa0f370be1164ac</t>
        </is>
      </c>
      <c r="C662" t="inlineStr">
        <is>
          <t>370c9f455f93a9a96cbe9bea48e70033</t>
        </is>
      </c>
      <c r="D662" t="inlineStr">
        <is>
          <t>b90f87164b5f8c2cfa5c8572834dbe3f</t>
        </is>
      </c>
      <c r="E662" s="30" t="n">
        <v>43348.6059837963</v>
      </c>
      <c r="F662" t="inlineStr">
        <is>
          <t>food_supplement</t>
        </is>
      </c>
      <c r="G662" t="inlineStr">
        <is>
          <t>online_medium</t>
        </is>
      </c>
      <c r="H662" t="inlineStr">
        <is>
          <t>eagle</t>
        </is>
      </c>
      <c r="I662" t="b">
        <v>1</v>
      </c>
      <c r="J662" t="b">
        <v>1</v>
      </c>
      <c r="K662" t="inlineStr">
        <is>
          <t>1-5</t>
        </is>
      </c>
      <c r="L662" t="inlineStr">
        <is>
          <t>reseller</t>
        </is>
      </c>
      <c r="M662" t="n">
        <v>1000</v>
      </c>
      <c r="N662" t="n">
        <v>0</v>
      </c>
    </row>
    <row r="663">
      <c r="A663" t="inlineStr">
        <is>
          <t>59d49e1ef1cc5496dfde1a1cc0c74004</t>
        </is>
      </c>
      <c r="B663" t="inlineStr">
        <is>
          <t>196964603e568f36848694f9274a2acd</t>
        </is>
      </c>
      <c r="C663" t="inlineStr">
        <is>
          <t>09285259593c61296eef10c734121d5b</t>
        </is>
      </c>
      <c r="D663" t="inlineStr">
        <is>
          <t>2695de1affa7750089c0455f8ce27021</t>
        </is>
      </c>
      <c r="E663" s="30" t="n">
        <v>43222.56898148148</v>
      </c>
      <c r="F663" t="inlineStr">
        <is>
          <t>music_instruments</t>
        </is>
      </c>
      <c r="G663" t="inlineStr">
        <is>
          <t>online_small</t>
        </is>
      </c>
      <c r="H663" t="inlineStr">
        <is>
          <t>eagle</t>
        </is>
      </c>
      <c r="L663" t="inlineStr">
        <is>
          <t>reseller</t>
        </is>
      </c>
      <c r="N663" t="n">
        <v>0</v>
      </c>
    </row>
    <row r="664">
      <c r="A664" t="inlineStr">
        <is>
          <t>dbf25bb9667ad45905359f401d0ffb60</t>
        </is>
      </c>
      <c r="B664" t="inlineStr">
        <is>
          <t>189ca3538ce9f920cacf0f982cbe223b</t>
        </is>
      </c>
      <c r="C664" t="inlineStr">
        <is>
          <t>9d12ef1a7eca3ec58c545c678af7869c</t>
        </is>
      </c>
      <c r="D664" t="inlineStr">
        <is>
          <t>fbf4aef3f6915dc0c3c97d6812522f6a</t>
        </is>
      </c>
      <c r="E664" s="30" t="n">
        <v>43220.5029050926</v>
      </c>
      <c r="F664" t="inlineStr">
        <is>
          <t>stationery</t>
        </is>
      </c>
      <c r="G664" t="inlineStr">
        <is>
          <t>online_medium</t>
        </is>
      </c>
      <c r="H664" t="inlineStr">
        <is>
          <t>cat</t>
        </is>
      </c>
      <c r="L664" t="inlineStr">
        <is>
          <t>manufacturer</t>
        </is>
      </c>
      <c r="N664" t="n">
        <v>0</v>
      </c>
    </row>
    <row r="665">
      <c r="A665" t="inlineStr">
        <is>
          <t>ff8ee6aac61c11f16443646cdf467146</t>
        </is>
      </c>
      <c r="B665" t="inlineStr">
        <is>
          <t>7877194d40c496d36a88ae5957c5e7d1</t>
        </is>
      </c>
      <c r="C665" t="inlineStr">
        <is>
          <t>a8387c01a09e99ce014107505b92388c</t>
        </is>
      </c>
      <c r="D665" t="inlineStr">
        <is>
          <t>4ef15afb4b2723d8f3d81e51ec7afefe</t>
        </is>
      </c>
      <c r="E665" s="30" t="n">
        <v>43203.125</v>
      </c>
      <c r="F665" t="inlineStr">
        <is>
          <t>car_accessories</t>
        </is>
      </c>
      <c r="G665" t="inlineStr">
        <is>
          <t>industry</t>
        </is>
      </c>
      <c r="H665" t="inlineStr">
        <is>
          <t>cat</t>
        </is>
      </c>
      <c r="L665" t="inlineStr">
        <is>
          <t>manufacturer</t>
        </is>
      </c>
      <c r="N665" t="n">
        <v>0</v>
      </c>
    </row>
    <row r="666">
      <c r="A666" t="inlineStr">
        <is>
          <t>4c3419c75074a0734e4d1851aa66eb8b</t>
        </is>
      </c>
      <c r="B666" t="inlineStr">
        <is>
          <t>9ffca1681e7428db3d75eb4b69ee9599</t>
        </is>
      </c>
      <c r="C666" t="inlineStr">
        <is>
          <t>068066e24f0c643eb1d089c7dd20cd73</t>
        </is>
      </c>
      <c r="D666" t="inlineStr">
        <is>
          <t>495d4e95a8cf8bbf8b432b612a2aa328</t>
        </is>
      </c>
      <c r="E666" s="30" t="n">
        <v>43139.55109953704</v>
      </c>
      <c r="F666" t="inlineStr">
        <is>
          <t>health_beauty</t>
        </is>
      </c>
      <c r="G666" t="inlineStr">
        <is>
          <t>online_medium</t>
        </is>
      </c>
      <c r="L666" t="inlineStr">
        <is>
          <t>manufacturer</t>
        </is>
      </c>
      <c r="N666" t="n">
        <v>0</v>
      </c>
    </row>
    <row r="667">
      <c r="A667" t="inlineStr">
        <is>
          <t>2dfbe1c802c78a8b1f75ef13b70c1124</t>
        </is>
      </c>
      <c r="B667" t="inlineStr">
        <is>
          <t>382229d1e840115ffe3dbf5ff460e417</t>
        </is>
      </c>
      <c r="C667" t="inlineStr">
        <is>
          <t>4b339f9567d060bcea4f5136b9f5949e</t>
        </is>
      </c>
      <c r="D667" t="inlineStr">
        <is>
          <t>495d4e95a8cf8bbf8b432b612a2aa328</t>
        </is>
      </c>
      <c r="E667" s="30" t="n">
        <v>43186.8021875</v>
      </c>
      <c r="F667" t="inlineStr">
        <is>
          <t>household_utilities</t>
        </is>
      </c>
      <c r="G667" t="inlineStr">
        <is>
          <t>online_big</t>
        </is>
      </c>
      <c r="H667" t="inlineStr">
        <is>
          <t>shark</t>
        </is>
      </c>
      <c r="L667" t="inlineStr">
        <is>
          <t>reseller</t>
        </is>
      </c>
      <c r="N667" t="n">
        <v>0</v>
      </c>
    </row>
    <row r="668">
      <c r="A668" t="inlineStr">
        <is>
          <t>5db98ad3d38184a2f9db88f5bb1c62c1</t>
        </is>
      </c>
      <c r="B668" t="inlineStr">
        <is>
          <t>5bc24d989e71e93c33e50a7782431b0e</t>
        </is>
      </c>
      <c r="C668" t="inlineStr">
        <is>
          <t>9d12ef1a7eca3ec58c545c678af7869c</t>
        </is>
      </c>
      <c r="D668" t="inlineStr">
        <is>
          <t>de63de0d10a6012430098db33c679b0b</t>
        </is>
      </c>
      <c r="E668" s="30" t="n">
        <v>43179.84960648148</v>
      </c>
      <c r="F668" t="inlineStr">
        <is>
          <t>car_accessories</t>
        </is>
      </c>
      <c r="G668" t="inlineStr">
        <is>
          <t>online_medium</t>
        </is>
      </c>
      <c r="H668" t="inlineStr">
        <is>
          <t>cat</t>
        </is>
      </c>
      <c r="L668" t="inlineStr">
        <is>
          <t>manufacturer</t>
        </is>
      </c>
      <c r="N668" t="n">
        <v>0</v>
      </c>
    </row>
    <row r="669">
      <c r="A669" t="inlineStr">
        <is>
          <t>b91cf8812365f50ff4bda4bcd6206b05</t>
        </is>
      </c>
      <c r="B669" t="inlineStr">
        <is>
          <t>5e063e85d44b0f5c3e6ec3131103a57e</t>
        </is>
      </c>
      <c r="C669" t="inlineStr">
        <is>
          <t>a8387c01a09e99ce014107505b92388c</t>
        </is>
      </c>
      <c r="D669" t="inlineStr">
        <is>
          <t>495d4e95a8cf8bbf8b432b612a2aa328</t>
        </is>
      </c>
      <c r="E669" s="30" t="n">
        <v>43165.81869212963</v>
      </c>
      <c r="F669" t="inlineStr">
        <is>
          <t>health_beauty</t>
        </is>
      </c>
      <c r="G669" t="inlineStr">
        <is>
          <t>online_big</t>
        </is>
      </c>
      <c r="H669" t="inlineStr">
        <is>
          <t>cat</t>
        </is>
      </c>
      <c r="L669" t="inlineStr">
        <is>
          <t>reseller</t>
        </is>
      </c>
      <c r="N669" t="n">
        <v>0</v>
      </c>
    </row>
    <row r="670">
      <c r="A670" t="inlineStr">
        <is>
          <t>6ddd8f436b40ded89a268f4b38a30b35</t>
        </is>
      </c>
      <c r="B670" t="inlineStr">
        <is>
          <t>164471825a8de8c31eb8cb9375b27243</t>
        </is>
      </c>
      <c r="C670" t="inlineStr">
        <is>
          <t>068066e24f0c643eb1d089c7dd20cd73</t>
        </is>
      </c>
      <c r="D670" t="inlineStr">
        <is>
          <t>fbf4aef3f6915dc0c3c97d6812522f6a</t>
        </is>
      </c>
      <c r="E670" s="30" t="n">
        <v>43166.80804398148</v>
      </c>
      <c r="F670" t="inlineStr">
        <is>
          <t>computers</t>
        </is>
      </c>
      <c r="G670" t="inlineStr">
        <is>
          <t>online_medium</t>
        </is>
      </c>
      <c r="H670" t="inlineStr">
        <is>
          <t>cat</t>
        </is>
      </c>
      <c r="L670" t="inlineStr">
        <is>
          <t>reseller</t>
        </is>
      </c>
      <c r="N670" t="n">
        <v>0</v>
      </c>
    </row>
    <row r="671">
      <c r="A671" t="inlineStr">
        <is>
          <t>3d2c7bb8be9ea80c1477b6778fbd2cf6</t>
        </is>
      </c>
      <c r="B671" t="inlineStr">
        <is>
          <t>bd585fa4d871cd7600ec8a2b90c57a4e</t>
        </is>
      </c>
      <c r="C671" t="inlineStr">
        <is>
          <t>f42a2bd194f7802ab052a815c8de65b7</t>
        </is>
      </c>
      <c r="D671" t="inlineStr">
        <is>
          <t>9d12ef1a7eca3ec58c545c678af7869c</t>
        </is>
      </c>
      <c r="E671" s="30" t="n">
        <v>43369.49228009259</v>
      </c>
      <c r="F671" t="inlineStr">
        <is>
          <t>car_accessories</t>
        </is>
      </c>
      <c r="G671" t="inlineStr">
        <is>
          <t>online_medium</t>
        </is>
      </c>
      <c r="H671" t="inlineStr">
        <is>
          <t>cat, wolf</t>
        </is>
      </c>
      <c r="I671" t="b">
        <v>1</v>
      </c>
      <c r="J671" t="b">
        <v>1</v>
      </c>
      <c r="K671" t="inlineStr">
        <is>
          <t>unknown</t>
        </is>
      </c>
      <c r="L671" t="inlineStr">
        <is>
          <t>reseller</t>
        </is>
      </c>
      <c r="M671" t="n">
        <v>700</v>
      </c>
      <c r="N671" t="n">
        <v>50000</v>
      </c>
    </row>
    <row r="672">
      <c r="A672" t="inlineStr">
        <is>
          <t>9e5523333afdebe2911f20c3e5b452df</t>
        </is>
      </c>
      <c r="B672" t="inlineStr">
        <is>
          <t>698f5fa55a5f73d0740e9d9a773e8093</t>
        </is>
      </c>
      <c r="C672" t="inlineStr">
        <is>
          <t>9e4d1098a3b0f5da39b0bc48f9876645</t>
        </is>
      </c>
      <c r="D672" t="inlineStr">
        <is>
          <t>495d4e95a8cf8bbf8b432b612a2aa328</t>
        </is>
      </c>
      <c r="E672" s="30" t="n">
        <v>43174.85548611111</v>
      </c>
      <c r="F672" t="inlineStr">
        <is>
          <t>health_beauty</t>
        </is>
      </c>
      <c r="G672" t="inlineStr">
        <is>
          <t>offline</t>
        </is>
      </c>
      <c r="H672" t="inlineStr">
        <is>
          <t>eagle</t>
        </is>
      </c>
      <c r="L672" t="inlineStr">
        <is>
          <t>reseller</t>
        </is>
      </c>
      <c r="N672" t="n">
        <v>0</v>
      </c>
    </row>
    <row r="673">
      <c r="A673" t="inlineStr">
        <is>
          <t>d54be8a176d25fedda751546f6276fb6</t>
        </is>
      </c>
      <c r="B673" t="inlineStr">
        <is>
          <t>0f5f7caa3e6a2b466fabe6bfaf25b06b</t>
        </is>
      </c>
      <c r="C673" t="inlineStr">
        <is>
          <t>9e4d1098a3b0f5da39b0bc48f9876645</t>
        </is>
      </c>
      <c r="D673" t="inlineStr">
        <is>
          <t>c638112b43f1d1b86dcabb0da720c901</t>
        </is>
      </c>
      <c r="E673" s="30" t="n">
        <v>43185.71137731482</v>
      </c>
      <c r="F673" t="inlineStr">
        <is>
          <t>audio_video_electronics</t>
        </is>
      </c>
      <c r="G673" t="inlineStr">
        <is>
          <t>online_medium</t>
        </is>
      </c>
      <c r="H673" t="inlineStr">
        <is>
          <t>cat</t>
        </is>
      </c>
      <c r="L673" t="inlineStr">
        <is>
          <t>reseller</t>
        </is>
      </c>
      <c r="N673" t="n">
        <v>0</v>
      </c>
    </row>
    <row r="674">
      <c r="A674" t="inlineStr">
        <is>
          <t>4653dc197e56d94547c86d7a3af40833</t>
        </is>
      </c>
      <c r="B674" t="inlineStr">
        <is>
          <t>e1dc0754bada9ee4cfe9713f22f61292</t>
        </is>
      </c>
      <c r="C674" t="inlineStr">
        <is>
          <t>56bf83c4bb35763a51c2baab501b4c67</t>
        </is>
      </c>
      <c r="D674" t="inlineStr">
        <is>
          <t>4ef15afb4b2723d8f3d81e51ec7afefe</t>
        </is>
      </c>
      <c r="E674" s="30" t="n">
        <v>43161.88805555556</v>
      </c>
      <c r="F674" t="inlineStr">
        <is>
          <t>toys</t>
        </is>
      </c>
      <c r="G674" t="inlineStr">
        <is>
          <t>online_medium</t>
        </is>
      </c>
      <c r="H674" t="inlineStr">
        <is>
          <t>eagle</t>
        </is>
      </c>
      <c r="L674" t="inlineStr">
        <is>
          <t>reseller</t>
        </is>
      </c>
      <c r="N674" t="n">
        <v>0</v>
      </c>
    </row>
    <row r="675">
      <c r="A675" t="inlineStr">
        <is>
          <t>8ac5c69653a6ec0c8a96f304c13fb1d6</t>
        </is>
      </c>
      <c r="B675" t="inlineStr">
        <is>
          <t>e58a5b390e28abc0b216cfb0e07d27d7</t>
        </is>
      </c>
      <c r="C675" t="inlineStr">
        <is>
          <t>068066e24f0c643eb1d089c7dd20cd73</t>
        </is>
      </c>
      <c r="D675" t="inlineStr">
        <is>
          <t>495d4e95a8cf8bbf8b432b612a2aa328</t>
        </is>
      </c>
      <c r="E675" s="30" t="n">
        <v>43119.81244212963</v>
      </c>
      <c r="F675" t="inlineStr">
        <is>
          <t>bags_backpacks</t>
        </is>
      </c>
      <c r="G675" t="inlineStr">
        <is>
          <t>online_medium</t>
        </is>
      </c>
      <c r="L675" t="inlineStr">
        <is>
          <t>reseller</t>
        </is>
      </c>
      <c r="N675" t="n">
        <v>0</v>
      </c>
    </row>
    <row r="676">
      <c r="A676" t="inlineStr">
        <is>
          <t>b02c6bdb3693e65bd8e9b75df65fe2c4</t>
        </is>
      </c>
      <c r="B676" t="inlineStr">
        <is>
          <t>588e81a6924bcffd4e366453885e72b1</t>
        </is>
      </c>
      <c r="C676" t="inlineStr">
        <is>
          <t>0a0fb2b07d841f84fb6714e35c723075</t>
        </is>
      </c>
      <c r="D676" t="inlineStr">
        <is>
          <t>2695de1affa7750089c0455f8ce27021</t>
        </is>
      </c>
      <c r="E676" s="30" t="n">
        <v>43399.71311342593</v>
      </c>
      <c r="F676" t="inlineStr">
        <is>
          <t>audio_video_electronics</t>
        </is>
      </c>
      <c r="G676" t="inlineStr">
        <is>
          <t>online_medium</t>
        </is>
      </c>
      <c r="H676" t="inlineStr">
        <is>
          <t>eagle</t>
        </is>
      </c>
      <c r="L676" t="inlineStr">
        <is>
          <t>manufacturer</t>
        </is>
      </c>
      <c r="M676" t="n">
        <v>100</v>
      </c>
      <c r="N676" t="n">
        <v>0</v>
      </c>
    </row>
    <row r="677">
      <c r="A677" t="inlineStr">
        <is>
          <t>423b036257e9b247694318b327fdef68</t>
        </is>
      </c>
      <c r="B677" t="inlineStr">
        <is>
          <t>aae5e7b457a3c72ee230a47d98fceda5</t>
        </is>
      </c>
      <c r="C677" t="inlineStr">
        <is>
          <t>fdb16d3cbbeb5798f2f66c4096be026d</t>
        </is>
      </c>
      <c r="D677" t="inlineStr">
        <is>
          <t>9ae085775a198122c5586fa830ff7f2b</t>
        </is>
      </c>
      <c r="E677" s="30" t="n">
        <v>43117.50787037037</v>
      </c>
      <c r="F677" t="inlineStr">
        <is>
          <t>bed_bath_table</t>
        </is>
      </c>
      <c r="G677" t="inlineStr">
        <is>
          <t>industry</t>
        </is>
      </c>
      <c r="L677" t="inlineStr">
        <is>
          <t>manufacturer</t>
        </is>
      </c>
      <c r="N677" t="n">
        <v>0</v>
      </c>
    </row>
    <row r="678">
      <c r="A678" t="inlineStr">
        <is>
          <t>ac029f072468dd8c97c15f0a9fa96f00</t>
        </is>
      </c>
      <c r="B678" t="inlineStr">
        <is>
          <t>dfa0c4c6229ab200a4a1336b4d7128ff</t>
        </is>
      </c>
      <c r="C678" t="inlineStr">
        <is>
          <t>f42a2bd194f7802ab052a815c8de65b7</t>
        </is>
      </c>
      <c r="D678" t="inlineStr">
        <is>
          <t>6565aa9ce3178a5caf6171827af3a9ba</t>
        </is>
      </c>
      <c r="E678" s="30" t="n">
        <v>43210.8208912037</v>
      </c>
      <c r="F678" t="inlineStr">
        <is>
          <t>home_decor</t>
        </is>
      </c>
      <c r="G678" t="inlineStr">
        <is>
          <t>online_medium</t>
        </is>
      </c>
      <c r="H678" t="inlineStr">
        <is>
          <t>eagle</t>
        </is>
      </c>
      <c r="L678" t="inlineStr">
        <is>
          <t>reseller</t>
        </is>
      </c>
      <c r="N678" t="n">
        <v>0</v>
      </c>
    </row>
    <row r="679">
      <c r="A679" t="inlineStr">
        <is>
          <t>e77cae9fcdb3fd588d797921ac663823</t>
        </is>
      </c>
      <c r="B679" t="inlineStr">
        <is>
          <t>a31ed365258882cc2a1e25d6710704ea</t>
        </is>
      </c>
      <c r="C679" t="inlineStr">
        <is>
          <t>370c9f455f93a9a96cbe9bea48e70033</t>
        </is>
      </c>
      <c r="D679" t="inlineStr">
        <is>
          <t>6565aa9ce3178a5caf6171827af3a9ba</t>
        </is>
      </c>
      <c r="E679" s="30" t="n">
        <v>43220.89144675926</v>
      </c>
      <c r="F679" t="inlineStr">
        <is>
          <t>audio_video_electronics</t>
        </is>
      </c>
      <c r="G679" t="inlineStr">
        <is>
          <t>online_medium</t>
        </is>
      </c>
      <c r="H679" t="inlineStr">
        <is>
          <t>eagle</t>
        </is>
      </c>
      <c r="L679" t="inlineStr">
        <is>
          <t>reseller</t>
        </is>
      </c>
      <c r="N679" t="n">
        <v>0</v>
      </c>
    </row>
    <row r="680">
      <c r="A680" t="inlineStr">
        <is>
          <t>8d4af10effffa338cc97d3ef4b2507dd</t>
        </is>
      </c>
      <c r="B680" t="inlineStr">
        <is>
          <t>53088c75f948b48a7ece173ac17f0c12</t>
        </is>
      </c>
      <c r="C680" t="inlineStr">
        <is>
          <t>34d40cdaf94010a1d05b0d6212f9e909</t>
        </is>
      </c>
      <c r="D680" t="inlineStr">
        <is>
          <t>068066e24f0c643eb1d089c7dd20cd73</t>
        </is>
      </c>
      <c r="E680" s="30" t="n">
        <v>43229.55361111111</v>
      </c>
      <c r="F680" t="inlineStr">
        <is>
          <t>health_beauty</t>
        </is>
      </c>
      <c r="G680" t="inlineStr">
        <is>
          <t>offline</t>
        </is>
      </c>
      <c r="H680" t="inlineStr">
        <is>
          <t>eagle</t>
        </is>
      </c>
      <c r="L680" t="inlineStr">
        <is>
          <t>reseller</t>
        </is>
      </c>
      <c r="N680" t="n">
        <v>0</v>
      </c>
    </row>
    <row r="681">
      <c r="A681" t="inlineStr">
        <is>
          <t>01409f7f7f2bd5ec0c1755b362e9db6e</t>
        </is>
      </c>
      <c r="B681" t="inlineStr">
        <is>
          <t>eada4a0629faf243de4159916c10cd1a</t>
        </is>
      </c>
      <c r="C681" t="inlineStr">
        <is>
          <t>fdb16d3cbbeb5798f2f66c4096be026d</t>
        </is>
      </c>
      <c r="D681" t="inlineStr">
        <is>
          <t>2695de1affa7750089c0455f8ce27021</t>
        </is>
      </c>
      <c r="E681" s="30" t="n">
        <v>43165.75981481482</v>
      </c>
      <c r="F681" t="inlineStr">
        <is>
          <t>health_beauty</t>
        </is>
      </c>
      <c r="G681" t="inlineStr">
        <is>
          <t>online_big</t>
        </is>
      </c>
      <c r="H681" t="inlineStr">
        <is>
          <t>cat</t>
        </is>
      </c>
      <c r="L681" t="inlineStr">
        <is>
          <t>reseller</t>
        </is>
      </c>
      <c r="N681" t="n">
        <v>0</v>
      </c>
    </row>
    <row r="682">
      <c r="A682" t="inlineStr">
        <is>
          <t>214ace4c93ff3e251c239e9d47d1517b</t>
        </is>
      </c>
      <c r="B682" t="inlineStr">
        <is>
          <t>0c1d290fe8e252b31ebc2ead30634efc</t>
        </is>
      </c>
      <c r="C682" t="inlineStr">
        <is>
          <t>4b339f9567d060bcea4f5136b9f5949e</t>
        </is>
      </c>
      <c r="D682" t="inlineStr">
        <is>
          <t>9e4d1098a3b0f5da39b0bc48f9876645</t>
        </is>
      </c>
      <c r="E682" s="30" t="n">
        <v>43208.53126157408</v>
      </c>
      <c r="F682" t="inlineStr">
        <is>
          <t>health_beauty</t>
        </is>
      </c>
      <c r="G682" t="inlineStr">
        <is>
          <t>online_medium</t>
        </is>
      </c>
      <c r="H682" t="inlineStr">
        <is>
          <t>eagle</t>
        </is>
      </c>
      <c r="L682" t="inlineStr">
        <is>
          <t>reseller</t>
        </is>
      </c>
      <c r="N682" t="n">
        <v>0</v>
      </c>
    </row>
    <row r="683">
      <c r="A683" t="inlineStr">
        <is>
          <t>9dde4d7713ae64986ab6f5c9f9cf94d3</t>
        </is>
      </c>
      <c r="B683" t="inlineStr">
        <is>
          <t>c33e6d3ad32fd5bec1b0f2522f668213</t>
        </is>
      </c>
      <c r="C683" t="inlineStr">
        <is>
          <t>19f3cd308f1455b3fa09a282e0d496f4</t>
        </is>
      </c>
      <c r="D683" t="inlineStr">
        <is>
          <t>a8387c01a09e99ce014107505b92388c</t>
        </is>
      </c>
      <c r="E683" s="30" t="n">
        <v>43413.83793981482</v>
      </c>
      <c r="F683" t="inlineStr">
        <is>
          <t>other</t>
        </is>
      </c>
      <c r="G683" t="inlineStr">
        <is>
          <t>other</t>
        </is>
      </c>
      <c r="H683" t="inlineStr">
        <is>
          <t>cat</t>
        </is>
      </c>
      <c r="L683" t="inlineStr">
        <is>
          <t>other</t>
        </is>
      </c>
      <c r="M683" t="n">
        <v>100</v>
      </c>
      <c r="N683" t="n">
        <v>500000</v>
      </c>
    </row>
    <row r="684">
      <c r="A684" t="inlineStr">
        <is>
          <t>07da1921cbc124b15d105b3e13d67eb5</t>
        </is>
      </c>
      <c r="B684" t="inlineStr">
        <is>
          <t>fd5564b7d093f9d64d1a5f223dfe43bc</t>
        </is>
      </c>
      <c r="C684" t="inlineStr">
        <is>
          <t>de63de0d10a6012430098db33c679b0b</t>
        </is>
      </c>
      <c r="D684" t="inlineStr">
        <is>
          <t>d3d1e91a157ea7f90548eef82f1955e3</t>
        </is>
      </c>
      <c r="E684" s="30" t="n">
        <v>43196.50912037037</v>
      </c>
      <c r="F684" t="inlineStr">
        <is>
          <t>car_accessories</t>
        </is>
      </c>
      <c r="G684" t="inlineStr">
        <is>
          <t>offline</t>
        </is>
      </c>
      <c r="H684" t="inlineStr">
        <is>
          <t>cat</t>
        </is>
      </c>
      <c r="L684" t="inlineStr">
        <is>
          <t>reseller</t>
        </is>
      </c>
      <c r="N684" t="n">
        <v>0</v>
      </c>
    </row>
    <row r="685">
      <c r="A685" t="inlineStr">
        <is>
          <t>b17d646e36f5fb120b2ea74c14d39f5c</t>
        </is>
      </c>
      <c r="B685" t="inlineStr">
        <is>
          <t>2e311c110b108aece4a48ab7165f28b3</t>
        </is>
      </c>
      <c r="C685" t="inlineStr">
        <is>
          <t>4b339f9567d060bcea4f5136b9f5949e</t>
        </is>
      </c>
      <c r="D685" t="inlineStr">
        <is>
          <t>4ef15afb4b2723d8f3d81e51ec7afefe</t>
        </is>
      </c>
      <c r="E685" s="30" t="n">
        <v>43153.8924537037</v>
      </c>
      <c r="F685" t="inlineStr">
        <is>
          <t>household_utilities</t>
        </is>
      </c>
      <c r="G685" t="inlineStr">
        <is>
          <t>online_medium</t>
        </is>
      </c>
      <c r="L685" t="inlineStr">
        <is>
          <t>reseller</t>
        </is>
      </c>
      <c r="N685" t="n">
        <v>0</v>
      </c>
    </row>
    <row r="686">
      <c r="A686" t="inlineStr">
        <is>
          <t>b4a52d5e8d7a56355abf7597fe5b2bbd</t>
        </is>
      </c>
      <c r="B686" t="inlineStr">
        <is>
          <t>da43bc6766501a2ad1aba35b09b7c9ac</t>
        </is>
      </c>
      <c r="C686" t="inlineStr">
        <is>
          <t>4b339f9567d060bcea4f5136b9f5949e</t>
        </is>
      </c>
      <c r="D686" t="inlineStr">
        <is>
          <t>4ef15afb4b2723d8f3d81e51ec7afefe</t>
        </is>
      </c>
      <c r="E686" s="30" t="n">
        <v>43200.79762731482</v>
      </c>
      <c r="F686" t="inlineStr">
        <is>
          <t>watches</t>
        </is>
      </c>
      <c r="G686" t="inlineStr">
        <is>
          <t>offline</t>
        </is>
      </c>
      <c r="H686" t="inlineStr">
        <is>
          <t>wolf</t>
        </is>
      </c>
      <c r="L686" t="inlineStr">
        <is>
          <t>reseller</t>
        </is>
      </c>
      <c r="N686" t="n">
        <v>0</v>
      </c>
    </row>
    <row r="687">
      <c r="A687" t="inlineStr">
        <is>
          <t>61681a30d47dc8b1ec5180ccdec26ba5</t>
        </is>
      </c>
      <c r="B687" t="inlineStr">
        <is>
          <t>4a4da369ad50f14d48337aa52eb826f5</t>
        </is>
      </c>
      <c r="C687" t="inlineStr">
        <is>
          <t>068066e24f0c643eb1d089c7dd20cd73</t>
        </is>
      </c>
      <c r="D687" t="inlineStr">
        <is>
          <t>6565aa9ce3178a5caf6171827af3a9ba</t>
        </is>
      </c>
      <c r="E687" s="30" t="n">
        <v>43129.63128472222</v>
      </c>
      <c r="F687" t="inlineStr">
        <is>
          <t>health_beauty</t>
        </is>
      </c>
      <c r="G687" t="inlineStr">
        <is>
          <t>online_medium</t>
        </is>
      </c>
      <c r="L687" t="inlineStr">
        <is>
          <t>reseller</t>
        </is>
      </c>
      <c r="N687" t="n">
        <v>0</v>
      </c>
    </row>
    <row r="688">
      <c r="A688" t="inlineStr">
        <is>
          <t>27ce438e6e1f602971ea0443f5d4428e</t>
        </is>
      </c>
      <c r="B688" t="inlineStr">
        <is>
          <t>05e107217c7266362fd44b75b2cd4cc4</t>
        </is>
      </c>
      <c r="C688" t="inlineStr">
        <is>
          <t>f42a2bd194f7802ab052a815c8de65b7</t>
        </is>
      </c>
      <c r="D688" t="inlineStr">
        <is>
          <t>85fc447d336637ba1df43e793199fbc8</t>
        </is>
      </c>
      <c r="E688" s="30" t="n">
        <v>43236.62877314815</v>
      </c>
      <c r="F688" t="inlineStr">
        <is>
          <t>stationery</t>
        </is>
      </c>
      <c r="G688" t="inlineStr">
        <is>
          <t>online_medium</t>
        </is>
      </c>
      <c r="H688" t="inlineStr">
        <is>
          <t>wolf</t>
        </is>
      </c>
      <c r="L688" t="inlineStr">
        <is>
          <t>reseller</t>
        </is>
      </c>
      <c r="N688" t="n">
        <v>0</v>
      </c>
    </row>
    <row r="689">
      <c r="A689" t="inlineStr">
        <is>
          <t>b48c62590e6d0cda7b99d3c4053a412b</t>
        </is>
      </c>
      <c r="B689" t="inlineStr">
        <is>
          <t>7f49fc7a8336278ab1287ed28d565258</t>
        </is>
      </c>
      <c r="C689" t="inlineStr">
        <is>
          <t>370c9f455f93a9a96cbe9bea48e70033</t>
        </is>
      </c>
      <c r="D689" t="inlineStr">
        <is>
          <t>2695de1affa7750089c0455f8ce27021</t>
        </is>
      </c>
      <c r="E689" s="30" t="n">
        <v>43210.85025462963</v>
      </c>
      <c r="F689" t="inlineStr">
        <is>
          <t>food_supplement</t>
        </is>
      </c>
      <c r="G689" t="inlineStr">
        <is>
          <t>industry</t>
        </is>
      </c>
      <c r="H689" t="inlineStr">
        <is>
          <t>cat</t>
        </is>
      </c>
      <c r="L689" t="inlineStr">
        <is>
          <t>manufacturer</t>
        </is>
      </c>
      <c r="N689" t="n">
        <v>0</v>
      </c>
    </row>
    <row r="690">
      <c r="A690" t="inlineStr">
        <is>
          <t>7bf1f5c2051159d32a588de7a73c8edf</t>
        </is>
      </c>
      <c r="B690" t="inlineStr">
        <is>
          <t>c510bc1718f0f2961eaa42a23330681a</t>
        </is>
      </c>
      <c r="C690" t="inlineStr">
        <is>
          <t>370c9f455f93a9a96cbe9bea48e70033</t>
        </is>
      </c>
      <c r="D690" t="inlineStr">
        <is>
          <t>4ef15afb4b2723d8f3d81e51ec7afefe</t>
        </is>
      </c>
      <c r="E690" s="30" t="n">
        <v>43200.77604166666</v>
      </c>
      <c r="F690" t="inlineStr">
        <is>
          <t>baby</t>
        </is>
      </c>
      <c r="G690" t="inlineStr">
        <is>
          <t>online_big</t>
        </is>
      </c>
      <c r="H690" t="inlineStr">
        <is>
          <t>eagle</t>
        </is>
      </c>
      <c r="L690" t="inlineStr">
        <is>
          <t>reseller</t>
        </is>
      </c>
      <c r="N690" t="n">
        <v>0</v>
      </c>
    </row>
    <row r="691">
      <c r="A691" t="inlineStr">
        <is>
          <t>4f2a5cee950dff883ba2d52715c97bb3</t>
        </is>
      </c>
      <c r="B691" t="inlineStr">
        <is>
          <t>ae1e6f638fc33a9cdbc2871bf60c6635</t>
        </is>
      </c>
      <c r="C691" t="inlineStr">
        <is>
          <t>068066e24f0c643eb1d089c7dd20cd73</t>
        </is>
      </c>
      <c r="D691" t="inlineStr">
        <is>
          <t>56bf83c4bb35763a51c2baab501b4c67</t>
        </is>
      </c>
      <c r="E691" s="30" t="n">
        <v>43203.71075231482</v>
      </c>
      <c r="F691" t="inlineStr">
        <is>
          <t>home_decor</t>
        </is>
      </c>
      <c r="G691" t="inlineStr">
        <is>
          <t>online_medium</t>
        </is>
      </c>
      <c r="H691" t="inlineStr">
        <is>
          <t>cat</t>
        </is>
      </c>
      <c r="L691" t="inlineStr">
        <is>
          <t>manufacturer</t>
        </is>
      </c>
      <c r="N691" t="n">
        <v>0</v>
      </c>
    </row>
    <row r="692">
      <c r="A692" t="inlineStr">
        <is>
          <t>2f68c2e0cd8964d59dbbcfa48196b499</t>
        </is>
      </c>
      <c r="B692" t="inlineStr">
        <is>
          <t>4c1c7281388a33dd06daac44f9fadbd1</t>
        </is>
      </c>
      <c r="C692" t="inlineStr">
        <is>
          <t>9e4d1098a3b0f5da39b0bc48f9876645</t>
        </is>
      </c>
      <c r="D692" t="inlineStr">
        <is>
          <t>4ef15afb4b2723d8f3d81e51ec7afefe</t>
        </is>
      </c>
      <c r="E692" s="30" t="n">
        <v>43167.79023148148</v>
      </c>
      <c r="F692" t="inlineStr">
        <is>
          <t>stationery</t>
        </is>
      </c>
      <c r="G692" t="inlineStr">
        <is>
          <t>online_medium</t>
        </is>
      </c>
      <c r="H692" t="inlineStr">
        <is>
          <t>cat</t>
        </is>
      </c>
      <c r="L692" t="inlineStr">
        <is>
          <t>reseller</t>
        </is>
      </c>
      <c r="N692" t="n">
        <v>0</v>
      </c>
    </row>
    <row r="693">
      <c r="A693" t="inlineStr">
        <is>
          <t>6ff169c8d96bc9b776c14c0e65af28df</t>
        </is>
      </c>
      <c r="B693" t="inlineStr">
        <is>
          <t>85ecf03781da592876b7844acc1b729f</t>
        </is>
      </c>
      <c r="C693" t="inlineStr">
        <is>
          <t>f42a2bd194f7802ab052a815c8de65b7</t>
        </is>
      </c>
      <c r="D693" t="inlineStr">
        <is>
          <t>060c0a26f19f4d66b42e0d8796688490</t>
        </is>
      </c>
      <c r="E693" s="30" t="n">
        <v>43220.76681712963</v>
      </c>
      <c r="F693" t="inlineStr">
        <is>
          <t>health_beauty</t>
        </is>
      </c>
      <c r="G693" t="inlineStr">
        <is>
          <t>online_medium</t>
        </is>
      </c>
      <c r="H693" t="inlineStr">
        <is>
          <t>cat</t>
        </is>
      </c>
      <c r="L693" t="inlineStr">
        <is>
          <t>reseller</t>
        </is>
      </c>
      <c r="N693" t="n">
        <v>0</v>
      </c>
    </row>
    <row r="694">
      <c r="A694" t="inlineStr">
        <is>
          <t>13c5dfa246046c0beea97e100f32a1a9</t>
        </is>
      </c>
      <c r="B694" t="inlineStr">
        <is>
          <t>968268a686aa05d1f529fb07dff08130</t>
        </is>
      </c>
      <c r="C694" t="inlineStr">
        <is>
          <t>fdb16d3cbbeb5798f2f66c4096be026d</t>
        </is>
      </c>
      <c r="D694" t="inlineStr">
        <is>
          <t>9ae085775a198122c5586fa830ff7f2b</t>
        </is>
      </c>
      <c r="E694" s="30" t="n">
        <v>43122.80167824074</v>
      </c>
      <c r="F694" t="inlineStr">
        <is>
          <t>stationery</t>
        </is>
      </c>
      <c r="G694" t="inlineStr">
        <is>
          <t>online_big</t>
        </is>
      </c>
      <c r="L694" t="inlineStr">
        <is>
          <t>reseller</t>
        </is>
      </c>
      <c r="N694" t="n">
        <v>0</v>
      </c>
    </row>
    <row r="695">
      <c r="A695" t="inlineStr">
        <is>
          <t>0a55079ea003674ae2145b02f03ff27d</t>
        </is>
      </c>
      <c r="B695" t="inlineStr">
        <is>
          <t>ae0728a2cb289dec6d1ceb0b7d6b82c5</t>
        </is>
      </c>
      <c r="C695" t="inlineStr">
        <is>
          <t>4b339f9567d060bcea4f5136b9f5949e</t>
        </is>
      </c>
      <c r="D695" t="inlineStr">
        <is>
          <t>9e4d1098a3b0f5da39b0bc48f9876645</t>
        </is>
      </c>
      <c r="E695" s="30" t="n">
        <v>43200.61326388889</v>
      </c>
      <c r="F695" t="inlineStr">
        <is>
          <t>health_beauty</t>
        </is>
      </c>
      <c r="G695" t="inlineStr">
        <is>
          <t>online_medium</t>
        </is>
      </c>
      <c r="H695" t="inlineStr">
        <is>
          <t>cat</t>
        </is>
      </c>
      <c r="L695" t="inlineStr">
        <is>
          <t>reseller</t>
        </is>
      </c>
      <c r="N695" t="n">
        <v>0</v>
      </c>
    </row>
    <row r="696">
      <c r="A696" t="inlineStr">
        <is>
          <t>af727f4749d4bccd52b0d84bcd241a28</t>
        </is>
      </c>
      <c r="B696" t="inlineStr">
        <is>
          <t>8cd5c90bb5fe7f2d779c81bfd6d9ffcf</t>
        </is>
      </c>
      <c r="C696" t="inlineStr">
        <is>
          <t>09285259593c61296eef10c734121d5b</t>
        </is>
      </c>
      <c r="D696" t="inlineStr">
        <is>
          <t>fbf4aef3f6915dc0c3c97d6812522f6a</t>
        </is>
      </c>
      <c r="E696" s="30" t="n">
        <v>43207.55197916667</v>
      </c>
      <c r="F696" t="inlineStr">
        <is>
          <t>health_beauty</t>
        </is>
      </c>
      <c r="G696" t="inlineStr">
        <is>
          <t>online_medium</t>
        </is>
      </c>
      <c r="H696" t="inlineStr">
        <is>
          <t>cat</t>
        </is>
      </c>
      <c r="L696" t="inlineStr">
        <is>
          <t>reseller</t>
        </is>
      </c>
      <c r="N696" t="n">
        <v>0</v>
      </c>
    </row>
    <row r="697">
      <c r="A697" t="inlineStr">
        <is>
          <t>b2385ae6de2a909f2ad7b45f9922af69</t>
        </is>
      </c>
      <c r="B697" t="inlineStr">
        <is>
          <t>2d2f1c1a4f518137df3e4d8d5f57beae</t>
        </is>
      </c>
      <c r="C697" t="inlineStr">
        <is>
          <t>b90f87164b5f8c2cfa5c8572834dbe3f</t>
        </is>
      </c>
      <c r="D697" t="inlineStr">
        <is>
          <t>6565aa9ce3178a5caf6171827af3a9ba</t>
        </is>
      </c>
      <c r="E697" s="30" t="n">
        <v>43236.85091435185</v>
      </c>
      <c r="F697" t="inlineStr">
        <is>
          <t>health_beauty</t>
        </is>
      </c>
      <c r="G697" t="inlineStr">
        <is>
          <t>online_beginner</t>
        </is>
      </c>
      <c r="H697" t="inlineStr">
        <is>
          <t>eagle</t>
        </is>
      </c>
      <c r="L697" t="inlineStr">
        <is>
          <t>manufacturer</t>
        </is>
      </c>
      <c r="N697" t="n">
        <v>0</v>
      </c>
    </row>
    <row r="698">
      <c r="A698" t="inlineStr">
        <is>
          <t>7c23287c6dd3acd5f4fae4175be75c7e</t>
        </is>
      </c>
      <c r="B698" t="inlineStr">
        <is>
          <t>106ebccfb024488d2dd7aac29c9a20a3</t>
        </is>
      </c>
      <c r="C698" t="inlineStr">
        <is>
          <t>de63de0d10a6012430098db33c679b0b</t>
        </is>
      </c>
      <c r="D698" t="inlineStr">
        <is>
          <t>d3d1e91a157ea7f90548eef82f1955e3</t>
        </is>
      </c>
      <c r="E698" s="30" t="n">
        <v>43136.62825231482</v>
      </c>
      <c r="F698" t="inlineStr">
        <is>
          <t>computers</t>
        </is>
      </c>
      <c r="G698" t="inlineStr">
        <is>
          <t>online_beginner</t>
        </is>
      </c>
      <c r="L698" t="inlineStr">
        <is>
          <t>reseller</t>
        </is>
      </c>
      <c r="N698" t="n">
        <v>0</v>
      </c>
    </row>
    <row r="699">
      <c r="A699" t="inlineStr">
        <is>
          <t>eb7cd84a106d9862149ce49358dccf98</t>
        </is>
      </c>
      <c r="B699" t="inlineStr">
        <is>
          <t>e250d617a0ad591ba9bd663e584a895d</t>
        </is>
      </c>
      <c r="C699" t="inlineStr">
        <is>
          <t>4b339f9567d060bcea4f5136b9f5949e</t>
        </is>
      </c>
      <c r="D699" t="inlineStr">
        <is>
          <t>fbf4aef3f6915dc0c3c97d6812522f6a</t>
        </is>
      </c>
      <c r="E699" s="30" t="n">
        <v>43115.54734953704</v>
      </c>
      <c r="F699" t="inlineStr">
        <is>
          <t>home_decor</t>
        </is>
      </c>
      <c r="G699" t="inlineStr">
        <is>
          <t>online_beginner</t>
        </is>
      </c>
      <c r="L699" t="inlineStr">
        <is>
          <t>manufacturer</t>
        </is>
      </c>
      <c r="N699" t="n">
        <v>0</v>
      </c>
    </row>
    <row r="700">
      <c r="A700" t="inlineStr">
        <is>
          <t>5c2d8be7b4d5836ebf6e70455ba735df</t>
        </is>
      </c>
      <c r="B700" t="inlineStr">
        <is>
          <t>1ab0c07336fcfada1d031cf1c9718ca7</t>
        </is>
      </c>
      <c r="C700" t="inlineStr">
        <is>
          <t>de63de0d10a6012430098db33c679b0b</t>
        </is>
      </c>
      <c r="D700" t="inlineStr">
        <is>
          <t>d3d1e91a157ea7f90548eef82f1955e3</t>
        </is>
      </c>
      <c r="E700" s="30" t="n">
        <v>43263.79127314815</v>
      </c>
      <c r="F700" t="inlineStr">
        <is>
          <t>health_beauty</t>
        </is>
      </c>
      <c r="G700" t="inlineStr">
        <is>
          <t>online_big</t>
        </is>
      </c>
      <c r="L700" t="inlineStr">
        <is>
          <t>reseller</t>
        </is>
      </c>
      <c r="N700" t="n">
        <v>0</v>
      </c>
    </row>
    <row r="701">
      <c r="A701" t="inlineStr">
        <is>
          <t>33ce1e734d9d50629fa2c36769285d53</t>
        </is>
      </c>
      <c r="B701" t="inlineStr">
        <is>
          <t>53be10ff134691e94a4089b41c75874f</t>
        </is>
      </c>
      <c r="C701" t="inlineStr">
        <is>
          <t>2b63542749aa9caf15f21816da1db341</t>
        </is>
      </c>
      <c r="D701" t="inlineStr">
        <is>
          <t>d3d1e91a157ea7f90548eef82f1955e3</t>
        </is>
      </c>
      <c r="E701" s="30" t="n">
        <v>43354.55181712963</v>
      </c>
      <c r="F701" t="inlineStr">
        <is>
          <t>construction_tools_house_garden</t>
        </is>
      </c>
      <c r="G701" t="inlineStr">
        <is>
          <t>online_small</t>
        </is>
      </c>
      <c r="H701" t="inlineStr">
        <is>
          <t>wolf</t>
        </is>
      </c>
      <c r="I701" t="b">
        <v>1</v>
      </c>
      <c r="J701" t="b">
        <v>1</v>
      </c>
      <c r="K701" t="inlineStr">
        <is>
          <t>50-200</t>
        </is>
      </c>
      <c r="L701" t="inlineStr">
        <is>
          <t>reseller</t>
        </is>
      </c>
      <c r="M701" t="n">
        <v>400</v>
      </c>
      <c r="N701" t="n">
        <v>130000</v>
      </c>
    </row>
    <row r="702">
      <c r="A702" t="inlineStr">
        <is>
          <t>a38a9af287823928c8b66b29dde21c29</t>
        </is>
      </c>
      <c r="B702" t="inlineStr">
        <is>
          <t>aa3d06427142ec11df8f7df0e159b71a</t>
        </is>
      </c>
      <c r="C702" t="inlineStr">
        <is>
          <t>de63de0d10a6012430098db33c679b0b</t>
        </is>
      </c>
      <c r="D702" t="inlineStr">
        <is>
          <t>495d4e95a8cf8bbf8b432b612a2aa328</t>
        </is>
      </c>
      <c r="E702" s="30" t="n">
        <v>43152.62137731481</v>
      </c>
      <c r="F702" t="inlineStr">
        <is>
          <t>household_utilities</t>
        </is>
      </c>
      <c r="G702" t="inlineStr">
        <is>
          <t>industry</t>
        </is>
      </c>
      <c r="L702" t="inlineStr">
        <is>
          <t>manufacturer</t>
        </is>
      </c>
      <c r="N702" t="n">
        <v>0</v>
      </c>
    </row>
    <row r="703">
      <c r="A703" t="inlineStr">
        <is>
          <t>8d31e1ca580336797fc5c552cc86b96b</t>
        </is>
      </c>
      <c r="B703" t="inlineStr">
        <is>
          <t>50ca38cf4312fde2e0d35f6169208b54</t>
        </is>
      </c>
      <c r="C703" t="inlineStr">
        <is>
          <t>34d40cdaf94010a1d05b0d6212f9e909</t>
        </is>
      </c>
      <c r="D703" t="inlineStr">
        <is>
          <t>4ef15afb4b2723d8f3d81e51ec7afefe</t>
        </is>
      </c>
      <c r="E703" s="30" t="n">
        <v>43238.720625</v>
      </c>
      <c r="F703" t="inlineStr">
        <is>
          <t>home_decor</t>
        </is>
      </c>
      <c r="G703" t="inlineStr">
        <is>
          <t>offline</t>
        </is>
      </c>
      <c r="H703" t="inlineStr">
        <is>
          <t>eagle</t>
        </is>
      </c>
      <c r="L703" t="inlineStr">
        <is>
          <t>reseller</t>
        </is>
      </c>
      <c r="N703" t="n">
        <v>0</v>
      </c>
    </row>
    <row r="704">
      <c r="A704" t="inlineStr">
        <is>
          <t>7f06e90b62b8a276308c2756f5afd601</t>
        </is>
      </c>
      <c r="B704" t="inlineStr">
        <is>
          <t>7c51de0ab286204ce75ff42bf7c10d92</t>
        </is>
      </c>
      <c r="C704" t="inlineStr">
        <is>
          <t>56bf83c4bb35763a51c2baab501b4c67</t>
        </is>
      </c>
      <c r="D704" t="inlineStr">
        <is>
          <t>c638112b43f1d1b86dcabb0da720c901</t>
        </is>
      </c>
      <c r="E704" s="30" t="n">
        <v>43173.83850694444</v>
      </c>
      <c r="F704" t="inlineStr">
        <is>
          <t>food_supplement</t>
        </is>
      </c>
      <c r="G704" t="inlineStr">
        <is>
          <t>online_medium</t>
        </is>
      </c>
      <c r="L704" t="inlineStr">
        <is>
          <t>reseller</t>
        </is>
      </c>
      <c r="N704" t="n">
        <v>0</v>
      </c>
    </row>
    <row r="705">
      <c r="A705" t="inlineStr">
        <is>
          <t>fd582eb497bfc1fdf07f3e7d0e259b70</t>
        </is>
      </c>
      <c r="B705" t="inlineStr">
        <is>
          <t>6a53b90c3ad9e0b56d9fe5c69165fff5</t>
        </is>
      </c>
      <c r="C705" t="inlineStr">
        <is>
          <t>09285259593c61296eef10c734121d5b</t>
        </is>
      </c>
      <c r="D705" t="inlineStr">
        <is>
          <t>85fc447d336637ba1df43e793199fbc8</t>
        </is>
      </c>
      <c r="E705" s="30" t="n">
        <v>43229.68134259259</v>
      </c>
      <c r="F705" t="inlineStr">
        <is>
          <t>fashion_accessories</t>
        </is>
      </c>
      <c r="G705" t="inlineStr">
        <is>
          <t>online_medium</t>
        </is>
      </c>
      <c r="H705" t="inlineStr">
        <is>
          <t>cat</t>
        </is>
      </c>
      <c r="L705" t="inlineStr">
        <is>
          <t>manufacturer</t>
        </is>
      </c>
      <c r="N705" t="n">
        <v>0</v>
      </c>
    </row>
    <row r="706">
      <c r="A706" t="inlineStr">
        <is>
          <t>c31cd9eb0233c998e5d682c4d826d8c6</t>
        </is>
      </c>
      <c r="B706" t="inlineStr">
        <is>
          <t>e10575e8e45d5d8cedfc60d838ac286b</t>
        </is>
      </c>
      <c r="C706" t="inlineStr">
        <is>
          <t>0a0fb2b07d841f84fb6714e35c723075</t>
        </is>
      </c>
      <c r="D706" t="inlineStr">
        <is>
          <t>fbf4aef3f6915dc0c3c97d6812522f6a</t>
        </is>
      </c>
      <c r="E706" s="30" t="n">
        <v>43220.87340277778</v>
      </c>
      <c r="F706" t="inlineStr">
        <is>
          <t>gifts</t>
        </is>
      </c>
      <c r="G706" t="inlineStr">
        <is>
          <t>online_medium</t>
        </is>
      </c>
      <c r="H706" t="inlineStr">
        <is>
          <t>eagle</t>
        </is>
      </c>
      <c r="L706" t="inlineStr">
        <is>
          <t>reseller</t>
        </is>
      </c>
      <c r="N706" t="n">
        <v>0</v>
      </c>
    </row>
    <row r="707">
      <c r="A707" t="inlineStr">
        <is>
          <t>79c57bf41c34485dfe8b0d15d45a5fa2</t>
        </is>
      </c>
      <c r="B707" t="inlineStr">
        <is>
          <t>11742f81550ac064cc9a40f67151d9ad</t>
        </is>
      </c>
      <c r="C707" t="inlineStr">
        <is>
          <t>370c9f455f93a9a96cbe9bea48e70033</t>
        </is>
      </c>
      <c r="D707" t="inlineStr">
        <is>
          <t>de63de0d10a6012430098db33c679b0b</t>
        </is>
      </c>
      <c r="E707" s="30" t="n">
        <v>43251.89202546296</v>
      </c>
      <c r="F707" t="inlineStr">
        <is>
          <t>home_appliances</t>
        </is>
      </c>
      <c r="G707" t="inlineStr">
        <is>
          <t>online_medium</t>
        </is>
      </c>
      <c r="H707" t="inlineStr">
        <is>
          <t>wolf</t>
        </is>
      </c>
      <c r="L707" t="inlineStr">
        <is>
          <t>reseller</t>
        </is>
      </c>
      <c r="N707" t="n">
        <v>0</v>
      </c>
    </row>
    <row r="708">
      <c r="A708" t="inlineStr">
        <is>
          <t>b13432d01614c9d18263698af2837e1e</t>
        </is>
      </c>
      <c r="B708" t="inlineStr">
        <is>
          <t>429e2324ee8c0a95b565f78b465e8a07</t>
        </is>
      </c>
      <c r="C708" t="inlineStr">
        <is>
          <t>370c9f455f93a9a96cbe9bea48e70033</t>
        </is>
      </c>
      <c r="D708" t="inlineStr">
        <is>
          <t>4ef15afb4b2723d8f3d81e51ec7afefe</t>
        </is>
      </c>
      <c r="E708" s="30" t="n">
        <v>43250.67722222222</v>
      </c>
      <c r="F708" t="inlineStr">
        <is>
          <t>fashion_accessories</t>
        </is>
      </c>
      <c r="G708" t="inlineStr">
        <is>
          <t>online_beginner</t>
        </is>
      </c>
      <c r="H708" t="inlineStr">
        <is>
          <t>cat</t>
        </is>
      </c>
      <c r="L708" t="inlineStr">
        <is>
          <t>manufacturer</t>
        </is>
      </c>
      <c r="N708" t="n">
        <v>0</v>
      </c>
    </row>
    <row r="709">
      <c r="A709" t="inlineStr">
        <is>
          <t>8e3a0c64471d95b0099a960973289946</t>
        </is>
      </c>
      <c r="B709" t="inlineStr">
        <is>
          <t>e94b64dc6979b302a5a5be1662c83bb6</t>
        </is>
      </c>
      <c r="C709" t="inlineStr">
        <is>
          <t>a8387c01a09e99ce014107505b92388c</t>
        </is>
      </c>
      <c r="D709" t="inlineStr">
        <is>
          <t>85fc447d336637ba1df43e793199fbc8</t>
        </is>
      </c>
      <c r="E709" s="30" t="n">
        <v>43224.125</v>
      </c>
      <c r="F709" t="inlineStr">
        <is>
          <t>home_decor</t>
        </is>
      </c>
      <c r="G709" t="inlineStr">
        <is>
          <t>online_medium</t>
        </is>
      </c>
      <c r="H709" t="inlineStr">
        <is>
          <t>eagle</t>
        </is>
      </c>
      <c r="L709" t="inlineStr">
        <is>
          <t>reseller</t>
        </is>
      </c>
      <c r="N709" t="n">
        <v>0</v>
      </c>
    </row>
    <row r="710">
      <c r="A710" t="inlineStr">
        <is>
          <t>c4b5d00fab66a49d63428f51800130eb</t>
        </is>
      </c>
      <c r="B710" t="inlineStr">
        <is>
          <t>52c53edae0e04256ecf6c407608e7e09</t>
        </is>
      </c>
      <c r="C710" t="inlineStr">
        <is>
          <t>0a0fb2b07d841f84fb6714e35c723075</t>
        </is>
      </c>
      <c r="D710" t="inlineStr">
        <is>
          <t>9e4d1098a3b0f5da39b0bc48f9876645</t>
        </is>
      </c>
      <c r="E710" s="30" t="n">
        <v>43214.86333333333</v>
      </c>
      <c r="F710" t="inlineStr">
        <is>
          <t>stationery</t>
        </is>
      </c>
      <c r="G710" t="inlineStr">
        <is>
          <t>industry</t>
        </is>
      </c>
      <c r="H710" t="inlineStr">
        <is>
          <t>eagle</t>
        </is>
      </c>
      <c r="L710" t="inlineStr">
        <is>
          <t>manufacturer</t>
        </is>
      </c>
      <c r="N710" t="n">
        <v>0</v>
      </c>
    </row>
    <row r="711">
      <c r="A711" t="inlineStr">
        <is>
          <t>c0fa242837c43fe0531989b269153441</t>
        </is>
      </c>
      <c r="B711" t="inlineStr">
        <is>
          <t>45a9bd664803609f452cce925e21d24d</t>
        </is>
      </c>
      <c r="C711" t="inlineStr">
        <is>
          <t>a8387c01a09e99ce014107505b92388c</t>
        </is>
      </c>
      <c r="D711" t="inlineStr">
        <is>
          <t>85fc447d336637ba1df43e793199fbc8</t>
        </is>
      </c>
      <c r="E711" s="30" t="n">
        <v>43270.52505787037</v>
      </c>
      <c r="F711" t="inlineStr">
        <is>
          <t>car_accessories</t>
        </is>
      </c>
      <c r="G711" t="inlineStr">
        <is>
          <t>online_big</t>
        </is>
      </c>
      <c r="H711" t="inlineStr">
        <is>
          <t>cat</t>
        </is>
      </c>
      <c r="L711" t="inlineStr">
        <is>
          <t>reseller</t>
        </is>
      </c>
      <c r="N711" t="n">
        <v>0</v>
      </c>
    </row>
    <row r="712">
      <c r="A712" t="inlineStr">
        <is>
          <t>e2d1a6e73522ced82377206f4ac503de</t>
        </is>
      </c>
      <c r="B712" t="inlineStr">
        <is>
          <t>1444c08e64d55fb3c25f0f09c07ffcf2</t>
        </is>
      </c>
      <c r="C712" t="inlineStr">
        <is>
          <t>fdb16d3cbbeb5798f2f66c4096be026d</t>
        </is>
      </c>
      <c r="D712" t="inlineStr">
        <is>
          <t>495d4e95a8cf8bbf8b432b612a2aa328</t>
        </is>
      </c>
      <c r="E712" s="30" t="n">
        <v>43137.58027777778</v>
      </c>
      <c r="F712" t="inlineStr">
        <is>
          <t>car_accessories</t>
        </is>
      </c>
      <c r="G712" t="inlineStr">
        <is>
          <t>online_beginner</t>
        </is>
      </c>
      <c r="L712" t="inlineStr">
        <is>
          <t>reseller</t>
        </is>
      </c>
      <c r="N712" t="n">
        <v>0</v>
      </c>
    </row>
    <row r="713">
      <c r="A713" t="inlineStr">
        <is>
          <t>cd1c758ef1fa8b3fa90d46efc6e4c66d</t>
        </is>
      </c>
      <c r="B713" t="inlineStr">
        <is>
          <t>99d4602ff2c719a03c6d8df853ebedf8</t>
        </is>
      </c>
      <c r="C713" t="inlineStr">
        <is>
          <t>9d12ef1a7eca3ec58c545c678af7869c</t>
        </is>
      </c>
      <c r="D713" t="inlineStr">
        <is>
          <t>9e4d1098a3b0f5da39b0bc48f9876645</t>
        </is>
      </c>
      <c r="E713" s="30" t="n">
        <v>43215.82157407407</v>
      </c>
      <c r="F713" t="inlineStr">
        <is>
          <t>household_utilities</t>
        </is>
      </c>
      <c r="G713" t="inlineStr">
        <is>
          <t>industry</t>
        </is>
      </c>
      <c r="H713" t="inlineStr">
        <is>
          <t>cat</t>
        </is>
      </c>
      <c r="L713" t="inlineStr">
        <is>
          <t>manufacturer</t>
        </is>
      </c>
      <c r="N713" t="n">
        <v>0</v>
      </c>
    </row>
    <row r="714">
      <c r="A714" t="inlineStr">
        <is>
          <t>0ec14948e088cd74e70ad82de1128b3b</t>
        </is>
      </c>
      <c r="B714" t="inlineStr">
        <is>
          <t>d449188091598bf0dbd32c312570f168</t>
        </is>
      </c>
      <c r="C714" t="inlineStr">
        <is>
          <t>34d40cdaf94010a1d05b0d6212f9e909</t>
        </is>
      </c>
      <c r="D714" t="inlineStr">
        <is>
          <t>495d4e95a8cf8bbf8b432b612a2aa328</t>
        </is>
      </c>
      <c r="E714" s="30" t="n">
        <v>43280.76974537037</v>
      </c>
      <c r="F714" t="inlineStr">
        <is>
          <t>audio_video_electronics</t>
        </is>
      </c>
      <c r="G714" t="inlineStr">
        <is>
          <t>offline</t>
        </is>
      </c>
      <c r="H714" t="inlineStr">
        <is>
          <t>shark</t>
        </is>
      </c>
      <c r="L714" t="inlineStr">
        <is>
          <t>reseller</t>
        </is>
      </c>
      <c r="N714" t="n">
        <v>0</v>
      </c>
    </row>
    <row r="715">
      <c r="A715" t="inlineStr">
        <is>
          <t>7482d965e9c3156079b7ea6423fd41fa</t>
        </is>
      </c>
      <c r="B715" t="inlineStr">
        <is>
          <t>a267686cbbbfe674d0834d3ad95df5bb</t>
        </is>
      </c>
      <c r="C715" t="inlineStr">
        <is>
          <t>56bf83c4bb35763a51c2baab501b4c67</t>
        </is>
      </c>
      <c r="D715" t="inlineStr">
        <is>
          <t>9ae085775a198122c5586fa830ff7f2b</t>
        </is>
      </c>
      <c r="E715" s="30" t="n">
        <v>43187.6781712963</v>
      </c>
      <c r="F715" t="inlineStr">
        <is>
          <t>health_beauty</t>
        </is>
      </c>
      <c r="G715" t="inlineStr">
        <is>
          <t>industry</t>
        </is>
      </c>
      <c r="L715" t="inlineStr">
        <is>
          <t>manufacturer</t>
        </is>
      </c>
      <c r="N715" t="n">
        <v>0</v>
      </c>
    </row>
    <row r="716">
      <c r="A716" t="inlineStr">
        <is>
          <t>90da5fb6873f5daa02586c51fec88189</t>
        </is>
      </c>
      <c r="B716" t="inlineStr">
        <is>
          <t>9f15313cc96cd611d45e63eab4170bf1</t>
        </is>
      </c>
      <c r="C716" t="inlineStr">
        <is>
          <t>4b339f9567d060bcea4f5136b9f5949e</t>
        </is>
      </c>
      <c r="D716" t="inlineStr">
        <is>
          <t>060c0a26f19f4d66b42e0d8796688490</t>
        </is>
      </c>
      <c r="E716" s="30" t="n">
        <v>43161.54033564815</v>
      </c>
      <c r="F716" t="inlineStr">
        <is>
          <t>car_accessories</t>
        </is>
      </c>
      <c r="G716" t="inlineStr">
        <is>
          <t>online_medium</t>
        </is>
      </c>
      <c r="H716" t="inlineStr">
        <is>
          <t>wolf</t>
        </is>
      </c>
      <c r="L716" t="inlineStr">
        <is>
          <t>reseller</t>
        </is>
      </c>
      <c r="N716" t="n">
        <v>0</v>
      </c>
    </row>
    <row r="717">
      <c r="A717" t="inlineStr">
        <is>
          <t>38cdcd4e817aad01e8408901fa10f392</t>
        </is>
      </c>
      <c r="B717" t="inlineStr">
        <is>
          <t>a1617fea9bff799a4d5b3db7a7baa713</t>
        </is>
      </c>
      <c r="C717" t="inlineStr">
        <is>
          <t>f42a2bd194f7802ab052a815c8de65b7</t>
        </is>
      </c>
      <c r="D717" t="inlineStr">
        <is>
          <t>4ef15afb4b2723d8f3d81e51ec7afefe</t>
        </is>
      </c>
      <c r="E717" s="30" t="n">
        <v>43287.71547453704</v>
      </c>
      <c r="F717" t="inlineStr">
        <is>
          <t>audio_video_electronics</t>
        </is>
      </c>
      <c r="G717" t="inlineStr">
        <is>
          <t>online_medium</t>
        </is>
      </c>
      <c r="H717" t="inlineStr">
        <is>
          <t>eagle</t>
        </is>
      </c>
      <c r="L717" t="inlineStr">
        <is>
          <t>reseller</t>
        </is>
      </c>
      <c r="N717" t="n">
        <v>0</v>
      </c>
    </row>
    <row r="718">
      <c r="A718" t="inlineStr">
        <is>
          <t>40965efa19c345bfd62e38846d71eb85</t>
        </is>
      </c>
      <c r="B718" t="inlineStr">
        <is>
          <t>5f57db27027655e6c6a391601daa0258</t>
        </is>
      </c>
      <c r="C718" t="inlineStr">
        <is>
          <t>4b339f9567d060bcea4f5136b9f5949e</t>
        </is>
      </c>
      <c r="D718" t="inlineStr">
        <is>
          <t>d3d1e91a157ea7f90548eef82f1955e3</t>
        </is>
      </c>
      <c r="E718" s="30" t="n">
        <v>43139.54928240741</v>
      </c>
      <c r="F718" t="inlineStr">
        <is>
          <t>household_utilities</t>
        </is>
      </c>
      <c r="G718" t="inlineStr">
        <is>
          <t>online_medium</t>
        </is>
      </c>
      <c r="L718" t="inlineStr">
        <is>
          <t>reseller</t>
        </is>
      </c>
      <c r="N718" t="n">
        <v>0</v>
      </c>
    </row>
    <row r="719">
      <c r="A719" t="inlineStr">
        <is>
          <t>5490e7d6b0202e0f649d6fba5bf770ec</t>
        </is>
      </c>
      <c r="B719" t="inlineStr">
        <is>
          <t>eb9267cccc90f1b49c8d2f9887c7dd97</t>
        </is>
      </c>
      <c r="C719" t="inlineStr">
        <is>
          <t>a8387c01a09e99ce014107505b92388c</t>
        </is>
      </c>
      <c r="D719" t="inlineStr">
        <is>
          <t>d3d1e91a157ea7f90548eef82f1955e3</t>
        </is>
      </c>
      <c r="E719" s="30" t="n">
        <v>43210.51428240741</v>
      </c>
      <c r="F719" t="inlineStr">
        <is>
          <t>sports_leisure</t>
        </is>
      </c>
      <c r="G719" t="inlineStr">
        <is>
          <t>online_medium</t>
        </is>
      </c>
      <c r="H719" t="inlineStr">
        <is>
          <t>cat</t>
        </is>
      </c>
      <c r="L719" t="inlineStr">
        <is>
          <t>reseller</t>
        </is>
      </c>
      <c r="N719" t="n">
        <v>0</v>
      </c>
    </row>
    <row r="720">
      <c r="A720" t="inlineStr">
        <is>
          <t>23b7bbab67f2caadba743ff405d27b5c</t>
        </is>
      </c>
      <c r="B720" t="inlineStr">
        <is>
          <t>abbc2aa191ecd8fbb5be1701d7bb6ef4</t>
        </is>
      </c>
      <c r="C720" t="inlineStr">
        <is>
          <t>34d40cdaf94010a1d05b0d6212f9e909</t>
        </is>
      </c>
      <c r="D720" t="inlineStr">
        <is>
          <t>56bf83c4bb35763a51c2baab501b4c67</t>
        </is>
      </c>
      <c r="E720" s="30" t="n">
        <v>43241.8455787037</v>
      </c>
      <c r="F720" t="inlineStr">
        <is>
          <t>sports_leisure</t>
        </is>
      </c>
      <c r="G720" t="inlineStr">
        <is>
          <t>offline</t>
        </is>
      </c>
      <c r="H720" t="inlineStr">
        <is>
          <t>cat</t>
        </is>
      </c>
      <c r="L720" t="inlineStr">
        <is>
          <t>manufacturer</t>
        </is>
      </c>
      <c r="N720" t="n">
        <v>0</v>
      </c>
    </row>
    <row r="721">
      <c r="A721" t="inlineStr">
        <is>
          <t>b668bbfcf4f79f076b2210cb21e87734</t>
        </is>
      </c>
      <c r="B721" t="inlineStr">
        <is>
          <t>ce616e1913288884e7742faac9d981db</t>
        </is>
      </c>
      <c r="C721" t="inlineStr">
        <is>
          <t>4b339f9567d060bcea4f5136b9f5949e</t>
        </is>
      </c>
      <c r="D721" t="inlineStr">
        <is>
          <t>4ef15afb4b2723d8f3d81e51ec7afefe</t>
        </is>
      </c>
      <c r="E721" s="30" t="n">
        <v>43227.67976851852</v>
      </c>
      <c r="F721" t="inlineStr">
        <is>
          <t>construction_tools_house_garden</t>
        </is>
      </c>
      <c r="G721" t="inlineStr">
        <is>
          <t>online_big</t>
        </is>
      </c>
      <c r="H721" t="inlineStr">
        <is>
          <t>cat</t>
        </is>
      </c>
      <c r="L721" t="inlineStr">
        <is>
          <t>manufacturer</t>
        </is>
      </c>
      <c r="N721" t="n">
        <v>0</v>
      </c>
    </row>
    <row r="722">
      <c r="A722" t="inlineStr">
        <is>
          <t>b368759b56dbed0f9e5818fe1f7ca8bd</t>
        </is>
      </c>
      <c r="B722" t="inlineStr">
        <is>
          <t>65b6aa01895e9ddce79b482da06dda9d</t>
        </is>
      </c>
      <c r="C722" t="inlineStr">
        <is>
          <t>34d40cdaf94010a1d05b0d6212f9e909</t>
        </is>
      </c>
      <c r="D722" t="inlineStr">
        <is>
          <t>9e4d1098a3b0f5da39b0bc48f9876645</t>
        </is>
      </c>
      <c r="E722" s="30" t="n">
        <v>43203.60430555556</v>
      </c>
      <c r="F722" t="inlineStr">
        <is>
          <t>toys</t>
        </is>
      </c>
      <c r="G722" t="inlineStr">
        <is>
          <t>online_medium</t>
        </is>
      </c>
      <c r="H722" t="inlineStr">
        <is>
          <t>shark</t>
        </is>
      </c>
      <c r="L722" t="inlineStr">
        <is>
          <t>reseller</t>
        </is>
      </c>
      <c r="N722" t="n">
        <v>0</v>
      </c>
    </row>
    <row r="723">
      <c r="A723" t="inlineStr">
        <is>
          <t>1ad74caec14332594a6e910b3d183e87</t>
        </is>
      </c>
      <c r="B723" t="inlineStr">
        <is>
          <t>8ed21f7ffec3a30e915d8e85eb3c4f72</t>
        </is>
      </c>
      <c r="C723" t="inlineStr">
        <is>
          <t>f42a2bd194f7802ab052a815c8de65b7</t>
        </is>
      </c>
      <c r="D723" t="inlineStr">
        <is>
          <t>d3d1e91a157ea7f90548eef82f1955e3</t>
        </is>
      </c>
      <c r="E723" s="30" t="n">
        <v>43259.51085648148</v>
      </c>
      <c r="F723" t="inlineStr">
        <is>
          <t>bed_bath_table</t>
        </is>
      </c>
      <c r="G723" t="inlineStr">
        <is>
          <t>online_medium</t>
        </is>
      </c>
      <c r="H723" t="inlineStr">
        <is>
          <t>eagle</t>
        </is>
      </c>
      <c r="L723" t="inlineStr">
        <is>
          <t>reseller</t>
        </is>
      </c>
      <c r="N723" t="n">
        <v>0</v>
      </c>
    </row>
    <row r="724">
      <c r="A724" t="inlineStr">
        <is>
          <t>5527123f5a35a024c0f3bf4689e76e7b</t>
        </is>
      </c>
      <c r="B724" t="inlineStr">
        <is>
          <t>6a87cbc1ebb8046bb3a851059feb6df3</t>
        </is>
      </c>
      <c r="C724" t="inlineStr">
        <is>
          <t>2b63542749aa9caf15f21816da1db341</t>
        </is>
      </c>
      <c r="D724" t="inlineStr">
        <is>
          <t>4ef15afb4b2723d8f3d81e51ec7afefe</t>
        </is>
      </c>
      <c r="E724" s="30" t="n">
        <v>43391.68600694444</v>
      </c>
      <c r="F724" t="inlineStr">
        <is>
          <t>home_decor</t>
        </is>
      </c>
      <c r="G724" t="inlineStr">
        <is>
          <t>online_beginner</t>
        </is>
      </c>
      <c r="H724" t="inlineStr">
        <is>
          <t>cat</t>
        </is>
      </c>
      <c r="I724" t="b">
        <v>1</v>
      </c>
      <c r="J724" t="b">
        <v>0</v>
      </c>
      <c r="K724" t="inlineStr">
        <is>
          <t>50-200</t>
        </is>
      </c>
      <c r="L724" t="inlineStr">
        <is>
          <t>manufacturer</t>
        </is>
      </c>
      <c r="M724" t="n">
        <v>1200</v>
      </c>
      <c r="N724" t="n">
        <v>0</v>
      </c>
    </row>
    <row r="725">
      <c r="A725" t="inlineStr">
        <is>
          <t>e7d22b2d896aff8c14d0f1f6c7ff151b</t>
        </is>
      </c>
      <c r="B725" t="inlineStr">
        <is>
          <t>88cf19ec1fc2c58f161aee259d57142c</t>
        </is>
      </c>
      <c r="C725" t="inlineStr">
        <is>
          <t>9d12ef1a7eca3ec58c545c678af7869c</t>
        </is>
      </c>
      <c r="D725" t="inlineStr">
        <is>
          <t>85fc447d336637ba1df43e793199fbc8</t>
        </is>
      </c>
      <c r="E725" s="30" t="n">
        <v>43217.58471064815</v>
      </c>
      <c r="F725" t="inlineStr">
        <is>
          <t>household_utilities</t>
        </is>
      </c>
      <c r="G725" t="inlineStr">
        <is>
          <t>online_big</t>
        </is>
      </c>
      <c r="H725" t="inlineStr">
        <is>
          <t>cat</t>
        </is>
      </c>
      <c r="L725" t="inlineStr">
        <is>
          <t>reseller</t>
        </is>
      </c>
      <c r="N725" t="n">
        <v>0</v>
      </c>
    </row>
    <row r="726">
      <c r="A726" t="inlineStr">
        <is>
          <t>062eb81d4674705d10c8ecb848358cb3</t>
        </is>
      </c>
      <c r="B726" t="inlineStr">
        <is>
          <t>1c16af6213cf83914774c6490065da81</t>
        </is>
      </c>
      <c r="C726" t="inlineStr">
        <is>
          <t>09285259593c61296eef10c734121d5b</t>
        </is>
      </c>
      <c r="D726" t="inlineStr">
        <is>
          <t>de63de0d10a6012430098db33c679b0b</t>
        </is>
      </c>
      <c r="E726" s="30" t="n">
        <v>43194.77982638889</v>
      </c>
      <c r="F726" t="inlineStr">
        <is>
          <t>bed_bath_table</t>
        </is>
      </c>
      <c r="G726" t="inlineStr">
        <is>
          <t>online_medium</t>
        </is>
      </c>
      <c r="H726" t="inlineStr">
        <is>
          <t>cat</t>
        </is>
      </c>
      <c r="L726" t="inlineStr">
        <is>
          <t>reseller</t>
        </is>
      </c>
      <c r="N726" t="n">
        <v>0</v>
      </c>
    </row>
    <row r="727">
      <c r="A727" t="inlineStr">
        <is>
          <t>c18171305e73faabfa61d61c41a420ae</t>
        </is>
      </c>
      <c r="B727" t="inlineStr">
        <is>
          <t>0b1ca3ef18a63d7eb0c8897fa0849c08</t>
        </is>
      </c>
      <c r="C727" t="inlineStr">
        <is>
          <t>fdb16d3cbbeb5798f2f66c4096be026d</t>
        </is>
      </c>
      <c r="D727" t="inlineStr">
        <is>
          <t>6565aa9ce3178a5caf6171827af3a9ba</t>
        </is>
      </c>
      <c r="E727" s="30" t="n">
        <v>43129.50716435185</v>
      </c>
      <c r="F727" t="inlineStr">
        <is>
          <t>health_beauty</t>
        </is>
      </c>
      <c r="G727" t="inlineStr">
        <is>
          <t>industry</t>
        </is>
      </c>
      <c r="L727" t="inlineStr">
        <is>
          <t>manufacturer</t>
        </is>
      </c>
      <c r="N727" t="n">
        <v>0</v>
      </c>
    </row>
    <row r="728">
      <c r="A728" t="inlineStr">
        <is>
          <t>713db6add2b5e85a240d2daffd3e9dab</t>
        </is>
      </c>
      <c r="B728" t="inlineStr">
        <is>
          <t>f3c38ab652836d21de61fb8314b69182</t>
        </is>
      </c>
      <c r="C728" t="inlineStr">
        <is>
          <t>9d12ef1a7eca3ec58c545c678af7869c</t>
        </is>
      </c>
      <c r="D728" t="inlineStr">
        <is>
          <t>4ef15afb4b2723d8f3d81e51ec7afefe</t>
        </is>
      </c>
      <c r="E728" s="30" t="n">
        <v>43187.78538194444</v>
      </c>
      <c r="F728" t="inlineStr">
        <is>
          <t>computers</t>
        </is>
      </c>
      <c r="G728" t="inlineStr">
        <is>
          <t>online_small</t>
        </is>
      </c>
      <c r="H728" t="inlineStr">
        <is>
          <t>cat</t>
        </is>
      </c>
      <c r="L728" t="inlineStr">
        <is>
          <t>reseller</t>
        </is>
      </c>
      <c r="N728" t="n">
        <v>0</v>
      </c>
    </row>
    <row r="729">
      <c r="A729" t="inlineStr">
        <is>
          <t>2c30dbced2ca2da386510d7416679269</t>
        </is>
      </c>
      <c r="B729" t="inlineStr">
        <is>
          <t>d598f929fc44e1e38678e7f47250ec04</t>
        </is>
      </c>
      <c r="C729" t="inlineStr">
        <is>
          <t>56bf83c4bb35763a51c2baab501b4c67</t>
        </is>
      </c>
      <c r="D729" t="inlineStr">
        <is>
          <t>495d4e95a8cf8bbf8b432b612a2aa328</t>
        </is>
      </c>
      <c r="E729" s="30" t="n">
        <v>43210.75909722222</v>
      </c>
      <c r="F729" t="inlineStr">
        <is>
          <t>car_accessories</t>
        </is>
      </c>
      <c r="G729" t="inlineStr">
        <is>
          <t>industry</t>
        </is>
      </c>
      <c r="H729" t="inlineStr">
        <is>
          <t>cat</t>
        </is>
      </c>
      <c r="L729" t="inlineStr">
        <is>
          <t>reseller</t>
        </is>
      </c>
      <c r="N729" t="n">
        <v>0</v>
      </c>
    </row>
    <row r="730">
      <c r="A730" t="inlineStr">
        <is>
          <t>a253f7f97019cf1a2c74eed3ce23db58</t>
        </is>
      </c>
      <c r="B730" t="inlineStr">
        <is>
          <t>f1fd6779d8d9afe83f4135a22903f22b</t>
        </is>
      </c>
      <c r="C730" t="inlineStr">
        <is>
          <t>4b339f9567d060bcea4f5136b9f5949e</t>
        </is>
      </c>
      <c r="D730" t="inlineStr">
        <is>
          <t>85fc447d336637ba1df43e793199fbc8</t>
        </is>
      </c>
      <c r="E730" s="30" t="n">
        <v>43179.7296412037</v>
      </c>
      <c r="F730" t="inlineStr">
        <is>
          <t>pet</t>
        </is>
      </c>
      <c r="G730" t="inlineStr">
        <is>
          <t>industry</t>
        </is>
      </c>
      <c r="H730" t="inlineStr">
        <is>
          <t>cat</t>
        </is>
      </c>
      <c r="L730" t="inlineStr">
        <is>
          <t>manufacturer</t>
        </is>
      </c>
      <c r="N730" t="n">
        <v>0</v>
      </c>
    </row>
    <row r="731">
      <c r="A731" t="inlineStr">
        <is>
          <t>f812d76fe4aaf25c32584b9597915c61</t>
        </is>
      </c>
      <c r="B731" t="inlineStr">
        <is>
          <t>36637850ddda5031f5bcf5499dd955a3</t>
        </is>
      </c>
      <c r="C731" t="inlineStr">
        <is>
          <t>9e4d1098a3b0f5da39b0bc48f9876645</t>
        </is>
      </c>
      <c r="D731" t="inlineStr">
        <is>
          <t>4ef15afb4b2723d8f3d81e51ec7afefe</t>
        </is>
      </c>
      <c r="E731" s="30" t="n">
        <v>43201.51733796296</v>
      </c>
      <c r="F731" t="inlineStr">
        <is>
          <t>household_utilities</t>
        </is>
      </c>
      <c r="G731" t="inlineStr">
        <is>
          <t>online_medium</t>
        </is>
      </c>
      <c r="H731" t="inlineStr">
        <is>
          <t>cat</t>
        </is>
      </c>
      <c r="L731" t="inlineStr">
        <is>
          <t>reseller</t>
        </is>
      </c>
      <c r="N731" t="n">
        <v>0</v>
      </c>
    </row>
    <row r="732">
      <c r="A732" t="inlineStr">
        <is>
          <t>07f26c1e7d2873a9e6860909c00075c2</t>
        </is>
      </c>
      <c r="B732" t="inlineStr">
        <is>
          <t>134c69b4dff67e40a022dd8bf81e002e</t>
        </is>
      </c>
      <c r="C732" t="inlineStr">
        <is>
          <t>0a0fb2b07d841f84fb6714e35c723075</t>
        </is>
      </c>
      <c r="D732" t="inlineStr">
        <is>
          <t>85fc447d336637ba1df43e793199fbc8</t>
        </is>
      </c>
      <c r="E732" s="30" t="n">
        <v>43235.72236111111</v>
      </c>
      <c r="F732" t="inlineStr">
        <is>
          <t>construction_tools_house_garden</t>
        </is>
      </c>
      <c r="G732" t="inlineStr">
        <is>
          <t>offline</t>
        </is>
      </c>
      <c r="H732" t="inlineStr">
        <is>
          <t>eagle</t>
        </is>
      </c>
      <c r="L732" t="inlineStr">
        <is>
          <t>reseller</t>
        </is>
      </c>
      <c r="N732" t="n">
        <v>0</v>
      </c>
    </row>
    <row r="733">
      <c r="A733" t="inlineStr">
        <is>
          <t>dcb63974e7efcb5cf46738cb2a22edf1</t>
        </is>
      </c>
      <c r="B733" t="inlineStr">
        <is>
          <t>34f563c82a85b99ae9e6d60db5fc2e28</t>
        </is>
      </c>
      <c r="C733" t="inlineStr">
        <is>
          <t>09285259593c61296eef10c734121d5b</t>
        </is>
      </c>
      <c r="D733" t="inlineStr">
        <is>
          <t>d3d1e91a157ea7f90548eef82f1955e3</t>
        </is>
      </c>
      <c r="E733" s="30" t="n">
        <v>43194.830625</v>
      </c>
      <c r="F733" t="inlineStr">
        <is>
          <t>audio_video_electronics</t>
        </is>
      </c>
      <c r="G733" t="inlineStr">
        <is>
          <t>online_medium</t>
        </is>
      </c>
      <c r="H733" t="inlineStr">
        <is>
          <t>eagle</t>
        </is>
      </c>
      <c r="L733" t="inlineStr">
        <is>
          <t>reseller</t>
        </is>
      </c>
      <c r="N733" t="n">
        <v>0</v>
      </c>
    </row>
    <row r="734">
      <c r="A734" t="inlineStr">
        <is>
          <t>9729df58c832dc4574b1c382191df44a</t>
        </is>
      </c>
      <c r="B734" t="inlineStr">
        <is>
          <t>a7a9b880c49781da66651ccf4ba9ac38</t>
        </is>
      </c>
      <c r="C734" t="inlineStr">
        <is>
          <t>9e4d1098a3b0f5da39b0bc48f9876645</t>
        </is>
      </c>
      <c r="D734" t="inlineStr">
        <is>
          <t>85fc447d336637ba1df43e793199fbc8</t>
        </is>
      </c>
      <c r="E734" s="30" t="n">
        <v>43215.87642361111</v>
      </c>
      <c r="F734" t="inlineStr">
        <is>
          <t>bed_bath_table</t>
        </is>
      </c>
      <c r="G734" t="inlineStr">
        <is>
          <t>offline</t>
        </is>
      </c>
      <c r="H734" t="inlineStr">
        <is>
          <t>cat</t>
        </is>
      </c>
      <c r="L734" t="inlineStr">
        <is>
          <t>reseller</t>
        </is>
      </c>
      <c r="N734" t="n">
        <v>0</v>
      </c>
    </row>
    <row r="735">
      <c r="A735" t="inlineStr">
        <is>
          <t>fa7482659fd71e6e233eadf4dbf3ed4e</t>
        </is>
      </c>
      <c r="B735" t="inlineStr">
        <is>
          <t>bf1f3d5402ed867f05bed505a3b2a05a</t>
        </is>
      </c>
      <c r="C735" t="inlineStr">
        <is>
          <t>de63de0d10a6012430098db33c679b0b</t>
        </is>
      </c>
      <c r="D735" t="inlineStr">
        <is>
          <t>4ef15afb4b2723d8f3d81e51ec7afefe</t>
        </is>
      </c>
      <c r="E735" s="30" t="n">
        <v>43145.46819444445</v>
      </c>
      <c r="F735" t="inlineStr">
        <is>
          <t>sports_leisure</t>
        </is>
      </c>
      <c r="G735" t="inlineStr">
        <is>
          <t>offline</t>
        </is>
      </c>
      <c r="H735" t="inlineStr">
        <is>
          <t>cat</t>
        </is>
      </c>
      <c r="L735" t="inlineStr">
        <is>
          <t>reseller</t>
        </is>
      </c>
      <c r="N735" t="n">
        <v>0</v>
      </c>
    </row>
    <row r="736">
      <c r="A736" t="inlineStr">
        <is>
          <t>a6bf24ce0939b46b6536e02a3d244cc3</t>
        </is>
      </c>
      <c r="B736" t="inlineStr">
        <is>
          <t>ba87e2cbb33c1412290b8ccc37301672</t>
        </is>
      </c>
      <c r="C736" t="inlineStr">
        <is>
          <t>4b339f9567d060bcea4f5136b9f5949e</t>
        </is>
      </c>
      <c r="D736" t="inlineStr">
        <is>
          <t>060c0a26f19f4d66b42e0d8796688490</t>
        </is>
      </c>
      <c r="E736" s="30" t="n">
        <v>43166.62369212963</v>
      </c>
      <c r="F736" t="inlineStr">
        <is>
          <t>food_drink</t>
        </is>
      </c>
      <c r="G736" t="inlineStr">
        <is>
          <t>industry</t>
        </is>
      </c>
      <c r="H736" t="inlineStr">
        <is>
          <t>wolf</t>
        </is>
      </c>
      <c r="L736" t="inlineStr">
        <is>
          <t>manufacturer</t>
        </is>
      </c>
      <c r="N736" t="n">
        <v>0</v>
      </c>
    </row>
    <row r="737">
      <c r="A737" t="inlineStr">
        <is>
          <t>c184064068f67936a71e38a4e6a9e78e</t>
        </is>
      </c>
      <c r="B737" t="inlineStr">
        <is>
          <t>28872dc528e978a639754bc8c2ce5a4c</t>
        </is>
      </c>
      <c r="C737" t="inlineStr">
        <is>
          <t>4b339f9567d060bcea4f5136b9f5949e</t>
        </is>
      </c>
      <c r="D737" t="inlineStr">
        <is>
          <t>de63de0d10a6012430098db33c679b0b</t>
        </is>
      </c>
      <c r="E737" s="30" t="n">
        <v>43229.60064814815</v>
      </c>
      <c r="F737" t="inlineStr">
        <is>
          <t>household_utilities</t>
        </is>
      </c>
      <c r="G737" t="inlineStr">
        <is>
          <t>online_medium</t>
        </is>
      </c>
      <c r="H737" t="inlineStr">
        <is>
          <t>cat</t>
        </is>
      </c>
      <c r="L737" t="inlineStr">
        <is>
          <t>manufacturer</t>
        </is>
      </c>
      <c r="N737" t="n">
        <v>0</v>
      </c>
    </row>
    <row r="738">
      <c r="A738" t="inlineStr">
        <is>
          <t>205a11a1b97d7e8bdb33aa6c36f3ef2a</t>
        </is>
      </c>
      <c r="B738" t="inlineStr">
        <is>
          <t>758fbe94c656fc484d204e7d60808484</t>
        </is>
      </c>
      <c r="C738" t="inlineStr">
        <is>
          <t>068066e24f0c643eb1d089c7dd20cd73</t>
        </is>
      </c>
      <c r="D738" t="inlineStr">
        <is>
          <t>fbf4aef3f6915dc0c3c97d6812522f6a</t>
        </is>
      </c>
      <c r="E738" s="30" t="n">
        <v>43168.74974537037</v>
      </c>
      <c r="F738" t="inlineStr">
        <is>
          <t>construction_tools_house_garden</t>
        </is>
      </c>
      <c r="G738" t="inlineStr">
        <is>
          <t>online_medium</t>
        </is>
      </c>
      <c r="H738" t="inlineStr">
        <is>
          <t>cat</t>
        </is>
      </c>
      <c r="L738" t="inlineStr">
        <is>
          <t>reseller</t>
        </is>
      </c>
      <c r="N738" t="n">
        <v>0</v>
      </c>
    </row>
    <row r="739">
      <c r="A739" t="inlineStr">
        <is>
          <t>a8da3378b39d078f77361620c9481ffb</t>
        </is>
      </c>
      <c r="B739" t="inlineStr">
        <is>
          <t>64c9a1db4e73e19aaafd3286dc448c96</t>
        </is>
      </c>
      <c r="C739" t="inlineStr">
        <is>
          <t>0a0fb2b07d841f84fb6714e35c723075</t>
        </is>
      </c>
      <c r="D739" t="inlineStr">
        <is>
          <t>6565aa9ce3178a5caf6171827af3a9ba</t>
        </is>
      </c>
      <c r="E739" s="30" t="n">
        <v>43319.72046296296</v>
      </c>
      <c r="F739" t="inlineStr">
        <is>
          <t>household_utilities</t>
        </is>
      </c>
      <c r="G739" t="inlineStr">
        <is>
          <t>online_medium</t>
        </is>
      </c>
      <c r="H739" t="inlineStr">
        <is>
          <t>cat</t>
        </is>
      </c>
      <c r="I739" t="b">
        <v>1</v>
      </c>
      <c r="J739" t="b">
        <v>1</v>
      </c>
      <c r="K739" t="inlineStr">
        <is>
          <t>5-20</t>
        </is>
      </c>
      <c r="L739" t="inlineStr">
        <is>
          <t>reseller</t>
        </is>
      </c>
      <c r="N739" t="n">
        <v>0</v>
      </c>
    </row>
    <row r="740">
      <c r="A740" t="inlineStr">
        <is>
          <t>3e1d9bee7fa8982cbd0dd0c0aa5ce905</t>
        </is>
      </c>
      <c r="B740" t="inlineStr">
        <is>
          <t>271c58a1d139c45eaf3316107c6d3a3b</t>
        </is>
      </c>
      <c r="C740" t="inlineStr">
        <is>
          <t>4b339f9567d060bcea4f5136b9f5949e</t>
        </is>
      </c>
      <c r="D740" t="inlineStr">
        <is>
          <t>060c0a26f19f4d66b42e0d8796688490</t>
        </is>
      </c>
      <c r="E740" s="30" t="n">
        <v>43202.58204861111</v>
      </c>
      <c r="F740" t="inlineStr">
        <is>
          <t>bags_backpacks</t>
        </is>
      </c>
      <c r="G740" t="inlineStr">
        <is>
          <t>online_beginner</t>
        </is>
      </c>
      <c r="H740" t="inlineStr">
        <is>
          <t>cat</t>
        </is>
      </c>
      <c r="L740" t="inlineStr">
        <is>
          <t>reseller</t>
        </is>
      </c>
      <c r="N740" t="n">
        <v>0</v>
      </c>
    </row>
    <row r="741">
      <c r="A741" t="inlineStr">
        <is>
          <t>051cb0d72dcd23f16842e894f5c46051</t>
        </is>
      </c>
      <c r="B741" t="inlineStr">
        <is>
          <t>6548c2550b6e2d8f18053216e1c7b6f3</t>
        </is>
      </c>
      <c r="C741" t="inlineStr">
        <is>
          <t>a8387c01a09e99ce014107505b92388c</t>
        </is>
      </c>
      <c r="D741" t="inlineStr">
        <is>
          <t>4ef15afb4b2723d8f3d81e51ec7afefe</t>
        </is>
      </c>
      <c r="E741" s="30" t="n">
        <v>43213.84717592593</v>
      </c>
      <c r="F741" t="inlineStr">
        <is>
          <t>household_utilities</t>
        </is>
      </c>
      <c r="G741" t="inlineStr">
        <is>
          <t>online_medium</t>
        </is>
      </c>
      <c r="H741" t="inlineStr">
        <is>
          <t>cat</t>
        </is>
      </c>
      <c r="L741" t="inlineStr">
        <is>
          <t>manufacturer</t>
        </is>
      </c>
      <c r="N741" t="n">
        <v>0</v>
      </c>
    </row>
    <row r="742">
      <c r="A742" t="inlineStr">
        <is>
          <t>2008b6bfa59e4d81791f9ecbfd9f1a75</t>
        </is>
      </c>
      <c r="B742" t="inlineStr">
        <is>
          <t>41b14765bd56c8ad10971074380f9c0c</t>
        </is>
      </c>
      <c r="C742" t="inlineStr">
        <is>
          <t>4b339f9567d060bcea4f5136b9f5949e</t>
        </is>
      </c>
      <c r="D742" t="inlineStr">
        <is>
          <t>d3d1e91a157ea7f90548eef82f1955e3</t>
        </is>
      </c>
      <c r="E742" s="30" t="n">
        <v>43146.47560185185</v>
      </c>
      <c r="F742" t="inlineStr">
        <is>
          <t>computers</t>
        </is>
      </c>
      <c r="G742" t="inlineStr">
        <is>
          <t>industry</t>
        </is>
      </c>
      <c r="L742" t="inlineStr">
        <is>
          <t>reseller</t>
        </is>
      </c>
      <c r="N742" t="n">
        <v>0</v>
      </c>
    </row>
    <row r="743">
      <c r="A743" t="inlineStr">
        <is>
          <t>5ac050d44e6476acecf88969950cf3a2</t>
        </is>
      </c>
      <c r="B743" t="inlineStr">
        <is>
          <t>85222e25007ce95bf79c00f643d1e436</t>
        </is>
      </c>
      <c r="C743" t="inlineStr">
        <is>
          <t>56bf83c4bb35763a51c2baab501b4c67</t>
        </is>
      </c>
      <c r="D743" t="inlineStr">
        <is>
          <t>4ef15afb4b2723d8f3d81e51ec7afefe</t>
        </is>
      </c>
      <c r="E743" s="30" t="n">
        <v>43140.65078703704</v>
      </c>
      <c r="F743" t="inlineStr">
        <is>
          <t>health_beauty</t>
        </is>
      </c>
      <c r="G743" t="inlineStr">
        <is>
          <t>offline</t>
        </is>
      </c>
      <c r="L743" t="inlineStr">
        <is>
          <t>manufacturer</t>
        </is>
      </c>
      <c r="N743" t="n">
        <v>0</v>
      </c>
    </row>
    <row r="744">
      <c r="A744" t="inlineStr">
        <is>
          <t>0e9c14002f9268601c57837930261014</t>
        </is>
      </c>
      <c r="B744" t="inlineStr">
        <is>
          <t>6eeed17989b0ae47c9f11ece6f38ea90</t>
        </is>
      </c>
      <c r="C744" t="inlineStr">
        <is>
          <t>9d12ef1a7eca3ec58c545c678af7869c</t>
        </is>
      </c>
      <c r="D744" t="inlineStr">
        <is>
          <t>fbf4aef3f6915dc0c3c97d6812522f6a</t>
        </is>
      </c>
      <c r="E744" s="30" t="n">
        <v>43220.67089120371</v>
      </c>
      <c r="F744" t="inlineStr">
        <is>
          <t>car_accessories</t>
        </is>
      </c>
      <c r="G744" t="inlineStr">
        <is>
          <t>online_medium</t>
        </is>
      </c>
      <c r="H744" t="inlineStr">
        <is>
          <t>eagle</t>
        </is>
      </c>
      <c r="L744" t="inlineStr">
        <is>
          <t>reseller</t>
        </is>
      </c>
      <c r="N744" t="n">
        <v>0</v>
      </c>
    </row>
    <row r="745">
      <c r="A745" t="inlineStr">
        <is>
          <t>baf5ecd84c6a8766519b98f66eec1511</t>
        </is>
      </c>
      <c r="B745" t="inlineStr">
        <is>
          <t>e5d7bbbca541b3b39e1649f94074b963</t>
        </is>
      </c>
      <c r="C745" t="inlineStr">
        <is>
          <t>b90f87164b5f8c2cfa5c8572834dbe3f</t>
        </is>
      </c>
      <c r="D745" t="inlineStr">
        <is>
          <t>4ef15afb4b2723d8f3d81e51ec7afefe</t>
        </is>
      </c>
      <c r="E745" s="30" t="n">
        <v>43262.87633101852</v>
      </c>
      <c r="F745" t="inlineStr">
        <is>
          <t>health_beauty</t>
        </is>
      </c>
      <c r="G745" t="inlineStr">
        <is>
          <t>online_big</t>
        </is>
      </c>
      <c r="H745" t="inlineStr">
        <is>
          <t>cat</t>
        </is>
      </c>
      <c r="L745" t="inlineStr">
        <is>
          <t>reseller</t>
        </is>
      </c>
      <c r="N745" t="n">
        <v>0</v>
      </c>
    </row>
    <row r="746">
      <c r="A746" t="inlineStr">
        <is>
          <t>7e4bb8c8f3bdcbece5996f24ba507120</t>
        </is>
      </c>
      <c r="B746" t="inlineStr">
        <is>
          <t>843c73eda46e28b278031033b616bc8e</t>
        </is>
      </c>
      <c r="C746" t="inlineStr">
        <is>
          <t>4b339f9567d060bcea4f5136b9f5949e</t>
        </is>
      </c>
      <c r="D746" t="inlineStr">
        <is>
          <t>de63de0d10a6012430098db33c679b0b</t>
        </is>
      </c>
      <c r="E746" s="30" t="n">
        <v>43326.61671296296</v>
      </c>
      <c r="F746" t="inlineStr">
        <is>
          <t>home_decor</t>
        </is>
      </c>
      <c r="G746" t="inlineStr">
        <is>
          <t>industry</t>
        </is>
      </c>
      <c r="H746" t="inlineStr">
        <is>
          <t>wolf</t>
        </is>
      </c>
      <c r="I746" t="b">
        <v>1</v>
      </c>
      <c r="J746" t="b">
        <v>1</v>
      </c>
      <c r="L746" t="inlineStr">
        <is>
          <t>manufacturer</t>
        </is>
      </c>
      <c r="M746" t="n">
        <v>100</v>
      </c>
      <c r="N746" t="n">
        <v>0</v>
      </c>
    </row>
    <row r="747">
      <c r="A747" t="inlineStr">
        <is>
          <t>b4abf3d319afe2544a5dd0966141ef10</t>
        </is>
      </c>
      <c r="B747" t="inlineStr">
        <is>
          <t>876300c1c122f7fafd3ba74a478221f4</t>
        </is>
      </c>
      <c r="C747" t="inlineStr">
        <is>
          <t>323cff2ceea1814239bc2c7e614d260d</t>
        </is>
      </c>
      <c r="D747" t="inlineStr">
        <is>
          <t>068066e24f0c643eb1d089c7dd20cd73</t>
        </is>
      </c>
      <c r="E747" s="30" t="n">
        <v>43329.125</v>
      </c>
      <c r="F747" t="inlineStr">
        <is>
          <t>audio_video_electronics</t>
        </is>
      </c>
      <c r="G747" t="inlineStr">
        <is>
          <t>online_medium</t>
        </is>
      </c>
      <c r="H747" t="inlineStr">
        <is>
          <t>cat</t>
        </is>
      </c>
      <c r="I747" t="b">
        <v>1</v>
      </c>
      <c r="K747" t="inlineStr">
        <is>
          <t>1-5</t>
        </is>
      </c>
      <c r="L747" t="inlineStr">
        <is>
          <t>reseller</t>
        </is>
      </c>
      <c r="M747" t="n">
        <v>2</v>
      </c>
      <c r="N747" t="n">
        <v>20000</v>
      </c>
    </row>
    <row r="748">
      <c r="A748" t="inlineStr">
        <is>
          <t>ee68544f42eef8386730823cff7446cc</t>
        </is>
      </c>
      <c r="B748" t="inlineStr">
        <is>
          <t>8f28d70a98ca556691300d08ebdddc88</t>
        </is>
      </c>
      <c r="C748" t="inlineStr">
        <is>
          <t>370c9f455f93a9a96cbe9bea48e70033</t>
        </is>
      </c>
      <c r="D748" t="inlineStr">
        <is>
          <t>4ef15afb4b2723d8f3d81e51ec7afefe</t>
        </is>
      </c>
      <c r="E748" s="30" t="n">
        <v>43203.86890046296</v>
      </c>
      <c r="F748" t="inlineStr">
        <is>
          <t>home_decor</t>
        </is>
      </c>
      <c r="G748" t="inlineStr">
        <is>
          <t>online_big</t>
        </is>
      </c>
      <c r="H748" t="inlineStr">
        <is>
          <t>cat</t>
        </is>
      </c>
      <c r="L748" t="inlineStr">
        <is>
          <t>manufacturer</t>
        </is>
      </c>
      <c r="N748" t="n">
        <v>0</v>
      </c>
    </row>
    <row r="749">
      <c r="A749" t="inlineStr">
        <is>
          <t>01c629f6b8f2460aa362f29caaaa0a8e</t>
        </is>
      </c>
      <c r="B749" t="inlineStr">
        <is>
          <t>99cd94252748d2bdde08e17858233602</t>
        </is>
      </c>
      <c r="C749" t="inlineStr">
        <is>
          <t>09285259593c61296eef10c734121d5b</t>
        </is>
      </c>
      <c r="D749" t="inlineStr">
        <is>
          <t>fbf4aef3f6915dc0c3c97d6812522f6a</t>
        </is>
      </c>
      <c r="E749" s="30" t="n">
        <v>43228.89457175926</v>
      </c>
      <c r="F749" t="inlineStr">
        <is>
          <t>pet</t>
        </is>
      </c>
      <c r="G749" t="inlineStr">
        <is>
          <t>online_medium</t>
        </is>
      </c>
      <c r="H749" t="inlineStr">
        <is>
          <t>shark</t>
        </is>
      </c>
      <c r="L749" t="inlineStr">
        <is>
          <t>reseller</t>
        </is>
      </c>
      <c r="N749" t="n">
        <v>0</v>
      </c>
    </row>
    <row r="750">
      <c r="A750" t="inlineStr">
        <is>
          <t>287915711d06ce6d90e2c18e1d89d3a6</t>
        </is>
      </c>
      <c r="B750" t="inlineStr">
        <is>
          <t>6f83d9e4da896daae20b9b6b2d3ff8d2</t>
        </is>
      </c>
      <c r="C750" t="inlineStr">
        <is>
          <t>56bf83c4bb35763a51c2baab501b4c67</t>
        </is>
      </c>
      <c r="D750" t="inlineStr">
        <is>
          <t>d3d1e91a157ea7f90548eef82f1955e3</t>
        </is>
      </c>
      <c r="E750" s="30" t="n">
        <v>43173.60026620371</v>
      </c>
      <c r="F750" t="inlineStr">
        <is>
          <t>household_utilities</t>
        </is>
      </c>
      <c r="G750" t="inlineStr">
        <is>
          <t>industry</t>
        </is>
      </c>
      <c r="H750" t="inlineStr">
        <is>
          <t>eagle</t>
        </is>
      </c>
      <c r="L750" t="inlineStr">
        <is>
          <t>reseller</t>
        </is>
      </c>
      <c r="N750" t="n">
        <v>0</v>
      </c>
    </row>
    <row r="751">
      <c r="A751" t="inlineStr">
        <is>
          <t>af8ba6e9ccdd2960424f19b3cfb54baf</t>
        </is>
      </c>
      <c r="B751" t="inlineStr">
        <is>
          <t>e6341a38a2e15b8834ac0410015547e4</t>
        </is>
      </c>
      <c r="C751" t="inlineStr">
        <is>
          <t>068066e24f0c643eb1d089c7dd20cd73</t>
        </is>
      </c>
      <c r="D751" t="inlineStr">
        <is>
          <t>fbf4aef3f6915dc0c3c97d6812522f6a</t>
        </is>
      </c>
      <c r="E751" s="30" t="n">
        <v>43210.7452662037</v>
      </c>
      <c r="F751" t="inlineStr">
        <is>
          <t>health_beauty</t>
        </is>
      </c>
      <c r="G751" t="inlineStr">
        <is>
          <t>industry</t>
        </is>
      </c>
      <c r="H751" t="inlineStr">
        <is>
          <t>cat</t>
        </is>
      </c>
      <c r="L751" t="inlineStr">
        <is>
          <t>reseller</t>
        </is>
      </c>
      <c r="N751" t="n">
        <v>0</v>
      </c>
    </row>
    <row r="752">
      <c r="A752" t="inlineStr">
        <is>
          <t>7f1a58f7b373d68560c1cf8e340e87ae</t>
        </is>
      </c>
      <c r="B752" t="inlineStr">
        <is>
          <t>0b7589387392dd2e2458f86606aa2a99</t>
        </is>
      </c>
      <c r="C752" t="inlineStr">
        <is>
          <t>370c9f455f93a9a96cbe9bea48e70033</t>
        </is>
      </c>
      <c r="D752" t="inlineStr">
        <is>
          <t>34d40cdaf94010a1d05b0d6212f9e909</t>
        </is>
      </c>
      <c r="E752" s="30" t="n">
        <v>43307.67746527777</v>
      </c>
      <c r="F752" t="inlineStr">
        <is>
          <t>car_accessories</t>
        </is>
      </c>
      <c r="G752" t="inlineStr">
        <is>
          <t>online_medium</t>
        </is>
      </c>
      <c r="H752" t="inlineStr">
        <is>
          <t>cat</t>
        </is>
      </c>
      <c r="L752" t="inlineStr">
        <is>
          <t>reseller</t>
        </is>
      </c>
      <c r="N752" t="n">
        <v>0</v>
      </c>
    </row>
    <row r="753">
      <c r="A753" t="inlineStr">
        <is>
          <t>66ff0b5dbb060ef47f756d33cf170f97</t>
        </is>
      </c>
      <c r="B753" t="inlineStr">
        <is>
          <t>dc50afafdfa325eadc890c7fa42a8f4e</t>
        </is>
      </c>
      <c r="C753" t="inlineStr">
        <is>
          <t>4b339f9567d060bcea4f5136b9f5949e</t>
        </is>
      </c>
      <c r="D753" t="inlineStr">
        <is>
          <t>fbf4aef3f6915dc0c3c97d6812522f6a</t>
        </is>
      </c>
      <c r="E753" s="30" t="n">
        <v>43220.79001157408</v>
      </c>
      <c r="F753" t="inlineStr">
        <is>
          <t>audio_video_electronics</t>
        </is>
      </c>
      <c r="G753" t="inlineStr">
        <is>
          <t>online_big</t>
        </is>
      </c>
      <c r="H753" t="inlineStr">
        <is>
          <t>cat</t>
        </is>
      </c>
      <c r="L753" t="inlineStr">
        <is>
          <t>reseller</t>
        </is>
      </c>
      <c r="N753" t="n">
        <v>0</v>
      </c>
    </row>
    <row r="754">
      <c r="A754" t="inlineStr">
        <is>
          <t>d636a570e9dc6d962ffce7426b8b53ad</t>
        </is>
      </c>
      <c r="B754" t="inlineStr">
        <is>
          <t>75e645bd511287258a5afc20acd4e338</t>
        </is>
      </c>
      <c r="C754" t="inlineStr">
        <is>
          <t>34d40cdaf94010a1d05b0d6212f9e909</t>
        </is>
      </c>
      <c r="D754" t="inlineStr">
        <is>
          <t>4ef15afb4b2723d8f3d81e51ec7afefe</t>
        </is>
      </c>
      <c r="E754" s="30" t="n">
        <v>43279.52349537037</v>
      </c>
      <c r="F754" t="inlineStr">
        <is>
          <t>bags_backpacks</t>
        </is>
      </c>
      <c r="G754" t="inlineStr">
        <is>
          <t>offline</t>
        </is>
      </c>
      <c r="H754" t="inlineStr">
        <is>
          <t>eagle</t>
        </is>
      </c>
      <c r="L754" t="inlineStr">
        <is>
          <t>manufacturer</t>
        </is>
      </c>
      <c r="N754" t="n">
        <v>0</v>
      </c>
    </row>
    <row r="755">
      <c r="A755" t="inlineStr">
        <is>
          <t>3b7585682efa3f3cb07b4e7ae6ec53d4</t>
        </is>
      </c>
      <c r="B755" t="inlineStr">
        <is>
          <t>af3ef48d0e13835e529c29ac573c63e5</t>
        </is>
      </c>
      <c r="C755" t="inlineStr">
        <is>
          <t>09285259593c61296eef10c734121d5b</t>
        </is>
      </c>
      <c r="D755" t="inlineStr">
        <is>
          <t>d3d1e91a157ea7f90548eef82f1955e3</t>
        </is>
      </c>
      <c r="E755" s="30" t="n">
        <v>43229.89997685186</v>
      </c>
      <c r="F755" t="inlineStr">
        <is>
          <t>pet</t>
        </is>
      </c>
      <c r="G755" t="inlineStr">
        <is>
          <t>online_top</t>
        </is>
      </c>
      <c r="H755" t="inlineStr">
        <is>
          <t>cat</t>
        </is>
      </c>
      <c r="L755" t="inlineStr">
        <is>
          <t>manufacturer</t>
        </is>
      </c>
      <c r="N755" t="n">
        <v>0</v>
      </c>
    </row>
    <row r="756">
      <c r="A756" t="inlineStr">
        <is>
          <t>680fd12be44eee12aee2a2e023438a5d</t>
        </is>
      </c>
      <c r="B756" t="inlineStr">
        <is>
          <t>535bf14f36346c7f59d87cece104d70c</t>
        </is>
      </c>
      <c r="C756" t="inlineStr">
        <is>
          <t>45749fb708130f78d0db07d8d80f030b</t>
        </is>
      </c>
      <c r="D756" t="inlineStr">
        <is>
          <t>9d12ef1a7eca3ec58c545c678af7869c</t>
        </is>
      </c>
      <c r="E756" s="30" t="n">
        <v>43319.51465277778</v>
      </c>
      <c r="F756" t="inlineStr">
        <is>
          <t>home_decor</t>
        </is>
      </c>
      <c r="G756" t="inlineStr">
        <is>
          <t>online_medium</t>
        </is>
      </c>
      <c r="H756" t="inlineStr">
        <is>
          <t>wolf</t>
        </is>
      </c>
      <c r="I756" t="b">
        <v>1</v>
      </c>
      <c r="J756" t="b">
        <v>0</v>
      </c>
      <c r="K756" t="inlineStr">
        <is>
          <t>5-20</t>
        </is>
      </c>
      <c r="L756" t="inlineStr">
        <is>
          <t>manufacturer</t>
        </is>
      </c>
      <c r="N756" t="n">
        <v>0</v>
      </c>
    </row>
    <row r="757">
      <c r="A757" t="inlineStr">
        <is>
          <t>cb0f32260247ecac66b2954d6320f6be</t>
        </is>
      </c>
      <c r="B757" t="inlineStr">
        <is>
          <t>7e165d0fd266781dbf944faf150e265b</t>
        </is>
      </c>
      <c r="C757" t="inlineStr">
        <is>
          <t>de63de0d10a6012430098db33c679b0b</t>
        </is>
      </c>
      <c r="D757" t="inlineStr">
        <is>
          <t>d3d1e91a157ea7f90548eef82f1955e3</t>
        </is>
      </c>
      <c r="E757" s="30" t="n">
        <v>43353.75694444445</v>
      </c>
      <c r="F757" t="inlineStr">
        <is>
          <t>home_decor</t>
        </is>
      </c>
      <c r="G757" t="inlineStr">
        <is>
          <t>online_big</t>
        </is>
      </c>
      <c r="H757" t="inlineStr">
        <is>
          <t>wolf</t>
        </is>
      </c>
      <c r="I757" t="b">
        <v>1</v>
      </c>
      <c r="J757" t="b">
        <v>1</v>
      </c>
      <c r="K757" t="inlineStr">
        <is>
          <t>5-20</t>
        </is>
      </c>
      <c r="L757" t="inlineStr">
        <is>
          <t>manufacturer</t>
        </is>
      </c>
      <c r="M757" t="n">
        <v>550</v>
      </c>
      <c r="N757" t="n">
        <v>120000</v>
      </c>
    </row>
    <row r="758">
      <c r="A758" t="inlineStr">
        <is>
          <t>962ebbfe9e9c53b566b6c107b19f4bba</t>
        </is>
      </c>
      <c r="B758" t="inlineStr">
        <is>
          <t>da3b4c4b11a5be0f29634d1e6bb7dce0</t>
        </is>
      </c>
      <c r="C758" t="inlineStr">
        <is>
          <t>068066e24f0c643eb1d089c7dd20cd73</t>
        </is>
      </c>
      <c r="D758" t="inlineStr">
        <is>
          <t>495d4e95a8cf8bbf8b432b612a2aa328</t>
        </is>
      </c>
      <c r="E758" s="30" t="n">
        <v>43119.47684027778</v>
      </c>
      <c r="F758" t="inlineStr">
        <is>
          <t>health_beauty</t>
        </is>
      </c>
      <c r="G758" t="inlineStr">
        <is>
          <t>online_medium</t>
        </is>
      </c>
      <c r="L758" t="inlineStr">
        <is>
          <t>reseller</t>
        </is>
      </c>
      <c r="N758" t="n">
        <v>0</v>
      </c>
    </row>
    <row r="759">
      <c r="A759" t="inlineStr">
        <is>
          <t>a7aef852029ddd8bba20bf60b536415b</t>
        </is>
      </c>
      <c r="B759" t="inlineStr">
        <is>
          <t>5dc203c7b84a0e71e878a179de05fb9a</t>
        </is>
      </c>
      <c r="C759" t="inlineStr">
        <is>
          <t>9e4d1098a3b0f5da39b0bc48f9876645</t>
        </is>
      </c>
      <c r="D759" t="inlineStr">
        <is>
          <t>4ef15afb4b2723d8f3d81e51ec7afefe</t>
        </is>
      </c>
      <c r="E759" s="30" t="n">
        <v>43166.51798611111</v>
      </c>
      <c r="F759" t="inlineStr">
        <is>
          <t>construction_tools_house_garden</t>
        </is>
      </c>
      <c r="G759" t="inlineStr">
        <is>
          <t>industry</t>
        </is>
      </c>
      <c r="H759" t="inlineStr">
        <is>
          <t>eagle</t>
        </is>
      </c>
      <c r="L759" t="inlineStr">
        <is>
          <t>reseller</t>
        </is>
      </c>
      <c r="N759" t="n">
        <v>0</v>
      </c>
    </row>
    <row r="760">
      <c r="A760" t="inlineStr">
        <is>
          <t>ce721edac2d10ef0b2ee26c40924d7a5</t>
        </is>
      </c>
      <c r="B760" t="inlineStr">
        <is>
          <t>710b15ab273348b3db04d636937061c3</t>
        </is>
      </c>
      <c r="C760" t="inlineStr">
        <is>
          <t>b1b3ec93fc27a19fdb1c1b1fc997776a</t>
        </is>
      </c>
      <c r="D760" t="inlineStr">
        <is>
          <t>6aa3b86a83d784b05f0e37e26b20860d</t>
        </is>
      </c>
      <c r="E760" s="30" t="n">
        <v>43410.82059027778</v>
      </c>
      <c r="F760" t="inlineStr">
        <is>
          <t>household_utilities</t>
        </is>
      </c>
      <c r="G760" t="inlineStr">
        <is>
          <t>online_medium</t>
        </is>
      </c>
      <c r="H760" t="inlineStr">
        <is>
          <t>cat, wolf</t>
        </is>
      </c>
      <c r="I760" t="b">
        <v>1</v>
      </c>
      <c r="J760" t="b">
        <v>1</v>
      </c>
      <c r="L760" t="inlineStr">
        <is>
          <t>reseller</t>
        </is>
      </c>
      <c r="M760" t="n">
        <v>50</v>
      </c>
      <c r="N760" t="n">
        <v>8000</v>
      </c>
    </row>
    <row r="761">
      <c r="A761" t="inlineStr">
        <is>
          <t>6548cf02964800e58014e5040bb14e01</t>
        </is>
      </c>
      <c r="B761" t="inlineStr">
        <is>
          <t>88cd3681e0a2ba85e190f7d817629c4c</t>
        </is>
      </c>
      <c r="C761" t="inlineStr">
        <is>
          <t>b90f87164b5f8c2cfa5c8572834dbe3f</t>
        </is>
      </c>
      <c r="D761" t="inlineStr">
        <is>
          <t>2695de1affa7750089c0455f8ce27021</t>
        </is>
      </c>
      <c r="E761" s="30" t="n">
        <v>43290.75065972222</v>
      </c>
      <c r="F761" t="inlineStr">
        <is>
          <t>car_accessories</t>
        </is>
      </c>
      <c r="G761" t="inlineStr">
        <is>
          <t>online_big</t>
        </is>
      </c>
      <c r="H761" t="inlineStr">
        <is>
          <t>eagle</t>
        </is>
      </c>
      <c r="L761" t="inlineStr">
        <is>
          <t>reseller</t>
        </is>
      </c>
      <c r="N761" t="n">
        <v>0</v>
      </c>
    </row>
    <row r="762">
      <c r="A762" t="inlineStr">
        <is>
          <t>239771729fe22c7c1bdbf136f7304eed</t>
        </is>
      </c>
      <c r="B762" t="inlineStr">
        <is>
          <t>b586cd24c010a13916af621b0325fbba</t>
        </is>
      </c>
      <c r="C762" t="inlineStr">
        <is>
          <t>f42a2bd194f7802ab052a815c8de65b7</t>
        </is>
      </c>
      <c r="D762" t="inlineStr">
        <is>
          <t>de63de0d10a6012430098db33c679b0b</t>
        </is>
      </c>
      <c r="E762" s="30" t="n">
        <v>43244.82773148148</v>
      </c>
      <c r="F762" t="inlineStr">
        <is>
          <t>home_decor</t>
        </is>
      </c>
      <c r="G762" t="inlineStr">
        <is>
          <t>online_beginner</t>
        </is>
      </c>
      <c r="H762" t="inlineStr">
        <is>
          <t>cat</t>
        </is>
      </c>
      <c r="L762" t="inlineStr">
        <is>
          <t>reseller</t>
        </is>
      </c>
      <c r="N762" t="n">
        <v>0</v>
      </c>
    </row>
    <row r="763">
      <c r="A763" t="inlineStr">
        <is>
          <t>2f9e00b759f8d090d2d2ecae1347104f</t>
        </is>
      </c>
      <c r="B763" t="inlineStr">
        <is>
          <t>fe3d2c21fe1b15298d60a0792621ddf8</t>
        </is>
      </c>
      <c r="C763" t="inlineStr">
        <is>
          <t>56bf83c4bb35763a51c2baab501b4c67</t>
        </is>
      </c>
      <c r="D763" t="inlineStr">
        <is>
          <t>de63de0d10a6012430098db33c679b0b</t>
        </is>
      </c>
      <c r="E763" s="30" t="n">
        <v>43196.69685185186</v>
      </c>
      <c r="F763" t="inlineStr">
        <is>
          <t>car_accessories</t>
        </is>
      </c>
      <c r="G763" t="inlineStr">
        <is>
          <t>industry</t>
        </is>
      </c>
      <c r="H763" t="inlineStr">
        <is>
          <t>eagle</t>
        </is>
      </c>
      <c r="L763" t="inlineStr">
        <is>
          <t>reseller</t>
        </is>
      </c>
      <c r="N763" t="n">
        <v>0</v>
      </c>
    </row>
    <row r="764">
      <c r="A764" t="inlineStr">
        <is>
          <t>ee577c86d39b672b84ced795d14380dc</t>
        </is>
      </c>
      <c r="B764" t="inlineStr">
        <is>
          <t>6836558ca75302628900564ce7c67cf9</t>
        </is>
      </c>
      <c r="C764" t="inlineStr">
        <is>
          <t>56bf83c4bb35763a51c2baab501b4c67</t>
        </is>
      </c>
      <c r="D764" t="inlineStr">
        <is>
          <t>d3d1e91a157ea7f90548eef82f1955e3</t>
        </is>
      </c>
      <c r="E764" s="30" t="n">
        <v>43115.75394675926</v>
      </c>
      <c r="F764" t="inlineStr">
        <is>
          <t>fashion_accessories</t>
        </is>
      </c>
      <c r="G764" t="inlineStr">
        <is>
          <t>online_top</t>
        </is>
      </c>
      <c r="L764" t="inlineStr">
        <is>
          <t>manufacturer</t>
        </is>
      </c>
      <c r="N764" t="n">
        <v>0</v>
      </c>
    </row>
    <row r="765">
      <c r="A765" t="inlineStr">
        <is>
          <t>87db7aea88a3ae9304944ae954c6a420</t>
        </is>
      </c>
      <c r="B765" t="inlineStr">
        <is>
          <t>7c8a7bb451a5a4e8813352670a8b9a22</t>
        </is>
      </c>
      <c r="C765" t="inlineStr">
        <is>
          <t>09285259593c61296eef10c734121d5b</t>
        </is>
      </c>
      <c r="D765" t="inlineStr">
        <is>
          <t>de63de0d10a6012430098db33c679b0b</t>
        </is>
      </c>
      <c r="E765" s="30" t="n">
        <v>43228.7375462963</v>
      </c>
      <c r="F765" t="inlineStr">
        <is>
          <t>household_utilities</t>
        </is>
      </c>
      <c r="G765" t="inlineStr">
        <is>
          <t>online_medium</t>
        </is>
      </c>
      <c r="H765" t="inlineStr">
        <is>
          <t>cat</t>
        </is>
      </c>
      <c r="L765" t="inlineStr">
        <is>
          <t>reseller</t>
        </is>
      </c>
      <c r="N765" t="n">
        <v>0</v>
      </c>
    </row>
    <row r="766">
      <c r="A766" t="inlineStr">
        <is>
          <t>5f87a3fcca7c117d0f4186749a5c6c59</t>
        </is>
      </c>
      <c r="B766" t="inlineStr">
        <is>
          <t>df6a52d41f39ce14aa6df3af06e98e71</t>
        </is>
      </c>
      <c r="C766" t="inlineStr">
        <is>
          <t>4b339f9567d060bcea4f5136b9f5949e</t>
        </is>
      </c>
      <c r="D766" t="inlineStr">
        <is>
          <t>fbf4aef3f6915dc0c3c97d6812522f6a</t>
        </is>
      </c>
      <c r="E766" s="30" t="n">
        <v>43173.7215162037</v>
      </c>
      <c r="F766" t="inlineStr">
        <is>
          <t>health_beauty</t>
        </is>
      </c>
      <c r="G766" t="inlineStr">
        <is>
          <t>online_medium</t>
        </is>
      </c>
      <c r="H766" t="inlineStr">
        <is>
          <t>eagle</t>
        </is>
      </c>
      <c r="L766" t="inlineStr">
        <is>
          <t>reseller</t>
        </is>
      </c>
      <c r="N766" t="n">
        <v>0</v>
      </c>
    </row>
    <row r="767">
      <c r="A767" t="inlineStr">
        <is>
          <t>d15288d9955379f7bde91577c9177310</t>
        </is>
      </c>
      <c r="B767" t="inlineStr">
        <is>
          <t>6cbd0872de0e3e92a1b90f229aac6e61</t>
        </is>
      </c>
      <c r="C767" t="inlineStr">
        <is>
          <t>a8387c01a09e99ce014107505b92388c</t>
        </is>
      </c>
      <c r="D767" t="inlineStr">
        <is>
          <t>9ae085775a198122c5586fa830ff7f2b</t>
        </is>
      </c>
      <c r="E767" s="30" t="n">
        <v>43161.57918981482</v>
      </c>
      <c r="F767" t="inlineStr">
        <is>
          <t>home_decor</t>
        </is>
      </c>
      <c r="G767" t="inlineStr">
        <is>
          <t>online_medium</t>
        </is>
      </c>
      <c r="H767" t="inlineStr">
        <is>
          <t>wolf</t>
        </is>
      </c>
      <c r="L767" t="inlineStr">
        <is>
          <t>reseller</t>
        </is>
      </c>
      <c r="N767" t="n">
        <v>0</v>
      </c>
    </row>
    <row r="768">
      <c r="A768" t="inlineStr">
        <is>
          <t>186f0892f13de5443c0b6d042a6ddde0</t>
        </is>
      </c>
      <c r="B768" t="inlineStr">
        <is>
          <t>d566c37fa119d5e66c4e9052e83ee4ea</t>
        </is>
      </c>
      <c r="C768" t="inlineStr">
        <is>
          <t>068066e24f0c643eb1d089c7dd20cd73</t>
        </is>
      </c>
      <c r="D768" t="inlineStr">
        <is>
          <t>495d4e95a8cf8bbf8b432b612a2aa328</t>
        </is>
      </c>
      <c r="E768" s="30" t="n">
        <v>43159.71961805555</v>
      </c>
      <c r="F768" t="inlineStr">
        <is>
          <t>sports_leisure</t>
        </is>
      </c>
      <c r="G768" t="inlineStr">
        <is>
          <t>online_big</t>
        </is>
      </c>
      <c r="H768" t="inlineStr">
        <is>
          <t>cat</t>
        </is>
      </c>
      <c r="L768" t="inlineStr">
        <is>
          <t>reseller</t>
        </is>
      </c>
      <c r="N768" t="n">
        <v>0</v>
      </c>
    </row>
    <row r="769">
      <c r="A769" t="inlineStr">
        <is>
          <t>7fc2067b7f0e5d86dd4dfa1340b93910</t>
        </is>
      </c>
      <c r="B769" t="inlineStr">
        <is>
          <t>e116c7455dd26a4d8c3e92532583905f</t>
        </is>
      </c>
      <c r="C769" t="inlineStr">
        <is>
          <t>4b339f9567d060bcea4f5136b9f5949e</t>
        </is>
      </c>
      <c r="D769" t="inlineStr">
        <is>
          <t>9ae085775a198122c5586fa830ff7f2b</t>
        </is>
      </c>
      <c r="E769" s="30" t="n">
        <v>43122.08333333334</v>
      </c>
      <c r="F769" t="inlineStr">
        <is>
          <t>health_beauty</t>
        </is>
      </c>
      <c r="G769" t="inlineStr">
        <is>
          <t>online_big</t>
        </is>
      </c>
      <c r="L769" t="inlineStr">
        <is>
          <t>reseller</t>
        </is>
      </c>
      <c r="N769" t="n">
        <v>0</v>
      </c>
    </row>
    <row r="770">
      <c r="A770" t="inlineStr">
        <is>
          <t>a3980fc1d4915887bc4b815080e58a00</t>
        </is>
      </c>
      <c r="B770" t="inlineStr">
        <is>
          <t>611aa09794938387efe774f5abf64c03</t>
        </is>
      </c>
      <c r="C770" t="inlineStr">
        <is>
          <t>4b339f9567d060bcea4f5136b9f5949e</t>
        </is>
      </c>
      <c r="D770" t="inlineStr">
        <is>
          <t>fbf4aef3f6915dc0c3c97d6812522f6a</t>
        </is>
      </c>
      <c r="E770" s="30" t="n">
        <v>43220.89545138889</v>
      </c>
      <c r="F770" t="inlineStr">
        <is>
          <t>home_decor</t>
        </is>
      </c>
      <c r="G770" t="inlineStr">
        <is>
          <t>online_medium</t>
        </is>
      </c>
      <c r="H770" t="inlineStr">
        <is>
          <t>cat</t>
        </is>
      </c>
      <c r="L770" t="inlineStr">
        <is>
          <t>reseller</t>
        </is>
      </c>
      <c r="N770" t="n">
        <v>0</v>
      </c>
    </row>
    <row r="771">
      <c r="A771" t="inlineStr">
        <is>
          <t>de4dbaab116c6ce122ca050041e1546f</t>
        </is>
      </c>
      <c r="B771" t="inlineStr">
        <is>
          <t>bf00385a5f7fc1ef39a13c2e9ee50a5f</t>
        </is>
      </c>
      <c r="C771" t="inlineStr">
        <is>
          <t>de63de0d10a6012430098db33c679b0b</t>
        </is>
      </c>
      <c r="D771" t="inlineStr">
        <is>
          <t>9ae085775a198122c5586fa830ff7f2b</t>
        </is>
      </c>
      <c r="E771" s="30" t="n">
        <v>43272.51496527778</v>
      </c>
      <c r="F771" t="inlineStr">
        <is>
          <t>audio_video_electronics</t>
        </is>
      </c>
      <c r="G771" t="inlineStr">
        <is>
          <t>online_big</t>
        </is>
      </c>
      <c r="H771" t="inlineStr">
        <is>
          <t>cat</t>
        </is>
      </c>
      <c r="L771" t="inlineStr">
        <is>
          <t>reseller</t>
        </is>
      </c>
      <c r="N771" t="n">
        <v>0</v>
      </c>
    </row>
    <row r="772">
      <c r="A772" t="inlineStr">
        <is>
          <t>af37f5b0de67364f54d9b53d8e8afbfa</t>
        </is>
      </c>
      <c r="B772" t="inlineStr">
        <is>
          <t>27bcbf1bcae4a9c14c54627933160f37</t>
        </is>
      </c>
      <c r="C772" t="inlineStr">
        <is>
          <t>b90f87164b5f8c2cfa5c8572834dbe3f</t>
        </is>
      </c>
      <c r="D772" t="inlineStr">
        <is>
          <t>4b339f9567d060bcea4f5136b9f5949e</t>
        </is>
      </c>
      <c r="E772" s="30" t="n">
        <v>43290.62017361111</v>
      </c>
      <c r="F772" t="inlineStr">
        <is>
          <t>home_decor</t>
        </is>
      </c>
      <c r="G772" t="inlineStr">
        <is>
          <t>industry</t>
        </is>
      </c>
      <c r="H772" t="inlineStr">
        <is>
          <t>cat</t>
        </is>
      </c>
      <c r="I772" t="b">
        <v>1</v>
      </c>
      <c r="J772" t="b">
        <v>1</v>
      </c>
      <c r="K772" t="inlineStr">
        <is>
          <t>200+</t>
        </is>
      </c>
      <c r="L772" t="inlineStr">
        <is>
          <t>manufacturer</t>
        </is>
      </c>
      <c r="N772" t="n">
        <v>0</v>
      </c>
    </row>
    <row r="773">
      <c r="A773" t="inlineStr">
        <is>
          <t>660110aa3162f77605b07eec19f1e20a</t>
        </is>
      </c>
      <c r="B773" t="inlineStr">
        <is>
          <t>dbc7e4c98a58fa8731412f4da2f43cb4</t>
        </is>
      </c>
      <c r="C773" t="inlineStr">
        <is>
          <t>a8387c01a09e99ce014107505b92388c</t>
        </is>
      </c>
      <c r="D773" t="inlineStr">
        <is>
          <t>4ef15afb4b2723d8f3d81e51ec7afefe</t>
        </is>
      </c>
      <c r="E773" s="30" t="n">
        <v>43214.125</v>
      </c>
      <c r="F773" t="inlineStr">
        <is>
          <t>household_utilities</t>
        </is>
      </c>
      <c r="G773" t="inlineStr">
        <is>
          <t>online_beginner</t>
        </is>
      </c>
      <c r="H773" t="inlineStr">
        <is>
          <t>cat</t>
        </is>
      </c>
      <c r="L773" t="inlineStr">
        <is>
          <t>reseller</t>
        </is>
      </c>
      <c r="N773" t="n">
        <v>0</v>
      </c>
    </row>
    <row r="774">
      <c r="A774" t="inlineStr">
        <is>
          <t>c2385a5e739790f3b8c1d459abee3e5b</t>
        </is>
      </c>
      <c r="B774" t="inlineStr">
        <is>
          <t>7aa286758114fcd93df587a1e23301ed</t>
        </is>
      </c>
      <c r="C774" t="inlineStr">
        <is>
          <t>068066e24f0c643eb1d089c7dd20cd73</t>
        </is>
      </c>
      <c r="D774" t="inlineStr">
        <is>
          <t>2695de1affa7750089c0455f8ce27021</t>
        </is>
      </c>
      <c r="E774" s="30" t="n">
        <v>43171.78140046296</v>
      </c>
      <c r="F774" t="inlineStr">
        <is>
          <t>handcrafted</t>
        </is>
      </c>
      <c r="G774" t="inlineStr">
        <is>
          <t>online_medium</t>
        </is>
      </c>
      <c r="H774" t="inlineStr">
        <is>
          <t>cat</t>
        </is>
      </c>
      <c r="L774" t="inlineStr">
        <is>
          <t>manufacturer</t>
        </is>
      </c>
      <c r="N774" t="n">
        <v>0</v>
      </c>
    </row>
    <row r="775">
      <c r="A775" t="inlineStr">
        <is>
          <t>a8aa308791fc464208fb025038454c24</t>
        </is>
      </c>
      <c r="B775" t="inlineStr">
        <is>
          <t>818d9691c76fabaf6b491f6a9baefad9</t>
        </is>
      </c>
      <c r="C775" t="inlineStr">
        <is>
          <t>0a0fb2b07d841f84fb6714e35c723075</t>
        </is>
      </c>
      <c r="D775" t="inlineStr">
        <is>
          <t>de63de0d10a6012430098db33c679b0b</t>
        </is>
      </c>
      <c r="E775" s="30" t="n">
        <v>43252.10555555556</v>
      </c>
      <c r="F775" t="inlineStr">
        <is>
          <t>home_decor</t>
        </is>
      </c>
      <c r="G775" t="inlineStr">
        <is>
          <t>online_big</t>
        </is>
      </c>
      <c r="H775" t="inlineStr">
        <is>
          <t>cat</t>
        </is>
      </c>
      <c r="L775" t="inlineStr">
        <is>
          <t>manufacturer</t>
        </is>
      </c>
      <c r="N775" t="n">
        <v>0</v>
      </c>
    </row>
    <row r="776">
      <c r="A776" t="inlineStr">
        <is>
          <t>144194b941960b62a1217cc9d27ebdbe</t>
        </is>
      </c>
      <c r="B776" t="inlineStr">
        <is>
          <t>a46cc8988e2dc21616cc0b2cec80be4b</t>
        </is>
      </c>
      <c r="C776" t="inlineStr">
        <is>
          <t>068066e24f0c643eb1d089c7dd20cd73</t>
        </is>
      </c>
      <c r="D776" t="inlineStr">
        <is>
          <t>d3d1e91a157ea7f90548eef82f1955e3</t>
        </is>
      </c>
      <c r="E776" s="30" t="n">
        <v>43186.56042824074</v>
      </c>
      <c r="F776" t="inlineStr">
        <is>
          <t>construction_tools_house_garden</t>
        </is>
      </c>
      <c r="G776" t="inlineStr">
        <is>
          <t>industry</t>
        </is>
      </c>
      <c r="H776" t="inlineStr">
        <is>
          <t>cat</t>
        </is>
      </c>
      <c r="L776" t="inlineStr">
        <is>
          <t>manufacturer</t>
        </is>
      </c>
      <c r="N776" t="n">
        <v>0</v>
      </c>
    </row>
    <row r="777">
      <c r="A777" t="inlineStr">
        <is>
          <t>7e0a3b03133c5c75330162fee599e5f5</t>
        </is>
      </c>
      <c r="B777" t="inlineStr">
        <is>
          <t>bb2eca0468c9088bd9a146c8d6c72e0b</t>
        </is>
      </c>
      <c r="C777" t="inlineStr">
        <is>
          <t>de63de0d10a6012430098db33c679b0b</t>
        </is>
      </c>
      <c r="D777" t="inlineStr">
        <is>
          <t>d3d1e91a157ea7f90548eef82f1955e3</t>
        </is>
      </c>
      <c r="E777" s="30" t="n">
        <v>43116.55329861111</v>
      </c>
      <c r="F777" t="inlineStr">
        <is>
          <t>construction_tools_house_garden</t>
        </is>
      </c>
      <c r="G777" t="inlineStr">
        <is>
          <t>online_beginner</t>
        </is>
      </c>
      <c r="L777" t="inlineStr">
        <is>
          <t>reseller</t>
        </is>
      </c>
      <c r="N777" t="n">
        <v>0</v>
      </c>
    </row>
    <row r="778">
      <c r="A778" t="inlineStr">
        <is>
          <t>b466c22d12d52c8a0d3792d2eb44b828</t>
        </is>
      </c>
      <c r="B778" t="inlineStr">
        <is>
          <t>623ad9d0c1e14bb5464a8c72bff7b4af</t>
        </is>
      </c>
      <c r="C778" t="inlineStr">
        <is>
          <t>4b339f9567d060bcea4f5136b9f5949e</t>
        </is>
      </c>
      <c r="D778" t="inlineStr">
        <is>
          <t>6565aa9ce3178a5caf6171827af3a9ba</t>
        </is>
      </c>
      <c r="E778" s="30" t="n">
        <v>43158.73599537037</v>
      </c>
      <c r="F778" t="inlineStr">
        <is>
          <t>household_utilities</t>
        </is>
      </c>
      <c r="G778" t="inlineStr">
        <is>
          <t>online_big</t>
        </is>
      </c>
      <c r="H778" t="inlineStr">
        <is>
          <t>wolf</t>
        </is>
      </c>
      <c r="L778" t="inlineStr">
        <is>
          <t>manufacturer</t>
        </is>
      </c>
      <c r="N778" t="n">
        <v>0</v>
      </c>
    </row>
    <row r="779">
      <c r="A779" t="inlineStr">
        <is>
          <t>de0fcd75c97ecea4ebbb534ea6476743</t>
        </is>
      </c>
      <c r="B779" t="inlineStr">
        <is>
          <t>639541c9c4a8a5b34424cac6f81f6be7</t>
        </is>
      </c>
      <c r="C779" t="inlineStr">
        <is>
          <t>9d12ef1a7eca3ec58c545c678af7869c</t>
        </is>
      </c>
      <c r="D779" t="inlineStr">
        <is>
          <t>6565aa9ce3178a5caf6171827af3a9ba</t>
        </is>
      </c>
      <c r="E779" s="30" t="n">
        <v>43200.52121527777</v>
      </c>
      <c r="F779" t="inlineStr">
        <is>
          <t>phone_mobile</t>
        </is>
      </c>
      <c r="G779" t="inlineStr">
        <is>
          <t>online_medium</t>
        </is>
      </c>
      <c r="H779" t="inlineStr">
        <is>
          <t>cat</t>
        </is>
      </c>
      <c r="L779" t="inlineStr">
        <is>
          <t>reseller</t>
        </is>
      </c>
      <c r="N779" t="n">
        <v>0</v>
      </c>
    </row>
    <row r="780">
      <c r="A780" t="inlineStr">
        <is>
          <t>c2102c66aa81e5c07f72cd88e46d091d</t>
        </is>
      </c>
      <c r="B780" t="inlineStr">
        <is>
          <t>649d307ba392e2cc6cedc7888f51923d</t>
        </is>
      </c>
      <c r="C780" t="inlineStr">
        <is>
          <t>f42a2bd194f7802ab052a815c8de65b7</t>
        </is>
      </c>
      <c r="D780" t="inlineStr">
        <is>
          <t>2695de1affa7750089c0455f8ce27021</t>
        </is>
      </c>
      <c r="E780" s="30" t="n">
        <v>43234.60052083333</v>
      </c>
      <c r="F780" t="inlineStr">
        <is>
          <t>car_accessories</t>
        </is>
      </c>
      <c r="G780" t="inlineStr">
        <is>
          <t>offline</t>
        </is>
      </c>
      <c r="H780" t="inlineStr">
        <is>
          <t>cat</t>
        </is>
      </c>
      <c r="L780" t="inlineStr">
        <is>
          <t>reseller</t>
        </is>
      </c>
      <c r="N780" t="n">
        <v>0</v>
      </c>
    </row>
    <row r="781">
      <c r="A781" t="inlineStr">
        <is>
          <t>caea756b29bd071f00ce526f40645a78</t>
        </is>
      </c>
      <c r="B781" t="inlineStr">
        <is>
          <t>fadb07c842a2aef5d5a676b85f220e71</t>
        </is>
      </c>
      <c r="C781" t="inlineStr">
        <is>
          <t>4b339f9567d060bcea4f5136b9f5949e</t>
        </is>
      </c>
      <c r="D781" t="inlineStr">
        <is>
          <t>d3d1e91a157ea7f90548eef82f1955e3</t>
        </is>
      </c>
      <c r="E781" s="30" t="n">
        <v>43200.72459490741</v>
      </c>
      <c r="F781" t="inlineStr">
        <is>
          <t>sports_leisure</t>
        </is>
      </c>
      <c r="G781" t="inlineStr">
        <is>
          <t>online_medium</t>
        </is>
      </c>
      <c r="H781" t="inlineStr">
        <is>
          <t>wolf</t>
        </is>
      </c>
      <c r="L781" t="inlineStr">
        <is>
          <t>reseller</t>
        </is>
      </c>
      <c r="N781" t="n">
        <v>0</v>
      </c>
    </row>
    <row r="782">
      <c r="A782" t="inlineStr">
        <is>
          <t>7720c6892d447539b71d8bd9e4d1ef60</t>
        </is>
      </c>
      <c r="B782" t="inlineStr">
        <is>
          <t>3786da2e9afd5d55617521bd1685dec0</t>
        </is>
      </c>
      <c r="C782" t="inlineStr">
        <is>
          <t>f42a2bd194f7802ab052a815c8de65b7</t>
        </is>
      </c>
      <c r="D782" t="inlineStr">
        <is>
          <t>a8387c01a09e99ce014107505b92388c</t>
        </is>
      </c>
      <c r="E782" s="30" t="n">
        <v>43374.74107638889</v>
      </c>
      <c r="F782" t="inlineStr">
        <is>
          <t>toys</t>
        </is>
      </c>
      <c r="G782" t="inlineStr">
        <is>
          <t>online_medium</t>
        </is>
      </c>
      <c r="H782" t="inlineStr">
        <is>
          <t>eagle, cat</t>
        </is>
      </c>
      <c r="I782" t="b">
        <v>1</v>
      </c>
      <c r="J782" t="b">
        <v>1</v>
      </c>
      <c r="K782" t="inlineStr">
        <is>
          <t>unknown</t>
        </is>
      </c>
      <c r="L782" t="inlineStr">
        <is>
          <t>reseller</t>
        </is>
      </c>
      <c r="M782" t="n">
        <v>300</v>
      </c>
      <c r="N782" t="n">
        <v>25000</v>
      </c>
    </row>
    <row r="783">
      <c r="A783" t="inlineStr">
        <is>
          <t>21dd2bb7a4d988443cb303e42afb8316</t>
        </is>
      </c>
      <c r="B783" t="inlineStr">
        <is>
          <t>b7bff8fe73a12a5e844c7d83ee1202ff</t>
        </is>
      </c>
      <c r="C783" t="inlineStr">
        <is>
          <t>9e4d1098a3b0f5da39b0bc48f9876645</t>
        </is>
      </c>
      <c r="D783" t="inlineStr">
        <is>
          <t>c638112b43f1d1b86dcabb0da720c901</t>
        </is>
      </c>
      <c r="E783" s="30" t="n">
        <v>43166.80383101852</v>
      </c>
      <c r="F783" t="inlineStr">
        <is>
          <t>small_appliances</t>
        </is>
      </c>
      <c r="G783" t="inlineStr">
        <is>
          <t>online_small</t>
        </is>
      </c>
      <c r="H783" t="inlineStr">
        <is>
          <t>cat</t>
        </is>
      </c>
      <c r="L783" t="inlineStr">
        <is>
          <t>manufacturer</t>
        </is>
      </c>
      <c r="N783" t="n">
        <v>0</v>
      </c>
    </row>
    <row r="784">
      <c r="A784" t="inlineStr">
        <is>
          <t>f0affe8ec1361efcafd1816b5b1c2426</t>
        </is>
      </c>
      <c r="B784" t="inlineStr">
        <is>
          <t>09175f552e7526624e8100bdc8d0c92d</t>
        </is>
      </c>
      <c r="C784" t="inlineStr">
        <is>
          <t>068066e24f0c643eb1d089c7dd20cd73</t>
        </is>
      </c>
      <c r="D784" t="inlineStr">
        <is>
          <t>6565aa9ce3178a5caf6171827af3a9ba</t>
        </is>
      </c>
      <c r="E784" s="30" t="n">
        <v>43153.68202546296</v>
      </c>
      <c r="F784" t="inlineStr">
        <is>
          <t>food_drink</t>
        </is>
      </c>
      <c r="G784" t="inlineStr">
        <is>
          <t>offline</t>
        </is>
      </c>
      <c r="L784" t="inlineStr">
        <is>
          <t>reseller</t>
        </is>
      </c>
      <c r="N784" t="n">
        <v>0</v>
      </c>
    </row>
    <row r="785">
      <c r="A785" t="inlineStr">
        <is>
          <t>0ff0a4ce9abf031dc12194a19ced4ef1</t>
        </is>
      </c>
      <c r="B785" t="inlineStr">
        <is>
          <t>a64e44665225d19dfc0277eeeaaccc57</t>
        </is>
      </c>
      <c r="C785" t="inlineStr">
        <is>
          <t>9d12ef1a7eca3ec58c545c678af7869c</t>
        </is>
      </c>
      <c r="D785" t="inlineStr">
        <is>
          <t>068066e24f0c643eb1d089c7dd20cd73</t>
        </is>
      </c>
      <c r="E785" s="30" t="n">
        <v>43234.75454861111</v>
      </c>
      <c r="F785" t="inlineStr">
        <is>
          <t>food_supplement</t>
        </is>
      </c>
      <c r="G785" t="inlineStr">
        <is>
          <t>online_medium</t>
        </is>
      </c>
      <c r="H785" t="inlineStr">
        <is>
          <t>cat</t>
        </is>
      </c>
      <c r="L785" t="inlineStr">
        <is>
          <t>manufacturer</t>
        </is>
      </c>
      <c r="N785" t="n">
        <v>0</v>
      </c>
    </row>
    <row r="786">
      <c r="A786" t="inlineStr">
        <is>
          <t>a0ab09eb2842e474a3a5aed12e533a2a</t>
        </is>
      </c>
      <c r="B786" t="inlineStr">
        <is>
          <t>6b3bd31ad8fcda4b2635ec9f3ff2ecdf</t>
        </is>
      </c>
      <c r="C786" t="inlineStr">
        <is>
          <t>de63de0d10a6012430098db33c679b0b</t>
        </is>
      </c>
      <c r="D786" t="inlineStr">
        <is>
          <t>d3d1e91a157ea7f90548eef82f1955e3</t>
        </is>
      </c>
      <c r="E786" s="30" t="n">
        <v>43172.78734953704</v>
      </c>
      <c r="F786" t="inlineStr">
        <is>
          <t>food_supplement</t>
        </is>
      </c>
      <c r="G786" t="inlineStr">
        <is>
          <t>online_small</t>
        </is>
      </c>
      <c r="L786" t="inlineStr">
        <is>
          <t>reseller</t>
        </is>
      </c>
      <c r="N786" t="n">
        <v>0</v>
      </c>
    </row>
    <row r="787">
      <c r="A787" t="inlineStr">
        <is>
          <t>c6a3a2c5533022519407029f38d214fa</t>
        </is>
      </c>
      <c r="B787" t="inlineStr">
        <is>
          <t>a84e05448dd8286412b96fddf603db26</t>
        </is>
      </c>
      <c r="C787" t="inlineStr">
        <is>
          <t>56bf83c4bb35763a51c2baab501b4c67</t>
        </is>
      </c>
      <c r="D787" t="inlineStr">
        <is>
          <t>495d4e95a8cf8bbf8b432b612a2aa328</t>
        </is>
      </c>
      <c r="E787" s="30" t="n">
        <v>43173.125</v>
      </c>
      <c r="F787" t="inlineStr">
        <is>
          <t>sports_leisure</t>
        </is>
      </c>
      <c r="G787" t="inlineStr">
        <is>
          <t>online_medium</t>
        </is>
      </c>
      <c r="H787" t="inlineStr">
        <is>
          <t>cat</t>
        </is>
      </c>
      <c r="L787" t="inlineStr">
        <is>
          <t>manufacturer</t>
        </is>
      </c>
      <c r="N787" t="n">
        <v>0</v>
      </c>
    </row>
    <row r="788">
      <c r="A788" t="inlineStr">
        <is>
          <t>1785cff273aedbd875c814b46928ad7f</t>
        </is>
      </c>
      <c r="B788" t="inlineStr">
        <is>
          <t>213fafb0ca06fb3d5886579c2565791b</t>
        </is>
      </c>
      <c r="C788" t="inlineStr">
        <is>
          <t>4b339f9567d060bcea4f5136b9f5949e</t>
        </is>
      </c>
      <c r="D788" t="inlineStr">
        <is>
          <t>6565aa9ce3178a5caf6171827af3a9ba</t>
        </is>
      </c>
      <c r="E788" s="30" t="n">
        <v>43237.75797453704</v>
      </c>
      <c r="F788" t="inlineStr">
        <is>
          <t>audio_video_electronics</t>
        </is>
      </c>
      <c r="G788" t="inlineStr">
        <is>
          <t>online_big</t>
        </is>
      </c>
      <c r="H788" t="inlineStr">
        <is>
          <t>cat</t>
        </is>
      </c>
      <c r="L788" t="inlineStr">
        <is>
          <t>reseller</t>
        </is>
      </c>
      <c r="N788" t="n">
        <v>0</v>
      </c>
    </row>
    <row r="789">
      <c r="A789" t="inlineStr">
        <is>
          <t>a57bf18e19b6b17e3d4fbc20561e2055</t>
        </is>
      </c>
      <c r="B789" t="inlineStr">
        <is>
          <t>2a17b229ca84523393b003b7e0bfae63</t>
        </is>
      </c>
      <c r="C789" t="inlineStr">
        <is>
          <t>f42a2bd194f7802ab052a815c8de65b7</t>
        </is>
      </c>
      <c r="D789" t="inlineStr">
        <is>
          <t>9d12ef1a7eca3ec58c545c678af7869c</t>
        </is>
      </c>
      <c r="E789" s="30" t="n">
        <v>43332.61195601852</v>
      </c>
      <c r="F789" t="inlineStr">
        <is>
          <t>toys</t>
        </is>
      </c>
      <c r="G789" t="inlineStr">
        <is>
          <t>online_small</t>
        </is>
      </c>
      <c r="H789" t="inlineStr">
        <is>
          <t>eagle, cat</t>
        </is>
      </c>
      <c r="I789" t="b">
        <v>1</v>
      </c>
      <c r="J789" t="b">
        <v>0</v>
      </c>
      <c r="K789" t="inlineStr">
        <is>
          <t>unknown</t>
        </is>
      </c>
      <c r="L789" t="inlineStr">
        <is>
          <t>manufacturer</t>
        </is>
      </c>
      <c r="M789" t="n">
        <v>100</v>
      </c>
      <c r="N789" t="n">
        <v>50000</v>
      </c>
    </row>
    <row r="790">
      <c r="A790" t="inlineStr">
        <is>
          <t>eb454ad6be830064d49727814426bb6e</t>
        </is>
      </c>
      <c r="B790" t="inlineStr">
        <is>
          <t>e0a3c37054ade6478d923a6efc10f308</t>
        </is>
      </c>
      <c r="C790" t="inlineStr">
        <is>
          <t>4b339f9567d060bcea4f5136b9f5949e</t>
        </is>
      </c>
      <c r="D790" t="inlineStr">
        <is>
          <t>56bf83c4bb35763a51c2baab501b4c67</t>
        </is>
      </c>
      <c r="E790" s="30" t="n">
        <v>43245.73101851852</v>
      </c>
      <c r="F790" t="inlineStr">
        <is>
          <t>baby</t>
        </is>
      </c>
      <c r="G790" t="inlineStr">
        <is>
          <t>online_beginner</t>
        </is>
      </c>
      <c r="H790" t="inlineStr">
        <is>
          <t>cat</t>
        </is>
      </c>
      <c r="L790" t="inlineStr">
        <is>
          <t>manufacturer</t>
        </is>
      </c>
      <c r="N790" t="n">
        <v>0</v>
      </c>
    </row>
    <row r="791">
      <c r="A791" t="inlineStr">
        <is>
          <t>b14ab177881b4c06b81317c5f2034ede</t>
        </is>
      </c>
      <c r="B791" t="inlineStr">
        <is>
          <t>8fb67a334bacec338885b4e9e1708073</t>
        </is>
      </c>
      <c r="C791" t="inlineStr">
        <is>
          <t>9d12ef1a7eca3ec58c545c678af7869c</t>
        </is>
      </c>
      <c r="D791" t="inlineStr">
        <is>
          <t>fbf4aef3f6915dc0c3c97d6812522f6a</t>
        </is>
      </c>
      <c r="E791" s="30" t="n">
        <v>43217.51289351852</v>
      </c>
      <c r="F791" t="inlineStr">
        <is>
          <t>home_decor</t>
        </is>
      </c>
      <c r="G791" t="inlineStr">
        <is>
          <t>online_medium</t>
        </is>
      </c>
      <c r="H791" t="inlineStr">
        <is>
          <t>cat</t>
        </is>
      </c>
      <c r="L791" t="inlineStr">
        <is>
          <t>manufacturer</t>
        </is>
      </c>
      <c r="N791" t="n">
        <v>0</v>
      </c>
    </row>
    <row r="792">
      <c r="A792" t="inlineStr">
        <is>
          <t>921fc9c7fd3ec362c7276f81fa81baf9</t>
        </is>
      </c>
      <c r="B792" t="inlineStr">
        <is>
          <t>4a23adac87cf538689fa600d976f78b2</t>
        </is>
      </c>
      <c r="C792" t="inlineStr">
        <is>
          <t>b90f87164b5f8c2cfa5c8572834dbe3f</t>
        </is>
      </c>
      <c r="D792" t="inlineStr">
        <is>
          <t>85fc447d336637ba1df43e793199fbc8</t>
        </is>
      </c>
      <c r="E792" s="30" t="n">
        <v>43300.88734953704</v>
      </c>
      <c r="F792" t="inlineStr">
        <is>
          <t>health_beauty</t>
        </is>
      </c>
      <c r="G792" t="inlineStr">
        <is>
          <t>industry</t>
        </is>
      </c>
      <c r="H792" t="inlineStr">
        <is>
          <t>wolf</t>
        </is>
      </c>
      <c r="L792" t="inlineStr">
        <is>
          <t>manufacturer</t>
        </is>
      </c>
      <c r="N792" t="n">
        <v>0</v>
      </c>
    </row>
    <row r="793">
      <c r="A793" t="inlineStr">
        <is>
          <t>45b5846f3d142b0748d3dc2ab223ab6b</t>
        </is>
      </c>
      <c r="B793" t="inlineStr">
        <is>
          <t>76ea5315acb3f5f7ade3cd261faf922a</t>
        </is>
      </c>
      <c r="C793" t="inlineStr">
        <is>
          <t>34d40cdaf94010a1d05b0d6212f9e909</t>
        </is>
      </c>
      <c r="D793" t="inlineStr">
        <is>
          <t>4ef15afb4b2723d8f3d81e51ec7afefe</t>
        </is>
      </c>
      <c r="E793" s="30" t="n">
        <v>43214.87118055556</v>
      </c>
      <c r="F793" t="inlineStr">
        <is>
          <t>car_accessories</t>
        </is>
      </c>
      <c r="G793" t="inlineStr">
        <is>
          <t>online_big</t>
        </is>
      </c>
      <c r="H793" t="inlineStr">
        <is>
          <t>cat</t>
        </is>
      </c>
      <c r="L793" t="inlineStr">
        <is>
          <t>reseller</t>
        </is>
      </c>
      <c r="N793" t="n">
        <v>0</v>
      </c>
    </row>
    <row r="794">
      <c r="A794" t="inlineStr">
        <is>
          <t>ce518001633ca4e1f2ae4b02f4dcb11f</t>
        </is>
      </c>
      <c r="B794" t="inlineStr">
        <is>
          <t>741eb1606348f827baeb4c099fcf1bdd</t>
        </is>
      </c>
      <c r="C794" t="inlineStr">
        <is>
          <t>56bf83c4bb35763a51c2baab501b4c67</t>
        </is>
      </c>
      <c r="D794" t="inlineStr">
        <is>
          <t>4ef15afb4b2723d8f3d81e51ec7afefe</t>
        </is>
      </c>
      <c r="E794" s="30" t="n">
        <v>43137.84615740741</v>
      </c>
      <c r="F794" t="inlineStr">
        <is>
          <t>food_supplement</t>
        </is>
      </c>
      <c r="G794" t="inlineStr">
        <is>
          <t>offline</t>
        </is>
      </c>
      <c r="L794" t="inlineStr">
        <is>
          <t>reseller</t>
        </is>
      </c>
      <c r="N794" t="n">
        <v>0</v>
      </c>
    </row>
    <row r="795">
      <c r="A795" t="inlineStr">
        <is>
          <t>341d4a2ff35fb1a23abe056798b04d41</t>
        </is>
      </c>
      <c r="B795" t="inlineStr">
        <is>
          <t>f88adb15807168d3c43d71021090ce4a</t>
        </is>
      </c>
      <c r="C795" t="inlineStr">
        <is>
          <t>9e4d1098a3b0f5da39b0bc48f9876645</t>
        </is>
      </c>
      <c r="D795" t="inlineStr">
        <is>
          <t>4ef15afb4b2723d8f3d81e51ec7afefe</t>
        </is>
      </c>
      <c r="E795" s="30" t="n">
        <v>43182.88006944444</v>
      </c>
      <c r="F795" t="inlineStr">
        <is>
          <t>gifts</t>
        </is>
      </c>
      <c r="G795" t="inlineStr">
        <is>
          <t>online_medium</t>
        </is>
      </c>
      <c r="H795" t="inlineStr">
        <is>
          <t>cat</t>
        </is>
      </c>
      <c r="L795" t="inlineStr">
        <is>
          <t>reseller</t>
        </is>
      </c>
      <c r="N795" t="n">
        <v>0</v>
      </c>
    </row>
    <row r="796">
      <c r="A796" t="inlineStr">
        <is>
          <t>9542f2f27285580fe8d6aa82e179ed28</t>
        </is>
      </c>
      <c r="B796" t="inlineStr">
        <is>
          <t>a359ed4a476430e29909d1415ecacb1d</t>
        </is>
      </c>
      <c r="C796" t="inlineStr">
        <is>
          <t>de63de0d10a6012430098db33c679b0b</t>
        </is>
      </c>
      <c r="D796" t="inlineStr">
        <is>
          <t>6565aa9ce3178a5caf6171827af3a9ba</t>
        </is>
      </c>
      <c r="E796" s="30" t="n">
        <v>43119.55011574074</v>
      </c>
      <c r="F796" t="inlineStr">
        <is>
          <t>home_decor</t>
        </is>
      </c>
      <c r="G796" t="inlineStr">
        <is>
          <t>online_medium</t>
        </is>
      </c>
      <c r="L796" t="inlineStr">
        <is>
          <t>reseller</t>
        </is>
      </c>
      <c r="N796" t="n">
        <v>0</v>
      </c>
    </row>
    <row r="797">
      <c r="A797" t="inlineStr">
        <is>
          <t>1217984b38cadfb4b1c15f30a3212680</t>
        </is>
      </c>
      <c r="B797" t="inlineStr">
        <is>
          <t>54c04bdb5ec46762f8f08c7e8f86ed4a</t>
        </is>
      </c>
      <c r="C797" t="inlineStr">
        <is>
          <t>4b339f9567d060bcea4f5136b9f5949e</t>
        </is>
      </c>
      <c r="D797" t="inlineStr">
        <is>
          <t>4ef15afb4b2723d8f3d81e51ec7afefe</t>
        </is>
      </c>
      <c r="E797" s="30" t="n">
        <v>43126.68561342593</v>
      </c>
      <c r="F797" t="inlineStr">
        <is>
          <t>food_supplement</t>
        </is>
      </c>
      <c r="G797" t="inlineStr">
        <is>
          <t>online_medium</t>
        </is>
      </c>
      <c r="L797" t="inlineStr">
        <is>
          <t>reseller</t>
        </is>
      </c>
      <c r="N797" t="n">
        <v>0</v>
      </c>
    </row>
    <row r="798">
      <c r="A798" t="inlineStr">
        <is>
          <t>1b9d7ffccca875a9079e3b57c24a3113</t>
        </is>
      </c>
      <c r="B798" t="inlineStr">
        <is>
          <t>8476243f92442881ddd5b578975cf115</t>
        </is>
      </c>
      <c r="C798" t="inlineStr">
        <is>
          <t>56bf83c4bb35763a51c2baab501b4c67</t>
        </is>
      </c>
      <c r="D798" t="inlineStr">
        <is>
          <t>fbf4aef3f6915dc0c3c97d6812522f6a</t>
        </is>
      </c>
      <c r="E798" s="30" t="n">
        <v>43108.08333333334</v>
      </c>
      <c r="F798" t="inlineStr">
        <is>
          <t>audio_video_electronics</t>
        </is>
      </c>
      <c r="G798" t="inlineStr">
        <is>
          <t>online_big</t>
        </is>
      </c>
      <c r="L798" t="inlineStr">
        <is>
          <t>reseller</t>
        </is>
      </c>
      <c r="N798" t="n">
        <v>0</v>
      </c>
    </row>
    <row r="799">
      <c r="A799" t="inlineStr">
        <is>
          <t>8b2112b1064c167cfbccbdeb2b5841f2</t>
        </is>
      </c>
      <c r="B799" t="inlineStr">
        <is>
          <t>09bad886111255c5b5030314fc7f1a4a</t>
        </is>
      </c>
      <c r="C799" t="inlineStr">
        <is>
          <t>de63de0d10a6012430098db33c679b0b</t>
        </is>
      </c>
      <c r="D799" t="inlineStr">
        <is>
          <t>4ef15afb4b2723d8f3d81e51ec7afefe</t>
        </is>
      </c>
      <c r="E799" s="30" t="n">
        <v>43216.81681712963</v>
      </c>
      <c r="F799" t="inlineStr">
        <is>
          <t>handcrafted</t>
        </is>
      </c>
      <c r="G799" t="inlineStr">
        <is>
          <t>offline</t>
        </is>
      </c>
      <c r="L799" t="inlineStr">
        <is>
          <t>reseller</t>
        </is>
      </c>
      <c r="N799" t="n">
        <v>0</v>
      </c>
    </row>
    <row r="800">
      <c r="A800" t="inlineStr">
        <is>
          <t>878c57ac87b8629049a172596fb9a67d</t>
        </is>
      </c>
      <c r="B800" t="inlineStr">
        <is>
          <t>8b286dd43c391bc2d763668067eca963</t>
        </is>
      </c>
      <c r="C800" t="inlineStr">
        <is>
          <t>34d40cdaf94010a1d05b0d6212f9e909</t>
        </is>
      </c>
      <c r="D800" t="inlineStr">
        <is>
          <t>068066e24f0c643eb1d089c7dd20cd73</t>
        </is>
      </c>
      <c r="E800" s="30" t="n">
        <v>43242.53791666667</v>
      </c>
      <c r="F800" t="inlineStr">
        <is>
          <t>food_supplement</t>
        </is>
      </c>
      <c r="G800" t="inlineStr">
        <is>
          <t>industry</t>
        </is>
      </c>
      <c r="H800" t="inlineStr">
        <is>
          <t>cat</t>
        </is>
      </c>
      <c r="L800" t="inlineStr">
        <is>
          <t>manufacturer</t>
        </is>
      </c>
      <c r="N800" t="n">
        <v>0</v>
      </c>
    </row>
    <row r="801">
      <c r="A801" t="inlineStr">
        <is>
          <t>b7f3b8bcd964f9e44b212cceabacf877</t>
        </is>
      </c>
      <c r="B801" t="inlineStr">
        <is>
          <t>07a9a154056e210f17bbacd5e30c024c</t>
        </is>
      </c>
      <c r="C801" t="inlineStr">
        <is>
          <t>4b339f9567d060bcea4f5136b9f5949e</t>
        </is>
      </c>
      <c r="D801" t="inlineStr">
        <is>
          <t>de63de0d10a6012430098db33c679b0b</t>
        </is>
      </c>
      <c r="E801" s="30" t="n">
        <v>43255</v>
      </c>
      <c r="F801" t="inlineStr">
        <is>
          <t>bed_bath_table</t>
        </is>
      </c>
      <c r="G801" t="inlineStr">
        <is>
          <t>industry</t>
        </is>
      </c>
      <c r="H801" t="inlineStr">
        <is>
          <t>cat</t>
        </is>
      </c>
      <c r="L801" t="inlineStr">
        <is>
          <t>manufacturer</t>
        </is>
      </c>
      <c r="N801" t="n">
        <v>0</v>
      </c>
    </row>
    <row r="802">
      <c r="A802" t="inlineStr">
        <is>
          <t>ea36a38cfad96a89e2614f339f909549</t>
        </is>
      </c>
      <c r="B802" t="inlineStr">
        <is>
          <t>f0418a194da21de7cd01336b10be11a7</t>
        </is>
      </c>
      <c r="C802" t="inlineStr">
        <is>
          <t>de63de0d10a6012430098db33c679b0b</t>
        </is>
      </c>
      <c r="D802" t="inlineStr">
        <is>
          <t>d3d1e91a157ea7f90548eef82f1955e3</t>
        </is>
      </c>
      <c r="E802" s="30" t="n">
        <v>43151.51210648148</v>
      </c>
      <c r="F802" t="inlineStr">
        <is>
          <t>construction_tools_house_garden</t>
        </is>
      </c>
      <c r="G802" t="inlineStr">
        <is>
          <t>industry</t>
        </is>
      </c>
      <c r="H802" t="inlineStr">
        <is>
          <t>eagle</t>
        </is>
      </c>
      <c r="L802" t="inlineStr">
        <is>
          <t>reseller</t>
        </is>
      </c>
      <c r="N802" t="n">
        <v>0</v>
      </c>
    </row>
    <row r="803">
      <c r="A803" t="inlineStr">
        <is>
          <t>ebcdc4e2a7e73118fab4921b78200b2b</t>
        </is>
      </c>
      <c r="B803" t="inlineStr">
        <is>
          <t>fcc29f9f37cfd89db0038d8de7f97f08</t>
        </is>
      </c>
      <c r="C803" t="inlineStr">
        <is>
          <t>9e4d1098a3b0f5da39b0bc48f9876645</t>
        </is>
      </c>
      <c r="D803" t="inlineStr">
        <is>
          <t>495d4e95a8cf8bbf8b432b612a2aa328</t>
        </is>
      </c>
      <c r="E803" s="30" t="n">
        <v>43172.8421875</v>
      </c>
      <c r="F803" t="inlineStr">
        <is>
          <t>sports_leisure</t>
        </is>
      </c>
      <c r="G803" t="inlineStr">
        <is>
          <t>online_big</t>
        </is>
      </c>
      <c r="H803" t="inlineStr">
        <is>
          <t>cat</t>
        </is>
      </c>
      <c r="L803" t="inlineStr">
        <is>
          <t>reseller</t>
        </is>
      </c>
      <c r="N803" t="n">
        <v>0</v>
      </c>
    </row>
    <row r="804">
      <c r="A804" t="inlineStr">
        <is>
          <t>ae437864746ae2a9e694a6ed2b5824db</t>
        </is>
      </c>
      <c r="B804" t="inlineStr">
        <is>
          <t>01266d4c46afa519678d16a8b683d325</t>
        </is>
      </c>
      <c r="C804" t="inlineStr">
        <is>
          <t>4b339f9567d060bcea4f5136b9f5949e</t>
        </is>
      </c>
      <c r="D804" t="inlineStr">
        <is>
          <t>6565aa9ce3178a5caf6171827af3a9ba</t>
        </is>
      </c>
      <c r="E804" s="30" t="n">
        <v>43238.83476851852</v>
      </c>
      <c r="F804" t="inlineStr">
        <is>
          <t>construction_tools_house_garden</t>
        </is>
      </c>
      <c r="G804" t="inlineStr">
        <is>
          <t>online_small</t>
        </is>
      </c>
      <c r="H804" t="inlineStr">
        <is>
          <t>cat</t>
        </is>
      </c>
      <c r="L804" t="inlineStr">
        <is>
          <t>reseller</t>
        </is>
      </c>
      <c r="N804" t="n">
        <v>0</v>
      </c>
    </row>
    <row r="805">
      <c r="A805" t="inlineStr">
        <is>
          <t>100a1f43c56bb71781a2231a79900488</t>
        </is>
      </c>
      <c r="B805" t="inlineStr">
        <is>
          <t>297be0a3c196d803e4e4f013432be4e1</t>
        </is>
      </c>
      <c r="C805" t="inlineStr">
        <is>
          <t>370c9f455f93a9a96cbe9bea48e70033</t>
        </is>
      </c>
      <c r="D805" t="inlineStr">
        <is>
          <t>56bf83c4bb35763a51c2baab501b4c67</t>
        </is>
      </c>
      <c r="E805" s="30" t="n">
        <v>43311.5847337963</v>
      </c>
      <c r="F805" t="inlineStr">
        <is>
          <t>home_decor</t>
        </is>
      </c>
      <c r="G805" t="inlineStr">
        <is>
          <t>online_beginner</t>
        </is>
      </c>
      <c r="H805" t="inlineStr">
        <is>
          <t>eagle</t>
        </is>
      </c>
      <c r="L805" t="inlineStr">
        <is>
          <t>manufacturer</t>
        </is>
      </c>
      <c r="N805" t="n">
        <v>0</v>
      </c>
    </row>
    <row r="806">
      <c r="A806" t="inlineStr">
        <is>
          <t>3434cfa4a17f019a5aae78ee0bec24bf</t>
        </is>
      </c>
      <c r="B806" t="inlineStr">
        <is>
          <t>9ba337a47628f9761b6bb3939a3f97a9</t>
        </is>
      </c>
      <c r="C806" t="inlineStr">
        <is>
          <t>fdb16d3cbbeb5798f2f66c4096be026d</t>
        </is>
      </c>
      <c r="D806" t="inlineStr">
        <is>
          <t>495d4e95a8cf8bbf8b432b612a2aa328</t>
        </is>
      </c>
      <c r="E806" s="30" t="n">
        <v>43157.61393518518</v>
      </c>
      <c r="F806" t="inlineStr">
        <is>
          <t>home_decor</t>
        </is>
      </c>
      <c r="G806" t="inlineStr">
        <is>
          <t>industry</t>
        </is>
      </c>
      <c r="H806" t="inlineStr">
        <is>
          <t>eagle</t>
        </is>
      </c>
      <c r="N806" t="n">
        <v>0</v>
      </c>
    </row>
    <row r="807">
      <c r="A807" t="inlineStr">
        <is>
          <t>2852475bf1d02022e4eb5269c452259a</t>
        </is>
      </c>
      <c r="B807" t="inlineStr">
        <is>
          <t>1a47a5831effd926ad6bee7ab8beb86c</t>
        </is>
      </c>
      <c r="C807" t="inlineStr">
        <is>
          <t>370c9f455f93a9a96cbe9bea48e70033</t>
        </is>
      </c>
      <c r="D807" t="inlineStr">
        <is>
          <t>495d4e95a8cf8bbf8b432b612a2aa328</t>
        </is>
      </c>
      <c r="E807" s="30" t="n">
        <v>43280.74601851852</v>
      </c>
      <c r="F807" t="inlineStr">
        <is>
          <t>home_decor</t>
        </is>
      </c>
      <c r="G807" t="inlineStr">
        <is>
          <t>online_medium</t>
        </is>
      </c>
      <c r="H807" t="inlineStr">
        <is>
          <t>wolf</t>
        </is>
      </c>
      <c r="L807" t="inlineStr">
        <is>
          <t>reseller</t>
        </is>
      </c>
      <c r="N807" t="n">
        <v>0</v>
      </c>
    </row>
    <row r="808">
      <c r="A808" t="inlineStr">
        <is>
          <t>5a85461739094491a96bb30267640454</t>
        </is>
      </c>
      <c r="B808" t="inlineStr">
        <is>
          <t>1cd757f0f38c0847a2f05717d18b8d92</t>
        </is>
      </c>
      <c r="C808" t="inlineStr">
        <is>
          <t>9d12ef1a7eca3ec58c545c678af7869c</t>
        </is>
      </c>
      <c r="D808" t="inlineStr">
        <is>
          <t>4ef15afb4b2723d8f3d81e51ec7afefe</t>
        </is>
      </c>
      <c r="E808" s="30" t="n">
        <v>43238.52680555556</v>
      </c>
      <c r="F808" t="inlineStr">
        <is>
          <t>computers</t>
        </is>
      </c>
      <c r="G808" t="inlineStr">
        <is>
          <t>industry</t>
        </is>
      </c>
      <c r="H808" t="inlineStr">
        <is>
          <t>cat</t>
        </is>
      </c>
      <c r="L808" t="inlineStr">
        <is>
          <t>reseller</t>
        </is>
      </c>
      <c r="N808" t="n">
        <v>0</v>
      </c>
    </row>
    <row r="809">
      <c r="A809" t="inlineStr">
        <is>
          <t>42d15f0a37b7d0a151bb2ca9cc7e5548</t>
        </is>
      </c>
      <c r="B809" t="inlineStr">
        <is>
          <t>9cf787a239c1aa29dbd76f153dc13f9a</t>
        </is>
      </c>
      <c r="C809" t="inlineStr">
        <is>
          <t>068066e24f0c643eb1d089c7dd20cd73</t>
        </is>
      </c>
      <c r="D809" t="inlineStr">
        <is>
          <t>6565aa9ce3178a5caf6171827af3a9ba</t>
        </is>
      </c>
      <c r="E809" s="30" t="n">
        <v>43124.51923611111</v>
      </c>
      <c r="F809" t="inlineStr">
        <is>
          <t>fashion_accessories</t>
        </is>
      </c>
      <c r="G809" t="inlineStr">
        <is>
          <t>online_medium</t>
        </is>
      </c>
      <c r="L809" t="inlineStr">
        <is>
          <t>reseller</t>
        </is>
      </c>
      <c r="N809" t="n">
        <v>0</v>
      </c>
    </row>
    <row r="810">
      <c r="A810" t="inlineStr">
        <is>
          <t>862690c612c4c41a2ddceb9bf7a5c848</t>
        </is>
      </c>
      <c r="B810" t="inlineStr">
        <is>
          <t>1a932caad4f9d804097d7f8e615baed1</t>
        </is>
      </c>
      <c r="C810" t="inlineStr">
        <is>
          <t>de63de0d10a6012430098db33c679b0b</t>
        </is>
      </c>
      <c r="D810" t="inlineStr">
        <is>
          <t>9ae085775a198122c5586fa830ff7f2b</t>
        </is>
      </c>
      <c r="E810" s="30" t="n">
        <v>43150.82708333333</v>
      </c>
      <c r="F810" t="inlineStr">
        <is>
          <t>construction_tools_house_garden</t>
        </is>
      </c>
      <c r="G810" t="inlineStr">
        <is>
          <t>industry</t>
        </is>
      </c>
      <c r="H810" t="inlineStr">
        <is>
          <t>eagle</t>
        </is>
      </c>
      <c r="L810" t="inlineStr">
        <is>
          <t>reseller</t>
        </is>
      </c>
      <c r="N810" t="n">
        <v>0</v>
      </c>
    </row>
    <row r="811">
      <c r="A811" t="inlineStr">
        <is>
          <t>76609909f975f3db5b8e50e4cb9ec136</t>
        </is>
      </c>
      <c r="B811" t="inlineStr">
        <is>
          <t>b2d462f41b6b46b0569b20a8a4ebfcae</t>
        </is>
      </c>
      <c r="C811" t="inlineStr">
        <is>
          <t>4b339f9567d060bcea4f5136b9f5949e</t>
        </is>
      </c>
      <c r="D811" t="inlineStr">
        <is>
          <t>068066e24f0c643eb1d089c7dd20cd73</t>
        </is>
      </c>
      <c r="E811" s="30" t="n">
        <v>43249.78716435185</v>
      </c>
      <c r="F811" t="inlineStr">
        <is>
          <t>health_beauty</t>
        </is>
      </c>
      <c r="G811" t="inlineStr">
        <is>
          <t>online_medium</t>
        </is>
      </c>
      <c r="H811" t="inlineStr">
        <is>
          <t>cat</t>
        </is>
      </c>
      <c r="L811" t="inlineStr">
        <is>
          <t>reseller</t>
        </is>
      </c>
      <c r="N811" t="n">
        <v>0</v>
      </c>
    </row>
    <row r="812">
      <c r="A812" t="inlineStr">
        <is>
          <t>d5cb61eef98bd237e41bc2225263f823</t>
        </is>
      </c>
      <c r="B812" t="inlineStr">
        <is>
          <t>7e1f0755f1c75e301dfa37c21fd01efe</t>
        </is>
      </c>
      <c r="C812" t="inlineStr">
        <is>
          <t>e4a6222cdb5b34375400904f03d8e6a5</t>
        </is>
      </c>
      <c r="D812" t="inlineStr">
        <is>
          <t>34d40cdaf94010a1d05b0d6212f9e909</t>
        </is>
      </c>
      <c r="E812" s="30" t="n">
        <v>43416.80376157408</v>
      </c>
      <c r="F812" t="inlineStr">
        <is>
          <t>other</t>
        </is>
      </c>
      <c r="G812" t="inlineStr">
        <is>
          <t>other</t>
        </is>
      </c>
      <c r="H812" t="inlineStr">
        <is>
          <t>eagle, wolf</t>
        </is>
      </c>
      <c r="I812" t="b">
        <v>1</v>
      </c>
      <c r="J812" t="b">
        <v>1</v>
      </c>
      <c r="K812" t="inlineStr">
        <is>
          <t>5-20</t>
        </is>
      </c>
      <c r="L812" t="inlineStr">
        <is>
          <t>other</t>
        </is>
      </c>
      <c r="M812" t="n">
        <v>305</v>
      </c>
      <c r="N812" t="n">
        <v>120000</v>
      </c>
    </row>
    <row r="813">
      <c r="A813" t="inlineStr">
        <is>
          <t>9c2bfd97ce00ce9553bdc0f34c3532b6</t>
        </is>
      </c>
      <c r="B813" t="inlineStr">
        <is>
          <t>ae9cf62cf691b753d4f0d3d40731cc3c</t>
        </is>
      </c>
      <c r="C813" t="inlineStr">
        <is>
          <t>370c9f455f93a9a96cbe9bea48e70033</t>
        </is>
      </c>
      <c r="D813" t="inlineStr">
        <is>
          <t>de63de0d10a6012430098db33c679b0b</t>
        </is>
      </c>
      <c r="E813" s="30" t="n">
        <v>43353.86667824074</v>
      </c>
      <c r="F813" t="inlineStr">
        <is>
          <t>health_beauty</t>
        </is>
      </c>
      <c r="G813" t="inlineStr">
        <is>
          <t>online_medium</t>
        </is>
      </c>
      <c r="H813" t="inlineStr">
        <is>
          <t>shark</t>
        </is>
      </c>
      <c r="I813" t="b">
        <v>1</v>
      </c>
      <c r="J813" t="b">
        <v>1</v>
      </c>
      <c r="K813" t="inlineStr">
        <is>
          <t>50-200</t>
        </is>
      </c>
      <c r="L813" t="inlineStr">
        <is>
          <t>reseller</t>
        </is>
      </c>
      <c r="M813" t="n">
        <v>300</v>
      </c>
      <c r="N813" t="n">
        <v>0</v>
      </c>
    </row>
    <row r="814">
      <c r="A814" t="inlineStr">
        <is>
          <t>6c1f11f779599fe6d280c41d644ed43b</t>
        </is>
      </c>
      <c r="B814" t="inlineStr">
        <is>
          <t>0cab2da43793a6f3c5ed8514c5f54627</t>
        </is>
      </c>
      <c r="C814" t="inlineStr">
        <is>
          <t>4b339f9567d060bcea4f5136b9f5949e</t>
        </is>
      </c>
      <c r="D814" t="inlineStr">
        <is>
          <t>56bf83c4bb35763a51c2baab501b4c67</t>
        </is>
      </c>
      <c r="E814" s="30" t="n">
        <v>43195.68707175926</v>
      </c>
      <c r="F814" t="inlineStr">
        <is>
          <t>bags_backpacks</t>
        </is>
      </c>
      <c r="G814" t="inlineStr">
        <is>
          <t>offline</t>
        </is>
      </c>
      <c r="H814" t="inlineStr">
        <is>
          <t>cat</t>
        </is>
      </c>
      <c r="L814" t="inlineStr">
        <is>
          <t>reseller</t>
        </is>
      </c>
      <c r="N814" t="n">
        <v>0</v>
      </c>
    </row>
    <row r="815">
      <c r="A815" t="inlineStr">
        <is>
          <t>3223fed48f30bbdc0f6040b466516bcb</t>
        </is>
      </c>
      <c r="B815" t="inlineStr">
        <is>
          <t>0d7d5bca59d45d750fb7913b974e9d08</t>
        </is>
      </c>
      <c r="C815" t="inlineStr">
        <is>
          <t>068066e24f0c643eb1d089c7dd20cd73</t>
        </is>
      </c>
      <c r="D815" t="inlineStr">
        <is>
          <t>9749123c950bf8363ace42cb1c2d0815</t>
        </is>
      </c>
      <c r="E815" s="30" t="n">
        <v>43403.49608796297</v>
      </c>
      <c r="F815" t="inlineStr">
        <is>
          <t>construction_tools_house_garden</t>
        </is>
      </c>
      <c r="G815" t="inlineStr">
        <is>
          <t>online_big</t>
        </is>
      </c>
      <c r="H815" t="inlineStr">
        <is>
          <t>shark</t>
        </is>
      </c>
      <c r="I815" t="b">
        <v>1</v>
      </c>
      <c r="J815" t="b">
        <v>1</v>
      </c>
      <c r="L815" t="inlineStr">
        <is>
          <t>manufacturer</t>
        </is>
      </c>
      <c r="M815" t="n">
        <v>10</v>
      </c>
      <c r="N815" t="n">
        <v>250000</v>
      </c>
    </row>
    <row r="816">
      <c r="A816" t="inlineStr">
        <is>
          <t>4b650319cca0b2d0480d58b5c6451a28</t>
        </is>
      </c>
      <c r="B816" t="inlineStr">
        <is>
          <t>708cc2c4ffdd3307d5cdee0d7387307b</t>
        </is>
      </c>
      <c r="C816" t="inlineStr">
        <is>
          <t>370c9f455f93a9a96cbe9bea48e70033</t>
        </is>
      </c>
      <c r="D816" t="inlineStr">
        <is>
          <t>6565aa9ce3178a5caf6171827af3a9ba</t>
        </is>
      </c>
      <c r="E816" s="30" t="n">
        <v>43196.70335648148</v>
      </c>
      <c r="F816" t="inlineStr">
        <is>
          <t>audio_video_electronics</t>
        </is>
      </c>
      <c r="G816" t="inlineStr">
        <is>
          <t>online_medium</t>
        </is>
      </c>
      <c r="H816" t="inlineStr">
        <is>
          <t>cat</t>
        </is>
      </c>
      <c r="L816" t="inlineStr">
        <is>
          <t>reseller</t>
        </is>
      </c>
      <c r="N816" t="n">
        <v>0</v>
      </c>
    </row>
    <row r="817">
      <c r="A817" t="inlineStr">
        <is>
          <t>d4db78e389387c2d6f0b5404cbc61fc5</t>
        </is>
      </c>
      <c r="B817" t="inlineStr">
        <is>
          <t>7210cd29727d674c00741e5e387b3ccd</t>
        </is>
      </c>
      <c r="C817" t="inlineStr">
        <is>
          <t>068066e24f0c643eb1d089c7dd20cd73</t>
        </is>
      </c>
      <c r="D817" t="inlineStr">
        <is>
          <t>de63de0d10a6012430098db33c679b0b</t>
        </is>
      </c>
      <c r="E817" s="30" t="n">
        <v>43207.7209375</v>
      </c>
      <c r="F817" t="inlineStr">
        <is>
          <t>car_accessories</t>
        </is>
      </c>
      <c r="G817" t="inlineStr">
        <is>
          <t>online_medium</t>
        </is>
      </c>
      <c r="H817" t="inlineStr">
        <is>
          <t>cat</t>
        </is>
      </c>
      <c r="L817" t="inlineStr">
        <is>
          <t>reseller</t>
        </is>
      </c>
      <c r="N817" t="n">
        <v>0</v>
      </c>
    </row>
    <row r="818">
      <c r="A818" t="inlineStr">
        <is>
          <t>d4b60729388ac1c3435ee0fcefba1ebe</t>
        </is>
      </c>
      <c r="B818" t="inlineStr">
        <is>
          <t>05a48cc8859962767935ab9087417fbb</t>
        </is>
      </c>
      <c r="C818" t="inlineStr">
        <is>
          <t>f42a2bd194f7802ab052a815c8de65b7</t>
        </is>
      </c>
      <c r="D818" t="inlineStr">
        <is>
          <t>56bf83c4bb35763a51c2baab501b4c67</t>
        </is>
      </c>
      <c r="E818" s="30" t="n">
        <v>43250.125</v>
      </c>
      <c r="F818" t="inlineStr">
        <is>
          <t>fashion_accessories</t>
        </is>
      </c>
      <c r="G818" t="inlineStr">
        <is>
          <t>online_beginner</t>
        </is>
      </c>
      <c r="H818" t="inlineStr">
        <is>
          <t>cat</t>
        </is>
      </c>
      <c r="L818" t="inlineStr">
        <is>
          <t>reseller</t>
        </is>
      </c>
      <c r="N818" t="n">
        <v>0</v>
      </c>
    </row>
    <row r="819">
      <c r="A819" t="inlineStr">
        <is>
          <t>513622713be8b84fd8d5b783f6fc82b5</t>
        </is>
      </c>
      <c r="B819" t="inlineStr">
        <is>
          <t>c65fb4ec11e8d18c95ef150885418aea</t>
        </is>
      </c>
      <c r="C819" t="inlineStr">
        <is>
          <t>068066e24f0c643eb1d089c7dd20cd73</t>
        </is>
      </c>
      <c r="D819" t="inlineStr">
        <is>
          <t>2695de1affa7750089c0455f8ce27021</t>
        </is>
      </c>
      <c r="E819" s="30" t="n">
        <v>43146.47728009259</v>
      </c>
      <c r="F819" t="inlineStr">
        <is>
          <t>household_utilities</t>
        </is>
      </c>
      <c r="G819" t="inlineStr">
        <is>
          <t>online_beginner</t>
        </is>
      </c>
      <c r="L819" t="inlineStr">
        <is>
          <t>reseller</t>
        </is>
      </c>
      <c r="N819" t="n">
        <v>0</v>
      </c>
    </row>
    <row r="820">
      <c r="A820" t="inlineStr">
        <is>
          <t>7d4b139b99fa4e14170492f54032c321</t>
        </is>
      </c>
      <c r="B820" t="inlineStr">
        <is>
          <t>3ffabd7292c755d5cebe5b2d6350b850</t>
        </is>
      </c>
      <c r="C820" t="inlineStr">
        <is>
          <t>4b339f9567d060bcea4f5136b9f5949e</t>
        </is>
      </c>
      <c r="D820" t="inlineStr">
        <is>
          <t>2695de1affa7750089c0455f8ce27021</t>
        </is>
      </c>
      <c r="E820" s="30" t="n">
        <v>43152.56097222222</v>
      </c>
      <c r="F820" t="inlineStr">
        <is>
          <t>phone_mobile</t>
        </is>
      </c>
      <c r="G820" t="inlineStr">
        <is>
          <t>online_big</t>
        </is>
      </c>
      <c r="H820" t="inlineStr">
        <is>
          <t>cat</t>
        </is>
      </c>
      <c r="L820" t="inlineStr">
        <is>
          <t>reseller</t>
        </is>
      </c>
      <c r="N820" t="n">
        <v>0</v>
      </c>
    </row>
    <row r="821">
      <c r="A821" t="inlineStr">
        <is>
          <t>3e4a3f9ecab2d513b6782748c9e0a884</t>
        </is>
      </c>
      <c r="B821" t="inlineStr">
        <is>
          <t>9d681c7e12db302cb261e721040dde65</t>
        </is>
      </c>
      <c r="C821" t="inlineStr">
        <is>
          <t>0a0fb2b07d841f84fb6714e35c723075</t>
        </is>
      </c>
      <c r="D821" t="inlineStr">
        <is>
          <t>2695de1affa7750089c0455f8ce27021</t>
        </is>
      </c>
      <c r="E821" s="30" t="n">
        <v>43224.125</v>
      </c>
      <c r="F821" t="inlineStr">
        <is>
          <t>sports_leisure</t>
        </is>
      </c>
      <c r="G821" t="inlineStr">
        <is>
          <t>online_small</t>
        </is>
      </c>
      <c r="H821" t="inlineStr">
        <is>
          <t>cat</t>
        </is>
      </c>
      <c r="L821" t="inlineStr">
        <is>
          <t>reseller</t>
        </is>
      </c>
      <c r="N821" t="n">
        <v>0</v>
      </c>
    </row>
    <row r="822">
      <c r="A822" t="inlineStr">
        <is>
          <t>b3d72af547b23265305eda666dd749f9</t>
        </is>
      </c>
      <c r="B822" t="inlineStr">
        <is>
          <t>d984b175957d0e67bc5bf232285ac792</t>
        </is>
      </c>
      <c r="C822" t="inlineStr">
        <is>
          <t>fdb16d3cbbeb5798f2f66c4096be026d</t>
        </is>
      </c>
      <c r="D822" t="inlineStr">
        <is>
          <t>6565aa9ce3178a5caf6171827af3a9ba</t>
        </is>
      </c>
      <c r="E822" s="30" t="n">
        <v>43136.53583333334</v>
      </c>
      <c r="F822" t="inlineStr">
        <is>
          <t>books</t>
        </is>
      </c>
      <c r="G822" t="inlineStr">
        <is>
          <t>online_medium</t>
        </is>
      </c>
      <c r="L822" t="inlineStr">
        <is>
          <t>reseller</t>
        </is>
      </c>
      <c r="N822" t="n">
        <v>0</v>
      </c>
    </row>
    <row r="823">
      <c r="A823" t="inlineStr">
        <is>
          <t>9e7c75dad869b2691a339a70cf105f0e</t>
        </is>
      </c>
      <c r="B823" t="inlineStr">
        <is>
          <t>f4d969837a2957bb052a71af7d39fc91</t>
        </is>
      </c>
      <c r="C823" t="inlineStr">
        <is>
          <t>56bf83c4bb35763a51c2baab501b4c67</t>
        </is>
      </c>
      <c r="D823" t="inlineStr">
        <is>
          <t>9ae085775a198122c5586fa830ff7f2b</t>
        </is>
      </c>
      <c r="E823" s="30" t="n">
        <v>43185.58605324074</v>
      </c>
      <c r="F823" t="inlineStr">
        <is>
          <t>bed_bath_table</t>
        </is>
      </c>
      <c r="G823" t="inlineStr">
        <is>
          <t>online_beginner</t>
        </is>
      </c>
      <c r="H823" t="inlineStr">
        <is>
          <t>cat</t>
        </is>
      </c>
      <c r="L823" t="inlineStr">
        <is>
          <t>reseller</t>
        </is>
      </c>
      <c r="N823" t="n">
        <v>0</v>
      </c>
    </row>
    <row r="824">
      <c r="A824" t="inlineStr">
        <is>
          <t>1db2d761017113fbfd4246f0402ac4e0</t>
        </is>
      </c>
      <c r="B824" t="inlineStr">
        <is>
          <t>f1340f6d3347d9fae747fc3d236a2e41</t>
        </is>
      </c>
      <c r="C824" t="inlineStr">
        <is>
          <t>e7dff61b78bebffa71678e126ce669ad</t>
        </is>
      </c>
      <c r="D824" t="inlineStr">
        <is>
          <t>9ae085775a198122c5586fa830ff7f2b</t>
        </is>
      </c>
      <c r="E824" s="30" t="n">
        <v>43298.84211805555</v>
      </c>
      <c r="F824" t="inlineStr">
        <is>
          <t>car_accessories</t>
        </is>
      </c>
      <c r="G824" t="inlineStr">
        <is>
          <t>online_medium</t>
        </is>
      </c>
      <c r="L824" t="inlineStr">
        <is>
          <t>reseller</t>
        </is>
      </c>
      <c r="N824" t="n">
        <v>0</v>
      </c>
    </row>
    <row r="825">
      <c r="A825" t="inlineStr">
        <is>
          <t>b6bbd11daf9d7d31ffa787379614cd4f</t>
        </is>
      </c>
      <c r="B825" t="inlineStr">
        <is>
          <t>4eeb99008a0f59d2c7759c59f9a346eb</t>
        </is>
      </c>
      <c r="C825" t="inlineStr">
        <is>
          <t>9d12ef1a7eca3ec58c545c678af7869c</t>
        </is>
      </c>
      <c r="D825" t="inlineStr">
        <is>
          <t>6565aa9ce3178a5caf6171827af3a9ba</t>
        </is>
      </c>
      <c r="E825" s="30" t="n">
        <v>43196.8125</v>
      </c>
      <c r="F825" t="inlineStr">
        <is>
          <t>audio_video_electronics</t>
        </is>
      </c>
      <c r="G825" t="inlineStr">
        <is>
          <t>online_medium</t>
        </is>
      </c>
      <c r="H825" t="inlineStr">
        <is>
          <t>eagle</t>
        </is>
      </c>
      <c r="L825" t="inlineStr">
        <is>
          <t>reseller</t>
        </is>
      </c>
      <c r="N825" t="n">
        <v>0</v>
      </c>
    </row>
    <row r="826">
      <c r="A826" t="inlineStr">
        <is>
          <t>ee24544795bf59a8343731c3501c6b4e</t>
        </is>
      </c>
      <c r="B826" t="inlineStr">
        <is>
          <t>c013e57c075a06e5b5c48ee03c525719</t>
        </is>
      </c>
      <c r="C826" t="inlineStr">
        <is>
          <t>fdb16d3cbbeb5798f2f66c4096be026d</t>
        </is>
      </c>
      <c r="D826" t="inlineStr">
        <is>
          <t>9ae085775a198122c5586fa830ff7f2b</t>
        </is>
      </c>
      <c r="E826" s="30" t="n">
        <v>43132.71550925926</v>
      </c>
      <c r="F826" t="inlineStr">
        <is>
          <t>pet</t>
        </is>
      </c>
      <c r="G826" t="inlineStr">
        <is>
          <t>online_medium</t>
        </is>
      </c>
      <c r="L826" t="inlineStr">
        <is>
          <t>reseller</t>
        </is>
      </c>
      <c r="N826" t="n">
        <v>0</v>
      </c>
    </row>
    <row r="827">
      <c r="A827" t="inlineStr">
        <is>
          <t>7998ee341a2b3ffe1f5b8f11c0e78d11</t>
        </is>
      </c>
      <c r="B827" t="inlineStr">
        <is>
          <t>b9ec22de23f18567de0e09d776ca0309</t>
        </is>
      </c>
      <c r="C827" t="inlineStr">
        <is>
          <t>9d12ef1a7eca3ec58c545c678af7869c</t>
        </is>
      </c>
      <c r="D827" t="inlineStr">
        <is>
          <t>495d4e95a8cf8bbf8b432b612a2aa328</t>
        </is>
      </c>
      <c r="E827" s="30" t="n">
        <v>43196.80987268518</v>
      </c>
      <c r="F827" t="inlineStr">
        <is>
          <t>stationery</t>
        </is>
      </c>
      <c r="G827" t="inlineStr">
        <is>
          <t>online_medium</t>
        </is>
      </c>
      <c r="H827" t="inlineStr">
        <is>
          <t>cat</t>
        </is>
      </c>
      <c r="L827" t="inlineStr">
        <is>
          <t>reseller</t>
        </is>
      </c>
      <c r="N827" t="n">
        <v>0</v>
      </c>
    </row>
    <row r="828">
      <c r="A828" t="inlineStr">
        <is>
          <t>98826328c3a60215e53b342560084571</t>
        </is>
      </c>
      <c r="B828" t="inlineStr">
        <is>
          <t>f46490624488d3ff7ce78613913a7711</t>
        </is>
      </c>
      <c r="C828" t="inlineStr">
        <is>
          <t>9d12ef1a7eca3ec58c545c678af7869c</t>
        </is>
      </c>
      <c r="D828" t="inlineStr">
        <is>
          <t>068066e24f0c643eb1d089c7dd20cd73</t>
        </is>
      </c>
      <c r="E828" s="30" t="n">
        <v>43236.82714120371</v>
      </c>
      <c r="F828" t="inlineStr">
        <is>
          <t>health_beauty</t>
        </is>
      </c>
      <c r="G828" t="inlineStr">
        <is>
          <t>online_big</t>
        </is>
      </c>
      <c r="H828" t="inlineStr">
        <is>
          <t>eagle</t>
        </is>
      </c>
      <c r="L828" t="inlineStr">
        <is>
          <t>reseller</t>
        </is>
      </c>
      <c r="N828" t="n">
        <v>0</v>
      </c>
    </row>
    <row r="829">
      <c r="A829" t="inlineStr">
        <is>
          <t>dbc6f53e8aa4b30d61366ddc81b17a91</t>
        </is>
      </c>
      <c r="B829" t="inlineStr">
        <is>
          <t>7bfe1c6d7a61cccc48bbbebe206390a9</t>
        </is>
      </c>
      <c r="C829" t="inlineStr">
        <is>
          <t>068066e24f0c643eb1d089c7dd20cd73</t>
        </is>
      </c>
      <c r="D829" t="inlineStr">
        <is>
          <t>de63de0d10a6012430098db33c679b0b</t>
        </is>
      </c>
      <c r="E829" s="30" t="n">
        <v>43196.86116898148</v>
      </c>
      <c r="F829" t="inlineStr">
        <is>
          <t>household_utilities</t>
        </is>
      </c>
      <c r="G829" t="inlineStr">
        <is>
          <t>online_medium</t>
        </is>
      </c>
      <c r="H829" t="inlineStr">
        <is>
          <t>cat</t>
        </is>
      </c>
      <c r="L829" t="inlineStr">
        <is>
          <t>reseller</t>
        </is>
      </c>
      <c r="N829" t="n">
        <v>0</v>
      </c>
    </row>
    <row r="830">
      <c r="A830" t="inlineStr">
        <is>
          <t>72477e4cbc223fd605cdf76361cbe0a6</t>
        </is>
      </c>
      <c r="B830" t="inlineStr">
        <is>
          <t>a9f81449e8f8a47f6c67e5a43b40ed04</t>
        </is>
      </c>
      <c r="C830" t="inlineStr">
        <is>
          <t>068066e24f0c643eb1d089c7dd20cd73</t>
        </is>
      </c>
      <c r="D830" t="inlineStr">
        <is>
          <t>060c0a26f19f4d66b42e0d8796688490</t>
        </is>
      </c>
      <c r="E830" s="30" t="n">
        <v>43160.87722222223</v>
      </c>
      <c r="F830" t="inlineStr">
        <is>
          <t>food_drink</t>
        </is>
      </c>
      <c r="G830" t="inlineStr">
        <is>
          <t>industry</t>
        </is>
      </c>
      <c r="H830" t="inlineStr">
        <is>
          <t>eagle</t>
        </is>
      </c>
      <c r="L830" t="inlineStr">
        <is>
          <t>manufacturer</t>
        </is>
      </c>
      <c r="N830" t="n">
        <v>0</v>
      </c>
    </row>
    <row r="831">
      <c r="A831" t="inlineStr">
        <is>
          <t>245710681d51a6dfb80ab06683f3be01</t>
        </is>
      </c>
      <c r="B831" t="inlineStr">
        <is>
          <t>7c9130f5f3729edd32aa059141d92484</t>
        </is>
      </c>
      <c r="C831" t="inlineStr">
        <is>
          <t>370c9f455f93a9a96cbe9bea48e70033</t>
        </is>
      </c>
      <c r="D831" t="inlineStr">
        <is>
          <t>4ef15afb4b2723d8f3d81e51ec7afefe</t>
        </is>
      </c>
      <c r="E831" s="30" t="n">
        <v>43227.90935185185</v>
      </c>
      <c r="F831" t="inlineStr">
        <is>
          <t>computers</t>
        </is>
      </c>
      <c r="L831" t="inlineStr">
        <is>
          <t>reseller</t>
        </is>
      </c>
      <c r="N831" t="n">
        <v>0</v>
      </c>
    </row>
    <row r="832">
      <c r="A832" t="inlineStr">
        <is>
          <t>512f3a7ea5520eae3b54a77c0497489e</t>
        </is>
      </c>
      <c r="B832" t="inlineStr">
        <is>
          <t>2a1a7b9bb186aba4e126ec76f9607237</t>
        </is>
      </c>
      <c r="C832" t="inlineStr">
        <is>
          <t>9ae085775a198122c5586fa830ff7f2b</t>
        </is>
      </c>
      <c r="D832" t="inlineStr">
        <is>
          <t>c638112b43f1d1b86dcabb0da720c901</t>
        </is>
      </c>
      <c r="E832" s="30" t="n">
        <v>43074.08333333334</v>
      </c>
      <c r="F832" t="inlineStr">
        <is>
          <t>computers</t>
        </is>
      </c>
      <c r="G832" t="inlineStr">
        <is>
          <t>offline</t>
        </is>
      </c>
      <c r="L832" t="inlineStr">
        <is>
          <t>reseller</t>
        </is>
      </c>
      <c r="N832" t="n">
        <v>0</v>
      </c>
    </row>
    <row r="833">
      <c r="A833" t="inlineStr">
        <is>
          <t>b3d5cd16656bd872844d94e6c00ac9f3</t>
        </is>
      </c>
      <c r="B833" t="inlineStr">
        <is>
          <t>eeb3e4d4f423780ab2acfe23ea0d5e49</t>
        </is>
      </c>
      <c r="C833" t="inlineStr">
        <is>
          <t>09285259593c61296eef10c734121d5b</t>
        </is>
      </c>
      <c r="D833" t="inlineStr">
        <is>
          <t>d3d1e91a157ea7f90548eef82f1955e3</t>
        </is>
      </c>
      <c r="E833" s="30" t="n">
        <v>43188.81737268518</v>
      </c>
      <c r="F833" t="inlineStr">
        <is>
          <t>food_supplement</t>
        </is>
      </c>
      <c r="G833" t="inlineStr">
        <is>
          <t>online_small</t>
        </is>
      </c>
      <c r="H833" t="inlineStr">
        <is>
          <t>eagle</t>
        </is>
      </c>
      <c r="L833" t="inlineStr">
        <is>
          <t>reseller</t>
        </is>
      </c>
      <c r="N833" t="n">
        <v>0</v>
      </c>
    </row>
    <row r="834">
      <c r="A834" t="inlineStr">
        <is>
          <t>f8e1b8b3a3fe9b27a64dfcaaa8fc6054</t>
        </is>
      </c>
      <c r="B834" t="inlineStr">
        <is>
          <t>b6392ab5fdb153fb3c6c7c0e174cdc29</t>
        </is>
      </c>
      <c r="C834" t="inlineStr">
        <is>
          <t>4b339f9567d060bcea4f5136b9f5949e</t>
        </is>
      </c>
      <c r="D834" t="inlineStr">
        <is>
          <t>4ef15afb4b2723d8f3d81e51ec7afefe</t>
        </is>
      </c>
      <c r="E834" s="30" t="n">
        <v>43194.8564699074</v>
      </c>
      <c r="F834" t="inlineStr">
        <is>
          <t>audio_video_electronics</t>
        </is>
      </c>
      <c r="G834" t="inlineStr">
        <is>
          <t>online_medium</t>
        </is>
      </c>
      <c r="L834" t="inlineStr">
        <is>
          <t>reseller</t>
        </is>
      </c>
      <c r="N834" t="n">
        <v>0</v>
      </c>
    </row>
    <row r="835">
      <c r="A835" t="inlineStr">
        <is>
          <t>cd803c8ab3c2afa5430eeb195bcebe6a</t>
        </is>
      </c>
      <c r="B835" t="inlineStr">
        <is>
          <t>33dd941c27854f7625b968cc6195a552</t>
        </is>
      </c>
      <c r="C835" t="inlineStr">
        <is>
          <t>a8387c01a09e99ce014107505b92388c</t>
        </is>
      </c>
      <c r="D835" t="inlineStr">
        <is>
          <t>85fc447d336637ba1df43e793199fbc8</t>
        </is>
      </c>
      <c r="E835" s="30" t="n">
        <v>43187.94646990741</v>
      </c>
      <c r="F835" t="inlineStr">
        <is>
          <t>household_utilities</t>
        </is>
      </c>
      <c r="G835" t="inlineStr">
        <is>
          <t>online_medium</t>
        </is>
      </c>
      <c r="H835" t="inlineStr">
        <is>
          <t>cat</t>
        </is>
      </c>
      <c r="L835" t="inlineStr">
        <is>
          <t>reseller</t>
        </is>
      </c>
      <c r="N835" t="n">
        <v>0</v>
      </c>
    </row>
    <row r="836">
      <c r="A836" t="inlineStr">
        <is>
          <t>676207ddcc8087437135a4b461fc07cb</t>
        </is>
      </c>
      <c r="B836" t="inlineStr">
        <is>
          <t>c70a353f02429c00775a46a75fb787da</t>
        </is>
      </c>
      <c r="C836" t="inlineStr">
        <is>
          <t>370c9f455f93a9a96cbe9bea48e70033</t>
        </is>
      </c>
      <c r="D836" t="inlineStr">
        <is>
          <t>4ef15afb4b2723d8f3d81e51ec7afefe</t>
        </is>
      </c>
      <c r="E836" s="30" t="n">
        <v>43210.51925925926</v>
      </c>
      <c r="F836" t="inlineStr">
        <is>
          <t>health_beauty</t>
        </is>
      </c>
      <c r="G836" t="inlineStr">
        <is>
          <t>online_medium</t>
        </is>
      </c>
      <c r="H836" t="inlineStr">
        <is>
          <t>cat</t>
        </is>
      </c>
      <c r="L836" t="inlineStr">
        <is>
          <t>reseller</t>
        </is>
      </c>
      <c r="N836" t="n">
        <v>0</v>
      </c>
    </row>
    <row r="837">
      <c r="A837" t="inlineStr">
        <is>
          <t>98b18a14a0472c9e4a4eb0bb77ae3592</t>
        </is>
      </c>
      <c r="B837" t="inlineStr">
        <is>
          <t>4fe2f67634d00c021aa01f96b6f2d68e</t>
        </is>
      </c>
      <c r="C837" t="inlineStr">
        <is>
          <t>9d12ef1a7eca3ec58c545c678af7869c</t>
        </is>
      </c>
      <c r="D837" t="inlineStr">
        <is>
          <t>a8387c01a09e99ce014107505b92388c</t>
        </is>
      </c>
      <c r="E837" s="30" t="n">
        <v>43258.89149305555</v>
      </c>
      <c r="F837" t="inlineStr">
        <is>
          <t>food_supplement</t>
        </is>
      </c>
      <c r="G837" t="inlineStr">
        <is>
          <t>online_small</t>
        </is>
      </c>
      <c r="H837" t="inlineStr">
        <is>
          <t>cat</t>
        </is>
      </c>
      <c r="L837" t="inlineStr">
        <is>
          <t>reseller</t>
        </is>
      </c>
      <c r="N837" t="n">
        <v>0</v>
      </c>
    </row>
    <row r="838">
      <c r="A838" t="inlineStr">
        <is>
          <t>e7f70a2ff45e44c7399bebacf3e4771d</t>
        </is>
      </c>
      <c r="B838" t="inlineStr">
        <is>
          <t>b21768cfefb49b94e9bcd38037e93d1f</t>
        </is>
      </c>
      <c r="C838" t="inlineStr">
        <is>
          <t>56bf83c4bb35763a51c2baab501b4c67</t>
        </is>
      </c>
      <c r="D838" t="inlineStr">
        <is>
          <t>c638112b43f1d1b86dcabb0da720c901</t>
        </is>
      </c>
      <c r="E838" s="30" t="n">
        <v>43140.5112962963</v>
      </c>
      <c r="F838" t="inlineStr">
        <is>
          <t>car_accessories</t>
        </is>
      </c>
      <c r="G838" t="inlineStr">
        <is>
          <t>online_medium</t>
        </is>
      </c>
      <c r="L838" t="inlineStr">
        <is>
          <t>manufacturer</t>
        </is>
      </c>
      <c r="N838" t="n">
        <v>0</v>
      </c>
    </row>
    <row r="839">
      <c r="A839" t="inlineStr">
        <is>
          <t>df9a2abe2ad3f2d8758b675ac8331ecf</t>
        </is>
      </c>
      <c r="B839" t="inlineStr">
        <is>
          <t>bfcc27719640628da877db48b672b169</t>
        </is>
      </c>
      <c r="C839" t="inlineStr">
        <is>
          <t>45749fb708130f78d0db07d8d80f030b</t>
        </is>
      </c>
      <c r="D839" t="inlineStr">
        <is>
          <t>a8387c01a09e99ce014107505b92388c</t>
        </is>
      </c>
      <c r="E839" s="30" t="n">
        <v>43313.84896990741</v>
      </c>
      <c r="F839" t="inlineStr">
        <is>
          <t>home_decor</t>
        </is>
      </c>
      <c r="G839" t="inlineStr">
        <is>
          <t>offline</t>
        </is>
      </c>
      <c r="H839" t="inlineStr">
        <is>
          <t>cat</t>
        </is>
      </c>
      <c r="L839" t="inlineStr">
        <is>
          <t>reseller</t>
        </is>
      </c>
      <c r="N839" t="n">
        <v>0</v>
      </c>
    </row>
    <row r="840">
      <c r="A840" t="inlineStr">
        <is>
          <t>8723201570415eb23b4f095d8c20a27c</t>
        </is>
      </c>
      <c r="B840" t="inlineStr">
        <is>
          <t>4a82eab98441aeb64566e2776c1fb2b6</t>
        </is>
      </c>
      <c r="C840" t="inlineStr">
        <is>
          <t>370c9f455f93a9a96cbe9bea48e70033</t>
        </is>
      </c>
      <c r="D840" t="inlineStr">
        <is>
          <t>4b339f9567d060bcea4f5136b9f5949e</t>
        </is>
      </c>
      <c r="E840" s="30" t="n">
        <v>43370.79075231482</v>
      </c>
      <c r="F840" t="inlineStr">
        <is>
          <t>construction_tools_house_garden</t>
        </is>
      </c>
      <c r="G840" t="inlineStr">
        <is>
          <t>online_big</t>
        </is>
      </c>
      <c r="H840" t="inlineStr">
        <is>
          <t>wolf</t>
        </is>
      </c>
      <c r="L840" t="inlineStr">
        <is>
          <t>reseller</t>
        </is>
      </c>
      <c r="M840" t="n">
        <v>132</v>
      </c>
      <c r="N840" t="n">
        <v>200000</v>
      </c>
    </row>
    <row r="841">
      <c r="A841" t="inlineStr">
        <is>
          <t>2e57665b8faf05c967a801eb5aedfa0a</t>
        </is>
      </c>
      <c r="B841" t="inlineStr">
        <is>
          <t>55031883943971ca22db6894574cfe2c</t>
        </is>
      </c>
      <c r="C841" t="inlineStr">
        <is>
          <t>370c9f455f93a9a96cbe9bea48e70033</t>
        </is>
      </c>
      <c r="D841" t="inlineStr">
        <is>
          <t>a8387c01a09e99ce014107505b92388c</t>
        </is>
      </c>
      <c r="E841" s="30" t="n">
        <v>43257.84405092592</v>
      </c>
      <c r="F841" t="inlineStr">
        <is>
          <t>computers</t>
        </is>
      </c>
      <c r="G841" t="inlineStr">
        <is>
          <t>online_medium</t>
        </is>
      </c>
      <c r="H841" t="inlineStr">
        <is>
          <t>wolf</t>
        </is>
      </c>
      <c r="L841" t="inlineStr">
        <is>
          <t>reseller</t>
        </is>
      </c>
      <c r="N841" t="n">
        <v>0</v>
      </c>
    </row>
    <row r="842">
      <c r="A842" t="inlineStr">
        <is>
          <t>40955be51cc85c5a5a6cdd12b19e9f10</t>
        </is>
      </c>
      <c r="B842" t="inlineStr">
        <is>
          <t>c0e933c238e41f0cd459d6025ee9b364</t>
        </is>
      </c>
      <c r="C842" t="inlineStr">
        <is>
          <t>068066e24f0c643eb1d089c7dd20cd73</t>
        </is>
      </c>
      <c r="D842" t="inlineStr">
        <is>
          <t>d3d1e91a157ea7f90548eef82f1955e3</t>
        </is>
      </c>
      <c r="E842" s="30" t="n">
        <v>43165.66137731481</v>
      </c>
      <c r="F842" t="inlineStr">
        <is>
          <t>pet</t>
        </is>
      </c>
      <c r="G842" t="inlineStr">
        <is>
          <t>online_beginner</t>
        </is>
      </c>
      <c r="H842" t="inlineStr">
        <is>
          <t>cat</t>
        </is>
      </c>
      <c r="L842" t="inlineStr">
        <is>
          <t>reseller</t>
        </is>
      </c>
      <c r="N842" t="n">
        <v>0</v>
      </c>
    </row>
    <row r="843">
      <c r="A843" t="inlineStr">
        <is>
          <t>8a6492305a5fbcdcdd1a7f5a90764c07</t>
        </is>
      </c>
      <c r="B843" t="inlineStr">
        <is>
          <t>1bba9c94eb5c4e82fba9f7286fe81025</t>
        </is>
      </c>
      <c r="C843" t="inlineStr">
        <is>
          <t>56bf83c4bb35763a51c2baab501b4c67</t>
        </is>
      </c>
      <c r="D843" t="inlineStr">
        <is>
          <t>de63de0d10a6012430098db33c679b0b</t>
        </is>
      </c>
      <c r="E843" s="30" t="n">
        <v>43222.56356481482</v>
      </c>
      <c r="F843" t="inlineStr">
        <is>
          <t>household_utilities</t>
        </is>
      </c>
      <c r="G843" t="inlineStr">
        <is>
          <t>industry</t>
        </is>
      </c>
      <c r="H843" t="inlineStr">
        <is>
          <t>eagle</t>
        </is>
      </c>
      <c r="L843" t="inlineStr">
        <is>
          <t>manufacturer</t>
        </is>
      </c>
      <c r="N8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2026-10-23T21:32:37Z</dcterms:created>
  <dcterms:modified xsi:type="dcterms:W3CDTF">2026-10-23T21:32:38Z</dcterms:modified>
</cp:coreProperties>
</file>